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GMED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Globus Medical,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Healthcare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Medical Devices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10695319552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10181408768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18.408878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15.313303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3.4493642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0.68489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0.21316999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0.18922001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0.13303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0.27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629851008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115941000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600574000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113314529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78.79000000000001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(annual)'!D46</f>
        <v/>
      </c>
      <c r="C3" s="3">
        <f>'Income stmt (annual)'!C46</f>
        <v/>
      </c>
      <c r="D3" s="3">
        <f>'Income stmt (annual)'!B46</f>
        <v/>
      </c>
      <c r="E3" s="3">
        <f>SUM('Income stmt (quarterly)'!B46:E46)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(annual)'!D44</f>
        <v/>
      </c>
      <c r="C4" s="3">
        <f>'Income stmt (annual)'!C44</f>
        <v/>
      </c>
      <c r="D4" s="3">
        <f>'Income stmt (annual)'!B44</f>
        <v/>
      </c>
      <c r="E4" s="3">
        <f>SUM('Income stmt (quarterly)'!B44:E44)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(annual)'!D36</f>
        <v/>
      </c>
      <c r="C6" s="3">
        <f>'Income stmt (annual)'!C36</f>
        <v/>
      </c>
      <c r="D6" s="3">
        <f>'Income stmt (annual)'!B36</f>
        <v/>
      </c>
      <c r="E6" s="3">
        <f>SUM('Income stmt (quarterly)'!B36:E36)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(quarterly)'!B5:E5)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 t="inlineStr"/>
      <c r="C13" s="3" t="inlineStr"/>
      <c r="D13" s="3" t="inlineStr"/>
      <c r="E13" s="3" t="inlineStr"/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6362853</v>
      </c>
      <c r="C2" s="3" t="n">
        <v>-14212107</v>
      </c>
      <c r="D2" s="3" t="n">
        <v>-13886426.874172</v>
      </c>
      <c r="E2" s="3" t="n">
        <v>-2022440</v>
      </c>
      <c r="F2" s="3" t="n"/>
    </row>
    <row r="3">
      <c r="A3" t="inlineStr">
        <is>
          <t>Tax Rate For Calcs</t>
        </is>
      </c>
      <c r="B3" s="3" t="n">
        <v>0.111</v>
      </c>
      <c r="C3" s="3" t="n">
        <v>0.147</v>
      </c>
      <c r="D3" s="3" t="n">
        <v>0.257085</v>
      </c>
      <c r="E3" s="3" t="n">
        <v>0.217</v>
      </c>
      <c r="F3" s="3" t="n"/>
    </row>
    <row r="4">
      <c r="A4" t="inlineStr">
        <is>
          <t>Normalized EBITDA</t>
        </is>
      </c>
      <c r="B4" s="3" t="n">
        <v>756710000</v>
      </c>
      <c r="C4" s="3" t="n">
        <v>569457000</v>
      </c>
      <c r="D4" s="3" t="n">
        <v>400957000</v>
      </c>
      <c r="E4" s="3" t="n">
        <v>313823000</v>
      </c>
      <c r="F4" s="3" t="n"/>
    </row>
    <row r="5">
      <c r="A5" t="inlineStr">
        <is>
          <t>Total Unusual Items</t>
        </is>
      </c>
      <c r="B5" s="3" t="n">
        <v>57323000</v>
      </c>
      <c r="C5" s="3" t="n">
        <v>-96681000</v>
      </c>
      <c r="D5" s="3" t="n">
        <v>-54015000</v>
      </c>
      <c r="E5" s="3" t="n">
        <v>-9320000</v>
      </c>
      <c r="F5" s="3" t="n"/>
    </row>
    <row r="6">
      <c r="A6" t="inlineStr">
        <is>
          <t>Total Unusual Items Excluding Goodwill</t>
        </is>
      </c>
      <c r="B6" s="3" t="n">
        <v>57323000</v>
      </c>
      <c r="C6" s="3" t="n">
        <v>-96681000</v>
      </c>
      <c r="D6" s="3" t="n">
        <v>-54015000</v>
      </c>
      <c r="E6" s="3" t="n">
        <v>-9320000</v>
      </c>
      <c r="F6" s="3" t="n"/>
    </row>
    <row r="7">
      <c r="A7" t="inlineStr">
        <is>
          <t>Net Income From Continuing Operation Net Minority Interest</t>
        </is>
      </c>
      <c r="B7" s="3" t="n">
        <v>537868000</v>
      </c>
      <c r="C7" s="3" t="n">
        <v>102984000</v>
      </c>
      <c r="D7" s="3" t="n">
        <v>122873000</v>
      </c>
      <c r="E7" s="3" t="n">
        <v>190169000</v>
      </c>
      <c r="F7" s="3" t="n"/>
    </row>
    <row r="8">
      <c r="A8" t="inlineStr">
        <is>
          <t>Reconciled Depreciation</t>
        </is>
      </c>
      <c r="B8" s="3" t="n">
        <v>276842000</v>
      </c>
      <c r="C8" s="3" t="n">
        <v>253389000</v>
      </c>
      <c r="D8" s="3" t="n">
        <v>145526000</v>
      </c>
      <c r="E8" s="3" t="n">
        <v>68252000</v>
      </c>
      <c r="F8" s="3" t="n"/>
    </row>
    <row r="9">
      <c r="A9" t="inlineStr">
        <is>
          <t>Reconciled Cost Of Revenue</t>
        </is>
      </c>
      <c r="B9" s="3" t="n">
        <v>799154000</v>
      </c>
      <c r="C9" s="3" t="n">
        <v>901463000</v>
      </c>
      <c r="D9" s="3" t="n">
        <v>453680000</v>
      </c>
      <c r="E9" s="3" t="n">
        <v>213208000</v>
      </c>
      <c r="F9" s="3" t="n"/>
    </row>
    <row r="10">
      <c r="A10" t="inlineStr">
        <is>
          <t>EBITDA</t>
        </is>
      </c>
      <c r="B10" s="3" t="n">
        <v>814033000</v>
      </c>
      <c r="C10" s="3" t="n">
        <v>472776000</v>
      </c>
      <c r="D10" s="3" t="n">
        <v>346942000</v>
      </c>
      <c r="E10" s="3" t="n">
        <v>304503000</v>
      </c>
      <c r="F10" s="3" t="n"/>
    </row>
    <row r="11">
      <c r="A11" t="inlineStr">
        <is>
          <t>EBIT</t>
        </is>
      </c>
      <c r="B11" s="3" t="n">
        <v>537191000</v>
      </c>
      <c r="C11" s="3" t="n">
        <v>219387000</v>
      </c>
      <c r="D11" s="3" t="n">
        <v>201416000</v>
      </c>
      <c r="E11" s="3" t="n">
        <v>236251000</v>
      </c>
      <c r="F11" s="3" t="n"/>
    </row>
    <row r="12">
      <c r="A12" t="inlineStr">
        <is>
          <t>Net Interest Income</t>
        </is>
      </c>
      <c r="B12" s="3" t="n">
        <v>7141000</v>
      </c>
      <c r="C12" s="3" t="n">
        <v>-4189000</v>
      </c>
      <c r="D12" s="3" t="n">
        <v>20130000</v>
      </c>
      <c r="E12" s="3" t="n">
        <v>14233000</v>
      </c>
      <c r="F12" s="3" t="n"/>
    </row>
    <row r="13">
      <c r="A13" t="inlineStr">
        <is>
          <t>Normalized Income</t>
        </is>
      </c>
      <c r="B13" s="3" t="n">
        <v>486907853</v>
      </c>
      <c r="C13" s="3" t="n">
        <v>185452893</v>
      </c>
      <c r="D13" s="3" t="n">
        <v>163001573.125828</v>
      </c>
      <c r="E13" s="3" t="n">
        <v>197466560</v>
      </c>
      <c r="F13" s="3" t="n"/>
    </row>
    <row r="14">
      <c r="A14" t="inlineStr">
        <is>
          <t>Net Income From Continuing And Discontinued Operation</t>
        </is>
      </c>
      <c r="B14" s="3" t="n">
        <v>537868000</v>
      </c>
      <c r="C14" s="3" t="n">
        <v>102984000</v>
      </c>
      <c r="D14" s="3" t="n">
        <v>122873000</v>
      </c>
      <c r="E14" s="3" t="n">
        <v>190169000</v>
      </c>
      <c r="F14" s="3" t="n"/>
    </row>
    <row r="15">
      <c r="A15" t="inlineStr">
        <is>
          <t>Total Expenses</t>
        </is>
      </c>
      <c r="B15" s="3" t="n">
        <v>2401740000</v>
      </c>
      <c r="C15" s="3" t="n">
        <v>2299968000</v>
      </c>
      <c r="D15" s="3" t="n">
        <v>1367060000</v>
      </c>
      <c r="E15" s="3" t="n">
        <v>786592000</v>
      </c>
      <c r="F15" s="3" t="n"/>
    </row>
    <row r="16">
      <c r="A16" t="inlineStr">
        <is>
          <t>Total Operating Income As Reported</t>
        </is>
      </c>
      <c r="B16" s="3" t="n">
        <v>479816000</v>
      </c>
      <c r="C16" s="3" t="n">
        <v>165991000</v>
      </c>
      <c r="D16" s="3" t="n">
        <v>133142000</v>
      </c>
      <c r="E16" s="3" t="n">
        <v>227951000</v>
      </c>
      <c r="F16" s="3" t="n"/>
    </row>
    <row r="17">
      <c r="A17" t="inlineStr">
        <is>
          <t>Diluted Average Shares</t>
        </is>
      </c>
      <c r="B17" s="3" t="n">
        <v>137056000</v>
      </c>
      <c r="C17" s="3" t="n">
        <v>137863000</v>
      </c>
      <c r="D17" s="3" t="n">
        <v>114630000</v>
      </c>
      <c r="E17" s="3" t="n">
        <v>102643000</v>
      </c>
      <c r="F17" s="3" t="n"/>
    </row>
    <row r="18">
      <c r="A18" t="inlineStr">
        <is>
          <t>Basic Average Shares</t>
        </is>
      </c>
      <c r="B18" s="3" t="n">
        <v>135215000</v>
      </c>
      <c r="C18" s="3" t="n">
        <v>135726000</v>
      </c>
      <c r="D18" s="3" t="n">
        <v>113087000</v>
      </c>
      <c r="E18" s="3" t="n">
        <v>100469000</v>
      </c>
      <c r="F18" s="3" t="n"/>
    </row>
    <row r="19">
      <c r="A19" t="inlineStr">
        <is>
          <t>Diluted EPS</t>
        </is>
      </c>
      <c r="B19" s="3" t="n">
        <v>3.92</v>
      </c>
      <c r="C19" s="3" t="n">
        <v>0.75</v>
      </c>
      <c r="D19" s="3" t="n">
        <v>1.07</v>
      </c>
      <c r="E19" s="3" t="n">
        <v>1.85</v>
      </c>
      <c r="F19" s="3" t="n"/>
    </row>
    <row r="20">
      <c r="A20" t="inlineStr">
        <is>
          <t>Basic EPS</t>
        </is>
      </c>
      <c r="B20" s="3" t="n">
        <v>3.98</v>
      </c>
      <c r="C20" s="3" t="n">
        <v>0.76</v>
      </c>
      <c r="D20" s="3" t="n">
        <v>1.09</v>
      </c>
      <c r="E20" s="3" t="n">
        <v>1.89</v>
      </c>
      <c r="F20" s="3" t="n"/>
    </row>
    <row r="21">
      <c r="A21" t="inlineStr">
        <is>
          <t>Diluted NI Availto Com Stockholders</t>
        </is>
      </c>
      <c r="B21" s="3" t="n">
        <v>537868000</v>
      </c>
      <c r="C21" s="3" t="n">
        <v>102984000</v>
      </c>
      <c r="D21" s="3" t="n">
        <v>122873000</v>
      </c>
      <c r="E21" s="3" t="n">
        <v>190169000</v>
      </c>
      <c r="F21" s="3" t="n"/>
    </row>
    <row r="22">
      <c r="A22" t="inlineStr">
        <is>
          <t>Net Income Common Stockholders</t>
        </is>
      </c>
      <c r="B22" s="3" t="n">
        <v>537868000</v>
      </c>
      <c r="C22" s="3" t="n">
        <v>102984000</v>
      </c>
      <c r="D22" s="3" t="n">
        <v>122873000</v>
      </c>
      <c r="E22" s="3" t="n">
        <v>190169000</v>
      </c>
      <c r="F22" s="3" t="n"/>
    </row>
    <row r="23">
      <c r="A23" t="inlineStr">
        <is>
          <t>Net Income</t>
        </is>
      </c>
      <c r="B23" s="3" t="n">
        <v>537868000</v>
      </c>
      <c r="C23" s="3" t="n">
        <v>102984000</v>
      </c>
      <c r="D23" s="3" t="n">
        <v>122873000</v>
      </c>
      <c r="E23" s="3" t="n">
        <v>190169000</v>
      </c>
      <c r="F23" s="3" t="n"/>
    </row>
    <row r="24">
      <c r="A24" t="inlineStr">
        <is>
          <t>Net Income Including Noncontrolling Interests</t>
        </is>
      </c>
      <c r="B24" s="3" t="n">
        <v>537868000</v>
      </c>
      <c r="C24" s="3" t="n">
        <v>102984000</v>
      </c>
      <c r="D24" s="3" t="n">
        <v>122873000</v>
      </c>
      <c r="E24" s="3" t="n">
        <v>190169000</v>
      </c>
      <c r="F24" s="3" t="n"/>
    </row>
    <row r="25">
      <c r="A25" t="inlineStr">
        <is>
          <t>Net Income Continuous Operations</t>
        </is>
      </c>
      <c r="B25" s="3" t="n">
        <v>537868000</v>
      </c>
      <c r="C25" s="3" t="n">
        <v>102984000</v>
      </c>
      <c r="D25" s="3" t="n">
        <v>122873000</v>
      </c>
      <c r="E25" s="3" t="n">
        <v>190169000</v>
      </c>
      <c r="F25" s="3" t="n"/>
    </row>
    <row r="26">
      <c r="A26" t="inlineStr">
        <is>
          <t>Tax Provision</t>
        </is>
      </c>
      <c r="B26" s="3" t="n">
        <v>67200000</v>
      </c>
      <c r="C26" s="3" t="n">
        <v>17738000</v>
      </c>
      <c r="D26" s="3" t="n">
        <v>42520000</v>
      </c>
      <c r="E26" s="3" t="n">
        <v>52850000</v>
      </c>
      <c r="F26" s="3" t="n"/>
    </row>
    <row r="27">
      <c r="A27" t="inlineStr">
        <is>
          <t>Pretax Income</t>
        </is>
      </c>
      <c r="B27" s="3" t="n">
        <v>605068000</v>
      </c>
      <c r="C27" s="3" t="n">
        <v>120722000</v>
      </c>
      <c r="D27" s="3" t="n">
        <v>165393000</v>
      </c>
      <c r="E27" s="3" t="n">
        <v>243019000</v>
      </c>
      <c r="F27" s="3" t="n"/>
    </row>
    <row r="28">
      <c r="A28" t="inlineStr">
        <is>
          <t>Other Income Expense</t>
        </is>
      </c>
      <c r="B28" s="3" t="n">
        <v>60736000</v>
      </c>
      <c r="C28" s="3" t="n">
        <v>-94476000</v>
      </c>
      <c r="D28" s="3" t="n">
        <v>-56153000</v>
      </c>
      <c r="E28" s="3" t="n">
        <v>-7465000</v>
      </c>
      <c r="F28" s="3" t="n"/>
    </row>
    <row r="29">
      <c r="A29" t="inlineStr">
        <is>
          <t>Other Non Operating Income Expenses</t>
        </is>
      </c>
      <c r="B29" s="3" t="n">
        <v>3413000</v>
      </c>
      <c r="C29" s="3" t="n">
        <v>2205000</v>
      </c>
      <c r="D29" s="3" t="n">
        <v>-2138000</v>
      </c>
      <c r="E29" s="3" t="n">
        <v>1855000</v>
      </c>
      <c r="F29" s="3" t="n"/>
    </row>
    <row r="30">
      <c r="A30" t="inlineStr">
        <is>
          <t>Special Income Charges</t>
        </is>
      </c>
      <c r="B30" s="3" t="n">
        <v>60329000</v>
      </c>
      <c r="C30" s="3" t="n">
        <v>-53396000</v>
      </c>
      <c r="D30" s="3" t="n">
        <v>-68274000</v>
      </c>
      <c r="E30" s="3" t="n">
        <v>-8300000</v>
      </c>
      <c r="F30" s="3" t="n"/>
    </row>
    <row r="31">
      <c r="A31" t="inlineStr">
        <is>
          <t>Other Special Charges</t>
        </is>
      </c>
      <c r="B31" s="3" t="n"/>
      <c r="C31" s="3" t="n">
        <v>314000</v>
      </c>
      <c r="D31" s="3" t="n">
        <v>434000</v>
      </c>
      <c r="E31" s="3" t="n">
        <v>2341000</v>
      </c>
      <c r="F31" s="3" t="n">
        <v>5921000</v>
      </c>
    </row>
    <row r="32">
      <c r="A32" t="inlineStr">
        <is>
          <t>Restructuring And Mergern Acquisition</t>
        </is>
      </c>
      <c r="B32" s="3" t="n">
        <v>-60329000</v>
      </c>
      <c r="C32" s="3" t="n">
        <v>53396000</v>
      </c>
      <c r="D32" s="3" t="n">
        <v>68274000</v>
      </c>
      <c r="E32" s="3" t="n">
        <v>5959000</v>
      </c>
      <c r="F32" s="3" t="n"/>
    </row>
    <row r="33">
      <c r="A33" t="inlineStr">
        <is>
          <t>Gain On Sale Of Security</t>
        </is>
      </c>
      <c r="B33" s="3" t="n">
        <v>-3006000</v>
      </c>
      <c r="C33" s="3" t="n">
        <v>-43285000</v>
      </c>
      <c r="D33" s="3" t="n">
        <v>14259000</v>
      </c>
      <c r="E33" s="3" t="n">
        <v>-1020000</v>
      </c>
      <c r="F33" s="3" t="n"/>
    </row>
    <row r="34">
      <c r="A34" t="inlineStr">
        <is>
          <t>Net Non Operating Interest Income Expense</t>
        </is>
      </c>
      <c r="B34" s="3" t="n">
        <v>7141000</v>
      </c>
      <c r="C34" s="3" t="n">
        <v>-4189000</v>
      </c>
      <c r="D34" s="3" t="n">
        <v>20130000</v>
      </c>
      <c r="E34" s="3" t="n">
        <v>14233000</v>
      </c>
      <c r="F34" s="3" t="n"/>
    </row>
    <row r="35">
      <c r="A35" t="inlineStr">
        <is>
          <t>Total Other Finance Cost</t>
        </is>
      </c>
      <c r="B35" s="3" t="n">
        <v>-7141000</v>
      </c>
      <c r="C35" s="3" t="n">
        <v>4189000</v>
      </c>
      <c r="D35" s="3" t="n">
        <v>-20130000</v>
      </c>
      <c r="E35" s="3" t="n">
        <v>-14233000</v>
      </c>
      <c r="F35" s="3" t="n"/>
    </row>
    <row r="36">
      <c r="A36" t="inlineStr">
        <is>
          <t>Operating Income</t>
        </is>
      </c>
      <c r="B36" s="3" t="n">
        <v>537191000</v>
      </c>
      <c r="C36" s="3" t="n">
        <v>219387000</v>
      </c>
      <c r="D36" s="3" t="n">
        <v>201416000</v>
      </c>
      <c r="E36" s="3" t="n">
        <v>236251000</v>
      </c>
      <c r="F36" s="3" t="n"/>
    </row>
    <row r="37">
      <c r="A37" t="inlineStr">
        <is>
          <t>Operating Expense</t>
        </is>
      </c>
      <c r="B37" s="3" t="n">
        <v>1443938000</v>
      </c>
      <c r="C37" s="3" t="n">
        <v>1264489000</v>
      </c>
      <c r="D37" s="3" t="n">
        <v>818886000</v>
      </c>
      <c r="E37" s="3" t="n">
        <v>522867000</v>
      </c>
      <c r="F37" s="3" t="n"/>
    </row>
    <row r="38">
      <c r="A38" t="inlineStr">
        <is>
          <t>Depreciation Amortization Depletion Income Statement</t>
        </is>
      </c>
      <c r="B38" s="3" t="n">
        <v>118194000</v>
      </c>
      <c r="C38" s="3" t="n">
        <v>119373000</v>
      </c>
      <c r="D38" s="3" t="n">
        <v>51032000</v>
      </c>
      <c r="E38" s="3" t="n">
        <v>17735000</v>
      </c>
      <c r="F38" s="3" t="n"/>
    </row>
    <row r="39">
      <c r="A39" t="inlineStr">
        <is>
          <t>Depreciation And Amortization In Income Statement</t>
        </is>
      </c>
      <c r="B39" s="3" t="n">
        <v>118194000</v>
      </c>
      <c r="C39" s="3" t="n">
        <v>119373000</v>
      </c>
      <c r="D39" s="3" t="n">
        <v>51032000</v>
      </c>
      <c r="E39" s="3" t="n">
        <v>17735000</v>
      </c>
      <c r="F39" s="3" t="n"/>
    </row>
    <row r="40">
      <c r="A40" t="inlineStr">
        <is>
          <t>Amortization</t>
        </is>
      </c>
      <c r="B40" s="3" t="n">
        <v>118194000</v>
      </c>
      <c r="C40" s="3" t="n">
        <v>119373000</v>
      </c>
      <c r="D40" s="3" t="n">
        <v>51032000</v>
      </c>
      <c r="E40" s="3" t="n">
        <v>17735000</v>
      </c>
      <c r="F40" s="3" t="n"/>
    </row>
    <row r="41">
      <c r="A41" t="inlineStr">
        <is>
          <t>Amortization Of Intangibles Income Statement</t>
        </is>
      </c>
      <c r="B41" s="3" t="n">
        <v>118194000</v>
      </c>
      <c r="C41" s="3" t="n">
        <v>119373000</v>
      </c>
      <c r="D41" s="3" t="n">
        <v>51032000</v>
      </c>
      <c r="E41" s="3" t="n">
        <v>17735000</v>
      </c>
      <c r="F41" s="3" t="n"/>
    </row>
    <row r="42">
      <c r="A42" t="inlineStr">
        <is>
          <t>Research And Development</t>
        </is>
      </c>
      <c r="B42" s="3" t="n">
        <v>147246000</v>
      </c>
      <c r="C42" s="3" t="n">
        <v>163754000</v>
      </c>
      <c r="D42" s="3" t="n">
        <v>124010000</v>
      </c>
      <c r="E42" s="3" t="n">
        <v>73015000</v>
      </c>
      <c r="F42" s="3" t="n"/>
    </row>
    <row r="43">
      <c r="A43" t="inlineStr">
        <is>
          <t>Selling General And Administration</t>
        </is>
      </c>
      <c r="B43" s="3" t="n">
        <v>1178498000</v>
      </c>
      <c r="C43" s="3" t="n">
        <v>981362000</v>
      </c>
      <c r="D43" s="3" t="n">
        <v>643844000</v>
      </c>
      <c r="E43" s="3" t="n">
        <v>432117000</v>
      </c>
      <c r="F43" s="3" t="n"/>
    </row>
    <row r="44">
      <c r="A44" t="inlineStr">
        <is>
          <t>Gross Profit</t>
        </is>
      </c>
      <c r="B44" s="3" t="n">
        <v>1981129000</v>
      </c>
      <c r="C44" s="3" t="n">
        <v>1483876000</v>
      </c>
      <c r="D44" s="3" t="n">
        <v>1020302000</v>
      </c>
      <c r="E44" s="3" t="n">
        <v>759118000</v>
      </c>
      <c r="F44" s="3" t="n"/>
    </row>
    <row r="45">
      <c r="A45" t="inlineStr">
        <is>
          <t>Cost Of Revenue</t>
        </is>
      </c>
      <c r="B45" s="3" t="n">
        <v>957802000</v>
      </c>
      <c r="C45" s="3" t="n">
        <v>1035479000</v>
      </c>
      <c r="D45" s="3" t="n">
        <v>548174000</v>
      </c>
      <c r="E45" s="3" t="n">
        <v>263725000</v>
      </c>
      <c r="F45" s="3" t="n"/>
    </row>
    <row r="46">
      <c r="A46" t="inlineStr">
        <is>
          <t>Total Revenue</t>
        </is>
      </c>
      <c r="B46" s="3" t="n">
        <v>2938931000</v>
      </c>
      <c r="C46" s="3" t="n">
        <v>2519355000</v>
      </c>
      <c r="D46" s="3" t="n">
        <v>1568476000</v>
      </c>
      <c r="E46" s="3" t="n">
        <v>1022843000</v>
      </c>
      <c r="F46" s="3" t="n"/>
    </row>
    <row r="47">
      <c r="A47" t="inlineStr">
        <is>
          <t>Operating Revenue</t>
        </is>
      </c>
      <c r="B47" s="3" t="n">
        <v>2938931000</v>
      </c>
      <c r="C47" s="3" t="n">
        <v>2519355000</v>
      </c>
      <c r="D47" s="3" t="n">
        <v>1568476000</v>
      </c>
      <c r="E47" s="3" t="n">
        <v>1022843000</v>
      </c>
      <c r="F47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-2630056</v>
      </c>
      <c r="C2" s="3" t="n">
        <v>-2670421.371718</v>
      </c>
      <c r="D2" s="3" t="n">
        <v>1042956</v>
      </c>
      <c r="E2" s="3" t="n">
        <v>13418160</v>
      </c>
      <c r="F2" s="3" t="n">
        <v>873936</v>
      </c>
      <c r="G2" s="3" t="n"/>
    </row>
    <row r="3">
      <c r="A3" t="inlineStr">
        <is>
          <t>Tax Rate For Calcs</t>
        </is>
      </c>
      <c r="B3" s="3" t="n">
        <v>0.209</v>
      </c>
      <c r="C3" s="3" t="n">
        <v>0.169228</v>
      </c>
      <c r="D3" s="3" t="n">
        <v>0.174</v>
      </c>
      <c r="E3" s="3" t="n">
        <v>0.21</v>
      </c>
      <c r="F3" s="3" t="n">
        <v>0.272</v>
      </c>
      <c r="G3" s="3" t="n"/>
    </row>
    <row r="4">
      <c r="A4" t="inlineStr">
        <is>
          <t>Normalized EBITDA</t>
        </is>
      </c>
      <c r="B4" s="3" t="n">
        <v>244417000</v>
      </c>
      <c r="C4" s="3" t="n">
        <v>266101000</v>
      </c>
      <c r="D4" s="3" t="n">
        <v>200140000</v>
      </c>
      <c r="E4" s="3" t="n">
        <v>129968000</v>
      </c>
      <c r="F4" s="3" t="n">
        <v>160501000</v>
      </c>
      <c r="G4" s="3" t="n"/>
    </row>
    <row r="5">
      <c r="A5" t="inlineStr">
        <is>
          <t>Total Unusual Items</t>
        </is>
      </c>
      <c r="B5" s="3" t="n">
        <v>-12584000</v>
      </c>
      <c r="C5" s="3" t="n">
        <v>-15780000</v>
      </c>
      <c r="D5" s="3" t="n">
        <v>5994000</v>
      </c>
      <c r="E5" s="3" t="n">
        <v>63896000</v>
      </c>
      <c r="F5" s="3" t="n">
        <v>3213000</v>
      </c>
      <c r="G5" s="3" t="n"/>
    </row>
    <row r="6">
      <c r="A6" t="inlineStr">
        <is>
          <t>Total Unusual Items Excluding Goodwill</t>
        </is>
      </c>
      <c r="B6" s="3" t="n">
        <v>-12584000</v>
      </c>
      <c r="C6" s="3" t="n">
        <v>-15780000</v>
      </c>
      <c r="D6" s="3" t="n">
        <v>5994000</v>
      </c>
      <c r="E6" s="3" t="n">
        <v>63896000</v>
      </c>
      <c r="F6" s="3" t="n">
        <v>3213000</v>
      </c>
      <c r="G6" s="3" t="n"/>
    </row>
    <row r="7">
      <c r="A7" t="inlineStr">
        <is>
          <t>Net Income From Continuing Operation Net Minority Interest</t>
        </is>
      </c>
      <c r="B7" s="3" t="n">
        <v>124302000</v>
      </c>
      <c r="C7" s="3" t="n">
        <v>140594000</v>
      </c>
      <c r="D7" s="3" t="n">
        <v>118966000</v>
      </c>
      <c r="E7" s="3" t="n">
        <v>202846000</v>
      </c>
      <c r="F7" s="3" t="n">
        <v>75462000</v>
      </c>
      <c r="G7" s="3" t="n"/>
    </row>
    <row r="8">
      <c r="A8" t="inlineStr">
        <is>
          <t>Reconciled Depreciation</t>
        </is>
      </c>
      <c r="B8" s="3" t="n">
        <v>69856000</v>
      </c>
      <c r="C8" s="3" t="n">
        <v>69011000</v>
      </c>
      <c r="D8" s="3" t="n">
        <v>71126000</v>
      </c>
      <c r="E8" s="3" t="n">
        <v>71052000</v>
      </c>
      <c r="F8" s="3" t="n">
        <v>65653000</v>
      </c>
      <c r="G8" s="3" t="n"/>
    </row>
    <row r="9">
      <c r="A9" t="inlineStr">
        <is>
          <t>Reconciled Cost Of Revenue</t>
        </is>
      </c>
      <c r="B9" s="3" t="n">
        <v>193736000</v>
      </c>
      <c r="C9" s="3" t="n">
        <v>221456000</v>
      </c>
      <c r="D9" s="3" t="n">
        <v>211250000</v>
      </c>
      <c r="E9" s="3" t="n">
        <v>207902000</v>
      </c>
      <c r="F9" s="3" t="n">
        <v>158546000</v>
      </c>
      <c r="G9" s="3" t="n"/>
    </row>
    <row r="10">
      <c r="A10" t="inlineStr">
        <is>
          <t>EBITDA</t>
        </is>
      </c>
      <c r="B10" s="3" t="n">
        <v>231833000</v>
      </c>
      <c r="C10" s="3" t="n">
        <v>250321000</v>
      </c>
      <c r="D10" s="3" t="n">
        <v>206134000</v>
      </c>
      <c r="E10" s="3" t="n">
        <v>193864000</v>
      </c>
      <c r="F10" s="3" t="n">
        <v>163714000</v>
      </c>
      <c r="G10" s="3" t="n"/>
    </row>
    <row r="11">
      <c r="A11" t="inlineStr">
        <is>
          <t>EBIT</t>
        </is>
      </c>
      <c r="B11" s="3" t="n">
        <v>161977000</v>
      </c>
      <c r="C11" s="3" t="n">
        <v>181310000</v>
      </c>
      <c r="D11" s="3" t="n">
        <v>135008000</v>
      </c>
      <c r="E11" s="3" t="n">
        <v>122812000</v>
      </c>
      <c r="F11" s="3" t="n">
        <v>98061000</v>
      </c>
      <c r="G11" s="3" t="n"/>
    </row>
    <row r="12">
      <c r="A12" t="inlineStr">
        <is>
          <t>Net Interest Income</t>
        </is>
      </c>
      <c r="B12" s="3" t="n">
        <v>5434000</v>
      </c>
      <c r="C12" s="3" t="n">
        <v>3312000</v>
      </c>
      <c r="D12" s="3" t="n">
        <v>1455000</v>
      </c>
      <c r="E12" s="3" t="n">
        <v>693000</v>
      </c>
      <c r="F12" s="3" t="n">
        <v>1681000</v>
      </c>
      <c r="G12" s="3" t="n"/>
    </row>
    <row r="13">
      <c r="A13" t="inlineStr">
        <is>
          <t>Normalized Income</t>
        </is>
      </c>
      <c r="B13" s="3" t="n">
        <v>134255944</v>
      </c>
      <c r="C13" s="3" t="n">
        <v>153703578.628282</v>
      </c>
      <c r="D13" s="3" t="n">
        <v>114014956</v>
      </c>
      <c r="E13" s="3" t="n">
        <v>152368160</v>
      </c>
      <c r="F13" s="3" t="n">
        <v>73122936</v>
      </c>
      <c r="G13" s="3" t="n"/>
    </row>
    <row r="14">
      <c r="A14" t="inlineStr">
        <is>
          <t>Net Income From Continuing And Discontinued Operation</t>
        </is>
      </c>
      <c r="B14" s="3" t="n">
        <v>124302000</v>
      </c>
      <c r="C14" s="3" t="n">
        <v>140594000</v>
      </c>
      <c r="D14" s="3" t="n">
        <v>118966000</v>
      </c>
      <c r="E14" s="3" t="n">
        <v>202846000</v>
      </c>
      <c r="F14" s="3" t="n">
        <v>75462000</v>
      </c>
      <c r="G14" s="3" t="n"/>
    </row>
    <row r="15">
      <c r="A15" t="inlineStr">
        <is>
          <t>Total Expenses</t>
        </is>
      </c>
      <c r="B15" s="3" t="n">
        <v>597877000</v>
      </c>
      <c r="C15" s="3" t="n">
        <v>645110000</v>
      </c>
      <c r="D15" s="3" t="n">
        <v>634040000</v>
      </c>
      <c r="E15" s="3" t="n">
        <v>622530000</v>
      </c>
      <c r="F15" s="3" t="n">
        <v>500060000</v>
      </c>
      <c r="G15" s="3" t="n"/>
    </row>
    <row r="16">
      <c r="A16" t="inlineStr">
        <is>
          <t>Total Operating Income As Reported</t>
        </is>
      </c>
      <c r="B16" s="3" t="n">
        <v>150388000</v>
      </c>
      <c r="C16" s="3" t="n">
        <v>169340000</v>
      </c>
      <c r="D16" s="3" t="n">
        <v>137363000</v>
      </c>
      <c r="E16" s="3" t="n">
        <v>76109000</v>
      </c>
      <c r="F16" s="3" t="n">
        <v>97004000</v>
      </c>
      <c r="G16" s="3" t="n"/>
    </row>
    <row r="17">
      <c r="A17" t="inlineStr">
        <is>
          <t>Diluted Average Shares</t>
        </is>
      </c>
      <c r="B17" s="3" t="n">
        <v>138191000</v>
      </c>
      <c r="C17" s="3" t="n">
        <v>136574000</v>
      </c>
      <c r="D17" s="3" t="n">
        <v>135394000</v>
      </c>
      <c r="E17" s="3" t="n">
        <v>136499000</v>
      </c>
      <c r="F17" s="3" t="n">
        <v>139774000</v>
      </c>
      <c r="G17" s="3" t="n"/>
    </row>
    <row r="18">
      <c r="A18" t="inlineStr">
        <is>
          <t>Basic Average Shares</t>
        </is>
      </c>
      <c r="B18" s="3" t="n">
        <v>135364000</v>
      </c>
      <c r="C18" s="3" t="n">
        <v>134411000</v>
      </c>
      <c r="D18" s="3" t="n">
        <v>134502000</v>
      </c>
      <c r="E18" s="3" t="n">
        <v>135205000</v>
      </c>
      <c r="F18" s="3" t="n">
        <v>136757000</v>
      </c>
      <c r="G18" s="3" t="n"/>
    </row>
    <row r="19">
      <c r="A19" t="inlineStr">
        <is>
          <t>Diluted EPS</t>
        </is>
      </c>
      <c r="B19" s="3" t="n">
        <v>0.9</v>
      </c>
      <c r="C19" s="3" t="n">
        <v>1.03</v>
      </c>
      <c r="D19" s="3" t="n">
        <v>0.88</v>
      </c>
      <c r="E19" s="3" t="n">
        <v>1.49</v>
      </c>
      <c r="F19" s="3" t="n">
        <v>0.54</v>
      </c>
      <c r="G19" s="3" t="n"/>
    </row>
    <row r="20">
      <c r="A20" t="inlineStr">
        <is>
          <t>Basic EPS</t>
        </is>
      </c>
      <c r="B20" s="3" t="n">
        <v>0.92</v>
      </c>
      <c r="C20" s="3" t="n">
        <v>1.05</v>
      </c>
      <c r="D20" s="3" t="n">
        <v>0.88</v>
      </c>
      <c r="E20" s="3" t="n">
        <v>1.5</v>
      </c>
      <c r="F20" s="3" t="n">
        <v>0.55</v>
      </c>
      <c r="G20" s="3" t="n"/>
    </row>
    <row r="21">
      <c r="A21" t="inlineStr">
        <is>
          <t>Diluted NI Availto Com Stockholders</t>
        </is>
      </c>
      <c r="B21" s="3" t="n">
        <v>124302000</v>
      </c>
      <c r="C21" s="3" t="n">
        <v>140594000</v>
      </c>
      <c r="D21" s="3" t="n">
        <v>118966000</v>
      </c>
      <c r="E21" s="3" t="n">
        <v>202846000</v>
      </c>
      <c r="F21" s="3" t="n">
        <v>75462000</v>
      </c>
      <c r="G21" s="3" t="n"/>
    </row>
    <row r="22">
      <c r="A22" t="inlineStr">
        <is>
          <t>Net Income Common Stockholders</t>
        </is>
      </c>
      <c r="B22" s="3" t="n">
        <v>124302000</v>
      </c>
      <c r="C22" s="3" t="n">
        <v>140594000</v>
      </c>
      <c r="D22" s="3" t="n">
        <v>118966000</v>
      </c>
      <c r="E22" s="3" t="n">
        <v>202846000</v>
      </c>
      <c r="F22" s="3" t="n">
        <v>75462000</v>
      </c>
      <c r="G22" s="3" t="n"/>
    </row>
    <row r="23">
      <c r="A23" t="inlineStr">
        <is>
          <t>Net Income</t>
        </is>
      </c>
      <c r="B23" s="3" t="n">
        <v>124302000</v>
      </c>
      <c r="C23" s="3" t="n">
        <v>140594000</v>
      </c>
      <c r="D23" s="3" t="n">
        <v>118966000</v>
      </c>
      <c r="E23" s="3" t="n">
        <v>202846000</v>
      </c>
      <c r="F23" s="3" t="n">
        <v>75462000</v>
      </c>
      <c r="G23" s="3" t="n"/>
    </row>
    <row r="24">
      <c r="A24" t="inlineStr">
        <is>
          <t>Net Income Including Noncontrolling Interests</t>
        </is>
      </c>
      <c r="B24" s="3" t="n">
        <v>124302000</v>
      </c>
      <c r="C24" s="3" t="n">
        <v>140594000</v>
      </c>
      <c r="D24" s="3" t="n">
        <v>118966000</v>
      </c>
      <c r="E24" s="3" t="n">
        <v>202846000</v>
      </c>
      <c r="F24" s="3" t="n">
        <v>75462000</v>
      </c>
      <c r="G24" s="3" t="n"/>
    </row>
    <row r="25">
      <c r="A25" t="inlineStr">
        <is>
          <t>Net Income Continuous Operations</t>
        </is>
      </c>
      <c r="B25" s="3" t="n">
        <v>124302000</v>
      </c>
      <c r="C25" s="3" t="n">
        <v>140594000</v>
      </c>
      <c r="D25" s="3" t="n">
        <v>118966000</v>
      </c>
      <c r="E25" s="3" t="n">
        <v>202846000</v>
      </c>
      <c r="F25" s="3" t="n">
        <v>75462000</v>
      </c>
      <c r="G25" s="3" t="n"/>
    </row>
    <row r="26">
      <c r="A26" t="inlineStr">
        <is>
          <t>Tax Provision</t>
        </is>
      </c>
      <c r="B26" s="3" t="n">
        <v>32772000</v>
      </c>
      <c r="C26" s="3" t="n">
        <v>28639000</v>
      </c>
      <c r="D26" s="3" t="n">
        <v>25028000</v>
      </c>
      <c r="E26" s="3" t="n">
        <v>-14673000</v>
      </c>
      <c r="F26" s="3" t="n">
        <v>28206000</v>
      </c>
      <c r="G26" s="3" t="n"/>
    </row>
    <row r="27">
      <c r="A27" t="inlineStr">
        <is>
          <t>Pretax Income</t>
        </is>
      </c>
      <c r="B27" s="3" t="n">
        <v>157074000</v>
      </c>
      <c r="C27" s="3" t="n">
        <v>169233000</v>
      </c>
      <c r="D27" s="3" t="n">
        <v>143994000</v>
      </c>
      <c r="E27" s="3" t="n">
        <v>188173000</v>
      </c>
      <c r="F27" s="3" t="n">
        <v>103668000</v>
      </c>
      <c r="G27" s="3" t="n"/>
    </row>
    <row r="28">
      <c r="A28" t="inlineStr">
        <is>
          <t>Other Income Expense</t>
        </is>
      </c>
      <c r="B28" s="3" t="n">
        <v>-10337000</v>
      </c>
      <c r="C28" s="3" t="n">
        <v>-15389000</v>
      </c>
      <c r="D28" s="3" t="n">
        <v>7531000</v>
      </c>
      <c r="E28" s="3" t="n">
        <v>64668000</v>
      </c>
      <c r="F28" s="3" t="n">
        <v>3926000</v>
      </c>
      <c r="G28" s="3" t="n"/>
    </row>
    <row r="29">
      <c r="A29" t="inlineStr">
        <is>
          <t>Other Non Operating Income Expenses</t>
        </is>
      </c>
      <c r="B29" s="3" t="n">
        <v>2247000</v>
      </c>
      <c r="C29" s="3" t="n">
        <v>391000</v>
      </c>
      <c r="D29" s="3" t="n">
        <v>1537000</v>
      </c>
      <c r="E29" s="3" t="n">
        <v>772000</v>
      </c>
      <c r="F29" s="3" t="n">
        <v>713000</v>
      </c>
      <c r="G29" s="3" t="n"/>
    </row>
    <row r="30">
      <c r="A30" t="inlineStr">
        <is>
          <t>Special Income Charges</t>
        </is>
      </c>
      <c r="B30" s="3" t="n">
        <v>-10471000</v>
      </c>
      <c r="C30" s="3" t="n">
        <v>-8627000</v>
      </c>
      <c r="D30" s="3" t="n">
        <v>6155000</v>
      </c>
      <c r="E30" s="3" t="n">
        <v>63858000</v>
      </c>
      <c r="F30" s="3" t="n">
        <v>-1057000</v>
      </c>
      <c r="G30" s="3" t="n"/>
    </row>
    <row r="31">
      <c r="A31" t="inlineStr">
        <is>
          <t>Other Special Charges</t>
        </is>
      </c>
      <c r="B31" s="3" t="n"/>
      <c r="C31" s="3" t="n"/>
      <c r="D31" s="3" t="n"/>
      <c r="E31" s="3" t="n"/>
      <c r="F31" s="3" t="n"/>
      <c r="G31" s="3" t="n">
        <v>-314000</v>
      </c>
    </row>
    <row r="32">
      <c r="A32" t="inlineStr">
        <is>
          <t>Restructuring And Mergern Acquisition</t>
        </is>
      </c>
      <c r="B32" s="3" t="n">
        <v>10471000</v>
      </c>
      <c r="C32" s="3" t="n">
        <v>8627000</v>
      </c>
      <c r="D32" s="3" t="n">
        <v>-6155000</v>
      </c>
      <c r="E32" s="3" t="n">
        <v>-63858000</v>
      </c>
      <c r="F32" s="3" t="n">
        <v>1057000</v>
      </c>
      <c r="G32" s="3" t="n"/>
    </row>
    <row r="33">
      <c r="A33" t="inlineStr">
        <is>
          <t>Gain On Sale Of Security</t>
        </is>
      </c>
      <c r="B33" s="3" t="n">
        <v>-2113000</v>
      </c>
      <c r="C33" s="3" t="n">
        <v>-7153000</v>
      </c>
      <c r="D33" s="3" t="n">
        <v>-161000</v>
      </c>
      <c r="E33" s="3" t="n">
        <v>38000</v>
      </c>
      <c r="F33" s="3" t="n">
        <v>4270000</v>
      </c>
      <c r="G33" s="3" t="n"/>
    </row>
    <row r="34">
      <c r="A34" t="inlineStr">
        <is>
          <t>Net Non Operating Interest Income Expense</t>
        </is>
      </c>
      <c r="B34" s="3" t="n">
        <v>5434000</v>
      </c>
      <c r="C34" s="3" t="n">
        <v>3312000</v>
      </c>
      <c r="D34" s="3" t="n">
        <v>1455000</v>
      </c>
      <c r="E34" s="3" t="n">
        <v>693000</v>
      </c>
      <c r="F34" s="3" t="n">
        <v>1681000</v>
      </c>
      <c r="G34" s="3" t="n"/>
    </row>
    <row r="35">
      <c r="A35" t="inlineStr">
        <is>
          <t>Total Other Finance Cost</t>
        </is>
      </c>
      <c r="B35" s="3" t="n">
        <v>-5434000</v>
      </c>
      <c r="C35" s="3" t="n">
        <v>-3312000</v>
      </c>
      <c r="D35" s="3" t="n">
        <v>-1455000</v>
      </c>
      <c r="E35" s="3" t="n">
        <v>-693000</v>
      </c>
      <c r="F35" s="3" t="n">
        <v>-1681000</v>
      </c>
      <c r="G35" s="3" t="n"/>
    </row>
    <row r="36">
      <c r="A36" t="inlineStr">
        <is>
          <t>Operating Income</t>
        </is>
      </c>
      <c r="B36" s="3" t="n">
        <v>161977000</v>
      </c>
      <c r="C36" s="3" t="n">
        <v>181310000</v>
      </c>
      <c r="D36" s="3" t="n">
        <v>135008000</v>
      </c>
      <c r="E36" s="3" t="n">
        <v>122812000</v>
      </c>
      <c r="F36" s="3" t="n">
        <v>98061000</v>
      </c>
      <c r="G36" s="3" t="n"/>
    </row>
    <row r="37">
      <c r="A37" t="inlineStr">
        <is>
          <t>Operating Expense</t>
        </is>
      </c>
      <c r="B37" s="3" t="n">
        <v>363811000</v>
      </c>
      <c r="C37" s="3" t="n">
        <v>384003000</v>
      </c>
      <c r="D37" s="3" t="n">
        <v>381507000</v>
      </c>
      <c r="E37" s="3" t="n">
        <v>373765000</v>
      </c>
      <c r="F37" s="3" t="n">
        <v>304663000</v>
      </c>
      <c r="G37" s="3" t="n"/>
    </row>
    <row r="38">
      <c r="A38" t="inlineStr">
        <is>
          <t>Depreciation Amortization Depletion Income Statement</t>
        </is>
      </c>
      <c r="B38" s="3" t="n">
        <v>29526000</v>
      </c>
      <c r="C38" s="3" t="n">
        <v>29360000</v>
      </c>
      <c r="D38" s="3" t="n">
        <v>29843000</v>
      </c>
      <c r="E38" s="3" t="n">
        <v>30189000</v>
      </c>
      <c r="F38" s="3" t="n">
        <v>28802000</v>
      </c>
      <c r="G38" s="3" t="n"/>
    </row>
    <row r="39">
      <c r="A39" t="inlineStr">
        <is>
          <t>Depreciation And Amortization In Income Statement</t>
        </is>
      </c>
      <c r="B39" s="3" t="n">
        <v>29526000</v>
      </c>
      <c r="C39" s="3" t="n">
        <v>29360000</v>
      </c>
      <c r="D39" s="3" t="n">
        <v>29843000</v>
      </c>
      <c r="E39" s="3" t="n">
        <v>30189000</v>
      </c>
      <c r="F39" s="3" t="n">
        <v>28802000</v>
      </c>
      <c r="G39" s="3" t="n"/>
    </row>
    <row r="40">
      <c r="A40" t="inlineStr">
        <is>
          <t>Amortization</t>
        </is>
      </c>
      <c r="B40" s="3" t="n">
        <v>29526000</v>
      </c>
      <c r="C40" s="3" t="n">
        <v>29360000</v>
      </c>
      <c r="D40" s="3" t="n">
        <v>29843000</v>
      </c>
      <c r="E40" s="3" t="n">
        <v>30189000</v>
      </c>
      <c r="F40" s="3" t="n">
        <v>28802000</v>
      </c>
      <c r="G40" s="3" t="n"/>
    </row>
    <row r="41">
      <c r="A41" t="inlineStr">
        <is>
          <t>Amortization Of Intangibles Income Statement</t>
        </is>
      </c>
      <c r="B41" s="3" t="n">
        <v>29526000</v>
      </c>
      <c r="C41" s="3" t="n">
        <v>29360000</v>
      </c>
      <c r="D41" s="3" t="n">
        <v>29843000</v>
      </c>
      <c r="E41" s="3" t="n">
        <v>30189000</v>
      </c>
      <c r="F41" s="3" t="n">
        <v>28802000</v>
      </c>
      <c r="G41" s="3" t="n"/>
    </row>
    <row r="42">
      <c r="A42" t="inlineStr">
        <is>
          <t>Research And Development</t>
        </is>
      </c>
      <c r="B42" s="3" t="n">
        <v>36510000</v>
      </c>
      <c r="C42" s="3" t="n">
        <v>36163000</v>
      </c>
      <c r="D42" s="3" t="n">
        <v>38067000</v>
      </c>
      <c r="E42" s="3" t="n">
        <v>39954000</v>
      </c>
      <c r="F42" s="3" t="n">
        <v>33062000</v>
      </c>
      <c r="G42" s="3" t="n"/>
    </row>
    <row r="43">
      <c r="A43" t="inlineStr">
        <is>
          <t>Selling General And Administration</t>
        </is>
      </c>
      <c r="B43" s="3" t="n">
        <v>297775000</v>
      </c>
      <c r="C43" s="3" t="n">
        <v>318480000</v>
      </c>
      <c r="D43" s="3" t="n">
        <v>313597000</v>
      </c>
      <c r="E43" s="3" t="n">
        <v>303622000</v>
      </c>
      <c r="F43" s="3" t="n">
        <v>242799000</v>
      </c>
      <c r="G43" s="3" t="n"/>
    </row>
    <row r="44">
      <c r="A44" t="inlineStr">
        <is>
          <t>Gross Profit</t>
        </is>
      </c>
      <c r="B44" s="3" t="n">
        <v>525788000</v>
      </c>
      <c r="C44" s="3" t="n">
        <v>565313000</v>
      </c>
      <c r="D44" s="3" t="n">
        <v>516515000</v>
      </c>
      <c r="E44" s="3" t="n">
        <v>496577000</v>
      </c>
      <c r="F44" s="3" t="n">
        <v>402724000</v>
      </c>
      <c r="G44" s="3" t="n"/>
    </row>
    <row r="45">
      <c r="A45" t="inlineStr">
        <is>
          <t>Cost Of Revenue</t>
        </is>
      </c>
      <c r="B45" s="3" t="n">
        <v>234066000</v>
      </c>
      <c r="C45" s="3" t="n">
        <v>261107000</v>
      </c>
      <c r="D45" s="3" t="n">
        <v>252533000</v>
      </c>
      <c r="E45" s="3" t="n">
        <v>248765000</v>
      </c>
      <c r="F45" s="3" t="n">
        <v>195397000</v>
      </c>
      <c r="G45" s="3" t="n"/>
    </row>
    <row r="46">
      <c r="A46" t="inlineStr">
        <is>
          <t>Total Revenue</t>
        </is>
      </c>
      <c r="B46" s="3" t="n">
        <v>759854000</v>
      </c>
      <c r="C46" s="3" t="n">
        <v>826420000</v>
      </c>
      <c r="D46" s="3" t="n">
        <v>769048000</v>
      </c>
      <c r="E46" s="3" t="n">
        <v>745342000</v>
      </c>
      <c r="F46" s="3" t="n">
        <v>598121000</v>
      </c>
      <c r="G46" s="3" t="n"/>
    </row>
    <row r="47">
      <c r="A47" t="inlineStr">
        <is>
          <t>Operating Revenue</t>
        </is>
      </c>
      <c r="B47" s="3" t="n">
        <v>759854000</v>
      </c>
      <c r="C47" s="3" t="n">
        <v>826420000</v>
      </c>
      <c r="D47" s="3" t="n">
        <v>769048000</v>
      </c>
      <c r="E47" s="3" t="n">
        <v>745342000</v>
      </c>
      <c r="F47" s="3" t="n">
        <v>598121000</v>
      </c>
      <c r="G4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112625126</v>
      </c>
      <c r="C2" s="3" t="n">
        <v>137420316</v>
      </c>
      <c r="D2" s="3" t="n">
        <v>136335662</v>
      </c>
      <c r="E2" s="3" t="n">
        <v>100192379</v>
      </c>
      <c r="F2" s="3" t="n"/>
    </row>
    <row r="3">
      <c r="A3" t="inlineStr">
        <is>
          <t>Share Issued</t>
        </is>
      </c>
      <c r="B3" s="3" t="n">
        <v>112625126</v>
      </c>
      <c r="C3" s="3" t="n">
        <v>137420316</v>
      </c>
      <c r="D3" s="3" t="n">
        <v>136335662</v>
      </c>
      <c r="E3" s="3" t="n">
        <v>100192379</v>
      </c>
      <c r="F3" s="3" t="n"/>
    </row>
    <row r="4">
      <c r="A4" t="inlineStr">
        <is>
          <t>Total Debt</t>
        </is>
      </c>
      <c r="B4" s="3" t="n">
        <v>118656000</v>
      </c>
      <c r="C4" s="3" t="n">
        <v>537188000</v>
      </c>
      <c r="D4" s="3" t="n">
        <v>520404000</v>
      </c>
      <c r="E4" s="3" t="n">
        <v>6011000</v>
      </c>
      <c r="F4" s="3" t="n"/>
    </row>
    <row r="5">
      <c r="A5" t="inlineStr">
        <is>
          <t>Tangible Book Value</t>
        </is>
      </c>
      <c r="B5" s="3" t="n">
        <v>2393153000</v>
      </c>
      <c r="C5" s="3" t="n">
        <v>1949829000</v>
      </c>
      <c r="D5" s="3" t="n">
        <v>1638816000</v>
      </c>
      <c r="E5" s="3" t="n">
        <v>1585328000</v>
      </c>
      <c r="F5" s="3" t="n"/>
    </row>
    <row r="6">
      <c r="A6" t="inlineStr">
        <is>
          <t>Invested Capital</t>
        </is>
      </c>
      <c r="B6" s="3" t="n">
        <v>4573250000</v>
      </c>
      <c r="C6" s="3" t="n">
        <v>4620684000</v>
      </c>
      <c r="D6" s="3" t="n">
        <v>4415359000</v>
      </c>
      <c r="E6" s="3" t="n">
        <v>1846373000</v>
      </c>
      <c r="F6" s="3" t="n"/>
    </row>
    <row r="7">
      <c r="A7" t="inlineStr">
        <is>
          <t>Working Capital</t>
        </is>
      </c>
      <c r="B7" s="3" t="n">
        <v>1627112000</v>
      </c>
      <c r="C7" s="3" t="n">
        <v>1321347000</v>
      </c>
      <c r="D7" s="3" t="n">
        <v>1523027000</v>
      </c>
      <c r="E7" s="3" t="n">
        <v>824140000</v>
      </c>
      <c r="F7" s="3" t="n"/>
    </row>
    <row r="8">
      <c r="A8" t="inlineStr">
        <is>
          <t>Net Tangible Assets</t>
        </is>
      </c>
      <c r="B8" s="3" t="n">
        <v>2393153000</v>
      </c>
      <c r="C8" s="3" t="n">
        <v>1949829000</v>
      </c>
      <c r="D8" s="3" t="n">
        <v>1638816000</v>
      </c>
      <c r="E8" s="3" t="n">
        <v>1585328000</v>
      </c>
      <c r="F8" s="3" t="n"/>
    </row>
    <row r="9">
      <c r="A9" t="inlineStr">
        <is>
          <t>Capital Lease Obligations</t>
        </is>
      </c>
      <c r="B9" s="3" t="n">
        <v>118656000</v>
      </c>
      <c r="C9" s="3" t="n">
        <v>93837000</v>
      </c>
      <c r="D9" s="3" t="n">
        <v>103004000</v>
      </c>
      <c r="E9" s="3" t="n">
        <v>6011000</v>
      </c>
      <c r="F9" s="3" t="n"/>
    </row>
    <row r="10">
      <c r="A10" t="inlineStr">
        <is>
          <t>Common Stock Equity</t>
        </is>
      </c>
      <c r="B10" s="3" t="n">
        <v>4573250000</v>
      </c>
      <c r="C10" s="3" t="n">
        <v>4177333000</v>
      </c>
      <c r="D10" s="3" t="n">
        <v>3997959000</v>
      </c>
      <c r="E10" s="3" t="n">
        <v>1846373000</v>
      </c>
      <c r="F10" s="3" t="n"/>
    </row>
    <row r="11">
      <c r="A11" t="inlineStr">
        <is>
          <t>Total Capitalization</t>
        </is>
      </c>
      <c r="B11" s="3" t="n">
        <v>4573250000</v>
      </c>
      <c r="C11" s="3" t="n">
        <v>4177333000</v>
      </c>
      <c r="D11" s="3" t="n">
        <v>4415359000</v>
      </c>
      <c r="E11" s="3" t="n">
        <v>1846373000</v>
      </c>
      <c r="F11" s="3" t="n"/>
    </row>
    <row r="12">
      <c r="A12" t="inlineStr">
        <is>
          <t>Total Equity Gross Minority Interest</t>
        </is>
      </c>
      <c r="B12" s="3" t="n">
        <v>4573250000</v>
      </c>
      <c r="C12" s="3" t="n">
        <v>4177333000</v>
      </c>
      <c r="D12" s="3" t="n">
        <v>3997959000</v>
      </c>
      <c r="E12" s="3" t="n">
        <v>1846373000</v>
      </c>
      <c r="F12" s="3" t="n"/>
    </row>
    <row r="13">
      <c r="A13" t="inlineStr">
        <is>
          <t>Stockholders Equity</t>
        </is>
      </c>
      <c r="B13" s="3" t="n">
        <v>4573250000</v>
      </c>
      <c r="C13" s="3" t="n">
        <v>4177333000</v>
      </c>
      <c r="D13" s="3" t="n">
        <v>3997959000</v>
      </c>
      <c r="E13" s="3" t="n">
        <v>1846373000</v>
      </c>
      <c r="F13" s="3" t="n"/>
    </row>
    <row r="14">
      <c r="A14" t="inlineStr">
        <is>
          <t>Gains Losses Not Affecting Retained Earnings</t>
        </is>
      </c>
      <c r="B14" s="3" t="n">
        <v>15346000</v>
      </c>
      <c r="C14" s="3" t="n">
        <v>-6861000</v>
      </c>
      <c r="D14" s="3" t="n">
        <v>-10192000</v>
      </c>
      <c r="E14" s="3" t="n">
        <v>-24630000</v>
      </c>
      <c r="F14" s="3" t="n"/>
    </row>
    <row r="15">
      <c r="A15" t="inlineStr">
        <is>
          <t>Other Equity Adjustments</t>
        </is>
      </c>
      <c r="B15" s="3" t="n">
        <v>15346000</v>
      </c>
      <c r="C15" s="3" t="n">
        <v>-6861000</v>
      </c>
      <c r="D15" s="3" t="n">
        <v>-10192000</v>
      </c>
      <c r="E15" s="3" t="n">
        <v>-24630000</v>
      </c>
      <c r="F15" s="3" t="n"/>
    </row>
    <row r="16">
      <c r="A16" t="inlineStr">
        <is>
          <t>Retained Earnings</t>
        </is>
      </c>
      <c r="B16" s="3" t="n">
        <v>1387957000</v>
      </c>
      <c r="C16" s="3" t="n">
        <v>1152813000</v>
      </c>
      <c r="D16" s="3" t="n">
        <v>1137266000</v>
      </c>
      <c r="E16" s="3" t="n">
        <v>1239951000</v>
      </c>
      <c r="F16" s="3" t="n"/>
    </row>
    <row r="17">
      <c r="A17" t="inlineStr">
        <is>
          <t>Additional Paid In Capital</t>
        </is>
      </c>
      <c r="B17" s="3" t="n">
        <v>3169812000</v>
      </c>
      <c r="C17" s="3" t="n">
        <v>3031244000</v>
      </c>
      <c r="D17" s="3" t="n">
        <v>2870749000</v>
      </c>
      <c r="E17" s="3" t="n">
        <v>630952000</v>
      </c>
      <c r="F17" s="3" t="n"/>
    </row>
    <row r="18">
      <c r="A18" t="inlineStr">
        <is>
          <t>Capital Stock</t>
        </is>
      </c>
      <c r="B18" s="3" t="n">
        <v>135000</v>
      </c>
      <c r="C18" s="3" t="n">
        <v>137000</v>
      </c>
      <c r="D18" s="3" t="n">
        <v>136000</v>
      </c>
      <c r="E18" s="3" t="n">
        <v>100000</v>
      </c>
      <c r="F18" s="3" t="n"/>
    </row>
    <row r="19">
      <c r="A19" t="inlineStr">
        <is>
          <t>Common Stock</t>
        </is>
      </c>
      <c r="B19" s="3" t="n">
        <v>135000</v>
      </c>
      <c r="C19" s="3" t="n">
        <v>137000</v>
      </c>
      <c r="D19" s="3" t="n">
        <v>136000</v>
      </c>
      <c r="E19" s="3" t="n">
        <v>100000</v>
      </c>
      <c r="F19" s="3" t="n"/>
    </row>
    <row r="20">
      <c r="A20" t="inlineStr">
        <is>
          <t>Total Liabilities Net Minority Interest</t>
        </is>
      </c>
      <c r="B20" s="3" t="n">
        <v>729511000</v>
      </c>
      <c r="C20" s="3" t="n">
        <v>1074417000</v>
      </c>
      <c r="D20" s="3" t="n">
        <v>1088124000</v>
      </c>
      <c r="E20" s="3" t="n">
        <v>229753000</v>
      </c>
      <c r="F20" s="3" t="n"/>
    </row>
    <row r="21">
      <c r="A21" t="inlineStr">
        <is>
          <t>Total Non Current Liabilities Net Minority Interest</t>
        </is>
      </c>
      <c r="B21" s="3" t="n">
        <v>231012000</v>
      </c>
      <c r="C21" s="3" t="n">
        <v>218504000</v>
      </c>
      <c r="D21" s="3" t="n">
        <v>695777000</v>
      </c>
      <c r="E21" s="3" t="n">
        <v>70549000</v>
      </c>
      <c r="F21" s="3" t="n"/>
    </row>
    <row r="22">
      <c r="A22" t="inlineStr">
        <is>
          <t>Other Non Current Liabilities</t>
        </is>
      </c>
      <c r="B22" s="3" t="n">
        <v>103338000</v>
      </c>
      <c r="C22" s="3" t="n">
        <v>111027000</v>
      </c>
      <c r="D22" s="3" t="n">
        <v>102919000</v>
      </c>
      <c r="E22" s="3" t="n">
        <v>65295000</v>
      </c>
      <c r="F22" s="3" t="n"/>
    </row>
    <row r="23">
      <c r="A23" t="inlineStr">
        <is>
          <t>Non Current Deferred Liabilities</t>
        </is>
      </c>
      <c r="B23" s="3" t="n">
        <v>23756000</v>
      </c>
      <c r="C23" s="3" t="n">
        <v>23889000</v>
      </c>
      <c r="D23" s="3" t="n">
        <v>84421000</v>
      </c>
      <c r="E23" s="3" t="n">
        <v>1779000</v>
      </c>
      <c r="F23" s="3" t="n"/>
    </row>
    <row r="24">
      <c r="A24" t="inlineStr">
        <is>
          <t>Non Current Deferred Taxes Liabilities</t>
        </is>
      </c>
      <c r="B24" s="3" t="n">
        <v>23756000</v>
      </c>
      <c r="C24" s="3" t="n">
        <v>23889000</v>
      </c>
      <c r="D24" s="3" t="n">
        <v>84421000</v>
      </c>
      <c r="E24" s="3" t="n">
        <v>1779000</v>
      </c>
      <c r="F24" s="3" t="n"/>
    </row>
    <row r="25">
      <c r="A25" t="inlineStr">
        <is>
          <t>Long Term Debt And Capital Lease Obligation</t>
        </is>
      </c>
      <c r="B25" s="3" t="n">
        <v>103918000</v>
      </c>
      <c r="C25" s="3" t="n">
        <v>83588000</v>
      </c>
      <c r="D25" s="3" t="n">
        <v>508437000</v>
      </c>
      <c r="E25" s="3" t="n">
        <v>3475000</v>
      </c>
      <c r="F25" s="3" t="n"/>
    </row>
    <row r="26">
      <c r="A26" t="inlineStr">
        <is>
          <t>Long Term Capital Lease Obligation</t>
        </is>
      </c>
      <c r="B26" s="3" t="n">
        <v>103918000</v>
      </c>
      <c r="C26" s="3" t="n">
        <v>83588000</v>
      </c>
      <c r="D26" s="3" t="n">
        <v>91037000</v>
      </c>
      <c r="E26" s="3" t="n">
        <v>3475000</v>
      </c>
      <c r="F26" s="3" t="n"/>
    </row>
    <row r="27">
      <c r="A27" t="inlineStr">
        <is>
          <t>Long Term Debt</t>
        </is>
      </c>
      <c r="B27" s="3" t="n"/>
      <c r="C27" s="3" t="n"/>
      <c r="D27" s="3" t="n">
        <v>417400000</v>
      </c>
      <c r="E27" s="3" t="n"/>
      <c r="F27" s="3" t="n"/>
    </row>
    <row r="28">
      <c r="A28" t="inlineStr">
        <is>
          <t>Current Liabilities</t>
        </is>
      </c>
      <c r="B28" s="3" t="n">
        <v>498499000</v>
      </c>
      <c r="C28" s="3" t="n">
        <v>855913000</v>
      </c>
      <c r="D28" s="3" t="n">
        <v>392347000</v>
      </c>
      <c r="E28" s="3" t="n">
        <v>159204000</v>
      </c>
      <c r="F28" s="3" t="n"/>
    </row>
    <row r="29">
      <c r="A29" t="inlineStr">
        <is>
          <t>Other Current Liabilities</t>
        </is>
      </c>
      <c r="B29" s="3" t="n">
        <v>19513000</v>
      </c>
      <c r="C29" s="3" t="n">
        <v>33739000</v>
      </c>
      <c r="D29" s="3" t="n">
        <v>61035000</v>
      </c>
      <c r="E29" s="3" t="n">
        <v>13308000</v>
      </c>
      <c r="F29" s="3" t="n"/>
    </row>
    <row r="30">
      <c r="A30" t="inlineStr">
        <is>
          <t>Current Deferred Liabilities</t>
        </is>
      </c>
      <c r="B30" s="3" t="n">
        <v>27655000</v>
      </c>
      <c r="C30" s="3" t="n">
        <v>22140000</v>
      </c>
      <c r="D30" s="3" t="n">
        <v>18369000</v>
      </c>
      <c r="E30" s="3" t="n">
        <v>14100000</v>
      </c>
      <c r="F30" s="3" t="n"/>
    </row>
    <row r="31">
      <c r="A31" t="inlineStr">
        <is>
          <t>Current Deferred Revenue</t>
        </is>
      </c>
      <c r="B31" s="3" t="n">
        <v>27655000</v>
      </c>
      <c r="C31" s="3" t="n">
        <v>22140000</v>
      </c>
      <c r="D31" s="3" t="n">
        <v>18369000</v>
      </c>
      <c r="E31" s="3" t="n">
        <v>14100000</v>
      </c>
      <c r="F31" s="3" t="n"/>
    </row>
    <row r="32">
      <c r="A32" t="inlineStr">
        <is>
          <t>Current Debt And Capital Lease Obligation</t>
        </is>
      </c>
      <c r="B32" s="3" t="n">
        <v>14738000</v>
      </c>
      <c r="C32" s="3" t="n">
        <v>453600000</v>
      </c>
      <c r="D32" s="3" t="n">
        <v>11967000</v>
      </c>
      <c r="E32" s="3" t="n">
        <v>2536000</v>
      </c>
      <c r="F32" s="3" t="n"/>
    </row>
    <row r="33">
      <c r="A33" t="inlineStr">
        <is>
          <t>Current Capital Lease Obligation</t>
        </is>
      </c>
      <c r="B33" s="3" t="n">
        <v>14738000</v>
      </c>
      <c r="C33" s="3" t="n">
        <v>10249000</v>
      </c>
      <c r="D33" s="3" t="n">
        <v>11967000</v>
      </c>
      <c r="E33" s="3" t="n">
        <v>2536000</v>
      </c>
      <c r="F33" s="3" t="n"/>
    </row>
    <row r="34">
      <c r="A34" t="inlineStr">
        <is>
          <t>Current Debt</t>
        </is>
      </c>
      <c r="B34" s="3" t="n"/>
      <c r="C34" s="3" t="n">
        <v>443351000</v>
      </c>
      <c r="D34" s="3" t="n"/>
      <c r="E34" s="3" t="n"/>
      <c r="F34" s="3" t="n"/>
    </row>
    <row r="35">
      <c r="A35" t="inlineStr">
        <is>
          <t>Other Current Borrowings</t>
        </is>
      </c>
      <c r="B35" s="3" t="n"/>
      <c r="C35" s="3" t="n">
        <v>443351000</v>
      </c>
      <c r="D35" s="3" t="n"/>
      <c r="E35" s="3" t="n"/>
      <c r="F35" s="3" t="n"/>
    </row>
    <row r="36">
      <c r="A36" t="inlineStr">
        <is>
          <t>Pensionand Other Post Retirement Benefit Plans Current</t>
        </is>
      </c>
      <c r="B36" s="3" t="n">
        <v>167105000</v>
      </c>
      <c r="C36" s="3" t="n">
        <v>151819000</v>
      </c>
      <c r="D36" s="3" t="n">
        <v>140817000</v>
      </c>
      <c r="E36" s="3" t="n">
        <v>53352000</v>
      </c>
      <c r="F36" s="3" t="n"/>
    </row>
    <row r="37">
      <c r="A37" t="inlineStr">
        <is>
          <t>Payables And Accrued Expenses</t>
        </is>
      </c>
      <c r="B37" s="3" t="n">
        <v>269488000</v>
      </c>
      <c r="C37" s="3" t="n">
        <v>194615000</v>
      </c>
      <c r="D37" s="3" t="n">
        <v>160159000</v>
      </c>
      <c r="E37" s="3" t="n">
        <v>75908000</v>
      </c>
      <c r="F37" s="3" t="n"/>
    </row>
    <row r="38">
      <c r="A38" t="inlineStr">
        <is>
          <t>Current Accrued Expenses</t>
        </is>
      </c>
      <c r="B38" s="3" t="n">
        <v>137241000</v>
      </c>
      <c r="C38" s="3" t="n">
        <v>74684000</v>
      </c>
      <c r="D38" s="3" t="n">
        <v>75917000</v>
      </c>
      <c r="E38" s="3" t="n">
        <v>28788000</v>
      </c>
      <c r="F38" s="3" t="n"/>
    </row>
    <row r="39">
      <c r="A39" t="inlineStr">
        <is>
          <t>Payables</t>
        </is>
      </c>
      <c r="B39" s="3" t="n">
        <v>132247000</v>
      </c>
      <c r="C39" s="3" t="n">
        <v>119931000</v>
      </c>
      <c r="D39" s="3" t="n">
        <v>84242000</v>
      </c>
      <c r="E39" s="3" t="n">
        <v>47120000</v>
      </c>
      <c r="F39" s="3" t="n"/>
    </row>
    <row r="40">
      <c r="A40" t="inlineStr">
        <is>
          <t>Other Payable</t>
        </is>
      </c>
      <c r="B40" s="3" t="n"/>
      <c r="C40" s="3" t="n"/>
      <c r="D40" s="3" t="n"/>
      <c r="E40" s="3" t="n"/>
      <c r="F40" s="3" t="n">
        <v>2200000</v>
      </c>
    </row>
    <row r="41">
      <c r="A41" t="inlineStr">
        <is>
          <t>Total Tax Payable</t>
        </is>
      </c>
      <c r="B41" s="3" t="n">
        <v>33395000</v>
      </c>
      <c r="C41" s="3" t="n">
        <v>44813000</v>
      </c>
      <c r="D41" s="3" t="n">
        <v>27571000</v>
      </c>
      <c r="E41" s="3" t="n">
        <v>11019000</v>
      </c>
      <c r="F41" s="3" t="n"/>
    </row>
    <row r="42">
      <c r="A42" t="inlineStr">
        <is>
          <t>Income Tax Payable</t>
        </is>
      </c>
      <c r="B42" s="3" t="n">
        <v>4155000</v>
      </c>
      <c r="C42" s="3" t="n">
        <v>10725000</v>
      </c>
      <c r="D42" s="3" t="n">
        <v>3845000</v>
      </c>
      <c r="E42" s="3" t="n">
        <v>990000</v>
      </c>
      <c r="F42" s="3" t="n"/>
    </row>
    <row r="43">
      <c r="A43" t="inlineStr">
        <is>
          <t>Accounts Payable</t>
        </is>
      </c>
      <c r="B43" s="3" t="n">
        <v>98852000</v>
      </c>
      <c r="C43" s="3" t="n">
        <v>75118000</v>
      </c>
      <c r="D43" s="3" t="n">
        <v>56671000</v>
      </c>
      <c r="E43" s="3" t="n">
        <v>36101000</v>
      </c>
      <c r="F43" s="3" t="n"/>
    </row>
    <row r="44">
      <c r="A44" t="inlineStr">
        <is>
          <t>Total Assets</t>
        </is>
      </c>
      <c r="B44" s="3" t="n">
        <v>5302761000</v>
      </c>
      <c r="C44" s="3" t="n">
        <v>5251750000</v>
      </c>
      <c r="D44" s="3" t="n">
        <v>5086083000</v>
      </c>
      <c r="E44" s="3" t="n">
        <v>2076126000</v>
      </c>
      <c r="F44" s="3" t="n"/>
    </row>
    <row r="45">
      <c r="A45" t="inlineStr">
        <is>
          <t>Total Non Current Assets</t>
        </is>
      </c>
      <c r="B45" s="3" t="n">
        <v>3177150000</v>
      </c>
      <c r="C45" s="3" t="n">
        <v>3074490000</v>
      </c>
      <c r="D45" s="3" t="n">
        <v>3170709000</v>
      </c>
      <c r="E45" s="3" t="n">
        <v>1092782000</v>
      </c>
      <c r="F45" s="3" t="n"/>
    </row>
    <row r="46">
      <c r="A46" t="inlineStr">
        <is>
          <t>Other Non Current Assets</t>
        </is>
      </c>
      <c r="B46" s="3" t="n">
        <v>78781000</v>
      </c>
      <c r="C46" s="3" t="n">
        <v>75096000</v>
      </c>
      <c r="D46" s="3" t="n">
        <v>78590000</v>
      </c>
      <c r="E46" s="3" t="n">
        <v>37323000</v>
      </c>
      <c r="F46" s="3" t="n"/>
    </row>
    <row r="47">
      <c r="A47" t="inlineStr">
        <is>
          <t>Non Current Deferred Assets</t>
        </is>
      </c>
      <c r="B47" s="3" t="n">
        <v>218215000</v>
      </c>
      <c r="C47" s="3" t="n">
        <v>94200000</v>
      </c>
      <c r="D47" s="3" t="n">
        <v>10685000</v>
      </c>
      <c r="E47" s="3" t="n">
        <v>48845000</v>
      </c>
      <c r="F47" s="3" t="n"/>
    </row>
    <row r="48">
      <c r="A48" t="inlineStr">
        <is>
          <t>Non Current Deferred Taxes Assets</t>
        </is>
      </c>
      <c r="B48" s="3" t="n">
        <v>218215000</v>
      </c>
      <c r="C48" s="3" t="n">
        <v>94200000</v>
      </c>
      <c r="D48" s="3" t="n">
        <v>10685000</v>
      </c>
      <c r="E48" s="3" t="n">
        <v>48845000</v>
      </c>
      <c r="F48" s="3" t="n"/>
    </row>
    <row r="49">
      <c r="A49" t="inlineStr">
        <is>
          <t>Investments And Advances</t>
        </is>
      </c>
      <c r="B49" s="3" t="n">
        <v>71819000</v>
      </c>
      <c r="C49" s="3" t="n">
        <v>66134000</v>
      </c>
      <c r="D49" s="3" t="n">
        <v>75428000</v>
      </c>
      <c r="E49" s="3" t="n">
        <v>495852000</v>
      </c>
      <c r="F49" s="3" t="n"/>
    </row>
    <row r="50">
      <c r="A50" t="inlineStr">
        <is>
          <t>Investmentin Financial Assets</t>
        </is>
      </c>
      <c r="B50" s="3" t="n">
        <v>71819000</v>
      </c>
      <c r="C50" s="3" t="n">
        <v>66134000</v>
      </c>
      <c r="D50" s="3" t="n">
        <v>75428000</v>
      </c>
      <c r="E50" s="3" t="n">
        <v>495852000</v>
      </c>
      <c r="F50" s="3" t="n"/>
    </row>
    <row r="51">
      <c r="A51" t="inlineStr">
        <is>
          <t>Held To Maturity Securities</t>
        </is>
      </c>
      <c r="B51" s="3" t="n">
        <v>36855000</v>
      </c>
      <c r="C51" s="3" t="n"/>
      <c r="D51" s="3" t="n"/>
      <c r="E51" s="3" t="n"/>
      <c r="F51" s="3" t="n"/>
    </row>
    <row r="52">
      <c r="A52" t="inlineStr">
        <is>
          <t>Available For Sale Securities</t>
        </is>
      </c>
      <c r="B52" s="3" t="n">
        <v>34964000</v>
      </c>
      <c r="C52" s="3" t="n"/>
      <c r="D52" s="3" t="n"/>
      <c r="E52" s="3" t="n"/>
      <c r="F52" s="3" t="n"/>
    </row>
    <row r="53">
      <c r="A53" t="inlineStr">
        <is>
          <t>Goodwill And Other Intangible Assets</t>
        </is>
      </c>
      <c r="B53" s="3" t="n">
        <v>2180097000</v>
      </c>
      <c r="C53" s="3" t="n">
        <v>2227504000</v>
      </c>
      <c r="D53" s="3" t="n">
        <v>2359143000</v>
      </c>
      <c r="E53" s="3" t="n">
        <v>261045000</v>
      </c>
      <c r="F53" s="3" t="n"/>
    </row>
    <row r="54">
      <c r="A54" t="inlineStr">
        <is>
          <t>Other Intangible Assets</t>
        </is>
      </c>
      <c r="B54" s="3" t="n">
        <v>745064000</v>
      </c>
      <c r="C54" s="3" t="n">
        <v>795117000</v>
      </c>
      <c r="D54" s="3" t="n">
        <v>924603000</v>
      </c>
      <c r="E54" s="3" t="n">
        <v>63574000</v>
      </c>
      <c r="F54" s="3" t="n"/>
    </row>
    <row r="55">
      <c r="A55" t="inlineStr">
        <is>
          <t>Goodwill</t>
        </is>
      </c>
      <c r="B55" s="3" t="n">
        <v>1435033000</v>
      </c>
      <c r="C55" s="3" t="n">
        <v>1432387000</v>
      </c>
      <c r="D55" s="3" t="n">
        <v>1434540000</v>
      </c>
      <c r="E55" s="3" t="n">
        <v>197471000</v>
      </c>
      <c r="F55" s="3" t="n"/>
    </row>
    <row r="56">
      <c r="A56" t="inlineStr">
        <is>
          <t>Net PPE</t>
        </is>
      </c>
      <c r="B56" s="3" t="n">
        <v>628238000</v>
      </c>
      <c r="C56" s="3" t="n">
        <v>611556000</v>
      </c>
      <c r="D56" s="3" t="n">
        <v>646863000</v>
      </c>
      <c r="E56" s="3" t="n">
        <v>249717000</v>
      </c>
      <c r="F56" s="3" t="n"/>
    </row>
    <row r="57">
      <c r="A57" t="inlineStr">
        <is>
          <t>Accumulated Depreciation</t>
        </is>
      </c>
      <c r="B57" s="3" t="n">
        <v>-705000000</v>
      </c>
      <c r="C57" s="3" t="n">
        <v>-545786000</v>
      </c>
      <c r="D57" s="3" t="n">
        <v>-425695000</v>
      </c>
      <c r="E57" s="3" t="n">
        <v>-343036000</v>
      </c>
      <c r="F57" s="3" t="n"/>
    </row>
    <row r="58">
      <c r="A58" t="inlineStr">
        <is>
          <t>Gross PPE</t>
        </is>
      </c>
      <c r="B58" s="3" t="n">
        <v>1333238000</v>
      </c>
      <c r="C58" s="3" t="n">
        <v>1157342000</v>
      </c>
      <c r="D58" s="3" t="n">
        <v>1072558000</v>
      </c>
      <c r="E58" s="3" t="n">
        <v>592753000</v>
      </c>
      <c r="F58" s="3" t="n"/>
    </row>
    <row r="59">
      <c r="A59" t="inlineStr">
        <is>
          <t>Other Properties</t>
        </is>
      </c>
      <c r="B59" s="3" t="n">
        <v>1194816000</v>
      </c>
      <c r="C59" s="3" t="n">
        <v>1047483000</v>
      </c>
      <c r="D59" s="3" t="n">
        <v>960361000</v>
      </c>
      <c r="E59" s="3" t="n">
        <v>532966000</v>
      </c>
      <c r="F59" s="3" t="n"/>
    </row>
    <row r="60">
      <c r="A60" t="inlineStr">
        <is>
          <t>Buildings And Improvements</t>
        </is>
      </c>
      <c r="B60" s="3" t="n">
        <v>127573000</v>
      </c>
      <c r="C60" s="3" t="n">
        <v>100128000</v>
      </c>
      <c r="D60" s="3" t="n">
        <v>102449000</v>
      </c>
      <c r="E60" s="3" t="n">
        <v>51510000</v>
      </c>
      <c r="F60" s="3" t="n"/>
    </row>
    <row r="61">
      <c r="A61" t="inlineStr">
        <is>
          <t>Land And Improvements</t>
        </is>
      </c>
      <c r="B61" s="3" t="n">
        <v>10849000</v>
      </c>
      <c r="C61" s="3" t="n">
        <v>9731000</v>
      </c>
      <c r="D61" s="3" t="n">
        <v>9748000</v>
      </c>
      <c r="E61" s="3" t="n">
        <v>8277000</v>
      </c>
      <c r="F61" s="3" t="n"/>
    </row>
    <row r="62">
      <c r="A62" t="inlineStr">
        <is>
          <t>Properties</t>
        </is>
      </c>
      <c r="B62" s="3" t="n">
        <v>0</v>
      </c>
      <c r="C62" s="3" t="n">
        <v>0</v>
      </c>
      <c r="D62" s="3" t="n">
        <v>0</v>
      </c>
      <c r="E62" s="3" t="n">
        <v>0</v>
      </c>
      <c r="F62" s="3" t="n"/>
    </row>
    <row r="63">
      <c r="A63" t="inlineStr">
        <is>
          <t>Current Assets</t>
        </is>
      </c>
      <c r="B63" s="3" t="n">
        <v>2125611000</v>
      </c>
      <c r="C63" s="3" t="n">
        <v>2177260000</v>
      </c>
      <c r="D63" s="3" t="n">
        <v>1915374000</v>
      </c>
      <c r="E63" s="3" t="n">
        <v>983344000</v>
      </c>
      <c r="F63" s="3" t="n"/>
    </row>
    <row r="64">
      <c r="A64" t="inlineStr">
        <is>
          <t>Other Current Assets</t>
        </is>
      </c>
      <c r="B64" s="3" t="n">
        <v>65426000</v>
      </c>
      <c r="C64" s="3" t="n">
        <v>49640000</v>
      </c>
      <c r="D64" s="3" t="n">
        <v>44580000</v>
      </c>
      <c r="E64" s="3" t="n">
        <v>20997000</v>
      </c>
      <c r="F64" s="3" t="n"/>
    </row>
    <row r="65">
      <c r="A65" t="inlineStr">
        <is>
          <t>Prepaid Assets</t>
        </is>
      </c>
      <c r="B65" s="3" t="n"/>
      <c r="C65" s="3" t="n"/>
      <c r="D65" s="3" t="n"/>
      <c r="E65" s="3" t="n"/>
      <c r="F65" s="3" t="n">
        <v>18417000</v>
      </c>
    </row>
    <row r="66">
      <c r="A66" t="inlineStr">
        <is>
          <t>Inventory</t>
        </is>
      </c>
      <c r="B66" s="3" t="n">
        <v>759277000</v>
      </c>
      <c r="C66" s="3" t="n">
        <v>659233000</v>
      </c>
      <c r="D66" s="3" t="n">
        <v>848135000</v>
      </c>
      <c r="E66" s="3" t="n">
        <v>298981000</v>
      </c>
      <c r="F66" s="3" t="n"/>
    </row>
    <row r="67">
      <c r="A67" t="inlineStr">
        <is>
          <t>Finished Goods</t>
        </is>
      </c>
      <c r="B67" s="3" t="n">
        <v>532568000</v>
      </c>
      <c r="C67" s="3" t="n">
        <v>491474000</v>
      </c>
      <c r="D67" s="3" t="n">
        <v>707465000</v>
      </c>
      <c r="E67" s="3" t="n">
        <v>219958000</v>
      </c>
      <c r="F67" s="3" t="n"/>
    </row>
    <row r="68">
      <c r="A68" t="inlineStr">
        <is>
          <t>Work In Process</t>
        </is>
      </c>
      <c r="B68" s="3" t="n">
        <v>64462000</v>
      </c>
      <c r="C68" s="3" t="n">
        <v>45775000</v>
      </c>
      <c r="D68" s="3" t="n">
        <v>37321000</v>
      </c>
      <c r="E68" s="3" t="n">
        <v>18699000</v>
      </c>
      <c r="F68" s="3" t="n"/>
    </row>
    <row r="69">
      <c r="A69" t="inlineStr">
        <is>
          <t>Raw Materials</t>
        </is>
      </c>
      <c r="B69" s="3" t="n">
        <v>162247000</v>
      </c>
      <c r="C69" s="3" t="n">
        <v>121984000</v>
      </c>
      <c r="D69" s="3" t="n">
        <v>103349000</v>
      </c>
      <c r="E69" s="3" t="n">
        <v>60324000</v>
      </c>
      <c r="F69" s="3" t="n"/>
    </row>
    <row r="70">
      <c r="A70" t="inlineStr">
        <is>
          <t>Receivables</t>
        </is>
      </c>
      <c r="B70" s="3" t="n">
        <v>743665000</v>
      </c>
      <c r="C70" s="3" t="n">
        <v>578330000</v>
      </c>
      <c r="D70" s="3" t="n">
        <v>504870000</v>
      </c>
      <c r="E70" s="3" t="n">
        <v>217308000</v>
      </c>
      <c r="F70" s="3" t="n"/>
    </row>
    <row r="71">
      <c r="A71" t="inlineStr">
        <is>
          <t>Taxes Receivable</t>
        </is>
      </c>
      <c r="B71" s="3" t="n">
        <v>64727000</v>
      </c>
      <c r="C71" s="3" t="n">
        <v>20633000</v>
      </c>
      <c r="D71" s="3" t="n">
        <v>1635000</v>
      </c>
      <c r="E71" s="3" t="n">
        <v>4061000</v>
      </c>
      <c r="F71" s="3" t="n"/>
    </row>
    <row r="72">
      <c r="A72" t="inlineStr">
        <is>
          <t>Accounts Receivable</t>
        </is>
      </c>
      <c r="B72" s="3" t="n">
        <v>678938000</v>
      </c>
      <c r="C72" s="3" t="n">
        <v>557697000</v>
      </c>
      <c r="D72" s="3" t="n">
        <v>503235000</v>
      </c>
      <c r="E72" s="3" t="n">
        <v>213247000</v>
      </c>
      <c r="F72" s="3" t="n"/>
    </row>
    <row r="73">
      <c r="A73" t="inlineStr">
        <is>
          <t>Allowance For Doubtful Accounts Receivable</t>
        </is>
      </c>
      <c r="B73" s="3" t="n">
        <v>-33434000</v>
      </c>
      <c r="C73" s="3" t="n">
        <v>-15505000</v>
      </c>
      <c r="D73" s="3" t="n">
        <v>-8934000</v>
      </c>
      <c r="E73" s="3" t="n">
        <v>-4724000</v>
      </c>
      <c r="F73" s="3" t="n"/>
    </row>
    <row r="74">
      <c r="A74" t="inlineStr">
        <is>
          <t>Gross Accounts Receivable</t>
        </is>
      </c>
      <c r="B74" s="3" t="n">
        <v>712372000</v>
      </c>
      <c r="C74" s="3" t="n">
        <v>573202000</v>
      </c>
      <c r="D74" s="3" t="n">
        <v>512169000</v>
      </c>
      <c r="E74" s="3" t="n">
        <v>217971000</v>
      </c>
      <c r="F74" s="3" t="n"/>
    </row>
    <row r="75">
      <c r="A75" t="inlineStr">
        <is>
          <t>Cash Cash Equivalents And Short Term Investments</t>
        </is>
      </c>
      <c r="B75" s="3" t="n">
        <v>557243000</v>
      </c>
      <c r="C75" s="3" t="n">
        <v>890057000</v>
      </c>
      <c r="D75" s="3" t="n">
        <v>517789000</v>
      </c>
      <c r="E75" s="3" t="n">
        <v>446058000</v>
      </c>
      <c r="F75" s="3" t="n"/>
    </row>
    <row r="76">
      <c r="A76" t="inlineStr">
        <is>
          <t>Other Short Term Investments</t>
        </is>
      </c>
      <c r="B76" s="3" t="n">
        <v>31087000</v>
      </c>
      <c r="C76" s="3" t="n">
        <v>105619000</v>
      </c>
      <c r="D76" s="3" t="n">
        <v>50497000</v>
      </c>
      <c r="E76" s="3" t="n">
        <v>295592000</v>
      </c>
      <c r="F76" s="3" t="n"/>
    </row>
    <row r="77">
      <c r="A77" t="inlineStr">
        <is>
          <t>Cash And Cash Equivalents</t>
        </is>
      </c>
      <c r="B77" s="3" t="n">
        <v>526156000</v>
      </c>
      <c r="C77" s="3" t="n">
        <v>784438000</v>
      </c>
      <c r="D77" s="3" t="n">
        <v>467292000</v>
      </c>
      <c r="E77" s="3" t="n">
        <v>150466000</v>
      </c>
      <c r="F7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Ordinary Shares Number</t>
        </is>
      </c>
      <c r="B2" s="3" t="n">
        <v>135666196</v>
      </c>
      <c r="C2" s="3" t="n">
        <v>112625126</v>
      </c>
      <c r="D2" s="3" t="n">
        <v>134605452</v>
      </c>
      <c r="E2" s="3" t="n">
        <v>135050305</v>
      </c>
      <c r="F2" s="3" t="n">
        <v>135356442</v>
      </c>
      <c r="G2" s="3" t="n"/>
    </row>
    <row r="3">
      <c r="A3" t="inlineStr">
        <is>
          <t>Share Issued</t>
        </is>
      </c>
      <c r="B3" s="3" t="n">
        <v>135666196</v>
      </c>
      <c r="C3" s="3" t="n">
        <v>112625126</v>
      </c>
      <c r="D3" s="3" t="n">
        <v>134605452</v>
      </c>
      <c r="E3" s="3" t="n">
        <v>135050305</v>
      </c>
      <c r="F3" s="3" t="n">
        <v>135356442</v>
      </c>
      <c r="G3" s="3" t="n"/>
    </row>
    <row r="4">
      <c r="A4" t="inlineStr">
        <is>
          <t>Total Debt</t>
        </is>
      </c>
      <c r="B4" s="3" t="n">
        <v>115223000</v>
      </c>
      <c r="C4" s="3" t="n">
        <v>118656000</v>
      </c>
      <c r="D4" s="3" t="n">
        <v>119343000</v>
      </c>
      <c r="E4" s="3" t="n">
        <v>121104000</v>
      </c>
      <c r="F4" s="3" t="n">
        <v>92313000</v>
      </c>
      <c r="G4" s="3" t="n"/>
    </row>
    <row r="5">
      <c r="A5" t="inlineStr">
        <is>
          <t>Tangible Book Value</t>
        </is>
      </c>
      <c r="B5" s="3" t="n">
        <v>2572734000</v>
      </c>
      <c r="C5" s="3" t="n">
        <v>2393153000</v>
      </c>
      <c r="D5" s="3" t="n">
        <v>2190632000</v>
      </c>
      <c r="E5" s="3" t="n">
        <v>2064328000</v>
      </c>
      <c r="F5" s="3" t="n">
        <v>1883416000</v>
      </c>
      <c r="G5" s="3" t="n"/>
    </row>
    <row r="6">
      <c r="A6" t="inlineStr">
        <is>
          <t>Invested Capital</t>
        </is>
      </c>
      <c r="B6" s="3" t="n">
        <v>4732312000</v>
      </c>
      <c r="C6" s="3" t="n">
        <v>4573250000</v>
      </c>
      <c r="D6" s="3" t="n">
        <v>4398825000</v>
      </c>
      <c r="E6" s="3" t="n">
        <v>4295683000</v>
      </c>
      <c r="F6" s="3" t="n">
        <v>4088068000</v>
      </c>
      <c r="G6" s="3" t="n"/>
    </row>
    <row r="7">
      <c r="A7" t="inlineStr">
        <is>
          <t>Working Capital</t>
        </is>
      </c>
      <c r="B7" s="3" t="n">
        <v>1715657000</v>
      </c>
      <c r="C7" s="3" t="n">
        <v>1627112000</v>
      </c>
      <c r="D7" s="3" t="n">
        <v>1458403000</v>
      </c>
      <c r="E7" s="3" t="n">
        <v>1305238000</v>
      </c>
      <c r="F7" s="3" t="n">
        <v>1325413000</v>
      </c>
      <c r="G7" s="3" t="n"/>
    </row>
    <row r="8">
      <c r="A8" t="inlineStr">
        <is>
          <t>Net Tangible Assets</t>
        </is>
      </c>
      <c r="B8" s="3" t="n">
        <v>2572734000</v>
      </c>
      <c r="C8" s="3" t="n">
        <v>2393153000</v>
      </c>
      <c r="D8" s="3" t="n">
        <v>2190632000</v>
      </c>
      <c r="E8" s="3" t="n">
        <v>2064328000</v>
      </c>
      <c r="F8" s="3" t="n">
        <v>1883416000</v>
      </c>
      <c r="G8" s="3" t="n"/>
    </row>
    <row r="9">
      <c r="A9" t="inlineStr">
        <is>
          <t>Capital Lease Obligations</t>
        </is>
      </c>
      <c r="B9" s="3" t="n">
        <v>115223000</v>
      </c>
      <c r="C9" s="3" t="n">
        <v>118656000</v>
      </c>
      <c r="D9" s="3" t="n">
        <v>119343000</v>
      </c>
      <c r="E9" s="3" t="n">
        <v>121104000</v>
      </c>
      <c r="F9" s="3" t="n">
        <v>92313000</v>
      </c>
      <c r="G9" s="3" t="n"/>
    </row>
    <row r="10">
      <c r="A10" t="inlineStr">
        <is>
          <t>Common Stock Equity</t>
        </is>
      </c>
      <c r="B10" s="3" t="n">
        <v>4732312000</v>
      </c>
      <c r="C10" s="3" t="n">
        <v>4573250000</v>
      </c>
      <c r="D10" s="3" t="n">
        <v>4398825000</v>
      </c>
      <c r="E10" s="3" t="n">
        <v>4295683000</v>
      </c>
      <c r="F10" s="3" t="n">
        <v>4088068000</v>
      </c>
      <c r="G10" s="3" t="n"/>
    </row>
    <row r="11">
      <c r="A11" t="inlineStr">
        <is>
          <t>Total Capitalization</t>
        </is>
      </c>
      <c r="B11" s="3" t="n">
        <v>4732312000</v>
      </c>
      <c r="C11" s="3" t="n">
        <v>4573250000</v>
      </c>
      <c r="D11" s="3" t="n">
        <v>4398825000</v>
      </c>
      <c r="E11" s="3" t="n">
        <v>4295683000</v>
      </c>
      <c r="F11" s="3" t="n">
        <v>4088068000</v>
      </c>
      <c r="G11" s="3" t="n"/>
    </row>
    <row r="12">
      <c r="A12" t="inlineStr">
        <is>
          <t>Total Equity Gross Minority Interest</t>
        </is>
      </c>
      <c r="B12" s="3" t="n">
        <v>4732312000</v>
      </c>
      <c r="C12" s="3" t="n">
        <v>4573250000</v>
      </c>
      <c r="D12" s="3" t="n">
        <v>4398825000</v>
      </c>
      <c r="E12" s="3" t="n">
        <v>4295683000</v>
      </c>
      <c r="F12" s="3" t="n">
        <v>4088068000</v>
      </c>
      <c r="G12" s="3" t="n"/>
    </row>
    <row r="13">
      <c r="A13" t="inlineStr">
        <is>
          <t>Stockholders Equity</t>
        </is>
      </c>
      <c r="B13" s="3" t="n">
        <v>4732312000</v>
      </c>
      <c r="C13" s="3" t="n">
        <v>4573250000</v>
      </c>
      <c r="D13" s="3" t="n">
        <v>4398825000</v>
      </c>
      <c r="E13" s="3" t="n">
        <v>4295683000</v>
      </c>
      <c r="F13" s="3" t="n">
        <v>4088068000</v>
      </c>
      <c r="G13" s="3" t="n"/>
    </row>
    <row r="14">
      <c r="A14" t="inlineStr">
        <is>
          <t>Gains Losses Not Affecting Retained Earnings</t>
        </is>
      </c>
      <c r="B14" s="3" t="n">
        <v>14404000</v>
      </c>
      <c r="C14" s="3" t="n">
        <v>15346000</v>
      </c>
      <c r="D14" s="3" t="n">
        <v>10927000</v>
      </c>
      <c r="E14" s="3" t="n">
        <v>10239000</v>
      </c>
      <c r="F14" s="3" t="n">
        <v>-2167000</v>
      </c>
      <c r="G14" s="3" t="n"/>
    </row>
    <row r="15">
      <c r="A15" t="inlineStr">
        <is>
          <t>Other Equity Adjustments</t>
        </is>
      </c>
      <c r="B15" s="3" t="n">
        <v>14404000</v>
      </c>
      <c r="C15" s="3" t="n">
        <v>15346000</v>
      </c>
      <c r="D15" s="3" t="n">
        <v>10927000</v>
      </c>
      <c r="E15" s="3" t="n">
        <v>10239000</v>
      </c>
      <c r="F15" s="3" t="n">
        <v>-2167000</v>
      </c>
      <c r="G15" s="3" t="n"/>
    </row>
    <row r="16">
      <c r="A16" t="inlineStr">
        <is>
          <t>Retained Earnings</t>
        </is>
      </c>
      <c r="B16" s="3" t="n">
        <v>1512259000</v>
      </c>
      <c r="C16" s="3" t="n">
        <v>1387957000</v>
      </c>
      <c r="D16" s="3" t="n">
        <v>1292485000</v>
      </c>
      <c r="E16" s="3" t="n">
        <v>1213657000</v>
      </c>
      <c r="F16" s="3" t="n">
        <v>1036173000</v>
      </c>
      <c r="G16" s="3" t="n"/>
    </row>
    <row r="17">
      <c r="A17" t="inlineStr">
        <is>
          <t>Additional Paid In Capital</t>
        </is>
      </c>
      <c r="B17" s="3" t="n">
        <v>3205514000</v>
      </c>
      <c r="C17" s="3" t="n">
        <v>3169812000</v>
      </c>
      <c r="D17" s="3" t="n">
        <v>3095279000</v>
      </c>
      <c r="E17" s="3" t="n">
        <v>3071652000</v>
      </c>
      <c r="F17" s="3" t="n">
        <v>3053927000</v>
      </c>
      <c r="G17" s="3" t="n"/>
    </row>
    <row r="18">
      <c r="A18" t="inlineStr">
        <is>
          <t>Capital Stock</t>
        </is>
      </c>
      <c r="B18" s="3" t="n">
        <v>135000</v>
      </c>
      <c r="C18" s="3" t="n">
        <v>135000</v>
      </c>
      <c r="D18" s="3" t="n">
        <v>134000</v>
      </c>
      <c r="E18" s="3" t="n">
        <v>135000</v>
      </c>
      <c r="F18" s="3" t="n">
        <v>135000</v>
      </c>
      <c r="G18" s="3" t="n"/>
    </row>
    <row r="19">
      <c r="A19" t="inlineStr">
        <is>
          <t>Common Stock</t>
        </is>
      </c>
      <c r="B19" s="3" t="n">
        <v>135000</v>
      </c>
      <c r="C19" s="3" t="n">
        <v>135000</v>
      </c>
      <c r="D19" s="3" t="n">
        <v>134000</v>
      </c>
      <c r="E19" s="3" t="n">
        <v>135000</v>
      </c>
      <c r="F19" s="3" t="n">
        <v>135000</v>
      </c>
      <c r="G19" s="3" t="n"/>
    </row>
    <row r="20">
      <c r="A20" t="inlineStr">
        <is>
          <t>Total Liabilities Net Minority Interest</t>
        </is>
      </c>
      <c r="B20" s="3" t="n">
        <v>707243000</v>
      </c>
      <c r="C20" s="3" t="n">
        <v>729511000</v>
      </c>
      <c r="D20" s="3" t="n">
        <v>696815000</v>
      </c>
      <c r="E20" s="3" t="n">
        <v>665406000</v>
      </c>
      <c r="F20" s="3" t="n">
        <v>623080000</v>
      </c>
      <c r="G20" s="3" t="n"/>
    </row>
    <row r="21">
      <c r="A21" t="inlineStr">
        <is>
          <t>Total Non Current Liabilities Net Minority Interest</t>
        </is>
      </c>
      <c r="B21" s="3" t="n">
        <v>224780000</v>
      </c>
      <c r="C21" s="3" t="n">
        <v>231012000</v>
      </c>
      <c r="D21" s="3" t="n">
        <v>230857000</v>
      </c>
      <c r="E21" s="3" t="n">
        <v>240742000</v>
      </c>
      <c r="F21" s="3" t="n">
        <v>238379000</v>
      </c>
      <c r="G21" s="3" t="n"/>
    </row>
    <row r="22">
      <c r="A22" t="inlineStr">
        <is>
          <t>Other Non Current Liabilities</t>
        </is>
      </c>
      <c r="B22" s="3" t="n">
        <v>100020000</v>
      </c>
      <c r="C22" s="3" t="n">
        <v>103338000</v>
      </c>
      <c r="D22" s="3" t="n">
        <v>103331000</v>
      </c>
      <c r="E22" s="3" t="n">
        <v>108415000</v>
      </c>
      <c r="F22" s="3" t="n">
        <v>110083000</v>
      </c>
      <c r="G22" s="3" t="n"/>
    </row>
    <row r="23">
      <c r="A23" t="inlineStr">
        <is>
          <t>Non Current Deferred Liabilities</t>
        </is>
      </c>
      <c r="B23" s="3" t="n">
        <v>24658000</v>
      </c>
      <c r="C23" s="3" t="n">
        <v>23756000</v>
      </c>
      <c r="D23" s="3" t="n">
        <v>22538000</v>
      </c>
      <c r="E23" s="3" t="n">
        <v>24402000</v>
      </c>
      <c r="F23" s="3" t="n">
        <v>46605000</v>
      </c>
      <c r="G23" s="3" t="n"/>
    </row>
    <row r="24">
      <c r="A24" t="inlineStr">
        <is>
          <t>Non Current Deferred Taxes Liabilities</t>
        </is>
      </c>
      <c r="B24" s="3" t="n">
        <v>24658000</v>
      </c>
      <c r="C24" s="3" t="n">
        <v>23756000</v>
      </c>
      <c r="D24" s="3" t="n">
        <v>22538000</v>
      </c>
      <c r="E24" s="3" t="n">
        <v>24402000</v>
      </c>
      <c r="F24" s="3" t="n">
        <v>46605000</v>
      </c>
      <c r="G24" s="3" t="n"/>
    </row>
    <row r="25">
      <c r="A25" t="inlineStr">
        <is>
          <t>Long Term Debt And Capital Lease Obligation</t>
        </is>
      </c>
      <c r="B25" s="3" t="n">
        <v>100102000</v>
      </c>
      <c r="C25" s="3" t="n">
        <v>103918000</v>
      </c>
      <c r="D25" s="3" t="n">
        <v>104988000</v>
      </c>
      <c r="E25" s="3" t="n">
        <v>107925000</v>
      </c>
      <c r="F25" s="3" t="n">
        <v>81691000</v>
      </c>
      <c r="G25" s="3" t="n"/>
    </row>
    <row r="26">
      <c r="A26" t="inlineStr">
        <is>
          <t>Long Term Capital Lease Obligation</t>
        </is>
      </c>
      <c r="B26" s="3" t="n">
        <v>100102000</v>
      </c>
      <c r="C26" s="3" t="n">
        <v>103918000</v>
      </c>
      <c r="D26" s="3" t="n">
        <v>104988000</v>
      </c>
      <c r="E26" s="3" t="n">
        <v>107925000</v>
      </c>
      <c r="F26" s="3" t="n">
        <v>81691000</v>
      </c>
      <c r="G26" s="3" t="n"/>
    </row>
    <row r="27">
      <c r="A27" t="inlineStr">
        <is>
          <t>Current Liabilities</t>
        </is>
      </c>
      <c r="B27" s="3" t="n">
        <v>482463000</v>
      </c>
      <c r="C27" s="3" t="n">
        <v>498499000</v>
      </c>
      <c r="D27" s="3" t="n">
        <v>465958000</v>
      </c>
      <c r="E27" s="3" t="n">
        <v>424664000</v>
      </c>
      <c r="F27" s="3" t="n">
        <v>384701000</v>
      </c>
      <c r="G27" s="3" t="n"/>
    </row>
    <row r="28">
      <c r="A28" t="inlineStr">
        <is>
          <t>Other Current Liabilities</t>
        </is>
      </c>
      <c r="B28" s="3" t="n">
        <v>20874000</v>
      </c>
      <c r="C28" s="3" t="n">
        <v>19513000</v>
      </c>
      <c r="D28" s="3" t="n">
        <v>18900000</v>
      </c>
      <c r="E28" s="3" t="n">
        <v>18619000</v>
      </c>
      <c r="F28" s="3" t="n">
        <v>33458000</v>
      </c>
      <c r="G28" s="3" t="n"/>
    </row>
    <row r="29">
      <c r="A29" t="inlineStr">
        <is>
          <t>Current Deferred Liabilities</t>
        </is>
      </c>
      <c r="B29" s="3" t="n">
        <v>26347000</v>
      </c>
      <c r="C29" s="3" t="n">
        <v>27655000</v>
      </c>
      <c r="D29" s="3" t="n">
        <v>18267000</v>
      </c>
      <c r="E29" s="3" t="n">
        <v>24020000</v>
      </c>
      <c r="F29" s="3" t="n">
        <v>17172000</v>
      </c>
      <c r="G29" s="3" t="n"/>
    </row>
    <row r="30">
      <c r="A30" t="inlineStr">
        <is>
          <t>Current Deferred Revenue</t>
        </is>
      </c>
      <c r="B30" s="3" t="n">
        <v>26347000</v>
      </c>
      <c r="C30" s="3" t="n">
        <v>27655000</v>
      </c>
      <c r="D30" s="3" t="n">
        <v>18267000</v>
      </c>
      <c r="E30" s="3" t="n">
        <v>24020000</v>
      </c>
      <c r="F30" s="3" t="n">
        <v>17172000</v>
      </c>
      <c r="G30" s="3" t="n"/>
    </row>
    <row r="31">
      <c r="A31" t="inlineStr">
        <is>
          <t>Current Debt And Capital Lease Obligation</t>
        </is>
      </c>
      <c r="B31" s="3" t="n">
        <v>15121000</v>
      </c>
      <c r="C31" s="3" t="n">
        <v>14738000</v>
      </c>
      <c r="D31" s="3" t="n">
        <v>14355000</v>
      </c>
      <c r="E31" s="3" t="n">
        <v>13179000</v>
      </c>
      <c r="F31" s="3" t="n">
        <v>10622000</v>
      </c>
      <c r="G31" s="3" t="n"/>
    </row>
    <row r="32">
      <c r="A32" t="inlineStr">
        <is>
          <t>Current Capital Lease Obligation</t>
        </is>
      </c>
      <c r="B32" s="3" t="n">
        <v>15121000</v>
      </c>
      <c r="C32" s="3" t="n">
        <v>14738000</v>
      </c>
      <c r="D32" s="3" t="n">
        <v>14355000</v>
      </c>
      <c r="E32" s="3" t="n">
        <v>13179000</v>
      </c>
      <c r="F32" s="3" t="n">
        <v>10622000</v>
      </c>
      <c r="G32" s="3" t="n"/>
    </row>
    <row r="33">
      <c r="A33" t="inlineStr">
        <is>
          <t>Current Debt</t>
        </is>
      </c>
      <c r="B33" s="3" t="n"/>
      <c r="C33" s="3" t="n"/>
      <c r="D33" s="3" t="n"/>
      <c r="E33" s="3" t="n"/>
      <c r="F33" s="3" t="n"/>
      <c r="G33" s="3" t="n">
        <v>443351000</v>
      </c>
    </row>
    <row r="34">
      <c r="A34" t="inlineStr">
        <is>
          <t>Other Current Borrowings</t>
        </is>
      </c>
      <c r="B34" s="3" t="n"/>
      <c r="C34" s="3" t="n"/>
      <c r="D34" s="3" t="n"/>
      <c r="E34" s="3" t="n"/>
      <c r="F34" s="3" t="n"/>
      <c r="G34" s="3" t="n">
        <v>443351000</v>
      </c>
    </row>
    <row r="35">
      <c r="A35" t="inlineStr">
        <is>
          <t>Pensionand Other Post Retirement Benefit Plans Current</t>
        </is>
      </c>
      <c r="B35" s="3" t="n">
        <v>146302000</v>
      </c>
      <c r="C35" s="3" t="n">
        <v>167105000</v>
      </c>
      <c r="D35" s="3" t="n">
        <v>157056000</v>
      </c>
      <c r="E35" s="3" t="n">
        <v>155737000</v>
      </c>
      <c r="F35" s="3" t="n">
        <v>130469000</v>
      </c>
      <c r="G35" s="3" t="n"/>
    </row>
    <row r="36">
      <c r="A36" t="inlineStr">
        <is>
          <t>Payables And Accrued Expenses</t>
        </is>
      </c>
      <c r="B36" s="3" t="n">
        <v>273819000</v>
      </c>
      <c r="C36" s="3" t="n">
        <v>269488000</v>
      </c>
      <c r="D36" s="3" t="n">
        <v>257380000</v>
      </c>
      <c r="E36" s="3" t="n">
        <v>213109000</v>
      </c>
      <c r="F36" s="3" t="n">
        <v>192980000</v>
      </c>
      <c r="G36" s="3" t="n"/>
    </row>
    <row r="37">
      <c r="A37" t="inlineStr">
        <is>
          <t>Current Accrued Expenses</t>
        </is>
      </c>
      <c r="B37" s="3" t="n">
        <v>137991000</v>
      </c>
      <c r="C37" s="3" t="n">
        <v>137241000</v>
      </c>
      <c r="D37" s="3" t="n">
        <v>120829000</v>
      </c>
      <c r="E37" s="3" t="n">
        <v>87150000</v>
      </c>
      <c r="F37" s="3" t="n">
        <v>70391000</v>
      </c>
      <c r="G37" s="3" t="n"/>
    </row>
    <row r="38">
      <c r="A38" t="inlineStr">
        <is>
          <t>Payables</t>
        </is>
      </c>
      <c r="B38" s="3" t="n">
        <v>135828000</v>
      </c>
      <c r="C38" s="3" t="n">
        <v>132247000</v>
      </c>
      <c r="D38" s="3" t="n">
        <v>136551000</v>
      </c>
      <c r="E38" s="3" t="n">
        <v>125959000</v>
      </c>
      <c r="F38" s="3" t="n">
        <v>122589000</v>
      </c>
      <c r="G38" s="3" t="n"/>
    </row>
    <row r="39">
      <c r="A39" t="inlineStr">
        <is>
          <t>Total Tax Payable</t>
        </is>
      </c>
      <c r="B39" s="3" t="n">
        <v>32170000</v>
      </c>
      <c r="C39" s="3" t="n">
        <v>33395000</v>
      </c>
      <c r="D39" s="3" t="n">
        <v>49324000</v>
      </c>
      <c r="E39" s="3" t="n">
        <v>38860000</v>
      </c>
      <c r="F39" s="3" t="n">
        <v>49445000</v>
      </c>
      <c r="G39" s="3" t="n"/>
    </row>
    <row r="40">
      <c r="A40" t="inlineStr">
        <is>
          <t>Income Tax Payable</t>
        </is>
      </c>
      <c r="B40" s="3" t="n">
        <v>3032000</v>
      </c>
      <c r="C40" s="3" t="n">
        <v>4155000</v>
      </c>
      <c r="D40" s="3" t="n">
        <v>1285000</v>
      </c>
      <c r="E40" s="3" t="n">
        <v>0</v>
      </c>
      <c r="F40" s="3" t="n">
        <v>12739000</v>
      </c>
      <c r="G40" s="3" t="n"/>
    </row>
    <row r="41">
      <c r="A41" t="inlineStr">
        <is>
          <t>Accounts Payable</t>
        </is>
      </c>
      <c r="B41" s="3" t="n">
        <v>103658000</v>
      </c>
      <c r="C41" s="3" t="n">
        <v>98852000</v>
      </c>
      <c r="D41" s="3" t="n">
        <v>87227000</v>
      </c>
      <c r="E41" s="3" t="n">
        <v>87099000</v>
      </c>
      <c r="F41" s="3" t="n">
        <v>73144000</v>
      </c>
      <c r="G41" s="3" t="n"/>
    </row>
    <row r="42">
      <c r="A42" t="inlineStr">
        <is>
          <t>Total Assets</t>
        </is>
      </c>
      <c r="B42" s="3" t="n">
        <v>5439555000</v>
      </c>
      <c r="C42" s="3" t="n">
        <v>5302761000</v>
      </c>
      <c r="D42" s="3" t="n">
        <v>5095640000</v>
      </c>
      <c r="E42" s="3" t="n">
        <v>4961089000</v>
      </c>
      <c r="F42" s="3" t="n">
        <v>4711148000</v>
      </c>
      <c r="G42" s="3" t="n"/>
    </row>
    <row r="43">
      <c r="A43" t="inlineStr">
        <is>
          <t>Total Non Current Assets</t>
        </is>
      </c>
      <c r="B43" s="3" t="n">
        <v>3241435000</v>
      </c>
      <c r="C43" s="3" t="n">
        <v>3177150000</v>
      </c>
      <c r="D43" s="3" t="n">
        <v>3171279000</v>
      </c>
      <c r="E43" s="3" t="n">
        <v>3231187000</v>
      </c>
      <c r="F43" s="3" t="n">
        <v>3001034000</v>
      </c>
      <c r="G43" s="3" t="n"/>
    </row>
    <row r="44">
      <c r="A44" t="inlineStr">
        <is>
          <t>Other Non Current Assets</t>
        </is>
      </c>
      <c r="B44" s="3" t="n">
        <v>78964000</v>
      </c>
      <c r="C44" s="3" t="n">
        <v>78781000</v>
      </c>
      <c r="D44" s="3" t="n">
        <v>76838000</v>
      </c>
      <c r="E44" s="3" t="n">
        <v>74843000</v>
      </c>
      <c r="F44" s="3" t="n">
        <v>74856000</v>
      </c>
      <c r="G44" s="3" t="n"/>
    </row>
    <row r="45">
      <c r="A45" t="inlineStr">
        <is>
          <t>Non Current Deferred Assets</t>
        </is>
      </c>
      <c r="B45" s="3" t="n">
        <v>214810000</v>
      </c>
      <c r="C45" s="3" t="n">
        <v>218215000</v>
      </c>
      <c r="D45" s="3" t="n">
        <v>232362000</v>
      </c>
      <c r="E45" s="3" t="n">
        <v>275897000</v>
      </c>
      <c r="F45" s="3" t="n">
        <v>116663000</v>
      </c>
      <c r="G45" s="3" t="n"/>
    </row>
    <row r="46">
      <c r="A46" t="inlineStr">
        <is>
          <t>Non Current Deferred Taxes Assets</t>
        </is>
      </c>
      <c r="B46" s="3" t="n">
        <v>214810000</v>
      </c>
      <c r="C46" s="3" t="n">
        <v>218215000</v>
      </c>
      <c r="D46" s="3" t="n">
        <v>232362000</v>
      </c>
      <c r="E46" s="3" t="n">
        <v>275897000</v>
      </c>
      <c r="F46" s="3" t="n">
        <v>116663000</v>
      </c>
      <c r="G46" s="3" t="n"/>
    </row>
    <row r="47">
      <c r="A47" t="inlineStr">
        <is>
          <t>Investments And Advances</t>
        </is>
      </c>
      <c r="B47" s="3" t="n">
        <v>169437000</v>
      </c>
      <c r="C47" s="3" t="n">
        <v>71819000</v>
      </c>
      <c r="D47" s="3" t="n">
        <v>16684000</v>
      </c>
      <c r="E47" s="3" t="n">
        <v>0</v>
      </c>
      <c r="F47" s="3" t="n">
        <v>0</v>
      </c>
      <c r="G47" s="3" t="n"/>
    </row>
    <row r="48">
      <c r="A48" t="inlineStr">
        <is>
          <t>Investmentin Financial Assets</t>
        </is>
      </c>
      <c r="B48" s="3" t="n">
        <v>169437000</v>
      </c>
      <c r="C48" s="3" t="n">
        <v>71819000</v>
      </c>
      <c r="D48" s="3" t="n">
        <v>16684000</v>
      </c>
      <c r="E48" s="3" t="n">
        <v>0</v>
      </c>
      <c r="F48" s="3" t="n">
        <v>0</v>
      </c>
      <c r="G48" s="3" t="n"/>
    </row>
    <row r="49">
      <c r="A49" t="inlineStr">
        <is>
          <t>Held To Maturity Securities</t>
        </is>
      </c>
      <c r="B49" s="3" t="n">
        <v>80002000</v>
      </c>
      <c r="C49" s="3" t="n">
        <v>36855000</v>
      </c>
      <c r="D49" s="3" t="n"/>
      <c r="E49" s="3" t="n"/>
      <c r="F49" s="3" t="n"/>
      <c r="G49" s="3" t="n"/>
    </row>
    <row r="50">
      <c r="A50" t="inlineStr">
        <is>
          <t>Available For Sale Securities</t>
        </is>
      </c>
      <c r="B50" s="3" t="n">
        <v>89435000</v>
      </c>
      <c r="C50" s="3" t="n">
        <v>34964000</v>
      </c>
      <c r="D50" s="3" t="n"/>
      <c r="E50" s="3" t="n"/>
      <c r="F50" s="3" t="n"/>
      <c r="G50" s="3" t="n"/>
    </row>
    <row r="51">
      <c r="A51" t="inlineStr">
        <is>
          <t>Goodwill And Other Intangible Assets</t>
        </is>
      </c>
      <c r="B51" s="3" t="n">
        <v>2159578000</v>
      </c>
      <c r="C51" s="3" t="n">
        <v>2180097000</v>
      </c>
      <c r="D51" s="3" t="n">
        <v>2208193000</v>
      </c>
      <c r="E51" s="3" t="n">
        <v>2231355000</v>
      </c>
      <c r="F51" s="3" t="n">
        <v>2204652000</v>
      </c>
      <c r="G51" s="3" t="n"/>
    </row>
    <row r="52">
      <c r="A52" t="inlineStr">
        <is>
          <t>Other Intangible Assets</t>
        </is>
      </c>
      <c r="B52" s="3" t="n">
        <v>720845000</v>
      </c>
      <c r="C52" s="3" t="n">
        <v>745064000</v>
      </c>
      <c r="D52" s="3" t="n">
        <v>773902000</v>
      </c>
      <c r="E52" s="3" t="n">
        <v>796372000</v>
      </c>
      <c r="F52" s="3" t="n">
        <v>771688000</v>
      </c>
      <c r="G52" s="3" t="n"/>
    </row>
    <row r="53">
      <c r="A53" t="inlineStr">
        <is>
          <t>Goodwill</t>
        </is>
      </c>
      <c r="B53" s="3" t="n">
        <v>1438733000</v>
      </c>
      <c r="C53" s="3" t="n">
        <v>1435033000</v>
      </c>
      <c r="D53" s="3" t="n">
        <v>1434291000</v>
      </c>
      <c r="E53" s="3" t="n">
        <v>1434983000</v>
      </c>
      <c r="F53" s="3" t="n">
        <v>1432964000</v>
      </c>
      <c r="G53" s="3" t="n"/>
    </row>
    <row r="54">
      <c r="A54" t="inlineStr">
        <is>
          <t>Net PPE</t>
        </is>
      </c>
      <c r="B54" s="3" t="n">
        <v>618646000</v>
      </c>
      <c r="C54" s="3" t="n">
        <v>628238000</v>
      </c>
      <c r="D54" s="3" t="n">
        <v>637202000</v>
      </c>
      <c r="E54" s="3" t="n">
        <v>649092000</v>
      </c>
      <c r="F54" s="3" t="n">
        <v>604863000</v>
      </c>
      <c r="G54" s="3" t="n"/>
    </row>
    <row r="55">
      <c r="A55" t="inlineStr">
        <is>
          <t>Accumulated Depreciation</t>
        </is>
      </c>
      <c r="B55" s="3" t="n">
        <v>-747582000</v>
      </c>
      <c r="C55" s="3" t="n">
        <v>-705000000</v>
      </c>
      <c r="D55" s="3" t="n">
        <v>-646664000</v>
      </c>
      <c r="E55" s="3" t="n">
        <v>-601753000</v>
      </c>
      <c r="F55" s="3" t="n">
        <v>-571728000</v>
      </c>
      <c r="G55" s="3" t="n"/>
    </row>
    <row r="56">
      <c r="A56" t="inlineStr">
        <is>
          <t>Gross PPE</t>
        </is>
      </c>
      <c r="B56" s="3" t="n">
        <v>1366228000</v>
      </c>
      <c r="C56" s="3" t="n">
        <v>1333238000</v>
      </c>
      <c r="D56" s="3" t="n">
        <v>1283866000</v>
      </c>
      <c r="E56" s="3" t="n">
        <v>1250845000</v>
      </c>
      <c r="F56" s="3" t="n">
        <v>1176591000</v>
      </c>
      <c r="G56" s="3" t="n"/>
    </row>
    <row r="57">
      <c r="A57" t="inlineStr">
        <is>
          <t>Other Properties</t>
        </is>
      </c>
      <c r="B57" s="3" t="n">
        <v>1227565000</v>
      </c>
      <c r="C57" s="3" t="n">
        <v>1194816000</v>
      </c>
      <c r="D57" s="3" t="n">
        <v>1148735000</v>
      </c>
      <c r="E57" s="3" t="n">
        <v>1121287000</v>
      </c>
      <c r="F57" s="3" t="n">
        <v>1064893000</v>
      </c>
      <c r="G57" s="3" t="n"/>
    </row>
    <row r="58">
      <c r="A58" t="inlineStr">
        <is>
          <t>Buildings And Improvements</t>
        </is>
      </c>
      <c r="B58" s="3" t="n">
        <v>127833000</v>
      </c>
      <c r="C58" s="3" t="n">
        <v>127573000</v>
      </c>
      <c r="D58" s="3" t="n">
        <v>125364000</v>
      </c>
      <c r="E58" s="3" t="n">
        <v>119793000</v>
      </c>
      <c r="F58" s="3" t="n">
        <v>101957000</v>
      </c>
      <c r="G58" s="3" t="n"/>
    </row>
    <row r="59">
      <c r="A59" t="inlineStr">
        <is>
          <t>Land And Improvements</t>
        </is>
      </c>
      <c r="B59" s="3" t="n">
        <v>10830000</v>
      </c>
      <c r="C59" s="3" t="n">
        <v>10849000</v>
      </c>
      <c r="D59" s="3" t="n">
        <v>9767000</v>
      </c>
      <c r="E59" s="3" t="n">
        <v>9765000</v>
      </c>
      <c r="F59" s="3" t="n">
        <v>9741000</v>
      </c>
      <c r="G59" s="3" t="n"/>
    </row>
    <row r="60">
      <c r="A60" t="inlineStr">
        <is>
          <t>Properties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/>
    </row>
    <row r="61">
      <c r="A61" t="inlineStr">
        <is>
          <t>Current Assets</t>
        </is>
      </c>
      <c r="B61" s="3" t="n">
        <v>2198120000</v>
      </c>
      <c r="C61" s="3" t="n">
        <v>2125611000</v>
      </c>
      <c r="D61" s="3" t="n">
        <v>1924361000</v>
      </c>
      <c r="E61" s="3" t="n">
        <v>1729902000</v>
      </c>
      <c r="F61" s="3" t="n">
        <v>1710114000</v>
      </c>
      <c r="G61" s="3" t="n"/>
    </row>
    <row r="62">
      <c r="A62" t="inlineStr">
        <is>
          <t>Other Current Assets</t>
        </is>
      </c>
      <c r="B62" s="3" t="n">
        <v>60228000</v>
      </c>
      <c r="C62" s="3" t="n">
        <v>65426000</v>
      </c>
      <c r="D62" s="3" t="n">
        <v>74177000</v>
      </c>
      <c r="E62" s="3" t="n">
        <v>68202000</v>
      </c>
      <c r="F62" s="3" t="n">
        <v>47131000</v>
      </c>
      <c r="G62" s="3" t="n"/>
    </row>
    <row r="63">
      <c r="A63" t="inlineStr">
        <is>
          <t>Inventory</t>
        </is>
      </c>
      <c r="B63" s="3" t="n">
        <v>772602000</v>
      </c>
      <c r="C63" s="3" t="n">
        <v>759277000</v>
      </c>
      <c r="D63" s="3" t="n">
        <v>771538000</v>
      </c>
      <c r="E63" s="3" t="n">
        <v>772131000</v>
      </c>
      <c r="F63" s="3" t="n">
        <v>663603000</v>
      </c>
      <c r="G63" s="3" t="n"/>
    </row>
    <row r="64">
      <c r="A64" t="inlineStr">
        <is>
          <t>Finished Goods</t>
        </is>
      </c>
      <c r="B64" s="3" t="n">
        <v>539084000</v>
      </c>
      <c r="C64" s="3" t="n">
        <v>532568000</v>
      </c>
      <c r="D64" s="3" t="n">
        <v>555735000</v>
      </c>
      <c r="E64" s="3" t="n">
        <v>558372000</v>
      </c>
      <c r="F64" s="3" t="n">
        <v>497031000</v>
      </c>
      <c r="G64" s="3" t="n"/>
    </row>
    <row r="65">
      <c r="A65" t="inlineStr">
        <is>
          <t>Work In Process</t>
        </is>
      </c>
      <c r="B65" s="3" t="n">
        <v>69687000</v>
      </c>
      <c r="C65" s="3" t="n">
        <v>64462000</v>
      </c>
      <c r="D65" s="3" t="n">
        <v>63678000</v>
      </c>
      <c r="E65" s="3" t="n">
        <v>60448000</v>
      </c>
      <c r="F65" s="3" t="n">
        <v>47998000</v>
      </c>
      <c r="G65" s="3" t="n"/>
    </row>
    <row r="66">
      <c r="A66" t="inlineStr">
        <is>
          <t>Raw Materials</t>
        </is>
      </c>
      <c r="B66" s="3" t="n">
        <v>163831000</v>
      </c>
      <c r="C66" s="3" t="n">
        <v>162247000</v>
      </c>
      <c r="D66" s="3" t="n">
        <v>152125000</v>
      </c>
      <c r="E66" s="3" t="n">
        <v>153311000</v>
      </c>
      <c r="F66" s="3" t="n">
        <v>118574000</v>
      </c>
      <c r="G66" s="3" t="n"/>
    </row>
    <row r="67">
      <c r="A67" t="inlineStr">
        <is>
          <t>Receivables</t>
        </is>
      </c>
      <c r="B67" s="3" t="n">
        <v>735439000</v>
      </c>
      <c r="C67" s="3" t="n">
        <v>743665000</v>
      </c>
      <c r="D67" s="3" t="n">
        <v>688123000</v>
      </c>
      <c r="E67" s="3" t="n">
        <v>660123000</v>
      </c>
      <c r="F67" s="3" t="n">
        <v>538114000</v>
      </c>
      <c r="G67" s="3" t="n"/>
    </row>
    <row r="68">
      <c r="A68" t="inlineStr">
        <is>
          <t>Taxes Receivable</t>
        </is>
      </c>
      <c r="B68" s="3" t="n">
        <v>49006000</v>
      </c>
      <c r="C68" s="3" t="n">
        <v>64727000</v>
      </c>
      <c r="D68" s="3" t="n">
        <v>69007000</v>
      </c>
      <c r="E68" s="3" t="n">
        <v>48558000</v>
      </c>
      <c r="F68" s="3" t="n">
        <v>3024000</v>
      </c>
      <c r="G68" s="3" t="n"/>
    </row>
    <row r="69">
      <c r="A69" t="inlineStr">
        <is>
          <t>Accounts Receivable</t>
        </is>
      </c>
      <c r="B69" s="3" t="n">
        <v>686433000</v>
      </c>
      <c r="C69" s="3" t="n">
        <v>678938000</v>
      </c>
      <c r="D69" s="3" t="n">
        <v>619116000</v>
      </c>
      <c r="E69" s="3" t="n">
        <v>611565000</v>
      </c>
      <c r="F69" s="3" t="n">
        <v>535090000</v>
      </c>
      <c r="G69" s="3" t="n"/>
    </row>
    <row r="70">
      <c r="A70" t="inlineStr">
        <is>
          <t>Allowance For Doubtful Accounts Receivable</t>
        </is>
      </c>
      <c r="B70" s="3" t="n">
        <v>-40933000</v>
      </c>
      <c r="C70" s="3" t="n">
        <v>-33434000</v>
      </c>
      <c r="D70" s="3" t="n">
        <v>-27406000</v>
      </c>
      <c r="E70" s="3" t="n">
        <v>-26607000</v>
      </c>
      <c r="F70" s="3" t="n">
        <v>-8488000</v>
      </c>
      <c r="G70" s="3" t="n"/>
    </row>
    <row r="71">
      <c r="A71" t="inlineStr">
        <is>
          <t>Gross Accounts Receivable</t>
        </is>
      </c>
      <c r="B71" s="3" t="n">
        <v>727366000</v>
      </c>
      <c r="C71" s="3" t="n">
        <v>712372000</v>
      </c>
      <c r="D71" s="3" t="n">
        <v>646522000</v>
      </c>
      <c r="E71" s="3" t="n">
        <v>638172000</v>
      </c>
      <c r="F71" s="3" t="n">
        <v>543578000</v>
      </c>
      <c r="G71" s="3" t="n"/>
    </row>
    <row r="72">
      <c r="A72" t="inlineStr">
        <is>
          <t>Cash Cash Equivalents And Short Term Investments</t>
        </is>
      </c>
      <c r="B72" s="3" t="n">
        <v>629851000</v>
      </c>
      <c r="C72" s="3" t="n">
        <v>557243000</v>
      </c>
      <c r="D72" s="3" t="n">
        <v>390523000</v>
      </c>
      <c r="E72" s="3" t="n">
        <v>229446000</v>
      </c>
      <c r="F72" s="3" t="n">
        <v>461266000</v>
      </c>
      <c r="G72" s="3" t="n"/>
    </row>
    <row r="73">
      <c r="A73" t="inlineStr">
        <is>
          <t>Other Short Term Investments</t>
        </is>
      </c>
      <c r="B73" s="3" t="n">
        <v>68901000</v>
      </c>
      <c r="C73" s="3" t="n">
        <v>31087000</v>
      </c>
      <c r="D73" s="3" t="n">
        <v>18754000</v>
      </c>
      <c r="E73" s="3" t="n">
        <v>0</v>
      </c>
      <c r="F73" s="3" t="n">
        <v>0</v>
      </c>
      <c r="G73" s="3" t="n"/>
    </row>
    <row r="74">
      <c r="A74" t="inlineStr">
        <is>
          <t>Cash And Cash Equivalents</t>
        </is>
      </c>
      <c r="B74" s="3" t="n">
        <v>560950000</v>
      </c>
      <c r="C74" s="3" t="n">
        <v>526156000</v>
      </c>
      <c r="D74" s="3" t="n">
        <v>371769000</v>
      </c>
      <c r="E74" s="3" t="n">
        <v>229446000</v>
      </c>
      <c r="F74" s="3" t="n">
        <v>461266000</v>
      </c>
      <c r="G74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579022000</v>
      </c>
      <c r="C2" s="3" t="n">
        <v>405209000</v>
      </c>
      <c r="D2" s="3" t="n">
        <v>165225000</v>
      </c>
      <c r="E2" s="3" t="n">
        <v>104421000</v>
      </c>
      <c r="F2" s="3" t="n"/>
    </row>
    <row r="3">
      <c r="A3" t="inlineStr">
        <is>
          <t>Repurchase Of Capital Stock</t>
        </is>
      </c>
      <c r="B3" s="3" t="n">
        <v>-300451000</v>
      </c>
      <c r="C3" s="3" t="n">
        <v>-85787000</v>
      </c>
      <c r="D3" s="3" t="n">
        <v>-225562000</v>
      </c>
      <c r="E3" s="3" t="n">
        <v>-144493000</v>
      </c>
      <c r="F3" s="3" t="n"/>
    </row>
    <row r="4">
      <c r="A4" t="inlineStr">
        <is>
          <t>Repayment Of Debt</t>
        </is>
      </c>
      <c r="B4" s="3" t="n">
        <v>-449985000</v>
      </c>
      <c r="C4" s="3" t="n">
        <v>0</v>
      </c>
      <c r="D4" s="3" t="n">
        <v>0</v>
      </c>
      <c r="E4" s="3" t="n"/>
      <c r="F4" s="3" t="n"/>
    </row>
    <row r="5">
      <c r="A5" t="inlineStr">
        <is>
          <t>Issuance Of Capital Stock</t>
        </is>
      </c>
      <c r="B5" s="3" t="n"/>
      <c r="C5" s="3" t="n"/>
      <c r="D5" s="3" t="n"/>
      <c r="E5" s="3" t="n"/>
      <c r="F5" s="3" t="n">
        <v>63496000</v>
      </c>
    </row>
    <row r="6">
      <c r="A6" t="inlineStr">
        <is>
          <t>Capital Expenditure</t>
        </is>
      </c>
      <c r="B6" s="3" t="n">
        <v>-174425000</v>
      </c>
      <c r="C6" s="3" t="n">
        <v>-115429000</v>
      </c>
      <c r="D6" s="3" t="n">
        <v>-78274000</v>
      </c>
      <c r="E6" s="3" t="n">
        <v>-74047000</v>
      </c>
      <c r="F6" s="3" t="n"/>
    </row>
    <row r="7">
      <c r="A7" t="inlineStr">
        <is>
          <t>Income Tax Paid Supplemental Data</t>
        </is>
      </c>
      <c r="B7" s="3" t="n">
        <v>98916000</v>
      </c>
      <c r="C7" s="3" t="n">
        <v>158508000</v>
      </c>
      <c r="D7" s="3" t="n">
        <v>100593000</v>
      </c>
      <c r="E7" s="3" t="n">
        <v>77823000</v>
      </c>
      <c r="F7" s="3" t="n"/>
    </row>
    <row r="8">
      <c r="A8" t="inlineStr">
        <is>
          <t>End Cash Position</t>
        </is>
      </c>
      <c r="B8" s="3" t="n">
        <v>526156000</v>
      </c>
      <c r="C8" s="3" t="n">
        <v>784438000</v>
      </c>
      <c r="D8" s="3" t="n">
        <v>467292000</v>
      </c>
      <c r="E8" s="3" t="n">
        <v>150466000</v>
      </c>
      <c r="F8" s="3" t="n"/>
    </row>
    <row r="9">
      <c r="A9" t="inlineStr">
        <is>
          <t>Beginning Cash Position</t>
        </is>
      </c>
      <c r="B9" s="3" t="n">
        <v>784438000</v>
      </c>
      <c r="C9" s="3" t="n">
        <v>467292000</v>
      </c>
      <c r="D9" s="3" t="n">
        <v>150466000</v>
      </c>
      <c r="E9" s="3" t="n">
        <v>193069000</v>
      </c>
      <c r="F9" s="3" t="n"/>
    </row>
    <row r="10">
      <c r="A10" t="inlineStr">
        <is>
          <t>Effect Of Exchange Rate Changes</t>
        </is>
      </c>
      <c r="B10" s="3" t="n">
        <v>22445000</v>
      </c>
      <c r="C10" s="3" t="n">
        <v>255000</v>
      </c>
      <c r="D10" s="3" t="n">
        <v>2180000</v>
      </c>
      <c r="E10" s="3" t="n">
        <v>-747000</v>
      </c>
      <c r="F10" s="3" t="n"/>
    </row>
    <row r="11">
      <c r="A11" t="inlineStr">
        <is>
          <t>Changes In Cash</t>
        </is>
      </c>
      <c r="B11" s="3" t="n">
        <v>-280727000</v>
      </c>
      <c r="C11" s="3" t="n">
        <v>316891000</v>
      </c>
      <c r="D11" s="3" t="n">
        <v>314646000</v>
      </c>
      <c r="E11" s="3" t="n">
        <v>-41856000</v>
      </c>
      <c r="F11" s="3" t="n"/>
    </row>
    <row r="12">
      <c r="A12" t="inlineStr">
        <is>
          <t>Financing Cash Flow</t>
        </is>
      </c>
      <c r="B12" s="3" t="n">
        <v>-679160000</v>
      </c>
      <c r="C12" s="3" t="n">
        <v>-27696000</v>
      </c>
      <c r="D12" s="3" t="n">
        <v>-231821000</v>
      </c>
      <c r="E12" s="3" t="n">
        <v>-109962000</v>
      </c>
      <c r="F12" s="3" t="n"/>
    </row>
    <row r="13">
      <c r="A13" t="inlineStr">
        <is>
          <t>Cash Flow From Continuing Financing Activities</t>
        </is>
      </c>
      <c r="B13" s="3" t="n">
        <v>-679160000</v>
      </c>
      <c r="C13" s="3" t="n">
        <v>-27696000</v>
      </c>
      <c r="D13" s="3" t="n">
        <v>-231821000</v>
      </c>
      <c r="E13" s="3" t="n">
        <v>-109962000</v>
      </c>
      <c r="F13" s="3" t="n"/>
    </row>
    <row r="14">
      <c r="A14" t="inlineStr">
        <is>
          <t>Net Other Financing Charges</t>
        </is>
      </c>
      <c r="B14" s="3" t="n">
        <v>-18481000</v>
      </c>
      <c r="C14" s="3" t="n">
        <v>-52348000</v>
      </c>
      <c r="D14" s="3" t="n">
        <v>-18656000</v>
      </c>
      <c r="E14" s="3" t="n">
        <v>-7185000</v>
      </c>
      <c r="F14" s="3" t="n"/>
    </row>
    <row r="15">
      <c r="A15" t="inlineStr">
        <is>
          <t>Proceeds From Stock Option Exercised</t>
        </is>
      </c>
      <c r="B15" s="3" t="n">
        <v>89757000</v>
      </c>
      <c r="C15" s="3" t="n">
        <v>110439000</v>
      </c>
      <c r="D15" s="3" t="n">
        <v>12397000</v>
      </c>
      <c r="E15" s="3" t="n">
        <v>41716000</v>
      </c>
      <c r="F15" s="3" t="n"/>
    </row>
    <row r="16">
      <c r="A16" t="inlineStr">
        <is>
          <t>Net Common Stock Issuance</t>
        </is>
      </c>
      <c r="B16" s="3" t="n">
        <v>-300451000</v>
      </c>
      <c r="C16" s="3" t="n">
        <v>-85787000</v>
      </c>
      <c r="D16" s="3" t="n">
        <v>-225562000</v>
      </c>
      <c r="E16" s="3" t="n">
        <v>-144493000</v>
      </c>
      <c r="F16" s="3" t="n"/>
    </row>
    <row r="17">
      <c r="A17" t="inlineStr">
        <is>
          <t>Common Stock Payments</t>
        </is>
      </c>
      <c r="B17" s="3" t="n">
        <v>-300451000</v>
      </c>
      <c r="C17" s="3" t="n">
        <v>-85787000</v>
      </c>
      <c r="D17" s="3" t="n">
        <v>-225562000</v>
      </c>
      <c r="E17" s="3" t="n">
        <v>-144493000</v>
      </c>
      <c r="F17" s="3" t="n"/>
    </row>
    <row r="18">
      <c r="A18" t="inlineStr">
        <is>
          <t>Common Stock Issuance</t>
        </is>
      </c>
      <c r="B18" s="3" t="n"/>
      <c r="C18" s="3" t="n"/>
      <c r="D18" s="3" t="n"/>
      <c r="E18" s="3" t="n"/>
      <c r="F18" s="3" t="n">
        <v>63496000</v>
      </c>
    </row>
    <row r="19">
      <c r="A19" t="inlineStr">
        <is>
          <t>Net Issuance Payments Of Debt</t>
        </is>
      </c>
      <c r="B19" s="3" t="n">
        <v>-449985000</v>
      </c>
      <c r="C19" s="3" t="n">
        <v>0</v>
      </c>
      <c r="D19" s="3" t="n">
        <v>0</v>
      </c>
      <c r="E19" s="3" t="n"/>
      <c r="F19" s="3" t="n"/>
    </row>
    <row r="20">
      <c r="A20" t="inlineStr">
        <is>
          <t>Net Short Term Debt Issuance</t>
        </is>
      </c>
      <c r="B20" s="3" t="n">
        <v>-449985000</v>
      </c>
      <c r="C20" s="3" t="n">
        <v>0</v>
      </c>
      <c r="D20" s="3" t="n">
        <v>0</v>
      </c>
      <c r="E20" s="3" t="n"/>
      <c r="F20" s="3" t="n"/>
    </row>
    <row r="21">
      <c r="A21" t="inlineStr">
        <is>
          <t>Short Term Debt Payments</t>
        </is>
      </c>
      <c r="B21" s="3" t="n">
        <v>-449985000</v>
      </c>
      <c r="C21" s="3" t="n">
        <v>0</v>
      </c>
      <c r="D21" s="3" t="n">
        <v>0</v>
      </c>
      <c r="E21" s="3" t="n"/>
      <c r="F21" s="3" t="n"/>
    </row>
    <row r="22">
      <c r="A22" t="inlineStr">
        <is>
          <t>Investing Cash Flow</t>
        </is>
      </c>
      <c r="B22" s="3" t="n">
        <v>-355014000</v>
      </c>
      <c r="C22" s="3" t="n">
        <v>-176051000</v>
      </c>
      <c r="D22" s="3" t="n">
        <v>302968000</v>
      </c>
      <c r="E22" s="3" t="n">
        <v>-110362000</v>
      </c>
      <c r="F22" s="3" t="n"/>
    </row>
    <row r="23">
      <c r="A23" t="inlineStr">
        <is>
          <t>Cash Flow From Continuing Investing Activities</t>
        </is>
      </c>
      <c r="B23" s="3" t="n">
        <v>-355014000</v>
      </c>
      <c r="C23" s="3" t="n">
        <v>-176051000</v>
      </c>
      <c r="D23" s="3" t="n">
        <v>302968000</v>
      </c>
      <c r="E23" s="3" t="n">
        <v>-110362000</v>
      </c>
      <c r="F23" s="3" t="n"/>
    </row>
    <row r="24">
      <c r="A24" t="inlineStr">
        <is>
          <t>Net Investment Purchase And Sale</t>
        </is>
      </c>
      <c r="B24" s="3" t="n">
        <v>71957000</v>
      </c>
      <c r="C24" s="3" t="n">
        <v>-42987000</v>
      </c>
      <c r="D24" s="3" t="n">
        <v>677270000</v>
      </c>
      <c r="E24" s="3" t="n">
        <v>-4880000</v>
      </c>
      <c r="F24" s="3" t="n"/>
    </row>
    <row r="25">
      <c r="A25" t="inlineStr">
        <is>
          <t>Sale Of Investment</t>
        </is>
      </c>
      <c r="B25" s="3" t="n">
        <v>179488000</v>
      </c>
      <c r="C25" s="3" t="n">
        <v>70517000</v>
      </c>
      <c r="D25" s="3" t="n">
        <v>777913000</v>
      </c>
      <c r="E25" s="3" t="n">
        <v>414654000</v>
      </c>
      <c r="F25" s="3" t="n"/>
    </row>
    <row r="26">
      <c r="A26" t="inlineStr">
        <is>
          <t>Purchase Of Investment</t>
        </is>
      </c>
      <c r="B26" s="3" t="n">
        <v>-107531000</v>
      </c>
      <c r="C26" s="3" t="n">
        <v>-113504000</v>
      </c>
      <c r="D26" s="3" t="n">
        <v>-100643000</v>
      </c>
      <c r="E26" s="3" t="n">
        <v>-419534000</v>
      </c>
      <c r="F26" s="3" t="n"/>
    </row>
    <row r="27">
      <c r="A27" t="inlineStr">
        <is>
          <t>Net Business Purchase And Sale</t>
        </is>
      </c>
      <c r="B27" s="3" t="n">
        <v>-252546000</v>
      </c>
      <c r="C27" s="3" t="n">
        <v>-17635000</v>
      </c>
      <c r="D27" s="3" t="n">
        <v>-296028000</v>
      </c>
      <c r="E27" s="3" t="n">
        <v>-31435000</v>
      </c>
      <c r="F27" s="3" t="n"/>
    </row>
    <row r="28">
      <c r="A28" t="inlineStr">
        <is>
          <t>Purchase Of Business</t>
        </is>
      </c>
      <c r="B28" s="3" t="n">
        <v>-252546000</v>
      </c>
      <c r="C28" s="3" t="n">
        <v>-17635000</v>
      </c>
      <c r="D28" s="3" t="n">
        <v>-296028000</v>
      </c>
      <c r="E28" s="3" t="n">
        <v>-31435000</v>
      </c>
      <c r="F28" s="3" t="n"/>
    </row>
    <row r="29">
      <c r="A29" t="inlineStr">
        <is>
          <t>Net Intangibles Purchase And Sale</t>
        </is>
      </c>
      <c r="B29" s="3" t="n">
        <v>-9746000</v>
      </c>
      <c r="C29" s="3" t="n">
        <v>0</v>
      </c>
      <c r="D29" s="3" t="n">
        <v>0</v>
      </c>
      <c r="E29" s="3" t="n"/>
      <c r="F29" s="3" t="n"/>
    </row>
    <row r="30">
      <c r="A30" t="inlineStr">
        <is>
          <t>Purchase Of Intangibles</t>
        </is>
      </c>
      <c r="B30" s="3" t="n">
        <v>-9746000</v>
      </c>
      <c r="C30" s="3" t="n">
        <v>0</v>
      </c>
      <c r="D30" s="3" t="n">
        <v>0</v>
      </c>
      <c r="E30" s="3" t="n"/>
      <c r="F30" s="3" t="n"/>
    </row>
    <row r="31">
      <c r="A31" t="inlineStr">
        <is>
          <t>Net PPE Purchase And Sale</t>
        </is>
      </c>
      <c r="B31" s="3" t="n">
        <v>-164679000</v>
      </c>
      <c r="C31" s="3" t="n">
        <v>-115429000</v>
      </c>
      <c r="D31" s="3" t="n">
        <v>-78274000</v>
      </c>
      <c r="E31" s="3" t="n">
        <v>-74047000</v>
      </c>
      <c r="F31" s="3" t="n"/>
    </row>
    <row r="32">
      <c r="A32" t="inlineStr">
        <is>
          <t>Purchase Of PPE</t>
        </is>
      </c>
      <c r="B32" s="3" t="n">
        <v>-164679000</v>
      </c>
      <c r="C32" s="3" t="n">
        <v>-115429000</v>
      </c>
      <c r="D32" s="3" t="n">
        <v>-78274000</v>
      </c>
      <c r="E32" s="3" t="n">
        <v>-74047000</v>
      </c>
      <c r="F32" s="3" t="n"/>
    </row>
    <row r="33">
      <c r="A33" t="inlineStr">
        <is>
          <t>Operating Cash Flow</t>
        </is>
      </c>
      <c r="B33" s="3" t="n">
        <v>753447000</v>
      </c>
      <c r="C33" s="3" t="n">
        <v>520638000</v>
      </c>
      <c r="D33" s="3" t="n">
        <v>243499000</v>
      </c>
      <c r="E33" s="3" t="n">
        <v>178468000</v>
      </c>
      <c r="F33" s="3" t="n"/>
    </row>
    <row r="34">
      <c r="A34" t="inlineStr">
        <is>
          <t>Cash Flow From Continuing Operating Activities</t>
        </is>
      </c>
      <c r="B34" s="3" t="n">
        <v>753447000</v>
      </c>
      <c r="C34" s="3" t="n">
        <v>520638000</v>
      </c>
      <c r="D34" s="3" t="n">
        <v>243499000</v>
      </c>
      <c r="E34" s="3" t="n">
        <v>178468000</v>
      </c>
      <c r="F34" s="3" t="n"/>
    </row>
    <row r="35">
      <c r="A35" t="inlineStr">
        <is>
          <t>Change In Working Capital</t>
        </is>
      </c>
      <c r="B35" s="3" t="n">
        <v>-66795000</v>
      </c>
      <c r="C35" s="3" t="n">
        <v>-97554000</v>
      </c>
      <c r="D35" s="3" t="n">
        <v>-116598000</v>
      </c>
      <c r="E35" s="3" t="n">
        <v>-105262000</v>
      </c>
      <c r="F35" s="3" t="n"/>
    </row>
    <row r="36">
      <c r="A36" t="inlineStr">
        <is>
          <t>Change In Other Working Capital</t>
        </is>
      </c>
      <c r="B36" s="3" t="n">
        <v>-50851000</v>
      </c>
      <c r="C36" s="3" t="n">
        <v>-13377000</v>
      </c>
      <c r="D36" s="3" t="n">
        <v>-408000</v>
      </c>
      <c r="E36" s="3" t="n">
        <v>-2887000</v>
      </c>
      <c r="F36" s="3" t="n"/>
    </row>
    <row r="37">
      <c r="A37" t="inlineStr">
        <is>
          <t>Change In Payables And Accrued Expense</t>
        </is>
      </c>
      <c r="B37" s="3" t="n">
        <v>42704000</v>
      </c>
      <c r="C37" s="3" t="n">
        <v>22686000</v>
      </c>
      <c r="D37" s="3" t="n">
        <v>2904000</v>
      </c>
      <c r="E37" s="3" t="n">
        <v>20505000</v>
      </c>
      <c r="F37" s="3" t="n"/>
    </row>
    <row r="38">
      <c r="A38" t="inlineStr">
        <is>
          <t>Change In Accrued Expense</t>
        </is>
      </c>
      <c r="B38" s="3" t="n">
        <v>34217000</v>
      </c>
      <c r="C38" s="3" t="n">
        <v>5023000</v>
      </c>
      <c r="D38" s="3" t="n">
        <v>17127000</v>
      </c>
      <c r="E38" s="3" t="n">
        <v>6087000</v>
      </c>
      <c r="F38" s="3" t="n"/>
    </row>
    <row r="39">
      <c r="A39" t="inlineStr">
        <is>
          <t>Change In Payable</t>
        </is>
      </c>
      <c r="B39" s="3" t="n">
        <v>8487000</v>
      </c>
      <c r="C39" s="3" t="n">
        <v>17663000</v>
      </c>
      <c r="D39" s="3" t="n">
        <v>-14223000</v>
      </c>
      <c r="E39" s="3" t="n">
        <v>14418000</v>
      </c>
      <c r="F39" s="3" t="n"/>
    </row>
    <row r="40">
      <c r="A40" t="inlineStr">
        <is>
          <t>Change In Account Payable</t>
        </is>
      </c>
      <c r="B40" s="3" t="n">
        <v>8487000</v>
      </c>
      <c r="C40" s="3" t="n">
        <v>17663000</v>
      </c>
      <c r="D40" s="3" t="n">
        <v>-14223000</v>
      </c>
      <c r="E40" s="3" t="n">
        <v>14418000</v>
      </c>
      <c r="F40" s="3" t="n"/>
    </row>
    <row r="41">
      <c r="A41" t="inlineStr">
        <is>
          <t>Change In Prepaid Assets</t>
        </is>
      </c>
      <c r="B41" s="3" t="n">
        <v>11132000</v>
      </c>
      <c r="C41" s="3" t="n">
        <v>1059000</v>
      </c>
      <c r="D41" s="3" t="n">
        <v>1148000</v>
      </c>
      <c r="E41" s="3" t="n">
        <v>-10292000</v>
      </c>
      <c r="F41" s="3" t="n"/>
    </row>
    <row r="42">
      <c r="A42" t="inlineStr">
        <is>
          <t>Change In Inventory</t>
        </is>
      </c>
      <c r="B42" s="3" t="n">
        <v>-17598000</v>
      </c>
      <c r="C42" s="3" t="n">
        <v>-29860000</v>
      </c>
      <c r="D42" s="3" t="n">
        <v>-70328000</v>
      </c>
      <c r="E42" s="3" t="n">
        <v>-61745000</v>
      </c>
      <c r="F42" s="3" t="n"/>
    </row>
    <row r="43">
      <c r="A43" t="inlineStr">
        <is>
          <t>Change In Receivables</t>
        </is>
      </c>
      <c r="B43" s="3" t="n">
        <v>-52182000</v>
      </c>
      <c r="C43" s="3" t="n">
        <v>-78062000</v>
      </c>
      <c r="D43" s="3" t="n">
        <v>-49914000</v>
      </c>
      <c r="E43" s="3" t="n">
        <v>-50843000</v>
      </c>
      <c r="F43" s="3" t="n"/>
    </row>
    <row r="44">
      <c r="A44" t="inlineStr">
        <is>
          <t>Changes In Account Receivables</t>
        </is>
      </c>
      <c r="B44" s="3" t="n">
        <v>-52182000</v>
      </c>
      <c r="C44" s="3" t="n">
        <v>-78062000</v>
      </c>
      <c r="D44" s="3" t="n">
        <v>-49914000</v>
      </c>
      <c r="E44" s="3" t="n">
        <v>-50843000</v>
      </c>
      <c r="F44" s="3" t="n"/>
    </row>
    <row r="45">
      <c r="A45" t="inlineStr">
        <is>
          <t>Other Non Cash Items</t>
        </is>
      </c>
      <c r="B45" s="3" t="n">
        <v>-95148000</v>
      </c>
      <c r="C45" s="3" t="n">
        <v>262421000</v>
      </c>
      <c r="D45" s="3" t="n">
        <v>94261000</v>
      </c>
      <c r="E45" s="3" t="n">
        <v>2635000</v>
      </c>
      <c r="F45" s="3" t="n"/>
    </row>
    <row r="46">
      <c r="A46" t="inlineStr">
        <is>
          <t>Stock Based Compensation</t>
        </is>
      </c>
      <c r="B46" s="3" t="n">
        <v>49779000</v>
      </c>
      <c r="C46" s="3" t="n">
        <v>54191000</v>
      </c>
      <c r="D46" s="3" t="n">
        <v>52742000</v>
      </c>
      <c r="E46" s="3" t="n">
        <v>32810000</v>
      </c>
      <c r="F46" s="3" t="n"/>
    </row>
    <row r="47">
      <c r="A47" t="inlineStr">
        <is>
          <t>Provisionand Write Offof Assets</t>
        </is>
      </c>
      <c r="B47" s="3" t="n">
        <v>32342000</v>
      </c>
      <c r="C47" s="3" t="n">
        <v>40345000</v>
      </c>
      <c r="D47" s="3" t="n">
        <v>14617000</v>
      </c>
      <c r="E47" s="3" t="n">
        <v>6399000</v>
      </c>
      <c r="F47" s="3" t="n"/>
    </row>
    <row r="48">
      <c r="A48" t="inlineStr">
        <is>
          <t>Asset Impairment Charge</t>
        </is>
      </c>
      <c r="B48" s="3" t="n"/>
      <c r="C48" s="3" t="n"/>
      <c r="D48" s="3" t="n"/>
      <c r="E48" s="3" t="n">
        <v>6400000</v>
      </c>
      <c r="F48" s="3" t="n">
        <v>6143000</v>
      </c>
    </row>
    <row r="49">
      <c r="A49" t="inlineStr">
        <is>
          <t>Amortization Of Securities</t>
        </is>
      </c>
      <c r="B49" s="3" t="n"/>
      <c r="C49" s="3" t="n">
        <v>-635000</v>
      </c>
      <c r="D49" s="3" t="n">
        <v>793000</v>
      </c>
      <c r="E49" s="3" t="n">
        <v>5389000</v>
      </c>
      <c r="F49" s="3" t="n">
        <v>2781000</v>
      </c>
    </row>
    <row r="50">
      <c r="A50" t="inlineStr">
        <is>
          <t>Deferred Tax</t>
        </is>
      </c>
      <c r="B50" s="3" t="n">
        <v>18625000</v>
      </c>
      <c r="C50" s="3" t="n">
        <v>-125902000</v>
      </c>
      <c r="D50" s="3" t="n">
        <v>-57789000</v>
      </c>
      <c r="E50" s="3" t="n">
        <v>-22223000</v>
      </c>
      <c r="F50" s="3" t="n"/>
    </row>
    <row r="51">
      <c r="A51" t="inlineStr">
        <is>
          <t>Deferred Income Tax</t>
        </is>
      </c>
      <c r="B51" s="3" t="n">
        <v>18625000</v>
      </c>
      <c r="C51" s="3" t="n">
        <v>-125902000</v>
      </c>
      <c r="D51" s="3" t="n">
        <v>-57789000</v>
      </c>
      <c r="E51" s="3" t="n">
        <v>-22223000</v>
      </c>
      <c r="F51" s="3" t="n"/>
    </row>
    <row r="52">
      <c r="A52" t="inlineStr">
        <is>
          <t>Depreciation Amortization Depletion</t>
        </is>
      </c>
      <c r="B52" s="3" t="n">
        <v>276842000</v>
      </c>
      <c r="C52" s="3" t="n">
        <v>253389000</v>
      </c>
      <c r="D52" s="3" t="n">
        <v>145526000</v>
      </c>
      <c r="E52" s="3" t="n">
        <v>68252000</v>
      </c>
      <c r="F52" s="3" t="n"/>
    </row>
    <row r="53">
      <c r="A53" t="inlineStr">
        <is>
          <t>Depreciation And Amortization</t>
        </is>
      </c>
      <c r="B53" s="3" t="n">
        <v>276842000</v>
      </c>
      <c r="C53" s="3" t="n">
        <v>253389000</v>
      </c>
      <c r="D53" s="3" t="n">
        <v>145526000</v>
      </c>
      <c r="E53" s="3" t="n">
        <v>68252000</v>
      </c>
      <c r="F53" s="3" t="n"/>
    </row>
    <row r="54">
      <c r="A54" t="inlineStr">
        <is>
          <t>Operating Gains Losses</t>
        </is>
      </c>
      <c r="B54" s="3" t="n">
        <v>-66000</v>
      </c>
      <c r="C54" s="3" t="n">
        <v>30764000</v>
      </c>
      <c r="D54" s="3" t="n">
        <v>-12133000</v>
      </c>
      <c r="E54" s="3" t="n">
        <v>299000</v>
      </c>
      <c r="F54" s="3" t="n"/>
    </row>
    <row r="55">
      <c r="A55" t="inlineStr">
        <is>
          <t>Net Foreign Currency Exchange Gain Loss</t>
        </is>
      </c>
      <c r="B55" s="3" t="n">
        <v>-12591000</v>
      </c>
      <c r="C55" s="3" t="n">
        <v>25212000</v>
      </c>
      <c r="D55" s="3" t="n">
        <v>-13674000</v>
      </c>
      <c r="E55" s="3" t="n">
        <v>0</v>
      </c>
      <c r="F55" s="3" t="n"/>
    </row>
    <row r="56">
      <c r="A56" t="inlineStr">
        <is>
          <t>Net Income From Continuing Operations</t>
        </is>
      </c>
      <c r="B56" s="3" t="n">
        <v>537868000</v>
      </c>
      <c r="C56" s="3" t="n">
        <v>102984000</v>
      </c>
      <c r="D56" s="3" t="n">
        <v>122873000</v>
      </c>
      <c r="E56" s="3" t="n">
        <v>190169000</v>
      </c>
      <c r="F56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Free Cash Flow</t>
        </is>
      </c>
      <c r="B2" s="3" t="n">
        <v>162749000</v>
      </c>
      <c r="C2" s="3" t="n">
        <v>202310000</v>
      </c>
      <c r="D2" s="3" t="n">
        <v>209212000</v>
      </c>
      <c r="E2" s="3" t="n">
        <v>26303000</v>
      </c>
      <c r="F2" s="3" t="n">
        <v>141197000</v>
      </c>
      <c r="G2" s="3" t="n"/>
    </row>
    <row r="3">
      <c r="A3" t="inlineStr">
        <is>
          <t>Repurchase Of Capital Stock</t>
        </is>
      </c>
      <c r="B3" s="3" t="n">
        <v>0</v>
      </c>
      <c r="C3" s="3" t="n">
        <v>-45000000</v>
      </c>
      <c r="D3" s="3" t="n">
        <v>-40000000</v>
      </c>
      <c r="E3" s="3" t="n">
        <v>-25000000</v>
      </c>
      <c r="F3" s="3" t="n">
        <v>-190451000</v>
      </c>
      <c r="G3" s="3" t="n"/>
    </row>
    <row r="4">
      <c r="A4" t="inlineStr">
        <is>
          <t>Repayment Of Debt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-449985000</v>
      </c>
      <c r="G4" s="3" t="n"/>
    </row>
    <row r="5">
      <c r="A5" t="inlineStr">
        <is>
          <t>Capital Expenditure</t>
        </is>
      </c>
      <c r="B5" s="3" t="n">
        <v>-39615000</v>
      </c>
      <c r="C5" s="3" t="n">
        <v>-46277000</v>
      </c>
      <c r="D5" s="3" t="n">
        <v>-40483000</v>
      </c>
      <c r="E5" s="3" t="n">
        <v>-51562000</v>
      </c>
      <c r="F5" s="3" t="n">
        <v>-36103000</v>
      </c>
      <c r="G5" s="3" t="n"/>
    </row>
    <row r="6">
      <c r="A6" t="inlineStr">
        <is>
          <t>Income Tax Paid Supplemental Data</t>
        </is>
      </c>
      <c r="B6" s="3" t="n">
        <v>5991000</v>
      </c>
      <c r="C6" s="3" t="n">
        <v>3820000</v>
      </c>
      <c r="D6" s="3" t="n">
        <v>1870000</v>
      </c>
      <c r="E6" s="3" t="n">
        <v>86027000</v>
      </c>
      <c r="F6" s="3" t="n">
        <v>7199000</v>
      </c>
      <c r="G6" s="3" t="n"/>
    </row>
    <row r="7">
      <c r="A7" t="inlineStr">
        <is>
          <t>End Cash Position</t>
        </is>
      </c>
      <c r="B7" s="3" t="n">
        <v>560950000</v>
      </c>
      <c r="C7" s="3" t="n">
        <v>526156000</v>
      </c>
      <c r="D7" s="3" t="n">
        <v>371769000</v>
      </c>
      <c r="E7" s="3" t="n">
        <v>229446000</v>
      </c>
      <c r="F7" s="3" t="n">
        <v>461266000</v>
      </c>
      <c r="G7" s="3" t="n"/>
    </row>
    <row r="8">
      <c r="A8" t="inlineStr">
        <is>
          <t>Beginning Cash Position</t>
        </is>
      </c>
      <c r="B8" s="3" t="n">
        <v>526156000</v>
      </c>
      <c r="C8" s="3" t="n">
        <v>371769000</v>
      </c>
      <c r="D8" s="3" t="n">
        <v>229446000</v>
      </c>
      <c r="E8" s="3" t="n">
        <v>461266000</v>
      </c>
      <c r="F8" s="3" t="n">
        <v>784438000</v>
      </c>
      <c r="G8" s="3" t="n"/>
    </row>
    <row r="9">
      <c r="A9" t="inlineStr">
        <is>
          <t>Effect Of Exchange Rate Changes</t>
        </is>
      </c>
      <c r="B9" s="3" t="n">
        <v>-3093000</v>
      </c>
      <c r="C9" s="3" t="n">
        <v>4034000</v>
      </c>
      <c r="D9" s="3" t="n">
        <v>512000</v>
      </c>
      <c r="E9" s="3" t="n">
        <v>14360000</v>
      </c>
      <c r="F9" s="3" t="n">
        <v>3539000</v>
      </c>
      <c r="G9" s="3" t="n"/>
    </row>
    <row r="10">
      <c r="A10" t="inlineStr">
        <is>
          <t>Changes In Cash</t>
        </is>
      </c>
      <c r="B10" s="3" t="n">
        <v>37887000</v>
      </c>
      <c r="C10" s="3" t="n">
        <v>150353000</v>
      </c>
      <c r="D10" s="3" t="n">
        <v>141811000</v>
      </c>
      <c r="E10" s="3" t="n">
        <v>-246180000</v>
      </c>
      <c r="F10" s="3" t="n">
        <v>-326711000</v>
      </c>
      <c r="G10" s="3" t="n"/>
    </row>
    <row r="11">
      <c r="A11" t="inlineStr">
        <is>
          <t>Financing Cash Flow</t>
        </is>
      </c>
      <c r="B11" s="3" t="n">
        <v>18197000</v>
      </c>
      <c r="C11" s="3" t="n">
        <v>13215000</v>
      </c>
      <c r="D11" s="3" t="n">
        <v>-32042000</v>
      </c>
      <c r="E11" s="3" t="n">
        <v>-24937000</v>
      </c>
      <c r="F11" s="3" t="n">
        <v>-635396000</v>
      </c>
      <c r="G11" s="3" t="n"/>
    </row>
    <row r="12">
      <c r="A12" t="inlineStr">
        <is>
          <t>Cash Flow From Continuing Financing Activities</t>
        </is>
      </c>
      <c r="B12" s="3" t="n">
        <v>18197000</v>
      </c>
      <c r="C12" s="3" t="n">
        <v>13215000</v>
      </c>
      <c r="D12" s="3" t="n">
        <v>-32042000</v>
      </c>
      <c r="E12" s="3" t="n">
        <v>-24937000</v>
      </c>
      <c r="F12" s="3" t="n">
        <v>-635396000</v>
      </c>
      <c r="G12" s="3" t="n"/>
    </row>
    <row r="13">
      <c r="A13" t="inlineStr">
        <is>
          <t>Net Other Financing Charges</t>
        </is>
      </c>
      <c r="B13" s="3" t="n">
        <v>-7764000</v>
      </c>
      <c r="C13" s="3" t="n">
        <v>-4543000</v>
      </c>
      <c r="D13" s="3" t="n">
        <v>-3121000</v>
      </c>
      <c r="E13" s="3" t="n">
        <v>-4634000</v>
      </c>
      <c r="F13" s="3" t="n">
        <v>-6183000</v>
      </c>
      <c r="G13" s="3" t="n"/>
    </row>
    <row r="14">
      <c r="A14" t="inlineStr">
        <is>
          <t>Proceeds From Stock Option Exercised</t>
        </is>
      </c>
      <c r="B14" s="3" t="n">
        <v>25961000</v>
      </c>
      <c r="C14" s="3" t="n">
        <v>62758000</v>
      </c>
      <c r="D14" s="3" t="n">
        <v>11079000</v>
      </c>
      <c r="E14" s="3" t="n">
        <v>4697000</v>
      </c>
      <c r="F14" s="3" t="n">
        <v>11223000</v>
      </c>
      <c r="G14" s="3" t="n"/>
    </row>
    <row r="15">
      <c r="A15" t="inlineStr">
        <is>
          <t>Net Common Stock Issuance</t>
        </is>
      </c>
      <c r="B15" s="3" t="n">
        <v>0</v>
      </c>
      <c r="C15" s="3" t="n">
        <v>-45000000</v>
      </c>
      <c r="D15" s="3" t="n">
        <v>-40000000</v>
      </c>
      <c r="E15" s="3" t="n">
        <v>-25000000</v>
      </c>
      <c r="F15" s="3" t="n">
        <v>-190451000</v>
      </c>
      <c r="G15" s="3" t="n"/>
    </row>
    <row r="16">
      <c r="A16" t="inlineStr">
        <is>
          <t>Common Stock Payments</t>
        </is>
      </c>
      <c r="B16" s="3" t="n">
        <v>0</v>
      </c>
      <c r="C16" s="3" t="n">
        <v>-45000000</v>
      </c>
      <c r="D16" s="3" t="n">
        <v>-40000000</v>
      </c>
      <c r="E16" s="3" t="n">
        <v>-25000000</v>
      </c>
      <c r="F16" s="3" t="n">
        <v>-190451000</v>
      </c>
      <c r="G16" s="3" t="n"/>
    </row>
    <row r="17">
      <c r="A17" t="inlineStr">
        <is>
          <t>Net Issuance Payments Of Debt</t>
        </is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-449985000</v>
      </c>
      <c r="G17" s="3" t="n"/>
    </row>
    <row r="18">
      <c r="A18" t="inlineStr">
        <is>
          <t>Net Short Term Debt Issuance</t>
        </is>
      </c>
      <c r="B18" s="3" t="n"/>
      <c r="C18" s="3" t="n">
        <v>0</v>
      </c>
      <c r="D18" s="3" t="n">
        <v>0</v>
      </c>
      <c r="E18" s="3" t="n"/>
      <c r="F18" s="3" t="n"/>
      <c r="G18" s="3" t="n"/>
    </row>
    <row r="19">
      <c r="A19" t="inlineStr">
        <is>
          <t>Short Term Debt Payments</t>
        </is>
      </c>
      <c r="B19" s="3" t="n"/>
      <c r="C19" s="3" t="n">
        <v>0</v>
      </c>
      <c r="D19" s="3" t="n">
        <v>0</v>
      </c>
      <c r="E19" s="3" t="n"/>
      <c r="F19" s="3" t="n"/>
      <c r="G19" s="3" t="n"/>
    </row>
    <row r="20">
      <c r="A20" t="inlineStr">
        <is>
          <t>Net Long Term Debt Issuance</t>
        </is>
      </c>
      <c r="B20" s="3" t="n">
        <v>0</v>
      </c>
      <c r="C20" s="3" t="n"/>
      <c r="D20" s="3" t="n"/>
      <c r="E20" s="3" t="n"/>
      <c r="F20" s="3" t="n">
        <v>-449985000</v>
      </c>
      <c r="G20" s="3" t="n"/>
    </row>
    <row r="21">
      <c r="A21" t="inlineStr">
        <is>
          <t>Long Term Debt Payments</t>
        </is>
      </c>
      <c r="B21" s="3" t="n">
        <v>0</v>
      </c>
      <c r="C21" s="3" t="n"/>
      <c r="D21" s="3" t="n"/>
      <c r="E21" s="3" t="n"/>
      <c r="F21" s="3" t="n">
        <v>-449985000</v>
      </c>
      <c r="G21" s="3" t="n"/>
    </row>
    <row r="22">
      <c r="A22" t="inlineStr">
        <is>
          <t>Investing Cash Flow</t>
        </is>
      </c>
      <c r="B22" s="3" t="n">
        <v>-182674000</v>
      </c>
      <c r="C22" s="3" t="n">
        <v>-111449000</v>
      </c>
      <c r="D22" s="3" t="n">
        <v>-75842000</v>
      </c>
      <c r="E22" s="3" t="n">
        <v>-299108000</v>
      </c>
      <c r="F22" s="3" t="n">
        <v>131385000</v>
      </c>
      <c r="G22" s="3" t="n"/>
    </row>
    <row r="23">
      <c r="A23" t="inlineStr">
        <is>
          <t>Cash Flow From Continuing Investing Activities</t>
        </is>
      </c>
      <c r="B23" s="3" t="n">
        <v>-182674000</v>
      </c>
      <c r="C23" s="3" t="n">
        <v>-111449000</v>
      </c>
      <c r="D23" s="3" t="n">
        <v>-75842000</v>
      </c>
      <c r="E23" s="3" t="n">
        <v>-299108000</v>
      </c>
      <c r="F23" s="3" t="n">
        <v>131385000</v>
      </c>
      <c r="G23" s="3" t="n"/>
    </row>
    <row r="24">
      <c r="A24" t="inlineStr">
        <is>
          <t>Net Investment Purchase And Sale</t>
        </is>
      </c>
      <c r="B24" s="3" t="n">
        <v>-138150000</v>
      </c>
      <c r="C24" s="3" t="n">
        <v>-65172000</v>
      </c>
      <c r="D24" s="3" t="n">
        <v>-35359000</v>
      </c>
      <c r="E24" s="3" t="n">
        <v>0</v>
      </c>
      <c r="F24" s="3" t="n">
        <v>172488000</v>
      </c>
      <c r="G24" s="3" t="n"/>
    </row>
    <row r="25">
      <c r="A25" t="inlineStr">
        <is>
          <t>Sale Of Investment</t>
        </is>
      </c>
      <c r="B25" s="3" t="n">
        <v>8243000</v>
      </c>
      <c r="C25" s="3" t="n">
        <v>5250000</v>
      </c>
      <c r="D25" s="3" t="n">
        <v>0</v>
      </c>
      <c r="E25" s="3" t="n">
        <v>0</v>
      </c>
      <c r="F25" s="3" t="n">
        <v>174238000</v>
      </c>
      <c r="G25" s="3" t="n"/>
    </row>
    <row r="26">
      <c r="A26" t="inlineStr">
        <is>
          <t>Purchase Of Investment</t>
        </is>
      </c>
      <c r="B26" s="3" t="n">
        <v>-146393000</v>
      </c>
      <c r="C26" s="3" t="n">
        <v>-70422000</v>
      </c>
      <c r="D26" s="3" t="n">
        <v>-35359000</v>
      </c>
      <c r="E26" s="3" t="n">
        <v>0</v>
      </c>
      <c r="F26" s="3" t="n">
        <v>-1750000</v>
      </c>
      <c r="G26" s="3" t="n"/>
    </row>
    <row r="27">
      <c r="A27" t="inlineStr">
        <is>
          <t>Net Business Purchase And Sale</t>
        </is>
      </c>
      <c r="B27" s="3" t="n">
        <v>-4909000</v>
      </c>
      <c r="C27" s="3" t="n">
        <v>0</v>
      </c>
      <c r="D27" s="3" t="n">
        <v>0</v>
      </c>
      <c r="E27" s="3" t="n">
        <v>-247546000</v>
      </c>
      <c r="F27" s="3" t="n">
        <v>-5000000</v>
      </c>
      <c r="G27" s="3" t="n"/>
    </row>
    <row r="28">
      <c r="A28" t="inlineStr">
        <is>
          <t>Purchase Of Business</t>
        </is>
      </c>
      <c r="B28" s="3" t="n">
        <v>-4909000</v>
      </c>
      <c r="C28" s="3" t="n">
        <v>0</v>
      </c>
      <c r="D28" s="3" t="n">
        <v>0</v>
      </c>
      <c r="E28" s="3" t="n">
        <v>-247546000</v>
      </c>
      <c r="F28" s="3" t="n">
        <v>-5000000</v>
      </c>
      <c r="G28" s="3" t="n"/>
    </row>
    <row r="29">
      <c r="A29" t="inlineStr">
        <is>
          <t>Net Intangibles Purchase And Sale</t>
        </is>
      </c>
      <c r="B29" s="3" t="n"/>
      <c r="C29" s="3" t="n">
        <v>-80000</v>
      </c>
      <c r="D29" s="3" t="n">
        <v>-4666000</v>
      </c>
      <c r="E29" s="3" t="n">
        <v>0</v>
      </c>
      <c r="F29" s="3" t="n">
        <v>-5000000</v>
      </c>
      <c r="G29" s="3" t="n"/>
    </row>
    <row r="30">
      <c r="A30" t="inlineStr">
        <is>
          <t>Purchase Of Intangibles</t>
        </is>
      </c>
      <c r="B30" s="3" t="n"/>
      <c r="C30" s="3" t="n">
        <v>-80000</v>
      </c>
      <c r="D30" s="3" t="n">
        <v>-4666000</v>
      </c>
      <c r="E30" s="3" t="n">
        <v>0</v>
      </c>
      <c r="F30" s="3" t="n">
        <v>-5000000</v>
      </c>
      <c r="G30" s="3" t="n"/>
    </row>
    <row r="31">
      <c r="A31" t="inlineStr">
        <is>
          <t>Net PPE Purchase And Sale</t>
        </is>
      </c>
      <c r="B31" s="3" t="n">
        <v>-39615000</v>
      </c>
      <c r="C31" s="3" t="n">
        <v>-46197000</v>
      </c>
      <c r="D31" s="3" t="n">
        <v>-35817000</v>
      </c>
      <c r="E31" s="3" t="n">
        <v>-46562000</v>
      </c>
      <c r="F31" s="3" t="n">
        <v>-36103000</v>
      </c>
      <c r="G31" s="3" t="n"/>
    </row>
    <row r="32">
      <c r="A32" t="inlineStr">
        <is>
          <t>Purchase Of PPE</t>
        </is>
      </c>
      <c r="B32" s="3" t="n">
        <v>-39615000</v>
      </c>
      <c r="C32" s="3" t="n">
        <v>-46197000</v>
      </c>
      <c r="D32" s="3" t="n">
        <v>-35817000</v>
      </c>
      <c r="E32" s="3" t="n">
        <v>-46562000</v>
      </c>
      <c r="F32" s="3" t="n">
        <v>-36103000</v>
      </c>
      <c r="G32" s="3" t="n"/>
    </row>
    <row r="33">
      <c r="A33" t="inlineStr">
        <is>
          <t>Operating Cash Flow</t>
        </is>
      </c>
      <c r="B33" s="3" t="n">
        <v>202364000</v>
      </c>
      <c r="C33" s="3" t="n">
        <v>248587000</v>
      </c>
      <c r="D33" s="3" t="n">
        <v>249695000</v>
      </c>
      <c r="E33" s="3" t="n">
        <v>77865000</v>
      </c>
      <c r="F33" s="3" t="n">
        <v>177300000</v>
      </c>
      <c r="G33" s="3" t="n"/>
    </row>
    <row r="34">
      <c r="A34" t="inlineStr">
        <is>
          <t>Cash Flow From Continuing Operating Activities</t>
        </is>
      </c>
      <c r="B34" s="3" t="n">
        <v>202364000</v>
      </c>
      <c r="C34" s="3" t="n">
        <v>248587000</v>
      </c>
      <c r="D34" s="3" t="n">
        <v>249695000</v>
      </c>
      <c r="E34" s="3" t="n">
        <v>77865000</v>
      </c>
      <c r="F34" s="3" t="n">
        <v>177300000</v>
      </c>
      <c r="G34" s="3" t="n"/>
    </row>
    <row r="35">
      <c r="A35" t="inlineStr">
        <is>
          <t>Change In Working Capital</t>
        </is>
      </c>
      <c r="B35" s="3" t="n">
        <v>-28118000</v>
      </c>
      <c r="C35" s="3" t="n">
        <v>-21509000</v>
      </c>
      <c r="D35" s="3" t="n">
        <v>1741000</v>
      </c>
      <c r="E35" s="3" t="n">
        <v>-56628000</v>
      </c>
      <c r="F35" s="3" t="n">
        <v>9601000</v>
      </c>
      <c r="G35" s="3" t="n"/>
    </row>
    <row r="36">
      <c r="A36" t="inlineStr">
        <is>
          <t>Change In Other Working Capital</t>
        </is>
      </c>
      <c r="B36" s="3" t="n">
        <v>14576000</v>
      </c>
      <c r="C36" s="3" t="n">
        <v>7085000</v>
      </c>
      <c r="D36" s="3" t="n">
        <v>-19310000</v>
      </c>
      <c r="E36" s="3" t="n">
        <v>-58234000</v>
      </c>
      <c r="F36" s="3" t="n">
        <v>19608000</v>
      </c>
      <c r="G36" s="3" t="n"/>
    </row>
    <row r="37">
      <c r="A37" t="inlineStr">
        <is>
          <t>Change In Payables And Accrued Expense</t>
        </is>
      </c>
      <c r="B37" s="3" t="n">
        <v>-19586000</v>
      </c>
      <c r="C37" s="3" t="n">
        <v>17916000</v>
      </c>
      <c r="D37" s="3" t="n">
        <v>42714000</v>
      </c>
      <c r="E37" s="3" t="n">
        <v>11631000</v>
      </c>
      <c r="F37" s="3" t="n">
        <v>-29557000</v>
      </c>
      <c r="G37" s="3" t="n"/>
    </row>
    <row r="38">
      <c r="A38" t="inlineStr">
        <is>
          <t>Change In Accrued Expense</t>
        </is>
      </c>
      <c r="B38" s="3" t="n">
        <v>-24668000</v>
      </c>
      <c r="C38" s="3" t="n">
        <v>8775000</v>
      </c>
      <c r="D38" s="3" t="n">
        <v>39283000</v>
      </c>
      <c r="E38" s="3" t="n">
        <v>14817000</v>
      </c>
      <c r="F38" s="3" t="n">
        <v>-28658000</v>
      </c>
      <c r="G38" s="3" t="n"/>
    </row>
    <row r="39">
      <c r="A39" t="inlineStr">
        <is>
          <t>Change In Payable</t>
        </is>
      </c>
      <c r="B39" s="3" t="n">
        <v>5082000</v>
      </c>
      <c r="C39" s="3" t="n">
        <v>9141000</v>
      </c>
      <c r="D39" s="3" t="n">
        <v>3431000</v>
      </c>
      <c r="E39" s="3" t="n">
        <v>-3186000</v>
      </c>
      <c r="F39" s="3" t="n">
        <v>-899000</v>
      </c>
      <c r="G39" s="3" t="n"/>
    </row>
    <row r="40">
      <c r="A40" t="inlineStr">
        <is>
          <t>Change In Account Payable</t>
        </is>
      </c>
      <c r="B40" s="3" t="n">
        <v>5082000</v>
      </c>
      <c r="C40" s="3" t="n">
        <v>9141000</v>
      </c>
      <c r="D40" s="3" t="n">
        <v>3431000</v>
      </c>
      <c r="E40" s="3" t="n">
        <v>-3186000</v>
      </c>
      <c r="F40" s="3" t="n">
        <v>-899000</v>
      </c>
      <c r="G40" s="3" t="n"/>
    </row>
    <row r="41">
      <c r="A41" t="inlineStr">
        <is>
          <t>Change In Prepaid Assets</t>
        </is>
      </c>
      <c r="B41" s="3" t="n">
        <v>6942000</v>
      </c>
      <c r="C41" s="3" t="n">
        <v>17821000</v>
      </c>
      <c r="D41" s="3" t="n">
        <v>-7541000</v>
      </c>
      <c r="E41" s="3" t="n">
        <v>-3682000</v>
      </c>
      <c r="F41" s="3" t="n">
        <v>4534000</v>
      </c>
      <c r="G41" s="3" t="n"/>
    </row>
    <row r="42">
      <c r="A42" t="inlineStr">
        <is>
          <t>Change In Inventory</t>
        </is>
      </c>
      <c r="B42" s="3" t="n">
        <v>-16651000</v>
      </c>
      <c r="C42" s="3" t="n">
        <v>-178000</v>
      </c>
      <c r="D42" s="3" t="n">
        <v>-5698000</v>
      </c>
      <c r="E42" s="3" t="n">
        <v>-4135000</v>
      </c>
      <c r="F42" s="3" t="n">
        <v>-7587000</v>
      </c>
      <c r="G42" s="3" t="n"/>
    </row>
    <row r="43">
      <c r="A43" t="inlineStr">
        <is>
          <t>Change In Receivables</t>
        </is>
      </c>
      <c r="B43" s="3" t="n">
        <v>-13399000</v>
      </c>
      <c r="C43" s="3" t="n">
        <v>-64153000</v>
      </c>
      <c r="D43" s="3" t="n">
        <v>-8424000</v>
      </c>
      <c r="E43" s="3" t="n">
        <v>-2208000</v>
      </c>
      <c r="F43" s="3" t="n">
        <v>22603000</v>
      </c>
      <c r="G43" s="3" t="n"/>
    </row>
    <row r="44">
      <c r="A44" t="inlineStr">
        <is>
          <t>Changes In Account Receivables</t>
        </is>
      </c>
      <c r="B44" s="3" t="n">
        <v>-13399000</v>
      </c>
      <c r="C44" s="3" t="n">
        <v>-64153000</v>
      </c>
      <c r="D44" s="3" t="n">
        <v>-8424000</v>
      </c>
      <c r="E44" s="3" t="n">
        <v>-2208000</v>
      </c>
      <c r="F44" s="3" t="n">
        <v>22603000</v>
      </c>
      <c r="G44" s="3" t="n"/>
    </row>
    <row r="45">
      <c r="A45" t="inlineStr">
        <is>
          <t>Other Non Cash Items</t>
        </is>
      </c>
      <c r="B45" s="3" t="n">
        <v>2961000</v>
      </c>
      <c r="C45" s="3" t="n">
        <v>13339000</v>
      </c>
      <c r="D45" s="3" t="n">
        <v>-224000</v>
      </c>
      <c r="E45" s="3" t="n">
        <v>-113125000</v>
      </c>
      <c r="F45" s="3" t="n">
        <v>4862000</v>
      </c>
      <c r="G45" s="3" t="n"/>
    </row>
    <row r="46">
      <c r="A46" t="inlineStr">
        <is>
          <t>Stock Based Compensation</t>
        </is>
      </c>
      <c r="B46" s="3" t="n">
        <v>12617000</v>
      </c>
      <c r="C46" s="3" t="n">
        <v>11418000</v>
      </c>
      <c r="D46" s="3" t="n">
        <v>11538000</v>
      </c>
      <c r="E46" s="3" t="n">
        <v>13617000</v>
      </c>
      <c r="F46" s="3" t="n">
        <v>13206000</v>
      </c>
      <c r="G46" s="3" t="n"/>
    </row>
    <row r="47">
      <c r="A47" t="inlineStr">
        <is>
          <t>Provisionand Write Offof Assets</t>
        </is>
      </c>
      <c r="B47" s="3" t="n">
        <v>10237000</v>
      </c>
      <c r="C47" s="3" t="n">
        <v>11043000</v>
      </c>
      <c r="D47" s="3" t="n">
        <v>5812000</v>
      </c>
      <c r="E47" s="3" t="n">
        <v>6321000</v>
      </c>
      <c r="F47" s="3" t="n">
        <v>9166000</v>
      </c>
      <c r="G47" s="3" t="n"/>
    </row>
    <row r="48">
      <c r="A48" t="inlineStr">
        <is>
          <t>Amortization Of Securities</t>
        </is>
      </c>
      <c r="B48" s="3" t="n"/>
      <c r="C48" s="3" t="n"/>
      <c r="D48" s="3" t="n">
        <v>-53000</v>
      </c>
      <c r="E48" s="3" t="n">
        <v>0</v>
      </c>
      <c r="F48" s="3" t="n">
        <v>-421000</v>
      </c>
      <c r="G48" s="3" t="n">
        <v>-516000</v>
      </c>
    </row>
    <row r="49">
      <c r="A49" t="inlineStr">
        <is>
          <t>Deferred Tax</t>
        </is>
      </c>
      <c r="B49" s="3" t="n">
        <v>7962000</v>
      </c>
      <c r="C49" s="3" t="n">
        <v>18100000</v>
      </c>
      <c r="D49" s="3" t="n">
        <v>41761000</v>
      </c>
      <c r="E49" s="3" t="n">
        <v>-41745000</v>
      </c>
      <c r="F49" s="3" t="n">
        <v>509000</v>
      </c>
      <c r="G49" s="3" t="n"/>
    </row>
    <row r="50">
      <c r="A50" t="inlineStr">
        <is>
          <t>Deferred Income Tax</t>
        </is>
      </c>
      <c r="B50" s="3" t="n">
        <v>7962000</v>
      </c>
      <c r="C50" s="3" t="n">
        <v>18100000</v>
      </c>
      <c r="D50" s="3" t="n">
        <v>41761000</v>
      </c>
      <c r="E50" s="3" t="n">
        <v>-41745000</v>
      </c>
      <c r="F50" s="3" t="n">
        <v>509000</v>
      </c>
      <c r="G50" s="3" t="n"/>
    </row>
    <row r="51">
      <c r="A51" t="inlineStr">
        <is>
          <t>Depreciation Amortization Depletion</t>
        </is>
      </c>
      <c r="B51" s="3" t="n">
        <v>69856000</v>
      </c>
      <c r="C51" s="3" t="n">
        <v>69011000</v>
      </c>
      <c r="D51" s="3" t="n">
        <v>71126000</v>
      </c>
      <c r="E51" s="3" t="n">
        <v>71052000</v>
      </c>
      <c r="F51" s="3" t="n">
        <v>65653000</v>
      </c>
      <c r="G51" s="3" t="n"/>
    </row>
    <row r="52">
      <c r="A52" t="inlineStr">
        <is>
          <t>Depreciation And Amortization</t>
        </is>
      </c>
      <c r="B52" s="3" t="n">
        <v>69856000</v>
      </c>
      <c r="C52" s="3" t="n">
        <v>69011000</v>
      </c>
      <c r="D52" s="3" t="n">
        <v>71126000</v>
      </c>
      <c r="E52" s="3" t="n">
        <v>71052000</v>
      </c>
      <c r="F52" s="3" t="n">
        <v>65653000</v>
      </c>
      <c r="G52" s="3" t="n"/>
    </row>
    <row r="53">
      <c r="A53" t="inlineStr">
        <is>
          <t>Amortization Cash Flow</t>
        </is>
      </c>
      <c r="B53" s="3" t="n"/>
      <c r="C53" s="3" t="n"/>
      <c r="D53" s="3" t="n">
        <v>29843000</v>
      </c>
      <c r="E53" s="3" t="n">
        <v>30189000</v>
      </c>
      <c r="F53" s="3" t="n">
        <v>28802000</v>
      </c>
      <c r="G53" s="3" t="n"/>
    </row>
    <row r="54">
      <c r="A54" t="inlineStr">
        <is>
          <t>Amortization Of Intangibles</t>
        </is>
      </c>
      <c r="B54" s="3" t="n"/>
      <c r="C54" s="3" t="n"/>
      <c r="D54" s="3" t="n">
        <v>29843000</v>
      </c>
      <c r="E54" s="3" t="n">
        <v>30189000</v>
      </c>
      <c r="F54" s="3" t="n">
        <v>28802000</v>
      </c>
      <c r="G54" s="3" t="n"/>
    </row>
    <row r="55">
      <c r="A55" t="inlineStr">
        <is>
          <t>Depreciation</t>
        </is>
      </c>
      <c r="B55" s="3" t="n"/>
      <c r="C55" s="3" t="n"/>
      <c r="D55" s="3" t="n">
        <v>41284000</v>
      </c>
      <c r="E55" s="3" t="n">
        <v>40441000</v>
      </c>
      <c r="F55" s="3" t="n">
        <v>37272000</v>
      </c>
      <c r="G55" s="3" t="n"/>
    </row>
    <row r="56">
      <c r="A56" t="inlineStr">
        <is>
          <t>Operating Gains Losses</t>
        </is>
      </c>
      <c r="B56" s="3" t="n">
        <v>2547000</v>
      </c>
      <c r="C56" s="3" t="n">
        <v>6117000</v>
      </c>
      <c r="D56" s="3" t="n">
        <v>-972000</v>
      </c>
      <c r="E56" s="3" t="n">
        <v>-4052000</v>
      </c>
      <c r="F56" s="3" t="n">
        <v>-1159000</v>
      </c>
      <c r="G56" s="3" t="n"/>
    </row>
    <row r="57">
      <c r="A57" t="inlineStr">
        <is>
          <t>Net Foreign Currency Exchange Gain Loss</t>
        </is>
      </c>
      <c r="B57" s="3" t="n">
        <v>98000</v>
      </c>
      <c r="C57" s="3" t="n">
        <v>2030000</v>
      </c>
      <c r="D57" s="3" t="n">
        <v>-3279000</v>
      </c>
      <c r="E57" s="3" t="n">
        <v>-7570000</v>
      </c>
      <c r="F57" s="3" t="n">
        <v>-3772000</v>
      </c>
      <c r="G57" s="3" t="n"/>
    </row>
    <row r="58">
      <c r="A58" t="inlineStr">
        <is>
          <t>Net Income From Continuing Operations</t>
        </is>
      </c>
      <c r="B58" s="3" t="n">
        <v>124302000</v>
      </c>
      <c r="C58" s="3" t="n">
        <v>140594000</v>
      </c>
      <c r="D58" s="3" t="n">
        <v>118966000</v>
      </c>
      <c r="E58" s="3" t="n">
        <v>202846000</v>
      </c>
      <c r="F58" s="3" t="n">
        <v>75462000</v>
      </c>
      <c r="G58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FY Summary</t>
        </is>
      </c>
      <c r="B2" t="inlineStr">
        <is>
          <t>'Net Debt' not found in statements — left blank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2026-08-02T23:43:42Z</dcterms:created>
  <dcterms:modified xsi:type="dcterms:W3CDTF">2026-08-02T23:43:43Z</dcterms:modified>
</cp:coreProperties>
</file>