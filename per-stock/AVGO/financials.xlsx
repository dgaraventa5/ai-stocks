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AVGO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Broadcom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1957030658048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2002309611520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68.44426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21.220005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25.932959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0.76284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0.48988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0.38848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0.37280998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0.479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19627999232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64907001856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32762000000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4757580198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411.35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2023-10-31</t>
        </is>
      </c>
      <c r="C2" t="inlineStr">
        <is>
          <t>2024-10-31</t>
        </is>
      </c>
      <c r="D2" t="inlineStr">
        <is>
          <t>2025-10-31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(quarterly)'!B36:E36)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(annual)'!D6</f>
        <v/>
      </c>
      <c r="C13" s="3">
        <f>'Balance sheet (annual)'!C6</f>
        <v/>
      </c>
      <c r="D13" s="3">
        <f>'Balance sheet (annual)'!B6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(annual)'!D4/1e6</f>
        <v/>
      </c>
      <c r="C15" s="6">
        <f>'Balance sheet (annual)'!C4/1e6</f>
        <v/>
      </c>
      <c r="D15" s="6">
        <f>'Balance sheet (annual)'!B4/1e6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Tax Effect Of Unusual Items</t>
        </is>
      </c>
      <c r="B2" s="3" t="n">
        <v>-127680000</v>
      </c>
      <c r="C2" s="3" t="n">
        <v>-584010000</v>
      </c>
      <c r="D2" s="3" t="n">
        <v>-15611000</v>
      </c>
      <c r="E2" s="3" t="n">
        <v>-16950000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0.378</v>
      </c>
      <c r="D3" s="3" t="n">
        <v>0.067</v>
      </c>
      <c r="E3" s="3" t="n">
        <v>0.075</v>
      </c>
      <c r="F3" s="3" t="n"/>
    </row>
    <row r="4">
      <c r="A4" t="inlineStr">
        <is>
          <t>Normalized EBITDA</t>
        </is>
      </c>
      <c r="B4" s="3" t="n">
        <v>35322000000</v>
      </c>
      <c r="C4" s="3" t="n">
        <v>25424000000</v>
      </c>
      <c r="D4" s="3" t="n">
        <v>20787000000</v>
      </c>
      <c r="E4" s="3" t="n">
        <v>19381000000</v>
      </c>
      <c r="F4" s="3" t="n"/>
    </row>
    <row r="5">
      <c r="A5" t="inlineStr">
        <is>
          <t>Total Unusual Items</t>
        </is>
      </c>
      <c r="B5" s="3" t="n">
        <v>-608000000</v>
      </c>
      <c r="C5" s="3" t="n">
        <v>-1545000000</v>
      </c>
      <c r="D5" s="3" t="n">
        <v>-233000000</v>
      </c>
      <c r="E5" s="3" t="n">
        <v>-226000000</v>
      </c>
      <c r="F5" s="3" t="n"/>
    </row>
    <row r="6">
      <c r="A6" t="inlineStr">
        <is>
          <t>Total Unusual Items Excluding Goodwill</t>
        </is>
      </c>
      <c r="B6" s="3" t="n">
        <v>-608000000</v>
      </c>
      <c r="C6" s="3" t="n">
        <v>-1545000000</v>
      </c>
      <c r="D6" s="3" t="n">
        <v>-233000000</v>
      </c>
      <c r="E6" s="3" t="n">
        <v>-226000000</v>
      </c>
      <c r="F6" s="3" t="n"/>
    </row>
    <row r="7">
      <c r="A7" t="inlineStr">
        <is>
          <t>Net Income From Continuing Operation Net Minority Interest</t>
        </is>
      </c>
      <c r="B7" s="3" t="n">
        <v>23126000000</v>
      </c>
      <c r="C7" s="3" t="n">
        <v>6168000000</v>
      </c>
      <c r="D7" s="3" t="n">
        <v>14082000000</v>
      </c>
      <c r="E7" s="3" t="n">
        <v>11495000000</v>
      </c>
      <c r="F7" s="3" t="n"/>
    </row>
    <row r="8">
      <c r="A8" t="inlineStr">
        <is>
          <t>Reconciled Depreciation</t>
        </is>
      </c>
      <c r="B8" s="3" t="n">
        <v>8775000000</v>
      </c>
      <c r="C8" s="3" t="n">
        <v>10010000000</v>
      </c>
      <c r="D8" s="3" t="n">
        <v>3835000000</v>
      </c>
      <c r="E8" s="3" t="n">
        <v>4984000000</v>
      </c>
      <c r="F8" s="3" t="n"/>
    </row>
    <row r="9">
      <c r="A9" t="inlineStr">
        <is>
          <t>Reconciled Cost Of Revenue</t>
        </is>
      </c>
      <c r="B9" s="3" t="n">
        <v>13849000000</v>
      </c>
      <c r="C9" s="3" t="n">
        <v>12299000000</v>
      </c>
      <c r="D9" s="3" t="n">
        <v>8688000000</v>
      </c>
      <c r="E9" s="3" t="n">
        <v>7636000000</v>
      </c>
      <c r="F9" s="3" t="n"/>
    </row>
    <row r="10">
      <c r="A10" t="inlineStr">
        <is>
          <t>EBITDA</t>
        </is>
      </c>
      <c r="B10" s="3" t="n">
        <v>34714000000</v>
      </c>
      <c r="C10" s="3" t="n">
        <v>23879000000</v>
      </c>
      <c r="D10" s="3" t="n">
        <v>20554000000</v>
      </c>
      <c r="E10" s="3" t="n">
        <v>19155000000</v>
      </c>
      <c r="F10" s="3" t="n"/>
    </row>
    <row r="11">
      <c r="A11" t="inlineStr">
        <is>
          <t>EBIT</t>
        </is>
      </c>
      <c r="B11" s="3" t="n">
        <v>25939000000</v>
      </c>
      <c r="C11" s="3" t="n">
        <v>13869000000</v>
      </c>
      <c r="D11" s="3" t="n">
        <v>16719000000</v>
      </c>
      <c r="E11" s="3" t="n">
        <v>14171000000</v>
      </c>
      <c r="F11" s="3" t="n"/>
    </row>
    <row r="12">
      <c r="A12" t="inlineStr">
        <is>
          <t>Net Interest Income</t>
        </is>
      </c>
      <c r="B12" s="3" t="n">
        <v>-2863000000</v>
      </c>
      <c r="C12" s="3" t="n">
        <v>-3492000000</v>
      </c>
      <c r="D12" s="3" t="n">
        <v>-1087000000</v>
      </c>
      <c r="E12" s="3" t="n">
        <v>-1637000000</v>
      </c>
      <c r="F12" s="3" t="n"/>
    </row>
    <row r="13">
      <c r="A13" t="inlineStr">
        <is>
          <t>Interest Expense</t>
        </is>
      </c>
      <c r="B13" s="3" t="n">
        <v>3210000000</v>
      </c>
      <c r="C13" s="3" t="n">
        <v>3953000000</v>
      </c>
      <c r="D13" s="3" t="n">
        <v>1622000000</v>
      </c>
      <c r="E13" s="3" t="n">
        <v>1737000000</v>
      </c>
      <c r="F13" s="3" t="n"/>
    </row>
    <row r="14">
      <c r="A14" t="inlineStr">
        <is>
          <t>Interest Income</t>
        </is>
      </c>
      <c r="B14" s="3" t="n">
        <v>347000000</v>
      </c>
      <c r="C14" s="3" t="n">
        <v>461000000</v>
      </c>
      <c r="D14" s="3" t="n">
        <v>535000000</v>
      </c>
      <c r="E14" s="3" t="n">
        <v>100000000</v>
      </c>
      <c r="F14" s="3" t="n"/>
    </row>
    <row r="15">
      <c r="A15" t="inlineStr">
        <is>
          <t>Normalized Income</t>
        </is>
      </c>
      <c r="B15" s="3" t="n">
        <v>23606320000</v>
      </c>
      <c r="C15" s="3" t="n">
        <v>7128990000</v>
      </c>
      <c r="D15" s="3" t="n">
        <v>14299389000</v>
      </c>
      <c r="E15" s="3" t="n">
        <v>11704050000</v>
      </c>
      <c r="F15" s="3" t="n"/>
    </row>
    <row r="16">
      <c r="A16" t="inlineStr">
        <is>
          <t>Net Income From Continuing And Discontinued Operation</t>
        </is>
      </c>
      <c r="B16" s="3" t="n">
        <v>23126000000</v>
      </c>
      <c r="C16" s="3" t="n">
        <v>5895000000</v>
      </c>
      <c r="D16" s="3" t="n">
        <v>14082000000</v>
      </c>
      <c r="E16" s="3" t="n">
        <v>11495000000</v>
      </c>
      <c r="F16" s="3" t="n"/>
    </row>
    <row r="17">
      <c r="A17" t="inlineStr">
        <is>
          <t>Total Expenses</t>
        </is>
      </c>
      <c r="B17" s="3" t="n">
        <v>37812000000</v>
      </c>
      <c r="C17" s="3" t="n">
        <v>36578000000</v>
      </c>
      <c r="D17" s="3" t="n">
        <v>19368000000</v>
      </c>
      <c r="E17" s="3" t="n">
        <v>18921000000</v>
      </c>
      <c r="F17" s="3" t="n"/>
    </row>
    <row r="18">
      <c r="A18" t="inlineStr">
        <is>
          <t>Total Operating Income As Reported</t>
        </is>
      </c>
      <c r="B18" s="3" t="n">
        <v>25484000000</v>
      </c>
      <c r="C18" s="3" t="n">
        <v>13463000000</v>
      </c>
      <c r="D18" s="3" t="n">
        <v>16207000000</v>
      </c>
      <c r="E18" s="3" t="n">
        <v>14225000000</v>
      </c>
      <c r="F18" s="3" t="n"/>
    </row>
    <row r="19">
      <c r="A19" t="inlineStr">
        <is>
          <t>Diluted Average Shares</t>
        </is>
      </c>
      <c r="B19" s="3" t="n">
        <v>4853000000</v>
      </c>
      <c r="C19" s="3" t="n">
        <v>4778000000</v>
      </c>
      <c r="D19" s="3" t="n">
        <v>4270000000</v>
      </c>
      <c r="E19" s="3" t="n">
        <v>4230000000</v>
      </c>
      <c r="F19" s="3" t="n"/>
    </row>
    <row r="20">
      <c r="A20" t="inlineStr">
        <is>
          <t>Basic Average Shares</t>
        </is>
      </c>
      <c r="B20" s="3" t="n">
        <v>4712000000</v>
      </c>
      <c r="C20" s="3" t="n">
        <v>4624000000</v>
      </c>
      <c r="D20" s="3" t="n">
        <v>4150000000</v>
      </c>
      <c r="E20" s="3" t="n">
        <v>4090000000</v>
      </c>
      <c r="F20" s="3" t="n"/>
    </row>
    <row r="21">
      <c r="A21" t="inlineStr">
        <is>
          <t>Diluted EPS</t>
        </is>
      </c>
      <c r="B21" s="3" t="n">
        <v>4.77</v>
      </c>
      <c r="C21" s="3" t="n">
        <v>1.23</v>
      </c>
      <c r="D21" s="3" t="n">
        <v>3.298</v>
      </c>
      <c r="E21" s="3" t="n">
        <v>2.653</v>
      </c>
      <c r="F21" s="3" t="n"/>
    </row>
    <row r="22">
      <c r="A22" t="inlineStr">
        <is>
          <t>Basic EPS</t>
        </is>
      </c>
      <c r="B22" s="3" t="n">
        <v>4.91</v>
      </c>
      <c r="C22" s="3" t="n">
        <v>1.27</v>
      </c>
      <c r="D22" s="3" t="n">
        <v>3.393</v>
      </c>
      <c r="E22" s="3" t="n">
        <v>2.744</v>
      </c>
      <c r="F22" s="3" t="n"/>
    </row>
    <row r="23">
      <c r="A23" t="inlineStr">
        <is>
          <t>Diluted NI Availto Com Stockholders</t>
        </is>
      </c>
      <c r="B23" s="3" t="n">
        <v>23126000000</v>
      </c>
      <c r="C23" s="3" t="n">
        <v>5895000000</v>
      </c>
      <c r="D23" s="3" t="n">
        <v>14082000000</v>
      </c>
      <c r="E23" s="3" t="n">
        <v>11223000000</v>
      </c>
      <c r="F23" s="3" t="n"/>
    </row>
    <row r="24">
      <c r="A24" t="inlineStr">
        <is>
          <t>Net Income Common Stockholders</t>
        </is>
      </c>
      <c r="B24" s="3" t="n">
        <v>23126000000</v>
      </c>
      <c r="C24" s="3" t="n">
        <v>5895000000</v>
      </c>
      <c r="D24" s="3" t="n">
        <v>14082000000</v>
      </c>
      <c r="E24" s="3" t="n">
        <v>11223000000</v>
      </c>
      <c r="F24" s="3" t="n"/>
    </row>
    <row r="25">
      <c r="A25" t="inlineStr">
        <is>
          <t>Preferred Stock Dividends</t>
        </is>
      </c>
      <c r="B25" s="3" t="n"/>
      <c r="C25" s="3" t="n"/>
      <c r="D25" s="3" t="n"/>
      <c r="E25" s="3" t="n">
        <v>272000000</v>
      </c>
      <c r="F25" s="3" t="n">
        <v>299000000</v>
      </c>
    </row>
    <row r="26">
      <c r="A26" t="inlineStr">
        <is>
          <t>Net Income</t>
        </is>
      </c>
      <c r="B26" s="3" t="n">
        <v>23126000000</v>
      </c>
      <c r="C26" s="3" t="n">
        <v>5895000000</v>
      </c>
      <c r="D26" s="3" t="n">
        <v>14082000000</v>
      </c>
      <c r="E26" s="3" t="n">
        <v>11495000000</v>
      </c>
      <c r="F26" s="3" t="n"/>
    </row>
    <row r="27">
      <c r="A27" t="inlineStr">
        <is>
          <t>Net Income Including Noncontrolling Interests</t>
        </is>
      </c>
      <c r="B27" s="3" t="n">
        <v>23126000000</v>
      </c>
      <c r="C27" s="3" t="n">
        <v>5895000000</v>
      </c>
      <c r="D27" s="3" t="n">
        <v>14082000000</v>
      </c>
      <c r="E27" s="3" t="n">
        <v>11495000000</v>
      </c>
      <c r="F27" s="3" t="n"/>
    </row>
    <row r="28">
      <c r="A28" t="inlineStr">
        <is>
          <t>Net Income Discontinuous Operations</t>
        </is>
      </c>
      <c r="B28" s="3" t="n">
        <v>0</v>
      </c>
      <c r="C28" s="3" t="n">
        <v>-273000000</v>
      </c>
      <c r="D28" s="3" t="n">
        <v>0</v>
      </c>
      <c r="E28" s="3" t="n">
        <v>0</v>
      </c>
      <c r="F28" s="3" t="n"/>
    </row>
    <row r="29">
      <c r="A29" t="inlineStr">
        <is>
          <t>Net Income Continuous Operations</t>
        </is>
      </c>
      <c r="B29" s="3" t="n">
        <v>23126000000</v>
      </c>
      <c r="C29" s="3" t="n">
        <v>6168000000</v>
      </c>
      <c r="D29" s="3" t="n">
        <v>14082000000</v>
      </c>
      <c r="E29" s="3" t="n">
        <v>11495000000</v>
      </c>
      <c r="F29" s="3" t="n"/>
    </row>
    <row r="30">
      <c r="A30" t="inlineStr">
        <is>
          <t>Tax Provision</t>
        </is>
      </c>
      <c r="B30" s="3" t="n">
        <v>-397000000</v>
      </c>
      <c r="C30" s="3" t="n">
        <v>3748000000</v>
      </c>
      <c r="D30" s="3" t="n">
        <v>1015000000</v>
      </c>
      <c r="E30" s="3" t="n">
        <v>939000000</v>
      </c>
      <c r="F30" s="3" t="n"/>
    </row>
    <row r="31">
      <c r="A31" t="inlineStr">
        <is>
          <t>Pretax Income</t>
        </is>
      </c>
      <c r="B31" s="3" t="n">
        <v>22729000000</v>
      </c>
      <c r="C31" s="3" t="n">
        <v>9916000000</v>
      </c>
      <c r="D31" s="3" t="n">
        <v>15097000000</v>
      </c>
      <c r="E31" s="3" t="n">
        <v>12434000000</v>
      </c>
      <c r="F31" s="3" t="n"/>
    </row>
    <row r="32">
      <c r="A32" t="inlineStr">
        <is>
          <t>Other Income Expense</t>
        </is>
      </c>
      <c r="B32" s="3" t="n">
        <v>-483000000</v>
      </c>
      <c r="C32" s="3" t="n">
        <v>-1588000000</v>
      </c>
      <c r="D32" s="3" t="n">
        <v>-267000000</v>
      </c>
      <c r="E32" s="3" t="n">
        <v>-211000000</v>
      </c>
      <c r="F32" s="3" t="n"/>
    </row>
    <row r="33">
      <c r="A33" t="inlineStr">
        <is>
          <t>Other Non Operating Income Expenses</t>
        </is>
      </c>
      <c r="B33" s="3" t="n">
        <v>125000000</v>
      </c>
      <c r="C33" s="3" t="n">
        <v>-43000000</v>
      </c>
      <c r="D33" s="3" t="n">
        <v>-34000000</v>
      </c>
      <c r="E33" s="3" t="n">
        <v>15000000</v>
      </c>
      <c r="F33" s="3" t="n"/>
    </row>
    <row r="34">
      <c r="A34" t="inlineStr">
        <is>
          <t>Special Income Charges</t>
        </is>
      </c>
      <c r="B34" s="3" t="n">
        <v>-591000000</v>
      </c>
      <c r="C34" s="3" t="n">
        <v>-1533000000</v>
      </c>
      <c r="D34" s="3" t="n">
        <v>-244000000</v>
      </c>
      <c r="E34" s="3" t="n">
        <v>-57000000</v>
      </c>
      <c r="F34" s="3" t="n"/>
    </row>
    <row r="35">
      <c r="A35" t="inlineStr">
        <is>
          <t>Restructuring And Mergern Acquisition</t>
        </is>
      </c>
      <c r="B35" s="3" t="n">
        <v>591000000</v>
      </c>
      <c r="C35" s="3" t="n">
        <v>1533000000</v>
      </c>
      <c r="D35" s="3" t="n">
        <v>244000000</v>
      </c>
      <c r="E35" s="3" t="n">
        <v>57000000</v>
      </c>
      <c r="F35" s="3" t="n"/>
    </row>
    <row r="36">
      <c r="A36" t="inlineStr">
        <is>
          <t>Gain On Sale Of Security</t>
        </is>
      </c>
      <c r="B36" s="3" t="n">
        <v>-17000000</v>
      </c>
      <c r="C36" s="3" t="n">
        <v>-12000000</v>
      </c>
      <c r="D36" s="3" t="n">
        <v>11000000</v>
      </c>
      <c r="E36" s="3" t="n">
        <v>-169000000</v>
      </c>
      <c r="F36" s="3" t="n"/>
    </row>
    <row r="37">
      <c r="A37" t="inlineStr">
        <is>
          <t>Net Non Operating Interest Income Expense</t>
        </is>
      </c>
      <c r="B37" s="3" t="n">
        <v>-2863000000</v>
      </c>
      <c r="C37" s="3" t="n">
        <v>-3492000000</v>
      </c>
      <c r="D37" s="3" t="n">
        <v>-1087000000</v>
      </c>
      <c r="E37" s="3" t="n">
        <v>-1637000000</v>
      </c>
      <c r="F37" s="3" t="n"/>
    </row>
    <row r="38">
      <c r="A38" t="inlineStr">
        <is>
          <t>Interest Expense Non Operating</t>
        </is>
      </c>
      <c r="B38" s="3" t="n">
        <v>3210000000</v>
      </c>
      <c r="C38" s="3" t="n">
        <v>3953000000</v>
      </c>
      <c r="D38" s="3" t="n">
        <v>1622000000</v>
      </c>
      <c r="E38" s="3" t="n">
        <v>1737000000</v>
      </c>
      <c r="F38" s="3" t="n"/>
    </row>
    <row r="39">
      <c r="A39" t="inlineStr">
        <is>
          <t>Interest Income Non Operating</t>
        </is>
      </c>
      <c r="B39" s="3" t="n">
        <v>347000000</v>
      </c>
      <c r="C39" s="3" t="n">
        <v>461000000</v>
      </c>
      <c r="D39" s="3" t="n">
        <v>535000000</v>
      </c>
      <c r="E39" s="3" t="n">
        <v>100000000</v>
      </c>
      <c r="F39" s="3" t="n"/>
    </row>
    <row r="40">
      <c r="A40" t="inlineStr">
        <is>
          <t>Operating Income</t>
        </is>
      </c>
      <c r="B40" s="3" t="n">
        <v>26075000000</v>
      </c>
      <c r="C40" s="3" t="n">
        <v>14996000000</v>
      </c>
      <c r="D40" s="3" t="n">
        <v>16451000000</v>
      </c>
      <c r="E40" s="3" t="n">
        <v>14282000000</v>
      </c>
      <c r="F40" s="3" t="n"/>
    </row>
    <row r="41">
      <c r="A41" t="inlineStr">
        <is>
          <t>Operating Expense</t>
        </is>
      </c>
      <c r="B41" s="3" t="n">
        <v>17219000000</v>
      </c>
      <c r="C41" s="3" t="n">
        <v>17513000000</v>
      </c>
      <c r="D41" s="3" t="n">
        <v>8239000000</v>
      </c>
      <c r="E41" s="3" t="n">
        <v>7813000000</v>
      </c>
      <c r="F41" s="3" t="n"/>
    </row>
    <row r="42">
      <c r="A42" t="inlineStr">
        <is>
          <t>Depreciation Amortization Depletion Income Statement</t>
        </is>
      </c>
      <c r="B42" s="3" t="n">
        <v>2031000000</v>
      </c>
      <c r="C42" s="3" t="n">
        <v>3244000000</v>
      </c>
      <c r="D42" s="3" t="n">
        <v>1394000000</v>
      </c>
      <c r="E42" s="3" t="n">
        <v>1512000000</v>
      </c>
      <c r="F42" s="3" t="n"/>
    </row>
    <row r="43">
      <c r="A43" t="inlineStr">
        <is>
          <t>Depreciation And Amortization In Income Statement</t>
        </is>
      </c>
      <c r="B43" s="3" t="n">
        <v>2031000000</v>
      </c>
      <c r="C43" s="3" t="n">
        <v>3244000000</v>
      </c>
      <c r="D43" s="3" t="n">
        <v>1394000000</v>
      </c>
      <c r="E43" s="3" t="n">
        <v>1512000000</v>
      </c>
      <c r="F43" s="3" t="n"/>
    </row>
    <row r="44">
      <c r="A44" t="inlineStr">
        <is>
          <t>Amortization</t>
        </is>
      </c>
      <c r="B44" s="3" t="n">
        <v>2031000000</v>
      </c>
      <c r="C44" s="3" t="n">
        <v>3244000000</v>
      </c>
      <c r="D44" s="3" t="n">
        <v>1394000000</v>
      </c>
      <c r="E44" s="3" t="n">
        <v>1512000000</v>
      </c>
      <c r="F44" s="3" t="n"/>
    </row>
    <row r="45">
      <c r="A45" t="inlineStr">
        <is>
          <t>Amortization Of Intangibles Income Statement</t>
        </is>
      </c>
      <c r="B45" s="3" t="n">
        <v>2031000000</v>
      </c>
      <c r="C45" s="3" t="n">
        <v>3244000000</v>
      </c>
      <c r="D45" s="3" t="n">
        <v>1394000000</v>
      </c>
      <c r="E45" s="3" t="n">
        <v>1512000000</v>
      </c>
      <c r="F45" s="3" t="n"/>
    </row>
    <row r="46">
      <c r="A46" t="inlineStr">
        <is>
          <t>Research And Development</t>
        </is>
      </c>
      <c r="B46" s="3" t="n">
        <v>10977000000</v>
      </c>
      <c r="C46" s="3" t="n">
        <v>9310000000</v>
      </c>
      <c r="D46" s="3" t="n">
        <v>5253000000</v>
      </c>
      <c r="E46" s="3" t="n">
        <v>4919000000</v>
      </c>
      <c r="F46" s="3" t="n"/>
    </row>
    <row r="47">
      <c r="A47" t="inlineStr">
        <is>
          <t>Selling General And Administration</t>
        </is>
      </c>
      <c r="B47" s="3" t="n">
        <v>4211000000</v>
      </c>
      <c r="C47" s="3" t="n">
        <v>4959000000</v>
      </c>
      <c r="D47" s="3" t="n">
        <v>1592000000</v>
      </c>
      <c r="E47" s="3" t="n">
        <v>1382000000</v>
      </c>
      <c r="F47" s="3" t="n"/>
    </row>
    <row r="48">
      <c r="A48" t="inlineStr">
        <is>
          <t>Gross Profit</t>
        </is>
      </c>
      <c r="B48" s="3" t="n">
        <v>43294000000</v>
      </c>
      <c r="C48" s="3" t="n">
        <v>32509000000</v>
      </c>
      <c r="D48" s="3" t="n">
        <v>24690000000</v>
      </c>
      <c r="E48" s="3" t="n">
        <v>22095000000</v>
      </c>
      <c r="F48" s="3" t="n"/>
    </row>
    <row r="49">
      <c r="A49" t="inlineStr">
        <is>
          <t>Cost Of Revenue</t>
        </is>
      </c>
      <c r="B49" s="3" t="n">
        <v>20593000000</v>
      </c>
      <c r="C49" s="3" t="n">
        <v>19065000000</v>
      </c>
      <c r="D49" s="3" t="n">
        <v>11129000000</v>
      </c>
      <c r="E49" s="3" t="n">
        <v>11108000000</v>
      </c>
      <c r="F49" s="3" t="n"/>
    </row>
    <row r="50">
      <c r="A50" t="inlineStr">
        <is>
          <t>Total Revenue</t>
        </is>
      </c>
      <c r="B50" s="3" t="n">
        <v>63887000000</v>
      </c>
      <c r="C50" s="3" t="n">
        <v>51574000000</v>
      </c>
      <c r="D50" s="3" t="n">
        <v>35819000000</v>
      </c>
      <c r="E50" s="3" t="n">
        <v>33203000000</v>
      </c>
      <c r="F50" s="3" t="n"/>
    </row>
    <row r="51">
      <c r="A51" t="inlineStr">
        <is>
          <t>Operating Revenue</t>
        </is>
      </c>
      <c r="B51" s="3" t="n">
        <v>63887000000</v>
      </c>
      <c r="C51" s="3" t="n">
        <v>51574000000</v>
      </c>
      <c r="D51" s="3" t="n">
        <v>35819000000</v>
      </c>
      <c r="E51" s="3" t="n">
        <v>33203000000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Tax Effect Of Unusual Items</t>
        </is>
      </c>
      <c r="B2" s="3" t="n">
        <v>-5747285.291214</v>
      </c>
      <c r="C2" s="3" t="n">
        <v>-10633068.944478</v>
      </c>
      <c r="D2" s="3" t="n">
        <v>-34230000</v>
      </c>
      <c r="E2" s="3" t="n">
        <v>-40513718.070009</v>
      </c>
      <c r="F2" s="3" t="n">
        <v>-2029498.525074</v>
      </c>
      <c r="G2" s="3" t="n"/>
      <c r="H2" s="3" t="n"/>
    </row>
    <row r="3">
      <c r="A3" t="inlineStr">
        <is>
          <t>Tax Rate For Calcs</t>
        </is>
      </c>
      <c r="B3" s="3" t="n">
        <v>0.08094800000000001</v>
      </c>
      <c r="C3" s="3" t="n">
        <v>0.103234</v>
      </c>
      <c r="D3" s="3" t="n">
        <v>0.21</v>
      </c>
      <c r="E3" s="3" t="n">
        <v>0.216651</v>
      </c>
      <c r="F3" s="3" t="n">
        <v>0.023599</v>
      </c>
      <c r="G3" s="3" t="n"/>
      <c r="H3" s="3" t="n"/>
    </row>
    <row r="4">
      <c r="A4" t="inlineStr">
        <is>
          <t>Normalized EBITDA</t>
        </is>
      </c>
      <c r="B4" s="3" t="n">
        <v>13142000000</v>
      </c>
      <c r="C4" s="3" t="n">
        <v>11252000000</v>
      </c>
      <c r="D4" s="3" t="n">
        <v>10026000000</v>
      </c>
      <c r="E4" s="3" t="n">
        <v>8481000000</v>
      </c>
      <c r="F4" s="3" t="n">
        <v>8106000000</v>
      </c>
      <c r="G4" s="3" t="n"/>
      <c r="H4" s="3" t="n"/>
    </row>
    <row r="5">
      <c r="A5" t="inlineStr">
        <is>
          <t>Total Unusual Items</t>
        </is>
      </c>
      <c r="B5" s="3" t="n">
        <v>-71000000</v>
      </c>
      <c r="C5" s="3" t="n">
        <v>-103000000</v>
      </c>
      <c r="D5" s="3" t="n">
        <v>-163000000</v>
      </c>
      <c r="E5" s="3" t="n">
        <v>-187000000</v>
      </c>
      <c r="F5" s="3" t="n">
        <v>-86000000</v>
      </c>
      <c r="G5" s="3" t="n"/>
      <c r="H5" s="3" t="n"/>
    </row>
    <row r="6">
      <c r="A6" t="inlineStr">
        <is>
          <t>Total Unusual Items Excluding Goodwill</t>
        </is>
      </c>
      <c r="B6" s="3" t="n">
        <v>-71000000</v>
      </c>
      <c r="C6" s="3" t="n">
        <v>-103000000</v>
      </c>
      <c r="D6" s="3" t="n">
        <v>-163000000</v>
      </c>
      <c r="E6" s="3" t="n">
        <v>-187000000</v>
      </c>
      <c r="F6" s="3" t="n">
        <v>-86000000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9310000000</v>
      </c>
      <c r="C7" s="3" t="n">
        <v>7349000000</v>
      </c>
      <c r="D7" s="3" t="n">
        <v>8518000000</v>
      </c>
      <c r="E7" s="3" t="n">
        <v>4140000000</v>
      </c>
      <c r="F7" s="3" t="n">
        <v>4965000000</v>
      </c>
      <c r="G7" s="3" t="n"/>
      <c r="H7" s="3" t="n"/>
    </row>
    <row r="8">
      <c r="A8" t="inlineStr">
        <is>
          <t>Reconciled Depreciation</t>
        </is>
      </c>
      <c r="B8" s="3" t="n">
        <v>2165000000</v>
      </c>
      <c r="C8" s="3" t="n">
        <v>2153000000</v>
      </c>
      <c r="D8" s="3" t="n">
        <v>2233000000</v>
      </c>
      <c r="E8" s="3" t="n">
        <v>2202000000</v>
      </c>
      <c r="F8" s="3" t="n">
        <v>2166000000</v>
      </c>
      <c r="G8" s="3" t="n"/>
      <c r="H8" s="3" t="n"/>
    </row>
    <row r="9">
      <c r="A9" t="inlineStr">
        <is>
          <t>Reconciled Cost Of Revenue</t>
        </is>
      </c>
      <c r="B9" s="3" t="n">
        <v>5113000000</v>
      </c>
      <c r="C9" s="3" t="n">
        <v>4508000000</v>
      </c>
      <c r="D9" s="3" t="n">
        <v>4040000000</v>
      </c>
      <c r="E9" s="3" t="n">
        <v>3554000000</v>
      </c>
      <c r="F9" s="3" t="n">
        <v>3147000000</v>
      </c>
      <c r="G9" s="3" t="n"/>
      <c r="H9" s="3" t="n"/>
    </row>
    <row r="10">
      <c r="A10" t="inlineStr">
        <is>
          <t>EBITDA</t>
        </is>
      </c>
      <c r="B10" s="3" t="n">
        <v>13071000000</v>
      </c>
      <c r="C10" s="3" t="n">
        <v>11149000000</v>
      </c>
      <c r="D10" s="3" t="n">
        <v>9863000000</v>
      </c>
      <c r="E10" s="3" t="n">
        <v>8294000000</v>
      </c>
      <c r="F10" s="3" t="n">
        <v>8020000000</v>
      </c>
      <c r="G10" s="3" t="n"/>
      <c r="H10" s="3" t="n"/>
    </row>
    <row r="11">
      <c r="A11" t="inlineStr">
        <is>
          <t>EBIT</t>
        </is>
      </c>
      <c r="B11" s="3" t="n">
        <v>10906000000</v>
      </c>
      <c r="C11" s="3" t="n">
        <v>8996000000</v>
      </c>
      <c r="D11" s="3" t="n">
        <v>7630000000</v>
      </c>
      <c r="E11" s="3" t="n">
        <v>6092000000</v>
      </c>
      <c r="F11" s="3" t="n">
        <v>5854000000</v>
      </c>
      <c r="G11" s="3" t="n"/>
      <c r="H11" s="3" t="n"/>
    </row>
    <row r="12">
      <c r="A12" t="inlineStr">
        <is>
          <t>Net Interest Income</t>
        </is>
      </c>
      <c r="B12" s="3" t="n">
        <v>-776000000</v>
      </c>
      <c r="C12" s="3" t="n">
        <v>-801000000</v>
      </c>
      <c r="D12" s="3" t="n">
        <v>-414000000</v>
      </c>
      <c r="E12" s="3" t="n">
        <v>-807000000</v>
      </c>
      <c r="F12" s="3" t="n">
        <v>-769000000</v>
      </c>
      <c r="G12" s="3" t="n"/>
      <c r="H12" s="3" t="n"/>
    </row>
    <row r="13">
      <c r="A13" t="inlineStr">
        <is>
          <t>Interest Expense</t>
        </is>
      </c>
      <c r="B13" s="3" t="n">
        <v>776000000</v>
      </c>
      <c r="C13" s="3" t="n">
        <v>801000000</v>
      </c>
      <c r="D13" s="3" t="n">
        <v>761000000</v>
      </c>
      <c r="E13" s="3" t="n">
        <v>807000000</v>
      </c>
      <c r="F13" s="3" t="n">
        <v>769000000</v>
      </c>
      <c r="G13" s="3" t="n"/>
      <c r="H13" s="3" t="n"/>
    </row>
    <row r="14">
      <c r="A14" t="inlineStr">
        <is>
          <t>Normalized Income</t>
        </is>
      </c>
      <c r="B14" s="3" t="n">
        <v>9375252714.708786</v>
      </c>
      <c r="C14" s="3" t="n">
        <v>7441366931.055522</v>
      </c>
      <c r="D14" s="3" t="n">
        <v>8646770000</v>
      </c>
      <c r="E14" s="3" t="n">
        <v>4286486281.929991</v>
      </c>
      <c r="F14" s="3" t="n">
        <v>5048970501.474926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9310000000</v>
      </c>
      <c r="C15" s="3" t="n">
        <v>7349000000</v>
      </c>
      <c r="D15" s="3" t="n">
        <v>8518000000</v>
      </c>
      <c r="E15" s="3" t="n">
        <v>4140000000</v>
      </c>
      <c r="F15" s="3" t="n">
        <v>4965000000</v>
      </c>
      <c r="G15" s="3" t="n"/>
      <c r="H15" s="3" t="n"/>
    </row>
    <row r="16">
      <c r="A16" t="inlineStr">
        <is>
          <t>Total Expenses</t>
        </is>
      </c>
      <c r="B16" s="3" t="n">
        <v>11328000000</v>
      </c>
      <c r="C16" s="3" t="n">
        <v>10645000000</v>
      </c>
      <c r="D16" s="3" t="n">
        <v>10361000000</v>
      </c>
      <c r="E16" s="3" t="n">
        <v>9878000000</v>
      </c>
      <c r="F16" s="3" t="n">
        <v>9089000000</v>
      </c>
      <c r="G16" s="3" t="n"/>
      <c r="H16" s="3" t="n"/>
    </row>
    <row r="17">
      <c r="A17" t="inlineStr">
        <is>
          <t>Total Operating Income As Reported</t>
        </is>
      </c>
      <c r="B17" s="3" t="n">
        <v>10788000000</v>
      </c>
      <c r="C17" s="3" t="n">
        <v>8563000000</v>
      </c>
      <c r="D17" s="3" t="n">
        <v>7508000000</v>
      </c>
      <c r="E17" s="3" t="n">
        <v>5887000000</v>
      </c>
      <c r="F17" s="3" t="n">
        <v>5829000000</v>
      </c>
      <c r="G17" s="3" t="n"/>
      <c r="H17" s="3" t="n"/>
    </row>
    <row r="18">
      <c r="A18" t="inlineStr">
        <is>
          <t>Diluted Average Shares</t>
        </is>
      </c>
      <c r="B18" s="3" t="n">
        <v>4876000000</v>
      </c>
      <c r="C18" s="3" t="n">
        <v>4888000000</v>
      </c>
      <c r="D18" s="3" t="n">
        <v>4889000000</v>
      </c>
      <c r="E18" s="3" t="n">
        <v>4860000000</v>
      </c>
      <c r="F18" s="3" t="n">
        <v>4826000000</v>
      </c>
      <c r="G18" s="3" t="n"/>
      <c r="H18" s="3" t="n"/>
    </row>
    <row r="19">
      <c r="A19" t="inlineStr">
        <is>
          <t>Basic Average Shares</t>
        </is>
      </c>
      <c r="B19" s="3" t="n">
        <v>4747000000</v>
      </c>
      <c r="C19" s="3" t="n">
        <v>4741000000</v>
      </c>
      <c r="D19" s="3" t="n">
        <v>4732000000</v>
      </c>
      <c r="E19" s="3" t="n">
        <v>4714000000</v>
      </c>
      <c r="F19" s="3" t="n">
        <v>4707000000</v>
      </c>
      <c r="G19" s="3" t="n"/>
      <c r="H19" s="3" t="n"/>
    </row>
    <row r="20">
      <c r="A20" t="inlineStr">
        <is>
          <t>Diluted EPS</t>
        </is>
      </c>
      <c r="B20" s="3" t="n">
        <v>1.91</v>
      </c>
      <c r="C20" s="3" t="n">
        <v>1.5</v>
      </c>
      <c r="D20" s="3" t="n">
        <v>1.74</v>
      </c>
      <c r="E20" s="3" t="n">
        <v>0.85</v>
      </c>
      <c r="F20" s="3" t="n">
        <v>1.03</v>
      </c>
      <c r="G20" s="3" t="n"/>
      <c r="H20" s="3" t="n"/>
    </row>
    <row r="21">
      <c r="A21" t="inlineStr">
        <is>
          <t>Basic EPS</t>
        </is>
      </c>
      <c r="B21" s="3" t="n">
        <v>1.96</v>
      </c>
      <c r="C21" s="3" t="n">
        <v>1.55</v>
      </c>
      <c r="D21" s="3" t="n">
        <v>1.8</v>
      </c>
      <c r="E21" s="3" t="n">
        <v>0.88</v>
      </c>
      <c r="F21" s="3" t="n">
        <v>1.05</v>
      </c>
      <c r="G21" s="3" t="n"/>
      <c r="H21" s="3" t="n"/>
    </row>
    <row r="22">
      <c r="A22" t="inlineStr">
        <is>
          <t>Diluted NI Availto Com Stockholders</t>
        </is>
      </c>
      <c r="B22" s="3" t="n">
        <v>9310000000</v>
      </c>
      <c r="C22" s="3" t="n">
        <v>7349000000</v>
      </c>
      <c r="D22" s="3" t="n">
        <v>8518000000</v>
      </c>
      <c r="E22" s="3" t="n">
        <v>4140000000</v>
      </c>
      <c r="F22" s="3" t="n">
        <v>4965000000</v>
      </c>
      <c r="G22" s="3" t="n"/>
      <c r="H22" s="3" t="n"/>
    </row>
    <row r="23">
      <c r="A23" t="inlineStr">
        <is>
          <t>Net Income Common Stockholders</t>
        </is>
      </c>
      <c r="B23" s="3" t="n">
        <v>9310000000</v>
      </c>
      <c r="C23" s="3" t="n">
        <v>7349000000</v>
      </c>
      <c r="D23" s="3" t="n">
        <v>8518000000</v>
      </c>
      <c r="E23" s="3" t="n">
        <v>4140000000</v>
      </c>
      <c r="F23" s="3" t="n">
        <v>4965000000</v>
      </c>
      <c r="G23" s="3" t="n"/>
      <c r="H23" s="3" t="n"/>
    </row>
    <row r="24">
      <c r="A24" t="inlineStr">
        <is>
          <t>Net Income</t>
        </is>
      </c>
      <c r="B24" s="3" t="n">
        <v>9310000000</v>
      </c>
      <c r="C24" s="3" t="n">
        <v>7349000000</v>
      </c>
      <c r="D24" s="3" t="n">
        <v>8518000000</v>
      </c>
      <c r="E24" s="3" t="n">
        <v>4140000000</v>
      </c>
      <c r="F24" s="3" t="n">
        <v>4965000000</v>
      </c>
      <c r="G24" s="3" t="n"/>
      <c r="H24" s="3" t="n"/>
    </row>
    <row r="25">
      <c r="A25" t="inlineStr">
        <is>
          <t>Net Income Including Noncontrolling Interests</t>
        </is>
      </c>
      <c r="B25" s="3" t="n">
        <v>9310000000</v>
      </c>
      <c r="C25" s="3" t="n">
        <v>7349000000</v>
      </c>
      <c r="D25" s="3" t="n">
        <v>8518000000</v>
      </c>
      <c r="E25" s="3" t="n">
        <v>4140000000</v>
      </c>
      <c r="F25" s="3" t="n">
        <v>4965000000</v>
      </c>
      <c r="G25" s="3" t="n"/>
      <c r="H25" s="3" t="n"/>
    </row>
    <row r="26">
      <c r="A26" t="inlineStr">
        <is>
          <t>Net Income Discontinuous Operations</t>
        </is>
      </c>
      <c r="B26" s="3" t="n"/>
      <c r="C26" s="3" t="n"/>
      <c r="D26" s="3" t="n">
        <v>0</v>
      </c>
      <c r="E26" s="3" t="n">
        <v>0</v>
      </c>
      <c r="F26" s="3" t="n">
        <v>0</v>
      </c>
      <c r="G26" s="3" t="n">
        <v>0</v>
      </c>
      <c r="H26" s="3" t="n">
        <v>119000000</v>
      </c>
    </row>
    <row r="27">
      <c r="A27" t="inlineStr">
        <is>
          <t>Net Income Continuous Operations</t>
        </is>
      </c>
      <c r="B27" s="3" t="n">
        <v>9310000000</v>
      </c>
      <c r="C27" s="3" t="n">
        <v>7349000000</v>
      </c>
      <c r="D27" s="3" t="n">
        <v>8518000000</v>
      </c>
      <c r="E27" s="3" t="n">
        <v>4140000000</v>
      </c>
      <c r="F27" s="3" t="n">
        <v>4965000000</v>
      </c>
      <c r="G27" s="3" t="n"/>
      <c r="H27" s="3" t="n"/>
    </row>
    <row r="28">
      <c r="A28" t="inlineStr">
        <is>
          <t>Tax Provision</t>
        </is>
      </c>
      <c r="B28" s="3" t="n">
        <v>820000000</v>
      </c>
      <c r="C28" s="3" t="n">
        <v>846000000</v>
      </c>
      <c r="D28" s="3" t="n">
        <v>-1649000000</v>
      </c>
      <c r="E28" s="3" t="n">
        <v>1145000000</v>
      </c>
      <c r="F28" s="3" t="n">
        <v>120000000</v>
      </c>
      <c r="G28" s="3" t="n"/>
      <c r="H28" s="3" t="n"/>
    </row>
    <row r="29">
      <c r="A29" t="inlineStr">
        <is>
          <t>Pretax Income</t>
        </is>
      </c>
      <c r="B29" s="3" t="n">
        <v>10130000000</v>
      </c>
      <c r="C29" s="3" t="n">
        <v>8195000000</v>
      </c>
      <c r="D29" s="3" t="n">
        <v>6869000000</v>
      </c>
      <c r="E29" s="3" t="n">
        <v>5285000000</v>
      </c>
      <c r="F29" s="3" t="n">
        <v>5085000000</v>
      </c>
      <c r="G29" s="3" t="n"/>
      <c r="H29" s="3" t="n"/>
    </row>
    <row r="30">
      <c r="A30" t="inlineStr">
        <is>
          <t>Other Income Expense</t>
        </is>
      </c>
      <c r="B30" s="3" t="n">
        <v>47000000</v>
      </c>
      <c r="C30" s="3" t="n">
        <v>330000000</v>
      </c>
      <c r="D30" s="3" t="n">
        <v>-371000000</v>
      </c>
      <c r="E30" s="3" t="n">
        <v>18000000</v>
      </c>
      <c r="F30" s="3" t="n">
        <v>-61000000</v>
      </c>
      <c r="G30" s="3" t="n"/>
      <c r="H30" s="3" t="n"/>
    </row>
    <row r="31">
      <c r="A31" t="inlineStr">
        <is>
          <t>Other Non Operating Income Expenses</t>
        </is>
      </c>
      <c r="B31" s="3" t="n">
        <v>118000000</v>
      </c>
      <c r="C31" s="3" t="n">
        <v>433000000</v>
      </c>
      <c r="D31" s="3" t="n">
        <v>-208000000</v>
      </c>
      <c r="E31" s="3" t="n">
        <v>205000000</v>
      </c>
      <c r="F31" s="3" t="n">
        <v>25000000</v>
      </c>
      <c r="G31" s="3" t="n"/>
      <c r="H31" s="3" t="n"/>
    </row>
    <row r="32">
      <c r="A32" t="inlineStr">
        <is>
          <t>Special Income Charges</t>
        </is>
      </c>
      <c r="B32" s="3" t="n">
        <v>-71000000</v>
      </c>
      <c r="C32" s="3" t="n">
        <v>-103000000</v>
      </c>
      <c r="D32" s="3" t="n">
        <v>-146000000</v>
      </c>
      <c r="E32" s="3" t="n">
        <v>-187000000</v>
      </c>
      <c r="F32" s="3" t="n">
        <v>-86000000</v>
      </c>
      <c r="G32" s="3" t="n"/>
      <c r="H32" s="3" t="n"/>
    </row>
    <row r="33">
      <c r="A33" t="inlineStr">
        <is>
          <t>Restructuring And Mergern Acquisition</t>
        </is>
      </c>
      <c r="B33" s="3" t="n">
        <v>71000000</v>
      </c>
      <c r="C33" s="3" t="n">
        <v>103000000</v>
      </c>
      <c r="D33" s="3" t="n">
        <v>146000000</v>
      </c>
      <c r="E33" s="3" t="n">
        <v>187000000</v>
      </c>
      <c r="F33" s="3" t="n">
        <v>86000000</v>
      </c>
      <c r="G33" s="3" t="n"/>
      <c r="H33" s="3" t="n"/>
    </row>
    <row r="34">
      <c r="A34" t="inlineStr">
        <is>
          <t>Net Non Operating Interest Income Expense</t>
        </is>
      </c>
      <c r="B34" s="3" t="n">
        <v>-776000000</v>
      </c>
      <c r="C34" s="3" t="n">
        <v>-801000000</v>
      </c>
      <c r="D34" s="3" t="n">
        <v>-414000000</v>
      </c>
      <c r="E34" s="3" t="n">
        <v>-807000000</v>
      </c>
      <c r="F34" s="3" t="n">
        <v>-769000000</v>
      </c>
      <c r="G34" s="3" t="n"/>
      <c r="H34" s="3" t="n"/>
    </row>
    <row r="35">
      <c r="A35" t="inlineStr">
        <is>
          <t>Interest Expense Non Operating</t>
        </is>
      </c>
      <c r="B35" s="3" t="n">
        <v>776000000</v>
      </c>
      <c r="C35" s="3" t="n">
        <v>801000000</v>
      </c>
      <c r="D35" s="3" t="n">
        <v>761000000</v>
      </c>
      <c r="E35" s="3" t="n">
        <v>807000000</v>
      </c>
      <c r="F35" s="3" t="n">
        <v>769000000</v>
      </c>
      <c r="G35" s="3" t="n"/>
      <c r="H35" s="3" t="n"/>
    </row>
    <row r="36">
      <c r="A36" t="inlineStr">
        <is>
          <t>Operating Income</t>
        </is>
      </c>
      <c r="B36" s="3" t="n">
        <v>10859000000</v>
      </c>
      <c r="C36" s="3" t="n">
        <v>8666000000</v>
      </c>
      <c r="D36" s="3" t="n">
        <v>7654000000</v>
      </c>
      <c r="E36" s="3" t="n">
        <v>6074000000</v>
      </c>
      <c r="F36" s="3" t="n">
        <v>5915000000</v>
      </c>
      <c r="G36" s="3" t="n"/>
      <c r="H36" s="3" t="n"/>
    </row>
    <row r="37">
      <c r="A37" t="inlineStr">
        <is>
          <t>Operating Expense</t>
        </is>
      </c>
      <c r="B37" s="3" t="n">
        <v>4556000000</v>
      </c>
      <c r="C37" s="3" t="n">
        <v>4491000000</v>
      </c>
      <c r="D37" s="3" t="n">
        <v>4595000000</v>
      </c>
      <c r="E37" s="3" t="n">
        <v>4629000000</v>
      </c>
      <c r="F37" s="3" t="n">
        <v>4282000000</v>
      </c>
      <c r="G37" s="3" t="n"/>
      <c r="H37" s="3" t="n"/>
    </row>
    <row r="38">
      <c r="A38" t="inlineStr">
        <is>
          <t>Depreciation Amortization Depletion Income Statement</t>
        </is>
      </c>
      <c r="B38" s="3" t="n">
        <v>506000000</v>
      </c>
      <c r="C38" s="3" t="n">
        <v>507000000</v>
      </c>
      <c r="D38" s="3" t="n">
        <v>507000000</v>
      </c>
      <c r="E38" s="3" t="n">
        <v>507000000</v>
      </c>
      <c r="F38" s="3" t="n">
        <v>506000000</v>
      </c>
      <c r="G38" s="3" t="n"/>
      <c r="H38" s="3" t="n"/>
    </row>
    <row r="39">
      <c r="A39" t="inlineStr">
        <is>
          <t>Depreciation And Amortization In Income Statement</t>
        </is>
      </c>
      <c r="B39" s="3" t="n">
        <v>506000000</v>
      </c>
      <c r="C39" s="3" t="n">
        <v>507000000</v>
      </c>
      <c r="D39" s="3" t="n">
        <v>507000000</v>
      </c>
      <c r="E39" s="3" t="n">
        <v>507000000</v>
      </c>
      <c r="F39" s="3" t="n">
        <v>506000000</v>
      </c>
      <c r="G39" s="3" t="n"/>
      <c r="H39" s="3" t="n"/>
    </row>
    <row r="40">
      <c r="A40" t="inlineStr">
        <is>
          <t>Amortization</t>
        </is>
      </c>
      <c r="B40" s="3" t="n">
        <v>506000000</v>
      </c>
      <c r="C40" s="3" t="n">
        <v>507000000</v>
      </c>
      <c r="D40" s="3" t="n">
        <v>507000000</v>
      </c>
      <c r="E40" s="3" t="n">
        <v>507000000</v>
      </c>
      <c r="F40" s="3" t="n">
        <v>506000000</v>
      </c>
      <c r="G40" s="3" t="n"/>
      <c r="H40" s="3" t="n"/>
    </row>
    <row r="41">
      <c r="A41" t="inlineStr">
        <is>
          <t>Amortization Of Intangibles Income Statement</t>
        </is>
      </c>
      <c r="B41" s="3" t="n">
        <v>506000000</v>
      </c>
      <c r="C41" s="3" t="n">
        <v>507000000</v>
      </c>
      <c r="D41" s="3" t="n">
        <v>507000000</v>
      </c>
      <c r="E41" s="3" t="n">
        <v>507000000</v>
      </c>
      <c r="F41" s="3" t="n">
        <v>506000000</v>
      </c>
      <c r="G41" s="3" t="n"/>
      <c r="H41" s="3" t="n"/>
    </row>
    <row r="42">
      <c r="A42" t="inlineStr">
        <is>
          <t>Research And Development</t>
        </is>
      </c>
      <c r="B42" s="3" t="n">
        <v>2995000000</v>
      </c>
      <c r="C42" s="3" t="n">
        <v>2965000000</v>
      </c>
      <c r="D42" s="3" t="n">
        <v>2981000000</v>
      </c>
      <c r="E42" s="3" t="n">
        <v>3050000000</v>
      </c>
      <c r="F42" s="3" t="n">
        <v>2693000000</v>
      </c>
      <c r="G42" s="3" t="n"/>
      <c r="H42" s="3" t="n"/>
    </row>
    <row r="43">
      <c r="A43" t="inlineStr">
        <is>
          <t>Selling General And Administration</t>
        </is>
      </c>
      <c r="B43" s="3" t="n">
        <v>1055000000</v>
      </c>
      <c r="C43" s="3" t="n">
        <v>1019000000</v>
      </c>
      <c r="D43" s="3" t="n">
        <v>1107000000</v>
      </c>
      <c r="E43" s="3" t="n">
        <v>1072000000</v>
      </c>
      <c r="F43" s="3" t="n">
        <v>1083000000</v>
      </c>
      <c r="G43" s="3" t="n"/>
      <c r="H43" s="3" t="n"/>
    </row>
    <row r="44">
      <c r="A44" t="inlineStr">
        <is>
          <t>Gross Profit</t>
        </is>
      </c>
      <c r="B44" s="3" t="n">
        <v>15415000000</v>
      </c>
      <c r="C44" s="3" t="n">
        <v>13157000000</v>
      </c>
      <c r="D44" s="3" t="n">
        <v>12249000000</v>
      </c>
      <c r="E44" s="3" t="n">
        <v>10703000000</v>
      </c>
      <c r="F44" s="3" t="n">
        <v>10197000000</v>
      </c>
      <c r="G44" s="3" t="n"/>
      <c r="H44" s="3" t="n"/>
    </row>
    <row r="45">
      <c r="A45" t="inlineStr">
        <is>
          <t>Cost Of Revenue</t>
        </is>
      </c>
      <c r="B45" s="3" t="n">
        <v>6772000000</v>
      </c>
      <c r="C45" s="3" t="n">
        <v>6154000000</v>
      </c>
      <c r="D45" s="3" t="n">
        <v>5766000000</v>
      </c>
      <c r="E45" s="3" t="n">
        <v>5249000000</v>
      </c>
      <c r="F45" s="3" t="n">
        <v>4807000000</v>
      </c>
      <c r="G45" s="3" t="n"/>
      <c r="H45" s="3" t="n"/>
    </row>
    <row r="46">
      <c r="A46" t="inlineStr">
        <is>
          <t>Total Revenue</t>
        </is>
      </c>
      <c r="B46" s="3" t="n">
        <v>22187000000</v>
      </c>
      <c r="C46" s="3" t="n">
        <v>19311000000</v>
      </c>
      <c r="D46" s="3" t="n">
        <v>18015000000</v>
      </c>
      <c r="E46" s="3" t="n">
        <v>15952000000</v>
      </c>
      <c r="F46" s="3" t="n">
        <v>15004000000</v>
      </c>
      <c r="G46" s="3" t="n"/>
      <c r="H46" s="3" t="n"/>
    </row>
    <row r="47">
      <c r="A47" t="inlineStr">
        <is>
          <t>Operating Revenue</t>
        </is>
      </c>
      <c r="B47" s="3" t="n">
        <v>22187000000</v>
      </c>
      <c r="C47" s="3" t="n">
        <v>19311000000</v>
      </c>
      <c r="D47" s="3" t="n">
        <v>18015000000</v>
      </c>
      <c r="E47" s="3" t="n">
        <v>15952000000</v>
      </c>
      <c r="F47" s="3" t="n">
        <v>15004000000</v>
      </c>
      <c r="G47" s="3" t="n"/>
      <c r="H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Preferred Shares Number</t>
        </is>
      </c>
      <c r="B3" s="3" t="n"/>
      <c r="C3" s="3" t="n"/>
      <c r="D3" s="3" t="n"/>
      <c r="E3" s="3" t="n"/>
      <c r="F3" s="3" t="n">
        <v>4000000</v>
      </c>
    </row>
    <row r="4">
      <c r="A4" t="inlineStr">
        <is>
          <t>Ordinary Shares Number</t>
        </is>
      </c>
      <c r="B4" s="3" t="n">
        <v>4741000000</v>
      </c>
      <c r="C4" s="3" t="n">
        <v>4686000000</v>
      </c>
      <c r="D4" s="3" t="n">
        <v>4140000000</v>
      </c>
      <c r="E4" s="3" t="n">
        <v>4180000000</v>
      </c>
      <c r="F4" s="3" t="n"/>
    </row>
    <row r="5">
      <c r="A5" t="inlineStr">
        <is>
          <t>Share Issued</t>
        </is>
      </c>
      <c r="B5" s="3" t="n">
        <v>4741000000</v>
      </c>
      <c r="C5" s="3" t="n">
        <v>4686000000</v>
      </c>
      <c r="D5" s="3" t="n">
        <v>4140000000</v>
      </c>
      <c r="E5" s="3" t="n">
        <v>4180000000</v>
      </c>
      <c r="F5" s="3" t="n"/>
    </row>
    <row r="6">
      <c r="A6" t="inlineStr">
        <is>
          <t>Net Debt</t>
        </is>
      </c>
      <c r="B6" s="3" t="n">
        <v>48958000000</v>
      </c>
      <c r="C6" s="3" t="n">
        <v>58179000000</v>
      </c>
      <c r="D6" s="3" t="n">
        <v>24991000000</v>
      </c>
      <c r="E6" s="3" t="n">
        <v>27040000000</v>
      </c>
      <c r="F6" s="3" t="n"/>
    </row>
    <row r="7">
      <c r="A7" t="inlineStr">
        <is>
          <t>Total Debt</t>
        </is>
      </c>
      <c r="B7" s="3" t="n">
        <v>65136000000</v>
      </c>
      <c r="C7" s="3" t="n">
        <v>67566000000</v>
      </c>
      <c r="D7" s="3" t="n">
        <v>39229000000</v>
      </c>
      <c r="E7" s="3" t="n">
        <v>39515000000</v>
      </c>
      <c r="F7" s="3" t="n"/>
    </row>
    <row r="8">
      <c r="A8" t="inlineStr">
        <is>
          <t>Tangible Book Value</t>
        </is>
      </c>
      <c r="B8" s="3" t="n">
        <v>-48782000000</v>
      </c>
      <c r="C8" s="3" t="n">
        <v>-70778000000</v>
      </c>
      <c r="D8" s="3" t="n">
        <v>-23532000000</v>
      </c>
      <c r="E8" s="3" t="n">
        <v>-28016000000</v>
      </c>
      <c r="F8" s="3" t="n"/>
    </row>
    <row r="9">
      <c r="A9" t="inlineStr">
        <is>
          <t>Invested Capital</t>
        </is>
      </c>
      <c r="B9" s="3" t="n">
        <v>146428000000</v>
      </c>
      <c r="C9" s="3" t="n">
        <v>135205000000</v>
      </c>
      <c r="D9" s="3" t="n">
        <v>63168000000</v>
      </c>
      <c r="E9" s="3" t="n">
        <v>62165000000</v>
      </c>
      <c r="F9" s="3" t="n"/>
    </row>
    <row r="10">
      <c r="A10" t="inlineStr">
        <is>
          <t>Working Capital</t>
        </is>
      </c>
      <c r="B10" s="3" t="n">
        <v>13059000000</v>
      </c>
      <c r="C10" s="3" t="n">
        <v>2898000000</v>
      </c>
      <c r="D10" s="3" t="n">
        <v>13442000000</v>
      </c>
      <c r="E10" s="3" t="n">
        <v>11452000000</v>
      </c>
      <c r="F10" s="3" t="n"/>
    </row>
    <row r="11">
      <c r="A11" t="inlineStr">
        <is>
          <t>Net Tangible Assets</t>
        </is>
      </c>
      <c r="B11" s="3" t="n">
        <v>-48782000000</v>
      </c>
      <c r="C11" s="3" t="n">
        <v>-70778000000</v>
      </c>
      <c r="D11" s="3" t="n">
        <v>-23532000000</v>
      </c>
      <c r="E11" s="3" t="n">
        <v>-28016000000</v>
      </c>
      <c r="F11" s="3" t="n"/>
    </row>
    <row r="12">
      <c r="A12" t="inlineStr">
        <is>
          <t>Capital Lease Obligations</t>
        </is>
      </c>
      <c r="B12" s="3" t="n">
        <v>0</v>
      </c>
      <c r="C12" s="3" t="n">
        <v>39000000</v>
      </c>
      <c r="D12" s="3" t="n">
        <v>49000000</v>
      </c>
      <c r="E12" s="3" t="n">
        <v>59000000</v>
      </c>
      <c r="F12" s="3" t="n"/>
    </row>
    <row r="13">
      <c r="A13" t="inlineStr">
        <is>
          <t>Common Stock Equity</t>
        </is>
      </c>
      <c r="B13" s="3" t="n">
        <v>81292000000</v>
      </c>
      <c r="C13" s="3" t="n">
        <v>67678000000</v>
      </c>
      <c r="D13" s="3" t="n">
        <v>23988000000</v>
      </c>
      <c r="E13" s="3" t="n">
        <v>22709000000</v>
      </c>
      <c r="F13" s="3" t="n"/>
    </row>
    <row r="14">
      <c r="A14" t="inlineStr">
        <is>
          <t>Preferred Stock Equity</t>
        </is>
      </c>
      <c r="B14" s="3" t="n"/>
      <c r="C14" s="3" t="n"/>
      <c r="D14" s="3" t="n"/>
      <c r="E14" s="3" t="n"/>
      <c r="F14" s="3" t="n">
        <v>27000000</v>
      </c>
    </row>
    <row r="15">
      <c r="A15" t="inlineStr">
        <is>
          <t>Total Capitalization</t>
        </is>
      </c>
      <c r="B15" s="3" t="n">
        <v>143276000000</v>
      </c>
      <c r="C15" s="3" t="n">
        <v>133960000000</v>
      </c>
      <c r="D15" s="3" t="n">
        <v>61605000000</v>
      </c>
      <c r="E15" s="3" t="n">
        <v>61762000000</v>
      </c>
      <c r="F15" s="3" t="n"/>
    </row>
    <row r="16">
      <c r="A16" t="inlineStr">
        <is>
          <t>Total Equity Gross Minority Interest</t>
        </is>
      </c>
      <c r="B16" s="3" t="n">
        <v>81292000000</v>
      </c>
      <c r="C16" s="3" t="n">
        <v>67678000000</v>
      </c>
      <c r="D16" s="3" t="n">
        <v>23988000000</v>
      </c>
      <c r="E16" s="3" t="n">
        <v>22709000000</v>
      </c>
      <c r="F16" s="3" t="n"/>
    </row>
    <row r="17">
      <c r="A17" t="inlineStr">
        <is>
          <t>Stockholders Equity</t>
        </is>
      </c>
      <c r="B17" s="3" t="n">
        <v>81292000000</v>
      </c>
      <c r="C17" s="3" t="n">
        <v>67678000000</v>
      </c>
      <c r="D17" s="3" t="n">
        <v>23988000000</v>
      </c>
      <c r="E17" s="3" t="n">
        <v>22709000000</v>
      </c>
      <c r="F17" s="3" t="n"/>
    </row>
    <row r="18">
      <c r="A18" t="inlineStr">
        <is>
          <t>Gains Losses Not Affecting Retained Earnings</t>
        </is>
      </c>
      <c r="B18" s="3" t="n">
        <v>218000000</v>
      </c>
      <c r="C18" s="3" t="n">
        <v>207000000</v>
      </c>
      <c r="D18" s="3" t="n">
        <v>207000000</v>
      </c>
      <c r="E18" s="3" t="n">
        <v>-54000000</v>
      </c>
      <c r="F18" s="3" t="n"/>
    </row>
    <row r="19">
      <c r="A19" t="inlineStr">
        <is>
          <t>Other Equity Adjustments</t>
        </is>
      </c>
      <c r="B19" s="3" t="n">
        <v>218000000</v>
      </c>
      <c r="C19" s="3" t="n">
        <v>207000000</v>
      </c>
      <c r="D19" s="3" t="n">
        <v>207000000</v>
      </c>
      <c r="E19" s="3" t="n">
        <v>-54000000</v>
      </c>
      <c r="F19" s="3" t="n"/>
    </row>
    <row r="20">
      <c r="A20" t="inlineStr">
        <is>
          <t>Retained Earnings</t>
        </is>
      </c>
      <c r="B20" s="3" t="n">
        <v>9761000000</v>
      </c>
      <c r="C20" s="3" t="n">
        <v>0</v>
      </c>
      <c r="D20" s="3" t="n">
        <v>2682000000</v>
      </c>
      <c r="E20" s="3" t="n">
        <v>1604000000</v>
      </c>
      <c r="F20" s="3" t="n"/>
    </row>
    <row r="21">
      <c r="A21" t="inlineStr">
        <is>
          <t>Additional Paid In Capital</t>
        </is>
      </c>
      <c r="B21" s="3" t="n">
        <v>71308000000</v>
      </c>
      <c r="C21" s="3" t="n">
        <v>67466000000</v>
      </c>
      <c r="D21" s="3" t="n">
        <v>21095000000</v>
      </c>
      <c r="E21" s="3" t="n">
        <v>21159000000</v>
      </c>
      <c r="F21" s="3" t="n"/>
    </row>
    <row r="22">
      <c r="A22" t="inlineStr">
        <is>
          <t>Capital Stock</t>
        </is>
      </c>
      <c r="B22" s="3" t="n">
        <v>5000000</v>
      </c>
      <c r="C22" s="3" t="n">
        <v>5000000</v>
      </c>
      <c r="D22" s="3" t="n">
        <v>4000000</v>
      </c>
      <c r="E22" s="3" t="n">
        <v>0</v>
      </c>
      <c r="F22" s="3" t="n"/>
    </row>
    <row r="23">
      <c r="A23" t="inlineStr">
        <is>
          <t>Common Stock</t>
        </is>
      </c>
      <c r="B23" s="3" t="n">
        <v>5000000</v>
      </c>
      <c r="C23" s="3" t="n">
        <v>5000000</v>
      </c>
      <c r="D23" s="3" t="n">
        <v>4000000</v>
      </c>
      <c r="E23" s="3" t="n">
        <v>0</v>
      </c>
      <c r="F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/>
    </row>
    <row r="25">
      <c r="A25" t="inlineStr">
        <is>
          <t>Total Liabilities Net Minority Interest</t>
        </is>
      </c>
      <c r="B25" s="3" t="n">
        <v>89800000000</v>
      </c>
      <c r="C25" s="3" t="n">
        <v>97967000000</v>
      </c>
      <c r="D25" s="3" t="n">
        <v>48873000000</v>
      </c>
      <c r="E25" s="3" t="n">
        <v>50540000000</v>
      </c>
      <c r="F25" s="3" t="n"/>
    </row>
    <row r="26">
      <c r="A26" t="inlineStr">
        <is>
          <t>Total Non Current Liabilities Net Minority Interest</t>
        </is>
      </c>
      <c r="B26" s="3" t="n">
        <v>71286000000</v>
      </c>
      <c r="C26" s="3" t="n">
        <v>81270000000</v>
      </c>
      <c r="D26" s="3" t="n">
        <v>41468000000</v>
      </c>
      <c r="E26" s="3" t="n">
        <v>43488000000</v>
      </c>
      <c r="F26" s="3" t="n"/>
    </row>
    <row r="27">
      <c r="A27" t="inlineStr">
        <is>
          <t>Other Non Current Liabilities</t>
        </is>
      </c>
      <c r="B27" s="3" t="n">
        <v>1423000000</v>
      </c>
      <c r="C27" s="3" t="n">
        <v>1503000000</v>
      </c>
      <c r="D27" s="3" t="n">
        <v>657000000</v>
      </c>
      <c r="E27" s="3" t="n">
        <v>774000000</v>
      </c>
      <c r="F27" s="3" t="n"/>
    </row>
    <row r="28">
      <c r="A28" t="inlineStr">
        <is>
          <t>Tradeand Other Payables Non Current</t>
        </is>
      </c>
      <c r="B28" s="3" t="n">
        <v>1628000000</v>
      </c>
      <c r="C28" s="3" t="n">
        <v>3669000000</v>
      </c>
      <c r="D28" s="3" t="n">
        <v>2792000000</v>
      </c>
      <c r="E28" s="3" t="n">
        <v>3229000000</v>
      </c>
      <c r="F28" s="3" t="n"/>
    </row>
    <row r="29">
      <c r="A29" t="inlineStr">
        <is>
          <t>Non Current Deferred Liabilities</t>
        </is>
      </c>
      <c r="B29" s="3" t="n">
        <v>6251000000</v>
      </c>
      <c r="C29" s="3" t="n">
        <v>9803000000</v>
      </c>
      <c r="D29" s="3" t="n">
        <v>398000000</v>
      </c>
      <c r="E29" s="3" t="n">
        <v>410000000</v>
      </c>
      <c r="F29" s="3" t="n"/>
    </row>
    <row r="30">
      <c r="A30" t="inlineStr">
        <is>
          <t>Non Current Deferred Revenue</t>
        </is>
      </c>
      <c r="B30" s="3" t="n">
        <v>3547000000</v>
      </c>
      <c r="C30" s="3" t="n">
        <v>5100000000</v>
      </c>
      <c r="D30" s="3" t="n">
        <v>299000000</v>
      </c>
      <c r="E30" s="3" t="n">
        <v>410000000</v>
      </c>
      <c r="F30" s="3" t="n"/>
    </row>
    <row r="31">
      <c r="A31" t="inlineStr">
        <is>
          <t>Non Current Deferred Taxes Liabilities</t>
        </is>
      </c>
      <c r="B31" s="3" t="n">
        <v>2704000000</v>
      </c>
      <c r="C31" s="3" t="n">
        <v>4703000000</v>
      </c>
      <c r="D31" s="3" t="n">
        <v>99000000</v>
      </c>
      <c r="E31" s="3" t="n"/>
      <c r="F31" s="3" t="n"/>
    </row>
    <row r="32">
      <c r="A32" t="inlineStr">
        <is>
          <t>Long Term Debt And Capital Lease Obligation</t>
        </is>
      </c>
      <c r="B32" s="3" t="n">
        <v>61984000000</v>
      </c>
      <c r="C32" s="3" t="n">
        <v>66295000000</v>
      </c>
      <c r="D32" s="3" t="n">
        <v>37621000000</v>
      </c>
      <c r="E32" s="3" t="n">
        <v>39075000000</v>
      </c>
      <c r="F32" s="3" t="n"/>
    </row>
    <row r="33">
      <c r="A33" t="inlineStr">
        <is>
          <t>Long Term Capital Lease Obligation</t>
        </is>
      </c>
      <c r="B33" s="3" t="n">
        <v>0</v>
      </c>
      <c r="C33" s="3" t="n">
        <v>13000000</v>
      </c>
      <c r="D33" s="3" t="n">
        <v>4000000</v>
      </c>
      <c r="E33" s="3" t="n">
        <v>22000000</v>
      </c>
      <c r="F33" s="3" t="n"/>
    </row>
    <row r="34">
      <c r="A34" t="inlineStr">
        <is>
          <t>Long Term Debt</t>
        </is>
      </c>
      <c r="B34" s="3" t="n">
        <v>61984000000</v>
      </c>
      <c r="C34" s="3" t="n">
        <v>66282000000</v>
      </c>
      <c r="D34" s="3" t="n">
        <v>37617000000</v>
      </c>
      <c r="E34" s="3" t="n">
        <v>39053000000</v>
      </c>
      <c r="F34" s="3" t="n"/>
    </row>
    <row r="35">
      <c r="A35" t="inlineStr">
        <is>
          <t>Current Liabilities</t>
        </is>
      </c>
      <c r="B35" s="3" t="n">
        <v>18514000000</v>
      </c>
      <c r="C35" s="3" t="n">
        <v>16697000000</v>
      </c>
      <c r="D35" s="3" t="n">
        <v>7405000000</v>
      </c>
      <c r="E35" s="3" t="n">
        <v>7052000000</v>
      </c>
      <c r="F35" s="3" t="n"/>
    </row>
    <row r="36">
      <c r="A36" t="inlineStr">
        <is>
          <t>Other Current Liabilities</t>
        </is>
      </c>
      <c r="B36" s="3" t="n">
        <v>663000000</v>
      </c>
      <c r="C36" s="3" t="n">
        <v>1143000000</v>
      </c>
      <c r="D36" s="3" t="n">
        <v>312000000</v>
      </c>
      <c r="E36" s="3" t="n">
        <v>408000000</v>
      </c>
      <c r="F36" s="3" t="n"/>
    </row>
    <row r="37">
      <c r="A37" t="inlineStr">
        <is>
          <t>Current Deferred Liabilities</t>
        </is>
      </c>
      <c r="B37" s="3" t="n">
        <v>9469000000</v>
      </c>
      <c r="C37" s="3" t="n">
        <v>9395000000</v>
      </c>
      <c r="D37" s="3" t="n">
        <v>2487000000</v>
      </c>
      <c r="E37" s="3" t="n">
        <v>2931000000</v>
      </c>
      <c r="F37" s="3" t="n"/>
    </row>
    <row r="38">
      <c r="A38" t="inlineStr">
        <is>
          <t>Current Deferred Revenue</t>
        </is>
      </c>
      <c r="B38" s="3" t="n">
        <v>9469000000</v>
      </c>
      <c r="C38" s="3" t="n">
        <v>9395000000</v>
      </c>
      <c r="D38" s="3" t="n">
        <v>2487000000</v>
      </c>
      <c r="E38" s="3" t="n">
        <v>2931000000</v>
      </c>
      <c r="F38" s="3" t="n"/>
    </row>
    <row r="39">
      <c r="A39" t="inlineStr">
        <is>
          <t>Current Debt And Capital Lease Obligation</t>
        </is>
      </c>
      <c r="B39" s="3" t="n">
        <v>3152000000</v>
      </c>
      <c r="C39" s="3" t="n">
        <v>1271000000</v>
      </c>
      <c r="D39" s="3" t="n">
        <v>1608000000</v>
      </c>
      <c r="E39" s="3" t="n">
        <v>440000000</v>
      </c>
      <c r="F39" s="3" t="n"/>
    </row>
    <row r="40">
      <c r="A40" t="inlineStr">
        <is>
          <t>Current Capital Lease Obligation</t>
        </is>
      </c>
      <c r="B40" s="3" t="n">
        <v>0</v>
      </c>
      <c r="C40" s="3" t="n">
        <v>26000000</v>
      </c>
      <c r="D40" s="3" t="n">
        <v>45000000</v>
      </c>
      <c r="E40" s="3" t="n">
        <v>37000000</v>
      </c>
      <c r="F40" s="3" t="n"/>
    </row>
    <row r="41">
      <c r="A41" t="inlineStr">
        <is>
          <t>Current Debt</t>
        </is>
      </c>
      <c r="B41" s="3" t="n">
        <v>3152000000</v>
      </c>
      <c r="C41" s="3" t="n">
        <v>1245000000</v>
      </c>
      <c r="D41" s="3" t="n">
        <v>1563000000</v>
      </c>
      <c r="E41" s="3" t="n">
        <v>403000000</v>
      </c>
      <c r="F41" s="3" t="n"/>
    </row>
    <row r="42">
      <c r="A42" t="inlineStr">
        <is>
          <t>Other Current Borrowings</t>
        </is>
      </c>
      <c r="B42" s="3" t="n">
        <v>3152000000</v>
      </c>
      <c r="C42" s="3" t="n">
        <v>1245000000</v>
      </c>
      <c r="D42" s="3" t="n">
        <v>1563000000</v>
      </c>
      <c r="E42" s="3" t="n">
        <v>403000000</v>
      </c>
      <c r="F42" s="3" t="n"/>
    </row>
    <row r="43">
      <c r="A43" t="inlineStr">
        <is>
          <t>Pensionand Other Post Retirement Benefit Plans Current</t>
        </is>
      </c>
      <c r="B43" s="3" t="n">
        <v>2129000000</v>
      </c>
      <c r="C43" s="3" t="n">
        <v>1971000000</v>
      </c>
      <c r="D43" s="3" t="n">
        <v>935000000</v>
      </c>
      <c r="E43" s="3" t="n">
        <v>1202000000</v>
      </c>
      <c r="F43" s="3" t="n"/>
    </row>
    <row r="44">
      <c r="A44" t="inlineStr">
        <is>
          <t>Payables And Accrued Expenses</t>
        </is>
      </c>
      <c r="B44" s="3" t="n">
        <v>3101000000</v>
      </c>
      <c r="C44" s="3" t="n">
        <v>2917000000</v>
      </c>
      <c r="D44" s="3" t="n">
        <v>2063000000</v>
      </c>
      <c r="E44" s="3" t="n">
        <v>2071000000</v>
      </c>
      <c r="F44" s="3" t="n"/>
    </row>
    <row r="45">
      <c r="A45" t="inlineStr">
        <is>
          <t>Current Accrued Expenses</t>
        </is>
      </c>
      <c r="B45" s="3" t="n">
        <v>620000000</v>
      </c>
      <c r="C45" s="3" t="n">
        <v>535000000</v>
      </c>
      <c r="D45" s="3" t="n">
        <v>380000000</v>
      </c>
      <c r="E45" s="3" t="n">
        <v>393000000</v>
      </c>
      <c r="F45" s="3" t="n"/>
    </row>
    <row r="46">
      <c r="A46" t="inlineStr">
        <is>
          <t>Interest Payable</t>
        </is>
      </c>
      <c r="B46" s="3" t="n">
        <v>620000000</v>
      </c>
      <c r="C46" s="3" t="n">
        <v>535000000</v>
      </c>
      <c r="D46" s="3" t="n">
        <v>380000000</v>
      </c>
      <c r="E46" s="3" t="n">
        <v>393000000</v>
      </c>
      <c r="F46" s="3" t="n"/>
    </row>
    <row r="47">
      <c r="A47" t="inlineStr">
        <is>
          <t>Payables</t>
        </is>
      </c>
      <c r="B47" s="3" t="n">
        <v>2481000000</v>
      </c>
      <c r="C47" s="3" t="n">
        <v>2382000000</v>
      </c>
      <c r="D47" s="3" t="n">
        <v>1683000000</v>
      </c>
      <c r="E47" s="3" t="n">
        <v>1678000000</v>
      </c>
      <c r="F47" s="3" t="n"/>
    </row>
    <row r="48">
      <c r="A48" t="inlineStr">
        <is>
          <t>Total Tax Payable</t>
        </is>
      </c>
      <c r="B48" s="3" t="n">
        <v>921000000</v>
      </c>
      <c r="C48" s="3" t="n">
        <v>720000000</v>
      </c>
      <c r="D48" s="3" t="n">
        <v>473000000</v>
      </c>
      <c r="E48" s="3" t="n">
        <v>680000000</v>
      </c>
      <c r="F48" s="3" t="n"/>
    </row>
    <row r="49">
      <c r="A49" t="inlineStr">
        <is>
          <t>Accounts Payable</t>
        </is>
      </c>
      <c r="B49" s="3" t="n">
        <v>1560000000</v>
      </c>
      <c r="C49" s="3" t="n">
        <v>1662000000</v>
      </c>
      <c r="D49" s="3" t="n">
        <v>1210000000</v>
      </c>
      <c r="E49" s="3" t="n">
        <v>998000000</v>
      </c>
      <c r="F49" s="3" t="n"/>
    </row>
    <row r="50">
      <c r="A50" t="inlineStr">
        <is>
          <t>Total Assets</t>
        </is>
      </c>
      <c r="B50" s="3" t="n">
        <v>171092000000</v>
      </c>
      <c r="C50" s="3" t="n">
        <v>165645000000</v>
      </c>
      <c r="D50" s="3" t="n">
        <v>72861000000</v>
      </c>
      <c r="E50" s="3" t="n">
        <v>73249000000</v>
      </c>
      <c r="F50" s="3" t="n"/>
    </row>
    <row r="51">
      <c r="A51" t="inlineStr">
        <is>
          <t>Total Non Current Assets</t>
        </is>
      </c>
      <c r="B51" s="3" t="n">
        <v>139519000000</v>
      </c>
      <c r="C51" s="3" t="n">
        <v>146050000000</v>
      </c>
      <c r="D51" s="3" t="n">
        <v>52014000000</v>
      </c>
      <c r="E51" s="3" t="n">
        <v>54745000000</v>
      </c>
      <c r="F51" s="3" t="n"/>
    </row>
    <row r="52">
      <c r="A52" t="inlineStr">
        <is>
          <t>Other Non Current Assets</t>
        </is>
      </c>
      <c r="B52" s="3" t="n">
        <v>6915000000</v>
      </c>
      <c r="C52" s="3" t="n">
        <v>5073000000</v>
      </c>
      <c r="D52" s="3" t="n">
        <v>2340000000</v>
      </c>
      <c r="E52" s="3" t="n">
        <v>1797000000</v>
      </c>
      <c r="F52" s="3" t="n"/>
    </row>
    <row r="53">
      <c r="A53" t="inlineStr">
        <is>
          <t>Goodwill And Other Intangible Assets</t>
        </is>
      </c>
      <c r="B53" s="3" t="n">
        <v>130074000000</v>
      </c>
      <c r="C53" s="3" t="n">
        <v>138456000000</v>
      </c>
      <c r="D53" s="3" t="n">
        <v>47520000000</v>
      </c>
      <c r="E53" s="3" t="n">
        <v>50725000000</v>
      </c>
      <c r="F53" s="3" t="n"/>
    </row>
    <row r="54">
      <c r="A54" t="inlineStr">
        <is>
          <t>Other Intangible Assets</t>
        </is>
      </c>
      <c r="B54" s="3" t="n">
        <v>32273000000</v>
      </c>
      <c r="C54" s="3" t="n">
        <v>40583000000</v>
      </c>
      <c r="D54" s="3" t="n">
        <v>3867000000</v>
      </c>
      <c r="E54" s="3" t="n">
        <v>7111000000</v>
      </c>
      <c r="F54" s="3" t="n"/>
    </row>
    <row r="55">
      <c r="A55" t="inlineStr">
        <is>
          <t>Goodwill</t>
        </is>
      </c>
      <c r="B55" s="3" t="n">
        <v>97801000000</v>
      </c>
      <c r="C55" s="3" t="n">
        <v>97873000000</v>
      </c>
      <c r="D55" s="3" t="n">
        <v>43653000000</v>
      </c>
      <c r="E55" s="3" t="n">
        <v>43614000000</v>
      </c>
      <c r="F55" s="3" t="n"/>
    </row>
    <row r="56">
      <c r="A56" t="inlineStr">
        <is>
          <t>Net PPE</t>
        </is>
      </c>
      <c r="B56" s="3" t="n">
        <v>2530000000</v>
      </c>
      <c r="C56" s="3" t="n">
        <v>2521000000</v>
      </c>
      <c r="D56" s="3" t="n">
        <v>2154000000</v>
      </c>
      <c r="E56" s="3" t="n">
        <v>2223000000</v>
      </c>
      <c r="F56" s="3" t="n"/>
    </row>
    <row r="57">
      <c r="A57" t="inlineStr">
        <is>
          <t>Accumulated Depreciation</t>
        </is>
      </c>
      <c r="B57" s="3" t="n">
        <v>-4896000000</v>
      </c>
      <c r="C57" s="3" t="n">
        <v>-4504000000</v>
      </c>
      <c r="D57" s="3" t="n">
        <v>-4024000000</v>
      </c>
      <c r="E57" s="3" t="n">
        <v>-3604000000</v>
      </c>
      <c r="F57" s="3" t="n"/>
    </row>
    <row r="58">
      <c r="A58" t="inlineStr">
        <is>
          <t>Gross PPE</t>
        </is>
      </c>
      <c r="B58" s="3" t="n">
        <v>7426000000</v>
      </c>
      <c r="C58" s="3" t="n">
        <v>7025000000</v>
      </c>
      <c r="D58" s="3" t="n">
        <v>6178000000</v>
      </c>
      <c r="E58" s="3" t="n">
        <v>5827000000</v>
      </c>
      <c r="F58" s="3" t="n"/>
    </row>
    <row r="59">
      <c r="A59" t="inlineStr">
        <is>
          <t>Construction In Progress</t>
        </is>
      </c>
      <c r="B59" s="3" t="n">
        <v>78000000</v>
      </c>
      <c r="C59" s="3" t="n">
        <v>57000000</v>
      </c>
      <c r="D59" s="3" t="n">
        <v>63000000</v>
      </c>
      <c r="E59" s="3" t="n">
        <v>63000000</v>
      </c>
      <c r="F59" s="3" t="n"/>
    </row>
    <row r="60">
      <c r="A60" t="inlineStr">
        <is>
          <t>Machinery Furniture Equipment</t>
        </is>
      </c>
      <c r="B60" s="3" t="n">
        <v>5656000000</v>
      </c>
      <c r="C60" s="3" t="n">
        <v>5246000000</v>
      </c>
      <c r="D60" s="3" t="n">
        <v>4739000000</v>
      </c>
      <c r="E60" s="3" t="n">
        <v>4413000000</v>
      </c>
      <c r="F60" s="3" t="n"/>
    </row>
    <row r="61">
      <c r="A61" t="inlineStr">
        <is>
          <t>Buildings And Improvements</t>
        </is>
      </c>
      <c r="B61" s="3" t="n">
        <v>1488000000</v>
      </c>
      <c r="C61" s="3" t="n">
        <v>1518000000</v>
      </c>
      <c r="D61" s="3" t="n">
        <v>1181000000</v>
      </c>
      <c r="E61" s="3" t="n">
        <v>1156000000</v>
      </c>
      <c r="F61" s="3" t="n"/>
    </row>
    <row r="62">
      <c r="A62" t="inlineStr">
        <is>
          <t>Land And Improvements</t>
        </is>
      </c>
      <c r="B62" s="3" t="n">
        <v>204000000</v>
      </c>
      <c r="C62" s="3" t="n">
        <v>204000000</v>
      </c>
      <c r="D62" s="3" t="n">
        <v>195000000</v>
      </c>
      <c r="E62" s="3" t="n">
        <v>195000000</v>
      </c>
      <c r="F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/>
    </row>
    <row r="64">
      <c r="A64" t="inlineStr">
        <is>
          <t>Current Assets</t>
        </is>
      </c>
      <c r="B64" s="3" t="n">
        <v>31573000000</v>
      </c>
      <c r="C64" s="3" t="n">
        <v>19595000000</v>
      </c>
      <c r="D64" s="3" t="n">
        <v>20847000000</v>
      </c>
      <c r="E64" s="3" t="n">
        <v>18504000000</v>
      </c>
      <c r="F64" s="3" t="n"/>
    </row>
    <row r="65">
      <c r="A65" t="inlineStr">
        <is>
          <t>Other Current Assets</t>
        </is>
      </c>
      <c r="B65" s="3" t="n">
        <v>457000000</v>
      </c>
      <c r="C65" s="3" t="n">
        <v>764000000</v>
      </c>
      <c r="D65" s="3" t="n">
        <v>364000000</v>
      </c>
      <c r="E65" s="3" t="n">
        <v>341000000</v>
      </c>
      <c r="F65" s="3" t="n"/>
    </row>
    <row r="66">
      <c r="A66" t="inlineStr">
        <is>
          <t>Prepaid Assets</t>
        </is>
      </c>
      <c r="B66" s="3" t="n">
        <v>518000000</v>
      </c>
      <c r="C66" s="3" t="n">
        <v>1391000000</v>
      </c>
      <c r="D66" s="3" t="n">
        <v>743000000</v>
      </c>
      <c r="E66" s="3" t="n">
        <v>864000000</v>
      </c>
      <c r="F66" s="3" t="n"/>
    </row>
    <row r="67">
      <c r="A67" t="inlineStr">
        <is>
          <t>Inventory</t>
        </is>
      </c>
      <c r="B67" s="3" t="n">
        <v>2270000000</v>
      </c>
      <c r="C67" s="3" t="n">
        <v>1760000000</v>
      </c>
      <c r="D67" s="3" t="n">
        <v>1898000000</v>
      </c>
      <c r="E67" s="3" t="n">
        <v>1925000000</v>
      </c>
      <c r="F67" s="3" t="n"/>
    </row>
    <row r="68">
      <c r="A68" t="inlineStr">
        <is>
          <t>Finished Goods</t>
        </is>
      </c>
      <c r="B68" s="3" t="n">
        <v>682000000</v>
      </c>
      <c r="C68" s="3" t="n">
        <v>504000000</v>
      </c>
      <c r="D68" s="3" t="n">
        <v>676000000</v>
      </c>
      <c r="E68" s="3" t="n">
        <v>780000000</v>
      </c>
      <c r="F68" s="3" t="n"/>
    </row>
    <row r="69">
      <c r="A69" t="inlineStr">
        <is>
          <t>Work In Process</t>
        </is>
      </c>
      <c r="B69" s="3" t="n">
        <v>1280000000</v>
      </c>
      <c r="C69" s="3" t="n">
        <v>970000000</v>
      </c>
      <c r="D69" s="3" t="n">
        <v>901000000</v>
      </c>
      <c r="E69" s="3" t="n">
        <v>966000000</v>
      </c>
      <c r="F69" s="3" t="n"/>
    </row>
    <row r="70">
      <c r="A70" t="inlineStr">
        <is>
          <t>Raw Materials</t>
        </is>
      </c>
      <c r="B70" s="3" t="n">
        <v>308000000</v>
      </c>
      <c r="C70" s="3" t="n">
        <v>286000000</v>
      </c>
      <c r="D70" s="3" t="n">
        <v>321000000</v>
      </c>
      <c r="E70" s="3" t="n">
        <v>179000000</v>
      </c>
      <c r="F70" s="3" t="n"/>
    </row>
    <row r="71">
      <c r="A71" t="inlineStr">
        <is>
          <t>Receivables</t>
        </is>
      </c>
      <c r="B71" s="3" t="n">
        <v>12150000000</v>
      </c>
      <c r="C71" s="3" t="n">
        <v>6332000000</v>
      </c>
      <c r="D71" s="3" t="n">
        <v>3653000000</v>
      </c>
      <c r="E71" s="3" t="n">
        <v>2958000000</v>
      </c>
      <c r="F71" s="3" t="n"/>
    </row>
    <row r="72">
      <c r="A72" t="inlineStr">
        <is>
          <t>Other Receivables</t>
        </is>
      </c>
      <c r="B72" s="3" t="n">
        <v>5005000000</v>
      </c>
      <c r="C72" s="3" t="n">
        <v>1916000000</v>
      </c>
      <c r="D72" s="3" t="n">
        <v>499000000</v>
      </c>
      <c r="E72" s="3" t="n"/>
      <c r="F72" s="3" t="n"/>
    </row>
    <row r="73">
      <c r="A73" t="inlineStr">
        <is>
          <t>Accounts Receivable</t>
        </is>
      </c>
      <c r="B73" s="3" t="n">
        <v>7145000000</v>
      </c>
      <c r="C73" s="3" t="n">
        <v>4416000000</v>
      </c>
      <c r="D73" s="3" t="n">
        <v>3154000000</v>
      </c>
      <c r="E73" s="3" t="n">
        <v>2958000000</v>
      </c>
      <c r="F73" s="3" t="n"/>
    </row>
    <row r="74">
      <c r="A74" t="inlineStr">
        <is>
          <t>Allowance For Doubtful Accounts Receivable</t>
        </is>
      </c>
      <c r="B74" s="3" t="n">
        <v>-74000000</v>
      </c>
      <c r="C74" s="3" t="n">
        <v>-101000000</v>
      </c>
      <c r="D74" s="3" t="n">
        <v>-137000000</v>
      </c>
      <c r="E74" s="3" t="n">
        <v>-126000000</v>
      </c>
      <c r="F74" s="3" t="n"/>
    </row>
    <row r="75">
      <c r="A75" t="inlineStr">
        <is>
          <t>Gross Accounts Receivable</t>
        </is>
      </c>
      <c r="B75" s="3" t="n">
        <v>7219000000</v>
      </c>
      <c r="C75" s="3" t="n">
        <v>4517000000</v>
      </c>
      <c r="D75" s="3" t="n">
        <v>3291000000</v>
      </c>
      <c r="E75" s="3" t="n">
        <v>3084000000</v>
      </c>
      <c r="F75" s="3" t="n"/>
    </row>
    <row r="76">
      <c r="A76" t="inlineStr">
        <is>
          <t>Cash Cash Equivalents And Short Term Investments</t>
        </is>
      </c>
      <c r="B76" s="3" t="n">
        <v>16178000000</v>
      </c>
      <c r="C76" s="3" t="n">
        <v>9348000000</v>
      </c>
      <c r="D76" s="3" t="n">
        <v>14189000000</v>
      </c>
      <c r="E76" s="3" t="n">
        <v>12416000000</v>
      </c>
      <c r="F76" s="3" t="n"/>
    </row>
    <row r="77">
      <c r="A77" t="inlineStr">
        <is>
          <t>Cash And Cash Equivalents</t>
        </is>
      </c>
      <c r="B77" s="3" t="n">
        <v>16178000000</v>
      </c>
      <c r="C77" s="3" t="n">
        <v>9348000000</v>
      </c>
      <c r="D77" s="3" t="n">
        <v>14189000000</v>
      </c>
      <c r="E77" s="3" t="n">
        <v>12416000000</v>
      </c>
      <c r="F7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Ordinary Shares Number</t>
        </is>
      </c>
      <c r="B2" s="3" t="n">
        <v>4758000000</v>
      </c>
      <c r="C2" s="3" t="n">
        <v>4736000000</v>
      </c>
      <c r="D2" s="3" t="n">
        <v>4741000000</v>
      </c>
      <c r="E2" s="3" t="n">
        <v>4722000000</v>
      </c>
      <c r="F2" s="3" t="n">
        <v>4703000000</v>
      </c>
      <c r="G2" s="3" t="n"/>
      <c r="H2" s="3" t="n"/>
    </row>
    <row r="3">
      <c r="A3" t="inlineStr">
        <is>
          <t>Share Issued</t>
        </is>
      </c>
      <c r="B3" s="3" t="n">
        <v>4758000000</v>
      </c>
      <c r="C3" s="3" t="n">
        <v>4736000000</v>
      </c>
      <c r="D3" s="3" t="n">
        <v>4741000000</v>
      </c>
      <c r="E3" s="3" t="n">
        <v>4722000000</v>
      </c>
      <c r="F3" s="3" t="n">
        <v>4703000000</v>
      </c>
      <c r="G3" s="3" t="n"/>
      <c r="H3" s="3" t="n"/>
    </row>
    <row r="4">
      <c r="A4" t="inlineStr">
        <is>
          <t>Net Debt</t>
        </is>
      </c>
      <c r="B4" s="3" t="n">
        <v>45279000000</v>
      </c>
      <c r="C4" s="3" t="n">
        <v>51883000000</v>
      </c>
      <c r="D4" s="3" t="n">
        <v>48958000000</v>
      </c>
      <c r="E4" s="3" t="n">
        <v>53501000000</v>
      </c>
      <c r="F4" s="3" t="n">
        <v>57799000000</v>
      </c>
      <c r="G4" s="3" t="n"/>
      <c r="H4" s="3" t="n"/>
    </row>
    <row r="5">
      <c r="A5" t="inlineStr">
        <is>
          <t>Total Debt</t>
        </is>
      </c>
      <c r="B5" s="3" t="n">
        <v>64907000000</v>
      </c>
      <c r="C5" s="3" t="n">
        <v>66057000000</v>
      </c>
      <c r="D5" s="3" t="n">
        <v>65136000000</v>
      </c>
      <c r="E5" s="3" t="n">
        <v>64229000000</v>
      </c>
      <c r="F5" s="3" t="n">
        <v>67282000000</v>
      </c>
      <c r="G5" s="3" t="n"/>
      <c r="H5" s="3" t="n"/>
    </row>
    <row r="6">
      <c r="A6" t="inlineStr">
        <is>
          <t>Tangible Book Value</t>
        </is>
      </c>
      <c r="B6" s="3" t="n">
        <v>-38443000000</v>
      </c>
      <c r="C6" s="3" t="n">
        <v>-48231000000</v>
      </c>
      <c r="D6" s="3" t="n">
        <v>-48782000000</v>
      </c>
      <c r="E6" s="3" t="n">
        <v>-58868000000</v>
      </c>
      <c r="F6" s="3" t="n">
        <v>-64608000000</v>
      </c>
      <c r="G6" s="3" t="n"/>
      <c r="H6" s="3" t="n"/>
    </row>
    <row r="7">
      <c r="A7" t="inlineStr">
        <is>
          <t>Invested Capital</t>
        </is>
      </c>
      <c r="B7" s="3" t="n">
        <v>152598000000</v>
      </c>
      <c r="C7" s="3" t="n">
        <v>145929000000</v>
      </c>
      <c r="D7" s="3" t="n">
        <v>146428000000</v>
      </c>
      <c r="E7" s="3" t="n">
        <v>137496000000</v>
      </c>
      <c r="F7" s="3" t="n">
        <v>136857000000</v>
      </c>
      <c r="G7" s="3" t="n"/>
      <c r="H7" s="3" t="n"/>
    </row>
    <row r="8">
      <c r="A8" t="inlineStr">
        <is>
          <t>Working Capital</t>
        </is>
      </c>
      <c r="B8" s="3" t="n">
        <v>23351000000</v>
      </c>
      <c r="C8" s="3" t="n">
        <v>15203000000</v>
      </c>
      <c r="D8" s="3" t="n">
        <v>13059000000</v>
      </c>
      <c r="E8" s="3" t="n">
        <v>8294000000</v>
      </c>
      <c r="F8" s="3" t="n">
        <v>1584000000</v>
      </c>
      <c r="G8" s="3" t="n"/>
      <c r="H8" s="3" t="n"/>
    </row>
    <row r="9">
      <c r="A9" t="inlineStr">
        <is>
          <t>Net Tangible Assets</t>
        </is>
      </c>
      <c r="B9" s="3" t="n">
        <v>-38443000000</v>
      </c>
      <c r="C9" s="3" t="n">
        <v>-48231000000</v>
      </c>
      <c r="D9" s="3" t="n">
        <v>-48782000000</v>
      </c>
      <c r="E9" s="3" t="n">
        <v>-58868000000</v>
      </c>
      <c r="F9" s="3" t="n">
        <v>-64608000000</v>
      </c>
      <c r="G9" s="3" t="n"/>
      <c r="H9" s="3" t="n"/>
    </row>
    <row r="10">
      <c r="A10" t="inlineStr">
        <is>
          <t>Capital Lease Obligations</t>
        </is>
      </c>
      <c r="B10" s="3" t="n"/>
      <c r="C10" s="3" t="n"/>
      <c r="D10" s="3" t="n">
        <v>0</v>
      </c>
      <c r="E10" s="3" t="n">
        <v>10000000</v>
      </c>
      <c r="F10" s="3" t="n">
        <v>11000000</v>
      </c>
      <c r="G10" s="3" t="n">
        <v>22000000</v>
      </c>
      <c r="H10" s="3" t="n">
        <v>39000000</v>
      </c>
    </row>
    <row r="11">
      <c r="A11" t="inlineStr">
        <is>
          <t>Common Stock Equity</t>
        </is>
      </c>
      <c r="B11" s="3" t="n">
        <v>87691000000</v>
      </c>
      <c r="C11" s="3" t="n">
        <v>79872000000</v>
      </c>
      <c r="D11" s="3" t="n">
        <v>81292000000</v>
      </c>
      <c r="E11" s="3" t="n">
        <v>73277000000</v>
      </c>
      <c r="F11" s="3" t="n">
        <v>69586000000</v>
      </c>
      <c r="G11" s="3" t="n"/>
      <c r="H11" s="3" t="n"/>
    </row>
    <row r="12">
      <c r="A12" t="inlineStr">
        <is>
          <t>Total Capitalization</t>
        </is>
      </c>
      <c r="B12" s="3" t="n">
        <v>150346000000</v>
      </c>
      <c r="C12" s="3" t="n">
        <v>143677000000</v>
      </c>
      <c r="D12" s="3" t="n">
        <v>143276000000</v>
      </c>
      <c r="E12" s="3" t="n">
        <v>136100000000</v>
      </c>
      <c r="F12" s="3" t="n">
        <v>131330000000</v>
      </c>
      <c r="G12" s="3" t="n"/>
      <c r="H12" s="3" t="n"/>
    </row>
    <row r="13">
      <c r="A13" t="inlineStr">
        <is>
          <t>Total Equity Gross Minority Interest</t>
        </is>
      </c>
      <c r="B13" s="3" t="n">
        <v>87691000000</v>
      </c>
      <c r="C13" s="3" t="n">
        <v>79872000000</v>
      </c>
      <c r="D13" s="3" t="n">
        <v>81292000000</v>
      </c>
      <c r="E13" s="3" t="n">
        <v>73277000000</v>
      </c>
      <c r="F13" s="3" t="n">
        <v>69586000000</v>
      </c>
      <c r="G13" s="3" t="n"/>
      <c r="H13" s="3" t="n"/>
    </row>
    <row r="14">
      <c r="A14" t="inlineStr">
        <is>
          <t>Stockholders Equity</t>
        </is>
      </c>
      <c r="B14" s="3" t="n">
        <v>87691000000</v>
      </c>
      <c r="C14" s="3" t="n">
        <v>79872000000</v>
      </c>
      <c r="D14" s="3" t="n">
        <v>81292000000</v>
      </c>
      <c r="E14" s="3" t="n">
        <v>73277000000</v>
      </c>
      <c r="F14" s="3" t="n">
        <v>69586000000</v>
      </c>
      <c r="G14" s="3" t="n"/>
      <c r="H14" s="3" t="n"/>
    </row>
    <row r="15">
      <c r="A15" t="inlineStr">
        <is>
          <t>Gains Losses Not Affecting Retained Earnings</t>
        </is>
      </c>
      <c r="B15" s="3" t="n">
        <v>208000000</v>
      </c>
      <c r="C15" s="3" t="n">
        <v>212000000</v>
      </c>
      <c r="D15" s="3" t="n">
        <v>218000000</v>
      </c>
      <c r="E15" s="3" t="n">
        <v>221000000</v>
      </c>
      <c r="F15" s="3" t="n">
        <v>206000000</v>
      </c>
      <c r="G15" s="3" t="n"/>
      <c r="H15" s="3" t="n"/>
    </row>
    <row r="16">
      <c r="A16" t="inlineStr">
        <is>
          <t>Other Equity Adjustments</t>
        </is>
      </c>
      <c r="B16" s="3" t="n">
        <v>208000000</v>
      </c>
      <c r="C16" s="3" t="n">
        <v>212000000</v>
      </c>
      <c r="D16" s="3" t="n">
        <v>218000000</v>
      </c>
      <c r="E16" s="3" t="n">
        <v>221000000</v>
      </c>
      <c r="F16" s="3" t="n">
        <v>206000000</v>
      </c>
      <c r="G16" s="3" t="n"/>
      <c r="H16" s="3" t="n"/>
    </row>
    <row r="17">
      <c r="A17" t="inlineStr">
        <is>
          <t>Retained Earnings</t>
        </is>
      </c>
      <c r="B17" s="3" t="n">
        <v>12166000000</v>
      </c>
      <c r="C17" s="3" t="n">
        <v>6520000000</v>
      </c>
      <c r="D17" s="3" t="n">
        <v>9761000000</v>
      </c>
      <c r="E17" s="3" t="n">
        <v>4040000000</v>
      </c>
      <c r="F17" s="3" t="n">
        <v>2686000000</v>
      </c>
      <c r="G17" s="3" t="n"/>
      <c r="H17" s="3" t="n"/>
    </row>
    <row r="18">
      <c r="A18" t="inlineStr">
        <is>
          <t>Additional Paid In Capital</t>
        </is>
      </c>
      <c r="B18" s="3" t="n">
        <v>75312000000</v>
      </c>
      <c r="C18" s="3" t="n">
        <v>73135000000</v>
      </c>
      <c r="D18" s="3" t="n">
        <v>71308000000</v>
      </c>
      <c r="E18" s="3" t="n">
        <v>69011000000</v>
      </c>
      <c r="F18" s="3" t="n">
        <v>66689000000</v>
      </c>
      <c r="G18" s="3" t="n"/>
      <c r="H18" s="3" t="n"/>
    </row>
    <row r="19">
      <c r="A19" t="inlineStr">
        <is>
          <t>Capital Stock</t>
        </is>
      </c>
      <c r="B19" s="3" t="n">
        <v>5000000</v>
      </c>
      <c r="C19" s="3" t="n">
        <v>5000000</v>
      </c>
      <c r="D19" s="3" t="n">
        <v>5000000</v>
      </c>
      <c r="E19" s="3" t="n">
        <v>5000000</v>
      </c>
      <c r="F19" s="3" t="n">
        <v>5000000</v>
      </c>
      <c r="G19" s="3" t="n"/>
      <c r="H19" s="3" t="n"/>
    </row>
    <row r="20">
      <c r="A20" t="inlineStr">
        <is>
          <t>Common Stock</t>
        </is>
      </c>
      <c r="B20" s="3" t="n">
        <v>5000000</v>
      </c>
      <c r="C20" s="3" t="n">
        <v>5000000</v>
      </c>
      <c r="D20" s="3" t="n">
        <v>5000000</v>
      </c>
      <c r="E20" s="3" t="n">
        <v>5000000</v>
      </c>
      <c r="F20" s="3" t="n">
        <v>5000000</v>
      </c>
      <c r="G20" s="3" t="n"/>
      <c r="H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Total Liabilities Net Minority Interest</t>
        </is>
      </c>
      <c r="B22" s="3" t="n">
        <v>91467000000</v>
      </c>
      <c r="C22" s="3" t="n">
        <v>90031000000</v>
      </c>
      <c r="D22" s="3" t="n">
        <v>89800000000</v>
      </c>
      <c r="E22" s="3" t="n">
        <v>92344000000</v>
      </c>
      <c r="F22" s="3" t="n">
        <v>95044000000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72605000000</v>
      </c>
      <c r="C23" s="3" t="n">
        <v>73172000000</v>
      </c>
      <c r="D23" s="3" t="n">
        <v>71286000000</v>
      </c>
      <c r="E23" s="3" t="n">
        <v>75640000000</v>
      </c>
      <c r="F23" s="3" t="n">
        <v>74447000000</v>
      </c>
      <c r="G23" s="3" t="n"/>
      <c r="H23" s="3" t="n"/>
    </row>
    <row r="24">
      <c r="A24" t="inlineStr">
        <is>
          <t>Other Non Current Liabilities</t>
        </is>
      </c>
      <c r="B24" s="3" t="n">
        <v>2469000000</v>
      </c>
      <c r="C24" s="3" t="n">
        <v>1810000000</v>
      </c>
      <c r="D24" s="3" t="n">
        <v>1423000000</v>
      </c>
      <c r="E24" s="3" t="n">
        <v>1410000000</v>
      </c>
      <c r="F24" s="3" t="n">
        <v>1445000000</v>
      </c>
      <c r="G24" s="3" t="n"/>
      <c r="H24" s="3" t="n"/>
    </row>
    <row r="25">
      <c r="A25" t="inlineStr">
        <is>
          <t>Tradeand Other Payables Non Current</t>
        </is>
      </c>
      <c r="B25" s="3" t="n">
        <v>1662000000</v>
      </c>
      <c r="C25" s="3" t="n">
        <v>1668000000</v>
      </c>
      <c r="D25" s="3" t="n">
        <v>1628000000</v>
      </c>
      <c r="E25" s="3" t="n">
        <v>3817000000</v>
      </c>
      <c r="F25" s="3" t="n">
        <v>3732000000</v>
      </c>
      <c r="G25" s="3" t="n"/>
      <c r="H25" s="3" t="n"/>
    </row>
    <row r="26">
      <c r="A26" t="inlineStr">
        <is>
          <t>Non Current Deferred Liabilities</t>
        </is>
      </c>
      <c r="B26" s="3" t="n">
        <v>5819000000</v>
      </c>
      <c r="C26" s="3" t="n">
        <v>5889000000</v>
      </c>
      <c r="D26" s="3" t="n">
        <v>6251000000</v>
      </c>
      <c r="E26" s="3" t="n">
        <v>7583000000</v>
      </c>
      <c r="F26" s="3" t="n">
        <v>7519000000</v>
      </c>
      <c r="G26" s="3" t="n"/>
      <c r="H26" s="3" t="n"/>
    </row>
    <row r="27">
      <c r="A27" t="inlineStr">
        <is>
          <t>Non Current Deferred Revenue</t>
        </is>
      </c>
      <c r="B27" s="3" t="n">
        <v>4204000000</v>
      </c>
      <c r="C27" s="3" t="n">
        <v>3667000000</v>
      </c>
      <c r="D27" s="3" t="n">
        <v>3547000000</v>
      </c>
      <c r="E27" s="3" t="n">
        <v>4031000000</v>
      </c>
      <c r="F27" s="3" t="n">
        <v>4154000000</v>
      </c>
      <c r="G27" s="3" t="n"/>
      <c r="H27" s="3" t="n"/>
    </row>
    <row r="28">
      <c r="A28" t="inlineStr">
        <is>
          <t>Non Current Deferred Taxes Liabilities</t>
        </is>
      </c>
      <c r="B28" s="3" t="n">
        <v>1615000000</v>
      </c>
      <c r="C28" s="3" t="n">
        <v>2222000000</v>
      </c>
      <c r="D28" s="3" t="n">
        <v>2704000000</v>
      </c>
      <c r="E28" s="3" t="n">
        <v>3552000000</v>
      </c>
      <c r="F28" s="3" t="n">
        <v>3365000000</v>
      </c>
      <c r="G28" s="3" t="n"/>
      <c r="H28" s="3" t="n"/>
    </row>
    <row r="29">
      <c r="A29" t="inlineStr">
        <is>
          <t>Long Term Debt And Capital Lease Obligation</t>
        </is>
      </c>
      <c r="B29" s="3" t="n">
        <v>62655000000</v>
      </c>
      <c r="C29" s="3" t="n">
        <v>63805000000</v>
      </c>
      <c r="D29" s="3" t="n">
        <v>61984000000</v>
      </c>
      <c r="E29" s="3" t="n">
        <v>62830000000</v>
      </c>
      <c r="F29" s="3" t="n">
        <v>61751000000</v>
      </c>
      <c r="G29" s="3" t="n"/>
      <c r="H29" s="3" t="n"/>
    </row>
    <row r="30">
      <c r="A30" t="inlineStr">
        <is>
          <t>Long Term Capital Lease Obligation</t>
        </is>
      </c>
      <c r="B30" s="3" t="n"/>
      <c r="C30" s="3" t="n"/>
      <c r="D30" s="3" t="n">
        <v>0</v>
      </c>
      <c r="E30" s="3" t="n">
        <v>7000000</v>
      </c>
      <c r="F30" s="3" t="n">
        <v>7000000</v>
      </c>
      <c r="G30" s="3" t="n">
        <v>11000000</v>
      </c>
      <c r="H30" s="3" t="n">
        <v>13000000</v>
      </c>
    </row>
    <row r="31">
      <c r="A31" t="inlineStr">
        <is>
          <t>Long Term Debt</t>
        </is>
      </c>
      <c r="B31" s="3" t="n">
        <v>62655000000</v>
      </c>
      <c r="C31" s="3" t="n">
        <v>63805000000</v>
      </c>
      <c r="D31" s="3" t="n">
        <v>61984000000</v>
      </c>
      <c r="E31" s="3" t="n">
        <v>62823000000</v>
      </c>
      <c r="F31" s="3" t="n">
        <v>61744000000</v>
      </c>
      <c r="G31" s="3" t="n"/>
      <c r="H31" s="3" t="n"/>
    </row>
    <row r="32">
      <c r="A32" t="inlineStr">
        <is>
          <t>Current Liabilities</t>
        </is>
      </c>
      <c r="B32" s="3" t="n">
        <v>18862000000</v>
      </c>
      <c r="C32" s="3" t="n">
        <v>16859000000</v>
      </c>
      <c r="D32" s="3" t="n">
        <v>18514000000</v>
      </c>
      <c r="E32" s="3" t="n">
        <v>16704000000</v>
      </c>
      <c r="F32" s="3" t="n">
        <v>20597000000</v>
      </c>
      <c r="G32" s="3" t="n"/>
      <c r="H32" s="3" t="n"/>
    </row>
    <row r="33">
      <c r="A33" t="inlineStr">
        <is>
          <t>Other Current Liabilities</t>
        </is>
      </c>
      <c r="B33" s="3" t="n">
        <v>1228000000</v>
      </c>
      <c r="C33" s="3" t="n">
        <v>682000000</v>
      </c>
      <c r="D33" s="3" t="n">
        <v>663000000</v>
      </c>
      <c r="E33" s="3" t="n">
        <v>795000000</v>
      </c>
      <c r="F33" s="3" t="n">
        <v>992000000</v>
      </c>
      <c r="G33" s="3" t="n"/>
      <c r="H33" s="3" t="n"/>
    </row>
    <row r="34">
      <c r="A34" t="inlineStr">
        <is>
          <t>Current Deferred Liabilities</t>
        </is>
      </c>
      <c r="B34" s="3" t="n">
        <v>10038000000</v>
      </c>
      <c r="C34" s="3" t="n">
        <v>9188000000</v>
      </c>
      <c r="D34" s="3" t="n">
        <v>9469000000</v>
      </c>
      <c r="E34" s="3" t="n">
        <v>10305000000</v>
      </c>
      <c r="F34" s="3" t="n">
        <v>10303000000</v>
      </c>
      <c r="G34" s="3" t="n"/>
      <c r="H34" s="3" t="n"/>
    </row>
    <row r="35">
      <c r="A35" t="inlineStr">
        <is>
          <t>Current Deferred Revenue</t>
        </is>
      </c>
      <c r="B35" s="3" t="n">
        <v>10038000000</v>
      </c>
      <c r="C35" s="3" t="n">
        <v>9188000000</v>
      </c>
      <c r="D35" s="3" t="n">
        <v>9469000000</v>
      </c>
      <c r="E35" s="3" t="n">
        <v>10305000000</v>
      </c>
      <c r="F35" s="3" t="n">
        <v>10303000000</v>
      </c>
      <c r="G35" s="3" t="n"/>
      <c r="H35" s="3" t="n"/>
    </row>
    <row r="36">
      <c r="A36" t="inlineStr">
        <is>
          <t>Current Debt And Capital Lease Obligation</t>
        </is>
      </c>
      <c r="B36" s="3" t="n">
        <v>2252000000</v>
      </c>
      <c r="C36" s="3" t="n">
        <v>2252000000</v>
      </c>
      <c r="D36" s="3" t="n">
        <v>3152000000</v>
      </c>
      <c r="E36" s="3" t="n">
        <v>1399000000</v>
      </c>
      <c r="F36" s="3" t="n">
        <v>5531000000</v>
      </c>
      <c r="G36" s="3" t="n"/>
      <c r="H36" s="3" t="n"/>
    </row>
    <row r="37">
      <c r="A37" t="inlineStr">
        <is>
          <t>Current Capital Lease Obligation</t>
        </is>
      </c>
      <c r="B37" s="3" t="n"/>
      <c r="C37" s="3" t="n"/>
      <c r="D37" s="3" t="n">
        <v>0</v>
      </c>
      <c r="E37" s="3" t="n">
        <v>3000000</v>
      </c>
      <c r="F37" s="3" t="n">
        <v>4000000</v>
      </c>
      <c r="G37" s="3" t="n">
        <v>11000000</v>
      </c>
      <c r="H37" s="3" t="n">
        <v>26000000</v>
      </c>
    </row>
    <row r="38">
      <c r="A38" t="inlineStr">
        <is>
          <t>Current Debt</t>
        </is>
      </c>
      <c r="B38" s="3" t="n">
        <v>2252000000</v>
      </c>
      <c r="C38" s="3" t="n">
        <v>2252000000</v>
      </c>
      <c r="D38" s="3" t="n">
        <v>3152000000</v>
      </c>
      <c r="E38" s="3" t="n">
        <v>1396000000</v>
      </c>
      <c r="F38" s="3" t="n">
        <v>5527000000</v>
      </c>
      <c r="G38" s="3" t="n"/>
      <c r="H38" s="3" t="n"/>
    </row>
    <row r="39">
      <c r="A39" t="inlineStr">
        <is>
          <t>Other Current Borrowings</t>
        </is>
      </c>
      <c r="B39" s="3" t="n">
        <v>2252000000</v>
      </c>
      <c r="C39" s="3" t="n">
        <v>2252000000</v>
      </c>
      <c r="D39" s="3" t="n">
        <v>3152000000</v>
      </c>
      <c r="E39" s="3" t="n">
        <v>900000000</v>
      </c>
      <c r="F39" s="3" t="n">
        <v>1650000000</v>
      </c>
      <c r="G39" s="3" t="n"/>
      <c r="H39" s="3" t="n"/>
    </row>
    <row r="40">
      <c r="A40" t="inlineStr">
        <is>
          <t>Commercial Paper</t>
        </is>
      </c>
      <c r="B40" s="3" t="n"/>
      <c r="C40" s="3" t="n"/>
      <c r="D40" s="3" t="n"/>
      <c r="E40" s="3" t="n">
        <v>496000000</v>
      </c>
      <c r="F40" s="3" t="n">
        <v>3877000000</v>
      </c>
      <c r="G40" s="3" t="n">
        <v>3992000000</v>
      </c>
      <c r="H40" s="3" t="n"/>
    </row>
    <row r="41">
      <c r="A41" t="inlineStr">
        <is>
          <t>Pensionand Other Post Retirement Benefit Plans Current</t>
        </is>
      </c>
      <c r="B41" s="3" t="n">
        <v>1134000000</v>
      </c>
      <c r="C41" s="3" t="n">
        <v>864000000</v>
      </c>
      <c r="D41" s="3" t="n">
        <v>2129000000</v>
      </c>
      <c r="E41" s="3" t="n">
        <v>1719000000</v>
      </c>
      <c r="F41" s="3" t="n">
        <v>1266000000</v>
      </c>
      <c r="G41" s="3" t="n"/>
      <c r="H41" s="3" t="n"/>
    </row>
    <row r="42">
      <c r="A42" t="inlineStr">
        <is>
          <t>Payables And Accrued Expenses</t>
        </is>
      </c>
      <c r="B42" s="3" t="n">
        <v>4210000000</v>
      </c>
      <c r="C42" s="3" t="n">
        <v>3873000000</v>
      </c>
      <c r="D42" s="3" t="n">
        <v>3101000000</v>
      </c>
      <c r="E42" s="3" t="n">
        <v>2486000000</v>
      </c>
      <c r="F42" s="3" t="n">
        <v>2505000000</v>
      </c>
      <c r="G42" s="3" t="n"/>
      <c r="H42" s="3" t="n"/>
    </row>
    <row r="43">
      <c r="A43" t="inlineStr">
        <is>
          <t>Current Accrued Expenses</t>
        </is>
      </c>
      <c r="B43" s="3" t="n">
        <v>656000000</v>
      </c>
      <c r="C43" s="3" t="n">
        <v>673000000</v>
      </c>
      <c r="D43" s="3" t="n">
        <v>620000000</v>
      </c>
      <c r="E43" s="3" t="n">
        <v>644000000</v>
      </c>
      <c r="F43" s="3" t="n">
        <v>562000000</v>
      </c>
      <c r="G43" s="3" t="n"/>
      <c r="H43" s="3" t="n"/>
    </row>
    <row r="44">
      <c r="A44" t="inlineStr">
        <is>
          <t>Interest Payable</t>
        </is>
      </c>
      <c r="B44" s="3" t="n">
        <v>656000000</v>
      </c>
      <c r="C44" s="3" t="n">
        <v>673000000</v>
      </c>
      <c r="D44" s="3" t="n">
        <v>620000000</v>
      </c>
      <c r="E44" s="3" t="n">
        <v>644000000</v>
      </c>
      <c r="F44" s="3" t="n">
        <v>562000000</v>
      </c>
      <c r="G44" s="3" t="n"/>
      <c r="H44" s="3" t="n"/>
    </row>
    <row r="45">
      <c r="A45" t="inlineStr">
        <is>
          <t>Payables</t>
        </is>
      </c>
      <c r="B45" s="3" t="n">
        <v>3554000000</v>
      </c>
      <c r="C45" s="3" t="n">
        <v>3200000000</v>
      </c>
      <c r="D45" s="3" t="n">
        <v>2481000000</v>
      </c>
      <c r="E45" s="3" t="n">
        <v>1842000000</v>
      </c>
      <c r="F45" s="3" t="n">
        <v>1943000000</v>
      </c>
      <c r="G45" s="3" t="n"/>
      <c r="H45" s="3" t="n"/>
    </row>
    <row r="46">
      <c r="A46" t="inlineStr">
        <is>
          <t>Total Tax Payable</t>
        </is>
      </c>
      <c r="B46" s="3" t="n">
        <v>1217000000</v>
      </c>
      <c r="C46" s="3" t="n">
        <v>1088000000</v>
      </c>
      <c r="D46" s="3" t="n">
        <v>921000000</v>
      </c>
      <c r="E46" s="3" t="n">
        <v>410000000</v>
      </c>
      <c r="F46" s="3" t="n">
        <v>646000000</v>
      </c>
      <c r="G46" s="3" t="n"/>
      <c r="H46" s="3" t="n"/>
    </row>
    <row r="47">
      <c r="A47" t="inlineStr">
        <is>
          <t>Accounts Payable</t>
        </is>
      </c>
      <c r="B47" s="3" t="n">
        <v>2337000000</v>
      </c>
      <c r="C47" s="3" t="n">
        <v>2112000000</v>
      </c>
      <c r="D47" s="3" t="n">
        <v>1560000000</v>
      </c>
      <c r="E47" s="3" t="n">
        <v>1432000000</v>
      </c>
      <c r="F47" s="3" t="n">
        <v>1297000000</v>
      </c>
      <c r="G47" s="3" t="n"/>
      <c r="H47" s="3" t="n"/>
    </row>
    <row r="48">
      <c r="A48" t="inlineStr">
        <is>
          <t>Total Assets</t>
        </is>
      </c>
      <c r="B48" s="3" t="n">
        <v>179158000000</v>
      </c>
      <c r="C48" s="3" t="n">
        <v>169903000000</v>
      </c>
      <c r="D48" s="3" t="n">
        <v>171092000000</v>
      </c>
      <c r="E48" s="3" t="n">
        <v>165621000000</v>
      </c>
      <c r="F48" s="3" t="n">
        <v>164630000000</v>
      </c>
      <c r="G48" s="3" t="n"/>
      <c r="H48" s="3" t="n"/>
    </row>
    <row r="49">
      <c r="A49" t="inlineStr">
        <is>
          <t>Total Non Current Assets</t>
        </is>
      </c>
      <c r="B49" s="3" t="n">
        <v>136945000000</v>
      </c>
      <c r="C49" s="3" t="n">
        <v>137841000000</v>
      </c>
      <c r="D49" s="3" t="n">
        <v>139519000000</v>
      </c>
      <c r="E49" s="3" t="n">
        <v>140623000000</v>
      </c>
      <c r="F49" s="3" t="n">
        <v>142449000000</v>
      </c>
      <c r="G49" s="3" t="n"/>
      <c r="H49" s="3" t="n"/>
    </row>
    <row r="50">
      <c r="A50" t="inlineStr">
        <is>
          <t>Other Non Current Assets</t>
        </is>
      </c>
      <c r="B50" s="3" t="n">
        <v>8023000000</v>
      </c>
      <c r="C50" s="3" t="n">
        <v>7139000000</v>
      </c>
      <c r="D50" s="3" t="n">
        <v>6915000000</v>
      </c>
      <c r="E50" s="3" t="n">
        <v>6027000000</v>
      </c>
      <c r="F50" s="3" t="n">
        <v>5793000000</v>
      </c>
      <c r="G50" s="3" t="n"/>
      <c r="H50" s="3" t="n"/>
    </row>
    <row r="51">
      <c r="A51" t="inlineStr">
        <is>
          <t>Goodwill And Other Intangible Assets</t>
        </is>
      </c>
      <c r="B51" s="3" t="n">
        <v>126134000000</v>
      </c>
      <c r="C51" s="3" t="n">
        <v>128103000000</v>
      </c>
      <c r="D51" s="3" t="n">
        <v>130074000000</v>
      </c>
      <c r="E51" s="3" t="n">
        <v>132145000000</v>
      </c>
      <c r="F51" s="3" t="n">
        <v>134194000000</v>
      </c>
      <c r="G51" s="3" t="n"/>
      <c r="H51" s="3" t="n"/>
    </row>
    <row r="52">
      <c r="A52" t="inlineStr">
        <is>
          <t>Other Intangible Assets</t>
        </is>
      </c>
      <c r="B52" s="3" t="n">
        <v>28333000000</v>
      </c>
      <c r="C52" s="3" t="n">
        <v>30302000000</v>
      </c>
      <c r="D52" s="3" t="n">
        <v>32273000000</v>
      </c>
      <c r="E52" s="3" t="n">
        <v>34344000000</v>
      </c>
      <c r="F52" s="3" t="n">
        <v>36393000000</v>
      </c>
      <c r="G52" s="3" t="n"/>
      <c r="H52" s="3" t="n"/>
    </row>
    <row r="53">
      <c r="A53" t="inlineStr">
        <is>
          <t>Goodwill</t>
        </is>
      </c>
      <c r="B53" s="3" t="n">
        <v>97801000000</v>
      </c>
      <c r="C53" s="3" t="n">
        <v>97801000000</v>
      </c>
      <c r="D53" s="3" t="n">
        <v>97801000000</v>
      </c>
      <c r="E53" s="3" t="n">
        <v>97801000000</v>
      </c>
      <c r="F53" s="3" t="n">
        <v>97801000000</v>
      </c>
      <c r="G53" s="3" t="n"/>
      <c r="H53" s="3" t="n"/>
    </row>
    <row r="54">
      <c r="A54" t="inlineStr">
        <is>
          <t>Net PPE</t>
        </is>
      </c>
      <c r="B54" s="3" t="n">
        <v>2788000000</v>
      </c>
      <c r="C54" s="3" t="n">
        <v>2599000000</v>
      </c>
      <c r="D54" s="3" t="n">
        <v>2530000000</v>
      </c>
      <c r="E54" s="3" t="n">
        <v>2451000000</v>
      </c>
      <c r="F54" s="3" t="n">
        <v>2462000000</v>
      </c>
      <c r="G54" s="3" t="n"/>
      <c r="H54" s="3" t="n"/>
    </row>
    <row r="55">
      <c r="A55" t="inlineStr">
        <is>
          <t>Accumulated Depreciation</t>
        </is>
      </c>
      <c r="B55" s="3" t="n"/>
      <c r="C55" s="3" t="n"/>
      <c r="D55" s="3" t="n">
        <v>-4896000000</v>
      </c>
      <c r="E55" s="3" t="n"/>
      <c r="F55" s="3" t="n"/>
      <c r="G55" s="3" t="n"/>
      <c r="H55" s="3" t="n">
        <v>-4504000000</v>
      </c>
    </row>
    <row r="56">
      <c r="A56" t="inlineStr">
        <is>
          <t>Gross PPE</t>
        </is>
      </c>
      <c r="B56" s="3" t="n"/>
      <c r="C56" s="3" t="n"/>
      <c r="D56" s="3" t="n">
        <v>7426000000</v>
      </c>
      <c r="E56" s="3" t="n"/>
      <c r="F56" s="3" t="n"/>
      <c r="G56" s="3" t="n"/>
      <c r="H56" s="3" t="n">
        <v>7025000000</v>
      </c>
    </row>
    <row r="57">
      <c r="A57" t="inlineStr">
        <is>
          <t>Construction In Progress</t>
        </is>
      </c>
      <c r="B57" s="3" t="n"/>
      <c r="C57" s="3" t="n"/>
      <c r="D57" s="3" t="n">
        <v>78000000</v>
      </c>
      <c r="E57" s="3" t="n"/>
      <c r="F57" s="3" t="n"/>
      <c r="G57" s="3" t="n"/>
      <c r="H57" s="3" t="n">
        <v>57000000</v>
      </c>
    </row>
    <row r="58">
      <c r="A58" t="inlineStr">
        <is>
          <t>Machinery Furniture Equipment</t>
        </is>
      </c>
      <c r="B58" s="3" t="n"/>
      <c r="C58" s="3" t="n"/>
      <c r="D58" s="3" t="n">
        <v>5656000000</v>
      </c>
      <c r="E58" s="3" t="n"/>
      <c r="F58" s="3" t="n"/>
      <c r="G58" s="3" t="n"/>
      <c r="H58" s="3" t="n">
        <v>5246000000</v>
      </c>
    </row>
    <row r="59">
      <c r="A59" t="inlineStr">
        <is>
          <t>Buildings And Improvements</t>
        </is>
      </c>
      <c r="B59" s="3" t="n"/>
      <c r="C59" s="3" t="n"/>
      <c r="D59" s="3" t="n">
        <v>1488000000</v>
      </c>
      <c r="E59" s="3" t="n"/>
      <c r="F59" s="3" t="n"/>
      <c r="G59" s="3" t="n"/>
      <c r="H59" s="3" t="n">
        <v>1518000000</v>
      </c>
    </row>
    <row r="60">
      <c r="A60" t="inlineStr">
        <is>
          <t>Land And Improvements</t>
        </is>
      </c>
      <c r="B60" s="3" t="n"/>
      <c r="C60" s="3" t="n"/>
      <c r="D60" s="3" t="n">
        <v>204000000</v>
      </c>
      <c r="E60" s="3" t="n"/>
      <c r="F60" s="3" t="n"/>
      <c r="G60" s="3" t="n"/>
      <c r="H60" s="3" t="n">
        <v>204000000</v>
      </c>
    </row>
    <row r="61">
      <c r="A61" t="inlineStr">
        <is>
          <t>Properties</t>
        </is>
      </c>
      <c r="B61" s="3" t="n"/>
      <c r="C61" s="3" t="n"/>
      <c r="D61" s="3" t="n">
        <v>0</v>
      </c>
      <c r="E61" s="3" t="n"/>
      <c r="F61" s="3" t="n"/>
      <c r="G61" s="3" t="n"/>
      <c r="H61" s="3" t="n">
        <v>0</v>
      </c>
    </row>
    <row r="62">
      <c r="A62" t="inlineStr">
        <is>
          <t>Current Assets</t>
        </is>
      </c>
      <c r="B62" s="3" t="n">
        <v>42213000000</v>
      </c>
      <c r="C62" s="3" t="n">
        <v>32062000000</v>
      </c>
      <c r="D62" s="3" t="n">
        <v>31573000000</v>
      </c>
      <c r="E62" s="3" t="n">
        <v>24998000000</v>
      </c>
      <c r="F62" s="3" t="n">
        <v>22181000000</v>
      </c>
      <c r="G62" s="3" t="n"/>
      <c r="H62" s="3" t="n"/>
    </row>
    <row r="63">
      <c r="A63" t="inlineStr">
        <is>
          <t>Other Current Assets</t>
        </is>
      </c>
      <c r="B63" s="3" t="n">
        <v>369000000</v>
      </c>
      <c r="C63" s="3" t="n">
        <v>289000000</v>
      </c>
      <c r="D63" s="3" t="n">
        <v>457000000</v>
      </c>
      <c r="E63" s="3" t="n">
        <v>656000000</v>
      </c>
      <c r="F63" s="3" t="n">
        <v>959000000</v>
      </c>
      <c r="G63" s="3" t="n"/>
      <c r="H63" s="3" t="n"/>
    </row>
    <row r="64">
      <c r="A64" t="inlineStr">
        <is>
          <t>Prepaid Assets</t>
        </is>
      </c>
      <c r="B64" s="3" t="n">
        <v>1140000000</v>
      </c>
      <c r="C64" s="3" t="n">
        <v>641000000</v>
      </c>
      <c r="D64" s="3" t="n">
        <v>518000000</v>
      </c>
      <c r="E64" s="3" t="n">
        <v>793000000</v>
      </c>
      <c r="F64" s="3" t="n">
        <v>936000000</v>
      </c>
      <c r="G64" s="3" t="n"/>
      <c r="H64" s="3" t="n"/>
    </row>
    <row r="65">
      <c r="A65" t="inlineStr">
        <is>
          <t>Inventory</t>
        </is>
      </c>
      <c r="B65" s="3" t="n">
        <v>4328000000</v>
      </c>
      <c r="C65" s="3" t="n">
        <v>2962000000</v>
      </c>
      <c r="D65" s="3" t="n">
        <v>2270000000</v>
      </c>
      <c r="E65" s="3" t="n">
        <v>2180000000</v>
      </c>
      <c r="F65" s="3" t="n">
        <v>2017000000</v>
      </c>
      <c r="G65" s="3" t="n"/>
      <c r="H65" s="3" t="n"/>
    </row>
    <row r="66">
      <c r="A66" t="inlineStr">
        <is>
          <t>Finished Goods</t>
        </is>
      </c>
      <c r="B66" s="3" t="n">
        <v>1858000000</v>
      </c>
      <c r="C66" s="3" t="n">
        <v>842000000</v>
      </c>
      <c r="D66" s="3" t="n">
        <v>682000000</v>
      </c>
      <c r="E66" s="3" t="n">
        <v>477000000</v>
      </c>
      <c r="F66" s="3" t="n">
        <v>500000000</v>
      </c>
      <c r="G66" s="3" t="n"/>
      <c r="H66" s="3" t="n"/>
    </row>
    <row r="67">
      <c r="A67" t="inlineStr">
        <is>
          <t>Work In Process</t>
        </is>
      </c>
      <c r="B67" s="3" t="n">
        <v>1801000000</v>
      </c>
      <c r="C67" s="3" t="n">
        <v>1544000000</v>
      </c>
      <c r="D67" s="3" t="n">
        <v>1280000000</v>
      </c>
      <c r="E67" s="3" t="n">
        <v>1349000000</v>
      </c>
      <c r="F67" s="3" t="n">
        <v>1119000000</v>
      </c>
      <c r="G67" s="3" t="n"/>
      <c r="H67" s="3" t="n"/>
    </row>
    <row r="68">
      <c r="A68" t="inlineStr">
        <is>
          <t>Raw Materials</t>
        </is>
      </c>
      <c r="B68" s="3" t="n">
        <v>669000000</v>
      </c>
      <c r="C68" s="3" t="n">
        <v>576000000</v>
      </c>
      <c r="D68" s="3" t="n">
        <v>308000000</v>
      </c>
      <c r="E68" s="3" t="n">
        <v>354000000</v>
      </c>
      <c r="F68" s="3" t="n">
        <v>398000000</v>
      </c>
      <c r="G68" s="3" t="n"/>
      <c r="H68" s="3" t="n"/>
    </row>
    <row r="69">
      <c r="A69" t="inlineStr">
        <is>
          <t>Receivables</t>
        </is>
      </c>
      <c r="B69" s="3" t="n">
        <v>16748000000</v>
      </c>
      <c r="C69" s="3" t="n">
        <v>13996000000</v>
      </c>
      <c r="D69" s="3" t="n">
        <v>12150000000</v>
      </c>
      <c r="E69" s="3" t="n">
        <v>10651000000</v>
      </c>
      <c r="F69" s="3" t="n">
        <v>8797000000</v>
      </c>
      <c r="G69" s="3" t="n"/>
      <c r="H69" s="3" t="n"/>
    </row>
    <row r="70">
      <c r="A70" t="inlineStr">
        <is>
          <t>Other Receivables</t>
        </is>
      </c>
      <c r="B70" s="3" t="n">
        <v>5918000000</v>
      </c>
      <c r="C70" s="3" t="n">
        <v>5536000000</v>
      </c>
      <c r="D70" s="3" t="n">
        <v>5005000000</v>
      </c>
      <c r="E70" s="3" t="n">
        <v>4157000000</v>
      </c>
      <c r="F70" s="3" t="n">
        <v>3234000000</v>
      </c>
      <c r="G70" s="3" t="n"/>
      <c r="H70" s="3" t="n"/>
    </row>
    <row r="71">
      <c r="A71" t="inlineStr">
        <is>
          <t>Accounts Receivable</t>
        </is>
      </c>
      <c r="B71" s="3" t="n">
        <v>10830000000</v>
      </c>
      <c r="C71" s="3" t="n">
        <v>8460000000</v>
      </c>
      <c r="D71" s="3" t="n">
        <v>7145000000</v>
      </c>
      <c r="E71" s="3" t="n">
        <v>6494000000</v>
      </c>
      <c r="F71" s="3" t="n">
        <v>5563000000</v>
      </c>
      <c r="G71" s="3" t="n"/>
      <c r="H71" s="3" t="n"/>
    </row>
    <row r="72">
      <c r="A72" t="inlineStr">
        <is>
          <t>Allowance For Doubtful Accounts Receivable</t>
        </is>
      </c>
      <c r="B72" s="3" t="n"/>
      <c r="C72" s="3" t="n"/>
      <c r="D72" s="3" t="n">
        <v>-74000000</v>
      </c>
      <c r="E72" s="3" t="n"/>
      <c r="F72" s="3" t="n"/>
      <c r="G72" s="3" t="n"/>
      <c r="H72" s="3" t="n">
        <v>-101000000</v>
      </c>
    </row>
    <row r="73">
      <c r="A73" t="inlineStr">
        <is>
          <t>Gross Accounts Receivable</t>
        </is>
      </c>
      <c r="B73" s="3" t="n"/>
      <c r="C73" s="3" t="n"/>
      <c r="D73" s="3" t="n">
        <v>7219000000</v>
      </c>
      <c r="E73" s="3" t="n"/>
      <c r="F73" s="3" t="n"/>
      <c r="G73" s="3" t="n"/>
      <c r="H73" s="3" t="n">
        <v>4517000000</v>
      </c>
    </row>
    <row r="74">
      <c r="A74" t="inlineStr">
        <is>
          <t>Cash Cash Equivalents And Short Term Investments</t>
        </is>
      </c>
      <c r="B74" s="3" t="n">
        <v>19628000000</v>
      </c>
      <c r="C74" s="3" t="n">
        <v>14174000000</v>
      </c>
      <c r="D74" s="3" t="n">
        <v>16178000000</v>
      </c>
      <c r="E74" s="3" t="n">
        <v>10718000000</v>
      </c>
      <c r="F74" s="3" t="n">
        <v>9472000000</v>
      </c>
      <c r="G74" s="3" t="n"/>
      <c r="H74" s="3" t="n"/>
    </row>
    <row r="75">
      <c r="A75" t="inlineStr">
        <is>
          <t>Cash And Cash Equivalents</t>
        </is>
      </c>
      <c r="B75" s="3" t="n">
        <v>19628000000</v>
      </c>
      <c r="C75" s="3" t="n">
        <v>14174000000</v>
      </c>
      <c r="D75" s="3" t="n">
        <v>16178000000</v>
      </c>
      <c r="E75" s="3" t="n">
        <v>10718000000</v>
      </c>
      <c r="F75" s="3" t="n">
        <v>9472000000</v>
      </c>
      <c r="G75" s="3" t="n"/>
      <c r="H7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Free Cash Flow</t>
        </is>
      </c>
      <c r="B2" s="3" t="n">
        <v>26914000000</v>
      </c>
      <c r="C2" s="3" t="n">
        <v>19414000000</v>
      </c>
      <c r="D2" s="3" t="n">
        <v>17633000000</v>
      </c>
      <c r="E2" s="3" t="n">
        <v>16312000000</v>
      </c>
      <c r="F2" s="3" t="n"/>
    </row>
    <row r="3">
      <c r="A3" t="inlineStr">
        <is>
          <t>Repurchase Of Capital Stock</t>
        </is>
      </c>
      <c r="B3" s="3" t="n">
        <v>-6310000000</v>
      </c>
      <c r="C3" s="3" t="n">
        <v>-12392000000</v>
      </c>
      <c r="D3" s="3" t="n">
        <v>-7685000000</v>
      </c>
      <c r="E3" s="3" t="n">
        <v>-8455000000</v>
      </c>
      <c r="F3" s="3" t="n"/>
    </row>
    <row r="4">
      <c r="A4" t="inlineStr">
        <is>
          <t>Repayment Of Debt</t>
        </is>
      </c>
      <c r="B4" s="3" t="n">
        <v>-18478000000</v>
      </c>
      <c r="C4" s="3" t="n">
        <v>-19608000000</v>
      </c>
      <c r="D4" s="3" t="n">
        <v>-403000000</v>
      </c>
      <c r="E4" s="3" t="n">
        <v>-2361000000</v>
      </c>
      <c r="F4" s="3" t="n"/>
    </row>
    <row r="5">
      <c r="A5" t="inlineStr">
        <is>
          <t>Issuance Of Debt</t>
        </is>
      </c>
      <c r="B5" s="3" t="n">
        <v>15666000000</v>
      </c>
      <c r="C5" s="3" t="n">
        <v>39954000000</v>
      </c>
      <c r="D5" s="3" t="n">
        <v>0</v>
      </c>
      <c r="E5" s="3" t="n">
        <v>1935000000</v>
      </c>
      <c r="F5" s="3" t="n"/>
    </row>
    <row r="6">
      <c r="A6" t="inlineStr">
        <is>
          <t>Issuance Of Capital Stock</t>
        </is>
      </c>
      <c r="B6" s="3" t="n">
        <v>221000000</v>
      </c>
      <c r="C6" s="3" t="n">
        <v>190000000</v>
      </c>
      <c r="D6" s="3" t="n">
        <v>122000000</v>
      </c>
      <c r="E6" s="3" t="n">
        <v>114000000</v>
      </c>
      <c r="F6" s="3" t="n"/>
    </row>
    <row r="7">
      <c r="A7" t="inlineStr">
        <is>
          <t>Capital Expenditure</t>
        </is>
      </c>
      <c r="B7" s="3" t="n">
        <v>-623000000</v>
      </c>
      <c r="C7" s="3" t="n">
        <v>-548000000</v>
      </c>
      <c r="D7" s="3" t="n">
        <v>-452000000</v>
      </c>
      <c r="E7" s="3" t="n">
        <v>-424000000</v>
      </c>
      <c r="F7" s="3" t="n"/>
    </row>
    <row r="8">
      <c r="A8" t="inlineStr">
        <is>
          <t>Interest Paid Supplemental Data</t>
        </is>
      </c>
      <c r="B8" s="3" t="n">
        <v>2672000000</v>
      </c>
      <c r="C8" s="3" t="n">
        <v>3250000000</v>
      </c>
      <c r="D8" s="3" t="n">
        <v>1503000000</v>
      </c>
      <c r="E8" s="3" t="n">
        <v>1386000000</v>
      </c>
      <c r="F8" s="3" t="n"/>
    </row>
    <row r="9">
      <c r="A9" t="inlineStr">
        <is>
          <t>Income Tax Paid Supplemental Data</t>
        </is>
      </c>
      <c r="B9" s="3" t="n">
        <v>2589000000</v>
      </c>
      <c r="C9" s="3" t="n">
        <v>3155000000</v>
      </c>
      <c r="D9" s="3" t="n">
        <v>1782000000</v>
      </c>
      <c r="E9" s="3" t="n">
        <v>908000000</v>
      </c>
      <c r="F9" s="3" t="n"/>
    </row>
    <row r="10">
      <c r="A10" t="inlineStr">
        <is>
          <t>End Cash Position</t>
        </is>
      </c>
      <c r="B10" s="3" t="n">
        <v>16178000000</v>
      </c>
      <c r="C10" s="3" t="n">
        <v>9348000000</v>
      </c>
      <c r="D10" s="3" t="n">
        <v>14189000000</v>
      </c>
      <c r="E10" s="3" t="n">
        <v>12416000000</v>
      </c>
      <c r="F10" s="3" t="n"/>
    </row>
    <row r="11">
      <c r="A11" t="inlineStr">
        <is>
          <t>Beginning Cash Position</t>
        </is>
      </c>
      <c r="B11" s="3" t="n">
        <v>9348000000</v>
      </c>
      <c r="C11" s="3" t="n">
        <v>14189000000</v>
      </c>
      <c r="D11" s="3" t="n">
        <v>12416000000</v>
      </c>
      <c r="E11" s="3" t="n">
        <v>12163000000</v>
      </c>
      <c r="F11" s="3" t="n"/>
    </row>
    <row r="12">
      <c r="A12" t="inlineStr">
        <is>
          <t>Changes In Cash</t>
        </is>
      </c>
      <c r="B12" s="3" t="n">
        <v>6830000000</v>
      </c>
      <c r="C12" s="3" t="n">
        <v>-4841000000</v>
      </c>
      <c r="D12" s="3" t="n">
        <v>1773000000</v>
      </c>
      <c r="E12" s="3" t="n">
        <v>253000000</v>
      </c>
      <c r="F12" s="3" t="n"/>
    </row>
    <row r="13">
      <c r="A13" t="inlineStr">
        <is>
          <t>Financing Cash Flow</t>
        </is>
      </c>
      <c r="B13" s="3" t="n">
        <v>-20127000000</v>
      </c>
      <c r="C13" s="3" t="n">
        <v>-1733000000</v>
      </c>
      <c r="D13" s="3" t="n">
        <v>-15623000000</v>
      </c>
      <c r="E13" s="3" t="n">
        <v>-15816000000</v>
      </c>
      <c r="F13" s="3" t="n"/>
    </row>
    <row r="14">
      <c r="A14" t="inlineStr">
        <is>
          <t>Cash Flow From Continuing Financing Activities</t>
        </is>
      </c>
      <c r="B14" s="3" t="n">
        <v>-20127000000</v>
      </c>
      <c r="C14" s="3" t="n">
        <v>-1733000000</v>
      </c>
      <c r="D14" s="3" t="n">
        <v>-15623000000</v>
      </c>
      <c r="E14" s="3" t="n">
        <v>-15816000000</v>
      </c>
      <c r="F14" s="3" t="n"/>
    </row>
    <row r="15">
      <c r="A15" t="inlineStr">
        <is>
          <t>Net Other Financing Charges</t>
        </is>
      </c>
      <c r="B15" s="3" t="n">
        <v>-84000000</v>
      </c>
      <c r="C15" s="3" t="n">
        <v>-63000000</v>
      </c>
      <c r="D15" s="3" t="n">
        <v>-12000000</v>
      </c>
      <c r="E15" s="3" t="n">
        <v>-17000000</v>
      </c>
      <c r="F15" s="3" t="n"/>
    </row>
    <row r="16">
      <c r="A16" t="inlineStr">
        <is>
          <t>Cash Dividends Paid</t>
        </is>
      </c>
      <c r="B16" s="3" t="n">
        <v>-11142000000</v>
      </c>
      <c r="C16" s="3" t="n">
        <v>-9814000000</v>
      </c>
      <c r="D16" s="3" t="n">
        <v>-7645000000</v>
      </c>
      <c r="E16" s="3" t="n">
        <v>-7032000000</v>
      </c>
      <c r="F16" s="3" t="n"/>
    </row>
    <row r="17">
      <c r="A17" t="inlineStr">
        <is>
          <t>Common Stock Dividend Paid</t>
        </is>
      </c>
      <c r="B17" s="3" t="n">
        <v>-11142000000</v>
      </c>
      <c r="C17" s="3" t="n">
        <v>-9814000000</v>
      </c>
      <c r="D17" s="3" t="n">
        <v>-7645000000</v>
      </c>
      <c r="E17" s="3" t="n">
        <v>-7032000000</v>
      </c>
      <c r="F17" s="3" t="n"/>
    </row>
    <row r="18">
      <c r="A18" t="inlineStr">
        <is>
          <t>Net Preferred Stock Issuance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Preferred Stock Issuance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Net Common Stock Issuance</t>
        </is>
      </c>
      <c r="B20" s="3" t="n">
        <v>-6089000000</v>
      </c>
      <c r="C20" s="3" t="n">
        <v>-12202000000</v>
      </c>
      <c r="D20" s="3" t="n">
        <v>-7563000000</v>
      </c>
      <c r="E20" s="3" t="n">
        <v>-8341000000</v>
      </c>
      <c r="F20" s="3" t="n"/>
    </row>
    <row r="21">
      <c r="A21" t="inlineStr">
        <is>
          <t>Common Stock Payments</t>
        </is>
      </c>
      <c r="B21" s="3" t="n">
        <v>-6310000000</v>
      </c>
      <c r="C21" s="3" t="n">
        <v>-12392000000</v>
      </c>
      <c r="D21" s="3" t="n">
        <v>-7685000000</v>
      </c>
      <c r="E21" s="3" t="n">
        <v>-8455000000</v>
      </c>
      <c r="F21" s="3" t="n"/>
    </row>
    <row r="22">
      <c r="A22" t="inlineStr">
        <is>
          <t>Common Stock Issuance</t>
        </is>
      </c>
      <c r="B22" s="3" t="n">
        <v>221000000</v>
      </c>
      <c r="C22" s="3" t="n">
        <v>190000000</v>
      </c>
      <c r="D22" s="3" t="n">
        <v>122000000</v>
      </c>
      <c r="E22" s="3" t="n">
        <v>114000000</v>
      </c>
      <c r="F22" s="3" t="n"/>
    </row>
    <row r="23">
      <c r="A23" t="inlineStr">
        <is>
          <t>Net Issuance Payments Of Debt</t>
        </is>
      </c>
      <c r="B23" s="3" t="n">
        <v>-2812000000</v>
      </c>
      <c r="C23" s="3" t="n">
        <v>20346000000</v>
      </c>
      <c r="D23" s="3" t="n">
        <v>-403000000</v>
      </c>
      <c r="E23" s="3" t="n">
        <v>-426000000</v>
      </c>
      <c r="F23" s="3" t="n"/>
    </row>
    <row r="24">
      <c r="A24" t="inlineStr">
        <is>
          <t>Net Long Term Debt Issuance</t>
        </is>
      </c>
      <c r="B24" s="3" t="n">
        <v>-2812000000</v>
      </c>
      <c r="C24" s="3" t="n">
        <v>20346000000</v>
      </c>
      <c r="D24" s="3" t="n">
        <v>-403000000</v>
      </c>
      <c r="E24" s="3" t="n">
        <v>-426000000</v>
      </c>
      <c r="F24" s="3" t="n"/>
    </row>
    <row r="25">
      <c r="A25" t="inlineStr">
        <is>
          <t>Long Term Debt Payments</t>
        </is>
      </c>
      <c r="B25" s="3" t="n">
        <v>-18478000000</v>
      </c>
      <c r="C25" s="3" t="n">
        <v>-19608000000</v>
      </c>
      <c r="D25" s="3" t="n">
        <v>-403000000</v>
      </c>
      <c r="E25" s="3" t="n">
        <v>-2361000000</v>
      </c>
      <c r="F25" s="3" t="n"/>
    </row>
    <row r="26">
      <c r="A26" t="inlineStr">
        <is>
          <t>Long Term Debt Issuance</t>
        </is>
      </c>
      <c r="B26" s="3" t="n">
        <v>15666000000</v>
      </c>
      <c r="C26" s="3" t="n">
        <v>39954000000</v>
      </c>
      <c r="D26" s="3" t="n">
        <v>0</v>
      </c>
      <c r="E26" s="3" t="n">
        <v>1935000000</v>
      </c>
      <c r="F26" s="3" t="n"/>
    </row>
    <row r="27">
      <c r="A27" t="inlineStr">
        <is>
          <t>Investing Cash Flow</t>
        </is>
      </c>
      <c r="B27" s="3" t="n">
        <v>-580000000</v>
      </c>
      <c r="C27" s="3" t="n">
        <v>-23070000000</v>
      </c>
      <c r="D27" s="3" t="n">
        <v>-689000000</v>
      </c>
      <c r="E27" s="3" t="n">
        <v>-667000000</v>
      </c>
      <c r="F27" s="3" t="n"/>
    </row>
    <row r="28">
      <c r="A28" t="inlineStr">
        <is>
          <t>Cash Flow From Continuing Investing Activities</t>
        </is>
      </c>
      <c r="B28" s="3" t="n">
        <v>-580000000</v>
      </c>
      <c r="C28" s="3" t="n">
        <v>-23070000000</v>
      </c>
      <c r="D28" s="3" t="n">
        <v>-689000000</v>
      </c>
      <c r="E28" s="3" t="n">
        <v>-667000000</v>
      </c>
      <c r="F28" s="3" t="n"/>
    </row>
    <row r="29">
      <c r="A29" t="inlineStr">
        <is>
          <t>Net Other Investing Changes</t>
        </is>
      </c>
      <c r="B29" s="3" t="n">
        <v>92000000</v>
      </c>
      <c r="C29" s="3" t="n">
        <v>-10000000</v>
      </c>
      <c r="D29" s="3" t="n">
        <v>-66000000</v>
      </c>
      <c r="E29" s="3" t="n">
        <v>3000000</v>
      </c>
      <c r="F29" s="3" t="n"/>
    </row>
    <row r="30">
      <c r="A30" t="inlineStr">
        <is>
          <t>Net Investment Purchase And Sale</t>
        </is>
      </c>
      <c r="B30" s="3" t="n">
        <v>-349000000</v>
      </c>
      <c r="C30" s="3" t="n">
        <v>-19000000</v>
      </c>
      <c r="D30" s="3" t="n">
        <v>-118000000</v>
      </c>
      <c r="E30" s="3" t="n">
        <v>0</v>
      </c>
      <c r="F30" s="3" t="n"/>
    </row>
    <row r="31">
      <c r="A31" t="inlineStr">
        <is>
          <t>Sale Of Investment</t>
        </is>
      </c>
      <c r="B31" s="3" t="n">
        <v>248000000</v>
      </c>
      <c r="C31" s="3" t="n">
        <v>156000000</v>
      </c>
      <c r="D31" s="3" t="n">
        <v>228000000</v>
      </c>
      <c r="E31" s="3" t="n">
        <v>200000000</v>
      </c>
      <c r="F31" s="3" t="n"/>
    </row>
    <row r="32">
      <c r="A32" t="inlineStr">
        <is>
          <t>Purchase Of Investment</t>
        </is>
      </c>
      <c r="B32" s="3" t="n">
        <v>-597000000</v>
      </c>
      <c r="C32" s="3" t="n">
        <v>-175000000</v>
      </c>
      <c r="D32" s="3" t="n">
        <v>-346000000</v>
      </c>
      <c r="E32" s="3" t="n">
        <v>-200000000</v>
      </c>
      <c r="F32" s="3" t="n"/>
    </row>
    <row r="33">
      <c r="A33" t="inlineStr">
        <is>
          <t>Net Business Purchase And Sale</t>
        </is>
      </c>
      <c r="B33" s="3" t="n">
        <v>300000000</v>
      </c>
      <c r="C33" s="3" t="n">
        <v>-22493000000</v>
      </c>
      <c r="D33" s="3" t="n">
        <v>-53000000</v>
      </c>
      <c r="E33" s="3" t="n">
        <v>-246000000</v>
      </c>
      <c r="F33" s="3" t="n"/>
    </row>
    <row r="34">
      <c r="A34" t="inlineStr">
        <is>
          <t>Sale Of Business</t>
        </is>
      </c>
      <c r="B34" s="3" t="n">
        <v>300000000</v>
      </c>
      <c r="C34" s="3" t="n">
        <v>3485000000</v>
      </c>
      <c r="D34" s="3" t="n">
        <v>0</v>
      </c>
      <c r="E34" s="3" t="n">
        <v>0</v>
      </c>
      <c r="F34" s="3" t="n"/>
    </row>
    <row r="35">
      <c r="A35" t="inlineStr">
        <is>
          <t>Purchase Of Business</t>
        </is>
      </c>
      <c r="B35" s="3" t="n">
        <v>0</v>
      </c>
      <c r="C35" s="3" t="n">
        <v>-25978000000</v>
      </c>
      <c r="D35" s="3" t="n">
        <v>-53000000</v>
      </c>
      <c r="E35" s="3" t="n">
        <v>-246000000</v>
      </c>
      <c r="F35" s="3" t="n"/>
    </row>
    <row r="36">
      <c r="A36" t="inlineStr">
        <is>
          <t>Net PPE Purchase And Sale</t>
        </is>
      </c>
      <c r="B36" s="3" t="n">
        <v>-623000000</v>
      </c>
      <c r="C36" s="3" t="n">
        <v>-548000000</v>
      </c>
      <c r="D36" s="3" t="n">
        <v>-452000000</v>
      </c>
      <c r="E36" s="3" t="n">
        <v>-424000000</v>
      </c>
      <c r="F36" s="3" t="n"/>
    </row>
    <row r="37">
      <c r="A37" t="inlineStr">
        <is>
          <t>Sale Of PPE</t>
        </is>
      </c>
      <c r="B37" s="3" t="n"/>
      <c r="C37" s="3" t="n"/>
      <c r="D37" s="3" t="n"/>
      <c r="E37" s="3" t="n"/>
      <c r="F37" s="3" t="n">
        <v>4000000</v>
      </c>
    </row>
    <row r="38">
      <c r="A38" t="inlineStr">
        <is>
          <t>Purchase Of PPE</t>
        </is>
      </c>
      <c r="B38" s="3" t="n">
        <v>-623000000</v>
      </c>
      <c r="C38" s="3" t="n">
        <v>-548000000</v>
      </c>
      <c r="D38" s="3" t="n">
        <v>-452000000</v>
      </c>
      <c r="E38" s="3" t="n">
        <v>-424000000</v>
      </c>
      <c r="F38" s="3" t="n"/>
    </row>
    <row r="39">
      <c r="A39" t="inlineStr">
        <is>
          <t>Operating Cash Flow</t>
        </is>
      </c>
      <c r="B39" s="3" t="n">
        <v>27537000000</v>
      </c>
      <c r="C39" s="3" t="n">
        <v>19962000000</v>
      </c>
      <c r="D39" s="3" t="n">
        <v>18085000000</v>
      </c>
      <c r="E39" s="3" t="n">
        <v>16736000000</v>
      </c>
      <c r="F39" s="3" t="n"/>
    </row>
    <row r="40">
      <c r="A40" t="inlineStr">
        <is>
          <t>Cash Flow From Continuing Operating Activities</t>
        </is>
      </c>
      <c r="B40" s="3" t="n">
        <v>27537000000</v>
      </c>
      <c r="C40" s="3" t="n">
        <v>19962000000</v>
      </c>
      <c r="D40" s="3" t="n">
        <v>18085000000</v>
      </c>
      <c r="E40" s="3" t="n">
        <v>16736000000</v>
      </c>
      <c r="F40" s="3" t="n"/>
    </row>
    <row r="41">
      <c r="A41" t="inlineStr">
        <is>
          <t>Change In Working Capital</t>
        </is>
      </c>
      <c r="B41" s="3" t="n">
        <v>-8500000000</v>
      </c>
      <c r="C41" s="3" t="n">
        <v>-4637000000</v>
      </c>
      <c r="D41" s="3" t="n">
        <v>-1643000000</v>
      </c>
      <c r="E41" s="3" t="n">
        <v>-1654000000</v>
      </c>
      <c r="F41" s="3" t="n"/>
    </row>
    <row r="42">
      <c r="A42" t="inlineStr">
        <is>
          <t>Change In Other Working Capital</t>
        </is>
      </c>
      <c r="B42" s="3" t="n">
        <v>-5155000000</v>
      </c>
      <c r="C42" s="3" t="n">
        <v>-7235000000</v>
      </c>
      <c r="D42" s="3" t="n">
        <v>-1692000000</v>
      </c>
      <c r="E42" s="3" t="n">
        <v>-78000000</v>
      </c>
      <c r="F42" s="3" t="n"/>
    </row>
    <row r="43">
      <c r="A43" t="inlineStr">
        <is>
          <t>Change In Payables And Accrued Expense</t>
        </is>
      </c>
      <c r="B43" s="3" t="n">
        <v>-118000000</v>
      </c>
      <c r="C43" s="3" t="n">
        <v>121000000</v>
      </c>
      <c r="D43" s="3" t="n">
        <v>209000000</v>
      </c>
      <c r="E43" s="3" t="n">
        <v>-79000000</v>
      </c>
      <c r="F43" s="3" t="n"/>
    </row>
    <row r="44">
      <c r="A44" t="inlineStr">
        <is>
          <t>Change In Payable</t>
        </is>
      </c>
      <c r="B44" s="3" t="n">
        <v>-118000000</v>
      </c>
      <c r="C44" s="3" t="n">
        <v>121000000</v>
      </c>
      <c r="D44" s="3" t="n">
        <v>209000000</v>
      </c>
      <c r="E44" s="3" t="n">
        <v>-79000000</v>
      </c>
      <c r="F44" s="3" t="n"/>
    </row>
    <row r="45">
      <c r="A45" t="inlineStr">
        <is>
          <t>Change In Account Payable</t>
        </is>
      </c>
      <c r="B45" s="3" t="n">
        <v>-118000000</v>
      </c>
      <c r="C45" s="3" t="n">
        <v>121000000</v>
      </c>
      <c r="D45" s="3" t="n">
        <v>209000000</v>
      </c>
      <c r="E45" s="3" t="n">
        <v>-79000000</v>
      </c>
      <c r="F45" s="3" t="n"/>
    </row>
    <row r="46">
      <c r="A46" t="inlineStr">
        <is>
          <t>Change In Inventory</t>
        </is>
      </c>
      <c r="B46" s="3" t="n">
        <v>-510000000</v>
      </c>
      <c r="C46" s="3" t="n">
        <v>150000000</v>
      </c>
      <c r="D46" s="3" t="n">
        <v>27000000</v>
      </c>
      <c r="E46" s="3" t="n">
        <v>-627000000</v>
      </c>
      <c r="F46" s="3" t="n"/>
    </row>
    <row r="47">
      <c r="A47" t="inlineStr">
        <is>
          <t>Change In Receivables</t>
        </is>
      </c>
      <c r="B47" s="3" t="n">
        <v>-2717000000</v>
      </c>
      <c r="C47" s="3" t="n">
        <v>2327000000</v>
      </c>
      <c r="D47" s="3" t="n">
        <v>-187000000</v>
      </c>
      <c r="E47" s="3" t="n">
        <v>-870000000</v>
      </c>
      <c r="F47" s="3" t="n"/>
    </row>
    <row r="48">
      <c r="A48" t="inlineStr">
        <is>
          <t>Changes In Account Receivables</t>
        </is>
      </c>
      <c r="B48" s="3" t="n">
        <v>-2717000000</v>
      </c>
      <c r="C48" s="3" t="n">
        <v>2327000000</v>
      </c>
      <c r="D48" s="3" t="n">
        <v>-187000000</v>
      </c>
      <c r="E48" s="3" t="n">
        <v>-870000000</v>
      </c>
      <c r="F48" s="3" t="n"/>
    </row>
    <row r="49">
      <c r="A49" t="inlineStr">
        <is>
          <t>Other Non Cash Items</t>
        </is>
      </c>
      <c r="B49" s="3" t="n">
        <v>438000000</v>
      </c>
      <c r="C49" s="3" t="n">
        <v>831000000</v>
      </c>
      <c r="D49" s="3" t="n">
        <v>141000000</v>
      </c>
      <c r="E49" s="3" t="n">
        <v>312000000</v>
      </c>
      <c r="F49" s="3" t="n"/>
    </row>
    <row r="50">
      <c r="A50" t="inlineStr">
        <is>
          <t>Stock Based Compensation</t>
        </is>
      </c>
      <c r="B50" s="3" t="n">
        <v>7568000000</v>
      </c>
      <c r="C50" s="3" t="n">
        <v>5741000000</v>
      </c>
      <c r="D50" s="3" t="n">
        <v>2171000000</v>
      </c>
      <c r="E50" s="3" t="n">
        <v>1533000000</v>
      </c>
      <c r="F50" s="3" t="n"/>
    </row>
    <row r="51">
      <c r="A51" t="inlineStr">
        <is>
          <t>Deferred Tax</t>
        </is>
      </c>
      <c r="B51" s="3" t="n">
        <v>-4008000000</v>
      </c>
      <c r="C51" s="3" t="n">
        <v>1965000000</v>
      </c>
      <c r="D51" s="3" t="n">
        <v>-501000000</v>
      </c>
      <c r="E51" s="3" t="n">
        <v>-34000000</v>
      </c>
      <c r="F51" s="3" t="n"/>
    </row>
    <row r="52">
      <c r="A52" t="inlineStr">
        <is>
          <t>Deferred Income Tax</t>
        </is>
      </c>
      <c r="B52" s="3" t="n">
        <v>-4008000000</v>
      </c>
      <c r="C52" s="3" t="n">
        <v>1965000000</v>
      </c>
      <c r="D52" s="3" t="n">
        <v>-501000000</v>
      </c>
      <c r="E52" s="3" t="n">
        <v>-34000000</v>
      </c>
      <c r="F52" s="3" t="n"/>
    </row>
    <row r="53">
      <c r="A53" t="inlineStr">
        <is>
          <t>Depreciation Amortization Depletion</t>
        </is>
      </c>
      <c r="B53" s="3" t="n">
        <v>8775000000</v>
      </c>
      <c r="C53" s="3" t="n">
        <v>10010000000</v>
      </c>
      <c r="D53" s="3" t="n">
        <v>3835000000</v>
      </c>
      <c r="E53" s="3" t="n">
        <v>4984000000</v>
      </c>
      <c r="F53" s="3" t="n"/>
    </row>
    <row r="54">
      <c r="A54" t="inlineStr">
        <is>
          <t>Depreciation And Amortization</t>
        </is>
      </c>
      <c r="B54" s="3" t="n">
        <v>8775000000</v>
      </c>
      <c r="C54" s="3" t="n">
        <v>10010000000</v>
      </c>
      <c r="D54" s="3" t="n">
        <v>3835000000</v>
      </c>
      <c r="E54" s="3" t="n">
        <v>4984000000</v>
      </c>
      <c r="F54" s="3" t="n"/>
    </row>
    <row r="55">
      <c r="A55" t="inlineStr">
        <is>
          <t>Amortization Cash Flow</t>
        </is>
      </c>
      <c r="B55" s="3" t="n">
        <v>8201000000</v>
      </c>
      <c r="C55" s="3" t="n">
        <v>9417000000</v>
      </c>
      <c r="D55" s="3" t="n">
        <v>3333000000</v>
      </c>
      <c r="E55" s="3" t="n">
        <v>4455000000</v>
      </c>
      <c r="F55" s="3" t="n"/>
    </row>
    <row r="56">
      <c r="A56" t="inlineStr">
        <is>
          <t>Amortization Of Intangibles</t>
        </is>
      </c>
      <c r="B56" s="3" t="n">
        <v>8201000000</v>
      </c>
      <c r="C56" s="3" t="n">
        <v>9417000000</v>
      </c>
      <c r="D56" s="3" t="n">
        <v>3333000000</v>
      </c>
      <c r="E56" s="3" t="n">
        <v>4455000000</v>
      </c>
      <c r="F56" s="3" t="n"/>
    </row>
    <row r="57">
      <c r="A57" t="inlineStr">
        <is>
          <t>Depreciation</t>
        </is>
      </c>
      <c r="B57" s="3" t="n">
        <v>574000000</v>
      </c>
      <c r="C57" s="3" t="n">
        <v>593000000</v>
      </c>
      <c r="D57" s="3" t="n">
        <v>502000000</v>
      </c>
      <c r="E57" s="3" t="n">
        <v>529000000</v>
      </c>
      <c r="F57" s="3" t="n"/>
    </row>
    <row r="58">
      <c r="A58" t="inlineStr">
        <is>
          <t>Operating Gains Losses</t>
        </is>
      </c>
      <c r="B58" s="3" t="n">
        <v>138000000</v>
      </c>
      <c r="C58" s="3" t="n">
        <v>157000000</v>
      </c>
      <c r="D58" s="3" t="n"/>
      <c r="E58" s="3" t="n">
        <v>100000000</v>
      </c>
      <c r="F58" s="3" t="n">
        <v>198000000</v>
      </c>
    </row>
    <row r="59">
      <c r="A59" t="inlineStr">
        <is>
          <t>Net Income From Continuing Operations</t>
        </is>
      </c>
      <c r="B59" s="3" t="n">
        <v>23126000000</v>
      </c>
      <c r="C59" s="3" t="n">
        <v>5895000000</v>
      </c>
      <c r="D59" s="3" t="n">
        <v>14082000000</v>
      </c>
      <c r="E59" s="3" t="n">
        <v>11495000000</v>
      </c>
      <c r="F5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Free Cash Flow</t>
        </is>
      </c>
      <c r="B2" s="3" t="n">
        <v>10262000000</v>
      </c>
      <c r="C2" s="3" t="n">
        <v>8010000000</v>
      </c>
      <c r="D2" s="3" t="n">
        <v>7466000000</v>
      </c>
      <c r="E2" s="3" t="n">
        <v>7024000000</v>
      </c>
      <c r="F2" s="3" t="n">
        <v>6411000000</v>
      </c>
      <c r="G2" s="3" t="n"/>
      <c r="H2" s="3" t="n"/>
    </row>
    <row r="3">
      <c r="A3" t="inlineStr">
        <is>
          <t>Repurchase Of Capital Stock</t>
        </is>
      </c>
      <c r="B3" s="3" t="n">
        <v>-600000000</v>
      </c>
      <c r="C3" s="3" t="n">
        <v>-7850000000</v>
      </c>
      <c r="D3" s="3" t="n">
        <v>0</v>
      </c>
      <c r="E3" s="3" t="n">
        <v>-58000000</v>
      </c>
      <c r="F3" s="3" t="n">
        <v>-4216000000</v>
      </c>
      <c r="G3" s="3" t="n"/>
      <c r="H3" s="3" t="n"/>
    </row>
    <row r="4">
      <c r="A4" t="inlineStr">
        <is>
          <t>Repayment Of Debt</t>
        </is>
      </c>
      <c r="B4" s="3" t="n">
        <v>-1250000000</v>
      </c>
      <c r="C4" s="3" t="n">
        <v>-3650000000</v>
      </c>
      <c r="D4" s="3" t="n">
        <v>-3638000000</v>
      </c>
      <c r="E4" s="3" t="n">
        <v>-6750000000</v>
      </c>
      <c r="F4" s="3" t="n">
        <v>0</v>
      </c>
      <c r="G4" s="3" t="n"/>
      <c r="H4" s="3" t="n"/>
    </row>
    <row r="5">
      <c r="A5" t="inlineStr">
        <is>
          <t>Issuance Of Debt</t>
        </is>
      </c>
      <c r="B5" s="3" t="n">
        <v>0</v>
      </c>
      <c r="C5" s="3" t="n">
        <v>4474000000</v>
      </c>
      <c r="D5" s="3" t="n">
        <v>4483000000</v>
      </c>
      <c r="E5" s="3" t="n">
        <v>3587000000</v>
      </c>
      <c r="F5" s="3" t="n">
        <v>630000000</v>
      </c>
      <c r="G5" s="3" t="n"/>
      <c r="H5" s="3" t="n"/>
    </row>
    <row r="6">
      <c r="A6" t="inlineStr">
        <is>
          <t>Issuance Of Capital Stock</t>
        </is>
      </c>
      <c r="B6" s="3" t="n"/>
      <c r="C6" s="3" t="n"/>
      <c r="D6" s="3" t="n">
        <v>103000000</v>
      </c>
      <c r="E6" s="3" t="n">
        <v>0</v>
      </c>
      <c r="F6" s="3" t="n"/>
      <c r="G6" s="3" t="n"/>
      <c r="H6" s="3" t="n">
        <v>126000000</v>
      </c>
    </row>
    <row r="7">
      <c r="A7" t="inlineStr">
        <is>
          <t>Capital Expenditure</t>
        </is>
      </c>
      <c r="B7" s="3" t="n">
        <v>-231000000</v>
      </c>
      <c r="C7" s="3" t="n">
        <v>-250000000</v>
      </c>
      <c r="D7" s="3" t="n">
        <v>-237000000</v>
      </c>
      <c r="E7" s="3" t="n">
        <v>-142000000</v>
      </c>
      <c r="F7" s="3" t="n">
        <v>-144000000</v>
      </c>
      <c r="G7" s="3" t="n"/>
      <c r="H7" s="3" t="n"/>
    </row>
    <row r="8">
      <c r="A8" t="inlineStr">
        <is>
          <t>Interest Paid Supplemental Data</t>
        </is>
      </c>
      <c r="B8" s="3" t="n">
        <v>695000000</v>
      </c>
      <c r="C8" s="3" t="n">
        <v>619000000</v>
      </c>
      <c r="D8" s="3" t="n">
        <v>699000000</v>
      </c>
      <c r="E8" s="3" t="n">
        <v>602000000</v>
      </c>
      <c r="F8" s="3" t="n">
        <v>700000000</v>
      </c>
      <c r="G8" s="3" t="n"/>
      <c r="H8" s="3" t="n"/>
    </row>
    <row r="9">
      <c r="A9" t="inlineStr">
        <is>
          <t>Income Tax Paid Supplemental Data</t>
        </is>
      </c>
      <c r="B9" s="3" t="n">
        <v>1099000000</v>
      </c>
      <c r="C9" s="3" t="n">
        <v>782000000</v>
      </c>
      <c r="D9" s="3" t="n">
        <v>755000000</v>
      </c>
      <c r="E9" s="3" t="n">
        <v>822000000</v>
      </c>
      <c r="F9" s="3" t="n">
        <v>608000000</v>
      </c>
      <c r="G9" s="3" t="n"/>
      <c r="H9" s="3" t="n"/>
    </row>
    <row r="10">
      <c r="A10" t="inlineStr">
        <is>
          <t>End Cash Position</t>
        </is>
      </c>
      <c r="B10" s="3" t="n">
        <v>19628000000</v>
      </c>
      <c r="C10" s="3" t="n">
        <v>14174000000</v>
      </c>
      <c r="D10" s="3" t="n">
        <v>16178000000</v>
      </c>
      <c r="E10" s="3" t="n">
        <v>10718000000</v>
      </c>
      <c r="F10" s="3" t="n">
        <v>9472000000</v>
      </c>
      <c r="G10" s="3" t="n"/>
      <c r="H10" s="3" t="n"/>
    </row>
    <row r="11">
      <c r="A11" t="inlineStr">
        <is>
          <t>Beginning Cash Position</t>
        </is>
      </c>
      <c r="B11" s="3" t="n">
        <v>14174000000</v>
      </c>
      <c r="C11" s="3" t="n">
        <v>16178000000</v>
      </c>
      <c r="D11" s="3" t="n">
        <v>10718000000</v>
      </c>
      <c r="E11" s="3" t="n">
        <v>9472000000</v>
      </c>
      <c r="F11" s="3" t="n">
        <v>9307000000</v>
      </c>
      <c r="G11" s="3" t="n"/>
      <c r="H11" s="3" t="n"/>
    </row>
    <row r="12">
      <c r="A12" t="inlineStr">
        <is>
          <t>Changes In Cash</t>
        </is>
      </c>
      <c r="B12" s="3" t="n">
        <v>5454000000</v>
      </c>
      <c r="C12" s="3" t="n">
        <v>-2004000000</v>
      </c>
      <c r="D12" s="3" t="n">
        <v>5460000000</v>
      </c>
      <c r="E12" s="3" t="n">
        <v>1246000000</v>
      </c>
      <c r="F12" s="3" t="n">
        <v>165000000</v>
      </c>
      <c r="G12" s="3" t="n"/>
      <c r="H12" s="3" t="n"/>
    </row>
    <row r="13">
      <c r="A13" t="inlineStr">
        <is>
          <t>Financing Cash Flow</t>
        </is>
      </c>
      <c r="B13" s="3" t="n">
        <v>-4831000000</v>
      </c>
      <c r="C13" s="3" t="n">
        <v>-10149000000</v>
      </c>
      <c r="D13" s="3" t="n">
        <v>-1876000000</v>
      </c>
      <c r="E13" s="3" t="n">
        <v>-6014000000</v>
      </c>
      <c r="F13" s="3" t="n">
        <v>-6257000000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-4831000000</v>
      </c>
      <c r="C14" s="3" t="n">
        <v>-10149000000</v>
      </c>
      <c r="D14" s="3" t="n">
        <v>-1876000000</v>
      </c>
      <c r="E14" s="3" t="n">
        <v>-6014000000</v>
      </c>
      <c r="F14" s="3" t="n">
        <v>-6257000000</v>
      </c>
      <c r="G14" s="3" t="n"/>
      <c r="H14" s="3" t="n"/>
    </row>
    <row r="15">
      <c r="A15" t="inlineStr">
        <is>
          <t>Net Other Financing Charges</t>
        </is>
      </c>
      <c r="B15" s="3" t="n">
        <v>-2000000</v>
      </c>
      <c r="C15" s="3" t="n">
        <v>-37000000</v>
      </c>
      <c r="D15" s="3" t="n">
        <v>-27000000</v>
      </c>
      <c r="E15" s="3" t="n">
        <v>-7000000</v>
      </c>
      <c r="F15" s="3" t="n">
        <v>-4000000</v>
      </c>
      <c r="G15" s="3" t="n"/>
      <c r="H15" s="3" t="n"/>
    </row>
    <row r="16">
      <c r="A16" t="inlineStr">
        <is>
          <t>Cash Dividends Paid</t>
        </is>
      </c>
      <c r="B16" s="3" t="n">
        <v>-3092000000</v>
      </c>
      <c r="C16" s="3" t="n">
        <v>-3086000000</v>
      </c>
      <c r="D16" s="3" t="n">
        <v>-2797000000</v>
      </c>
      <c r="E16" s="3" t="n">
        <v>-2786000000</v>
      </c>
      <c r="F16" s="3" t="n">
        <v>-2785000000</v>
      </c>
      <c r="G16" s="3" t="n"/>
      <c r="H16" s="3" t="n"/>
    </row>
    <row r="17">
      <c r="A17" t="inlineStr">
        <is>
          <t>Common Stock Dividend Paid</t>
        </is>
      </c>
      <c r="B17" s="3" t="n">
        <v>-3092000000</v>
      </c>
      <c r="C17" s="3" t="n">
        <v>-3086000000</v>
      </c>
      <c r="D17" s="3" t="n">
        <v>-2797000000</v>
      </c>
      <c r="E17" s="3" t="n">
        <v>-2786000000</v>
      </c>
      <c r="F17" s="3" t="n">
        <v>-2785000000</v>
      </c>
      <c r="G17" s="3" t="n"/>
      <c r="H17" s="3" t="n"/>
    </row>
    <row r="18">
      <c r="A18" t="inlineStr">
        <is>
          <t>Net Common Stock Issuance</t>
        </is>
      </c>
      <c r="B18" s="3" t="n">
        <v>-487000000</v>
      </c>
      <c r="C18" s="3" t="n">
        <v>-7850000000</v>
      </c>
      <c r="D18" s="3" t="n">
        <v>103000000</v>
      </c>
      <c r="E18" s="3" t="n">
        <v>-58000000</v>
      </c>
      <c r="F18" s="3" t="n">
        <v>-4098000000</v>
      </c>
      <c r="G18" s="3" t="n"/>
      <c r="H18" s="3" t="n"/>
    </row>
    <row r="19">
      <c r="A19" t="inlineStr">
        <is>
          <t>Common Stock Payments</t>
        </is>
      </c>
      <c r="B19" s="3" t="n">
        <v>-600000000</v>
      </c>
      <c r="C19" s="3" t="n">
        <v>-7850000000</v>
      </c>
      <c r="D19" s="3" t="n">
        <v>0</v>
      </c>
      <c r="E19" s="3" t="n">
        <v>-58000000</v>
      </c>
      <c r="F19" s="3" t="n">
        <v>-4216000000</v>
      </c>
      <c r="G19" s="3" t="n"/>
      <c r="H19" s="3" t="n"/>
    </row>
    <row r="20">
      <c r="A20" t="inlineStr">
        <is>
          <t>Common Stock Issuance</t>
        </is>
      </c>
      <c r="B20" s="3" t="n"/>
      <c r="C20" s="3" t="n"/>
      <c r="D20" s="3" t="n">
        <v>103000000</v>
      </c>
      <c r="E20" s="3" t="n">
        <v>0</v>
      </c>
      <c r="F20" s="3" t="n"/>
      <c r="G20" s="3" t="n"/>
      <c r="H20" s="3" t="n">
        <v>126000000</v>
      </c>
    </row>
    <row r="21">
      <c r="A21" t="inlineStr">
        <is>
          <t>Net Issuance Payments Of Debt</t>
        </is>
      </c>
      <c r="B21" s="3" t="n">
        <v>-1250000000</v>
      </c>
      <c r="C21" s="3" t="n">
        <v>824000000</v>
      </c>
      <c r="D21" s="3" t="n">
        <v>845000000</v>
      </c>
      <c r="E21" s="3" t="n">
        <v>-3163000000</v>
      </c>
      <c r="F21" s="3" t="n">
        <v>630000000</v>
      </c>
      <c r="G21" s="3" t="n"/>
      <c r="H21" s="3" t="n"/>
    </row>
    <row r="22">
      <c r="A22" t="inlineStr">
        <is>
          <t>Net Short Term Debt Issuance</t>
        </is>
      </c>
      <c r="B22" s="3" t="n">
        <v>0</v>
      </c>
      <c r="C22" s="3" t="n">
        <v>0</v>
      </c>
      <c r="D22" s="3" t="n"/>
      <c r="E22" s="3" t="n">
        <v>-3373000000</v>
      </c>
      <c r="F22" s="3" t="n">
        <v>-119000000</v>
      </c>
      <c r="G22" s="3" t="n">
        <v>3980000000</v>
      </c>
      <c r="H22" s="3" t="n"/>
    </row>
    <row r="23">
      <c r="A23" t="inlineStr">
        <is>
          <t>Short Term Debt Issuance</t>
        </is>
      </c>
      <c r="B23" s="3" t="n">
        <v>0</v>
      </c>
      <c r="C23" s="3" t="n">
        <v>0</v>
      </c>
      <c r="D23" s="3" t="n"/>
      <c r="E23" s="3" t="n">
        <v>-3373000000</v>
      </c>
      <c r="F23" s="3" t="n">
        <v>-119000000</v>
      </c>
      <c r="G23" s="3" t="n">
        <v>3980000000</v>
      </c>
      <c r="H23" s="3" t="n"/>
    </row>
    <row r="24">
      <c r="A24" t="inlineStr">
        <is>
          <t>Net Long Term Debt Issuance</t>
        </is>
      </c>
      <c r="B24" s="3" t="n">
        <v>-1250000000</v>
      </c>
      <c r="C24" s="3" t="n">
        <v>824000000</v>
      </c>
      <c r="D24" s="3" t="n">
        <v>1333000000</v>
      </c>
      <c r="E24" s="3" t="n">
        <v>210000000</v>
      </c>
      <c r="F24" s="3" t="n">
        <v>749000000</v>
      </c>
      <c r="G24" s="3" t="n"/>
      <c r="H24" s="3" t="n"/>
    </row>
    <row r="25">
      <c r="A25" t="inlineStr">
        <is>
          <t>Long Term Debt Payments</t>
        </is>
      </c>
      <c r="B25" s="3" t="n">
        <v>-1250000000</v>
      </c>
      <c r="C25" s="3" t="n">
        <v>-3650000000</v>
      </c>
      <c r="D25" s="3" t="n">
        <v>-3638000000</v>
      </c>
      <c r="E25" s="3" t="n">
        <v>-6750000000</v>
      </c>
      <c r="F25" s="3" t="n">
        <v>0</v>
      </c>
      <c r="G25" s="3" t="n"/>
      <c r="H25" s="3" t="n"/>
    </row>
    <row r="26">
      <c r="A26" t="inlineStr">
        <is>
          <t>Long Term Debt Issuance</t>
        </is>
      </c>
      <c r="B26" s="3" t="n">
        <v>0</v>
      </c>
      <c r="C26" s="3" t="n">
        <v>4474000000</v>
      </c>
      <c r="D26" s="3" t="n">
        <v>4971000000</v>
      </c>
      <c r="E26" s="3" t="n">
        <v>6960000000</v>
      </c>
      <c r="F26" s="3" t="n">
        <v>749000000</v>
      </c>
      <c r="G26" s="3" t="n"/>
      <c r="H26" s="3" t="n"/>
    </row>
    <row r="27">
      <c r="A27" t="inlineStr">
        <is>
          <t>Investing Cash Flow</t>
        </is>
      </c>
      <c r="B27" s="3" t="n">
        <v>-208000000</v>
      </c>
      <c r="C27" s="3" t="n">
        <v>-115000000</v>
      </c>
      <c r="D27" s="3" t="n">
        <v>-367000000</v>
      </c>
      <c r="E27" s="3" t="n">
        <v>94000000</v>
      </c>
      <c r="F27" s="3" t="n">
        <v>-133000000</v>
      </c>
      <c r="G27" s="3" t="n"/>
      <c r="H27" s="3" t="n"/>
    </row>
    <row r="28">
      <c r="A28" t="inlineStr">
        <is>
          <t>Cash Flow From Continuing Investing Activities</t>
        </is>
      </c>
      <c r="B28" s="3" t="n">
        <v>-208000000</v>
      </c>
      <c r="C28" s="3" t="n">
        <v>-115000000</v>
      </c>
      <c r="D28" s="3" t="n">
        <v>-367000000</v>
      </c>
      <c r="E28" s="3" t="n">
        <v>94000000</v>
      </c>
      <c r="F28" s="3" t="n">
        <v>-133000000</v>
      </c>
      <c r="G28" s="3" t="n"/>
      <c r="H28" s="3" t="n"/>
    </row>
    <row r="29">
      <c r="A29" t="inlineStr">
        <is>
          <t>Net Other Investing Changes</t>
        </is>
      </c>
      <c r="B29" s="3" t="n">
        <v>7000000</v>
      </c>
      <c r="C29" s="3" t="n">
        <v>5000000</v>
      </c>
      <c r="D29" s="3" t="n">
        <v>105000000</v>
      </c>
      <c r="E29" s="3" t="n">
        <v>-16000000</v>
      </c>
      <c r="F29" s="3" t="n">
        <v>-10000000</v>
      </c>
      <c r="G29" s="3" t="n"/>
      <c r="H29" s="3" t="n"/>
    </row>
    <row r="30">
      <c r="A30" t="inlineStr">
        <is>
          <t>Net Investment Purchase And Sale</t>
        </is>
      </c>
      <c r="B30" s="3" t="n">
        <v>16000000</v>
      </c>
      <c r="C30" s="3" t="n">
        <v>130000000</v>
      </c>
      <c r="D30" s="3" t="n">
        <v>-235000000</v>
      </c>
      <c r="E30" s="3" t="n">
        <v>-48000000</v>
      </c>
      <c r="F30" s="3" t="n">
        <v>21000000</v>
      </c>
      <c r="G30" s="3" t="n"/>
      <c r="H30" s="3" t="n"/>
    </row>
    <row r="31">
      <c r="A31" t="inlineStr">
        <is>
          <t>Sale Of Investment</t>
        </is>
      </c>
      <c r="B31" s="3" t="n">
        <v>39000000</v>
      </c>
      <c r="C31" s="3" t="n">
        <v>244000000</v>
      </c>
      <c r="D31" s="3" t="n">
        <v>101000000</v>
      </c>
      <c r="E31" s="3" t="n">
        <v>51000000</v>
      </c>
      <c r="F31" s="3" t="n">
        <v>78000000</v>
      </c>
      <c r="G31" s="3" t="n"/>
      <c r="H31" s="3" t="n"/>
    </row>
    <row r="32">
      <c r="A32" t="inlineStr">
        <is>
          <t>Purchase Of Investment</t>
        </is>
      </c>
      <c r="B32" s="3" t="n">
        <v>-23000000</v>
      </c>
      <c r="C32" s="3" t="n">
        <v>-114000000</v>
      </c>
      <c r="D32" s="3" t="n">
        <v>-336000000</v>
      </c>
      <c r="E32" s="3" t="n">
        <v>-99000000</v>
      </c>
      <c r="F32" s="3" t="n">
        <v>-57000000</v>
      </c>
      <c r="G32" s="3" t="n"/>
      <c r="H32" s="3" t="n"/>
    </row>
    <row r="33">
      <c r="A33" t="inlineStr">
        <is>
          <t>Net Business Purchase And Sale</t>
        </is>
      </c>
      <c r="B33" s="3" t="n"/>
      <c r="C33" s="3" t="n"/>
      <c r="D33" s="3" t="n">
        <v>0</v>
      </c>
      <c r="E33" s="3" t="n">
        <v>300000000</v>
      </c>
      <c r="F33" s="3" t="n">
        <v>0</v>
      </c>
      <c r="G33" s="3" t="n">
        <v>0</v>
      </c>
      <c r="H33" s="3" t="n">
        <v>0</v>
      </c>
    </row>
    <row r="34">
      <c r="A34" t="inlineStr">
        <is>
          <t>Sale Of Business</t>
        </is>
      </c>
      <c r="B34" s="3" t="n"/>
      <c r="C34" s="3" t="n"/>
      <c r="D34" s="3" t="n">
        <v>0</v>
      </c>
      <c r="E34" s="3" t="n"/>
      <c r="F34" s="3" t="n"/>
      <c r="G34" s="3" t="n"/>
      <c r="H34" s="3" t="n">
        <v>0</v>
      </c>
    </row>
    <row r="35">
      <c r="A35" t="inlineStr">
        <is>
          <t>Purchase Of Business</t>
        </is>
      </c>
      <c r="B35" s="3" t="n"/>
      <c r="C35" s="3" t="n"/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t="inlineStr">
        <is>
          <t>Net PPE Purchase And Sale</t>
        </is>
      </c>
      <c r="B36" s="3" t="n">
        <v>-231000000</v>
      </c>
      <c r="C36" s="3" t="n">
        <v>-250000000</v>
      </c>
      <c r="D36" s="3" t="n">
        <v>-237000000</v>
      </c>
      <c r="E36" s="3" t="n">
        <v>-142000000</v>
      </c>
      <c r="F36" s="3" t="n">
        <v>-144000000</v>
      </c>
      <c r="G36" s="3" t="n"/>
      <c r="H36" s="3" t="n"/>
    </row>
    <row r="37">
      <c r="A37" t="inlineStr">
        <is>
          <t>Purchase Of PPE</t>
        </is>
      </c>
      <c r="B37" s="3" t="n">
        <v>-231000000</v>
      </c>
      <c r="C37" s="3" t="n">
        <v>-250000000</v>
      </c>
      <c r="D37" s="3" t="n">
        <v>-237000000</v>
      </c>
      <c r="E37" s="3" t="n">
        <v>-142000000</v>
      </c>
      <c r="F37" s="3" t="n">
        <v>-144000000</v>
      </c>
      <c r="G37" s="3" t="n"/>
      <c r="H37" s="3" t="n"/>
    </row>
    <row r="38">
      <c r="A38" t="inlineStr">
        <is>
          <t>Operating Cash Flow</t>
        </is>
      </c>
      <c r="B38" s="3" t="n">
        <v>10493000000</v>
      </c>
      <c r="C38" s="3" t="n">
        <v>8260000000</v>
      </c>
      <c r="D38" s="3" t="n">
        <v>7703000000</v>
      </c>
      <c r="E38" s="3" t="n">
        <v>7166000000</v>
      </c>
      <c r="F38" s="3" t="n">
        <v>6555000000</v>
      </c>
      <c r="G38" s="3" t="n"/>
      <c r="H38" s="3" t="n"/>
    </row>
    <row r="39">
      <c r="A39" t="inlineStr">
        <is>
          <t>Cash Flow From Continuing Operating Activities</t>
        </is>
      </c>
      <c r="B39" s="3" t="n">
        <v>10493000000</v>
      </c>
      <c r="C39" s="3" t="n">
        <v>8260000000</v>
      </c>
      <c r="D39" s="3" t="n">
        <v>7703000000</v>
      </c>
      <c r="E39" s="3" t="n">
        <v>7166000000</v>
      </c>
      <c r="F39" s="3" t="n">
        <v>6555000000</v>
      </c>
      <c r="G39" s="3" t="n"/>
      <c r="H39" s="3" t="n"/>
    </row>
    <row r="40">
      <c r="A40" t="inlineStr">
        <is>
          <t>Change In Working Capital</t>
        </is>
      </c>
      <c r="B40" s="3" t="n">
        <v>-2572000000</v>
      </c>
      <c r="C40" s="3" t="n">
        <v>-3105000000</v>
      </c>
      <c r="D40" s="3" t="n">
        <v>-2345000000</v>
      </c>
      <c r="E40" s="3" t="n">
        <v>-1894000000</v>
      </c>
      <c r="F40" s="3" t="n">
        <v>-1910000000</v>
      </c>
      <c r="G40" s="3" t="n"/>
      <c r="H40" s="3" t="n"/>
    </row>
    <row r="41">
      <c r="A41" t="inlineStr">
        <is>
          <t>Change In Other Working Capital</t>
        </is>
      </c>
      <c r="B41" s="3" t="n">
        <v>1015000000</v>
      </c>
      <c r="C41" s="3" t="n">
        <v>-1632000000</v>
      </c>
      <c r="D41" s="3" t="n">
        <v>-1722000000</v>
      </c>
      <c r="E41" s="3" t="n">
        <v>-930000000</v>
      </c>
      <c r="F41" s="3" t="n">
        <v>-598000000</v>
      </c>
      <c r="G41" s="3" t="n"/>
      <c r="H41" s="3" t="n"/>
    </row>
    <row r="42">
      <c r="A42" t="inlineStr">
        <is>
          <t>Change In Payables And Accrued Expense</t>
        </is>
      </c>
      <c r="B42" s="3" t="n">
        <v>149000000</v>
      </c>
      <c r="C42" s="3" t="n">
        <v>534000000</v>
      </c>
      <c r="D42" s="3" t="n">
        <v>118000000</v>
      </c>
      <c r="E42" s="3" t="n">
        <v>136000000</v>
      </c>
      <c r="F42" s="3" t="n">
        <v>-613000000</v>
      </c>
      <c r="G42" s="3" t="n"/>
      <c r="H42" s="3" t="n"/>
    </row>
    <row r="43">
      <c r="A43" t="inlineStr">
        <is>
          <t>Change In Payable</t>
        </is>
      </c>
      <c r="B43" s="3" t="n">
        <v>149000000</v>
      </c>
      <c r="C43" s="3" t="n">
        <v>534000000</v>
      </c>
      <c r="D43" s="3" t="n">
        <v>118000000</v>
      </c>
      <c r="E43" s="3" t="n">
        <v>136000000</v>
      </c>
      <c r="F43" s="3" t="n">
        <v>-613000000</v>
      </c>
      <c r="G43" s="3" t="n"/>
      <c r="H43" s="3" t="n"/>
    </row>
    <row r="44">
      <c r="A44" t="inlineStr">
        <is>
          <t>Change In Account Payable</t>
        </is>
      </c>
      <c r="B44" s="3" t="n">
        <v>149000000</v>
      </c>
      <c r="C44" s="3" t="n">
        <v>534000000</v>
      </c>
      <c r="D44" s="3" t="n">
        <v>118000000</v>
      </c>
      <c r="E44" s="3" t="n">
        <v>136000000</v>
      </c>
      <c r="F44" s="3" t="n">
        <v>-613000000</v>
      </c>
      <c r="G44" s="3" t="n"/>
      <c r="H44" s="3" t="n"/>
    </row>
    <row r="45">
      <c r="A45" t="inlineStr">
        <is>
          <t>Change In Inventory</t>
        </is>
      </c>
      <c r="B45" s="3" t="n">
        <v>-1366000000</v>
      </c>
      <c r="C45" s="3" t="n">
        <v>-692000000</v>
      </c>
      <c r="D45" s="3" t="n">
        <v>-90000000</v>
      </c>
      <c r="E45" s="3" t="n">
        <v>-163000000</v>
      </c>
      <c r="F45" s="3" t="n">
        <v>-109000000</v>
      </c>
      <c r="G45" s="3" t="n"/>
      <c r="H45" s="3" t="n"/>
    </row>
    <row r="46">
      <c r="A46" t="inlineStr">
        <is>
          <t>Change In Receivables</t>
        </is>
      </c>
      <c r="B46" s="3" t="n">
        <v>-2370000000</v>
      </c>
      <c r="C46" s="3" t="n">
        <v>-1315000000</v>
      </c>
      <c r="D46" s="3" t="n">
        <v>-651000000</v>
      </c>
      <c r="E46" s="3" t="n">
        <v>-937000000</v>
      </c>
      <c r="F46" s="3" t="n">
        <v>-590000000</v>
      </c>
      <c r="G46" s="3" t="n"/>
      <c r="H46" s="3" t="n"/>
    </row>
    <row r="47">
      <c r="A47" t="inlineStr">
        <is>
          <t>Changes In Account Receivables</t>
        </is>
      </c>
      <c r="B47" s="3" t="n">
        <v>-2370000000</v>
      </c>
      <c r="C47" s="3" t="n">
        <v>-1315000000</v>
      </c>
      <c r="D47" s="3" t="n">
        <v>-651000000</v>
      </c>
      <c r="E47" s="3" t="n">
        <v>-937000000</v>
      </c>
      <c r="F47" s="3" t="n">
        <v>-590000000</v>
      </c>
      <c r="G47" s="3" t="n"/>
      <c r="H47" s="3" t="n"/>
    </row>
    <row r="48">
      <c r="A48" t="inlineStr">
        <is>
          <t>Other Non Cash Items</t>
        </is>
      </c>
      <c r="B48" s="3" t="n">
        <v>70000000</v>
      </c>
      <c r="C48" s="3" t="n">
        <v>87000000</v>
      </c>
      <c r="D48" s="3" t="n">
        <v>107000000</v>
      </c>
      <c r="E48" s="3" t="n">
        <v>59000000</v>
      </c>
      <c r="F48" s="3" t="n">
        <v>134000000</v>
      </c>
      <c r="G48" s="3" t="n"/>
      <c r="H48" s="3" t="n"/>
    </row>
    <row r="49">
      <c r="A49" t="inlineStr">
        <is>
          <t>Stock Based Compensation</t>
        </is>
      </c>
      <c r="B49" s="3" t="n">
        <v>2092000000</v>
      </c>
      <c r="C49" s="3" t="n">
        <v>2176000000</v>
      </c>
      <c r="D49" s="3" t="n">
        <v>2195000000</v>
      </c>
      <c r="E49" s="3" t="n">
        <v>2322000000</v>
      </c>
      <c r="F49" s="3" t="n">
        <v>1771000000</v>
      </c>
      <c r="G49" s="3" t="n"/>
      <c r="H49" s="3" t="n"/>
    </row>
    <row r="50">
      <c r="A50" t="inlineStr">
        <is>
          <t>Deferred Tax</t>
        </is>
      </c>
      <c r="B50" s="3" t="n">
        <v>-603000000</v>
      </c>
      <c r="C50" s="3" t="n">
        <v>-455000000</v>
      </c>
      <c r="D50" s="3" t="n">
        <v>-3025000000</v>
      </c>
      <c r="E50" s="3" t="n">
        <v>284000000</v>
      </c>
      <c r="F50" s="3" t="n">
        <v>-571000000</v>
      </c>
      <c r="G50" s="3" t="n"/>
      <c r="H50" s="3" t="n"/>
    </row>
    <row r="51">
      <c r="A51" t="inlineStr">
        <is>
          <t>Deferred Income Tax</t>
        </is>
      </c>
      <c r="B51" s="3" t="n">
        <v>-603000000</v>
      </c>
      <c r="C51" s="3" t="n">
        <v>-455000000</v>
      </c>
      <c r="D51" s="3" t="n">
        <v>-3025000000</v>
      </c>
      <c r="E51" s="3" t="n">
        <v>284000000</v>
      </c>
      <c r="F51" s="3" t="n">
        <v>-571000000</v>
      </c>
      <c r="G51" s="3" t="n"/>
      <c r="H51" s="3" t="n"/>
    </row>
    <row r="52">
      <c r="A52" t="inlineStr">
        <is>
          <t>Depreciation Amortization Depletion</t>
        </is>
      </c>
      <c r="B52" s="3" t="n">
        <v>2165000000</v>
      </c>
      <c r="C52" s="3" t="n">
        <v>2153000000</v>
      </c>
      <c r="D52" s="3" t="n">
        <v>2233000000</v>
      </c>
      <c r="E52" s="3" t="n">
        <v>2202000000</v>
      </c>
      <c r="F52" s="3" t="n">
        <v>2166000000</v>
      </c>
      <c r="G52" s="3" t="n"/>
      <c r="H52" s="3" t="n"/>
    </row>
    <row r="53">
      <c r="A53" t="inlineStr">
        <is>
          <t>Depreciation And Amortization</t>
        </is>
      </c>
      <c r="B53" s="3" t="n">
        <v>2165000000</v>
      </c>
      <c r="C53" s="3" t="n">
        <v>2153000000</v>
      </c>
      <c r="D53" s="3" t="n">
        <v>2233000000</v>
      </c>
      <c r="E53" s="3" t="n">
        <v>2202000000</v>
      </c>
      <c r="F53" s="3" t="n">
        <v>2166000000</v>
      </c>
      <c r="G53" s="3" t="n"/>
      <c r="H53" s="3" t="n"/>
    </row>
    <row r="54">
      <c r="A54" t="inlineStr">
        <is>
          <t>Amortization Cash Flow</t>
        </is>
      </c>
      <c r="B54" s="3" t="n">
        <v>2002000000</v>
      </c>
      <c r="C54" s="3" t="n">
        <v>2003000000</v>
      </c>
      <c r="D54" s="3" t="n">
        <v>2085000000</v>
      </c>
      <c r="E54" s="3" t="n">
        <v>2060000000</v>
      </c>
      <c r="F54" s="3" t="n">
        <v>2024000000</v>
      </c>
      <c r="G54" s="3" t="n"/>
      <c r="H54" s="3" t="n"/>
    </row>
    <row r="55">
      <c r="A55" t="inlineStr">
        <is>
          <t>Amortization Of Intangibles</t>
        </is>
      </c>
      <c r="B55" s="3" t="n">
        <v>2002000000</v>
      </c>
      <c r="C55" s="3" t="n">
        <v>2003000000</v>
      </c>
      <c r="D55" s="3" t="n">
        <v>2085000000</v>
      </c>
      <c r="E55" s="3" t="n">
        <v>2060000000</v>
      </c>
      <c r="F55" s="3" t="n">
        <v>2024000000</v>
      </c>
      <c r="G55" s="3" t="n"/>
      <c r="H55" s="3" t="n"/>
    </row>
    <row r="56">
      <c r="A56" t="inlineStr">
        <is>
          <t>Depreciation</t>
        </is>
      </c>
      <c r="B56" s="3" t="n">
        <v>163000000</v>
      </c>
      <c r="C56" s="3" t="n">
        <v>150000000</v>
      </c>
      <c r="D56" s="3" t="n">
        <v>148000000</v>
      </c>
      <c r="E56" s="3" t="n">
        <v>142000000</v>
      </c>
      <c r="F56" s="3" t="n">
        <v>142000000</v>
      </c>
      <c r="G56" s="3" t="n"/>
      <c r="H56" s="3" t="n"/>
    </row>
    <row r="57">
      <c r="A57" t="inlineStr">
        <is>
          <t>Operating Gains Losses</t>
        </is>
      </c>
      <c r="B57" s="3" t="n">
        <v>31000000</v>
      </c>
      <c r="C57" s="3" t="n">
        <v>55000000</v>
      </c>
      <c r="D57" s="3" t="n">
        <v>20000000</v>
      </c>
      <c r="E57" s="3" t="n">
        <v>53000000</v>
      </c>
      <c r="F57" s="3" t="n">
        <v>0</v>
      </c>
      <c r="G57" s="3" t="n"/>
      <c r="H57" s="3" t="n"/>
    </row>
    <row r="58">
      <c r="A58" t="inlineStr">
        <is>
          <t>Net Income From Continuing Operations</t>
        </is>
      </c>
      <c r="B58" s="3" t="n">
        <v>9310000000</v>
      </c>
      <c r="C58" s="3" t="n">
        <v>7349000000</v>
      </c>
      <c r="D58" s="3" t="n">
        <v>8518000000</v>
      </c>
      <c r="E58" s="3" t="n">
        <v>4140000000</v>
      </c>
      <c r="F58" s="3" t="n">
        <v>4965000000</v>
      </c>
      <c r="G58" s="3" t="n"/>
      <c r="H5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Gross margin</t>
        </is>
      </c>
      <c r="B2" t="inlineStr">
        <is>
          <t>GAAP (statement) ~68% vs yfinance info.grossMargins 76%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2026-06-20T19:50:01Z</dcterms:created>
  <dcterms:modified xsi:type="dcterms:W3CDTF">2026-06-20T19:50:03Z</dcterms:modified>
</cp:coreProperties>
</file>