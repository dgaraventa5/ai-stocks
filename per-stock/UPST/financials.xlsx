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Y Summary" sheetId="2" state="visible" r:id="rId2"/>
    <sheet xmlns:r="http://schemas.openxmlformats.org/officeDocument/2006/relationships" name="Income stmt (annual)" sheetId="3" state="visible" r:id="rId3"/>
    <sheet xmlns:r="http://schemas.openxmlformats.org/officeDocument/2006/relationships" name="Income stmt (quarterly)" sheetId="4" state="visible" r:id="rId4"/>
    <sheet xmlns:r="http://schemas.openxmlformats.org/officeDocument/2006/relationships" name="Balance sheet (annual)" sheetId="5" state="visible" r:id="rId5"/>
    <sheet xmlns:r="http://schemas.openxmlformats.org/officeDocument/2006/relationships" name="Balance sheet (quarterly)" sheetId="6" state="visible" r:id="rId6"/>
    <sheet xmlns:r="http://schemas.openxmlformats.org/officeDocument/2006/relationships" name="Cash flow (annual)" sheetId="7" state="visible" r:id="rId7"/>
    <sheet xmlns:r="http://schemas.openxmlformats.org/officeDocument/2006/relationships" name="Cash flow (quarterly)" sheetId="8" state="visible" r:id="rId8"/>
    <sheet xmlns:r="http://schemas.openxmlformats.org/officeDocument/2006/relationships"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UPST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Upstart Holdings,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Financial Services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Credit Services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2237736448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4008257792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46.76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6.726199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1.7402238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0.83043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0.07202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0.046919998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0.07940999999999999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0.423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457843008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2057602944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-305130000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95711569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23.38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2026-06-30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(annual)'!D36</f>
        <v/>
      </c>
      <c r="C3" s="3">
        <f>'Income stmt (annual)'!C36</f>
        <v/>
      </c>
      <c r="D3" s="3">
        <f>'Income stmt (annual)'!B36</f>
        <v/>
      </c>
      <c r="E3" s="3">
        <f>SUM('Income stmt (quarterly)'!B33:E33)</f>
        <v/>
      </c>
      <c r="F3" t="inlineStr">
        <is>
          <t>Total Revenue</t>
        </is>
      </c>
    </row>
    <row r="4">
      <c r="A4" t="inlineStr">
        <is>
          <t>Gross profit</t>
        </is>
      </c>
      <c r="B4" s="3" t="inlineStr"/>
      <c r="C4" s="3" t="inlineStr"/>
      <c r="D4" s="3" t="inlineStr"/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 t="inlineStr"/>
      <c r="C6" s="3" t="inlineStr"/>
      <c r="D6" s="3" t="inlineStr"/>
      <c r="E6" s="3" t="inlineStr"/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 t="inlineStr"/>
      <c r="C8" s="3" t="inlineStr"/>
      <c r="D8" s="3" t="inlineStr"/>
      <c r="E8" s="3" t="inlineStr"/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97096.39999999999</v>
      </c>
      <c r="C2" s="3" t="n">
        <v>6085590</v>
      </c>
      <c r="D2" s="3" t="n">
        <v>-3107790</v>
      </c>
      <c r="E2" s="3" t="n">
        <v>0</v>
      </c>
      <c r="F2" s="3" t="n"/>
    </row>
    <row r="3">
      <c r="A3" t="inlineStr">
        <is>
          <t>Tax Rate For Calcs</t>
        </is>
      </c>
      <c r="B3" s="3" t="n">
        <v>0.0134</v>
      </c>
      <c r="C3" s="3" t="n">
        <v>0.21</v>
      </c>
      <c r="D3" s="3" t="n">
        <v>0.21</v>
      </c>
      <c r="E3" s="3" t="n">
        <v>0.00375</v>
      </c>
      <c r="F3" s="3" t="n"/>
    </row>
    <row r="4">
      <c r="A4" t="inlineStr">
        <is>
          <t>Total Unusual Items</t>
        </is>
      </c>
      <c r="B4" s="3" t="n">
        <v>7246000</v>
      </c>
      <c r="C4" s="3" t="n">
        <v>28979000</v>
      </c>
      <c r="D4" s="3" t="n">
        <v>-14799000</v>
      </c>
      <c r="E4" s="3" t="n">
        <v>0</v>
      </c>
      <c r="F4" s="3" t="n"/>
    </row>
    <row r="5">
      <c r="A5" t="inlineStr">
        <is>
          <t>Total Unusual Items Excluding Goodwill</t>
        </is>
      </c>
      <c r="B5" s="3" t="n">
        <v>7246000</v>
      </c>
      <c r="C5" s="3" t="n">
        <v>28979000</v>
      </c>
      <c r="D5" s="3" t="n">
        <v>-14799000</v>
      </c>
      <c r="E5" s="3" t="n">
        <v>0</v>
      </c>
      <c r="F5" s="3" t="n"/>
    </row>
    <row r="6">
      <c r="A6" t="inlineStr">
        <is>
          <t>Net Income From Continuing Operation Net Minority Interest</t>
        </is>
      </c>
      <c r="B6" s="3" t="n">
        <v>53601000</v>
      </c>
      <c r="C6" s="3" t="n">
        <v>-128581000</v>
      </c>
      <c r="D6" s="3" t="n">
        <v>-240132000</v>
      </c>
      <c r="E6" s="3" t="n">
        <v>-108665000</v>
      </c>
      <c r="F6" s="3" t="n"/>
    </row>
    <row r="7">
      <c r="A7" t="inlineStr">
        <is>
          <t>Reconciled Depreciation</t>
        </is>
      </c>
      <c r="B7" s="3" t="n">
        <v>24835000</v>
      </c>
      <c r="C7" s="3" t="n">
        <v>20549000</v>
      </c>
      <c r="D7" s="3" t="n">
        <v>24903000</v>
      </c>
      <c r="E7" s="3" t="n">
        <v>13513000</v>
      </c>
      <c r="F7" s="3" t="n"/>
    </row>
    <row r="8">
      <c r="A8" t="inlineStr">
        <is>
          <t>Net Interest Income</t>
        </is>
      </c>
      <c r="B8" s="3" t="n">
        <v>152694000</v>
      </c>
      <c r="C8" s="3" t="n">
        <v>138233000</v>
      </c>
      <c r="D8" s="3" t="n">
        <v>129396000</v>
      </c>
      <c r="E8" s="3" t="n">
        <v>90053000</v>
      </c>
      <c r="F8" s="3" t="n"/>
    </row>
    <row r="9">
      <c r="A9" t="inlineStr">
        <is>
          <t>Interest Expense</t>
        </is>
      </c>
      <c r="B9" s="3" t="n">
        <v>51536000</v>
      </c>
      <c r="C9" s="3" t="n">
        <v>48127000</v>
      </c>
      <c r="D9" s="3" t="n">
        <v>39600000</v>
      </c>
      <c r="E9" s="3" t="n">
        <v>15527000</v>
      </c>
      <c r="F9" s="3" t="n"/>
    </row>
    <row r="10">
      <c r="A10" t="inlineStr">
        <is>
          <t>Interest Income</t>
        </is>
      </c>
      <c r="B10" s="3" t="n">
        <v>204230000</v>
      </c>
      <c r="C10" s="3" t="n">
        <v>186360000</v>
      </c>
      <c r="D10" s="3" t="n">
        <v>168996000</v>
      </c>
      <c r="E10" s="3" t="n">
        <v>105580000</v>
      </c>
      <c r="F10" s="3" t="n"/>
    </row>
    <row r="11">
      <c r="A11" t="inlineStr">
        <is>
          <t>Normalized Income</t>
        </is>
      </c>
      <c r="B11" s="3" t="n">
        <v>46452096.4</v>
      </c>
      <c r="C11" s="3" t="n">
        <v>-151474410</v>
      </c>
      <c r="D11" s="3" t="n">
        <v>-228440790</v>
      </c>
      <c r="E11" s="3" t="n">
        <v>-108665000</v>
      </c>
      <c r="F11" s="3" t="n"/>
    </row>
    <row r="12">
      <c r="A12" t="inlineStr">
        <is>
          <t>Net Income From Continuing And Discontinued Operation</t>
        </is>
      </c>
      <c r="B12" s="3" t="n">
        <v>53601000</v>
      </c>
      <c r="C12" s="3" t="n">
        <v>-128581000</v>
      </c>
      <c r="D12" s="3" t="n">
        <v>-240132000</v>
      </c>
      <c r="E12" s="3" t="n">
        <v>-108665000</v>
      </c>
      <c r="F12" s="3" t="n"/>
    </row>
    <row r="13">
      <c r="A13" t="inlineStr">
        <is>
          <t>Diluted Average Shares</t>
        </is>
      </c>
      <c r="B13" s="3" t="n">
        <v>107492735</v>
      </c>
      <c r="C13" s="3" t="n">
        <v>89450038</v>
      </c>
      <c r="D13" s="3" t="n">
        <v>83765896</v>
      </c>
      <c r="E13" s="3" t="n">
        <v>82771268</v>
      </c>
      <c r="F13" s="3" t="n"/>
    </row>
    <row r="14">
      <c r="A14" t="inlineStr">
        <is>
          <t>Basic Average Shares</t>
        </is>
      </c>
      <c r="B14" s="3" t="n">
        <v>96030558</v>
      </c>
      <c r="C14" s="3" t="n">
        <v>89450038</v>
      </c>
      <c r="D14" s="3" t="n">
        <v>83765896</v>
      </c>
      <c r="E14" s="3" t="n">
        <v>82771268</v>
      </c>
      <c r="F14" s="3" t="n"/>
    </row>
    <row r="15">
      <c r="A15" t="inlineStr">
        <is>
          <t>Diluted EPS</t>
        </is>
      </c>
      <c r="B15" s="3" t="n">
        <v>0.45</v>
      </c>
      <c r="C15" s="3" t="n">
        <v>-1.44</v>
      </c>
      <c r="D15" s="3" t="n">
        <v>-2.87</v>
      </c>
      <c r="E15" s="3" t="n">
        <v>-1.31</v>
      </c>
      <c r="F15" s="3" t="n"/>
    </row>
    <row r="16">
      <c r="A16" t="inlineStr">
        <is>
          <t>Basic EPS</t>
        </is>
      </c>
      <c r="B16" s="3" t="n">
        <v>0.5600000000000001</v>
      </c>
      <c r="C16" s="3" t="n">
        <v>-1.44</v>
      </c>
      <c r="D16" s="3" t="n">
        <v>-2.87</v>
      </c>
      <c r="E16" s="3" t="n">
        <v>-1.31</v>
      </c>
      <c r="F16" s="3" t="n"/>
    </row>
    <row r="17">
      <c r="A17" t="inlineStr">
        <is>
          <t>Diluted NI Availto Com Stockholders</t>
        </is>
      </c>
      <c r="B17" s="3" t="n">
        <v>48720000</v>
      </c>
      <c r="C17" s="3" t="n">
        <v>-128581000</v>
      </c>
      <c r="D17" s="3" t="n">
        <v>-240132000</v>
      </c>
      <c r="E17" s="3" t="n">
        <v>-108665000</v>
      </c>
      <c r="F17" s="3" t="n"/>
    </row>
    <row r="18">
      <c r="A18" t="inlineStr">
        <is>
          <t>Average Dilution Earnings</t>
        </is>
      </c>
      <c r="B18" s="3" t="n">
        <v>-4881000</v>
      </c>
      <c r="C18" s="3" t="n">
        <v>0</v>
      </c>
      <c r="D18" s="3" t="n">
        <v>0</v>
      </c>
      <c r="E18" s="3" t="n"/>
      <c r="F18" s="3" t="n"/>
    </row>
    <row r="19">
      <c r="A19" t="inlineStr">
        <is>
          <t>Net Income Common Stockholders</t>
        </is>
      </c>
      <c r="B19" s="3" t="n">
        <v>53601000</v>
      </c>
      <c r="C19" s="3" t="n">
        <v>-128581000</v>
      </c>
      <c r="D19" s="3" t="n">
        <v>-240132000</v>
      </c>
      <c r="E19" s="3" t="n">
        <v>-108665000</v>
      </c>
      <c r="F19" s="3" t="n"/>
    </row>
    <row r="20">
      <c r="A20" t="inlineStr">
        <is>
          <t>Net Income</t>
        </is>
      </c>
      <c r="B20" s="3" t="n">
        <v>53601000</v>
      </c>
      <c r="C20" s="3" t="n">
        <v>-128581000</v>
      </c>
      <c r="D20" s="3" t="n">
        <v>-240132000</v>
      </c>
      <c r="E20" s="3" t="n">
        <v>-108665000</v>
      </c>
      <c r="F20" s="3" t="n"/>
    </row>
    <row r="21">
      <c r="A21" t="inlineStr">
        <is>
          <t>Minority Interests</t>
        </is>
      </c>
      <c r="B21" s="3" t="n"/>
      <c r="C21" s="3" t="n"/>
      <c r="D21" s="3" t="n"/>
      <c r="E21" s="3" t="n">
        <v>0</v>
      </c>
      <c r="F21" s="3" t="n">
        <v>0</v>
      </c>
    </row>
    <row r="22">
      <c r="A22" t="inlineStr">
        <is>
          <t>Net Income Including Noncontrolling Interests</t>
        </is>
      </c>
      <c r="B22" s="3" t="n">
        <v>53601000</v>
      </c>
      <c r="C22" s="3" t="n">
        <v>-128581000</v>
      </c>
      <c r="D22" s="3" t="n">
        <v>-240132000</v>
      </c>
      <c r="E22" s="3" t="n">
        <v>-108665000</v>
      </c>
      <c r="F22" s="3" t="n"/>
    </row>
    <row r="23">
      <c r="A23" t="inlineStr">
        <is>
          <t>Net Income Continuous Operations</t>
        </is>
      </c>
      <c r="B23" s="3" t="n">
        <v>53601000</v>
      </c>
      <c r="C23" s="3" t="n">
        <v>-128581000</v>
      </c>
      <c r="D23" s="3" t="n">
        <v>-240132000</v>
      </c>
      <c r="E23" s="3" t="n">
        <v>-108665000</v>
      </c>
      <c r="F23" s="3" t="n"/>
    </row>
    <row r="24">
      <c r="A24" t="inlineStr">
        <is>
          <t>Tax Provision</t>
        </is>
      </c>
      <c r="B24" s="3" t="n">
        <v>728000</v>
      </c>
      <c r="C24" s="3" t="n">
        <v>185000</v>
      </c>
      <c r="D24" s="3" t="n">
        <v>107000</v>
      </c>
      <c r="E24" s="3" t="n">
        <v>-409000</v>
      </c>
      <c r="F24" s="3" t="n"/>
    </row>
    <row r="25">
      <c r="A25" t="inlineStr">
        <is>
          <t>Pretax Income</t>
        </is>
      </c>
      <c r="B25" s="3" t="n">
        <v>54329000</v>
      </c>
      <c r="C25" s="3" t="n">
        <v>-128396000</v>
      </c>
      <c r="D25" s="3" t="n">
        <v>-240025000</v>
      </c>
      <c r="E25" s="3" t="n">
        <v>-109074000</v>
      </c>
      <c r="F25" s="3" t="n"/>
    </row>
    <row r="26">
      <c r="A26" t="inlineStr">
        <is>
          <t>Other Non Operating Income Expenses</t>
        </is>
      </c>
      <c r="B26" s="3" t="n">
        <v>24324000</v>
      </c>
      <c r="C26" s="3" t="n">
        <v>18793000</v>
      </c>
      <c r="D26" s="3" t="n">
        <v>21206000</v>
      </c>
      <c r="E26" s="3" t="n">
        <v>9473000</v>
      </c>
      <c r="F26" s="3" t="n"/>
    </row>
    <row r="27">
      <c r="A27" t="inlineStr">
        <is>
          <t>Special Income Charges</t>
        </is>
      </c>
      <c r="B27" s="3" t="n">
        <v>7246000</v>
      </c>
      <c r="C27" s="3" t="n">
        <v>28979000</v>
      </c>
      <c r="D27" s="3" t="n">
        <v>-14799000</v>
      </c>
      <c r="E27" s="3" t="n">
        <v>0</v>
      </c>
      <c r="F27" s="3" t="n"/>
    </row>
    <row r="28">
      <c r="A28" t="inlineStr">
        <is>
          <t>Other Special Charges</t>
        </is>
      </c>
      <c r="B28" s="3" t="n"/>
      <c r="C28" s="3" t="n"/>
      <c r="D28" s="3" t="n">
        <v>-737000</v>
      </c>
      <c r="E28" s="3" t="n"/>
      <c r="F28" s="3" t="n"/>
    </row>
    <row r="29">
      <c r="A29" t="inlineStr">
        <is>
          <t>Restructuring And Mergern Acquisition</t>
        </is>
      </c>
      <c r="B29" s="3" t="n">
        <v>0</v>
      </c>
      <c r="C29" s="3" t="n">
        <v>4382000</v>
      </c>
      <c r="D29" s="3" t="n">
        <v>15536000</v>
      </c>
      <c r="E29" s="3" t="n">
        <v>0</v>
      </c>
      <c r="F29" s="3" t="n"/>
    </row>
    <row r="30">
      <c r="A30" t="inlineStr">
        <is>
          <t>Gain On Sale Of Security</t>
        </is>
      </c>
      <c r="B30" s="3" t="n">
        <v>-78720000</v>
      </c>
      <c r="C30" s="3" t="n">
        <v>-144865000</v>
      </c>
      <c r="D30" s="3" t="n">
        <v>-180971000</v>
      </c>
      <c r="E30" s="3" t="n">
        <v>-159565000</v>
      </c>
      <c r="F30" s="3" t="n"/>
    </row>
    <row r="31">
      <c r="A31" t="inlineStr">
        <is>
          <t>Selling General And Administration</t>
        </is>
      </c>
      <c r="B31" s="3" t="n">
        <v>743624000</v>
      </c>
      <c r="C31" s="3" t="n">
        <v>555731000</v>
      </c>
      <c r="D31" s="3" t="n">
        <v>489949000</v>
      </c>
      <c r="E31" s="3" t="n">
        <v>719060000</v>
      </c>
      <c r="F31" s="3" t="n"/>
    </row>
    <row r="32">
      <c r="A32" t="inlineStr">
        <is>
          <t>Selling And Marketing Expense</t>
        </is>
      </c>
      <c r="B32" s="3" t="n">
        <v>301507000</v>
      </c>
      <c r="C32" s="3" t="n">
        <v>166800000</v>
      </c>
      <c r="D32" s="3" t="n">
        <v>127143000</v>
      </c>
      <c r="E32" s="3" t="n">
        <v>345776000</v>
      </c>
      <c r="F32" s="3" t="n"/>
    </row>
    <row r="33">
      <c r="A33" t="inlineStr">
        <is>
          <t>General And Administrative Expense</t>
        </is>
      </c>
      <c r="B33" s="3" t="n">
        <v>442117000</v>
      </c>
      <c r="C33" s="3" t="n">
        <v>388931000</v>
      </c>
      <c r="D33" s="3" t="n">
        <v>362806000</v>
      </c>
      <c r="E33" s="3" t="n">
        <v>373284000</v>
      </c>
      <c r="F33" s="3" t="n"/>
    </row>
    <row r="34">
      <c r="A34" t="inlineStr">
        <is>
          <t>Other Gand A</t>
        </is>
      </c>
      <c r="B34" s="3" t="n">
        <v>253740000</v>
      </c>
      <c r="C34" s="3" t="n">
        <v>230935000</v>
      </c>
      <c r="D34" s="3" t="n">
        <v>212388000</v>
      </c>
      <c r="E34" s="3" t="n">
        <v>185290000</v>
      </c>
      <c r="F34" s="3" t="n"/>
    </row>
    <row r="35">
      <c r="A35" t="inlineStr">
        <is>
          <t>Salaries And Wages</t>
        </is>
      </c>
      <c r="B35" s="3" t="n">
        <v>188377000</v>
      </c>
      <c r="C35" s="3" t="n">
        <v>157996000</v>
      </c>
      <c r="D35" s="3" t="n">
        <v>150418000</v>
      </c>
      <c r="E35" s="3" t="n">
        <v>187994000</v>
      </c>
      <c r="F35" s="3" t="n"/>
    </row>
    <row r="36">
      <c r="A36" t="inlineStr">
        <is>
          <t>Total Revenue</t>
        </is>
      </c>
      <c r="B36" s="3" t="n">
        <v>1023985000</v>
      </c>
      <c r="C36" s="3" t="n">
        <v>628834000</v>
      </c>
      <c r="D36" s="3" t="n">
        <v>508119000</v>
      </c>
      <c r="E36" s="3" t="n">
        <v>837760000</v>
      </c>
      <c r="F36" s="3" t="n"/>
    </row>
    <row r="37">
      <c r="A37" t="inlineStr">
        <is>
          <t>Operating Revenue</t>
        </is>
      </c>
      <c r="B37" s="3" t="n">
        <v>1023985000</v>
      </c>
      <c r="C37" s="3" t="n">
        <v>628834000</v>
      </c>
      <c r="D37" s="3" t="n">
        <v>508119000</v>
      </c>
      <c r="E37" s="3" t="n">
        <v>837760000</v>
      </c>
      <c r="F37" s="3" t="n"/>
    </row>
    <row r="38">
      <c r="A38" t="inlineStr">
        <is>
          <t>Other Non Interest Expense</t>
        </is>
      </c>
      <c r="B38" s="3" t="n">
        <v>257602000</v>
      </c>
      <c r="C38" s="3" t="n">
        <v>249271000</v>
      </c>
      <c r="D38" s="3" t="n">
        <v>264602000</v>
      </c>
      <c r="E38" s="3" t="n">
        <v>237247000</v>
      </c>
      <c r="F3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</row>
    <row r="2">
      <c r="A2" t="inlineStr">
        <is>
          <t>Tax Effect Of Unusual Items</t>
        </is>
      </c>
      <c r="B2" s="3" t="n">
        <v>-135235.352416</v>
      </c>
      <c r="C2" s="3" t="n">
        <v>0</v>
      </c>
      <c r="D2" s="3" t="n">
        <v>0</v>
      </c>
      <c r="E2" s="3" t="n">
        <v>28259.4</v>
      </c>
      <c r="F2" s="3" t="n">
        <v>0</v>
      </c>
    </row>
    <row r="3">
      <c r="A3" t="inlineStr">
        <is>
          <t>Tax Rate For Calcs</t>
        </is>
      </c>
      <c r="B3" s="3" t="n">
        <v>0.035795</v>
      </c>
      <c r="C3" s="3" t="n">
        <v>0.4</v>
      </c>
      <c r="D3" s="3" t="n">
        <v>0.02745</v>
      </c>
      <c r="E3" s="3" t="n">
        <v>0.0039</v>
      </c>
      <c r="F3" s="3" t="n">
        <v>0.008663000000000001</v>
      </c>
    </row>
    <row r="4">
      <c r="A4" t="inlineStr">
        <is>
          <t>Total Unusual Items</t>
        </is>
      </c>
      <c r="B4" s="3" t="n">
        <v>-3778000</v>
      </c>
      <c r="C4" s="3" t="n"/>
      <c r="D4" s="3" t="n">
        <v>0</v>
      </c>
      <c r="E4" s="3" t="n">
        <v>7246000</v>
      </c>
      <c r="F4" s="3" t="n">
        <v>0</v>
      </c>
    </row>
    <row r="5">
      <c r="A5" t="inlineStr">
        <is>
          <t>Total Unusual Items Excluding Goodwill</t>
        </is>
      </c>
      <c r="B5" s="3" t="n">
        <v>-3778000</v>
      </c>
      <c r="C5" s="3" t="n"/>
      <c r="D5" s="3" t="n">
        <v>0</v>
      </c>
      <c r="E5" s="3" t="n">
        <v>7246000</v>
      </c>
      <c r="F5" s="3" t="n">
        <v>0</v>
      </c>
    </row>
    <row r="6">
      <c r="A6" t="inlineStr">
        <is>
          <t>Net Income From Continuing Operation Net Minority Interest</t>
        </is>
      </c>
      <c r="B6" s="3" t="n">
        <v>16539000</v>
      </c>
      <c r="C6" s="3" t="n">
        <v>-6646000</v>
      </c>
      <c r="D6" s="3" t="n">
        <v>18636000</v>
      </c>
      <c r="E6" s="3" t="n">
        <v>31805000</v>
      </c>
      <c r="F6" s="3" t="n">
        <v>5607000</v>
      </c>
    </row>
    <row r="7">
      <c r="A7" t="inlineStr">
        <is>
          <t>Reconciled Depreciation</t>
        </is>
      </c>
      <c r="B7" s="3" t="n">
        <v>7126000</v>
      </c>
      <c r="C7" s="3" t="n">
        <v>5858000</v>
      </c>
      <c r="D7" s="3" t="n">
        <v>6461000</v>
      </c>
      <c r="E7" s="3" t="n">
        <v>6131000</v>
      </c>
      <c r="F7" s="3" t="n">
        <v>5843000</v>
      </c>
    </row>
    <row r="8">
      <c r="A8" t="inlineStr">
        <is>
          <t>Net Interest Income</t>
        </is>
      </c>
      <c r="B8" s="3" t="n">
        <v>44520000</v>
      </c>
      <c r="C8" s="3" t="n">
        <v>45691000</v>
      </c>
      <c r="D8" s="3" t="n">
        <v>32886000</v>
      </c>
      <c r="E8" s="3" t="n">
        <v>48409000</v>
      </c>
      <c r="F8" s="3" t="n">
        <v>37851000</v>
      </c>
    </row>
    <row r="9">
      <c r="A9" t="inlineStr">
        <is>
          <t>Interest Expense</t>
        </is>
      </c>
      <c r="B9" s="3" t="n">
        <v>12531000</v>
      </c>
      <c r="C9" s="3" t="n">
        <v>10370000</v>
      </c>
      <c r="D9" s="3" t="n">
        <v>27950000</v>
      </c>
      <c r="E9" s="3" t="n">
        <v>8794000</v>
      </c>
      <c r="F9" s="3" t="n">
        <v>7772000</v>
      </c>
    </row>
    <row r="10">
      <c r="A10" t="inlineStr">
        <is>
          <t>Interest Income</t>
        </is>
      </c>
      <c r="B10" s="3" t="n">
        <v>57051000</v>
      </c>
      <c r="C10" s="3" t="n">
        <v>56061000</v>
      </c>
      <c r="D10" s="3" t="n">
        <v>60836000</v>
      </c>
      <c r="E10" s="3" t="n">
        <v>57203000</v>
      </c>
      <c r="F10" s="3" t="n">
        <v>45623000</v>
      </c>
    </row>
    <row r="11">
      <c r="A11" t="inlineStr">
        <is>
          <t>Normalized Income</t>
        </is>
      </c>
      <c r="B11" s="3" t="n">
        <v>20181764.647584</v>
      </c>
      <c r="C11" s="3" t="n">
        <v>-6646000</v>
      </c>
      <c r="D11" s="3" t="n">
        <v>18636000</v>
      </c>
      <c r="E11" s="3" t="n">
        <v>24587259.4</v>
      </c>
      <c r="F11" s="3" t="n">
        <v>5607000</v>
      </c>
    </row>
    <row r="12">
      <c r="A12" t="inlineStr">
        <is>
          <t>Net Income From Continuing And Discontinued Operation</t>
        </is>
      </c>
      <c r="B12" s="3" t="n">
        <v>16539000</v>
      </c>
      <c r="C12" s="3" t="n">
        <v>-6646000</v>
      </c>
      <c r="D12" s="3" t="n">
        <v>18636000</v>
      </c>
      <c r="E12" s="3" t="n">
        <v>31805000</v>
      </c>
      <c r="F12" s="3" t="n">
        <v>5607000</v>
      </c>
    </row>
    <row r="13">
      <c r="A13" t="inlineStr">
        <is>
          <t>Diluted Average Shares</t>
        </is>
      </c>
      <c r="B13" s="3" t="n">
        <v>109720846</v>
      </c>
      <c r="C13" s="3" t="n">
        <v>96901974</v>
      </c>
      <c r="D13" s="3" t="n">
        <v>112223816</v>
      </c>
      <c r="E13" s="3" t="n">
        <v>109724669</v>
      </c>
      <c r="F13" s="3" t="n">
        <v>102852284</v>
      </c>
    </row>
    <row r="14">
      <c r="A14" t="inlineStr">
        <is>
          <t>Basic Average Shares</t>
        </is>
      </c>
      <c r="B14" s="3" t="n">
        <v>96573751</v>
      </c>
      <c r="C14" s="3" t="n">
        <v>96901974</v>
      </c>
      <c r="D14" s="3" t="n">
        <v>97594902</v>
      </c>
      <c r="E14" s="3" t="n">
        <v>96682774</v>
      </c>
      <c r="F14" s="3" t="n">
        <v>95526364</v>
      </c>
    </row>
    <row r="15">
      <c r="A15" t="inlineStr">
        <is>
          <t>Diluted EPS</t>
        </is>
      </c>
      <c r="B15" s="3" t="n">
        <v>0.16</v>
      </c>
      <c r="C15" s="3" t="n">
        <v>-0.07000000000000001</v>
      </c>
      <c r="D15" s="3" t="n">
        <v>0.17</v>
      </c>
      <c r="E15" s="3" t="n">
        <v>0.23</v>
      </c>
      <c r="F15" s="3" t="n">
        <v>0.05</v>
      </c>
    </row>
    <row r="16">
      <c r="A16" t="inlineStr">
        <is>
          <t>Basic EPS</t>
        </is>
      </c>
      <c r="B16" s="3" t="n">
        <v>0.17</v>
      </c>
      <c r="C16" s="3" t="n">
        <v>-0.07000000000000001</v>
      </c>
      <c r="D16" s="3" t="n">
        <v>0.19</v>
      </c>
      <c r="E16" s="3" t="n">
        <v>0.33</v>
      </c>
      <c r="F16" s="3" t="n">
        <v>0.06</v>
      </c>
    </row>
    <row r="17">
      <c r="A17" t="inlineStr">
        <is>
          <t>Diluted NI Availto Com Stockholders</t>
        </is>
      </c>
      <c r="B17" s="3" t="n">
        <v>16539000</v>
      </c>
      <c r="C17" s="3" t="n">
        <v>-6646000</v>
      </c>
      <c r="D17" s="3" t="n">
        <v>13755000</v>
      </c>
      <c r="E17" s="3" t="n">
        <v>31805000</v>
      </c>
      <c r="F17" s="3" t="n">
        <v>5607000</v>
      </c>
    </row>
    <row r="18">
      <c r="A18" t="inlineStr">
        <is>
          <t>Net Income Common Stockholders</t>
        </is>
      </c>
      <c r="B18" s="3" t="n">
        <v>16539000</v>
      </c>
      <c r="C18" s="3" t="n">
        <v>-6646000</v>
      </c>
      <c r="D18" s="3" t="n">
        <v>18636000</v>
      </c>
      <c r="E18" s="3" t="n">
        <v>31805000</v>
      </c>
      <c r="F18" s="3" t="n">
        <v>5607000</v>
      </c>
    </row>
    <row r="19">
      <c r="A19" t="inlineStr">
        <is>
          <t>Net Income</t>
        </is>
      </c>
      <c r="B19" s="3" t="n">
        <v>16539000</v>
      </c>
      <c r="C19" s="3" t="n">
        <v>-6646000</v>
      </c>
      <c r="D19" s="3" t="n">
        <v>18636000</v>
      </c>
      <c r="E19" s="3" t="n">
        <v>31805000</v>
      </c>
      <c r="F19" s="3" t="n">
        <v>5607000</v>
      </c>
    </row>
    <row r="20">
      <c r="A20" t="inlineStr">
        <is>
          <t>Net Income Including Noncontrolling Interests</t>
        </is>
      </c>
      <c r="B20" s="3" t="n">
        <v>16539000</v>
      </c>
      <c r="C20" s="3" t="n">
        <v>-6646000</v>
      </c>
      <c r="D20" s="3" t="n">
        <v>18636000</v>
      </c>
      <c r="E20" s="3" t="n">
        <v>31805000</v>
      </c>
      <c r="F20" s="3" t="n">
        <v>5607000</v>
      </c>
    </row>
    <row r="21">
      <c r="A21" t="inlineStr">
        <is>
          <t>Net Income Continuous Operations</t>
        </is>
      </c>
      <c r="B21" s="3" t="n">
        <v>16539000</v>
      </c>
      <c r="C21" s="3" t="n">
        <v>-6646000</v>
      </c>
      <c r="D21" s="3" t="n">
        <v>18636000</v>
      </c>
      <c r="E21" s="3" t="n">
        <v>31805000</v>
      </c>
      <c r="F21" s="3" t="n">
        <v>5607000</v>
      </c>
    </row>
    <row r="22">
      <c r="A22" t="inlineStr">
        <is>
          <t>Tax Provision</t>
        </is>
      </c>
      <c r="B22" s="3" t="n">
        <v>614000</v>
      </c>
      <c r="C22" s="3" t="n">
        <v>84000</v>
      </c>
      <c r="D22" s="3" t="n">
        <v>526000</v>
      </c>
      <c r="E22" s="3" t="n">
        <v>124000</v>
      </c>
      <c r="F22" s="3" t="n">
        <v>49000</v>
      </c>
    </row>
    <row r="23">
      <c r="A23" t="inlineStr">
        <is>
          <t>Pretax Income</t>
        </is>
      </c>
      <c r="B23" s="3" t="n">
        <v>17153000</v>
      </c>
      <c r="C23" s="3" t="n">
        <v>-6562000</v>
      </c>
      <c r="D23" s="3" t="n">
        <v>19162000</v>
      </c>
      <c r="E23" s="3" t="n">
        <v>31929000</v>
      </c>
      <c r="F23" s="3" t="n">
        <v>5656000</v>
      </c>
    </row>
    <row r="24">
      <c r="A24" t="inlineStr">
        <is>
          <t>Other Non Operating Income Expenses</t>
        </is>
      </c>
      <c r="B24" s="3" t="n">
        <v>2514000</v>
      </c>
      <c r="C24" s="3" t="n">
        <v>956000</v>
      </c>
      <c r="D24" s="3" t="n">
        <v>20115000</v>
      </c>
      <c r="E24" s="3" t="n">
        <v>1017000</v>
      </c>
      <c r="F24" s="3" t="n">
        <v>1114000</v>
      </c>
    </row>
    <row r="25">
      <c r="A25" t="inlineStr">
        <is>
          <t>Special Income Charges</t>
        </is>
      </c>
      <c r="B25" s="3" t="n">
        <v>-3778000</v>
      </c>
      <c r="C25" s="3" t="n"/>
      <c r="D25" s="3" t="n">
        <v>0</v>
      </c>
      <c r="E25" s="3" t="n">
        <v>7246000</v>
      </c>
      <c r="F25" s="3" t="n">
        <v>0</v>
      </c>
    </row>
    <row r="26">
      <c r="A26" t="inlineStr">
        <is>
          <t>Restructuring And Mergern Acquisition</t>
        </is>
      </c>
      <c r="B26" s="3" t="n">
        <v>3778000</v>
      </c>
      <c r="C26" s="3" t="n"/>
      <c r="D26" s="3" t="n">
        <v>0</v>
      </c>
      <c r="E26" s="3" t="n">
        <v>0</v>
      </c>
      <c r="F26" s="3" t="n">
        <v>0</v>
      </c>
    </row>
    <row r="27">
      <c r="A27" t="inlineStr">
        <is>
          <t>Gain On Sale Of Security</t>
        </is>
      </c>
      <c r="B27" s="3" t="n">
        <v>-27831000</v>
      </c>
      <c r="C27" s="3" t="n">
        <v>-14540000</v>
      </c>
      <c r="D27" s="3" t="n">
        <v>-21888000</v>
      </c>
      <c r="E27" s="3" t="n">
        <v>-29843000</v>
      </c>
      <c r="F27" s="3" t="n">
        <v>-21337000</v>
      </c>
    </row>
    <row r="28">
      <c r="A28" t="inlineStr">
        <is>
          <t>Selling General And Administration</t>
        </is>
      </c>
      <c r="B28" s="3" t="n">
        <v>256209000</v>
      </c>
      <c r="C28" s="3" t="n">
        <v>235620000</v>
      </c>
      <c r="D28" s="3" t="n">
        <v>210258000</v>
      </c>
      <c r="E28" s="3" t="n">
        <v>189413000</v>
      </c>
      <c r="F28" s="3" t="n">
        <v>183924000</v>
      </c>
    </row>
    <row r="29">
      <c r="A29" t="inlineStr">
        <is>
          <t>Selling And Marketing Expense</t>
        </is>
      </c>
      <c r="B29" s="3" t="n">
        <v>114512000</v>
      </c>
      <c r="C29" s="3" t="n">
        <v>104455000</v>
      </c>
      <c r="D29" s="3" t="n">
        <v>90588000</v>
      </c>
      <c r="E29" s="3" t="n">
        <v>78844000</v>
      </c>
      <c r="F29" s="3" t="n">
        <v>73105000</v>
      </c>
    </row>
    <row r="30">
      <c r="A30" t="inlineStr">
        <is>
          <t>General And Administrative Expense</t>
        </is>
      </c>
      <c r="B30" s="3" t="n">
        <v>141697000</v>
      </c>
      <c r="C30" s="3" t="n">
        <v>131165000</v>
      </c>
      <c r="D30" s="3" t="n">
        <v>119670000</v>
      </c>
      <c r="E30" s="3" t="n">
        <v>110569000</v>
      </c>
      <c r="F30" s="3" t="n">
        <v>110819000</v>
      </c>
    </row>
    <row r="31">
      <c r="A31" t="inlineStr">
        <is>
          <t>Other Gand A</t>
        </is>
      </c>
      <c r="B31" s="3" t="n">
        <v>80378000</v>
      </c>
      <c r="C31" s="3" t="n">
        <v>76070000</v>
      </c>
      <c r="D31" s="3" t="n">
        <v>67830000</v>
      </c>
      <c r="E31" s="3" t="n">
        <v>60779000</v>
      </c>
      <c r="F31" s="3" t="n">
        <v>64573000</v>
      </c>
    </row>
    <row r="32">
      <c r="A32" t="inlineStr">
        <is>
          <t>Salaries And Wages</t>
        </is>
      </c>
      <c r="B32" s="3" t="n">
        <v>61319000</v>
      </c>
      <c r="C32" s="3" t="n">
        <v>55095000</v>
      </c>
      <c r="D32" s="3" t="n">
        <v>51840000</v>
      </c>
      <c r="E32" s="3" t="n">
        <v>49790000</v>
      </c>
      <c r="F32" s="3" t="n">
        <v>46246000</v>
      </c>
    </row>
    <row r="33">
      <c r="A33" t="inlineStr">
        <is>
          <t>Total Revenue</t>
        </is>
      </c>
      <c r="B33" s="3" t="n">
        <v>364708000</v>
      </c>
      <c r="C33" s="3" t="n">
        <v>308214000</v>
      </c>
      <c r="D33" s="3" t="n">
        <v>276218000</v>
      </c>
      <c r="E33" s="3" t="n">
        <v>277105000</v>
      </c>
      <c r="F33" s="3" t="n">
        <v>257291000</v>
      </c>
    </row>
    <row r="34">
      <c r="A34" t="inlineStr">
        <is>
          <t>Operating Revenue</t>
        </is>
      </c>
      <c r="B34" s="3" t="n">
        <v>364708000</v>
      </c>
      <c r="C34" s="3" t="n">
        <v>308214000</v>
      </c>
      <c r="D34" s="3" t="n">
        <v>276218000</v>
      </c>
      <c r="E34" s="3" t="n">
        <v>277105000</v>
      </c>
      <c r="F34" s="3" t="n">
        <v>257291000</v>
      </c>
    </row>
    <row r="35">
      <c r="A35" t="inlineStr">
        <is>
          <t>Other Non Interest Expense</t>
        </is>
      </c>
      <c r="B35" s="3" t="n">
        <v>90082000</v>
      </c>
      <c r="C35" s="3" t="n">
        <v>80112000</v>
      </c>
      <c r="D35" s="3" t="n">
        <v>66913000</v>
      </c>
      <c r="E35" s="3" t="n">
        <v>64026000</v>
      </c>
      <c r="F35" s="3" t="n">
        <v>68825000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98033361</v>
      </c>
      <c r="C3" s="3" t="n">
        <v>93469721</v>
      </c>
      <c r="D3" s="3" t="n">
        <v>86330303</v>
      </c>
      <c r="E3" s="3" t="n">
        <v>81259676</v>
      </c>
      <c r="F3" s="3" t="n"/>
    </row>
    <row r="4">
      <c r="A4" t="inlineStr">
        <is>
          <t>Share Issued</t>
        </is>
      </c>
      <c r="B4" s="3" t="n">
        <v>98033361</v>
      </c>
      <c r="C4" s="3" t="n">
        <v>93469721</v>
      </c>
      <c r="D4" s="3" t="n">
        <v>86330303</v>
      </c>
      <c r="E4" s="3" t="n">
        <v>81259676</v>
      </c>
      <c r="F4" s="3" t="n"/>
    </row>
    <row r="5">
      <c r="A5" t="inlineStr">
        <is>
          <t>Net Debt</t>
        </is>
      </c>
      <c r="B5" s="3" t="n">
        <v>1171700000</v>
      </c>
      <c r="C5" s="3" t="n">
        <v>608561000</v>
      </c>
      <c r="D5" s="3" t="n">
        <v>663100000</v>
      </c>
      <c r="E5" s="3" t="n">
        <v>553981000</v>
      </c>
      <c r="F5" s="3" t="n"/>
    </row>
    <row r="6">
      <c r="A6" t="inlineStr">
        <is>
          <t>Total Debt</t>
        </is>
      </c>
      <c r="B6" s="3" t="n">
        <v>1850294000</v>
      </c>
      <c r="C6" s="3" t="n">
        <v>1452446000</v>
      </c>
      <c r="D6" s="3" t="n">
        <v>1102748000</v>
      </c>
      <c r="E6" s="3" t="n">
        <v>1087181000</v>
      </c>
      <c r="F6" s="3" t="n"/>
    </row>
    <row r="7">
      <c r="A7" t="inlineStr">
        <is>
          <t>Tangible Book Value</t>
        </is>
      </c>
      <c r="B7" s="3" t="n">
        <v>723464000</v>
      </c>
      <c r="C7" s="3" t="n">
        <v>556725000</v>
      </c>
      <c r="D7" s="3" t="n">
        <v>556887000</v>
      </c>
      <c r="E7" s="3" t="n">
        <v>589742000</v>
      </c>
      <c r="F7" s="3" t="n"/>
    </row>
    <row r="8">
      <c r="A8" t="inlineStr">
        <is>
          <t>Invested Capital</t>
        </is>
      </c>
      <c r="B8" s="3" t="n">
        <v>2627960000</v>
      </c>
      <c r="C8" s="3" t="n">
        <v>2035386000</v>
      </c>
      <c r="D8" s="3" t="n">
        <v>1675729000</v>
      </c>
      <c r="E8" s="3" t="n">
        <v>1658829000</v>
      </c>
      <c r="F8" s="3" t="n"/>
    </row>
    <row r="9">
      <c r="A9" t="inlineStr">
        <is>
          <t>Net Tangible Assets</t>
        </is>
      </c>
      <c r="B9" s="3" t="n">
        <v>723464000</v>
      </c>
      <c r="C9" s="3" t="n">
        <v>556725000</v>
      </c>
      <c r="D9" s="3" t="n">
        <v>556887000</v>
      </c>
      <c r="E9" s="3" t="n">
        <v>589742000</v>
      </c>
      <c r="F9" s="3" t="n"/>
    </row>
    <row r="10">
      <c r="A10" t="inlineStr">
        <is>
          <t>Capital Lease Obligations</t>
        </is>
      </c>
      <c r="B10" s="3" t="n">
        <v>21149000</v>
      </c>
      <c r="C10" s="3" t="n">
        <v>50278000</v>
      </c>
      <c r="D10" s="3" t="n">
        <v>62324000</v>
      </c>
      <c r="E10" s="3" t="n">
        <v>100787000</v>
      </c>
      <c r="F10" s="3" t="n"/>
    </row>
    <row r="11">
      <c r="A11" t="inlineStr">
        <is>
          <t>Common Stock Equity</t>
        </is>
      </c>
      <c r="B11" s="3" t="n">
        <v>798815000</v>
      </c>
      <c r="C11" s="3" t="n">
        <v>633218000</v>
      </c>
      <c r="D11" s="3" t="n">
        <v>635305000</v>
      </c>
      <c r="E11" s="3" t="n">
        <v>672435000</v>
      </c>
      <c r="F11" s="3" t="n"/>
    </row>
    <row r="12">
      <c r="A12" t="inlineStr">
        <is>
          <t>Total Capitalization</t>
        </is>
      </c>
      <c r="B12" s="3" t="n">
        <v>2530627000</v>
      </c>
      <c r="C12" s="3" t="n">
        <v>1839781000</v>
      </c>
      <c r="D12" s="3" t="n">
        <v>1288304000</v>
      </c>
      <c r="E12" s="3" t="n">
        <v>1322377000</v>
      </c>
      <c r="F12" s="3" t="n"/>
    </row>
    <row r="13">
      <c r="A13" t="inlineStr">
        <is>
          <t>Total Equity Gross Minority Interest</t>
        </is>
      </c>
      <c r="B13" s="3" t="n">
        <v>798815000</v>
      </c>
      <c r="C13" s="3" t="n">
        <v>633218000</v>
      </c>
      <c r="D13" s="3" t="n">
        <v>635305000</v>
      </c>
      <c r="E13" s="3" t="n">
        <v>672435000</v>
      </c>
      <c r="F13" s="3" t="n"/>
    </row>
    <row r="14">
      <c r="A14" t="inlineStr">
        <is>
          <t>Stockholders Equity</t>
        </is>
      </c>
      <c r="B14" s="3" t="n">
        <v>798815000</v>
      </c>
      <c r="C14" s="3" t="n">
        <v>633218000</v>
      </c>
      <c r="D14" s="3" t="n">
        <v>635305000</v>
      </c>
      <c r="E14" s="3" t="n">
        <v>672435000</v>
      </c>
      <c r="F14" s="3" t="n"/>
    </row>
    <row r="15">
      <c r="A15" t="inlineStr">
        <is>
          <t>Retained Earnings</t>
        </is>
      </c>
      <c r="B15" s="3" t="n">
        <v>-357556000</v>
      </c>
      <c r="C15" s="3" t="n">
        <v>-411157000</v>
      </c>
      <c r="D15" s="3" t="n">
        <v>-282576000</v>
      </c>
      <c r="E15" s="3" t="n">
        <v>-42444000</v>
      </c>
      <c r="F15" s="3" t="n"/>
    </row>
    <row r="16">
      <c r="A16" t="inlineStr">
        <is>
          <t>Additional Paid In Capital</t>
        </is>
      </c>
      <c r="B16" s="3" t="n">
        <v>1156361000</v>
      </c>
      <c r="C16" s="3" t="n">
        <v>1044366000</v>
      </c>
      <c r="D16" s="3" t="n">
        <v>917872000</v>
      </c>
      <c r="E16" s="3" t="n">
        <v>714871000</v>
      </c>
      <c r="F16" s="3" t="n"/>
    </row>
    <row r="17">
      <c r="A17" t="inlineStr">
        <is>
          <t>Capital Stock</t>
        </is>
      </c>
      <c r="B17" s="3" t="n">
        <v>10000</v>
      </c>
      <c r="C17" s="3" t="n">
        <v>9000</v>
      </c>
      <c r="D17" s="3" t="n">
        <v>9000</v>
      </c>
      <c r="E17" s="3" t="n">
        <v>8000</v>
      </c>
      <c r="F17" s="3" t="n"/>
    </row>
    <row r="18">
      <c r="A18" t="inlineStr">
        <is>
          <t>Common Stock</t>
        </is>
      </c>
      <c r="B18" s="3" t="n">
        <v>10000</v>
      </c>
      <c r="C18" s="3" t="n">
        <v>9000</v>
      </c>
      <c r="D18" s="3" t="n">
        <v>9000</v>
      </c>
      <c r="E18" s="3" t="n">
        <v>8000</v>
      </c>
      <c r="F18" s="3" t="n"/>
    </row>
    <row r="19">
      <c r="A19" t="inlineStr">
        <is>
          <t>Total Liabilities Net Minority Interest</t>
        </is>
      </c>
      <c r="B19" s="3" t="n">
        <v>2175990000</v>
      </c>
      <c r="C19" s="3" t="n">
        <v>1733740000</v>
      </c>
      <c r="D19" s="3" t="n">
        <v>1381795000</v>
      </c>
      <c r="E19" s="3" t="n">
        <v>1263619000</v>
      </c>
      <c r="F19" s="3" t="n"/>
    </row>
    <row r="20">
      <c r="A20" t="inlineStr">
        <is>
          <t>Long Term Debt And Capital Lease Obligation</t>
        </is>
      </c>
      <c r="B20" s="3" t="n">
        <v>1752961000</v>
      </c>
      <c r="C20" s="3" t="n">
        <v>1256841000</v>
      </c>
      <c r="D20" s="3" t="n">
        <v>715323000</v>
      </c>
      <c r="E20" s="3" t="n">
        <v>750729000</v>
      </c>
      <c r="F20" s="3" t="n"/>
    </row>
    <row r="21">
      <c r="A21" t="inlineStr">
        <is>
          <t>Long Term Capital Lease Obligation</t>
        </is>
      </c>
      <c r="B21" s="3" t="n">
        <v>21149000</v>
      </c>
      <c r="C21" s="3" t="n">
        <v>50278000</v>
      </c>
      <c r="D21" s="3" t="n">
        <v>62324000</v>
      </c>
      <c r="E21" s="3" t="n">
        <v>100787000</v>
      </c>
      <c r="F21" s="3" t="n"/>
    </row>
    <row r="22">
      <c r="A22" t="inlineStr">
        <is>
          <t>Long Term Debt</t>
        </is>
      </c>
      <c r="B22" s="3" t="n">
        <v>1731812000</v>
      </c>
      <c r="C22" s="3" t="n">
        <v>1206563000</v>
      </c>
      <c r="D22" s="3" t="n">
        <v>652999000</v>
      </c>
      <c r="E22" s="3" t="n">
        <v>649942000</v>
      </c>
      <c r="F22" s="3" t="n"/>
    </row>
    <row r="23">
      <c r="A23" t="inlineStr">
        <is>
          <t>Current Debt And Capital Lease Obligation</t>
        </is>
      </c>
      <c r="B23" s="3" t="n">
        <v>97333000</v>
      </c>
      <c r="C23" s="3" t="n">
        <v>195605000</v>
      </c>
      <c r="D23" s="3" t="n">
        <v>387425000</v>
      </c>
      <c r="E23" s="3" t="n">
        <v>336452000</v>
      </c>
      <c r="F23" s="3" t="n"/>
    </row>
    <row r="24">
      <c r="A24" t="inlineStr">
        <is>
          <t>Current Debt</t>
        </is>
      </c>
      <c r="B24" s="3" t="n">
        <v>97333000</v>
      </c>
      <c r="C24" s="3" t="n">
        <v>195605000</v>
      </c>
      <c r="D24" s="3" t="n">
        <v>387425000</v>
      </c>
      <c r="E24" s="3" t="n">
        <v>336452000</v>
      </c>
      <c r="F24" s="3" t="n"/>
    </row>
    <row r="25">
      <c r="A25" t="inlineStr">
        <is>
          <t>Line Of Credit</t>
        </is>
      </c>
      <c r="B25" s="3" t="n">
        <v>97333000</v>
      </c>
      <c r="C25" s="3" t="n">
        <v>195605000</v>
      </c>
      <c r="D25" s="3" t="n">
        <v>387425000</v>
      </c>
      <c r="E25" s="3" t="n">
        <v>336452000</v>
      </c>
      <c r="F25" s="3" t="n"/>
    </row>
    <row r="26">
      <c r="A26" t="inlineStr">
        <is>
          <t>Payables And Accrued Expenses</t>
        </is>
      </c>
      <c r="B26" s="3" t="n">
        <v>303689000</v>
      </c>
      <c r="C26" s="3" t="n">
        <v>262170000</v>
      </c>
      <c r="D26" s="3" t="n">
        <v>265869000</v>
      </c>
      <c r="E26" s="3" t="n">
        <v>154823000</v>
      </c>
      <c r="F26" s="3" t="n"/>
    </row>
    <row r="27">
      <c r="A27" t="inlineStr">
        <is>
          <t>Current Accrued Expenses</t>
        </is>
      </c>
      <c r="B27" s="3" t="n">
        <v>117507000</v>
      </c>
      <c r="C27" s="3" t="n">
        <v>102295000</v>
      </c>
      <c r="D27" s="3" t="n">
        <v>58260000</v>
      </c>
      <c r="E27" s="3" t="n">
        <v>45331000</v>
      </c>
      <c r="F27" s="3" t="n"/>
    </row>
    <row r="28">
      <c r="A28" t="inlineStr">
        <is>
          <t>Payables</t>
        </is>
      </c>
      <c r="B28" s="3" t="n">
        <v>186182000</v>
      </c>
      <c r="C28" s="3" t="n">
        <v>159875000</v>
      </c>
      <c r="D28" s="3" t="n">
        <v>207609000</v>
      </c>
      <c r="E28" s="3" t="n">
        <v>109492000</v>
      </c>
      <c r="F28" s="3" t="n"/>
    </row>
    <row r="29">
      <c r="A29" t="inlineStr">
        <is>
          <t>Other Payable</t>
        </is>
      </c>
      <c r="B29" s="3" t="n">
        <v>154201000</v>
      </c>
      <c r="C29" s="3" t="n">
        <v>147494000</v>
      </c>
      <c r="D29" s="3" t="n">
        <v>194996000</v>
      </c>
      <c r="E29" s="3" t="n">
        <v>90777000</v>
      </c>
      <c r="F29" s="3" t="n"/>
    </row>
    <row r="30">
      <c r="A30" t="inlineStr">
        <is>
          <t>Accounts Payable</t>
        </is>
      </c>
      <c r="B30" s="3" t="n">
        <v>31981000</v>
      </c>
      <c r="C30" s="3" t="n">
        <v>12381000</v>
      </c>
      <c r="D30" s="3" t="n">
        <v>12613000</v>
      </c>
      <c r="E30" s="3" t="n">
        <v>18715000</v>
      </c>
      <c r="F30" s="3" t="n"/>
    </row>
    <row r="31">
      <c r="A31" t="inlineStr">
        <is>
          <t>Total Assets</t>
        </is>
      </c>
      <c r="B31" s="3" t="n">
        <v>2974805000</v>
      </c>
      <c r="C31" s="3" t="n">
        <v>2366958000</v>
      </c>
      <c r="D31" s="3" t="n">
        <v>2017100000</v>
      </c>
      <c r="E31" s="3" t="n">
        <v>1936054000</v>
      </c>
      <c r="F31" s="3" t="n"/>
    </row>
    <row r="32">
      <c r="A32" t="inlineStr">
        <is>
          <t>Investments And Advances</t>
        </is>
      </c>
      <c r="B32" s="3" t="n">
        <v>41250000</v>
      </c>
      <c r="C32" s="3" t="n">
        <v>41250000</v>
      </c>
      <c r="D32" s="3" t="n">
        <v>41250000</v>
      </c>
      <c r="E32" s="3" t="n">
        <v>41250000</v>
      </c>
      <c r="F32" s="3" t="n"/>
    </row>
    <row r="33">
      <c r="A33" t="inlineStr">
        <is>
          <t>Available For Sale Securities</t>
        </is>
      </c>
      <c r="B33" s="3" t="n">
        <v>41250000</v>
      </c>
      <c r="C33" s="3" t="n">
        <v>41250000</v>
      </c>
      <c r="D33" s="3" t="n">
        <v>41250000</v>
      </c>
      <c r="E33" s="3" t="n">
        <v>41250000</v>
      </c>
      <c r="F33" s="3" t="n"/>
    </row>
    <row r="34">
      <c r="A34" t="inlineStr">
        <is>
          <t>Goodwill And Other Intangible Assets</t>
        </is>
      </c>
      <c r="B34" s="3" t="n">
        <v>75351000</v>
      </c>
      <c r="C34" s="3" t="n">
        <v>76493000</v>
      </c>
      <c r="D34" s="3" t="n">
        <v>78418000</v>
      </c>
      <c r="E34" s="3" t="n">
        <v>82693000</v>
      </c>
      <c r="F34" s="3" t="n"/>
    </row>
    <row r="35">
      <c r="A35" t="inlineStr">
        <is>
          <t>Other Intangible Assets</t>
        </is>
      </c>
      <c r="B35" s="3" t="n">
        <v>8289000</v>
      </c>
      <c r="C35" s="3" t="n">
        <v>9431000</v>
      </c>
      <c r="D35" s="3" t="n">
        <v>11356000</v>
      </c>
      <c r="E35" s="3" t="n">
        <v>15631000</v>
      </c>
      <c r="F35" s="3" t="n"/>
    </row>
    <row r="36">
      <c r="A36" t="inlineStr">
        <is>
          <t>Goodwill</t>
        </is>
      </c>
      <c r="B36" s="3" t="n">
        <v>67062000</v>
      </c>
      <c r="C36" s="3" t="n">
        <v>67062000</v>
      </c>
      <c r="D36" s="3" t="n">
        <v>67062000</v>
      </c>
      <c r="E36" s="3" t="n">
        <v>67062000</v>
      </c>
      <c r="F36" s="3" t="n"/>
    </row>
    <row r="37">
      <c r="A37" t="inlineStr">
        <is>
          <t>Net PPE</t>
        </is>
      </c>
      <c r="B37" s="3" t="n">
        <v>60584000</v>
      </c>
      <c r="C37" s="3" t="n">
        <v>82468000</v>
      </c>
      <c r="D37" s="3" t="n">
        <v>97349000</v>
      </c>
      <c r="E37" s="3" t="n">
        <v>130503000</v>
      </c>
      <c r="F37" s="3" t="n"/>
    </row>
    <row r="38">
      <c r="A38" t="inlineStr">
        <is>
          <t>Accumulated Depreciation</t>
        </is>
      </c>
      <c r="B38" s="3" t="n">
        <v>-78421000</v>
      </c>
      <c r="C38" s="3" t="n">
        <v>-55401000</v>
      </c>
      <c r="D38" s="3" t="n">
        <v>-37449000</v>
      </c>
      <c r="E38" s="3" t="n">
        <v>-17159000</v>
      </c>
      <c r="F38" s="3" t="n"/>
    </row>
    <row r="39">
      <c r="A39" t="inlineStr">
        <is>
          <t>Gross PPE</t>
        </is>
      </c>
      <c r="B39" s="3" t="n">
        <v>139005000</v>
      </c>
      <c r="C39" s="3" t="n">
        <v>137869000</v>
      </c>
      <c r="D39" s="3" t="n">
        <v>134798000</v>
      </c>
      <c r="E39" s="3" t="n">
        <v>147662000</v>
      </c>
      <c r="F39" s="3" t="n"/>
    </row>
    <row r="40">
      <c r="A40" t="inlineStr">
        <is>
          <t>Leases</t>
        </is>
      </c>
      <c r="B40" s="3" t="n">
        <v>15519000</v>
      </c>
      <c r="C40" s="3" t="n">
        <v>15069000</v>
      </c>
      <c r="D40" s="3" t="n">
        <v>14281000</v>
      </c>
      <c r="E40" s="3" t="n">
        <v>13074000</v>
      </c>
      <c r="F40" s="3" t="n"/>
    </row>
    <row r="41">
      <c r="A41" t="inlineStr">
        <is>
          <t>Other Properties</t>
        </is>
      </c>
      <c r="B41" s="3" t="n">
        <v>16410000</v>
      </c>
      <c r="C41" s="3" t="n">
        <v>43455000</v>
      </c>
      <c r="D41" s="3" t="n">
        <v>54694000</v>
      </c>
      <c r="E41" s="3" t="n">
        <v>86335000</v>
      </c>
      <c r="F41" s="3" t="n"/>
    </row>
    <row r="42">
      <c r="A42" t="inlineStr">
        <is>
          <t>Machinery Furniture Equipment</t>
        </is>
      </c>
      <c r="B42" s="3" t="n">
        <v>107076000</v>
      </c>
      <c r="C42" s="3" t="n">
        <v>79345000</v>
      </c>
      <c r="D42" s="3" t="n">
        <v>65823000</v>
      </c>
      <c r="E42" s="3" t="n">
        <v>48253000</v>
      </c>
      <c r="F42" s="3" t="n"/>
    </row>
    <row r="43">
      <c r="A43" t="inlineStr">
        <is>
          <t>Prepaid Assets</t>
        </is>
      </c>
      <c r="B43" s="3" t="n">
        <v>39658000</v>
      </c>
      <c r="C43" s="3" t="n">
        <v>28830000</v>
      </c>
      <c r="D43" s="3" t="n">
        <v>17976000</v>
      </c>
      <c r="E43" s="3" t="n">
        <v>16740000</v>
      </c>
      <c r="F43" s="3" t="n"/>
    </row>
    <row r="44">
      <c r="A44" t="inlineStr">
        <is>
          <t>Receivables</t>
        </is>
      </c>
      <c r="B44" s="3" t="n">
        <v>256805000</v>
      </c>
      <c r="C44" s="3" t="n">
        <v>126557000</v>
      </c>
      <c r="D44" s="3" t="n">
        <v>55337000</v>
      </c>
      <c r="E44" s="3" t="n">
        <v>52833000</v>
      </c>
      <c r="F44" s="3" t="n"/>
    </row>
    <row r="45">
      <c r="A45" t="inlineStr">
        <is>
          <t>Other Receivables</t>
        </is>
      </c>
      <c r="B45" s="3" t="n">
        <v>159389000</v>
      </c>
      <c r="C45" s="3" t="n">
        <v>104502000</v>
      </c>
      <c r="D45" s="3" t="n"/>
      <c r="E45" s="3" t="n"/>
      <c r="F45" s="3" t="n">
        <v>55518000</v>
      </c>
    </row>
    <row r="46">
      <c r="A46" t="inlineStr">
        <is>
          <t>Notes Receivable</t>
        </is>
      </c>
      <c r="B46" s="3" t="n">
        <v>97416000</v>
      </c>
      <c r="C46" s="3" t="n">
        <v>22055000</v>
      </c>
      <c r="D46" s="3" t="n">
        <v>14847000</v>
      </c>
      <c r="E46" s="3" t="n">
        <v>6181000</v>
      </c>
      <c r="F46" s="3" t="n"/>
    </row>
    <row r="47">
      <c r="A47" t="inlineStr">
        <is>
          <t>Accounts Receivable</t>
        </is>
      </c>
      <c r="B47" s="3" t="n"/>
      <c r="C47" s="3" t="n">
        <v>48233000</v>
      </c>
      <c r="D47" s="3" t="n">
        <v>40490000</v>
      </c>
      <c r="E47" s="3" t="n">
        <v>46652000</v>
      </c>
      <c r="F47" s="3" t="n">
        <v>55518000</v>
      </c>
    </row>
    <row r="48">
      <c r="A48" t="inlineStr">
        <is>
          <t>Cash And Cash Equivalents</t>
        </is>
      </c>
      <c r="B48" s="3" t="n">
        <v>657445000</v>
      </c>
      <c r="C48" s="3" t="n">
        <v>793607000</v>
      </c>
      <c r="D48" s="3" t="n">
        <v>377324000</v>
      </c>
      <c r="E48" s="3" t="n">
        <v>432413000</v>
      </c>
      <c r="F48" s="3" t="n"/>
    </row>
    <row r="49">
      <c r="A49" t="inlineStr">
        <is>
          <t>Cash Financial</t>
        </is>
      </c>
      <c r="B49" s="3" t="n">
        <v>652388000</v>
      </c>
      <c r="C49" s="3" t="n">
        <v>788422000</v>
      </c>
      <c r="D49" s="3" t="n">
        <v>368405000</v>
      </c>
      <c r="E49" s="3" t="n">
        <v>422411000</v>
      </c>
      <c r="F49" s="3" t="n"/>
    </row>
    <row r="50">
      <c r="A50" t="inlineStr">
        <is>
          <t>Cash Cash Equivalents And Federal Funds Sold</t>
        </is>
      </c>
      <c r="B50" s="3" t="n">
        <v>1062069000</v>
      </c>
      <c r="C50" s="3" t="n">
        <v>981448000</v>
      </c>
      <c r="D50" s="3" t="n">
        <v>476706000</v>
      </c>
      <c r="E50" s="3" t="n">
        <v>542469000</v>
      </c>
      <c r="F5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  <c r="G1" s="1" t="inlineStr">
        <is>
          <t>2025-03-31</t>
        </is>
      </c>
    </row>
    <row r="2">
      <c r="A2" t="inlineStr">
        <is>
          <t>Ordinary Shares Number</t>
        </is>
      </c>
      <c r="B2" s="3" t="n">
        <v>97306813</v>
      </c>
      <c r="C2" s="3" t="n">
        <v>95708872</v>
      </c>
      <c r="D2" s="3" t="n">
        <v>98033361</v>
      </c>
      <c r="E2" s="3" t="n">
        <v>97275544</v>
      </c>
      <c r="F2" s="3" t="n">
        <v>96091343</v>
      </c>
      <c r="G2" s="3" t="n"/>
    </row>
    <row r="3">
      <c r="A3" t="inlineStr">
        <is>
          <t>Share Issued</t>
        </is>
      </c>
      <c r="B3" s="3" t="n">
        <v>97306813</v>
      </c>
      <c r="C3" s="3" t="n">
        <v>95708872</v>
      </c>
      <c r="D3" s="3" t="n">
        <v>98033361</v>
      </c>
      <c r="E3" s="3" t="n">
        <v>97275544</v>
      </c>
      <c r="F3" s="3" t="n">
        <v>96091343</v>
      </c>
      <c r="G3" s="3" t="n"/>
    </row>
    <row r="4">
      <c r="A4" t="inlineStr">
        <is>
          <t>Net Debt</t>
        </is>
      </c>
      <c r="B4" s="3" t="n">
        <v>1545390000</v>
      </c>
      <c r="C4" s="3" t="n">
        <v>1447111000</v>
      </c>
      <c r="D4" s="3" t="n">
        <v>1171700000</v>
      </c>
      <c r="E4" s="3" t="n">
        <v>1360867000</v>
      </c>
      <c r="F4" s="3" t="n">
        <v>1027923000</v>
      </c>
      <c r="G4" s="3" t="n"/>
    </row>
    <row r="5">
      <c r="A5" t="inlineStr">
        <is>
          <t>Total Debt</t>
        </is>
      </c>
      <c r="B5" s="3" t="n">
        <v>2025481000</v>
      </c>
      <c r="C5" s="3" t="n">
        <v>1939213000</v>
      </c>
      <c r="D5" s="3" t="n">
        <v>1850294000</v>
      </c>
      <c r="E5" s="3" t="n">
        <v>1896305000</v>
      </c>
      <c r="F5" s="3" t="n">
        <v>1472312000</v>
      </c>
      <c r="G5" s="3" t="n"/>
    </row>
    <row r="6">
      <c r="A6" t="inlineStr">
        <is>
          <t>Tangible Book Value</t>
        </is>
      </c>
      <c r="B6" s="3" t="n">
        <v>722708000</v>
      </c>
      <c r="C6" s="3" t="n">
        <v>658100000</v>
      </c>
      <c r="D6" s="3" t="n">
        <v>723464000</v>
      </c>
      <c r="E6" s="3" t="n">
        <v>668082000</v>
      </c>
      <c r="F6" s="3" t="n">
        <v>646088000</v>
      </c>
      <c r="G6" s="3" t="n"/>
    </row>
    <row r="7">
      <c r="A7" t="inlineStr">
        <is>
          <t>Invested Capital</t>
        </is>
      </c>
      <c r="B7" s="3" t="n">
        <v>2800617000</v>
      </c>
      <c r="C7" s="3" t="n">
        <v>2654831000</v>
      </c>
      <c r="D7" s="3" t="n">
        <v>2627960000</v>
      </c>
      <c r="E7" s="3" t="n">
        <v>2599472000</v>
      </c>
      <c r="F7" s="3" t="n">
        <v>2150489000</v>
      </c>
      <c r="G7" s="3" t="n"/>
    </row>
    <row r="8">
      <c r="A8" t="inlineStr">
        <is>
          <t>Net Tangible Assets</t>
        </is>
      </c>
      <c r="B8" s="3" t="n">
        <v>722708000</v>
      </c>
      <c r="C8" s="3" t="n">
        <v>658100000</v>
      </c>
      <c r="D8" s="3" t="n">
        <v>723464000</v>
      </c>
      <c r="E8" s="3" t="n">
        <v>668082000</v>
      </c>
      <c r="F8" s="3" t="n">
        <v>646088000</v>
      </c>
      <c r="G8" s="3" t="n"/>
    </row>
    <row r="9">
      <c r="A9" t="inlineStr">
        <is>
          <t>Capital Lease Obligations</t>
        </is>
      </c>
      <c r="B9" s="3" t="n">
        <v>22352000</v>
      </c>
      <c r="C9" s="3" t="n">
        <v>17548000</v>
      </c>
      <c r="D9" s="3" t="n">
        <v>21149000</v>
      </c>
      <c r="E9" s="3" t="n">
        <v>40551000</v>
      </c>
      <c r="F9" s="3" t="n">
        <v>43833000</v>
      </c>
      <c r="G9" s="3" t="n"/>
    </row>
    <row r="10">
      <c r="A10" t="inlineStr">
        <is>
          <t>Common Stock Equity</t>
        </is>
      </c>
      <c r="B10" s="3" t="n">
        <v>797488000</v>
      </c>
      <c r="C10" s="3" t="n">
        <v>733166000</v>
      </c>
      <c r="D10" s="3" t="n">
        <v>798815000</v>
      </c>
      <c r="E10" s="3" t="n">
        <v>743718000</v>
      </c>
      <c r="F10" s="3" t="n">
        <v>722010000</v>
      </c>
      <c r="G10" s="3" t="n"/>
    </row>
    <row r="11">
      <c r="A11" t="inlineStr">
        <is>
          <t>Total Capitalization</t>
        </is>
      </c>
      <c r="B11" s="3" t="n">
        <v>2548859000</v>
      </c>
      <c r="C11" s="3" t="n">
        <v>2471524000</v>
      </c>
      <c r="D11" s="3" t="n">
        <v>2530627000</v>
      </c>
      <c r="E11" s="3" t="n">
        <v>2458950000</v>
      </c>
      <c r="F11" s="3" t="n">
        <v>1960950000</v>
      </c>
      <c r="G11" s="3" t="n"/>
    </row>
    <row r="12">
      <c r="A12" t="inlineStr">
        <is>
          <t>Total Equity Gross Minority Interest</t>
        </is>
      </c>
      <c r="B12" s="3" t="n">
        <v>797488000</v>
      </c>
      <c r="C12" s="3" t="n">
        <v>733166000</v>
      </c>
      <c r="D12" s="3" t="n">
        <v>798815000</v>
      </c>
      <c r="E12" s="3" t="n">
        <v>743718000</v>
      </c>
      <c r="F12" s="3" t="n">
        <v>722010000</v>
      </c>
      <c r="G12" s="3" t="n"/>
    </row>
    <row r="13">
      <c r="A13" t="inlineStr">
        <is>
          <t>Stockholders Equity</t>
        </is>
      </c>
      <c r="B13" s="3" t="n">
        <v>797488000</v>
      </c>
      <c r="C13" s="3" t="n">
        <v>733166000</v>
      </c>
      <c r="D13" s="3" t="n">
        <v>798815000</v>
      </c>
      <c r="E13" s="3" t="n">
        <v>743718000</v>
      </c>
      <c r="F13" s="3" t="n">
        <v>722010000</v>
      </c>
      <c r="G13" s="3" t="n"/>
    </row>
    <row r="14">
      <c r="A14" t="inlineStr">
        <is>
          <t>Retained Earnings</t>
        </is>
      </c>
      <c r="B14" s="3" t="n">
        <v>-347663000</v>
      </c>
      <c r="C14" s="3" t="n">
        <v>-364202000</v>
      </c>
      <c r="D14" s="3" t="n">
        <v>-357556000</v>
      </c>
      <c r="E14" s="3" t="n">
        <v>-376192000</v>
      </c>
      <c r="F14" s="3" t="n">
        <v>-407997000</v>
      </c>
      <c r="G14" s="3" t="n"/>
    </row>
    <row r="15">
      <c r="A15" t="inlineStr">
        <is>
          <t>Additional Paid In Capital</t>
        </is>
      </c>
      <c r="B15" s="3" t="n">
        <v>1145141000</v>
      </c>
      <c r="C15" s="3" t="n">
        <v>1097358000</v>
      </c>
      <c r="D15" s="3" t="n">
        <v>1156361000</v>
      </c>
      <c r="E15" s="3" t="n">
        <v>1119900000</v>
      </c>
      <c r="F15" s="3" t="n">
        <v>1129997000</v>
      </c>
      <c r="G15" s="3" t="n"/>
    </row>
    <row r="16">
      <c r="A16" t="inlineStr">
        <is>
          <t>Capital Stock</t>
        </is>
      </c>
      <c r="B16" s="3" t="n">
        <v>10000</v>
      </c>
      <c r="C16" s="3" t="n">
        <v>10000</v>
      </c>
      <c r="D16" s="3" t="n">
        <v>10000</v>
      </c>
      <c r="E16" s="3" t="n">
        <v>10000</v>
      </c>
      <c r="F16" s="3" t="n">
        <v>10000</v>
      </c>
      <c r="G16" s="3" t="n"/>
    </row>
    <row r="17">
      <c r="A17" t="inlineStr">
        <is>
          <t>Common Stock</t>
        </is>
      </c>
      <c r="B17" s="3" t="n">
        <v>10000</v>
      </c>
      <c r="C17" s="3" t="n">
        <v>10000</v>
      </c>
      <c r="D17" s="3" t="n">
        <v>10000</v>
      </c>
      <c r="E17" s="3" t="n">
        <v>10000</v>
      </c>
      <c r="F17" s="3" t="n">
        <v>10000</v>
      </c>
      <c r="G17" s="3" t="n"/>
    </row>
    <row r="18">
      <c r="A18" t="inlineStr">
        <is>
          <t>Total Liabilities Net Minority Interest</t>
        </is>
      </c>
      <c r="B18" s="3" t="n">
        <v>2373785000</v>
      </c>
      <c r="C18" s="3" t="n">
        <v>2228515000</v>
      </c>
      <c r="D18" s="3" t="n">
        <v>2175990000</v>
      </c>
      <c r="E18" s="3" t="n">
        <v>2161130000</v>
      </c>
      <c r="F18" s="3" t="n">
        <v>1755858000</v>
      </c>
      <c r="G18" s="3" t="n"/>
    </row>
    <row r="19">
      <c r="A19" t="inlineStr">
        <is>
          <t>Long Term Debt And Capital Lease Obligation</t>
        </is>
      </c>
      <c r="B19" s="3" t="n">
        <v>1773723000</v>
      </c>
      <c r="C19" s="3" t="n">
        <v>1755906000</v>
      </c>
      <c r="D19" s="3" t="n">
        <v>1752961000</v>
      </c>
      <c r="E19" s="3" t="n">
        <v>1755783000</v>
      </c>
      <c r="F19" s="3" t="n">
        <v>1282773000</v>
      </c>
      <c r="G19" s="3" t="n"/>
    </row>
    <row r="20">
      <c r="A20" t="inlineStr">
        <is>
          <t>Long Term Capital Lease Obligation</t>
        </is>
      </c>
      <c r="B20" s="3" t="n">
        <v>22352000</v>
      </c>
      <c r="C20" s="3" t="n">
        <v>17548000</v>
      </c>
      <c r="D20" s="3" t="n">
        <v>21149000</v>
      </c>
      <c r="E20" s="3" t="n">
        <v>40551000</v>
      </c>
      <c r="F20" s="3" t="n">
        <v>43833000</v>
      </c>
      <c r="G20" s="3" t="n"/>
    </row>
    <row r="21">
      <c r="A21" t="inlineStr">
        <is>
          <t>Long Term Debt</t>
        </is>
      </c>
      <c r="B21" s="3" t="n">
        <v>1751371000</v>
      </c>
      <c r="C21" s="3" t="n">
        <v>1738358000</v>
      </c>
      <c r="D21" s="3" t="n">
        <v>1731812000</v>
      </c>
      <c r="E21" s="3" t="n">
        <v>1715232000</v>
      </c>
      <c r="F21" s="3" t="n">
        <v>1238940000</v>
      </c>
      <c r="G21" s="3" t="n"/>
    </row>
    <row r="22">
      <c r="A22" t="inlineStr">
        <is>
          <t>Current Debt And Capital Lease Obligation</t>
        </is>
      </c>
      <c r="B22" s="3" t="n">
        <v>251758000</v>
      </c>
      <c r="C22" s="3" t="n">
        <v>183307000</v>
      </c>
      <c r="D22" s="3" t="n">
        <v>97333000</v>
      </c>
      <c r="E22" s="3" t="n">
        <v>140522000</v>
      </c>
      <c r="F22" s="3" t="n">
        <v>189539000</v>
      </c>
      <c r="G22" s="3" t="n"/>
    </row>
    <row r="23">
      <c r="A23" t="inlineStr">
        <is>
          <t>Current Debt</t>
        </is>
      </c>
      <c r="B23" s="3" t="n">
        <v>251758000</v>
      </c>
      <c r="C23" s="3" t="n">
        <v>183307000</v>
      </c>
      <c r="D23" s="3" t="n">
        <v>97333000</v>
      </c>
      <c r="E23" s="3" t="n">
        <v>140522000</v>
      </c>
      <c r="F23" s="3" t="n">
        <v>189539000</v>
      </c>
      <c r="G23" s="3" t="n"/>
    </row>
    <row r="24">
      <c r="A24" t="inlineStr">
        <is>
          <t>Line Of Credit</t>
        </is>
      </c>
      <c r="B24" s="3" t="n">
        <v>251758000</v>
      </c>
      <c r="C24" s="3" t="n">
        <v>183307000</v>
      </c>
      <c r="D24" s="3" t="n">
        <v>97333000</v>
      </c>
      <c r="E24" s="3" t="n">
        <v>140522000</v>
      </c>
      <c r="F24" s="3" t="n">
        <v>189539000</v>
      </c>
      <c r="G24" s="3" t="n"/>
    </row>
    <row r="25">
      <c r="A25" t="inlineStr">
        <is>
          <t>Payables And Accrued Expenses</t>
        </is>
      </c>
      <c r="B25" s="3" t="n">
        <v>308983000</v>
      </c>
      <c r="C25" s="3" t="n">
        <v>262512000</v>
      </c>
      <c r="D25" s="3" t="n">
        <v>303689000</v>
      </c>
      <c r="E25" s="3" t="n">
        <v>237240000</v>
      </c>
      <c r="F25" s="3" t="n">
        <v>260061000</v>
      </c>
      <c r="G25" s="3" t="n"/>
    </row>
    <row r="26">
      <c r="A26" t="inlineStr">
        <is>
          <t>Current Accrued Expenses</t>
        </is>
      </c>
      <c r="B26" s="3" t="n">
        <v>92266000</v>
      </c>
      <c r="C26" s="3" t="n">
        <v>75082000</v>
      </c>
      <c r="D26" s="3" t="n">
        <v>117507000</v>
      </c>
      <c r="E26" s="3" t="n">
        <v>76884000</v>
      </c>
      <c r="F26" s="3" t="n">
        <v>74475000</v>
      </c>
      <c r="G26" s="3" t="n"/>
    </row>
    <row r="27">
      <c r="A27" t="inlineStr">
        <is>
          <t>Payables</t>
        </is>
      </c>
      <c r="B27" s="3" t="n">
        <v>216717000</v>
      </c>
      <c r="C27" s="3" t="n">
        <v>187430000</v>
      </c>
      <c r="D27" s="3" t="n">
        <v>186182000</v>
      </c>
      <c r="E27" s="3" t="n">
        <v>160356000</v>
      </c>
      <c r="F27" s="3" t="n">
        <v>185586000</v>
      </c>
      <c r="G27" s="3" t="n"/>
    </row>
    <row r="28">
      <c r="A28" t="inlineStr">
        <is>
          <t>Other Payable</t>
        </is>
      </c>
      <c r="B28" s="3" t="n">
        <v>177330000</v>
      </c>
      <c r="C28" s="3" t="n">
        <v>164711000</v>
      </c>
      <c r="D28" s="3" t="n">
        <v>154201000</v>
      </c>
      <c r="E28" s="3" t="n">
        <v>148575000</v>
      </c>
      <c r="F28" s="3" t="n">
        <v>156821000</v>
      </c>
      <c r="G28" s="3" t="n"/>
    </row>
    <row r="29">
      <c r="A29" t="inlineStr">
        <is>
          <t>Accounts Payable</t>
        </is>
      </c>
      <c r="B29" s="3" t="n">
        <v>39387000</v>
      </c>
      <c r="C29" s="3" t="n">
        <v>22719000</v>
      </c>
      <c r="D29" s="3" t="n">
        <v>31981000</v>
      </c>
      <c r="E29" s="3" t="n">
        <v>11781000</v>
      </c>
      <c r="F29" s="3" t="n">
        <v>28765000</v>
      </c>
      <c r="G29" s="3" t="n"/>
    </row>
    <row r="30">
      <c r="A30" t="inlineStr">
        <is>
          <t>Total Assets</t>
        </is>
      </c>
      <c r="B30" s="3" t="n">
        <v>3171273000</v>
      </c>
      <c r="C30" s="3" t="n">
        <v>2961681000</v>
      </c>
      <c r="D30" s="3" t="n">
        <v>2974805000</v>
      </c>
      <c r="E30" s="3" t="n">
        <v>2904848000</v>
      </c>
      <c r="F30" s="3" t="n">
        <v>2477868000</v>
      </c>
      <c r="G30" s="3" t="n"/>
    </row>
    <row r="31">
      <c r="A31" t="inlineStr">
        <is>
          <t>Investments And Advances</t>
        </is>
      </c>
      <c r="B31" s="3" t="n">
        <v>41000000</v>
      </c>
      <c r="C31" s="3" t="n">
        <v>41250000</v>
      </c>
      <c r="D31" s="3" t="n">
        <v>41250000</v>
      </c>
      <c r="E31" s="3" t="n">
        <v>41250000</v>
      </c>
      <c r="F31" s="3" t="n">
        <v>41250000</v>
      </c>
      <c r="G31" s="3" t="n"/>
    </row>
    <row r="32">
      <c r="A32" t="inlineStr">
        <is>
          <t>Available For Sale Securities</t>
        </is>
      </c>
      <c r="B32" s="3" t="n">
        <v>41000000</v>
      </c>
      <c r="C32" s="3" t="n">
        <v>41250000</v>
      </c>
      <c r="D32" s="3" t="n">
        <v>41250000</v>
      </c>
      <c r="E32" s="3" t="n">
        <v>41250000</v>
      </c>
      <c r="F32" s="3" t="n">
        <v>41250000</v>
      </c>
      <c r="G32" s="3" t="n"/>
    </row>
    <row r="33">
      <c r="A33" t="inlineStr">
        <is>
          <t>Goodwill And Other Intangible Assets</t>
        </is>
      </c>
      <c r="B33" s="3" t="n">
        <v>74780000</v>
      </c>
      <c r="C33" s="3" t="n">
        <v>75066000</v>
      </c>
      <c r="D33" s="3" t="n">
        <v>75351000</v>
      </c>
      <c r="E33" s="3" t="n">
        <v>75636000</v>
      </c>
      <c r="F33" s="3" t="n">
        <v>75922000</v>
      </c>
      <c r="G33" s="3" t="n"/>
    </row>
    <row r="34">
      <c r="A34" t="inlineStr">
        <is>
          <t>Other Intangible Assets</t>
        </is>
      </c>
      <c r="B34" s="3" t="n">
        <v>7718000</v>
      </c>
      <c r="C34" s="3" t="n">
        <v>8004000</v>
      </c>
      <c r="D34" s="3" t="n">
        <v>8289000</v>
      </c>
      <c r="E34" s="3" t="n">
        <v>8574000</v>
      </c>
      <c r="F34" s="3" t="n">
        <v>8860000</v>
      </c>
      <c r="G34" s="3" t="n"/>
    </row>
    <row r="35">
      <c r="A35" t="inlineStr">
        <is>
          <t>Goodwill</t>
        </is>
      </c>
      <c r="B35" s="3" t="n">
        <v>67062000</v>
      </c>
      <c r="C35" s="3" t="n">
        <v>67062000</v>
      </c>
      <c r="D35" s="3" t="n">
        <v>67062000</v>
      </c>
      <c r="E35" s="3" t="n">
        <v>67062000</v>
      </c>
      <c r="F35" s="3" t="n">
        <v>67062000</v>
      </c>
      <c r="G35" s="3" t="n"/>
    </row>
    <row r="36">
      <c r="A36" t="inlineStr">
        <is>
          <t>Net PPE</t>
        </is>
      </c>
      <c r="B36" s="3" t="n">
        <v>68204000</v>
      </c>
      <c r="C36" s="3" t="n">
        <v>61607000</v>
      </c>
      <c r="D36" s="3" t="n">
        <v>60584000</v>
      </c>
      <c r="E36" s="3" t="n">
        <v>78905000</v>
      </c>
      <c r="F36" s="3" t="n">
        <v>81562000</v>
      </c>
      <c r="G36" s="3" t="n"/>
    </row>
    <row r="37">
      <c r="A37" t="inlineStr">
        <is>
          <t>Accumulated Depreciation</t>
        </is>
      </c>
      <c r="B37" s="3" t="n">
        <v>-90529000</v>
      </c>
      <c r="C37" s="3" t="n">
        <v>-83806000</v>
      </c>
      <c r="D37" s="3" t="n">
        <v>-78421000</v>
      </c>
      <c r="E37" s="3" t="n">
        <v>-72414000</v>
      </c>
      <c r="F37" s="3" t="n">
        <v>-66736000</v>
      </c>
      <c r="G37" s="3" t="n"/>
    </row>
    <row r="38">
      <c r="A38" t="inlineStr">
        <is>
          <t>Gross PPE</t>
        </is>
      </c>
      <c r="B38" s="3" t="n">
        <v>158733000</v>
      </c>
      <c r="C38" s="3" t="n">
        <v>145413000</v>
      </c>
      <c r="D38" s="3" t="n">
        <v>139005000</v>
      </c>
      <c r="E38" s="3" t="n">
        <v>151319000</v>
      </c>
      <c r="F38" s="3" t="n">
        <v>148298000</v>
      </c>
      <c r="G38" s="3" t="n"/>
    </row>
    <row r="39">
      <c r="A39" t="inlineStr">
        <is>
          <t>Leases</t>
        </is>
      </c>
      <c r="B39" s="3" t="n">
        <v>19231000</v>
      </c>
      <c r="C39" s="3" t="n">
        <v>18134000</v>
      </c>
      <c r="D39" s="3" t="n">
        <v>15519000</v>
      </c>
      <c r="E39" s="3" t="n">
        <v>15244000</v>
      </c>
      <c r="F39" s="3" t="n">
        <v>15138000</v>
      </c>
      <c r="G39" s="3" t="n"/>
    </row>
    <row r="40">
      <c r="A40" t="inlineStr">
        <is>
          <t>Other Properties</t>
        </is>
      </c>
      <c r="B40" s="3" t="n">
        <v>18783000</v>
      </c>
      <c r="C40" s="3" t="n">
        <v>13605000</v>
      </c>
      <c r="D40" s="3" t="n">
        <v>16410000</v>
      </c>
      <c r="E40" s="3" t="n">
        <v>34646000</v>
      </c>
      <c r="F40" s="3" t="n">
        <v>37620000</v>
      </c>
      <c r="G40" s="3" t="n"/>
    </row>
    <row r="41">
      <c r="A41" t="inlineStr">
        <is>
          <t>Machinery Furniture Equipment</t>
        </is>
      </c>
      <c r="B41" s="3" t="n">
        <v>120719000</v>
      </c>
      <c r="C41" s="3" t="n">
        <v>113674000</v>
      </c>
      <c r="D41" s="3" t="n">
        <v>107076000</v>
      </c>
      <c r="E41" s="3" t="n">
        <v>101429000</v>
      </c>
      <c r="F41" s="3" t="n">
        <v>95540000</v>
      </c>
      <c r="G41" s="3" t="n"/>
    </row>
    <row r="42">
      <c r="A42" t="inlineStr">
        <is>
          <t>Prepaid Assets</t>
        </is>
      </c>
      <c r="B42" s="3" t="n">
        <v>32543000</v>
      </c>
      <c r="C42" s="3" t="n">
        <v>40588000</v>
      </c>
      <c r="D42" s="3" t="n">
        <v>39658000</v>
      </c>
      <c r="E42" s="3" t="n">
        <v>30555000</v>
      </c>
      <c r="F42" s="3" t="n">
        <v>26950000</v>
      </c>
      <c r="G42" s="3" t="n"/>
    </row>
    <row r="43">
      <c r="A43" t="inlineStr">
        <is>
          <t>Receivables</t>
        </is>
      </c>
      <c r="B43" s="3" t="n">
        <v>290334000</v>
      </c>
      <c r="C43" s="3" t="n">
        <v>263050000</v>
      </c>
      <c r="D43" s="3" t="n">
        <v>256805000</v>
      </c>
      <c r="E43" s="3" t="n">
        <v>235126000</v>
      </c>
      <c r="F43" s="3" t="n">
        <v>206846000</v>
      </c>
      <c r="G43" s="3" t="n"/>
    </row>
    <row r="44">
      <c r="A44" t="inlineStr">
        <is>
          <t>Other Receivables</t>
        </is>
      </c>
      <c r="B44" s="3" t="n">
        <v>169959000</v>
      </c>
      <c r="C44" s="3" t="n">
        <v>157984000</v>
      </c>
      <c r="D44" s="3" t="n">
        <v>159389000</v>
      </c>
      <c r="E44" s="3" t="n">
        <v>114846000</v>
      </c>
      <c r="F44" s="3" t="n">
        <v>107456000</v>
      </c>
      <c r="G44" s="3" t="n"/>
    </row>
    <row r="45">
      <c r="A45" t="inlineStr">
        <is>
          <t>Notes Receivable</t>
        </is>
      </c>
      <c r="B45" s="3" t="n">
        <v>120375000</v>
      </c>
      <c r="C45" s="3" t="n">
        <v>105066000</v>
      </c>
      <c r="D45" s="3" t="n">
        <v>97416000</v>
      </c>
      <c r="E45" s="3" t="n">
        <v>76761000</v>
      </c>
      <c r="F45" s="3" t="n">
        <v>54708000</v>
      </c>
      <c r="G45" s="3" t="n"/>
    </row>
    <row r="46">
      <c r="A46" t="inlineStr">
        <is>
          <t>Accounts Receivable</t>
        </is>
      </c>
      <c r="B46" s="3" t="n"/>
      <c r="C46" s="3" t="n"/>
      <c r="D46" s="3" t="n"/>
      <c r="E46" s="3" t="n">
        <v>43519000</v>
      </c>
      <c r="F46" s="3" t="n">
        <v>44682000</v>
      </c>
      <c r="G46" s="3" t="n">
        <v>43008000</v>
      </c>
    </row>
    <row r="47">
      <c r="A47" t="inlineStr">
        <is>
          <t>Cash And Cash Equivalents</t>
        </is>
      </c>
      <c r="B47" s="3" t="n">
        <v>457739000</v>
      </c>
      <c r="C47" s="3" t="n">
        <v>474554000</v>
      </c>
      <c r="D47" s="3" t="n">
        <v>657445000</v>
      </c>
      <c r="E47" s="3" t="n">
        <v>494887000</v>
      </c>
      <c r="F47" s="3" t="n">
        <v>400556000</v>
      </c>
      <c r="G47" s="3" t="n"/>
    </row>
    <row r="48">
      <c r="A48" t="inlineStr">
        <is>
          <t>Cash Financial</t>
        </is>
      </c>
      <c r="B48" s="3" t="n">
        <v>455957000</v>
      </c>
      <c r="C48" s="3" t="n">
        <v>472934000</v>
      </c>
      <c r="D48" s="3" t="n">
        <v>652388000</v>
      </c>
      <c r="E48" s="3" t="n">
        <v>489784000</v>
      </c>
      <c r="F48" s="3" t="n">
        <v>395940000</v>
      </c>
      <c r="G48" s="3" t="n"/>
    </row>
    <row r="49">
      <c r="A49" t="inlineStr">
        <is>
          <t>Cash Cash Equivalents And Federal Funds Sold</t>
        </is>
      </c>
      <c r="B49" s="3" t="n">
        <v>984059000</v>
      </c>
      <c r="C49" s="3" t="n">
        <v>932954000</v>
      </c>
      <c r="D49" s="3" t="n">
        <v>1062069000</v>
      </c>
      <c r="E49" s="3" t="n">
        <v>842008000</v>
      </c>
      <c r="F49" s="3" t="n">
        <v>706076000</v>
      </c>
      <c r="G4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-166132000</v>
      </c>
      <c r="C2" s="3" t="n">
        <v>176341000</v>
      </c>
      <c r="D2" s="3" t="n">
        <v>-123798000</v>
      </c>
      <c r="E2" s="3" t="n">
        <v>-680773000</v>
      </c>
      <c r="F2" s="3" t="n"/>
    </row>
    <row r="3">
      <c r="A3" t="inlineStr">
        <is>
          <t>Repurchase Of Capital Stock</t>
        </is>
      </c>
      <c r="B3" s="3" t="n"/>
      <c r="C3" s="3" t="n">
        <v>0</v>
      </c>
      <c r="D3" s="3" t="n">
        <v>0</v>
      </c>
      <c r="E3" s="3" t="n">
        <v>-177883000</v>
      </c>
      <c r="F3" s="3" t="n">
        <v>0</v>
      </c>
    </row>
    <row r="4">
      <c r="A4" t="inlineStr">
        <is>
          <t>Repayment Of Debt</t>
        </is>
      </c>
      <c r="B4" s="3" t="n">
        <v>-581843000</v>
      </c>
      <c r="C4" s="3" t="n">
        <v>-738064000</v>
      </c>
      <c r="D4" s="3" t="n">
        <v>-599257000</v>
      </c>
      <c r="E4" s="3" t="n">
        <v>-400898000</v>
      </c>
      <c r="F4" s="3" t="n"/>
    </row>
    <row r="5">
      <c r="A5" t="inlineStr">
        <is>
          <t>Issuance Of Debt</t>
        </is>
      </c>
      <c r="B5" s="3" t="n">
        <v>972488000</v>
      </c>
      <c r="C5" s="3" t="n">
        <v>1300721000</v>
      </c>
      <c r="D5" s="3" t="n">
        <v>792228000</v>
      </c>
      <c r="E5" s="3" t="n">
        <v>688813000</v>
      </c>
      <c r="F5" s="3" t="n"/>
    </row>
    <row r="6">
      <c r="A6" t="inlineStr">
        <is>
          <t>Issuance Of Capital Stock</t>
        </is>
      </c>
      <c r="B6" s="3" t="n"/>
      <c r="C6" s="3" t="n"/>
      <c r="D6" s="3" t="n">
        <v>0</v>
      </c>
      <c r="E6" s="3" t="n">
        <v>0</v>
      </c>
      <c r="F6" s="3" t="n">
        <v>263931000</v>
      </c>
    </row>
    <row r="7">
      <c r="A7" t="inlineStr">
        <is>
          <t>Capital Expenditure</t>
        </is>
      </c>
      <c r="B7" s="3" t="n">
        <v>-18407000</v>
      </c>
      <c r="C7" s="3" t="n">
        <v>-9990000</v>
      </c>
      <c r="D7" s="3" t="n">
        <v>-12086000</v>
      </c>
      <c r="E7" s="3" t="n">
        <v>-22913000</v>
      </c>
      <c r="F7" s="3" t="n"/>
    </row>
    <row r="8">
      <c r="A8" t="inlineStr">
        <is>
          <t>Interest Paid Supplemental Data</t>
        </is>
      </c>
      <c r="B8" s="3" t="n">
        <v>43483000</v>
      </c>
      <c r="C8" s="3" t="n">
        <v>43119000</v>
      </c>
      <c r="D8" s="3" t="n">
        <v>36547000</v>
      </c>
      <c r="E8" s="3" t="n">
        <v>12473000</v>
      </c>
      <c r="F8" s="3" t="n"/>
    </row>
    <row r="9">
      <c r="A9" t="inlineStr">
        <is>
          <t>Income Tax Paid Supplemental Data</t>
        </is>
      </c>
      <c r="B9" s="3" t="n">
        <v>590000</v>
      </c>
      <c r="C9" s="3" t="n">
        <v>258000</v>
      </c>
      <c r="D9" s="3" t="n"/>
      <c r="E9" s="3" t="n">
        <v>328000</v>
      </c>
      <c r="F9" s="3" t="n">
        <v>2300000</v>
      </c>
    </row>
    <row r="10">
      <c r="A10" t="inlineStr">
        <is>
          <t>End Cash Position</t>
        </is>
      </c>
      <c r="B10" s="3" t="n">
        <v>1057012000</v>
      </c>
      <c r="C10" s="3" t="n">
        <v>976263000</v>
      </c>
      <c r="D10" s="3" t="n">
        <v>467787000</v>
      </c>
      <c r="E10" s="3" t="n">
        <v>532467000</v>
      </c>
      <c r="F10" s="3" t="n"/>
    </row>
    <row r="11">
      <c r="A11" t="inlineStr">
        <is>
          <t>Beginning Cash Position</t>
        </is>
      </c>
      <c r="B11" s="3" t="n">
        <v>976263000</v>
      </c>
      <c r="C11" s="3" t="n">
        <v>467787000</v>
      </c>
      <c r="D11" s="3" t="n">
        <v>532467000</v>
      </c>
      <c r="E11" s="3" t="n">
        <v>1191241000</v>
      </c>
      <c r="F11" s="3" t="n"/>
    </row>
    <row r="12">
      <c r="A12" t="inlineStr">
        <is>
          <t>Changes In Cash</t>
        </is>
      </c>
      <c r="B12" s="3" t="n">
        <v>80749000</v>
      </c>
      <c r="C12" s="3" t="n">
        <v>508476000</v>
      </c>
      <c r="D12" s="3" t="n">
        <v>-64680000</v>
      </c>
      <c r="E12" s="3" t="n">
        <v>-658774000</v>
      </c>
      <c r="F12" s="3" t="n"/>
    </row>
    <row r="13">
      <c r="A13" t="inlineStr">
        <is>
          <t>Financing Cash Flow</t>
        </is>
      </c>
      <c r="B13" s="3" t="n">
        <v>405645000</v>
      </c>
      <c r="C13" s="3" t="n">
        <v>559871000</v>
      </c>
      <c r="D13" s="3" t="n">
        <v>165487000</v>
      </c>
      <c r="E13" s="3" t="n">
        <v>113211000</v>
      </c>
      <c r="F13" s="3" t="n"/>
    </row>
    <row r="14">
      <c r="A14" t="inlineStr">
        <is>
          <t>Cash Flow From Continuing Financing Activities</t>
        </is>
      </c>
      <c r="B14" s="3" t="n">
        <v>405645000</v>
      </c>
      <c r="C14" s="3" t="n">
        <v>559871000</v>
      </c>
      <c r="D14" s="3" t="n">
        <v>165487000</v>
      </c>
      <c r="E14" s="3" t="n">
        <v>113211000</v>
      </c>
      <c r="F14" s="3" t="n"/>
    </row>
    <row r="15">
      <c r="A15" t="inlineStr">
        <is>
          <t>Net Other Financing Charges</t>
        </is>
      </c>
      <c r="B15" s="3" t="n">
        <v>-10300000</v>
      </c>
      <c r="C15" s="3" t="n">
        <v>-31863000</v>
      </c>
      <c r="D15" s="3" t="n">
        <v>-48781000</v>
      </c>
      <c r="E15" s="3" t="n">
        <v>-16837000</v>
      </c>
      <c r="F15" s="3" t="n"/>
    </row>
    <row r="16">
      <c r="A16" t="inlineStr">
        <is>
          <t>Proceeds From Stock Option Exercised</t>
        </is>
      </c>
      <c r="B16" s="3" t="n">
        <v>25300000</v>
      </c>
      <c r="C16" s="3" t="n">
        <v>29077000</v>
      </c>
      <c r="D16" s="3" t="n">
        <v>21297000</v>
      </c>
      <c r="E16" s="3" t="n">
        <v>20016000</v>
      </c>
      <c r="F16" s="3" t="n"/>
    </row>
    <row r="17">
      <c r="A17" t="inlineStr">
        <is>
          <t>Net Preferred Stock Issuance</t>
        </is>
      </c>
      <c r="B17" s="3" t="n"/>
      <c r="C17" s="3" t="n"/>
      <c r="D17" s="3" t="n"/>
      <c r="E17" s="3" t="n"/>
      <c r="F17" s="3" t="n">
        <v>0</v>
      </c>
    </row>
    <row r="18">
      <c r="A18" t="inlineStr">
        <is>
          <t>Preferred Stock Payments</t>
        </is>
      </c>
      <c r="B18" s="3" t="n"/>
      <c r="C18" s="3" t="n"/>
      <c r="D18" s="3" t="n"/>
      <c r="E18" s="3" t="n"/>
      <c r="F18" s="3" t="n">
        <v>0</v>
      </c>
    </row>
    <row r="19">
      <c r="A19" t="inlineStr">
        <is>
          <t>Preferred Stock Issuance</t>
        </is>
      </c>
      <c r="B19" s="3" t="n"/>
      <c r="C19" s="3" t="n"/>
      <c r="D19" s="3" t="n"/>
      <c r="E19" s="3" t="n"/>
      <c r="F19" s="3" t="n">
        <v>0</v>
      </c>
    </row>
    <row r="20">
      <c r="A20" t="inlineStr">
        <is>
          <t>Net Common Stock Issuance</t>
        </is>
      </c>
      <c r="B20" s="3" t="n"/>
      <c r="C20" s="3" t="n">
        <v>0</v>
      </c>
      <c r="D20" s="3" t="n">
        <v>0</v>
      </c>
      <c r="E20" s="3" t="n">
        <v>-177883000</v>
      </c>
      <c r="F20" s="3" t="n">
        <v>263931000</v>
      </c>
    </row>
    <row r="21">
      <c r="A21" t="inlineStr">
        <is>
          <t>Common Stock Payments</t>
        </is>
      </c>
      <c r="B21" s="3" t="n"/>
      <c r="C21" s="3" t="n">
        <v>0</v>
      </c>
      <c r="D21" s="3" t="n">
        <v>0</v>
      </c>
      <c r="E21" s="3" t="n">
        <v>-177883000</v>
      </c>
      <c r="F21" s="3" t="n">
        <v>0</v>
      </c>
    </row>
    <row r="22">
      <c r="A22" t="inlineStr">
        <is>
          <t>Common Stock Issuance</t>
        </is>
      </c>
      <c r="B22" s="3" t="n"/>
      <c r="C22" s="3" t="n"/>
      <c r="D22" s="3" t="n">
        <v>0</v>
      </c>
      <c r="E22" s="3" t="n">
        <v>0</v>
      </c>
      <c r="F22" s="3" t="n">
        <v>263931000</v>
      </c>
    </row>
    <row r="23">
      <c r="A23" t="inlineStr">
        <is>
          <t>Net Issuance Payments Of Debt</t>
        </is>
      </c>
      <c r="B23" s="3" t="n">
        <v>390645000</v>
      </c>
      <c r="C23" s="3" t="n">
        <v>562657000</v>
      </c>
      <c r="D23" s="3" t="n">
        <v>192971000</v>
      </c>
      <c r="E23" s="3" t="n">
        <v>287915000</v>
      </c>
      <c r="F23" s="3" t="n"/>
    </row>
    <row r="24">
      <c r="A24" t="inlineStr">
        <is>
          <t>Net Long Term Debt Issuance</t>
        </is>
      </c>
      <c r="B24" s="3" t="n">
        <v>390645000</v>
      </c>
      <c r="C24" s="3" t="n">
        <v>562657000</v>
      </c>
      <c r="D24" s="3" t="n">
        <v>192971000</v>
      </c>
      <c r="E24" s="3" t="n">
        <v>287915000</v>
      </c>
      <c r="F24" s="3" t="n"/>
    </row>
    <row r="25">
      <c r="A25" t="inlineStr">
        <is>
          <t>Long Term Debt Payments</t>
        </is>
      </c>
      <c r="B25" s="3" t="n">
        <v>-581843000</v>
      </c>
      <c r="C25" s="3" t="n">
        <v>-738064000</v>
      </c>
      <c r="D25" s="3" t="n">
        <v>-599257000</v>
      </c>
      <c r="E25" s="3" t="n">
        <v>-400898000</v>
      </c>
      <c r="F25" s="3" t="n"/>
    </row>
    <row r="26">
      <c r="A26" t="inlineStr">
        <is>
          <t>Long Term Debt Issuance</t>
        </is>
      </c>
      <c r="B26" s="3" t="n">
        <v>972488000</v>
      </c>
      <c r="C26" s="3" t="n">
        <v>1300721000</v>
      </c>
      <c r="D26" s="3" t="n">
        <v>792228000</v>
      </c>
      <c r="E26" s="3" t="n">
        <v>688813000</v>
      </c>
      <c r="F26" s="3" t="n"/>
    </row>
    <row r="27">
      <c r="A27" t="inlineStr">
        <is>
          <t>Investing Cash Flow</t>
        </is>
      </c>
      <c r="B27" s="3" t="n">
        <v>-177171000</v>
      </c>
      <c r="C27" s="3" t="n">
        <v>-237726000</v>
      </c>
      <c r="D27" s="3" t="n">
        <v>-118455000</v>
      </c>
      <c r="E27" s="3" t="n">
        <v>-114125000</v>
      </c>
      <c r="F27" s="3" t="n"/>
    </row>
    <row r="28">
      <c r="A28" t="inlineStr">
        <is>
          <t>Cash Flow From Continuing Investing Activities</t>
        </is>
      </c>
      <c r="B28" s="3" t="n">
        <v>-177171000</v>
      </c>
      <c r="C28" s="3" t="n">
        <v>-237726000</v>
      </c>
      <c r="D28" s="3" t="n">
        <v>-118455000</v>
      </c>
      <c r="E28" s="3" t="n">
        <v>-114125000</v>
      </c>
      <c r="F28" s="3" t="n"/>
    </row>
    <row r="29">
      <c r="A29" t="inlineStr">
        <is>
          <t>Net Other Investing Changes</t>
        </is>
      </c>
      <c r="B29" s="3" t="n">
        <v>162515000</v>
      </c>
      <c r="C29" s="3" t="n">
        <v>-49906000</v>
      </c>
      <c r="D29" s="3" t="n">
        <v>-52564000</v>
      </c>
      <c r="E29" s="3" t="n">
        <v>6736000</v>
      </c>
      <c r="F29" s="3" t="n"/>
    </row>
    <row r="30">
      <c r="A30" t="inlineStr">
        <is>
          <t>Net Investment Purchase And Sale</t>
        </is>
      </c>
      <c r="B30" s="3" t="n"/>
      <c r="C30" s="3" t="n">
        <v>11930000</v>
      </c>
      <c r="D30" s="3" t="n">
        <v>0</v>
      </c>
      <c r="E30" s="3" t="n">
        <v>-6250000</v>
      </c>
      <c r="F30" s="3" t="n">
        <v>-40000000</v>
      </c>
    </row>
    <row r="31">
      <c r="A31" t="inlineStr">
        <is>
          <t>Sale Of Investment</t>
        </is>
      </c>
      <c r="B31" s="3" t="n"/>
      <c r="C31" s="3" t="n">
        <v>11930000</v>
      </c>
      <c r="D31" s="3" t="n"/>
      <c r="E31" s="3" t="n">
        <v>0</v>
      </c>
      <c r="F31" s="3" t="n"/>
    </row>
    <row r="32">
      <c r="A32" t="inlineStr">
        <is>
          <t>Purchase Of Investment</t>
        </is>
      </c>
      <c r="B32" s="3" t="n"/>
      <c r="C32" s="3" t="n">
        <v>0</v>
      </c>
      <c r="D32" s="3" t="n">
        <v>0</v>
      </c>
      <c r="E32" s="3" t="n">
        <v>-6250000</v>
      </c>
      <c r="F32" s="3" t="n">
        <v>-40000000</v>
      </c>
    </row>
    <row r="33">
      <c r="A33" t="inlineStr">
        <is>
          <t>Net Business Purchase And Sale</t>
        </is>
      </c>
      <c r="B33" s="3" t="n"/>
      <c r="C33" s="3" t="n">
        <v>11930000</v>
      </c>
      <c r="D33" s="3" t="n">
        <v>0</v>
      </c>
      <c r="E33" s="3" t="n">
        <v>0</v>
      </c>
      <c r="F33" s="3" t="n">
        <v>-16757000</v>
      </c>
    </row>
    <row r="34">
      <c r="A34" t="inlineStr">
        <is>
          <t>Sale Of Business</t>
        </is>
      </c>
      <c r="B34" s="3" t="n"/>
      <c r="C34" s="3" t="n">
        <v>11930000</v>
      </c>
      <c r="D34" s="3" t="n">
        <v>0</v>
      </c>
      <c r="E34" s="3" t="n">
        <v>0</v>
      </c>
      <c r="F34" s="3" t="n"/>
    </row>
    <row r="35">
      <c r="A35" t="inlineStr">
        <is>
          <t>Purchase Of Business</t>
        </is>
      </c>
      <c r="B35" s="3" t="n"/>
      <c r="C35" s="3" t="n"/>
      <c r="D35" s="3" t="n">
        <v>0</v>
      </c>
      <c r="E35" s="3" t="n">
        <v>0</v>
      </c>
      <c r="F35" s="3" t="n">
        <v>-16757000</v>
      </c>
    </row>
    <row r="36">
      <c r="A36" t="inlineStr">
        <is>
          <t>Net PPE Purchase And Sale</t>
        </is>
      </c>
      <c r="B36" s="3" t="n">
        <v>-347000</v>
      </c>
      <c r="C36" s="3" t="n">
        <v>-837000</v>
      </c>
      <c r="D36" s="3" t="n">
        <v>-1527000</v>
      </c>
      <c r="E36" s="3" t="n">
        <v>-8825000</v>
      </c>
      <c r="F36" s="3" t="n"/>
    </row>
    <row r="37">
      <c r="A37" t="inlineStr">
        <is>
          <t>Purchase Of PPE</t>
        </is>
      </c>
      <c r="B37" s="3" t="n">
        <v>-347000</v>
      </c>
      <c r="C37" s="3" t="n">
        <v>-837000</v>
      </c>
      <c r="D37" s="3" t="n">
        <v>-1527000</v>
      </c>
      <c r="E37" s="3" t="n">
        <v>-8825000</v>
      </c>
      <c r="F37" s="3" t="n"/>
    </row>
    <row r="38">
      <c r="A38" t="inlineStr">
        <is>
          <t>Capital Expenditure Reported</t>
        </is>
      </c>
      <c r="B38" s="3" t="n">
        <v>-18060000</v>
      </c>
      <c r="C38" s="3" t="n">
        <v>-9153000</v>
      </c>
      <c r="D38" s="3" t="n">
        <v>-10559000</v>
      </c>
      <c r="E38" s="3" t="n">
        <v>-14088000</v>
      </c>
      <c r="F38" s="3" t="n"/>
    </row>
    <row r="39">
      <c r="A39" t="inlineStr">
        <is>
          <t>Operating Cash Flow</t>
        </is>
      </c>
      <c r="B39" s="3" t="n">
        <v>-147725000</v>
      </c>
      <c r="C39" s="3" t="n">
        <v>186331000</v>
      </c>
      <c r="D39" s="3" t="n">
        <v>-111712000</v>
      </c>
      <c r="E39" s="3" t="n">
        <v>-657860000</v>
      </c>
      <c r="F39" s="3" t="n"/>
    </row>
    <row r="40">
      <c r="A40" t="inlineStr">
        <is>
          <t>Cash Flow From Continuing Operating Activities</t>
        </is>
      </c>
      <c r="B40" s="3" t="n">
        <v>-147725000</v>
      </c>
      <c r="C40" s="3" t="n">
        <v>186331000</v>
      </c>
      <c r="D40" s="3" t="n">
        <v>-111712000</v>
      </c>
      <c r="E40" s="3" t="n">
        <v>-657860000</v>
      </c>
      <c r="F40" s="3" t="n"/>
    </row>
    <row r="41">
      <c r="A41" t="inlineStr">
        <is>
          <t>Change In Working Capital</t>
        </is>
      </c>
      <c r="B41" s="3" t="n">
        <v>26643000</v>
      </c>
      <c r="C41" s="3" t="n">
        <v>34627000</v>
      </c>
      <c r="D41" s="3" t="n">
        <v>-19710000</v>
      </c>
      <c r="E41" s="3" t="n">
        <v>-5045000</v>
      </c>
      <c r="F41" s="3" t="n"/>
    </row>
    <row r="42">
      <c r="A42" t="inlineStr">
        <is>
          <t>Change In Other Working Capital</t>
        </is>
      </c>
      <c r="B42" s="3" t="n">
        <v>-2084000</v>
      </c>
      <c r="C42" s="3" t="n">
        <v>-807000</v>
      </c>
      <c r="D42" s="3" t="n">
        <v>-6822000</v>
      </c>
      <c r="E42" s="3" t="n">
        <v>10204000</v>
      </c>
      <c r="F42" s="3" t="n"/>
    </row>
    <row r="43">
      <c r="A43" t="inlineStr">
        <is>
          <t>Change In Other Current Liabilities</t>
        </is>
      </c>
      <c r="B43" s="3" t="n"/>
      <c r="C43" s="3" t="n"/>
      <c r="D43" s="3" t="n">
        <v>2171000</v>
      </c>
      <c r="E43" s="3" t="n">
        <v>-31300000</v>
      </c>
      <c r="F43" s="3" t="n">
        <v>59576000</v>
      </c>
    </row>
    <row r="44">
      <c r="A44" t="inlineStr">
        <is>
          <t>Change In Other Current Assets</t>
        </is>
      </c>
      <c r="B44" s="3" t="n">
        <v>-10831000</v>
      </c>
      <c r="C44" s="3" t="n">
        <v>-8690000</v>
      </c>
      <c r="D44" s="3" t="n">
        <v>-8932000</v>
      </c>
      <c r="E44" s="3" t="n">
        <v>4173000</v>
      </c>
      <c r="F44" s="3" t="n"/>
    </row>
    <row r="45">
      <c r="A45" t="inlineStr">
        <is>
          <t>Change In Payables And Accrued Expense</t>
        </is>
      </c>
      <c r="B45" s="3" t="n">
        <v>39558000</v>
      </c>
      <c r="C45" s="3" t="n">
        <v>44124000</v>
      </c>
      <c r="D45" s="3" t="n">
        <v>-3956000</v>
      </c>
      <c r="E45" s="3" t="n">
        <v>-19422000</v>
      </c>
      <c r="F45" s="3" t="n"/>
    </row>
    <row r="46">
      <c r="A46" t="inlineStr">
        <is>
          <t>Change In Accrued Expense</t>
        </is>
      </c>
      <c r="B46" s="3" t="n">
        <v>39558000</v>
      </c>
      <c r="C46" s="3" t="n">
        <v>44124000</v>
      </c>
      <c r="D46" s="3" t="n">
        <v>-3956000</v>
      </c>
      <c r="E46" s="3" t="n">
        <v>-19422000</v>
      </c>
      <c r="F46" s="3" t="n"/>
    </row>
    <row r="47">
      <c r="A47" t="inlineStr">
        <is>
          <t>Change In Payable</t>
        </is>
      </c>
      <c r="B47" s="3" t="n"/>
      <c r="C47" s="3" t="n"/>
      <c r="D47" s="3" t="n">
        <v>-49116000</v>
      </c>
      <c r="E47" s="3" t="n">
        <v>-4943000</v>
      </c>
      <c r="F47" s="3" t="n">
        <v>54584000</v>
      </c>
    </row>
    <row r="48">
      <c r="A48" t="inlineStr">
        <is>
          <t>Change In Account Payable</t>
        </is>
      </c>
      <c r="B48" s="3" t="n"/>
      <c r="C48" s="3" t="n"/>
      <c r="D48" s="3" t="n">
        <v>-6127000</v>
      </c>
      <c r="E48" s="3" t="n">
        <v>11878000</v>
      </c>
      <c r="F48" s="3" t="n">
        <v>-7513000</v>
      </c>
    </row>
    <row r="49">
      <c r="A49" t="inlineStr">
        <is>
          <t>Other Non Cash Items</t>
        </is>
      </c>
      <c r="B49" s="3" t="n">
        <v>-370587000</v>
      </c>
      <c r="C49" s="3" t="n">
        <v>155567000</v>
      </c>
      <c r="D49" s="3" t="n">
        <v>-49667000</v>
      </c>
      <c r="E49" s="3" t="n">
        <v>-675797000</v>
      </c>
      <c r="F49" s="3" t="n"/>
    </row>
    <row r="50">
      <c r="A50" t="inlineStr">
        <is>
          <t>Stock Based Compensation</t>
        </is>
      </c>
      <c r="B50" s="3" t="n">
        <v>131950000</v>
      </c>
      <c r="C50" s="3" t="n">
        <v>133400000</v>
      </c>
      <c r="D50" s="3" t="n">
        <v>175039000</v>
      </c>
      <c r="E50" s="3" t="n">
        <v>125945000</v>
      </c>
      <c r="F50" s="3" t="n"/>
    </row>
    <row r="51">
      <c r="A51" t="inlineStr">
        <is>
          <t>Unrealized Gain Loss On Investment Securities</t>
        </is>
      </c>
      <c r="B51" s="3" t="n">
        <v>-6921000</v>
      </c>
      <c r="C51" s="3" t="n">
        <v>4130000</v>
      </c>
      <c r="D51" s="3" t="n">
        <v>-2145000</v>
      </c>
      <c r="E51" s="3" t="n">
        <v>-7811000</v>
      </c>
      <c r="F51" s="3" t="n"/>
    </row>
    <row r="52">
      <c r="A52" t="inlineStr">
        <is>
          <t>Depreciation Amortization Depletion</t>
        </is>
      </c>
      <c r="B52" s="3" t="n">
        <v>24835000</v>
      </c>
      <c r="C52" s="3" t="n">
        <v>20549000</v>
      </c>
      <c r="D52" s="3" t="n">
        <v>24903000</v>
      </c>
      <c r="E52" s="3" t="n">
        <v>13513000</v>
      </c>
      <c r="F52" s="3" t="n"/>
    </row>
    <row r="53">
      <c r="A53" t="inlineStr">
        <is>
          <t>Depreciation And Amortization</t>
        </is>
      </c>
      <c r="B53" s="3" t="n">
        <v>24835000</v>
      </c>
      <c r="C53" s="3" t="n">
        <v>20549000</v>
      </c>
      <c r="D53" s="3" t="n">
        <v>24903000</v>
      </c>
      <c r="E53" s="3" t="n">
        <v>13513000</v>
      </c>
      <c r="F53" s="3" t="n"/>
    </row>
    <row r="54">
      <c r="A54" t="inlineStr">
        <is>
          <t>Operating Gains Losses</t>
        </is>
      </c>
      <c r="B54" s="3" t="n">
        <v>-7246000</v>
      </c>
      <c r="C54" s="3" t="n">
        <v>-33361000</v>
      </c>
      <c r="D54" s="3" t="n"/>
      <c r="E54" s="3" t="n"/>
      <c r="F54" s="3" t="n"/>
    </row>
    <row r="55">
      <c r="A55" t="inlineStr">
        <is>
          <t>Net Income From Continuing Operations</t>
        </is>
      </c>
      <c r="B55" s="3" t="n">
        <v>53601000</v>
      </c>
      <c r="C55" s="3" t="n">
        <v>-128581000</v>
      </c>
      <c r="D55" s="3" t="n">
        <v>-240132000</v>
      </c>
      <c r="E55" s="3" t="n">
        <v>-108665000</v>
      </c>
      <c r="F55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  <c r="G1" s="1" t="inlineStr">
        <is>
          <t>2025-03-31</t>
        </is>
      </c>
    </row>
    <row r="2">
      <c r="A2" t="inlineStr">
        <is>
          <t>Free Cash Flow</t>
        </is>
      </c>
      <c r="B2" s="3" t="n">
        <v>-142882000</v>
      </c>
      <c r="C2" s="3" t="n">
        <v>-140289000</v>
      </c>
      <c r="D2" s="3" t="n">
        <v>104633000</v>
      </c>
      <c r="E2" s="3" t="n">
        <v>-126592000</v>
      </c>
      <c r="F2" s="3" t="n">
        <v>-124528000</v>
      </c>
      <c r="G2" s="3" t="n"/>
    </row>
    <row r="3">
      <c r="A3" t="inlineStr">
        <is>
          <t>Repurchase Of Capital Stock</t>
        </is>
      </c>
      <c r="B3" s="3" t="n">
        <v>0</v>
      </c>
      <c r="C3" s="3" t="n">
        <v>-100057000</v>
      </c>
      <c r="D3" s="3" t="n"/>
      <c r="E3" s="3" t="n"/>
      <c r="F3" s="3" t="n">
        <v>0</v>
      </c>
      <c r="G3" s="3" t="n">
        <v>0</v>
      </c>
    </row>
    <row r="4">
      <c r="A4" t="inlineStr">
        <is>
          <t>Repayment Of Debt</t>
        </is>
      </c>
      <c r="B4" s="3" t="n">
        <v>-228141000</v>
      </c>
      <c r="C4" s="3" t="n">
        <v>-39841000</v>
      </c>
      <c r="D4" s="3" t="n">
        <v>-118172000</v>
      </c>
      <c r="E4" s="3" t="n">
        <v>-288959000</v>
      </c>
      <c r="F4" s="3" t="n">
        <v>-40983000</v>
      </c>
      <c r="G4" s="3" t="n"/>
    </row>
    <row r="5">
      <c r="A5" t="inlineStr">
        <is>
          <t>Issuance Of Debt</t>
        </is>
      </c>
      <c r="B5" s="3" t="n">
        <v>301026000</v>
      </c>
      <c r="C5" s="3" t="n">
        <v>123524000</v>
      </c>
      <c r="D5" s="3" t="n">
        <v>81370000</v>
      </c>
      <c r="E5" s="3" t="n">
        <v>714762000</v>
      </c>
      <c r="F5" s="3" t="n">
        <v>122701000</v>
      </c>
      <c r="G5" s="3" t="n"/>
    </row>
    <row r="6">
      <c r="A6" t="inlineStr">
        <is>
          <t>Capital Expenditure</t>
        </is>
      </c>
      <c r="B6" s="3" t="n">
        <v>-6250000</v>
      </c>
      <c r="C6" s="3" t="n">
        <v>-6992000</v>
      </c>
      <c r="D6" s="3" t="n">
        <v>-3919000</v>
      </c>
      <c r="E6" s="3" t="n">
        <v>-3963000</v>
      </c>
      <c r="F6" s="3" t="n">
        <v>-4366000</v>
      </c>
      <c r="G6" s="3" t="n"/>
    </row>
    <row r="7">
      <c r="A7" t="inlineStr">
        <is>
          <t>Interest Paid Supplemental Data</t>
        </is>
      </c>
      <c r="B7" s="3" t="n">
        <v>10902000</v>
      </c>
      <c r="C7" s="3" t="n">
        <v>3493000</v>
      </c>
      <c r="D7" s="3" t="n">
        <v>8969000</v>
      </c>
      <c r="E7" s="3" t="n">
        <v>12404000</v>
      </c>
      <c r="F7" s="3" t="n">
        <v>14732000</v>
      </c>
      <c r="G7" s="3" t="n"/>
    </row>
    <row r="8">
      <c r="A8" t="inlineStr">
        <is>
          <t>Income Tax Paid Supplemental Data</t>
        </is>
      </c>
      <c r="B8" s="3" t="n">
        <v>1265000</v>
      </c>
      <c r="C8" s="3" t="n">
        <v>79000</v>
      </c>
      <c r="D8" s="3" t="n">
        <v>18000</v>
      </c>
      <c r="E8" s="3" t="n">
        <v>22000</v>
      </c>
      <c r="F8" s="3" t="n">
        <v>454000</v>
      </c>
      <c r="G8" s="3" t="n"/>
    </row>
    <row r="9">
      <c r="A9" t="inlineStr">
        <is>
          <t>End Cash Position</t>
        </is>
      </c>
      <c r="B9" s="3" t="n">
        <v>982277000</v>
      </c>
      <c r="C9" s="3" t="n">
        <v>931334000</v>
      </c>
      <c r="D9" s="3" t="n">
        <v>1057012000</v>
      </c>
      <c r="E9" s="3" t="n">
        <v>836905000</v>
      </c>
      <c r="F9" s="3" t="n">
        <v>701460000</v>
      </c>
      <c r="G9" s="3" t="n"/>
    </row>
    <row r="10">
      <c r="A10" t="inlineStr">
        <is>
          <t>Beginning Cash Position</t>
        </is>
      </c>
      <c r="B10" s="3" t="n">
        <v>931334000</v>
      </c>
      <c r="C10" s="3" t="n">
        <v>1057012000</v>
      </c>
      <c r="D10" s="3" t="n">
        <v>836905000</v>
      </c>
      <c r="E10" s="3" t="n">
        <v>701460000</v>
      </c>
      <c r="F10" s="3" t="n">
        <v>839528000</v>
      </c>
      <c r="G10" s="3" t="n"/>
    </row>
    <row r="11">
      <c r="A11" t="inlineStr">
        <is>
          <t>Changes In Cash</t>
        </is>
      </c>
      <c r="B11" s="3" t="n">
        <v>50943000</v>
      </c>
      <c r="C11" s="3" t="n">
        <v>-125678000</v>
      </c>
      <c r="D11" s="3" t="n">
        <v>220107000</v>
      </c>
      <c r="E11" s="3" t="n">
        <v>135445000</v>
      </c>
      <c r="F11" s="3" t="n">
        <v>-138068000</v>
      </c>
      <c r="G11" s="3" t="n"/>
    </row>
    <row r="12">
      <c r="A12" t="inlineStr">
        <is>
          <t>Financing Cash Flow</t>
        </is>
      </c>
      <c r="B12" s="3" t="n">
        <v>93493000</v>
      </c>
      <c r="C12" s="3" t="n">
        <v>6743000</v>
      </c>
      <c r="D12" s="3" t="n">
        <v>-20183000</v>
      </c>
      <c r="E12" s="3" t="n">
        <v>378580000</v>
      </c>
      <c r="F12" s="3" t="n">
        <v>91928000</v>
      </c>
      <c r="G12" s="3" t="n"/>
    </row>
    <row r="13">
      <c r="A13" t="inlineStr">
        <is>
          <t>Cash Flow From Continuing Financing Activities</t>
        </is>
      </c>
      <c r="B13" s="3" t="n">
        <v>93493000</v>
      </c>
      <c r="C13" s="3" t="n">
        <v>6743000</v>
      </c>
      <c r="D13" s="3" t="n">
        <v>-20183000</v>
      </c>
      <c r="E13" s="3" t="n">
        <v>378580000</v>
      </c>
      <c r="F13" s="3" t="n">
        <v>91928000</v>
      </c>
      <c r="G13" s="3" t="n"/>
    </row>
    <row r="14">
      <c r="A14" t="inlineStr">
        <is>
          <t>Net Other Financing Charges</t>
        </is>
      </c>
      <c r="B14" s="3" t="n">
        <v>19685000</v>
      </c>
      <c r="C14" s="3" t="n">
        <v>17864000</v>
      </c>
      <c r="D14" s="3" t="n">
        <v>14262000</v>
      </c>
      <c r="E14" s="3" t="n">
        <v>-55615000</v>
      </c>
      <c r="F14" s="3" t="n">
        <v>8555000</v>
      </c>
      <c r="G14" s="3" t="n"/>
    </row>
    <row r="15">
      <c r="A15" t="inlineStr">
        <is>
          <t>Proceeds From Stock Option Exercised</t>
        </is>
      </c>
      <c r="B15" s="3" t="n">
        <v>923000</v>
      </c>
      <c r="C15" s="3" t="n">
        <v>5253000</v>
      </c>
      <c r="D15" s="3" t="n">
        <v>2357000</v>
      </c>
      <c r="E15" s="3" t="n">
        <v>8392000</v>
      </c>
      <c r="F15" s="3" t="n">
        <v>1655000</v>
      </c>
      <c r="G15" s="3" t="n"/>
    </row>
    <row r="16">
      <c r="A16" t="inlineStr">
        <is>
          <t>Net Common Stock Issuance</t>
        </is>
      </c>
      <c r="B16" s="3" t="n">
        <v>0</v>
      </c>
      <c r="C16" s="3" t="n">
        <v>-100057000</v>
      </c>
      <c r="D16" s="3" t="n"/>
      <c r="E16" s="3" t="n"/>
      <c r="F16" s="3" t="n">
        <v>0</v>
      </c>
      <c r="G16" s="3" t="n">
        <v>0</v>
      </c>
    </row>
    <row r="17">
      <c r="A17" t="inlineStr">
        <is>
          <t>Common Stock Payments</t>
        </is>
      </c>
      <c r="B17" s="3" t="n">
        <v>0</v>
      </c>
      <c r="C17" s="3" t="n">
        <v>-100057000</v>
      </c>
      <c r="D17" s="3" t="n"/>
      <c r="E17" s="3" t="n"/>
      <c r="F17" s="3" t="n">
        <v>0</v>
      </c>
      <c r="G17" s="3" t="n">
        <v>0</v>
      </c>
    </row>
    <row r="18">
      <c r="A18" t="inlineStr">
        <is>
          <t>Net Issuance Payments Of Debt</t>
        </is>
      </c>
      <c r="B18" s="3" t="n">
        <v>72885000</v>
      </c>
      <c r="C18" s="3" t="n">
        <v>83683000</v>
      </c>
      <c r="D18" s="3" t="n">
        <v>-36802000</v>
      </c>
      <c r="E18" s="3" t="n">
        <v>425803000</v>
      </c>
      <c r="F18" s="3" t="n">
        <v>81718000</v>
      </c>
      <c r="G18" s="3" t="n"/>
    </row>
    <row r="19">
      <c r="A19" t="inlineStr">
        <is>
          <t>Net Long Term Debt Issuance</t>
        </is>
      </c>
      <c r="B19" s="3" t="n">
        <v>72885000</v>
      </c>
      <c r="C19" s="3" t="n">
        <v>83683000</v>
      </c>
      <c r="D19" s="3" t="n">
        <v>-36802000</v>
      </c>
      <c r="E19" s="3" t="n">
        <v>425803000</v>
      </c>
      <c r="F19" s="3" t="n">
        <v>81718000</v>
      </c>
      <c r="G19" s="3" t="n"/>
    </row>
    <row r="20">
      <c r="A20" t="inlineStr">
        <is>
          <t>Long Term Debt Payments</t>
        </is>
      </c>
      <c r="B20" s="3" t="n">
        <v>-228141000</v>
      </c>
      <c r="C20" s="3" t="n">
        <v>-39841000</v>
      </c>
      <c r="D20" s="3" t="n">
        <v>-118172000</v>
      </c>
      <c r="E20" s="3" t="n">
        <v>-288959000</v>
      </c>
      <c r="F20" s="3" t="n">
        <v>-40983000</v>
      </c>
      <c r="G20" s="3" t="n"/>
    </row>
    <row r="21">
      <c r="A21" t="inlineStr">
        <is>
          <t>Long Term Debt Issuance</t>
        </is>
      </c>
      <c r="B21" s="3" t="n">
        <v>301026000</v>
      </c>
      <c r="C21" s="3" t="n">
        <v>123524000</v>
      </c>
      <c r="D21" s="3" t="n">
        <v>81370000</v>
      </c>
      <c r="E21" s="3" t="n">
        <v>714762000</v>
      </c>
      <c r="F21" s="3" t="n">
        <v>122701000</v>
      </c>
      <c r="G21" s="3" t="n"/>
    </row>
    <row r="22">
      <c r="A22" t="inlineStr">
        <is>
          <t>Investing Cash Flow</t>
        </is>
      </c>
      <c r="B22" s="3" t="n">
        <v>94082000</v>
      </c>
      <c r="C22" s="3" t="n">
        <v>876000</v>
      </c>
      <c r="D22" s="3" t="n">
        <v>131738000</v>
      </c>
      <c r="E22" s="3" t="n">
        <v>-120506000</v>
      </c>
      <c r="F22" s="3" t="n">
        <v>-109834000</v>
      </c>
      <c r="G22" s="3" t="n"/>
    </row>
    <row r="23">
      <c r="A23" t="inlineStr">
        <is>
          <t>Cash Flow From Continuing Investing Activities</t>
        </is>
      </c>
      <c r="B23" s="3" t="n">
        <v>94082000</v>
      </c>
      <c r="C23" s="3" t="n">
        <v>876000</v>
      </c>
      <c r="D23" s="3" t="n">
        <v>131738000</v>
      </c>
      <c r="E23" s="3" t="n">
        <v>-120506000</v>
      </c>
      <c r="F23" s="3" t="n">
        <v>-109834000</v>
      </c>
      <c r="G23" s="3" t="n"/>
    </row>
    <row r="24">
      <c r="A24" t="inlineStr">
        <is>
          <t>Net Other Investing Changes</t>
        </is>
      </c>
      <c r="B24" s="3" t="n">
        <v>75669000</v>
      </c>
      <c r="C24" s="3" t="n">
        <v>55353000</v>
      </c>
      <c r="D24" s="3" t="n">
        <v>56999000</v>
      </c>
      <c r="E24" s="3" t="n">
        <v>55642000</v>
      </c>
      <c r="F24" s="3" t="n">
        <v>31432000</v>
      </c>
      <c r="G24" s="3" t="n"/>
    </row>
    <row r="25">
      <c r="A25" t="inlineStr">
        <is>
          <t>Net PPE Purchase And Sale</t>
        </is>
      </c>
      <c r="B25" s="3" t="n">
        <v>-2058000</v>
      </c>
      <c r="C25" s="3" t="n">
        <v>-2750000</v>
      </c>
      <c r="D25" s="3" t="n">
        <v>-157000</v>
      </c>
      <c r="E25" s="3" t="n">
        <v>-75000</v>
      </c>
      <c r="F25" s="3" t="n">
        <v>-115000</v>
      </c>
      <c r="G25" s="3" t="n"/>
    </row>
    <row r="26">
      <c r="A26" t="inlineStr">
        <is>
          <t>Purchase Of PPE</t>
        </is>
      </c>
      <c r="B26" s="3" t="n">
        <v>-2058000</v>
      </c>
      <c r="C26" s="3" t="n">
        <v>-2750000</v>
      </c>
      <c r="D26" s="3" t="n">
        <v>-157000</v>
      </c>
      <c r="E26" s="3" t="n">
        <v>-75000</v>
      </c>
      <c r="F26" s="3" t="n">
        <v>-115000</v>
      </c>
      <c r="G26" s="3" t="n"/>
    </row>
    <row r="27">
      <c r="A27" t="inlineStr">
        <is>
          <t>Capital Expenditure Reported</t>
        </is>
      </c>
      <c r="B27" s="3" t="n">
        <v>-4192000</v>
      </c>
      <c r="C27" s="3" t="n">
        <v>-4242000</v>
      </c>
      <c r="D27" s="3" t="n">
        <v>-3762000</v>
      </c>
      <c r="E27" s="3" t="n">
        <v>-3888000</v>
      </c>
      <c r="F27" s="3" t="n">
        <v>-4251000</v>
      </c>
      <c r="G27" s="3" t="n"/>
    </row>
    <row r="28">
      <c r="A28" t="inlineStr">
        <is>
          <t>Operating Cash Flow</t>
        </is>
      </c>
      <c r="B28" s="3" t="n">
        <v>-136632000</v>
      </c>
      <c r="C28" s="3" t="n">
        <v>-133297000</v>
      </c>
      <c r="D28" s="3" t="n">
        <v>108552000</v>
      </c>
      <c r="E28" s="3" t="n">
        <v>-122629000</v>
      </c>
      <c r="F28" s="3" t="n">
        <v>-120162000</v>
      </c>
      <c r="G28" s="3" t="n"/>
    </row>
    <row r="29">
      <c r="A29" t="inlineStr">
        <is>
          <t>Cash Flow From Continuing Operating Activities</t>
        </is>
      </c>
      <c r="B29" s="3" t="n">
        <v>-136632000</v>
      </c>
      <c r="C29" s="3" t="n">
        <v>-133297000</v>
      </c>
      <c r="D29" s="3" t="n">
        <v>108552000</v>
      </c>
      <c r="E29" s="3" t="n">
        <v>-122629000</v>
      </c>
      <c r="F29" s="3" t="n">
        <v>-120162000</v>
      </c>
      <c r="G29" s="3" t="n"/>
    </row>
    <row r="30">
      <c r="A30" t="inlineStr">
        <is>
          <t>Change In Working Capital</t>
        </is>
      </c>
      <c r="B30" s="3" t="n">
        <v>28434000</v>
      </c>
      <c r="C30" s="3" t="n">
        <v>-44872000</v>
      </c>
      <c r="D30" s="3" t="n">
        <v>44685000</v>
      </c>
      <c r="E30" s="3" t="n">
        <v>-13957000</v>
      </c>
      <c r="F30" s="3" t="n">
        <v>38611000</v>
      </c>
      <c r="G30" s="3" t="n"/>
    </row>
    <row r="31">
      <c r="A31" t="inlineStr">
        <is>
          <t>Change In Other Working Capital</t>
        </is>
      </c>
      <c r="B31" s="3" t="n">
        <v>-374000</v>
      </c>
      <c r="C31" s="3" t="n">
        <v>-796000</v>
      </c>
      <c r="D31" s="3" t="n">
        <v>-1166000</v>
      </c>
      <c r="E31" s="3" t="n">
        <v>-308000</v>
      </c>
      <c r="F31" s="3" t="n">
        <v>-304000</v>
      </c>
      <c r="G31" s="3" t="n"/>
    </row>
    <row r="32">
      <c r="A32" t="inlineStr">
        <is>
          <t>Change In Other Current Assets</t>
        </is>
      </c>
      <c r="B32" s="3" t="n">
        <v>-9457000</v>
      </c>
      <c r="C32" s="3" t="n">
        <v>4374000</v>
      </c>
      <c r="D32" s="3" t="n">
        <v>-14656000</v>
      </c>
      <c r="E32" s="3" t="n">
        <v>-239000</v>
      </c>
      <c r="F32" s="3" t="n">
        <v>-2373000</v>
      </c>
      <c r="G32" s="3" t="n"/>
    </row>
    <row r="33">
      <c r="A33" t="inlineStr">
        <is>
          <t>Change In Payables And Accrued Expense</t>
        </is>
      </c>
      <c r="B33" s="3" t="n">
        <v>38265000</v>
      </c>
      <c r="C33" s="3" t="n">
        <v>-48450000</v>
      </c>
      <c r="D33" s="3" t="n">
        <v>60507000</v>
      </c>
      <c r="E33" s="3" t="n">
        <v>-13410000</v>
      </c>
      <c r="F33" s="3" t="n">
        <v>41288000</v>
      </c>
      <c r="G33" s="3" t="n"/>
    </row>
    <row r="34">
      <c r="A34" t="inlineStr">
        <is>
          <t>Change In Accrued Expense</t>
        </is>
      </c>
      <c r="B34" s="3" t="n">
        <v>38265000</v>
      </c>
      <c r="C34" s="3" t="n">
        <v>-48450000</v>
      </c>
      <c r="D34" s="3" t="n">
        <v>60507000</v>
      </c>
      <c r="E34" s="3" t="n">
        <v>-13410000</v>
      </c>
      <c r="F34" s="3" t="n">
        <v>41288000</v>
      </c>
      <c r="G34" s="3" t="n"/>
    </row>
    <row r="35">
      <c r="A35" t="inlineStr">
        <is>
          <t>Other Non Cash Items</t>
        </is>
      </c>
      <c r="B35" s="3" t="n">
        <v>-232864000</v>
      </c>
      <c r="C35" s="3" t="n">
        <v>-121554000</v>
      </c>
      <c r="D35" s="3" t="n">
        <v>7709000</v>
      </c>
      <c r="E35" s="3" t="n">
        <v>-170372000</v>
      </c>
      <c r="F35" s="3" t="n">
        <v>-203383000</v>
      </c>
      <c r="G35" s="3" t="n"/>
    </row>
    <row r="36">
      <c r="A36" t="inlineStr">
        <is>
          <t>Stock Based Compensation</t>
        </is>
      </c>
      <c r="B36" s="3" t="n">
        <v>44466000</v>
      </c>
      <c r="C36" s="3" t="n">
        <v>34811000</v>
      </c>
      <c r="D36" s="3" t="n">
        <v>32453000</v>
      </c>
      <c r="E36" s="3" t="n">
        <v>34155000</v>
      </c>
      <c r="F36" s="3" t="n">
        <v>35511000</v>
      </c>
      <c r="G36" s="3" t="n"/>
    </row>
    <row r="37">
      <c r="A37" t="inlineStr">
        <is>
          <t>Unrealized Gain Loss On Investment Securities</t>
        </is>
      </c>
      <c r="B37" s="3" t="n">
        <v>-333000</v>
      </c>
      <c r="C37" s="3" t="n">
        <v>-894000</v>
      </c>
      <c r="D37" s="3" t="n">
        <v>-1392000</v>
      </c>
      <c r="E37" s="3" t="n">
        <v>-3145000</v>
      </c>
      <c r="F37" s="3" t="n">
        <v>-2351000</v>
      </c>
      <c r="G37" s="3" t="n"/>
    </row>
    <row r="38">
      <c r="A38" t="inlineStr">
        <is>
          <t>Depreciation Amortization Depletion</t>
        </is>
      </c>
      <c r="B38" s="3" t="n">
        <v>7126000</v>
      </c>
      <c r="C38" s="3" t="n">
        <v>5858000</v>
      </c>
      <c r="D38" s="3" t="n">
        <v>6461000</v>
      </c>
      <c r="E38" s="3" t="n">
        <v>6131000</v>
      </c>
      <c r="F38" s="3" t="n">
        <v>5843000</v>
      </c>
      <c r="G38" s="3" t="n"/>
    </row>
    <row r="39">
      <c r="A39" t="inlineStr">
        <is>
          <t>Depreciation And Amortization</t>
        </is>
      </c>
      <c r="B39" s="3" t="n">
        <v>7126000</v>
      </c>
      <c r="C39" s="3" t="n">
        <v>5858000</v>
      </c>
      <c r="D39" s="3" t="n">
        <v>6461000</v>
      </c>
      <c r="E39" s="3" t="n">
        <v>6131000</v>
      </c>
      <c r="F39" s="3" t="n">
        <v>5843000</v>
      </c>
      <c r="G39" s="3" t="n"/>
    </row>
    <row r="40">
      <c r="A40" t="inlineStr">
        <is>
          <t>Operating Gains Losses</t>
        </is>
      </c>
      <c r="B40" s="3" t="n"/>
      <c r="C40" s="3" t="n"/>
      <c r="D40" s="3" t="n">
        <v>0</v>
      </c>
      <c r="E40" s="3" t="n">
        <v>-4592000</v>
      </c>
      <c r="F40" s="3" t="n">
        <v>-463000</v>
      </c>
      <c r="G40" s="3" t="n">
        <v>246000</v>
      </c>
    </row>
    <row r="41">
      <c r="A41" t="inlineStr">
        <is>
          <t>Net Income From Continuing Operations</t>
        </is>
      </c>
      <c r="B41" s="3" t="n">
        <v>16539000</v>
      </c>
      <c r="C41" s="3" t="n">
        <v>-6646000</v>
      </c>
      <c r="D41" s="3" t="n">
        <v>18636000</v>
      </c>
      <c r="E41" s="3" t="n">
        <v>31805000</v>
      </c>
      <c r="F41" s="3" t="n">
        <v>5607000</v>
      </c>
      <c r="G4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'Gross Profit' not found in statements — left blank</t>
        </is>
      </c>
    </row>
    <row r="3">
      <c r="A3" t="inlineStr">
        <is>
          <t>FY Summary</t>
        </is>
      </c>
      <c r="B3" t="inlineStr">
        <is>
          <t>'Operating Income' not found in statements — left blank</t>
        </is>
      </c>
    </row>
    <row r="4">
      <c r="A4" t="inlineStr">
        <is>
          <t>FY Summary</t>
        </is>
      </c>
      <c r="B4" t="inlineStr">
        <is>
          <t>'EBITDA'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2026-10-16T18:59:56Z</dcterms:created>
  <dcterms:modified xmlns:dcterms="http://purl.org/dc/terms/" xmlns:xsi="http://www.w3.org/2001/XMLSchema-instance" xsi:type="dcterms:W3CDTF">2026-10-16T18:59:56Z</dcterms:modified>
</cp:coreProperties>
</file>