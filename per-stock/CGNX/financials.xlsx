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CGNX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Cognex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Scientific &amp; Technical Instruments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10857204736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10634466304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76.75294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36.569916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10.372201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0.6802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0.22304001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0.13618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0.09748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0.243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296756000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74017000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241106000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166419451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65.23999999999999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(annual)'!D40</f>
        <v/>
      </c>
      <c r="C3" s="3">
        <f>'Income stmt (annual)'!C40</f>
        <v/>
      </c>
      <c r="D3" s="3">
        <f>'Income stmt (annual)'!B40</f>
        <v/>
      </c>
      <c r="E3" s="3">
        <f>SUM('Income stmt (quarterly)'!B37:E37)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(annual)'!D38</f>
        <v/>
      </c>
      <c r="C4" s="3">
        <f>'Income stmt (annual)'!C38</f>
        <v/>
      </c>
      <c r="D4" s="3">
        <f>'Income stmt (annual)'!B38</f>
        <v/>
      </c>
      <c r="E4" s="3">
        <f>SUM('Income stmt (quarterly)'!B35:E35)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(annual)'!D34</f>
        <v/>
      </c>
      <c r="C6" s="3">
        <f>'Income stmt (annual)'!C34</f>
        <v/>
      </c>
      <c r="D6" s="3">
        <f>'Income stmt (annual)'!B34</f>
        <v/>
      </c>
      <c r="E6" s="3">
        <f>SUM('Income stmt (quarterly)'!B31:E31)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(annual)'!D4</f>
        <v/>
      </c>
      <c r="C11" s="3">
        <f>-'Cash flow (annual)'!C4</f>
        <v/>
      </c>
      <c r="D11" s="3">
        <f>-'Cash flow (annual)'!B4</f>
        <v/>
      </c>
      <c r="E11" s="3">
        <f>-SUM('Cash flow (quarterly)'!B4:E4)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4812072.515618</v>
      </c>
      <c r="C2" s="3" t="n">
        <v>2984885.701466</v>
      </c>
      <c r="D2" s="3" t="n">
        <v>1928640</v>
      </c>
      <c r="E2" s="3" t="n">
        <v>-2463211.711442</v>
      </c>
      <c r="F2" s="3" t="n"/>
    </row>
    <row r="3">
      <c r="A3" t="inlineStr">
        <is>
          <t>Tax Rate For Calcs</t>
        </is>
      </c>
      <c r="B3" s="3" t="n">
        <v>0.373957</v>
      </c>
      <c r="C3" s="3" t="n">
        <v>0.192548</v>
      </c>
      <c r="D3" s="3" t="n">
        <v>0.16</v>
      </c>
      <c r="E3" s="3" t="n">
        <v>0.14029</v>
      </c>
      <c r="F3" s="3" t="n"/>
    </row>
    <row r="4">
      <c r="A4" t="inlineStr">
        <is>
          <t>Normalized EBITDA</t>
        </is>
      </c>
      <c r="B4" s="3" t="n">
        <v>180491000</v>
      </c>
      <c r="C4" s="3" t="n">
        <v>132252000</v>
      </c>
      <c r="D4" s="3" t="n">
        <v>132528000</v>
      </c>
      <c r="E4" s="3" t="n">
        <v>305844000</v>
      </c>
      <c r="F4" s="3" t="n"/>
    </row>
    <row r="5">
      <c r="A5" t="inlineStr">
        <is>
          <t>Total Unusual Items</t>
        </is>
      </c>
      <c r="B5" s="3" t="n">
        <v>12868000</v>
      </c>
      <c r="C5" s="3" t="n">
        <v>15502000</v>
      </c>
      <c r="D5" s="3" t="n">
        <v>12054000</v>
      </c>
      <c r="E5" s="3" t="n">
        <v>-17558000</v>
      </c>
      <c r="F5" s="3" t="n"/>
    </row>
    <row r="6">
      <c r="A6" t="inlineStr">
        <is>
          <t>Total Unusual Items Excluding Goodwill</t>
        </is>
      </c>
      <c r="B6" s="3" t="n">
        <v>12868000</v>
      </c>
      <c r="C6" s="3" t="n">
        <v>15502000</v>
      </c>
      <c r="D6" s="3" t="n">
        <v>12054000</v>
      </c>
      <c r="E6" s="3" t="n">
        <v>-17558000</v>
      </c>
      <c r="F6" s="3" t="n"/>
    </row>
    <row r="7">
      <c r="A7" t="inlineStr">
        <is>
          <t>Net Income From Continuing Operation Net Minority Interest</t>
        </is>
      </c>
      <c r="B7" s="3" t="n">
        <v>114442000</v>
      </c>
      <c r="C7" s="3" t="n">
        <v>106171000</v>
      </c>
      <c r="D7" s="3" t="n">
        <v>113234000</v>
      </c>
      <c r="E7" s="3" t="n">
        <v>215525000</v>
      </c>
      <c r="F7" s="3" t="n"/>
    </row>
    <row r="8">
      <c r="A8" t="inlineStr">
        <is>
          <t>Reconciled Depreciation</t>
        </is>
      </c>
      <c r="B8" s="3" t="n">
        <v>30793000</v>
      </c>
      <c r="C8" s="3" t="n">
        <v>32689000</v>
      </c>
      <c r="D8" s="3" t="n">
        <v>21880000</v>
      </c>
      <c r="E8" s="3" t="n">
        <v>19621000</v>
      </c>
      <c r="F8" s="3" t="n"/>
    </row>
    <row r="9">
      <c r="A9" t="inlineStr">
        <is>
          <t>Reconciled Cost Of Revenue</t>
        </is>
      </c>
      <c r="B9" s="3" t="n">
        <v>328966000</v>
      </c>
      <c r="C9" s="3" t="n">
        <v>288721000</v>
      </c>
      <c r="D9" s="3" t="n">
        <v>236306000</v>
      </c>
      <c r="E9" s="3" t="n">
        <v>284185000</v>
      </c>
      <c r="F9" s="3" t="n"/>
    </row>
    <row r="10">
      <c r="A10" t="inlineStr">
        <is>
          <t>EBITDA</t>
        </is>
      </c>
      <c r="B10" s="3" t="n">
        <v>193359000</v>
      </c>
      <c r="C10" s="3" t="n">
        <v>147754000</v>
      </c>
      <c r="D10" s="3" t="n">
        <v>144582000</v>
      </c>
      <c r="E10" s="3" t="n">
        <v>288286000</v>
      </c>
      <c r="F10" s="3" t="n"/>
    </row>
    <row r="11">
      <c r="A11" t="inlineStr">
        <is>
          <t>EBIT</t>
        </is>
      </c>
      <c r="B11" s="3" t="n">
        <v>162566000</v>
      </c>
      <c r="C11" s="3" t="n">
        <v>115065000</v>
      </c>
      <c r="D11" s="3" t="n">
        <v>122702000</v>
      </c>
      <c r="E11" s="3" t="n">
        <v>268665000</v>
      </c>
      <c r="F11" s="3" t="n"/>
    </row>
    <row r="12">
      <c r="A12" t="inlineStr">
        <is>
          <t>Normalized Income</t>
        </is>
      </c>
      <c r="B12" s="3" t="n">
        <v>106386072.515618</v>
      </c>
      <c r="C12" s="3" t="n">
        <v>93653885.70146599</v>
      </c>
      <c r="D12" s="3" t="n">
        <v>103108640</v>
      </c>
      <c r="E12" s="3" t="n">
        <v>230619788.288558</v>
      </c>
      <c r="F12" s="3" t="n"/>
    </row>
    <row r="13">
      <c r="A13" t="inlineStr">
        <is>
          <t>Net Income From Continuing And Discontinued Operation</t>
        </is>
      </c>
      <c r="B13" s="3" t="n">
        <v>114442000</v>
      </c>
      <c r="C13" s="3" t="n">
        <v>106171000</v>
      </c>
      <c r="D13" s="3" t="n">
        <v>113234000</v>
      </c>
      <c r="E13" s="3" t="n">
        <v>215525000</v>
      </c>
      <c r="F13" s="3" t="n"/>
    </row>
    <row r="14">
      <c r="A14" t="inlineStr">
        <is>
          <t>Total Expenses</t>
        </is>
      </c>
      <c r="B14" s="3" t="n">
        <v>831793000</v>
      </c>
      <c r="C14" s="3" t="n">
        <v>799450000</v>
      </c>
      <c r="D14" s="3" t="n">
        <v>714845000</v>
      </c>
      <c r="E14" s="3" t="n">
        <v>737425000</v>
      </c>
      <c r="F14" s="3" t="n"/>
    </row>
    <row r="15">
      <c r="A15" t="inlineStr">
        <is>
          <t>Total Operating Income As Reported</t>
        </is>
      </c>
      <c r="B15" s="3" t="n">
        <v>162566000</v>
      </c>
      <c r="C15" s="3" t="n">
        <v>115065000</v>
      </c>
      <c r="D15" s="3" t="n">
        <v>130702000</v>
      </c>
      <c r="E15" s="3" t="n">
        <v>246229000</v>
      </c>
      <c r="F15" s="3" t="n"/>
    </row>
    <row r="16">
      <c r="A16" t="inlineStr">
        <is>
          <t>Diluted Average Shares</t>
        </is>
      </c>
      <c r="B16" s="3" t="n">
        <v>169367000</v>
      </c>
      <c r="C16" s="3" t="n">
        <v>172611000</v>
      </c>
      <c r="D16" s="3" t="n">
        <v>173399000</v>
      </c>
      <c r="E16" s="3" t="n">
        <v>174869000</v>
      </c>
      <c r="F16" s="3" t="n"/>
    </row>
    <row r="17">
      <c r="A17" t="inlineStr">
        <is>
          <t>Basic Average Shares</t>
        </is>
      </c>
      <c r="B17" s="3" t="n">
        <v>168049000</v>
      </c>
      <c r="C17" s="3" t="n">
        <v>171438000</v>
      </c>
      <c r="D17" s="3" t="n">
        <v>172249000</v>
      </c>
      <c r="E17" s="3" t="n">
        <v>173407000</v>
      </c>
      <c r="F17" s="3" t="n"/>
    </row>
    <row r="18">
      <c r="A18" t="inlineStr">
        <is>
          <t>Diluted EPS</t>
        </is>
      </c>
      <c r="B18" s="3" t="n">
        <v>0.68</v>
      </c>
      <c r="C18" s="3" t="n">
        <v>0.62</v>
      </c>
      <c r="D18" s="3" t="n">
        <v>0.65</v>
      </c>
      <c r="E18" s="3" t="n">
        <v>1.23</v>
      </c>
      <c r="F18" s="3" t="n"/>
    </row>
    <row r="19">
      <c r="A19" t="inlineStr">
        <is>
          <t>Basic EPS</t>
        </is>
      </c>
      <c r="B19" s="3" t="n">
        <v>0.68</v>
      </c>
      <c r="C19" s="3" t="n">
        <v>0.62</v>
      </c>
      <c r="D19" s="3" t="n">
        <v>0.66</v>
      </c>
      <c r="E19" s="3" t="n">
        <v>1.24</v>
      </c>
      <c r="F19" s="3" t="n"/>
    </row>
    <row r="20">
      <c r="A20" t="inlineStr">
        <is>
          <t>Diluted NI Availto Com Stockholders</t>
        </is>
      </c>
      <c r="B20" s="3" t="n">
        <v>114442000</v>
      </c>
      <c r="C20" s="3" t="n">
        <v>106171000</v>
      </c>
      <c r="D20" s="3" t="n">
        <v>113234000</v>
      </c>
      <c r="E20" s="3" t="n">
        <v>215525000</v>
      </c>
      <c r="F20" s="3" t="n"/>
    </row>
    <row r="21">
      <c r="A21" t="inlineStr">
        <is>
          <t>Net Income Common Stockholders</t>
        </is>
      </c>
      <c r="B21" s="3" t="n">
        <v>114442000</v>
      </c>
      <c r="C21" s="3" t="n">
        <v>106171000</v>
      </c>
      <c r="D21" s="3" t="n">
        <v>113234000</v>
      </c>
      <c r="E21" s="3" t="n">
        <v>215525000</v>
      </c>
      <c r="F21" s="3" t="n"/>
    </row>
    <row r="22">
      <c r="A22" t="inlineStr">
        <is>
          <t>Net Income</t>
        </is>
      </c>
      <c r="B22" s="3" t="n">
        <v>114442000</v>
      </c>
      <c r="C22" s="3" t="n">
        <v>106171000</v>
      </c>
      <c r="D22" s="3" t="n">
        <v>113234000</v>
      </c>
      <c r="E22" s="3" t="n">
        <v>215525000</v>
      </c>
      <c r="F22" s="3" t="n"/>
    </row>
    <row r="23">
      <c r="A23" t="inlineStr">
        <is>
          <t>Net Income Including Noncontrolling Interests</t>
        </is>
      </c>
      <c r="B23" s="3" t="n">
        <v>114442000</v>
      </c>
      <c r="C23" s="3" t="n">
        <v>106171000</v>
      </c>
      <c r="D23" s="3" t="n">
        <v>113234000</v>
      </c>
      <c r="E23" s="3" t="n">
        <v>215525000</v>
      </c>
      <c r="F23" s="3" t="n"/>
    </row>
    <row r="24">
      <c r="A24" t="inlineStr">
        <is>
          <t>Net Income Continuous Operations</t>
        </is>
      </c>
      <c r="B24" s="3" t="n">
        <v>114442000</v>
      </c>
      <c r="C24" s="3" t="n">
        <v>106171000</v>
      </c>
      <c r="D24" s="3" t="n">
        <v>113234000</v>
      </c>
      <c r="E24" s="3" t="n">
        <v>215525000</v>
      </c>
      <c r="F24" s="3" t="n"/>
    </row>
    <row r="25">
      <c r="A25" t="inlineStr">
        <is>
          <t>Tax Provision</t>
        </is>
      </c>
      <c r="B25" s="3" t="n">
        <v>68360000</v>
      </c>
      <c r="C25" s="3" t="n">
        <v>25318000</v>
      </c>
      <c r="D25" s="3" t="n">
        <v>22114000</v>
      </c>
      <c r="E25" s="3" t="n">
        <v>35170000</v>
      </c>
      <c r="F25" s="3" t="n"/>
    </row>
    <row r="26">
      <c r="A26" t="inlineStr">
        <is>
          <t>Pretax Income</t>
        </is>
      </c>
      <c r="B26" s="3" t="n">
        <v>182802000</v>
      </c>
      <c r="C26" s="3" t="n">
        <v>131489000</v>
      </c>
      <c r="D26" s="3" t="n">
        <v>135348000</v>
      </c>
      <c r="E26" s="3" t="n">
        <v>250695000</v>
      </c>
      <c r="F26" s="3" t="n"/>
    </row>
    <row r="27">
      <c r="A27" t="inlineStr">
        <is>
          <t>Other Income Expense</t>
        </is>
      </c>
      <c r="B27" s="3" t="n">
        <v>20236000</v>
      </c>
      <c r="C27" s="3" t="n">
        <v>16424000</v>
      </c>
      <c r="D27" s="3" t="n">
        <v>12646000</v>
      </c>
      <c r="E27" s="3" t="n">
        <v>-17970000</v>
      </c>
      <c r="F27" s="3" t="n"/>
    </row>
    <row r="28">
      <c r="A28" t="inlineStr">
        <is>
          <t>Other Non Operating Income Expenses</t>
        </is>
      </c>
      <c r="B28" s="3" t="n">
        <v>7368000</v>
      </c>
      <c r="C28" s="3" t="n">
        <v>922000</v>
      </c>
      <c r="D28" s="3" t="n">
        <v>592000</v>
      </c>
      <c r="E28" s="3" t="n">
        <v>-412000</v>
      </c>
      <c r="F28" s="3" t="n"/>
    </row>
    <row r="29">
      <c r="A29" t="inlineStr">
        <is>
          <t>Special Income Charges</t>
        </is>
      </c>
      <c r="B29" s="3" t="n">
        <v>0</v>
      </c>
      <c r="C29" s="3" t="n">
        <v>0</v>
      </c>
      <c r="D29" s="3" t="n">
        <v>8000000</v>
      </c>
      <c r="E29" s="3" t="n">
        <v>-22436000</v>
      </c>
      <c r="F29" s="3" t="n"/>
    </row>
    <row r="30">
      <c r="A30" t="inlineStr">
        <is>
          <t>Other Special Charges</t>
        </is>
      </c>
      <c r="B30" s="3" t="n"/>
      <c r="C30" s="3" t="n"/>
      <c r="D30" s="3" t="n">
        <v>-8000000</v>
      </c>
      <c r="E30" s="3" t="n">
        <v>20779000</v>
      </c>
      <c r="F30" s="3" t="n"/>
    </row>
    <row r="31">
      <c r="A31" t="inlineStr">
        <is>
          <t>Impairment Of Capital Assets</t>
        </is>
      </c>
      <c r="B31" s="3" t="n"/>
      <c r="C31" s="3" t="n"/>
      <c r="D31" s="3" t="n"/>
      <c r="E31" s="3" t="n">
        <v>0</v>
      </c>
      <c r="F31" s="3" t="n">
        <v>0</v>
      </c>
    </row>
    <row r="32">
      <c r="A32" t="inlineStr">
        <is>
          <t>Restructuring And Mergern Acquisition</t>
        </is>
      </c>
      <c r="B32" s="3" t="n"/>
      <c r="C32" s="3" t="n">
        <v>0</v>
      </c>
      <c r="D32" s="3" t="n">
        <v>0</v>
      </c>
      <c r="E32" s="3" t="n">
        <v>1657000</v>
      </c>
      <c r="F32" s="3" t="n">
        <v>0</v>
      </c>
    </row>
    <row r="33">
      <c r="A33" t="inlineStr">
        <is>
          <t>Gain On Sale Of Security</t>
        </is>
      </c>
      <c r="B33" s="3" t="n">
        <v>12868000</v>
      </c>
      <c r="C33" s="3" t="n">
        <v>15502000</v>
      </c>
      <c r="D33" s="3" t="n">
        <v>4054000</v>
      </c>
      <c r="E33" s="3" t="n">
        <v>4878000</v>
      </c>
      <c r="F33" s="3" t="n"/>
    </row>
    <row r="34">
      <c r="A34" t="inlineStr">
        <is>
          <t>Operating Income</t>
        </is>
      </c>
      <c r="B34" s="3" t="n">
        <v>162566000</v>
      </c>
      <c r="C34" s="3" t="n">
        <v>115065000</v>
      </c>
      <c r="D34" s="3" t="n">
        <v>122702000</v>
      </c>
      <c r="E34" s="3" t="n">
        <v>268665000</v>
      </c>
      <c r="F34" s="3" t="n"/>
    </row>
    <row r="35">
      <c r="A35" t="inlineStr">
        <is>
          <t>Operating Expense</t>
        </is>
      </c>
      <c r="B35" s="3" t="n">
        <v>502827000</v>
      </c>
      <c r="C35" s="3" t="n">
        <v>510729000</v>
      </c>
      <c r="D35" s="3" t="n">
        <v>478539000</v>
      </c>
      <c r="E35" s="3" t="n">
        <v>453240000</v>
      </c>
      <c r="F35" s="3" t="n"/>
    </row>
    <row r="36">
      <c r="A36" t="inlineStr">
        <is>
          <t>Research And Development</t>
        </is>
      </c>
      <c r="B36" s="3" t="n">
        <v>138970000</v>
      </c>
      <c r="C36" s="3" t="n">
        <v>139815000</v>
      </c>
      <c r="D36" s="3" t="n">
        <v>139400000</v>
      </c>
      <c r="E36" s="3" t="n">
        <v>141133000</v>
      </c>
      <c r="F36" s="3" t="n"/>
    </row>
    <row r="37">
      <c r="A37" t="inlineStr">
        <is>
          <t>Selling General And Administration</t>
        </is>
      </c>
      <c r="B37" s="3" t="n">
        <v>363857000</v>
      </c>
      <c r="C37" s="3" t="n">
        <v>370914000</v>
      </c>
      <c r="D37" s="3" t="n">
        <v>339139000</v>
      </c>
      <c r="E37" s="3" t="n">
        <v>312107000</v>
      </c>
      <c r="F37" s="3" t="n"/>
    </row>
    <row r="38">
      <c r="A38" t="inlineStr">
        <is>
          <t>Gross Profit</t>
        </is>
      </c>
      <c r="B38" s="3" t="n">
        <v>665393000</v>
      </c>
      <c r="C38" s="3" t="n">
        <v>625794000</v>
      </c>
      <c r="D38" s="3" t="n">
        <v>601241000</v>
      </c>
      <c r="E38" s="3" t="n">
        <v>721905000</v>
      </c>
      <c r="F38" s="3" t="n"/>
    </row>
    <row r="39">
      <c r="A39" t="inlineStr">
        <is>
          <t>Cost Of Revenue</t>
        </is>
      </c>
      <c r="B39" s="3" t="n">
        <v>328966000</v>
      </c>
      <c r="C39" s="3" t="n">
        <v>288721000</v>
      </c>
      <c r="D39" s="3" t="n">
        <v>236306000</v>
      </c>
      <c r="E39" s="3" t="n">
        <v>284185000</v>
      </c>
      <c r="F39" s="3" t="n"/>
    </row>
    <row r="40">
      <c r="A40" t="inlineStr">
        <is>
          <t>Total Revenue</t>
        </is>
      </c>
      <c r="B40" s="3" t="n">
        <v>994359000</v>
      </c>
      <c r="C40" s="3" t="n">
        <v>914515000</v>
      </c>
      <c r="D40" s="3" t="n">
        <v>837547000</v>
      </c>
      <c r="E40" s="3" t="n">
        <v>1006090000</v>
      </c>
      <c r="F40" s="3" t="n"/>
    </row>
    <row r="41">
      <c r="A41" t="inlineStr">
        <is>
          <t>Operating Revenue</t>
        </is>
      </c>
      <c r="B41" s="3" t="n">
        <v>994359000</v>
      </c>
      <c r="C41" s="3" t="n">
        <v>914515000</v>
      </c>
      <c r="D41" s="3" t="n">
        <v>837547000</v>
      </c>
      <c r="E41" s="3" t="n">
        <v>1006090000</v>
      </c>
      <c r="F4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568276.033486</v>
      </c>
      <c r="C2" s="3" t="n">
        <v>972938.474103</v>
      </c>
      <c r="D2" s="3" t="n">
        <v>1057770</v>
      </c>
      <c r="E2" s="3" t="n">
        <v>405920</v>
      </c>
      <c r="F2" s="3" t="n">
        <v>231948.881214</v>
      </c>
      <c r="G2" s="3" t="n"/>
    </row>
    <row r="3">
      <c r="A3" t="inlineStr">
        <is>
          <t>Tax Rate For Calcs</t>
        </is>
      </c>
      <c r="B3" s="3" t="n">
        <v>0.162783</v>
      </c>
      <c r="C3" s="3" t="n">
        <v>0.258967</v>
      </c>
      <c r="D3" s="3" t="n">
        <v>0.21</v>
      </c>
      <c r="E3" s="3" t="n">
        <v>0.16</v>
      </c>
      <c r="F3" s="3" t="n">
        <v>0.15091</v>
      </c>
      <c r="G3" s="3" t="n"/>
    </row>
    <row r="4">
      <c r="A4" t="inlineStr">
        <is>
          <t>Normalized EBITDA</t>
        </is>
      </c>
      <c r="B4" s="3" t="n">
        <v>63617000</v>
      </c>
      <c r="C4" s="3" t="n">
        <v>38846000</v>
      </c>
      <c r="D4" s="3" t="n">
        <v>60261000</v>
      </c>
      <c r="E4" s="3" t="n">
        <v>48895000</v>
      </c>
      <c r="F4" s="3" t="n">
        <v>32489000</v>
      </c>
      <c r="G4" s="3" t="n"/>
    </row>
    <row r="5">
      <c r="A5" t="inlineStr">
        <is>
          <t>Total Unusual Items</t>
        </is>
      </c>
      <c r="B5" s="3" t="n">
        <v>3491000</v>
      </c>
      <c r="C5" s="3" t="n">
        <v>3757000</v>
      </c>
      <c r="D5" s="3" t="n">
        <v>5037000</v>
      </c>
      <c r="E5" s="3" t="n">
        <v>2537000</v>
      </c>
      <c r="F5" s="3" t="n">
        <v>1537000</v>
      </c>
      <c r="G5" s="3" t="n"/>
    </row>
    <row r="6">
      <c r="A6" t="inlineStr">
        <is>
          <t>Total Unusual Items Excluding Goodwill</t>
        </is>
      </c>
      <c r="B6" s="3" t="n">
        <v>3491000</v>
      </c>
      <c r="C6" s="3" t="n">
        <v>3757000</v>
      </c>
      <c r="D6" s="3" t="n">
        <v>5037000</v>
      </c>
      <c r="E6" s="3" t="n">
        <v>2537000</v>
      </c>
      <c r="F6" s="3" t="n">
        <v>1537000</v>
      </c>
      <c r="G6" s="3" t="n"/>
    </row>
    <row r="7">
      <c r="A7" t="inlineStr">
        <is>
          <t>Net Income From Continuing Operation Net Minority Interest</t>
        </is>
      </c>
      <c r="B7" s="3" t="n">
        <v>51704000</v>
      </c>
      <c r="C7" s="3" t="n">
        <v>32664000</v>
      </c>
      <c r="D7" s="3" t="n">
        <v>17664000</v>
      </c>
      <c r="E7" s="3" t="n">
        <v>40511000</v>
      </c>
      <c r="F7" s="3" t="n">
        <v>23603000</v>
      </c>
      <c r="G7" s="3" t="n"/>
    </row>
    <row r="8">
      <c r="A8" t="inlineStr">
        <is>
          <t>Reconciled Depreciation</t>
        </is>
      </c>
      <c r="B8" s="3" t="n">
        <v>7235000</v>
      </c>
      <c r="C8" s="3" t="n">
        <v>7327000</v>
      </c>
      <c r="D8" s="3" t="n">
        <v>7533000</v>
      </c>
      <c r="E8" s="3" t="n">
        <v>7999000</v>
      </c>
      <c r="F8" s="3" t="n">
        <v>7934000</v>
      </c>
      <c r="G8" s="3" t="n"/>
    </row>
    <row r="9">
      <c r="A9" t="inlineStr">
        <is>
          <t>Reconciled Cost Of Revenue</t>
        </is>
      </c>
      <c r="B9" s="3" t="n">
        <v>77498000</v>
      </c>
      <c r="C9" s="3" t="n">
        <v>86434000</v>
      </c>
      <c r="D9" s="3" t="n">
        <v>89602000</v>
      </c>
      <c r="E9" s="3" t="n">
        <v>81217000</v>
      </c>
      <c r="F9" s="3" t="n">
        <v>71713000</v>
      </c>
      <c r="G9" s="3" t="n"/>
    </row>
    <row r="10">
      <c r="A10" t="inlineStr">
        <is>
          <t>EBITDA</t>
        </is>
      </c>
      <c r="B10" s="3" t="n">
        <v>67108000</v>
      </c>
      <c r="C10" s="3" t="n">
        <v>42603000</v>
      </c>
      <c r="D10" s="3" t="n">
        <v>65298000</v>
      </c>
      <c r="E10" s="3" t="n">
        <v>51432000</v>
      </c>
      <c r="F10" s="3" t="n">
        <v>34026000</v>
      </c>
      <c r="G10" s="3" t="n"/>
    </row>
    <row r="11">
      <c r="A11" t="inlineStr">
        <is>
          <t>EBIT</t>
        </is>
      </c>
      <c r="B11" s="3" t="n">
        <v>59873000</v>
      </c>
      <c r="C11" s="3" t="n">
        <v>35276000</v>
      </c>
      <c r="D11" s="3" t="n">
        <v>57765000</v>
      </c>
      <c r="E11" s="3" t="n">
        <v>43433000</v>
      </c>
      <c r="F11" s="3" t="n">
        <v>26092000</v>
      </c>
      <c r="G11" s="3" t="n"/>
    </row>
    <row r="12">
      <c r="A12" t="inlineStr">
        <is>
          <t>Normalized Income</t>
        </is>
      </c>
      <c r="B12" s="3" t="n">
        <v>48781276.033486</v>
      </c>
      <c r="C12" s="3" t="n">
        <v>29879938.474103</v>
      </c>
      <c r="D12" s="3" t="n">
        <v>13684770</v>
      </c>
      <c r="E12" s="3" t="n">
        <v>38379920</v>
      </c>
      <c r="F12" s="3" t="n">
        <v>22297948.881214</v>
      </c>
      <c r="G12" s="3" t="n"/>
    </row>
    <row r="13">
      <c r="A13" t="inlineStr">
        <is>
          <t>Net Income From Continuing And Discontinued Operation</t>
        </is>
      </c>
      <c r="B13" s="3" t="n">
        <v>51704000</v>
      </c>
      <c r="C13" s="3" t="n">
        <v>32664000</v>
      </c>
      <c r="D13" s="3" t="n">
        <v>17664000</v>
      </c>
      <c r="E13" s="3" t="n">
        <v>40511000</v>
      </c>
      <c r="F13" s="3" t="n">
        <v>23603000</v>
      </c>
      <c r="G13" s="3" t="n"/>
    </row>
    <row r="14">
      <c r="A14" t="inlineStr">
        <is>
          <t>Total Expenses</t>
        </is>
      </c>
      <c r="B14" s="3" t="n">
        <v>208564000</v>
      </c>
      <c r="C14" s="3" t="n">
        <v>217062000</v>
      </c>
      <c r="D14" s="3" t="n">
        <v>219127000</v>
      </c>
      <c r="E14" s="3" t="n">
        <v>205660000</v>
      </c>
      <c r="F14" s="3" t="n">
        <v>189944000</v>
      </c>
      <c r="G14" s="3" t="n"/>
    </row>
    <row r="15">
      <c r="A15" t="inlineStr">
        <is>
          <t>Total Operating Income As Reported</t>
        </is>
      </c>
      <c r="B15" s="3" t="n">
        <v>59873000</v>
      </c>
      <c r="C15" s="3" t="n">
        <v>35276000</v>
      </c>
      <c r="D15" s="3" t="n">
        <v>57765000</v>
      </c>
      <c r="E15" s="3" t="n">
        <v>43433000</v>
      </c>
      <c r="F15" s="3" t="n">
        <v>26092000</v>
      </c>
      <c r="G15" s="3" t="n"/>
    </row>
    <row r="16">
      <c r="A16" t="inlineStr">
        <is>
          <t>Diluted Average Shares</t>
        </is>
      </c>
      <c r="B16" s="3" t="n">
        <v>168386000</v>
      </c>
      <c r="C16" s="3" t="n">
        <v>168896000</v>
      </c>
      <c r="D16" s="3" t="n">
        <v>169323000</v>
      </c>
      <c r="E16" s="3" t="n">
        <v>168563000</v>
      </c>
      <c r="F16" s="3" t="n">
        <v>170391000</v>
      </c>
      <c r="G16" s="3" t="n"/>
    </row>
    <row r="17">
      <c r="A17" t="inlineStr">
        <is>
          <t>Basic Average Shares</t>
        </is>
      </c>
      <c r="B17" s="3" t="n">
        <v>166514000</v>
      </c>
      <c r="C17" s="3" t="n">
        <v>167256000</v>
      </c>
      <c r="D17" s="3" t="n">
        <v>167840000</v>
      </c>
      <c r="E17" s="3" t="n">
        <v>167886000</v>
      </c>
      <c r="F17" s="3" t="n">
        <v>169265000</v>
      </c>
      <c r="G17" s="3" t="n"/>
    </row>
    <row r="18">
      <c r="A18" t="inlineStr">
        <is>
          <t>Diluted EPS</t>
        </is>
      </c>
      <c r="B18" s="3" t="n">
        <v>0.31</v>
      </c>
      <c r="C18" s="3" t="n">
        <v>0.19</v>
      </c>
      <c r="D18" s="3" t="n">
        <v>0.1</v>
      </c>
      <c r="E18" s="3" t="n">
        <v>0.24</v>
      </c>
      <c r="F18" s="3" t="n">
        <v>0.14</v>
      </c>
      <c r="G18" s="3" t="n"/>
    </row>
    <row r="19">
      <c r="A19" t="inlineStr">
        <is>
          <t>Basic EPS</t>
        </is>
      </c>
      <c r="B19" s="3" t="n">
        <v>0.31</v>
      </c>
      <c r="C19" s="3" t="n">
        <v>0.2</v>
      </c>
      <c r="D19" s="3" t="n">
        <v>0.11</v>
      </c>
      <c r="E19" s="3" t="n">
        <v>0.24</v>
      </c>
      <c r="F19" s="3" t="n">
        <v>0.14</v>
      </c>
      <c r="G19" s="3" t="n"/>
    </row>
    <row r="20">
      <c r="A20" t="inlineStr">
        <is>
          <t>Diluted NI Availto Com Stockholders</t>
        </is>
      </c>
      <c r="B20" s="3" t="n">
        <v>51704000</v>
      </c>
      <c r="C20" s="3" t="n">
        <v>32664000</v>
      </c>
      <c r="D20" s="3" t="n">
        <v>17664000</v>
      </c>
      <c r="E20" s="3" t="n">
        <v>40511000</v>
      </c>
      <c r="F20" s="3" t="n">
        <v>23603000</v>
      </c>
      <c r="G20" s="3" t="n"/>
    </row>
    <row r="21">
      <c r="A21" t="inlineStr">
        <is>
          <t>Net Income Common Stockholders</t>
        </is>
      </c>
      <c r="B21" s="3" t="n">
        <v>51704000</v>
      </c>
      <c r="C21" s="3" t="n">
        <v>32664000</v>
      </c>
      <c r="D21" s="3" t="n">
        <v>17664000</v>
      </c>
      <c r="E21" s="3" t="n">
        <v>40511000</v>
      </c>
      <c r="F21" s="3" t="n">
        <v>23603000</v>
      </c>
      <c r="G21" s="3" t="n"/>
    </row>
    <row r="22">
      <c r="A22" t="inlineStr">
        <is>
          <t>Net Income</t>
        </is>
      </c>
      <c r="B22" s="3" t="n">
        <v>51704000</v>
      </c>
      <c r="C22" s="3" t="n">
        <v>32664000</v>
      </c>
      <c r="D22" s="3" t="n">
        <v>17664000</v>
      </c>
      <c r="E22" s="3" t="n">
        <v>40511000</v>
      </c>
      <c r="F22" s="3" t="n">
        <v>23603000</v>
      </c>
      <c r="G22" s="3" t="n"/>
    </row>
    <row r="23">
      <c r="A23" t="inlineStr">
        <is>
          <t>Net Income Including Noncontrolling Interests</t>
        </is>
      </c>
      <c r="B23" s="3" t="n">
        <v>51704000</v>
      </c>
      <c r="C23" s="3" t="n">
        <v>32664000</v>
      </c>
      <c r="D23" s="3" t="n">
        <v>17664000</v>
      </c>
      <c r="E23" s="3" t="n">
        <v>40511000</v>
      </c>
      <c r="F23" s="3" t="n">
        <v>23603000</v>
      </c>
      <c r="G23" s="3" t="n"/>
    </row>
    <row r="24">
      <c r="A24" t="inlineStr">
        <is>
          <t>Net Income Continuous Operations</t>
        </is>
      </c>
      <c r="B24" s="3" t="n">
        <v>51704000</v>
      </c>
      <c r="C24" s="3" t="n">
        <v>32664000</v>
      </c>
      <c r="D24" s="3" t="n">
        <v>17664000</v>
      </c>
      <c r="E24" s="3" t="n">
        <v>40511000</v>
      </c>
      <c r="F24" s="3" t="n">
        <v>23603000</v>
      </c>
      <c r="G24" s="3" t="n"/>
    </row>
    <row r="25">
      <c r="A25" t="inlineStr">
        <is>
          <t>Tax Provision</t>
        </is>
      </c>
      <c r="B25" s="3" t="n">
        <v>10053000</v>
      </c>
      <c r="C25" s="3" t="n">
        <v>11415000</v>
      </c>
      <c r="D25" s="3" t="n">
        <v>45199000</v>
      </c>
      <c r="E25" s="3" t="n">
        <v>7551000</v>
      </c>
      <c r="F25" s="3" t="n">
        <v>4195000</v>
      </c>
      <c r="G25" s="3" t="n"/>
    </row>
    <row r="26">
      <c r="A26" t="inlineStr">
        <is>
          <t>Pretax Income</t>
        </is>
      </c>
      <c r="B26" s="3" t="n">
        <v>61757000</v>
      </c>
      <c r="C26" s="3" t="n">
        <v>44079000</v>
      </c>
      <c r="D26" s="3" t="n">
        <v>62863000</v>
      </c>
      <c r="E26" s="3" t="n">
        <v>48062000</v>
      </c>
      <c r="F26" s="3" t="n">
        <v>27798000</v>
      </c>
      <c r="G26" s="3" t="n"/>
    </row>
    <row r="27">
      <c r="A27" t="inlineStr">
        <is>
          <t>Other Income Expense</t>
        </is>
      </c>
      <c r="B27" s="3" t="n">
        <v>1884000</v>
      </c>
      <c r="C27" s="3" t="n">
        <v>8803000</v>
      </c>
      <c r="D27" s="3" t="n">
        <v>5098000</v>
      </c>
      <c r="E27" s="3" t="n">
        <v>4629000</v>
      </c>
      <c r="F27" s="3" t="n">
        <v>1706000</v>
      </c>
      <c r="G27" s="3" t="n"/>
    </row>
    <row r="28">
      <c r="A28" t="inlineStr">
        <is>
          <t>Other Non Operating Income Expenses</t>
        </is>
      </c>
      <c r="B28" s="3" t="n">
        <v>-1607000</v>
      </c>
      <c r="C28" s="3" t="n">
        <v>5046000</v>
      </c>
      <c r="D28" s="3" t="n">
        <v>61000</v>
      </c>
      <c r="E28" s="3" t="n">
        <v>2092000</v>
      </c>
      <c r="F28" s="3" t="n">
        <v>169000</v>
      </c>
      <c r="G28" s="3" t="n"/>
    </row>
    <row r="29">
      <c r="A29" t="inlineStr">
        <is>
          <t>Special Income Charges</t>
        </is>
      </c>
      <c r="B29" s="3" t="n"/>
      <c r="C29" s="3" t="n"/>
      <c r="D29" s="3" t="n"/>
      <c r="E29" s="3" t="n"/>
      <c r="F29" s="3" t="n"/>
      <c r="G29" s="3" t="n">
        <v>0</v>
      </c>
    </row>
    <row r="30">
      <c r="A30" t="inlineStr">
        <is>
          <t>Gain On Sale Of Security</t>
        </is>
      </c>
      <c r="B30" s="3" t="n">
        <v>3491000</v>
      </c>
      <c r="C30" s="3" t="n">
        <v>3757000</v>
      </c>
      <c r="D30" s="3" t="n">
        <v>5037000</v>
      </c>
      <c r="E30" s="3" t="n">
        <v>2537000</v>
      </c>
      <c r="F30" s="3" t="n">
        <v>1537000</v>
      </c>
      <c r="G30" s="3" t="n"/>
    </row>
    <row r="31">
      <c r="A31" t="inlineStr">
        <is>
          <t>Operating Income</t>
        </is>
      </c>
      <c r="B31" s="3" t="n">
        <v>59873000</v>
      </c>
      <c r="C31" s="3" t="n">
        <v>35276000</v>
      </c>
      <c r="D31" s="3" t="n">
        <v>57765000</v>
      </c>
      <c r="E31" s="3" t="n">
        <v>43433000</v>
      </c>
      <c r="F31" s="3" t="n">
        <v>26092000</v>
      </c>
      <c r="G31" s="3" t="n"/>
    </row>
    <row r="32">
      <c r="A32" t="inlineStr">
        <is>
          <t>Operating Expense</t>
        </is>
      </c>
      <c r="B32" s="3" t="n">
        <v>131066000</v>
      </c>
      <c r="C32" s="3" t="n">
        <v>130628000</v>
      </c>
      <c r="D32" s="3" t="n">
        <v>129525000</v>
      </c>
      <c r="E32" s="3" t="n">
        <v>124443000</v>
      </c>
      <c r="F32" s="3" t="n">
        <v>118231000</v>
      </c>
      <c r="G32" s="3" t="n"/>
    </row>
    <row r="33">
      <c r="A33" t="inlineStr">
        <is>
          <t>Research And Development</t>
        </is>
      </c>
      <c r="B33" s="3" t="n">
        <v>37025000</v>
      </c>
      <c r="C33" s="3" t="n">
        <v>36060000</v>
      </c>
      <c r="D33" s="3" t="n">
        <v>35081000</v>
      </c>
      <c r="E33" s="3" t="n">
        <v>33102000</v>
      </c>
      <c r="F33" s="3" t="n">
        <v>34727000</v>
      </c>
      <c r="G33" s="3" t="n"/>
    </row>
    <row r="34">
      <c r="A34" t="inlineStr">
        <is>
          <t>Selling General And Administration</t>
        </is>
      </c>
      <c r="B34" s="3" t="n">
        <v>94041000</v>
      </c>
      <c r="C34" s="3" t="n">
        <v>94568000</v>
      </c>
      <c r="D34" s="3" t="n">
        <v>94444000</v>
      </c>
      <c r="E34" s="3" t="n">
        <v>91341000</v>
      </c>
      <c r="F34" s="3" t="n">
        <v>83504000</v>
      </c>
      <c r="G34" s="3" t="n"/>
    </row>
    <row r="35">
      <c r="A35" t="inlineStr">
        <is>
          <t>Gross Profit</t>
        </is>
      </c>
      <c r="B35" s="3" t="n">
        <v>190939000</v>
      </c>
      <c r="C35" s="3" t="n">
        <v>165904000</v>
      </c>
      <c r="D35" s="3" t="n">
        <v>187290000</v>
      </c>
      <c r="E35" s="3" t="n">
        <v>167876000</v>
      </c>
      <c r="F35" s="3" t="n">
        <v>144323000</v>
      </c>
      <c r="G35" s="3" t="n"/>
    </row>
    <row r="36">
      <c r="A36" t="inlineStr">
        <is>
          <t>Cost Of Revenue</t>
        </is>
      </c>
      <c r="B36" s="3" t="n">
        <v>77498000</v>
      </c>
      <c r="C36" s="3" t="n">
        <v>86434000</v>
      </c>
      <c r="D36" s="3" t="n">
        <v>89602000</v>
      </c>
      <c r="E36" s="3" t="n">
        <v>81217000</v>
      </c>
      <c r="F36" s="3" t="n">
        <v>71713000</v>
      </c>
      <c r="G36" s="3" t="n"/>
    </row>
    <row r="37">
      <c r="A37" t="inlineStr">
        <is>
          <t>Total Revenue</t>
        </is>
      </c>
      <c r="B37" s="3" t="n">
        <v>268437000</v>
      </c>
      <c r="C37" s="3" t="n">
        <v>252338000</v>
      </c>
      <c r="D37" s="3" t="n">
        <v>276892000</v>
      </c>
      <c r="E37" s="3" t="n">
        <v>249093000</v>
      </c>
      <c r="F37" s="3" t="n">
        <v>216036000</v>
      </c>
      <c r="G37" s="3" t="n"/>
    </row>
    <row r="38">
      <c r="A38" t="inlineStr">
        <is>
          <t>Operating Revenue</t>
        </is>
      </c>
      <c r="B38" s="3" t="n">
        <v>268437000</v>
      </c>
      <c r="C38" s="3" t="n">
        <v>252338000</v>
      </c>
      <c r="D38" s="3" t="n">
        <v>276892000</v>
      </c>
      <c r="E38" s="3" t="n">
        <v>249093000</v>
      </c>
      <c r="F38" s="3" t="n">
        <v>216036000</v>
      </c>
      <c r="G3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166997000</v>
      </c>
      <c r="C3" s="3" t="n">
        <v>170434000</v>
      </c>
      <c r="D3" s="3" t="n">
        <v>171599000</v>
      </c>
      <c r="E3" s="3" t="n">
        <v>172631000</v>
      </c>
      <c r="F3" s="3" t="n"/>
    </row>
    <row r="4">
      <c r="A4" t="inlineStr">
        <is>
          <t>Share Issued</t>
        </is>
      </c>
      <c r="B4" s="3" t="n">
        <v>166997000</v>
      </c>
      <c r="C4" s="3" t="n">
        <v>170434000</v>
      </c>
      <c r="D4" s="3" t="n">
        <v>171599000</v>
      </c>
      <c r="E4" s="3" t="n">
        <v>172631000</v>
      </c>
      <c r="F4" s="3" t="n"/>
    </row>
    <row r="5">
      <c r="A5" t="inlineStr">
        <is>
          <t>Total Debt</t>
        </is>
      </c>
      <c r="B5" s="3" t="n">
        <v>76586000</v>
      </c>
      <c r="C5" s="3" t="n">
        <v>70217000</v>
      </c>
      <c r="D5" s="3" t="n">
        <v>78601000</v>
      </c>
      <c r="E5" s="3" t="n">
        <v>39752000</v>
      </c>
      <c r="F5" s="3" t="n"/>
    </row>
    <row r="6">
      <c r="A6" t="inlineStr">
        <is>
          <t>Tangible Book Value</t>
        </is>
      </c>
      <c r="B6" s="3" t="n">
        <v>1024522000</v>
      </c>
      <c r="C6" s="3" t="n">
        <v>1041884000</v>
      </c>
      <c r="D6" s="3" t="n">
        <v>998619000</v>
      </c>
      <c r="E6" s="3" t="n">
        <v>1183350000</v>
      </c>
      <c r="F6" s="3" t="n"/>
    </row>
    <row r="7">
      <c r="A7" t="inlineStr">
        <is>
          <t>Invested Capital</t>
        </is>
      </c>
      <c r="B7" s="3" t="n">
        <v>1491901000</v>
      </c>
      <c r="C7" s="3" t="n">
        <v>1517505000</v>
      </c>
      <c r="D7" s="3" t="n">
        <v>1504752000</v>
      </c>
      <c r="E7" s="3" t="n">
        <v>1438394000</v>
      </c>
      <c r="F7" s="3" t="n"/>
    </row>
    <row r="8">
      <c r="A8" t="inlineStr">
        <is>
          <t>Working Capital</t>
        </is>
      </c>
      <c r="B8" s="3" t="n">
        <v>513695000</v>
      </c>
      <c r="C8" s="3" t="n">
        <v>443987000</v>
      </c>
      <c r="D8" s="3" t="n">
        <v>527113000</v>
      </c>
      <c r="E8" s="3" t="n">
        <v>529991000</v>
      </c>
      <c r="F8" s="3" t="n"/>
    </row>
    <row r="9">
      <c r="A9" t="inlineStr">
        <is>
          <t>Net Tangible Assets</t>
        </is>
      </c>
      <c r="B9" s="3" t="n">
        <v>1024522000</v>
      </c>
      <c r="C9" s="3" t="n">
        <v>1041884000</v>
      </c>
      <c r="D9" s="3" t="n">
        <v>998619000</v>
      </c>
      <c r="E9" s="3" t="n">
        <v>1183350000</v>
      </c>
      <c r="F9" s="3" t="n"/>
    </row>
    <row r="10">
      <c r="A10" t="inlineStr">
        <is>
          <t>Capital Lease Obligations</t>
        </is>
      </c>
      <c r="B10" s="3" t="n">
        <v>76586000</v>
      </c>
      <c r="C10" s="3" t="n">
        <v>70217000</v>
      </c>
      <c r="D10" s="3" t="n">
        <v>78601000</v>
      </c>
      <c r="E10" s="3" t="n">
        <v>39752000</v>
      </c>
      <c r="F10" s="3" t="n"/>
    </row>
    <row r="11">
      <c r="A11" t="inlineStr">
        <is>
          <t>Common Stock Equity</t>
        </is>
      </c>
      <c r="B11" s="3" t="n">
        <v>1491901000</v>
      </c>
      <c r="C11" s="3" t="n">
        <v>1517505000</v>
      </c>
      <c r="D11" s="3" t="n">
        <v>1504752000</v>
      </c>
      <c r="E11" s="3" t="n">
        <v>1438394000</v>
      </c>
      <c r="F11" s="3" t="n"/>
    </row>
    <row r="12">
      <c r="A12" t="inlineStr">
        <is>
          <t>Total Capitalization</t>
        </is>
      </c>
      <c r="B12" s="3" t="n">
        <v>1491901000</v>
      </c>
      <c r="C12" s="3" t="n">
        <v>1517505000</v>
      </c>
      <c r="D12" s="3" t="n">
        <v>1504752000</v>
      </c>
      <c r="E12" s="3" t="n">
        <v>1438394000</v>
      </c>
      <c r="F12" s="3" t="n"/>
    </row>
    <row r="13">
      <c r="A13" t="inlineStr">
        <is>
          <t>Total Equity Gross Minority Interest</t>
        </is>
      </c>
      <c r="B13" s="3" t="n">
        <v>1491901000</v>
      </c>
      <c r="C13" s="3" t="n">
        <v>1517505000</v>
      </c>
      <c r="D13" s="3" t="n">
        <v>1504752000</v>
      </c>
      <c r="E13" s="3" t="n">
        <v>1438394000</v>
      </c>
      <c r="F13" s="3" t="n"/>
    </row>
    <row r="14">
      <c r="A14" t="inlineStr">
        <is>
          <t>Stockholders Equity</t>
        </is>
      </c>
      <c r="B14" s="3" t="n">
        <v>1491901000</v>
      </c>
      <c r="C14" s="3" t="n">
        <v>1517505000</v>
      </c>
      <c r="D14" s="3" t="n">
        <v>1504752000</v>
      </c>
      <c r="E14" s="3" t="n">
        <v>1438394000</v>
      </c>
      <c r="F14" s="3" t="n"/>
    </row>
    <row r="15">
      <c r="A15" t="inlineStr">
        <is>
          <t>Gains Losses Not Affecting Retained Earnings</t>
        </is>
      </c>
      <c r="B15" s="3" t="n">
        <v>-53496000</v>
      </c>
      <c r="C15" s="3" t="n">
        <v>-72777000</v>
      </c>
      <c r="D15" s="3" t="n">
        <v>-45336000</v>
      </c>
      <c r="E15" s="3" t="n">
        <v>-69297000</v>
      </c>
      <c r="F15" s="3" t="n"/>
    </row>
    <row r="16">
      <c r="A16" t="inlineStr">
        <is>
          <t>Other Equity Adjustments</t>
        </is>
      </c>
      <c r="B16" s="3" t="n">
        <v>-53496000</v>
      </c>
      <c r="C16" s="3" t="n">
        <v>-72777000</v>
      </c>
      <c r="D16" s="3" t="n">
        <v>-45336000</v>
      </c>
      <c r="E16" s="3" t="n">
        <v>-69297000</v>
      </c>
      <c r="F16" s="3" t="n"/>
    </row>
    <row r="17">
      <c r="A17" t="inlineStr">
        <is>
          <t>Retained Earnings</t>
        </is>
      </c>
      <c r="B17" s="3" t="n">
        <v>406355000</v>
      </c>
      <c r="C17" s="3" t="n">
        <v>499303000</v>
      </c>
      <c r="D17" s="3" t="n">
        <v>512543000</v>
      </c>
      <c r="E17" s="3" t="n">
        <v>528179000</v>
      </c>
      <c r="F17" s="3" t="n"/>
    </row>
    <row r="18">
      <c r="A18" t="inlineStr">
        <is>
          <t>Additional Paid In Capital</t>
        </is>
      </c>
      <c r="B18" s="3" t="n">
        <v>1138708000</v>
      </c>
      <c r="C18" s="3" t="n">
        <v>1090638000</v>
      </c>
      <c r="D18" s="3" t="n">
        <v>1037202000</v>
      </c>
      <c r="E18" s="3" t="n">
        <v>979167000</v>
      </c>
      <c r="F18" s="3" t="n"/>
    </row>
    <row r="19">
      <c r="A19" t="inlineStr">
        <is>
          <t>Capital Stock</t>
        </is>
      </c>
      <c r="B19" s="3" t="n">
        <v>334000</v>
      </c>
      <c r="C19" s="3" t="n">
        <v>341000</v>
      </c>
      <c r="D19" s="3" t="n">
        <v>343000</v>
      </c>
      <c r="E19" s="3" t="n">
        <v>345000</v>
      </c>
      <c r="F19" s="3" t="n"/>
    </row>
    <row r="20">
      <c r="A20" t="inlineStr">
        <is>
          <t>Common Stock</t>
        </is>
      </c>
      <c r="B20" s="3" t="n">
        <v>334000</v>
      </c>
      <c r="C20" s="3" t="n">
        <v>341000</v>
      </c>
      <c r="D20" s="3" t="n">
        <v>343000</v>
      </c>
      <c r="E20" s="3" t="n">
        <v>345000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524654000</v>
      </c>
      <c r="C22" s="3" t="n">
        <v>475345000</v>
      </c>
      <c r="D22" s="3" t="n">
        <v>513060000</v>
      </c>
      <c r="E22" s="3" t="n">
        <v>519746000</v>
      </c>
      <c r="F22" s="3" t="n"/>
    </row>
    <row r="23">
      <c r="A23" t="inlineStr">
        <is>
          <t>Total Non Current Liabilities Net Minority Interest</t>
        </is>
      </c>
      <c r="B23" s="3" t="n">
        <v>341103000</v>
      </c>
      <c r="C23" s="3" t="n">
        <v>305965000</v>
      </c>
      <c r="D23" s="3" t="n">
        <v>361176000</v>
      </c>
      <c r="E23" s="3" t="n">
        <v>332038000</v>
      </c>
      <c r="F23" s="3" t="n"/>
    </row>
    <row r="24">
      <c r="A24" t="inlineStr">
        <is>
          <t>Other Non Current Liabilities</t>
        </is>
      </c>
      <c r="B24" s="3" t="n">
        <v>1452000</v>
      </c>
      <c r="C24" s="3" t="n">
        <v>1082000</v>
      </c>
      <c r="D24" s="3" t="n">
        <v>299000</v>
      </c>
      <c r="E24" s="3" t="n">
        <v>1905000</v>
      </c>
      <c r="F24" s="3" t="n"/>
    </row>
    <row r="25">
      <c r="A25" t="inlineStr">
        <is>
          <t>Tradeand Other Payables Non Current</t>
        </is>
      </c>
      <c r="B25" s="3" t="n"/>
      <c r="C25" s="3" t="n">
        <v>0</v>
      </c>
      <c r="D25" s="3" t="n">
        <v>18338000</v>
      </c>
      <c r="E25" s="3" t="n">
        <v>33008000</v>
      </c>
      <c r="F25" s="3" t="n">
        <v>43160000</v>
      </c>
    </row>
    <row r="26">
      <c r="A26" t="inlineStr">
        <is>
          <t>Non Current Deferred Liabilities</t>
        </is>
      </c>
      <c r="B26" s="3" t="n">
        <v>274781000</v>
      </c>
      <c r="C26" s="3" t="n">
        <v>243520000</v>
      </c>
      <c r="D26" s="3" t="n">
        <v>273562000</v>
      </c>
      <c r="E26" s="3" t="n">
        <v>265827000</v>
      </c>
      <c r="F26" s="3" t="n"/>
    </row>
    <row r="27">
      <c r="A27" t="inlineStr">
        <is>
          <t>Non Current Deferred Taxes Liabilities</t>
        </is>
      </c>
      <c r="B27" s="3" t="n">
        <v>274781000</v>
      </c>
      <c r="C27" s="3" t="n">
        <v>243520000</v>
      </c>
      <c r="D27" s="3" t="n">
        <v>273562000</v>
      </c>
      <c r="E27" s="3" t="n">
        <v>265827000</v>
      </c>
      <c r="F27" s="3" t="n"/>
    </row>
    <row r="28">
      <c r="A28" t="inlineStr">
        <is>
          <t>Long Term Debt And Capital Lease Obligation</t>
        </is>
      </c>
      <c r="B28" s="3" t="n">
        <v>64870000</v>
      </c>
      <c r="C28" s="3" t="n">
        <v>61363000</v>
      </c>
      <c r="D28" s="3" t="n">
        <v>68977000</v>
      </c>
      <c r="E28" s="3" t="n">
        <v>31298000</v>
      </c>
      <c r="F28" s="3" t="n"/>
    </row>
    <row r="29">
      <c r="A29" t="inlineStr">
        <is>
          <t>Long Term Capital Lease Obligation</t>
        </is>
      </c>
      <c r="B29" s="3" t="n">
        <v>64870000</v>
      </c>
      <c r="C29" s="3" t="n">
        <v>61363000</v>
      </c>
      <c r="D29" s="3" t="n">
        <v>68977000</v>
      </c>
      <c r="E29" s="3" t="n">
        <v>31298000</v>
      </c>
      <c r="F29" s="3" t="n"/>
    </row>
    <row r="30">
      <c r="A30" t="inlineStr">
        <is>
          <t>Current Liabilities</t>
        </is>
      </c>
      <c r="B30" s="3" t="n">
        <v>183551000</v>
      </c>
      <c r="C30" s="3" t="n">
        <v>169380000</v>
      </c>
      <c r="D30" s="3" t="n">
        <v>151884000</v>
      </c>
      <c r="E30" s="3" t="n">
        <v>187708000</v>
      </c>
      <c r="F30" s="3" t="n"/>
    </row>
    <row r="31">
      <c r="A31" t="inlineStr">
        <is>
          <t>Current Deferred Liabilities</t>
        </is>
      </c>
      <c r="B31" s="3" t="n">
        <v>21094000</v>
      </c>
      <c r="C31" s="3" t="n">
        <v>25035000</v>
      </c>
      <c r="D31" s="3" t="n">
        <v>31525000</v>
      </c>
      <c r="E31" s="3" t="n">
        <v>60069000</v>
      </c>
      <c r="F31" s="3" t="n"/>
    </row>
    <row r="32">
      <c r="A32" t="inlineStr">
        <is>
          <t>Current Deferred Revenue</t>
        </is>
      </c>
      <c r="B32" s="3" t="n">
        <v>21094000</v>
      </c>
      <c r="C32" s="3" t="n">
        <v>25035000</v>
      </c>
      <c r="D32" s="3" t="n">
        <v>31525000</v>
      </c>
      <c r="E32" s="3" t="n">
        <v>40787000</v>
      </c>
      <c r="F32" s="3" t="n"/>
    </row>
    <row r="33">
      <c r="A33" t="inlineStr">
        <is>
          <t>Current Debt And Capital Lease Obligation</t>
        </is>
      </c>
      <c r="B33" s="3" t="n">
        <v>11716000</v>
      </c>
      <c r="C33" s="3" t="n">
        <v>8854000</v>
      </c>
      <c r="D33" s="3" t="n">
        <v>9624000</v>
      </c>
      <c r="E33" s="3" t="n">
        <v>8454000</v>
      </c>
      <c r="F33" s="3" t="n"/>
    </row>
    <row r="34">
      <c r="A34" t="inlineStr">
        <is>
          <t>Current Capital Lease Obligation</t>
        </is>
      </c>
      <c r="B34" s="3" t="n">
        <v>11716000</v>
      </c>
      <c r="C34" s="3" t="n">
        <v>8854000</v>
      </c>
      <c r="D34" s="3" t="n">
        <v>9624000</v>
      </c>
      <c r="E34" s="3" t="n">
        <v>8454000</v>
      </c>
      <c r="F34" s="3" t="n"/>
    </row>
    <row r="35">
      <c r="A35" t="inlineStr">
        <is>
          <t>Pensionand Other Post Retirement Benefit Plans Current</t>
        </is>
      </c>
      <c r="B35" s="3" t="n">
        <v>46414000</v>
      </c>
      <c r="C35" s="3" t="n">
        <v>29180000</v>
      </c>
      <c r="D35" s="3" t="n">
        <v>23480000</v>
      </c>
      <c r="E35" s="3" t="n">
        <v>25745000</v>
      </c>
      <c r="F35" s="3" t="n"/>
    </row>
    <row r="36">
      <c r="A36" t="inlineStr">
        <is>
          <t>Current Provisions</t>
        </is>
      </c>
      <c r="B36" s="3" t="n">
        <v>5474000</v>
      </c>
      <c r="C36" s="3" t="n">
        <v>5140000</v>
      </c>
      <c r="D36" s="3" t="n">
        <v>4244000</v>
      </c>
      <c r="E36" s="3" t="n">
        <v>4375000</v>
      </c>
      <c r="F36" s="3" t="n"/>
    </row>
    <row r="37">
      <c r="A37" t="inlineStr">
        <is>
          <t>Payables And Accrued Expenses</t>
        </is>
      </c>
      <c r="B37" s="3" t="n">
        <v>98853000</v>
      </c>
      <c r="C37" s="3" t="n">
        <v>101171000</v>
      </c>
      <c r="D37" s="3" t="n">
        <v>83011000</v>
      </c>
      <c r="E37" s="3" t="n">
        <v>89065000</v>
      </c>
      <c r="F37" s="3" t="n"/>
    </row>
    <row r="38">
      <c r="A38" t="inlineStr">
        <is>
          <t>Current Accrued Expenses</t>
        </is>
      </c>
      <c r="B38" s="3" t="n">
        <v>39509000</v>
      </c>
      <c r="C38" s="3" t="n">
        <v>37440000</v>
      </c>
      <c r="D38" s="3" t="n">
        <v>44650000</v>
      </c>
      <c r="E38" s="3" t="n">
        <v>43833000</v>
      </c>
      <c r="F38" s="3" t="n"/>
    </row>
    <row r="39">
      <c r="A39" t="inlineStr">
        <is>
          <t>Payables</t>
        </is>
      </c>
      <c r="B39" s="3" t="n">
        <v>59344000</v>
      </c>
      <c r="C39" s="3" t="n">
        <v>63731000</v>
      </c>
      <c r="D39" s="3" t="n">
        <v>38361000</v>
      </c>
      <c r="E39" s="3" t="n">
        <v>45232000</v>
      </c>
      <c r="F39" s="3" t="n"/>
    </row>
    <row r="40">
      <c r="A40" t="inlineStr">
        <is>
          <t>Total Tax Payable</t>
        </is>
      </c>
      <c r="B40" s="3" t="n">
        <v>9141000</v>
      </c>
      <c r="C40" s="3" t="n">
        <v>25685000</v>
      </c>
      <c r="D40" s="3" t="n">
        <v>16907000</v>
      </c>
      <c r="E40" s="3" t="n">
        <v>18129000</v>
      </c>
      <c r="F40" s="3" t="n"/>
    </row>
    <row r="41">
      <c r="A41" t="inlineStr">
        <is>
          <t>Income Tax Payable</t>
        </is>
      </c>
      <c r="B41" s="3" t="n">
        <v>9141000</v>
      </c>
      <c r="C41" s="3" t="n">
        <v>25685000</v>
      </c>
      <c r="D41" s="3" t="n">
        <v>16907000</v>
      </c>
      <c r="E41" s="3" t="n">
        <v>18129000</v>
      </c>
      <c r="F41" s="3" t="n"/>
    </row>
    <row r="42">
      <c r="A42" t="inlineStr">
        <is>
          <t>Accounts Payable</t>
        </is>
      </c>
      <c r="B42" s="3" t="n">
        <v>50203000</v>
      </c>
      <c r="C42" s="3" t="n">
        <v>38046000</v>
      </c>
      <c r="D42" s="3" t="n">
        <v>21454000</v>
      </c>
      <c r="E42" s="3" t="n">
        <v>27103000</v>
      </c>
      <c r="F42" s="3" t="n"/>
    </row>
    <row r="43">
      <c r="A43" t="inlineStr">
        <is>
          <t>Total Assets</t>
        </is>
      </c>
      <c r="B43" s="3" t="n">
        <v>2016555000</v>
      </c>
      <c r="C43" s="3" t="n">
        <v>1992850000</v>
      </c>
      <c r="D43" s="3" t="n">
        <v>2017812000</v>
      </c>
      <c r="E43" s="3" t="n">
        <v>1958140000</v>
      </c>
      <c r="F43" s="3" t="n"/>
    </row>
    <row r="44">
      <c r="A44" t="inlineStr">
        <is>
          <t>Total Non Current Assets</t>
        </is>
      </c>
      <c r="B44" s="3" t="n">
        <v>1319309000</v>
      </c>
      <c r="C44" s="3" t="n">
        <v>1379483000</v>
      </c>
      <c r="D44" s="3" t="n">
        <v>1338815000</v>
      </c>
      <c r="E44" s="3" t="n">
        <v>1240441000</v>
      </c>
      <c r="F44" s="3" t="n"/>
    </row>
    <row r="45">
      <c r="A45" t="inlineStr">
        <is>
          <t>Other Non Current Assets</t>
        </is>
      </c>
      <c r="B45" s="3" t="n">
        <v>4994000</v>
      </c>
      <c r="C45" s="3" t="n">
        <v>5027000</v>
      </c>
      <c r="D45" s="3" t="n">
        <v>7088000</v>
      </c>
      <c r="E45" s="3" t="n">
        <v>6643000</v>
      </c>
      <c r="F45" s="3" t="n"/>
    </row>
    <row r="46">
      <c r="A46" t="inlineStr">
        <is>
          <t>Non Current Deferred Assets</t>
        </is>
      </c>
      <c r="B46" s="3" t="n">
        <v>383272000</v>
      </c>
      <c r="C46" s="3" t="n">
        <v>392166000</v>
      </c>
      <c r="D46" s="3" t="n">
        <v>400400000</v>
      </c>
      <c r="E46" s="3" t="n">
        <v>407241000</v>
      </c>
      <c r="F46" s="3" t="n"/>
    </row>
    <row r="47">
      <c r="A47" t="inlineStr">
        <is>
          <t>Non Current Deferred Taxes Assets</t>
        </is>
      </c>
      <c r="B47" s="3" t="n">
        <v>383272000</v>
      </c>
      <c r="C47" s="3" t="n">
        <v>392166000</v>
      </c>
      <c r="D47" s="3" t="n">
        <v>400400000</v>
      </c>
      <c r="E47" s="3" t="n">
        <v>407241000</v>
      </c>
      <c r="F47" s="3" t="n"/>
    </row>
    <row r="48">
      <c r="A48" t="inlineStr">
        <is>
          <t>Investments And Advances</t>
        </is>
      </c>
      <c r="B48" s="3" t="n">
        <v>305339000</v>
      </c>
      <c r="C48" s="3" t="n">
        <v>340898000</v>
      </c>
      <c r="D48" s="3" t="n">
        <v>244230000</v>
      </c>
      <c r="E48" s="3" t="n">
        <v>454117000</v>
      </c>
      <c r="F48" s="3" t="n"/>
    </row>
    <row r="49">
      <c r="A49" t="inlineStr">
        <is>
          <t>Investmentin Financial Assets</t>
        </is>
      </c>
      <c r="B49" s="3" t="n">
        <v>305339000</v>
      </c>
      <c r="C49" s="3" t="n">
        <v>340898000</v>
      </c>
      <c r="D49" s="3" t="n">
        <v>244230000</v>
      </c>
      <c r="E49" s="3" t="n">
        <v>454117000</v>
      </c>
      <c r="F49" s="3" t="n"/>
    </row>
    <row r="50">
      <c r="A50" t="inlineStr">
        <is>
          <t>Held To Maturity Securities</t>
        </is>
      </c>
      <c r="B50" s="3" t="n">
        <v>301157000</v>
      </c>
      <c r="C50" s="3" t="n">
        <v>328321000</v>
      </c>
      <c r="D50" s="3" t="n">
        <v>228467000</v>
      </c>
      <c r="E50" s="3" t="n"/>
      <c r="F50" s="3" t="n"/>
    </row>
    <row r="51">
      <c r="A51" t="inlineStr">
        <is>
          <t>Available For Sale Securities</t>
        </is>
      </c>
      <c r="B51" s="3" t="n">
        <v>4182000</v>
      </c>
      <c r="C51" s="3" t="n">
        <v>12577000</v>
      </c>
      <c r="D51" s="3" t="n">
        <v>15763000</v>
      </c>
      <c r="E51" s="3" t="n">
        <v>454117000</v>
      </c>
      <c r="F51" s="3" t="n"/>
    </row>
    <row r="52">
      <c r="A52" t="inlineStr">
        <is>
          <t>Goodwill And Other Intangible Assets</t>
        </is>
      </c>
      <c r="B52" s="3" t="n">
        <v>467379000</v>
      </c>
      <c r="C52" s="3" t="n">
        <v>475621000</v>
      </c>
      <c r="D52" s="3" t="n">
        <v>506133000</v>
      </c>
      <c r="E52" s="3" t="n">
        <v>255044000</v>
      </c>
      <c r="F52" s="3" t="n"/>
    </row>
    <row r="53">
      <c r="A53" t="inlineStr">
        <is>
          <t>Other Intangible Assets</t>
        </is>
      </c>
      <c r="B53" s="3" t="n">
        <v>81100000</v>
      </c>
      <c r="C53" s="3" t="n">
        <v>90684000</v>
      </c>
      <c r="D53" s="3" t="n">
        <v>112952000</v>
      </c>
      <c r="E53" s="3" t="n">
        <v>12414000</v>
      </c>
      <c r="F53" s="3" t="n"/>
    </row>
    <row r="54">
      <c r="A54" t="inlineStr">
        <is>
          <t>Goodwill</t>
        </is>
      </c>
      <c r="B54" s="3" t="n">
        <v>386279000</v>
      </c>
      <c r="C54" s="3" t="n">
        <v>384937000</v>
      </c>
      <c r="D54" s="3" t="n">
        <v>393181000</v>
      </c>
      <c r="E54" s="3" t="n">
        <v>242630000</v>
      </c>
      <c r="F54" s="3" t="n"/>
    </row>
    <row r="55">
      <c r="A55" t="inlineStr">
        <is>
          <t>Net PPE</t>
        </is>
      </c>
      <c r="B55" s="3" t="n">
        <v>158325000</v>
      </c>
      <c r="C55" s="3" t="n">
        <v>165771000</v>
      </c>
      <c r="D55" s="3" t="n">
        <v>180964000</v>
      </c>
      <c r="E55" s="3" t="n">
        <v>117396000</v>
      </c>
      <c r="F55" s="3" t="n"/>
    </row>
    <row r="56">
      <c r="A56" t="inlineStr">
        <is>
          <t>Accumulated Depreciation</t>
        </is>
      </c>
      <c r="B56" s="3" t="n">
        <v>-140000000</v>
      </c>
      <c r="C56" s="3" t="n">
        <v>-127064000</v>
      </c>
      <c r="D56" s="3" t="n">
        <v>-100373000</v>
      </c>
      <c r="E56" s="3" t="n">
        <v>-95481000</v>
      </c>
      <c r="F56" s="3" t="n"/>
    </row>
    <row r="57">
      <c r="A57" t="inlineStr">
        <is>
          <t>Gross PPE</t>
        </is>
      </c>
      <c r="B57" s="3" t="n">
        <v>298325000</v>
      </c>
      <c r="C57" s="3" t="n">
        <v>292835000</v>
      </c>
      <c r="D57" s="3" t="n">
        <v>281337000</v>
      </c>
      <c r="E57" s="3" t="n">
        <v>212877000</v>
      </c>
      <c r="F57" s="3" t="n"/>
    </row>
    <row r="58">
      <c r="A58" t="inlineStr">
        <is>
          <t>Leases</t>
        </is>
      </c>
      <c r="B58" s="3" t="n">
        <v>22702000</v>
      </c>
      <c r="C58" s="3" t="n">
        <v>21642000</v>
      </c>
      <c r="D58" s="3" t="n">
        <v>19611000</v>
      </c>
      <c r="E58" s="3" t="n">
        <v>14491000</v>
      </c>
      <c r="F58" s="3" t="n"/>
    </row>
    <row r="59">
      <c r="A59" t="inlineStr">
        <is>
          <t>Other Properties</t>
        </is>
      </c>
      <c r="B59" s="3" t="n">
        <v>121775000</v>
      </c>
      <c r="C59" s="3" t="n">
        <v>112849000</v>
      </c>
      <c r="D59" s="3" t="n">
        <v>111297000</v>
      </c>
      <c r="E59" s="3" t="n">
        <v>27176000</v>
      </c>
      <c r="F59" s="3" t="n"/>
    </row>
    <row r="60">
      <c r="A60" t="inlineStr">
        <is>
          <t>Machinery Furniture Equipment</t>
        </is>
      </c>
      <c r="B60" s="3" t="n">
        <v>66624000</v>
      </c>
      <c r="C60" s="3" t="n">
        <v>64259000</v>
      </c>
      <c r="D60" s="3" t="n">
        <v>62515000</v>
      </c>
      <c r="E60" s="3" t="n">
        <v>60041000</v>
      </c>
      <c r="F60" s="3" t="n"/>
    </row>
    <row r="61">
      <c r="A61" t="inlineStr">
        <is>
          <t>Buildings And Improvements</t>
        </is>
      </c>
      <c r="B61" s="3" t="n">
        <v>79206000</v>
      </c>
      <c r="C61" s="3" t="n">
        <v>85374000</v>
      </c>
      <c r="D61" s="3" t="n">
        <v>79109000</v>
      </c>
      <c r="E61" s="3" t="n">
        <v>107218000</v>
      </c>
      <c r="F61" s="3" t="n"/>
    </row>
    <row r="62">
      <c r="A62" t="inlineStr">
        <is>
          <t>Land And Improvements</t>
        </is>
      </c>
      <c r="B62" s="3" t="n">
        <v>8018000</v>
      </c>
      <c r="C62" s="3" t="n">
        <v>8711000</v>
      </c>
      <c r="D62" s="3" t="n">
        <v>8805000</v>
      </c>
      <c r="E62" s="3" t="n">
        <v>3951000</v>
      </c>
      <c r="F62" s="3" t="n"/>
    </row>
    <row r="63">
      <c r="A63" t="inlineStr">
        <is>
          <t>Properties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/>
    </row>
    <row r="64">
      <c r="A64" t="inlineStr">
        <is>
          <t>Current Assets</t>
        </is>
      </c>
      <c r="B64" s="3" t="n">
        <v>697246000</v>
      </c>
      <c r="C64" s="3" t="n">
        <v>613367000</v>
      </c>
      <c r="D64" s="3" t="n">
        <v>678997000</v>
      </c>
      <c r="E64" s="3" t="n">
        <v>717699000</v>
      </c>
      <c r="F64" s="3" t="n"/>
    </row>
    <row r="65">
      <c r="A65" t="inlineStr">
        <is>
          <t>Other Current Assets</t>
        </is>
      </c>
      <c r="B65" s="3" t="n">
        <v>58702000</v>
      </c>
      <c r="C65" s="3" t="n">
        <v>63376000</v>
      </c>
      <c r="D65" s="3" t="n">
        <v>68099000</v>
      </c>
      <c r="E65" s="3" t="n">
        <v>67490000</v>
      </c>
      <c r="F65" s="3" t="n"/>
    </row>
    <row r="66">
      <c r="A66" t="inlineStr">
        <is>
          <t>Prepaid Assets</t>
        </is>
      </c>
      <c r="B66" s="3" t="n"/>
      <c r="C66" s="3" t="n"/>
      <c r="D66" s="3" t="n"/>
      <c r="E66" s="3" t="n"/>
      <c r="F66" s="3" t="n">
        <v>68742000</v>
      </c>
    </row>
    <row r="67">
      <c r="A67" t="inlineStr">
        <is>
          <t>Inventory</t>
        </is>
      </c>
      <c r="B67" s="3" t="n">
        <v>137889000</v>
      </c>
      <c r="C67" s="3" t="n">
        <v>157527000</v>
      </c>
      <c r="D67" s="3" t="n">
        <v>162285000</v>
      </c>
      <c r="E67" s="3" t="n">
        <v>122480000</v>
      </c>
      <c r="F67" s="3" t="n"/>
    </row>
    <row r="68">
      <c r="A68" t="inlineStr">
        <is>
          <t>Finished Goods</t>
        </is>
      </c>
      <c r="B68" s="3" t="n">
        <v>57595000</v>
      </c>
      <c r="C68" s="3" t="n">
        <v>65066000</v>
      </c>
      <c r="D68" s="3" t="n">
        <v>63337000</v>
      </c>
      <c r="E68" s="3" t="n">
        <v>49854000</v>
      </c>
      <c r="F68" s="3" t="n"/>
    </row>
    <row r="69">
      <c r="A69" t="inlineStr">
        <is>
          <t>Work In Process</t>
        </is>
      </c>
      <c r="B69" s="3" t="n">
        <v>4877000</v>
      </c>
      <c r="C69" s="3" t="n">
        <v>5544000</v>
      </c>
      <c r="D69" s="3" t="n">
        <v>5747000</v>
      </c>
      <c r="E69" s="3" t="n">
        <v>906000</v>
      </c>
      <c r="F69" s="3" t="n"/>
    </row>
    <row r="70">
      <c r="A70" t="inlineStr">
        <is>
          <t>Raw Materials</t>
        </is>
      </c>
      <c r="B70" s="3" t="n">
        <v>75417000</v>
      </c>
      <c r="C70" s="3" t="n">
        <v>86917000</v>
      </c>
      <c r="D70" s="3" t="n">
        <v>93201000</v>
      </c>
      <c r="E70" s="3" t="n">
        <v>71720000</v>
      </c>
      <c r="F70" s="3" t="n"/>
    </row>
    <row r="71">
      <c r="A71" t="inlineStr">
        <is>
          <t>Receivables</t>
        </is>
      </c>
      <c r="B71" s="3" t="n">
        <v>163693000</v>
      </c>
      <c r="C71" s="3" t="n">
        <v>146414000</v>
      </c>
      <c r="D71" s="3" t="n">
        <v>116566000</v>
      </c>
      <c r="E71" s="3" t="n">
        <v>127596000</v>
      </c>
      <c r="F71" s="3" t="n"/>
    </row>
    <row r="72">
      <c r="A72" t="inlineStr">
        <is>
          <t>Other Receivables</t>
        </is>
      </c>
      <c r="B72" s="3" t="n">
        <v>16980000</v>
      </c>
      <c r="C72" s="3" t="n">
        <v>3055000</v>
      </c>
      <c r="D72" s="3" t="n">
        <v>2402000</v>
      </c>
      <c r="E72" s="3" t="n">
        <v>2179000</v>
      </c>
      <c r="F72" s="3" t="n"/>
    </row>
    <row r="73">
      <c r="A73" t="inlineStr">
        <is>
          <t>Accounts Receivable</t>
        </is>
      </c>
      <c r="B73" s="3" t="n">
        <v>146713000</v>
      </c>
      <c r="C73" s="3" t="n">
        <v>143359000</v>
      </c>
      <c r="D73" s="3" t="n">
        <v>114164000</v>
      </c>
      <c r="E73" s="3" t="n">
        <v>125417000</v>
      </c>
      <c r="F73" s="3" t="n"/>
    </row>
    <row r="74">
      <c r="A74" t="inlineStr">
        <is>
          <t>Allowance For Doubtful Accounts Receivable</t>
        </is>
      </c>
      <c r="B74" s="3" t="n">
        <v>-728000</v>
      </c>
      <c r="C74" s="3" t="n">
        <v>-827000</v>
      </c>
      <c r="D74" s="3" t="n">
        <v>-583000</v>
      </c>
      <c r="E74" s="3" t="n">
        <v>-730000</v>
      </c>
      <c r="F74" s="3" t="n"/>
    </row>
    <row r="75">
      <c r="A75" t="inlineStr">
        <is>
          <t>Gross Accounts Receivable</t>
        </is>
      </c>
      <c r="B75" s="3" t="n">
        <v>147441000</v>
      </c>
      <c r="C75" s="3" t="n">
        <v>144186000</v>
      </c>
      <c r="D75" s="3" t="n">
        <v>114747000</v>
      </c>
      <c r="E75" s="3" t="n">
        <v>126147000</v>
      </c>
      <c r="F75" s="3" t="n"/>
    </row>
    <row r="76">
      <c r="A76" t="inlineStr">
        <is>
          <t>Cash Cash Equivalents And Short Term Investments</t>
        </is>
      </c>
      <c r="B76" s="3" t="n">
        <v>336962000</v>
      </c>
      <c r="C76" s="3" t="n">
        <v>246050000</v>
      </c>
      <c r="D76" s="3" t="n">
        <v>332047000</v>
      </c>
      <c r="E76" s="3" t="n">
        <v>400133000</v>
      </c>
      <c r="F76" s="3" t="n"/>
    </row>
    <row r="77">
      <c r="A77" t="inlineStr">
        <is>
          <t>Other Short Term Investments</t>
        </is>
      </c>
      <c r="B77" s="3" t="n">
        <v>74037000</v>
      </c>
      <c r="C77" s="3" t="n">
        <v>59956000</v>
      </c>
      <c r="D77" s="3" t="n">
        <v>129392000</v>
      </c>
      <c r="E77" s="3" t="n">
        <v>218759000</v>
      </c>
      <c r="F77" s="3" t="n"/>
    </row>
    <row r="78">
      <c r="A78" t="inlineStr">
        <is>
          <t>Cash And Cash Equivalents</t>
        </is>
      </c>
      <c r="B78" s="3" t="n">
        <v>262925000</v>
      </c>
      <c r="C78" s="3" t="n">
        <v>186094000</v>
      </c>
      <c r="D78" s="3" t="n">
        <v>202655000</v>
      </c>
      <c r="E78" s="3" t="n">
        <v>181374000</v>
      </c>
      <c r="F78" s="3" t="n"/>
    </row>
    <row r="79">
      <c r="A79" t="inlineStr">
        <is>
          <t>Cash Equivalents</t>
        </is>
      </c>
      <c r="B79" s="3" t="n">
        <v>63170000</v>
      </c>
      <c r="C79" s="3" t="n">
        <v>15242000</v>
      </c>
      <c r="D79" s="3" t="n">
        <v>19413000</v>
      </c>
      <c r="E79" s="3" t="n">
        <v>415000</v>
      </c>
      <c r="F79" s="3" t="n"/>
    </row>
    <row r="80">
      <c r="A80" t="inlineStr">
        <is>
          <t>Cash Financial</t>
        </is>
      </c>
      <c r="B80" s="3" t="n">
        <v>199755000</v>
      </c>
      <c r="C80" s="3" t="n">
        <v>170852000</v>
      </c>
      <c r="D80" s="3" t="n">
        <v>183242000</v>
      </c>
      <c r="E80" s="3" t="n">
        <v>180959000</v>
      </c>
      <c r="F8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166527000</v>
      </c>
      <c r="C2" s="3" t="n">
        <v>166997000</v>
      </c>
      <c r="D2" s="3" t="n">
        <v>167549000</v>
      </c>
      <c r="E2" s="3" t="n">
        <v>167899010</v>
      </c>
      <c r="F2" s="3" t="n">
        <v>167864778</v>
      </c>
      <c r="G2" s="3" t="n"/>
    </row>
    <row r="3">
      <c r="A3" t="inlineStr">
        <is>
          <t>Share Issued</t>
        </is>
      </c>
      <c r="B3" s="3" t="n">
        <v>166527000</v>
      </c>
      <c r="C3" s="3" t="n">
        <v>166997000</v>
      </c>
      <c r="D3" s="3" t="n">
        <v>167549000</v>
      </c>
      <c r="E3" s="3" t="n">
        <v>167899010</v>
      </c>
      <c r="F3" s="3" t="n">
        <v>167864778</v>
      </c>
      <c r="G3" s="3" t="n"/>
    </row>
    <row r="4">
      <c r="A4" t="inlineStr">
        <is>
          <t>Total Debt</t>
        </is>
      </c>
      <c r="B4" s="3" t="n">
        <v>74017000</v>
      </c>
      <c r="C4" s="3" t="n">
        <v>76586000</v>
      </c>
      <c r="D4" s="3" t="n">
        <v>78925000</v>
      </c>
      <c r="E4" s="3" t="n">
        <v>83185000</v>
      </c>
      <c r="F4" s="3" t="n">
        <v>73702000</v>
      </c>
      <c r="G4" s="3" t="n"/>
    </row>
    <row r="5">
      <c r="A5" t="inlineStr">
        <is>
          <t>Tangible Book Value</t>
        </is>
      </c>
      <c r="B5" s="3" t="n">
        <v>1029011000</v>
      </c>
      <c r="C5" s="3" t="n">
        <v>1024522000</v>
      </c>
      <c r="D5" s="3" t="n">
        <v>1010801000</v>
      </c>
      <c r="E5" s="3" t="n">
        <v>1016533000</v>
      </c>
      <c r="F5" s="3" t="n">
        <v>964565000</v>
      </c>
      <c r="G5" s="3" t="n"/>
    </row>
    <row r="6">
      <c r="A6" t="inlineStr">
        <is>
          <t>Invested Capital</t>
        </is>
      </c>
      <c r="B6" s="3" t="n">
        <v>1478969000</v>
      </c>
      <c r="C6" s="3" t="n">
        <v>1491901000</v>
      </c>
      <c r="D6" s="3" t="n">
        <v>1489636000</v>
      </c>
      <c r="E6" s="3" t="n">
        <v>1506057000</v>
      </c>
      <c r="F6" s="3" t="n">
        <v>1445628000</v>
      </c>
      <c r="G6" s="3" t="n"/>
    </row>
    <row r="7">
      <c r="A7" t="inlineStr">
        <is>
          <t>Working Capital</t>
        </is>
      </c>
      <c r="B7" s="3" t="n">
        <v>500864000</v>
      </c>
      <c r="C7" s="3" t="n">
        <v>513695000</v>
      </c>
      <c r="D7" s="3" t="n">
        <v>501646000</v>
      </c>
      <c r="E7" s="3" t="n">
        <v>435288000</v>
      </c>
      <c r="F7" s="3" t="n">
        <v>393715000</v>
      </c>
      <c r="G7" s="3" t="n"/>
    </row>
    <row r="8">
      <c r="A8" t="inlineStr">
        <is>
          <t>Net Tangible Assets</t>
        </is>
      </c>
      <c r="B8" s="3" t="n">
        <v>1029011000</v>
      </c>
      <c r="C8" s="3" t="n">
        <v>1024522000</v>
      </c>
      <c r="D8" s="3" t="n">
        <v>1010801000</v>
      </c>
      <c r="E8" s="3" t="n">
        <v>1016533000</v>
      </c>
      <c r="F8" s="3" t="n">
        <v>964565000</v>
      </c>
      <c r="G8" s="3" t="n"/>
    </row>
    <row r="9">
      <c r="A9" t="inlineStr">
        <is>
          <t>Capital Lease Obligations</t>
        </is>
      </c>
      <c r="B9" s="3" t="n">
        <v>74017000</v>
      </c>
      <c r="C9" s="3" t="n">
        <v>76586000</v>
      </c>
      <c r="D9" s="3" t="n">
        <v>78925000</v>
      </c>
      <c r="E9" s="3" t="n">
        <v>83185000</v>
      </c>
      <c r="F9" s="3" t="n">
        <v>73702000</v>
      </c>
      <c r="G9" s="3" t="n"/>
    </row>
    <row r="10">
      <c r="A10" t="inlineStr">
        <is>
          <t>Common Stock Equity</t>
        </is>
      </c>
      <c r="B10" s="3" t="n">
        <v>1478969000</v>
      </c>
      <c r="C10" s="3" t="n">
        <v>1491901000</v>
      </c>
      <c r="D10" s="3" t="n">
        <v>1489636000</v>
      </c>
      <c r="E10" s="3" t="n">
        <v>1506057000</v>
      </c>
      <c r="F10" s="3" t="n">
        <v>1445628000</v>
      </c>
      <c r="G10" s="3" t="n"/>
    </row>
    <row r="11">
      <c r="A11" t="inlineStr">
        <is>
          <t>Total Capitalization</t>
        </is>
      </c>
      <c r="B11" s="3" t="n">
        <v>1478969000</v>
      </c>
      <c r="C11" s="3" t="n">
        <v>1491901000</v>
      </c>
      <c r="D11" s="3" t="n">
        <v>1489636000</v>
      </c>
      <c r="E11" s="3" t="n">
        <v>1506057000</v>
      </c>
      <c r="F11" s="3" t="n">
        <v>1445628000</v>
      </c>
      <c r="G11" s="3" t="n"/>
    </row>
    <row r="12">
      <c r="A12" t="inlineStr">
        <is>
          <t>Total Equity Gross Minority Interest</t>
        </is>
      </c>
      <c r="B12" s="3" t="n">
        <v>1478969000</v>
      </c>
      <c r="C12" s="3" t="n">
        <v>1491901000</v>
      </c>
      <c r="D12" s="3" t="n">
        <v>1489636000</v>
      </c>
      <c r="E12" s="3" t="n">
        <v>1506057000</v>
      </c>
      <c r="F12" s="3" t="n">
        <v>1445628000</v>
      </c>
      <c r="G12" s="3" t="n"/>
    </row>
    <row r="13">
      <c r="A13" t="inlineStr">
        <is>
          <t>Stockholders Equity</t>
        </is>
      </c>
      <c r="B13" s="3" t="n">
        <v>1478969000</v>
      </c>
      <c r="C13" s="3" t="n">
        <v>1491901000</v>
      </c>
      <c r="D13" s="3" t="n">
        <v>1489636000</v>
      </c>
      <c r="E13" s="3" t="n">
        <v>1506057000</v>
      </c>
      <c r="F13" s="3" t="n">
        <v>1445628000</v>
      </c>
      <c r="G13" s="3" t="n"/>
    </row>
    <row r="14">
      <c r="A14" t="inlineStr">
        <is>
          <t>Gains Losses Not Affecting Retained Earnings</t>
        </is>
      </c>
      <c r="B14" s="3" t="n">
        <v>-60734000</v>
      </c>
      <c r="C14" s="3" t="n">
        <v>-53496000</v>
      </c>
      <c r="D14" s="3" t="n">
        <v>-46180000</v>
      </c>
      <c r="E14" s="3" t="n">
        <v>-37777000</v>
      </c>
      <c r="F14" s="3" t="n">
        <v>-58646000</v>
      </c>
      <c r="G14" s="3" t="n"/>
    </row>
    <row r="15">
      <c r="A15" t="inlineStr">
        <is>
          <t>Other Equity Adjustments</t>
        </is>
      </c>
      <c r="B15" s="3" t="n">
        <v>-60734000</v>
      </c>
      <c r="C15" s="3" t="n">
        <v>-53496000</v>
      </c>
      <c r="D15" s="3" t="n">
        <v>-46180000</v>
      </c>
      <c r="E15" s="3" t="n">
        <v>-37777000</v>
      </c>
      <c r="F15" s="3" t="n">
        <v>-58646000</v>
      </c>
      <c r="G15" s="3" t="n"/>
    </row>
    <row r="16">
      <c r="A16" t="inlineStr">
        <is>
          <t>Retained Earnings</t>
        </is>
      </c>
      <c r="B16" s="3" t="n">
        <v>344443000</v>
      </c>
      <c r="C16" s="3" t="n">
        <v>406355000</v>
      </c>
      <c r="D16" s="3" t="n">
        <v>412347000</v>
      </c>
      <c r="E16" s="3" t="n">
        <v>433040000</v>
      </c>
      <c r="F16" s="3" t="n">
        <v>405949000</v>
      </c>
      <c r="G16" s="3" t="n"/>
    </row>
    <row r="17">
      <c r="A17" t="inlineStr">
        <is>
          <t>Additional Paid In Capital</t>
        </is>
      </c>
      <c r="B17" s="3" t="n">
        <v>1194927000</v>
      </c>
      <c r="C17" s="3" t="n">
        <v>1138708000</v>
      </c>
      <c r="D17" s="3" t="n">
        <v>1123134000</v>
      </c>
      <c r="E17" s="3" t="n">
        <v>1110458000</v>
      </c>
      <c r="F17" s="3" t="n">
        <v>1097989000</v>
      </c>
      <c r="G17" s="3" t="n"/>
    </row>
    <row r="18">
      <c r="A18" t="inlineStr">
        <is>
          <t>Capital Stock</t>
        </is>
      </c>
      <c r="B18" s="3" t="n">
        <v>333000</v>
      </c>
      <c r="C18" s="3" t="n">
        <v>334000</v>
      </c>
      <c r="D18" s="3" t="n">
        <v>335000</v>
      </c>
      <c r="E18" s="3" t="n">
        <v>336000</v>
      </c>
      <c r="F18" s="3" t="n">
        <v>336000</v>
      </c>
      <c r="G18" s="3" t="n"/>
    </row>
    <row r="19">
      <c r="A19" t="inlineStr">
        <is>
          <t>Common Stock</t>
        </is>
      </c>
      <c r="B19" s="3" t="n">
        <v>333000</v>
      </c>
      <c r="C19" s="3" t="n">
        <v>334000</v>
      </c>
      <c r="D19" s="3" t="n">
        <v>335000</v>
      </c>
      <c r="E19" s="3" t="n">
        <v>336000</v>
      </c>
      <c r="F19" s="3" t="n">
        <v>336000</v>
      </c>
      <c r="G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/>
    </row>
    <row r="21">
      <c r="A21" t="inlineStr">
        <is>
          <t>Total Liabilities Net Minority Interest</t>
        </is>
      </c>
      <c r="B21" s="3" t="n">
        <v>526649000</v>
      </c>
      <c r="C21" s="3" t="n">
        <v>524654000</v>
      </c>
      <c r="D21" s="3" t="n">
        <v>513114000</v>
      </c>
      <c r="E21" s="3" t="n">
        <v>497484000</v>
      </c>
      <c r="F21" s="3" t="n">
        <v>486875000</v>
      </c>
      <c r="G21" s="3" t="n"/>
    </row>
    <row r="22">
      <c r="A22" t="inlineStr">
        <is>
          <t>Total Non Current Liabilities Net Minority Interest</t>
        </is>
      </c>
      <c r="B22" s="3" t="n">
        <v>337164000</v>
      </c>
      <c r="C22" s="3" t="n">
        <v>341103000</v>
      </c>
      <c r="D22" s="3" t="n">
        <v>343841000</v>
      </c>
      <c r="E22" s="3" t="n">
        <v>307047000</v>
      </c>
      <c r="F22" s="3" t="n">
        <v>302911000</v>
      </c>
      <c r="G22" s="3" t="n"/>
    </row>
    <row r="23">
      <c r="A23" t="inlineStr">
        <is>
          <t>Other Non Current Liabilities</t>
        </is>
      </c>
      <c r="B23" s="3" t="n">
        <v>1891000</v>
      </c>
      <c r="C23" s="3" t="n">
        <v>1452000</v>
      </c>
      <c r="D23" s="3" t="n">
        <v>88000</v>
      </c>
      <c r="E23" s="3" t="n">
        <v>91000</v>
      </c>
      <c r="F23" s="3" t="n">
        <v>87000</v>
      </c>
      <c r="G23" s="3" t="n"/>
    </row>
    <row r="24">
      <c r="A24" t="inlineStr">
        <is>
          <t>Tradeand Other Payables Non Current</t>
        </is>
      </c>
      <c r="B24" s="3" t="n"/>
      <c r="C24" s="3" t="n"/>
      <c r="D24" s="3" t="n"/>
      <c r="E24" s="3" t="n"/>
      <c r="F24" s="3" t="n"/>
      <c r="G24" s="3" t="n">
        <v>0</v>
      </c>
    </row>
    <row r="25">
      <c r="A25" t="inlineStr">
        <is>
          <t>Non Current Deferred Liabilities</t>
        </is>
      </c>
      <c r="B25" s="3" t="n">
        <v>273566000</v>
      </c>
      <c r="C25" s="3" t="n">
        <v>274781000</v>
      </c>
      <c r="D25" s="3" t="n">
        <v>275441000</v>
      </c>
      <c r="E25" s="3" t="n">
        <v>235031000</v>
      </c>
      <c r="F25" s="3" t="n">
        <v>239399000</v>
      </c>
      <c r="G25" s="3" t="n"/>
    </row>
    <row r="26">
      <c r="A26" t="inlineStr">
        <is>
          <t>Non Current Deferred Taxes Liabilities</t>
        </is>
      </c>
      <c r="B26" s="3" t="n">
        <v>273566000</v>
      </c>
      <c r="C26" s="3" t="n">
        <v>274781000</v>
      </c>
      <c r="D26" s="3" t="n">
        <v>275441000</v>
      </c>
      <c r="E26" s="3" t="n">
        <v>235031000</v>
      </c>
      <c r="F26" s="3" t="n">
        <v>239399000</v>
      </c>
      <c r="G26" s="3" t="n"/>
    </row>
    <row r="27">
      <c r="A27" t="inlineStr">
        <is>
          <t>Long Term Debt And Capital Lease Obligation</t>
        </is>
      </c>
      <c r="B27" s="3" t="n">
        <v>61707000</v>
      </c>
      <c r="C27" s="3" t="n">
        <v>64870000</v>
      </c>
      <c r="D27" s="3" t="n">
        <v>68312000</v>
      </c>
      <c r="E27" s="3" t="n">
        <v>71925000</v>
      </c>
      <c r="F27" s="3" t="n">
        <v>63425000</v>
      </c>
      <c r="G27" s="3" t="n"/>
    </row>
    <row r="28">
      <c r="A28" t="inlineStr">
        <is>
          <t>Long Term Capital Lease Obligation</t>
        </is>
      </c>
      <c r="B28" s="3" t="n">
        <v>61707000</v>
      </c>
      <c r="C28" s="3" t="n">
        <v>64870000</v>
      </c>
      <c r="D28" s="3" t="n">
        <v>68312000</v>
      </c>
      <c r="E28" s="3" t="n">
        <v>71925000</v>
      </c>
      <c r="F28" s="3" t="n">
        <v>63425000</v>
      </c>
      <c r="G28" s="3" t="n"/>
    </row>
    <row r="29">
      <c r="A29" t="inlineStr">
        <is>
          <t>Current Liabilities</t>
        </is>
      </c>
      <c r="B29" s="3" t="n">
        <v>189485000</v>
      </c>
      <c r="C29" s="3" t="n">
        <v>183551000</v>
      </c>
      <c r="D29" s="3" t="n">
        <v>169273000</v>
      </c>
      <c r="E29" s="3" t="n">
        <v>190437000</v>
      </c>
      <c r="F29" s="3" t="n">
        <v>183964000</v>
      </c>
      <c r="G29" s="3" t="n"/>
    </row>
    <row r="30">
      <c r="A30" t="inlineStr">
        <is>
          <t>Current Deferred Liabilities</t>
        </is>
      </c>
      <c r="B30" s="3" t="n">
        <v>34053000</v>
      </c>
      <c r="C30" s="3" t="n">
        <v>21094000</v>
      </c>
      <c r="D30" s="3" t="n">
        <v>23767000</v>
      </c>
      <c r="E30" s="3" t="n">
        <v>53077000</v>
      </c>
      <c r="F30" s="3" t="n">
        <v>39858000</v>
      </c>
      <c r="G30" s="3" t="n"/>
    </row>
    <row r="31">
      <c r="A31" t="inlineStr">
        <is>
          <t>Current Deferred Revenue</t>
        </is>
      </c>
      <c r="B31" s="3" t="n">
        <v>34053000</v>
      </c>
      <c r="C31" s="3" t="n">
        <v>21094000</v>
      </c>
      <c r="D31" s="3" t="n">
        <v>23767000</v>
      </c>
      <c r="E31" s="3" t="n">
        <v>53077000</v>
      </c>
      <c r="F31" s="3" t="n">
        <v>39858000</v>
      </c>
      <c r="G31" s="3" t="n"/>
    </row>
    <row r="32">
      <c r="A32" t="inlineStr">
        <is>
          <t>Current Debt And Capital Lease Obligation</t>
        </is>
      </c>
      <c r="B32" s="3" t="n">
        <v>12310000</v>
      </c>
      <c r="C32" s="3" t="n">
        <v>11716000</v>
      </c>
      <c r="D32" s="3" t="n">
        <v>10613000</v>
      </c>
      <c r="E32" s="3" t="n">
        <v>11260000</v>
      </c>
      <c r="F32" s="3" t="n">
        <v>10277000</v>
      </c>
      <c r="G32" s="3" t="n"/>
    </row>
    <row r="33">
      <c r="A33" t="inlineStr">
        <is>
          <t>Current Capital Lease Obligation</t>
        </is>
      </c>
      <c r="B33" s="3" t="n">
        <v>12310000</v>
      </c>
      <c r="C33" s="3" t="n">
        <v>11716000</v>
      </c>
      <c r="D33" s="3" t="n">
        <v>10613000</v>
      </c>
      <c r="E33" s="3" t="n">
        <v>11260000</v>
      </c>
      <c r="F33" s="3" t="n">
        <v>10277000</v>
      </c>
      <c r="G33" s="3" t="n"/>
    </row>
    <row r="34">
      <c r="A34" t="inlineStr">
        <is>
          <t>Pensionand Other Post Retirement Benefit Plans Current</t>
        </is>
      </c>
      <c r="B34" s="3" t="n"/>
      <c r="C34" s="3" t="n">
        <v>46414000</v>
      </c>
      <c r="D34" s="3" t="n"/>
      <c r="E34" s="3" t="n"/>
      <c r="F34" s="3" t="n"/>
      <c r="G34" s="3" t="n">
        <v>29180000</v>
      </c>
    </row>
    <row r="35">
      <c r="A35" t="inlineStr">
        <is>
          <t>Current Provisions</t>
        </is>
      </c>
      <c r="B35" s="3" t="n"/>
      <c r="C35" s="3" t="n">
        <v>5474000</v>
      </c>
      <c r="D35" s="3" t="n"/>
      <c r="E35" s="3" t="n"/>
      <c r="F35" s="3" t="n"/>
      <c r="G35" s="3" t="n">
        <v>5140000</v>
      </c>
    </row>
    <row r="36">
      <c r="A36" t="inlineStr">
        <is>
          <t>Payables And Accrued Expenses</t>
        </is>
      </c>
      <c r="B36" s="3" t="n">
        <v>143122000</v>
      </c>
      <c r="C36" s="3" t="n">
        <v>98853000</v>
      </c>
      <c r="D36" s="3" t="n">
        <v>134893000</v>
      </c>
      <c r="E36" s="3" t="n">
        <v>126100000</v>
      </c>
      <c r="F36" s="3" t="n">
        <v>133829000</v>
      </c>
      <c r="G36" s="3" t="n"/>
    </row>
    <row r="37">
      <c r="A37" t="inlineStr">
        <is>
          <t>Current Accrued Expenses</t>
        </is>
      </c>
      <c r="B37" s="3" t="n">
        <v>77399000</v>
      </c>
      <c r="C37" s="3" t="n">
        <v>39509000</v>
      </c>
      <c r="D37" s="3" t="n">
        <v>86708000</v>
      </c>
      <c r="E37" s="3" t="n">
        <v>78344000</v>
      </c>
      <c r="F37" s="3" t="n">
        <v>67849000</v>
      </c>
      <c r="G37" s="3" t="n"/>
    </row>
    <row r="38">
      <c r="A38" t="inlineStr">
        <is>
          <t>Payables</t>
        </is>
      </c>
      <c r="B38" s="3" t="n">
        <v>65723000</v>
      </c>
      <c r="C38" s="3" t="n">
        <v>59344000</v>
      </c>
      <c r="D38" s="3" t="n">
        <v>48185000</v>
      </c>
      <c r="E38" s="3" t="n">
        <v>47756000</v>
      </c>
      <c r="F38" s="3" t="n">
        <v>65980000</v>
      </c>
      <c r="G38" s="3" t="n"/>
    </row>
    <row r="39">
      <c r="A39" t="inlineStr">
        <is>
          <t>Total Tax Payable</t>
        </is>
      </c>
      <c r="B39" s="3" t="n">
        <v>6172000</v>
      </c>
      <c r="C39" s="3" t="n">
        <v>9141000</v>
      </c>
      <c r="D39" s="3" t="n">
        <v>2705000</v>
      </c>
      <c r="E39" s="3" t="n">
        <v>5483000</v>
      </c>
      <c r="F39" s="3" t="n">
        <v>22677000</v>
      </c>
      <c r="G39" s="3" t="n"/>
    </row>
    <row r="40">
      <c r="A40" t="inlineStr">
        <is>
          <t>Income Tax Payable</t>
        </is>
      </c>
      <c r="B40" s="3" t="n">
        <v>6172000</v>
      </c>
      <c r="C40" s="3" t="n">
        <v>9141000</v>
      </c>
      <c r="D40" s="3" t="n">
        <v>2705000</v>
      </c>
      <c r="E40" s="3" t="n">
        <v>5483000</v>
      </c>
      <c r="F40" s="3" t="n">
        <v>22677000</v>
      </c>
      <c r="G40" s="3" t="n"/>
    </row>
    <row r="41">
      <c r="A41" t="inlineStr">
        <is>
          <t>Accounts Payable</t>
        </is>
      </c>
      <c r="B41" s="3" t="n">
        <v>59551000</v>
      </c>
      <c r="C41" s="3" t="n">
        <v>50203000</v>
      </c>
      <c r="D41" s="3" t="n">
        <v>45480000</v>
      </c>
      <c r="E41" s="3" t="n">
        <v>42273000</v>
      </c>
      <c r="F41" s="3" t="n">
        <v>43303000</v>
      </c>
      <c r="G41" s="3" t="n"/>
    </row>
    <row r="42">
      <c r="A42" t="inlineStr">
        <is>
          <t>Total Assets</t>
        </is>
      </c>
      <c r="B42" s="3" t="n">
        <v>2005618000</v>
      </c>
      <c r="C42" s="3" t="n">
        <v>2016555000</v>
      </c>
      <c r="D42" s="3" t="n">
        <v>2002750000</v>
      </c>
      <c r="E42" s="3" t="n">
        <v>2003541000</v>
      </c>
      <c r="F42" s="3" t="n">
        <v>1932503000</v>
      </c>
      <c r="G42" s="3" t="n"/>
    </row>
    <row r="43">
      <c r="A43" t="inlineStr">
        <is>
          <t>Total Non Current Assets</t>
        </is>
      </c>
      <c r="B43" s="3" t="n">
        <v>1315269000</v>
      </c>
      <c r="C43" s="3" t="n">
        <v>1319309000</v>
      </c>
      <c r="D43" s="3" t="n">
        <v>1331831000</v>
      </c>
      <c r="E43" s="3" t="n">
        <v>1377816000</v>
      </c>
      <c r="F43" s="3" t="n">
        <v>1354824000</v>
      </c>
      <c r="G43" s="3" t="n"/>
    </row>
    <row r="44">
      <c r="A44" t="inlineStr">
        <is>
          <t>Other Non Current Assets</t>
        </is>
      </c>
      <c r="B44" s="3" t="n">
        <v>5025000</v>
      </c>
      <c r="C44" s="3" t="n">
        <v>4994000</v>
      </c>
      <c r="D44" s="3" t="n">
        <v>5257000</v>
      </c>
      <c r="E44" s="3" t="n">
        <v>5294000</v>
      </c>
      <c r="F44" s="3" t="n">
        <v>5090000</v>
      </c>
      <c r="G44" s="3" t="n"/>
    </row>
    <row r="45">
      <c r="A45" t="inlineStr">
        <is>
          <t>Non Current Deferred Assets</t>
        </is>
      </c>
      <c r="B45" s="3" t="n">
        <v>381100000</v>
      </c>
      <c r="C45" s="3" t="n">
        <v>383272000</v>
      </c>
      <c r="D45" s="3" t="n">
        <v>383611000</v>
      </c>
      <c r="E45" s="3" t="n">
        <v>387232000</v>
      </c>
      <c r="F45" s="3" t="n">
        <v>390170000</v>
      </c>
      <c r="G45" s="3" t="n"/>
    </row>
    <row r="46">
      <c r="A46" t="inlineStr">
        <is>
          <t>Non Current Deferred Taxes Assets</t>
        </is>
      </c>
      <c r="B46" s="3" t="n">
        <v>381100000</v>
      </c>
      <c r="C46" s="3" t="n">
        <v>383272000</v>
      </c>
      <c r="D46" s="3" t="n">
        <v>383611000</v>
      </c>
      <c r="E46" s="3" t="n">
        <v>387232000</v>
      </c>
      <c r="F46" s="3" t="n">
        <v>390170000</v>
      </c>
      <c r="G46" s="3" t="n"/>
    </row>
    <row r="47">
      <c r="A47" t="inlineStr">
        <is>
          <t>Investments And Advances</t>
        </is>
      </c>
      <c r="B47" s="3" t="n">
        <v>325186000</v>
      </c>
      <c r="C47" s="3" t="n">
        <v>305339000</v>
      </c>
      <c r="D47" s="3" t="n">
        <v>300078000</v>
      </c>
      <c r="E47" s="3" t="n">
        <v>324348000</v>
      </c>
      <c r="F47" s="3" t="n">
        <v>312310000</v>
      </c>
      <c r="G47" s="3" t="n"/>
    </row>
    <row r="48">
      <c r="A48" t="inlineStr">
        <is>
          <t>Investmentin Financial Assets</t>
        </is>
      </c>
      <c r="B48" s="3" t="n">
        <v>325186000</v>
      </c>
      <c r="C48" s="3" t="n">
        <v>305339000</v>
      </c>
      <c r="D48" s="3" t="n"/>
      <c r="E48" s="3" t="n">
        <v>324348000</v>
      </c>
      <c r="F48" s="3" t="n">
        <v>312310000</v>
      </c>
      <c r="G48" s="3" t="n">
        <v>340898000</v>
      </c>
    </row>
    <row r="49">
      <c r="A49" t="inlineStr">
        <is>
          <t>Held To Maturity Securities</t>
        </is>
      </c>
      <c r="B49" s="3" t="n">
        <v>321361000</v>
      </c>
      <c r="C49" s="3" t="n">
        <v>301157000</v>
      </c>
      <c r="D49" s="3" t="n"/>
      <c r="E49" s="3" t="n"/>
      <c r="F49" s="3" t="n"/>
      <c r="G49" s="3" t="n">
        <v>328321000</v>
      </c>
    </row>
    <row r="50">
      <c r="A50" t="inlineStr">
        <is>
          <t>Available For Sale Securities</t>
        </is>
      </c>
      <c r="B50" s="3" t="n">
        <v>3825000</v>
      </c>
      <c r="C50" s="3" t="n">
        <v>4182000</v>
      </c>
      <c r="D50" s="3" t="n"/>
      <c r="E50" s="3" t="n">
        <v>324348000</v>
      </c>
      <c r="F50" s="3" t="n">
        <v>312310000</v>
      </c>
      <c r="G50" s="3" t="n">
        <v>12577000</v>
      </c>
    </row>
    <row r="51">
      <c r="A51" t="inlineStr">
        <is>
          <t>Goodwill And Other Intangible Assets</t>
        </is>
      </c>
      <c r="B51" s="3" t="n">
        <v>449958000</v>
      </c>
      <c r="C51" s="3" t="n">
        <v>467379000</v>
      </c>
      <c r="D51" s="3" t="n">
        <v>478835000</v>
      </c>
      <c r="E51" s="3" t="n">
        <v>489524000</v>
      </c>
      <c r="F51" s="3" t="n">
        <v>481063000</v>
      </c>
      <c r="G51" s="3" t="n"/>
    </row>
    <row r="52">
      <c r="A52" t="inlineStr">
        <is>
          <t>Other Intangible Assets</t>
        </is>
      </c>
      <c r="B52" s="3" t="n">
        <v>67140000</v>
      </c>
      <c r="C52" s="3" t="n">
        <v>81100000</v>
      </c>
      <c r="D52" s="3" t="n">
        <v>86751000</v>
      </c>
      <c r="E52" s="3" t="n">
        <v>92135000</v>
      </c>
      <c r="F52" s="3" t="n">
        <v>91134000</v>
      </c>
      <c r="G52" s="3" t="n"/>
    </row>
    <row r="53">
      <c r="A53" t="inlineStr">
        <is>
          <t>Goodwill</t>
        </is>
      </c>
      <c r="B53" s="3" t="n">
        <v>382818000</v>
      </c>
      <c r="C53" s="3" t="n">
        <v>386279000</v>
      </c>
      <c r="D53" s="3" t="n">
        <v>392084000</v>
      </c>
      <c r="E53" s="3" t="n">
        <v>397389000</v>
      </c>
      <c r="F53" s="3" t="n">
        <v>389929000</v>
      </c>
      <c r="G53" s="3" t="n"/>
    </row>
    <row r="54">
      <c r="A54" t="inlineStr">
        <is>
          <t>Net PPE</t>
        </is>
      </c>
      <c r="B54" s="3" t="n">
        <v>154000000</v>
      </c>
      <c r="C54" s="3" t="n">
        <v>158325000</v>
      </c>
      <c r="D54" s="3" t="n">
        <v>164050000</v>
      </c>
      <c r="E54" s="3" t="n">
        <v>171418000</v>
      </c>
      <c r="F54" s="3" t="n">
        <v>166191000</v>
      </c>
      <c r="G54" s="3" t="n"/>
    </row>
    <row r="55">
      <c r="A55" t="inlineStr">
        <is>
          <t>Accumulated Depreciation</t>
        </is>
      </c>
      <c r="B55" s="3" t="n"/>
      <c r="C55" s="3" t="n">
        <v>-140000000</v>
      </c>
      <c r="D55" s="3" t="n"/>
      <c r="E55" s="3" t="n"/>
      <c r="F55" s="3" t="n"/>
      <c r="G55" s="3" t="n">
        <v>-127064000</v>
      </c>
    </row>
    <row r="56">
      <c r="A56" t="inlineStr">
        <is>
          <t>Gross PPE</t>
        </is>
      </c>
      <c r="B56" s="3" t="n">
        <v>154000000</v>
      </c>
      <c r="C56" s="3" t="n">
        <v>298325000</v>
      </c>
      <c r="D56" s="3" t="n">
        <v>164050000</v>
      </c>
      <c r="E56" s="3" t="n">
        <v>171418000</v>
      </c>
      <c r="F56" s="3" t="n">
        <v>166191000</v>
      </c>
      <c r="G56" s="3" t="n"/>
    </row>
    <row r="57">
      <c r="A57" t="inlineStr">
        <is>
          <t>Leases</t>
        </is>
      </c>
      <c r="B57" s="3" t="n"/>
      <c r="C57" s="3" t="n">
        <v>22702000</v>
      </c>
      <c r="D57" s="3" t="n"/>
      <c r="E57" s="3" t="n"/>
      <c r="F57" s="3" t="n"/>
      <c r="G57" s="3" t="n">
        <v>21642000</v>
      </c>
    </row>
    <row r="58">
      <c r="A58" t="inlineStr">
        <is>
          <t>Other Properties</t>
        </is>
      </c>
      <c r="B58" s="3" t="n">
        <v>154000000</v>
      </c>
      <c r="C58" s="3" t="n">
        <v>121775000</v>
      </c>
      <c r="D58" s="3" t="n">
        <v>164050000</v>
      </c>
      <c r="E58" s="3" t="n">
        <v>171418000</v>
      </c>
      <c r="F58" s="3" t="n">
        <v>166191000</v>
      </c>
      <c r="G58" s="3" t="n"/>
    </row>
    <row r="59">
      <c r="A59" t="inlineStr">
        <is>
          <t>Machinery Furniture Equipment</t>
        </is>
      </c>
      <c r="B59" s="3" t="n"/>
      <c r="C59" s="3" t="n">
        <v>66624000</v>
      </c>
      <c r="D59" s="3" t="n"/>
      <c r="E59" s="3" t="n"/>
      <c r="F59" s="3" t="n"/>
      <c r="G59" s="3" t="n">
        <v>64259000</v>
      </c>
    </row>
    <row r="60">
      <c r="A60" t="inlineStr">
        <is>
          <t>Buildings And Improvements</t>
        </is>
      </c>
      <c r="B60" s="3" t="n"/>
      <c r="C60" s="3" t="n">
        <v>79206000</v>
      </c>
      <c r="D60" s="3" t="n"/>
      <c r="E60" s="3" t="n"/>
      <c r="F60" s="3" t="n"/>
      <c r="G60" s="3" t="n">
        <v>85374000</v>
      </c>
    </row>
    <row r="61">
      <c r="A61" t="inlineStr">
        <is>
          <t>Land And Improvements</t>
        </is>
      </c>
      <c r="B61" s="3" t="n"/>
      <c r="C61" s="3" t="n">
        <v>8018000</v>
      </c>
      <c r="D61" s="3" t="n"/>
      <c r="E61" s="3" t="n"/>
      <c r="F61" s="3" t="n"/>
      <c r="G61" s="3" t="n">
        <v>8711000</v>
      </c>
    </row>
    <row r="62">
      <c r="A62" t="inlineStr">
        <is>
          <t>Properties</t>
        </is>
      </c>
      <c r="B62" s="3" t="n"/>
      <c r="C62" s="3" t="n">
        <v>0</v>
      </c>
      <c r="D62" s="3" t="n"/>
      <c r="E62" s="3" t="n"/>
      <c r="F62" s="3" t="n"/>
      <c r="G62" s="3" t="n">
        <v>0</v>
      </c>
    </row>
    <row r="63">
      <c r="A63" t="inlineStr">
        <is>
          <t>Current Assets</t>
        </is>
      </c>
      <c r="B63" s="3" t="n">
        <v>690349000</v>
      </c>
      <c r="C63" s="3" t="n">
        <v>697246000</v>
      </c>
      <c r="D63" s="3" t="n">
        <v>670919000</v>
      </c>
      <c r="E63" s="3" t="n">
        <v>625725000</v>
      </c>
      <c r="F63" s="3" t="n">
        <v>577679000</v>
      </c>
      <c r="G63" s="3" t="n"/>
    </row>
    <row r="64">
      <c r="A64" t="inlineStr">
        <is>
          <t>Other Current Assets</t>
        </is>
      </c>
      <c r="B64" s="3" t="n">
        <v>70922000</v>
      </c>
      <c r="C64" s="3" t="n">
        <v>58702000</v>
      </c>
      <c r="D64" s="3" t="n">
        <v>55453000</v>
      </c>
      <c r="E64" s="3" t="n">
        <v>66823000</v>
      </c>
      <c r="F64" s="3" t="n">
        <v>61179000</v>
      </c>
      <c r="G64" s="3" t="n"/>
    </row>
    <row r="65">
      <c r="A65" t="inlineStr">
        <is>
          <t>Inventory</t>
        </is>
      </c>
      <c r="B65" s="3" t="n">
        <v>135549000</v>
      </c>
      <c r="C65" s="3" t="n">
        <v>137889000</v>
      </c>
      <c r="D65" s="3" t="n">
        <v>143679000</v>
      </c>
      <c r="E65" s="3" t="n">
        <v>144577000</v>
      </c>
      <c r="F65" s="3" t="n">
        <v>152113000</v>
      </c>
      <c r="G65" s="3" t="n"/>
    </row>
    <row r="66">
      <c r="A66" t="inlineStr">
        <is>
          <t>Finished Goods</t>
        </is>
      </c>
      <c r="B66" s="3" t="n">
        <v>59207000</v>
      </c>
      <c r="C66" s="3" t="n">
        <v>57595000</v>
      </c>
      <c r="D66" s="3" t="n">
        <v>58985000</v>
      </c>
      <c r="E66" s="3" t="n">
        <v>59300000</v>
      </c>
      <c r="F66" s="3" t="n">
        <v>65985000</v>
      </c>
      <c r="G66" s="3" t="n"/>
    </row>
    <row r="67">
      <c r="A67" t="inlineStr">
        <is>
          <t>Work In Process</t>
        </is>
      </c>
      <c r="B67" s="3" t="n">
        <v>6446000</v>
      </c>
      <c r="C67" s="3" t="n">
        <v>4877000</v>
      </c>
      <c r="D67" s="3" t="n">
        <v>5011000</v>
      </c>
      <c r="E67" s="3" t="n">
        <v>6441000</v>
      </c>
      <c r="F67" s="3" t="n">
        <v>5500000</v>
      </c>
      <c r="G67" s="3" t="n"/>
    </row>
    <row r="68">
      <c r="A68" t="inlineStr">
        <is>
          <t>Raw Materials</t>
        </is>
      </c>
      <c r="B68" s="3" t="n">
        <v>69896000</v>
      </c>
      <c r="C68" s="3" t="n">
        <v>75417000</v>
      </c>
      <c r="D68" s="3" t="n">
        <v>79683000</v>
      </c>
      <c r="E68" s="3" t="n">
        <v>78836000</v>
      </c>
      <c r="F68" s="3" t="n">
        <v>80628000</v>
      </c>
      <c r="G68" s="3" t="n"/>
    </row>
    <row r="69">
      <c r="A69" t="inlineStr">
        <is>
          <t>Receivables</t>
        </is>
      </c>
      <c r="B69" s="3" t="n">
        <v>187122000</v>
      </c>
      <c r="C69" s="3" t="n">
        <v>163693000</v>
      </c>
      <c r="D69" s="3" t="n">
        <v>171521000</v>
      </c>
      <c r="E69" s="3" t="n">
        <v>186122000</v>
      </c>
      <c r="F69" s="3" t="n">
        <v>163940000</v>
      </c>
      <c r="G69" s="3" t="n"/>
    </row>
    <row r="70">
      <c r="A70" t="inlineStr">
        <is>
          <t>Other Receivables</t>
        </is>
      </c>
      <c r="B70" s="3" t="n">
        <v>16401000</v>
      </c>
      <c r="C70" s="3" t="n">
        <v>16980000</v>
      </c>
      <c r="D70" s="3" t="n">
        <v>16909000</v>
      </c>
      <c r="E70" s="3" t="n">
        <v>2176000</v>
      </c>
      <c r="F70" s="3" t="n">
        <v>2755000</v>
      </c>
      <c r="G70" s="3" t="n"/>
    </row>
    <row r="71">
      <c r="A71" t="inlineStr">
        <is>
          <t>Accounts Receivable</t>
        </is>
      </c>
      <c r="B71" s="3" t="n">
        <v>170721000</v>
      </c>
      <c r="C71" s="3" t="n">
        <v>146713000</v>
      </c>
      <c r="D71" s="3" t="n">
        <v>154612000</v>
      </c>
      <c r="E71" s="3" t="n">
        <v>183946000</v>
      </c>
      <c r="F71" s="3" t="n">
        <v>161185000</v>
      </c>
      <c r="G71" s="3" t="n"/>
    </row>
    <row r="72">
      <c r="A72" t="inlineStr">
        <is>
          <t>Allowance For Doubtful Accounts Receivable</t>
        </is>
      </c>
      <c r="B72" s="3" t="n">
        <v>-781000</v>
      </c>
      <c r="C72" s="3" t="n">
        <v>-728000</v>
      </c>
      <c r="D72" s="3" t="n">
        <v>-732000</v>
      </c>
      <c r="E72" s="3" t="n">
        <v>-620000</v>
      </c>
      <c r="F72" s="3" t="n">
        <v>-598000</v>
      </c>
      <c r="G72" s="3" t="n"/>
    </row>
    <row r="73">
      <c r="A73" t="inlineStr">
        <is>
          <t>Gross Accounts Receivable</t>
        </is>
      </c>
      <c r="B73" s="3" t="n">
        <v>171502000</v>
      </c>
      <c r="C73" s="3" t="n">
        <v>147441000</v>
      </c>
      <c r="D73" s="3" t="n">
        <v>155344000</v>
      </c>
      <c r="E73" s="3" t="n">
        <v>184566000</v>
      </c>
      <c r="F73" s="3" t="n">
        <v>161783000</v>
      </c>
      <c r="G73" s="3" t="n"/>
    </row>
    <row r="74">
      <c r="A74" t="inlineStr">
        <is>
          <t>Cash Cash Equivalents And Short Term Investments</t>
        </is>
      </c>
      <c r="B74" s="3" t="n">
        <v>296756000</v>
      </c>
      <c r="C74" s="3" t="n">
        <v>336962000</v>
      </c>
      <c r="D74" s="3" t="n">
        <v>300266000</v>
      </c>
      <c r="E74" s="3" t="n">
        <v>228203000</v>
      </c>
      <c r="F74" s="3" t="n">
        <v>200447000</v>
      </c>
      <c r="G74" s="3" t="n"/>
    </row>
    <row r="75">
      <c r="A75" t="inlineStr">
        <is>
          <t>Other Short Term Investments</t>
        </is>
      </c>
      <c r="B75" s="3" t="n">
        <v>59413000</v>
      </c>
      <c r="C75" s="3" t="n">
        <v>74037000</v>
      </c>
      <c r="D75" s="3" t="n">
        <v>54368000</v>
      </c>
      <c r="E75" s="3" t="n">
        <v>48892000</v>
      </c>
      <c r="F75" s="3" t="n">
        <v>56703000</v>
      </c>
      <c r="G75" s="3" t="n"/>
    </row>
    <row r="76">
      <c r="A76" t="inlineStr">
        <is>
          <t>Cash And Cash Equivalents</t>
        </is>
      </c>
      <c r="B76" s="3" t="n">
        <v>237343000</v>
      </c>
      <c r="C76" s="3" t="n">
        <v>262925000</v>
      </c>
      <c r="D76" s="3" t="n">
        <v>245898000</v>
      </c>
      <c r="E76" s="3" t="n">
        <v>179311000</v>
      </c>
      <c r="F76" s="3" t="n">
        <v>143744000</v>
      </c>
      <c r="G76" s="3" t="n"/>
    </row>
    <row r="77">
      <c r="A77" t="inlineStr">
        <is>
          <t>Cash Equivalents</t>
        </is>
      </c>
      <c r="B77" s="3" t="n">
        <v>59152000</v>
      </c>
      <c r="C77" s="3" t="n">
        <v>63170000</v>
      </c>
      <c r="D77" s="3" t="n">
        <v>93445000</v>
      </c>
      <c r="E77" s="3" t="n">
        <v>27949000</v>
      </c>
      <c r="F77" s="3" t="n">
        <v>22461000</v>
      </c>
      <c r="G77" s="3" t="n"/>
    </row>
    <row r="78">
      <c r="A78" t="inlineStr">
        <is>
          <t>Cash Financial</t>
        </is>
      </c>
      <c r="B78" s="3" t="n">
        <v>178191000</v>
      </c>
      <c r="C78" s="3" t="n">
        <v>199755000</v>
      </c>
      <c r="D78" s="3" t="n">
        <v>152453000</v>
      </c>
      <c r="E78" s="3" t="n">
        <v>151362000</v>
      </c>
      <c r="F78" s="3" t="n">
        <v>121283000</v>
      </c>
      <c r="G7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236771000</v>
      </c>
      <c r="C2" s="3" t="n">
        <v>134038000</v>
      </c>
      <c r="D2" s="3" t="n">
        <v>89839000</v>
      </c>
      <c r="E2" s="3" t="n">
        <v>223739000</v>
      </c>
      <c r="F2" s="3" t="n"/>
    </row>
    <row r="3">
      <c r="A3" t="inlineStr">
        <is>
          <t>Repurchase Of Capital Stock</t>
        </is>
      </c>
      <c r="B3" s="3" t="n">
        <v>-151233000</v>
      </c>
      <c r="C3" s="3" t="n">
        <v>-67085000</v>
      </c>
      <c r="D3" s="3" t="n">
        <v>-79794000</v>
      </c>
      <c r="E3" s="3" t="n">
        <v>-204314000</v>
      </c>
      <c r="F3" s="3" t="n"/>
    </row>
    <row r="4">
      <c r="A4" t="inlineStr">
        <is>
          <t>Capital Expenditure</t>
        </is>
      </c>
      <c r="B4" s="3" t="n">
        <v>-8743000</v>
      </c>
      <c r="C4" s="3" t="n">
        <v>-15043000</v>
      </c>
      <c r="D4" s="3" t="n">
        <v>-23077000</v>
      </c>
      <c r="E4" s="3" t="n">
        <v>-19667000</v>
      </c>
      <c r="F4" s="3" t="n"/>
    </row>
    <row r="5">
      <c r="A5" t="inlineStr">
        <is>
          <t>End Cash Position</t>
        </is>
      </c>
      <c r="B5" s="3" t="n">
        <v>262925000</v>
      </c>
      <c r="C5" s="3" t="n">
        <v>186094000</v>
      </c>
      <c r="D5" s="3" t="n">
        <v>202655000</v>
      </c>
      <c r="E5" s="3" t="n">
        <v>181374000</v>
      </c>
      <c r="F5" s="3" t="n"/>
    </row>
    <row r="6">
      <c r="A6" t="inlineStr">
        <is>
          <t>Beginning Cash Position</t>
        </is>
      </c>
      <c r="B6" s="3" t="n">
        <v>186094000</v>
      </c>
      <c r="C6" s="3" t="n">
        <v>202655000</v>
      </c>
      <c r="D6" s="3" t="n">
        <v>181374000</v>
      </c>
      <c r="E6" s="3" t="n">
        <v>186161000</v>
      </c>
      <c r="F6" s="3" t="n"/>
    </row>
    <row r="7">
      <c r="A7" t="inlineStr">
        <is>
          <t>Effect Of Exchange Rate Changes</t>
        </is>
      </c>
      <c r="B7" s="3" t="n">
        <v>9994000</v>
      </c>
      <c r="C7" s="3" t="n">
        <v>-8253000</v>
      </c>
      <c r="D7" s="3" t="n">
        <v>1697000</v>
      </c>
      <c r="E7" s="3" t="n">
        <v>-3365000</v>
      </c>
      <c r="F7" s="3" t="n"/>
    </row>
    <row r="8">
      <c r="A8" t="inlineStr">
        <is>
          <t>Changes In Cash</t>
        </is>
      </c>
      <c r="B8" s="3" t="n">
        <v>66837000</v>
      </c>
      <c r="C8" s="3" t="n">
        <v>-8308000</v>
      </c>
      <c r="D8" s="3" t="n">
        <v>19584000</v>
      </c>
      <c r="E8" s="3" t="n">
        <v>-1422000</v>
      </c>
      <c r="F8" s="3" t="n"/>
    </row>
    <row r="9">
      <c r="A9" t="inlineStr">
        <is>
          <t>Financing Cash Flow</t>
        </is>
      </c>
      <c r="B9" s="3" t="n">
        <v>-206693000</v>
      </c>
      <c r="C9" s="3" t="n">
        <v>-118420000</v>
      </c>
      <c r="D9" s="3" t="n">
        <v>-125605000</v>
      </c>
      <c r="E9" s="3" t="n">
        <v>-240374000</v>
      </c>
      <c r="F9" s="3" t="n"/>
    </row>
    <row r="10">
      <c r="A10" t="inlineStr">
        <is>
          <t>Cash Flow From Continuing Financing Activities</t>
        </is>
      </c>
      <c r="B10" s="3" t="n">
        <v>-206693000</v>
      </c>
      <c r="C10" s="3" t="n">
        <v>-118420000</v>
      </c>
      <c r="D10" s="3" t="n">
        <v>-125605000</v>
      </c>
      <c r="E10" s="3" t="n">
        <v>-240374000</v>
      </c>
      <c r="F10" s="3" t="n"/>
    </row>
    <row r="11">
      <c r="A11" t="inlineStr">
        <is>
          <t>Net Other Financing Charges</t>
        </is>
      </c>
      <c r="B11" s="3" t="n">
        <v>-388000</v>
      </c>
      <c r="C11" s="3" t="n"/>
      <c r="D11" s="3" t="n"/>
      <c r="E11" s="3" t="n"/>
      <c r="F11" s="3" t="n"/>
    </row>
    <row r="12">
      <c r="A12" t="inlineStr">
        <is>
          <t>Proceeds From Stock Option Exercised</t>
        </is>
      </c>
      <c r="B12" s="3" t="n">
        <v>-445000</v>
      </c>
      <c r="C12" s="3" t="n">
        <v>994000</v>
      </c>
      <c r="D12" s="3" t="n">
        <v>3268000</v>
      </c>
      <c r="E12" s="3" t="n">
        <v>9861000</v>
      </c>
      <c r="F12" s="3" t="n"/>
    </row>
    <row r="13">
      <c r="A13" t="inlineStr">
        <is>
          <t>Cash Dividends Paid</t>
        </is>
      </c>
      <c r="B13" s="3" t="n">
        <v>-54627000</v>
      </c>
      <c r="C13" s="3" t="n">
        <v>-52329000</v>
      </c>
      <c r="D13" s="3" t="n">
        <v>-49079000</v>
      </c>
      <c r="E13" s="3" t="n">
        <v>-45921000</v>
      </c>
      <c r="F13" s="3" t="n"/>
    </row>
    <row r="14">
      <c r="A14" t="inlineStr">
        <is>
          <t>Common Stock Dividend Paid</t>
        </is>
      </c>
      <c r="B14" s="3" t="n">
        <v>-54627000</v>
      </c>
      <c r="C14" s="3" t="n">
        <v>-52329000</v>
      </c>
      <c r="D14" s="3" t="n">
        <v>-49079000</v>
      </c>
      <c r="E14" s="3" t="n">
        <v>-45921000</v>
      </c>
      <c r="F14" s="3" t="n"/>
    </row>
    <row r="15">
      <c r="A15" t="inlineStr">
        <is>
          <t>Net Common Stock Issuance</t>
        </is>
      </c>
      <c r="B15" s="3" t="n">
        <v>-151233000</v>
      </c>
      <c r="C15" s="3" t="n">
        <v>-67085000</v>
      </c>
      <c r="D15" s="3" t="n">
        <v>-79794000</v>
      </c>
      <c r="E15" s="3" t="n">
        <v>-204314000</v>
      </c>
      <c r="F15" s="3" t="n"/>
    </row>
    <row r="16">
      <c r="A16" t="inlineStr">
        <is>
          <t>Common Stock Payments</t>
        </is>
      </c>
      <c r="B16" s="3" t="n">
        <v>-151233000</v>
      </c>
      <c r="C16" s="3" t="n">
        <v>-67085000</v>
      </c>
      <c r="D16" s="3" t="n">
        <v>-79794000</v>
      </c>
      <c r="E16" s="3" t="n">
        <v>-204314000</v>
      </c>
      <c r="F16" s="3" t="n"/>
    </row>
    <row r="17">
      <c r="A17" t="inlineStr">
        <is>
          <t>Investing Cash Flow</t>
        </is>
      </c>
      <c r="B17" s="3" t="n">
        <v>28016000</v>
      </c>
      <c r="C17" s="3" t="n">
        <v>-38969000</v>
      </c>
      <c r="D17" s="3" t="n">
        <v>32273000</v>
      </c>
      <c r="E17" s="3" t="n">
        <v>-4454000</v>
      </c>
      <c r="F17" s="3" t="n"/>
    </row>
    <row r="18">
      <c r="A18" t="inlineStr">
        <is>
          <t>Cash Flow From Continuing Investing Activities</t>
        </is>
      </c>
      <c r="B18" s="3" t="n">
        <v>28016000</v>
      </c>
      <c r="C18" s="3" t="n">
        <v>-38969000</v>
      </c>
      <c r="D18" s="3" t="n">
        <v>32273000</v>
      </c>
      <c r="E18" s="3" t="n">
        <v>-4454000</v>
      </c>
      <c r="F18" s="3" t="n"/>
    </row>
    <row r="19">
      <c r="A19" t="inlineStr">
        <is>
          <t>Net Investment Purchase And Sale</t>
        </is>
      </c>
      <c r="B19" s="3" t="n">
        <v>30055000</v>
      </c>
      <c r="C19" s="3" t="n">
        <v>-22482000</v>
      </c>
      <c r="D19" s="3" t="n">
        <v>312406000</v>
      </c>
      <c r="E19" s="3" t="n">
        <v>20263000</v>
      </c>
      <c r="F19" s="3" t="n"/>
    </row>
    <row r="20">
      <c r="A20" t="inlineStr">
        <is>
          <t>Sale Of Investment</t>
        </is>
      </c>
      <c r="B20" s="3" t="n">
        <v>320279000</v>
      </c>
      <c r="C20" s="3" t="n">
        <v>828370000</v>
      </c>
      <c r="D20" s="3" t="n">
        <v>496462000</v>
      </c>
      <c r="E20" s="3" t="n">
        <v>253983000</v>
      </c>
      <c r="F20" s="3" t="n"/>
    </row>
    <row r="21">
      <c r="A21" t="inlineStr">
        <is>
          <t>Purchase Of Investment</t>
        </is>
      </c>
      <c r="B21" s="3" t="n">
        <v>-290224000</v>
      </c>
      <c r="C21" s="3" t="n">
        <v>-850852000</v>
      </c>
      <c r="D21" s="3" t="n">
        <v>-184056000</v>
      </c>
      <c r="E21" s="3" t="n">
        <v>-233720000</v>
      </c>
      <c r="F21" s="3" t="n"/>
    </row>
    <row r="22">
      <c r="A22" t="inlineStr">
        <is>
          <t>Net Business Purchase And Sale</t>
        </is>
      </c>
      <c r="B22" s="3" t="n">
        <v>0</v>
      </c>
      <c r="C22" s="3" t="n">
        <v>-1444000</v>
      </c>
      <c r="D22" s="3" t="n">
        <v>-257056000</v>
      </c>
      <c r="E22" s="3" t="n">
        <v>-5050000</v>
      </c>
      <c r="F22" s="3" t="n"/>
    </row>
    <row r="23">
      <c r="A23" t="inlineStr">
        <is>
          <t>Sale Of Business</t>
        </is>
      </c>
      <c r="B23" s="3" t="n"/>
      <c r="C23" s="3" t="n"/>
      <c r="D23" s="3" t="n"/>
      <c r="E23" s="3" t="n"/>
      <c r="F23" s="3" t="n">
        <v>0</v>
      </c>
    </row>
    <row r="24">
      <c r="A24" t="inlineStr">
        <is>
          <t>Purchase Of Business</t>
        </is>
      </c>
      <c r="B24" s="3" t="n">
        <v>0</v>
      </c>
      <c r="C24" s="3" t="n">
        <v>-1444000</v>
      </c>
      <c r="D24" s="3" t="n">
        <v>-257056000</v>
      </c>
      <c r="E24" s="3" t="n">
        <v>-5050000</v>
      </c>
      <c r="F24" s="3" t="n"/>
    </row>
    <row r="25">
      <c r="A25" t="inlineStr">
        <is>
          <t>Net PPE Purchase And Sale</t>
        </is>
      </c>
      <c r="B25" s="3" t="n">
        <v>-2039000</v>
      </c>
      <c r="C25" s="3" t="n">
        <v>-15043000</v>
      </c>
      <c r="D25" s="3" t="n">
        <v>-23077000</v>
      </c>
      <c r="E25" s="3" t="n">
        <v>-19667000</v>
      </c>
      <c r="F25" s="3" t="n"/>
    </row>
    <row r="26">
      <c r="A26" t="inlineStr">
        <is>
          <t>Sale Of PPE</t>
        </is>
      </c>
      <c r="B26" s="3" t="n">
        <v>6704000</v>
      </c>
      <c r="C26" s="3" t="n">
        <v>0</v>
      </c>
      <c r="D26" s="3" t="n">
        <v>0</v>
      </c>
      <c r="E26" s="3" t="n"/>
      <c r="F26" s="3" t="n"/>
    </row>
    <row r="27">
      <c r="A27" t="inlineStr">
        <is>
          <t>Purchase Of PPE</t>
        </is>
      </c>
      <c r="B27" s="3" t="n">
        <v>-8743000</v>
      </c>
      <c r="C27" s="3" t="n">
        <v>-15043000</v>
      </c>
      <c r="D27" s="3" t="n">
        <v>-23077000</v>
      </c>
      <c r="E27" s="3" t="n">
        <v>-19667000</v>
      </c>
      <c r="F27" s="3" t="n"/>
    </row>
    <row r="28">
      <c r="A28" t="inlineStr">
        <is>
          <t>Operating Cash Flow</t>
        </is>
      </c>
      <c r="B28" s="3" t="n">
        <v>245514000</v>
      </c>
      <c r="C28" s="3" t="n">
        <v>149081000</v>
      </c>
      <c r="D28" s="3" t="n">
        <v>112916000</v>
      </c>
      <c r="E28" s="3" t="n">
        <v>243406000</v>
      </c>
      <c r="F28" s="3" t="n"/>
    </row>
    <row r="29">
      <c r="A29" t="inlineStr">
        <is>
          <t>Cash Flow From Continuing Operating Activities</t>
        </is>
      </c>
      <c r="B29" s="3" t="n">
        <v>245514000</v>
      </c>
      <c r="C29" s="3" t="n">
        <v>149081000</v>
      </c>
      <c r="D29" s="3" t="n">
        <v>112916000</v>
      </c>
      <c r="E29" s="3" t="n">
        <v>243406000</v>
      </c>
      <c r="F29" s="3" t="n"/>
    </row>
    <row r="30">
      <c r="A30" t="inlineStr">
        <is>
          <t>Change In Working Capital</t>
        </is>
      </c>
      <c r="B30" s="3" t="n">
        <v>1748000</v>
      </c>
      <c r="C30" s="3" t="n">
        <v>-24846000</v>
      </c>
      <c r="D30" s="3" t="n">
        <v>-67719000</v>
      </c>
      <c r="E30" s="3" t="n">
        <v>-73532000</v>
      </c>
      <c r="F30" s="3" t="n"/>
    </row>
    <row r="31">
      <c r="A31" t="inlineStr">
        <is>
          <t>Change In Other Working Capital</t>
        </is>
      </c>
      <c r="B31" s="3" t="n">
        <v>-4401000</v>
      </c>
      <c r="C31" s="3" t="n">
        <v>-4276000</v>
      </c>
      <c r="D31" s="3" t="n">
        <v>-4890000</v>
      </c>
      <c r="E31" s="3" t="n">
        <v>-7195000</v>
      </c>
      <c r="F31" s="3" t="n"/>
    </row>
    <row r="32">
      <c r="A32" t="inlineStr">
        <is>
          <t>Change In Payables And Accrued Expense</t>
        </is>
      </c>
      <c r="B32" s="3" t="n">
        <v>10858000</v>
      </c>
      <c r="C32" s="3" t="n">
        <v>11990000</v>
      </c>
      <c r="D32" s="3" t="n">
        <v>-65798000</v>
      </c>
      <c r="E32" s="3" t="n">
        <v>-15665000</v>
      </c>
      <c r="F32" s="3" t="n"/>
    </row>
    <row r="33">
      <c r="A33" t="inlineStr">
        <is>
          <t>Change In Accrued Expense</t>
        </is>
      </c>
      <c r="B33" s="3" t="n">
        <v>15957000</v>
      </c>
      <c r="C33" s="3" t="n">
        <v>2916000</v>
      </c>
      <c r="D33" s="3" t="n">
        <v>-35309000</v>
      </c>
      <c r="E33" s="3" t="n">
        <v>2056000</v>
      </c>
      <c r="F33" s="3" t="n"/>
    </row>
    <row r="34">
      <c r="A34" t="inlineStr">
        <is>
          <t>Change In Payable</t>
        </is>
      </c>
      <c r="B34" s="3" t="n">
        <v>-5099000</v>
      </c>
      <c r="C34" s="3" t="n">
        <v>9074000</v>
      </c>
      <c r="D34" s="3" t="n">
        <v>-30489000</v>
      </c>
      <c r="E34" s="3" t="n">
        <v>-17721000</v>
      </c>
      <c r="F34" s="3" t="n"/>
    </row>
    <row r="35">
      <c r="A35" t="inlineStr">
        <is>
          <t>Change In Account Payable</t>
        </is>
      </c>
      <c r="B35" s="3" t="n">
        <v>11707000</v>
      </c>
      <c r="C35" s="3" t="n">
        <v>18352000</v>
      </c>
      <c r="D35" s="3" t="n">
        <v>-13744000</v>
      </c>
      <c r="E35" s="3" t="n">
        <v>-17277000</v>
      </c>
      <c r="F35" s="3" t="n"/>
    </row>
    <row r="36">
      <c r="A36" t="inlineStr">
        <is>
          <t>Change In Tax Payable</t>
        </is>
      </c>
      <c r="B36" s="3" t="n">
        <v>-16806000</v>
      </c>
      <c r="C36" s="3" t="n">
        <v>-9278000</v>
      </c>
      <c r="D36" s="3" t="n">
        <v>-16745000</v>
      </c>
      <c r="E36" s="3" t="n">
        <v>-444000</v>
      </c>
      <c r="F36" s="3" t="n"/>
    </row>
    <row r="37">
      <c r="A37" t="inlineStr">
        <is>
          <t>Change In Income Tax Payable</t>
        </is>
      </c>
      <c r="B37" s="3" t="n">
        <v>-16806000</v>
      </c>
      <c r="C37" s="3" t="n">
        <v>-9278000</v>
      </c>
      <c r="D37" s="3" t="n">
        <v>-16745000</v>
      </c>
      <c r="E37" s="3" t="n">
        <v>-444000</v>
      </c>
      <c r="F37" s="3" t="n"/>
    </row>
    <row r="38">
      <c r="A38" t="inlineStr">
        <is>
          <t>Change In Prepaid Assets</t>
        </is>
      </c>
      <c r="B38" s="3" t="n">
        <v>5655000</v>
      </c>
      <c r="C38" s="3" t="n">
        <v>1514000</v>
      </c>
      <c r="D38" s="3" t="n">
        <v>2469000</v>
      </c>
      <c r="E38" s="3" t="n">
        <v>-6998000</v>
      </c>
      <c r="F38" s="3" t="n"/>
    </row>
    <row r="39">
      <c r="A39" t="inlineStr">
        <is>
          <t>Change In Inventory</t>
        </is>
      </c>
      <c r="B39" s="3" t="n">
        <v>4863000</v>
      </c>
      <c r="C39" s="3" t="n">
        <v>-1253000</v>
      </c>
      <c r="D39" s="3" t="n">
        <v>-22591000</v>
      </c>
      <c r="E39" s="3" t="n">
        <v>-48934000</v>
      </c>
      <c r="F39" s="3" t="n"/>
    </row>
    <row r="40">
      <c r="A40" t="inlineStr">
        <is>
          <t>Change In Receivables</t>
        </is>
      </c>
      <c r="B40" s="3" t="n">
        <v>-15227000</v>
      </c>
      <c r="C40" s="3" t="n">
        <v>-32821000</v>
      </c>
      <c r="D40" s="3" t="n">
        <v>23091000</v>
      </c>
      <c r="E40" s="3" t="n">
        <v>5260000</v>
      </c>
      <c r="F40" s="3" t="n"/>
    </row>
    <row r="41">
      <c r="A41" t="inlineStr">
        <is>
          <t>Changes In Account Receivables</t>
        </is>
      </c>
      <c r="B41" s="3" t="n">
        <v>-1358000</v>
      </c>
      <c r="C41" s="3" t="n">
        <v>-32128000</v>
      </c>
      <c r="D41" s="3" t="n">
        <v>23346000</v>
      </c>
      <c r="E41" s="3" t="n">
        <v>3454000</v>
      </c>
      <c r="F41" s="3" t="n"/>
    </row>
    <row r="42">
      <c r="A42" t="inlineStr">
        <is>
          <t>Other Non Cash Items</t>
        </is>
      </c>
      <c r="B42" s="3" t="n">
        <v>15643000</v>
      </c>
      <c r="C42" s="3" t="n">
        <v>3729000</v>
      </c>
      <c r="D42" s="3" t="n">
        <v>6604000</v>
      </c>
      <c r="E42" s="3" t="n">
        <v>49456000</v>
      </c>
      <c r="F42" s="3" t="n"/>
    </row>
    <row r="43">
      <c r="A43" t="inlineStr">
        <is>
          <t>Stock Based Compensation</t>
        </is>
      </c>
      <c r="B43" s="3" t="n">
        <v>48517000</v>
      </c>
      <c r="C43" s="3" t="n">
        <v>52443000</v>
      </c>
      <c r="D43" s="3" t="n">
        <v>54768000</v>
      </c>
      <c r="E43" s="3" t="n">
        <v>54505000</v>
      </c>
      <c r="F43" s="3" t="n"/>
    </row>
    <row r="44">
      <c r="A44" t="inlineStr">
        <is>
          <t>Asset Impairment Charge</t>
        </is>
      </c>
      <c r="B44" s="3" t="n"/>
      <c r="C44" s="3" t="n"/>
      <c r="D44" s="3" t="n"/>
      <c r="E44" s="3" t="n">
        <v>0</v>
      </c>
      <c r="F44" s="3" t="n">
        <v>0</v>
      </c>
    </row>
    <row r="45">
      <c r="A45" t="inlineStr">
        <is>
          <t>Amortization Of Securities</t>
        </is>
      </c>
      <c r="B45" s="3" t="n">
        <v>-731000</v>
      </c>
      <c r="C45" s="3" t="n">
        <v>306000</v>
      </c>
      <c r="D45" s="3" t="n">
        <v>1745000</v>
      </c>
      <c r="E45" s="3" t="n">
        <v>4968000</v>
      </c>
      <c r="F45" s="3" t="n"/>
    </row>
    <row r="46">
      <c r="A46" t="inlineStr">
        <is>
          <t>Deferred Tax</t>
        </is>
      </c>
      <c r="B46" s="3" t="n">
        <v>40147000</v>
      </c>
      <c r="C46" s="3" t="n">
        <v>-21507000</v>
      </c>
      <c r="D46" s="3" t="n">
        <v>-19779000</v>
      </c>
      <c r="E46" s="3" t="n">
        <v>-27338000</v>
      </c>
      <c r="F46" s="3" t="n"/>
    </row>
    <row r="47">
      <c r="A47" t="inlineStr">
        <is>
          <t>Deferred Income Tax</t>
        </is>
      </c>
      <c r="B47" s="3" t="n">
        <v>40147000</v>
      </c>
      <c r="C47" s="3" t="n">
        <v>-21507000</v>
      </c>
      <c r="D47" s="3" t="n">
        <v>-19779000</v>
      </c>
      <c r="E47" s="3" t="n">
        <v>-27338000</v>
      </c>
      <c r="F47" s="3" t="n"/>
    </row>
    <row r="48">
      <c r="A48" t="inlineStr">
        <is>
          <t>Depreciation Amortization Depletion</t>
        </is>
      </c>
      <c r="B48" s="3" t="n">
        <v>30793000</v>
      </c>
      <c r="C48" s="3" t="n">
        <v>32689000</v>
      </c>
      <c r="D48" s="3" t="n">
        <v>21880000</v>
      </c>
      <c r="E48" s="3" t="n">
        <v>19621000</v>
      </c>
      <c r="F48" s="3" t="n"/>
    </row>
    <row r="49">
      <c r="A49" t="inlineStr">
        <is>
          <t>Depreciation And Amortization</t>
        </is>
      </c>
      <c r="B49" s="3" t="n">
        <v>30793000</v>
      </c>
      <c r="C49" s="3" t="n">
        <v>32689000</v>
      </c>
      <c r="D49" s="3" t="n">
        <v>21880000</v>
      </c>
      <c r="E49" s="3" t="n">
        <v>19621000</v>
      </c>
      <c r="F49" s="3" t="n"/>
    </row>
    <row r="50">
      <c r="A50" t="inlineStr">
        <is>
          <t>Amortization Cash Flow</t>
        </is>
      </c>
      <c r="B50" s="3" t="n">
        <v>10504000</v>
      </c>
      <c r="C50" s="3" t="n">
        <v>11418000</v>
      </c>
      <c r="D50" s="3" t="n">
        <v>4610000</v>
      </c>
      <c r="E50" s="3" t="n">
        <v>3274000</v>
      </c>
      <c r="F50" s="3" t="n"/>
    </row>
    <row r="51">
      <c r="A51" t="inlineStr">
        <is>
          <t>Amortization Of Intangibles</t>
        </is>
      </c>
      <c r="B51" s="3" t="n">
        <v>10504000</v>
      </c>
      <c r="C51" s="3" t="n">
        <v>11418000</v>
      </c>
      <c r="D51" s="3" t="n">
        <v>4610000</v>
      </c>
      <c r="E51" s="3" t="n">
        <v>3274000</v>
      </c>
      <c r="F51" s="3" t="n"/>
    </row>
    <row r="52">
      <c r="A52" t="inlineStr">
        <is>
          <t>Depreciation</t>
        </is>
      </c>
      <c r="B52" s="3" t="n">
        <v>20289000</v>
      </c>
      <c r="C52" s="3" t="n">
        <v>21271000</v>
      </c>
      <c r="D52" s="3" t="n">
        <v>17270000</v>
      </c>
      <c r="E52" s="3" t="n">
        <v>16347000</v>
      </c>
      <c r="F52" s="3" t="n"/>
    </row>
    <row r="53">
      <c r="A53" t="inlineStr">
        <is>
          <t>Operating Gains Losses</t>
        </is>
      </c>
      <c r="B53" s="3" t="n">
        <v>-5045000</v>
      </c>
      <c r="C53" s="3" t="n">
        <v>96000</v>
      </c>
      <c r="D53" s="3" t="n">
        <v>2183000</v>
      </c>
      <c r="E53" s="3" t="n">
        <v>201000</v>
      </c>
      <c r="F53" s="3" t="n"/>
    </row>
    <row r="54">
      <c r="A54" t="inlineStr">
        <is>
          <t>Gain Loss On Investment Securities</t>
        </is>
      </c>
      <c r="B54" s="3" t="n">
        <v>-156000</v>
      </c>
      <c r="C54" s="3" t="n">
        <v>8000</v>
      </c>
      <c r="D54" s="3" t="n">
        <v>1954000</v>
      </c>
      <c r="E54" s="3" t="n">
        <v>182000</v>
      </c>
      <c r="F54" s="3" t="n"/>
    </row>
    <row r="55">
      <c r="A55" t="inlineStr">
        <is>
          <t>Gain Loss On Sale Of PPE</t>
        </is>
      </c>
      <c r="B55" s="3" t="n">
        <v>-4889000</v>
      </c>
      <c r="C55" s="3" t="n">
        <v>88000</v>
      </c>
      <c r="D55" s="3" t="n">
        <v>229000</v>
      </c>
      <c r="E55" s="3" t="n">
        <v>19000</v>
      </c>
      <c r="F55" s="3" t="n"/>
    </row>
    <row r="56">
      <c r="A56" t="inlineStr">
        <is>
          <t>Net Income From Continuing Operations</t>
        </is>
      </c>
      <c r="B56" s="3" t="n">
        <v>114442000</v>
      </c>
      <c r="C56" s="3" t="n">
        <v>106171000</v>
      </c>
      <c r="D56" s="3" t="n">
        <v>113234000</v>
      </c>
      <c r="E56" s="3" t="n">
        <v>215525000</v>
      </c>
      <c r="F5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42336000</v>
      </c>
      <c r="C2" s="3" t="n">
        <v>72306000</v>
      </c>
      <c r="D2" s="3" t="n">
        <v>86033000</v>
      </c>
      <c r="E2" s="3" t="n">
        <v>40431000</v>
      </c>
      <c r="F2" s="3" t="n">
        <v>38001000</v>
      </c>
      <c r="G2" s="3" t="n"/>
    </row>
    <row r="3">
      <c r="A3" t="inlineStr">
        <is>
          <t>Repurchase Of Capital Stock</t>
        </is>
      </c>
      <c r="B3" s="3" t="n">
        <v>-98995000</v>
      </c>
      <c r="C3" s="3" t="n">
        <v>-25000000</v>
      </c>
      <c r="D3" s="3" t="n">
        <v>-24000000</v>
      </c>
      <c r="E3" s="3" t="n">
        <v>0</v>
      </c>
      <c r="F3" s="3" t="n">
        <v>-102233000</v>
      </c>
      <c r="G3" s="3" t="n"/>
    </row>
    <row r="4">
      <c r="A4" t="inlineStr">
        <is>
          <t>Capital Expenditure</t>
        </is>
      </c>
      <c r="B4" s="3" t="n">
        <v>-2757000</v>
      </c>
      <c r="C4" s="3" t="n">
        <v>-2596000</v>
      </c>
      <c r="D4" s="3" t="n">
        <v>-1452000</v>
      </c>
      <c r="E4" s="3" t="n">
        <v>-2194000</v>
      </c>
      <c r="F4" s="3" t="n">
        <v>-2501000</v>
      </c>
      <c r="G4" s="3" t="n"/>
    </row>
    <row r="5">
      <c r="A5" t="inlineStr">
        <is>
          <t>End Cash Position</t>
        </is>
      </c>
      <c r="B5" s="3" t="n">
        <v>237343000</v>
      </c>
      <c r="C5" s="3" t="n">
        <v>262925000</v>
      </c>
      <c r="D5" s="3" t="n">
        <v>245898000</v>
      </c>
      <c r="E5" s="3" t="n">
        <v>179311000</v>
      </c>
      <c r="F5" s="3" t="n">
        <v>143744000</v>
      </c>
      <c r="G5" s="3" t="n"/>
    </row>
    <row r="6">
      <c r="A6" t="inlineStr">
        <is>
          <t>Beginning Cash Position</t>
        </is>
      </c>
      <c r="B6" s="3" t="n">
        <v>262925000</v>
      </c>
      <c r="C6" s="3" t="n">
        <v>245898000</v>
      </c>
      <c r="D6" s="3" t="n">
        <v>179311000</v>
      </c>
      <c r="E6" s="3" t="n">
        <v>143744000</v>
      </c>
      <c r="F6" s="3" t="n">
        <v>186094000</v>
      </c>
      <c r="G6" s="3" t="n"/>
    </row>
    <row r="7">
      <c r="A7" t="inlineStr">
        <is>
          <t>Effect Of Exchange Rate Changes</t>
        </is>
      </c>
      <c r="B7" s="3" t="n">
        <v>-2565000</v>
      </c>
      <c r="C7" s="3" t="n">
        <v>-771000</v>
      </c>
      <c r="D7" s="3" t="n">
        <v>-1830000</v>
      </c>
      <c r="E7" s="3" t="n">
        <v>10164000</v>
      </c>
      <c r="F7" s="3" t="n">
        <v>2431000</v>
      </c>
      <c r="G7" s="3" t="n"/>
    </row>
    <row r="8">
      <c r="A8" t="inlineStr">
        <is>
          <t>Changes In Cash</t>
        </is>
      </c>
      <c r="B8" s="3" t="n">
        <v>-23017000</v>
      </c>
      <c r="C8" s="3" t="n">
        <v>17798000</v>
      </c>
      <c r="D8" s="3" t="n">
        <v>68417000</v>
      </c>
      <c r="E8" s="3" t="n">
        <v>25403000</v>
      </c>
      <c r="F8" s="3" t="n">
        <v>-44781000</v>
      </c>
      <c r="G8" s="3" t="n"/>
    </row>
    <row r="9">
      <c r="A9" t="inlineStr">
        <is>
          <t>Financing Cash Flow</t>
        </is>
      </c>
      <c r="B9" s="3" t="n">
        <v>-68901000</v>
      </c>
      <c r="C9" s="3" t="n">
        <v>-37496000</v>
      </c>
      <c r="D9" s="3" t="n">
        <v>-37571000</v>
      </c>
      <c r="E9" s="3" t="n">
        <v>-13256000</v>
      </c>
      <c r="F9" s="3" t="n">
        <v>-118370000</v>
      </c>
      <c r="G9" s="3" t="n"/>
    </row>
    <row r="10">
      <c r="A10" t="inlineStr">
        <is>
          <t>Cash Flow From Continuing Financing Activities</t>
        </is>
      </c>
      <c r="B10" s="3" t="n">
        <v>-68901000</v>
      </c>
      <c r="C10" s="3" t="n">
        <v>-37496000</v>
      </c>
      <c r="D10" s="3" t="n">
        <v>-37571000</v>
      </c>
      <c r="E10" s="3" t="n">
        <v>-13256000</v>
      </c>
      <c r="F10" s="3" t="n">
        <v>-118370000</v>
      </c>
      <c r="G10" s="3" t="n"/>
    </row>
    <row r="11">
      <c r="A11" t="inlineStr">
        <is>
          <t>Net Other Financing Charges</t>
        </is>
      </c>
      <c r="B11" s="3" t="n"/>
      <c r="C11" s="3" t="n">
        <v>0</v>
      </c>
      <c r="D11" s="3" t="n"/>
      <c r="E11" s="3" t="n"/>
      <c r="F11" s="3" t="n"/>
      <c r="G11" s="3" t="n"/>
    </row>
    <row r="12">
      <c r="A12" t="inlineStr">
        <is>
          <t>Proceeds From Stock Option Exercised</t>
        </is>
      </c>
      <c r="B12" s="3" t="n">
        <v>44290000</v>
      </c>
      <c r="C12" s="3" t="n">
        <v>1707000</v>
      </c>
      <c r="D12" s="3" t="n">
        <v>260000</v>
      </c>
      <c r="E12" s="3" t="n">
        <v>175000</v>
      </c>
      <c r="F12" s="3" t="n">
        <v>-2587000</v>
      </c>
      <c r="G12" s="3" t="n"/>
    </row>
    <row r="13">
      <c r="A13" t="inlineStr">
        <is>
          <t>Cash Dividends Paid</t>
        </is>
      </c>
      <c r="B13" s="3" t="n">
        <v>-14196000</v>
      </c>
      <c r="C13" s="3" t="n">
        <v>-14203000</v>
      </c>
      <c r="D13" s="3" t="n">
        <v>-13443000</v>
      </c>
      <c r="E13" s="3" t="n">
        <v>-13431000</v>
      </c>
      <c r="F13" s="3" t="n">
        <v>-13550000</v>
      </c>
      <c r="G13" s="3" t="n"/>
    </row>
    <row r="14">
      <c r="A14" t="inlineStr">
        <is>
          <t>Common Stock Dividend Paid</t>
        </is>
      </c>
      <c r="B14" s="3" t="n">
        <v>-14196000</v>
      </c>
      <c r="C14" s="3" t="n">
        <v>-14203000</v>
      </c>
      <c r="D14" s="3" t="n">
        <v>-13443000</v>
      </c>
      <c r="E14" s="3" t="n">
        <v>-13431000</v>
      </c>
      <c r="F14" s="3" t="n">
        <v>-13550000</v>
      </c>
      <c r="G14" s="3" t="n"/>
    </row>
    <row r="15">
      <c r="A15" t="inlineStr">
        <is>
          <t>Net Common Stock Issuance</t>
        </is>
      </c>
      <c r="B15" s="3" t="n">
        <v>-98995000</v>
      </c>
      <c r="C15" s="3" t="n">
        <v>-25000000</v>
      </c>
      <c r="D15" s="3" t="n">
        <v>-24000000</v>
      </c>
      <c r="E15" s="3" t="n">
        <v>0</v>
      </c>
      <c r="F15" s="3" t="n">
        <v>-102233000</v>
      </c>
      <c r="G15" s="3" t="n"/>
    </row>
    <row r="16">
      <c r="A16" t="inlineStr">
        <is>
          <t>Common Stock Payments</t>
        </is>
      </c>
      <c r="B16" s="3" t="n">
        <v>-98995000</v>
      </c>
      <c r="C16" s="3" t="n">
        <v>-25000000</v>
      </c>
      <c r="D16" s="3" t="n">
        <v>-24000000</v>
      </c>
      <c r="E16" s="3" t="n">
        <v>0</v>
      </c>
      <c r="F16" s="3" t="n">
        <v>-102233000</v>
      </c>
      <c r="G16" s="3" t="n"/>
    </row>
    <row r="17">
      <c r="A17" t="inlineStr">
        <is>
          <t>Investing Cash Flow</t>
        </is>
      </c>
      <c r="B17" s="3" t="n">
        <v>791000</v>
      </c>
      <c r="C17" s="3" t="n">
        <v>-19608000</v>
      </c>
      <c r="D17" s="3" t="n">
        <v>18503000</v>
      </c>
      <c r="E17" s="3" t="n">
        <v>-3966000</v>
      </c>
      <c r="F17" s="3" t="n">
        <v>33087000</v>
      </c>
      <c r="G17" s="3" t="n"/>
    </row>
    <row r="18">
      <c r="A18" t="inlineStr">
        <is>
          <t>Cash Flow From Continuing Investing Activities</t>
        </is>
      </c>
      <c r="B18" s="3" t="n">
        <v>791000</v>
      </c>
      <c r="C18" s="3" t="n">
        <v>-19608000</v>
      </c>
      <c r="D18" s="3" t="n">
        <v>18503000</v>
      </c>
      <c r="E18" s="3" t="n">
        <v>-3966000</v>
      </c>
      <c r="F18" s="3" t="n">
        <v>33087000</v>
      </c>
      <c r="G18" s="3" t="n"/>
    </row>
    <row r="19">
      <c r="A19" t="inlineStr">
        <is>
          <t>Net Investment Purchase And Sale</t>
        </is>
      </c>
      <c r="B19" s="3" t="n">
        <v>-7971000</v>
      </c>
      <c r="C19" s="3" t="n">
        <v>-23716000</v>
      </c>
      <c r="D19" s="3" t="n">
        <v>19955000</v>
      </c>
      <c r="E19" s="3" t="n">
        <v>-1772000</v>
      </c>
      <c r="F19" s="3" t="n">
        <v>35588000</v>
      </c>
      <c r="G19" s="3" t="n"/>
    </row>
    <row r="20">
      <c r="A20" t="inlineStr">
        <is>
          <t>Sale Of Investment</t>
        </is>
      </c>
      <c r="B20" s="3" t="n">
        <v>39042000</v>
      </c>
      <c r="C20" s="3" t="n">
        <v>17037000</v>
      </c>
      <c r="D20" s="3" t="n">
        <v>54672000</v>
      </c>
      <c r="E20" s="3" t="n">
        <v>99685000</v>
      </c>
      <c r="F20" s="3" t="n">
        <v>148885000</v>
      </c>
      <c r="G20" s="3" t="n"/>
    </row>
    <row r="21">
      <c r="A21" t="inlineStr">
        <is>
          <t>Purchase Of Investment</t>
        </is>
      </c>
      <c r="B21" s="3" t="n">
        <v>-47013000</v>
      </c>
      <c r="C21" s="3" t="n">
        <v>-40753000</v>
      </c>
      <c r="D21" s="3" t="n">
        <v>-34717000</v>
      </c>
      <c r="E21" s="3" t="n">
        <v>-101457000</v>
      </c>
      <c r="F21" s="3" t="n">
        <v>-113297000</v>
      </c>
      <c r="G21" s="3" t="n"/>
    </row>
    <row r="22">
      <c r="A22" t="inlineStr">
        <is>
          <t>Net Business Purchase And Sale</t>
        </is>
      </c>
      <c r="B22" s="3" t="n">
        <v>11519000</v>
      </c>
      <c r="C22" s="3" t="n">
        <v>0</v>
      </c>
      <c r="D22" s="3" t="n">
        <v>0</v>
      </c>
      <c r="E22" s="3" t="n">
        <v>0</v>
      </c>
      <c r="F22" s="3" t="n">
        <v>0</v>
      </c>
      <c r="G22" s="3" t="n"/>
    </row>
    <row r="23">
      <c r="A23" t="inlineStr">
        <is>
          <t>Sale Of Business</t>
        </is>
      </c>
      <c r="B23" s="3" t="n">
        <v>11519000</v>
      </c>
      <c r="C23" s="3" t="n"/>
      <c r="D23" s="3" t="n"/>
      <c r="E23" s="3" t="n"/>
      <c r="F23" s="3" t="n">
        <v>0</v>
      </c>
      <c r="G23" s="3" t="n"/>
    </row>
    <row r="24">
      <c r="A24" t="inlineStr">
        <is>
          <t>Purchase Of Business</t>
        </is>
      </c>
      <c r="B24" s="3" t="n"/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</row>
    <row r="25">
      <c r="A25" t="inlineStr">
        <is>
          <t>Net PPE Purchase And Sale</t>
        </is>
      </c>
      <c r="B25" s="3" t="n">
        <v>-2757000</v>
      </c>
      <c r="C25" s="3" t="n">
        <v>4108000</v>
      </c>
      <c r="D25" s="3" t="n">
        <v>-1452000</v>
      </c>
      <c r="E25" s="3" t="n">
        <v>-2194000</v>
      </c>
      <c r="F25" s="3" t="n">
        <v>-2501000</v>
      </c>
      <c r="G25" s="3" t="n"/>
    </row>
    <row r="26">
      <c r="A26" t="inlineStr">
        <is>
          <t>Purchase Of PPE</t>
        </is>
      </c>
      <c r="B26" s="3" t="n">
        <v>-2757000</v>
      </c>
      <c r="C26" s="3" t="n">
        <v>-2596000</v>
      </c>
      <c r="D26" s="3" t="n">
        <v>-1452000</v>
      </c>
      <c r="E26" s="3" t="n">
        <v>-2194000</v>
      </c>
      <c r="F26" s="3" t="n">
        <v>-2501000</v>
      </c>
      <c r="G26" s="3" t="n"/>
    </row>
    <row r="27">
      <c r="A27" t="inlineStr">
        <is>
          <t>Operating Cash Flow</t>
        </is>
      </c>
      <c r="B27" s="3" t="n">
        <v>45093000</v>
      </c>
      <c r="C27" s="3" t="n">
        <v>74902000</v>
      </c>
      <c r="D27" s="3" t="n">
        <v>87485000</v>
      </c>
      <c r="E27" s="3" t="n">
        <v>42625000</v>
      </c>
      <c r="F27" s="3" t="n">
        <v>40502000</v>
      </c>
      <c r="G27" s="3" t="n"/>
    </row>
    <row r="28">
      <c r="A28" t="inlineStr">
        <is>
          <t>Cash Flow From Continuing Operating Activities</t>
        </is>
      </c>
      <c r="B28" s="3" t="n">
        <v>45093000</v>
      </c>
      <c r="C28" s="3" t="n">
        <v>74902000</v>
      </c>
      <c r="D28" s="3" t="n">
        <v>87485000</v>
      </c>
      <c r="E28" s="3" t="n">
        <v>42625000</v>
      </c>
      <c r="F28" s="3" t="n">
        <v>40502000</v>
      </c>
      <c r="G28" s="3" t="n"/>
    </row>
    <row r="29">
      <c r="A29" t="inlineStr">
        <is>
          <t>Change In Working Capital</t>
        </is>
      </c>
      <c r="B29" s="3" t="n">
        <v>-32042000</v>
      </c>
      <c r="C29" s="3" t="n">
        <v>10769000</v>
      </c>
      <c r="D29" s="3" t="n">
        <v>4287000</v>
      </c>
      <c r="E29" s="3" t="n">
        <v>-17014000</v>
      </c>
      <c r="F29" s="3" t="n">
        <v>3706000</v>
      </c>
      <c r="G29" s="3" t="n"/>
    </row>
    <row r="30">
      <c r="A30" t="inlineStr">
        <is>
          <t>Change In Other Working Capital</t>
        </is>
      </c>
      <c r="B30" s="3" t="n">
        <v>10349000</v>
      </c>
      <c r="C30" s="3" t="n">
        <v>-3659000</v>
      </c>
      <c r="D30" s="3" t="n">
        <v>-28772000</v>
      </c>
      <c r="E30" s="3" t="n">
        <v>11236000</v>
      </c>
      <c r="F30" s="3" t="n">
        <v>16794000</v>
      </c>
      <c r="G30" s="3" t="n"/>
    </row>
    <row r="31">
      <c r="A31" t="inlineStr">
        <is>
          <t>Change In Payables And Accrued Expense</t>
        </is>
      </c>
      <c r="B31" s="3" t="n">
        <v>-7069000</v>
      </c>
      <c r="C31" s="3" t="n">
        <v>16640000</v>
      </c>
      <c r="D31" s="3" t="n">
        <v>8905000</v>
      </c>
      <c r="E31" s="3" t="n">
        <v>-10475000</v>
      </c>
      <c r="F31" s="3" t="n">
        <v>-4212000</v>
      </c>
      <c r="G31" s="3" t="n"/>
    </row>
    <row r="32">
      <c r="A32" t="inlineStr">
        <is>
          <t>Change In Accrued Expense</t>
        </is>
      </c>
      <c r="B32" s="3" t="n">
        <v>-13554000</v>
      </c>
      <c r="C32" s="3" t="n">
        <v>5428000</v>
      </c>
      <c r="D32" s="3" t="n">
        <v>8189000</v>
      </c>
      <c r="E32" s="3" t="n">
        <v>8395000</v>
      </c>
      <c r="F32" s="3" t="n">
        <v>-6055000</v>
      </c>
      <c r="G32" s="3" t="n"/>
    </row>
    <row r="33">
      <c r="A33" t="inlineStr">
        <is>
          <t>Change In Payable</t>
        </is>
      </c>
      <c r="B33" s="3" t="n">
        <v>6485000</v>
      </c>
      <c r="C33" s="3" t="n">
        <v>11212000</v>
      </c>
      <c r="D33" s="3" t="n">
        <v>716000</v>
      </c>
      <c r="E33" s="3" t="n">
        <v>-18870000</v>
      </c>
      <c r="F33" s="3" t="n">
        <v>1843000</v>
      </c>
      <c r="G33" s="3" t="n"/>
    </row>
    <row r="34">
      <c r="A34" t="inlineStr">
        <is>
          <t>Change In Account Payable</t>
        </is>
      </c>
      <c r="B34" s="3" t="n">
        <v>9390000</v>
      </c>
      <c r="C34" s="3" t="n">
        <v>4780000</v>
      </c>
      <c r="D34" s="3" t="n">
        <v>3352000</v>
      </c>
      <c r="E34" s="3" t="n">
        <v>-1421000</v>
      </c>
      <c r="F34" s="3" t="n">
        <v>4996000</v>
      </c>
      <c r="G34" s="3" t="n"/>
    </row>
    <row r="35">
      <c r="A35" t="inlineStr">
        <is>
          <t>Change In Tax Payable</t>
        </is>
      </c>
      <c r="B35" s="3" t="n">
        <v>-2905000</v>
      </c>
      <c r="C35" s="3" t="n">
        <v>6432000</v>
      </c>
      <c r="D35" s="3" t="n">
        <v>-2636000</v>
      </c>
      <c r="E35" s="3" t="n">
        <v>-17449000</v>
      </c>
      <c r="F35" s="3" t="n">
        <v>-3153000</v>
      </c>
      <c r="G35" s="3" t="n"/>
    </row>
    <row r="36">
      <c r="A36" t="inlineStr">
        <is>
          <t>Change In Income Tax Payable</t>
        </is>
      </c>
      <c r="B36" s="3" t="n">
        <v>-2905000</v>
      </c>
      <c r="C36" s="3" t="n">
        <v>6432000</v>
      </c>
      <c r="D36" s="3" t="n">
        <v>-2636000</v>
      </c>
      <c r="E36" s="3" t="n">
        <v>-17449000</v>
      </c>
      <c r="F36" s="3" t="n">
        <v>-3153000</v>
      </c>
      <c r="G36" s="3" t="n"/>
    </row>
    <row r="37">
      <c r="A37" t="inlineStr">
        <is>
          <t>Change In Prepaid Assets</t>
        </is>
      </c>
      <c r="B37" s="3" t="n">
        <v>-12212000</v>
      </c>
      <c r="C37" s="3" t="n">
        <v>-3200000</v>
      </c>
      <c r="D37" s="3" t="n">
        <v>11219000</v>
      </c>
      <c r="E37" s="3" t="n">
        <v>-4890000</v>
      </c>
      <c r="F37" s="3" t="n">
        <v>2526000</v>
      </c>
      <c r="G37" s="3" t="n"/>
    </row>
    <row r="38">
      <c r="A38" t="inlineStr">
        <is>
          <t>Change In Inventory</t>
        </is>
      </c>
      <c r="B38" s="3" t="n">
        <v>8000</v>
      </c>
      <c r="C38" s="3" t="n">
        <v>-7015000</v>
      </c>
      <c r="D38" s="3" t="n">
        <v>-1066000</v>
      </c>
      <c r="E38" s="3" t="n">
        <v>7470000</v>
      </c>
      <c r="F38" s="3" t="n">
        <v>5474000</v>
      </c>
      <c r="G38" s="3" t="n"/>
    </row>
    <row r="39">
      <c r="A39" t="inlineStr">
        <is>
          <t>Change In Receivables</t>
        </is>
      </c>
      <c r="B39" s="3" t="n">
        <v>-23118000</v>
      </c>
      <c r="C39" s="3" t="n">
        <v>8003000</v>
      </c>
      <c r="D39" s="3" t="n">
        <v>14001000</v>
      </c>
      <c r="E39" s="3" t="n">
        <v>-20355000</v>
      </c>
      <c r="F39" s="3" t="n">
        <v>-16876000</v>
      </c>
      <c r="G39" s="3" t="n"/>
    </row>
    <row r="40">
      <c r="A40" t="inlineStr">
        <is>
          <t>Changes In Account Receivables</t>
        </is>
      </c>
      <c r="B40" s="3" t="n">
        <v>-23711000</v>
      </c>
      <c r="C40" s="3" t="n">
        <v>8056000</v>
      </c>
      <c r="D40" s="3" t="n">
        <v>28718000</v>
      </c>
      <c r="E40" s="3" t="n">
        <v>-20949000</v>
      </c>
      <c r="F40" s="3" t="n">
        <v>-17183000</v>
      </c>
      <c r="G40" s="3" t="n"/>
    </row>
    <row r="41">
      <c r="A41" t="inlineStr">
        <is>
          <t>Other Non Cash Items</t>
        </is>
      </c>
      <c r="B41" s="3" t="n">
        <v>-16000</v>
      </c>
      <c r="C41" s="3" t="n">
        <v>13061000</v>
      </c>
      <c r="D41" s="3" t="n">
        <v>1872000</v>
      </c>
      <c r="E41" s="3" t="n">
        <v>701000</v>
      </c>
      <c r="F41" s="3" t="n">
        <v>9000</v>
      </c>
      <c r="G41" s="3" t="n"/>
    </row>
    <row r="42">
      <c r="A42" t="inlineStr">
        <is>
          <t>Stock Based Compensation</t>
        </is>
      </c>
      <c r="B42" s="3" t="n">
        <v>11933000</v>
      </c>
      <c r="C42" s="3" t="n">
        <v>13868000</v>
      </c>
      <c r="D42" s="3" t="n">
        <v>12416000</v>
      </c>
      <c r="E42" s="3" t="n">
        <v>12294000</v>
      </c>
      <c r="F42" s="3" t="n">
        <v>9939000</v>
      </c>
      <c r="G42" s="3" t="n"/>
    </row>
    <row r="43">
      <c r="A43" t="inlineStr">
        <is>
          <t>Amortization Of Securities</t>
        </is>
      </c>
      <c r="B43" s="3" t="n"/>
      <c r="C43" s="3" t="n">
        <v>-292000</v>
      </c>
      <c r="D43" s="3" t="n">
        <v>-125000</v>
      </c>
      <c r="E43" s="3" t="n">
        <v>-153000</v>
      </c>
      <c r="F43" s="3" t="n">
        <v>-161000</v>
      </c>
      <c r="G43" s="3" t="n">
        <v>-131000</v>
      </c>
    </row>
    <row r="44">
      <c r="A44" t="inlineStr">
        <is>
          <t>Deferred Tax</t>
        </is>
      </c>
      <c r="B44" s="3" t="n">
        <v>4740000</v>
      </c>
      <c r="C44" s="3" t="n">
        <v>2406000</v>
      </c>
      <c r="D44" s="3" t="n">
        <v>43934000</v>
      </c>
      <c r="E44" s="3" t="n">
        <v>-1504000</v>
      </c>
      <c r="F44" s="3" t="n">
        <v>-4689000</v>
      </c>
      <c r="G44" s="3" t="n"/>
    </row>
    <row r="45">
      <c r="A45" t="inlineStr">
        <is>
          <t>Deferred Income Tax</t>
        </is>
      </c>
      <c r="B45" s="3" t="n">
        <v>4740000</v>
      </c>
      <c r="C45" s="3" t="n">
        <v>2406000</v>
      </c>
      <c r="D45" s="3" t="n">
        <v>43934000</v>
      </c>
      <c r="E45" s="3" t="n">
        <v>-1504000</v>
      </c>
      <c r="F45" s="3" t="n">
        <v>-4689000</v>
      </c>
      <c r="G45" s="3" t="n"/>
    </row>
    <row r="46">
      <c r="A46" t="inlineStr">
        <is>
          <t>Depreciation Amortization Depletion</t>
        </is>
      </c>
      <c r="B46" s="3" t="n">
        <v>7235000</v>
      </c>
      <c r="C46" s="3" t="n">
        <v>7327000</v>
      </c>
      <c r="D46" s="3" t="n">
        <v>7533000</v>
      </c>
      <c r="E46" s="3" t="n">
        <v>7999000</v>
      </c>
      <c r="F46" s="3" t="n">
        <v>7934000</v>
      </c>
      <c r="G46" s="3" t="n"/>
    </row>
    <row r="47">
      <c r="A47" t="inlineStr">
        <is>
          <t>Depreciation And Amortization</t>
        </is>
      </c>
      <c r="B47" s="3" t="n">
        <v>7235000</v>
      </c>
      <c r="C47" s="3" t="n">
        <v>7327000</v>
      </c>
      <c r="D47" s="3" t="n">
        <v>7533000</v>
      </c>
      <c r="E47" s="3" t="n">
        <v>7999000</v>
      </c>
      <c r="F47" s="3" t="n">
        <v>7934000</v>
      </c>
      <c r="G47" s="3" t="n"/>
    </row>
    <row r="48">
      <c r="A48" t="inlineStr">
        <is>
          <t>Amortization Cash Flow</t>
        </is>
      </c>
      <c r="B48" s="3" t="n">
        <v>2532000</v>
      </c>
      <c r="C48" s="3" t="n">
        <v>2559000</v>
      </c>
      <c r="D48" s="3" t="n">
        <v>2639000</v>
      </c>
      <c r="E48" s="3" t="n">
        <v>2678000</v>
      </c>
      <c r="F48" s="3" t="n">
        <v>2628000</v>
      </c>
      <c r="G48" s="3" t="n"/>
    </row>
    <row r="49">
      <c r="A49" t="inlineStr">
        <is>
          <t>Amortization Of Intangibles</t>
        </is>
      </c>
      <c r="B49" s="3" t="n">
        <v>2532000</v>
      </c>
      <c r="C49" s="3" t="n">
        <v>2559000</v>
      </c>
      <c r="D49" s="3" t="n">
        <v>2639000</v>
      </c>
      <c r="E49" s="3" t="n">
        <v>2678000</v>
      </c>
      <c r="F49" s="3" t="n">
        <v>2628000</v>
      </c>
      <c r="G49" s="3" t="n"/>
    </row>
    <row r="50">
      <c r="A50" t="inlineStr">
        <is>
          <t>Depreciation</t>
        </is>
      </c>
      <c r="B50" s="3" t="n">
        <v>4703000</v>
      </c>
      <c r="C50" s="3" t="n">
        <v>4768000</v>
      </c>
      <c r="D50" s="3" t="n">
        <v>4894000</v>
      </c>
      <c r="E50" s="3" t="n">
        <v>5321000</v>
      </c>
      <c r="F50" s="3" t="n">
        <v>5306000</v>
      </c>
      <c r="G50" s="3" t="n"/>
    </row>
    <row r="51">
      <c r="A51" t="inlineStr">
        <is>
          <t>Operating Gains Losses</t>
        </is>
      </c>
      <c r="B51" s="3" t="n">
        <v>1539000</v>
      </c>
      <c r="C51" s="3" t="n">
        <v>-4901000</v>
      </c>
      <c r="D51" s="3" t="n">
        <v>-96000</v>
      </c>
      <c r="E51" s="3" t="n">
        <v>-21000</v>
      </c>
      <c r="F51" s="3" t="n">
        <v>-27000</v>
      </c>
      <c r="G51" s="3" t="n"/>
    </row>
    <row r="52">
      <c r="A52" t="inlineStr">
        <is>
          <t>Gain Loss On Investment Securities</t>
        </is>
      </c>
      <c r="B52" s="3" t="n"/>
      <c r="C52" s="3" t="n">
        <v>-6000</v>
      </c>
      <c r="D52" s="3" t="n">
        <v>-96000</v>
      </c>
      <c r="E52" s="3" t="n">
        <v>-27000</v>
      </c>
      <c r="F52" s="3" t="n">
        <v>-27000</v>
      </c>
      <c r="G52" s="3" t="n">
        <v>0</v>
      </c>
    </row>
    <row r="53">
      <c r="A53" t="inlineStr">
        <is>
          <t>Gain Loss On Sale Of PPE</t>
        </is>
      </c>
      <c r="B53" s="3" t="n">
        <v>1539000</v>
      </c>
      <c r="C53" s="3" t="n">
        <v>-4895000</v>
      </c>
      <c r="D53" s="3" t="n">
        <v>0</v>
      </c>
      <c r="E53" s="3" t="n">
        <v>6000</v>
      </c>
      <c r="F53" s="3" t="n">
        <v>0</v>
      </c>
      <c r="G53" s="3" t="n"/>
    </row>
    <row r="54">
      <c r="A54" t="inlineStr">
        <is>
          <t>Net Income From Continuing Operations</t>
        </is>
      </c>
      <c r="B54" s="3" t="n">
        <v>51704000</v>
      </c>
      <c r="C54" s="3" t="n">
        <v>32664000</v>
      </c>
      <c r="D54" s="3" t="n">
        <v>17664000</v>
      </c>
      <c r="E54" s="3" t="n">
        <v>40511000</v>
      </c>
      <c r="F54" s="3" t="n">
        <v>23603000</v>
      </c>
      <c r="G54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2026-08-02T23:44:07Z</dcterms:created>
  <dcterms:modified xsi:type="dcterms:W3CDTF">2026-08-02T23:44:08Z</dcterms:modified>
</cp:coreProperties>
</file>