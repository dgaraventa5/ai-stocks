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SKYT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SkyWater Technology,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1682551296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1937026304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14.613248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-168.1749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3.107038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0.19357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-0.03284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0.21042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0.95848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1.621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22232000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238320992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-79156000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49204602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34.195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(annual)'!D43</f>
        <v/>
      </c>
      <c r="C3" s="3">
        <f>'Income stmt (annual)'!C43</f>
        <v/>
      </c>
      <c r="D3" s="3">
        <f>'Income stmt (annual)'!B43</f>
        <v/>
      </c>
      <c r="E3" s="3">
        <f>SUM('Income stmt (quarterly)'!B41:E41)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(annual)'!D41</f>
        <v/>
      </c>
      <c r="C4" s="3">
        <f>'Income stmt (annual)'!C41</f>
        <v/>
      </c>
      <c r="D4" s="3">
        <f>'Income stmt (annual)'!B41</f>
        <v/>
      </c>
      <c r="E4" s="3">
        <f>SUM('Income stmt (quarterly)'!B39:E39)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(quarterly)'!B35:E35)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23466660</v>
      </c>
      <c r="C2" s="3" t="n">
        <v>0</v>
      </c>
      <c r="D2" s="3" t="n">
        <v>0</v>
      </c>
      <c r="E2" s="3" t="n">
        <v>-231210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0.02034</v>
      </c>
      <c r="E3" s="3" t="n">
        <v>0.21</v>
      </c>
      <c r="F3" s="3" t="n"/>
    </row>
    <row r="4">
      <c r="A4" t="inlineStr">
        <is>
          <t>Normalized EBITDA</t>
        </is>
      </c>
      <c r="B4" s="3" t="n">
        <v>33094000</v>
      </c>
      <c r="C4" s="3" t="n">
        <v>25253000</v>
      </c>
      <c r="D4" s="3" t="n">
        <v>14142000</v>
      </c>
      <c r="E4" s="3" t="n">
        <v>-1575000</v>
      </c>
      <c r="F4" s="3" t="n"/>
    </row>
    <row r="5">
      <c r="A5" t="inlineStr">
        <is>
          <t>Total Unusual Items</t>
        </is>
      </c>
      <c r="B5" s="3" t="n">
        <v>111746000</v>
      </c>
      <c r="C5" s="3" t="n">
        <v>0</v>
      </c>
      <c r="D5" s="3" t="n">
        <v>0</v>
      </c>
      <c r="E5" s="3" t="n">
        <v>-1101000</v>
      </c>
      <c r="F5" s="3" t="n"/>
    </row>
    <row r="6">
      <c r="A6" t="inlineStr">
        <is>
          <t>Total Unusual Items Excluding Goodwill</t>
        </is>
      </c>
      <c r="B6" s="3" t="n">
        <v>111746000</v>
      </c>
      <c r="C6" s="3" t="n">
        <v>0</v>
      </c>
      <c r="D6" s="3" t="n">
        <v>0</v>
      </c>
      <c r="E6" s="3" t="n">
        <v>-1101000</v>
      </c>
      <c r="F6" s="3" t="n"/>
    </row>
    <row r="7">
      <c r="A7" t="inlineStr">
        <is>
          <t>Net Income From Continuing Operation Net Minority Interest</t>
        </is>
      </c>
      <c r="B7" s="3" t="n">
        <v>118910000</v>
      </c>
      <c r="C7" s="3" t="n">
        <v>-6793000</v>
      </c>
      <c r="D7" s="3" t="n">
        <v>-30756000</v>
      </c>
      <c r="E7" s="3" t="n">
        <v>-39593000</v>
      </c>
      <c r="F7" s="3" t="n"/>
    </row>
    <row r="8">
      <c r="A8" t="inlineStr">
        <is>
          <t>Reconciled Depreciation</t>
        </is>
      </c>
      <c r="B8" s="3" t="n">
        <v>35670000</v>
      </c>
      <c r="C8" s="3" t="n">
        <v>18693000</v>
      </c>
      <c r="D8" s="3" t="n">
        <v>28930000</v>
      </c>
      <c r="E8" s="3" t="n">
        <v>28192000</v>
      </c>
      <c r="F8" s="3" t="n"/>
    </row>
    <row r="9">
      <c r="A9" t="inlineStr">
        <is>
          <t>Reconciled Cost Of Revenue</t>
        </is>
      </c>
      <c r="B9" s="3" t="n">
        <v>355211000</v>
      </c>
      <c r="C9" s="3" t="n">
        <v>272643000</v>
      </c>
      <c r="D9" s="3" t="n">
        <v>227390000</v>
      </c>
      <c r="E9" s="3" t="n">
        <v>186974000</v>
      </c>
      <c r="F9" s="3" t="n"/>
    </row>
    <row r="10">
      <c r="A10" t="inlineStr">
        <is>
          <t>EBITDA</t>
        </is>
      </c>
      <c r="B10" s="3" t="n">
        <v>144840000</v>
      </c>
      <c r="C10" s="3" t="n">
        <v>25253000</v>
      </c>
      <c r="D10" s="3" t="n">
        <v>14142000</v>
      </c>
      <c r="E10" s="3" t="n">
        <v>-2676000</v>
      </c>
      <c r="F10" s="3" t="n"/>
    </row>
    <row r="11">
      <c r="A11" t="inlineStr">
        <is>
          <t>EBIT</t>
        </is>
      </c>
      <c r="B11" s="3" t="n">
        <v>109170000</v>
      </c>
      <c r="C11" s="3" t="n">
        <v>6560000</v>
      </c>
      <c r="D11" s="3" t="n">
        <v>-14788000</v>
      </c>
      <c r="E11" s="3" t="n">
        <v>-30868000</v>
      </c>
      <c r="F11" s="3" t="n"/>
    </row>
    <row r="12">
      <c r="A12" t="inlineStr">
        <is>
          <t>Net Interest Income</t>
        </is>
      </c>
      <c r="B12" s="3" t="n">
        <v>-13713000</v>
      </c>
      <c r="C12" s="3" t="n">
        <v>-8837000</v>
      </c>
      <c r="D12" s="3" t="n">
        <v>-10826000</v>
      </c>
      <c r="E12" s="3" t="n">
        <v>-5194000</v>
      </c>
      <c r="F12" s="3" t="n"/>
    </row>
    <row r="13">
      <c r="A13" t="inlineStr">
        <is>
          <t>Interest Expense</t>
        </is>
      </c>
      <c r="B13" s="3" t="n">
        <v>13713000</v>
      </c>
      <c r="C13" s="3" t="n">
        <v>8837000</v>
      </c>
      <c r="D13" s="3" t="n">
        <v>10826000</v>
      </c>
      <c r="E13" s="3" t="n">
        <v>5194000</v>
      </c>
      <c r="F13" s="3" t="n"/>
    </row>
    <row r="14">
      <c r="A14" t="inlineStr">
        <is>
          <t>Normalized Income</t>
        </is>
      </c>
      <c r="B14" s="3" t="n">
        <v>30630660</v>
      </c>
      <c r="C14" s="3" t="n">
        <v>-6793000</v>
      </c>
      <c r="D14" s="3" t="n">
        <v>-30756000</v>
      </c>
      <c r="E14" s="3" t="n">
        <v>-38723210</v>
      </c>
      <c r="F14" s="3" t="n"/>
    </row>
    <row r="15">
      <c r="A15" t="inlineStr">
        <is>
          <t>Net Income From Continuing And Discontinued Operation</t>
        </is>
      </c>
      <c r="B15" s="3" t="n">
        <v>118910000</v>
      </c>
      <c r="C15" s="3" t="n">
        <v>-6793000</v>
      </c>
      <c r="D15" s="3" t="n">
        <v>-30756000</v>
      </c>
      <c r="E15" s="3" t="n">
        <v>-39593000</v>
      </c>
      <c r="F15" s="3" t="n"/>
    </row>
    <row r="16">
      <c r="A16" t="inlineStr">
        <is>
          <t>Total Expenses</t>
        </is>
      </c>
      <c r="B16" s="3" t="n">
        <v>444715000</v>
      </c>
      <c r="C16" s="3" t="n">
        <v>335709000</v>
      </c>
      <c r="D16" s="3" t="n">
        <v>301470000</v>
      </c>
      <c r="E16" s="3" t="n">
        <v>242708000</v>
      </c>
      <c r="F16" s="3" t="n"/>
    </row>
    <row r="17">
      <c r="A17" t="inlineStr">
        <is>
          <t>Total Operating Income As Reported</t>
        </is>
      </c>
      <c r="B17" s="3" t="n">
        <v>-2576000</v>
      </c>
      <c r="C17" s="3" t="n">
        <v>6560000</v>
      </c>
      <c r="D17" s="3" t="n">
        <v>-14788000</v>
      </c>
      <c r="E17" s="3" t="n">
        <v>-29767000</v>
      </c>
      <c r="F17" s="3" t="n"/>
    </row>
    <row r="18">
      <c r="A18" t="inlineStr">
        <is>
          <t>Diluted Average Shares</t>
        </is>
      </c>
      <c r="B18" s="3" t="n">
        <v>48708000</v>
      </c>
      <c r="C18" s="3" t="n">
        <v>47396000</v>
      </c>
      <c r="D18" s="3" t="n">
        <v>45506598</v>
      </c>
      <c r="E18" s="3" t="n">
        <v>40835186</v>
      </c>
      <c r="F18" s="3" t="n"/>
    </row>
    <row r="19">
      <c r="A19" t="inlineStr">
        <is>
          <t>Basic Average Shares</t>
        </is>
      </c>
      <c r="B19" s="3" t="n">
        <v>48182000</v>
      </c>
      <c r="C19" s="3" t="n">
        <v>47396000</v>
      </c>
      <c r="D19" s="3" t="n">
        <v>45506598</v>
      </c>
      <c r="E19" s="3" t="n">
        <v>40835186</v>
      </c>
      <c r="F19" s="3" t="n"/>
    </row>
    <row r="20">
      <c r="A20" t="inlineStr">
        <is>
          <t>Diluted EPS</t>
        </is>
      </c>
      <c r="B20" s="3" t="n">
        <v>2.44</v>
      </c>
      <c r="C20" s="3" t="n">
        <v>-0.14</v>
      </c>
      <c r="D20" s="3" t="n">
        <v>-0.68</v>
      </c>
      <c r="E20" s="3" t="n">
        <v>-0.97</v>
      </c>
      <c r="F20" s="3" t="n"/>
    </row>
    <row r="21">
      <c r="A21" t="inlineStr">
        <is>
          <t>Basic EPS</t>
        </is>
      </c>
      <c r="B21" s="3" t="n">
        <v>2.47</v>
      </c>
      <c r="C21" s="3" t="n">
        <v>-0.14</v>
      </c>
      <c r="D21" s="3" t="n">
        <v>-0.68</v>
      </c>
      <c r="E21" s="3" t="n">
        <v>-0.97</v>
      </c>
      <c r="F21" s="3" t="n"/>
    </row>
    <row r="22">
      <c r="A22" t="inlineStr">
        <is>
          <t>Diluted NI Availto Com Stockholders</t>
        </is>
      </c>
      <c r="B22" s="3" t="n">
        <v>118910000</v>
      </c>
      <c r="C22" s="3" t="n">
        <v>-6793000</v>
      </c>
      <c r="D22" s="3" t="n">
        <v>-30756000</v>
      </c>
      <c r="E22" s="3" t="n">
        <v>-39593000</v>
      </c>
      <c r="F22" s="3" t="n"/>
    </row>
    <row r="23">
      <c r="A23" t="inlineStr">
        <is>
          <t>Net Income Common Stockholders</t>
        </is>
      </c>
      <c r="B23" s="3" t="n">
        <v>118910000</v>
      </c>
      <c r="C23" s="3" t="n">
        <v>-6793000</v>
      </c>
      <c r="D23" s="3" t="n">
        <v>-30756000</v>
      </c>
      <c r="E23" s="3" t="n">
        <v>-39593000</v>
      </c>
      <c r="F23" s="3" t="n"/>
    </row>
    <row r="24">
      <c r="A24" t="inlineStr">
        <is>
          <t>Preferred Stock Dividends</t>
        </is>
      </c>
      <c r="B24" s="3" t="n"/>
      <c r="C24" s="3" t="n"/>
      <c r="D24" s="3" t="n"/>
      <c r="E24" s="3" t="n"/>
      <c r="F24" s="3" t="n">
        <v>398000</v>
      </c>
    </row>
    <row r="25">
      <c r="A25" t="inlineStr">
        <is>
          <t>Net Income</t>
        </is>
      </c>
      <c r="B25" s="3" t="n">
        <v>118910000</v>
      </c>
      <c r="C25" s="3" t="n">
        <v>-6793000</v>
      </c>
      <c r="D25" s="3" t="n">
        <v>-30756000</v>
      </c>
      <c r="E25" s="3" t="n">
        <v>-39593000</v>
      </c>
      <c r="F25" s="3" t="n"/>
    </row>
    <row r="26">
      <c r="A26" t="inlineStr">
        <is>
          <t>Minority Interests</t>
        </is>
      </c>
      <c r="B26" s="3" t="n">
        <v>-4536000</v>
      </c>
      <c r="C26" s="3" t="n">
        <v>-4276000</v>
      </c>
      <c r="D26" s="3" t="n">
        <v>-5663000</v>
      </c>
      <c r="E26" s="3" t="n">
        <v>-2722000</v>
      </c>
      <c r="F26" s="3" t="n"/>
    </row>
    <row r="27">
      <c r="A27" t="inlineStr">
        <is>
          <t>Net Income Including Noncontrolling Interests</t>
        </is>
      </c>
      <c r="B27" s="3" t="n">
        <v>123446000</v>
      </c>
      <c r="C27" s="3" t="n">
        <v>-2517000</v>
      </c>
      <c r="D27" s="3" t="n">
        <v>-25093000</v>
      </c>
      <c r="E27" s="3" t="n">
        <v>-36871000</v>
      </c>
      <c r="F27" s="3" t="n"/>
    </row>
    <row r="28">
      <c r="A28" t="inlineStr">
        <is>
          <t>Net Income Continuous Operations</t>
        </is>
      </c>
      <c r="B28" s="3" t="n">
        <v>123446000</v>
      </c>
      <c r="C28" s="3" t="n">
        <v>-2517000</v>
      </c>
      <c r="D28" s="3" t="n">
        <v>-25093000</v>
      </c>
      <c r="E28" s="3" t="n">
        <v>-36871000</v>
      </c>
      <c r="F28" s="3" t="n"/>
    </row>
    <row r="29">
      <c r="A29" t="inlineStr">
        <is>
          <t>Tax Provision</t>
        </is>
      </c>
      <c r="B29" s="3" t="n">
        <v>-27989000</v>
      </c>
      <c r="C29" s="3" t="n">
        <v>240000</v>
      </c>
      <c r="D29" s="3" t="n">
        <v>-521000</v>
      </c>
      <c r="E29" s="3" t="n">
        <v>809000</v>
      </c>
      <c r="F29" s="3" t="n"/>
    </row>
    <row r="30">
      <c r="A30" t="inlineStr">
        <is>
          <t>Pretax Income</t>
        </is>
      </c>
      <c r="B30" s="3" t="n">
        <v>95457000</v>
      </c>
      <c r="C30" s="3" t="n">
        <v>-2277000</v>
      </c>
      <c r="D30" s="3" t="n">
        <v>-25614000</v>
      </c>
      <c r="E30" s="3" t="n">
        <v>-36062000</v>
      </c>
      <c r="F30" s="3" t="n"/>
    </row>
    <row r="31">
      <c r="A31" t="inlineStr">
        <is>
          <t>Other Income Expense</t>
        </is>
      </c>
      <c r="B31" s="3" t="n">
        <v>111746000</v>
      </c>
      <c r="C31" s="3" t="n"/>
      <c r="D31" s="3" t="n"/>
      <c r="E31" s="3" t="n">
        <v>-1101000</v>
      </c>
      <c r="F31" s="3" t="n">
        <v>9163000</v>
      </c>
    </row>
    <row r="32">
      <c r="A32" t="inlineStr">
        <is>
          <t>Special Income Charges</t>
        </is>
      </c>
      <c r="B32" s="3" t="n">
        <v>111746000</v>
      </c>
      <c r="C32" s="3" t="n">
        <v>0</v>
      </c>
      <c r="D32" s="3" t="n">
        <v>0</v>
      </c>
      <c r="E32" s="3" t="n">
        <v>-1101000</v>
      </c>
      <c r="F32" s="3" t="n"/>
    </row>
    <row r="33">
      <c r="A33" t="inlineStr">
        <is>
          <t>Other Special Charges</t>
        </is>
      </c>
      <c r="B33" s="3" t="n"/>
      <c r="C33" s="3" t="n"/>
      <c r="D33" s="3" t="n"/>
      <c r="E33" s="3" t="n">
        <v>1101000</v>
      </c>
      <c r="F33" s="3" t="n">
        <v>-6453000</v>
      </c>
    </row>
    <row r="34">
      <c r="A34" t="inlineStr">
        <is>
          <t>Restructuring And Mergern Acquisition</t>
        </is>
      </c>
      <c r="B34" s="3" t="n">
        <v>-111746000</v>
      </c>
      <c r="C34" s="3" t="n">
        <v>0</v>
      </c>
      <c r="D34" s="3" t="n">
        <v>0</v>
      </c>
      <c r="E34" s="3" t="n">
        <v>0</v>
      </c>
      <c r="F34" s="3" t="n"/>
    </row>
    <row r="35">
      <c r="A35" t="inlineStr">
        <is>
          <t>Net Non Operating Interest Income Expense</t>
        </is>
      </c>
      <c r="B35" s="3" t="n">
        <v>-13713000</v>
      </c>
      <c r="C35" s="3" t="n">
        <v>-8837000</v>
      </c>
      <c r="D35" s="3" t="n">
        <v>-10826000</v>
      </c>
      <c r="E35" s="3" t="n">
        <v>-5194000</v>
      </c>
      <c r="F35" s="3" t="n"/>
    </row>
    <row r="36">
      <c r="A36" t="inlineStr">
        <is>
          <t>Interest Expense Non Operating</t>
        </is>
      </c>
      <c r="B36" s="3" t="n">
        <v>13713000</v>
      </c>
      <c r="C36" s="3" t="n">
        <v>8837000</v>
      </c>
      <c r="D36" s="3" t="n">
        <v>10826000</v>
      </c>
      <c r="E36" s="3" t="n">
        <v>5194000</v>
      </c>
      <c r="F36" s="3" t="n"/>
    </row>
    <row r="37">
      <c r="A37" t="inlineStr">
        <is>
          <t>Operating Income</t>
        </is>
      </c>
      <c r="B37" s="3" t="n">
        <v>-2576000</v>
      </c>
      <c r="C37" s="3" t="n">
        <v>6560000</v>
      </c>
      <c r="D37" s="3" t="n">
        <v>-14788000</v>
      </c>
      <c r="E37" s="3" t="n">
        <v>-29767000</v>
      </c>
      <c r="F37" s="3" t="n"/>
    </row>
    <row r="38">
      <c r="A38" t="inlineStr">
        <is>
          <t>Operating Expense</t>
        </is>
      </c>
      <c r="B38" s="3" t="n">
        <v>89504000</v>
      </c>
      <c r="C38" s="3" t="n">
        <v>63066000</v>
      </c>
      <c r="D38" s="3" t="n">
        <v>74080000</v>
      </c>
      <c r="E38" s="3" t="n">
        <v>55734000</v>
      </c>
      <c r="F38" s="3" t="n"/>
    </row>
    <row r="39">
      <c r="A39" t="inlineStr">
        <is>
          <t>Research And Development</t>
        </is>
      </c>
      <c r="B39" s="3" t="n">
        <v>14621000</v>
      </c>
      <c r="C39" s="3" t="n">
        <v>15040000</v>
      </c>
      <c r="D39" s="3" t="n">
        <v>10169000</v>
      </c>
      <c r="E39" s="3" t="n">
        <v>9431000</v>
      </c>
      <c r="F39" s="3" t="n"/>
    </row>
    <row r="40">
      <c r="A40" t="inlineStr">
        <is>
          <t>Selling General And Administration</t>
        </is>
      </c>
      <c r="B40" s="3" t="n">
        <v>74883000</v>
      </c>
      <c r="C40" s="3" t="n">
        <v>48026000</v>
      </c>
      <c r="D40" s="3" t="n">
        <v>63911000</v>
      </c>
      <c r="E40" s="3" t="n">
        <v>46303000</v>
      </c>
      <c r="F40" s="3" t="n"/>
    </row>
    <row r="41">
      <c r="A41" t="inlineStr">
        <is>
          <t>Gross Profit</t>
        </is>
      </c>
      <c r="B41" s="3" t="n">
        <v>86928000</v>
      </c>
      <c r="C41" s="3" t="n">
        <v>69626000</v>
      </c>
      <c r="D41" s="3" t="n">
        <v>59292000</v>
      </c>
      <c r="E41" s="3" t="n">
        <v>25967000</v>
      </c>
      <c r="F41" s="3" t="n"/>
    </row>
    <row r="42">
      <c r="A42" t="inlineStr">
        <is>
          <t>Cost Of Revenue</t>
        </is>
      </c>
      <c r="B42" s="3" t="n">
        <v>355211000</v>
      </c>
      <c r="C42" s="3" t="n">
        <v>272643000</v>
      </c>
      <c r="D42" s="3" t="n">
        <v>227390000</v>
      </c>
      <c r="E42" s="3" t="n">
        <v>186974000</v>
      </c>
      <c r="F42" s="3" t="n"/>
    </row>
    <row r="43">
      <c r="A43" t="inlineStr">
        <is>
          <t>Total Revenue</t>
        </is>
      </c>
      <c r="B43" s="3" t="n">
        <v>442139000</v>
      </c>
      <c r="C43" s="3" t="n">
        <v>342269000</v>
      </c>
      <c r="D43" s="3" t="n">
        <v>286682000</v>
      </c>
      <c r="E43" s="3" t="n">
        <v>212941000</v>
      </c>
      <c r="F43" s="3" t="n"/>
    </row>
    <row r="44">
      <c r="A44" t="inlineStr">
        <is>
          <t>Operating Revenue</t>
        </is>
      </c>
      <c r="B44" s="3" t="n">
        <v>442139000</v>
      </c>
      <c r="C44" s="3" t="n">
        <v>342269000</v>
      </c>
      <c r="D44" s="3" t="n">
        <v>286682000</v>
      </c>
      <c r="E44" s="3" t="n">
        <v>212941000</v>
      </c>
      <c r="F4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200760</v>
      </c>
      <c r="D2" s="3" t="n">
        <v>23265900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0.037</v>
      </c>
      <c r="C3" s="3" t="n">
        <v>0.21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8922000</v>
      </c>
      <c r="C4" s="3" t="n">
        <v>14215000</v>
      </c>
      <c r="D4" s="3" t="n">
        <v>20335000</v>
      </c>
      <c r="E4" s="3" t="n">
        <v>-1939000</v>
      </c>
      <c r="F4" s="3" t="n">
        <v>483000</v>
      </c>
    </row>
    <row r="5">
      <c r="A5" t="inlineStr">
        <is>
          <t>Total Unusual Items</t>
        </is>
      </c>
      <c r="B5" s="3" t="n"/>
      <c r="C5" s="3" t="n">
        <v>956000</v>
      </c>
      <c r="D5" s="3" t="n">
        <v>110790000</v>
      </c>
      <c r="E5" s="3" t="n"/>
      <c r="F5" s="3" t="n"/>
    </row>
    <row r="6">
      <c r="A6" t="inlineStr">
        <is>
          <t>Total Unusual Items Excluding Goodwill</t>
        </is>
      </c>
      <c r="B6" s="3" t="n"/>
      <c r="C6" s="3" t="n">
        <v>956000</v>
      </c>
      <c r="D6" s="3" t="n">
        <v>110790000</v>
      </c>
      <c r="E6" s="3" t="n"/>
      <c r="F6" s="3" t="n"/>
    </row>
    <row r="7">
      <c r="A7" t="inlineStr">
        <is>
          <t>Net Income From Continuing Operation Net Minority Interest</t>
        </is>
      </c>
      <c r="B7" s="3" t="n">
        <v>-12308000</v>
      </c>
      <c r="C7" s="3" t="n">
        <v>-7780000</v>
      </c>
      <c r="D7" s="3" t="n">
        <v>144013000</v>
      </c>
      <c r="E7" s="3" t="n">
        <v>-9978000</v>
      </c>
      <c r="F7" s="3" t="n">
        <v>-7345000</v>
      </c>
    </row>
    <row r="8">
      <c r="A8" t="inlineStr">
        <is>
          <t>Reconciled Depreciation</t>
        </is>
      </c>
      <c r="B8" s="3" t="n">
        <v>14199000</v>
      </c>
      <c r="C8" s="3" t="n">
        <v>14145000</v>
      </c>
      <c r="D8" s="3" t="n">
        <v>12481000</v>
      </c>
      <c r="E8" s="3" t="n">
        <v>4539000</v>
      </c>
      <c r="F8" s="3" t="n">
        <v>4505000</v>
      </c>
    </row>
    <row r="9">
      <c r="A9" t="inlineStr">
        <is>
          <t>Reconciled Cost Of Revenue</t>
        </is>
      </c>
      <c r="B9" s="3" t="n">
        <v>128534000</v>
      </c>
      <c r="C9" s="3" t="n">
        <v>145488000</v>
      </c>
      <c r="D9" s="3" t="n">
        <v>114520000</v>
      </c>
      <c r="E9" s="3" t="n">
        <v>48164000</v>
      </c>
      <c r="F9" s="3" t="n">
        <v>47039000</v>
      </c>
    </row>
    <row r="10">
      <c r="A10" t="inlineStr">
        <is>
          <t>EBITDA</t>
        </is>
      </c>
      <c r="B10" s="3" t="n">
        <v>8922000</v>
      </c>
      <c r="C10" s="3" t="n">
        <v>15171000</v>
      </c>
      <c r="D10" s="3" t="n">
        <v>131125000</v>
      </c>
      <c r="E10" s="3" t="n">
        <v>-1939000</v>
      </c>
      <c r="F10" s="3" t="n">
        <v>483000</v>
      </c>
    </row>
    <row r="11">
      <c r="A11" t="inlineStr">
        <is>
          <t>EBIT</t>
        </is>
      </c>
      <c r="B11" s="3" t="n">
        <v>-5277000</v>
      </c>
      <c r="C11" s="3" t="n">
        <v>1026000</v>
      </c>
      <c r="D11" s="3" t="n">
        <v>118644000</v>
      </c>
      <c r="E11" s="3" t="n">
        <v>-6478000</v>
      </c>
      <c r="F11" s="3" t="n">
        <v>-4022000</v>
      </c>
    </row>
    <row r="12">
      <c r="A12" t="inlineStr">
        <is>
          <t>Net Interest Income</t>
        </is>
      </c>
      <c r="B12" s="3" t="n">
        <v>-6159000</v>
      </c>
      <c r="C12" s="3" t="n">
        <v>-4942000</v>
      </c>
      <c r="D12" s="3" t="n">
        <v>-5322000</v>
      </c>
      <c r="E12" s="3" t="n">
        <v>-1637000</v>
      </c>
      <c r="F12" s="3" t="n">
        <v>-1812000</v>
      </c>
    </row>
    <row r="13">
      <c r="A13" t="inlineStr">
        <is>
          <t>Interest Expense</t>
        </is>
      </c>
      <c r="B13" s="3" t="n">
        <v>6159000</v>
      </c>
      <c r="C13" s="3" t="n">
        <v>4942000</v>
      </c>
      <c r="D13" s="3" t="n">
        <v>5322000</v>
      </c>
      <c r="E13" s="3" t="n">
        <v>1637000</v>
      </c>
      <c r="F13" s="3" t="n">
        <v>1812000</v>
      </c>
    </row>
    <row r="14">
      <c r="A14" t="inlineStr">
        <is>
          <t>Normalized Income</t>
        </is>
      </c>
      <c r="B14" s="3" t="n">
        <v>-12308000</v>
      </c>
      <c r="C14" s="3" t="n">
        <v>-8535240</v>
      </c>
      <c r="D14" s="3" t="n">
        <v>56488900</v>
      </c>
      <c r="E14" s="3" t="n">
        <v>-9978000</v>
      </c>
      <c r="F14" s="3" t="n">
        <v>-7345000</v>
      </c>
    </row>
    <row r="15">
      <c r="A15" t="inlineStr">
        <is>
          <t>Net Income From Continuing And Discontinued Operation</t>
        </is>
      </c>
      <c r="B15" s="3" t="n">
        <v>-12308000</v>
      </c>
      <c r="C15" s="3" t="n">
        <v>-7780000</v>
      </c>
      <c r="D15" s="3" t="n">
        <v>144013000</v>
      </c>
      <c r="E15" s="3" t="n">
        <v>-9978000</v>
      </c>
      <c r="F15" s="3" t="n">
        <v>-7345000</v>
      </c>
    </row>
    <row r="16">
      <c r="A16" t="inlineStr">
        <is>
          <t>Total Expenses</t>
        </is>
      </c>
      <c r="B16" s="3" t="n">
        <v>165963000</v>
      </c>
      <c r="C16" s="3" t="n">
        <v>170969000</v>
      </c>
      <c r="D16" s="3" t="n">
        <v>142887000</v>
      </c>
      <c r="E16" s="3" t="n">
        <v>65541000</v>
      </c>
      <c r="F16" s="3" t="n">
        <v>65318000</v>
      </c>
    </row>
    <row r="17">
      <c r="A17" t="inlineStr">
        <is>
          <t>Total Operating Income As Reported</t>
        </is>
      </c>
      <c r="B17" s="3" t="n">
        <v>-5277000</v>
      </c>
      <c r="C17" s="3" t="n">
        <v>70000</v>
      </c>
      <c r="D17" s="3" t="n">
        <v>7854000</v>
      </c>
      <c r="E17" s="3" t="n">
        <v>-6478000</v>
      </c>
      <c r="F17" s="3" t="n">
        <v>-4022000</v>
      </c>
    </row>
    <row r="18">
      <c r="A18" t="inlineStr">
        <is>
          <t>Diluted Average Shares</t>
        </is>
      </c>
      <c r="B18" s="3" t="n">
        <v>48775000</v>
      </c>
      <c r="C18" s="3" t="n">
        <v>48573000</v>
      </c>
      <c r="D18" s="3" t="n">
        <v>48770000</v>
      </c>
      <c r="E18" s="3" t="n">
        <v>48091000</v>
      </c>
      <c r="F18" s="3" t="n">
        <v>47791000</v>
      </c>
    </row>
    <row r="19">
      <c r="A19" t="inlineStr">
        <is>
          <t>Basic Average Shares</t>
        </is>
      </c>
      <c r="B19" s="3" t="n">
        <v>48775000</v>
      </c>
      <c r="C19" s="3" t="n">
        <v>48573000</v>
      </c>
      <c r="D19" s="3" t="n">
        <v>48275000</v>
      </c>
      <c r="E19" s="3" t="n">
        <v>48091000</v>
      </c>
      <c r="F19" s="3" t="n">
        <v>47791000</v>
      </c>
    </row>
    <row r="20">
      <c r="A20" t="inlineStr">
        <is>
          <t>Diluted EPS</t>
        </is>
      </c>
      <c r="B20" s="3" t="n">
        <v>-0.25</v>
      </c>
      <c r="C20" s="3" t="n">
        <v>-0.16</v>
      </c>
      <c r="D20" s="3" t="n">
        <v>2.95</v>
      </c>
      <c r="E20" s="3" t="n">
        <v>-0.21</v>
      </c>
      <c r="F20" s="3" t="n">
        <v>-0.15</v>
      </c>
    </row>
    <row r="21">
      <c r="A21" t="inlineStr">
        <is>
          <t>Basic EPS</t>
        </is>
      </c>
      <c r="B21" s="3" t="n">
        <v>-0.25</v>
      </c>
      <c r="C21" s="3" t="n">
        <v>-0.16</v>
      </c>
      <c r="D21" s="3" t="n">
        <v>2.98</v>
      </c>
      <c r="E21" s="3" t="n">
        <v>-0.21</v>
      </c>
      <c r="F21" s="3" t="n">
        <v>-0.15</v>
      </c>
    </row>
    <row r="22">
      <c r="A22" t="inlineStr">
        <is>
          <t>Diluted NI Availto Com Stockholders</t>
        </is>
      </c>
      <c r="B22" s="3" t="n">
        <v>-12308000</v>
      </c>
      <c r="C22" s="3" t="n">
        <v>-7780000</v>
      </c>
      <c r="D22" s="3" t="n">
        <v>144013000</v>
      </c>
      <c r="E22" s="3" t="n">
        <v>-9978000</v>
      </c>
      <c r="F22" s="3" t="n">
        <v>-7345000</v>
      </c>
    </row>
    <row r="23">
      <c r="A23" t="inlineStr">
        <is>
          <t>Net Income Common Stockholders</t>
        </is>
      </c>
      <c r="B23" s="3" t="n">
        <v>-12308000</v>
      </c>
      <c r="C23" s="3" t="n">
        <v>-7780000</v>
      </c>
      <c r="D23" s="3" t="n">
        <v>144013000</v>
      </c>
      <c r="E23" s="3" t="n">
        <v>-9978000</v>
      </c>
      <c r="F23" s="3" t="n">
        <v>-7345000</v>
      </c>
    </row>
    <row r="24">
      <c r="A24" t="inlineStr">
        <is>
          <t>Net Income</t>
        </is>
      </c>
      <c r="B24" s="3" t="n">
        <v>-12308000</v>
      </c>
      <c r="C24" s="3" t="n">
        <v>-7780000</v>
      </c>
      <c r="D24" s="3" t="n">
        <v>144013000</v>
      </c>
      <c r="E24" s="3" t="n">
        <v>-9978000</v>
      </c>
      <c r="F24" s="3" t="n">
        <v>-7345000</v>
      </c>
    </row>
    <row r="25">
      <c r="A25" t="inlineStr">
        <is>
          <t>Minority Interests</t>
        </is>
      </c>
      <c r="B25" s="3" t="n">
        <v>-1156000</v>
      </c>
      <c r="C25" s="3" t="n">
        <v>-1149000</v>
      </c>
      <c r="D25" s="3" t="n">
        <v>-1139000</v>
      </c>
      <c r="E25" s="3" t="n">
        <v>-1121000</v>
      </c>
      <c r="F25" s="3" t="n">
        <v>-1127000</v>
      </c>
    </row>
    <row r="26">
      <c r="A26" t="inlineStr">
        <is>
          <t>Net Income Including Noncontrolling Interests</t>
        </is>
      </c>
      <c r="B26" s="3" t="n">
        <v>-11152000</v>
      </c>
      <c r="C26" s="3" t="n">
        <v>-6631000</v>
      </c>
      <c r="D26" s="3" t="n">
        <v>145152000</v>
      </c>
      <c r="E26" s="3" t="n">
        <v>-8857000</v>
      </c>
      <c r="F26" s="3" t="n">
        <v>-6218000</v>
      </c>
    </row>
    <row r="27">
      <c r="A27" t="inlineStr">
        <is>
          <t>Net Income Continuous Operations</t>
        </is>
      </c>
      <c r="B27" s="3" t="n">
        <v>-11152000</v>
      </c>
      <c r="C27" s="3" t="n">
        <v>-6631000</v>
      </c>
      <c r="D27" s="3" t="n">
        <v>145152000</v>
      </c>
      <c r="E27" s="3" t="n">
        <v>-8857000</v>
      </c>
      <c r="F27" s="3" t="n">
        <v>-6218000</v>
      </c>
    </row>
    <row r="28">
      <c r="A28" t="inlineStr">
        <is>
          <t>Tax Provision</t>
        </is>
      </c>
      <c r="B28" s="3" t="n">
        <v>-284000</v>
      </c>
      <c r="C28" s="3" t="n">
        <v>2715000</v>
      </c>
      <c r="D28" s="3" t="n">
        <v>-31830000</v>
      </c>
      <c r="E28" s="3" t="n">
        <v>742000</v>
      </c>
      <c r="F28" s="3" t="n">
        <v>384000</v>
      </c>
    </row>
    <row r="29">
      <c r="A29" t="inlineStr">
        <is>
          <t>Pretax Income</t>
        </is>
      </c>
      <c r="B29" s="3" t="n">
        <v>-11436000</v>
      </c>
      <c r="C29" s="3" t="n">
        <v>-3916000</v>
      </c>
      <c r="D29" s="3" t="n">
        <v>113322000</v>
      </c>
      <c r="E29" s="3" t="n">
        <v>-8115000</v>
      </c>
      <c r="F29" s="3" t="n">
        <v>-5834000</v>
      </c>
    </row>
    <row r="30">
      <c r="A30" t="inlineStr">
        <is>
          <t>Other Income Expense</t>
        </is>
      </c>
      <c r="B30" s="3" t="n"/>
      <c r="C30" s="3" t="n">
        <v>956000</v>
      </c>
      <c r="D30" s="3" t="n">
        <v>110790000</v>
      </c>
      <c r="E30" s="3" t="n"/>
      <c r="F30" s="3" t="n"/>
    </row>
    <row r="31">
      <c r="A31" t="inlineStr">
        <is>
          <t>Special Income Charges</t>
        </is>
      </c>
      <c r="B31" s="3" t="n"/>
      <c r="C31" s="3" t="n">
        <v>956000</v>
      </c>
      <c r="D31" s="3" t="n">
        <v>110790000</v>
      </c>
      <c r="E31" s="3" t="n"/>
      <c r="F31" s="3" t="n"/>
    </row>
    <row r="32">
      <c r="A32" t="inlineStr">
        <is>
          <t>Restructuring And Mergern Acquisition</t>
        </is>
      </c>
      <c r="B32" s="3" t="n"/>
      <c r="C32" s="3" t="n">
        <v>-956000</v>
      </c>
      <c r="D32" s="3" t="n">
        <v>-110790000</v>
      </c>
      <c r="E32" s="3" t="n"/>
      <c r="F32" s="3" t="n"/>
    </row>
    <row r="33">
      <c r="A33" t="inlineStr">
        <is>
          <t>Net Non Operating Interest Income Expense</t>
        </is>
      </c>
      <c r="B33" s="3" t="n">
        <v>-6159000</v>
      </c>
      <c r="C33" s="3" t="n">
        <v>-4942000</v>
      </c>
      <c r="D33" s="3" t="n">
        <v>-5322000</v>
      </c>
      <c r="E33" s="3" t="n">
        <v>-1637000</v>
      </c>
      <c r="F33" s="3" t="n">
        <v>-1812000</v>
      </c>
    </row>
    <row r="34">
      <c r="A34" t="inlineStr">
        <is>
          <t>Interest Expense Non Operating</t>
        </is>
      </c>
      <c r="B34" s="3" t="n">
        <v>6159000</v>
      </c>
      <c r="C34" s="3" t="n">
        <v>4942000</v>
      </c>
      <c r="D34" s="3" t="n">
        <v>5322000</v>
      </c>
      <c r="E34" s="3" t="n">
        <v>1637000</v>
      </c>
      <c r="F34" s="3" t="n">
        <v>1812000</v>
      </c>
    </row>
    <row r="35">
      <c r="A35" t="inlineStr">
        <is>
          <t>Operating Income</t>
        </is>
      </c>
      <c r="B35" s="3" t="n">
        <v>-5277000</v>
      </c>
      <c r="C35" s="3" t="n">
        <v>70000</v>
      </c>
      <c r="D35" s="3" t="n">
        <v>7854000</v>
      </c>
      <c r="E35" s="3" t="n">
        <v>-6478000</v>
      </c>
      <c r="F35" s="3" t="n">
        <v>-4022000</v>
      </c>
    </row>
    <row r="36">
      <c r="A36" t="inlineStr">
        <is>
          <t>Operating Expense</t>
        </is>
      </c>
      <c r="B36" s="3" t="n">
        <v>37429000</v>
      </c>
      <c r="C36" s="3" t="n">
        <v>25481000</v>
      </c>
      <c r="D36" s="3" t="n">
        <v>28367000</v>
      </c>
      <c r="E36" s="3" t="n">
        <v>17377000</v>
      </c>
      <c r="F36" s="3" t="n">
        <v>18279000</v>
      </c>
    </row>
    <row r="37">
      <c r="A37" t="inlineStr">
        <is>
          <t>Research And Development</t>
        </is>
      </c>
      <c r="B37" s="3" t="n">
        <v>4997000</v>
      </c>
      <c r="C37" s="3" t="n">
        <v>3634000</v>
      </c>
      <c r="D37" s="3" t="n">
        <v>4370000</v>
      </c>
      <c r="E37" s="3" t="n">
        <v>3368000</v>
      </c>
      <c r="F37" s="3" t="n">
        <v>3249000</v>
      </c>
    </row>
    <row r="38">
      <c r="A38" t="inlineStr">
        <is>
          <t>Selling General And Administration</t>
        </is>
      </c>
      <c r="B38" s="3" t="n">
        <v>32432000</v>
      </c>
      <c r="C38" s="3" t="n">
        <v>21847000</v>
      </c>
      <c r="D38" s="3" t="n">
        <v>23997000</v>
      </c>
      <c r="E38" s="3" t="n">
        <v>14009000</v>
      </c>
      <c r="F38" s="3" t="n">
        <v>15030000</v>
      </c>
    </row>
    <row r="39">
      <c r="A39" t="inlineStr">
        <is>
          <t>Gross Profit</t>
        </is>
      </c>
      <c r="B39" s="3" t="n">
        <v>32152000</v>
      </c>
      <c r="C39" s="3" t="n">
        <v>25551000</v>
      </c>
      <c r="D39" s="3" t="n">
        <v>36221000</v>
      </c>
      <c r="E39" s="3" t="n">
        <v>10899000</v>
      </c>
      <c r="F39" s="3" t="n">
        <v>14257000</v>
      </c>
    </row>
    <row r="40">
      <c r="A40" t="inlineStr">
        <is>
          <t>Cost Of Revenue</t>
        </is>
      </c>
      <c r="B40" s="3" t="n">
        <v>128534000</v>
      </c>
      <c r="C40" s="3" t="n">
        <v>145488000</v>
      </c>
      <c r="D40" s="3" t="n">
        <v>114520000</v>
      </c>
      <c r="E40" s="3" t="n">
        <v>48164000</v>
      </c>
      <c r="F40" s="3" t="n">
        <v>47039000</v>
      </c>
    </row>
    <row r="41">
      <c r="A41" t="inlineStr">
        <is>
          <t>Total Revenue</t>
        </is>
      </c>
      <c r="B41" s="3" t="n">
        <v>160686000</v>
      </c>
      <c r="C41" s="3" t="n">
        <v>171039000</v>
      </c>
      <c r="D41" s="3" t="n">
        <v>150741000</v>
      </c>
      <c r="E41" s="3" t="n">
        <v>59063000</v>
      </c>
      <c r="F41" s="3" t="n">
        <v>61296000</v>
      </c>
    </row>
    <row r="42">
      <c r="A42" t="inlineStr">
        <is>
          <t>Operating Revenue</t>
        </is>
      </c>
      <c r="B42" s="3" t="n">
        <v>160686000</v>
      </c>
      <c r="C42" s="3" t="n">
        <v>171039000</v>
      </c>
      <c r="D42" s="3" t="n">
        <v>150741000</v>
      </c>
      <c r="E42" s="3" t="n">
        <v>59063000</v>
      </c>
      <c r="F42" s="3" t="n">
        <v>60129000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48608000</v>
      </c>
      <c r="C2" s="3" t="n">
        <v>47704000</v>
      </c>
      <c r="D2" s="3" t="n">
        <v>47028159</v>
      </c>
      <c r="E2" s="3" t="n">
        <v>43704876</v>
      </c>
      <c r="F2" s="3" t="n"/>
    </row>
    <row r="3">
      <c r="A3" t="inlineStr">
        <is>
          <t>Share Issued</t>
        </is>
      </c>
      <c r="B3" s="3" t="n">
        <v>48608000</v>
      </c>
      <c r="C3" s="3" t="n">
        <v>47704000</v>
      </c>
      <c r="D3" s="3" t="n">
        <v>47028159</v>
      </c>
      <c r="E3" s="3" t="n">
        <v>43704876</v>
      </c>
      <c r="F3" s="3" t="n"/>
    </row>
    <row r="4">
      <c r="A4" t="inlineStr">
        <is>
          <t>Net Debt</t>
        </is>
      </c>
      <c r="B4" s="3" t="n">
        <v>200057000</v>
      </c>
      <c r="C4" s="3" t="n">
        <v>48602000</v>
      </c>
      <c r="D4" s="3" t="n">
        <v>44457000</v>
      </c>
      <c r="E4" s="3" t="n">
        <v>62828000</v>
      </c>
      <c r="F4" s="3" t="n"/>
    </row>
    <row r="5">
      <c r="A5" t="inlineStr">
        <is>
          <t>Total Debt</t>
        </is>
      </c>
      <c r="B5" s="3" t="n">
        <v>250343000</v>
      </c>
      <c r="C5" s="3" t="n">
        <v>76758000</v>
      </c>
      <c r="D5" s="3" t="n">
        <v>72859000</v>
      </c>
      <c r="E5" s="3" t="n">
        <v>103040000</v>
      </c>
      <c r="F5" s="3" t="n"/>
    </row>
    <row r="6">
      <c r="A6" t="inlineStr">
        <is>
          <t>Tangible Book Value</t>
        </is>
      </c>
      <c r="B6" s="3" t="n">
        <v>178651000</v>
      </c>
      <c r="C6" s="3" t="n">
        <v>47865000</v>
      </c>
      <c r="D6" s="3" t="n">
        <v>48068000</v>
      </c>
      <c r="E6" s="3" t="n">
        <v>48061000</v>
      </c>
      <c r="F6" s="3" t="n"/>
    </row>
    <row r="7">
      <c r="A7" t="inlineStr">
        <is>
          <t>Invested Capital</t>
        </is>
      </c>
      <c r="B7" s="3" t="n">
        <v>411100000</v>
      </c>
      <c r="C7" s="3" t="n">
        <v>123090000</v>
      </c>
      <c r="D7" s="3" t="n">
        <v>116579000</v>
      </c>
      <c r="E7" s="3" t="n">
        <v>146522000</v>
      </c>
      <c r="F7" s="3" t="n"/>
    </row>
    <row r="8">
      <c r="A8" t="inlineStr">
        <is>
          <t>Working Capital</t>
        </is>
      </c>
      <c r="B8" s="3" t="n">
        <v>-130824000</v>
      </c>
      <c r="C8" s="3" t="n">
        <v>-24220000</v>
      </c>
      <c r="D8" s="3" t="n">
        <v>2178000</v>
      </c>
      <c r="E8" s="3" t="n">
        <v>-15621000</v>
      </c>
      <c r="F8" s="3" t="n"/>
    </row>
    <row r="9">
      <c r="A9" t="inlineStr">
        <is>
          <t>Net Tangible Assets</t>
        </is>
      </c>
      <c r="B9" s="3" t="n">
        <v>178651000</v>
      </c>
      <c r="C9" s="3" t="n">
        <v>47865000</v>
      </c>
      <c r="D9" s="3" t="n">
        <v>48068000</v>
      </c>
      <c r="E9" s="3" t="n">
        <v>48061000</v>
      </c>
      <c r="F9" s="3" t="n"/>
    </row>
    <row r="10">
      <c r="A10" t="inlineStr">
        <is>
          <t>Capital Lease Obligations</t>
        </is>
      </c>
      <c r="B10" s="3" t="n">
        <v>27062000</v>
      </c>
      <c r="C10" s="3" t="n">
        <v>9312000</v>
      </c>
      <c r="D10" s="3" t="n">
        <v>10020000</v>
      </c>
      <c r="E10" s="3" t="n">
        <v>10187000</v>
      </c>
      <c r="F10" s="3" t="n"/>
    </row>
    <row r="11">
      <c r="A11" t="inlineStr">
        <is>
          <t>Common Stock Equity</t>
        </is>
      </c>
      <c r="B11" s="3" t="n">
        <v>187819000</v>
      </c>
      <c r="C11" s="3" t="n">
        <v>55644000</v>
      </c>
      <c r="D11" s="3" t="n">
        <v>53740000</v>
      </c>
      <c r="E11" s="3" t="n">
        <v>53669000</v>
      </c>
      <c r="F11" s="3" t="n"/>
    </row>
    <row r="12">
      <c r="A12" t="inlineStr">
        <is>
          <t>Total Capitalization</t>
        </is>
      </c>
      <c r="B12" s="3" t="n">
        <v>220758000</v>
      </c>
      <c r="C12" s="3" t="n">
        <v>90348000</v>
      </c>
      <c r="D12" s="3" t="n">
        <v>89838000</v>
      </c>
      <c r="E12" s="3" t="n">
        <v>88850000</v>
      </c>
      <c r="F12" s="3" t="n"/>
    </row>
    <row r="13">
      <c r="A13" t="inlineStr">
        <is>
          <t>Total Equity Gross Minority Interest</t>
        </is>
      </c>
      <c r="B13" s="3" t="n">
        <v>195812000</v>
      </c>
      <c r="C13" s="3" t="n">
        <v>61520000</v>
      </c>
      <c r="D13" s="3" t="n">
        <v>60701000</v>
      </c>
      <c r="E13" s="3" t="n">
        <v>53977000</v>
      </c>
      <c r="F13" s="3" t="n"/>
    </row>
    <row r="14">
      <c r="A14" t="inlineStr">
        <is>
          <t>Minority Interest</t>
        </is>
      </c>
      <c r="B14" s="3" t="n">
        <v>7993000</v>
      </c>
      <c r="C14" s="3" t="n">
        <v>5876000</v>
      </c>
      <c r="D14" s="3" t="n">
        <v>6961000</v>
      </c>
      <c r="E14" s="3" t="n">
        <v>308000</v>
      </c>
      <c r="F14" s="3" t="n"/>
    </row>
    <row r="15">
      <c r="A15" t="inlineStr">
        <is>
          <t>Stockholders Equity</t>
        </is>
      </c>
      <c r="B15" s="3" t="n">
        <v>187819000</v>
      </c>
      <c r="C15" s="3" t="n">
        <v>55644000</v>
      </c>
      <c r="D15" s="3" t="n">
        <v>53740000</v>
      </c>
      <c r="E15" s="3" t="n">
        <v>53669000</v>
      </c>
      <c r="F15" s="3" t="n"/>
    </row>
    <row r="16">
      <c r="A16" t="inlineStr">
        <is>
          <t>Retained Earnings</t>
        </is>
      </c>
      <c r="B16" s="3" t="n">
        <v>-15056000</v>
      </c>
      <c r="C16" s="3" t="n">
        <v>-133966000</v>
      </c>
      <c r="D16" s="3" t="n">
        <v>-125203000</v>
      </c>
      <c r="E16" s="3" t="n">
        <v>-94072000</v>
      </c>
      <c r="F16" s="3" t="n"/>
    </row>
    <row r="17">
      <c r="A17" t="inlineStr">
        <is>
          <t>Additional Paid In Capital</t>
        </is>
      </c>
      <c r="B17" s="3" t="n">
        <v>202386000</v>
      </c>
      <c r="C17" s="3" t="n">
        <v>189132000</v>
      </c>
      <c r="D17" s="3" t="n">
        <v>178473000</v>
      </c>
      <c r="E17" s="3" t="n">
        <v>147304000</v>
      </c>
      <c r="F17" s="3" t="n"/>
    </row>
    <row r="18">
      <c r="A18" t="inlineStr">
        <is>
          <t>Capital Stock</t>
        </is>
      </c>
      <c r="B18" s="3" t="n">
        <v>489000</v>
      </c>
      <c r="C18" s="3" t="n">
        <v>478000</v>
      </c>
      <c r="D18" s="3" t="n">
        <v>470000</v>
      </c>
      <c r="E18" s="3" t="n">
        <v>437000</v>
      </c>
      <c r="F18" s="3" t="n"/>
    </row>
    <row r="19">
      <c r="A19" t="inlineStr">
        <is>
          <t>Common Stock</t>
        </is>
      </c>
      <c r="B19" s="3" t="n">
        <v>489000</v>
      </c>
      <c r="C19" s="3" t="n">
        <v>478000</v>
      </c>
      <c r="D19" s="3" t="n">
        <v>470000</v>
      </c>
      <c r="E19" s="3" t="n">
        <v>437000</v>
      </c>
      <c r="F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Total Liabilities Net Minority Interest</t>
        </is>
      </c>
      <c r="B21" s="3" t="n">
        <v>538095000</v>
      </c>
      <c r="C21" s="3" t="n">
        <v>250285000</v>
      </c>
      <c r="D21" s="3" t="n">
        <v>256055000</v>
      </c>
      <c r="E21" s="3" t="n">
        <v>251787000</v>
      </c>
      <c r="F21" s="3" t="n"/>
    </row>
    <row r="22">
      <c r="A22" t="inlineStr">
        <is>
          <t>Total Non Current Liabilities Net Minority Interest</t>
        </is>
      </c>
      <c r="B22" s="3" t="n">
        <v>214075000</v>
      </c>
      <c r="C22" s="3" t="n">
        <v>95958000</v>
      </c>
      <c r="D22" s="3" t="n">
        <v>111858000</v>
      </c>
      <c r="E22" s="3" t="n">
        <v>119615000</v>
      </c>
      <c r="F22" s="3" t="n"/>
    </row>
    <row r="23">
      <c r="A23" t="inlineStr">
        <is>
          <t>Other Non Current Liabilities</t>
        </is>
      </c>
      <c r="B23" s="3" t="n">
        <v>369000</v>
      </c>
      <c r="C23" s="3" t="n"/>
      <c r="D23" s="3" t="n"/>
      <c r="E23" s="3" t="n">
        <v>4228000</v>
      </c>
      <c r="F23" s="3" t="n">
        <v>3150000</v>
      </c>
    </row>
    <row r="24">
      <c r="A24" t="inlineStr">
        <is>
          <t>Employee Benefits</t>
        </is>
      </c>
      <c r="B24" s="3" t="n"/>
      <c r="C24" s="3" t="n"/>
      <c r="D24" s="3" t="n">
        <v>0</v>
      </c>
      <c r="E24" s="3" t="n">
        <v>1643000</v>
      </c>
      <c r="F24" s="3" t="n">
        <v>4039000</v>
      </c>
    </row>
    <row r="25">
      <c r="A25" t="inlineStr">
        <is>
          <t>Non Current Accrued Expenses</t>
        </is>
      </c>
      <c r="B25" s="3" t="n"/>
      <c r="C25" s="3" t="n"/>
      <c r="D25" s="3" t="n"/>
      <c r="E25" s="3" t="n">
        <v>3728000</v>
      </c>
      <c r="F25" s="3" t="n">
        <v>3150000</v>
      </c>
    </row>
    <row r="26">
      <c r="A26" t="inlineStr">
        <is>
          <t>Tradeand Other Payables Non Current</t>
        </is>
      </c>
      <c r="B26" s="3" t="n"/>
      <c r="C26" s="3" t="n">
        <v>69000</v>
      </c>
      <c r="D26" s="3" t="n">
        <v>0</v>
      </c>
      <c r="E26" s="3" t="n">
        <v>3728000</v>
      </c>
      <c r="F26" s="3" t="n">
        <v>3150000</v>
      </c>
    </row>
    <row r="27">
      <c r="A27" t="inlineStr">
        <is>
          <t>Non Current Deferred Liabilities</t>
        </is>
      </c>
      <c r="B27" s="3" t="n">
        <v>155908000</v>
      </c>
      <c r="C27" s="3" t="n">
        <v>52602000</v>
      </c>
      <c r="D27" s="3" t="n">
        <v>66433000</v>
      </c>
      <c r="E27" s="3" t="n">
        <v>69206000</v>
      </c>
      <c r="F27" s="3" t="n"/>
    </row>
    <row r="28">
      <c r="A28" t="inlineStr">
        <is>
          <t>Non Current Deferred Revenue</t>
        </is>
      </c>
      <c r="B28" s="3" t="n">
        <v>149470000</v>
      </c>
      <c r="C28" s="3" t="n">
        <v>51901000</v>
      </c>
      <c r="D28" s="3" t="n">
        <v>65754000</v>
      </c>
      <c r="E28" s="3" t="n">
        <v>67967000</v>
      </c>
      <c r="F28" s="3" t="n"/>
    </row>
    <row r="29">
      <c r="A29" t="inlineStr">
        <is>
          <t>Non Current Deferred Taxes Liabilities</t>
        </is>
      </c>
      <c r="B29" s="3" t="n">
        <v>6438000</v>
      </c>
      <c r="C29" s="3" t="n">
        <v>701000</v>
      </c>
      <c r="D29" s="3" t="n">
        <v>679000</v>
      </c>
      <c r="E29" s="3" t="n">
        <v>1239000</v>
      </c>
      <c r="F29" s="3" t="n"/>
    </row>
    <row r="30">
      <c r="A30" t="inlineStr">
        <is>
          <t>Long Term Debt And Capital Lease Obligation</t>
        </is>
      </c>
      <c r="B30" s="3" t="n">
        <v>57798000</v>
      </c>
      <c r="C30" s="3" t="n">
        <v>43356000</v>
      </c>
      <c r="D30" s="3" t="n">
        <v>45425000</v>
      </c>
      <c r="E30" s="3" t="n">
        <v>44538000</v>
      </c>
      <c r="F30" s="3" t="n"/>
    </row>
    <row r="31">
      <c r="A31" t="inlineStr">
        <is>
          <t>Long Term Capital Lease Obligation</t>
        </is>
      </c>
      <c r="B31" s="3" t="n">
        <v>24859000</v>
      </c>
      <c r="C31" s="3" t="n">
        <v>8652000</v>
      </c>
      <c r="D31" s="3" t="n">
        <v>9327000</v>
      </c>
      <c r="E31" s="3" t="n">
        <v>9357000</v>
      </c>
      <c r="F31" s="3" t="n"/>
    </row>
    <row r="32">
      <c r="A32" t="inlineStr">
        <is>
          <t>Long Term Debt</t>
        </is>
      </c>
      <c r="B32" s="3" t="n">
        <v>32939000</v>
      </c>
      <c r="C32" s="3" t="n">
        <v>34704000</v>
      </c>
      <c r="D32" s="3" t="n">
        <v>36098000</v>
      </c>
      <c r="E32" s="3" t="n">
        <v>35181000</v>
      </c>
      <c r="F32" s="3" t="n"/>
    </row>
    <row r="33">
      <c r="A33" t="inlineStr">
        <is>
          <t>Current Liabilities</t>
        </is>
      </c>
      <c r="B33" s="3" t="n">
        <v>324020000</v>
      </c>
      <c r="C33" s="3" t="n">
        <v>154327000</v>
      </c>
      <c r="D33" s="3" t="n">
        <v>144197000</v>
      </c>
      <c r="E33" s="3" t="n">
        <v>132172000</v>
      </c>
      <c r="F33" s="3" t="n"/>
    </row>
    <row r="34">
      <c r="A34" t="inlineStr">
        <is>
          <t>Other Current Liabilities</t>
        </is>
      </c>
      <c r="B34" s="3" t="n"/>
      <c r="C34" s="3" t="n"/>
      <c r="D34" s="3" t="n"/>
      <c r="E34" s="3" t="n"/>
      <c r="F34" s="3" t="n">
        <v>816000</v>
      </c>
    </row>
    <row r="35">
      <c r="A35" t="inlineStr">
        <is>
          <t>Current Deferred Liabilities</t>
        </is>
      </c>
      <c r="B35" s="3" t="n">
        <v>42195000</v>
      </c>
      <c r="C35" s="3" t="n">
        <v>55166000</v>
      </c>
      <c r="D35" s="3" t="n">
        <v>49551000</v>
      </c>
      <c r="E35" s="3" t="n">
        <v>28186000</v>
      </c>
      <c r="F35" s="3" t="n"/>
    </row>
    <row r="36">
      <c r="A36" t="inlineStr">
        <is>
          <t>Current Deferred Revenue</t>
        </is>
      </c>
      <c r="B36" s="3" t="n">
        <v>42195000</v>
      </c>
      <c r="C36" s="3" t="n">
        <v>55166000</v>
      </c>
      <c r="D36" s="3" t="n">
        <v>49551000</v>
      </c>
      <c r="E36" s="3" t="n">
        <v>28186000</v>
      </c>
      <c r="F36" s="3" t="n"/>
    </row>
    <row r="37">
      <c r="A37" t="inlineStr">
        <is>
          <t>Current Debt And Capital Lease Obligation</t>
        </is>
      </c>
      <c r="B37" s="3" t="n">
        <v>192545000</v>
      </c>
      <c r="C37" s="3" t="n">
        <v>33402000</v>
      </c>
      <c r="D37" s="3" t="n">
        <v>27434000</v>
      </c>
      <c r="E37" s="3" t="n">
        <v>58502000</v>
      </c>
      <c r="F37" s="3" t="n"/>
    </row>
    <row r="38">
      <c r="A38" t="inlineStr">
        <is>
          <t>Current Capital Lease Obligation</t>
        </is>
      </c>
      <c r="B38" s="3" t="n">
        <v>2203000</v>
      </c>
      <c r="C38" s="3" t="n">
        <v>660000</v>
      </c>
      <c r="D38" s="3" t="n">
        <v>693000</v>
      </c>
      <c r="E38" s="3" t="n">
        <v>830000</v>
      </c>
      <c r="F38" s="3" t="n"/>
    </row>
    <row r="39">
      <c r="A39" t="inlineStr">
        <is>
          <t>Current Debt</t>
        </is>
      </c>
      <c r="B39" s="3" t="n">
        <v>190342000</v>
      </c>
      <c r="C39" s="3" t="n">
        <v>32742000</v>
      </c>
      <c r="D39" s="3" t="n">
        <v>26741000</v>
      </c>
      <c r="E39" s="3" t="n">
        <v>57672000</v>
      </c>
      <c r="F39" s="3" t="n"/>
    </row>
    <row r="40">
      <c r="A40" t="inlineStr">
        <is>
          <t>Other Current Borrowings</t>
        </is>
      </c>
      <c r="B40" s="3" t="n">
        <v>-5118000</v>
      </c>
      <c r="C40" s="3" t="n">
        <v>2571000</v>
      </c>
      <c r="D40" s="3" t="n">
        <v>4947000</v>
      </c>
      <c r="E40" s="3" t="n">
        <v>57672000</v>
      </c>
      <c r="F40" s="3" t="n"/>
    </row>
    <row r="41">
      <c r="A41" t="inlineStr">
        <is>
          <t>Line Of Credit</t>
        </is>
      </c>
      <c r="B41" s="3" t="n">
        <v>195460000</v>
      </c>
      <c r="C41" s="3" t="n">
        <v>30171000</v>
      </c>
      <c r="D41" s="3" t="n">
        <v>21794000</v>
      </c>
      <c r="E41" s="3" t="n"/>
      <c r="F41" s="3" t="n"/>
    </row>
    <row r="42">
      <c r="A42" t="inlineStr">
        <is>
          <t>Pensionand Other Post Retirement Benefit Plans Current</t>
        </is>
      </c>
      <c r="B42" s="3" t="n">
        <v>11248000</v>
      </c>
      <c r="C42" s="3" t="n">
        <v>6392000</v>
      </c>
      <c r="D42" s="3" t="n">
        <v>10947000</v>
      </c>
      <c r="E42" s="3" t="n">
        <v>5705000</v>
      </c>
      <c r="F42" s="3" t="n"/>
    </row>
    <row r="43">
      <c r="A43" t="inlineStr">
        <is>
          <t>Payables And Accrued Expenses</t>
        </is>
      </c>
      <c r="B43" s="3" t="n">
        <v>78032000</v>
      </c>
      <c r="C43" s="3" t="n">
        <v>59367000</v>
      </c>
      <c r="D43" s="3" t="n">
        <v>56265000</v>
      </c>
      <c r="E43" s="3" t="n">
        <v>39779000</v>
      </c>
      <c r="F43" s="3" t="n"/>
    </row>
    <row r="44">
      <c r="A44" t="inlineStr">
        <is>
          <t>Current Accrued Expenses</t>
        </is>
      </c>
      <c r="B44" s="3" t="n">
        <v>28120000</v>
      </c>
      <c r="C44" s="3" t="n">
        <v>26784000</v>
      </c>
      <c r="D44" s="3" t="n">
        <v>31263000</v>
      </c>
      <c r="E44" s="3" t="n">
        <v>18677000</v>
      </c>
      <c r="F44" s="3" t="n"/>
    </row>
    <row r="45">
      <c r="A45" t="inlineStr">
        <is>
          <t>Payables</t>
        </is>
      </c>
      <c r="B45" s="3" t="n">
        <v>49912000</v>
      </c>
      <c r="C45" s="3" t="n">
        <v>32583000</v>
      </c>
      <c r="D45" s="3" t="n">
        <v>25002000</v>
      </c>
      <c r="E45" s="3" t="n">
        <v>21102000</v>
      </c>
      <c r="F45" s="3" t="n"/>
    </row>
    <row r="46">
      <c r="A46" t="inlineStr">
        <is>
          <t>Other Payable</t>
        </is>
      </c>
      <c r="B46" s="3" t="n">
        <v>15041000</v>
      </c>
      <c r="C46" s="3" t="n">
        <v>2993000</v>
      </c>
      <c r="D46" s="3" t="n">
        <v>5388000</v>
      </c>
      <c r="E46" s="3" t="n"/>
      <c r="F46" s="3" t="n"/>
    </row>
    <row r="47">
      <c r="A47" t="inlineStr">
        <is>
          <t>Total Tax Payable</t>
        </is>
      </c>
      <c r="B47" s="3" t="n"/>
      <c r="C47" s="3" t="n"/>
      <c r="D47" s="3" t="n"/>
      <c r="E47" s="3" t="n"/>
      <c r="F47" s="3" t="n">
        <v>0</v>
      </c>
    </row>
    <row r="48">
      <c r="A48" t="inlineStr">
        <is>
          <t>Income Tax Payable</t>
        </is>
      </c>
      <c r="B48" s="3" t="n"/>
      <c r="C48" s="3" t="n"/>
      <c r="D48" s="3" t="n"/>
      <c r="E48" s="3" t="n"/>
      <c r="F48" s="3" t="n">
        <v>0</v>
      </c>
    </row>
    <row r="49">
      <c r="A49" t="inlineStr">
        <is>
          <t>Accounts Payable</t>
        </is>
      </c>
      <c r="B49" s="3" t="n">
        <v>34871000</v>
      </c>
      <c r="C49" s="3" t="n">
        <v>29590000</v>
      </c>
      <c r="D49" s="3" t="n">
        <v>19614000</v>
      </c>
      <c r="E49" s="3" t="n">
        <v>21102000</v>
      </c>
      <c r="F49" s="3" t="n"/>
    </row>
    <row r="50">
      <c r="A50" t="inlineStr">
        <is>
          <t>Total Assets</t>
        </is>
      </c>
      <c r="B50" s="3" t="n">
        <v>733907000</v>
      </c>
      <c r="C50" s="3" t="n">
        <v>311805000</v>
      </c>
      <c r="D50" s="3" t="n">
        <v>316756000</v>
      </c>
      <c r="E50" s="3" t="n">
        <v>305764000</v>
      </c>
      <c r="F50" s="3" t="n"/>
    </row>
    <row r="51">
      <c r="A51" t="inlineStr">
        <is>
          <t>Total Non Current Assets</t>
        </is>
      </c>
      <c r="B51" s="3" t="n">
        <v>540711000</v>
      </c>
      <c r="C51" s="3" t="n">
        <v>181698000</v>
      </c>
      <c r="D51" s="3" t="n">
        <v>170381000</v>
      </c>
      <c r="E51" s="3" t="n">
        <v>189213000</v>
      </c>
      <c r="F51" s="3" t="n"/>
    </row>
    <row r="52">
      <c r="A52" t="inlineStr">
        <is>
          <t>Other Non Current Assets</t>
        </is>
      </c>
      <c r="B52" s="3" t="n">
        <v>9593000</v>
      </c>
      <c r="C52" s="3" t="n">
        <v>5239000</v>
      </c>
      <c r="D52" s="3" t="n">
        <v>5246000</v>
      </c>
      <c r="E52" s="3" t="n">
        <v>3549000</v>
      </c>
      <c r="F52" s="3" t="n"/>
    </row>
    <row r="53">
      <c r="A53" t="inlineStr">
        <is>
          <t>Non Current Deferred Assets</t>
        </is>
      </c>
      <c r="B53" s="3" t="n"/>
      <c r="C53" s="3" t="n"/>
      <c r="D53" s="3" t="n"/>
      <c r="E53" s="3" t="n">
        <v>0</v>
      </c>
      <c r="F53" s="3" t="n">
        <v>1760000</v>
      </c>
    </row>
    <row r="54">
      <c r="A54" t="inlineStr">
        <is>
          <t>Non Current Accounts Receivable</t>
        </is>
      </c>
      <c r="B54" s="3" t="n">
        <v>10230000</v>
      </c>
      <c r="C54" s="3" t="n">
        <v>3200000</v>
      </c>
      <c r="D54" s="3" t="n"/>
      <c r="E54" s="3" t="n"/>
      <c r="F54" s="3" t="n"/>
    </row>
    <row r="55">
      <c r="A55" t="inlineStr">
        <is>
          <t>Goodwill And Other Intangible Assets</t>
        </is>
      </c>
      <c r="B55" s="3" t="n">
        <v>9168000</v>
      </c>
      <c r="C55" s="3" t="n">
        <v>7779000</v>
      </c>
      <c r="D55" s="3" t="n">
        <v>5672000</v>
      </c>
      <c r="E55" s="3" t="n">
        <v>5608000</v>
      </c>
      <c r="F55" s="3" t="n"/>
    </row>
    <row r="56">
      <c r="A56" t="inlineStr">
        <is>
          <t>Other Intangible Assets</t>
        </is>
      </c>
      <c r="B56" s="3" t="n">
        <v>9168000</v>
      </c>
      <c r="C56" s="3" t="n">
        <v>7779000</v>
      </c>
      <c r="D56" s="3" t="n">
        <v>5672000</v>
      </c>
      <c r="E56" s="3" t="n">
        <v>5608000</v>
      </c>
      <c r="F56" s="3" t="n"/>
    </row>
    <row r="57">
      <c r="A57" t="inlineStr">
        <is>
          <t>Net PPE</t>
        </is>
      </c>
      <c r="B57" s="3" t="n">
        <v>511720000</v>
      </c>
      <c r="C57" s="3" t="n">
        <v>165480000</v>
      </c>
      <c r="D57" s="3" t="n">
        <v>159463000</v>
      </c>
      <c r="E57" s="3" t="n">
        <v>180056000</v>
      </c>
      <c r="F57" s="3" t="n"/>
    </row>
    <row r="58">
      <c r="A58" t="inlineStr">
        <is>
          <t>Accumulated Depreciation</t>
        </is>
      </c>
      <c r="B58" s="3" t="n">
        <v>-181737000</v>
      </c>
      <c r="C58" s="3" t="n">
        <v>-150657000</v>
      </c>
      <c r="D58" s="3" t="n">
        <v>-137767000</v>
      </c>
      <c r="E58" s="3" t="n">
        <v>-110644000</v>
      </c>
      <c r="F58" s="3" t="n"/>
    </row>
    <row r="59">
      <c r="A59" t="inlineStr">
        <is>
          <t>Gross PPE</t>
        </is>
      </c>
      <c r="B59" s="3" t="n">
        <v>693457000</v>
      </c>
      <c r="C59" s="3" t="n">
        <v>316137000</v>
      </c>
      <c r="D59" s="3" t="n">
        <v>297230000</v>
      </c>
      <c r="E59" s="3" t="n">
        <v>290700000</v>
      </c>
      <c r="F59" s="3" t="n"/>
    </row>
    <row r="60">
      <c r="A60" t="inlineStr">
        <is>
          <t>Other Properties</t>
        </is>
      </c>
      <c r="B60" s="3" t="n">
        <v>36019000</v>
      </c>
      <c r="C60" s="3" t="n">
        <v>18631000</v>
      </c>
      <c r="D60" s="3" t="n">
        <v>9075000</v>
      </c>
      <c r="E60" s="3" t="n">
        <v>9887000</v>
      </c>
      <c r="F60" s="3" t="n"/>
    </row>
    <row r="61">
      <c r="A61" t="inlineStr">
        <is>
          <t>Machinery Furniture Equipment</t>
        </is>
      </c>
      <c r="B61" s="3" t="n">
        <v>456090000</v>
      </c>
      <c r="C61" s="3" t="n">
        <v>202667000</v>
      </c>
      <c r="D61" s="3" t="n">
        <v>193977000</v>
      </c>
      <c r="E61" s="3" t="n">
        <v>187276000</v>
      </c>
      <c r="F61" s="3" t="n"/>
    </row>
    <row r="62">
      <c r="A62" t="inlineStr">
        <is>
          <t>Buildings And Improvements</t>
        </is>
      </c>
      <c r="B62" s="3" t="n">
        <v>164752000</v>
      </c>
      <c r="C62" s="3" t="n">
        <v>89443000</v>
      </c>
      <c r="D62" s="3" t="n">
        <v>88782000</v>
      </c>
      <c r="E62" s="3" t="n">
        <v>88141000</v>
      </c>
      <c r="F62" s="3" t="n"/>
    </row>
    <row r="63">
      <c r="A63" t="inlineStr">
        <is>
          <t>Land And Improvements</t>
        </is>
      </c>
      <c r="B63" s="3" t="n">
        <v>36596000</v>
      </c>
      <c r="C63" s="3" t="n">
        <v>5396000</v>
      </c>
      <c r="D63" s="3" t="n">
        <v>5396000</v>
      </c>
      <c r="E63" s="3" t="n">
        <v>5396000</v>
      </c>
      <c r="F63" s="3" t="n"/>
    </row>
    <row r="64">
      <c r="A64" t="inlineStr">
        <is>
          <t>Properties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/>
    </row>
    <row r="65">
      <c r="A65" t="inlineStr">
        <is>
          <t>Current Assets</t>
        </is>
      </c>
      <c r="B65" s="3" t="n">
        <v>193196000</v>
      </c>
      <c r="C65" s="3" t="n">
        <v>130107000</v>
      </c>
      <c r="D65" s="3" t="n">
        <v>146375000</v>
      </c>
      <c r="E65" s="3" t="n">
        <v>116551000</v>
      </c>
      <c r="F65" s="3" t="n"/>
    </row>
    <row r="66">
      <c r="A66" t="inlineStr">
        <is>
          <t>Other Current Assets</t>
        </is>
      </c>
      <c r="B66" s="3" t="n">
        <v>20503000</v>
      </c>
      <c r="C66" s="3" t="n">
        <v>16923000</v>
      </c>
      <c r="D66" s="3" t="n">
        <v>12737000</v>
      </c>
      <c r="E66" s="3" t="n">
        <v>5669000</v>
      </c>
      <c r="F66" s="3" t="n"/>
    </row>
    <row r="67">
      <c r="A67" t="inlineStr">
        <is>
          <t>Current Deferred Assets</t>
        </is>
      </c>
      <c r="B67" s="3" t="n">
        <v>1459000</v>
      </c>
      <c r="C67" s="3" t="n">
        <v>1253000</v>
      </c>
      <c r="D67" s="3" t="n">
        <v>1453000</v>
      </c>
      <c r="E67" s="3" t="n">
        <v>2097000</v>
      </c>
      <c r="F67" s="3" t="n"/>
    </row>
    <row r="68">
      <c r="A68" t="inlineStr">
        <is>
          <t>Prepaid Assets</t>
        </is>
      </c>
      <c r="B68" s="3" t="n">
        <v>5307000</v>
      </c>
      <c r="C68" s="3" t="n">
        <v>3984000</v>
      </c>
      <c r="D68" s="3" t="n">
        <v>2663000</v>
      </c>
      <c r="E68" s="3" t="n">
        <v>2524000</v>
      </c>
      <c r="F68" s="3" t="n"/>
    </row>
    <row r="69">
      <c r="A69" t="inlineStr">
        <is>
          <t>Inventory</t>
        </is>
      </c>
      <c r="B69" s="3" t="n">
        <v>24600000</v>
      </c>
      <c r="C69" s="3" t="n">
        <v>14535000</v>
      </c>
      <c r="D69" s="3" t="n">
        <v>15341000</v>
      </c>
      <c r="E69" s="3" t="n">
        <v>13397000</v>
      </c>
      <c r="F69" s="3" t="n"/>
    </row>
    <row r="70">
      <c r="A70" t="inlineStr">
        <is>
          <t>Finished Goods</t>
        </is>
      </c>
      <c r="B70" s="3" t="n">
        <v>0</v>
      </c>
      <c r="C70" s="3" t="n">
        <v>114000</v>
      </c>
      <c r="D70" s="3" t="n">
        <v>0</v>
      </c>
      <c r="E70" s="3" t="n"/>
      <c r="F70" s="3" t="n"/>
    </row>
    <row r="71">
      <c r="A71" t="inlineStr">
        <is>
          <t>Work In Process</t>
        </is>
      </c>
      <c r="B71" s="3" t="n">
        <v>0</v>
      </c>
      <c r="C71" s="3" t="n">
        <v>981000</v>
      </c>
      <c r="D71" s="3" t="n">
        <v>19000</v>
      </c>
      <c r="E71" s="3" t="n">
        <v>359000</v>
      </c>
      <c r="F71" s="3" t="n"/>
    </row>
    <row r="72">
      <c r="A72" t="inlineStr">
        <is>
          <t>Raw Materials</t>
        </is>
      </c>
      <c r="B72" s="3" t="n">
        <v>24600000</v>
      </c>
      <c r="C72" s="3" t="n">
        <v>13440000</v>
      </c>
      <c r="D72" s="3" t="n">
        <v>15322000</v>
      </c>
      <c r="E72" s="3" t="n">
        <v>13038000</v>
      </c>
      <c r="F72" s="3" t="n"/>
    </row>
    <row r="73">
      <c r="A73" t="inlineStr">
        <is>
          <t>Receivables</t>
        </is>
      </c>
      <c r="B73" s="3" t="n">
        <v>118103000</v>
      </c>
      <c r="C73" s="3" t="n">
        <v>74568000</v>
      </c>
      <c r="D73" s="3" t="n">
        <v>95799000</v>
      </c>
      <c r="E73" s="3" t="n">
        <v>62839000</v>
      </c>
      <c r="F73" s="3" t="n"/>
    </row>
    <row r="74">
      <c r="A74" t="inlineStr">
        <is>
          <t>Receivables Adjustments Allowances</t>
        </is>
      </c>
      <c r="B74" s="3" t="n"/>
      <c r="C74" s="3" t="n"/>
      <c r="D74" s="3" t="n"/>
      <c r="E74" s="3" t="n">
        <v>-1638000</v>
      </c>
      <c r="F74" s="3" t="n">
        <v>0</v>
      </c>
    </row>
    <row r="75">
      <c r="A75" t="inlineStr">
        <is>
          <t>Other Receivables</t>
        </is>
      </c>
      <c r="B75" s="3" t="n">
        <v>18020000</v>
      </c>
      <c r="C75" s="3" t="n">
        <v>20890000</v>
      </c>
      <c r="D75" s="3" t="n">
        <v>29666000</v>
      </c>
      <c r="E75" s="3" t="n">
        <v>34625000</v>
      </c>
      <c r="F75" s="3" t="n"/>
    </row>
    <row r="76">
      <c r="A76" t="inlineStr">
        <is>
          <t>Taxes Receivable</t>
        </is>
      </c>
      <c r="B76" s="3" t="n">
        <v>0</v>
      </c>
      <c r="C76" s="3" t="n">
        <v>1316000</v>
      </c>
      <c r="D76" s="3" t="n">
        <v>172000</v>
      </c>
      <c r="E76" s="3" t="n">
        <v>169000</v>
      </c>
      <c r="F76" s="3" t="n"/>
    </row>
    <row r="77">
      <c r="A77" t="inlineStr">
        <is>
          <t>Notes Receivable</t>
        </is>
      </c>
      <c r="B77" s="3" t="n"/>
      <c r="C77" s="3" t="n"/>
      <c r="D77" s="3" t="n"/>
      <c r="E77" s="3" t="n"/>
      <c r="F77" s="3" t="n">
        <v>0</v>
      </c>
    </row>
    <row r="78">
      <c r="A78" t="inlineStr">
        <is>
          <t>Accounts Receivable</t>
        </is>
      </c>
      <c r="B78" s="3" t="n">
        <v>100083000</v>
      </c>
      <c r="C78" s="3" t="n">
        <v>52362000</v>
      </c>
      <c r="D78" s="3" t="n">
        <v>65961000</v>
      </c>
      <c r="E78" s="3" t="n">
        <v>28045000</v>
      </c>
      <c r="F78" s="3" t="n"/>
    </row>
    <row r="79">
      <c r="A79" t="inlineStr">
        <is>
          <t>Allowance For Doubtful Accounts Receivable</t>
        </is>
      </c>
      <c r="B79" s="3" t="n">
        <v>-80000</v>
      </c>
      <c r="C79" s="3" t="n">
        <v>-398000</v>
      </c>
      <c r="D79" s="3" t="n">
        <v>-180000</v>
      </c>
      <c r="E79" s="3" t="n">
        <v>-1638000</v>
      </c>
      <c r="F79" s="3" t="n"/>
    </row>
    <row r="80">
      <c r="A80" t="inlineStr">
        <is>
          <t>Gross Accounts Receivable</t>
        </is>
      </c>
      <c r="B80" s="3" t="n">
        <v>100163000</v>
      </c>
      <c r="C80" s="3" t="n">
        <v>52760000</v>
      </c>
      <c r="D80" s="3" t="n">
        <v>66141000</v>
      </c>
      <c r="E80" s="3" t="n">
        <v>29683000</v>
      </c>
      <c r="F80" s="3" t="n"/>
    </row>
    <row r="81">
      <c r="A81" t="inlineStr">
        <is>
          <t>Cash Cash Equivalents And Short Term Investments</t>
        </is>
      </c>
      <c r="B81" s="3" t="n">
        <v>23224000</v>
      </c>
      <c r="C81" s="3" t="n">
        <v>18844000</v>
      </c>
      <c r="D81" s="3" t="n">
        <v>18382000</v>
      </c>
      <c r="E81" s="3" t="n">
        <v>30025000</v>
      </c>
      <c r="F81" s="3" t="n"/>
    </row>
    <row r="82">
      <c r="A82" t="inlineStr">
        <is>
          <t>Cash And Cash Equivalents</t>
        </is>
      </c>
      <c r="B82" s="3" t="n">
        <v>23224000</v>
      </c>
      <c r="C82" s="3" t="n">
        <v>18844000</v>
      </c>
      <c r="D82" s="3" t="n">
        <v>18382000</v>
      </c>
      <c r="E82" s="3" t="n">
        <v>30025000</v>
      </c>
      <c r="F8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49157000</v>
      </c>
      <c r="C2" s="3" t="n">
        <v>48608000</v>
      </c>
      <c r="D2" s="3" t="n">
        <v>48508000</v>
      </c>
      <c r="E2" s="3" t="n">
        <v>48176000</v>
      </c>
      <c r="F2" s="3" t="n">
        <v>48034000</v>
      </c>
      <c r="G2" s="3" t="n"/>
    </row>
    <row r="3">
      <c r="A3" t="inlineStr">
        <is>
          <t>Share Issued</t>
        </is>
      </c>
      <c r="B3" s="3" t="n">
        <v>49157000</v>
      </c>
      <c r="C3" s="3" t="n">
        <v>48608000</v>
      </c>
      <c r="D3" s="3" t="n">
        <v>48508000</v>
      </c>
      <c r="E3" s="3" t="n">
        <v>48176000</v>
      </c>
      <c r="F3" s="3" t="n">
        <v>48034000</v>
      </c>
      <c r="G3" s="3" t="n"/>
    </row>
    <row r="4">
      <c r="A4" t="inlineStr">
        <is>
          <t>Net Debt</t>
        </is>
      </c>
      <c r="B4" s="3" t="n">
        <v>187285000</v>
      </c>
      <c r="C4" s="3" t="n">
        <v>200057000</v>
      </c>
      <c r="D4" s="3" t="n">
        <v>152913000</v>
      </c>
      <c r="E4" s="3" t="n">
        <v>16309000</v>
      </c>
      <c r="F4" s="3" t="n">
        <v>8935000</v>
      </c>
      <c r="G4" s="3" t="n"/>
    </row>
    <row r="5">
      <c r="A5" t="inlineStr">
        <is>
          <t>Total Debt</t>
        </is>
      </c>
      <c r="B5" s="3" t="n">
        <v>238321000</v>
      </c>
      <c r="C5" s="3" t="n">
        <v>250343000</v>
      </c>
      <c r="D5" s="3" t="n">
        <v>211568000</v>
      </c>
      <c r="E5" s="3" t="n">
        <v>74597000</v>
      </c>
      <c r="F5" s="3" t="n">
        <v>69304000</v>
      </c>
      <c r="G5" s="3" t="n"/>
    </row>
    <row r="6">
      <c r="A6" t="inlineStr">
        <is>
          <t>Tangible Book Value</t>
        </is>
      </c>
      <c r="B6" s="3" t="n">
        <v>170216000</v>
      </c>
      <c r="C6" s="3" t="n">
        <v>178651000</v>
      </c>
      <c r="D6" s="3" t="n">
        <v>183838000</v>
      </c>
      <c r="E6" s="3" t="n">
        <v>36795000</v>
      </c>
      <c r="F6" s="3" t="n">
        <v>45621000</v>
      </c>
      <c r="G6" s="3" t="n"/>
    </row>
    <row r="7">
      <c r="A7" t="inlineStr">
        <is>
          <t>Invested Capital</t>
        </is>
      </c>
      <c r="B7" s="3" t="n">
        <v>389739000</v>
      </c>
      <c r="C7" s="3" t="n">
        <v>411100000</v>
      </c>
      <c r="D7" s="3" t="n">
        <v>376613000</v>
      </c>
      <c r="E7" s="3" t="n">
        <v>110918000</v>
      </c>
      <c r="F7" s="3" t="n">
        <v>113576000</v>
      </c>
      <c r="G7" s="3" t="n"/>
    </row>
    <row r="8">
      <c r="A8" t="inlineStr">
        <is>
          <t>Working Capital</t>
        </is>
      </c>
      <c r="B8" s="3" t="n">
        <v>-172054000</v>
      </c>
      <c r="C8" s="3" t="n">
        <v>-130824000</v>
      </c>
      <c r="D8" s="3" t="n">
        <v>-117249000</v>
      </c>
      <c r="E8" s="3" t="n">
        <v>8342000</v>
      </c>
      <c r="F8" s="3" t="n">
        <v>23027000</v>
      </c>
      <c r="G8" s="3" t="n"/>
    </row>
    <row r="9">
      <c r="A9" t="inlineStr">
        <is>
          <t>Net Tangible Assets</t>
        </is>
      </c>
      <c r="B9" s="3" t="n">
        <v>170216000</v>
      </c>
      <c r="C9" s="3" t="n">
        <v>178651000</v>
      </c>
      <c r="D9" s="3" t="n">
        <v>183838000</v>
      </c>
      <c r="E9" s="3" t="n">
        <v>36795000</v>
      </c>
      <c r="F9" s="3" t="n">
        <v>45621000</v>
      </c>
      <c r="G9" s="3" t="n"/>
    </row>
    <row r="10">
      <c r="A10" t="inlineStr">
        <is>
          <t>Capital Lease Obligations</t>
        </is>
      </c>
      <c r="B10" s="3" t="n">
        <v>28804000</v>
      </c>
      <c r="C10" s="3" t="n">
        <v>27062000</v>
      </c>
      <c r="D10" s="3" t="n">
        <v>27760000</v>
      </c>
      <c r="E10" s="3" t="n">
        <v>8915000</v>
      </c>
      <c r="F10" s="3" t="n">
        <v>9135000</v>
      </c>
      <c r="G10" s="3" t="n"/>
    </row>
    <row r="11">
      <c r="A11" t="inlineStr">
        <is>
          <t>Common Stock Equity</t>
        </is>
      </c>
      <c r="B11" s="3" t="n">
        <v>180222000</v>
      </c>
      <c r="C11" s="3" t="n">
        <v>187819000</v>
      </c>
      <c r="D11" s="3" t="n">
        <v>192805000</v>
      </c>
      <c r="E11" s="3" t="n">
        <v>45236000</v>
      </c>
      <c r="F11" s="3" t="n">
        <v>53407000</v>
      </c>
      <c r="G11" s="3" t="n"/>
    </row>
    <row r="12">
      <c r="A12" t="inlineStr">
        <is>
          <t>Total Capitalization</t>
        </is>
      </c>
      <c r="B12" s="3" t="n">
        <v>212554000</v>
      </c>
      <c r="C12" s="3" t="n">
        <v>220758000</v>
      </c>
      <c r="D12" s="3" t="n">
        <v>227067000</v>
      </c>
      <c r="E12" s="3" t="n">
        <v>80552000</v>
      </c>
      <c r="F12" s="3" t="n">
        <v>87100000</v>
      </c>
      <c r="G12" s="3" t="n"/>
    </row>
    <row r="13">
      <c r="A13" t="inlineStr">
        <is>
          <t>Total Equity Gross Minority Interest</t>
        </is>
      </c>
      <c r="B13" s="3" t="n">
        <v>187855000</v>
      </c>
      <c r="C13" s="3" t="n">
        <v>195812000</v>
      </c>
      <c r="D13" s="3" t="n">
        <v>199748000</v>
      </c>
      <c r="E13" s="3" t="n">
        <v>51966000</v>
      </c>
      <c r="F13" s="3" t="n">
        <v>59436000</v>
      </c>
      <c r="G13" s="3" t="n"/>
    </row>
    <row r="14">
      <c r="A14" t="inlineStr">
        <is>
          <t>Minority Interest</t>
        </is>
      </c>
      <c r="B14" s="3" t="n">
        <v>7633000</v>
      </c>
      <c r="C14" s="3" t="n">
        <v>7993000</v>
      </c>
      <c r="D14" s="3" t="n">
        <v>6943000</v>
      </c>
      <c r="E14" s="3" t="n">
        <v>6730000</v>
      </c>
      <c r="F14" s="3" t="n">
        <v>6029000</v>
      </c>
      <c r="G14" s="3" t="n"/>
    </row>
    <row r="15">
      <c r="A15" t="inlineStr">
        <is>
          <t>Stockholders Equity</t>
        </is>
      </c>
      <c r="B15" s="3" t="n">
        <v>180222000</v>
      </c>
      <c r="C15" s="3" t="n">
        <v>187819000</v>
      </c>
      <c r="D15" s="3" t="n">
        <v>192805000</v>
      </c>
      <c r="E15" s="3" t="n">
        <v>45236000</v>
      </c>
      <c r="F15" s="3" t="n">
        <v>53407000</v>
      </c>
      <c r="G15" s="3" t="n"/>
    </row>
    <row r="16">
      <c r="A16" t="inlineStr">
        <is>
          <t>Retained Earnings</t>
        </is>
      </c>
      <c r="B16" s="3" t="n">
        <v>-27364000</v>
      </c>
      <c r="C16" s="3" t="n">
        <v>-15056000</v>
      </c>
      <c r="D16" s="3" t="n">
        <v>-7276000</v>
      </c>
      <c r="E16" s="3" t="n">
        <v>-149319000</v>
      </c>
      <c r="F16" s="3" t="n">
        <v>-139341000</v>
      </c>
      <c r="G16" s="3" t="n"/>
    </row>
    <row r="17">
      <c r="A17" t="inlineStr">
        <is>
          <t>Additional Paid In Capital</t>
        </is>
      </c>
      <c r="B17" s="3" t="n">
        <v>207091000</v>
      </c>
      <c r="C17" s="3" t="n">
        <v>202386000</v>
      </c>
      <c r="D17" s="3" t="n">
        <v>199592000</v>
      </c>
      <c r="E17" s="3" t="n">
        <v>194070000</v>
      </c>
      <c r="F17" s="3" t="n">
        <v>192264000</v>
      </c>
      <c r="G17" s="3" t="n"/>
    </row>
    <row r="18">
      <c r="A18" t="inlineStr">
        <is>
          <t>Capital Stock</t>
        </is>
      </c>
      <c r="B18" s="3" t="n">
        <v>495000</v>
      </c>
      <c r="C18" s="3" t="n">
        <v>489000</v>
      </c>
      <c r="D18" s="3" t="n">
        <v>489000</v>
      </c>
      <c r="E18" s="3" t="n">
        <v>485000</v>
      </c>
      <c r="F18" s="3" t="n">
        <v>484000</v>
      </c>
      <c r="G18" s="3" t="n"/>
    </row>
    <row r="19">
      <c r="A19" t="inlineStr">
        <is>
          <t>Common Stock</t>
        </is>
      </c>
      <c r="B19" s="3" t="n">
        <v>495000</v>
      </c>
      <c r="C19" s="3" t="n">
        <v>489000</v>
      </c>
      <c r="D19" s="3" t="n">
        <v>489000</v>
      </c>
      <c r="E19" s="3" t="n">
        <v>485000</v>
      </c>
      <c r="F19" s="3" t="n">
        <v>484000</v>
      </c>
      <c r="G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Total Liabilities Net Minority Interest</t>
        </is>
      </c>
      <c r="B21" s="3" t="n">
        <v>545046000</v>
      </c>
      <c r="C21" s="3" t="n">
        <v>538095000</v>
      </c>
      <c r="D21" s="3" t="n">
        <v>587281000</v>
      </c>
      <c r="E21" s="3" t="n">
        <v>282727000</v>
      </c>
      <c r="F21" s="3" t="n">
        <v>267327000</v>
      </c>
      <c r="G21" s="3" t="n"/>
    </row>
    <row r="22">
      <c r="A22" t="inlineStr">
        <is>
          <t>Total Non Current Liabilities Net Minority Interest</t>
        </is>
      </c>
      <c r="B22" s="3" t="n">
        <v>190916000</v>
      </c>
      <c r="C22" s="3" t="n">
        <v>214075000</v>
      </c>
      <c r="D22" s="3" t="n">
        <v>231407000</v>
      </c>
      <c r="E22" s="3" t="n">
        <v>135131000</v>
      </c>
      <c r="F22" s="3" t="n">
        <v>140003000</v>
      </c>
      <c r="G22" s="3" t="n"/>
    </row>
    <row r="23">
      <c r="A23" t="inlineStr">
        <is>
          <t>Other Non Current Liabilities</t>
        </is>
      </c>
      <c r="B23" s="3" t="n">
        <v>219000</v>
      </c>
      <c r="C23" s="3" t="n">
        <v>369000</v>
      </c>
      <c r="D23" s="3" t="n"/>
      <c r="E23" s="3" t="n"/>
      <c r="F23" s="3" t="n"/>
      <c r="G23" s="3" t="n"/>
    </row>
    <row r="24">
      <c r="A24" t="inlineStr">
        <is>
          <t>Tradeand Other Payables Non Current</t>
        </is>
      </c>
      <c r="B24" s="3" t="n"/>
      <c r="C24" s="3" t="n"/>
      <c r="D24" s="3" t="n"/>
      <c r="E24" s="3" t="n"/>
      <c r="F24" s="3" t="n">
        <v>69000</v>
      </c>
      <c r="G24" s="3" t="n">
        <v>69000</v>
      </c>
    </row>
    <row r="25">
      <c r="A25" t="inlineStr">
        <is>
          <t>Non Current Deferred Liabilities</t>
        </is>
      </c>
      <c r="B25" s="3" t="n">
        <v>131856000</v>
      </c>
      <c r="C25" s="3" t="n">
        <v>155908000</v>
      </c>
      <c r="D25" s="3" t="n">
        <v>171466000</v>
      </c>
      <c r="E25" s="3" t="n">
        <v>91560000</v>
      </c>
      <c r="F25" s="3" t="n">
        <v>97936000</v>
      </c>
      <c r="G25" s="3" t="n"/>
    </row>
    <row r="26">
      <c r="A26" t="inlineStr">
        <is>
          <t>Non Current Deferred Revenue</t>
        </is>
      </c>
      <c r="B26" s="3" t="n">
        <v>126149000</v>
      </c>
      <c r="C26" s="3" t="n">
        <v>149470000</v>
      </c>
      <c r="D26" s="3" t="n">
        <v>163563000</v>
      </c>
      <c r="E26" s="3" t="n">
        <v>90887000</v>
      </c>
      <c r="F26" s="3" t="n">
        <v>97264000</v>
      </c>
      <c r="G26" s="3" t="n"/>
    </row>
    <row r="27">
      <c r="A27" t="inlineStr">
        <is>
          <t>Non Current Deferred Taxes Liabilities</t>
        </is>
      </c>
      <c r="B27" s="3" t="n">
        <v>5707000</v>
      </c>
      <c r="C27" s="3" t="n">
        <v>6438000</v>
      </c>
      <c r="D27" s="3" t="n">
        <v>7903000</v>
      </c>
      <c r="E27" s="3" t="n">
        <v>673000</v>
      </c>
      <c r="F27" s="3" t="n">
        <v>672000</v>
      </c>
      <c r="G27" s="3" t="n"/>
    </row>
    <row r="28">
      <c r="A28" t="inlineStr">
        <is>
          <t>Long Term Debt And Capital Lease Obligation</t>
        </is>
      </c>
      <c r="B28" s="3" t="n">
        <v>58841000</v>
      </c>
      <c r="C28" s="3" t="n">
        <v>57798000</v>
      </c>
      <c r="D28" s="3" t="n">
        <v>59941000</v>
      </c>
      <c r="E28" s="3" t="n">
        <v>43571000</v>
      </c>
      <c r="F28" s="3" t="n">
        <v>42067000</v>
      </c>
      <c r="G28" s="3" t="n"/>
    </row>
    <row r="29">
      <c r="A29" t="inlineStr">
        <is>
          <t>Long Term Capital Lease Obligation</t>
        </is>
      </c>
      <c r="B29" s="3" t="n">
        <v>26509000</v>
      </c>
      <c r="C29" s="3" t="n">
        <v>24859000</v>
      </c>
      <c r="D29" s="3" t="n">
        <v>25679000</v>
      </c>
      <c r="E29" s="3" t="n">
        <v>8255000</v>
      </c>
      <c r="F29" s="3" t="n">
        <v>8374000</v>
      </c>
      <c r="G29" s="3" t="n"/>
    </row>
    <row r="30">
      <c r="A30" t="inlineStr">
        <is>
          <t>Long Term Debt</t>
        </is>
      </c>
      <c r="B30" s="3" t="n">
        <v>32332000</v>
      </c>
      <c r="C30" s="3" t="n">
        <v>32939000</v>
      </c>
      <c r="D30" s="3" t="n">
        <v>34262000</v>
      </c>
      <c r="E30" s="3" t="n">
        <v>35316000</v>
      </c>
      <c r="F30" s="3" t="n">
        <v>33693000</v>
      </c>
      <c r="G30" s="3" t="n"/>
    </row>
    <row r="31">
      <c r="A31" t="inlineStr">
        <is>
          <t>Current Liabilities</t>
        </is>
      </c>
      <c r="B31" s="3" t="n">
        <v>354130000</v>
      </c>
      <c r="C31" s="3" t="n">
        <v>324020000</v>
      </c>
      <c r="D31" s="3" t="n">
        <v>355874000</v>
      </c>
      <c r="E31" s="3" t="n">
        <v>147596000</v>
      </c>
      <c r="F31" s="3" t="n">
        <v>127324000</v>
      </c>
      <c r="G31" s="3" t="n"/>
    </row>
    <row r="32">
      <c r="A32" t="inlineStr">
        <is>
          <t>Current Deferred Liabilities</t>
        </is>
      </c>
      <c r="B32" s="3" t="n">
        <v>52406000</v>
      </c>
      <c r="C32" s="3" t="n">
        <v>42195000</v>
      </c>
      <c r="D32" s="3" t="n">
        <v>92278000</v>
      </c>
      <c r="E32" s="3" t="n">
        <v>61250000</v>
      </c>
      <c r="F32" s="3" t="n">
        <v>61215000</v>
      </c>
      <c r="G32" s="3" t="n"/>
    </row>
    <row r="33">
      <c r="A33" t="inlineStr">
        <is>
          <t>Current Deferred Revenue</t>
        </is>
      </c>
      <c r="B33" s="3" t="n">
        <v>52406000</v>
      </c>
      <c r="C33" s="3" t="n">
        <v>42195000</v>
      </c>
      <c r="D33" s="3" t="n">
        <v>92278000</v>
      </c>
      <c r="E33" s="3" t="n">
        <v>61250000</v>
      </c>
      <c r="F33" s="3" t="n">
        <v>61215000</v>
      </c>
      <c r="G33" s="3" t="n"/>
    </row>
    <row r="34">
      <c r="A34" t="inlineStr">
        <is>
          <t>Current Debt And Capital Lease Obligation</t>
        </is>
      </c>
      <c r="B34" s="3" t="n">
        <v>179480000</v>
      </c>
      <c r="C34" s="3" t="n">
        <v>192545000</v>
      </c>
      <c r="D34" s="3" t="n">
        <v>151627000</v>
      </c>
      <c r="E34" s="3" t="n">
        <v>31026000</v>
      </c>
      <c r="F34" s="3" t="n">
        <v>27237000</v>
      </c>
      <c r="G34" s="3" t="n"/>
    </row>
    <row r="35">
      <c r="A35" t="inlineStr">
        <is>
          <t>Current Capital Lease Obligation</t>
        </is>
      </c>
      <c r="B35" s="3" t="n">
        <v>2295000</v>
      </c>
      <c r="C35" s="3" t="n">
        <v>2203000</v>
      </c>
      <c r="D35" s="3" t="n">
        <v>2081000</v>
      </c>
      <c r="E35" s="3" t="n">
        <v>660000</v>
      </c>
      <c r="F35" s="3" t="n">
        <v>761000</v>
      </c>
      <c r="G35" s="3" t="n"/>
    </row>
    <row r="36">
      <c r="A36" t="inlineStr">
        <is>
          <t>Current Debt</t>
        </is>
      </c>
      <c r="B36" s="3" t="n">
        <v>177185000</v>
      </c>
      <c r="C36" s="3" t="n">
        <v>190342000</v>
      </c>
      <c r="D36" s="3" t="n">
        <v>149546000</v>
      </c>
      <c r="E36" s="3" t="n">
        <v>30366000</v>
      </c>
      <c r="F36" s="3" t="n">
        <v>26476000</v>
      </c>
      <c r="G36" s="3" t="n"/>
    </row>
    <row r="37">
      <c r="A37" t="inlineStr">
        <is>
          <t>Other Current Borrowings</t>
        </is>
      </c>
      <c r="B37" s="3" t="n">
        <v>5190000</v>
      </c>
      <c r="C37" s="3" t="n">
        <v>-5118000</v>
      </c>
      <c r="D37" s="3" t="n">
        <v>6179000</v>
      </c>
      <c r="E37" s="3" t="n">
        <v>6752000</v>
      </c>
      <c r="F37" s="3" t="n">
        <v>4941000</v>
      </c>
      <c r="G37" s="3" t="n"/>
    </row>
    <row r="38">
      <c r="A38" t="inlineStr">
        <is>
          <t>Line Of Credit</t>
        </is>
      </c>
      <c r="B38" s="3" t="n">
        <v>171995000</v>
      </c>
      <c r="C38" s="3" t="n">
        <v>195460000</v>
      </c>
      <c r="D38" s="3" t="n">
        <v>143367000</v>
      </c>
      <c r="E38" s="3" t="n">
        <v>23614000</v>
      </c>
      <c r="F38" s="3" t="n">
        <v>21535000</v>
      </c>
      <c r="G38" s="3" t="n"/>
    </row>
    <row r="39">
      <c r="A39" t="inlineStr">
        <is>
          <t>Pensionand Other Post Retirement Benefit Plans Current</t>
        </is>
      </c>
      <c r="B39" s="3" t="n">
        <v>19344000</v>
      </c>
      <c r="C39" s="3" t="n">
        <v>11248000</v>
      </c>
      <c r="D39" s="3" t="n">
        <v>18137000</v>
      </c>
      <c r="E39" s="3" t="n">
        <v>7936000</v>
      </c>
      <c r="F39" s="3" t="n">
        <v>7941000</v>
      </c>
      <c r="G39" s="3" t="n"/>
    </row>
    <row r="40">
      <c r="A40" t="inlineStr">
        <is>
          <t>Payables And Accrued Expenses</t>
        </is>
      </c>
      <c r="B40" s="3" t="n">
        <v>102900000</v>
      </c>
      <c r="C40" s="3" t="n">
        <v>78032000</v>
      </c>
      <c r="D40" s="3" t="n">
        <v>93832000</v>
      </c>
      <c r="E40" s="3" t="n">
        <v>47384000</v>
      </c>
      <c r="F40" s="3" t="n">
        <v>30931000</v>
      </c>
      <c r="G40" s="3" t="n"/>
    </row>
    <row r="41">
      <c r="A41" t="inlineStr">
        <is>
          <t>Current Accrued Expenses</t>
        </is>
      </c>
      <c r="B41" s="3" t="n">
        <v>24555000</v>
      </c>
      <c r="C41" s="3" t="n">
        <v>28120000</v>
      </c>
      <c r="D41" s="3" t="n">
        <v>25859000</v>
      </c>
      <c r="E41" s="3" t="n">
        <v>23784000</v>
      </c>
      <c r="F41" s="3" t="n">
        <v>16549000</v>
      </c>
      <c r="G41" s="3" t="n"/>
    </row>
    <row r="42">
      <c r="A42" t="inlineStr">
        <is>
          <t>Payables</t>
        </is>
      </c>
      <c r="B42" s="3" t="n">
        <v>78345000</v>
      </c>
      <c r="C42" s="3" t="n">
        <v>49912000</v>
      </c>
      <c r="D42" s="3" t="n">
        <v>67973000</v>
      </c>
      <c r="E42" s="3" t="n">
        <v>23600000</v>
      </c>
      <c r="F42" s="3" t="n">
        <v>14382000</v>
      </c>
      <c r="G42" s="3" t="n"/>
    </row>
    <row r="43">
      <c r="A43" t="inlineStr">
        <is>
          <t>Other Payable</t>
        </is>
      </c>
      <c r="B43" s="3" t="n">
        <v>18189000</v>
      </c>
      <c r="C43" s="3" t="n">
        <v>15041000</v>
      </c>
      <c r="D43" s="3" t="n">
        <v>16638000</v>
      </c>
      <c r="E43" s="3" t="n">
        <v>8247000</v>
      </c>
      <c r="F43" s="3" t="n">
        <v>2691000</v>
      </c>
      <c r="G43" s="3" t="n"/>
    </row>
    <row r="44">
      <c r="A44" t="inlineStr">
        <is>
          <t>Total Tax Payable</t>
        </is>
      </c>
      <c r="B44" s="3" t="n">
        <v>448000</v>
      </c>
      <c r="C44" s="3" t="n"/>
      <c r="D44" s="3" t="n"/>
      <c r="E44" s="3" t="n"/>
      <c r="F44" s="3" t="n"/>
      <c r="G44" s="3" t="n"/>
    </row>
    <row r="45">
      <c r="A45" t="inlineStr">
        <is>
          <t>Income Tax Payable</t>
        </is>
      </c>
      <c r="B45" s="3" t="n">
        <v>448000</v>
      </c>
      <c r="C45" s="3" t="n"/>
      <c r="D45" s="3" t="n"/>
      <c r="E45" s="3" t="n"/>
      <c r="F45" s="3" t="n"/>
      <c r="G45" s="3" t="n"/>
    </row>
    <row r="46">
      <c r="A46" t="inlineStr">
        <is>
          <t>Accounts Payable</t>
        </is>
      </c>
      <c r="B46" s="3" t="n">
        <v>59708000</v>
      </c>
      <c r="C46" s="3" t="n">
        <v>34871000</v>
      </c>
      <c r="D46" s="3" t="n">
        <v>51335000</v>
      </c>
      <c r="E46" s="3" t="n">
        <v>15353000</v>
      </c>
      <c r="F46" s="3" t="n">
        <v>11691000</v>
      </c>
      <c r="G46" s="3" t="n"/>
    </row>
    <row r="47">
      <c r="A47" t="inlineStr">
        <is>
          <t>Total Assets</t>
        </is>
      </c>
      <c r="B47" s="3" t="n">
        <v>732901000</v>
      </c>
      <c r="C47" s="3" t="n">
        <v>733907000</v>
      </c>
      <c r="D47" s="3" t="n">
        <v>787029000</v>
      </c>
      <c r="E47" s="3" t="n">
        <v>334693000</v>
      </c>
      <c r="F47" s="3" t="n">
        <v>326763000</v>
      </c>
      <c r="G47" s="3" t="n"/>
    </row>
    <row r="48">
      <c r="A48" t="inlineStr">
        <is>
          <t>Total Non Current Assets</t>
        </is>
      </c>
      <c r="B48" s="3" t="n">
        <v>550825000</v>
      </c>
      <c r="C48" s="3" t="n">
        <v>540711000</v>
      </c>
      <c r="D48" s="3" t="n">
        <v>548404000</v>
      </c>
      <c r="E48" s="3" t="n">
        <v>178755000</v>
      </c>
      <c r="F48" s="3" t="n">
        <v>176412000</v>
      </c>
      <c r="G48" s="3" t="n"/>
    </row>
    <row r="49">
      <c r="A49" t="inlineStr">
        <is>
          <t>Other Non Current Assets</t>
        </is>
      </c>
      <c r="B49" s="3" t="n">
        <v>11076000</v>
      </c>
      <c r="C49" s="3" t="n">
        <v>9593000</v>
      </c>
      <c r="D49" s="3" t="n">
        <v>16033000</v>
      </c>
      <c r="E49" s="3" t="n">
        <v>5496000</v>
      </c>
      <c r="F49" s="3" t="n">
        <v>5410000</v>
      </c>
      <c r="G49" s="3" t="n"/>
    </row>
    <row r="50">
      <c r="A50" t="inlineStr">
        <is>
          <t>Non Current Accounts Receivable</t>
        </is>
      </c>
      <c r="B50" s="3" t="n">
        <v>19347000</v>
      </c>
      <c r="C50" s="3" t="n">
        <v>10230000</v>
      </c>
      <c r="D50" s="3" t="n">
        <v>5907000</v>
      </c>
      <c r="E50" s="3" t="n">
        <v>3211000</v>
      </c>
      <c r="F50" s="3" t="n">
        <v>337000</v>
      </c>
      <c r="G50" s="3" t="n"/>
    </row>
    <row r="51">
      <c r="A51" t="inlineStr">
        <is>
          <t>Goodwill And Other Intangible Assets</t>
        </is>
      </c>
      <c r="B51" s="3" t="n">
        <v>10006000</v>
      </c>
      <c r="C51" s="3" t="n">
        <v>9168000</v>
      </c>
      <c r="D51" s="3" t="n">
        <v>8967000</v>
      </c>
      <c r="E51" s="3" t="n">
        <v>8441000</v>
      </c>
      <c r="F51" s="3" t="n">
        <v>7786000</v>
      </c>
      <c r="G51" s="3" t="n"/>
    </row>
    <row r="52">
      <c r="A52" t="inlineStr">
        <is>
          <t>Other Intangible Assets</t>
        </is>
      </c>
      <c r="B52" s="3" t="n">
        <v>10006000</v>
      </c>
      <c r="C52" s="3" t="n">
        <v>9168000</v>
      </c>
      <c r="D52" s="3" t="n">
        <v>8967000</v>
      </c>
      <c r="E52" s="3" t="n">
        <v>8441000</v>
      </c>
      <c r="F52" s="3" t="n">
        <v>7786000</v>
      </c>
      <c r="G52" s="3" t="n"/>
    </row>
    <row r="53">
      <c r="A53" t="inlineStr">
        <is>
          <t>Net PPE</t>
        </is>
      </c>
      <c r="B53" s="3" t="n">
        <v>510396000</v>
      </c>
      <c r="C53" s="3" t="n">
        <v>511720000</v>
      </c>
      <c r="D53" s="3" t="n">
        <v>517497000</v>
      </c>
      <c r="E53" s="3" t="n">
        <v>161607000</v>
      </c>
      <c r="F53" s="3" t="n">
        <v>162879000</v>
      </c>
      <c r="G53" s="3" t="n"/>
    </row>
    <row r="54">
      <c r="A54" t="inlineStr">
        <is>
          <t>Accumulated Depreciation</t>
        </is>
      </c>
      <c r="B54" s="3" t="n">
        <v>-190693000</v>
      </c>
      <c r="C54" s="3" t="n">
        <v>-181737000</v>
      </c>
      <c r="D54" s="3" t="n">
        <v>-169170000</v>
      </c>
      <c r="E54" s="3" t="n">
        <v>-158671000</v>
      </c>
      <c r="F54" s="3" t="n">
        <v>-154498000</v>
      </c>
      <c r="G54" s="3" t="n"/>
    </row>
    <row r="55">
      <c r="A55" t="inlineStr">
        <is>
          <t>Gross PPE</t>
        </is>
      </c>
      <c r="B55" s="3" t="n">
        <v>701089000</v>
      </c>
      <c r="C55" s="3" t="n">
        <v>693457000</v>
      </c>
      <c r="D55" s="3" t="n">
        <v>686667000</v>
      </c>
      <c r="E55" s="3" t="n">
        <v>320278000</v>
      </c>
      <c r="F55" s="3" t="n">
        <v>317377000</v>
      </c>
      <c r="G55" s="3" t="n"/>
    </row>
    <row r="56">
      <c r="A56" t="inlineStr">
        <is>
          <t>Other Properties</t>
        </is>
      </c>
      <c r="B56" s="3" t="n">
        <v>21286000</v>
      </c>
      <c r="C56" s="3" t="n">
        <v>36019000</v>
      </c>
      <c r="D56" s="3" t="n">
        <v>39473000</v>
      </c>
      <c r="E56" s="3" t="n">
        <v>21569000</v>
      </c>
      <c r="F56" s="3" t="n">
        <v>18239000</v>
      </c>
      <c r="G56" s="3" t="n"/>
    </row>
    <row r="57">
      <c r="A57" t="inlineStr">
        <is>
          <t>Machinery Furniture Equipment</t>
        </is>
      </c>
      <c r="B57" s="3" t="n">
        <v>479418000</v>
      </c>
      <c r="C57" s="3" t="n">
        <v>456090000</v>
      </c>
      <c r="D57" s="3" t="n">
        <v>453718000</v>
      </c>
      <c r="E57" s="3" t="n">
        <v>203870000</v>
      </c>
      <c r="F57" s="3" t="n">
        <v>204299000</v>
      </c>
      <c r="G57" s="3" t="n"/>
    </row>
    <row r="58">
      <c r="A58" t="inlineStr">
        <is>
          <t>Buildings And Improvements</t>
        </is>
      </c>
      <c r="B58" s="3" t="n">
        <v>163789000</v>
      </c>
      <c r="C58" s="3" t="n">
        <v>164752000</v>
      </c>
      <c r="D58" s="3" t="n">
        <v>146855000</v>
      </c>
      <c r="E58" s="3" t="n">
        <v>89443000</v>
      </c>
      <c r="F58" s="3" t="n">
        <v>89443000</v>
      </c>
      <c r="G58" s="3" t="n"/>
    </row>
    <row r="59">
      <c r="A59" t="inlineStr">
        <is>
          <t>Land And Improvements</t>
        </is>
      </c>
      <c r="B59" s="3" t="n">
        <v>36596000</v>
      </c>
      <c r="C59" s="3" t="n">
        <v>36596000</v>
      </c>
      <c r="D59" s="3" t="n">
        <v>46621000</v>
      </c>
      <c r="E59" s="3" t="n">
        <v>5396000</v>
      </c>
      <c r="F59" s="3" t="n">
        <v>5396000</v>
      </c>
      <c r="G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/>
    </row>
    <row r="61">
      <c r="A61" t="inlineStr">
        <is>
          <t>Current Assets</t>
        </is>
      </c>
      <c r="B61" s="3" t="n">
        <v>182076000</v>
      </c>
      <c r="C61" s="3" t="n">
        <v>193196000</v>
      </c>
      <c r="D61" s="3" t="n">
        <v>238625000</v>
      </c>
      <c r="E61" s="3" t="n">
        <v>155938000</v>
      </c>
      <c r="F61" s="3" t="n">
        <v>150351000</v>
      </c>
      <c r="G61" s="3" t="n"/>
    </row>
    <row r="62">
      <c r="A62" t="inlineStr">
        <is>
          <t>Other Current Assets</t>
        </is>
      </c>
      <c r="B62" s="3" t="n">
        <v>10394000</v>
      </c>
      <c r="C62" s="3" t="n">
        <v>20503000</v>
      </c>
      <c r="D62" s="3" t="n">
        <v>43270000</v>
      </c>
      <c r="E62" s="3" t="n">
        <v>34423000</v>
      </c>
      <c r="F62" s="3" t="n">
        <v>15608000</v>
      </c>
      <c r="G62" s="3" t="n"/>
    </row>
    <row r="63">
      <c r="A63" t="inlineStr">
        <is>
          <t>Current Deferred Assets</t>
        </is>
      </c>
      <c r="B63" s="3" t="n"/>
      <c r="C63" s="3" t="n">
        <v>1459000</v>
      </c>
      <c r="D63" s="3" t="n">
        <v>1735000</v>
      </c>
      <c r="E63" s="3" t="n">
        <v>2060000</v>
      </c>
      <c r="F63" s="3" t="n">
        <v>1134000</v>
      </c>
      <c r="G63" s="3" t="n">
        <v>1253000</v>
      </c>
    </row>
    <row r="64">
      <c r="A64" t="inlineStr">
        <is>
          <t>Prepaid Assets</t>
        </is>
      </c>
      <c r="B64" s="3" t="n">
        <v>8329000</v>
      </c>
      <c r="C64" s="3" t="n">
        <v>5307000</v>
      </c>
      <c r="D64" s="3" t="n">
        <v>4370000</v>
      </c>
      <c r="E64" s="3" t="n">
        <v>3803000</v>
      </c>
      <c r="F64" s="3" t="n">
        <v>4477000</v>
      </c>
      <c r="G64" s="3" t="n"/>
    </row>
    <row r="65">
      <c r="A65" t="inlineStr">
        <is>
          <t>Inventory</t>
        </is>
      </c>
      <c r="B65" s="3" t="n">
        <v>25576000</v>
      </c>
      <c r="C65" s="3" t="n">
        <v>24600000</v>
      </c>
      <c r="D65" s="3" t="n">
        <v>20304000</v>
      </c>
      <c r="E65" s="3" t="n">
        <v>13385000</v>
      </c>
      <c r="F65" s="3" t="n">
        <v>14221000</v>
      </c>
      <c r="G65" s="3" t="n"/>
    </row>
    <row r="66">
      <c r="A66" t="inlineStr">
        <is>
          <t>Finished Goods</t>
        </is>
      </c>
      <c r="B66" s="3" t="n"/>
      <c r="C66" s="3" t="n">
        <v>0</v>
      </c>
      <c r="D66" s="3" t="n">
        <v>0</v>
      </c>
      <c r="E66" s="3" t="n">
        <v>0</v>
      </c>
      <c r="F66" s="3" t="n">
        <v>0</v>
      </c>
      <c r="G66" s="3" t="n">
        <v>114000</v>
      </c>
    </row>
    <row r="67">
      <c r="A67" t="inlineStr">
        <is>
          <t>Work In Process</t>
        </is>
      </c>
      <c r="B67" s="3" t="n"/>
      <c r="C67" s="3" t="n">
        <v>0</v>
      </c>
      <c r="D67" s="3" t="n">
        <v>512000</v>
      </c>
      <c r="E67" s="3" t="n">
        <v>1244000</v>
      </c>
      <c r="F67" s="3" t="n">
        <v>2230000</v>
      </c>
      <c r="G67" s="3" t="n">
        <v>981000</v>
      </c>
    </row>
    <row r="68">
      <c r="A68" t="inlineStr">
        <is>
          <t>Raw Materials</t>
        </is>
      </c>
      <c r="B68" s="3" t="n">
        <v>25576000</v>
      </c>
      <c r="C68" s="3" t="n">
        <v>24600000</v>
      </c>
      <c r="D68" s="3" t="n">
        <v>19792000</v>
      </c>
      <c r="E68" s="3" t="n">
        <v>12141000</v>
      </c>
      <c r="F68" s="3" t="n">
        <v>11991000</v>
      </c>
      <c r="G68" s="3" t="n"/>
    </row>
    <row r="69">
      <c r="A69" t="inlineStr">
        <is>
          <t>Receivables</t>
        </is>
      </c>
      <c r="B69" s="3" t="n">
        <v>115545000</v>
      </c>
      <c r="C69" s="3" t="n">
        <v>118103000</v>
      </c>
      <c r="D69" s="3" t="n">
        <v>138051000</v>
      </c>
      <c r="E69" s="3" t="n">
        <v>52894000</v>
      </c>
      <c r="F69" s="3" t="n">
        <v>63677000</v>
      </c>
      <c r="G69" s="3" t="n"/>
    </row>
    <row r="70">
      <c r="A70" t="inlineStr">
        <is>
          <t>Other Receivables</t>
        </is>
      </c>
      <c r="B70" s="3" t="n">
        <v>24727000</v>
      </c>
      <c r="C70" s="3" t="n">
        <v>18020000</v>
      </c>
      <c r="D70" s="3" t="n">
        <v>51326000</v>
      </c>
      <c r="E70" s="3" t="n">
        <v>19250000</v>
      </c>
      <c r="F70" s="3" t="n">
        <v>20466000</v>
      </c>
      <c r="G70" s="3" t="n"/>
    </row>
    <row r="71">
      <c r="A71" t="inlineStr">
        <is>
          <t>Taxes Receivable</t>
        </is>
      </c>
      <c r="B71" s="3" t="n">
        <v>1624000</v>
      </c>
      <c r="C71" s="3" t="n">
        <v>0</v>
      </c>
      <c r="D71" s="3" t="n">
        <v>1669000</v>
      </c>
      <c r="E71" s="3" t="n">
        <v>1628000</v>
      </c>
      <c r="F71" s="3" t="n">
        <v>4103000</v>
      </c>
      <c r="G71" s="3" t="n"/>
    </row>
    <row r="72">
      <c r="A72" t="inlineStr">
        <is>
          <t>Accounts Receivable</t>
        </is>
      </c>
      <c r="B72" s="3" t="n">
        <v>89194000</v>
      </c>
      <c r="C72" s="3" t="n">
        <v>100083000</v>
      </c>
      <c r="D72" s="3" t="n">
        <v>85056000</v>
      </c>
      <c r="E72" s="3" t="n">
        <v>32016000</v>
      </c>
      <c r="F72" s="3" t="n">
        <v>39108000</v>
      </c>
      <c r="G72" s="3" t="n"/>
    </row>
    <row r="73">
      <c r="A73" t="inlineStr">
        <is>
          <t>Allowance For Doubtful Accounts Receivable</t>
        </is>
      </c>
      <c r="B73" s="3" t="n">
        <v>-80000</v>
      </c>
      <c r="C73" s="3" t="n">
        <v>-80000</v>
      </c>
      <c r="D73" s="3" t="n">
        <v>-68000</v>
      </c>
      <c r="E73" s="3" t="n">
        <v>-125000</v>
      </c>
      <c r="F73" s="3" t="n">
        <v>-597000</v>
      </c>
      <c r="G73" s="3" t="n"/>
    </row>
    <row r="74">
      <c r="A74" t="inlineStr">
        <is>
          <t>Gross Accounts Receivable</t>
        </is>
      </c>
      <c r="B74" s="3" t="n">
        <v>89274000</v>
      </c>
      <c r="C74" s="3" t="n">
        <v>100163000</v>
      </c>
      <c r="D74" s="3" t="n">
        <v>85124000</v>
      </c>
      <c r="E74" s="3" t="n">
        <v>32141000</v>
      </c>
      <c r="F74" s="3" t="n">
        <v>39705000</v>
      </c>
      <c r="G74" s="3" t="n"/>
    </row>
    <row r="75">
      <c r="A75" t="inlineStr">
        <is>
          <t>Cash Cash Equivalents And Short Term Investments</t>
        </is>
      </c>
      <c r="B75" s="3" t="n">
        <v>22232000</v>
      </c>
      <c r="C75" s="3" t="n">
        <v>23224000</v>
      </c>
      <c r="D75" s="3" t="n">
        <v>30895000</v>
      </c>
      <c r="E75" s="3" t="n">
        <v>49373000</v>
      </c>
      <c r="F75" s="3" t="n">
        <v>51234000</v>
      </c>
      <c r="G75" s="3" t="n"/>
    </row>
    <row r="76">
      <c r="A76" t="inlineStr">
        <is>
          <t>Cash And Cash Equivalents</t>
        </is>
      </c>
      <c r="B76" s="3" t="n">
        <v>22232000</v>
      </c>
      <c r="C76" s="3" t="n">
        <v>23224000</v>
      </c>
      <c r="D76" s="3" t="n">
        <v>30895000</v>
      </c>
      <c r="E76" s="3" t="n">
        <v>49373000</v>
      </c>
      <c r="F76" s="3" t="n">
        <v>51234000</v>
      </c>
      <c r="G7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-56172000</v>
      </c>
      <c r="C2" s="3" t="n">
        <v>7200000</v>
      </c>
      <c r="D2" s="3" t="n">
        <v>-408000</v>
      </c>
      <c r="E2" s="3" t="n">
        <v>-31750000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>
        <v>0</v>
      </c>
      <c r="F3" s="3" t="n">
        <v>0</v>
      </c>
    </row>
    <row r="4">
      <c r="A4" t="inlineStr">
        <is>
          <t>Repayment Of Debt</t>
        </is>
      </c>
      <c r="B4" s="3" t="n">
        <v>-438185000</v>
      </c>
      <c r="C4" s="3" t="n">
        <v>-348729000</v>
      </c>
      <c r="D4" s="3" t="n">
        <v>-300940000</v>
      </c>
      <c r="E4" s="3" t="n">
        <v>-29047000</v>
      </c>
      <c r="F4" s="3" t="n"/>
    </row>
    <row r="5">
      <c r="A5" t="inlineStr">
        <is>
          <t>Issuance Of Debt</t>
        </is>
      </c>
      <c r="B5" s="3" t="n">
        <v>588650000</v>
      </c>
      <c r="C5" s="3" t="n">
        <v>347798000</v>
      </c>
      <c r="D5" s="3" t="n">
        <v>268362000</v>
      </c>
      <c r="E5" s="3" t="n">
        <v>63006000</v>
      </c>
      <c r="F5" s="3" t="n"/>
    </row>
    <row r="6">
      <c r="A6" t="inlineStr">
        <is>
          <t>Issuance Of Capital Stock</t>
        </is>
      </c>
      <c r="B6" s="3" t="n"/>
      <c r="C6" s="3" t="n">
        <v>0</v>
      </c>
      <c r="D6" s="3" t="n">
        <v>20398000</v>
      </c>
      <c r="E6" s="3" t="n">
        <v>20087000</v>
      </c>
      <c r="F6" s="3" t="n">
        <v>104212000</v>
      </c>
    </row>
    <row r="7">
      <c r="A7" t="inlineStr">
        <is>
          <t>Capital Expenditure</t>
        </is>
      </c>
      <c r="B7" s="3" t="n">
        <v>-27206000</v>
      </c>
      <c r="C7" s="3" t="n">
        <v>-11260000</v>
      </c>
      <c r="D7" s="3" t="n">
        <v>-10489000</v>
      </c>
      <c r="E7" s="3" t="n">
        <v>-17453000</v>
      </c>
      <c r="F7" s="3" t="n"/>
    </row>
    <row r="8">
      <c r="A8" t="inlineStr">
        <is>
          <t>Interest Paid Supplemental Data</t>
        </is>
      </c>
      <c r="B8" s="3" t="n">
        <v>10187000</v>
      </c>
      <c r="C8" s="3" t="n">
        <v>6548000</v>
      </c>
      <c r="D8" s="3" t="n">
        <v>8762000</v>
      </c>
      <c r="E8" s="3" t="n">
        <v>4437000</v>
      </c>
      <c r="F8" s="3" t="n"/>
    </row>
    <row r="9">
      <c r="A9" t="inlineStr">
        <is>
          <t>Income Tax Paid Supplemental Data</t>
        </is>
      </c>
      <c r="B9" s="3" t="n">
        <v>27000</v>
      </c>
      <c r="C9" s="3" t="n">
        <v>112000</v>
      </c>
      <c r="D9" s="3" t="n">
        <v>6000</v>
      </c>
      <c r="E9" s="3" t="n">
        <v>3000</v>
      </c>
      <c r="F9" s="3" t="n"/>
    </row>
    <row r="10">
      <c r="A10" t="inlineStr">
        <is>
          <t>End Cash Position</t>
        </is>
      </c>
      <c r="B10" s="3" t="n">
        <v>23224000</v>
      </c>
      <c r="C10" s="3" t="n">
        <v>18844000</v>
      </c>
      <c r="D10" s="3" t="n">
        <v>18382000</v>
      </c>
      <c r="E10" s="3" t="n">
        <v>30025000</v>
      </c>
      <c r="F10" s="3" t="n"/>
    </row>
    <row r="11">
      <c r="A11" t="inlineStr">
        <is>
          <t>Beginning Cash Position</t>
        </is>
      </c>
      <c r="B11" s="3" t="n">
        <v>18844000</v>
      </c>
      <c r="C11" s="3" t="n">
        <v>18382000</v>
      </c>
      <c r="D11" s="3" t="n">
        <v>30025000</v>
      </c>
      <c r="E11" s="3" t="n">
        <v>12917000</v>
      </c>
      <c r="F11" s="3" t="n"/>
    </row>
    <row r="12">
      <c r="A12" t="inlineStr">
        <is>
          <t>Changes In Cash</t>
        </is>
      </c>
      <c r="B12" s="3" t="n">
        <v>4380000</v>
      </c>
      <c r="C12" s="3" t="n">
        <v>462000</v>
      </c>
      <c r="D12" s="3" t="n">
        <v>-11643000</v>
      </c>
      <c r="E12" s="3" t="n">
        <v>17108000</v>
      </c>
      <c r="F12" s="3" t="n"/>
    </row>
    <row r="13">
      <c r="A13" t="inlineStr">
        <is>
          <t>Financing Cash Flow</t>
        </is>
      </c>
      <c r="B13" s="3" t="n">
        <v>146390000</v>
      </c>
      <c r="C13" s="3" t="n">
        <v>-6794000</v>
      </c>
      <c r="D13" s="3" t="n">
        <v>-11235000</v>
      </c>
      <c r="E13" s="3" t="n">
        <v>48858000</v>
      </c>
      <c r="F13" s="3" t="n"/>
    </row>
    <row r="14">
      <c r="A14" t="inlineStr">
        <is>
          <t>Cash Flow From Continuing Financing Activities</t>
        </is>
      </c>
      <c r="B14" s="3" t="n">
        <v>146390000</v>
      </c>
      <c r="C14" s="3" t="n">
        <v>-6794000</v>
      </c>
      <c r="D14" s="3" t="n">
        <v>-11235000</v>
      </c>
      <c r="E14" s="3" t="n">
        <v>48858000</v>
      </c>
      <c r="F14" s="3" t="n"/>
    </row>
    <row r="15">
      <c r="A15" t="inlineStr">
        <is>
          <t>Net Other Financing Charges</t>
        </is>
      </c>
      <c r="B15" s="3" t="n">
        <v>-7918000</v>
      </c>
      <c r="C15" s="3" t="n">
        <v>-8362000</v>
      </c>
      <c r="D15" s="3" t="n">
        <v>-1360000</v>
      </c>
      <c r="E15" s="3" t="n">
        <v>-6988000</v>
      </c>
      <c r="F15" s="3" t="n"/>
    </row>
    <row r="16">
      <c r="A16" t="inlineStr">
        <is>
          <t>Proceeds From Stock Option Exercised</t>
        </is>
      </c>
      <c r="B16" s="3" t="n">
        <v>3843000</v>
      </c>
      <c r="C16" s="3" t="n">
        <v>2499000</v>
      </c>
      <c r="D16" s="3" t="n">
        <v>2305000</v>
      </c>
      <c r="E16" s="3" t="n">
        <v>1800000</v>
      </c>
      <c r="F16" s="3" t="n"/>
    </row>
    <row r="17">
      <c r="A17" t="inlineStr">
        <is>
          <t>Cash Dividends Paid</t>
        </is>
      </c>
      <c r="B17" s="3" t="n"/>
      <c r="C17" s="3" t="n"/>
      <c r="D17" s="3" t="n"/>
      <c r="E17" s="3" t="n"/>
      <c r="F17" s="3" t="n">
        <v>-2925000</v>
      </c>
    </row>
    <row r="18">
      <c r="A18" t="inlineStr">
        <is>
          <t>Common Stock Dividend Paid</t>
        </is>
      </c>
      <c r="B18" s="3" t="n"/>
      <c r="C18" s="3" t="n"/>
      <c r="D18" s="3" t="n"/>
      <c r="E18" s="3" t="n"/>
      <c r="F18" s="3" t="n">
        <v>-2925000</v>
      </c>
    </row>
    <row r="19">
      <c r="A19" t="inlineStr">
        <is>
          <t>Net Common Stock Issuance</t>
        </is>
      </c>
      <c r="B19" s="3" t="n"/>
      <c r="C19" s="3" t="n">
        <v>0</v>
      </c>
      <c r="D19" s="3" t="n">
        <v>20398000</v>
      </c>
      <c r="E19" s="3" t="n">
        <v>20087000</v>
      </c>
      <c r="F19" s="3" t="n">
        <v>104212000</v>
      </c>
    </row>
    <row r="20">
      <c r="A20" t="inlineStr">
        <is>
          <t>Common Stock Payments</t>
        </is>
      </c>
      <c r="B20" s="3" t="n"/>
      <c r="C20" s="3" t="n"/>
      <c r="D20" s="3" t="n"/>
      <c r="E20" s="3" t="n">
        <v>0</v>
      </c>
      <c r="F20" s="3" t="n">
        <v>0</v>
      </c>
    </row>
    <row r="21">
      <c r="A21" t="inlineStr">
        <is>
          <t>Common Stock Issuance</t>
        </is>
      </c>
      <c r="B21" s="3" t="n"/>
      <c r="C21" s="3" t="n">
        <v>0</v>
      </c>
      <c r="D21" s="3" t="n">
        <v>20398000</v>
      </c>
      <c r="E21" s="3" t="n">
        <v>20087000</v>
      </c>
      <c r="F21" s="3" t="n">
        <v>104212000</v>
      </c>
    </row>
    <row r="22">
      <c r="A22" t="inlineStr">
        <is>
          <t>Net Issuance Payments Of Debt</t>
        </is>
      </c>
      <c r="B22" s="3" t="n">
        <v>150465000</v>
      </c>
      <c r="C22" s="3" t="n">
        <v>-931000</v>
      </c>
      <c r="D22" s="3" t="n">
        <v>-32578000</v>
      </c>
      <c r="E22" s="3" t="n">
        <v>33959000</v>
      </c>
      <c r="F22" s="3" t="n"/>
    </row>
    <row r="23">
      <c r="A23" t="inlineStr">
        <is>
          <t>Net Short Term Debt Issuance</t>
        </is>
      </c>
      <c r="B23" s="3" t="n"/>
      <c r="C23" s="3" t="n"/>
      <c r="D23" s="3" t="n"/>
      <c r="E23" s="3" t="n">
        <v>0</v>
      </c>
      <c r="F23" s="3" t="n">
        <v>0</v>
      </c>
    </row>
    <row r="24">
      <c r="A24" t="inlineStr">
        <is>
          <t>Short Term Debt Payments</t>
        </is>
      </c>
      <c r="B24" s="3" t="n"/>
      <c r="C24" s="3" t="n"/>
      <c r="D24" s="3" t="n"/>
      <c r="E24" s="3" t="n">
        <v>0</v>
      </c>
      <c r="F24" s="3" t="n">
        <v>0</v>
      </c>
    </row>
    <row r="25">
      <c r="A25" t="inlineStr">
        <is>
          <t>Net Long Term Debt Issuance</t>
        </is>
      </c>
      <c r="B25" s="3" t="n">
        <v>150465000</v>
      </c>
      <c r="C25" s="3" t="n">
        <v>-931000</v>
      </c>
      <c r="D25" s="3" t="n">
        <v>-32578000</v>
      </c>
      <c r="E25" s="3" t="n">
        <v>33959000</v>
      </c>
      <c r="F25" s="3" t="n"/>
    </row>
    <row r="26">
      <c r="A26" t="inlineStr">
        <is>
          <t>Long Term Debt Payments</t>
        </is>
      </c>
      <c r="B26" s="3" t="n">
        <v>-438185000</v>
      </c>
      <c r="C26" s="3" t="n">
        <v>-348729000</v>
      </c>
      <c r="D26" s="3" t="n">
        <v>-300940000</v>
      </c>
      <c r="E26" s="3" t="n">
        <v>-29047000</v>
      </c>
      <c r="F26" s="3" t="n"/>
    </row>
    <row r="27">
      <c r="A27" t="inlineStr">
        <is>
          <t>Long Term Debt Issuance</t>
        </is>
      </c>
      <c r="B27" s="3" t="n">
        <v>588650000</v>
      </c>
      <c r="C27" s="3" t="n">
        <v>347798000</v>
      </c>
      <c r="D27" s="3" t="n">
        <v>268362000</v>
      </c>
      <c r="E27" s="3" t="n">
        <v>63006000</v>
      </c>
      <c r="F27" s="3" t="n"/>
    </row>
    <row r="28">
      <c r="A28" t="inlineStr">
        <is>
          <t>Investing Cash Flow</t>
        </is>
      </c>
      <c r="B28" s="3" t="n">
        <v>-113044000</v>
      </c>
      <c r="C28" s="3" t="n">
        <v>-11205000</v>
      </c>
      <c r="D28" s="3" t="n">
        <v>-10489000</v>
      </c>
      <c r="E28" s="3" t="n">
        <v>-17453000</v>
      </c>
      <c r="F28" s="3" t="n"/>
    </row>
    <row r="29">
      <c r="A29" t="inlineStr">
        <is>
          <t>Cash Flow From Continuing Investing Activities</t>
        </is>
      </c>
      <c r="B29" s="3" t="n">
        <v>-113044000</v>
      </c>
      <c r="C29" s="3" t="n">
        <v>-11205000</v>
      </c>
      <c r="D29" s="3" t="n">
        <v>-10489000</v>
      </c>
      <c r="E29" s="3" t="n">
        <v>-17453000</v>
      </c>
      <c r="F29" s="3" t="n"/>
    </row>
    <row r="30">
      <c r="A30" t="inlineStr">
        <is>
          <t>Net Business Purchase And Sale</t>
        </is>
      </c>
      <c r="B30" s="3" t="n">
        <v>-86466000</v>
      </c>
      <c r="C30" s="3" t="n">
        <v>0</v>
      </c>
      <c r="D30" s="3" t="n"/>
      <c r="E30" s="3" t="n"/>
      <c r="F30" s="3" t="n"/>
    </row>
    <row r="31">
      <c r="A31" t="inlineStr">
        <is>
          <t>Net Intangibles Purchase And Sale</t>
        </is>
      </c>
      <c r="B31" s="3" t="n">
        <v>-2871000</v>
      </c>
      <c r="C31" s="3" t="n">
        <v>-3319000</v>
      </c>
      <c r="D31" s="3" t="n">
        <v>-1871000</v>
      </c>
      <c r="E31" s="3" t="n">
        <v>-400000</v>
      </c>
      <c r="F31" s="3" t="n"/>
    </row>
    <row r="32">
      <c r="A32" t="inlineStr">
        <is>
          <t>Purchase Of Intangibles</t>
        </is>
      </c>
      <c r="B32" s="3" t="n">
        <v>-2871000</v>
      </c>
      <c r="C32" s="3" t="n">
        <v>-3319000</v>
      </c>
      <c r="D32" s="3" t="n">
        <v>-1871000</v>
      </c>
      <c r="E32" s="3" t="n">
        <v>-400000</v>
      </c>
      <c r="F32" s="3" t="n"/>
    </row>
    <row r="33">
      <c r="A33" t="inlineStr">
        <is>
          <t>Net PPE Purchase And Sale</t>
        </is>
      </c>
      <c r="B33" s="3" t="n">
        <v>-23707000</v>
      </c>
      <c r="C33" s="3" t="n">
        <v>-7886000</v>
      </c>
      <c r="D33" s="3" t="n">
        <v>-8618000</v>
      </c>
      <c r="E33" s="3" t="n">
        <v>-17053000</v>
      </c>
      <c r="F33" s="3" t="n"/>
    </row>
    <row r="34">
      <c r="A34" t="inlineStr">
        <is>
          <t>Sale Of PPE</t>
        </is>
      </c>
      <c r="B34" s="3" t="n">
        <v>628000</v>
      </c>
      <c r="C34" s="3" t="n">
        <v>55000</v>
      </c>
      <c r="D34" s="3" t="n">
        <v>0</v>
      </c>
      <c r="E34" s="3" t="n">
        <v>0</v>
      </c>
      <c r="F34" s="3" t="n"/>
    </row>
    <row r="35">
      <c r="A35" t="inlineStr">
        <is>
          <t>Purchase Of PPE</t>
        </is>
      </c>
      <c r="B35" s="3" t="n">
        <v>-24335000</v>
      </c>
      <c r="C35" s="3" t="n">
        <v>-7941000</v>
      </c>
      <c r="D35" s="3" t="n">
        <v>-8618000</v>
      </c>
      <c r="E35" s="3" t="n">
        <v>-17053000</v>
      </c>
      <c r="F35" s="3" t="n"/>
    </row>
    <row r="36">
      <c r="A36" t="inlineStr">
        <is>
          <t>Operating Cash Flow</t>
        </is>
      </c>
      <c r="B36" s="3" t="n">
        <v>-28966000</v>
      </c>
      <c r="C36" s="3" t="n">
        <v>18460000</v>
      </c>
      <c r="D36" s="3" t="n">
        <v>10081000</v>
      </c>
      <c r="E36" s="3" t="n">
        <v>-14297000</v>
      </c>
      <c r="F36" s="3" t="n"/>
    </row>
    <row r="37">
      <c r="A37" t="inlineStr">
        <is>
          <t>Cash Flow From Continuing Operating Activities</t>
        </is>
      </c>
      <c r="B37" s="3" t="n">
        <v>-28966000</v>
      </c>
      <c r="C37" s="3" t="n">
        <v>18460000</v>
      </c>
      <c r="D37" s="3" t="n">
        <v>10081000</v>
      </c>
      <c r="E37" s="3" t="n">
        <v>-14297000</v>
      </c>
      <c r="F37" s="3" t="n"/>
    </row>
    <row r="38">
      <c r="A38" t="inlineStr">
        <is>
          <t>Change In Working Capital</t>
        </is>
      </c>
      <c r="B38" s="3" t="n">
        <v>-40944000</v>
      </c>
      <c r="C38" s="3" t="n">
        <v>-7212000</v>
      </c>
      <c r="D38" s="3" t="n">
        <v>-3111000</v>
      </c>
      <c r="E38" s="3" t="n">
        <v>-17301000</v>
      </c>
      <c r="F38" s="3" t="n"/>
    </row>
    <row r="39">
      <c r="A39" t="inlineStr">
        <is>
          <t>Change In Other Working Capital</t>
        </is>
      </c>
      <c r="B39" s="3" t="n">
        <v>-17493000</v>
      </c>
      <c r="C39" s="3" t="n">
        <v>-8237000</v>
      </c>
      <c r="D39" s="3" t="n">
        <v>19152000</v>
      </c>
      <c r="E39" s="3" t="n">
        <v>-12749000</v>
      </c>
      <c r="F39" s="3" t="n"/>
    </row>
    <row r="40">
      <c r="A40" t="inlineStr">
        <is>
          <t>Change In Payables And Accrued Expense</t>
        </is>
      </c>
      <c r="B40" s="3" t="n">
        <v>7169000</v>
      </c>
      <c r="C40" s="3" t="n">
        <v>-10387000</v>
      </c>
      <c r="D40" s="3" t="n">
        <v>21273000</v>
      </c>
      <c r="E40" s="3" t="n">
        <v>20981000</v>
      </c>
      <c r="F40" s="3" t="n"/>
    </row>
    <row r="41">
      <c r="A41" t="inlineStr">
        <is>
          <t>Change In Accrued Expense</t>
        </is>
      </c>
      <c r="B41" s="3" t="n"/>
      <c r="C41" s="3" t="n"/>
      <c r="D41" s="3" t="n"/>
      <c r="E41" s="3" t="n"/>
      <c r="F41" s="3" t="n">
        <v>-569000</v>
      </c>
    </row>
    <row r="42">
      <c r="A42" t="inlineStr">
        <is>
          <t>Change In Payable</t>
        </is>
      </c>
      <c r="B42" s="3" t="n"/>
      <c r="C42" s="3" t="n"/>
      <c r="D42" s="3" t="n"/>
      <c r="E42" s="3" t="n">
        <v>20981000</v>
      </c>
      <c r="F42" s="3" t="n">
        <v>-5912000</v>
      </c>
    </row>
    <row r="43">
      <c r="A43" t="inlineStr">
        <is>
          <t>Change In Account Payable</t>
        </is>
      </c>
      <c r="B43" s="3" t="n"/>
      <c r="C43" s="3" t="n"/>
      <c r="D43" s="3" t="n"/>
      <c r="E43" s="3" t="n">
        <v>20981000</v>
      </c>
      <c r="F43" s="3" t="n">
        <v>-5912000</v>
      </c>
    </row>
    <row r="44">
      <c r="A44" t="inlineStr">
        <is>
          <t>Change In Prepaid Assets</t>
        </is>
      </c>
      <c r="B44" s="3" t="n">
        <v>-11181000</v>
      </c>
      <c r="C44" s="3" t="n">
        <v>-9595000</v>
      </c>
      <c r="D44" s="3" t="n">
        <v>-8221000</v>
      </c>
      <c r="E44" s="3" t="n">
        <v>-4712000</v>
      </c>
      <c r="F44" s="3" t="n"/>
    </row>
    <row r="45">
      <c r="A45" t="inlineStr">
        <is>
          <t>Change In Inventory</t>
        </is>
      </c>
      <c r="B45" s="3" t="n">
        <v>1046000</v>
      </c>
      <c r="C45" s="3" t="n">
        <v>805000</v>
      </c>
      <c r="D45" s="3" t="n">
        <v>-1944000</v>
      </c>
      <c r="E45" s="3" t="n">
        <v>-9225000</v>
      </c>
      <c r="F45" s="3" t="n"/>
    </row>
    <row r="46">
      <c r="A46" t="inlineStr">
        <is>
          <t>Change In Receivables</t>
        </is>
      </c>
      <c r="B46" s="3" t="n">
        <v>-20485000</v>
      </c>
      <c r="C46" s="3" t="n">
        <v>20202000</v>
      </c>
      <c r="D46" s="3" t="n">
        <v>-33371000</v>
      </c>
      <c r="E46" s="3" t="n">
        <v>-11596000</v>
      </c>
      <c r="F46" s="3" t="n"/>
    </row>
    <row r="47">
      <c r="A47" t="inlineStr">
        <is>
          <t>Changes In Account Receivables</t>
        </is>
      </c>
      <c r="B47" s="3" t="n"/>
      <c r="C47" s="3" t="n"/>
      <c r="D47" s="3" t="n">
        <v>-33371000</v>
      </c>
      <c r="E47" s="3" t="n">
        <v>-9958000</v>
      </c>
      <c r="F47" s="3" t="n">
        <v>-9387000</v>
      </c>
    </row>
    <row r="48">
      <c r="A48" t="inlineStr">
        <is>
          <t>Other Non Cash Items</t>
        </is>
      </c>
      <c r="B48" s="3" t="n">
        <v>-127770000</v>
      </c>
      <c r="C48" s="3" t="n">
        <v>1676000</v>
      </c>
      <c r="D48" s="3" t="n">
        <v>1755000</v>
      </c>
      <c r="E48" s="3" t="n">
        <v>93000</v>
      </c>
      <c r="F48" s="3" t="n"/>
    </row>
    <row r="49">
      <c r="A49" t="inlineStr">
        <is>
          <t>Stock Based Compensation</t>
        </is>
      </c>
      <c r="B49" s="3" t="n">
        <v>9422000</v>
      </c>
      <c r="C49" s="3" t="n">
        <v>8168000</v>
      </c>
      <c r="D49" s="3" t="n">
        <v>6860000</v>
      </c>
      <c r="E49" s="3" t="n">
        <v>8610000</v>
      </c>
      <c r="F49" s="3" t="n"/>
    </row>
    <row r="50">
      <c r="A50" t="inlineStr">
        <is>
          <t>Provisionand Write Offof Assets</t>
        </is>
      </c>
      <c r="B50" s="3" t="n">
        <v>447000</v>
      </c>
      <c r="C50" s="3" t="n">
        <v>203000</v>
      </c>
      <c r="D50" s="3" t="n">
        <v>38000</v>
      </c>
      <c r="E50" s="3" t="n">
        <v>1638000</v>
      </c>
      <c r="F50" s="3" t="n"/>
    </row>
    <row r="51">
      <c r="A51" t="inlineStr">
        <is>
          <t>Asset Impairment Charge</t>
        </is>
      </c>
      <c r="B51" s="3" t="n"/>
      <c r="C51" s="3" t="n">
        <v>0</v>
      </c>
      <c r="D51" s="3" t="n">
        <v>1262000</v>
      </c>
      <c r="E51" s="3" t="n">
        <v>0</v>
      </c>
      <c r="F51" s="3" t="n">
        <v>13442000</v>
      </c>
    </row>
    <row r="52">
      <c r="A52" t="inlineStr">
        <is>
          <t>Deferred Tax</t>
        </is>
      </c>
      <c r="B52" s="3" t="n">
        <v>-28849000</v>
      </c>
      <c r="C52" s="3" t="n">
        <v>-496000</v>
      </c>
      <c r="D52" s="3" t="n">
        <v>-560000</v>
      </c>
      <c r="E52" s="3" t="n">
        <v>244000</v>
      </c>
      <c r="F52" s="3" t="n"/>
    </row>
    <row r="53">
      <c r="A53" t="inlineStr">
        <is>
          <t>Deferred Income Tax</t>
        </is>
      </c>
      <c r="B53" s="3" t="n">
        <v>-28849000</v>
      </c>
      <c r="C53" s="3" t="n">
        <v>-496000</v>
      </c>
      <c r="D53" s="3" t="n">
        <v>-560000</v>
      </c>
      <c r="E53" s="3" t="n">
        <v>244000</v>
      </c>
      <c r="F53" s="3" t="n"/>
    </row>
    <row r="54">
      <c r="A54" t="inlineStr">
        <is>
          <t>Depreciation Amortization Depletion</t>
        </is>
      </c>
      <c r="B54" s="3" t="n">
        <v>35670000</v>
      </c>
      <c r="C54" s="3" t="n">
        <v>18693000</v>
      </c>
      <c r="D54" s="3" t="n">
        <v>28930000</v>
      </c>
      <c r="E54" s="3" t="n">
        <v>28192000</v>
      </c>
      <c r="F54" s="3" t="n"/>
    </row>
    <row r="55">
      <c r="A55" t="inlineStr">
        <is>
          <t>Depreciation And Amortization</t>
        </is>
      </c>
      <c r="B55" s="3" t="n">
        <v>35670000</v>
      </c>
      <c r="C55" s="3" t="n">
        <v>18693000</v>
      </c>
      <c r="D55" s="3" t="n">
        <v>28930000</v>
      </c>
      <c r="E55" s="3" t="n">
        <v>28192000</v>
      </c>
      <c r="F55" s="3" t="n"/>
    </row>
    <row r="56">
      <c r="A56" t="inlineStr">
        <is>
          <t>Operating Gains Losses</t>
        </is>
      </c>
      <c r="B56" s="3" t="n">
        <v>-388000</v>
      </c>
      <c r="C56" s="3" t="n">
        <v>-55000</v>
      </c>
      <c r="D56" s="3" t="n">
        <v>6860000</v>
      </c>
      <c r="E56" s="3" t="n">
        <v>1098000</v>
      </c>
      <c r="F56" s="3" t="n"/>
    </row>
    <row r="57">
      <c r="A57" t="inlineStr">
        <is>
          <t>Pension And Employee Benefit Expense</t>
        </is>
      </c>
      <c r="B57" s="3" t="n"/>
      <c r="C57" s="3" t="n"/>
      <c r="D57" s="3" t="n">
        <v>6860000</v>
      </c>
      <c r="E57" s="3" t="n">
        <v>8610000</v>
      </c>
      <c r="F57" s="3" t="n">
        <v>12533000</v>
      </c>
    </row>
    <row r="58">
      <c r="A58" t="inlineStr">
        <is>
          <t>Gain Loss On Sale Of PPE</t>
        </is>
      </c>
      <c r="B58" s="3" t="n">
        <v>-388000</v>
      </c>
      <c r="C58" s="3" t="n">
        <v>-55000</v>
      </c>
      <c r="D58" s="3" t="n">
        <v>0</v>
      </c>
      <c r="E58" s="3" t="n">
        <v>-3000</v>
      </c>
      <c r="F58" s="3" t="n"/>
    </row>
    <row r="59">
      <c r="A59" t="inlineStr">
        <is>
          <t>Net Income From Continuing Operations</t>
        </is>
      </c>
      <c r="B59" s="3" t="n">
        <v>123446000</v>
      </c>
      <c r="C59" s="3" t="n">
        <v>-2517000</v>
      </c>
      <c r="D59" s="3" t="n">
        <v>-25093000</v>
      </c>
      <c r="E59" s="3" t="n">
        <v>-36871000</v>
      </c>
      <c r="F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17800000</v>
      </c>
      <c r="C2" s="3" t="n">
        <v>-42786000</v>
      </c>
      <c r="D2" s="3" t="n">
        <v>-48913000</v>
      </c>
      <c r="E2" s="3" t="n">
        <v>-5257000</v>
      </c>
      <c r="F2" s="3" t="n">
        <v>40784000</v>
      </c>
      <c r="G2" s="3" t="n"/>
    </row>
    <row r="3">
      <c r="A3" t="inlineStr">
        <is>
          <t>Repayment Of Debt</t>
        </is>
      </c>
      <c r="B3" s="3" t="n">
        <v>-166877000</v>
      </c>
      <c r="C3" s="3" t="n">
        <v>-160000000</v>
      </c>
      <c r="D3" s="3" t="n">
        <v>-79791000</v>
      </c>
      <c r="E3" s="3" t="n">
        <v>-64715000</v>
      </c>
      <c r="F3" s="3" t="n">
        <v>-133679000</v>
      </c>
      <c r="G3" s="3" t="n"/>
    </row>
    <row r="4">
      <c r="A4" t="inlineStr">
        <is>
          <t>Issuance Of Debt</t>
        </is>
      </c>
      <c r="B4" s="3" t="n">
        <v>147500000</v>
      </c>
      <c r="C4" s="3" t="n">
        <v>189721000</v>
      </c>
      <c r="D4" s="3" t="n">
        <v>204864000</v>
      </c>
      <c r="E4" s="3" t="n">
        <v>69065000</v>
      </c>
      <c r="F4" s="3" t="n">
        <v>125000000</v>
      </c>
      <c r="G4" s="3" t="n"/>
    </row>
    <row r="5">
      <c r="A5" t="inlineStr">
        <is>
          <t>Issuance Of Capital Stock</t>
        </is>
      </c>
      <c r="B5" s="3" t="n"/>
      <c r="C5" s="3" t="n"/>
      <c r="D5" s="3" t="n"/>
      <c r="E5" s="3" t="n"/>
      <c r="F5" s="3" t="n"/>
      <c r="G5" s="3" t="n">
        <v>0</v>
      </c>
    </row>
    <row r="6">
      <c r="A6" t="inlineStr">
        <is>
          <t>Capital Expenditure</t>
        </is>
      </c>
      <c r="B6" s="3" t="n">
        <v>-10100000</v>
      </c>
      <c r="C6" s="3" t="n">
        <v>-6713000</v>
      </c>
      <c r="D6" s="3" t="n">
        <v>-1720000</v>
      </c>
      <c r="E6" s="3" t="n">
        <v>-3590000</v>
      </c>
      <c r="F6" s="3" t="n">
        <v>-15183000</v>
      </c>
      <c r="G6" s="3" t="n"/>
    </row>
    <row r="7">
      <c r="A7" t="inlineStr">
        <is>
          <t>Interest Paid Supplemental Data</t>
        </is>
      </c>
      <c r="B7" s="3" t="n">
        <v>2809000</v>
      </c>
      <c r="C7" s="3" t="n">
        <v>4105000</v>
      </c>
      <c r="D7" s="3" t="n">
        <v>3654000</v>
      </c>
      <c r="E7" s="3" t="n">
        <v>1404000</v>
      </c>
      <c r="F7" s="3" t="n">
        <v>1024000</v>
      </c>
      <c r="G7" s="3" t="n"/>
    </row>
    <row r="8">
      <c r="A8" t="inlineStr">
        <is>
          <t>Income Tax Paid Supplemental Data</t>
        </is>
      </c>
      <c r="B8" s="3" t="n"/>
      <c r="C8" s="3" t="n">
        <v>-3000</v>
      </c>
      <c r="D8" s="3" t="n">
        <v>0</v>
      </c>
      <c r="E8" s="3" t="n">
        <v>30000</v>
      </c>
      <c r="F8" s="3" t="n">
        <v>0</v>
      </c>
      <c r="G8" s="3" t="n">
        <v>0</v>
      </c>
    </row>
    <row r="9">
      <c r="A9" t="inlineStr">
        <is>
          <t>End Cash Position</t>
        </is>
      </c>
      <c r="B9" s="3" t="n">
        <v>22232000</v>
      </c>
      <c r="C9" s="3" t="n">
        <v>23224000</v>
      </c>
      <c r="D9" s="3" t="n">
        <v>30895000</v>
      </c>
      <c r="E9" s="3" t="n">
        <v>49373000</v>
      </c>
      <c r="F9" s="3" t="n">
        <v>51234000</v>
      </c>
      <c r="G9" s="3" t="n"/>
    </row>
    <row r="10">
      <c r="A10" t="inlineStr">
        <is>
          <t>Beginning Cash Position</t>
        </is>
      </c>
      <c r="B10" s="3" t="n">
        <v>23224000</v>
      </c>
      <c r="C10" s="3" t="n">
        <v>30895000</v>
      </c>
      <c r="D10" s="3" t="n">
        <v>49373000</v>
      </c>
      <c r="E10" s="3" t="n">
        <v>51234000</v>
      </c>
      <c r="F10" s="3" t="n">
        <v>18844000</v>
      </c>
      <c r="G10" s="3" t="n"/>
    </row>
    <row r="11">
      <c r="A11" t="inlineStr">
        <is>
          <t>Changes In Cash</t>
        </is>
      </c>
      <c r="B11" s="3" t="n">
        <v>-992000</v>
      </c>
      <c r="C11" s="3" t="n">
        <v>-7671000</v>
      </c>
      <c r="D11" s="3" t="n">
        <v>-18478000</v>
      </c>
      <c r="E11" s="3" t="n">
        <v>-1861000</v>
      </c>
      <c r="F11" s="3" t="n">
        <v>32390000</v>
      </c>
      <c r="G11" s="3" t="n"/>
    </row>
    <row r="12">
      <c r="A12" t="inlineStr">
        <is>
          <t>Financing Cash Flow</t>
        </is>
      </c>
      <c r="B12" s="3" t="n">
        <v>-18792000</v>
      </c>
      <c r="C12" s="3" t="n">
        <v>34487000</v>
      </c>
      <c r="D12" s="3" t="n">
        <v>116901000</v>
      </c>
      <c r="E12" s="3" t="n">
        <v>3396000</v>
      </c>
      <c r="F12" s="3" t="n">
        <v>-8394000</v>
      </c>
      <c r="G12" s="3" t="n"/>
    </row>
    <row r="13">
      <c r="A13" t="inlineStr">
        <is>
          <t>Cash Flow From Continuing Financing Activities</t>
        </is>
      </c>
      <c r="B13" s="3" t="n">
        <v>-18792000</v>
      </c>
      <c r="C13" s="3" t="n">
        <v>34487000</v>
      </c>
      <c r="D13" s="3" t="n">
        <v>116901000</v>
      </c>
      <c r="E13" s="3" t="n">
        <v>3396000</v>
      </c>
      <c r="F13" s="3" t="n">
        <v>-8394000</v>
      </c>
      <c r="G13" s="3" t="n"/>
    </row>
    <row r="14">
      <c r="A14" t="inlineStr">
        <is>
          <t>Net Other Financing Charges</t>
        </is>
      </c>
      <c r="B14" s="3" t="n">
        <v>-1516000</v>
      </c>
      <c r="C14" s="3" t="n">
        <v>4500000</v>
      </c>
      <c r="D14" s="3" t="n">
        <v>-11024000</v>
      </c>
      <c r="E14" s="3" t="n">
        <v>-420000</v>
      </c>
      <c r="F14" s="3" t="n">
        <v>-974000</v>
      </c>
      <c r="G14" s="3" t="n"/>
    </row>
    <row r="15">
      <c r="A15" t="inlineStr">
        <is>
          <t>Proceeds From Stock Option Exercised</t>
        </is>
      </c>
      <c r="B15" s="3" t="n">
        <v>2101000</v>
      </c>
      <c r="C15" s="3" t="n">
        <v>266000</v>
      </c>
      <c r="D15" s="3" t="n">
        <v>2852000</v>
      </c>
      <c r="E15" s="3" t="n">
        <v>-534000</v>
      </c>
      <c r="F15" s="3" t="n">
        <v>1259000</v>
      </c>
      <c r="G15" s="3" t="n"/>
    </row>
    <row r="16">
      <c r="A16" t="inlineStr">
        <is>
          <t>Net Common Stock Issuance</t>
        </is>
      </c>
      <c r="B16" s="3" t="n"/>
      <c r="C16" s="3" t="n"/>
      <c r="D16" s="3" t="n"/>
      <c r="E16" s="3" t="n"/>
      <c r="F16" s="3" t="n"/>
      <c r="G16" s="3" t="n">
        <v>0</v>
      </c>
    </row>
    <row r="17">
      <c r="A17" t="inlineStr">
        <is>
          <t>Common Stock Issuance</t>
        </is>
      </c>
      <c r="B17" s="3" t="n"/>
      <c r="C17" s="3" t="n"/>
      <c r="D17" s="3" t="n"/>
      <c r="E17" s="3" t="n"/>
      <c r="F17" s="3" t="n"/>
      <c r="G17" s="3" t="n">
        <v>0</v>
      </c>
    </row>
    <row r="18">
      <c r="A18" t="inlineStr">
        <is>
          <t>Net Issuance Payments Of Debt</t>
        </is>
      </c>
      <c r="B18" s="3" t="n">
        <v>-19377000</v>
      </c>
      <c r="C18" s="3" t="n">
        <v>29721000</v>
      </c>
      <c r="D18" s="3" t="n">
        <v>125073000</v>
      </c>
      <c r="E18" s="3" t="n">
        <v>4350000</v>
      </c>
      <c r="F18" s="3" t="n">
        <v>-8679000</v>
      </c>
      <c r="G18" s="3" t="n"/>
    </row>
    <row r="19">
      <c r="A19" t="inlineStr">
        <is>
          <t>Net Long Term Debt Issuance</t>
        </is>
      </c>
      <c r="B19" s="3" t="n">
        <v>-19377000</v>
      </c>
      <c r="C19" s="3" t="n">
        <v>29721000</v>
      </c>
      <c r="D19" s="3" t="n">
        <v>125073000</v>
      </c>
      <c r="E19" s="3" t="n">
        <v>4350000</v>
      </c>
      <c r="F19" s="3" t="n">
        <v>-8679000</v>
      </c>
      <c r="G19" s="3" t="n"/>
    </row>
    <row r="20">
      <c r="A20" t="inlineStr">
        <is>
          <t>Long Term Debt Payments</t>
        </is>
      </c>
      <c r="B20" s="3" t="n">
        <v>-166877000</v>
      </c>
      <c r="C20" s="3" t="n">
        <v>-160000000</v>
      </c>
      <c r="D20" s="3" t="n">
        <v>-79791000</v>
      </c>
      <c r="E20" s="3" t="n">
        <v>-64715000</v>
      </c>
      <c r="F20" s="3" t="n">
        <v>-133679000</v>
      </c>
      <c r="G20" s="3" t="n"/>
    </row>
    <row r="21">
      <c r="A21" t="inlineStr">
        <is>
          <t>Long Term Debt Issuance</t>
        </is>
      </c>
      <c r="B21" s="3" t="n">
        <v>147500000</v>
      </c>
      <c r="C21" s="3" t="n">
        <v>189721000</v>
      </c>
      <c r="D21" s="3" t="n">
        <v>204864000</v>
      </c>
      <c r="E21" s="3" t="n">
        <v>69065000</v>
      </c>
      <c r="F21" s="3" t="n">
        <v>125000000</v>
      </c>
      <c r="G21" s="3" t="n"/>
    </row>
    <row r="22">
      <c r="A22" t="inlineStr">
        <is>
          <t>Investing Cash Flow</t>
        </is>
      </c>
      <c r="B22" s="3" t="n">
        <v>-10100000</v>
      </c>
      <c r="C22" s="3" t="n">
        <v>-6085000</v>
      </c>
      <c r="D22" s="3" t="n">
        <v>-88186000</v>
      </c>
      <c r="E22" s="3" t="n">
        <v>-3590000</v>
      </c>
      <c r="F22" s="3" t="n">
        <v>-15183000</v>
      </c>
      <c r="G22" s="3" t="n"/>
    </row>
    <row r="23">
      <c r="A23" t="inlineStr">
        <is>
          <t>Cash Flow From Continuing Investing Activities</t>
        </is>
      </c>
      <c r="B23" s="3" t="n">
        <v>-10100000</v>
      </c>
      <c r="C23" s="3" t="n">
        <v>-6085000</v>
      </c>
      <c r="D23" s="3" t="n">
        <v>-88186000</v>
      </c>
      <c r="E23" s="3" t="n">
        <v>-3590000</v>
      </c>
      <c r="F23" s="3" t="n">
        <v>-15183000</v>
      </c>
      <c r="G23" s="3" t="n"/>
    </row>
    <row r="24">
      <c r="A24" t="inlineStr">
        <is>
          <t>Net Business Purchase And Sale</t>
        </is>
      </c>
      <c r="B24" s="3" t="n"/>
      <c r="C24" s="3" t="n">
        <v>0</v>
      </c>
      <c r="D24" s="3" t="n"/>
      <c r="E24" s="3" t="n"/>
      <c r="F24" s="3" t="n"/>
      <c r="G24" s="3" t="n"/>
    </row>
    <row r="25">
      <c r="A25" t="inlineStr">
        <is>
          <t>Net Intangibles Purchase And Sale</t>
        </is>
      </c>
      <c r="B25" s="3" t="n">
        <v>-1050000</v>
      </c>
      <c r="C25" s="3" t="n">
        <v>-615000</v>
      </c>
      <c r="D25" s="3" t="n">
        <v>-890000</v>
      </c>
      <c r="E25" s="3" t="n">
        <v>-953000</v>
      </c>
      <c r="F25" s="3" t="n">
        <v>-413000</v>
      </c>
      <c r="G25" s="3" t="n"/>
    </row>
    <row r="26">
      <c r="A26" t="inlineStr">
        <is>
          <t>Purchase Of Intangibles</t>
        </is>
      </c>
      <c r="B26" s="3" t="n">
        <v>-1050000</v>
      </c>
      <c r="C26" s="3" t="n">
        <v>-615000</v>
      </c>
      <c r="D26" s="3" t="n">
        <v>-890000</v>
      </c>
      <c r="E26" s="3" t="n">
        <v>-953000</v>
      </c>
      <c r="F26" s="3" t="n">
        <v>-413000</v>
      </c>
      <c r="G26" s="3" t="n"/>
    </row>
    <row r="27">
      <c r="A27" t="inlineStr">
        <is>
          <t>Net PPE Purchase And Sale</t>
        </is>
      </c>
      <c r="B27" s="3" t="n">
        <v>-9050000</v>
      </c>
      <c r="C27" s="3" t="n">
        <v>-5470000</v>
      </c>
      <c r="D27" s="3" t="n">
        <v>-830000</v>
      </c>
      <c r="E27" s="3" t="n">
        <v>-2637000</v>
      </c>
      <c r="F27" s="3" t="n">
        <v>-14770000</v>
      </c>
      <c r="G27" s="3" t="n"/>
    </row>
    <row r="28">
      <c r="A28" t="inlineStr">
        <is>
          <t>Sale Of PPE</t>
        </is>
      </c>
      <c r="B28" s="3" t="n"/>
      <c r="C28" s="3" t="n">
        <v>628000</v>
      </c>
      <c r="D28" s="3" t="n">
        <v>0</v>
      </c>
      <c r="E28" s="3" t="n"/>
      <c r="F28" s="3" t="n"/>
      <c r="G28" s="3" t="n">
        <v>0</v>
      </c>
    </row>
    <row r="29">
      <c r="A29" t="inlineStr">
        <is>
          <t>Purchase Of PPE</t>
        </is>
      </c>
      <c r="B29" s="3" t="n">
        <v>-9050000</v>
      </c>
      <c r="C29" s="3" t="n">
        <v>-6098000</v>
      </c>
      <c r="D29" s="3" t="n">
        <v>-830000</v>
      </c>
      <c r="E29" s="3" t="n">
        <v>-2637000</v>
      </c>
      <c r="F29" s="3" t="n">
        <v>-14770000</v>
      </c>
      <c r="G29" s="3" t="n"/>
    </row>
    <row r="30">
      <c r="A30" t="inlineStr">
        <is>
          <t>Operating Cash Flow</t>
        </is>
      </c>
      <c r="B30" s="3" t="n">
        <v>27900000</v>
      </c>
      <c r="C30" s="3" t="n">
        <v>-36073000</v>
      </c>
      <c r="D30" s="3" t="n">
        <v>-47193000</v>
      </c>
      <c r="E30" s="3" t="n">
        <v>-1667000</v>
      </c>
      <c r="F30" s="3" t="n">
        <v>55967000</v>
      </c>
      <c r="G30" s="3" t="n"/>
    </row>
    <row r="31">
      <c r="A31" t="inlineStr">
        <is>
          <t>Cash Flow From Continuing Operating Activities</t>
        </is>
      </c>
      <c r="B31" s="3" t="n">
        <v>27900000</v>
      </c>
      <c r="C31" s="3" t="n">
        <v>-36073000</v>
      </c>
      <c r="D31" s="3" t="n">
        <v>-47193000</v>
      </c>
      <c r="E31" s="3" t="n">
        <v>-1667000</v>
      </c>
      <c r="F31" s="3" t="n">
        <v>55967000</v>
      </c>
      <c r="G31" s="3" t="n"/>
    </row>
    <row r="32">
      <c r="A32" t="inlineStr">
        <is>
          <t>Change In Working Capital</t>
        </is>
      </c>
      <c r="B32" s="3" t="n">
        <v>34063000</v>
      </c>
      <c r="C32" s="3" t="n">
        <v>-38016000</v>
      </c>
      <c r="D32" s="3" t="n">
        <v>-58679000</v>
      </c>
      <c r="E32" s="3" t="n">
        <v>439000</v>
      </c>
      <c r="F32" s="3" t="n">
        <v>55312000</v>
      </c>
      <c r="G32" s="3" t="n"/>
    </row>
    <row r="33">
      <c r="A33" t="inlineStr">
        <is>
          <t>Change In Other Working Capital</t>
        </is>
      </c>
      <c r="B33" s="3" t="n">
        <v>-2888000</v>
      </c>
      <c r="C33" s="3" t="n">
        <v>-54756000</v>
      </c>
      <c r="D33" s="3" t="n">
        <v>-7806000</v>
      </c>
      <c r="E33" s="3" t="n">
        <v>-6343000</v>
      </c>
      <c r="F33" s="3" t="n">
        <v>51412000</v>
      </c>
      <c r="G33" s="3" t="n"/>
    </row>
    <row r="34">
      <c r="A34" t="inlineStr">
        <is>
          <t>Change In Payables And Accrued Expense</t>
        </is>
      </c>
      <c r="B34" s="3" t="n">
        <v>22265000</v>
      </c>
      <c r="C34" s="3" t="n">
        <v>-21347000</v>
      </c>
      <c r="D34" s="3" t="n">
        <v>23968000</v>
      </c>
      <c r="E34" s="3" t="n">
        <v>17113000</v>
      </c>
      <c r="F34" s="3" t="n">
        <v>-12565000</v>
      </c>
      <c r="G34" s="3" t="n"/>
    </row>
    <row r="35">
      <c r="A35" t="inlineStr">
        <is>
          <t>Change In Prepaid Assets</t>
        </is>
      </c>
      <c r="B35" s="3" t="n">
        <v>-3949000</v>
      </c>
      <c r="C35" s="3" t="n">
        <v>18961000</v>
      </c>
      <c r="D35" s="3" t="n">
        <v>-11477000</v>
      </c>
      <c r="E35" s="3" t="n">
        <v>-19523000</v>
      </c>
      <c r="F35" s="3" t="n">
        <v>858000</v>
      </c>
      <c r="G35" s="3" t="n"/>
    </row>
    <row r="36">
      <c r="A36" t="inlineStr">
        <is>
          <t>Change In Inventory</t>
        </is>
      </c>
      <c r="B36" s="3" t="n">
        <v>-976000</v>
      </c>
      <c r="C36" s="3" t="n">
        <v>1012000</v>
      </c>
      <c r="D36" s="3" t="n">
        <v>-1117000</v>
      </c>
      <c r="E36" s="3" t="n">
        <v>836000</v>
      </c>
      <c r="F36" s="3" t="n">
        <v>315000</v>
      </c>
      <c r="G36" s="3" t="n"/>
    </row>
    <row r="37">
      <c r="A37" t="inlineStr">
        <is>
          <t>Change In Receivables</t>
        </is>
      </c>
      <c r="B37" s="3" t="n">
        <v>19611000</v>
      </c>
      <c r="C37" s="3" t="n">
        <v>18114000</v>
      </c>
      <c r="D37" s="3" t="n">
        <v>-62247000</v>
      </c>
      <c r="E37" s="3" t="n">
        <v>8356000</v>
      </c>
      <c r="F37" s="3" t="n">
        <v>15292000</v>
      </c>
      <c r="G37" s="3" t="n"/>
    </row>
    <row r="38">
      <c r="A38" t="inlineStr">
        <is>
          <t>Changes In Account Receivables</t>
        </is>
      </c>
      <c r="B38" s="3" t="n">
        <v>19163000</v>
      </c>
      <c r="C38" s="3" t="n"/>
      <c r="D38" s="3" t="n"/>
      <c r="E38" s="3" t="n"/>
      <c r="F38" s="3" t="n">
        <v>15292000</v>
      </c>
      <c r="G38" s="3" t="n"/>
    </row>
    <row r="39">
      <c r="A39" t="inlineStr">
        <is>
          <t>Other Non Cash Items</t>
        </is>
      </c>
      <c r="B39" s="3" t="n">
        <v>-9520000</v>
      </c>
      <c r="C39" s="3" t="n">
        <v>-9593000</v>
      </c>
      <c r="D39" s="3" t="n">
        <v>-118661000</v>
      </c>
      <c r="E39" s="3" t="n">
        <v>242000</v>
      </c>
      <c r="F39" s="3" t="n">
        <v>242000</v>
      </c>
      <c r="G39" s="3" t="n"/>
    </row>
    <row r="40">
      <c r="A40" t="inlineStr">
        <is>
          <t>Stock Based Compensation</t>
        </is>
      </c>
      <c r="B40" s="3" t="n">
        <v>2610000</v>
      </c>
      <c r="C40" s="3" t="n">
        <v>2597000</v>
      </c>
      <c r="D40" s="3" t="n"/>
      <c r="E40" s="3" t="n"/>
      <c r="F40" s="3" t="n">
        <v>1879000</v>
      </c>
      <c r="G40" s="3" t="n">
        <v>2063000</v>
      </c>
    </row>
    <row r="41">
      <c r="A41" t="inlineStr">
        <is>
          <t>Provisionand Write Offof Assets</t>
        </is>
      </c>
      <c r="B41" s="3" t="n">
        <v>0</v>
      </c>
      <c r="C41" s="3" t="n">
        <v>19000</v>
      </c>
      <c r="D41" s="3" t="n">
        <v>139000</v>
      </c>
      <c r="E41" s="3" t="n">
        <v>-66000</v>
      </c>
      <c r="F41" s="3" t="n">
        <v>355000</v>
      </c>
      <c r="G41" s="3" t="n"/>
    </row>
    <row r="42">
      <c r="A42" t="inlineStr">
        <is>
          <t>Deferred Tax</t>
        </is>
      </c>
      <c r="B42" s="3" t="n">
        <v>-2300000</v>
      </c>
      <c r="C42" s="3" t="n">
        <v>1794000</v>
      </c>
      <c r="D42" s="3" t="n">
        <v>-30230000</v>
      </c>
      <c r="E42" s="3" t="n">
        <v>-305000</v>
      </c>
      <c r="F42" s="3" t="n">
        <v>-108000</v>
      </c>
      <c r="G42" s="3" t="n"/>
    </row>
    <row r="43">
      <c r="A43" t="inlineStr">
        <is>
          <t>Deferred Income Tax</t>
        </is>
      </c>
      <c r="B43" s="3" t="n">
        <v>-2300000</v>
      </c>
      <c r="C43" s="3" t="n">
        <v>1794000</v>
      </c>
      <c r="D43" s="3" t="n">
        <v>-30230000</v>
      </c>
      <c r="E43" s="3" t="n">
        <v>-305000</v>
      </c>
      <c r="F43" s="3" t="n">
        <v>-108000</v>
      </c>
      <c r="G43" s="3" t="n"/>
    </row>
    <row r="44">
      <c r="A44" t="inlineStr">
        <is>
          <t>Depreciation Amortization Depletion</t>
        </is>
      </c>
      <c r="B44" s="3" t="n">
        <v>14199000</v>
      </c>
      <c r="C44" s="3" t="n">
        <v>14145000</v>
      </c>
      <c r="D44" s="3" t="n">
        <v>12481000</v>
      </c>
      <c r="E44" s="3" t="n">
        <v>4539000</v>
      </c>
      <c r="F44" s="3" t="n">
        <v>4505000</v>
      </c>
      <c r="G44" s="3" t="n"/>
    </row>
    <row r="45">
      <c r="A45" t="inlineStr">
        <is>
          <t>Depreciation And Amortization</t>
        </is>
      </c>
      <c r="B45" s="3" t="n">
        <v>14199000</v>
      </c>
      <c r="C45" s="3" t="n">
        <v>14145000</v>
      </c>
      <c r="D45" s="3" t="n">
        <v>12481000</v>
      </c>
      <c r="E45" s="3" t="n">
        <v>4539000</v>
      </c>
      <c r="F45" s="3" t="n">
        <v>4505000</v>
      </c>
      <c r="G45" s="3" t="n"/>
    </row>
    <row r="46">
      <c r="A46" t="inlineStr">
        <is>
          <t>Operating Gains Losses</t>
        </is>
      </c>
      <c r="B46" s="3" t="n"/>
      <c r="C46" s="3" t="n"/>
      <c r="D46" s="3" t="n"/>
      <c r="E46" s="3" t="n"/>
      <c r="F46" s="3" t="n"/>
      <c r="G46" s="3" t="n">
        <v>0</v>
      </c>
    </row>
    <row r="47">
      <c r="A47" t="inlineStr">
        <is>
          <t>Gain Loss On Sale Of PPE</t>
        </is>
      </c>
      <c r="B47" s="3" t="n"/>
      <c r="C47" s="3" t="n">
        <v>-388000</v>
      </c>
      <c r="D47" s="3" t="n">
        <v>0</v>
      </c>
      <c r="E47" s="3" t="n"/>
      <c r="F47" s="3" t="n"/>
      <c r="G47" s="3" t="n">
        <v>0</v>
      </c>
    </row>
    <row r="48">
      <c r="A48" t="inlineStr">
        <is>
          <t>Net Income From Continuing Operations</t>
        </is>
      </c>
      <c r="B48" s="3" t="n">
        <v>-11152000</v>
      </c>
      <c r="C48" s="3" t="n">
        <v>-6631000</v>
      </c>
      <c r="D48" s="3" t="n">
        <v>145152000</v>
      </c>
      <c r="E48" s="3" t="n">
        <v>-8857000</v>
      </c>
      <c r="F48" s="3" t="n">
        <v>-6218000</v>
      </c>
      <c r="G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2026-07-02T15:41:17Z</dcterms:created>
  <dcterms:modified xsi:type="dcterms:W3CDTF">2026-07-02T15:41:18Z</dcterms:modified>
</cp:coreProperties>
</file>