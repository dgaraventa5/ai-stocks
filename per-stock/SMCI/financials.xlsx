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SMCI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Super Micro Computer,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19833126912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26285774848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16.136843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9.667014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0.5885165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0.08394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0.061100002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0.03701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0.17877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1.227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1305032960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9151156224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-6849681000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646873027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30.66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2023-06-30</t>
        </is>
      </c>
      <c r="C2" t="inlineStr">
        <is>
          <t>2024-06-30</t>
        </is>
      </c>
      <c r="D2" t="inlineStr">
        <is>
          <t>2025-06-30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(annual)'!D42</f>
        <v/>
      </c>
      <c r="C3" s="3">
        <f>'Income stmt (annual)'!C42</f>
        <v/>
      </c>
      <c r="D3" s="3">
        <f>'Income stmt (annual)'!B42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(annual)'!D40</f>
        <v/>
      </c>
      <c r="C4" s="3">
        <f>'Income stmt (annual)'!C40</f>
        <v/>
      </c>
      <c r="D4" s="3">
        <f>'Income stmt (annual)'!B40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(annual)'!D33</f>
        <v/>
      </c>
      <c r="C6" s="3">
        <f>'Income stmt (annual)'!C33</f>
        <v/>
      </c>
      <c r="D6" s="3">
        <f>'Income stmt (annual)'!B33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0.129424</v>
      </c>
      <c r="C3" s="3" t="n">
        <v>0.052131</v>
      </c>
      <c r="D3" s="3" t="n">
        <v>0.147</v>
      </c>
      <c r="E3" s="3" t="n">
        <v>0.157</v>
      </c>
    </row>
    <row r="4">
      <c r="A4" t="inlineStr">
        <is>
          <t>Normalized EBITDA</t>
        </is>
      </c>
      <c r="B4" s="3" t="n">
        <v>1329833000</v>
      </c>
      <c r="C4" s="3" t="n">
        <v>1272184000</v>
      </c>
      <c r="D4" s="3" t="n">
        <v>799692000</v>
      </c>
      <c r="E4" s="3" t="n">
        <v>375717000</v>
      </c>
    </row>
    <row r="5">
      <c r="A5" t="inlineStr">
        <is>
          <t>Net Income From Continuing Operation Net Minority Interest</t>
        </is>
      </c>
      <c r="B5" s="3" t="n">
        <v>1048854000</v>
      </c>
      <c r="C5" s="3" t="n">
        <v>1152666000</v>
      </c>
      <c r="D5" s="3" t="n">
        <v>639998000</v>
      </c>
      <c r="E5" s="3" t="n">
        <v>285163000</v>
      </c>
    </row>
    <row r="6">
      <c r="A6" t="inlineStr">
        <is>
          <t>Reconciled Depreciation</t>
        </is>
      </c>
      <c r="B6" s="3" t="n">
        <v>58344000</v>
      </c>
      <c r="C6" s="3" t="n">
        <v>38693000</v>
      </c>
      <c r="D6" s="3" t="n">
        <v>34904000</v>
      </c>
      <c r="E6" s="3" t="n">
        <v>32471000</v>
      </c>
    </row>
    <row r="7">
      <c r="A7" t="inlineStr">
        <is>
          <t>Reconciled Cost Of Revenue</t>
        </is>
      </c>
      <c r="B7" s="3" t="n">
        <v>19542120000</v>
      </c>
      <c r="C7" s="3" t="n">
        <v>12927841000</v>
      </c>
      <c r="D7" s="3" t="n">
        <v>5840470000</v>
      </c>
      <c r="E7" s="3" t="n">
        <v>4396098000</v>
      </c>
    </row>
    <row r="8">
      <c r="A8" t="inlineStr">
        <is>
          <t>EBITDA</t>
        </is>
      </c>
      <c r="B8" s="3" t="n">
        <v>1329833000</v>
      </c>
      <c r="C8" s="3" t="n">
        <v>1272184000</v>
      </c>
      <c r="D8" s="3" t="n">
        <v>799692000</v>
      </c>
      <c r="E8" s="3" t="n">
        <v>375717000</v>
      </c>
    </row>
    <row r="9">
      <c r="A9" t="inlineStr">
        <is>
          <t>EBIT</t>
        </is>
      </c>
      <c r="B9" s="3" t="n">
        <v>1271489000</v>
      </c>
      <c r="C9" s="3" t="n">
        <v>1233491000</v>
      </c>
      <c r="D9" s="3" t="n">
        <v>764788000</v>
      </c>
      <c r="E9" s="3" t="n">
        <v>343246000</v>
      </c>
    </row>
    <row r="10">
      <c r="A10" t="inlineStr">
        <is>
          <t>Net Interest Income</t>
        </is>
      </c>
      <c r="B10" s="3" t="n">
        <v>-59573000</v>
      </c>
      <c r="C10" s="3" t="n">
        <v>-19352000</v>
      </c>
      <c r="D10" s="3" t="n">
        <v>-10491000</v>
      </c>
      <c r="E10" s="3" t="n">
        <v>-6413000</v>
      </c>
    </row>
    <row r="11">
      <c r="A11" t="inlineStr">
        <is>
          <t>Interest Expense</t>
        </is>
      </c>
      <c r="B11" s="3" t="n">
        <v>59573000</v>
      </c>
      <c r="C11" s="3" t="n">
        <v>19352000</v>
      </c>
      <c r="D11" s="3" t="n">
        <v>10491000</v>
      </c>
      <c r="E11" s="3" t="n">
        <v>6413000</v>
      </c>
    </row>
    <row r="12">
      <c r="A12" t="inlineStr">
        <is>
          <t>Normalized Income</t>
        </is>
      </c>
      <c r="B12" s="3" t="n">
        <v>1048854000</v>
      </c>
      <c r="C12" s="3" t="n">
        <v>1152666000</v>
      </c>
      <c r="D12" s="3" t="n">
        <v>639998000</v>
      </c>
      <c r="E12" s="3" t="n">
        <v>285163000</v>
      </c>
    </row>
    <row r="13">
      <c r="A13" t="inlineStr">
        <is>
          <t>Net Income From Continuing And Discontinued Operation</t>
        </is>
      </c>
      <c r="B13" s="3" t="n">
        <v>1048854000</v>
      </c>
      <c r="C13" s="3" t="n">
        <v>1152666000</v>
      </c>
      <c r="D13" s="3" t="n">
        <v>639998000</v>
      </c>
      <c r="E13" s="3" t="n">
        <v>285163000</v>
      </c>
    </row>
    <row r="14">
      <c r="A14" t="inlineStr">
        <is>
          <t>Total Expenses</t>
        </is>
      </c>
      <c r="B14" s="3" t="n">
        <v>20719048000</v>
      </c>
      <c r="C14" s="3" t="n">
        <v>13778477000</v>
      </c>
      <c r="D14" s="3" t="n">
        <v>6362340000</v>
      </c>
      <c r="E14" s="3" t="n">
        <v>4860932000</v>
      </c>
    </row>
    <row r="15">
      <c r="A15" t="inlineStr">
        <is>
          <t>Total Operating Income As Reported</t>
        </is>
      </c>
      <c r="B15" s="3" t="n">
        <v>1252994000</v>
      </c>
      <c r="C15" s="3" t="n">
        <v>1210774000</v>
      </c>
      <c r="D15" s="3" t="n">
        <v>761142000</v>
      </c>
      <c r="E15" s="3" t="n">
        <v>335167000</v>
      </c>
    </row>
    <row r="16">
      <c r="A16" t="inlineStr">
        <is>
          <t>Diluted Average Shares</t>
        </is>
      </c>
      <c r="B16" s="3" t="n">
        <v>628402000</v>
      </c>
      <c r="C16" s="3" t="n">
        <v>602150000</v>
      </c>
      <c r="D16" s="3" t="n">
        <v>559700000</v>
      </c>
      <c r="E16" s="3" t="n">
        <v>536150000</v>
      </c>
    </row>
    <row r="17">
      <c r="A17" t="inlineStr">
        <is>
          <t>Basic Average Shares</t>
        </is>
      </c>
      <c r="B17" s="3" t="n">
        <v>593665000</v>
      </c>
      <c r="C17" s="3" t="n">
        <v>555880000</v>
      </c>
      <c r="D17" s="3" t="n">
        <v>529250000</v>
      </c>
      <c r="E17" s="3" t="n">
        <v>514780000</v>
      </c>
    </row>
    <row r="18">
      <c r="A18" t="inlineStr">
        <is>
          <t>Diluted EPS</t>
        </is>
      </c>
      <c r="B18" s="3" t="n">
        <v>1.68</v>
      </c>
      <c r="C18" s="3" t="n">
        <v>2.009</v>
      </c>
      <c r="D18" s="3" t="n">
        <v>1.143</v>
      </c>
      <c r="E18" s="3" t="n">
        <v>0.532</v>
      </c>
    </row>
    <row r="19">
      <c r="A19" t="inlineStr">
        <is>
          <t>Basic EPS</t>
        </is>
      </c>
      <c r="B19" s="3" t="n">
        <v>1.77</v>
      </c>
      <c r="C19" s="3" t="n">
        <v>2.173</v>
      </c>
      <c r="D19" s="3" t="n">
        <v>1.209</v>
      </c>
      <c r="E19" s="3" t="n">
        <v>0.554</v>
      </c>
    </row>
    <row r="20">
      <c r="A20" t="inlineStr">
        <is>
          <t>Diluted NI Availto Com Stockholders</t>
        </is>
      </c>
      <c r="B20" s="3" t="n">
        <v>1048854000</v>
      </c>
      <c r="C20" s="3" t="n">
        <v>1152666000</v>
      </c>
      <c r="D20" s="3" t="n">
        <v>639998000</v>
      </c>
      <c r="E20" s="3" t="n">
        <v>285163000</v>
      </c>
    </row>
    <row r="21">
      <c r="A21" t="inlineStr">
        <is>
          <t>Average Dilution Earnings</t>
        </is>
      </c>
      <c r="B21" s="3" t="n"/>
      <c r="C21" s="3" t="n">
        <v>1480000</v>
      </c>
      <c r="D21" s="3" t="n">
        <v>0</v>
      </c>
      <c r="E21" s="3" t="n">
        <v>0</v>
      </c>
    </row>
    <row r="22">
      <c r="A22" t="inlineStr">
        <is>
          <t>Net Income Common Stockholders</t>
        </is>
      </c>
      <c r="B22" s="3" t="n">
        <v>1048854000</v>
      </c>
      <c r="C22" s="3" t="n">
        <v>1152666000</v>
      </c>
      <c r="D22" s="3" t="n">
        <v>639998000</v>
      </c>
      <c r="E22" s="3" t="n">
        <v>285163000</v>
      </c>
    </row>
    <row r="23">
      <c r="A23" t="inlineStr">
        <is>
          <t>Net Income</t>
        </is>
      </c>
      <c r="B23" s="3" t="n">
        <v>1048854000</v>
      </c>
      <c r="C23" s="3" t="n">
        <v>1152666000</v>
      </c>
      <c r="D23" s="3" t="n">
        <v>639998000</v>
      </c>
      <c r="E23" s="3" t="n">
        <v>285163000</v>
      </c>
    </row>
    <row r="24">
      <c r="A24" t="inlineStr">
        <is>
          <t>Net Income Including Noncontrolling Interests</t>
        </is>
      </c>
      <c r="B24" s="3" t="n">
        <v>1048854000</v>
      </c>
      <c r="C24" s="3" t="n">
        <v>1152666000</v>
      </c>
      <c r="D24" s="3" t="n">
        <v>639998000</v>
      </c>
      <c r="E24" s="3" t="n">
        <v>285163000</v>
      </c>
    </row>
    <row r="25">
      <c r="A25" t="inlineStr">
        <is>
          <t>Net Income Continuous Operations</t>
        </is>
      </c>
      <c r="B25" s="3" t="n">
        <v>1048854000</v>
      </c>
      <c r="C25" s="3" t="n">
        <v>1152666000</v>
      </c>
      <c r="D25" s="3" t="n">
        <v>639998000</v>
      </c>
      <c r="E25" s="3" t="n">
        <v>285163000</v>
      </c>
    </row>
    <row r="26">
      <c r="A26" t="inlineStr">
        <is>
          <t>Earnings From Equity Interest Net Of Tax</t>
        </is>
      </c>
      <c r="B26" s="3" t="n">
        <v>-6211000</v>
      </c>
      <c r="C26" s="3" t="n">
        <v>1821000</v>
      </c>
      <c r="D26" s="3" t="n">
        <v>-3633000</v>
      </c>
      <c r="E26" s="3" t="n">
        <v>1206000</v>
      </c>
    </row>
    <row r="27">
      <c r="A27" t="inlineStr">
        <is>
          <t>Tax Provision</t>
        </is>
      </c>
      <c r="B27" s="3" t="n">
        <v>156851000</v>
      </c>
      <c r="C27" s="3" t="n">
        <v>63294000</v>
      </c>
      <c r="D27" s="3" t="n">
        <v>110666000</v>
      </c>
      <c r="E27" s="3" t="n">
        <v>52876000</v>
      </c>
    </row>
    <row r="28">
      <c r="A28" t="inlineStr">
        <is>
          <t>Pretax Income</t>
        </is>
      </c>
      <c r="B28" s="3" t="n">
        <v>1211916000</v>
      </c>
      <c r="C28" s="3" t="n">
        <v>1214139000</v>
      </c>
      <c r="D28" s="3" t="n">
        <v>754297000</v>
      </c>
      <c r="E28" s="3" t="n">
        <v>336833000</v>
      </c>
    </row>
    <row r="29">
      <c r="A29" t="inlineStr">
        <is>
          <t>Other Income Expense</t>
        </is>
      </c>
      <c r="B29" s="3" t="n">
        <v>18495000</v>
      </c>
      <c r="C29" s="3" t="n">
        <v>22717000</v>
      </c>
      <c r="D29" s="3" t="n">
        <v>3646000</v>
      </c>
      <c r="E29" s="3" t="n">
        <v>8079000</v>
      </c>
    </row>
    <row r="30">
      <c r="A30" t="inlineStr">
        <is>
          <t>Other Non Operating Income Expenses</t>
        </is>
      </c>
      <c r="B30" s="3" t="n">
        <v>18495000</v>
      </c>
      <c r="C30" s="3" t="n">
        <v>22717000</v>
      </c>
      <c r="D30" s="3" t="n">
        <v>3646000</v>
      </c>
      <c r="E30" s="3" t="n">
        <v>8079000</v>
      </c>
    </row>
    <row r="31">
      <c r="A31" t="inlineStr">
        <is>
          <t>Net Non Operating Interest Income Expense</t>
        </is>
      </c>
      <c r="B31" s="3" t="n">
        <v>-59573000</v>
      </c>
      <c r="C31" s="3" t="n">
        <v>-19352000</v>
      </c>
      <c r="D31" s="3" t="n">
        <v>-10491000</v>
      </c>
      <c r="E31" s="3" t="n">
        <v>-6413000</v>
      </c>
    </row>
    <row r="32">
      <c r="A32" t="inlineStr">
        <is>
          <t>Interest Expense Non Operating</t>
        </is>
      </c>
      <c r="B32" s="3" t="n">
        <v>59573000</v>
      </c>
      <c r="C32" s="3" t="n">
        <v>19352000</v>
      </c>
      <c r="D32" s="3" t="n">
        <v>10491000</v>
      </c>
      <c r="E32" s="3" t="n">
        <v>6413000</v>
      </c>
    </row>
    <row r="33">
      <c r="A33" t="inlineStr">
        <is>
          <t>Operating Income</t>
        </is>
      </c>
      <c r="B33" s="3" t="n">
        <v>1252994000</v>
      </c>
      <c r="C33" s="3" t="n">
        <v>1210774000</v>
      </c>
      <c r="D33" s="3" t="n">
        <v>761142000</v>
      </c>
      <c r="E33" s="3" t="n">
        <v>335167000</v>
      </c>
    </row>
    <row r="34">
      <c r="A34" t="inlineStr">
        <is>
          <t>Operating Expense</t>
        </is>
      </c>
      <c r="B34" s="3" t="n">
        <v>1176928000</v>
      </c>
      <c r="C34" s="3" t="n">
        <v>850636000</v>
      </c>
      <c r="D34" s="3" t="n">
        <v>521870000</v>
      </c>
      <c r="E34" s="3" t="n">
        <v>464834000</v>
      </c>
    </row>
    <row r="35">
      <c r="A35" t="inlineStr">
        <is>
          <t>Research And Development</t>
        </is>
      </c>
      <c r="B35" s="3" t="n">
        <v>636550000</v>
      </c>
      <c r="C35" s="3" t="n">
        <v>463548000</v>
      </c>
      <c r="D35" s="3" t="n">
        <v>307260000</v>
      </c>
      <c r="E35" s="3" t="n">
        <v>272273000</v>
      </c>
    </row>
    <row r="36">
      <c r="A36" t="inlineStr">
        <is>
          <t>Selling General And Administration</t>
        </is>
      </c>
      <c r="B36" s="3" t="n">
        <v>540378000</v>
      </c>
      <c r="C36" s="3" t="n">
        <v>387088000</v>
      </c>
      <c r="D36" s="3" t="n">
        <v>214610000</v>
      </c>
      <c r="E36" s="3" t="n">
        <v>192561000</v>
      </c>
    </row>
    <row r="37">
      <c r="A37" t="inlineStr">
        <is>
          <t>Selling And Marketing Expense</t>
        </is>
      </c>
      <c r="B37" s="3" t="n">
        <v>273139000</v>
      </c>
      <c r="C37" s="3" t="n">
        <v>189738000</v>
      </c>
      <c r="D37" s="3" t="n">
        <v>115025000</v>
      </c>
      <c r="E37" s="3" t="n">
        <v>90126000</v>
      </c>
    </row>
    <row r="38">
      <c r="A38" t="inlineStr">
        <is>
          <t>General And Administrative Expense</t>
        </is>
      </c>
      <c r="B38" s="3" t="n">
        <v>267239000</v>
      </c>
      <c r="C38" s="3" t="n">
        <v>197350000</v>
      </c>
      <c r="D38" s="3" t="n">
        <v>99585000</v>
      </c>
      <c r="E38" s="3" t="n">
        <v>102435000</v>
      </c>
    </row>
    <row r="39">
      <c r="A39" t="inlineStr">
        <is>
          <t>Other Gand A</t>
        </is>
      </c>
      <c r="B39" s="3" t="n">
        <v>267239000</v>
      </c>
      <c r="C39" s="3" t="n">
        <v>197350000</v>
      </c>
      <c r="D39" s="3" t="n">
        <v>99585000</v>
      </c>
      <c r="E39" s="3" t="n">
        <v>102435000</v>
      </c>
    </row>
    <row r="40">
      <c r="A40" t="inlineStr">
        <is>
          <t>Gross Profit</t>
        </is>
      </c>
      <c r="B40" s="3" t="n">
        <v>2429922000</v>
      </c>
      <c r="C40" s="3" t="n">
        <v>2061410000</v>
      </c>
      <c r="D40" s="3" t="n">
        <v>1283012000</v>
      </c>
      <c r="E40" s="3" t="n">
        <v>800001000</v>
      </c>
    </row>
    <row r="41">
      <c r="A41" t="inlineStr">
        <is>
          <t>Cost Of Revenue</t>
        </is>
      </c>
      <c r="B41" s="3" t="n">
        <v>19542120000</v>
      </c>
      <c r="C41" s="3" t="n">
        <v>12927841000</v>
      </c>
      <c r="D41" s="3" t="n">
        <v>5840470000</v>
      </c>
      <c r="E41" s="3" t="n">
        <v>4396098000</v>
      </c>
    </row>
    <row r="42">
      <c r="A42" t="inlineStr">
        <is>
          <t>Total Revenue</t>
        </is>
      </c>
      <c r="B42" s="3" t="n">
        <v>21972042000</v>
      </c>
      <c r="C42" s="3" t="n">
        <v>14989251000</v>
      </c>
      <c r="D42" s="3" t="n">
        <v>7123482000</v>
      </c>
      <c r="E42" s="3" t="n">
        <v>5196099000</v>
      </c>
    </row>
    <row r="43">
      <c r="A43" t="inlineStr">
        <is>
          <t>Operating Revenue</t>
        </is>
      </c>
      <c r="B43" s="3" t="n">
        <v>21972042000</v>
      </c>
      <c r="C43" s="3" t="n">
        <v>14989251000</v>
      </c>
      <c r="D43" s="3" t="n">
        <v>7123482000</v>
      </c>
      <c r="E43" s="3" t="n">
        <v>5196099000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0.207682</v>
      </c>
      <c r="C3" s="3" t="n">
        <v>0.19822</v>
      </c>
      <c r="D3" s="3" t="n">
        <v>0.192571</v>
      </c>
      <c r="E3" s="3" t="n">
        <v>0.086685</v>
      </c>
      <c r="F3" s="3" t="n">
        <v>0.05078</v>
      </c>
      <c r="G3" s="3" t="n"/>
    </row>
    <row r="4">
      <c r="A4" t="inlineStr">
        <is>
          <t>Normalized EBITDA</t>
        </is>
      </c>
      <c r="B4" s="3" t="n">
        <v>698384000</v>
      </c>
      <c r="C4" s="3" t="n">
        <v>547982000</v>
      </c>
      <c r="D4" s="3" t="n">
        <v>254090000</v>
      </c>
      <c r="E4" s="3" t="n">
        <v>263643000</v>
      </c>
      <c r="F4" s="3" t="n">
        <v>143627000</v>
      </c>
      <c r="G4" s="3" t="n"/>
    </row>
    <row r="5">
      <c r="A5" t="inlineStr">
        <is>
          <t>Net Income From Continuing Operation Net Minority Interest</t>
        </is>
      </c>
      <c r="B5" s="3" t="n">
        <v>483387000</v>
      </c>
      <c r="C5" s="3" t="n">
        <v>400564000</v>
      </c>
      <c r="D5" s="3" t="n">
        <v>168285000</v>
      </c>
      <c r="E5" s="3" t="n">
        <v>195154000</v>
      </c>
      <c r="F5" s="3" t="n">
        <v>108777000</v>
      </c>
      <c r="G5" s="3" t="n"/>
    </row>
    <row r="6">
      <c r="A6" t="inlineStr">
        <is>
          <t>Reconciled Depreciation</t>
        </is>
      </c>
      <c r="B6" s="3" t="n">
        <v>22932000</v>
      </c>
      <c r="C6" s="3" t="n">
        <v>22417000</v>
      </c>
      <c r="D6" s="3" t="n">
        <v>20607000</v>
      </c>
      <c r="E6" s="3" t="n">
        <v>18636000</v>
      </c>
      <c r="F6" s="3" t="n">
        <v>15160000</v>
      </c>
      <c r="G6" s="3" t="n"/>
    </row>
    <row r="7">
      <c r="A7" t="inlineStr">
        <is>
          <t>Reconciled Cost Of Revenue</t>
        </is>
      </c>
      <c r="B7" s="3" t="n">
        <v>9224334000</v>
      </c>
      <c r="C7" s="3" t="n">
        <v>11883924000</v>
      </c>
      <c r="D7" s="3" t="n">
        <v>4550417000</v>
      </c>
      <c r="E7" s="3" t="n">
        <v>5212809000</v>
      </c>
      <c r="F7" s="3" t="n">
        <v>4159695000</v>
      </c>
      <c r="G7" s="3" t="n"/>
    </row>
    <row r="8">
      <c r="A8" t="inlineStr">
        <is>
          <t>EBITDA</t>
        </is>
      </c>
      <c r="B8" s="3" t="n">
        <v>698384000</v>
      </c>
      <c r="C8" s="3" t="n">
        <v>547982000</v>
      </c>
      <c r="D8" s="3" t="n">
        <v>254090000</v>
      </c>
      <c r="E8" s="3" t="n">
        <v>263643000</v>
      </c>
      <c r="F8" s="3" t="n">
        <v>143627000</v>
      </c>
      <c r="G8" s="3" t="n"/>
    </row>
    <row r="9">
      <c r="A9" t="inlineStr">
        <is>
          <t>EBIT</t>
        </is>
      </c>
      <c r="B9" s="3" t="n">
        <v>675452000</v>
      </c>
      <c r="C9" s="3" t="n">
        <v>525565000</v>
      </c>
      <c r="D9" s="3" t="n">
        <v>233483000</v>
      </c>
      <c r="E9" s="3" t="n">
        <v>245007000</v>
      </c>
      <c r="F9" s="3" t="n">
        <v>128467000</v>
      </c>
      <c r="G9" s="3" t="n"/>
    </row>
    <row r="10">
      <c r="A10" t="inlineStr">
        <is>
          <t>Net Interest Income</t>
        </is>
      </c>
      <c r="B10" s="3" t="n">
        <v>-19046000</v>
      </c>
      <c r="C10" s="3" t="n">
        <v>25684000</v>
      </c>
      <c r="D10" s="3" t="n">
        <v>-24931000</v>
      </c>
      <c r="E10" s="3" t="n">
        <v>-22282000</v>
      </c>
      <c r="F10" s="3" t="n">
        <v>1252000</v>
      </c>
      <c r="G10" s="3" t="n"/>
    </row>
    <row r="11">
      <c r="A11" t="inlineStr">
        <is>
          <t>Interest Expense</t>
        </is>
      </c>
      <c r="B11" s="3" t="n">
        <v>64483000</v>
      </c>
      <c r="C11" s="3" t="n">
        <v>25358000</v>
      </c>
      <c r="D11" s="3" t="n">
        <v>24931000</v>
      </c>
      <c r="E11" s="3" t="n">
        <v>22282000</v>
      </c>
      <c r="F11" s="3" t="n">
        <v>13402000</v>
      </c>
      <c r="G11" s="3" t="n"/>
    </row>
    <row r="12">
      <c r="A12" t="inlineStr">
        <is>
          <t>Interest Income</t>
        </is>
      </c>
      <c r="B12" s="3" t="n">
        <v>45437000</v>
      </c>
      <c r="C12" s="3" t="n">
        <v>51042000</v>
      </c>
      <c r="D12" s="3" t="n"/>
      <c r="E12" s="3" t="n"/>
      <c r="F12" s="3" t="n">
        <v>14654000</v>
      </c>
      <c r="G12" s="3" t="n">
        <v>8776000</v>
      </c>
    </row>
    <row r="13">
      <c r="A13" t="inlineStr">
        <is>
          <t>Normalized Income</t>
        </is>
      </c>
      <c r="B13" s="3" t="n">
        <v>483387000</v>
      </c>
      <c r="C13" s="3" t="n">
        <v>400564000</v>
      </c>
      <c r="D13" s="3" t="n">
        <v>168285000</v>
      </c>
      <c r="E13" s="3" t="n">
        <v>195154000</v>
      </c>
      <c r="F13" s="3" t="n">
        <v>108777000</v>
      </c>
      <c r="G13" s="3" t="n"/>
    </row>
    <row r="14">
      <c r="A14" t="inlineStr">
        <is>
          <t>Net Income From Continuing And Discontinued Operation</t>
        </is>
      </c>
      <c r="B14" s="3" t="n">
        <v>483387000</v>
      </c>
      <c r="C14" s="3" t="n">
        <v>400564000</v>
      </c>
      <c r="D14" s="3" t="n">
        <v>168285000</v>
      </c>
      <c r="E14" s="3" t="n">
        <v>195154000</v>
      </c>
      <c r="F14" s="3" t="n">
        <v>108777000</v>
      </c>
      <c r="G14" s="3" t="n"/>
    </row>
    <row r="15">
      <c r="A15" t="inlineStr">
        <is>
          <t>Total Expenses</t>
        </is>
      </c>
      <c r="B15" s="3" t="n">
        <v>9617146000</v>
      </c>
      <c r="C15" s="3" t="n">
        <v>12208193000</v>
      </c>
      <c r="D15" s="3" t="n">
        <v>4835534000</v>
      </c>
      <c r="E15" s="3" t="n">
        <v>5528520000</v>
      </c>
      <c r="F15" s="3" t="n">
        <v>4453133000</v>
      </c>
      <c r="G15" s="3" t="n"/>
    </row>
    <row r="16">
      <c r="A16" t="inlineStr">
        <is>
          <t>Total Operating Income As Reported</t>
        </is>
      </c>
      <c r="B16" s="3" t="n">
        <v>625868000</v>
      </c>
      <c r="C16" s="3" t="n">
        <v>474298000</v>
      </c>
      <c r="D16" s="3" t="n">
        <v>182256000</v>
      </c>
      <c r="E16" s="3" t="n">
        <v>228391000</v>
      </c>
      <c r="F16" s="3" t="n">
        <v>146780000</v>
      </c>
      <c r="G16" s="3" t="n"/>
    </row>
    <row r="17">
      <c r="A17" t="inlineStr">
        <is>
          <t>Diluted Average Shares</t>
        </is>
      </c>
      <c r="B17" s="3" t="n">
        <v>692189000</v>
      </c>
      <c r="C17" s="3" t="n">
        <v>693989000</v>
      </c>
      <c r="D17" s="3" t="n">
        <v>663235000</v>
      </c>
      <c r="E17" s="3" t="n">
        <v>624671000</v>
      </c>
      <c r="F17" s="3" t="n">
        <v>621809000</v>
      </c>
      <c r="G17" s="3" t="n"/>
    </row>
    <row r="18">
      <c r="A18" t="inlineStr">
        <is>
          <t>Basic Average Shares</t>
        </is>
      </c>
      <c r="B18" s="3" t="n">
        <v>600205000</v>
      </c>
      <c r="C18" s="3" t="n">
        <v>598004000</v>
      </c>
      <c r="D18" s="3" t="n">
        <v>595624000</v>
      </c>
      <c r="E18" s="3" t="n">
        <v>597627000</v>
      </c>
      <c r="F18" s="3" t="n">
        <v>595041000</v>
      </c>
      <c r="G18" s="3" t="n"/>
    </row>
    <row r="19">
      <c r="A19" t="inlineStr">
        <is>
          <t>Diluted EPS</t>
        </is>
      </c>
      <c r="B19" s="3" t="n">
        <v>0.72</v>
      </c>
      <c r="C19" s="3" t="n">
        <v>0.6</v>
      </c>
      <c r="D19" s="3" t="n">
        <v>0.26</v>
      </c>
      <c r="E19" s="3" t="n">
        <v>0.31</v>
      </c>
      <c r="F19" s="3" t="n">
        <v>0.17</v>
      </c>
      <c r="G19" s="3" t="n"/>
    </row>
    <row r="20">
      <c r="A20" t="inlineStr">
        <is>
          <t>Basic EPS</t>
        </is>
      </c>
      <c r="B20" s="3" t="n">
        <v>0.8100000000000001</v>
      </c>
      <c r="C20" s="3" t="n">
        <v>0.67</v>
      </c>
      <c r="D20" s="3" t="n">
        <v>0.28</v>
      </c>
      <c r="E20" s="3" t="n">
        <v>0.33</v>
      </c>
      <c r="F20" s="3" t="n">
        <v>0.18</v>
      </c>
      <c r="G20" s="3" t="n"/>
    </row>
    <row r="21">
      <c r="A21" t="inlineStr">
        <is>
          <t>Diluted NI Availto Com Stockholders</t>
        </is>
      </c>
      <c r="B21" s="3" t="n">
        <v>501275000</v>
      </c>
      <c r="C21" s="3" t="n">
        <v>418452000</v>
      </c>
      <c r="D21" s="3" t="n">
        <v>169965000</v>
      </c>
      <c r="E21" s="3" t="n">
        <v>193377000</v>
      </c>
      <c r="F21" s="3" t="n">
        <v>108777000</v>
      </c>
      <c r="G21" s="3" t="n"/>
    </row>
    <row r="22">
      <c r="A22" t="inlineStr">
        <is>
          <t>Average Dilution Earnings</t>
        </is>
      </c>
      <c r="B22" s="3" t="n">
        <v>17888000</v>
      </c>
      <c r="C22" s="3" t="n">
        <v>17888000</v>
      </c>
      <c r="D22" s="3" t="n">
        <v>1680000</v>
      </c>
      <c r="E22" s="3" t="n"/>
      <c r="F22" s="3" t="n">
        <v>0</v>
      </c>
      <c r="G22" s="3" t="n">
        <v>1110000</v>
      </c>
    </row>
    <row r="23">
      <c r="A23" t="inlineStr">
        <is>
          <t>Net Income Common Stockholders</t>
        </is>
      </c>
      <c r="B23" s="3" t="n">
        <v>483387000</v>
      </c>
      <c r="C23" s="3" t="n">
        <v>400564000</v>
      </c>
      <c r="D23" s="3" t="n">
        <v>168285000</v>
      </c>
      <c r="E23" s="3" t="n">
        <v>195154000</v>
      </c>
      <c r="F23" s="3" t="n">
        <v>108777000</v>
      </c>
      <c r="G23" s="3" t="n"/>
    </row>
    <row r="24">
      <c r="A24" t="inlineStr">
        <is>
          <t>Net Income</t>
        </is>
      </c>
      <c r="B24" s="3" t="n">
        <v>483387000</v>
      </c>
      <c r="C24" s="3" t="n">
        <v>400564000</v>
      </c>
      <c r="D24" s="3" t="n">
        <v>168285000</v>
      </c>
      <c r="E24" s="3" t="n">
        <v>195154000</v>
      </c>
      <c r="F24" s="3" t="n">
        <v>108777000</v>
      </c>
      <c r="G24" s="3" t="n"/>
    </row>
    <row r="25">
      <c r="A25" t="inlineStr">
        <is>
          <t>Net Income Including Noncontrolling Interests</t>
        </is>
      </c>
      <c r="B25" s="3" t="n">
        <v>483387000</v>
      </c>
      <c r="C25" s="3" t="n">
        <v>400564000</v>
      </c>
      <c r="D25" s="3" t="n">
        <v>168285000</v>
      </c>
      <c r="E25" s="3" t="n">
        <v>195154000</v>
      </c>
      <c r="F25" s="3" t="n">
        <v>108777000</v>
      </c>
      <c r="G25" s="3" t="n"/>
    </row>
    <row r="26">
      <c r="A26" t="inlineStr">
        <is>
          <t>Net Income Continuous Operations</t>
        </is>
      </c>
      <c r="B26" s="3" t="n">
        <v>483387000</v>
      </c>
      <c r="C26" s="3" t="n">
        <v>400564000</v>
      </c>
      <c r="D26" s="3" t="n">
        <v>168285000</v>
      </c>
      <c r="E26" s="3" t="n">
        <v>195154000</v>
      </c>
      <c r="F26" s="3" t="n">
        <v>108777000</v>
      </c>
      <c r="G26" s="3" t="n"/>
    </row>
    <row r="27">
      <c r="A27" t="inlineStr">
        <is>
          <t>Earnings From Equity Interest Net Of Tax</t>
        </is>
      </c>
      <c r="B27" s="3" t="n">
        <v>-695000</v>
      </c>
      <c r="C27" s="3" t="n">
        <v>-492000</v>
      </c>
      <c r="D27" s="3" t="n">
        <v>-106000</v>
      </c>
      <c r="E27" s="3" t="n">
        <v>-8264000</v>
      </c>
      <c r="F27" s="3" t="n">
        <v>-445000</v>
      </c>
      <c r="G27" s="3" t="n"/>
    </row>
    <row r="28">
      <c r="A28" t="inlineStr">
        <is>
          <t>Tax Provision</t>
        </is>
      </c>
      <c r="B28" s="3" t="n">
        <v>126887000</v>
      </c>
      <c r="C28" s="3" t="n">
        <v>99151000</v>
      </c>
      <c r="D28" s="3" t="n">
        <v>40161000</v>
      </c>
      <c r="E28" s="3" t="n">
        <v>19307000</v>
      </c>
      <c r="F28" s="3" t="n">
        <v>5843000</v>
      </c>
      <c r="G28" s="3" t="n"/>
    </row>
    <row r="29">
      <c r="A29" t="inlineStr">
        <is>
          <t>Pretax Income</t>
        </is>
      </c>
      <c r="B29" s="3" t="n">
        <v>610969000</v>
      </c>
      <c r="C29" s="3" t="n">
        <v>500207000</v>
      </c>
      <c r="D29" s="3" t="n">
        <v>208552000</v>
      </c>
      <c r="E29" s="3" t="n">
        <v>222725000</v>
      </c>
      <c r="F29" s="3" t="n">
        <v>115065000</v>
      </c>
      <c r="G29" s="3" t="n"/>
    </row>
    <row r="30">
      <c r="A30" t="inlineStr">
        <is>
          <t>Other Income Expense</t>
        </is>
      </c>
      <c r="B30" s="3" t="n">
        <v>4147000</v>
      </c>
      <c r="C30" s="3" t="n">
        <v>225000</v>
      </c>
      <c r="D30" s="3" t="n">
        <v>51227000</v>
      </c>
      <c r="E30" s="3" t="n">
        <v>16616000</v>
      </c>
      <c r="F30" s="3" t="n">
        <v>-32967000</v>
      </c>
      <c r="G30" s="3" t="n"/>
    </row>
    <row r="31">
      <c r="A31" t="inlineStr">
        <is>
          <t>Other Non Operating Income Expenses</t>
        </is>
      </c>
      <c r="B31" s="3" t="n">
        <v>4147000</v>
      </c>
      <c r="C31" s="3" t="n">
        <v>225000</v>
      </c>
      <c r="D31" s="3" t="n">
        <v>51227000</v>
      </c>
      <c r="E31" s="3" t="n">
        <v>16616000</v>
      </c>
      <c r="F31" s="3" t="n">
        <v>-32967000</v>
      </c>
      <c r="G31" s="3" t="n"/>
    </row>
    <row r="32">
      <c r="A32" t="inlineStr">
        <is>
          <t>Net Non Operating Interest Income Expense</t>
        </is>
      </c>
      <c r="B32" s="3" t="n">
        <v>-19046000</v>
      </c>
      <c r="C32" s="3" t="n">
        <v>25684000</v>
      </c>
      <c r="D32" s="3" t="n">
        <v>-24931000</v>
      </c>
      <c r="E32" s="3" t="n">
        <v>-22282000</v>
      </c>
      <c r="F32" s="3" t="n">
        <v>1252000</v>
      </c>
      <c r="G32" s="3" t="n"/>
    </row>
    <row r="33">
      <c r="A33" t="inlineStr">
        <is>
          <t>Interest Expense Non Operating</t>
        </is>
      </c>
      <c r="B33" s="3" t="n">
        <v>64483000</v>
      </c>
      <c r="C33" s="3" t="n">
        <v>25358000</v>
      </c>
      <c r="D33" s="3" t="n">
        <v>24931000</v>
      </c>
      <c r="E33" s="3" t="n">
        <v>22282000</v>
      </c>
      <c r="F33" s="3" t="n">
        <v>13402000</v>
      </c>
      <c r="G33" s="3" t="n"/>
    </row>
    <row r="34">
      <c r="A34" t="inlineStr">
        <is>
          <t>Interest Income Non Operating</t>
        </is>
      </c>
      <c r="B34" s="3" t="n">
        <v>45437000</v>
      </c>
      <c r="C34" s="3" t="n">
        <v>51042000</v>
      </c>
      <c r="D34" s="3" t="n"/>
      <c r="E34" s="3" t="n"/>
      <c r="F34" s="3" t="n">
        <v>14654000</v>
      </c>
      <c r="G34" s="3" t="n">
        <v>8776000</v>
      </c>
    </row>
    <row r="35">
      <c r="A35" t="inlineStr">
        <is>
          <t>Operating Income</t>
        </is>
      </c>
      <c r="B35" s="3" t="n">
        <v>625868000</v>
      </c>
      <c r="C35" s="3" t="n">
        <v>474298000</v>
      </c>
      <c r="D35" s="3" t="n">
        <v>182256000</v>
      </c>
      <c r="E35" s="3" t="n">
        <v>228391000</v>
      </c>
      <c r="F35" s="3" t="n">
        <v>146780000</v>
      </c>
      <c r="G35" s="3" t="n"/>
    </row>
    <row r="36">
      <c r="A36" t="inlineStr">
        <is>
          <t>Operating Expense</t>
        </is>
      </c>
      <c r="B36" s="3" t="n">
        <v>392812000</v>
      </c>
      <c r="C36" s="3" t="n">
        <v>324269000</v>
      </c>
      <c r="D36" s="3" t="n">
        <v>285117000</v>
      </c>
      <c r="E36" s="3" t="n">
        <v>315711000</v>
      </c>
      <c r="F36" s="3" t="n">
        <v>293438000</v>
      </c>
      <c r="G36" s="3" t="n"/>
    </row>
    <row r="37">
      <c r="A37" t="inlineStr">
        <is>
          <t>Research And Development</t>
        </is>
      </c>
      <c r="B37" s="3" t="n">
        <v>215659000</v>
      </c>
      <c r="C37" s="3" t="n">
        <v>180761000</v>
      </c>
      <c r="D37" s="3" t="n">
        <v>173314000</v>
      </c>
      <c r="E37" s="3" t="n">
        <v>183221000</v>
      </c>
      <c r="F37" s="3" t="n">
        <v>162857000</v>
      </c>
      <c r="G37" s="3" t="n"/>
    </row>
    <row r="38">
      <c r="A38" t="inlineStr">
        <is>
          <t>Selling General And Administration</t>
        </is>
      </c>
      <c r="B38" s="3" t="n">
        <v>177153000</v>
      </c>
      <c r="C38" s="3" t="n">
        <v>143508000</v>
      </c>
      <c r="D38" s="3" t="n">
        <v>111803000</v>
      </c>
      <c r="E38" s="3" t="n">
        <v>132490000</v>
      </c>
      <c r="F38" s="3" t="n">
        <v>130581000</v>
      </c>
      <c r="G38" s="3" t="n"/>
    </row>
    <row r="39">
      <c r="A39" t="inlineStr">
        <is>
          <t>Selling And Marketing Expense</t>
        </is>
      </c>
      <c r="B39" s="3" t="n">
        <v>89510000</v>
      </c>
      <c r="C39" s="3" t="n">
        <v>73078000</v>
      </c>
      <c r="D39" s="3" t="n">
        <v>47928000</v>
      </c>
      <c r="E39" s="3" t="n">
        <v>64739000</v>
      </c>
      <c r="F39" s="3" t="n">
        <v>59978000</v>
      </c>
      <c r="G39" s="3" t="n"/>
    </row>
    <row r="40">
      <c r="A40" t="inlineStr">
        <is>
          <t>General And Administrative Expense</t>
        </is>
      </c>
      <c r="B40" s="3" t="n">
        <v>87643000</v>
      </c>
      <c r="C40" s="3" t="n">
        <v>70430000</v>
      </c>
      <c r="D40" s="3" t="n">
        <v>63875000</v>
      </c>
      <c r="E40" s="3" t="n">
        <v>67751000</v>
      </c>
      <c r="F40" s="3" t="n">
        <v>70603000</v>
      </c>
      <c r="G40" s="3" t="n"/>
    </row>
    <row r="41">
      <c r="A41" t="inlineStr">
        <is>
          <t>Other Gand A</t>
        </is>
      </c>
      <c r="B41" s="3" t="n">
        <v>87643000</v>
      </c>
      <c r="C41" s="3" t="n">
        <v>70430000</v>
      </c>
      <c r="D41" s="3" t="n">
        <v>63875000</v>
      </c>
      <c r="E41" s="3" t="n">
        <v>67751000</v>
      </c>
      <c r="F41" s="3" t="n">
        <v>70603000</v>
      </c>
      <c r="G41" s="3" t="n"/>
    </row>
    <row r="42">
      <c r="A42" t="inlineStr">
        <is>
          <t>Gross Profit</t>
        </is>
      </c>
      <c r="B42" s="3" t="n">
        <v>1018680000</v>
      </c>
      <c r="C42" s="3" t="n">
        <v>798567000</v>
      </c>
      <c r="D42" s="3" t="n">
        <v>467373000</v>
      </c>
      <c r="E42" s="3" t="n">
        <v>544102000</v>
      </c>
      <c r="F42" s="3" t="n">
        <v>440218000</v>
      </c>
      <c r="G42" s="3" t="n"/>
    </row>
    <row r="43">
      <c r="A43" t="inlineStr">
        <is>
          <t>Cost Of Revenue</t>
        </is>
      </c>
      <c r="B43" s="3" t="n">
        <v>9224334000</v>
      </c>
      <c r="C43" s="3" t="n">
        <v>11883924000</v>
      </c>
      <c r="D43" s="3" t="n">
        <v>4550417000</v>
      </c>
      <c r="E43" s="3" t="n">
        <v>5212809000</v>
      </c>
      <c r="F43" s="3" t="n">
        <v>4159695000</v>
      </c>
      <c r="G43" s="3" t="n"/>
    </row>
    <row r="44">
      <c r="A44" t="inlineStr">
        <is>
          <t>Total Revenue</t>
        </is>
      </c>
      <c r="B44" s="3" t="n">
        <v>10243014000</v>
      </c>
      <c r="C44" s="3" t="n">
        <v>12682491000</v>
      </c>
      <c r="D44" s="3" t="n">
        <v>5017790000</v>
      </c>
      <c r="E44" s="3" t="n">
        <v>5756911000</v>
      </c>
      <c r="F44" s="3" t="n">
        <v>4599913000</v>
      </c>
      <c r="G44" s="3" t="n"/>
    </row>
    <row r="45">
      <c r="A45" t="inlineStr">
        <is>
          <t>Operating Revenue</t>
        </is>
      </c>
      <c r="B45" s="3" t="n">
        <v>10243014000</v>
      </c>
      <c r="C45" s="3" t="n">
        <v>12682491000</v>
      </c>
      <c r="D45" s="3" t="n">
        <v>5017790000</v>
      </c>
      <c r="E45" s="3" t="n">
        <v>5756911000</v>
      </c>
      <c r="F45" s="3" t="n">
        <v>4599913000</v>
      </c>
      <c r="G4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Ordinary Shares Number</t>
        </is>
      </c>
      <c r="B2" s="3" t="n">
        <v>594136852</v>
      </c>
      <c r="C2" s="3" t="n">
        <v>588087410</v>
      </c>
      <c r="D2" s="3" t="n">
        <v>529013580</v>
      </c>
      <c r="E2" s="3" t="n">
        <v>523110000</v>
      </c>
      <c r="F2" s="3" t="n"/>
    </row>
    <row r="3">
      <c r="A3" t="inlineStr">
        <is>
          <t>Share Issued</t>
        </is>
      </c>
      <c r="B3" s="3" t="n">
        <v>594136852</v>
      </c>
      <c r="C3" s="3" t="n">
        <v>588087410</v>
      </c>
      <c r="D3" s="3" t="n">
        <v>529013580</v>
      </c>
      <c r="E3" s="3" t="n">
        <v>523110000</v>
      </c>
      <c r="F3" s="3" t="n"/>
    </row>
    <row r="4">
      <c r="A4" t="inlineStr">
        <is>
          <t>Net Debt</t>
        </is>
      </c>
      <c r="B4" s="3" t="n"/>
      <c r="C4" s="3" t="n">
        <v>504379000</v>
      </c>
      <c r="D4" s="3" t="n"/>
      <c r="E4" s="3" t="n">
        <v>329367000</v>
      </c>
      <c r="F4" s="3" t="n"/>
    </row>
    <row r="5">
      <c r="A5" t="inlineStr">
        <is>
          <t>Total Debt</t>
        </is>
      </c>
      <c r="B5" s="3" t="n">
        <v>4778842000</v>
      </c>
      <c r="C5" s="3" t="n">
        <v>2183393000</v>
      </c>
      <c r="D5" s="3" t="n">
        <v>290302000</v>
      </c>
      <c r="E5" s="3" t="n">
        <v>596764000</v>
      </c>
      <c r="F5" s="3" t="n"/>
    </row>
    <row r="6">
      <c r="A6" t="inlineStr">
        <is>
          <t>Tangible Book Value</t>
        </is>
      </c>
      <c r="B6" s="3" t="n">
        <v>6301693000</v>
      </c>
      <c r="C6" s="3" t="n">
        <v>5417206000</v>
      </c>
      <c r="D6" s="3" t="n">
        <v>1972005000</v>
      </c>
      <c r="E6" s="3" t="n">
        <v>1425575000</v>
      </c>
      <c r="F6" s="3" t="n"/>
    </row>
    <row r="7">
      <c r="A7" t="inlineStr">
        <is>
          <t>Invested Capital</t>
        </is>
      </c>
      <c r="B7" s="3" t="n">
        <v>11059346000</v>
      </c>
      <c r="C7" s="3" t="n">
        <v>7591351000</v>
      </c>
      <c r="D7" s="3" t="n">
        <v>2262307000</v>
      </c>
      <c r="E7" s="3" t="n">
        <v>2022339000</v>
      </c>
      <c r="F7" s="3" t="n"/>
    </row>
    <row r="8">
      <c r="A8" t="inlineStr">
        <is>
          <t>Working Capital</t>
        </is>
      </c>
      <c r="B8" s="3" t="n">
        <v>9956862000</v>
      </c>
      <c r="C8" s="3" t="n">
        <v>6586239000</v>
      </c>
      <c r="D8" s="3" t="n">
        <v>1804774000</v>
      </c>
      <c r="E8" s="3" t="n">
        <v>1336291000</v>
      </c>
      <c r="F8" s="3" t="n"/>
    </row>
    <row r="9">
      <c r="A9" t="inlineStr">
        <is>
          <t>Net Tangible Assets</t>
        </is>
      </c>
      <c r="B9" s="3" t="n">
        <v>6301693000</v>
      </c>
      <c r="C9" s="3" t="n">
        <v>5417206000</v>
      </c>
      <c r="D9" s="3" t="n">
        <v>1972005000</v>
      </c>
      <c r="E9" s="3" t="n">
        <v>1425575000</v>
      </c>
      <c r="F9" s="3" t="n"/>
    </row>
    <row r="10">
      <c r="A10" t="inlineStr">
        <is>
          <t>Capital Lease Obligations</t>
        </is>
      </c>
      <c r="B10" s="3" t="n">
        <v>21189000</v>
      </c>
      <c r="C10" s="3" t="n">
        <v>9248000</v>
      </c>
      <c r="D10" s="3" t="n"/>
      <c r="E10" s="3" t="n">
        <v>23800000</v>
      </c>
      <c r="F10" s="3" t="n">
        <v>20861000</v>
      </c>
    </row>
    <row r="11">
      <c r="A11" t="inlineStr">
        <is>
          <t>Common Stock Equity</t>
        </is>
      </c>
      <c r="B11" s="3" t="n">
        <v>6301693000</v>
      </c>
      <c r="C11" s="3" t="n">
        <v>5417206000</v>
      </c>
      <c r="D11" s="3" t="n">
        <v>1972005000</v>
      </c>
      <c r="E11" s="3" t="n">
        <v>1425575000</v>
      </c>
      <c r="F11" s="3" t="n"/>
    </row>
    <row r="12">
      <c r="A12" t="inlineStr">
        <is>
          <t>Total Capitalization</t>
        </is>
      </c>
      <c r="B12" s="3" t="n">
        <v>10984286000</v>
      </c>
      <c r="C12" s="3" t="n">
        <v>7189005000</v>
      </c>
      <c r="D12" s="3" t="n">
        <v>2092184000</v>
      </c>
      <c r="E12" s="3" t="n">
        <v>1573193000</v>
      </c>
      <c r="F12" s="3" t="n"/>
    </row>
    <row r="13">
      <c r="A13" t="inlineStr">
        <is>
          <t>Total Equity Gross Minority Interest</t>
        </is>
      </c>
      <c r="B13" s="3" t="n">
        <v>6301871000</v>
      </c>
      <c r="C13" s="3" t="n">
        <v>5417370000</v>
      </c>
      <c r="D13" s="3" t="n">
        <v>1972170000</v>
      </c>
      <c r="E13" s="3" t="n">
        <v>1425747000</v>
      </c>
      <c r="F13" s="3" t="n"/>
    </row>
    <row r="14">
      <c r="A14" t="inlineStr">
        <is>
          <t>Minority Interest</t>
        </is>
      </c>
      <c r="B14" s="3" t="n">
        <v>178000</v>
      </c>
      <c r="C14" s="3" t="n">
        <v>164000</v>
      </c>
      <c r="D14" s="3" t="n">
        <v>165000</v>
      </c>
      <c r="E14" s="3" t="n">
        <v>172000</v>
      </c>
      <c r="F14" s="3" t="n"/>
    </row>
    <row r="15">
      <c r="A15" t="inlineStr">
        <is>
          <t>Stockholders Equity</t>
        </is>
      </c>
      <c r="B15" s="3" t="n">
        <v>6301693000</v>
      </c>
      <c r="C15" s="3" t="n">
        <v>5417206000</v>
      </c>
      <c r="D15" s="3" t="n">
        <v>1972005000</v>
      </c>
      <c r="E15" s="3" t="n">
        <v>1425575000</v>
      </c>
      <c r="F15" s="3" t="n"/>
    </row>
    <row r="16">
      <c r="A16" t="inlineStr">
        <is>
          <t>Gains Losses Not Affecting Retained Earnings</t>
        </is>
      </c>
      <c r="B16" s="3" t="n">
        <v>705000</v>
      </c>
      <c r="C16" s="3" t="n">
        <v>706000</v>
      </c>
      <c r="D16" s="3" t="n">
        <v>639000</v>
      </c>
      <c r="E16" s="3" t="n">
        <v>911000</v>
      </c>
      <c r="F16" s="3" t="n"/>
    </row>
    <row r="17">
      <c r="A17" t="inlineStr">
        <is>
          <t>Other Equity Adjustments</t>
        </is>
      </c>
      <c r="B17" s="3" t="n">
        <v>705000</v>
      </c>
      <c r="C17" s="3" t="n">
        <v>706000</v>
      </c>
      <c r="D17" s="3" t="n">
        <v>639000</v>
      </c>
      <c r="E17" s="3" t="n">
        <v>911000</v>
      </c>
      <c r="F17" s="3" t="n"/>
    </row>
    <row r="18">
      <c r="A18" t="inlineStr">
        <is>
          <t>Treasury Stock</t>
        </is>
      </c>
      <c r="B18" s="3" t="n"/>
      <c r="C18" s="3" t="n"/>
      <c r="D18" s="3" t="n"/>
      <c r="E18" s="3" t="n">
        <v>0</v>
      </c>
      <c r="F18" s="3" t="n">
        <v>0</v>
      </c>
    </row>
    <row r="19">
      <c r="A19" t="inlineStr">
        <is>
          <t>Retained Earnings</t>
        </is>
      </c>
      <c r="B19" s="3" t="n">
        <v>3434539000</v>
      </c>
      <c r="C19" s="3" t="n">
        <v>2585680000</v>
      </c>
      <c r="D19" s="3" t="n">
        <v>1433014000</v>
      </c>
      <c r="E19" s="3" t="n">
        <v>942923000</v>
      </c>
      <c r="F19" s="3" t="n"/>
    </row>
    <row r="20">
      <c r="A20" t="inlineStr">
        <is>
          <t>Capital Stock</t>
        </is>
      </c>
      <c r="B20" s="3" t="n">
        <v>2866449000</v>
      </c>
      <c r="C20" s="3" t="n">
        <v>2830820000</v>
      </c>
      <c r="D20" s="3" t="n">
        <v>538352000</v>
      </c>
      <c r="E20" s="3" t="n">
        <v>481741000</v>
      </c>
      <c r="F20" s="3" t="n"/>
    </row>
    <row r="21">
      <c r="A21" t="inlineStr">
        <is>
          <t>Common Stock</t>
        </is>
      </c>
      <c r="B21" s="3" t="n">
        <v>2866449000</v>
      </c>
      <c r="C21" s="3" t="n">
        <v>2830820000</v>
      </c>
      <c r="D21" s="3" t="n">
        <v>538352000</v>
      </c>
      <c r="E21" s="3" t="n">
        <v>481741000</v>
      </c>
      <c r="F21" s="3" t="n"/>
    </row>
    <row r="22">
      <c r="A22" t="inlineStr">
        <is>
          <t>Total Liabilities Net Minority Interest</t>
        </is>
      </c>
      <c r="B22" s="3" t="n">
        <v>7716558000</v>
      </c>
      <c r="C22" s="3" t="n">
        <v>4408722000</v>
      </c>
      <c r="D22" s="3" t="n">
        <v>1702559000</v>
      </c>
      <c r="E22" s="3" t="n">
        <v>1779330000</v>
      </c>
      <c r="F22" s="3" t="n"/>
    </row>
    <row r="23">
      <c r="A23" t="inlineStr">
        <is>
          <t>Total Non Current Liabilities Net Minority Interest</t>
        </is>
      </c>
      <c r="B23" s="3" t="n">
        <v>5371766000</v>
      </c>
      <c r="C23" s="3" t="n">
        <v>2063001000</v>
      </c>
      <c r="D23" s="3" t="n">
        <v>327907000</v>
      </c>
      <c r="E23" s="3" t="n">
        <v>309306000</v>
      </c>
      <c r="F23" s="3" t="n"/>
    </row>
    <row r="24">
      <c r="A24" t="inlineStr">
        <is>
          <t>Other Non Current Liabilities</t>
        </is>
      </c>
      <c r="B24" s="3" t="n">
        <v>326528000</v>
      </c>
      <c r="C24" s="3" t="n">
        <v>67878000</v>
      </c>
      <c r="D24" s="3" t="n">
        <v>37947000</v>
      </c>
      <c r="E24" s="3" t="n">
        <v>39140000</v>
      </c>
      <c r="F24" s="3" t="n"/>
    </row>
    <row r="25">
      <c r="A25" t="inlineStr">
        <is>
          <t>Non Current Accrued Expenses</t>
        </is>
      </c>
      <c r="B25" s="3" t="n"/>
      <c r="C25" s="3" t="n"/>
      <c r="D25" s="3" t="n"/>
      <c r="E25" s="3" t="n">
        <v>21930000</v>
      </c>
      <c r="F25" s="3" t="n">
        <v>20519000</v>
      </c>
    </row>
    <row r="26">
      <c r="A26" t="inlineStr">
        <is>
          <t>Non Current Deferred Liabilities</t>
        </is>
      </c>
      <c r="B26" s="3" t="n">
        <v>362645000</v>
      </c>
      <c r="C26" s="3" t="n">
        <v>223324000</v>
      </c>
      <c r="D26" s="3" t="n">
        <v>169781000</v>
      </c>
      <c r="E26" s="3" t="n">
        <v>122548000</v>
      </c>
      <c r="F26" s="3" t="n"/>
    </row>
    <row r="27">
      <c r="A27" t="inlineStr">
        <is>
          <t>Non Current Deferred Revenue</t>
        </is>
      </c>
      <c r="B27" s="3" t="n">
        <v>362645000</v>
      </c>
      <c r="C27" s="3" t="n">
        <v>223324000</v>
      </c>
      <c r="D27" s="3" t="n">
        <v>169781000</v>
      </c>
      <c r="E27" s="3" t="n">
        <v>122548000</v>
      </c>
      <c r="F27" s="3" t="n"/>
    </row>
    <row r="28">
      <c r="A28" t="inlineStr">
        <is>
          <t>Long Term Debt And Capital Lease Obligation</t>
        </is>
      </c>
      <c r="B28" s="3" t="n">
        <v>4682593000</v>
      </c>
      <c r="C28" s="3" t="n">
        <v>1771799000</v>
      </c>
      <c r="D28" s="3" t="n">
        <v>120179000</v>
      </c>
      <c r="E28" s="3" t="n">
        <v>147618000</v>
      </c>
      <c r="F28" s="3" t="n"/>
    </row>
    <row r="29">
      <c r="A29" t="inlineStr">
        <is>
          <t>Long Term Capital Lease Obligation</t>
        </is>
      </c>
      <c r="B29" s="3" t="n"/>
      <c r="C29" s="3" t="n"/>
      <c r="D29" s="3" t="n"/>
      <c r="E29" s="3" t="n">
        <v>16661000</v>
      </c>
      <c r="F29" s="3" t="n">
        <v>14539000</v>
      </c>
    </row>
    <row r="30">
      <c r="A30" t="inlineStr">
        <is>
          <t>Long Term Debt</t>
        </is>
      </c>
      <c r="B30" s="3" t="n">
        <v>4682593000</v>
      </c>
      <c r="C30" s="3" t="n">
        <v>1771799000</v>
      </c>
      <c r="D30" s="3" t="n">
        <v>120179000</v>
      </c>
      <c r="E30" s="3" t="n">
        <v>147618000</v>
      </c>
      <c r="F30" s="3" t="n"/>
    </row>
    <row r="31">
      <c r="A31" t="inlineStr">
        <is>
          <t>Current Liabilities</t>
        </is>
      </c>
      <c r="B31" s="3" t="n">
        <v>2344792000</v>
      </c>
      <c r="C31" s="3" t="n">
        <v>2345721000</v>
      </c>
      <c r="D31" s="3" t="n">
        <v>1374652000</v>
      </c>
      <c r="E31" s="3" t="n">
        <v>1470024000</v>
      </c>
      <c r="F31" s="3" t="n"/>
    </row>
    <row r="32">
      <c r="A32" t="inlineStr">
        <is>
          <t>Current Deferred Liabilities</t>
        </is>
      </c>
      <c r="B32" s="3" t="n">
        <v>628868000</v>
      </c>
      <c r="C32" s="3" t="n">
        <v>239994000</v>
      </c>
      <c r="D32" s="3" t="n">
        <v>134667000</v>
      </c>
      <c r="E32" s="3" t="n">
        <v>111313000</v>
      </c>
      <c r="F32" s="3" t="n"/>
    </row>
    <row r="33">
      <c r="A33" t="inlineStr">
        <is>
          <t>Current Deferred Revenue</t>
        </is>
      </c>
      <c r="B33" s="3" t="n">
        <v>628868000</v>
      </c>
      <c r="C33" s="3" t="n">
        <v>239994000</v>
      </c>
      <c r="D33" s="3" t="n">
        <v>134667000</v>
      </c>
      <c r="E33" s="3" t="n">
        <v>111313000</v>
      </c>
      <c r="F33" s="3" t="n"/>
    </row>
    <row r="34">
      <c r="A34" t="inlineStr">
        <is>
          <t>Current Debt And Capital Lease Obligation</t>
        </is>
      </c>
      <c r="B34" s="3" t="n">
        <v>96249000</v>
      </c>
      <c r="C34" s="3" t="n">
        <v>411594000</v>
      </c>
      <c r="D34" s="3" t="n">
        <v>170123000</v>
      </c>
      <c r="E34" s="3" t="n">
        <v>449146000</v>
      </c>
      <c r="F34" s="3" t="n"/>
    </row>
    <row r="35">
      <c r="A35" t="inlineStr">
        <is>
          <t>Current Capital Lease Obligation</t>
        </is>
      </c>
      <c r="B35" s="3" t="n">
        <v>21189000</v>
      </c>
      <c r="C35" s="3" t="n">
        <v>9248000</v>
      </c>
      <c r="D35" s="3" t="n"/>
      <c r="E35" s="3" t="n">
        <v>7139000</v>
      </c>
      <c r="F35" s="3" t="n">
        <v>6322000</v>
      </c>
    </row>
    <row r="36">
      <c r="A36" t="inlineStr">
        <is>
          <t>Current Debt</t>
        </is>
      </c>
      <c r="B36" s="3" t="n">
        <v>75060000</v>
      </c>
      <c r="C36" s="3" t="n">
        <v>402346000</v>
      </c>
      <c r="D36" s="3" t="n">
        <v>170123000</v>
      </c>
      <c r="E36" s="3" t="n">
        <v>449146000</v>
      </c>
      <c r="F36" s="3" t="n"/>
    </row>
    <row r="37">
      <c r="A37" t="inlineStr">
        <is>
          <t>Other Current Borrowings</t>
        </is>
      </c>
      <c r="B37" s="3" t="n">
        <v>75060000</v>
      </c>
      <c r="C37" s="3" t="n">
        <v>402346000</v>
      </c>
      <c r="D37" s="3" t="n">
        <v>170123000</v>
      </c>
      <c r="E37" s="3" t="n">
        <v>449146000</v>
      </c>
      <c r="F37" s="3" t="n"/>
    </row>
    <row r="38">
      <c r="A38" t="inlineStr">
        <is>
          <t>Payables And Accrued Expenses</t>
        </is>
      </c>
      <c r="B38" s="3" t="n">
        <v>1619675000</v>
      </c>
      <c r="C38" s="3" t="n">
        <v>1694133000</v>
      </c>
      <c r="D38" s="3" t="n">
        <v>1069862000</v>
      </c>
      <c r="E38" s="3" t="n">
        <v>909565000</v>
      </c>
      <c r="F38" s="3" t="n"/>
    </row>
    <row r="39">
      <c r="A39" t="inlineStr">
        <is>
          <t>Current Accrued Expenses</t>
        </is>
      </c>
      <c r="B39" s="3" t="n">
        <v>245156000</v>
      </c>
      <c r="C39" s="3" t="n">
        <v>189420000</v>
      </c>
      <c r="D39" s="3" t="n">
        <v>163865000</v>
      </c>
      <c r="E39" s="3" t="n">
        <v>212419000</v>
      </c>
      <c r="F39" s="3" t="n"/>
    </row>
    <row r="40">
      <c r="A40" t="inlineStr">
        <is>
          <t>Interest Payable</t>
        </is>
      </c>
      <c r="B40" s="3" t="n">
        <v>27701000</v>
      </c>
      <c r="C40" s="3" t="n">
        <v>0</v>
      </c>
      <c r="D40" s="3" t="n"/>
      <c r="E40" s="3" t="n"/>
      <c r="F40" s="3" t="n"/>
    </row>
    <row r="41">
      <c r="A41" t="inlineStr">
        <is>
          <t>Payables</t>
        </is>
      </c>
      <c r="B41" s="3" t="n">
        <v>1374519000</v>
      </c>
      <c r="C41" s="3" t="n">
        <v>1504713000</v>
      </c>
      <c r="D41" s="3" t="n">
        <v>905997000</v>
      </c>
      <c r="E41" s="3" t="n">
        <v>697146000</v>
      </c>
      <c r="F41" s="3" t="n"/>
    </row>
    <row r="42">
      <c r="A42" t="inlineStr">
        <is>
          <t>Total Tax Payable</t>
        </is>
      </c>
      <c r="B42" s="3" t="n">
        <v>92542000</v>
      </c>
      <c r="C42" s="3" t="n">
        <v>32332000</v>
      </c>
      <c r="D42" s="3" t="n">
        <v>129166000</v>
      </c>
      <c r="E42" s="3" t="n">
        <v>41743000</v>
      </c>
      <c r="F42" s="3" t="n"/>
    </row>
    <row r="43">
      <c r="A43" t="inlineStr">
        <is>
          <t>Income Tax Payable</t>
        </is>
      </c>
      <c r="B43" s="3" t="n">
        <v>53381000</v>
      </c>
      <c r="C43" s="3" t="n">
        <v>18268000</v>
      </c>
      <c r="D43" s="3" t="n">
        <v>129166000</v>
      </c>
      <c r="E43" s="3" t="n">
        <v>41743000</v>
      </c>
      <c r="F43" s="3" t="n"/>
    </row>
    <row r="44">
      <c r="A44" t="inlineStr">
        <is>
          <t>Accounts Payable</t>
        </is>
      </c>
      <c r="B44" s="3" t="n">
        <v>1281977000</v>
      </c>
      <c r="C44" s="3" t="n">
        <v>1472381000</v>
      </c>
      <c r="D44" s="3" t="n">
        <v>776831000</v>
      </c>
      <c r="E44" s="3" t="n">
        <v>655403000</v>
      </c>
      <c r="F44" s="3" t="n"/>
    </row>
    <row r="45">
      <c r="A45" t="inlineStr">
        <is>
          <t>Total Assets</t>
        </is>
      </c>
      <c r="B45" s="3" t="n">
        <v>14018429000</v>
      </c>
      <c r="C45" s="3" t="n">
        <v>9826092000</v>
      </c>
      <c r="D45" s="3" t="n">
        <v>3674729000</v>
      </c>
      <c r="E45" s="3" t="n">
        <v>3205077000</v>
      </c>
      <c r="F45" s="3" t="n"/>
    </row>
    <row r="46">
      <c r="A46" t="inlineStr">
        <is>
          <t>Total Non Current Assets</t>
        </is>
      </c>
      <c r="B46" s="3" t="n">
        <v>1716775000</v>
      </c>
      <c r="C46" s="3" t="n">
        <v>894132000</v>
      </c>
      <c r="D46" s="3" t="n">
        <v>495303000</v>
      </c>
      <c r="E46" s="3" t="n">
        <v>398762000</v>
      </c>
      <c r="F46" s="3" t="n"/>
    </row>
    <row r="47">
      <c r="A47" t="inlineStr">
        <is>
          <t>Other Non Current Assets</t>
        </is>
      </c>
      <c r="B47" s="3" t="n">
        <v>16714000</v>
      </c>
      <c r="C47" s="3" t="n">
        <v>114952000</v>
      </c>
      <c r="D47" s="3" t="n">
        <v>42409000</v>
      </c>
      <c r="E47" s="3" t="n">
        <v>42861000</v>
      </c>
      <c r="F47" s="3" t="n"/>
    </row>
    <row r="48">
      <c r="A48" t="inlineStr">
        <is>
          <t>Non Current Prepaid Assets</t>
        </is>
      </c>
      <c r="B48" s="3" t="n">
        <v>4980000</v>
      </c>
      <c r="C48" s="3" t="n"/>
      <c r="D48" s="3" t="n"/>
      <c r="E48" s="3" t="n">
        <v>3080000</v>
      </c>
      <c r="F48" s="3" t="n">
        <v>3642000</v>
      </c>
    </row>
    <row r="49">
      <c r="A49" t="inlineStr">
        <is>
          <t>Non Current Deferred Assets</t>
        </is>
      </c>
      <c r="B49" s="3" t="n">
        <v>618129000</v>
      </c>
      <c r="C49" s="3" t="n">
        <v>365172000</v>
      </c>
      <c r="D49" s="3" t="n">
        <v>162654000</v>
      </c>
      <c r="E49" s="3" t="n">
        <v>69929000</v>
      </c>
      <c r="F49" s="3" t="n"/>
    </row>
    <row r="50">
      <c r="A50" t="inlineStr">
        <is>
          <t>Non Current Deferred Taxes Assets</t>
        </is>
      </c>
      <c r="B50" s="3" t="n">
        <v>607416000</v>
      </c>
      <c r="C50" s="3" t="n">
        <v>365172000</v>
      </c>
      <c r="D50" s="3" t="n">
        <v>162654000</v>
      </c>
      <c r="E50" s="3" t="n">
        <v>69929000</v>
      </c>
      <c r="F50" s="3" t="n"/>
    </row>
    <row r="51">
      <c r="A51" t="inlineStr">
        <is>
          <t>Non Current Accounts Receivable</t>
        </is>
      </c>
      <c r="B51" s="3" t="n">
        <v>166405000</v>
      </c>
      <c r="C51" s="3" t="n"/>
      <c r="D51" s="3" t="n"/>
      <c r="E51" s="3" t="n"/>
      <c r="F51" s="3" t="n"/>
    </row>
    <row r="52">
      <c r="A52" t="inlineStr">
        <is>
          <t>Investments And Advances</t>
        </is>
      </c>
      <c r="B52" s="3" t="n">
        <v>112367000</v>
      </c>
      <c r="C52" s="3" t="n"/>
      <c r="D52" s="3" t="n"/>
      <c r="E52" s="3" t="n">
        <v>6919000</v>
      </c>
      <c r="F52" s="3" t="n">
        <v>6134000</v>
      </c>
    </row>
    <row r="53">
      <c r="A53" t="inlineStr">
        <is>
          <t>Other Investments</t>
        </is>
      </c>
      <c r="B53" s="3" t="n">
        <v>112367000</v>
      </c>
      <c r="C53" s="3" t="n"/>
      <c r="D53" s="3" t="n"/>
      <c r="E53" s="3" t="n">
        <v>1590000</v>
      </c>
      <c r="F53" s="3" t="n">
        <v>1556000</v>
      </c>
    </row>
    <row r="54">
      <c r="A54" t="inlineStr">
        <is>
          <t>Long Term Equity Investment</t>
        </is>
      </c>
      <c r="B54" s="3" t="n"/>
      <c r="C54" s="3" t="n"/>
      <c r="D54" s="3" t="n"/>
      <c r="E54" s="3" t="n">
        <v>5329000</v>
      </c>
      <c r="F54" s="3" t="n">
        <v>4578000</v>
      </c>
    </row>
    <row r="55">
      <c r="A55" t="inlineStr">
        <is>
          <t>Net PPE</t>
        </is>
      </c>
      <c r="B55" s="3" t="n">
        <v>798180000</v>
      </c>
      <c r="C55" s="3" t="n">
        <v>414008000</v>
      </c>
      <c r="D55" s="3" t="n">
        <v>290240000</v>
      </c>
      <c r="E55" s="3" t="n">
        <v>285972000</v>
      </c>
      <c r="F55" s="3" t="n"/>
    </row>
    <row r="56">
      <c r="A56" t="inlineStr">
        <is>
          <t>Accumulated Depreciation</t>
        </is>
      </c>
      <c r="B56" s="3" t="n">
        <v>-118245000</v>
      </c>
      <c r="C56" s="3" t="n">
        <v>-213896000</v>
      </c>
      <c r="D56" s="3" t="n">
        <v>-189387000</v>
      </c>
      <c r="E56" s="3" t="n">
        <v>-167758000</v>
      </c>
      <c r="F56" s="3" t="n"/>
    </row>
    <row r="57">
      <c r="A57" t="inlineStr">
        <is>
          <t>Gross PPE</t>
        </is>
      </c>
      <c r="B57" s="3" t="n">
        <v>916425000</v>
      </c>
      <c r="C57" s="3" t="n">
        <v>627904000</v>
      </c>
      <c r="D57" s="3" t="n">
        <v>479627000</v>
      </c>
      <c r="E57" s="3" t="n">
        <v>453730000</v>
      </c>
      <c r="F57" s="3" t="n"/>
    </row>
    <row r="58">
      <c r="A58" t="inlineStr">
        <is>
          <t>Construction In Progress</t>
        </is>
      </c>
      <c r="B58" s="3" t="n">
        <v>1038000</v>
      </c>
      <c r="C58" s="3" t="n">
        <v>14828000</v>
      </c>
      <c r="D58" s="3" t="n">
        <v>303000</v>
      </c>
      <c r="E58" s="3" t="n">
        <v>303000</v>
      </c>
      <c r="F58" s="3" t="n"/>
    </row>
    <row r="59">
      <c r="A59" t="inlineStr">
        <is>
          <t>Other Properties</t>
        </is>
      </c>
      <c r="B59" s="3" t="n">
        <v>293692000</v>
      </c>
      <c r="C59" s="3" t="n"/>
      <c r="D59" s="3" t="n"/>
      <c r="E59" s="3" t="n">
        <v>23679000</v>
      </c>
      <c r="F59" s="3" t="n">
        <v>20047000</v>
      </c>
    </row>
    <row r="60">
      <c r="A60" t="inlineStr">
        <is>
          <t>Machinery Furniture Equipment</t>
        </is>
      </c>
      <c r="B60" s="3" t="n">
        <v>154716000</v>
      </c>
      <c r="C60" s="3" t="n">
        <v>227100000</v>
      </c>
      <c r="D60" s="3" t="n">
        <v>189552000</v>
      </c>
      <c r="E60" s="3" t="n">
        <v>170268000</v>
      </c>
      <c r="F60" s="3" t="n"/>
    </row>
    <row r="61">
      <c r="A61" t="inlineStr">
        <is>
          <t>Buildings And Improvements</t>
        </is>
      </c>
      <c r="B61" s="3" t="n">
        <v>304131000</v>
      </c>
      <c r="C61" s="3" t="n">
        <v>235839000</v>
      </c>
      <c r="D61" s="3" t="n">
        <v>203130000</v>
      </c>
      <c r="E61" s="3" t="n">
        <v>198543000</v>
      </c>
      <c r="F61" s="3" t="n"/>
    </row>
    <row r="62">
      <c r="A62" t="inlineStr">
        <is>
          <t>Land And Improvements</t>
        </is>
      </c>
      <c r="B62" s="3" t="n">
        <v>162848000</v>
      </c>
      <c r="C62" s="3" t="n">
        <v>150137000</v>
      </c>
      <c r="D62" s="3" t="n">
        <v>86642000</v>
      </c>
      <c r="E62" s="3" t="n">
        <v>84616000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12301654000</v>
      </c>
      <c r="C64" s="3" t="n">
        <v>8931960000</v>
      </c>
      <c r="D64" s="3" t="n">
        <v>3179426000</v>
      </c>
      <c r="E64" s="3" t="n">
        <v>2806315000</v>
      </c>
      <c r="F64" s="3" t="n"/>
    </row>
    <row r="65">
      <c r="A65" t="inlineStr">
        <is>
          <t>Other Current Assets</t>
        </is>
      </c>
      <c r="B65" s="3" t="n">
        <v>233681000</v>
      </c>
      <c r="C65" s="3" t="n">
        <v>179895000</v>
      </c>
      <c r="D65" s="3" t="n">
        <v>117412000</v>
      </c>
      <c r="E65" s="3" t="n">
        <v>134387000</v>
      </c>
      <c r="F65" s="3" t="n"/>
    </row>
    <row r="66">
      <c r="A66" t="inlineStr">
        <is>
          <t>Current Deferred Assets</t>
        </is>
      </c>
      <c r="B66" s="3" t="n"/>
      <c r="C66" s="3" t="n"/>
      <c r="D66" s="3" t="n"/>
      <c r="E66" s="3" t="n">
        <v>5562000</v>
      </c>
      <c r="F66" s="3" t="n">
        <v>4900000</v>
      </c>
    </row>
    <row r="67">
      <c r="A67" t="inlineStr">
        <is>
          <t>Restricted Cash</t>
        </is>
      </c>
      <c r="B67" s="3" t="n"/>
      <c r="C67" s="3" t="n"/>
      <c r="D67" s="3" t="n"/>
      <c r="E67" s="3" t="n">
        <v>251000</v>
      </c>
      <c r="F67" s="3" t="n">
        <v>251000</v>
      </c>
    </row>
    <row r="68">
      <c r="A68" t="inlineStr">
        <is>
          <t>Prepaid Assets</t>
        </is>
      </c>
      <c r="B68" s="3" t="n"/>
      <c r="C68" s="3" t="n"/>
      <c r="D68" s="3" t="n"/>
      <c r="E68" s="3" t="n">
        <v>7984000</v>
      </c>
      <c r="F68" s="3" t="n">
        <v>19007000</v>
      </c>
    </row>
    <row r="69">
      <c r="A69" t="inlineStr">
        <is>
          <t>Inventory</t>
        </is>
      </c>
      <c r="B69" s="3" t="n">
        <v>4680375000</v>
      </c>
      <c r="C69" s="3" t="n">
        <v>4333029000</v>
      </c>
      <c r="D69" s="3" t="n">
        <v>1445564000</v>
      </c>
      <c r="E69" s="3" t="n">
        <v>1545606000</v>
      </c>
      <c r="F69" s="3" t="n"/>
    </row>
    <row r="70">
      <c r="A70" t="inlineStr">
        <is>
          <t>Finished Goods</t>
        </is>
      </c>
      <c r="B70" s="3" t="n">
        <v>3465352000</v>
      </c>
      <c r="C70" s="3" t="n">
        <v>3312768000</v>
      </c>
      <c r="D70" s="3" t="n">
        <v>1045177000</v>
      </c>
      <c r="E70" s="3" t="n">
        <v>1025555000</v>
      </c>
      <c r="F70" s="3" t="n"/>
    </row>
    <row r="71">
      <c r="A71" t="inlineStr">
        <is>
          <t>Work In Process</t>
        </is>
      </c>
      <c r="B71" s="3" t="n">
        <v>674613000</v>
      </c>
      <c r="C71" s="3" t="n">
        <v>450993000</v>
      </c>
      <c r="D71" s="3" t="n">
        <v>71874000</v>
      </c>
      <c r="E71" s="3" t="n">
        <v>310475000</v>
      </c>
      <c r="F71" s="3" t="n"/>
    </row>
    <row r="72">
      <c r="A72" t="inlineStr">
        <is>
          <t>Raw Materials</t>
        </is>
      </c>
      <c r="B72" s="3" t="n">
        <v>540410000</v>
      </c>
      <c r="C72" s="3" t="n">
        <v>569268000</v>
      </c>
      <c r="D72" s="3" t="n">
        <v>328513000</v>
      </c>
      <c r="E72" s="3" t="n">
        <v>209576000</v>
      </c>
      <c r="F72" s="3" t="n"/>
    </row>
    <row r="73">
      <c r="A73" t="inlineStr">
        <is>
          <t>Receivables</t>
        </is>
      </c>
      <c r="B73" s="3" t="n">
        <v>2217687000</v>
      </c>
      <c r="C73" s="3" t="n">
        <v>2749270000</v>
      </c>
      <c r="D73" s="3" t="n">
        <v>1175991000</v>
      </c>
      <c r="E73" s="3" t="n">
        <v>858925000</v>
      </c>
      <c r="F73" s="3" t="n"/>
    </row>
    <row r="74">
      <c r="A74" t="inlineStr">
        <is>
          <t>Other Receivables</t>
        </is>
      </c>
      <c r="B74" s="3" t="n"/>
      <c r="C74" s="3" t="n"/>
      <c r="D74" s="3" t="n"/>
      <c r="E74" s="3" t="n">
        <v>138054000</v>
      </c>
      <c r="F74" s="3" t="n">
        <v>99921000</v>
      </c>
    </row>
    <row r="75">
      <c r="A75" t="inlineStr">
        <is>
          <t>Duefrom Related Parties Current</t>
        </is>
      </c>
      <c r="B75" s="3" t="n">
        <v>13745000</v>
      </c>
      <c r="C75" s="3" t="n">
        <v>11939000</v>
      </c>
      <c r="D75" s="3" t="n">
        <v>27732000</v>
      </c>
      <c r="E75" s="3" t="n">
        <v>24412000</v>
      </c>
      <c r="F75" s="3" t="n"/>
    </row>
    <row r="76">
      <c r="A76" t="inlineStr">
        <is>
          <t>Accounts Receivable</t>
        </is>
      </c>
      <c r="B76" s="3" t="n">
        <v>2203942000</v>
      </c>
      <c r="C76" s="3" t="n">
        <v>2737331000</v>
      </c>
      <c r="D76" s="3" t="n">
        <v>1148259000</v>
      </c>
      <c r="E76" s="3" t="n">
        <v>834513000</v>
      </c>
      <c r="F76" s="3" t="n"/>
    </row>
    <row r="77">
      <c r="A77" t="inlineStr">
        <is>
          <t>Allowance For Doubtful Accounts Receivable</t>
        </is>
      </c>
      <c r="B77" s="3" t="n">
        <v>0</v>
      </c>
      <c r="C77" s="3" t="n">
        <v>-73000</v>
      </c>
      <c r="D77" s="3" t="n">
        <v>-82000</v>
      </c>
      <c r="E77" s="3" t="n">
        <v>-1753000</v>
      </c>
      <c r="F77" s="3" t="n"/>
    </row>
    <row r="78">
      <c r="A78" t="inlineStr">
        <is>
          <t>Gross Accounts Receivable</t>
        </is>
      </c>
      <c r="B78" s="3" t="n">
        <v>2203942000</v>
      </c>
      <c r="C78" s="3" t="n">
        <v>2737404000</v>
      </c>
      <c r="D78" s="3" t="n">
        <v>1148341000</v>
      </c>
      <c r="E78" s="3" t="n">
        <v>836266000</v>
      </c>
      <c r="F78" s="3" t="n"/>
    </row>
    <row r="79">
      <c r="A79" t="inlineStr">
        <is>
          <t>Cash Cash Equivalents And Short Term Investments</t>
        </is>
      </c>
      <c r="B79" s="3" t="n">
        <v>5169911000</v>
      </c>
      <c r="C79" s="3" t="n">
        <v>1669766000</v>
      </c>
      <c r="D79" s="3" t="n">
        <v>440459000</v>
      </c>
      <c r="E79" s="3" t="n">
        <v>267397000</v>
      </c>
      <c r="F79" s="3" t="n"/>
    </row>
    <row r="80">
      <c r="A80" t="inlineStr">
        <is>
          <t>Cash And Cash Equivalents</t>
        </is>
      </c>
      <c r="B80" s="3" t="n">
        <v>5169911000</v>
      </c>
      <c r="C80" s="3" t="n">
        <v>1669766000</v>
      </c>
      <c r="D80" s="3" t="n">
        <v>440459000</v>
      </c>
      <c r="E80" s="3" t="n">
        <v>267397000</v>
      </c>
      <c r="F8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601377832</v>
      </c>
      <c r="C2" s="3" t="n">
        <v>598925891</v>
      </c>
      <c r="D2" s="3" t="n">
        <v>596837343</v>
      </c>
      <c r="E2" s="3" t="n">
        <v>594136852</v>
      </c>
      <c r="F2" s="3" t="n">
        <v>596765126</v>
      </c>
      <c r="G2" s="3" t="n"/>
      <c r="H2" s="3" t="n"/>
    </row>
    <row r="3">
      <c r="A3" t="inlineStr">
        <is>
          <t>Share Issued</t>
        </is>
      </c>
      <c r="B3" s="3" t="n">
        <v>601377832</v>
      </c>
      <c r="C3" s="3" t="n">
        <v>598925891</v>
      </c>
      <c r="D3" s="3" t="n">
        <v>596837343</v>
      </c>
      <c r="E3" s="3" t="n">
        <v>594136852</v>
      </c>
      <c r="F3" s="3" t="n">
        <v>596765126</v>
      </c>
      <c r="G3" s="3" t="n"/>
      <c r="H3" s="3" t="n"/>
    </row>
    <row r="4">
      <c r="A4" t="inlineStr">
        <is>
          <t>Net Debt</t>
        </is>
      </c>
      <c r="B4" s="3" t="n">
        <v>7482777000</v>
      </c>
      <c r="C4" s="3" t="n">
        <v>786753000</v>
      </c>
      <c r="D4" s="3" t="n">
        <v>578839000</v>
      </c>
      <c r="E4" s="3" t="n"/>
      <c r="F4" s="3" t="n"/>
      <c r="G4" s="3" t="n">
        <v>479033000</v>
      </c>
      <c r="H4" s="3" t="n">
        <v>170000000</v>
      </c>
    </row>
    <row r="5">
      <c r="A5" t="inlineStr">
        <is>
          <t>Total Debt</t>
        </is>
      </c>
      <c r="B5" s="3" t="n">
        <v>8805804000</v>
      </c>
      <c r="C5" s="3" t="n">
        <v>4909659000</v>
      </c>
      <c r="D5" s="3" t="n">
        <v>4805788000</v>
      </c>
      <c r="E5" s="3" t="n">
        <v>4778842000</v>
      </c>
      <c r="F5" s="3" t="n">
        <v>2505482000</v>
      </c>
      <c r="G5" s="3" t="n"/>
      <c r="H5" s="3" t="n"/>
    </row>
    <row r="6">
      <c r="A6" t="inlineStr">
        <is>
          <t>Tangible Book Value</t>
        </is>
      </c>
      <c r="B6" s="3" t="n">
        <v>7575430000</v>
      </c>
      <c r="C6" s="3" t="n">
        <v>6992015000</v>
      </c>
      <c r="D6" s="3" t="n">
        <v>6523390000</v>
      </c>
      <c r="E6" s="3" t="n">
        <v>6301693000</v>
      </c>
      <c r="F6" s="3" t="n">
        <v>6379319000</v>
      </c>
      <c r="G6" s="3" t="n"/>
      <c r="H6" s="3" t="n"/>
    </row>
    <row r="7">
      <c r="A7" t="inlineStr">
        <is>
          <t>Invested Capital</t>
        </is>
      </c>
      <c r="B7" s="3" t="n">
        <v>16348531000</v>
      </c>
      <c r="C7" s="3" t="n">
        <v>11869851000</v>
      </c>
      <c r="D7" s="3" t="n">
        <v>11299096000</v>
      </c>
      <c r="E7" s="3" t="n">
        <v>11059346000</v>
      </c>
      <c r="F7" s="3" t="n">
        <v>8871613000</v>
      </c>
      <c r="G7" s="3" t="n"/>
      <c r="H7" s="3" t="n"/>
    </row>
    <row r="8">
      <c r="A8" t="inlineStr">
        <is>
          <t>Working Capital</t>
        </is>
      </c>
      <c r="B8" s="3" t="n">
        <v>13445651000</v>
      </c>
      <c r="C8" s="3" t="n">
        <v>10727889000</v>
      </c>
      <c r="D8" s="3" t="n">
        <v>10314099000</v>
      </c>
      <c r="E8" s="3" t="n">
        <v>9956862000</v>
      </c>
      <c r="F8" s="3" t="n">
        <v>8085453000</v>
      </c>
      <c r="G8" s="3" t="n"/>
      <c r="H8" s="3" t="n"/>
    </row>
    <row r="9">
      <c r="A9" t="inlineStr">
        <is>
          <t>Net Tangible Assets</t>
        </is>
      </c>
      <c r="B9" s="3" t="n">
        <v>7575430000</v>
      </c>
      <c r="C9" s="3" t="n">
        <v>6992015000</v>
      </c>
      <c r="D9" s="3" t="n">
        <v>6523390000</v>
      </c>
      <c r="E9" s="3" t="n">
        <v>6301693000</v>
      </c>
      <c r="F9" s="3" t="n">
        <v>6379319000</v>
      </c>
      <c r="G9" s="3" t="n"/>
      <c r="H9" s="3" t="n"/>
    </row>
    <row r="10">
      <c r="A10" t="inlineStr">
        <is>
          <t>Capital Lease Obligations</t>
        </is>
      </c>
      <c r="B10" s="3" t="n">
        <v>32703000</v>
      </c>
      <c r="C10" s="3" t="n">
        <v>31823000</v>
      </c>
      <c r="D10" s="3" t="n">
        <v>30082000</v>
      </c>
      <c r="E10" s="3" t="n">
        <v>21189000</v>
      </c>
      <c r="F10" s="3" t="n">
        <v>13188000</v>
      </c>
      <c r="G10" s="3" t="n"/>
      <c r="H10" s="3" t="n"/>
    </row>
    <row r="11">
      <c r="A11" t="inlineStr">
        <is>
          <t>Common Stock Equity</t>
        </is>
      </c>
      <c r="B11" s="3" t="n">
        <v>7575430000</v>
      </c>
      <c r="C11" s="3" t="n">
        <v>6992015000</v>
      </c>
      <c r="D11" s="3" t="n">
        <v>6523390000</v>
      </c>
      <c r="E11" s="3" t="n">
        <v>6301693000</v>
      </c>
      <c r="F11" s="3" t="n">
        <v>6379319000</v>
      </c>
      <c r="G11" s="3" t="n"/>
      <c r="H11" s="3" t="n"/>
    </row>
    <row r="12">
      <c r="A12" t="inlineStr">
        <is>
          <t>Total Capitalization</t>
        </is>
      </c>
      <c r="B12" s="3" t="n">
        <v>14253462000</v>
      </c>
      <c r="C12" s="3" t="n">
        <v>11668075000</v>
      </c>
      <c r="D12" s="3" t="n">
        <v>11198478000</v>
      </c>
      <c r="E12" s="3" t="n">
        <v>10984286000</v>
      </c>
      <c r="F12" s="3" t="n">
        <v>8807642000</v>
      </c>
      <c r="G12" s="3" t="n"/>
      <c r="H12" s="3" t="n"/>
    </row>
    <row r="13">
      <c r="A13" t="inlineStr">
        <is>
          <t>Total Equity Gross Minority Interest</t>
        </is>
      </c>
      <c r="B13" s="3" t="n">
        <v>7575591000</v>
      </c>
      <c r="C13" s="3" t="n">
        <v>6992177000</v>
      </c>
      <c r="D13" s="3" t="n">
        <v>6523560000</v>
      </c>
      <c r="E13" s="3" t="n">
        <v>6301871000</v>
      </c>
      <c r="F13" s="3" t="n">
        <v>6379479000</v>
      </c>
      <c r="G13" s="3" t="n"/>
      <c r="H13" s="3" t="n"/>
    </row>
    <row r="14">
      <c r="A14" t="inlineStr">
        <is>
          <t>Minority Interest</t>
        </is>
      </c>
      <c r="B14" s="3" t="n">
        <v>161000</v>
      </c>
      <c r="C14" s="3" t="n">
        <v>162000</v>
      </c>
      <c r="D14" s="3" t="n">
        <v>170000</v>
      </c>
      <c r="E14" s="3" t="n">
        <v>178000</v>
      </c>
      <c r="F14" s="3" t="n">
        <v>160000</v>
      </c>
      <c r="G14" s="3" t="n"/>
      <c r="H14" s="3" t="n"/>
    </row>
    <row r="15">
      <c r="A15" t="inlineStr">
        <is>
          <t>Stockholders Equity</t>
        </is>
      </c>
      <c r="B15" s="3" t="n">
        <v>7575430000</v>
      </c>
      <c r="C15" s="3" t="n">
        <v>6992015000</v>
      </c>
      <c r="D15" s="3" t="n">
        <v>6523390000</v>
      </c>
      <c r="E15" s="3" t="n">
        <v>6301693000</v>
      </c>
      <c r="F15" s="3" t="n">
        <v>6379319000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692000</v>
      </c>
      <c r="C16" s="3" t="n">
        <v>695000</v>
      </c>
      <c r="D16" s="3" t="n">
        <v>698000</v>
      </c>
      <c r="E16" s="3" t="n">
        <v>705000</v>
      </c>
      <c r="F16" s="3" t="n">
        <v>663000</v>
      </c>
      <c r="G16" s="3" t="n"/>
      <c r="H16" s="3" t="n"/>
    </row>
    <row r="17">
      <c r="A17" t="inlineStr">
        <is>
          <t>Other Equity Adjustments</t>
        </is>
      </c>
      <c r="B17" s="3" t="n">
        <v>692000</v>
      </c>
      <c r="C17" s="3" t="n">
        <v>695000</v>
      </c>
      <c r="D17" s="3" t="n">
        <v>698000</v>
      </c>
      <c r="E17" s="3" t="n">
        <v>705000</v>
      </c>
      <c r="F17" s="3" t="n">
        <v>663000</v>
      </c>
      <c r="G17" s="3" t="n"/>
      <c r="H17" s="3" t="n"/>
    </row>
    <row r="18">
      <c r="A18" t="inlineStr">
        <is>
          <t>Retained Earnings</t>
        </is>
      </c>
      <c r="B18" s="3" t="n">
        <v>4486775000</v>
      </c>
      <c r="C18" s="3" t="n">
        <v>4003388000</v>
      </c>
      <c r="D18" s="3" t="n">
        <v>3602824000</v>
      </c>
      <c r="E18" s="3" t="n">
        <v>3434539000</v>
      </c>
      <c r="F18" s="3" t="n">
        <v>3439380000</v>
      </c>
      <c r="G18" s="3" t="n"/>
      <c r="H18" s="3" t="n"/>
    </row>
    <row r="19">
      <c r="A19" t="inlineStr">
        <is>
          <t>Capital Stock</t>
        </is>
      </c>
      <c r="B19" s="3" t="n">
        <v>3087963000</v>
      </c>
      <c r="C19" s="3" t="n">
        <v>2987932000</v>
      </c>
      <c r="D19" s="3" t="n">
        <v>2919868000</v>
      </c>
      <c r="E19" s="3" t="n">
        <v>2866449000</v>
      </c>
      <c r="F19" s="3" t="n">
        <v>2939276000</v>
      </c>
      <c r="G19" s="3" t="n"/>
      <c r="H19" s="3" t="n"/>
    </row>
    <row r="20">
      <c r="A20" t="inlineStr">
        <is>
          <t>Common Stock</t>
        </is>
      </c>
      <c r="B20" s="3" t="n">
        <v>3087963000</v>
      </c>
      <c r="C20" s="3" t="n">
        <v>2987932000</v>
      </c>
      <c r="D20" s="3" t="n">
        <v>2919868000</v>
      </c>
      <c r="E20" s="3" t="n">
        <v>2866449000</v>
      </c>
      <c r="F20" s="3" t="n">
        <v>2939276000</v>
      </c>
      <c r="G20" s="3" t="n"/>
      <c r="H20" s="3" t="n"/>
    </row>
    <row r="21">
      <c r="A21" t="inlineStr">
        <is>
          <t>Total Liabilities Net Minority Interest</t>
        </is>
      </c>
      <c r="B21" s="3" t="n">
        <v>15876438000</v>
      </c>
      <c r="C21" s="3" t="n">
        <v>21009433000</v>
      </c>
      <c r="D21" s="3" t="n">
        <v>7862477000</v>
      </c>
      <c r="E21" s="3" t="n">
        <v>7716558000</v>
      </c>
      <c r="F21" s="3" t="n">
        <v>4359046000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7753803000</v>
      </c>
      <c r="C22" s="3" t="n">
        <v>5612725000</v>
      </c>
      <c r="D22" s="3" t="n">
        <v>5515242000</v>
      </c>
      <c r="E22" s="3" t="n">
        <v>5371766000</v>
      </c>
      <c r="F22" s="3" t="n">
        <v>2930910000</v>
      </c>
      <c r="G22" s="3" t="n"/>
      <c r="H22" s="3" t="n"/>
    </row>
    <row r="23">
      <c r="A23" t="inlineStr">
        <is>
          <t>Other Non Current Liabilities</t>
        </is>
      </c>
      <c r="B23" s="3" t="n">
        <v>411867000</v>
      </c>
      <c r="C23" s="3" t="n">
        <v>408098000</v>
      </c>
      <c r="D23" s="3" t="n">
        <v>409015000</v>
      </c>
      <c r="E23" s="3" t="n">
        <v>326528000</v>
      </c>
      <c r="F23" s="3" t="n">
        <v>189593000</v>
      </c>
      <c r="G23" s="3" t="n"/>
      <c r="H23" s="3" t="n"/>
    </row>
    <row r="24">
      <c r="A24" t="inlineStr">
        <is>
          <t>Dueto Related Parties Non Current</t>
        </is>
      </c>
      <c r="B24" s="3" t="n">
        <v>494000</v>
      </c>
      <c r="C24" s="3" t="n">
        <v>658000</v>
      </c>
      <c r="D24" s="3" t="n">
        <v>457000</v>
      </c>
      <c r="E24" s="3" t="n"/>
      <c r="F24" s="3" t="n"/>
      <c r="G24" s="3" t="n"/>
      <c r="H24" s="3" t="n"/>
    </row>
    <row r="25">
      <c r="A25" t="inlineStr">
        <is>
          <t>Tradeand Other Payables Non Current</t>
        </is>
      </c>
      <c r="B25" s="3" t="n">
        <v>0</v>
      </c>
      <c r="C25" s="3" t="n">
        <v>0</v>
      </c>
      <c r="D25" s="3" t="n">
        <v>0</v>
      </c>
      <c r="E25" s="3" t="n"/>
      <c r="F25" s="3" t="n"/>
      <c r="G25" s="3" t="n"/>
      <c r="H25" s="3" t="n"/>
    </row>
    <row r="26">
      <c r="A26" t="inlineStr">
        <is>
          <t>Non Current Deferred Liabilities</t>
        </is>
      </c>
      <c r="B26" s="3" t="n">
        <v>663410000</v>
      </c>
      <c r="C26" s="3" t="n">
        <v>527909000</v>
      </c>
      <c r="D26" s="3" t="n">
        <v>430682000</v>
      </c>
      <c r="E26" s="3" t="n">
        <v>362645000</v>
      </c>
      <c r="F26" s="3" t="n">
        <v>312994000</v>
      </c>
      <c r="G26" s="3" t="n"/>
      <c r="H26" s="3" t="n"/>
    </row>
    <row r="27">
      <c r="A27" t="inlineStr">
        <is>
          <t>Non Current Deferred Revenue</t>
        </is>
      </c>
      <c r="B27" s="3" t="n">
        <v>663410000</v>
      </c>
      <c r="C27" s="3" t="n">
        <v>527909000</v>
      </c>
      <c r="D27" s="3" t="n">
        <v>430682000</v>
      </c>
      <c r="E27" s="3" t="n">
        <v>362645000</v>
      </c>
      <c r="F27" s="3" t="n">
        <v>312994000</v>
      </c>
      <c r="G27" s="3" t="n"/>
      <c r="H27" s="3" t="n"/>
    </row>
    <row r="28">
      <c r="A28" t="inlineStr">
        <is>
          <t>Long Term Debt And Capital Lease Obligation</t>
        </is>
      </c>
      <c r="B28" s="3" t="n">
        <v>6678032000</v>
      </c>
      <c r="C28" s="3" t="n">
        <v>4676060000</v>
      </c>
      <c r="D28" s="3" t="n">
        <v>4675088000</v>
      </c>
      <c r="E28" s="3" t="n">
        <v>4682593000</v>
      </c>
      <c r="F28" s="3" t="n">
        <v>2428323000</v>
      </c>
      <c r="G28" s="3" t="n"/>
      <c r="H28" s="3" t="n"/>
    </row>
    <row r="29">
      <c r="A29" t="inlineStr">
        <is>
          <t>Long Term Debt</t>
        </is>
      </c>
      <c r="B29" s="3" t="n">
        <v>6678032000</v>
      </c>
      <c r="C29" s="3" t="n">
        <v>4676060000</v>
      </c>
      <c r="D29" s="3" t="n">
        <v>4675088000</v>
      </c>
      <c r="E29" s="3" t="n">
        <v>4682593000</v>
      </c>
      <c r="F29" s="3" t="n">
        <v>2428323000</v>
      </c>
      <c r="G29" s="3" t="n"/>
      <c r="H29" s="3" t="n"/>
    </row>
    <row r="30">
      <c r="A30" t="inlineStr">
        <is>
          <t>Current Liabilities</t>
        </is>
      </c>
      <c r="B30" s="3" t="n">
        <v>8122635000</v>
      </c>
      <c r="C30" s="3" t="n">
        <v>15396708000</v>
      </c>
      <c r="D30" s="3" t="n">
        <v>2347235000</v>
      </c>
      <c r="E30" s="3" t="n">
        <v>2344792000</v>
      </c>
      <c r="F30" s="3" t="n">
        <v>1428136000</v>
      </c>
      <c r="G30" s="3" t="n"/>
      <c r="H30" s="3" t="n"/>
    </row>
    <row r="31">
      <c r="A31" t="inlineStr">
        <is>
          <t>Current Deferred Liabilities</t>
        </is>
      </c>
      <c r="B31" s="3" t="n">
        <v>1675805000</v>
      </c>
      <c r="C31" s="3" t="n">
        <v>896878000</v>
      </c>
      <c r="D31" s="3" t="n">
        <v>644353000</v>
      </c>
      <c r="E31" s="3" t="n">
        <v>628868000</v>
      </c>
      <c r="F31" s="3" t="n">
        <v>405757000</v>
      </c>
      <c r="G31" s="3" t="n"/>
      <c r="H31" s="3" t="n"/>
    </row>
    <row r="32">
      <c r="A32" t="inlineStr">
        <is>
          <t>Current Deferred Revenue</t>
        </is>
      </c>
      <c r="B32" s="3" t="n">
        <v>1675805000</v>
      </c>
      <c r="C32" s="3" t="n">
        <v>896878000</v>
      </c>
      <c r="D32" s="3" t="n">
        <v>644353000</v>
      </c>
      <c r="E32" s="3" t="n">
        <v>628868000</v>
      </c>
      <c r="F32" s="3" t="n">
        <v>405757000</v>
      </c>
      <c r="G32" s="3" t="n"/>
      <c r="H32" s="3" t="n"/>
    </row>
    <row r="33">
      <c r="A33" t="inlineStr">
        <is>
          <t>Current Debt And Capital Lease Obligation</t>
        </is>
      </c>
      <c r="B33" s="3" t="n">
        <v>2127772000</v>
      </c>
      <c r="C33" s="3" t="n">
        <v>233599000</v>
      </c>
      <c r="D33" s="3" t="n">
        <v>130700000</v>
      </c>
      <c r="E33" s="3" t="n">
        <v>96249000</v>
      </c>
      <c r="F33" s="3" t="n">
        <v>77159000</v>
      </c>
      <c r="G33" s="3" t="n"/>
      <c r="H33" s="3" t="n"/>
    </row>
    <row r="34">
      <c r="A34" t="inlineStr">
        <is>
          <t>Current Capital Lease Obligation</t>
        </is>
      </c>
      <c r="B34" s="3" t="n">
        <v>32703000</v>
      </c>
      <c r="C34" s="3" t="n">
        <v>31823000</v>
      </c>
      <c r="D34" s="3" t="n">
        <v>30082000</v>
      </c>
      <c r="E34" s="3" t="n">
        <v>21189000</v>
      </c>
      <c r="F34" s="3" t="n">
        <v>13188000</v>
      </c>
      <c r="G34" s="3" t="n"/>
      <c r="H34" s="3" t="n"/>
    </row>
    <row r="35">
      <c r="A35" t="inlineStr">
        <is>
          <t>Current Debt</t>
        </is>
      </c>
      <c r="B35" s="3" t="n">
        <v>2095069000</v>
      </c>
      <c r="C35" s="3" t="n">
        <v>201776000</v>
      </c>
      <c r="D35" s="3" t="n">
        <v>100618000</v>
      </c>
      <c r="E35" s="3" t="n">
        <v>75060000</v>
      </c>
      <c r="F35" s="3" t="n">
        <v>63971000</v>
      </c>
      <c r="G35" s="3" t="n"/>
      <c r="H35" s="3" t="n"/>
    </row>
    <row r="36">
      <c r="A36" t="inlineStr">
        <is>
          <t>Other Current Borrowings</t>
        </is>
      </c>
      <c r="B36" s="3" t="n">
        <v>2095069000</v>
      </c>
      <c r="C36" s="3" t="n">
        <v>34453000</v>
      </c>
      <c r="D36" s="3" t="n">
        <v>43077000</v>
      </c>
      <c r="E36" s="3" t="n">
        <v>75060000</v>
      </c>
      <c r="F36" s="3" t="n">
        <v>63971000</v>
      </c>
      <c r="G36" s="3" t="n"/>
      <c r="H36" s="3" t="n"/>
    </row>
    <row r="37">
      <c r="A37" t="inlineStr">
        <is>
          <t>Line Of Credit</t>
        </is>
      </c>
      <c r="B37" s="3" t="n"/>
      <c r="C37" s="3" t="n">
        <v>167323000</v>
      </c>
      <c r="D37" s="3" t="n">
        <v>57541000</v>
      </c>
      <c r="E37" s="3" t="n"/>
      <c r="F37" s="3" t="n"/>
      <c r="G37" s="3" t="n">
        <v>154988000</v>
      </c>
      <c r="H37" s="3" t="n">
        <v>493808000</v>
      </c>
    </row>
    <row r="38">
      <c r="A38" t="inlineStr">
        <is>
          <t>Payables And Accrued Expenses</t>
        </is>
      </c>
      <c r="B38" s="3" t="n">
        <v>4319058000</v>
      </c>
      <c r="C38" s="3" t="n">
        <v>14266231000</v>
      </c>
      <c r="D38" s="3" t="n">
        <v>1572182000</v>
      </c>
      <c r="E38" s="3" t="n">
        <v>1619675000</v>
      </c>
      <c r="F38" s="3" t="n">
        <v>945220000</v>
      </c>
      <c r="G38" s="3" t="n"/>
      <c r="H38" s="3" t="n"/>
    </row>
    <row r="39">
      <c r="A39" t="inlineStr">
        <is>
          <t>Current Accrued Expenses</t>
        </is>
      </c>
      <c r="B39" s="3" t="n">
        <v>453265000</v>
      </c>
      <c r="C39" s="3" t="n">
        <v>274512000</v>
      </c>
      <c r="D39" s="3" t="n">
        <v>216725000</v>
      </c>
      <c r="E39" s="3" t="n">
        <v>245156000</v>
      </c>
      <c r="F39" s="3" t="n">
        <v>236238000</v>
      </c>
      <c r="G39" s="3" t="n"/>
      <c r="H39" s="3" t="n"/>
    </row>
    <row r="40">
      <c r="A40" t="inlineStr">
        <is>
          <t>Interest Payable</t>
        </is>
      </c>
      <c r="B40" s="3" t="n">
        <v>103846000</v>
      </c>
      <c r="C40" s="3" t="n">
        <v>27388000</v>
      </c>
      <c r="D40" s="3" t="n">
        <v>8356000</v>
      </c>
      <c r="E40" s="3" t="n">
        <v>27701000</v>
      </c>
      <c r="F40" s="3" t="n">
        <v>10011000</v>
      </c>
      <c r="G40" s="3" t="n"/>
      <c r="H40" s="3" t="n"/>
    </row>
    <row r="41">
      <c r="A41" t="inlineStr">
        <is>
          <t>Payables</t>
        </is>
      </c>
      <c r="B41" s="3" t="n">
        <v>3865793000</v>
      </c>
      <c r="C41" s="3" t="n">
        <v>13991719000</v>
      </c>
      <c r="D41" s="3" t="n">
        <v>1355457000</v>
      </c>
      <c r="E41" s="3" t="n">
        <v>1374519000</v>
      </c>
      <c r="F41" s="3" t="n">
        <v>708982000</v>
      </c>
      <c r="G41" s="3" t="n"/>
      <c r="H41" s="3" t="n"/>
    </row>
    <row r="42">
      <c r="A42" t="inlineStr">
        <is>
          <t>Total Tax Payable</t>
        </is>
      </c>
      <c r="B42" s="3" t="n">
        <v>178802000</v>
      </c>
      <c r="C42" s="3" t="n">
        <v>238512000</v>
      </c>
      <c r="D42" s="3" t="n">
        <v>75790000</v>
      </c>
      <c r="E42" s="3" t="n">
        <v>92542000</v>
      </c>
      <c r="F42" s="3" t="n">
        <v>65932000</v>
      </c>
      <c r="G42" s="3" t="n"/>
      <c r="H42" s="3" t="n"/>
    </row>
    <row r="43">
      <c r="A43" t="inlineStr">
        <is>
          <t>Income Tax Payable</t>
        </is>
      </c>
      <c r="B43" s="3" t="n">
        <v>38333000</v>
      </c>
      <c r="C43" s="3" t="n">
        <v>118700000</v>
      </c>
      <c r="D43" s="3" t="n">
        <v>56235000</v>
      </c>
      <c r="E43" s="3" t="n">
        <v>53381000</v>
      </c>
      <c r="F43" s="3" t="n">
        <v>23633000</v>
      </c>
      <c r="G43" s="3" t="n"/>
      <c r="H43" s="3" t="n"/>
    </row>
    <row r="44">
      <c r="A44" t="inlineStr">
        <is>
          <t>Accounts Payable</t>
        </is>
      </c>
      <c r="B44" s="3" t="n">
        <v>3686991000</v>
      </c>
      <c r="C44" s="3" t="n">
        <v>13753207000</v>
      </c>
      <c r="D44" s="3" t="n">
        <v>1279667000</v>
      </c>
      <c r="E44" s="3" t="n">
        <v>1281977000</v>
      </c>
      <c r="F44" s="3" t="n">
        <v>643050000</v>
      </c>
      <c r="G44" s="3" t="n"/>
      <c r="H44" s="3" t="n"/>
    </row>
    <row r="45">
      <c r="A45" t="inlineStr">
        <is>
          <t>Total Assets</t>
        </is>
      </c>
      <c r="B45" s="3" t="n">
        <v>23452029000</v>
      </c>
      <c r="C45" s="3" t="n">
        <v>28001610000</v>
      </c>
      <c r="D45" s="3" t="n">
        <v>14386037000</v>
      </c>
      <c r="E45" s="3" t="n">
        <v>14018429000</v>
      </c>
      <c r="F45" s="3" t="n">
        <v>10738525000</v>
      </c>
      <c r="G45" s="3" t="n"/>
      <c r="H45" s="3" t="n"/>
    </row>
    <row r="46">
      <c r="A46" t="inlineStr">
        <is>
          <t>Total Non Current Assets</t>
        </is>
      </c>
      <c r="B46" s="3" t="n">
        <v>1883743000</v>
      </c>
      <c r="C46" s="3" t="n">
        <v>1877013000</v>
      </c>
      <c r="D46" s="3" t="n">
        <v>1724703000</v>
      </c>
      <c r="E46" s="3" t="n">
        <v>1716775000</v>
      </c>
      <c r="F46" s="3" t="n">
        <v>1224936000</v>
      </c>
      <c r="G46" s="3" t="n"/>
      <c r="H46" s="3" t="n"/>
    </row>
    <row r="47">
      <c r="A47" t="inlineStr">
        <is>
          <t>Other Non Current Assets</t>
        </is>
      </c>
      <c r="B47" s="3" t="n">
        <v>39546000</v>
      </c>
      <c r="C47" s="3" t="n">
        <v>33399000</v>
      </c>
      <c r="D47" s="3" t="n">
        <v>18725000</v>
      </c>
      <c r="E47" s="3" t="n">
        <v>16714000</v>
      </c>
      <c r="F47" s="3" t="n">
        <v>251155000</v>
      </c>
      <c r="G47" s="3" t="n"/>
      <c r="H47" s="3" t="n"/>
    </row>
    <row r="48">
      <c r="A48" t="inlineStr">
        <is>
          <t>Non Current Prepaid Assets</t>
        </is>
      </c>
      <c r="B48" s="3" t="n">
        <v>3896000</v>
      </c>
      <c r="C48" s="3" t="n">
        <v>3669000</v>
      </c>
      <c r="D48" s="3" t="n">
        <v>4528000</v>
      </c>
      <c r="E48" s="3" t="n">
        <v>4980000</v>
      </c>
      <c r="F48" s="3" t="n"/>
      <c r="G48" s="3" t="n"/>
      <c r="H48" s="3" t="n"/>
    </row>
    <row r="49">
      <c r="A49" t="inlineStr">
        <is>
          <t>Non Current Deferred Assets</t>
        </is>
      </c>
      <c r="B49" s="3" t="n">
        <v>643879000</v>
      </c>
      <c r="C49" s="3" t="n">
        <v>666850000</v>
      </c>
      <c r="D49" s="3" t="n">
        <v>628085000</v>
      </c>
      <c r="E49" s="3" t="n">
        <v>618129000</v>
      </c>
      <c r="F49" s="3" t="n">
        <v>481216000</v>
      </c>
      <c r="G49" s="3" t="n"/>
      <c r="H49" s="3" t="n"/>
    </row>
    <row r="50">
      <c r="A50" t="inlineStr">
        <is>
          <t>Non Current Deferred Taxes Assets</t>
        </is>
      </c>
      <c r="B50" s="3" t="n">
        <v>632715000</v>
      </c>
      <c r="C50" s="3" t="n">
        <v>655367000</v>
      </c>
      <c r="D50" s="3" t="n">
        <v>617257000</v>
      </c>
      <c r="E50" s="3" t="n">
        <v>607416000</v>
      </c>
      <c r="F50" s="3" t="n">
        <v>481216000</v>
      </c>
      <c r="G50" s="3" t="n"/>
      <c r="H50" s="3" t="n"/>
    </row>
    <row r="51">
      <c r="A51" t="inlineStr">
        <is>
          <t>Non Current Accounts Receivable</t>
        </is>
      </c>
      <c r="B51" s="3" t="n">
        <v>87733000</v>
      </c>
      <c r="C51" s="3" t="n">
        <v>141128000</v>
      </c>
      <c r="D51" s="3" t="n">
        <v>76355000</v>
      </c>
      <c r="E51" s="3" t="n">
        <v>166405000</v>
      </c>
      <c r="F51" s="3" t="n"/>
      <c r="G51" s="3" t="n"/>
      <c r="H51" s="3" t="n"/>
    </row>
    <row r="52">
      <c r="A52" t="inlineStr">
        <is>
          <t>Investments And Advances</t>
        </is>
      </c>
      <c r="B52" s="3" t="n">
        <v>139593000</v>
      </c>
      <c r="C52" s="3" t="n">
        <v>123288000</v>
      </c>
      <c r="D52" s="3" t="n">
        <v>100330000</v>
      </c>
      <c r="E52" s="3" t="n">
        <v>112367000</v>
      </c>
      <c r="F52" s="3" t="n"/>
      <c r="G52" s="3" t="n"/>
      <c r="H52" s="3" t="n"/>
    </row>
    <row r="53">
      <c r="A53" t="inlineStr">
        <is>
          <t>Other Investments</t>
        </is>
      </c>
      <c r="B53" s="3" t="n"/>
      <c r="C53" s="3" t="n"/>
      <c r="D53" s="3" t="n"/>
      <c r="E53" s="3" t="n">
        <v>112367000</v>
      </c>
      <c r="F53" s="3" t="n"/>
      <c r="G53" s="3" t="n"/>
      <c r="H53" s="3" t="n"/>
    </row>
    <row r="54">
      <c r="A54" t="inlineStr">
        <is>
          <t>Net PPE</t>
        </is>
      </c>
      <c r="B54" s="3" t="n">
        <v>969096000</v>
      </c>
      <c r="C54" s="3" t="n">
        <v>908679000</v>
      </c>
      <c r="D54" s="3" t="n">
        <v>896680000</v>
      </c>
      <c r="E54" s="3" t="n">
        <v>798180000</v>
      </c>
      <c r="F54" s="3" t="n">
        <v>492565000</v>
      </c>
      <c r="G54" s="3" t="n"/>
      <c r="H54" s="3" t="n"/>
    </row>
    <row r="55">
      <c r="A55" t="inlineStr">
        <is>
          <t>Accumulated Depreciation</t>
        </is>
      </c>
      <c r="B55" s="3" t="n">
        <v>-155825000</v>
      </c>
      <c r="C55" s="3" t="n">
        <v>-142458000</v>
      </c>
      <c r="D55" s="3" t="n">
        <v>-129755000</v>
      </c>
      <c r="E55" s="3" t="n">
        <v>-118245000</v>
      </c>
      <c r="F55" s="3" t="n">
        <v>-241988000</v>
      </c>
      <c r="G55" s="3" t="n"/>
      <c r="H55" s="3" t="n"/>
    </row>
    <row r="56">
      <c r="A56" t="inlineStr">
        <is>
          <t>Gross PPE</t>
        </is>
      </c>
      <c r="B56" s="3" t="n">
        <v>1124921000</v>
      </c>
      <c r="C56" s="3" t="n">
        <v>1051137000</v>
      </c>
      <c r="D56" s="3" t="n">
        <v>1026435000</v>
      </c>
      <c r="E56" s="3" t="n">
        <v>916425000</v>
      </c>
      <c r="F56" s="3" t="n">
        <v>734553000</v>
      </c>
      <c r="G56" s="3" t="n"/>
      <c r="H56" s="3" t="n"/>
    </row>
    <row r="57">
      <c r="A57" t="inlineStr">
        <is>
          <t>Construction In Progress</t>
        </is>
      </c>
      <c r="B57" s="3" t="n">
        <v>55705000</v>
      </c>
      <c r="C57" s="3" t="n">
        <v>11527000</v>
      </c>
      <c r="D57" s="3" t="n">
        <v>1275000</v>
      </c>
      <c r="E57" s="3" t="n">
        <v>1038000</v>
      </c>
      <c r="F57" s="3" t="n">
        <v>669000</v>
      </c>
      <c r="G57" s="3" t="n"/>
      <c r="H57" s="3" t="n"/>
    </row>
    <row r="58">
      <c r="A58" t="inlineStr">
        <is>
          <t>Other Properties</t>
        </is>
      </c>
      <c r="B58" s="3" t="n">
        <v>361437000</v>
      </c>
      <c r="C58" s="3" t="n">
        <v>370095000</v>
      </c>
      <c r="D58" s="3" t="n">
        <v>375968000</v>
      </c>
      <c r="E58" s="3" t="n">
        <v>293692000</v>
      </c>
      <c r="F58" s="3" t="n"/>
      <c r="G58" s="3" t="n"/>
      <c r="H58" s="3" t="n"/>
    </row>
    <row r="59">
      <c r="A59" t="inlineStr">
        <is>
          <t>Machinery Furniture Equipment</t>
        </is>
      </c>
      <c r="B59" s="3" t="n">
        <v>191484000</v>
      </c>
      <c r="C59" s="3" t="n">
        <v>181232000</v>
      </c>
      <c r="D59" s="3" t="n">
        <v>166762000</v>
      </c>
      <c r="E59" s="3" t="n">
        <v>154716000</v>
      </c>
      <c r="F59" s="3" t="n">
        <v>269100000</v>
      </c>
      <c r="G59" s="3" t="n"/>
      <c r="H59" s="3" t="n"/>
    </row>
    <row r="60">
      <c r="A60" t="inlineStr">
        <is>
          <t>Buildings And Improvements</t>
        </is>
      </c>
      <c r="B60" s="3" t="n">
        <v>322878000</v>
      </c>
      <c r="C60" s="3" t="n">
        <v>315955000</v>
      </c>
      <c r="D60" s="3" t="n">
        <v>310228000</v>
      </c>
      <c r="E60" s="3" t="n">
        <v>304131000</v>
      </c>
      <c r="F60" s="3" t="n">
        <v>301821000</v>
      </c>
      <c r="G60" s="3" t="n"/>
      <c r="H60" s="3" t="n"/>
    </row>
    <row r="61">
      <c r="A61" t="inlineStr">
        <is>
          <t>Land And Improvements</t>
        </is>
      </c>
      <c r="B61" s="3" t="n">
        <v>193417000</v>
      </c>
      <c r="C61" s="3" t="n">
        <v>172328000</v>
      </c>
      <c r="D61" s="3" t="n">
        <v>172202000</v>
      </c>
      <c r="E61" s="3" t="n">
        <v>162848000</v>
      </c>
      <c r="F61" s="3" t="n">
        <v>162963000</v>
      </c>
      <c r="G61" s="3" t="n"/>
      <c r="H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/>
      <c r="H62" s="3" t="n"/>
    </row>
    <row r="63">
      <c r="A63" t="inlineStr">
        <is>
          <t>Current Assets</t>
        </is>
      </c>
      <c r="B63" s="3" t="n">
        <v>21568286000</v>
      </c>
      <c r="C63" s="3" t="n">
        <v>26124597000</v>
      </c>
      <c r="D63" s="3" t="n">
        <v>12661334000</v>
      </c>
      <c r="E63" s="3" t="n">
        <v>12301654000</v>
      </c>
      <c r="F63" s="3" t="n">
        <v>9513589000</v>
      </c>
      <c r="G63" s="3" t="n"/>
      <c r="H63" s="3" t="n"/>
    </row>
    <row r="64">
      <c r="A64" t="inlineStr">
        <is>
          <t>Other Current Assets</t>
        </is>
      </c>
      <c r="B64" s="3" t="n">
        <v>732476000</v>
      </c>
      <c r="C64" s="3" t="n">
        <v>433312000</v>
      </c>
      <c r="D64" s="3" t="n">
        <v>208224000</v>
      </c>
      <c r="E64" s="3" t="n">
        <v>233681000</v>
      </c>
      <c r="F64" s="3" t="n">
        <v>449968000</v>
      </c>
      <c r="G64" s="3" t="n"/>
      <c r="H64" s="3" t="n"/>
    </row>
    <row r="65">
      <c r="A65" t="inlineStr">
        <is>
          <t>Inventory</t>
        </is>
      </c>
      <c r="B65" s="3" t="n">
        <v>11103376000</v>
      </c>
      <c r="C65" s="3" t="n">
        <v>10595448000</v>
      </c>
      <c r="D65" s="3" t="n">
        <v>5730002000</v>
      </c>
      <c r="E65" s="3" t="n">
        <v>4680375000</v>
      </c>
      <c r="F65" s="3" t="n">
        <v>3870243000</v>
      </c>
      <c r="G65" s="3" t="n"/>
      <c r="H65" s="3" t="n"/>
    </row>
    <row r="66">
      <c r="A66" t="inlineStr">
        <is>
          <t>Finished Goods</t>
        </is>
      </c>
      <c r="B66" s="3" t="n">
        <v>8154074000</v>
      </c>
      <c r="C66" s="3" t="n">
        <v>7510625000</v>
      </c>
      <c r="D66" s="3" t="n">
        <v>3877754000</v>
      </c>
      <c r="E66" s="3" t="n">
        <v>3465352000</v>
      </c>
      <c r="F66" s="3" t="n">
        <v>2870043000</v>
      </c>
      <c r="G66" s="3" t="n"/>
      <c r="H66" s="3" t="n"/>
    </row>
    <row r="67">
      <c r="A67" t="inlineStr">
        <is>
          <t>Work In Process</t>
        </is>
      </c>
      <c r="B67" s="3" t="n">
        <v>1991524000</v>
      </c>
      <c r="C67" s="3" t="n">
        <v>2331526000</v>
      </c>
      <c r="D67" s="3" t="n">
        <v>1259183000</v>
      </c>
      <c r="E67" s="3" t="n">
        <v>674613000</v>
      </c>
      <c r="F67" s="3" t="n">
        <v>454396000</v>
      </c>
      <c r="G67" s="3" t="n"/>
      <c r="H67" s="3" t="n"/>
    </row>
    <row r="68">
      <c r="A68" t="inlineStr">
        <is>
          <t>Raw Materials</t>
        </is>
      </c>
      <c r="B68" s="3" t="n">
        <v>957778000</v>
      </c>
      <c r="C68" s="3" t="n">
        <v>753297000</v>
      </c>
      <c r="D68" s="3" t="n">
        <v>593065000</v>
      </c>
      <c r="E68" s="3" t="n">
        <v>540410000</v>
      </c>
      <c r="F68" s="3" t="n">
        <v>545804000</v>
      </c>
      <c r="G68" s="3" t="n"/>
      <c r="H68" s="3" t="n"/>
    </row>
    <row r="69">
      <c r="A69" t="inlineStr">
        <is>
          <t>Receivables</t>
        </is>
      </c>
      <c r="B69" s="3" t="n">
        <v>8442110000</v>
      </c>
      <c r="C69" s="3" t="n">
        <v>11004754000</v>
      </c>
      <c r="D69" s="3" t="n">
        <v>2526241000</v>
      </c>
      <c r="E69" s="3" t="n">
        <v>2217687000</v>
      </c>
      <c r="F69" s="3" t="n">
        <v>2657277000</v>
      </c>
      <c r="G69" s="3" t="n"/>
      <c r="H69" s="3" t="n"/>
    </row>
    <row r="70">
      <c r="A70" t="inlineStr">
        <is>
          <t>Duefrom Related Parties Current</t>
        </is>
      </c>
      <c r="B70" s="3" t="n">
        <v>28714000</v>
      </c>
      <c r="C70" s="3" t="n">
        <v>632000</v>
      </c>
      <c r="D70" s="3" t="n">
        <v>1202000</v>
      </c>
      <c r="E70" s="3" t="n">
        <v>13745000</v>
      </c>
      <c r="F70" s="3" t="n">
        <v>14721000</v>
      </c>
      <c r="G70" s="3" t="n"/>
      <c r="H70" s="3" t="n"/>
    </row>
    <row r="71">
      <c r="A71" t="inlineStr">
        <is>
          <t>Accounts Receivable</t>
        </is>
      </c>
      <c r="B71" s="3" t="n">
        <v>8413396000</v>
      </c>
      <c r="C71" s="3" t="n">
        <v>11004122000</v>
      </c>
      <c r="D71" s="3" t="n">
        <v>2525039000</v>
      </c>
      <c r="E71" s="3" t="n">
        <v>2203942000</v>
      </c>
      <c r="F71" s="3" t="n">
        <v>2642556000</v>
      </c>
      <c r="G71" s="3" t="n"/>
      <c r="H71" s="3" t="n"/>
    </row>
    <row r="72">
      <c r="A72" t="inlineStr">
        <is>
          <t>Allowance For Doubtful Accounts Receivable</t>
        </is>
      </c>
      <c r="B72" s="3" t="n">
        <v>-488000</v>
      </c>
      <c r="C72" s="3" t="n">
        <v>-572000</v>
      </c>
      <c r="D72" s="3" t="n">
        <v>-533000</v>
      </c>
      <c r="E72" s="3" t="n">
        <v>0</v>
      </c>
      <c r="F72" s="3" t="n">
        <v>-67000</v>
      </c>
      <c r="G72" s="3" t="n"/>
      <c r="H72" s="3" t="n"/>
    </row>
    <row r="73">
      <c r="A73" t="inlineStr">
        <is>
          <t>Gross Accounts Receivable</t>
        </is>
      </c>
      <c r="B73" s="3" t="n">
        <v>8413884000</v>
      </c>
      <c r="C73" s="3" t="n">
        <v>11004694000</v>
      </c>
      <c r="D73" s="3" t="n">
        <v>2525572000</v>
      </c>
      <c r="E73" s="3" t="n">
        <v>2203942000</v>
      </c>
      <c r="F73" s="3" t="n">
        <v>2642623000</v>
      </c>
      <c r="G73" s="3" t="n"/>
      <c r="H73" s="3" t="n"/>
    </row>
    <row r="74">
      <c r="A74" t="inlineStr">
        <is>
          <t>Cash Cash Equivalents And Short Term Investments</t>
        </is>
      </c>
      <c r="B74" s="3" t="n">
        <v>1290324000</v>
      </c>
      <c r="C74" s="3" t="n">
        <v>4091083000</v>
      </c>
      <c r="D74" s="3" t="n">
        <v>4196867000</v>
      </c>
      <c r="E74" s="3" t="n">
        <v>5169911000</v>
      </c>
      <c r="F74" s="3" t="n">
        <v>2536101000</v>
      </c>
      <c r="G74" s="3" t="n"/>
      <c r="H74" s="3" t="n"/>
    </row>
    <row r="75">
      <c r="A75" t="inlineStr">
        <is>
          <t>Cash And Cash Equivalents</t>
        </is>
      </c>
      <c r="B75" s="3" t="n">
        <v>1290324000</v>
      </c>
      <c r="C75" s="3" t="n">
        <v>4091083000</v>
      </c>
      <c r="D75" s="3" t="n">
        <v>4196867000</v>
      </c>
      <c r="E75" s="3" t="n">
        <v>5169911000</v>
      </c>
      <c r="F75" s="3" t="n">
        <v>2536101000</v>
      </c>
      <c r="G75" s="3" t="n"/>
      <c r="H7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1532310000</v>
      </c>
      <c r="C2" s="3" t="n">
        <v>-2610251000</v>
      </c>
      <c r="D2" s="3" t="n">
        <v>626787000</v>
      </c>
      <c r="E2" s="3" t="n">
        <v>-485983000</v>
      </c>
      <c r="F2" s="3" t="n"/>
    </row>
    <row r="3">
      <c r="A3" t="inlineStr">
        <is>
          <t>Repurchase Of Capital Stock</t>
        </is>
      </c>
      <c r="B3" s="3" t="n">
        <v>-200000000</v>
      </c>
      <c r="C3" s="3" t="n">
        <v>0</v>
      </c>
      <c r="D3" s="3" t="n">
        <v>-149998000</v>
      </c>
      <c r="E3" s="3" t="n">
        <v>0</v>
      </c>
      <c r="F3" s="3" t="n"/>
    </row>
    <row r="4">
      <c r="A4" t="inlineStr">
        <is>
          <t>Repayment Of Debt</t>
        </is>
      </c>
      <c r="B4" s="3" t="n">
        <v>-1768650000</v>
      </c>
      <c r="C4" s="3" t="n">
        <v>-1967545000</v>
      </c>
      <c r="D4" s="3" t="n">
        <v>-1394391000</v>
      </c>
      <c r="E4" s="3" t="n">
        <v>-640695000</v>
      </c>
      <c r="F4" s="3" t="n"/>
    </row>
    <row r="5">
      <c r="A5" t="inlineStr">
        <is>
          <t>Issuance Of Debt</t>
        </is>
      </c>
      <c r="B5" s="3" t="n">
        <v>4327660000</v>
      </c>
      <c r="C5" s="3" t="n">
        <v>3852297000</v>
      </c>
      <c r="D5" s="3" t="n">
        <v>1093860000</v>
      </c>
      <c r="E5" s="3" t="n">
        <v>1153317000</v>
      </c>
      <c r="F5" s="3" t="n"/>
    </row>
    <row r="6">
      <c r="A6" t="inlineStr">
        <is>
          <t>Issuance Of Capital Stock</t>
        </is>
      </c>
      <c r="B6" s="3" t="n">
        <v>0</v>
      </c>
      <c r="C6" s="3" t="n">
        <v>2313983000</v>
      </c>
      <c r="D6" s="3" t="n">
        <v>0</v>
      </c>
      <c r="E6" s="3" t="n">
        <v>0</v>
      </c>
      <c r="F6" s="3" t="n"/>
    </row>
    <row r="7">
      <c r="A7" t="inlineStr">
        <is>
          <t>Capital Expenditure</t>
        </is>
      </c>
      <c r="B7" s="3" t="n">
        <v>-127214000</v>
      </c>
      <c r="C7" s="3" t="n">
        <v>-124279000</v>
      </c>
      <c r="D7" s="3" t="n">
        <v>-36793000</v>
      </c>
      <c r="E7" s="3" t="n">
        <v>-45182000</v>
      </c>
      <c r="F7" s="3" t="n"/>
    </row>
    <row r="8">
      <c r="A8" t="inlineStr">
        <is>
          <t>Interest Paid Supplemental Data</t>
        </is>
      </c>
      <c r="B8" s="3" t="n">
        <v>25490000</v>
      </c>
      <c r="C8" s="3" t="n">
        <v>16015000</v>
      </c>
      <c r="D8" s="3" t="n">
        <v>8541000</v>
      </c>
      <c r="E8" s="3" t="n">
        <v>5492000</v>
      </c>
      <c r="F8" s="3" t="n"/>
    </row>
    <row r="9">
      <c r="A9" t="inlineStr">
        <is>
          <t>Income Tax Paid Supplemental Data</t>
        </is>
      </c>
      <c r="B9" s="3" t="n">
        <v>327158000</v>
      </c>
      <c r="C9" s="3" t="n">
        <v>392020000</v>
      </c>
      <c r="D9" s="3" t="n">
        <v>114963000</v>
      </c>
      <c r="E9" s="3" t="n">
        <v>19690000</v>
      </c>
      <c r="F9" s="3" t="n"/>
    </row>
    <row r="10">
      <c r="A10" t="inlineStr">
        <is>
          <t>End Cash Position</t>
        </is>
      </c>
      <c r="B10" s="3" t="n">
        <v>5172301000</v>
      </c>
      <c r="C10" s="3" t="n">
        <v>1670273000</v>
      </c>
      <c r="D10" s="3" t="n">
        <v>440960000</v>
      </c>
      <c r="E10" s="3" t="n">
        <v>268559000</v>
      </c>
      <c r="F10" s="3" t="n"/>
    </row>
    <row r="11">
      <c r="A11" t="inlineStr">
        <is>
          <t>Beginning Cash Position</t>
        </is>
      </c>
      <c r="B11" s="3" t="n">
        <v>1670273000</v>
      </c>
      <c r="C11" s="3" t="n">
        <v>440960000</v>
      </c>
      <c r="D11" s="3" t="n">
        <v>268559000</v>
      </c>
      <c r="E11" s="3" t="n">
        <v>233449000</v>
      </c>
      <c r="F11" s="3" t="n"/>
    </row>
    <row r="12">
      <c r="A12" t="inlineStr">
        <is>
          <t>Effect Of Exchange Rate Changes</t>
        </is>
      </c>
      <c r="B12" s="3" t="n">
        <v>1673000</v>
      </c>
      <c r="C12" s="3" t="n">
        <v>-2191000</v>
      </c>
      <c r="D12" s="3" t="n">
        <v>-3400000</v>
      </c>
      <c r="E12" s="3" t="n">
        <v>-678000</v>
      </c>
      <c r="F12" s="3" t="n"/>
    </row>
    <row r="13">
      <c r="A13" t="inlineStr">
        <is>
          <t>Changes In Cash</t>
        </is>
      </c>
      <c r="B13" s="3" t="n">
        <v>3500355000</v>
      </c>
      <c r="C13" s="3" t="n">
        <v>1231504000</v>
      </c>
      <c r="D13" s="3" t="n">
        <v>175801000</v>
      </c>
      <c r="E13" s="3" t="n">
        <v>35788000</v>
      </c>
      <c r="F13" s="3" t="n"/>
    </row>
    <row r="14">
      <c r="A14" t="inlineStr">
        <is>
          <t>Financing Cash Flow</t>
        </is>
      </c>
      <c r="B14" s="3" t="n">
        <v>2024045000</v>
      </c>
      <c r="C14" s="3" t="n">
        <v>3911724000</v>
      </c>
      <c r="D14" s="3" t="n">
        <v>-448293000</v>
      </c>
      <c r="E14" s="3" t="n">
        <v>522871000</v>
      </c>
      <c r="F14" s="3" t="n"/>
    </row>
    <row r="15">
      <c r="A15" t="inlineStr">
        <is>
          <t>Cash Flow From Continuing Financing Activities</t>
        </is>
      </c>
      <c r="B15" s="3" t="n">
        <v>2024045000</v>
      </c>
      <c r="C15" s="3" t="n">
        <v>3911724000</v>
      </c>
      <c r="D15" s="3" t="n">
        <v>-448293000</v>
      </c>
      <c r="E15" s="3" t="n">
        <v>522871000</v>
      </c>
      <c r="F15" s="3" t="n"/>
    </row>
    <row r="16">
      <c r="A16" t="inlineStr">
        <is>
          <t>Net Other Financing Charges</t>
        </is>
      </c>
      <c r="B16" s="3" t="n">
        <v>-355863000</v>
      </c>
      <c r="C16" s="3" t="n">
        <v>-316464000</v>
      </c>
      <c r="D16" s="3" t="n">
        <v>-28230000</v>
      </c>
      <c r="E16" s="3" t="n">
        <v>-10745000</v>
      </c>
      <c r="F16" s="3" t="n"/>
    </row>
    <row r="17">
      <c r="A17" t="inlineStr">
        <is>
          <t>Proceeds From Stock Option Exercised</t>
        </is>
      </c>
      <c r="B17" s="3" t="n">
        <v>20898000</v>
      </c>
      <c r="C17" s="3" t="n">
        <v>29453000</v>
      </c>
      <c r="D17" s="3" t="n">
        <v>30466000</v>
      </c>
      <c r="E17" s="3" t="n">
        <v>20994000</v>
      </c>
      <c r="F17" s="3" t="n"/>
    </row>
    <row r="18">
      <c r="A18" t="inlineStr">
        <is>
          <t>Net Common Stock Issuance</t>
        </is>
      </c>
      <c r="B18" s="3" t="n">
        <v>-200000000</v>
      </c>
      <c r="C18" s="3" t="n">
        <v>2313983000</v>
      </c>
      <c r="D18" s="3" t="n">
        <v>-149998000</v>
      </c>
      <c r="E18" s="3" t="n">
        <v>0</v>
      </c>
      <c r="F18" s="3" t="n"/>
    </row>
    <row r="19">
      <c r="A19" t="inlineStr">
        <is>
          <t>Common Stock Payments</t>
        </is>
      </c>
      <c r="B19" s="3" t="n">
        <v>-200000000</v>
      </c>
      <c r="C19" s="3" t="n">
        <v>0</v>
      </c>
      <c r="D19" s="3" t="n">
        <v>-149998000</v>
      </c>
      <c r="E19" s="3" t="n">
        <v>0</v>
      </c>
      <c r="F19" s="3" t="n"/>
    </row>
    <row r="20">
      <c r="A20" t="inlineStr">
        <is>
          <t>Common Stock Issuance</t>
        </is>
      </c>
      <c r="B20" s="3" t="n">
        <v>0</v>
      </c>
      <c r="C20" s="3" t="n">
        <v>2313983000</v>
      </c>
      <c r="D20" s="3" t="n">
        <v>0</v>
      </c>
      <c r="E20" s="3" t="n">
        <v>0</v>
      </c>
      <c r="F20" s="3" t="n"/>
    </row>
    <row r="21">
      <c r="A21" t="inlineStr">
        <is>
          <t>Net Issuance Payments Of Debt</t>
        </is>
      </c>
      <c r="B21" s="3" t="n">
        <v>2559010000</v>
      </c>
      <c r="C21" s="3" t="n">
        <v>1884752000</v>
      </c>
      <c r="D21" s="3" t="n">
        <v>-300531000</v>
      </c>
      <c r="E21" s="3" t="n">
        <v>512622000</v>
      </c>
      <c r="F21" s="3" t="n"/>
    </row>
    <row r="22">
      <c r="A22" t="inlineStr">
        <is>
          <t>Net Short Term Debt Issuance</t>
        </is>
      </c>
      <c r="B22" s="3" t="n">
        <v>-380659000</v>
      </c>
      <c r="C22" s="3" t="n">
        <v>188984000</v>
      </c>
      <c r="D22" s="3" t="n">
        <v>-300531000</v>
      </c>
      <c r="E22" s="3" t="n">
        <v>512622000</v>
      </c>
      <c r="F22" s="3" t="n"/>
    </row>
    <row r="23">
      <c r="A23" t="inlineStr">
        <is>
          <t>Short Term Debt Payments</t>
        </is>
      </c>
      <c r="B23" s="3" t="n">
        <v>-1768650000</v>
      </c>
      <c r="C23" s="3" t="n">
        <v>-1967545000</v>
      </c>
      <c r="D23" s="3" t="n">
        <v>-1394391000</v>
      </c>
      <c r="E23" s="3" t="n">
        <v>-640695000</v>
      </c>
      <c r="F23" s="3" t="n"/>
    </row>
    <row r="24">
      <c r="A24" t="inlineStr">
        <is>
          <t>Short Term Debt Issuance</t>
        </is>
      </c>
      <c r="B24" s="3" t="n">
        <v>1387991000</v>
      </c>
      <c r="C24" s="3" t="n">
        <v>2156529000</v>
      </c>
      <c r="D24" s="3" t="n">
        <v>1093860000</v>
      </c>
      <c r="E24" s="3" t="n">
        <v>1153317000</v>
      </c>
      <c r="F24" s="3" t="n"/>
    </row>
    <row r="25">
      <c r="A25" t="inlineStr">
        <is>
          <t>Net Long Term Debt Issuance</t>
        </is>
      </c>
      <c r="B25" s="3" t="n">
        <v>2939669000</v>
      </c>
      <c r="C25" s="3" t="n">
        <v>1695768000</v>
      </c>
      <c r="D25" s="3" t="n">
        <v>0</v>
      </c>
      <c r="E25" s="3" t="n">
        <v>0</v>
      </c>
      <c r="F25" s="3" t="n"/>
    </row>
    <row r="26">
      <c r="A26" t="inlineStr">
        <is>
          <t>Long Term Debt Payments</t>
        </is>
      </c>
      <c r="B26" s="3" t="n"/>
      <c r="C26" s="3" t="n"/>
      <c r="D26" s="3" t="n">
        <v>-1394391000</v>
      </c>
      <c r="E26" s="3" t="n">
        <v>-640695000</v>
      </c>
      <c r="F26" s="3" t="n">
        <v>-60629000</v>
      </c>
    </row>
    <row r="27">
      <c r="A27" t="inlineStr">
        <is>
          <t>Long Term Debt Issuance</t>
        </is>
      </c>
      <c r="B27" s="3" t="n">
        <v>2939669000</v>
      </c>
      <c r="C27" s="3" t="n">
        <v>1695768000</v>
      </c>
      <c r="D27" s="3" t="n">
        <v>0</v>
      </c>
      <c r="E27" s="3" t="n">
        <v>0</v>
      </c>
      <c r="F27" s="3" t="n"/>
    </row>
    <row r="28">
      <c r="A28" t="inlineStr">
        <is>
          <t>Investing Cash Flow</t>
        </is>
      </c>
      <c r="B28" s="3" t="n">
        <v>-183214000</v>
      </c>
      <c r="C28" s="3" t="n">
        <v>-194248000</v>
      </c>
      <c r="D28" s="3" t="n">
        <v>-39486000</v>
      </c>
      <c r="E28" s="3" t="n">
        <v>-46282000</v>
      </c>
      <c r="F28" s="3" t="n"/>
    </row>
    <row r="29">
      <c r="A29" t="inlineStr">
        <is>
          <t>Cash Flow From Continuing Investing Activities</t>
        </is>
      </c>
      <c r="B29" s="3" t="n">
        <v>-183214000</v>
      </c>
      <c r="C29" s="3" t="n">
        <v>-194248000</v>
      </c>
      <c r="D29" s="3" t="n">
        <v>-39486000</v>
      </c>
      <c r="E29" s="3" t="n">
        <v>-46282000</v>
      </c>
      <c r="F29" s="3" t="n"/>
    </row>
    <row r="30">
      <c r="A30" t="inlineStr">
        <is>
          <t>Net Investment Purchase And Sale</t>
        </is>
      </c>
      <c r="B30" s="3" t="n">
        <v>-56000000</v>
      </c>
      <c r="C30" s="3" t="n">
        <v>-69673000</v>
      </c>
      <c r="D30" s="3" t="n">
        <v>-500000</v>
      </c>
      <c r="E30" s="3" t="n">
        <v>-1100000</v>
      </c>
      <c r="F30" s="3" t="n"/>
    </row>
    <row r="31">
      <c r="A31" t="inlineStr">
        <is>
          <t>Purchase Of Investment</t>
        </is>
      </c>
      <c r="B31" s="3" t="n">
        <v>-56000000</v>
      </c>
      <c r="C31" s="3" t="n">
        <v>-69673000</v>
      </c>
      <c r="D31" s="3" t="n">
        <v>-500000</v>
      </c>
      <c r="E31" s="3" t="n">
        <v>-1100000</v>
      </c>
      <c r="F31" s="3" t="n"/>
    </row>
    <row r="32">
      <c r="A32" t="inlineStr">
        <is>
          <t>Net Business Purchase And Sale</t>
        </is>
      </c>
      <c r="B32" s="3" t="n">
        <v>0</v>
      </c>
      <c r="C32" s="3" t="n">
        <v>-296000</v>
      </c>
      <c r="D32" s="3" t="n">
        <v>-2193000</v>
      </c>
      <c r="E32" s="3" t="n">
        <v>0</v>
      </c>
      <c r="F32" s="3" t="n"/>
    </row>
    <row r="33">
      <c r="A33" t="inlineStr">
        <is>
          <t>Sale Of Business</t>
        </is>
      </c>
      <c r="B33" s="3" t="n"/>
      <c r="C33" s="3" t="n"/>
      <c r="D33" s="3" t="n"/>
      <c r="E33" s="3" t="n">
        <v>0</v>
      </c>
      <c r="F33" s="3" t="n">
        <v>0</v>
      </c>
    </row>
    <row r="34">
      <c r="A34" t="inlineStr">
        <is>
          <t>Purchase Of Business</t>
        </is>
      </c>
      <c r="B34" s="3" t="n">
        <v>0</v>
      </c>
      <c r="C34" s="3" t="n">
        <v>-296000</v>
      </c>
      <c r="D34" s="3" t="n">
        <v>-2193000</v>
      </c>
      <c r="E34" s="3" t="n">
        <v>0</v>
      </c>
      <c r="F34" s="3" t="n"/>
    </row>
    <row r="35">
      <c r="A35" t="inlineStr">
        <is>
          <t>Net PPE Purchase And Sale</t>
        </is>
      </c>
      <c r="B35" s="3" t="n">
        <v>-127214000</v>
      </c>
      <c r="C35" s="3" t="n">
        <v>-124279000</v>
      </c>
      <c r="D35" s="3" t="n">
        <v>-36793000</v>
      </c>
      <c r="E35" s="3" t="n">
        <v>-45182000</v>
      </c>
      <c r="F35" s="3" t="n"/>
    </row>
    <row r="36">
      <c r="A36" t="inlineStr">
        <is>
          <t>Purchase Of PPE</t>
        </is>
      </c>
      <c r="B36" s="3" t="n">
        <v>-127214000</v>
      </c>
      <c r="C36" s="3" t="n">
        <v>-124279000</v>
      </c>
      <c r="D36" s="3" t="n">
        <v>-36793000</v>
      </c>
      <c r="E36" s="3" t="n">
        <v>-45182000</v>
      </c>
      <c r="F36" s="3" t="n"/>
    </row>
    <row r="37">
      <c r="A37" t="inlineStr">
        <is>
          <t>Operating Cash Flow</t>
        </is>
      </c>
      <c r="B37" s="3" t="n">
        <v>1659524000</v>
      </c>
      <c r="C37" s="3" t="n">
        <v>-2485972000</v>
      </c>
      <c r="D37" s="3" t="n">
        <v>663580000</v>
      </c>
      <c r="E37" s="3" t="n">
        <v>-440801000</v>
      </c>
      <c r="F37" s="3" t="n"/>
    </row>
    <row r="38">
      <c r="A38" t="inlineStr">
        <is>
          <t>Cash Flow From Continuing Operating Activities</t>
        </is>
      </c>
      <c r="B38" s="3" t="n">
        <v>1659524000</v>
      </c>
      <c r="C38" s="3" t="n">
        <v>-2485972000</v>
      </c>
      <c r="D38" s="3" t="n">
        <v>663580000</v>
      </c>
      <c r="E38" s="3" t="n">
        <v>-440801000</v>
      </c>
      <c r="F38" s="3" t="n"/>
    </row>
    <row r="39">
      <c r="A39" t="inlineStr">
        <is>
          <t>Change In Working Capital</t>
        </is>
      </c>
      <c r="B39" s="3" t="n">
        <v>390027000</v>
      </c>
      <c r="C39" s="3" t="n">
        <v>-3752622000</v>
      </c>
      <c r="D39" s="3" t="n">
        <v>26868000</v>
      </c>
      <c r="E39" s="3" t="n">
        <v>-769849000</v>
      </c>
      <c r="F39" s="3" t="n"/>
    </row>
    <row r="40">
      <c r="A40" t="inlineStr">
        <is>
          <t>Change In Other Working Capital</t>
        </is>
      </c>
      <c r="B40" s="3" t="n">
        <v>315006000</v>
      </c>
      <c r="C40" s="3" t="n">
        <v>111927000</v>
      </c>
      <c r="D40" s="3" t="n">
        <v>70587000</v>
      </c>
      <c r="E40" s="3" t="n">
        <v>31544000</v>
      </c>
      <c r="F40" s="3" t="n"/>
    </row>
    <row r="41">
      <c r="A41" t="inlineStr">
        <is>
          <t>Change In Other Current Liabilities</t>
        </is>
      </c>
      <c r="B41" s="3" t="n">
        <v>2914000</v>
      </c>
      <c r="C41" s="3" t="n">
        <v>8045000</v>
      </c>
      <c r="D41" s="3" t="n">
        <v>-4424000</v>
      </c>
      <c r="E41" s="3" t="n">
        <v>-10557000</v>
      </c>
      <c r="F41" s="3" t="n"/>
    </row>
    <row r="42">
      <c r="A42" t="inlineStr">
        <is>
          <t>Change In Payables And Accrued Expense</t>
        </is>
      </c>
      <c r="B42" s="3" t="n">
        <v>123479000</v>
      </c>
      <c r="C42" s="3" t="n">
        <v>661235000</v>
      </c>
      <c r="D42" s="3" t="n">
        <v>164247000</v>
      </c>
      <c r="E42" s="3" t="n">
        <v>115038000</v>
      </c>
      <c r="F42" s="3" t="n"/>
    </row>
    <row r="43">
      <c r="A43" t="inlineStr">
        <is>
          <t>Change In Accrued Expense</t>
        </is>
      </c>
      <c r="B43" s="3" t="n">
        <v>272404000</v>
      </c>
      <c r="C43" s="3" t="n">
        <v>92942000</v>
      </c>
      <c r="D43" s="3" t="n">
        <v>-50311000</v>
      </c>
      <c r="E43" s="3" t="n">
        <v>35891000</v>
      </c>
      <c r="F43" s="3" t="n"/>
    </row>
    <row r="44">
      <c r="A44" t="inlineStr">
        <is>
          <t>Change In Payable</t>
        </is>
      </c>
      <c r="B44" s="3" t="n">
        <v>-148925000</v>
      </c>
      <c r="C44" s="3" t="n">
        <v>568293000</v>
      </c>
      <c r="D44" s="3" t="n">
        <v>214558000</v>
      </c>
      <c r="E44" s="3" t="n">
        <v>79147000</v>
      </c>
      <c r="F44" s="3" t="n"/>
    </row>
    <row r="45">
      <c r="A45" t="inlineStr">
        <is>
          <t>Change In Account Payable</t>
        </is>
      </c>
      <c r="B45" s="3" t="n">
        <v>-180968000</v>
      </c>
      <c r="C45" s="3" t="n">
        <v>679190000</v>
      </c>
      <c r="D45" s="3" t="n">
        <v>127135000</v>
      </c>
      <c r="E45" s="3" t="n">
        <v>50145000</v>
      </c>
      <c r="F45" s="3" t="n"/>
    </row>
    <row r="46">
      <c r="A46" t="inlineStr">
        <is>
          <t>Change In Tax Payable</t>
        </is>
      </c>
      <c r="B46" s="3" t="n">
        <v>32043000</v>
      </c>
      <c r="C46" s="3" t="n">
        <v>-110897000</v>
      </c>
      <c r="D46" s="3" t="n">
        <v>87423000</v>
      </c>
      <c r="E46" s="3" t="n">
        <v>29002000</v>
      </c>
      <c r="F46" s="3" t="n"/>
    </row>
    <row r="47">
      <c r="A47" t="inlineStr">
        <is>
          <t>Change In Income Tax Payable</t>
        </is>
      </c>
      <c r="B47" s="3" t="n">
        <v>32043000</v>
      </c>
      <c r="C47" s="3" t="n">
        <v>-110897000</v>
      </c>
      <c r="D47" s="3" t="n">
        <v>87423000</v>
      </c>
      <c r="E47" s="3" t="n">
        <v>29002000</v>
      </c>
      <c r="F47" s="3" t="n"/>
    </row>
    <row r="48">
      <c r="A48" t="inlineStr">
        <is>
          <t>Change In Prepaid Assets</t>
        </is>
      </c>
      <c r="B48" s="3" t="n">
        <v>-229107000</v>
      </c>
      <c r="C48" s="3" t="n">
        <v>-44646000</v>
      </c>
      <c r="D48" s="3" t="n">
        <v>8313000</v>
      </c>
      <c r="E48" s="3" t="n">
        <v>-28794000</v>
      </c>
      <c r="F48" s="3" t="n"/>
    </row>
    <row r="49">
      <c r="A49" t="inlineStr">
        <is>
          <t>Change In Inventory</t>
        </is>
      </c>
      <c r="B49" s="3" t="n">
        <v>-355606000</v>
      </c>
      <c r="C49" s="3" t="n">
        <v>-2899996000</v>
      </c>
      <c r="D49" s="3" t="n">
        <v>100042000</v>
      </c>
      <c r="E49" s="3" t="n">
        <v>-504642000</v>
      </c>
      <c r="F49" s="3" t="n"/>
    </row>
    <row r="50">
      <c r="A50" t="inlineStr">
        <is>
          <t>Change In Receivables</t>
        </is>
      </c>
      <c r="B50" s="3" t="n">
        <v>533341000</v>
      </c>
      <c r="C50" s="3" t="n">
        <v>-1589187000</v>
      </c>
      <c r="D50" s="3" t="n">
        <v>-311897000</v>
      </c>
      <c r="E50" s="3" t="n">
        <v>-372438000</v>
      </c>
      <c r="F50" s="3" t="n"/>
    </row>
    <row r="51">
      <c r="A51" t="inlineStr">
        <is>
          <t>Changes In Account Receivables</t>
        </is>
      </c>
      <c r="B51" s="3" t="n">
        <v>533341000</v>
      </c>
      <c r="C51" s="3" t="n">
        <v>-1589187000</v>
      </c>
      <c r="D51" s="3" t="n">
        <v>-311897000</v>
      </c>
      <c r="E51" s="3" t="n">
        <v>-372438000</v>
      </c>
      <c r="F51" s="3" t="n"/>
    </row>
    <row r="52">
      <c r="A52" t="inlineStr">
        <is>
          <t>Other Non Cash Items</t>
        </is>
      </c>
      <c r="B52" s="3" t="n">
        <v>7191000</v>
      </c>
      <c r="C52" s="3" t="n">
        <v>14635000</v>
      </c>
      <c r="D52" s="3" t="n">
        <v>-668000</v>
      </c>
      <c r="E52" s="3" t="n">
        <v>368000</v>
      </c>
      <c r="F52" s="3" t="n"/>
    </row>
    <row r="53">
      <c r="A53" t="inlineStr">
        <is>
          <t>Stock Based Compensation</t>
        </is>
      </c>
      <c r="B53" s="3" t="n">
        <v>314452000</v>
      </c>
      <c r="C53" s="3" t="n">
        <v>231507000</v>
      </c>
      <c r="D53" s="3" t="n">
        <v>54433000</v>
      </c>
      <c r="E53" s="3" t="n">
        <v>32816000</v>
      </c>
      <c r="F53" s="3" t="n"/>
    </row>
    <row r="54">
      <c r="A54" t="inlineStr">
        <is>
          <t>Provisionand Write Offof Assets</t>
        </is>
      </c>
      <c r="B54" s="3" t="n"/>
      <c r="C54" s="3" t="n"/>
      <c r="D54" s="3" t="n"/>
      <c r="E54" s="3" t="n">
        <v>14250000</v>
      </c>
      <c r="F54" s="3" t="n">
        <v>5985000</v>
      </c>
    </row>
    <row r="55">
      <c r="A55" t="inlineStr">
        <is>
          <t>Asset Impairment Charge</t>
        </is>
      </c>
      <c r="B55" s="3" t="n"/>
      <c r="C55" s="3" t="n"/>
      <c r="D55" s="3" t="n"/>
      <c r="E55" s="3" t="n"/>
      <c r="F55" s="3" t="n">
        <v>0</v>
      </c>
    </row>
    <row r="56">
      <c r="A56" t="inlineStr">
        <is>
          <t>Deferred Tax</t>
        </is>
      </c>
      <c r="B56" s="3" t="n">
        <v>-214638000</v>
      </c>
      <c r="C56" s="3" t="n">
        <v>-168499000</v>
      </c>
      <c r="D56" s="3" t="n">
        <v>-92969000</v>
      </c>
      <c r="E56" s="3" t="n">
        <v>-6817000</v>
      </c>
      <c r="F56" s="3" t="n"/>
    </row>
    <row r="57">
      <c r="A57" t="inlineStr">
        <is>
          <t>Deferred Income Tax</t>
        </is>
      </c>
      <c r="B57" s="3" t="n">
        <v>-214638000</v>
      </c>
      <c r="C57" s="3" t="n">
        <v>-168499000</v>
      </c>
      <c r="D57" s="3" t="n">
        <v>-92969000</v>
      </c>
      <c r="E57" s="3" t="n">
        <v>-6817000</v>
      </c>
      <c r="F57" s="3" t="n"/>
    </row>
    <row r="58">
      <c r="A58" t="inlineStr">
        <is>
          <t>Depreciation Amortization Depletion</t>
        </is>
      </c>
      <c r="B58" s="3" t="n">
        <v>58344000</v>
      </c>
      <c r="C58" s="3" t="n">
        <v>38693000</v>
      </c>
      <c r="D58" s="3" t="n">
        <v>34904000</v>
      </c>
      <c r="E58" s="3" t="n">
        <v>32471000</v>
      </c>
      <c r="F58" s="3" t="n"/>
    </row>
    <row r="59">
      <c r="A59" t="inlineStr">
        <is>
          <t>Depreciation And Amortization</t>
        </is>
      </c>
      <c r="B59" s="3" t="n">
        <v>58344000</v>
      </c>
      <c r="C59" s="3" t="n">
        <v>38693000</v>
      </c>
      <c r="D59" s="3" t="n">
        <v>34904000</v>
      </c>
      <c r="E59" s="3" t="n">
        <v>32471000</v>
      </c>
      <c r="F59" s="3" t="n"/>
    </row>
    <row r="60">
      <c r="A60" t="inlineStr">
        <is>
          <t>Depreciation</t>
        </is>
      </c>
      <c r="B60" s="3" t="n"/>
      <c r="C60" s="3" t="n">
        <v>40985000</v>
      </c>
      <c r="D60" s="3" t="n">
        <v>34904000</v>
      </c>
      <c r="E60" s="3" t="n">
        <v>32471000</v>
      </c>
      <c r="F60" s="3" t="n"/>
    </row>
    <row r="61">
      <c r="A61" t="inlineStr">
        <is>
          <t>Operating Gains Losses</t>
        </is>
      </c>
      <c r="B61" s="3" t="n">
        <v>55294000</v>
      </c>
      <c r="C61" s="3" t="n">
        <v>-2352000</v>
      </c>
      <c r="D61" s="3" t="n">
        <v>1014000</v>
      </c>
      <c r="E61" s="3" t="n">
        <v>-14953000</v>
      </c>
      <c r="F61" s="3" t="n"/>
    </row>
    <row r="62">
      <c r="A62" t="inlineStr">
        <is>
          <t>Earnings Losses From Equity Investments</t>
        </is>
      </c>
      <c r="B62" s="3" t="n">
        <v>6211000</v>
      </c>
      <c r="C62" s="3" t="n">
        <v>-1821000</v>
      </c>
      <c r="D62" s="3" t="n">
        <v>3633000</v>
      </c>
      <c r="E62" s="3" t="n">
        <v>-1206000</v>
      </c>
      <c r="F62" s="3" t="n"/>
    </row>
    <row r="63">
      <c r="A63" t="inlineStr">
        <is>
          <t>Net Foreign Currency Exchange Gain Loss</t>
        </is>
      </c>
      <c r="B63" s="3" t="n">
        <v>18832000</v>
      </c>
      <c r="C63" s="3" t="n">
        <v>-531000</v>
      </c>
      <c r="D63" s="3" t="n">
        <v>-2619000</v>
      </c>
      <c r="E63" s="3" t="n">
        <v>-13747000</v>
      </c>
      <c r="F63" s="3" t="n"/>
    </row>
    <row r="64">
      <c r="A64" t="inlineStr">
        <is>
          <t>Net Income From Continuing Operations</t>
        </is>
      </c>
      <c r="B64" s="3" t="n">
        <v>1048854000</v>
      </c>
      <c r="C64" s="3" t="n">
        <v>1152666000</v>
      </c>
      <c r="D64" s="3" t="n">
        <v>639998000</v>
      </c>
      <c r="E64" s="3" t="n">
        <v>285163000</v>
      </c>
      <c r="F6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-6695704000</v>
      </c>
      <c r="C2" s="3" t="n">
        <v>-45119000</v>
      </c>
      <c r="D2" s="3" t="n">
        <v>-949793000</v>
      </c>
      <c r="E2" s="3" t="n">
        <v>840935000</v>
      </c>
      <c r="F2" s="3" t="n">
        <v>594064000</v>
      </c>
      <c r="G2" s="3" t="n"/>
      <c r="H2" s="3" t="n"/>
    </row>
    <row r="3">
      <c r="A3" t="inlineStr">
        <is>
          <t>Repayment Of Debt</t>
        </is>
      </c>
      <c r="B3" s="3" t="n">
        <v>-101677000</v>
      </c>
      <c r="C3" s="3" t="n">
        <v>-111851000</v>
      </c>
      <c r="D3" s="3" t="n">
        <v>-11540000</v>
      </c>
      <c r="E3" s="3" t="n">
        <v>-37284000</v>
      </c>
      <c r="F3" s="3" t="n">
        <v>-157307000</v>
      </c>
      <c r="G3" s="3" t="n"/>
      <c r="H3" s="3" t="n"/>
    </row>
    <row r="4">
      <c r="A4" t="inlineStr">
        <is>
          <t>Issuance Of Debt</t>
        </is>
      </c>
      <c r="B4" s="3" t="n">
        <v>3996465000</v>
      </c>
      <c r="C4" s="3" t="n">
        <v>210212000</v>
      </c>
      <c r="D4" s="3" t="n">
        <v>28588000</v>
      </c>
      <c r="E4" s="3" t="n">
        <v>2285973000</v>
      </c>
      <c r="F4" s="3" t="n">
        <v>734910000</v>
      </c>
      <c r="G4" s="3" t="n"/>
      <c r="H4" s="3" t="n"/>
    </row>
    <row r="5">
      <c r="A5" t="inlineStr">
        <is>
          <t>Issuance Of Capital Stock</t>
        </is>
      </c>
      <c r="B5" s="3" t="n"/>
      <c r="C5" s="3" t="n"/>
      <c r="D5" s="3" t="n"/>
      <c r="E5" s="3" t="n">
        <v>0</v>
      </c>
      <c r="F5" s="3" t="n">
        <v>0</v>
      </c>
      <c r="G5" s="3" t="n"/>
      <c r="H5" s="3" t="n"/>
    </row>
    <row r="6">
      <c r="A6" t="inlineStr">
        <is>
          <t>Capital Expenditure</t>
        </is>
      </c>
      <c r="B6" s="3" t="n">
        <v>-80278000</v>
      </c>
      <c r="C6" s="3" t="n">
        <v>-21221000</v>
      </c>
      <c r="D6" s="3" t="n">
        <v>-32270000</v>
      </c>
      <c r="E6" s="3" t="n">
        <v>-22678000</v>
      </c>
      <c r="F6" s="3" t="n">
        <v>-32700000</v>
      </c>
      <c r="G6" s="3" t="n"/>
      <c r="H6" s="3" t="n"/>
    </row>
    <row r="7">
      <c r="A7" t="inlineStr">
        <is>
          <t>Interest Paid Supplemental Data</t>
        </is>
      </c>
      <c r="B7" s="3" t="n">
        <v>40823000</v>
      </c>
      <c r="C7" s="3" t="n">
        <v>1226000</v>
      </c>
      <c r="D7" s="3" t="n">
        <v>39244000</v>
      </c>
      <c r="E7" s="3" t="n">
        <v>1444000</v>
      </c>
      <c r="F7" s="3" t="n">
        <v>5040000</v>
      </c>
      <c r="G7" s="3" t="n"/>
      <c r="H7" s="3" t="n"/>
    </row>
    <row r="8">
      <c r="A8" t="inlineStr">
        <is>
          <t>Income Tax Paid Supplemental Data</t>
        </is>
      </c>
      <c r="B8" s="3" t="n">
        <v>179820000</v>
      </c>
      <c r="C8" s="3" t="n">
        <v>52072000</v>
      </c>
      <c r="D8" s="3" t="n">
        <v>38502000</v>
      </c>
      <c r="E8" s="3" t="n">
        <v>56766000</v>
      </c>
      <c r="F8" s="3" t="n">
        <v>213363000</v>
      </c>
      <c r="G8" s="3" t="n"/>
      <c r="H8" s="3" t="n"/>
    </row>
    <row r="9">
      <c r="A9" t="inlineStr">
        <is>
          <t>End Cash Position</t>
        </is>
      </c>
      <c r="B9" s="3" t="n">
        <v>1339966000</v>
      </c>
      <c r="C9" s="3" t="n">
        <v>4193725000</v>
      </c>
      <c r="D9" s="3" t="n">
        <v>4199255000</v>
      </c>
      <c r="E9" s="3" t="n">
        <v>5172301000</v>
      </c>
      <c r="F9" s="3" t="n">
        <v>2537092000</v>
      </c>
      <c r="G9" s="3" t="n"/>
      <c r="H9" s="3" t="n"/>
    </row>
    <row r="10">
      <c r="A10" t="inlineStr">
        <is>
          <t>Beginning Cash Position</t>
        </is>
      </c>
      <c r="B10" s="3" t="n">
        <v>4193725000</v>
      </c>
      <c r="C10" s="3" t="n">
        <v>4199255000</v>
      </c>
      <c r="D10" s="3" t="n">
        <v>5172301000</v>
      </c>
      <c r="E10" s="3" t="n">
        <v>2537092000</v>
      </c>
      <c r="F10" s="3" t="n">
        <v>1430987000</v>
      </c>
      <c r="G10" s="3" t="n"/>
      <c r="H10" s="3" t="n"/>
    </row>
    <row r="11">
      <c r="A11" t="inlineStr">
        <is>
          <t>Effect Of Exchange Rate Changes</t>
        </is>
      </c>
      <c r="B11" s="3" t="n">
        <v>-393000</v>
      </c>
      <c r="C11" s="3" t="n">
        <v>-1573000</v>
      </c>
      <c r="D11" s="3" t="n">
        <v>-4588000</v>
      </c>
      <c r="E11" s="3" t="n">
        <v>847000</v>
      </c>
      <c r="F11" s="3" t="n">
        <v>-11000</v>
      </c>
      <c r="G11" s="3" t="n"/>
      <c r="H11" s="3" t="n"/>
    </row>
    <row r="12">
      <c r="A12" t="inlineStr">
        <is>
          <t>Changes In Cash</t>
        </is>
      </c>
      <c r="B12" s="3" t="n">
        <v>-2853366000</v>
      </c>
      <c r="C12" s="3" t="n">
        <v>-3957000</v>
      </c>
      <c r="D12" s="3" t="n">
        <v>-968458000</v>
      </c>
      <c r="E12" s="3" t="n">
        <v>2634362000</v>
      </c>
      <c r="F12" s="3" t="n">
        <v>1106116000</v>
      </c>
      <c r="G12" s="3" t="n"/>
      <c r="H12" s="3" t="n"/>
    </row>
    <row r="13">
      <c r="A13" t="inlineStr">
        <is>
          <t>Financing Cash Flow</t>
        </is>
      </c>
      <c r="B13" s="3" t="n">
        <v>3859338000</v>
      </c>
      <c r="C13" s="3" t="n">
        <v>66162000</v>
      </c>
      <c r="D13" s="3" t="n">
        <v>-18665000</v>
      </c>
      <c r="E13" s="3" t="n">
        <v>1849427000</v>
      </c>
      <c r="F13" s="3" t="n">
        <v>512052000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3859338000</v>
      </c>
      <c r="C14" s="3" t="n">
        <v>66162000</v>
      </c>
      <c r="D14" s="3" t="n">
        <v>-18665000</v>
      </c>
      <c r="E14" s="3" t="n">
        <v>1849427000</v>
      </c>
      <c r="F14" s="3" t="n">
        <v>512052000</v>
      </c>
      <c r="G14" s="3" t="n"/>
      <c r="H14" s="3" t="n"/>
    </row>
    <row r="15">
      <c r="A15" t="inlineStr">
        <is>
          <t>Net Other Financing Charges</t>
        </is>
      </c>
      <c r="B15" s="3" t="n">
        <v>-40872000</v>
      </c>
      <c r="C15" s="3" t="n">
        <v>-37202000</v>
      </c>
      <c r="D15" s="3" t="n">
        <v>-43635000</v>
      </c>
      <c r="E15" s="3" t="n">
        <v>-205708000</v>
      </c>
      <c r="F15" s="3" t="n">
        <v>-73134000</v>
      </c>
      <c r="G15" s="3" t="n"/>
      <c r="H15" s="3" t="n"/>
    </row>
    <row r="16">
      <c r="A16" t="inlineStr">
        <is>
          <t>Proceeds From Stock Option Exercised</t>
        </is>
      </c>
      <c r="B16" s="3" t="n">
        <v>5422000</v>
      </c>
      <c r="C16" s="3" t="n">
        <v>5003000</v>
      </c>
      <c r="D16" s="3" t="n">
        <v>7922000</v>
      </c>
      <c r="E16" s="3" t="n">
        <v>6446000</v>
      </c>
      <c r="F16" s="3" t="n">
        <v>7583000</v>
      </c>
      <c r="G16" s="3" t="n"/>
      <c r="H16" s="3" t="n"/>
    </row>
    <row r="17">
      <c r="A17" t="inlineStr">
        <is>
          <t>Net Common Stock Issuance</t>
        </is>
      </c>
      <c r="B17" s="3" t="n"/>
      <c r="C17" s="3" t="n"/>
      <c r="D17" s="3" t="n"/>
      <c r="E17" s="3" t="n">
        <v>-200000000</v>
      </c>
      <c r="F17" s="3" t="n">
        <v>0</v>
      </c>
      <c r="G17" s="3" t="n"/>
      <c r="H17" s="3" t="n"/>
    </row>
    <row r="18">
      <c r="A18" t="inlineStr">
        <is>
          <t>Common Stock Issuance</t>
        </is>
      </c>
      <c r="B18" s="3" t="n"/>
      <c r="C18" s="3" t="n"/>
      <c r="D18" s="3" t="n"/>
      <c r="E18" s="3" t="n">
        <v>0</v>
      </c>
      <c r="F18" s="3" t="n">
        <v>0</v>
      </c>
      <c r="G18" s="3" t="n"/>
      <c r="H18" s="3" t="n"/>
    </row>
    <row r="19">
      <c r="A19" t="inlineStr">
        <is>
          <t>Net Issuance Payments Of Debt</t>
        </is>
      </c>
      <c r="B19" s="3" t="n">
        <v>3894788000</v>
      </c>
      <c r="C19" s="3" t="n">
        <v>98361000</v>
      </c>
      <c r="D19" s="3" t="n">
        <v>17048000</v>
      </c>
      <c r="E19" s="3" t="n">
        <v>2248689000</v>
      </c>
      <c r="F19" s="3" t="n">
        <v>577603000</v>
      </c>
      <c r="G19" s="3" t="n"/>
      <c r="H19" s="3" t="n"/>
    </row>
    <row r="20">
      <c r="A20" t="inlineStr">
        <is>
          <t>Net Short Term Debt Issuance</t>
        </is>
      </c>
      <c r="B20" s="3" t="n"/>
      <c r="C20" s="3" t="n"/>
      <c r="D20" s="3" t="n">
        <v>17048000</v>
      </c>
      <c r="E20" s="3" t="n">
        <v>-7284000</v>
      </c>
      <c r="F20" s="3" t="n"/>
      <c r="G20" s="3" t="n"/>
      <c r="H20" s="3" t="n">
        <v>78856000</v>
      </c>
    </row>
    <row r="21">
      <c r="A21" t="inlineStr">
        <is>
          <t>Short Term Debt Payments</t>
        </is>
      </c>
      <c r="B21" s="3" t="n"/>
      <c r="C21" s="3" t="n"/>
      <c r="D21" s="3" t="n">
        <v>-11540000</v>
      </c>
      <c r="E21" s="3" t="n">
        <v>-37284000</v>
      </c>
      <c r="F21" s="3" t="n"/>
      <c r="G21" s="3" t="n"/>
      <c r="H21" s="3" t="n">
        <v>-1106178000</v>
      </c>
    </row>
    <row r="22">
      <c r="A22" t="inlineStr">
        <is>
          <t>Short Term Debt Issuance</t>
        </is>
      </c>
      <c r="B22" s="3" t="n"/>
      <c r="C22" s="3" t="n"/>
      <c r="D22" s="3" t="n">
        <v>28588000</v>
      </c>
      <c r="E22" s="3" t="n">
        <v>30000000</v>
      </c>
      <c r="F22" s="3" t="n"/>
      <c r="G22" s="3" t="n"/>
      <c r="H22" s="3" t="n">
        <v>1185034000</v>
      </c>
    </row>
    <row r="23">
      <c r="A23" t="inlineStr">
        <is>
          <t>Net Long Term Debt Issuance</t>
        </is>
      </c>
      <c r="B23" s="3" t="n">
        <v>-115409000</v>
      </c>
      <c r="C23" s="3" t="n"/>
      <c r="D23" s="3" t="n"/>
      <c r="E23" s="3" t="n">
        <v>2255973000</v>
      </c>
      <c r="F23" s="3" t="n">
        <v>950978000</v>
      </c>
      <c r="G23" s="3" t="n"/>
      <c r="H23" s="3" t="n"/>
    </row>
    <row r="24">
      <c r="A24" t="inlineStr">
        <is>
          <t>Long Term Debt Issuance</t>
        </is>
      </c>
      <c r="B24" s="3" t="n">
        <v>-238800000</v>
      </c>
      <c r="C24" s="3" t="n"/>
      <c r="D24" s="3" t="n"/>
      <c r="E24" s="3" t="n">
        <v>2255973000</v>
      </c>
      <c r="F24" s="3" t="n">
        <v>-623081000</v>
      </c>
      <c r="G24" s="3" t="n"/>
      <c r="H24" s="3" t="n"/>
    </row>
    <row r="25">
      <c r="A25" t="inlineStr">
        <is>
          <t>Investing Cash Flow</t>
        </is>
      </c>
      <c r="B25" s="3" t="n">
        <v>-97278000</v>
      </c>
      <c r="C25" s="3" t="n">
        <v>-46221000</v>
      </c>
      <c r="D25" s="3" t="n">
        <v>-32270000</v>
      </c>
      <c r="E25" s="3" t="n">
        <v>-78678000</v>
      </c>
      <c r="F25" s="3" t="n">
        <v>-32700000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-97278000</v>
      </c>
      <c r="C26" s="3" t="n">
        <v>-46221000</v>
      </c>
      <c r="D26" s="3" t="n">
        <v>-32270000</v>
      </c>
      <c r="E26" s="3" t="n">
        <v>-78678000</v>
      </c>
      <c r="F26" s="3" t="n">
        <v>-32700000</v>
      </c>
      <c r="G26" s="3" t="n"/>
      <c r="H26" s="3" t="n"/>
    </row>
    <row r="27">
      <c r="A27" t="inlineStr">
        <is>
          <t>Net Investment Purchase And Sale</t>
        </is>
      </c>
      <c r="B27" s="3" t="n">
        <v>-17000000</v>
      </c>
      <c r="C27" s="3" t="n"/>
      <c r="D27" s="3" t="n"/>
      <c r="E27" s="3" t="n">
        <v>-56000000</v>
      </c>
      <c r="F27" s="3" t="n">
        <v>0</v>
      </c>
      <c r="G27" s="3" t="n">
        <v>0</v>
      </c>
      <c r="H27" s="3" t="n">
        <v>0</v>
      </c>
    </row>
    <row r="28">
      <c r="A28" t="inlineStr">
        <is>
          <t>Purchase Of Investment</t>
        </is>
      </c>
      <c r="B28" s="3" t="n">
        <v>-17000000</v>
      </c>
      <c r="C28" s="3" t="n"/>
      <c r="D28" s="3" t="n"/>
      <c r="E28" s="3" t="n">
        <v>-56000000</v>
      </c>
      <c r="F28" s="3" t="n">
        <v>0</v>
      </c>
      <c r="G28" s="3" t="n">
        <v>0</v>
      </c>
      <c r="H28" s="3" t="n">
        <v>0</v>
      </c>
    </row>
    <row r="29">
      <c r="A29" t="inlineStr">
        <is>
          <t>Net PPE Purchase And Sale</t>
        </is>
      </c>
      <c r="B29" s="3" t="n">
        <v>-80278000</v>
      </c>
      <c r="C29" s="3" t="n">
        <v>-21221000</v>
      </c>
      <c r="D29" s="3" t="n">
        <v>-32270000</v>
      </c>
      <c r="E29" s="3" t="n">
        <v>-22678000</v>
      </c>
      <c r="F29" s="3" t="n">
        <v>-32700000</v>
      </c>
      <c r="G29" s="3" t="n"/>
      <c r="H29" s="3" t="n"/>
    </row>
    <row r="30">
      <c r="A30" t="inlineStr">
        <is>
          <t>Purchase Of PPE</t>
        </is>
      </c>
      <c r="B30" s="3" t="n">
        <v>-80278000</v>
      </c>
      <c r="C30" s="3" t="n">
        <v>-21221000</v>
      </c>
      <c r="D30" s="3" t="n">
        <v>-32270000</v>
      </c>
      <c r="E30" s="3" t="n">
        <v>-22678000</v>
      </c>
      <c r="F30" s="3" t="n">
        <v>-32700000</v>
      </c>
      <c r="G30" s="3" t="n"/>
      <c r="H30" s="3" t="n"/>
    </row>
    <row r="31">
      <c r="A31" t="inlineStr">
        <is>
          <t>Operating Cash Flow</t>
        </is>
      </c>
      <c r="B31" s="3" t="n">
        <v>-6615426000</v>
      </c>
      <c r="C31" s="3" t="n">
        <v>-23898000</v>
      </c>
      <c r="D31" s="3" t="n">
        <v>-917523000</v>
      </c>
      <c r="E31" s="3" t="n">
        <v>863613000</v>
      </c>
      <c r="F31" s="3" t="n">
        <v>626764000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-6615426000</v>
      </c>
      <c r="C32" s="3" t="n">
        <v>-23898000</v>
      </c>
      <c r="D32" s="3" t="n">
        <v>-917523000</v>
      </c>
      <c r="E32" s="3" t="n">
        <v>863613000</v>
      </c>
      <c r="F32" s="3" t="n">
        <v>626764000</v>
      </c>
      <c r="G32" s="3" t="n"/>
      <c r="H32" s="3" t="n"/>
    </row>
    <row r="33">
      <c r="A33" t="inlineStr">
        <is>
          <t>Change In Working Capital</t>
        </is>
      </c>
      <c r="B33" s="3" t="n">
        <v>-7342956000</v>
      </c>
      <c r="C33" s="3" t="n">
        <v>-637603000</v>
      </c>
      <c r="D33" s="3" t="n">
        <v>-1227845000</v>
      </c>
      <c r="E33" s="3" t="n">
        <v>620480000</v>
      </c>
      <c r="F33" s="3" t="n">
        <v>312403000</v>
      </c>
      <c r="G33" s="3" t="n"/>
      <c r="H33" s="3" t="n"/>
    </row>
    <row r="34">
      <c r="A34" t="inlineStr">
        <is>
          <t>Change In Other Working Capital</t>
        </is>
      </c>
      <c r="B34" s="3" t="n">
        <v>832889000</v>
      </c>
      <c r="C34" s="3" t="n">
        <v>274751000</v>
      </c>
      <c r="D34" s="3" t="n">
        <v>296622000</v>
      </c>
      <c r="E34" s="3" t="n">
        <v>65585000</v>
      </c>
      <c r="F34" s="3" t="n">
        <v>67145000</v>
      </c>
      <c r="G34" s="3" t="n"/>
      <c r="H34" s="3" t="n"/>
    </row>
    <row r="35">
      <c r="A35" t="inlineStr">
        <is>
          <t>Change In Other Current Liabilities</t>
        </is>
      </c>
      <c r="B35" s="3" t="n">
        <v>11660000</v>
      </c>
      <c r="C35" s="3" t="n">
        <v>5362000</v>
      </c>
      <c r="D35" s="3" t="n">
        <v>3171000</v>
      </c>
      <c r="E35" s="3" t="n">
        <v>-2500000</v>
      </c>
      <c r="F35" s="3" t="n">
        <v>1341000</v>
      </c>
      <c r="G35" s="3" t="n"/>
      <c r="H35" s="3" t="n"/>
    </row>
    <row r="36">
      <c r="A36" t="inlineStr">
        <is>
          <t>Change In Payables And Accrued Expense</t>
        </is>
      </c>
      <c r="B36" s="3" t="n">
        <v>-9866878000</v>
      </c>
      <c r="C36" s="3" t="n">
        <v>12748619000</v>
      </c>
      <c r="D36" s="3" t="n">
        <v>-253471000</v>
      </c>
      <c r="E36" s="3" t="n">
        <v>877090000</v>
      </c>
      <c r="F36" s="3" t="n">
        <v>116114000</v>
      </c>
      <c r="G36" s="3" t="n"/>
      <c r="H36" s="3" t="n"/>
    </row>
    <row r="37">
      <c r="A37" t="inlineStr">
        <is>
          <t>Change In Accrued Expense</t>
        </is>
      </c>
      <c r="B37" s="3" t="n">
        <v>272577000</v>
      </c>
      <c r="C37" s="3" t="n">
        <v>219689000</v>
      </c>
      <c r="D37" s="3" t="n">
        <v>-259350000</v>
      </c>
      <c r="E37" s="3" t="n">
        <v>219690000</v>
      </c>
      <c r="F37" s="3" t="n">
        <v>112368000</v>
      </c>
      <c r="G37" s="3" t="n"/>
      <c r="H37" s="3" t="n"/>
    </row>
    <row r="38">
      <c r="A38" t="inlineStr">
        <is>
          <t>Change In Payable</t>
        </is>
      </c>
      <c r="B38" s="3" t="n">
        <v>-10139455000</v>
      </c>
      <c r="C38" s="3" t="n">
        <v>12528930000</v>
      </c>
      <c r="D38" s="3" t="n">
        <v>5879000</v>
      </c>
      <c r="E38" s="3" t="n">
        <v>657400000</v>
      </c>
      <c r="F38" s="3" t="n">
        <v>3746000</v>
      </c>
      <c r="G38" s="3" t="n"/>
      <c r="H38" s="3" t="n"/>
    </row>
    <row r="39">
      <c r="A39" t="inlineStr">
        <is>
          <t>Change In Account Payable</t>
        </is>
      </c>
      <c r="B39" s="3" t="n">
        <v>-10059838000</v>
      </c>
      <c r="C39" s="3" t="n">
        <v>12465867000</v>
      </c>
      <c r="D39" s="3" t="n">
        <v>901000</v>
      </c>
      <c r="E39" s="3" t="n">
        <v>630722000</v>
      </c>
      <c r="F39" s="3" t="n">
        <v>95226000</v>
      </c>
      <c r="G39" s="3" t="n"/>
      <c r="H39" s="3" t="n"/>
    </row>
    <row r="40">
      <c r="A40" t="inlineStr">
        <is>
          <t>Change In Tax Payable</t>
        </is>
      </c>
      <c r="B40" s="3" t="n">
        <v>-79617000</v>
      </c>
      <c r="C40" s="3" t="n">
        <v>63063000</v>
      </c>
      <c r="D40" s="3" t="n">
        <v>4978000</v>
      </c>
      <c r="E40" s="3" t="n">
        <v>26678000</v>
      </c>
      <c r="F40" s="3" t="n">
        <v>-91480000</v>
      </c>
      <c r="G40" s="3" t="n"/>
      <c r="H40" s="3" t="n"/>
    </row>
    <row r="41">
      <c r="A41" t="inlineStr">
        <is>
          <t>Change In Income Tax Payable</t>
        </is>
      </c>
      <c r="B41" s="3" t="n">
        <v>-79617000</v>
      </c>
      <c r="C41" s="3" t="n">
        <v>63063000</v>
      </c>
      <c r="D41" s="3" t="n">
        <v>4978000</v>
      </c>
      <c r="E41" s="3" t="n">
        <v>26678000</v>
      </c>
      <c r="F41" s="3" t="n">
        <v>-91480000</v>
      </c>
      <c r="G41" s="3" t="n"/>
      <c r="H41" s="3" t="n"/>
    </row>
    <row r="42">
      <c r="A42" t="inlineStr">
        <is>
          <t>Change In Prepaid Assets</t>
        </is>
      </c>
      <c r="B42" s="3" t="n">
        <v>-322883000</v>
      </c>
      <c r="C42" s="3" t="n">
        <v>-192942000</v>
      </c>
      <c r="D42" s="3" t="n">
        <v>134087000</v>
      </c>
      <c r="E42" s="3" t="n">
        <v>55249000</v>
      </c>
      <c r="F42" s="3" t="n">
        <v>114413000</v>
      </c>
      <c r="G42" s="3" t="n"/>
      <c r="H42" s="3" t="n"/>
    </row>
    <row r="43">
      <c r="A43" t="inlineStr">
        <is>
          <t>Change In Inventory</t>
        </is>
      </c>
      <c r="B43" s="3" t="n">
        <v>-580741000</v>
      </c>
      <c r="C43" s="3" t="n">
        <v>-5001809000</v>
      </c>
      <c r="D43" s="3" t="n">
        <v>-1087010000</v>
      </c>
      <c r="E43" s="3" t="n">
        <v>-813503000</v>
      </c>
      <c r="F43" s="3" t="n">
        <v>-400766000</v>
      </c>
      <c r="G43" s="3" t="n"/>
      <c r="H43" s="3" t="n"/>
    </row>
    <row r="44">
      <c r="A44" t="inlineStr">
        <is>
          <t>Change In Receivables</t>
        </is>
      </c>
      <c r="B44" s="3" t="n">
        <v>2582997000</v>
      </c>
      <c r="C44" s="3" t="n">
        <v>-8471584000</v>
      </c>
      <c r="D44" s="3" t="n">
        <v>-321244000</v>
      </c>
      <c r="E44" s="3" t="n">
        <v>438559000</v>
      </c>
      <c r="F44" s="3" t="n">
        <v>414156000</v>
      </c>
      <c r="G44" s="3" t="n"/>
      <c r="H44" s="3" t="n"/>
    </row>
    <row r="45">
      <c r="A45" t="inlineStr">
        <is>
          <t>Changes In Account Receivables</t>
        </is>
      </c>
      <c r="B45" s="3" t="n">
        <v>2582997000</v>
      </c>
      <c r="C45" s="3" t="n">
        <v>-8471584000</v>
      </c>
      <c r="D45" s="3" t="n">
        <v>-321244000</v>
      </c>
      <c r="E45" s="3" t="n">
        <v>438559000</v>
      </c>
      <c r="F45" s="3" t="n">
        <v>414156000</v>
      </c>
      <c r="G45" s="3" t="n"/>
      <c r="H45" s="3" t="n"/>
    </row>
    <row r="46">
      <c r="A46" t="inlineStr">
        <is>
          <t>Other Non Cash Items</t>
        </is>
      </c>
      <c r="B46" s="3" t="n">
        <v>8059000</v>
      </c>
      <c r="C46" s="3" t="n">
        <v>3597000</v>
      </c>
      <c r="D46" s="3" t="n">
        <v>-2796000</v>
      </c>
      <c r="E46" s="3" t="n">
        <v>1614000</v>
      </c>
      <c r="F46" s="3" t="n">
        <v>5287000</v>
      </c>
      <c r="G46" s="3" t="n"/>
      <c r="H46" s="3" t="n"/>
    </row>
    <row r="47">
      <c r="A47" t="inlineStr">
        <is>
          <t>Stock Based Compensation</t>
        </is>
      </c>
      <c r="B47" s="3" t="n">
        <v>125934000</v>
      </c>
      <c r="C47" s="3" t="n">
        <v>90485000</v>
      </c>
      <c r="D47" s="3" t="n">
        <v>89139000</v>
      </c>
      <c r="E47" s="3" t="n">
        <v>83612000</v>
      </c>
      <c r="F47" s="3" t="n">
        <v>84704000</v>
      </c>
      <c r="G47" s="3" t="n"/>
      <c r="H47" s="3" t="n"/>
    </row>
    <row r="48">
      <c r="A48" t="inlineStr">
        <is>
          <t>Asset Impairment Charge</t>
        </is>
      </c>
      <c r="B48" s="3" t="n">
        <v>70155000</v>
      </c>
      <c r="C48" s="3" t="n">
        <v>134648000</v>
      </c>
      <c r="D48" s="3" t="n">
        <v>48199000</v>
      </c>
      <c r="E48" s="3" t="n"/>
      <c r="F48" s="3" t="n">
        <v>125018000</v>
      </c>
      <c r="G48" s="3" t="n">
        <v>24876000</v>
      </c>
      <c r="H48" s="3" t="n"/>
    </row>
    <row r="49">
      <c r="A49" t="inlineStr">
        <is>
          <t>Deferred Tax</t>
        </is>
      </c>
      <c r="B49" s="3" t="n">
        <v>20955000</v>
      </c>
      <c r="C49" s="3" t="n">
        <v>-39674000</v>
      </c>
      <c r="D49" s="3" t="n">
        <v>-12201000</v>
      </c>
      <c r="E49" s="3" t="n">
        <v>-80237000</v>
      </c>
      <c r="F49" s="3" t="n">
        <v>-58323000</v>
      </c>
      <c r="G49" s="3" t="n"/>
      <c r="H49" s="3" t="n"/>
    </row>
    <row r="50">
      <c r="A50" t="inlineStr">
        <is>
          <t>Deferred Income Tax</t>
        </is>
      </c>
      <c r="B50" s="3" t="n">
        <v>20955000</v>
      </c>
      <c r="C50" s="3" t="n">
        <v>-39674000</v>
      </c>
      <c r="D50" s="3" t="n">
        <v>-12201000</v>
      </c>
      <c r="E50" s="3" t="n">
        <v>-80237000</v>
      </c>
      <c r="F50" s="3" t="n">
        <v>-58323000</v>
      </c>
      <c r="G50" s="3" t="n"/>
      <c r="H50" s="3" t="n"/>
    </row>
    <row r="51">
      <c r="A51" t="inlineStr">
        <is>
          <t>Depreciation Amortization Depletion</t>
        </is>
      </c>
      <c r="B51" s="3" t="n">
        <v>22932000</v>
      </c>
      <c r="C51" s="3" t="n">
        <v>22417000</v>
      </c>
      <c r="D51" s="3" t="n">
        <v>20607000</v>
      </c>
      <c r="E51" s="3" t="n">
        <v>18636000</v>
      </c>
      <c r="F51" s="3" t="n">
        <v>15160000</v>
      </c>
      <c r="G51" s="3" t="n"/>
      <c r="H51" s="3" t="n"/>
    </row>
    <row r="52">
      <c r="A52" t="inlineStr">
        <is>
          <t>Depreciation And Amortization</t>
        </is>
      </c>
      <c r="B52" s="3" t="n">
        <v>22932000</v>
      </c>
      <c r="C52" s="3" t="n">
        <v>22417000</v>
      </c>
      <c r="D52" s="3" t="n">
        <v>20607000</v>
      </c>
      <c r="E52" s="3" t="n">
        <v>18636000</v>
      </c>
      <c r="F52" s="3" t="n">
        <v>15160000</v>
      </c>
      <c r="G52" s="3" t="n"/>
      <c r="H52" s="3" t="n"/>
    </row>
    <row r="53">
      <c r="A53" t="inlineStr">
        <is>
          <t>Depreciation</t>
        </is>
      </c>
      <c r="B53" s="3" t="n">
        <v>22932000</v>
      </c>
      <c r="C53" s="3" t="n">
        <v>22417000</v>
      </c>
      <c r="D53" s="3" t="n">
        <v>20607000</v>
      </c>
      <c r="E53" s="3" t="n"/>
      <c r="F53" s="3" t="n">
        <v>15160000</v>
      </c>
      <c r="G53" s="3" t="n">
        <v>12389000</v>
      </c>
      <c r="H53" s="3" t="n"/>
    </row>
    <row r="54">
      <c r="A54" t="inlineStr">
        <is>
          <t>Operating Gains Losses</t>
        </is>
      </c>
      <c r="B54" s="3" t="n">
        <v>-3892000</v>
      </c>
      <c r="C54" s="3" t="n">
        <v>1668000</v>
      </c>
      <c r="D54" s="3" t="n">
        <v>-911000</v>
      </c>
      <c r="E54" s="3" t="n">
        <v>24354000</v>
      </c>
      <c r="F54" s="3" t="n">
        <v>33738000</v>
      </c>
      <c r="G54" s="3" t="n"/>
      <c r="H54" s="3" t="n"/>
    </row>
    <row r="55">
      <c r="A55" t="inlineStr">
        <is>
          <t>Earnings Losses From Equity Investments</t>
        </is>
      </c>
      <c r="B55" s="3" t="n">
        <v>695000</v>
      </c>
      <c r="C55" s="3" t="n">
        <v>492000</v>
      </c>
      <c r="D55" s="3" t="n">
        <v>106000</v>
      </c>
      <c r="E55" s="3" t="n">
        <v>8264000</v>
      </c>
      <c r="F55" s="3" t="n">
        <v>445000</v>
      </c>
      <c r="G55" s="3" t="n"/>
      <c r="H55" s="3" t="n"/>
    </row>
    <row r="56">
      <c r="A56" t="inlineStr">
        <is>
          <t>Net Foreign Currency Exchange Gain Loss</t>
        </is>
      </c>
      <c r="B56" s="3" t="n">
        <v>-4587000</v>
      </c>
      <c r="C56" s="3" t="n">
        <v>1176000</v>
      </c>
      <c r="D56" s="3" t="n">
        <v>-1017000</v>
      </c>
      <c r="E56" s="3" t="n">
        <v>16090000</v>
      </c>
      <c r="F56" s="3" t="n">
        <v>3042000</v>
      </c>
      <c r="G56" s="3" t="n"/>
      <c r="H56" s="3" t="n"/>
    </row>
    <row r="57">
      <c r="A57" t="inlineStr">
        <is>
          <t>Net Income From Continuing Operations</t>
        </is>
      </c>
      <c r="B57" s="3" t="n">
        <v>483387000</v>
      </c>
      <c r="C57" s="3" t="n">
        <v>400564000</v>
      </c>
      <c r="D57" s="3" t="n">
        <v>168285000</v>
      </c>
      <c r="E57" s="3" t="n">
        <v>195154000</v>
      </c>
      <c r="F57" s="3" t="n">
        <v>108777000</v>
      </c>
      <c r="G57" s="3" t="n"/>
      <c r="H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2026-06-20T19:57:02Z</dcterms:created>
  <dcterms:modified xsi:type="dcterms:W3CDTF">2026-06-20T19:57:05Z</dcterms:modified>
</cp:coreProperties>
</file>