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6954.T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Fanuc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6658082209792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5913155993600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39.99888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41.216568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7.460011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0.38426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0.23153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0.20131999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0.10049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0.177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762268024832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0</v>
      </c>
      <c r="C17" t="inlineStr">
        <is>
          <t>yfinance info.totalDebt</t>
        </is>
      </c>
    </row>
    <row r="18">
      <c r="A18" t="inlineStr">
        <is>
          <t>FCF (TTM, $)</t>
        </is>
      </c>
      <c r="B18" t="inlineStr">
        <is>
          <t>(missing — see Data flags)</t>
        </is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933157949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7135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2024-03-31</t>
        </is>
      </c>
      <c r="C2" t="inlineStr">
        <is>
          <t>2025-03-31</t>
        </is>
      </c>
      <c r="D2" t="inlineStr">
        <is>
          <t>2026-03-31</t>
        </is>
      </c>
      <c r="E2" t="inlineStr">
        <is>
          <t>TTM → 2025-06-30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(annual)'!D41</f>
        <v/>
      </c>
      <c r="C3" s="3">
        <f>'Income stmt (annual)'!C41</f>
        <v/>
      </c>
      <c r="D3" s="3">
        <f>'Income stmt (annual)'!B41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(annual)'!D39</f>
        <v/>
      </c>
      <c r="C4" s="3">
        <f>'Income stmt (annual)'!C39</f>
        <v/>
      </c>
      <c r="D4" s="3">
        <f>'Income stmt (annual)'!B39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(annual)'!D4</f>
        <v/>
      </c>
      <c r="C11" s="3">
        <f>-'Cash flow (annual)'!C4</f>
        <v/>
      </c>
      <c r="D11" s="3">
        <f>-'Cash flow (annual)'!B4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Tax Effect Of Unusual Items</t>
        </is>
      </c>
      <c r="B2" s="3" t="n">
        <v>-574260000</v>
      </c>
      <c r="C2" s="3" t="n">
        <v>-528297000</v>
      </c>
      <c r="D2" s="3" t="n">
        <v>-237405000</v>
      </c>
      <c r="E2" s="3" t="n">
        <v>-901092000</v>
      </c>
      <c r="F2" s="3" t="n"/>
    </row>
    <row r="3">
      <c r="A3" t="inlineStr">
        <is>
          <t>Tax Rate For Calcs</t>
        </is>
      </c>
      <c r="B3" s="3" t="n">
        <v>0.255</v>
      </c>
      <c r="C3" s="3" t="n">
        <v>0.231</v>
      </c>
      <c r="D3" s="3" t="n">
        <v>0.255</v>
      </c>
      <c r="E3" s="3" t="n">
        <v>0.244</v>
      </c>
      <c r="F3" s="3" t="n"/>
    </row>
    <row r="4">
      <c r="A4" t="inlineStr">
        <is>
          <t>Normalized EBITDA</t>
        </is>
      </c>
      <c r="B4" s="3" t="n">
        <v>233797000000</v>
      </c>
      <c r="C4" s="3" t="n">
        <v>207581000000</v>
      </c>
      <c r="D4" s="3" t="n">
        <v>191851000000</v>
      </c>
      <c r="E4" s="3" t="n">
        <v>244241000000</v>
      </c>
      <c r="F4" s="3" t="n"/>
    </row>
    <row r="5">
      <c r="A5" t="inlineStr">
        <is>
          <t>Total Unusual Items</t>
        </is>
      </c>
      <c r="B5" s="3" t="n">
        <v>-2252000000</v>
      </c>
      <c r="C5" s="3" t="n">
        <v>-2287000000</v>
      </c>
      <c r="D5" s="3" t="n">
        <v>-931000000</v>
      </c>
      <c r="E5" s="3" t="n">
        <v>-3693000000</v>
      </c>
      <c r="F5" s="3" t="n"/>
    </row>
    <row r="6">
      <c r="A6" t="inlineStr">
        <is>
          <t>Total Unusual Items Excluding Goodwill</t>
        </is>
      </c>
      <c r="B6" s="3" t="n">
        <v>-2252000000</v>
      </c>
      <c r="C6" s="3" t="n">
        <v>-2287000000</v>
      </c>
      <c r="D6" s="3" t="n">
        <v>-931000000</v>
      </c>
      <c r="E6" s="3" t="n">
        <v>-3693000000</v>
      </c>
      <c r="F6" s="3" t="n"/>
    </row>
    <row r="7">
      <c r="A7" t="inlineStr">
        <is>
          <t>Net Income From Continuing Operation Net Minority Interest</t>
        </is>
      </c>
      <c r="B7" s="3" t="n">
        <v>166543000000</v>
      </c>
      <c r="C7" s="3" t="n">
        <v>147557000000</v>
      </c>
      <c r="D7" s="3" t="n">
        <v>133159000000</v>
      </c>
      <c r="E7" s="3" t="n">
        <v>170587000000</v>
      </c>
      <c r="F7" s="3" t="n"/>
    </row>
    <row r="8">
      <c r="A8" t="inlineStr">
        <is>
          <t>Reconciled Depreciation</t>
        </is>
      </c>
      <c r="B8" s="3" t="n">
        <v>47782000000</v>
      </c>
      <c r="C8" s="3" t="n">
        <v>46448000000</v>
      </c>
      <c r="D8" s="3" t="n">
        <v>49001000000</v>
      </c>
      <c r="E8" s="3" t="n">
        <v>49189000000</v>
      </c>
      <c r="F8" s="3" t="n"/>
    </row>
    <row r="9">
      <c r="A9" t="inlineStr">
        <is>
          <t>Reconciled Cost Of Revenue</t>
        </is>
      </c>
      <c r="B9" s="3" t="n">
        <v>529365000000</v>
      </c>
      <c r="C9" s="3" t="n">
        <v>502204000000</v>
      </c>
      <c r="D9" s="3" t="n">
        <v>519430000000</v>
      </c>
      <c r="E9" s="3" t="n">
        <v>526549000000</v>
      </c>
      <c r="F9" s="3" t="n"/>
    </row>
    <row r="10">
      <c r="A10" t="inlineStr">
        <is>
          <t>EBITDA</t>
        </is>
      </c>
      <c r="B10" s="3" t="n">
        <v>231545000000</v>
      </c>
      <c r="C10" s="3" t="n">
        <v>205294000000</v>
      </c>
      <c r="D10" s="3" t="n">
        <v>190920000000</v>
      </c>
      <c r="E10" s="3" t="n">
        <v>240548000000</v>
      </c>
      <c r="F10" s="3" t="n"/>
    </row>
    <row r="11">
      <c r="A11" t="inlineStr">
        <is>
          <t>EBIT</t>
        </is>
      </c>
      <c r="B11" s="3" t="n">
        <v>183763000000</v>
      </c>
      <c r="C11" s="3" t="n">
        <v>158846000000</v>
      </c>
      <c r="D11" s="3" t="n">
        <v>141919000000</v>
      </c>
      <c r="E11" s="3" t="n">
        <v>191359000000</v>
      </c>
      <c r="F11" s="3" t="n"/>
    </row>
    <row r="12">
      <c r="A12" t="inlineStr">
        <is>
          <t>Net Interest Income</t>
        </is>
      </c>
      <c r="B12" s="3" t="n">
        <v>7537000000</v>
      </c>
      <c r="C12" s="3" t="n">
        <v>7122000000</v>
      </c>
      <c r="D12" s="3" t="n">
        <v>4549000000</v>
      </c>
      <c r="E12" s="3" t="n">
        <v>3840000000</v>
      </c>
      <c r="F12" s="3" t="n"/>
    </row>
    <row r="13">
      <c r="A13" t="inlineStr">
        <is>
          <t>Interest Income</t>
        </is>
      </c>
      <c r="B13" s="3" t="n">
        <v>7537000000</v>
      </c>
      <c r="C13" s="3" t="n">
        <v>7122000000</v>
      </c>
      <c r="D13" s="3" t="n">
        <v>4549000000</v>
      </c>
      <c r="E13" s="3" t="n">
        <v>3840000000</v>
      </c>
      <c r="F13" s="3" t="n"/>
    </row>
    <row r="14">
      <c r="A14" t="inlineStr">
        <is>
          <t>Normalized Income</t>
        </is>
      </c>
      <c r="B14" s="3" t="n">
        <v>168220740000</v>
      </c>
      <c r="C14" s="3" t="n">
        <v>149315703000</v>
      </c>
      <c r="D14" s="3" t="n">
        <v>133852595000</v>
      </c>
      <c r="E14" s="3" t="n">
        <v>173378908000</v>
      </c>
      <c r="F14" s="3" t="n"/>
    </row>
    <row r="15">
      <c r="A15" t="inlineStr">
        <is>
          <t>Net Income From Continuing And Discontinued Operation</t>
        </is>
      </c>
      <c r="B15" s="3" t="n">
        <v>166543000000</v>
      </c>
      <c r="C15" s="3" t="n">
        <v>147557000000</v>
      </c>
      <c r="D15" s="3" t="n">
        <v>133159000000</v>
      </c>
      <c r="E15" s="3" t="n">
        <v>170587000000</v>
      </c>
      <c r="F15" s="3" t="n"/>
    </row>
    <row r="16">
      <c r="A16" t="inlineStr">
        <is>
          <t>Total Expenses</t>
        </is>
      </c>
      <c r="B16" s="3" t="n">
        <v>674068000000</v>
      </c>
      <c r="C16" s="3" t="n">
        <v>638283000000</v>
      </c>
      <c r="D16" s="3" t="n">
        <v>653355000000</v>
      </c>
      <c r="E16" s="3" t="n">
        <v>660597000000</v>
      </c>
      <c r="F16" s="3" t="n"/>
    </row>
    <row r="17">
      <c r="A17" t="inlineStr">
        <is>
          <t>Total Operating Income As Reported</t>
        </is>
      </c>
      <c r="B17" s="3" t="n">
        <v>183763000000</v>
      </c>
      <c r="C17" s="3" t="n">
        <v>158846000000</v>
      </c>
      <c r="D17" s="3" t="n">
        <v>141919000000</v>
      </c>
      <c r="E17" s="3" t="n">
        <v>191359000000</v>
      </c>
      <c r="F17" s="3" t="n"/>
    </row>
    <row r="18">
      <c r="A18" t="inlineStr">
        <is>
          <t>Diluted Average Shares</t>
        </is>
      </c>
      <c r="B18" s="3" t="n">
        <v>933152000</v>
      </c>
      <c r="C18" s="3" t="n">
        <v>938001399</v>
      </c>
      <c r="D18" s="3" t="n">
        <v>949575697</v>
      </c>
      <c r="E18" s="3" t="n">
        <v>955390733</v>
      </c>
      <c r="F18" s="3" t="n"/>
    </row>
    <row r="19">
      <c r="A19" t="inlineStr">
        <is>
          <t>Basic Average Shares</t>
        </is>
      </c>
      <c r="B19" s="3" t="n">
        <v>933152000</v>
      </c>
      <c r="C19" s="3" t="n">
        <v>938001399</v>
      </c>
      <c r="D19" s="3" t="n">
        <v>949575697</v>
      </c>
      <c r="E19" s="3" t="n">
        <v>955390733</v>
      </c>
      <c r="F19" s="3" t="n"/>
    </row>
    <row r="20">
      <c r="A20" t="inlineStr">
        <is>
          <t>Diluted EPS</t>
        </is>
      </c>
      <c r="B20" s="3" t="n">
        <v>178.47</v>
      </c>
      <c r="C20" s="3" t="n">
        <v>157.31</v>
      </c>
      <c r="D20" s="3" t="n">
        <v>140.23</v>
      </c>
      <c r="E20" s="3" t="n">
        <v>178.55</v>
      </c>
      <c r="F20" s="3" t="n"/>
    </row>
    <row r="21">
      <c r="A21" t="inlineStr">
        <is>
          <t>Basic EPS</t>
        </is>
      </c>
      <c r="B21" s="3" t="n">
        <v>178.47</v>
      </c>
      <c r="C21" s="3" t="n">
        <v>157.31</v>
      </c>
      <c r="D21" s="3" t="n">
        <v>140.23</v>
      </c>
      <c r="E21" s="3" t="n">
        <v>178.55</v>
      </c>
      <c r="F21" s="3" t="n"/>
    </row>
    <row r="22">
      <c r="A22" t="inlineStr">
        <is>
          <t>Diluted NI Availto Com Stockholders</t>
        </is>
      </c>
      <c r="B22" s="3" t="n">
        <v>166543000000</v>
      </c>
      <c r="C22" s="3" t="n">
        <v>147557000000</v>
      </c>
      <c r="D22" s="3" t="n">
        <v>133159000000</v>
      </c>
      <c r="E22" s="3" t="n">
        <v>170587000000</v>
      </c>
      <c r="F22" s="3" t="n"/>
    </row>
    <row r="23">
      <c r="A23" t="inlineStr">
        <is>
          <t>Net Income Common Stockholders</t>
        </is>
      </c>
      <c r="B23" s="3" t="n">
        <v>166543000000</v>
      </c>
      <c r="C23" s="3" t="n">
        <v>147557000000</v>
      </c>
      <c r="D23" s="3" t="n">
        <v>133159000000</v>
      </c>
      <c r="E23" s="3" t="n">
        <v>170587000000</v>
      </c>
      <c r="F23" s="3" t="n"/>
    </row>
    <row r="24">
      <c r="A24" t="inlineStr">
        <is>
          <t>Otherunder Preferred Stock Dividend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/>
    </row>
    <row r="25">
      <c r="A25" t="inlineStr">
        <is>
          <t>Net Income</t>
        </is>
      </c>
      <c r="B25" s="3" t="n">
        <v>166543000000</v>
      </c>
      <c r="C25" s="3" t="n">
        <v>147557000000</v>
      </c>
      <c r="D25" s="3" t="n">
        <v>133159000000</v>
      </c>
      <c r="E25" s="3" t="n">
        <v>170587000000</v>
      </c>
      <c r="F25" s="3" t="n"/>
    </row>
    <row r="26">
      <c r="A26" t="inlineStr">
        <is>
          <t>Minority Interests</t>
        </is>
      </c>
      <c r="B26" s="3" t="n">
        <v>-2854000000</v>
      </c>
      <c r="C26" s="3" t="n">
        <v>-3790000000</v>
      </c>
      <c r="D26" s="3" t="n">
        <v>-2328000000</v>
      </c>
      <c r="E26" s="3" t="n">
        <v>-3327000000</v>
      </c>
      <c r="F26" s="3" t="n"/>
    </row>
    <row r="27">
      <c r="A27" t="inlineStr">
        <is>
          <t>Net Income Including Noncontrolling Interests</t>
        </is>
      </c>
      <c r="B27" s="3" t="n">
        <v>169397000000</v>
      </c>
      <c r="C27" s="3" t="n">
        <v>151347000000</v>
      </c>
      <c r="D27" s="3" t="n">
        <v>135487000000</v>
      </c>
      <c r="E27" s="3" t="n">
        <v>173914000000</v>
      </c>
      <c r="F27" s="3" t="n"/>
    </row>
    <row r="28">
      <c r="A28" t="inlineStr">
        <is>
          <t>Net Income Continuous Operations</t>
        </is>
      </c>
      <c r="B28" s="3" t="n">
        <v>169397000000</v>
      </c>
      <c r="C28" s="3" t="n">
        <v>151347000000</v>
      </c>
      <c r="D28" s="3" t="n">
        <v>135487000000</v>
      </c>
      <c r="E28" s="3" t="n">
        <v>173914000000</v>
      </c>
      <c r="F28" s="3" t="n"/>
    </row>
    <row r="29">
      <c r="A29" t="inlineStr">
        <is>
          <t>Tax Provision</t>
        </is>
      </c>
      <c r="B29" s="3" t="n">
        <v>58088000000</v>
      </c>
      <c r="C29" s="3" t="n">
        <v>45391000000</v>
      </c>
      <c r="D29" s="3" t="n">
        <v>46268000000</v>
      </c>
      <c r="E29" s="3" t="n">
        <v>56189000000</v>
      </c>
      <c r="F29" s="3" t="n"/>
    </row>
    <row r="30">
      <c r="A30" t="inlineStr">
        <is>
          <t>Pretax Income</t>
        </is>
      </c>
      <c r="B30" s="3" t="n">
        <v>227485000000</v>
      </c>
      <c r="C30" s="3" t="n">
        <v>196738000000</v>
      </c>
      <c r="D30" s="3" t="n">
        <v>181755000000</v>
      </c>
      <c r="E30" s="3" t="n">
        <v>230103000000</v>
      </c>
      <c r="F30" s="3" t="n"/>
    </row>
    <row r="31">
      <c r="A31" t="inlineStr">
        <is>
          <t>Other Non Operating Income Expenses</t>
        </is>
      </c>
      <c r="B31" s="3" t="n">
        <v>4536000000</v>
      </c>
      <c r="C31" s="3" t="n">
        <v>2667000000</v>
      </c>
      <c r="D31" s="3" t="n">
        <v>6405000000</v>
      </c>
      <c r="E31" s="3" t="n">
        <v>4305000000</v>
      </c>
      <c r="F31" s="3" t="n"/>
    </row>
    <row r="32">
      <c r="A32" t="inlineStr">
        <is>
          <t>Special Income Charges</t>
        </is>
      </c>
      <c r="B32" s="3" t="n">
        <v>-1803000000</v>
      </c>
      <c r="C32" s="3" t="n">
        <v>-1186000000</v>
      </c>
      <c r="D32" s="3" t="n">
        <v>-931000000</v>
      </c>
      <c r="E32" s="3" t="n">
        <v>-3693000000</v>
      </c>
      <c r="F32" s="3" t="n"/>
    </row>
    <row r="33">
      <c r="A33" t="inlineStr">
        <is>
          <t>Other Special Charges</t>
        </is>
      </c>
      <c r="B33" s="3" t="n">
        <v>1803000000</v>
      </c>
      <c r="C33" s="3" t="n">
        <v>1186000000</v>
      </c>
      <c r="D33" s="3" t="n">
        <v>931000000</v>
      </c>
      <c r="E33" s="3" t="n">
        <v>2469000000</v>
      </c>
      <c r="F33" s="3" t="n"/>
    </row>
    <row r="34">
      <c r="A34" t="inlineStr">
        <is>
          <t>Write Off</t>
        </is>
      </c>
      <c r="B34" s="3" t="n"/>
      <c r="C34" s="3" t="n"/>
      <c r="D34" s="3" t="n">
        <v>0</v>
      </c>
      <c r="E34" s="3" t="n">
        <v>1224000000</v>
      </c>
      <c r="F34" s="3" t="n">
        <v>0</v>
      </c>
    </row>
    <row r="35">
      <c r="A35" t="inlineStr">
        <is>
          <t>Net Non Operating Interest Income Expense</t>
        </is>
      </c>
      <c r="B35" s="3" t="n">
        <v>7537000000</v>
      </c>
      <c r="C35" s="3" t="n">
        <v>7122000000</v>
      </c>
      <c r="D35" s="3" t="n">
        <v>4549000000</v>
      </c>
      <c r="E35" s="3" t="n">
        <v>3840000000</v>
      </c>
      <c r="F35" s="3" t="n"/>
    </row>
    <row r="36">
      <c r="A36" t="inlineStr">
        <is>
          <t>Interest Income Non Operating</t>
        </is>
      </c>
      <c r="B36" s="3" t="n">
        <v>7537000000</v>
      </c>
      <c r="C36" s="3" t="n">
        <v>7122000000</v>
      </c>
      <c r="D36" s="3" t="n">
        <v>4549000000</v>
      </c>
      <c r="E36" s="3" t="n">
        <v>3840000000</v>
      </c>
      <c r="F36" s="3" t="n"/>
    </row>
    <row r="37">
      <c r="A37" t="inlineStr">
        <is>
          <t>Operating Income</t>
        </is>
      </c>
      <c r="B37" s="3" t="n">
        <v>183763000000</v>
      </c>
      <c r="C37" s="3" t="n">
        <v>158846000000</v>
      </c>
      <c r="D37" s="3" t="n">
        <v>141919000000</v>
      </c>
      <c r="E37" s="3" t="n">
        <v>191359000000</v>
      </c>
      <c r="F37" s="3" t="n"/>
    </row>
    <row r="38">
      <c r="A38" t="inlineStr">
        <is>
          <t>Operating Expense</t>
        </is>
      </c>
      <c r="B38" s="3" t="n">
        <v>144703000000</v>
      </c>
      <c r="C38" s="3" t="n">
        <v>136079000000</v>
      </c>
      <c r="D38" s="3" t="n">
        <v>133925000000</v>
      </c>
      <c r="E38" s="3" t="n">
        <v>134048000000</v>
      </c>
      <c r="F38" s="3" t="n"/>
    </row>
    <row r="39">
      <c r="A39" t="inlineStr">
        <is>
          <t>Gross Profit</t>
        </is>
      </c>
      <c r="B39" s="3" t="n">
        <v>328466000000</v>
      </c>
      <c r="C39" s="3" t="n">
        <v>294925000000</v>
      </c>
      <c r="D39" s="3" t="n">
        <v>275844000000</v>
      </c>
      <c r="E39" s="3" t="n">
        <v>325407000000</v>
      </c>
      <c r="F39" s="3" t="n"/>
    </row>
    <row r="40">
      <c r="A40" t="inlineStr">
        <is>
          <t>Cost Of Revenue</t>
        </is>
      </c>
      <c r="B40" s="3" t="n">
        <v>529365000000</v>
      </c>
      <c r="C40" s="3" t="n">
        <v>502204000000</v>
      </c>
      <c r="D40" s="3" t="n">
        <v>519430000000</v>
      </c>
      <c r="E40" s="3" t="n">
        <v>526549000000</v>
      </c>
      <c r="F40" s="3" t="n"/>
    </row>
    <row r="41">
      <c r="A41" t="inlineStr">
        <is>
          <t>Total Revenue</t>
        </is>
      </c>
      <c r="B41" s="3" t="n">
        <v>857831000000</v>
      </c>
      <c r="C41" s="3" t="n">
        <v>797129000000</v>
      </c>
      <c r="D41" s="3" t="n">
        <v>795274000000</v>
      </c>
      <c r="E41" s="3" t="n">
        <v>851956000000</v>
      </c>
      <c r="F41" s="3" t="n"/>
    </row>
    <row r="42">
      <c r="A42" t="inlineStr">
        <is>
          <t>Operating Revenue</t>
        </is>
      </c>
      <c r="B42" s="3" t="n">
        <v>857831000000</v>
      </c>
      <c r="C42" s="3" t="n">
        <v>797129000000</v>
      </c>
      <c r="D42" s="3" t="n">
        <v>795274000000</v>
      </c>
      <c r="E42" s="3" t="n">
        <v>851956000000</v>
      </c>
      <c r="F4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Line item</t>
        </is>
      </c>
      <c r="B1" s="1" t="inlineStr">
        <is>
          <t>2025-06-30</t>
        </is>
      </c>
    </row>
    <row r="2">
      <c r="A2" t="inlineStr">
        <is>
          <t>Diluted Average Shares</t>
        </is>
      </c>
      <c r="B2" s="3" t="n">
        <v>933037475</v>
      </c>
    </row>
    <row r="3">
      <c r="A3" t="inlineStr">
        <is>
          <t>Basic Average Shares</t>
        </is>
      </c>
      <c r="B3" s="3" t="n">
        <v>933037475</v>
      </c>
    </row>
    <row r="4">
      <c r="A4" t="inlineStr">
        <is>
          <t>Diluted EPS</t>
        </is>
      </c>
      <c r="B4" s="3" t="n">
        <v>40.56</v>
      </c>
    </row>
    <row r="5">
      <c r="A5" t="inlineStr">
        <is>
          <t>Basic EPS</t>
        </is>
      </c>
      <c r="B5" s="3" t="n">
        <v>40.56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</row>
    <row r="2">
      <c r="A2" t="inlineStr">
        <is>
          <t>Treasury Shares Number</t>
        </is>
      </c>
      <c r="B2" s="3" t="n">
        <v>49224684</v>
      </c>
      <c r="C2" s="3" t="n">
        <v>62154566</v>
      </c>
      <c r="D2" s="3" t="n">
        <v>57426048</v>
      </c>
      <c r="E2" s="3" t="n">
        <v>56626695</v>
      </c>
    </row>
    <row r="3">
      <c r="A3" t="inlineStr">
        <is>
          <t>Ordinary Shares Number</t>
        </is>
      </c>
      <c r="B3" s="3" t="n">
        <v>933158809</v>
      </c>
      <c r="C3" s="3" t="n">
        <v>933264319</v>
      </c>
      <c r="D3" s="3" t="n">
        <v>945647941</v>
      </c>
      <c r="E3" s="3" t="n">
        <v>952920290</v>
      </c>
    </row>
    <row r="4">
      <c r="A4" t="inlineStr">
        <is>
          <t>Share Issued</t>
        </is>
      </c>
      <c r="B4" s="3" t="n">
        <v>982383493</v>
      </c>
      <c r="C4" s="3" t="n">
        <v>995418885</v>
      </c>
      <c r="D4" s="3" t="n">
        <v>1003073989</v>
      </c>
      <c r="E4" s="3" t="n">
        <v>1009546985</v>
      </c>
    </row>
    <row r="5">
      <c r="A5" t="inlineStr">
        <is>
          <t>Tangible Book Value</t>
        </is>
      </c>
      <c r="B5" s="3" t="n">
        <v>1856329000000</v>
      </c>
      <c r="C5" s="3" t="n">
        <v>1715745000000</v>
      </c>
      <c r="D5" s="3" t="n">
        <v>1695733000000</v>
      </c>
      <c r="E5" s="3" t="n">
        <v>1604521000000</v>
      </c>
    </row>
    <row r="6">
      <c r="A6" t="inlineStr">
        <is>
          <t>Invested Capital</t>
        </is>
      </c>
      <c r="B6" s="3" t="n">
        <v>1864871000000</v>
      </c>
      <c r="C6" s="3" t="n">
        <v>1724545000000</v>
      </c>
      <c r="D6" s="3" t="n">
        <v>1705556000000</v>
      </c>
      <c r="E6" s="3" t="n">
        <v>1615376000000</v>
      </c>
    </row>
    <row r="7">
      <c r="A7" t="inlineStr">
        <is>
          <t>Working Capital</t>
        </is>
      </c>
      <c r="B7" s="3" t="n">
        <v>1057569000000</v>
      </c>
      <c r="C7" s="3" t="n">
        <v>928201000000</v>
      </c>
      <c r="D7" s="3" t="n">
        <v>919375000000</v>
      </c>
      <c r="E7" s="3" t="n">
        <v>877785000000</v>
      </c>
    </row>
    <row r="8">
      <c r="A8" t="inlineStr">
        <is>
          <t>Net Tangible Assets</t>
        </is>
      </c>
      <c r="B8" s="3" t="n">
        <v>1856329000000</v>
      </c>
      <c r="C8" s="3" t="n">
        <v>1715745000000</v>
      </c>
      <c r="D8" s="3" t="n">
        <v>1695733000000</v>
      </c>
      <c r="E8" s="3" t="n">
        <v>1604521000000</v>
      </c>
    </row>
    <row r="9">
      <c r="A9" t="inlineStr">
        <is>
          <t>Common Stock Equity</t>
        </is>
      </c>
      <c r="B9" s="3" t="n">
        <v>1864871000000</v>
      </c>
      <c r="C9" s="3" t="n">
        <v>1724545000000</v>
      </c>
      <c r="D9" s="3" t="n">
        <v>1705556000000</v>
      </c>
      <c r="E9" s="3" t="n">
        <v>1615376000000</v>
      </c>
    </row>
    <row r="10">
      <c r="A10" t="inlineStr">
        <is>
          <t>Total Capitalization</t>
        </is>
      </c>
      <c r="B10" s="3" t="n">
        <v>1864871000000</v>
      </c>
      <c r="C10" s="3" t="n">
        <v>1724545000000</v>
      </c>
      <c r="D10" s="3" t="n">
        <v>1705556000000</v>
      </c>
      <c r="E10" s="3" t="n">
        <v>1615376000000</v>
      </c>
    </row>
    <row r="11">
      <c r="A11" t="inlineStr">
        <is>
          <t>Total Equity Gross Minority Interest</t>
        </is>
      </c>
      <c r="B11" s="3" t="n">
        <v>1882947000000</v>
      </c>
      <c r="C11" s="3" t="n">
        <v>1739890000000</v>
      </c>
      <c r="D11" s="3" t="n">
        <v>1719200000000</v>
      </c>
      <c r="E11" s="3" t="n">
        <v>1627555000000</v>
      </c>
    </row>
    <row r="12">
      <c r="A12" t="inlineStr">
        <is>
          <t>Minority Interest</t>
        </is>
      </c>
      <c r="B12" s="3" t="n">
        <v>18076000000</v>
      </c>
      <c r="C12" s="3" t="n">
        <v>15345000000</v>
      </c>
      <c r="D12" s="3" t="n">
        <v>13644000000</v>
      </c>
      <c r="E12" s="3" t="n">
        <v>12179000000</v>
      </c>
    </row>
    <row r="13">
      <c r="A13" t="inlineStr">
        <is>
          <t>Stockholders Equity</t>
        </is>
      </c>
      <c r="B13" s="3" t="n">
        <v>1864871000000</v>
      </c>
      <c r="C13" s="3" t="n">
        <v>1724545000000</v>
      </c>
      <c r="D13" s="3" t="n">
        <v>1705556000000</v>
      </c>
      <c r="E13" s="3" t="n">
        <v>1615376000000</v>
      </c>
    </row>
    <row r="14">
      <c r="A14" t="inlineStr">
        <is>
          <t>Treasury Stock</t>
        </is>
      </c>
      <c r="B14" s="3" t="n">
        <v>137802000000</v>
      </c>
      <c r="C14" s="3" t="n">
        <v>173859000000</v>
      </c>
      <c r="D14" s="3" t="n">
        <v>143573000000</v>
      </c>
      <c r="E14" s="3" t="n">
        <v>130206000000</v>
      </c>
    </row>
    <row r="15">
      <c r="A15" t="inlineStr">
        <is>
          <t>Retained Earnings</t>
        </is>
      </c>
      <c r="B15" s="3" t="n">
        <v>1621450000000</v>
      </c>
      <c r="C15" s="3" t="n">
        <v>1585779000000</v>
      </c>
      <c r="D15" s="3" t="n">
        <v>1540398000000</v>
      </c>
      <c r="E15" s="3" t="n">
        <v>1515662000000</v>
      </c>
    </row>
    <row r="16">
      <c r="A16" t="inlineStr">
        <is>
          <t>Additional Paid In Capital</t>
        </is>
      </c>
      <c r="B16" s="3" t="n">
        <v>95995000000</v>
      </c>
      <c r="C16" s="3" t="n">
        <v>95995000000</v>
      </c>
      <c r="D16" s="3" t="n">
        <v>95995000000</v>
      </c>
      <c r="E16" s="3" t="n">
        <v>96265000000</v>
      </c>
    </row>
    <row r="17">
      <c r="A17" t="inlineStr">
        <is>
          <t>Capital Stock</t>
        </is>
      </c>
      <c r="B17" s="3" t="n">
        <v>69014000000</v>
      </c>
      <c r="C17" s="3" t="n">
        <v>69014000000</v>
      </c>
      <c r="D17" s="3" t="n">
        <v>69014000000</v>
      </c>
      <c r="E17" s="3" t="n">
        <v>69014000000</v>
      </c>
    </row>
    <row r="18">
      <c r="A18" t="inlineStr">
        <is>
          <t>Common Stock</t>
        </is>
      </c>
      <c r="B18" s="3" t="n">
        <v>69014000000</v>
      </c>
      <c r="C18" s="3" t="n">
        <v>69014000000</v>
      </c>
      <c r="D18" s="3" t="n">
        <v>69014000000</v>
      </c>
      <c r="E18" s="3" t="n">
        <v>69014000000</v>
      </c>
    </row>
    <row r="19">
      <c r="A19" t="inlineStr">
        <is>
          <t>Total Liabilities Net Minority Interest</t>
        </is>
      </c>
      <c r="B19" s="3" t="n">
        <v>207753000000</v>
      </c>
      <c r="C19" s="3" t="n">
        <v>197141000000</v>
      </c>
      <c r="D19" s="3" t="n">
        <v>206837000000</v>
      </c>
      <c r="E19" s="3" t="n">
        <v>245981000000</v>
      </c>
    </row>
    <row r="20">
      <c r="A20" t="inlineStr">
        <is>
          <t>Total Non Current Liabilities Net Minority Interest</t>
        </is>
      </c>
      <c r="B20" s="3" t="n">
        <v>28296000000</v>
      </c>
      <c r="C20" s="3" t="n">
        <v>39555000000</v>
      </c>
      <c r="D20" s="3" t="n">
        <v>49947000000</v>
      </c>
      <c r="E20" s="3" t="n">
        <v>62026000000</v>
      </c>
    </row>
    <row r="21">
      <c r="A21" t="inlineStr">
        <is>
          <t>Other Non Current Liabilities</t>
        </is>
      </c>
      <c r="B21" s="3" t="n">
        <v>8105000000</v>
      </c>
      <c r="C21" s="3" t="n">
        <v>8347000000</v>
      </c>
      <c r="D21" s="3" t="n">
        <v>7510000000</v>
      </c>
      <c r="E21" s="3" t="n">
        <v>6825000000</v>
      </c>
    </row>
    <row r="22">
      <c r="A22" t="inlineStr">
        <is>
          <t>Non Current Pension And Other Postretirement Benefit Plans</t>
        </is>
      </c>
      <c r="B22" s="3" t="n">
        <v>20191000000</v>
      </c>
      <c r="C22" s="3" t="n">
        <v>31208000000</v>
      </c>
      <c r="D22" s="3" t="n">
        <v>42437000000</v>
      </c>
      <c r="E22" s="3" t="n">
        <v>55201000000</v>
      </c>
    </row>
    <row r="23">
      <c r="A23" t="inlineStr">
        <is>
          <t>Current Liabilities</t>
        </is>
      </c>
      <c r="B23" s="3" t="n">
        <v>179457000000</v>
      </c>
      <c r="C23" s="3" t="n">
        <v>157586000000</v>
      </c>
      <c r="D23" s="3" t="n">
        <v>156890000000</v>
      </c>
      <c r="E23" s="3" t="n">
        <v>183955000000</v>
      </c>
    </row>
    <row r="24">
      <c r="A24" t="inlineStr">
        <is>
          <t>Other Current Liabilities</t>
        </is>
      </c>
      <c r="B24" s="3" t="n">
        <v>98631000000</v>
      </c>
      <c r="C24" s="3" t="n">
        <v>92042000000</v>
      </c>
      <c r="D24" s="3" t="n">
        <v>98441000000</v>
      </c>
      <c r="E24" s="3" t="n">
        <v>90062000000</v>
      </c>
    </row>
    <row r="25">
      <c r="A25" t="inlineStr">
        <is>
          <t>Current Provisions</t>
        </is>
      </c>
      <c r="B25" s="3" t="n">
        <v>8870000000</v>
      </c>
      <c r="C25" s="3" t="n">
        <v>9085000000</v>
      </c>
      <c r="D25" s="3" t="n">
        <v>10021000000</v>
      </c>
      <c r="E25" s="3" t="n">
        <v>11222000000</v>
      </c>
    </row>
    <row r="26">
      <c r="A26" t="inlineStr">
        <is>
          <t>Payables</t>
        </is>
      </c>
      <c r="B26" s="3" t="n">
        <v>71956000000</v>
      </c>
      <c r="C26" s="3" t="n">
        <v>56459000000</v>
      </c>
      <c r="D26" s="3" t="n">
        <v>48428000000</v>
      </c>
      <c r="E26" s="3" t="n">
        <v>82671000000</v>
      </c>
    </row>
    <row r="27">
      <c r="A27" t="inlineStr">
        <is>
          <t>Total Tax Payable</t>
        </is>
      </c>
      <c r="B27" s="3" t="n">
        <v>25694000000</v>
      </c>
      <c r="C27" s="3" t="n">
        <v>19005000000</v>
      </c>
      <c r="D27" s="3" t="n">
        <v>5490000000</v>
      </c>
      <c r="E27" s="3" t="n">
        <v>25736000000</v>
      </c>
    </row>
    <row r="28">
      <c r="A28" t="inlineStr">
        <is>
          <t>Accounts Payable</t>
        </is>
      </c>
      <c r="B28" s="3" t="n">
        <v>46262000000</v>
      </c>
      <c r="C28" s="3" t="n">
        <v>37454000000</v>
      </c>
      <c r="D28" s="3" t="n">
        <v>42938000000</v>
      </c>
      <c r="E28" s="3" t="n">
        <v>56935000000</v>
      </c>
    </row>
    <row r="29">
      <c r="A29" t="inlineStr">
        <is>
          <t>Total Assets</t>
        </is>
      </c>
      <c r="B29" s="3" t="n">
        <v>2090700000000</v>
      </c>
      <c r="C29" s="3" t="n">
        <v>1937031000000</v>
      </c>
      <c r="D29" s="3" t="n">
        <v>1926037000000</v>
      </c>
      <c r="E29" s="3" t="n">
        <v>1873536000000</v>
      </c>
    </row>
    <row r="30">
      <c r="A30" t="inlineStr">
        <is>
          <t>Total Non Current Assets</t>
        </is>
      </c>
      <c r="B30" s="3" t="n">
        <v>853674000000</v>
      </c>
      <c r="C30" s="3" t="n">
        <v>851244000000</v>
      </c>
      <c r="D30" s="3" t="n">
        <v>849772000000</v>
      </c>
      <c r="E30" s="3" t="n">
        <v>811796000000</v>
      </c>
    </row>
    <row r="31">
      <c r="A31" t="inlineStr">
        <is>
          <t>Other Non Current Assets</t>
        </is>
      </c>
      <c r="B31" s="3" t="n">
        <v>694000000</v>
      </c>
      <c r="C31" s="3" t="n">
        <v>1202000000</v>
      </c>
      <c r="D31" s="3" t="n">
        <v>1150000000</v>
      </c>
      <c r="E31" s="3" t="n">
        <v>840000000</v>
      </c>
    </row>
    <row r="32">
      <c r="A32" t="inlineStr">
        <is>
          <t>Defined Pension Benefit</t>
        </is>
      </c>
      <c r="B32" s="3" t="n">
        <v>1310000000</v>
      </c>
      <c r="C32" s="3" t="n">
        <v>1220000000</v>
      </c>
      <c r="D32" s="3" t="n">
        <v>1785000000</v>
      </c>
      <c r="E32" s="3" t="n">
        <v>5444000000</v>
      </c>
    </row>
    <row r="33">
      <c r="A33" t="inlineStr">
        <is>
          <t>Non Current Deferred Taxes Assets</t>
        </is>
      </c>
      <c r="B33" s="3" t="n">
        <v>28425000000</v>
      </c>
      <c r="C33" s="3" t="n">
        <v>43542000000</v>
      </c>
      <c r="D33" s="3" t="n">
        <v>44825000000</v>
      </c>
      <c r="E33" s="3" t="n">
        <v>46461000000</v>
      </c>
    </row>
    <row r="34">
      <c r="A34" t="inlineStr">
        <is>
          <t>Investmentin Financial Assets</t>
        </is>
      </c>
      <c r="B34" s="3" t="n">
        <v>223287000000</v>
      </c>
      <c r="C34" s="3" t="n">
        <v>192214000000</v>
      </c>
      <c r="D34" s="3" t="n">
        <v>184434000000</v>
      </c>
      <c r="E34" s="3" t="n">
        <v>159500000000</v>
      </c>
    </row>
    <row r="35">
      <c r="A35" t="inlineStr">
        <is>
          <t>Available For Sale Securities</t>
        </is>
      </c>
      <c r="B35" s="3" t="n">
        <v>223287000000</v>
      </c>
      <c r="C35" s="3" t="n">
        <v>192214000000</v>
      </c>
      <c r="D35" s="3" t="n">
        <v>184434000000</v>
      </c>
      <c r="E35" s="3" t="n">
        <v>159500000000</v>
      </c>
    </row>
    <row r="36">
      <c r="A36" t="inlineStr">
        <is>
          <t>Goodwill And Other Intangible Assets</t>
        </is>
      </c>
      <c r="B36" s="3" t="n">
        <v>8542000000</v>
      </c>
      <c r="C36" s="3" t="n">
        <v>8800000000</v>
      </c>
      <c r="D36" s="3" t="n">
        <v>9823000000</v>
      </c>
      <c r="E36" s="3" t="n">
        <v>10855000000</v>
      </c>
    </row>
    <row r="37">
      <c r="A37" t="inlineStr">
        <is>
          <t>Net PPE</t>
        </is>
      </c>
      <c r="B37" s="3" t="n">
        <v>591416000000</v>
      </c>
      <c r="C37" s="3" t="n">
        <v>604266000000</v>
      </c>
      <c r="D37" s="3" t="n">
        <v>607755000000</v>
      </c>
      <c r="E37" s="3" t="n">
        <v>588696000000</v>
      </c>
    </row>
    <row r="38">
      <c r="A38" t="inlineStr">
        <is>
          <t>Gross PPE</t>
        </is>
      </c>
      <c r="B38" s="3" t="n">
        <v>591416000000</v>
      </c>
      <c r="C38" s="3" t="n">
        <v>604266000000</v>
      </c>
      <c r="D38" s="3" t="n">
        <v>607755000000</v>
      </c>
      <c r="E38" s="3" t="n">
        <v>588696000000</v>
      </c>
    </row>
    <row r="39">
      <c r="A39" t="inlineStr">
        <is>
          <t>Construction In Progress</t>
        </is>
      </c>
      <c r="B39" s="3" t="n">
        <v>21959000000</v>
      </c>
      <c r="C39" s="3" t="n">
        <v>47971000000</v>
      </c>
      <c r="D39" s="3" t="n">
        <v>49285000000</v>
      </c>
      <c r="E39" s="3" t="n">
        <v>33102000000</v>
      </c>
    </row>
    <row r="40">
      <c r="A40" t="inlineStr">
        <is>
          <t>Other Properties</t>
        </is>
      </c>
      <c r="B40" s="3" t="n">
        <v>19408000000</v>
      </c>
      <c r="C40" s="3" t="n">
        <v>19114000000</v>
      </c>
      <c r="D40" s="3" t="n">
        <v>18851000000</v>
      </c>
      <c r="E40" s="3" t="n">
        <v>17348000000</v>
      </c>
    </row>
    <row r="41">
      <c r="A41" t="inlineStr">
        <is>
          <t>Machinery Furniture Equipment</t>
        </is>
      </c>
      <c r="B41" s="3" t="n">
        <v>46010000000</v>
      </c>
      <c r="C41" s="3" t="n">
        <v>48706000000</v>
      </c>
      <c r="D41" s="3" t="n">
        <v>49653000000</v>
      </c>
      <c r="E41" s="3" t="n">
        <v>55089000000</v>
      </c>
    </row>
    <row r="42">
      <c r="A42" t="inlineStr">
        <is>
          <t>Buildings And Improvements</t>
        </is>
      </c>
      <c r="B42" s="3" t="n">
        <v>338990000000</v>
      </c>
      <c r="C42" s="3" t="n">
        <v>325311000000</v>
      </c>
      <c r="D42" s="3" t="n">
        <v>326373000000</v>
      </c>
      <c r="E42" s="3" t="n">
        <v>325102000000</v>
      </c>
    </row>
    <row r="43">
      <c r="A43" t="inlineStr">
        <is>
          <t>Land And Improvements</t>
        </is>
      </c>
      <c r="B43" s="3" t="n">
        <v>165049000000</v>
      </c>
      <c r="C43" s="3" t="n">
        <v>163164000000</v>
      </c>
      <c r="D43" s="3" t="n">
        <v>163593000000</v>
      </c>
      <c r="E43" s="3" t="n">
        <v>158055000000</v>
      </c>
    </row>
    <row r="44">
      <c r="A44" t="inlineStr">
        <is>
          <t>Properties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t="inlineStr">
        <is>
          <t>Current Assets</t>
        </is>
      </c>
      <c r="B45" s="3" t="n">
        <v>1237026000000</v>
      </c>
      <c r="C45" s="3" t="n">
        <v>1085787000000</v>
      </c>
      <c r="D45" s="3" t="n">
        <v>1076265000000</v>
      </c>
      <c r="E45" s="3" t="n">
        <v>1061740000000</v>
      </c>
    </row>
    <row r="46">
      <c r="A46" t="inlineStr">
        <is>
          <t>Other Current Assets</t>
        </is>
      </c>
      <c r="B46" s="3" t="n">
        <v>20194000000</v>
      </c>
      <c r="C46" s="3" t="n">
        <v>16407000000</v>
      </c>
      <c r="D46" s="3" t="n">
        <v>18719000000</v>
      </c>
      <c r="E46" s="3" t="n">
        <v>19150000000</v>
      </c>
    </row>
    <row r="47">
      <c r="A47" t="inlineStr">
        <is>
          <t>Inventory</t>
        </is>
      </c>
      <c r="B47" s="3" t="n">
        <v>292186000000</v>
      </c>
      <c r="C47" s="3" t="n">
        <v>306439000000</v>
      </c>
      <c r="D47" s="3" t="n">
        <v>362546000000</v>
      </c>
      <c r="E47" s="3" t="n">
        <v>350577000000</v>
      </c>
    </row>
    <row r="48">
      <c r="A48" t="inlineStr">
        <is>
          <t>Finished Goods</t>
        </is>
      </c>
      <c r="B48" s="3" t="n">
        <v>128770000000</v>
      </c>
      <c r="C48" s="3" t="n">
        <v>116143000000</v>
      </c>
      <c r="D48" s="3" t="n">
        <v>147545000000</v>
      </c>
      <c r="E48" s="3" t="n">
        <v>157888000000</v>
      </c>
    </row>
    <row r="49">
      <c r="A49" t="inlineStr">
        <is>
          <t>Work In Process</t>
        </is>
      </c>
      <c r="B49" s="3" t="n">
        <v>78986000000</v>
      </c>
      <c r="C49" s="3" t="n">
        <v>83219000000</v>
      </c>
      <c r="D49" s="3" t="n">
        <v>91929000000</v>
      </c>
      <c r="E49" s="3" t="n">
        <v>92098000000</v>
      </c>
    </row>
    <row r="50">
      <c r="A50" t="inlineStr">
        <is>
          <t>Raw Materials</t>
        </is>
      </c>
      <c r="B50" s="3" t="n">
        <v>84430000000</v>
      </c>
      <c r="C50" s="3" t="n">
        <v>107077000000</v>
      </c>
      <c r="D50" s="3" t="n">
        <v>123072000000</v>
      </c>
      <c r="E50" s="3" t="n">
        <v>100591000000</v>
      </c>
    </row>
    <row r="51">
      <c r="A51" t="inlineStr">
        <is>
          <t>Accounts Receivable</t>
        </is>
      </c>
      <c r="B51" s="3" t="n">
        <v>170775000000</v>
      </c>
      <c r="C51" s="3" t="n">
        <v>156437000000</v>
      </c>
      <c r="D51" s="3" t="n">
        <v>155921000000</v>
      </c>
      <c r="E51" s="3" t="n">
        <v>162785000000</v>
      </c>
    </row>
    <row r="52">
      <c r="A52" t="inlineStr">
        <is>
          <t>Gross Accounts Receivable</t>
        </is>
      </c>
      <c r="B52" s="3" t="n">
        <v>170775000000</v>
      </c>
      <c r="C52" s="3" t="n">
        <v>156437000000</v>
      </c>
      <c r="D52" s="3" t="n">
        <v>155921000000</v>
      </c>
      <c r="E52" s="3" t="n">
        <v>162785000000</v>
      </c>
    </row>
    <row r="53">
      <c r="A53" t="inlineStr">
        <is>
          <t>Cash Cash Equivalents And Short Term Investments</t>
        </is>
      </c>
      <c r="B53" s="3" t="n">
        <v>753871000000</v>
      </c>
      <c r="C53" s="3" t="n">
        <v>606504000000</v>
      </c>
      <c r="D53" s="3" t="n">
        <v>539079000000</v>
      </c>
      <c r="E53" s="3" t="n">
        <v>529228000000</v>
      </c>
    </row>
    <row r="54">
      <c r="A54" t="inlineStr">
        <is>
          <t>Other Short Term Investments</t>
        </is>
      </c>
      <c r="B54" s="3" t="n">
        <v>35800000000</v>
      </c>
      <c r="C54" s="3" t="n">
        <v>16000000000</v>
      </c>
      <c r="D54" s="3" t="n">
        <v>16100000000</v>
      </c>
      <c r="E54" s="3" t="n">
        <v>16700000000</v>
      </c>
    </row>
    <row r="55">
      <c r="A55" t="inlineStr">
        <is>
          <t>Cash And Cash Equivalents</t>
        </is>
      </c>
      <c r="B55" s="3" t="n">
        <v>718071000000</v>
      </c>
      <c r="C55" s="3" t="n">
        <v>590504000000</v>
      </c>
      <c r="D55" s="3" t="n">
        <v>522979000000</v>
      </c>
      <c r="E55" s="3" t="n">
        <v>512528000000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2025-09-30</t>
        </is>
      </c>
      <c r="D1" s="1" t="inlineStr">
        <is>
          <t>2025-03-31</t>
        </is>
      </c>
    </row>
    <row r="2">
      <c r="A2" t="inlineStr">
        <is>
          <t>Treasury Shares Number</t>
        </is>
      </c>
      <c r="B2" s="3" t="n">
        <v>49224684</v>
      </c>
      <c r="C2" s="3" t="n">
        <v>49223306</v>
      </c>
      <c r="D2" s="3" t="n">
        <v>62154566</v>
      </c>
    </row>
    <row r="3">
      <c r="A3" t="inlineStr">
        <is>
          <t>Ordinary Shares Number</t>
        </is>
      </c>
      <c r="B3" s="3" t="n">
        <v>933158809</v>
      </c>
      <c r="C3" s="3" t="n">
        <v>933160187</v>
      </c>
      <c r="D3" s="3" t="n">
        <v>933264319</v>
      </c>
    </row>
    <row r="4">
      <c r="A4" t="inlineStr">
        <is>
          <t>Share Issued</t>
        </is>
      </c>
      <c r="B4" s="3" t="n">
        <v>982383493</v>
      </c>
      <c r="C4" s="3" t="n">
        <v>982383493</v>
      </c>
      <c r="D4" s="3" t="n">
        <v>995418885</v>
      </c>
    </row>
    <row r="5">
      <c r="A5" t="inlineStr">
        <is>
          <t>Tangible Book Value</t>
        </is>
      </c>
      <c r="B5" s="3" t="n">
        <v>1856329000000</v>
      </c>
      <c r="C5" s="3" t="n">
        <v>1761752000000</v>
      </c>
      <c r="D5" s="3" t="n">
        <v>1715745000000</v>
      </c>
    </row>
    <row r="6">
      <c r="A6" t="inlineStr">
        <is>
          <t>Invested Capital</t>
        </is>
      </c>
      <c r="B6" s="3" t="n">
        <v>1864871000000</v>
      </c>
      <c r="C6" s="3" t="n">
        <v>1770428000000</v>
      </c>
      <c r="D6" s="3" t="n">
        <v>1724545000000</v>
      </c>
    </row>
    <row r="7">
      <c r="A7" t="inlineStr">
        <is>
          <t>Working Capital</t>
        </is>
      </c>
      <c r="B7" s="3" t="n">
        <v>1057569000000</v>
      </c>
      <c r="C7" s="3" t="n">
        <v>988840000000</v>
      </c>
      <c r="D7" s="3" t="n">
        <v>928201000000</v>
      </c>
    </row>
    <row r="8">
      <c r="A8" t="inlineStr">
        <is>
          <t>Net Tangible Assets</t>
        </is>
      </c>
      <c r="B8" s="3" t="n">
        <v>1856329000000</v>
      </c>
      <c r="C8" s="3" t="n">
        <v>1761752000000</v>
      </c>
      <c r="D8" s="3" t="n">
        <v>1715745000000</v>
      </c>
    </row>
    <row r="9">
      <c r="A9" t="inlineStr">
        <is>
          <t>Common Stock Equity</t>
        </is>
      </c>
      <c r="B9" s="3" t="n">
        <v>1864871000000</v>
      </c>
      <c r="C9" s="3" t="n">
        <v>1770428000000</v>
      </c>
      <c r="D9" s="3" t="n">
        <v>1724545000000</v>
      </c>
    </row>
    <row r="10">
      <c r="A10" t="inlineStr">
        <is>
          <t>Total Capitalization</t>
        </is>
      </c>
      <c r="B10" s="3" t="n">
        <v>1864871000000</v>
      </c>
      <c r="C10" s="3" t="n">
        <v>1770428000000</v>
      </c>
      <c r="D10" s="3" t="n">
        <v>1724545000000</v>
      </c>
    </row>
    <row r="11">
      <c r="A11" t="inlineStr">
        <is>
          <t>Total Equity Gross Minority Interest</t>
        </is>
      </c>
      <c r="B11" s="3" t="n">
        <v>1882947000000</v>
      </c>
      <c r="C11" s="3" t="n">
        <v>1785886000000</v>
      </c>
      <c r="D11" s="3" t="n">
        <v>1739890000000</v>
      </c>
    </row>
    <row r="12">
      <c r="A12" t="inlineStr">
        <is>
          <t>Minority Interest</t>
        </is>
      </c>
      <c r="B12" s="3" t="n">
        <v>18076000000</v>
      </c>
      <c r="C12" s="3" t="n">
        <v>15458000000</v>
      </c>
      <c r="D12" s="3" t="n">
        <v>15345000000</v>
      </c>
    </row>
    <row r="13">
      <c r="A13" t="inlineStr">
        <is>
          <t>Stockholders Equity</t>
        </is>
      </c>
      <c r="B13" s="3" t="n">
        <v>1864871000000</v>
      </c>
      <c r="C13" s="3" t="n">
        <v>1770428000000</v>
      </c>
      <c r="D13" s="3" t="n">
        <v>1724545000000</v>
      </c>
    </row>
    <row r="14">
      <c r="A14" t="inlineStr">
        <is>
          <t>Treasury Stock</t>
        </is>
      </c>
      <c r="B14" s="3" t="n">
        <v>137802000000</v>
      </c>
      <c r="C14" s="3" t="n">
        <v>137795000000</v>
      </c>
      <c r="D14" s="3" t="n">
        <v>173859000000</v>
      </c>
    </row>
    <row r="15">
      <c r="A15" t="inlineStr">
        <is>
          <t>Retained Earnings</t>
        </is>
      </c>
      <c r="B15" s="3" t="n">
        <v>1621450000000</v>
      </c>
      <c r="C15" s="3" t="n">
        <v>1582626000000</v>
      </c>
      <c r="D15" s="3" t="n">
        <v>1585779000000</v>
      </c>
    </row>
    <row r="16">
      <c r="A16" t="inlineStr">
        <is>
          <t>Additional Paid In Capital</t>
        </is>
      </c>
      <c r="B16" s="3" t="n">
        <v>95995000000</v>
      </c>
      <c r="C16" s="3" t="n">
        <v>95995000000</v>
      </c>
      <c r="D16" s="3" t="n">
        <v>95995000000</v>
      </c>
    </row>
    <row r="17">
      <c r="A17" t="inlineStr">
        <is>
          <t>Capital Stock</t>
        </is>
      </c>
      <c r="B17" s="3" t="n">
        <v>69014000000</v>
      </c>
      <c r="C17" s="3" t="n">
        <v>69014000000</v>
      </c>
      <c r="D17" s="3" t="n">
        <v>69014000000</v>
      </c>
    </row>
    <row r="18">
      <c r="A18" t="inlineStr">
        <is>
          <t>Common Stock</t>
        </is>
      </c>
      <c r="B18" s="3" t="n">
        <v>69014000000</v>
      </c>
      <c r="C18" s="3" t="n">
        <v>69014000000</v>
      </c>
      <c r="D18" s="3" t="n">
        <v>69014000000</v>
      </c>
    </row>
    <row r="19">
      <c r="A19" t="inlineStr">
        <is>
          <t>Total Liabilities Net Minority Interest</t>
        </is>
      </c>
      <c r="B19" s="3" t="n">
        <v>207753000000</v>
      </c>
      <c r="C19" s="3" t="n">
        <v>195143000000</v>
      </c>
      <c r="D19" s="3" t="n">
        <v>197141000000</v>
      </c>
    </row>
    <row r="20">
      <c r="A20" t="inlineStr">
        <is>
          <t>Total Non Current Liabilities Net Minority Interest</t>
        </is>
      </c>
      <c r="B20" s="3" t="n">
        <v>28296000000</v>
      </c>
      <c r="C20" s="3" t="n">
        <v>40537000000</v>
      </c>
      <c r="D20" s="3" t="n">
        <v>39555000000</v>
      </c>
    </row>
    <row r="21">
      <c r="A21" t="inlineStr">
        <is>
          <t>Other Non Current Liabilities</t>
        </is>
      </c>
      <c r="B21" s="3" t="n">
        <v>8105000000</v>
      </c>
      <c r="C21" s="3" t="n">
        <v>7895000000</v>
      </c>
      <c r="D21" s="3" t="n">
        <v>8347000000</v>
      </c>
    </row>
    <row r="22">
      <c r="A22" t="inlineStr">
        <is>
          <t>Non Current Pension And Other Postretirement Benefit Plans</t>
        </is>
      </c>
      <c r="B22" s="3" t="n">
        <v>20191000000</v>
      </c>
      <c r="C22" s="3" t="n">
        <v>32642000000</v>
      </c>
      <c r="D22" s="3" t="n">
        <v>31208000000</v>
      </c>
    </row>
    <row r="23">
      <c r="A23" t="inlineStr">
        <is>
          <t>Current Liabilities</t>
        </is>
      </c>
      <c r="B23" s="3" t="n">
        <v>179457000000</v>
      </c>
      <c r="C23" s="3" t="n">
        <v>154606000000</v>
      </c>
      <c r="D23" s="3" t="n">
        <v>157586000000</v>
      </c>
    </row>
    <row r="24">
      <c r="A24" t="inlineStr">
        <is>
          <t>Other Current Liabilities</t>
        </is>
      </c>
      <c r="B24" s="3" t="n">
        <v>98631000000</v>
      </c>
      <c r="C24" s="3" t="n">
        <v>85713000000</v>
      </c>
      <c r="D24" s="3" t="n">
        <v>92042000000</v>
      </c>
    </row>
    <row r="25">
      <c r="A25" t="inlineStr">
        <is>
          <t>Current Provisions</t>
        </is>
      </c>
      <c r="B25" s="3" t="n">
        <v>8870000000</v>
      </c>
      <c r="C25" s="3" t="n">
        <v>8572000000</v>
      </c>
      <c r="D25" s="3" t="n">
        <v>9085000000</v>
      </c>
    </row>
    <row r="26">
      <c r="A26" t="inlineStr">
        <is>
          <t>Payables</t>
        </is>
      </c>
      <c r="B26" s="3" t="n">
        <v>71956000000</v>
      </c>
      <c r="C26" s="3" t="n">
        <v>60321000000</v>
      </c>
      <c r="D26" s="3" t="n">
        <v>56459000000</v>
      </c>
    </row>
    <row r="27">
      <c r="A27" t="inlineStr">
        <is>
          <t>Total Tax Payable</t>
        </is>
      </c>
      <c r="B27" s="3" t="n">
        <v>25694000000</v>
      </c>
      <c r="C27" s="3" t="n">
        <v>21220000000</v>
      </c>
      <c r="D27" s="3" t="n">
        <v>19005000000</v>
      </c>
    </row>
    <row r="28">
      <c r="A28" t="inlineStr">
        <is>
          <t>Accounts Payable</t>
        </is>
      </c>
      <c r="B28" s="3" t="n">
        <v>46262000000</v>
      </c>
      <c r="C28" s="3" t="n">
        <v>39101000000</v>
      </c>
      <c r="D28" s="3" t="n">
        <v>37454000000</v>
      </c>
    </row>
    <row r="29">
      <c r="A29" t="inlineStr">
        <is>
          <t>Total Assets</t>
        </is>
      </c>
      <c r="B29" s="3" t="n">
        <v>2090700000000</v>
      </c>
      <c r="C29" s="3" t="n">
        <v>1981029000000</v>
      </c>
      <c r="D29" s="3" t="n">
        <v>1937031000000</v>
      </c>
    </row>
    <row r="30">
      <c r="A30" t="inlineStr">
        <is>
          <t>Total Non Current Assets</t>
        </is>
      </c>
      <c r="B30" s="3" t="n">
        <v>853674000000</v>
      </c>
      <c r="C30" s="3" t="n">
        <v>837583000000</v>
      </c>
      <c r="D30" s="3" t="n">
        <v>851244000000</v>
      </c>
    </row>
    <row r="31">
      <c r="A31" t="inlineStr">
        <is>
          <t>Other Non Current Assets</t>
        </is>
      </c>
      <c r="B31" s="3" t="n">
        <v>694000000</v>
      </c>
      <c r="C31" s="3" t="n">
        <v>44336000000</v>
      </c>
      <c r="D31" s="3" t="n">
        <v>1202000000</v>
      </c>
    </row>
    <row r="32">
      <c r="A32" t="inlineStr">
        <is>
          <t>Defined Pension Benefit</t>
        </is>
      </c>
      <c r="B32" s="3" t="n">
        <v>1310000000</v>
      </c>
      <c r="C32" s="3" t="n"/>
      <c r="D32" s="3" t="n">
        <v>1220000000</v>
      </c>
    </row>
    <row r="33">
      <c r="A33" t="inlineStr">
        <is>
          <t>Non Current Deferred Taxes Assets</t>
        </is>
      </c>
      <c r="B33" s="3" t="n">
        <v>28425000000</v>
      </c>
      <c r="C33" s="3" t="n"/>
      <c r="D33" s="3" t="n">
        <v>43542000000</v>
      </c>
    </row>
    <row r="34">
      <c r="A34" t="inlineStr">
        <is>
          <t>Investmentin Financial Assets</t>
        </is>
      </c>
      <c r="B34" s="3" t="n">
        <v>223287000000</v>
      </c>
      <c r="C34" s="3" t="n">
        <v>187180000000</v>
      </c>
      <c r="D34" s="3" t="n">
        <v>192214000000</v>
      </c>
    </row>
    <row r="35">
      <c r="A35" t="inlineStr">
        <is>
          <t>Available For Sale Securities</t>
        </is>
      </c>
      <c r="B35" s="3" t="n">
        <v>223287000000</v>
      </c>
      <c r="C35" s="3" t="n">
        <v>187180000000</v>
      </c>
      <c r="D35" s="3" t="n">
        <v>192214000000</v>
      </c>
    </row>
    <row r="36">
      <c r="A36" t="inlineStr">
        <is>
          <t>Goodwill And Other Intangible Assets</t>
        </is>
      </c>
      <c r="B36" s="3" t="n">
        <v>8542000000</v>
      </c>
      <c r="C36" s="3" t="n">
        <v>8676000000</v>
      </c>
      <c r="D36" s="3" t="n">
        <v>8800000000</v>
      </c>
    </row>
    <row r="37">
      <c r="A37" t="inlineStr">
        <is>
          <t>Net PPE</t>
        </is>
      </c>
      <c r="B37" s="3" t="n">
        <v>591416000000</v>
      </c>
      <c r="C37" s="3" t="n">
        <v>597391000000</v>
      </c>
      <c r="D37" s="3" t="n">
        <v>604266000000</v>
      </c>
    </row>
    <row r="38">
      <c r="A38" t="inlineStr">
        <is>
          <t>Gross PPE</t>
        </is>
      </c>
      <c r="B38" s="3" t="n">
        <v>591416000000</v>
      </c>
      <c r="C38" s="3" t="n">
        <v>597391000000</v>
      </c>
      <c r="D38" s="3" t="n">
        <v>604266000000</v>
      </c>
    </row>
    <row r="39">
      <c r="A39" t="inlineStr">
        <is>
          <t>Construction In Progress</t>
        </is>
      </c>
      <c r="B39" s="3" t="n">
        <v>21959000000</v>
      </c>
      <c r="C39" s="3" t="n"/>
      <c r="D39" s="3" t="n">
        <v>47971000000</v>
      </c>
    </row>
    <row r="40">
      <c r="A40" t="inlineStr">
        <is>
          <t>Other Properties</t>
        </is>
      </c>
      <c r="B40" s="3" t="n">
        <v>19408000000</v>
      </c>
      <c r="C40" s="3" t="n">
        <v>103489000000</v>
      </c>
      <c r="D40" s="3" t="n">
        <v>19114000000</v>
      </c>
    </row>
    <row r="41">
      <c r="A41" t="inlineStr">
        <is>
          <t>Machinery Furniture Equipment</t>
        </is>
      </c>
      <c r="B41" s="3" t="n">
        <v>46010000000</v>
      </c>
      <c r="C41" s="3" t="n"/>
      <c r="D41" s="3" t="n">
        <v>48706000000</v>
      </c>
    </row>
    <row r="42">
      <c r="A42" t="inlineStr">
        <is>
          <t>Buildings And Improvements</t>
        </is>
      </c>
      <c r="B42" s="3" t="n">
        <v>338990000000</v>
      </c>
      <c r="C42" s="3" t="n">
        <v>329832000000</v>
      </c>
      <c r="D42" s="3" t="n">
        <v>325311000000</v>
      </c>
    </row>
    <row r="43">
      <c r="A43" t="inlineStr">
        <is>
          <t>Land And Improvements</t>
        </is>
      </c>
      <c r="B43" s="3" t="n">
        <v>165049000000</v>
      </c>
      <c r="C43" s="3" t="n">
        <v>164070000000</v>
      </c>
      <c r="D43" s="3" t="n">
        <v>163164000000</v>
      </c>
    </row>
    <row r="44">
      <c r="A44" t="inlineStr">
        <is>
          <t>Properties</t>
        </is>
      </c>
      <c r="B44" s="3" t="n">
        <v>0</v>
      </c>
      <c r="C44" s="3" t="n">
        <v>0</v>
      </c>
      <c r="D44" s="3" t="n">
        <v>0</v>
      </c>
    </row>
    <row r="45">
      <c r="A45" t="inlineStr">
        <is>
          <t>Current Assets</t>
        </is>
      </c>
      <c r="B45" s="3" t="n">
        <v>1237026000000</v>
      </c>
      <c r="C45" s="3" t="n">
        <v>1143446000000</v>
      </c>
      <c r="D45" s="3" t="n">
        <v>1085787000000</v>
      </c>
    </row>
    <row r="46">
      <c r="A46" t="inlineStr">
        <is>
          <t>Other Current Assets</t>
        </is>
      </c>
      <c r="B46" s="3" t="n">
        <v>20194000000</v>
      </c>
      <c r="C46" s="3" t="n">
        <v>28377000000</v>
      </c>
      <c r="D46" s="3" t="n">
        <v>16407000000</v>
      </c>
    </row>
    <row r="47">
      <c r="A47" t="inlineStr">
        <is>
          <t>Inventory</t>
        </is>
      </c>
      <c r="B47" s="3" t="n">
        <v>292186000000</v>
      </c>
      <c r="C47" s="3" t="n">
        <v>292574000000</v>
      </c>
      <c r="D47" s="3" t="n">
        <v>306439000000</v>
      </c>
    </row>
    <row r="48">
      <c r="A48" t="inlineStr">
        <is>
          <t>Finished Goods</t>
        </is>
      </c>
      <c r="B48" s="3" t="n">
        <v>128770000000</v>
      </c>
      <c r="C48" s="3" t="n">
        <v>120416000000</v>
      </c>
      <c r="D48" s="3" t="n">
        <v>116143000000</v>
      </c>
    </row>
    <row r="49">
      <c r="A49" t="inlineStr">
        <is>
          <t>Work In Process</t>
        </is>
      </c>
      <c r="B49" s="3" t="n">
        <v>78986000000</v>
      </c>
      <c r="C49" s="3" t="n">
        <v>78004000000</v>
      </c>
      <c r="D49" s="3" t="n">
        <v>83219000000</v>
      </c>
    </row>
    <row r="50">
      <c r="A50" t="inlineStr">
        <is>
          <t>Raw Materials</t>
        </is>
      </c>
      <c r="B50" s="3" t="n">
        <v>84430000000</v>
      </c>
      <c r="C50" s="3" t="n">
        <v>94154000000</v>
      </c>
      <c r="D50" s="3" t="n">
        <v>107077000000</v>
      </c>
    </row>
    <row r="51">
      <c r="A51" t="inlineStr">
        <is>
          <t>Accounts Receivable</t>
        </is>
      </c>
      <c r="B51" s="3" t="n">
        <v>170775000000</v>
      </c>
      <c r="C51" s="3" t="n">
        <v>153062000000</v>
      </c>
      <c r="D51" s="3" t="n">
        <v>156437000000</v>
      </c>
    </row>
    <row r="52">
      <c r="A52" t="inlineStr">
        <is>
          <t>Gross Accounts Receivable</t>
        </is>
      </c>
      <c r="B52" s="3" t="n">
        <v>170775000000</v>
      </c>
      <c r="C52" s="3" t="n">
        <v>153062000000</v>
      </c>
      <c r="D52" s="3" t="n">
        <v>156437000000</v>
      </c>
    </row>
    <row r="53">
      <c r="A53" t="inlineStr">
        <is>
          <t>Cash Cash Equivalents And Short Term Investments</t>
        </is>
      </c>
      <c r="B53" s="3" t="n">
        <v>753871000000</v>
      </c>
      <c r="C53" s="3" t="n">
        <v>669433000000</v>
      </c>
      <c r="D53" s="3" t="n">
        <v>606504000000</v>
      </c>
    </row>
    <row r="54">
      <c r="A54" t="inlineStr">
        <is>
          <t>Other Short Term Investments</t>
        </is>
      </c>
      <c r="B54" s="3" t="n">
        <v>35800000000</v>
      </c>
      <c r="C54" s="3" t="n">
        <v>30800000000</v>
      </c>
      <c r="D54" s="3" t="n">
        <v>16000000000</v>
      </c>
    </row>
    <row r="55">
      <c r="A55" t="inlineStr">
        <is>
          <t>Cash And Cash Equivalents</t>
        </is>
      </c>
      <c r="B55" s="3" t="n">
        <v>718071000000</v>
      </c>
      <c r="C55" s="3" t="n">
        <v>638633000000</v>
      </c>
      <c r="D55" s="3" t="n">
        <v>590504000000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</row>
    <row r="2">
      <c r="A2" t="inlineStr">
        <is>
          <t>Free Cash Flow</t>
        </is>
      </c>
      <c r="B2" s="3" t="n">
        <v>229715000000</v>
      </c>
      <c r="C2" s="3" t="n">
        <v>214468000000</v>
      </c>
      <c r="D2" s="3" t="n">
        <v>117880000000</v>
      </c>
      <c r="E2" s="3" t="n">
        <v>52439000000</v>
      </c>
    </row>
    <row r="3">
      <c r="A3" t="inlineStr">
        <is>
          <t>Repurchase Of Capital Stock</t>
        </is>
      </c>
      <c r="B3" s="3" t="n">
        <v>-553000000</v>
      </c>
      <c r="C3" s="3" t="n">
        <v>-49555000000</v>
      </c>
      <c r="D3" s="3" t="n">
        <v>-28391000000</v>
      </c>
      <c r="E3" s="3" t="n">
        <v>-24436000000</v>
      </c>
    </row>
    <row r="4">
      <c r="A4" t="inlineStr">
        <is>
          <t>Capital Expenditure</t>
        </is>
      </c>
      <c r="B4" s="3" t="n">
        <v>-21181000000</v>
      </c>
      <c r="C4" s="3" t="n">
        <v>-40805000000</v>
      </c>
      <c r="D4" s="3" t="n">
        <v>-53884000000</v>
      </c>
      <c r="E4" s="3" t="n">
        <v>-47066000000</v>
      </c>
    </row>
    <row r="5">
      <c r="A5" t="inlineStr">
        <is>
          <t>End Cash Position</t>
        </is>
      </c>
      <c r="B5" s="3" t="n">
        <v>615075000000</v>
      </c>
      <c r="C5" s="3" t="n">
        <v>502091000000</v>
      </c>
      <c r="D5" s="3" t="n">
        <v>526881000000</v>
      </c>
      <c r="E5" s="3" t="n">
        <v>476953000000</v>
      </c>
    </row>
    <row r="6">
      <c r="A6" t="inlineStr">
        <is>
          <t>Beginning Cash Position</t>
        </is>
      </c>
      <c r="B6" s="3" t="n">
        <v>502091000000</v>
      </c>
      <c r="C6" s="3" t="n">
        <v>526881000000</v>
      </c>
      <c r="D6" s="3" t="n">
        <v>476953000000</v>
      </c>
      <c r="E6" s="3" t="n">
        <v>574655000000</v>
      </c>
    </row>
    <row r="7">
      <c r="A7" t="inlineStr">
        <is>
          <t>Effect Of Exchange Rate Changes</t>
        </is>
      </c>
      <c r="B7" s="3" t="n">
        <v>17123000000</v>
      </c>
      <c r="C7" s="3" t="n">
        <v>-9361000000</v>
      </c>
      <c r="D7" s="3" t="n">
        <v>14241000000</v>
      </c>
      <c r="E7" s="3" t="n">
        <v>8715000000</v>
      </c>
    </row>
    <row r="8">
      <c r="A8" t="inlineStr">
        <is>
          <t>Changes In Cash</t>
        </is>
      </c>
      <c r="B8" s="3" t="n">
        <v>95861000000</v>
      </c>
      <c r="C8" s="3" t="n">
        <v>-15429000000</v>
      </c>
      <c r="D8" s="3" t="n">
        <v>35687000000</v>
      </c>
      <c r="E8" s="3" t="n">
        <v>-106417000000</v>
      </c>
    </row>
    <row r="9">
      <c r="A9" t="inlineStr">
        <is>
          <t>Financing Cash Flow</t>
        </is>
      </c>
      <c r="B9" s="3" t="n">
        <v>-98598000000</v>
      </c>
      <c r="C9" s="3" t="n">
        <v>-136618000000</v>
      </c>
      <c r="D9" s="3" t="n">
        <v>-122514000000</v>
      </c>
      <c r="E9" s="3" t="n">
        <v>-127924000000</v>
      </c>
    </row>
    <row r="10">
      <c r="A10" t="inlineStr">
        <is>
          <t>Net Other Financing Charges</t>
        </is>
      </c>
      <c r="B10" s="3" t="n">
        <v>-3586000000</v>
      </c>
      <c r="C10" s="3" t="n">
        <v>-3930000000</v>
      </c>
      <c r="D10" s="3" t="n">
        <v>-4027000000</v>
      </c>
      <c r="E10" s="3" t="n">
        <v>-7003000000</v>
      </c>
    </row>
    <row r="11">
      <c r="A11" t="inlineStr">
        <is>
          <t>Cash Dividends Paid</t>
        </is>
      </c>
      <c r="B11" s="3" t="n">
        <v>-94459000000</v>
      </c>
      <c r="C11" s="3" t="n">
        <v>-83133000000</v>
      </c>
      <c r="D11" s="3" t="n">
        <v>-90096000000</v>
      </c>
      <c r="E11" s="3" t="n">
        <v>-96485000000</v>
      </c>
    </row>
    <row r="12">
      <c r="A12" t="inlineStr">
        <is>
          <t>Net Common Stock Issuance</t>
        </is>
      </c>
      <c r="B12" s="3" t="n">
        <v>-553000000</v>
      </c>
      <c r="C12" s="3" t="n">
        <v>-49555000000</v>
      </c>
      <c r="D12" s="3" t="n">
        <v>-28391000000</v>
      </c>
      <c r="E12" s="3" t="n">
        <v>-24436000000</v>
      </c>
    </row>
    <row r="13">
      <c r="A13" t="inlineStr">
        <is>
          <t>Common Stock Payments</t>
        </is>
      </c>
      <c r="B13" s="3" t="n">
        <v>-553000000</v>
      </c>
      <c r="C13" s="3" t="n">
        <v>-49555000000</v>
      </c>
      <c r="D13" s="3" t="n">
        <v>-28391000000</v>
      </c>
      <c r="E13" s="3" t="n">
        <v>-24436000000</v>
      </c>
    </row>
    <row r="14">
      <c r="A14" t="inlineStr">
        <is>
          <t>Investing Cash Flow</t>
        </is>
      </c>
      <c r="B14" s="3" t="n">
        <v>-56437000000</v>
      </c>
      <c r="C14" s="3" t="n">
        <v>-134084000000</v>
      </c>
      <c r="D14" s="3" t="n">
        <v>-13563000000</v>
      </c>
      <c r="E14" s="3" t="n">
        <v>-77998000000</v>
      </c>
    </row>
    <row r="15">
      <c r="A15" t="inlineStr">
        <is>
          <t>Net Other Investing Changes</t>
        </is>
      </c>
      <c r="B15" s="3" t="n">
        <v>-693000000</v>
      </c>
      <c r="C15" s="3" t="n">
        <v>-805000000</v>
      </c>
      <c r="D15" s="3" t="n">
        <v>-389000000</v>
      </c>
      <c r="E15" s="3" t="n">
        <v>-5415000000</v>
      </c>
    </row>
    <row r="16">
      <c r="A16" t="inlineStr">
        <is>
          <t>Net Investment Purchase And Sale</t>
        </is>
      </c>
      <c r="B16" s="3" t="n">
        <v>-34563000000</v>
      </c>
      <c r="C16" s="3" t="n">
        <v>-92474000000</v>
      </c>
      <c r="D16" s="3" t="n">
        <v>40710000000</v>
      </c>
      <c r="E16" s="3" t="n">
        <v>-25517000000</v>
      </c>
    </row>
    <row r="17">
      <c r="A17" t="inlineStr">
        <is>
          <t>Sale Of Investment</t>
        </is>
      </c>
      <c r="B17" s="3" t="n">
        <v>286914000000</v>
      </c>
      <c r="C17" s="3" t="n">
        <v>27526000000</v>
      </c>
      <c r="D17" s="3" t="n">
        <v>50000000000</v>
      </c>
      <c r="E17" s="3" t="n">
        <v>44483000000</v>
      </c>
    </row>
    <row r="18">
      <c r="A18" t="inlineStr">
        <is>
          <t>Purchase Of Investment</t>
        </is>
      </c>
      <c r="B18" s="3" t="n">
        <v>-321477000000</v>
      </c>
      <c r="C18" s="3" t="n">
        <v>-120000000000</v>
      </c>
      <c r="D18" s="3" t="n">
        <v>-9290000000</v>
      </c>
      <c r="E18" s="3" t="n">
        <v>-70000000000</v>
      </c>
    </row>
    <row r="19">
      <c r="A19" t="inlineStr">
        <is>
          <t>Net PPE Purchase And Sale</t>
        </is>
      </c>
      <c r="B19" s="3" t="n">
        <v>-21181000000</v>
      </c>
      <c r="C19" s="3" t="n">
        <v>-40805000000</v>
      </c>
      <c r="D19" s="3" t="n">
        <v>-53884000000</v>
      </c>
      <c r="E19" s="3" t="n">
        <v>-47066000000</v>
      </c>
    </row>
    <row r="20">
      <c r="A20" t="inlineStr">
        <is>
          <t>Purchase Of PPE</t>
        </is>
      </c>
      <c r="B20" s="3" t="n">
        <v>-21181000000</v>
      </c>
      <c r="C20" s="3" t="n">
        <v>-40805000000</v>
      </c>
      <c r="D20" s="3" t="n">
        <v>-53884000000</v>
      </c>
      <c r="E20" s="3" t="n">
        <v>-47066000000</v>
      </c>
    </row>
    <row r="21">
      <c r="A21" t="inlineStr">
        <is>
          <t>Operating Cash Flow</t>
        </is>
      </c>
      <c r="B21" s="3" t="n">
        <v>250896000000</v>
      </c>
      <c r="C21" s="3" t="n">
        <v>255273000000</v>
      </c>
      <c r="D21" s="3" t="n">
        <v>171764000000</v>
      </c>
      <c r="E21" s="3" t="n">
        <v>99505000000</v>
      </c>
    </row>
    <row r="22">
      <c r="A22" t="inlineStr">
        <is>
          <t>Taxes Refund Paid</t>
        </is>
      </c>
      <c r="B22" s="3" t="n">
        <v>-46095000000</v>
      </c>
      <c r="C22" s="3" t="n">
        <v>-32363000000</v>
      </c>
      <c r="D22" s="3" t="n">
        <v>-71503000000</v>
      </c>
      <c r="E22" s="3" t="n">
        <v>-78480000000</v>
      </c>
    </row>
    <row r="23">
      <c r="A23" t="inlineStr">
        <is>
          <t>Interest Received Cfo</t>
        </is>
      </c>
      <c r="B23" s="3" t="n">
        <v>34318000000</v>
      </c>
      <c r="C23" s="3" t="n">
        <v>33198000000</v>
      </c>
      <c r="D23" s="3" t="n">
        <v>25227000000</v>
      </c>
      <c r="E23" s="3" t="n">
        <v>17546000000</v>
      </c>
    </row>
    <row r="24">
      <c r="A24" t="inlineStr">
        <is>
          <t>Change In Working Capital</t>
        </is>
      </c>
      <c r="B24" s="3" t="n">
        <v>21523000000</v>
      </c>
      <c r="C24" s="3" t="n">
        <v>33303000000</v>
      </c>
      <c r="D24" s="3" t="n">
        <v>8811000000</v>
      </c>
      <c r="E24" s="3" t="n">
        <v>-83349000000</v>
      </c>
    </row>
    <row r="25">
      <c r="A25" t="inlineStr">
        <is>
          <t>Change In Other Current Assets</t>
        </is>
      </c>
      <c r="B25" s="3" t="n">
        <v>652000000</v>
      </c>
      <c r="C25" s="3" t="n">
        <v>544000000</v>
      </c>
      <c r="D25" s="3" t="n">
        <v>4175000000</v>
      </c>
      <c r="E25" s="3" t="n">
        <v>3105000000</v>
      </c>
    </row>
    <row r="26">
      <c r="A26" t="inlineStr">
        <is>
          <t>Change In Payable</t>
        </is>
      </c>
      <c r="B26" s="3" t="n">
        <v>5468000000</v>
      </c>
      <c r="C26" s="3" t="n">
        <v>-4480000000</v>
      </c>
      <c r="D26" s="3" t="n">
        <v>-18812000000</v>
      </c>
      <c r="E26" s="3" t="n">
        <v>4632000000</v>
      </c>
    </row>
    <row r="27">
      <c r="A27" t="inlineStr">
        <is>
          <t>Change In Inventory</t>
        </is>
      </c>
      <c r="B27" s="3" t="n">
        <v>27869000000</v>
      </c>
      <c r="C27" s="3" t="n">
        <v>52489000000</v>
      </c>
      <c r="D27" s="3" t="n">
        <v>12556000000</v>
      </c>
      <c r="E27" s="3" t="n">
        <v>-91119000000</v>
      </c>
    </row>
    <row r="28">
      <c r="A28" t="inlineStr">
        <is>
          <t>Change In Receivables</t>
        </is>
      </c>
      <c r="B28" s="3" t="n">
        <v>-658000000</v>
      </c>
      <c r="C28" s="3" t="n">
        <v>-4613000000</v>
      </c>
      <c r="D28" s="3" t="n">
        <v>24798000000</v>
      </c>
      <c r="E28" s="3" t="n">
        <v>-3375000000</v>
      </c>
    </row>
    <row r="29">
      <c r="A29" t="inlineStr">
        <is>
          <t>Other Non Cash Items</t>
        </is>
      </c>
      <c r="B29" s="3" t="n">
        <v>-7017000000</v>
      </c>
      <c r="C29" s="3" t="n">
        <v>4387000000</v>
      </c>
      <c r="D29" s="3" t="n">
        <v>3939000000</v>
      </c>
      <c r="E29" s="3" t="n">
        <v>-4734000000</v>
      </c>
    </row>
    <row r="30">
      <c r="A30" t="inlineStr">
        <is>
          <t>Depreciation And Amortization</t>
        </is>
      </c>
      <c r="B30" s="3" t="n">
        <v>47782000000</v>
      </c>
      <c r="C30" s="3" t="n">
        <v>46448000000</v>
      </c>
      <c r="D30" s="3" t="n">
        <v>49001000000</v>
      </c>
      <c r="E30" s="3" t="n">
        <v>49189000000</v>
      </c>
    </row>
    <row r="31">
      <c r="A31" t="inlineStr">
        <is>
          <t>Depreciation</t>
        </is>
      </c>
      <c r="B31" s="3" t="n">
        <v>47782000000</v>
      </c>
      <c r="C31" s="3" t="n">
        <v>46448000000</v>
      </c>
      <c r="D31" s="3" t="n">
        <v>49001000000</v>
      </c>
      <c r="E31" s="3" t="n">
        <v>49189000000</v>
      </c>
    </row>
    <row r="32">
      <c r="A32" t="inlineStr">
        <is>
          <t>Net Income From Continuing Operations</t>
        </is>
      </c>
      <c r="B32" s="3" t="n">
        <v>227485000000</v>
      </c>
      <c r="C32" s="3" t="n">
        <v>196738000000</v>
      </c>
      <c r="D32" s="3" t="n">
        <v>181755000000</v>
      </c>
      <c r="E32" s="3" t="n">
        <v>230103000000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FCF (TTM, $)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TTM uses only 1 quarters (&lt;4 available)</t>
        </is>
      </c>
    </row>
    <row r="4">
      <c r="A4" t="inlineStr">
        <is>
          <t>FY Summary</t>
        </is>
      </c>
      <c r="B4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2026-08-02T23:43:24Z</dcterms:created>
  <dcterms:modified xsi:type="dcterms:W3CDTF">2026-08-02T23:43:25Z</dcterms:modified>
</cp:coreProperties>
</file>