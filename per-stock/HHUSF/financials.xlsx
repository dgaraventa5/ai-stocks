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HHUSF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Hua Hong Grace Semiconductor Limited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Semiconductors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37719195648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46514614272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648.3334</v>
      </c>
      <c r="C8" t="inlineStr">
        <is>
          <t>yfinance info.trailingPE</t>
        </is>
      </c>
    </row>
    <row r="9">
      <c r="A9" t="inlineStr">
        <is>
          <t>Forward P/E</t>
        </is>
      </c>
      <c r="B9" t="inlineStr">
        <is>
          <t>(missing — see Data flags)</t>
        </is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14.955756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0.12648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-0.029590001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0.028570002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-0.008359999999999999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0.222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4867872768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4519343104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-1902745216</v>
      </c>
      <c r="C18" t="inlineStr">
        <is>
          <t>yfinance info.freeCashflow (FALLBACK levered estimate — statement TTM unavailable)</t>
        </is>
      </c>
    </row>
    <row r="19">
      <c r="A19" t="inlineStr">
        <is>
          <t>Shares outstanding</t>
        </is>
      </c>
      <c r="B19" t="n">
        <v>1329864193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19.45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(annual)'!D44</f>
        <v/>
      </c>
      <c r="C3" s="3">
        <f>'Income stmt (annual)'!C44</f>
        <v/>
      </c>
      <c r="D3" s="3">
        <f>'Income stmt (annual)'!B44</f>
        <v/>
      </c>
      <c r="E3" s="3" t="inlineStr"/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(annual)'!D42</f>
        <v/>
      </c>
      <c r="C4" s="3">
        <f>'Income stmt (annual)'!C42</f>
        <v/>
      </c>
      <c r="D4" s="3">
        <f>'Income stmt (annual)'!B42</f>
        <v/>
      </c>
      <c r="E4" s="3" t="inlineStr"/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(annual)'!D37</f>
        <v/>
      </c>
      <c r="C6" s="3">
        <f>'Income stmt (annual)'!C37</f>
        <v/>
      </c>
      <c r="D6" s="3">
        <f>'Income stmt (annual)'!B37</f>
        <v/>
      </c>
      <c r="E6" s="3" t="inlineStr"/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 t="inlineStr"/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 t="inlineStr"/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 t="inlineStr"/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217250</v>
      </c>
      <c r="C2" s="3" t="n">
        <v>-48000</v>
      </c>
      <c r="D2" s="3" t="n">
        <v>-55961.400861</v>
      </c>
      <c r="E2" s="3" t="n">
        <v>902.0803519999999</v>
      </c>
    </row>
    <row r="3">
      <c r="A3" t="inlineStr">
        <is>
          <t>Tax Rate For Calcs</t>
        </is>
      </c>
      <c r="B3" s="3" t="n">
        <v>0.25</v>
      </c>
      <c r="C3" s="3" t="n">
        <v>0.25</v>
      </c>
      <c r="D3" s="3" t="n">
        <v>0.271657</v>
      </c>
      <c r="E3" s="3" t="n">
        <v>0.180416</v>
      </c>
    </row>
    <row r="4">
      <c r="A4" t="inlineStr">
        <is>
          <t>Normalized EBITDA</t>
        </is>
      </c>
      <c r="B4" s="3" t="n">
        <v>732712000</v>
      </c>
      <c r="C4" s="3" t="n">
        <v>524804000</v>
      </c>
      <c r="D4" s="3" t="n">
        <v>774721000</v>
      </c>
      <c r="E4" s="3" t="n">
        <v>993256000</v>
      </c>
    </row>
    <row r="5">
      <c r="A5" t="inlineStr">
        <is>
          <t>Total Unusual Items</t>
        </is>
      </c>
      <c r="B5" s="3" t="n">
        <v>869000</v>
      </c>
      <c r="C5" s="3" t="n">
        <v>-192000</v>
      </c>
      <c r="D5" s="3" t="n">
        <v>-206000</v>
      </c>
      <c r="E5" s="3" t="n">
        <v>5000</v>
      </c>
    </row>
    <row r="6">
      <c r="A6" t="inlineStr">
        <is>
          <t>Total Unusual Items Excluding Goodwill</t>
        </is>
      </c>
      <c r="B6" s="3" t="n">
        <v>869000</v>
      </c>
      <c r="C6" s="3" t="n">
        <v>-192000</v>
      </c>
      <c r="D6" s="3" t="n">
        <v>-206000</v>
      </c>
      <c r="E6" s="3" t="n">
        <v>5000</v>
      </c>
    </row>
    <row r="7">
      <c r="A7" t="inlineStr">
        <is>
          <t>Net Income From Continuing Operation Net Minority Interest</t>
        </is>
      </c>
      <c r="B7" s="3" t="n">
        <v>54881000</v>
      </c>
      <c r="C7" s="3" t="n">
        <v>58108000</v>
      </c>
      <c r="D7" s="3" t="n">
        <v>280034000</v>
      </c>
      <c r="E7" s="3" t="n">
        <v>449912000</v>
      </c>
    </row>
    <row r="8">
      <c r="A8" t="inlineStr">
        <is>
          <t>Reconciled Depreciation</t>
        </is>
      </c>
      <c r="B8" s="3" t="n">
        <v>741772000</v>
      </c>
      <c r="C8" s="3" t="n">
        <v>555832000</v>
      </c>
      <c r="D8" s="3" t="n">
        <v>500439000</v>
      </c>
      <c r="E8" s="3" t="n">
        <v>456860000</v>
      </c>
    </row>
    <row r="9">
      <c r="A9" t="inlineStr">
        <is>
          <t>Reconciled Cost Of Revenue</t>
        </is>
      </c>
      <c r="B9" s="3" t="n">
        <v>2119138000</v>
      </c>
      <c r="C9" s="3" t="n">
        <v>1798865000</v>
      </c>
      <c r="D9" s="3" t="n">
        <v>1799017000</v>
      </c>
      <c r="E9" s="3" t="n">
        <v>1631832000</v>
      </c>
    </row>
    <row r="10">
      <c r="A10" t="inlineStr">
        <is>
          <t>EBITDA</t>
        </is>
      </c>
      <c r="B10" s="3" t="n">
        <v>733581000</v>
      </c>
      <c r="C10" s="3" t="n">
        <v>524612000</v>
      </c>
      <c r="D10" s="3" t="n">
        <v>774515000</v>
      </c>
      <c r="E10" s="3" t="n">
        <v>993261000</v>
      </c>
    </row>
    <row r="11">
      <c r="A11" t="inlineStr">
        <is>
          <t>EBIT</t>
        </is>
      </c>
      <c r="B11" s="3" t="n">
        <v>-8191000</v>
      </c>
      <c r="C11" s="3" t="n">
        <v>-31220000</v>
      </c>
      <c r="D11" s="3" t="n">
        <v>274076000</v>
      </c>
      <c r="E11" s="3" t="n">
        <v>536401000</v>
      </c>
    </row>
    <row r="12">
      <c r="A12" t="inlineStr">
        <is>
          <t>Net Interest Income</t>
        </is>
      </c>
      <c r="B12" s="3" t="n">
        <v>-20436000</v>
      </c>
      <c r="C12" s="3" t="n">
        <v>-605000</v>
      </c>
      <c r="D12" s="3" t="n">
        <v>-39152000</v>
      </c>
      <c r="E12" s="3" t="n">
        <v>-13387000</v>
      </c>
    </row>
    <row r="13">
      <c r="A13" t="inlineStr">
        <is>
          <t>Interest Expense</t>
        </is>
      </c>
      <c r="B13" s="3" t="n">
        <v>80338000</v>
      </c>
      <c r="C13" s="3" t="n">
        <v>102572000</v>
      </c>
      <c r="D13" s="3" t="n">
        <v>100497000</v>
      </c>
      <c r="E13" s="3" t="n">
        <v>40331000</v>
      </c>
    </row>
    <row r="14">
      <c r="A14" t="inlineStr">
        <is>
          <t>Interest Income</t>
        </is>
      </c>
      <c r="B14" s="3" t="n">
        <v>59902000</v>
      </c>
      <c r="C14" s="3" t="n">
        <v>101967000</v>
      </c>
      <c r="D14" s="3" t="n">
        <v>61345000</v>
      </c>
      <c r="E14" s="3" t="n">
        <v>26944000</v>
      </c>
    </row>
    <row r="15">
      <c r="A15" t="inlineStr">
        <is>
          <t>Normalized Income</t>
        </is>
      </c>
      <c r="B15" s="3" t="n">
        <v>54229250</v>
      </c>
      <c r="C15" s="3" t="n">
        <v>58252000</v>
      </c>
      <c r="D15" s="3" t="n">
        <v>280184038.599139</v>
      </c>
      <c r="E15" s="3" t="n">
        <v>449907902.080352</v>
      </c>
    </row>
    <row r="16">
      <c r="A16" t="inlineStr">
        <is>
          <t>Net Income From Continuing And Discontinued Operation</t>
        </is>
      </c>
      <c r="B16" s="3" t="n">
        <v>54881000</v>
      </c>
      <c r="C16" s="3" t="n">
        <v>58108000</v>
      </c>
      <c r="D16" s="3" t="n">
        <v>280034000</v>
      </c>
      <c r="E16" s="3" t="n">
        <v>449912000</v>
      </c>
    </row>
    <row r="17">
      <c r="A17" t="inlineStr">
        <is>
          <t>Total Expenses</t>
        </is>
      </c>
      <c r="B17" s="3" t="n">
        <v>2482507000</v>
      </c>
      <c r="C17" s="3" t="n">
        <v>2122496000</v>
      </c>
      <c r="D17" s="3" t="n">
        <v>2065608000</v>
      </c>
      <c r="E17" s="3" t="n">
        <v>1881807000</v>
      </c>
    </row>
    <row r="18">
      <c r="A18" t="inlineStr">
        <is>
          <t>Diluted Average Shares</t>
        </is>
      </c>
      <c r="B18" s="3" t="n">
        <v>1737614193</v>
      </c>
      <c r="C18" s="3" t="n">
        <v>1721085846</v>
      </c>
      <c r="D18" s="3" t="n">
        <v>1486531954</v>
      </c>
      <c r="E18" s="3" t="n">
        <v>1313945277</v>
      </c>
    </row>
    <row r="19">
      <c r="A19" t="inlineStr">
        <is>
          <t>Basic Average Shares</t>
        </is>
      </c>
      <c r="B19" s="3" t="n">
        <v>1737614193</v>
      </c>
      <c r="C19" s="3" t="n">
        <v>1717346778</v>
      </c>
      <c r="D19" s="3" t="n">
        <v>1477978482</v>
      </c>
      <c r="E19" s="3" t="n">
        <v>1303399389</v>
      </c>
    </row>
    <row r="20">
      <c r="A20" t="inlineStr">
        <is>
          <t>Diluted EPS</t>
        </is>
      </c>
      <c r="B20" s="3" t="n">
        <v>-0.032</v>
      </c>
      <c r="C20" s="3" t="n">
        <v>0.034</v>
      </c>
      <c r="D20" s="3" t="n">
        <v>0.188</v>
      </c>
      <c r="E20" s="3" t="n">
        <v>0.342</v>
      </c>
    </row>
    <row r="21">
      <c r="A21" t="inlineStr">
        <is>
          <t>Basic EPS</t>
        </is>
      </c>
      <c r="B21" s="3" t="n">
        <v>-0.032</v>
      </c>
      <c r="C21" s="3" t="n">
        <v>0.034</v>
      </c>
      <c r="D21" s="3" t="n">
        <v>0.189</v>
      </c>
      <c r="E21" s="3" t="n">
        <v>0.345</v>
      </c>
    </row>
    <row r="22">
      <c r="A22" t="inlineStr">
        <is>
          <t>Diluted NI Availto Com Stockholders</t>
        </is>
      </c>
      <c r="B22" s="3" t="n">
        <v>54881000</v>
      </c>
      <c r="C22" s="3" t="n">
        <v>58108000</v>
      </c>
      <c r="D22" s="3" t="n">
        <v>280034000</v>
      </c>
      <c r="E22" s="3" t="n">
        <v>449912000</v>
      </c>
    </row>
    <row r="23">
      <c r="A23" t="inlineStr">
        <is>
          <t>Net Income Common Stockholders</t>
        </is>
      </c>
      <c r="B23" s="3" t="n">
        <v>54881000</v>
      </c>
      <c r="C23" s="3" t="n">
        <v>58108000</v>
      </c>
      <c r="D23" s="3" t="n">
        <v>280034000</v>
      </c>
      <c r="E23" s="3" t="n">
        <v>449912000</v>
      </c>
    </row>
    <row r="24">
      <c r="A24" t="inlineStr">
        <is>
          <t>Otherunder Preferred Stock Dividend</t>
        </is>
      </c>
      <c r="B24" s="3" t="n">
        <v>0</v>
      </c>
      <c r="C24" s="3" t="n">
        <v>0</v>
      </c>
      <c r="D24" s="3" t="n">
        <v>0</v>
      </c>
      <c r="E24" s="3" t="n">
        <v>0</v>
      </c>
    </row>
    <row r="25">
      <c r="A25" t="inlineStr">
        <is>
          <t>Net Income</t>
        </is>
      </c>
      <c r="B25" s="3" t="n">
        <v>54881000</v>
      </c>
      <c r="C25" s="3" t="n">
        <v>58108000</v>
      </c>
      <c r="D25" s="3" t="n">
        <v>280034000</v>
      </c>
      <c r="E25" s="3" t="n">
        <v>449912000</v>
      </c>
    </row>
    <row r="26">
      <c r="A26" t="inlineStr">
        <is>
          <t>Minority Interests</t>
        </is>
      </c>
      <c r="B26" s="3" t="n">
        <v>165694000</v>
      </c>
      <c r="C26" s="3" t="n">
        <v>198493000</v>
      </c>
      <c r="D26" s="3" t="n">
        <v>153609000</v>
      </c>
      <c r="E26" s="3" t="n">
        <v>43341000</v>
      </c>
    </row>
    <row r="27">
      <c r="A27" t="inlineStr">
        <is>
          <t>Net Income Including Noncontrolling Interests</t>
        </is>
      </c>
      <c r="B27" s="3" t="n">
        <v>-110813000</v>
      </c>
      <c r="C27" s="3" t="n">
        <v>-140385000</v>
      </c>
      <c r="D27" s="3" t="n">
        <v>126425000</v>
      </c>
      <c r="E27" s="3" t="n">
        <v>406571000</v>
      </c>
    </row>
    <row r="28">
      <c r="A28" t="inlineStr">
        <is>
          <t>Net Income Continuous Operations</t>
        </is>
      </c>
      <c r="B28" s="3" t="n">
        <v>-110813000</v>
      </c>
      <c r="C28" s="3" t="n">
        <v>-140385000</v>
      </c>
      <c r="D28" s="3" t="n">
        <v>126425000</v>
      </c>
      <c r="E28" s="3" t="n">
        <v>406571000</v>
      </c>
    </row>
    <row r="29">
      <c r="A29" t="inlineStr">
        <is>
          <t>Tax Provision</t>
        </is>
      </c>
      <c r="B29" s="3" t="n">
        <v>22284000</v>
      </c>
      <c r="C29" s="3" t="n">
        <v>6593000</v>
      </c>
      <c r="D29" s="3" t="n">
        <v>47154000</v>
      </c>
      <c r="E29" s="3" t="n">
        <v>89499000</v>
      </c>
    </row>
    <row r="30">
      <c r="A30" t="inlineStr">
        <is>
          <t>Pretax Income</t>
        </is>
      </c>
      <c r="B30" s="3" t="n">
        <v>-88529000</v>
      </c>
      <c r="C30" s="3" t="n">
        <v>-133792000</v>
      </c>
      <c r="D30" s="3" t="n">
        <v>173579000</v>
      </c>
      <c r="E30" s="3" t="n">
        <v>496070000</v>
      </c>
    </row>
    <row r="31">
      <c r="A31" t="inlineStr">
        <is>
          <t>Other Non Operating Income Expenses</t>
        </is>
      </c>
      <c r="B31" s="3" t="n">
        <v>16481000</v>
      </c>
      <c r="C31" s="3" t="n">
        <v>15252000</v>
      </c>
      <c r="D31" s="3" t="n">
        <v>16154000</v>
      </c>
      <c r="E31" s="3" t="n">
        <v>10326000</v>
      </c>
    </row>
    <row r="32">
      <c r="A32" t="inlineStr">
        <is>
          <t>Special Income Charges</t>
        </is>
      </c>
      <c r="B32" s="3" t="n">
        <v>869000</v>
      </c>
      <c r="C32" s="3" t="n">
        <v>-192000</v>
      </c>
      <c r="D32" s="3" t="n">
        <v>-206000</v>
      </c>
      <c r="E32" s="3" t="n">
        <v>5000</v>
      </c>
    </row>
    <row r="33">
      <c r="A33" t="inlineStr">
        <is>
          <t>Other Special Charges</t>
        </is>
      </c>
      <c r="B33" s="3" t="n">
        <v>-869000</v>
      </c>
      <c r="C33" s="3" t="n">
        <v>192000</v>
      </c>
      <c r="D33" s="3" t="n">
        <v>206000</v>
      </c>
      <c r="E33" s="3" t="n">
        <v>-5000</v>
      </c>
    </row>
    <row r="34">
      <c r="A34" t="inlineStr">
        <is>
          <t>Net Non Operating Interest Income Expense</t>
        </is>
      </c>
      <c r="B34" s="3" t="n">
        <v>-20436000</v>
      </c>
      <c r="C34" s="3" t="n">
        <v>-605000</v>
      </c>
      <c r="D34" s="3" t="n">
        <v>-39152000</v>
      </c>
      <c r="E34" s="3" t="n">
        <v>-13387000</v>
      </c>
    </row>
    <row r="35">
      <c r="A35" t="inlineStr">
        <is>
          <t>Interest Expense Non Operating</t>
        </is>
      </c>
      <c r="B35" s="3" t="n">
        <v>80338000</v>
      </c>
      <c r="C35" s="3" t="n">
        <v>102572000</v>
      </c>
      <c r="D35" s="3" t="n">
        <v>100497000</v>
      </c>
      <c r="E35" s="3" t="n">
        <v>40331000</v>
      </c>
    </row>
    <row r="36">
      <c r="A36" t="inlineStr">
        <is>
          <t>Interest Income Non Operating</t>
        </is>
      </c>
      <c r="B36" s="3" t="n">
        <v>59902000</v>
      </c>
      <c r="C36" s="3" t="n">
        <v>101967000</v>
      </c>
      <c r="D36" s="3" t="n">
        <v>61345000</v>
      </c>
      <c r="E36" s="3" t="n">
        <v>26944000</v>
      </c>
    </row>
    <row r="37">
      <c r="A37" t="inlineStr">
        <is>
          <t>Operating Income</t>
        </is>
      </c>
      <c r="B37" s="3" t="n">
        <v>-80443000</v>
      </c>
      <c r="C37" s="3" t="n">
        <v>-118503000</v>
      </c>
      <c r="D37" s="3" t="n">
        <v>220505000</v>
      </c>
      <c r="E37" s="3" t="n">
        <v>593681000</v>
      </c>
    </row>
    <row r="38">
      <c r="A38" t="inlineStr">
        <is>
          <t>Operating Expense</t>
        </is>
      </c>
      <c r="B38" s="3" t="n">
        <v>363369000</v>
      </c>
      <c r="C38" s="3" t="n">
        <v>323631000</v>
      </c>
      <c r="D38" s="3" t="n">
        <v>266591000</v>
      </c>
      <c r="E38" s="3" t="n">
        <v>249975000</v>
      </c>
    </row>
    <row r="39">
      <c r="A39" t="inlineStr">
        <is>
          <t>Selling General And Administration</t>
        </is>
      </c>
      <c r="B39" s="3" t="n">
        <v>425625000</v>
      </c>
      <c r="C39" s="3" t="n">
        <v>360904000</v>
      </c>
      <c r="D39" s="3" t="n">
        <v>333057000</v>
      </c>
      <c r="E39" s="3" t="n">
        <v>279130000</v>
      </c>
    </row>
    <row r="40">
      <c r="A40" t="inlineStr">
        <is>
          <t>Selling And Marketing Expense</t>
        </is>
      </c>
      <c r="B40" s="3" t="n">
        <v>10967000</v>
      </c>
      <c r="C40" s="3" t="n">
        <v>9628000</v>
      </c>
      <c r="D40" s="3" t="n">
        <v>10189000</v>
      </c>
      <c r="E40" s="3" t="n">
        <v>12464000</v>
      </c>
    </row>
    <row r="41">
      <c r="A41" t="inlineStr">
        <is>
          <t>General And Administrative Expense</t>
        </is>
      </c>
      <c r="B41" s="3" t="n">
        <v>414658000</v>
      </c>
      <c r="C41" s="3" t="n">
        <v>351276000</v>
      </c>
      <c r="D41" s="3" t="n">
        <v>322868000</v>
      </c>
      <c r="E41" s="3" t="n">
        <v>266666000</v>
      </c>
    </row>
    <row r="42">
      <c r="A42" t="inlineStr">
        <is>
          <t>Gross Profit</t>
        </is>
      </c>
      <c r="B42" s="3" t="n">
        <v>282926000</v>
      </c>
      <c r="C42" s="3" t="n">
        <v>205128000</v>
      </c>
      <c r="D42" s="3" t="n">
        <v>487096000</v>
      </c>
      <c r="E42" s="3" t="n">
        <v>843656000</v>
      </c>
    </row>
    <row r="43">
      <c r="A43" t="inlineStr">
        <is>
          <t>Cost Of Revenue</t>
        </is>
      </c>
      <c r="B43" s="3" t="n">
        <v>2119138000</v>
      </c>
      <c r="C43" s="3" t="n">
        <v>1798865000</v>
      </c>
      <c r="D43" s="3" t="n">
        <v>1799017000</v>
      </c>
      <c r="E43" s="3" t="n">
        <v>1631832000</v>
      </c>
    </row>
    <row r="44">
      <c r="A44" t="inlineStr">
        <is>
          <t>Total Revenue</t>
        </is>
      </c>
      <c r="B44" s="3" t="n">
        <v>2402064000</v>
      </c>
      <c r="C44" s="3" t="n">
        <v>2003993000</v>
      </c>
      <c r="D44" s="3" t="n">
        <v>2286113000</v>
      </c>
      <c r="E44" s="3" t="n">
        <v>2475488000</v>
      </c>
    </row>
    <row r="45">
      <c r="A45" t="inlineStr">
        <is>
          <t>Operating Revenue</t>
        </is>
      </c>
      <c r="B45" s="3" t="n">
        <v>2402064000</v>
      </c>
      <c r="C45" s="3" t="n">
        <v>2003993000</v>
      </c>
      <c r="D45" s="3" t="n">
        <v>2286113000</v>
      </c>
      <c r="E45" s="3" t="n">
        <v>2475488000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</row>
    <row r="2">
      <c r="A2" t="inlineStr">
        <is>
          <t>Diluted Average Shares</t>
        </is>
      </c>
      <c r="B2" s="3" t="n">
        <v>1737760230</v>
      </c>
      <c r="C2" s="3" t="n">
        <v>1737614193</v>
      </c>
      <c r="D2" s="3" t="n">
        <v>1731895843</v>
      </c>
      <c r="E2" s="3" t="n">
        <v>1728142630</v>
      </c>
      <c r="F2" s="3" t="n">
        <v>1724086667</v>
      </c>
    </row>
    <row r="3">
      <c r="A3" t="inlineStr">
        <is>
          <t>Basic Average Shares</t>
        </is>
      </c>
      <c r="B3" s="3" t="n">
        <v>1737629193</v>
      </c>
      <c r="C3" s="3" t="n">
        <v>1737614193</v>
      </c>
      <c r="D3" s="3" t="n">
        <v>1726241791</v>
      </c>
      <c r="E3" s="3" t="n">
        <v>1721931435</v>
      </c>
      <c r="F3" s="3" t="n">
        <v>1718222223</v>
      </c>
    </row>
    <row r="4">
      <c r="A4" t="inlineStr">
        <is>
          <t>Diluted EPS</t>
        </is>
      </c>
      <c r="B4" s="3" t="n">
        <v>0.012</v>
      </c>
      <c r="C4" s="3" t="n">
        <v>-0.01</v>
      </c>
      <c r="D4" s="3" t="n">
        <v>0.005</v>
      </c>
      <c r="E4" s="3" t="n">
        <v>0.002</v>
      </c>
      <c r="F4" s="3" t="n">
        <v>-0.015</v>
      </c>
    </row>
    <row r="5">
      <c r="A5" t="inlineStr">
        <is>
          <t>Basic EPS</t>
        </is>
      </c>
      <c r="B5" s="3" t="n">
        <v>0.012</v>
      </c>
      <c r="C5" s="3" t="n">
        <v>-0.01</v>
      </c>
      <c r="D5" s="3" t="n">
        <v>0.005</v>
      </c>
      <c r="E5" s="3" t="n">
        <v>0.002</v>
      </c>
      <c r="F5" s="3" t="n">
        <v>-0.015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/>
      <c r="C2" s="3" t="n"/>
      <c r="D2" s="3" t="n">
        <v>0</v>
      </c>
      <c r="E2" s="3" t="n"/>
      <c r="F2" s="3" t="n"/>
    </row>
    <row r="3">
      <c r="A3" t="inlineStr">
        <is>
          <t>Ordinary Shares Number</t>
        </is>
      </c>
      <c r="B3" s="3" t="n">
        <v>1737614193</v>
      </c>
      <c r="C3" s="3" t="n">
        <v>1718468815</v>
      </c>
      <c r="D3" s="3" t="n">
        <v>1716588694</v>
      </c>
      <c r="E3" s="3" t="n">
        <v>1306836740</v>
      </c>
      <c r="F3" s="3" t="n"/>
    </row>
    <row r="4">
      <c r="A4" t="inlineStr">
        <is>
          <t>Share Issued</t>
        </is>
      </c>
      <c r="B4" s="3" t="n">
        <v>1737614193</v>
      </c>
      <c r="C4" s="3" t="n">
        <v>1718468815</v>
      </c>
      <c r="D4" s="3" t="n">
        <v>1716588694</v>
      </c>
      <c r="E4" s="3" t="n">
        <v>1306836740</v>
      </c>
      <c r="F4" s="3" t="n"/>
    </row>
    <row r="5">
      <c r="A5" t="inlineStr">
        <is>
          <t>Total Debt</t>
        </is>
      </c>
      <c r="B5" s="3" t="n">
        <v>3209752000</v>
      </c>
      <c r="C5" s="3" t="n">
        <v>2220919000</v>
      </c>
      <c r="D5" s="3" t="n">
        <v>2121766000</v>
      </c>
      <c r="E5" s="3" t="n">
        <v>1927684000</v>
      </c>
      <c r="F5" s="3" t="n"/>
    </row>
    <row r="6">
      <c r="A6" t="inlineStr">
        <is>
          <t>Tangible Book Value</t>
        </is>
      </c>
      <c r="B6" s="3" t="n">
        <v>6577154000</v>
      </c>
      <c r="C6" s="3" t="n">
        <v>6215570000</v>
      </c>
      <c r="D6" s="3" t="n">
        <v>6191577000</v>
      </c>
      <c r="E6" s="3" t="n">
        <v>2935222000</v>
      </c>
      <c r="F6" s="3" t="n"/>
    </row>
    <row r="7">
      <c r="A7" t="inlineStr">
        <is>
          <t>Invested Capital</t>
        </is>
      </c>
      <c r="B7" s="3" t="n">
        <v>9803507000</v>
      </c>
      <c r="C7" s="3" t="n">
        <v>8444965000</v>
      </c>
      <c r="D7" s="3" t="n">
        <v>8400556000</v>
      </c>
      <c r="E7" s="3" t="n">
        <v>4938806000</v>
      </c>
      <c r="F7" s="3" t="n"/>
    </row>
    <row r="8">
      <c r="A8" t="inlineStr">
        <is>
          <t>Working Capital</t>
        </is>
      </c>
      <c r="B8" s="3" t="n">
        <v>4750476000</v>
      </c>
      <c r="C8" s="3" t="n">
        <v>4270265000</v>
      </c>
      <c r="D8" s="3" t="n">
        <v>5597168000</v>
      </c>
      <c r="E8" s="3" t="n">
        <v>1693309000</v>
      </c>
      <c r="F8" s="3" t="n"/>
    </row>
    <row r="9">
      <c r="A9" t="inlineStr">
        <is>
          <t>Net Tangible Assets</t>
        </is>
      </c>
      <c r="B9" s="3" t="n">
        <v>6577154000</v>
      </c>
      <c r="C9" s="3" t="n">
        <v>6215570000</v>
      </c>
      <c r="D9" s="3" t="n">
        <v>6191577000</v>
      </c>
      <c r="E9" s="3" t="n">
        <v>2935222000</v>
      </c>
      <c r="F9" s="3" t="n"/>
    </row>
    <row r="10">
      <c r="A10" t="inlineStr">
        <is>
          <t>Capital Lease Obligations</t>
        </is>
      </c>
      <c r="B10" s="3" t="n">
        <v>18908000</v>
      </c>
      <c r="C10" s="3" t="n">
        <v>22980000</v>
      </c>
      <c r="D10" s="3" t="n">
        <v>22205000</v>
      </c>
      <c r="E10" s="3" t="n">
        <v>19348000</v>
      </c>
      <c r="F10" s="3" t="n"/>
    </row>
    <row r="11">
      <c r="A11" t="inlineStr">
        <is>
          <t>Common Stock Equity</t>
        </is>
      </c>
      <c r="B11" s="3" t="n">
        <v>6612663000</v>
      </c>
      <c r="C11" s="3" t="n">
        <v>6247026000</v>
      </c>
      <c r="D11" s="3" t="n">
        <v>6300995000</v>
      </c>
      <c r="E11" s="3" t="n">
        <v>3030470000</v>
      </c>
      <c r="F11" s="3" t="n"/>
    </row>
    <row r="12">
      <c r="A12" t="inlineStr">
        <is>
          <t>Total Capitalization</t>
        </is>
      </c>
      <c r="B12" s="3" t="n">
        <v>9399759000</v>
      </c>
      <c r="C12" s="3" t="n">
        <v>8164261000</v>
      </c>
      <c r="D12" s="3" t="n">
        <v>8207521000</v>
      </c>
      <c r="E12" s="3" t="n">
        <v>4512050000</v>
      </c>
      <c r="F12" s="3" t="n"/>
    </row>
    <row r="13">
      <c r="A13" t="inlineStr">
        <is>
          <t>Total Equity Gross Minority Interest</t>
        </is>
      </c>
      <c r="B13" s="3" t="n">
        <v>9164231000</v>
      </c>
      <c r="C13" s="3" t="n">
        <v>8906619000</v>
      </c>
      <c r="D13" s="3" t="n">
        <v>8014544000</v>
      </c>
      <c r="E13" s="3" t="n">
        <v>4135468000</v>
      </c>
      <c r="F13" s="3" t="n"/>
    </row>
    <row r="14">
      <c r="A14" t="inlineStr">
        <is>
          <t>Minority Interest</t>
        </is>
      </c>
      <c r="B14" s="3" t="n">
        <v>2551568000</v>
      </c>
      <c r="C14" s="3" t="n">
        <v>2659593000</v>
      </c>
      <c r="D14" s="3" t="n">
        <v>1713549000</v>
      </c>
      <c r="E14" s="3" t="n">
        <v>1104998000</v>
      </c>
      <c r="F14" s="3" t="n"/>
    </row>
    <row r="15">
      <c r="A15" t="inlineStr">
        <is>
          <t>Stockholders Equity</t>
        </is>
      </c>
      <c r="B15" s="3" t="n">
        <v>6612663000</v>
      </c>
      <c r="C15" s="3" t="n">
        <v>6247026000</v>
      </c>
      <c r="D15" s="3" t="n">
        <v>6300995000</v>
      </c>
      <c r="E15" s="3" t="n">
        <v>3030470000</v>
      </c>
      <c r="F15" s="3" t="n"/>
    </row>
    <row r="16">
      <c r="A16" t="inlineStr">
        <is>
          <t>Other Equity Interest</t>
        </is>
      </c>
      <c r="B16" s="3" t="n">
        <v>834000</v>
      </c>
      <c r="C16" s="3" t="n">
        <v>12280000</v>
      </c>
      <c r="D16" s="3" t="n"/>
      <c r="E16" s="3" t="n">
        <v>13346000</v>
      </c>
      <c r="F16" s="3" t="n"/>
    </row>
    <row r="17">
      <c r="A17" t="inlineStr">
        <is>
          <t>Fixed Assets Revaluation Reserve</t>
        </is>
      </c>
      <c r="B17" s="3" t="n">
        <v>99257000</v>
      </c>
      <c r="C17" s="3" t="n">
        <v>99257000</v>
      </c>
      <c r="D17" s="3" t="n"/>
      <c r="E17" s="3" t="n">
        <v>99257000</v>
      </c>
      <c r="F17" s="3" t="n"/>
    </row>
    <row r="18">
      <c r="A18" t="inlineStr">
        <is>
          <t>Retained Earnings</t>
        </is>
      </c>
      <c r="B18" s="3" t="n">
        <v>374459000</v>
      </c>
      <c r="C18" s="3" t="n">
        <v>340753000</v>
      </c>
      <c r="D18" s="3" t="n"/>
      <c r="E18" s="3" t="n">
        <v>103493000</v>
      </c>
      <c r="F18" s="3" t="n"/>
    </row>
    <row r="19">
      <c r="A19" t="inlineStr">
        <is>
          <t>Capital Stock</t>
        </is>
      </c>
      <c r="B19" s="3" t="n">
        <v>4987482000</v>
      </c>
      <c r="C19" s="3" t="n">
        <v>4938457000</v>
      </c>
      <c r="D19" s="3" t="n">
        <v>4933559000</v>
      </c>
      <c r="E19" s="3" t="n">
        <v>1994462000</v>
      </c>
      <c r="F19" s="3" t="n"/>
    </row>
    <row r="20">
      <c r="A20" t="inlineStr">
        <is>
          <t>Common Stock</t>
        </is>
      </c>
      <c r="B20" s="3" t="n">
        <v>4987482000</v>
      </c>
      <c r="C20" s="3" t="n">
        <v>4938457000</v>
      </c>
      <c r="D20" s="3" t="n">
        <v>4933559000</v>
      </c>
      <c r="E20" s="3" t="n">
        <v>1994462000</v>
      </c>
      <c r="F20" s="3" t="n"/>
    </row>
    <row r="21">
      <c r="A21" t="inlineStr">
        <is>
          <t>Total Liabilities Net Minority Interest</t>
        </is>
      </c>
      <c r="B21" s="3" t="n">
        <v>5289541000</v>
      </c>
      <c r="C21" s="3" t="n">
        <v>3508489000</v>
      </c>
      <c r="D21" s="3" t="n">
        <v>2928876000</v>
      </c>
      <c r="E21" s="3" t="n">
        <v>2919908000</v>
      </c>
      <c r="F21" s="3" t="n"/>
    </row>
    <row r="22">
      <c r="A22" t="inlineStr">
        <is>
          <t>Total Non Current Liabilities Net Minority Interest</t>
        </is>
      </c>
      <c r="B22" s="3" t="n">
        <v>3433320000</v>
      </c>
      <c r="C22" s="3" t="n">
        <v>1946251000</v>
      </c>
      <c r="D22" s="3" t="n">
        <v>1956489000</v>
      </c>
      <c r="E22" s="3" t="n">
        <v>1537492000</v>
      </c>
      <c r="F22" s="3" t="n"/>
    </row>
    <row r="23">
      <c r="A23" t="inlineStr">
        <is>
          <t>Non Current Pension And Other Postretirement Benefit Plans</t>
        </is>
      </c>
      <c r="B23" s="3" t="n"/>
      <c r="C23" s="3" t="n"/>
      <c r="D23" s="3" t="n">
        <v>1966000</v>
      </c>
      <c r="E23" s="3" t="n">
        <v>0</v>
      </c>
      <c r="F23" s="3" t="n"/>
    </row>
    <row r="24">
      <c r="A24" t="inlineStr">
        <is>
          <t>Tradeand Other Payables Non Current</t>
        </is>
      </c>
      <c r="B24" s="3" t="n">
        <v>594581000</v>
      </c>
      <c r="C24" s="3" t="n"/>
      <c r="D24" s="3" t="n"/>
      <c r="E24" s="3" t="n"/>
      <c r="F24" s="3" t="n"/>
    </row>
    <row r="25">
      <c r="A25" t="inlineStr">
        <is>
          <t>Non Current Deferred Taxes Liabilities</t>
        </is>
      </c>
      <c r="B25" s="3" t="n">
        <v>35964000</v>
      </c>
      <c r="C25" s="3" t="n">
        <v>10948000</v>
      </c>
      <c r="D25" s="3" t="n">
        <v>30834000</v>
      </c>
      <c r="E25" s="3" t="n">
        <v>41268000</v>
      </c>
      <c r="F25" s="3" t="n"/>
    </row>
    <row r="26">
      <c r="A26" t="inlineStr">
        <is>
          <t>Long Term Debt And Capital Lease Obligation</t>
        </is>
      </c>
      <c r="B26" s="3" t="n">
        <v>2802775000</v>
      </c>
      <c r="C26" s="3" t="n">
        <v>1935303000</v>
      </c>
      <c r="D26" s="3" t="n">
        <v>1925655000</v>
      </c>
      <c r="E26" s="3" t="n">
        <v>1496224000</v>
      </c>
      <c r="F26" s="3" t="n"/>
    </row>
    <row r="27">
      <c r="A27" t="inlineStr">
        <is>
          <t>Long Term Capital Lease Obligation</t>
        </is>
      </c>
      <c r="B27" s="3" t="n">
        <v>15679000</v>
      </c>
      <c r="C27" s="3" t="n">
        <v>18068000</v>
      </c>
      <c r="D27" s="3" t="n">
        <v>19129000</v>
      </c>
      <c r="E27" s="3" t="n">
        <v>14644000</v>
      </c>
      <c r="F27" s="3" t="n"/>
    </row>
    <row r="28">
      <c r="A28" t="inlineStr">
        <is>
          <t>Long Term Debt</t>
        </is>
      </c>
      <c r="B28" s="3" t="n">
        <v>2787096000</v>
      </c>
      <c r="C28" s="3" t="n">
        <v>1917235000</v>
      </c>
      <c r="D28" s="3" t="n">
        <v>1906526000</v>
      </c>
      <c r="E28" s="3" t="n">
        <v>1481580000</v>
      </c>
      <c r="F28" s="3" t="n"/>
    </row>
    <row r="29">
      <c r="A29" t="inlineStr">
        <is>
          <t>Current Liabilities</t>
        </is>
      </c>
      <c r="B29" s="3" t="n">
        <v>1856221000</v>
      </c>
      <c r="C29" s="3" t="n">
        <v>1562238000</v>
      </c>
      <c r="D29" s="3" t="n">
        <v>972387000</v>
      </c>
      <c r="E29" s="3" t="n">
        <v>1382416000</v>
      </c>
      <c r="F29" s="3" t="n"/>
    </row>
    <row r="30">
      <c r="A30" t="inlineStr">
        <is>
          <t>Current Debt And Capital Lease Obligation</t>
        </is>
      </c>
      <c r="B30" s="3" t="n">
        <v>406977000</v>
      </c>
      <c r="C30" s="3" t="n">
        <v>285616000</v>
      </c>
      <c r="D30" s="3" t="n">
        <v>196111000</v>
      </c>
      <c r="E30" s="3" t="n">
        <v>431460000</v>
      </c>
      <c r="F30" s="3" t="n"/>
    </row>
    <row r="31">
      <c r="A31" t="inlineStr">
        <is>
          <t>Current Capital Lease Obligation</t>
        </is>
      </c>
      <c r="B31" s="3" t="n">
        <v>3229000</v>
      </c>
      <c r="C31" s="3" t="n">
        <v>4912000</v>
      </c>
      <c r="D31" s="3" t="n">
        <v>3076000</v>
      </c>
      <c r="E31" s="3" t="n">
        <v>4704000</v>
      </c>
      <c r="F31" s="3" t="n"/>
    </row>
    <row r="32">
      <c r="A32" t="inlineStr">
        <is>
          <t>Current Debt</t>
        </is>
      </c>
      <c r="B32" s="3" t="n">
        <v>403748000</v>
      </c>
      <c r="C32" s="3" t="n">
        <v>280704000</v>
      </c>
      <c r="D32" s="3" t="n">
        <v>193035000</v>
      </c>
      <c r="E32" s="3" t="n">
        <v>426756000</v>
      </c>
      <c r="F32" s="3" t="n"/>
    </row>
    <row r="33">
      <c r="A33" t="inlineStr">
        <is>
          <t>Payables</t>
        </is>
      </c>
      <c r="B33" s="3" t="n">
        <v>1224552000</v>
      </c>
      <c r="C33" s="3" t="n">
        <v>1111428000</v>
      </c>
      <c r="D33" s="3" t="n">
        <v>654714000</v>
      </c>
      <c r="E33" s="3" t="n">
        <v>720654000</v>
      </c>
      <c r="F33" s="3" t="n"/>
    </row>
    <row r="34">
      <c r="A34" t="inlineStr">
        <is>
          <t>Other Payable</t>
        </is>
      </c>
      <c r="B34" s="3" t="n">
        <v>879168000</v>
      </c>
      <c r="C34" s="3" t="n">
        <v>781941000</v>
      </c>
      <c r="D34" s="3" t="n">
        <v>357809000</v>
      </c>
      <c r="E34" s="3" t="n">
        <v>407479000</v>
      </c>
      <c r="F34" s="3" t="n"/>
    </row>
    <row r="35">
      <c r="A35" t="inlineStr">
        <is>
          <t>Total Tax Payable</t>
        </is>
      </c>
      <c r="B35" s="3" t="n">
        <v>15014000</v>
      </c>
      <c r="C35" s="3" t="n">
        <v>31115000</v>
      </c>
      <c r="D35" s="3" t="n">
        <v>61495000</v>
      </c>
      <c r="E35" s="3" t="n">
        <v>76176000</v>
      </c>
      <c r="F35" s="3" t="n"/>
    </row>
    <row r="36">
      <c r="A36" t="inlineStr">
        <is>
          <t>Accounts Payable</t>
        </is>
      </c>
      <c r="B36" s="3" t="n">
        <v>330370000</v>
      </c>
      <c r="C36" s="3" t="n">
        <v>298372000</v>
      </c>
      <c r="D36" s="3" t="n">
        <v>235410000</v>
      </c>
      <c r="E36" s="3" t="n">
        <v>236999000</v>
      </c>
      <c r="F36" s="3" t="n"/>
    </row>
    <row r="37">
      <c r="A37" t="inlineStr">
        <is>
          <t>Total Assets</t>
        </is>
      </c>
      <c r="B37" s="3" t="n">
        <v>14453772000</v>
      </c>
      <c r="C37" s="3" t="n">
        <v>12415108000</v>
      </c>
      <c r="D37" s="3" t="n">
        <v>10943420000</v>
      </c>
      <c r="E37" s="3" t="n">
        <v>7055376000</v>
      </c>
      <c r="F37" s="3" t="n"/>
    </row>
    <row r="38">
      <c r="A38" t="inlineStr">
        <is>
          <t>Total Non Current Assets</t>
        </is>
      </c>
      <c r="B38" s="3" t="n">
        <v>7847075000</v>
      </c>
      <c r="C38" s="3" t="n">
        <v>6582605000</v>
      </c>
      <c r="D38" s="3" t="n">
        <v>4373865000</v>
      </c>
      <c r="E38" s="3" t="n">
        <v>3979651000</v>
      </c>
      <c r="F38" s="3" t="n"/>
    </row>
    <row r="39">
      <c r="A39" t="inlineStr">
        <is>
          <t>Non Current Prepaid Assets</t>
        </is>
      </c>
      <c r="B39" s="3" t="n">
        <v>221849000</v>
      </c>
      <c r="C39" s="3" t="n">
        <v>21008000</v>
      </c>
      <c r="D39" s="3" t="n">
        <v>149953000</v>
      </c>
      <c r="E39" s="3" t="n">
        <v>7742000</v>
      </c>
      <c r="F39" s="3" t="n"/>
    </row>
    <row r="40">
      <c r="A40" t="inlineStr">
        <is>
          <t>Non Current Deferred Taxes Assets</t>
        </is>
      </c>
      <c r="B40" s="3" t="n"/>
      <c r="C40" s="3" t="n"/>
      <c r="D40" s="3" t="n">
        <v>0</v>
      </c>
      <c r="E40" s="3" t="n">
        <v>14066000</v>
      </c>
      <c r="F40" s="3" t="n">
        <v>3479000</v>
      </c>
    </row>
    <row r="41">
      <c r="A41" t="inlineStr">
        <is>
          <t>Investmentin Financial Assets</t>
        </is>
      </c>
      <c r="B41" s="3" t="n">
        <v>478799000</v>
      </c>
      <c r="C41" s="3" t="n">
        <v>289311000</v>
      </c>
      <c r="D41" s="3" t="n">
        <v>270506000</v>
      </c>
      <c r="E41" s="3" t="n">
        <v>178632000</v>
      </c>
      <c r="F41" s="3" t="n"/>
    </row>
    <row r="42">
      <c r="A42" t="inlineStr">
        <is>
          <t>Available For Sale Securities</t>
        </is>
      </c>
      <c r="B42" s="3" t="n">
        <v>478799000</v>
      </c>
      <c r="C42" s="3" t="n">
        <v>289311000</v>
      </c>
      <c r="D42" s="3" t="n">
        <v>270506000</v>
      </c>
      <c r="E42" s="3" t="n">
        <v>178632000</v>
      </c>
      <c r="F42" s="3" t="n"/>
    </row>
    <row r="43">
      <c r="A43" t="inlineStr">
        <is>
          <t>Long Term Equity Investment</t>
        </is>
      </c>
      <c r="B43" s="3" t="n">
        <v>150222000</v>
      </c>
      <c r="C43" s="3" t="n">
        <v>139799000</v>
      </c>
      <c r="D43" s="3" t="n">
        <v>139099000</v>
      </c>
      <c r="E43" s="3" t="n">
        <v>130721000</v>
      </c>
      <c r="F43" s="3" t="n"/>
    </row>
    <row r="44">
      <c r="A44" t="inlineStr">
        <is>
          <t>Investmentsin Associatesat Cost</t>
        </is>
      </c>
      <c r="B44" s="3" t="n">
        <v>150222000</v>
      </c>
      <c r="C44" s="3" t="n">
        <v>139799000</v>
      </c>
      <c r="D44" s="3" t="n">
        <v>139099000</v>
      </c>
      <c r="E44" s="3" t="n">
        <v>130721000</v>
      </c>
      <c r="F44" s="3" t="n"/>
    </row>
    <row r="45">
      <c r="A45" t="inlineStr">
        <is>
          <t>Investment Properties</t>
        </is>
      </c>
      <c r="B45" s="3" t="n">
        <v>219772000</v>
      </c>
      <c r="C45" s="3" t="n">
        <v>164153000</v>
      </c>
      <c r="D45" s="3" t="n">
        <v>166643000</v>
      </c>
      <c r="E45" s="3" t="n">
        <v>169363000</v>
      </c>
      <c r="F45" s="3" t="n"/>
    </row>
    <row r="46">
      <c r="A46" t="inlineStr">
        <is>
          <t>Goodwill And Other Intangible Assets</t>
        </is>
      </c>
      <c r="B46" s="3" t="n">
        <v>35509000</v>
      </c>
      <c r="C46" s="3" t="n">
        <v>31456000</v>
      </c>
      <c r="D46" s="3" t="n">
        <v>109418000</v>
      </c>
      <c r="E46" s="3" t="n">
        <v>95248000</v>
      </c>
      <c r="F46" s="3" t="n"/>
    </row>
    <row r="47">
      <c r="A47" t="inlineStr">
        <is>
          <t>Other Intangible Assets</t>
        </is>
      </c>
      <c r="B47" s="3" t="n">
        <v>35509000</v>
      </c>
      <c r="C47" s="3" t="n">
        <v>31456000</v>
      </c>
      <c r="D47" s="3" t="n">
        <v>109418000</v>
      </c>
      <c r="E47" s="3" t="n">
        <v>95248000</v>
      </c>
      <c r="F47" s="3" t="n"/>
    </row>
    <row r="48">
      <c r="A48" t="inlineStr">
        <is>
          <t>Net PPE</t>
        </is>
      </c>
      <c r="B48" s="3" t="n">
        <v>6740924000</v>
      </c>
      <c r="C48" s="3" t="n">
        <v>5936878000</v>
      </c>
      <c r="D48" s="3" t="n">
        <v>3538246000</v>
      </c>
      <c r="E48" s="3" t="n">
        <v>3383879000</v>
      </c>
      <c r="F48" s="3" t="n"/>
    </row>
    <row r="49">
      <c r="A49" t="inlineStr">
        <is>
          <t>Accumulated Depreciation</t>
        </is>
      </c>
      <c r="B49" s="3" t="n">
        <v>-6097687000</v>
      </c>
      <c r="C49" s="3" t="n">
        <v>-5330000000</v>
      </c>
      <c r="D49" s="3" t="n">
        <v>-4879396000</v>
      </c>
      <c r="E49" s="3" t="n">
        <v>-4473372000</v>
      </c>
      <c r="F49" s="3" t="n"/>
    </row>
    <row r="50">
      <c r="A50" t="inlineStr">
        <is>
          <t>Gross PPE</t>
        </is>
      </c>
      <c r="B50" s="3" t="n">
        <v>12838611000</v>
      </c>
      <c r="C50" s="3" t="n">
        <v>11266878000</v>
      </c>
      <c r="D50" s="3" t="n">
        <v>8417642000</v>
      </c>
      <c r="E50" s="3" t="n">
        <v>7857251000</v>
      </c>
      <c r="F50" s="3" t="n"/>
    </row>
    <row r="51">
      <c r="A51" t="inlineStr">
        <is>
          <t>Construction In Progress</t>
        </is>
      </c>
      <c r="B51" s="3" t="n">
        <v>2076403000</v>
      </c>
      <c r="C51" s="3" t="n">
        <v>1890771000</v>
      </c>
      <c r="D51" s="3" t="n">
        <v>765367000</v>
      </c>
      <c r="E51" s="3" t="n">
        <v>703329000</v>
      </c>
      <c r="F51" s="3" t="n"/>
    </row>
    <row r="52">
      <c r="A52" t="inlineStr">
        <is>
          <t>Other Properties</t>
        </is>
      </c>
      <c r="B52" s="3" t="n"/>
      <c r="C52" s="3" t="n"/>
      <c r="D52" s="3" t="n">
        <v>3597837000</v>
      </c>
      <c r="E52" s="3" t="n">
        <v>3446141000</v>
      </c>
      <c r="F52" s="3" t="n">
        <v>3191832000</v>
      </c>
    </row>
    <row r="53">
      <c r="A53" t="inlineStr">
        <is>
          <t>Machinery Furniture Equipment</t>
        </is>
      </c>
      <c r="B53" s="3" t="n">
        <v>9696075000</v>
      </c>
      <c r="C53" s="3" t="n">
        <v>8424057000</v>
      </c>
      <c r="D53" s="3" t="n">
        <v>7206190000</v>
      </c>
      <c r="E53" s="3" t="n">
        <v>6691544000</v>
      </c>
      <c r="F53" s="3" t="n"/>
    </row>
    <row r="54">
      <c r="A54" t="inlineStr">
        <is>
          <t>Buildings And Improvements</t>
        </is>
      </c>
      <c r="B54" s="3" t="n">
        <v>1017221000</v>
      </c>
      <c r="C54" s="3" t="n">
        <v>894111000</v>
      </c>
      <c r="D54" s="3" t="n">
        <v>446085000</v>
      </c>
      <c r="E54" s="3" t="n">
        <v>462378000</v>
      </c>
      <c r="F54" s="3" t="n"/>
    </row>
    <row r="55">
      <c r="A55" t="inlineStr">
        <is>
          <t>Land And Improvements</t>
        </is>
      </c>
      <c r="B55" s="3" t="n">
        <v>48912000</v>
      </c>
      <c r="C55" s="3" t="n">
        <v>57939000</v>
      </c>
      <c r="D55" s="3" t="n"/>
      <c r="E55" s="3" t="n"/>
      <c r="F55" s="3" t="n"/>
    </row>
    <row r="56">
      <c r="A56" t="inlineStr">
        <is>
          <t>Properties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/>
    </row>
    <row r="57">
      <c r="A57" t="inlineStr">
        <is>
          <t>Current Assets</t>
        </is>
      </c>
      <c r="B57" s="3" t="n">
        <v>6606697000</v>
      </c>
      <c r="C57" s="3" t="n">
        <v>5832503000</v>
      </c>
      <c r="D57" s="3" t="n">
        <v>6569555000</v>
      </c>
      <c r="E57" s="3" t="n">
        <v>3075725000</v>
      </c>
      <c r="F57" s="3" t="n"/>
    </row>
    <row r="58">
      <c r="A58" t="inlineStr">
        <is>
          <t>Other Current Assets</t>
        </is>
      </c>
      <c r="B58" s="3" t="n">
        <v>20846000</v>
      </c>
      <c r="C58" s="3" t="n">
        <v>12361000</v>
      </c>
      <c r="D58" s="3" t="n">
        <v>11393000</v>
      </c>
      <c r="E58" s="3" t="n">
        <v>4009000</v>
      </c>
      <c r="F58" s="3" t="n"/>
    </row>
    <row r="59">
      <c r="A59" t="inlineStr">
        <is>
          <t>Restricted Cash</t>
        </is>
      </c>
      <c r="B59" s="3" t="n">
        <v>99494000</v>
      </c>
      <c r="C59" s="3" t="n">
        <v>31624000</v>
      </c>
      <c r="D59" s="3" t="n">
        <v>32088000</v>
      </c>
      <c r="E59" s="3" t="n">
        <v>1042000</v>
      </c>
      <c r="F59" s="3" t="n"/>
    </row>
    <row r="60">
      <c r="A60" t="inlineStr">
        <is>
          <t>Prepaid Assets</t>
        </is>
      </c>
      <c r="B60" s="3" t="n">
        <v>20846000</v>
      </c>
      <c r="C60" s="3" t="n">
        <v>12361000</v>
      </c>
      <c r="D60" s="3" t="n">
        <v>11393000</v>
      </c>
      <c r="E60" s="3" t="n">
        <v>4009000</v>
      </c>
      <c r="F60" s="3" t="n"/>
    </row>
    <row r="61">
      <c r="A61" t="inlineStr">
        <is>
          <t>Inventory</t>
        </is>
      </c>
      <c r="B61" s="3" t="n">
        <v>759879000</v>
      </c>
      <c r="C61" s="3" t="n">
        <v>688965000</v>
      </c>
      <c r="D61" s="3" t="n">
        <v>628577000</v>
      </c>
      <c r="E61" s="3" t="n">
        <v>712783000</v>
      </c>
      <c r="F61" s="3" t="n"/>
    </row>
    <row r="62">
      <c r="A62" t="inlineStr">
        <is>
          <t>Inventories Adjustments Allowances</t>
        </is>
      </c>
      <c r="B62" s="3" t="n"/>
      <c r="C62" s="3" t="n">
        <v>-74676000</v>
      </c>
      <c r="D62" s="3" t="n">
        <v>-72843000</v>
      </c>
      <c r="E62" s="3" t="n">
        <v>-28000000</v>
      </c>
      <c r="F62" s="3" t="n">
        <v>-18497000</v>
      </c>
    </row>
    <row r="63">
      <c r="A63" t="inlineStr">
        <is>
          <t>Other Inventories</t>
        </is>
      </c>
      <c r="B63" s="3" t="n"/>
      <c r="C63" s="3" t="n"/>
      <c r="D63" s="3" t="n">
        <v>449749000</v>
      </c>
      <c r="E63" s="3" t="n">
        <v>578060000</v>
      </c>
      <c r="F63" s="3" t="n">
        <v>432917000</v>
      </c>
    </row>
    <row r="64">
      <c r="A64" t="inlineStr">
        <is>
          <t>Finished Goods</t>
        </is>
      </c>
      <c r="B64" s="3" t="n">
        <v>339590000</v>
      </c>
      <c r="C64" s="3" t="n">
        <v>286853000</v>
      </c>
      <c r="D64" s="3" t="n">
        <v>290740000</v>
      </c>
      <c r="E64" s="3" t="n">
        <v>305762000</v>
      </c>
      <c r="F64" s="3" t="n"/>
    </row>
    <row r="65">
      <c r="A65" t="inlineStr">
        <is>
          <t>Work In Process</t>
        </is>
      </c>
      <c r="B65" s="3" t="n">
        <v>240847000</v>
      </c>
      <c r="C65" s="3" t="n">
        <v>189393000</v>
      </c>
      <c r="D65" s="3" t="n">
        <v>149321000</v>
      </c>
      <c r="E65" s="3" t="n">
        <v>179510000</v>
      </c>
      <c r="F65" s="3" t="n"/>
    </row>
    <row r="66">
      <c r="A66" t="inlineStr">
        <is>
          <t>Raw Materials</t>
        </is>
      </c>
      <c r="B66" s="3" t="n">
        <v>179442000</v>
      </c>
      <c r="C66" s="3" t="n">
        <v>212719000</v>
      </c>
      <c r="D66" s="3" t="n">
        <v>261359000</v>
      </c>
      <c r="E66" s="3" t="n">
        <v>255511000</v>
      </c>
      <c r="F66" s="3" t="n"/>
    </row>
    <row r="67">
      <c r="A67" t="inlineStr">
        <is>
          <t>Other Receivables</t>
        </is>
      </c>
      <c r="B67" s="3" t="n">
        <v>87404000</v>
      </c>
      <c r="C67" s="3" t="n">
        <v>96049000</v>
      </c>
      <c r="D67" s="3" t="n">
        <v>87106000</v>
      </c>
      <c r="E67" s="3" t="n">
        <v>99030000</v>
      </c>
      <c r="F67" s="3" t="n"/>
    </row>
    <row r="68">
      <c r="A68" t="inlineStr">
        <is>
          <t>Taxes Receivable</t>
        </is>
      </c>
      <c r="B68" s="3" t="n">
        <v>508357000</v>
      </c>
      <c r="C68" s="3" t="n">
        <v>318690000</v>
      </c>
      <c r="D68" s="3" t="n">
        <v>10796000</v>
      </c>
      <c r="E68" s="3" t="n">
        <v>20687000</v>
      </c>
      <c r="F68" s="3" t="n"/>
    </row>
    <row r="69">
      <c r="A69" t="inlineStr">
        <is>
          <t>Accounts Receivable</t>
        </is>
      </c>
      <c r="B69" s="3" t="n">
        <v>236909000</v>
      </c>
      <c r="C69" s="3" t="n">
        <v>225682000</v>
      </c>
      <c r="D69" s="3" t="n">
        <v>214414000</v>
      </c>
      <c r="E69" s="3" t="n">
        <v>229409000</v>
      </c>
      <c r="F69" s="3" t="n"/>
    </row>
    <row r="70">
      <c r="A70" t="inlineStr">
        <is>
          <t>Allowance For Doubtful Accounts Receivable</t>
        </is>
      </c>
      <c r="B70" s="3" t="n"/>
      <c r="C70" s="3" t="n">
        <v>-2756000</v>
      </c>
      <c r="D70" s="3" t="n">
        <v>-2696000</v>
      </c>
      <c r="E70" s="3" t="n">
        <v>-1591000</v>
      </c>
      <c r="F70" s="3" t="n">
        <v>-1721000</v>
      </c>
    </row>
    <row r="71">
      <c r="A71" t="inlineStr">
        <is>
          <t>Gross Accounts Receivable</t>
        </is>
      </c>
      <c r="B71" s="3" t="n"/>
      <c r="C71" s="3" t="n">
        <v>225682000</v>
      </c>
      <c r="D71" s="3" t="n">
        <v>214414000</v>
      </c>
      <c r="E71" s="3" t="n">
        <v>229409000</v>
      </c>
      <c r="F71" s="3" t="n">
        <v>154339000</v>
      </c>
    </row>
    <row r="72">
      <c r="A72" t="inlineStr">
        <is>
          <t>Cash Cash Equivalents And Short Term Investments</t>
        </is>
      </c>
      <c r="B72" s="3" t="n">
        <v>4893808000</v>
      </c>
      <c r="C72" s="3" t="n">
        <v>4459132000</v>
      </c>
      <c r="D72" s="3" t="n">
        <v>5585181000</v>
      </c>
      <c r="E72" s="3" t="n">
        <v>2008765000</v>
      </c>
      <c r="F72" s="3" t="n"/>
    </row>
    <row r="73">
      <c r="A73" t="inlineStr">
        <is>
          <t>Cash And Cash Equivalents</t>
        </is>
      </c>
      <c r="B73" s="3" t="n">
        <v>4893808000</v>
      </c>
      <c r="C73" s="3" t="n">
        <v>4459132000</v>
      </c>
      <c r="D73" s="3" t="n">
        <v>5585181000</v>
      </c>
      <c r="E73" s="3" t="n">
        <v>2008765000</v>
      </c>
      <c r="F73" s="3" t="n"/>
    </row>
    <row r="74">
      <c r="A74" t="inlineStr">
        <is>
          <t>Cash Equivalents</t>
        </is>
      </c>
      <c r="B74" s="3" t="n">
        <v>951064000</v>
      </c>
      <c r="C74" s="3" t="n">
        <v>1709853000</v>
      </c>
      <c r="D74" s="3" t="n">
        <v>946889000</v>
      </c>
      <c r="E74" s="3" t="n">
        <v>1272235000</v>
      </c>
      <c r="F74" s="3" t="n"/>
    </row>
    <row r="75">
      <c r="A75" t="inlineStr">
        <is>
          <t>Cash Financial</t>
        </is>
      </c>
      <c r="B75" s="3" t="n">
        <v>3942744000</v>
      </c>
      <c r="C75" s="3" t="n">
        <v>2749279000</v>
      </c>
      <c r="D75" s="3" t="n">
        <v>4638292000</v>
      </c>
      <c r="E75" s="3" t="n">
        <v>736530000</v>
      </c>
      <c r="F75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</row>
    <row r="2">
      <c r="A2" t="inlineStr">
        <is>
          <t>Ordinary Shares Number</t>
        </is>
      </c>
      <c r="B2" s="3" t="n">
        <v>1737614193</v>
      </c>
      <c r="C2" s="3" t="n">
        <v>1727079598</v>
      </c>
      <c r="D2" s="3" t="n">
        <v>1718468815</v>
      </c>
    </row>
    <row r="3">
      <c r="A3" t="inlineStr">
        <is>
          <t>Share Issued</t>
        </is>
      </c>
      <c r="B3" s="3" t="n">
        <v>1737614193</v>
      </c>
      <c r="C3" s="3" t="n">
        <v>1727079598</v>
      </c>
      <c r="D3" s="3" t="n">
        <v>1718468815</v>
      </c>
    </row>
    <row r="4">
      <c r="A4" t="inlineStr">
        <is>
          <t>Total Debt</t>
        </is>
      </c>
      <c r="B4" s="3" t="n">
        <v>3209752000</v>
      </c>
      <c r="C4" s="3" t="n">
        <v>2296158000</v>
      </c>
      <c r="D4" s="3" t="n">
        <v>2220919000</v>
      </c>
    </row>
    <row r="5">
      <c r="A5" t="inlineStr">
        <is>
          <t>Tangible Book Value</t>
        </is>
      </c>
      <c r="B5" s="3" t="n">
        <v>6577154000</v>
      </c>
      <c r="C5" s="3" t="n">
        <v>6272589000</v>
      </c>
      <c r="D5" s="3" t="n">
        <v>6215570000</v>
      </c>
    </row>
    <row r="6">
      <c r="A6" t="inlineStr">
        <is>
          <t>Invested Capital</t>
        </is>
      </c>
      <c r="B6" s="3" t="n">
        <v>9803507000</v>
      </c>
      <c r="C6" s="3" t="n">
        <v>8575186000</v>
      </c>
      <c r="D6" s="3" t="n">
        <v>8444965000</v>
      </c>
    </row>
    <row r="7">
      <c r="A7" t="inlineStr">
        <is>
          <t>Working Capital</t>
        </is>
      </c>
      <c r="B7" s="3" t="n">
        <v>4750476000</v>
      </c>
      <c r="C7" s="3" t="n">
        <v>3934155000</v>
      </c>
      <c r="D7" s="3" t="n">
        <v>4270265000</v>
      </c>
    </row>
    <row r="8">
      <c r="A8" t="inlineStr">
        <is>
          <t>Net Tangible Assets</t>
        </is>
      </c>
      <c r="B8" s="3" t="n">
        <v>6577154000</v>
      </c>
      <c r="C8" s="3" t="n">
        <v>6272589000</v>
      </c>
      <c r="D8" s="3" t="n">
        <v>6215570000</v>
      </c>
    </row>
    <row r="9">
      <c r="A9" t="inlineStr">
        <is>
          <t>Capital Lease Obligations</t>
        </is>
      </c>
      <c r="B9" s="3" t="n">
        <v>18908000</v>
      </c>
      <c r="C9" s="3" t="n">
        <v>20874000</v>
      </c>
      <c r="D9" s="3" t="n">
        <v>22980000</v>
      </c>
    </row>
    <row r="10">
      <c r="A10" t="inlineStr">
        <is>
          <t>Common Stock Equity</t>
        </is>
      </c>
      <c r="B10" s="3" t="n">
        <v>6612663000</v>
      </c>
      <c r="C10" s="3" t="n">
        <v>6299902000</v>
      </c>
      <c r="D10" s="3" t="n">
        <v>6247026000</v>
      </c>
    </row>
    <row r="11">
      <c r="A11" t="inlineStr">
        <is>
          <t>Total Capitalization</t>
        </is>
      </c>
      <c r="B11" s="3" t="n">
        <v>9399759000</v>
      </c>
      <c r="C11" s="3" t="n">
        <v>8233873000</v>
      </c>
      <c r="D11" s="3" t="n">
        <v>8164261000</v>
      </c>
    </row>
    <row r="12">
      <c r="A12" t="inlineStr">
        <is>
          <t>Total Equity Gross Minority Interest</t>
        </is>
      </c>
      <c r="B12" s="3" t="n">
        <v>9164231000</v>
      </c>
      <c r="C12" s="3" t="n">
        <v>8873643000</v>
      </c>
      <c r="D12" s="3" t="n">
        <v>8906619000</v>
      </c>
    </row>
    <row r="13">
      <c r="A13" t="inlineStr">
        <is>
          <t>Minority Interest</t>
        </is>
      </c>
      <c r="B13" s="3" t="n">
        <v>2551568000</v>
      </c>
      <c r="C13" s="3" t="n">
        <v>2573741000</v>
      </c>
      <c r="D13" s="3" t="n">
        <v>2659593000</v>
      </c>
    </row>
    <row r="14">
      <c r="A14" t="inlineStr">
        <is>
          <t>Stockholders Equity</t>
        </is>
      </c>
      <c r="B14" s="3" t="n">
        <v>6612663000</v>
      </c>
      <c r="C14" s="3" t="n">
        <v>6299902000</v>
      </c>
      <c r="D14" s="3" t="n">
        <v>6247026000</v>
      </c>
    </row>
    <row r="15">
      <c r="A15" t="inlineStr">
        <is>
          <t>Other Equity Interest</t>
        </is>
      </c>
      <c r="B15" s="3" t="n">
        <v>834000</v>
      </c>
      <c r="C15" s="3" t="n">
        <v>41749000</v>
      </c>
      <c r="D15" s="3" t="n">
        <v>12280000</v>
      </c>
    </row>
    <row r="16">
      <c r="A16" t="inlineStr">
        <is>
          <t>Fixed Assets Revaluation Reserve</t>
        </is>
      </c>
      <c r="B16" s="3" t="n">
        <v>99257000</v>
      </c>
      <c r="C16" s="3" t="n">
        <v>99257000</v>
      </c>
      <c r="D16" s="3" t="n">
        <v>99257000</v>
      </c>
    </row>
    <row r="17">
      <c r="A17" t="inlineStr">
        <is>
          <t>Retained Earnings</t>
        </is>
      </c>
      <c r="B17" s="3" t="n">
        <v>374459000</v>
      </c>
      <c r="C17" s="3" t="n">
        <v>342510000</v>
      </c>
      <c r="D17" s="3" t="n">
        <v>340753000</v>
      </c>
    </row>
    <row r="18">
      <c r="A18" t="inlineStr">
        <is>
          <t>Capital Stock</t>
        </is>
      </c>
      <c r="B18" s="3" t="n">
        <v>4987482000</v>
      </c>
      <c r="C18" s="3" t="n">
        <v>4960855000</v>
      </c>
      <c r="D18" s="3" t="n">
        <v>4938457000</v>
      </c>
    </row>
    <row r="19">
      <c r="A19" t="inlineStr">
        <is>
          <t>Common Stock</t>
        </is>
      </c>
      <c r="B19" s="3" t="n">
        <v>4987482000</v>
      </c>
      <c r="C19" s="3" t="n">
        <v>4960855000</v>
      </c>
      <c r="D19" s="3" t="n">
        <v>4938457000</v>
      </c>
    </row>
    <row r="20">
      <c r="A20" t="inlineStr">
        <is>
          <t>Total Liabilities Net Minority Interest</t>
        </is>
      </c>
      <c r="B20" s="3" t="n">
        <v>5289541000</v>
      </c>
      <c r="C20" s="3" t="n">
        <v>3363437000</v>
      </c>
      <c r="D20" s="3" t="n">
        <v>3508489000</v>
      </c>
    </row>
    <row r="21">
      <c r="A21" t="inlineStr">
        <is>
          <t>Total Non Current Liabilities Net Minority Interest</t>
        </is>
      </c>
      <c r="B21" s="3" t="n">
        <v>3433320000</v>
      </c>
      <c r="C21" s="3" t="n">
        <v>1952639000</v>
      </c>
      <c r="D21" s="3" t="n">
        <v>1946251000</v>
      </c>
    </row>
    <row r="22">
      <c r="A22" t="inlineStr">
        <is>
          <t>Tradeand Other Payables Non Current</t>
        </is>
      </c>
      <c r="B22" s="3" t="n">
        <v>594581000</v>
      </c>
      <c r="C22" s="3" t="n"/>
      <c r="D22" s="3" t="n"/>
    </row>
    <row r="23">
      <c r="A23" t="inlineStr">
        <is>
          <t>Non Current Deferred Taxes Liabilities</t>
        </is>
      </c>
      <c r="B23" s="3" t="n">
        <v>35964000</v>
      </c>
      <c r="C23" s="3" t="n">
        <v>3633000</v>
      </c>
      <c r="D23" s="3" t="n">
        <v>10948000</v>
      </c>
    </row>
    <row r="24">
      <c r="A24" t="inlineStr">
        <is>
          <t>Long Term Debt And Capital Lease Obligation</t>
        </is>
      </c>
      <c r="B24" s="3" t="n">
        <v>2802775000</v>
      </c>
      <c r="C24" s="3" t="n">
        <v>1949006000</v>
      </c>
      <c r="D24" s="3" t="n">
        <v>1935303000</v>
      </c>
    </row>
    <row r="25">
      <c r="A25" t="inlineStr">
        <is>
          <t>Long Term Capital Lease Obligation</t>
        </is>
      </c>
      <c r="B25" s="3" t="n">
        <v>15679000</v>
      </c>
      <c r="C25" s="3" t="n">
        <v>15035000</v>
      </c>
      <c r="D25" s="3" t="n">
        <v>18068000</v>
      </c>
    </row>
    <row r="26">
      <c r="A26" t="inlineStr">
        <is>
          <t>Long Term Debt</t>
        </is>
      </c>
      <c r="B26" s="3" t="n">
        <v>2787096000</v>
      </c>
      <c r="C26" s="3" t="n">
        <v>1933971000</v>
      </c>
      <c r="D26" s="3" t="n">
        <v>1917235000</v>
      </c>
    </row>
    <row r="27">
      <c r="A27" t="inlineStr">
        <is>
          <t>Current Liabilities</t>
        </is>
      </c>
      <c r="B27" s="3" t="n">
        <v>1856221000</v>
      </c>
      <c r="C27" s="3" t="n">
        <v>1410798000</v>
      </c>
      <c r="D27" s="3" t="n">
        <v>1562238000</v>
      </c>
    </row>
    <row r="28">
      <c r="A28" t="inlineStr">
        <is>
          <t>Current Debt And Capital Lease Obligation</t>
        </is>
      </c>
      <c r="B28" s="3" t="n">
        <v>406977000</v>
      </c>
      <c r="C28" s="3" t="n">
        <v>347152000</v>
      </c>
      <c r="D28" s="3" t="n">
        <v>285616000</v>
      </c>
    </row>
    <row r="29">
      <c r="A29" t="inlineStr">
        <is>
          <t>Current Capital Lease Obligation</t>
        </is>
      </c>
      <c r="B29" s="3" t="n">
        <v>3229000</v>
      </c>
      <c r="C29" s="3" t="n">
        <v>5839000</v>
      </c>
      <c r="D29" s="3" t="n">
        <v>4912000</v>
      </c>
    </row>
    <row r="30">
      <c r="A30" t="inlineStr">
        <is>
          <t>Current Debt</t>
        </is>
      </c>
      <c r="B30" s="3" t="n">
        <v>403748000</v>
      </c>
      <c r="C30" s="3" t="n">
        <v>341313000</v>
      </c>
      <c r="D30" s="3" t="n">
        <v>280704000</v>
      </c>
    </row>
    <row r="31">
      <c r="A31" t="inlineStr">
        <is>
          <t>Payables</t>
        </is>
      </c>
      <c r="B31" s="3" t="n">
        <v>1224552000</v>
      </c>
      <c r="C31" s="3" t="n">
        <v>1004606000</v>
      </c>
      <c r="D31" s="3" t="n">
        <v>1111428000</v>
      </c>
    </row>
    <row r="32">
      <c r="A32" t="inlineStr">
        <is>
          <t>Other Payable</t>
        </is>
      </c>
      <c r="B32" s="3" t="n">
        <v>879168000</v>
      </c>
      <c r="C32" s="3" t="n">
        <v>725208000</v>
      </c>
      <c r="D32" s="3" t="n">
        <v>781941000</v>
      </c>
    </row>
    <row r="33">
      <c r="A33" t="inlineStr">
        <is>
          <t>Total Tax Payable</t>
        </is>
      </c>
      <c r="B33" s="3" t="n">
        <v>15014000</v>
      </c>
      <c r="C33" s="3" t="n">
        <v>16046000</v>
      </c>
      <c r="D33" s="3" t="n">
        <v>31115000</v>
      </c>
    </row>
    <row r="34">
      <c r="A34" t="inlineStr">
        <is>
          <t>Accounts Payable</t>
        </is>
      </c>
      <c r="B34" s="3" t="n">
        <v>330370000</v>
      </c>
      <c r="C34" s="3" t="n">
        <v>263352000</v>
      </c>
      <c r="D34" s="3" t="n">
        <v>298372000</v>
      </c>
    </row>
    <row r="35">
      <c r="A35" t="inlineStr">
        <is>
          <t>Total Assets</t>
        </is>
      </c>
      <c r="B35" s="3" t="n">
        <v>14453772000</v>
      </c>
      <c r="C35" s="3" t="n">
        <v>12237080000</v>
      </c>
      <c r="D35" s="3" t="n">
        <v>12415108000</v>
      </c>
    </row>
    <row r="36">
      <c r="A36" t="inlineStr">
        <is>
          <t>Total Non Current Assets</t>
        </is>
      </c>
      <c r="B36" s="3" t="n">
        <v>7847075000</v>
      </c>
      <c r="C36" s="3" t="n">
        <v>6892127000</v>
      </c>
      <c r="D36" s="3" t="n">
        <v>6582605000</v>
      </c>
    </row>
    <row r="37">
      <c r="A37" t="inlineStr">
        <is>
          <t>Non Current Prepaid Assets</t>
        </is>
      </c>
      <c r="B37" s="3" t="n">
        <v>221849000</v>
      </c>
      <c r="C37" s="3" t="n">
        <v>42672000</v>
      </c>
      <c r="D37" s="3" t="n">
        <v>21008000</v>
      </c>
    </row>
    <row r="38">
      <c r="A38" t="inlineStr">
        <is>
          <t>Non Current Deferred Taxes Assets</t>
        </is>
      </c>
      <c r="B38" s="3" t="n"/>
      <c r="C38" s="3" t="n">
        <v>765000</v>
      </c>
      <c r="D38" s="3" t="n"/>
    </row>
    <row r="39">
      <c r="A39" t="inlineStr">
        <is>
          <t>Investmentin Financial Assets</t>
        </is>
      </c>
      <c r="B39" s="3" t="n">
        <v>478799000</v>
      </c>
      <c r="C39" s="3" t="n">
        <v>290515000</v>
      </c>
      <c r="D39" s="3" t="n">
        <v>289311000</v>
      </c>
    </row>
    <row r="40">
      <c r="A40" t="inlineStr">
        <is>
          <t>Available For Sale Securities</t>
        </is>
      </c>
      <c r="B40" s="3" t="n">
        <v>478799000</v>
      </c>
      <c r="C40" s="3" t="n">
        <v>290515000</v>
      </c>
      <c r="D40" s="3" t="n">
        <v>289311000</v>
      </c>
    </row>
    <row r="41">
      <c r="A41" t="inlineStr">
        <is>
          <t>Long Term Equity Investment</t>
        </is>
      </c>
      <c r="B41" s="3" t="n">
        <v>150222000</v>
      </c>
      <c r="C41" s="3" t="n">
        <v>144421000</v>
      </c>
      <c r="D41" s="3" t="n">
        <v>139799000</v>
      </c>
    </row>
    <row r="42">
      <c r="A42" t="inlineStr">
        <is>
          <t>Investmentsin Associatesat Cost</t>
        </is>
      </c>
      <c r="B42" s="3" t="n">
        <v>150222000</v>
      </c>
      <c r="C42" s="3" t="n">
        <v>144421000</v>
      </c>
      <c r="D42" s="3" t="n">
        <v>139799000</v>
      </c>
    </row>
    <row r="43">
      <c r="A43" t="inlineStr">
        <is>
          <t>Investment Properties</t>
        </is>
      </c>
      <c r="B43" s="3" t="n">
        <v>219772000</v>
      </c>
      <c r="C43" s="3" t="n">
        <v>218468000</v>
      </c>
      <c r="D43" s="3" t="n">
        <v>164153000</v>
      </c>
    </row>
    <row r="44">
      <c r="A44" t="inlineStr">
        <is>
          <t>Goodwill And Other Intangible Assets</t>
        </is>
      </c>
      <c r="B44" s="3" t="n">
        <v>35509000</v>
      </c>
      <c r="C44" s="3" t="n">
        <v>27313000</v>
      </c>
      <c r="D44" s="3" t="n">
        <v>31456000</v>
      </c>
    </row>
    <row r="45">
      <c r="A45" t="inlineStr">
        <is>
          <t>Other Intangible Assets</t>
        </is>
      </c>
      <c r="B45" s="3" t="n">
        <v>35509000</v>
      </c>
      <c r="C45" s="3" t="n"/>
      <c r="D45" s="3" t="n">
        <v>31456000</v>
      </c>
    </row>
    <row r="46">
      <c r="A46" t="inlineStr">
        <is>
          <t>Net PPE</t>
        </is>
      </c>
      <c r="B46" s="3" t="n">
        <v>6740924000</v>
      </c>
      <c r="C46" s="3" t="n">
        <v>6167973000</v>
      </c>
      <c r="D46" s="3" t="n">
        <v>5936878000</v>
      </c>
    </row>
    <row r="47">
      <c r="A47" t="inlineStr">
        <is>
          <t>Accumulated Depreciation</t>
        </is>
      </c>
      <c r="B47" s="3" t="n">
        <v>-6097687000</v>
      </c>
      <c r="C47" s="3" t="n"/>
      <c r="D47" s="3" t="n">
        <v>-5330000000</v>
      </c>
    </row>
    <row r="48">
      <c r="A48" t="inlineStr">
        <is>
          <t>Gross PPE</t>
        </is>
      </c>
      <c r="B48" s="3" t="n">
        <v>12838611000</v>
      </c>
      <c r="C48" s="3" t="n">
        <v>6167973000</v>
      </c>
      <c r="D48" s="3" t="n">
        <v>11266878000</v>
      </c>
    </row>
    <row r="49">
      <c r="A49" t="inlineStr">
        <is>
          <t>Construction In Progress</t>
        </is>
      </c>
      <c r="B49" s="3" t="n">
        <v>2076403000</v>
      </c>
      <c r="C49" s="3" t="n"/>
      <c r="D49" s="3" t="n">
        <v>1890771000</v>
      </c>
    </row>
    <row r="50">
      <c r="A50" t="inlineStr">
        <is>
          <t>Other Properties</t>
        </is>
      </c>
      <c r="B50" s="3" t="n"/>
      <c r="C50" s="3" t="n">
        <v>6167973000</v>
      </c>
      <c r="D50" s="3" t="n"/>
    </row>
    <row r="51">
      <c r="A51" t="inlineStr">
        <is>
          <t>Machinery Furniture Equipment</t>
        </is>
      </c>
      <c r="B51" s="3" t="n">
        <v>9696075000</v>
      </c>
      <c r="C51" s="3" t="n"/>
      <c r="D51" s="3" t="n">
        <v>8424057000</v>
      </c>
    </row>
    <row r="52">
      <c r="A52" t="inlineStr">
        <is>
          <t>Buildings And Improvements</t>
        </is>
      </c>
      <c r="B52" s="3" t="n">
        <v>1017221000</v>
      </c>
      <c r="C52" s="3" t="n"/>
      <c r="D52" s="3" t="n">
        <v>894111000</v>
      </c>
    </row>
    <row r="53">
      <c r="A53" t="inlineStr">
        <is>
          <t>Land And Improvements</t>
        </is>
      </c>
      <c r="B53" s="3" t="n">
        <v>48912000</v>
      </c>
      <c r="C53" s="3" t="n"/>
      <c r="D53" s="3" t="n">
        <v>57939000</v>
      </c>
    </row>
    <row r="54">
      <c r="A54" t="inlineStr">
        <is>
          <t>Properties</t>
        </is>
      </c>
      <c r="B54" s="3" t="n">
        <v>0</v>
      </c>
      <c r="C54" s="3" t="n"/>
      <c r="D54" s="3" t="n">
        <v>0</v>
      </c>
    </row>
    <row r="55">
      <c r="A55" t="inlineStr">
        <is>
          <t>Current Assets</t>
        </is>
      </c>
      <c r="B55" s="3" t="n">
        <v>6606697000</v>
      </c>
      <c r="C55" s="3" t="n">
        <v>5344953000</v>
      </c>
      <c r="D55" s="3" t="n">
        <v>5832503000</v>
      </c>
    </row>
    <row r="56">
      <c r="A56" t="inlineStr">
        <is>
          <t>Other Current Assets</t>
        </is>
      </c>
      <c r="B56" s="3" t="n">
        <v>20846000</v>
      </c>
      <c r="C56" s="3" t="n"/>
      <c r="D56" s="3" t="n">
        <v>12361000</v>
      </c>
    </row>
    <row r="57">
      <c r="A57" t="inlineStr">
        <is>
          <t>Restricted Cash</t>
        </is>
      </c>
      <c r="B57" s="3" t="n">
        <v>99494000</v>
      </c>
      <c r="C57" s="3" t="n">
        <v>31756000</v>
      </c>
      <c r="D57" s="3" t="n">
        <v>31624000</v>
      </c>
    </row>
    <row r="58">
      <c r="A58" t="inlineStr">
        <is>
          <t>Prepaid Assets</t>
        </is>
      </c>
      <c r="B58" s="3" t="n">
        <v>20846000</v>
      </c>
      <c r="C58" s="3" t="n"/>
      <c r="D58" s="3" t="n">
        <v>12361000</v>
      </c>
    </row>
    <row r="59">
      <c r="A59" t="inlineStr">
        <is>
          <t>Inventory</t>
        </is>
      </c>
      <c r="B59" s="3" t="n">
        <v>759879000</v>
      </c>
      <c r="C59" s="3" t="n">
        <v>735095000</v>
      </c>
      <c r="D59" s="3" t="n">
        <v>688965000</v>
      </c>
    </row>
    <row r="60">
      <c r="A60" t="inlineStr">
        <is>
          <t>Inventories Adjustments Allowances</t>
        </is>
      </c>
      <c r="B60" s="3" t="n"/>
      <c r="C60" s="3" t="n"/>
      <c r="D60" s="3" t="n">
        <v>-74676000</v>
      </c>
    </row>
    <row r="61">
      <c r="A61" t="inlineStr">
        <is>
          <t>Other Inventories</t>
        </is>
      </c>
      <c r="B61" s="3" t="n"/>
      <c r="C61" s="3" t="n">
        <v>513434000</v>
      </c>
      <c r="D61" s="3" t="n"/>
    </row>
    <row r="62">
      <c r="A62" t="inlineStr">
        <is>
          <t>Finished Goods</t>
        </is>
      </c>
      <c r="B62" s="3" t="n">
        <v>339590000</v>
      </c>
      <c r="C62" s="3" t="n">
        <v>221661000</v>
      </c>
      <c r="D62" s="3" t="n">
        <v>286853000</v>
      </c>
    </row>
    <row r="63">
      <c r="A63" t="inlineStr">
        <is>
          <t>Work In Process</t>
        </is>
      </c>
      <c r="B63" s="3" t="n">
        <v>240847000</v>
      </c>
      <c r="C63" s="3" t="n"/>
      <c r="D63" s="3" t="n">
        <v>189393000</v>
      </c>
    </row>
    <row r="64">
      <c r="A64" t="inlineStr">
        <is>
          <t>Raw Materials</t>
        </is>
      </c>
      <c r="B64" s="3" t="n">
        <v>179442000</v>
      </c>
      <c r="C64" s="3" t="n"/>
      <c r="D64" s="3" t="n">
        <v>212719000</v>
      </c>
    </row>
    <row r="65">
      <c r="A65" t="inlineStr">
        <is>
          <t>Other Receivables</t>
        </is>
      </c>
      <c r="B65" s="3" t="n">
        <v>87404000</v>
      </c>
      <c r="C65" s="3" t="n">
        <v>518630000</v>
      </c>
      <c r="D65" s="3" t="n">
        <v>96049000</v>
      </c>
    </row>
    <row r="66">
      <c r="A66" t="inlineStr">
        <is>
          <t>Taxes Receivable</t>
        </is>
      </c>
      <c r="B66" s="3" t="n">
        <v>508357000</v>
      </c>
      <c r="C66" s="3" t="n"/>
      <c r="D66" s="3" t="n">
        <v>318690000</v>
      </c>
    </row>
    <row r="67">
      <c r="A67" t="inlineStr">
        <is>
          <t>Accounts Receivable</t>
        </is>
      </c>
      <c r="B67" s="3" t="n">
        <v>236909000</v>
      </c>
      <c r="C67" s="3" t="n">
        <v>212572000</v>
      </c>
      <c r="D67" s="3" t="n">
        <v>225682000</v>
      </c>
    </row>
    <row r="68">
      <c r="A68" t="inlineStr">
        <is>
          <t>Allowance For Doubtful Accounts Receivable</t>
        </is>
      </c>
      <c r="B68" s="3" t="n"/>
      <c r="C68" s="3" t="n">
        <v>-3901000</v>
      </c>
      <c r="D68" s="3" t="n">
        <v>-2756000</v>
      </c>
    </row>
    <row r="69">
      <c r="A69" t="inlineStr">
        <is>
          <t>Gross Accounts Receivable</t>
        </is>
      </c>
      <c r="B69" s="3" t="n"/>
      <c r="C69" s="3" t="n">
        <v>212572000</v>
      </c>
      <c r="D69" s="3" t="n">
        <v>225682000</v>
      </c>
    </row>
    <row r="70">
      <c r="A70" t="inlineStr">
        <is>
          <t>Cash Cash Equivalents And Short Term Investments</t>
        </is>
      </c>
      <c r="B70" s="3" t="n">
        <v>4893808000</v>
      </c>
      <c r="C70" s="3" t="n">
        <v>3846900000</v>
      </c>
      <c r="D70" s="3" t="n">
        <v>4459132000</v>
      </c>
    </row>
    <row r="71">
      <c r="A71" t="inlineStr">
        <is>
          <t>Cash And Cash Equivalents</t>
        </is>
      </c>
      <c r="B71" s="3" t="n">
        <v>4893808000</v>
      </c>
      <c r="C71" s="3" t="n">
        <v>3846900000</v>
      </c>
      <c r="D71" s="3" t="n">
        <v>4459132000</v>
      </c>
    </row>
    <row r="72">
      <c r="A72" t="inlineStr">
        <is>
          <t>Cash Equivalents</t>
        </is>
      </c>
      <c r="B72" s="3" t="n">
        <v>951064000</v>
      </c>
      <c r="C72" s="3" t="n"/>
      <c r="D72" s="3" t="n">
        <v>1709853000</v>
      </c>
    </row>
    <row r="73">
      <c r="A73" t="inlineStr">
        <is>
          <t>Cash Financial</t>
        </is>
      </c>
      <c r="B73" s="3" t="n">
        <v>3942744000</v>
      </c>
      <c r="C73" s="3" t="n"/>
      <c r="D73" s="3" t="n">
        <v>2749279000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-1163855000</v>
      </c>
      <c r="C2" s="3" t="n">
        <v>-2320362000</v>
      </c>
      <c r="D2" s="3" t="n">
        <v>-264912000</v>
      </c>
      <c r="E2" s="3" t="n">
        <v>-245317000</v>
      </c>
      <c r="F2" s="3" t="n"/>
    </row>
    <row r="3">
      <c r="A3" t="inlineStr">
        <is>
          <t>Repayment Of Debt</t>
        </is>
      </c>
      <c r="B3" s="3" t="n">
        <v>-1076224000</v>
      </c>
      <c r="C3" s="3" t="n">
        <v>-183524000</v>
      </c>
      <c r="D3" s="3" t="n">
        <v>-422120000</v>
      </c>
      <c r="E3" s="3" t="n">
        <v>-199670000</v>
      </c>
      <c r="F3" s="3" t="n"/>
    </row>
    <row r="4">
      <c r="A4" t="inlineStr">
        <is>
          <t>Issuance Of Debt</t>
        </is>
      </c>
      <c r="B4" s="3" t="n">
        <v>2018029000</v>
      </c>
      <c r="C4" s="3" t="n">
        <v>289285000</v>
      </c>
      <c r="D4" s="3" t="n">
        <v>615415000</v>
      </c>
      <c r="E4" s="3" t="n">
        <v>514622000</v>
      </c>
      <c r="F4" s="3" t="n"/>
    </row>
    <row r="5">
      <c r="A5" t="inlineStr">
        <is>
          <t>Issuance Of Capital Stock</t>
        </is>
      </c>
      <c r="B5" s="3" t="n">
        <v>34411000</v>
      </c>
      <c r="C5" s="3" t="n">
        <v>3642000</v>
      </c>
      <c r="D5" s="3" t="n">
        <v>2941945000</v>
      </c>
      <c r="E5" s="3" t="n">
        <v>6248000</v>
      </c>
      <c r="F5" s="3" t="n"/>
    </row>
    <row r="6">
      <c r="A6" t="inlineStr">
        <is>
          <t>Capital Expenditure</t>
        </is>
      </c>
      <c r="B6" s="3" t="n">
        <v>-1813847000</v>
      </c>
      <c r="C6" s="3" t="n">
        <v>-2779857000</v>
      </c>
      <c r="D6" s="3" t="n">
        <v>-906607000</v>
      </c>
      <c r="E6" s="3" t="n">
        <v>-996182000</v>
      </c>
      <c r="F6" s="3" t="n"/>
    </row>
    <row r="7">
      <c r="A7" t="inlineStr">
        <is>
          <t>End Cash Position</t>
        </is>
      </c>
      <c r="B7" s="3" t="n">
        <v>4893808000</v>
      </c>
      <c r="C7" s="3" t="n">
        <v>4459132000</v>
      </c>
      <c r="D7" s="3" t="n">
        <v>5585181000</v>
      </c>
      <c r="E7" s="3" t="n">
        <v>2008765000</v>
      </c>
      <c r="F7" s="3" t="n"/>
    </row>
    <row r="8">
      <c r="A8" t="inlineStr">
        <is>
          <t>Beginning Cash Position</t>
        </is>
      </c>
      <c r="B8" s="3" t="n">
        <v>4459132000</v>
      </c>
      <c r="C8" s="3" t="n">
        <v>5585181000</v>
      </c>
      <c r="D8" s="3" t="n">
        <v>2008765000</v>
      </c>
      <c r="E8" s="3" t="n">
        <v>1610140000</v>
      </c>
      <c r="F8" s="3" t="n"/>
    </row>
    <row r="9">
      <c r="A9" t="inlineStr">
        <is>
          <t>Effect Of Exchange Rate Changes</t>
        </is>
      </c>
      <c r="B9" s="3" t="n">
        <v>71422000</v>
      </c>
      <c r="C9" s="3" t="n">
        <v>-64137000</v>
      </c>
      <c r="D9" s="3" t="n">
        <v>-13713000</v>
      </c>
      <c r="E9" s="3" t="n">
        <v>-94261000</v>
      </c>
      <c r="F9" s="3" t="n"/>
    </row>
    <row r="10">
      <c r="A10" t="inlineStr">
        <is>
          <t>Changes In Cash</t>
        </is>
      </c>
      <c r="B10" s="3" t="n">
        <v>363254000</v>
      </c>
      <c r="C10" s="3" t="n">
        <v>-1061912000</v>
      </c>
      <c r="D10" s="3" t="n">
        <v>3590129000</v>
      </c>
      <c r="E10" s="3" t="n">
        <v>492886000</v>
      </c>
      <c r="F10" s="3" t="n"/>
    </row>
    <row r="11">
      <c r="A11" t="inlineStr">
        <is>
          <t>Financing Cash Flow</t>
        </is>
      </c>
      <c r="B11" s="3" t="n">
        <v>1499216000</v>
      </c>
      <c r="C11" s="3" t="n">
        <v>1150125000</v>
      </c>
      <c r="D11" s="3" t="n">
        <v>3781746000</v>
      </c>
      <c r="E11" s="3" t="n">
        <v>672177000</v>
      </c>
      <c r="F11" s="3" t="n"/>
    </row>
    <row r="12">
      <c r="A12" t="inlineStr">
        <is>
          <t>Net Other Financing Charges</t>
        </is>
      </c>
      <c r="B12" s="3" t="n">
        <v>606705000</v>
      </c>
      <c r="C12" s="3" t="n">
        <v>1187339000</v>
      </c>
      <c r="D12" s="3" t="n">
        <v>759703000</v>
      </c>
      <c r="E12" s="3" t="n">
        <v>402341000</v>
      </c>
      <c r="F12" s="3" t="n"/>
    </row>
    <row r="13">
      <c r="A13" t="inlineStr">
        <is>
          <t>Interest Paid Cff</t>
        </is>
      </c>
      <c r="B13" s="3" t="n">
        <v>-79680000</v>
      </c>
      <c r="C13" s="3" t="n">
        <v>-105736000</v>
      </c>
      <c r="D13" s="3" t="n">
        <v>-106570000</v>
      </c>
      <c r="E13" s="3" t="n">
        <v>-47286000</v>
      </c>
      <c r="F13" s="3" t="n"/>
    </row>
    <row r="14">
      <c r="A14" t="inlineStr">
        <is>
          <t>Cash Dividends Paid</t>
        </is>
      </c>
      <c r="B14" s="3" t="n"/>
      <c r="C14" s="3" t="n">
        <v>-36247000</v>
      </c>
      <c r="D14" s="3" t="n"/>
      <c r="E14" s="3" t="n"/>
      <c r="F14" s="3" t="n"/>
    </row>
    <row r="15">
      <c r="A15" t="inlineStr">
        <is>
          <t>Net Common Stock Issuance</t>
        </is>
      </c>
      <c r="B15" s="3" t="n">
        <v>34411000</v>
      </c>
      <c r="C15" s="3" t="n">
        <v>3642000</v>
      </c>
      <c r="D15" s="3" t="n">
        <v>2941945000</v>
      </c>
      <c r="E15" s="3" t="n">
        <v>6248000</v>
      </c>
      <c r="F15" s="3" t="n"/>
    </row>
    <row r="16">
      <c r="A16" t="inlineStr">
        <is>
          <t>Common Stock Issuance</t>
        </is>
      </c>
      <c r="B16" s="3" t="n">
        <v>34411000</v>
      </c>
      <c r="C16" s="3" t="n">
        <v>3642000</v>
      </c>
      <c r="D16" s="3" t="n">
        <v>2941945000</v>
      </c>
      <c r="E16" s="3" t="n">
        <v>6248000</v>
      </c>
      <c r="F16" s="3" t="n"/>
    </row>
    <row r="17">
      <c r="A17" t="inlineStr">
        <is>
          <t>Net Issuance Payments Of Debt</t>
        </is>
      </c>
      <c r="B17" s="3" t="n">
        <v>941805000</v>
      </c>
      <c r="C17" s="3" t="n">
        <v>105761000</v>
      </c>
      <c r="D17" s="3" t="n">
        <v>193295000</v>
      </c>
      <c r="E17" s="3" t="n">
        <v>314952000</v>
      </c>
      <c r="F17" s="3" t="n"/>
    </row>
    <row r="18">
      <c r="A18" t="inlineStr">
        <is>
          <t>Net Long Term Debt Issuance</t>
        </is>
      </c>
      <c r="B18" s="3" t="n">
        <v>941805000</v>
      </c>
      <c r="C18" s="3" t="n">
        <v>105761000</v>
      </c>
      <c r="D18" s="3" t="n">
        <v>193295000</v>
      </c>
      <c r="E18" s="3" t="n">
        <v>314952000</v>
      </c>
      <c r="F18" s="3" t="n"/>
    </row>
    <row r="19">
      <c r="A19" t="inlineStr">
        <is>
          <t>Long Term Debt Payments</t>
        </is>
      </c>
      <c r="B19" s="3" t="n">
        <v>-1076224000</v>
      </c>
      <c r="C19" s="3" t="n">
        <v>-183524000</v>
      </c>
      <c r="D19" s="3" t="n">
        <v>-422120000</v>
      </c>
      <c r="E19" s="3" t="n">
        <v>-199670000</v>
      </c>
      <c r="F19" s="3" t="n"/>
    </row>
    <row r="20">
      <c r="A20" t="inlineStr">
        <is>
          <t>Long Term Debt Issuance</t>
        </is>
      </c>
      <c r="B20" s="3" t="n">
        <v>2018029000</v>
      </c>
      <c r="C20" s="3" t="n">
        <v>289285000</v>
      </c>
      <c r="D20" s="3" t="n">
        <v>615415000</v>
      </c>
      <c r="E20" s="3" t="n">
        <v>514622000</v>
      </c>
      <c r="F20" s="3" t="n"/>
    </row>
    <row r="21">
      <c r="A21" t="inlineStr">
        <is>
          <t>Investing Cash Flow</t>
        </is>
      </c>
      <c r="B21" s="3" t="n">
        <v>-1785954000</v>
      </c>
      <c r="C21" s="3" t="n">
        <v>-2671532000</v>
      </c>
      <c r="D21" s="3" t="n">
        <v>-833312000</v>
      </c>
      <c r="E21" s="3" t="n">
        <v>-930156000</v>
      </c>
      <c r="F21" s="3" t="n"/>
    </row>
    <row r="22">
      <c r="A22" t="inlineStr">
        <is>
          <t>Net Other Investing Changes</t>
        </is>
      </c>
      <c r="B22" s="3" t="n">
        <v>49186000</v>
      </c>
      <c r="C22" s="3" t="n">
        <v>41149000</v>
      </c>
      <c r="D22" s="3" t="n">
        <v>11692000</v>
      </c>
      <c r="E22" s="3" t="n">
        <v>38414000</v>
      </c>
      <c r="F22" s="3" t="n"/>
    </row>
    <row r="23">
      <c r="A23" t="inlineStr">
        <is>
          <t>Interest Received Cfi</t>
        </is>
      </c>
      <c r="B23" s="3" t="n">
        <v>65079000</v>
      </c>
      <c r="C23" s="3" t="n">
        <v>82034000</v>
      </c>
      <c r="D23" s="3" t="n">
        <v>61551000</v>
      </c>
      <c r="E23" s="3" t="n">
        <v>28450000</v>
      </c>
      <c r="F23" s="3" t="n"/>
    </row>
    <row r="24">
      <c r="A24" t="inlineStr">
        <is>
          <t>Dividends Received Cfi</t>
        </is>
      </c>
      <c r="B24" s="3" t="n"/>
      <c r="C24" s="3" t="n"/>
      <c r="D24" s="3" t="n">
        <v>0</v>
      </c>
      <c r="E24" s="3" t="n">
        <v>63000</v>
      </c>
      <c r="F24" s="3" t="n">
        <v>0</v>
      </c>
    </row>
    <row r="25">
      <c r="A25" t="inlineStr">
        <is>
          <t>Net Investment Purchase And Sale</t>
        </is>
      </c>
      <c r="B25" s="3" t="n">
        <v>-84739000</v>
      </c>
      <c r="C25" s="3" t="n">
        <v>-14970000</v>
      </c>
      <c r="D25" s="3" t="n">
        <v>0</v>
      </c>
      <c r="E25" s="3" t="n">
        <v>5707000</v>
      </c>
      <c r="F25" s="3" t="n"/>
    </row>
    <row r="26">
      <c r="A26" t="inlineStr">
        <is>
          <t>Sale Of Investment</t>
        </is>
      </c>
      <c r="B26" s="3" t="n">
        <v>0</v>
      </c>
      <c r="C26" s="3" t="n">
        <v>2648000</v>
      </c>
      <c r="D26" s="3" t="n">
        <v>0</v>
      </c>
      <c r="E26" s="3" t="n">
        <v>5707000</v>
      </c>
      <c r="F26" s="3" t="n"/>
    </row>
    <row r="27">
      <c r="A27" t="inlineStr">
        <is>
          <t>Purchase Of Investment</t>
        </is>
      </c>
      <c r="B27" s="3" t="n">
        <v>-84739000</v>
      </c>
      <c r="C27" s="3" t="n">
        <v>-17618000</v>
      </c>
      <c r="D27" s="3" t="n">
        <v>0</v>
      </c>
      <c r="E27" s="3" t="n">
        <v>0</v>
      </c>
      <c r="F27" s="3" t="n"/>
    </row>
    <row r="28">
      <c r="A28" t="inlineStr">
        <is>
          <t>Net Business Purchase And Sale</t>
        </is>
      </c>
      <c r="B28" s="3" t="n">
        <v>-2794000</v>
      </c>
      <c r="C28" s="3" t="n">
        <v>0</v>
      </c>
      <c r="D28" s="3" t="n">
        <v>0</v>
      </c>
      <c r="E28" s="3" t="n">
        <v>-6717000</v>
      </c>
      <c r="F28" s="3" t="n"/>
    </row>
    <row r="29">
      <c r="A29" t="inlineStr">
        <is>
          <t>Purchase Of Business</t>
        </is>
      </c>
      <c r="B29" s="3" t="n">
        <v>-2794000</v>
      </c>
      <c r="C29" s="3" t="n">
        <v>0</v>
      </c>
      <c r="D29" s="3" t="n">
        <v>0</v>
      </c>
      <c r="E29" s="3" t="n">
        <v>-6717000</v>
      </c>
      <c r="F29" s="3" t="n"/>
    </row>
    <row r="30">
      <c r="A30" t="inlineStr">
        <is>
          <t>Net Intangibles Purchase And Sale</t>
        </is>
      </c>
      <c r="B30" s="3" t="n"/>
      <c r="C30" s="3" t="n"/>
      <c r="D30" s="3" t="n"/>
      <c r="E30" s="3" t="n">
        <v>-996182000</v>
      </c>
      <c r="F30" s="3" t="n">
        <v>-938911000</v>
      </c>
    </row>
    <row r="31">
      <c r="A31" t="inlineStr">
        <is>
          <t>Purchase Of Intangibles</t>
        </is>
      </c>
      <c r="B31" s="3" t="n"/>
      <c r="C31" s="3" t="n"/>
      <c r="D31" s="3" t="n"/>
      <c r="E31" s="3" t="n">
        <v>-996182000</v>
      </c>
      <c r="F31" s="3" t="n">
        <v>-938911000</v>
      </c>
    </row>
    <row r="32">
      <c r="A32" t="inlineStr">
        <is>
          <t>Net PPE Purchase And Sale</t>
        </is>
      </c>
      <c r="B32" s="3" t="n">
        <v>-1812686000</v>
      </c>
      <c r="C32" s="3" t="n">
        <v>-2779745000</v>
      </c>
      <c r="D32" s="3" t="n">
        <v>-906555000</v>
      </c>
      <c r="E32" s="3" t="n">
        <v>-996073000</v>
      </c>
      <c r="F32" s="3" t="n"/>
    </row>
    <row r="33">
      <c r="A33" t="inlineStr">
        <is>
          <t>Sale Of PPE</t>
        </is>
      </c>
      <c r="B33" s="3" t="n">
        <v>1161000</v>
      </c>
      <c r="C33" s="3" t="n">
        <v>112000</v>
      </c>
      <c r="D33" s="3" t="n">
        <v>52000</v>
      </c>
      <c r="E33" s="3" t="n">
        <v>109000</v>
      </c>
      <c r="F33" s="3" t="n"/>
    </row>
    <row r="34">
      <c r="A34" t="inlineStr">
        <is>
          <t>Purchase Of PPE</t>
        </is>
      </c>
      <c r="B34" s="3" t="n">
        <v>-1813847000</v>
      </c>
      <c r="C34" s="3" t="n">
        <v>-2779857000</v>
      </c>
      <c r="D34" s="3" t="n">
        <v>-906607000</v>
      </c>
      <c r="E34" s="3" t="n">
        <v>-996182000</v>
      </c>
      <c r="F34" s="3" t="n"/>
    </row>
    <row r="35">
      <c r="A35" t="inlineStr">
        <is>
          <t>Operating Cash Flow</t>
        </is>
      </c>
      <c r="B35" s="3" t="n">
        <v>649992000</v>
      </c>
      <c r="C35" s="3" t="n">
        <v>459495000</v>
      </c>
      <c r="D35" s="3" t="n">
        <v>641695000</v>
      </c>
      <c r="E35" s="3" t="n">
        <v>750865000</v>
      </c>
      <c r="F35" s="3" t="n"/>
    </row>
    <row r="36">
      <c r="A36" t="inlineStr">
        <is>
          <t>Taxes Refund Paid</t>
        </is>
      </c>
      <c r="B36" s="3" t="n">
        <v>-38336000</v>
      </c>
      <c r="C36" s="3" t="n">
        <v>-57437000</v>
      </c>
      <c r="D36" s="3" t="n">
        <v>-71505000</v>
      </c>
      <c r="E36" s="3" t="n">
        <v>-50901000</v>
      </c>
      <c r="F36" s="3" t="n"/>
    </row>
    <row r="37">
      <c r="A37" t="inlineStr">
        <is>
          <t>Change In Working Capital</t>
        </is>
      </c>
      <c r="B37" s="3" t="n">
        <v>244775000</v>
      </c>
      <c r="C37" s="3" t="n">
        <v>102865000</v>
      </c>
      <c r="D37" s="3" t="n">
        <v>-221834000</v>
      </c>
      <c r="E37" s="3" t="n">
        <v>-173914000</v>
      </c>
      <c r="F37" s="3" t="n"/>
    </row>
    <row r="38">
      <c r="A38" t="inlineStr">
        <is>
          <t>Change In Other Current Assets</t>
        </is>
      </c>
      <c r="B38" s="3" t="n">
        <v>2755000</v>
      </c>
      <c r="C38" s="3" t="n">
        <v>11943000</v>
      </c>
      <c r="D38" s="3" t="n">
        <v>-5425000</v>
      </c>
      <c r="E38" s="3" t="n">
        <v>-20765000</v>
      </c>
      <c r="F38" s="3" t="n"/>
    </row>
    <row r="39">
      <c r="A39" t="inlineStr">
        <is>
          <t>Change In Payable</t>
        </is>
      </c>
      <c r="B39" s="3" t="n">
        <v>113364000</v>
      </c>
      <c r="C39" s="3" t="n">
        <v>139106000</v>
      </c>
      <c r="D39" s="3" t="n">
        <v>-100312000</v>
      </c>
      <c r="E39" s="3" t="n">
        <v>152149000</v>
      </c>
      <c r="F39" s="3" t="n"/>
    </row>
    <row r="40">
      <c r="A40" t="inlineStr">
        <is>
          <t>Change In Prepaid Assets</t>
        </is>
      </c>
      <c r="B40" s="3" t="n">
        <v>-12573000</v>
      </c>
      <c r="C40" s="3" t="n">
        <v>7229000</v>
      </c>
      <c r="D40" s="3" t="n">
        <v>11851000</v>
      </c>
      <c r="E40" s="3" t="n">
        <v>-4248000</v>
      </c>
      <c r="F40" s="3" t="n"/>
    </row>
    <row r="41">
      <c r="A41" t="inlineStr">
        <is>
          <t>Change In Inventory</t>
        </is>
      </c>
      <c r="B41" s="3" t="n">
        <v>144597000</v>
      </c>
      <c r="C41" s="3" t="n">
        <v>-56456000</v>
      </c>
      <c r="D41" s="3" t="n">
        <v>-141817000</v>
      </c>
      <c r="E41" s="3" t="n">
        <v>-184270000</v>
      </c>
      <c r="F41" s="3" t="n"/>
    </row>
    <row r="42">
      <c r="A42" t="inlineStr">
        <is>
          <t>Change In Receivables</t>
        </is>
      </c>
      <c r="B42" s="3" t="n">
        <v>-3368000</v>
      </c>
      <c r="C42" s="3" t="n">
        <v>1043000</v>
      </c>
      <c r="D42" s="3" t="n">
        <v>13869000</v>
      </c>
      <c r="E42" s="3" t="n">
        <v>-116780000</v>
      </c>
      <c r="F42" s="3" t="n"/>
    </row>
    <row r="43">
      <c r="A43" t="inlineStr">
        <is>
          <t>Other Non Cash Items</t>
        </is>
      </c>
      <c r="B43" s="3" t="n">
        <v>8312000</v>
      </c>
      <c r="C43" s="3" t="n">
        <v>-4854000</v>
      </c>
      <c r="D43" s="3" t="n">
        <v>39152000</v>
      </c>
      <c r="E43" s="3" t="n">
        <v>13387000</v>
      </c>
      <c r="F43" s="3" t="n"/>
    </row>
    <row r="44">
      <c r="A44" t="inlineStr">
        <is>
          <t>Stock Based Compensation</t>
        </is>
      </c>
      <c r="B44" s="3" t="n">
        <v>0</v>
      </c>
      <c r="C44" s="3" t="n">
        <v>18000</v>
      </c>
      <c r="D44" s="3" t="n">
        <v>853000</v>
      </c>
      <c r="E44" s="3" t="n">
        <v>1226000</v>
      </c>
      <c r="F44" s="3" t="n"/>
    </row>
    <row r="45">
      <c r="A45" t="inlineStr">
        <is>
          <t>Depreciation And Amortization</t>
        </is>
      </c>
      <c r="B45" s="3" t="n">
        <v>741772000</v>
      </c>
      <c r="C45" s="3" t="n">
        <v>555832000</v>
      </c>
      <c r="D45" s="3" t="n">
        <v>500439000</v>
      </c>
      <c r="E45" s="3" t="n">
        <v>456860000</v>
      </c>
      <c r="F45" s="3" t="n"/>
    </row>
    <row r="46">
      <c r="A46" t="inlineStr">
        <is>
          <t>Amortization Cash Flow</t>
        </is>
      </c>
      <c r="B46" s="3" t="n">
        <v>15259000</v>
      </c>
      <c r="C46" s="3" t="n">
        <v>15961000</v>
      </c>
      <c r="D46" s="3" t="n">
        <v>12348000</v>
      </c>
      <c r="E46" s="3" t="n">
        <v>11101000</v>
      </c>
      <c r="F46" s="3" t="n"/>
    </row>
    <row r="47">
      <c r="A47" t="inlineStr">
        <is>
          <t>Depreciation</t>
        </is>
      </c>
      <c r="B47" s="3" t="n">
        <v>726513000</v>
      </c>
      <c r="C47" s="3" t="n">
        <v>539871000</v>
      </c>
      <c r="D47" s="3" t="n">
        <v>488091000</v>
      </c>
      <c r="E47" s="3" t="n">
        <v>445759000</v>
      </c>
      <c r="F47" s="3" t="n"/>
    </row>
    <row r="48">
      <c r="A48" t="inlineStr">
        <is>
          <t>Gain Loss On Investment Securities</t>
        </is>
      </c>
      <c r="B48" s="3" t="n">
        <v>2844000</v>
      </c>
      <c r="C48" s="3" t="n">
        <v>39000</v>
      </c>
      <c r="D48" s="3" t="n">
        <v>-103000</v>
      </c>
      <c r="E48" s="3" t="n">
        <v>-141000</v>
      </c>
      <c r="F48" s="3" t="n"/>
    </row>
    <row r="49">
      <c r="A49" t="inlineStr">
        <is>
          <t>Gain Loss On Sale Of PPE</t>
        </is>
      </c>
      <c r="B49" s="3" t="n">
        <v>-884000</v>
      </c>
      <c r="C49" s="3" t="n">
        <v>192000</v>
      </c>
      <c r="D49" s="3" t="n">
        <v>206000</v>
      </c>
      <c r="E49" s="3" t="n">
        <v>-5000</v>
      </c>
      <c r="F49" s="3" t="n"/>
    </row>
    <row r="50">
      <c r="A50" t="inlineStr">
        <is>
          <t>Net Income From Continuing Operations</t>
        </is>
      </c>
      <c r="B50" s="3" t="n">
        <v>-88529000</v>
      </c>
      <c r="C50" s="3" t="n">
        <v>-133792000</v>
      </c>
      <c r="D50" s="3" t="n">
        <v>173579000</v>
      </c>
      <c r="E50" s="3" t="n">
        <v>496070000</v>
      </c>
      <c r="F5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(no data)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Forward P/E</t>
        </is>
      </c>
      <c r="B2" t="inlineStr">
        <is>
          <t>missing from yfinance</t>
        </is>
      </c>
    </row>
    <row r="3">
      <c r="A3" t="inlineStr">
        <is>
          <t>FY Summary</t>
        </is>
      </c>
      <c r="B3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2026-07-02T16:26:35Z</dcterms:created>
  <dcterms:modified xsi:type="dcterms:W3CDTF">2026-07-02T16:26:36Z</dcterms:modified>
</cp:coreProperties>
</file>