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MELE.BR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Melexis NV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2689463552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3029475584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26.575878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17.86331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3.1680555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0.39376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0.17768998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0.12247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0.22027999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0.026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37348000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301032992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174874000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39377209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68.3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(quarterly)'!B36:E36)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(quarterly)'!B34:E34)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(annual)'!D35</f>
        <v/>
      </c>
      <c r="C6" s="3">
        <f>'Income stmt (annual)'!C35</f>
        <v/>
      </c>
      <c r="D6" s="3">
        <f>'Income stmt (annual)'!B35</f>
        <v/>
      </c>
      <c r="E6" s="3">
        <f>SUM('Income stmt (quarterly)'!B28:E28)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-9539.690283</v>
      </c>
      <c r="C2" s="3" t="n">
        <v>-80440.09709</v>
      </c>
      <c r="D2" s="3" t="n">
        <v>-195282.148125</v>
      </c>
      <c r="E2" s="3" t="n">
        <v>2558045.427106</v>
      </c>
    </row>
    <row r="3">
      <c r="A3" t="inlineStr">
        <is>
          <t>Tax Rate For Calcs</t>
        </is>
      </c>
      <c r="B3" s="3" t="n">
        <v>0.172119</v>
      </c>
      <c r="C3" s="3" t="n">
        <v>0.164984</v>
      </c>
      <c r="D3" s="3" t="n">
        <v>0.172614</v>
      </c>
      <c r="E3" s="3" t="n">
        <v>0.172945</v>
      </c>
    </row>
    <row r="4">
      <c r="A4" t="inlineStr">
        <is>
          <t>Normalized EBITDA</t>
        </is>
      </c>
      <c r="B4" s="3" t="n">
        <v>198934909</v>
      </c>
      <c r="C4" s="3" t="n">
        <v>264770063</v>
      </c>
      <c r="D4" s="3" t="n">
        <v>305449111</v>
      </c>
      <c r="E4" s="3" t="n">
        <v>269260865</v>
      </c>
    </row>
    <row r="5">
      <c r="A5" t="inlineStr">
        <is>
          <t>Total Unusual Items</t>
        </is>
      </c>
      <c r="B5" s="3" t="n">
        <v>-55425</v>
      </c>
      <c r="C5" s="3" t="n">
        <v>-487562</v>
      </c>
      <c r="D5" s="3" t="n">
        <v>-1131322</v>
      </c>
      <c r="E5" s="3" t="n">
        <v>14791129</v>
      </c>
    </row>
    <row r="6">
      <c r="A6" t="inlineStr">
        <is>
          <t>Total Unusual Items Excluding Goodwill</t>
        </is>
      </c>
      <c r="B6" s="3" t="n">
        <v>-55425</v>
      </c>
      <c r="C6" s="3" t="n">
        <v>-487562</v>
      </c>
      <c r="D6" s="3" t="n">
        <v>-1131322</v>
      </c>
      <c r="E6" s="3" t="n">
        <v>14791129</v>
      </c>
    </row>
    <row r="7">
      <c r="A7" t="inlineStr">
        <is>
          <t>Net Income From Continuing Operation Net Minority Interest</t>
        </is>
      </c>
      <c r="B7" s="3" t="n">
        <v>112505226</v>
      </c>
      <c r="C7" s="3" t="n">
        <v>171446322</v>
      </c>
      <c r="D7" s="3" t="n">
        <v>209463394</v>
      </c>
      <c r="E7" s="3" t="n">
        <v>197152664</v>
      </c>
    </row>
    <row r="8">
      <c r="A8" t="inlineStr">
        <is>
          <t>Reconciled Depreciation</t>
        </is>
      </c>
      <c r="B8" s="3" t="n">
        <v>53338881</v>
      </c>
      <c r="C8" s="3" t="n">
        <v>47741175</v>
      </c>
      <c r="D8" s="3" t="n">
        <v>45169477</v>
      </c>
      <c r="E8" s="3" t="n">
        <v>45166591</v>
      </c>
    </row>
    <row r="9">
      <c r="A9" t="inlineStr">
        <is>
          <t>Reconciled Cost Of Revenue</t>
        </is>
      </c>
      <c r="B9" s="3" t="n">
        <v>515607788</v>
      </c>
      <c r="C9" s="3" t="n">
        <v>531457147</v>
      </c>
      <c r="D9" s="3" t="n">
        <v>524077489</v>
      </c>
      <c r="E9" s="3" t="n">
        <v>461478978</v>
      </c>
    </row>
    <row r="10">
      <c r="A10" t="inlineStr">
        <is>
          <t>EBITDA</t>
        </is>
      </c>
      <c r="B10" s="3" t="n">
        <v>198879484</v>
      </c>
      <c r="C10" s="3" t="n">
        <v>264282501</v>
      </c>
      <c r="D10" s="3" t="n">
        <v>304317789</v>
      </c>
      <c r="E10" s="3" t="n">
        <v>284051994</v>
      </c>
    </row>
    <row r="11">
      <c r="A11" t="inlineStr">
        <is>
          <t>EBIT</t>
        </is>
      </c>
      <c r="B11" s="3" t="n">
        <v>145540603</v>
      </c>
      <c r="C11" s="3" t="n">
        <v>216541326</v>
      </c>
      <c r="D11" s="3" t="n">
        <v>259148312</v>
      </c>
      <c r="E11" s="3" t="n">
        <v>238885403</v>
      </c>
    </row>
    <row r="12">
      <c r="A12" t="inlineStr">
        <is>
          <t>Net Interest Income</t>
        </is>
      </c>
      <c r="B12" s="3" t="n">
        <v>-9699693</v>
      </c>
      <c r="C12" s="3" t="n">
        <v>-11071292</v>
      </c>
      <c r="D12" s="3" t="n">
        <v>-5278724</v>
      </c>
      <c r="E12" s="3" t="n">
        <v>-664560</v>
      </c>
    </row>
    <row r="13">
      <c r="A13" t="inlineStr">
        <is>
          <t>Interest Expense</t>
        </is>
      </c>
      <c r="B13" s="3" t="n">
        <v>9645211</v>
      </c>
      <c r="C13" s="3" t="n">
        <v>11220239</v>
      </c>
      <c r="D13" s="3" t="n">
        <v>5985432</v>
      </c>
      <c r="E13" s="3" t="n">
        <v>506382</v>
      </c>
    </row>
    <row r="14">
      <c r="A14" t="inlineStr">
        <is>
          <t>Interest Income</t>
        </is>
      </c>
      <c r="B14" s="3" t="n">
        <v>178430</v>
      </c>
      <c r="C14" s="3" t="n">
        <v>356694</v>
      </c>
      <c r="D14" s="3" t="n">
        <v>891554</v>
      </c>
      <c r="E14" s="3" t="n">
        <v>50121</v>
      </c>
    </row>
    <row r="15">
      <c r="A15" t="inlineStr">
        <is>
          <t>Normalized Income</t>
        </is>
      </c>
      <c r="B15" s="3" t="n">
        <v>112551111.309717</v>
      </c>
      <c r="C15" s="3" t="n">
        <v>171853443.90291</v>
      </c>
      <c r="D15" s="3" t="n">
        <v>210399433.851875</v>
      </c>
      <c r="E15" s="3" t="n">
        <v>184919580.427106</v>
      </c>
    </row>
    <row r="16">
      <c r="A16" t="inlineStr">
        <is>
          <t>Net Income From Continuing And Discontinued Operation</t>
        </is>
      </c>
      <c r="B16" s="3" t="n">
        <v>112505226</v>
      </c>
      <c r="C16" s="3" t="n">
        <v>171446322</v>
      </c>
      <c r="D16" s="3" t="n">
        <v>209463394</v>
      </c>
      <c r="E16" s="3" t="n">
        <v>197152664</v>
      </c>
    </row>
    <row r="17">
      <c r="A17" t="inlineStr">
        <is>
          <t>Total Expenses</t>
        </is>
      </c>
      <c r="B17" s="3" t="n">
        <v>705654043</v>
      </c>
      <c r="C17" s="3" t="n">
        <v>712918964</v>
      </c>
      <c r="D17" s="3" t="n">
        <v>703047725</v>
      </c>
      <c r="E17" s="3" t="n">
        <v>609629413</v>
      </c>
    </row>
    <row r="18">
      <c r="A18" t="inlineStr">
        <is>
          <t>Total Operating Income As Reported</t>
        </is>
      </c>
      <c r="B18" s="3" t="n">
        <v>133962915</v>
      </c>
      <c r="C18" s="3" t="n">
        <v>219889102</v>
      </c>
      <c r="D18" s="3" t="n">
        <v>261250178</v>
      </c>
      <c r="E18" s="3" t="n">
        <v>226528067</v>
      </c>
    </row>
    <row r="19">
      <c r="A19" t="inlineStr">
        <is>
          <t>Diluted Average Shares</t>
        </is>
      </c>
      <c r="B19" s="3" t="n">
        <v>40400000</v>
      </c>
      <c r="C19" s="3" t="n">
        <v>40400000</v>
      </c>
      <c r="D19" s="3" t="n">
        <v>40400000</v>
      </c>
      <c r="E19" s="3" t="n">
        <v>40400000</v>
      </c>
    </row>
    <row r="20">
      <c r="A20" t="inlineStr">
        <is>
          <t>Basic Average Shares</t>
        </is>
      </c>
      <c r="B20" s="3" t="n">
        <v>40400000</v>
      </c>
      <c r="C20" s="3" t="n">
        <v>40400000</v>
      </c>
      <c r="D20" s="3" t="n">
        <v>40400000</v>
      </c>
      <c r="E20" s="3" t="n">
        <v>40400000</v>
      </c>
    </row>
    <row r="21">
      <c r="A21" t="inlineStr">
        <is>
          <t>Diluted EPS</t>
        </is>
      </c>
      <c r="B21" s="3" t="n">
        <v>2.78</v>
      </c>
      <c r="C21" s="3" t="n">
        <v>4.24</v>
      </c>
      <c r="D21" s="3" t="n">
        <v>5.18</v>
      </c>
      <c r="E21" s="3" t="n">
        <v>4.88</v>
      </c>
    </row>
    <row r="22">
      <c r="A22" t="inlineStr">
        <is>
          <t>Basic EPS</t>
        </is>
      </c>
      <c r="B22" s="3" t="n">
        <v>2.78</v>
      </c>
      <c r="C22" s="3" t="n">
        <v>4.24</v>
      </c>
      <c r="D22" s="3" t="n">
        <v>5.18</v>
      </c>
      <c r="E22" s="3" t="n">
        <v>4.88</v>
      </c>
    </row>
    <row r="23">
      <c r="A23" t="inlineStr">
        <is>
          <t>Diluted NI Availto Com Stockholders</t>
        </is>
      </c>
      <c r="B23" s="3" t="n">
        <v>112505226</v>
      </c>
      <c r="C23" s="3" t="n">
        <v>171446322</v>
      </c>
      <c r="D23" s="3" t="n">
        <v>209463394</v>
      </c>
      <c r="E23" s="3" t="n">
        <v>197152664</v>
      </c>
    </row>
    <row r="24">
      <c r="A24" t="inlineStr">
        <is>
          <t>Net Income Common Stockholders</t>
        </is>
      </c>
      <c r="B24" s="3" t="n">
        <v>112505226</v>
      </c>
      <c r="C24" s="3" t="n">
        <v>171446322</v>
      </c>
      <c r="D24" s="3" t="n">
        <v>209463394</v>
      </c>
      <c r="E24" s="3" t="n">
        <v>197152664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t="inlineStr">
        <is>
          <t>Net Income</t>
        </is>
      </c>
      <c r="B26" s="3" t="n">
        <v>112505226</v>
      </c>
      <c r="C26" s="3" t="n">
        <v>171446322</v>
      </c>
      <c r="D26" s="3" t="n">
        <v>209463394</v>
      </c>
      <c r="E26" s="3" t="n">
        <v>197152664</v>
      </c>
    </row>
    <row r="27">
      <c r="A27" t="inlineStr">
        <is>
          <t>Net Income Including Noncontrolling Interests</t>
        </is>
      </c>
      <c r="B27" s="3" t="n">
        <v>112505226</v>
      </c>
      <c r="C27" s="3" t="n">
        <v>171446322</v>
      </c>
      <c r="D27" s="3" t="n">
        <v>209463394</v>
      </c>
      <c r="E27" s="3" t="n">
        <v>197152664</v>
      </c>
    </row>
    <row r="28">
      <c r="A28" t="inlineStr">
        <is>
          <t>Net Income Continuous Operations</t>
        </is>
      </c>
      <c r="B28" s="3" t="n">
        <v>112505226</v>
      </c>
      <c r="C28" s="3" t="n">
        <v>171446322</v>
      </c>
      <c r="D28" s="3" t="n">
        <v>209463393</v>
      </c>
      <c r="E28" s="3" t="n">
        <v>197152664</v>
      </c>
    </row>
    <row r="29">
      <c r="A29" t="inlineStr">
        <is>
          <t>Tax Provision</t>
        </is>
      </c>
      <c r="B29" s="3" t="n">
        <v>23390166</v>
      </c>
      <c r="C29" s="3" t="n">
        <v>33874765</v>
      </c>
      <c r="D29" s="3" t="n">
        <v>43699487</v>
      </c>
      <c r="E29" s="3" t="n">
        <v>41226357</v>
      </c>
    </row>
    <row r="30">
      <c r="A30" t="inlineStr">
        <is>
          <t>Pretax Income</t>
        </is>
      </c>
      <c r="B30" s="3" t="n">
        <v>135895392</v>
      </c>
      <c r="C30" s="3" t="n">
        <v>205321087</v>
      </c>
      <c r="D30" s="3" t="n">
        <v>253162880</v>
      </c>
      <c r="E30" s="3" t="n">
        <v>238379021</v>
      </c>
    </row>
    <row r="31">
      <c r="A31" t="inlineStr">
        <is>
          <t>Net Non Operating Interest Income Expense</t>
        </is>
      </c>
      <c r="B31" s="3" t="n">
        <v>-9699693</v>
      </c>
      <c r="C31" s="3" t="n">
        <v>-11071292</v>
      </c>
      <c r="D31" s="3" t="n">
        <v>-5278724</v>
      </c>
      <c r="E31" s="3" t="n">
        <v>-664560</v>
      </c>
    </row>
    <row r="32">
      <c r="A32" t="inlineStr">
        <is>
          <t>Total Other Finance Cost</t>
        </is>
      </c>
      <c r="B32" s="3" t="n">
        <v>232912</v>
      </c>
      <c r="C32" s="3" t="n">
        <v>207747</v>
      </c>
      <c r="D32" s="3" t="n">
        <v>184846</v>
      </c>
      <c r="E32" s="3" t="n">
        <v>208299</v>
      </c>
    </row>
    <row r="33">
      <c r="A33" t="inlineStr">
        <is>
          <t>Interest Expense Non Operating</t>
        </is>
      </c>
      <c r="B33" s="3" t="n">
        <v>9645211</v>
      </c>
      <c r="C33" s="3" t="n">
        <v>11220239</v>
      </c>
      <c r="D33" s="3" t="n">
        <v>5985432</v>
      </c>
      <c r="E33" s="3" t="n">
        <v>506382</v>
      </c>
    </row>
    <row r="34">
      <c r="A34" t="inlineStr">
        <is>
          <t>Interest Income Non Operating</t>
        </is>
      </c>
      <c r="B34" s="3" t="n">
        <v>178430</v>
      </c>
      <c r="C34" s="3" t="n">
        <v>356694</v>
      </c>
      <c r="D34" s="3" t="n">
        <v>891554</v>
      </c>
      <c r="E34" s="3" t="n">
        <v>50121</v>
      </c>
    </row>
    <row r="35">
      <c r="A35" t="inlineStr">
        <is>
          <t>Operating Income</t>
        </is>
      </c>
      <c r="B35" s="3" t="n">
        <v>133962915</v>
      </c>
      <c r="C35" s="3" t="n">
        <v>219889103</v>
      </c>
      <c r="D35" s="3" t="n">
        <v>261250177</v>
      </c>
      <c r="E35" s="3" t="n">
        <v>226528066</v>
      </c>
    </row>
    <row r="36">
      <c r="A36" t="inlineStr">
        <is>
          <t>Operating Expense</t>
        </is>
      </c>
      <c r="B36" s="3" t="n">
        <v>190046255</v>
      </c>
      <c r="C36" s="3" t="n">
        <v>181461817</v>
      </c>
      <c r="D36" s="3" t="n">
        <v>178970236</v>
      </c>
      <c r="E36" s="3" t="n">
        <v>148150435</v>
      </c>
    </row>
    <row r="37">
      <c r="A37" t="inlineStr">
        <is>
          <t>Other Operating Expenses</t>
        </is>
      </c>
      <c r="B37" s="3" t="n">
        <v>4575919</v>
      </c>
      <c r="C37" s="3" t="n">
        <v>4191577</v>
      </c>
      <c r="D37" s="3" t="n">
        <v>3694961</v>
      </c>
      <c r="E37" s="3" t="n">
        <v>3188744</v>
      </c>
    </row>
    <row r="38">
      <c r="A38" t="inlineStr">
        <is>
          <t>Depreciation And Amortization In Income Statement</t>
        </is>
      </c>
      <c r="B38" s="3" t="n">
        <v>10452170</v>
      </c>
      <c r="C38" s="3" t="n">
        <v>7935255</v>
      </c>
      <c r="D38" s="3" t="n">
        <v>6140387</v>
      </c>
      <c r="E38" s="3" t="n">
        <v>5978913</v>
      </c>
    </row>
    <row r="39">
      <c r="A39" t="inlineStr">
        <is>
          <t>Depreciation Income Statement</t>
        </is>
      </c>
      <c r="B39" s="3" t="n">
        <v>10452170</v>
      </c>
      <c r="C39" s="3" t="n">
        <v>7935255</v>
      </c>
      <c r="D39" s="3" t="n">
        <v>6140387</v>
      </c>
      <c r="E39" s="3" t="n">
        <v>5978913</v>
      </c>
    </row>
    <row r="40">
      <c r="A40" t="inlineStr">
        <is>
          <t>Research And Development</t>
        </is>
      </c>
      <c r="B40" s="3" t="n">
        <v>115896514</v>
      </c>
      <c r="C40" s="3" t="n">
        <v>110251974</v>
      </c>
      <c r="D40" s="3" t="n">
        <v>106731643</v>
      </c>
      <c r="E40" s="3" t="n">
        <v>90211394</v>
      </c>
    </row>
    <row r="41">
      <c r="A41" t="inlineStr">
        <is>
          <t>Selling General And Administration</t>
        </is>
      </c>
      <c r="B41" s="3" t="n">
        <v>29358085</v>
      </c>
      <c r="C41" s="3" t="n">
        <v>31051454</v>
      </c>
      <c r="D41" s="3" t="n">
        <v>32783126</v>
      </c>
      <c r="E41" s="3" t="n">
        <v>24634555</v>
      </c>
    </row>
    <row r="42">
      <c r="A42" t="inlineStr">
        <is>
          <t>Selling And Marketing Expense</t>
        </is>
      </c>
      <c r="B42" s="3" t="n">
        <v>6364921</v>
      </c>
      <c r="C42" s="3" t="n">
        <v>7280604</v>
      </c>
      <c r="D42" s="3" t="n">
        <v>7403841</v>
      </c>
      <c r="E42" s="3" t="n">
        <v>4906658</v>
      </c>
    </row>
    <row r="43">
      <c r="A43" t="inlineStr">
        <is>
          <t>General And Administrative Expense</t>
        </is>
      </c>
      <c r="B43" s="3" t="n">
        <v>22993164</v>
      </c>
      <c r="C43" s="3" t="n">
        <v>23770850</v>
      </c>
      <c r="D43" s="3" t="n">
        <v>25379285</v>
      </c>
      <c r="E43" s="3" t="n">
        <v>19727897</v>
      </c>
    </row>
    <row r="44">
      <c r="A44" t="inlineStr">
        <is>
          <t>Gross Profit</t>
        </is>
      </c>
      <c r="B44" s="3" t="n">
        <v>324009170</v>
      </c>
      <c r="C44" s="3" t="n">
        <v>401350920</v>
      </c>
      <c r="D44" s="3" t="n">
        <v>440220413</v>
      </c>
      <c r="E44" s="3" t="n">
        <v>374678501</v>
      </c>
    </row>
    <row r="45">
      <c r="A45" t="inlineStr">
        <is>
          <t>Cost Of Revenue</t>
        </is>
      </c>
      <c r="B45" s="3" t="n">
        <v>515607788</v>
      </c>
      <c r="C45" s="3" t="n">
        <v>531457147</v>
      </c>
      <c r="D45" s="3" t="n">
        <v>524077489</v>
      </c>
      <c r="E45" s="3" t="n">
        <v>461478978</v>
      </c>
    </row>
    <row r="46">
      <c r="A46" t="inlineStr">
        <is>
          <t>Total Revenue</t>
        </is>
      </c>
      <c r="B46" s="3" t="n">
        <v>839616959</v>
      </c>
      <c r="C46" s="3" t="n">
        <v>932808067</v>
      </c>
      <c r="D46" s="3" t="n">
        <v>964297902</v>
      </c>
      <c r="E46" s="3" t="n">
        <v>836157480</v>
      </c>
    </row>
    <row r="47">
      <c r="A47" t="inlineStr">
        <is>
          <t>Operating Revenue</t>
        </is>
      </c>
      <c r="B47" s="3" t="n">
        <v>839616959</v>
      </c>
      <c r="C47" s="3" t="n">
        <v>932808067</v>
      </c>
      <c r="D47" s="3" t="n">
        <v>964297902</v>
      </c>
      <c r="E47" s="3" t="n">
        <v>836157480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0.13121</v>
      </c>
      <c r="C3" s="3" t="n">
        <v>0.200076</v>
      </c>
      <c r="D3" s="3" t="n">
        <v>0.208374</v>
      </c>
      <c r="E3" s="3" t="n">
        <v>0.141303</v>
      </c>
      <c r="F3" s="3" t="n">
        <v>0.137548</v>
      </c>
    </row>
    <row r="4">
      <c r="A4" t="inlineStr">
        <is>
          <t>Normalized EBITDA</t>
        </is>
      </c>
      <c r="B4" s="3" t="n">
        <v>51895000</v>
      </c>
      <c r="C4" s="3" t="n">
        <v>45766000</v>
      </c>
      <c r="D4" s="3" t="n">
        <v>43960000</v>
      </c>
      <c r="E4" s="3" t="n">
        <v>50087000</v>
      </c>
      <c r="F4" s="3" t="n">
        <v>41257000</v>
      </c>
    </row>
    <row r="5">
      <c r="A5" t="inlineStr">
        <is>
          <t>Net Income From Continuing Operation Net Minority Interest</t>
        </is>
      </c>
      <c r="B5" s="3" t="n">
        <v>30776000</v>
      </c>
      <c r="C5" s="3" t="n">
        <v>23094000</v>
      </c>
      <c r="D5" s="3" t="n">
        <v>22575000</v>
      </c>
      <c r="E5" s="3" t="n">
        <v>37805000</v>
      </c>
      <c r="F5" s="3" t="n">
        <v>24598000</v>
      </c>
    </row>
    <row r="6">
      <c r="A6" t="inlineStr">
        <is>
          <t>Reconciled Depreciation</t>
        </is>
      </c>
      <c r="B6" s="3" t="n">
        <v>13324000</v>
      </c>
      <c r="C6" s="3" t="n">
        <v>12592000</v>
      </c>
      <c r="D6" s="3" t="n">
        <v>12476000</v>
      </c>
      <c r="E6" s="3" t="n">
        <v>14436000</v>
      </c>
      <c r="F6" s="3" t="n">
        <v>12274000</v>
      </c>
    </row>
    <row r="7">
      <c r="A7" t="inlineStr">
        <is>
          <t>Reconciled Cost Of Revenue</t>
        </is>
      </c>
      <c r="B7" s="3" t="n">
        <v>129120000</v>
      </c>
      <c r="C7" s="3" t="n">
        <v>121484000</v>
      </c>
      <c r="D7" s="3" t="n">
        <v>132191000</v>
      </c>
      <c r="E7" s="3" t="n">
        <v>128987000</v>
      </c>
      <c r="F7" s="3" t="n">
        <v>122568000</v>
      </c>
    </row>
    <row r="8">
      <c r="A8" t="inlineStr">
        <is>
          <t>EBITDA</t>
        </is>
      </c>
      <c r="B8" s="3" t="n">
        <v>51895000</v>
      </c>
      <c r="C8" s="3" t="n">
        <v>45766000</v>
      </c>
      <c r="D8" s="3" t="n">
        <v>43960000</v>
      </c>
      <c r="E8" s="3" t="n">
        <v>50087000</v>
      </c>
      <c r="F8" s="3" t="n">
        <v>41257000</v>
      </c>
    </row>
    <row r="9">
      <c r="A9" t="inlineStr">
        <is>
          <t>EBIT</t>
        </is>
      </c>
      <c r="B9" s="3" t="n">
        <v>38571000</v>
      </c>
      <c r="C9" s="3" t="n">
        <v>33174000</v>
      </c>
      <c r="D9" s="3" t="n">
        <v>31484000</v>
      </c>
      <c r="E9" s="3" t="n">
        <v>35651000</v>
      </c>
      <c r="F9" s="3" t="n">
        <v>28983000</v>
      </c>
    </row>
    <row r="10">
      <c r="A10" t="inlineStr">
        <is>
          <t>Net Interest Income</t>
        </is>
      </c>
      <c r="B10" s="3" t="n">
        <v>-3147000</v>
      </c>
      <c r="C10" s="3" t="n">
        <v>-4304000</v>
      </c>
      <c r="D10" s="3" t="n">
        <v>-2968000</v>
      </c>
      <c r="E10" s="3" t="n">
        <v>8376000</v>
      </c>
      <c r="F10" s="3" t="n">
        <v>-462000</v>
      </c>
    </row>
    <row r="11">
      <c r="A11" t="inlineStr">
        <is>
          <t>Normalized Income</t>
        </is>
      </c>
      <c r="B11" s="3" t="n">
        <v>30776000</v>
      </c>
      <c r="C11" s="3" t="n">
        <v>23094000</v>
      </c>
      <c r="D11" s="3" t="n">
        <v>22575000</v>
      </c>
      <c r="E11" s="3" t="n">
        <v>37805000</v>
      </c>
      <c r="F11" s="3" t="n">
        <v>24598000</v>
      </c>
    </row>
    <row r="12">
      <c r="A12" t="inlineStr">
        <is>
          <t>Net Income From Continuing And Discontinued Operation</t>
        </is>
      </c>
      <c r="B12" s="3" t="n">
        <v>30776000</v>
      </c>
      <c r="C12" s="3" t="n">
        <v>23094000</v>
      </c>
      <c r="D12" s="3" t="n">
        <v>22575000</v>
      </c>
      <c r="E12" s="3" t="n">
        <v>37805000</v>
      </c>
      <c r="F12" s="3" t="n">
        <v>24598000</v>
      </c>
    </row>
    <row r="13">
      <c r="A13" t="inlineStr">
        <is>
          <t>Total Expenses</t>
        </is>
      </c>
      <c r="B13" s="3" t="n">
        <v>178488000</v>
      </c>
      <c r="C13" s="3" t="n">
        <v>168920000</v>
      </c>
      <c r="D13" s="3" t="n">
        <v>183009000</v>
      </c>
      <c r="E13" s="3" t="n">
        <v>175938000</v>
      </c>
      <c r="F13" s="3" t="n">
        <v>169265000</v>
      </c>
    </row>
    <row r="14">
      <c r="A14" t="inlineStr">
        <is>
          <t>Total Operating Income As Reported</t>
        </is>
      </c>
      <c r="B14" s="3" t="n">
        <v>38571000</v>
      </c>
      <c r="C14" s="3" t="n">
        <v>33174000</v>
      </c>
      <c r="D14" s="3" t="n">
        <v>31484000</v>
      </c>
      <c r="E14" s="3" t="n">
        <v>35650000</v>
      </c>
      <c r="F14" s="3" t="n">
        <v>28983000</v>
      </c>
    </row>
    <row r="15">
      <c r="A15" t="inlineStr">
        <is>
          <t>Diluted Average Shares</t>
        </is>
      </c>
      <c r="B15" s="3" t="n">
        <v>40494737</v>
      </c>
      <c r="C15" s="3" t="n">
        <v>40515789</v>
      </c>
      <c r="D15" s="3" t="n">
        <v>40312500</v>
      </c>
      <c r="E15" s="3" t="n">
        <v>40218085</v>
      </c>
      <c r="F15" s="3" t="n">
        <v>40324590</v>
      </c>
    </row>
    <row r="16">
      <c r="A16" t="inlineStr">
        <is>
          <t>Basic Average Shares</t>
        </is>
      </c>
      <c r="B16" s="3" t="n">
        <v>40494737</v>
      </c>
      <c r="C16" s="3" t="n">
        <v>40515789</v>
      </c>
      <c r="D16" s="3" t="n">
        <v>40312500</v>
      </c>
      <c r="E16" s="3" t="n">
        <v>40218085</v>
      </c>
      <c r="F16" s="3" t="n">
        <v>40324590</v>
      </c>
    </row>
    <row r="17">
      <c r="A17" t="inlineStr">
        <is>
          <t>Diluted EPS</t>
        </is>
      </c>
      <c r="B17" s="3" t="n">
        <v>0.76</v>
      </c>
      <c r="C17" s="3" t="n">
        <v>0.57</v>
      </c>
      <c r="D17" s="3" t="n">
        <v>0.5600000000000001</v>
      </c>
      <c r="E17" s="3" t="n">
        <v>0.9399999999999999</v>
      </c>
      <c r="F17" s="3" t="n">
        <v>0.61</v>
      </c>
    </row>
    <row r="18">
      <c r="A18" t="inlineStr">
        <is>
          <t>Basic EPS</t>
        </is>
      </c>
      <c r="B18" s="3" t="n">
        <v>0.76</v>
      </c>
      <c r="C18" s="3" t="n">
        <v>0.57</v>
      </c>
      <c r="D18" s="3" t="n">
        <v>0.5600000000000001</v>
      </c>
      <c r="E18" s="3" t="n">
        <v>0.9399999999999999</v>
      </c>
      <c r="F18" s="3" t="n">
        <v>0.61</v>
      </c>
    </row>
    <row r="19">
      <c r="A19" t="inlineStr">
        <is>
          <t>Diluted NI Availto Com Stockholders</t>
        </is>
      </c>
      <c r="B19" s="3" t="n">
        <v>30776000</v>
      </c>
      <c r="C19" s="3" t="n">
        <v>23094000</v>
      </c>
      <c r="D19" s="3" t="n">
        <v>22575000</v>
      </c>
      <c r="E19" s="3" t="n">
        <v>37805000</v>
      </c>
      <c r="F19" s="3" t="n">
        <v>24598000</v>
      </c>
    </row>
    <row r="20">
      <c r="A20" t="inlineStr">
        <is>
          <t>Net Income Common Stockholders</t>
        </is>
      </c>
      <c r="B20" s="3" t="n">
        <v>30776000</v>
      </c>
      <c r="C20" s="3" t="n">
        <v>23094000</v>
      </c>
      <c r="D20" s="3" t="n">
        <v>22575000</v>
      </c>
      <c r="E20" s="3" t="n">
        <v>37805000</v>
      </c>
      <c r="F20" s="3" t="n">
        <v>24598000</v>
      </c>
    </row>
    <row r="21">
      <c r="A21" t="inlineStr">
        <is>
          <t>Otherunder Preferred Stock Dividend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t="inlineStr">
        <is>
          <t>Net Income</t>
        </is>
      </c>
      <c r="B22" s="3" t="n">
        <v>30776000</v>
      </c>
      <c r="C22" s="3" t="n">
        <v>23094000</v>
      </c>
      <c r="D22" s="3" t="n">
        <v>22575000</v>
      </c>
      <c r="E22" s="3" t="n">
        <v>37805000</v>
      </c>
      <c r="F22" s="3" t="n">
        <v>24598000</v>
      </c>
    </row>
    <row r="23">
      <c r="A23" t="inlineStr">
        <is>
          <t>Net Income Including Noncontrolling Interests</t>
        </is>
      </c>
      <c r="B23" s="3" t="n">
        <v>30776000</v>
      </c>
      <c r="C23" s="3" t="n">
        <v>23094000</v>
      </c>
      <c r="D23" s="3" t="n">
        <v>22575000</v>
      </c>
      <c r="E23" s="3" t="n">
        <v>37805000</v>
      </c>
      <c r="F23" s="3" t="n">
        <v>24598000</v>
      </c>
    </row>
    <row r="24">
      <c r="A24" t="inlineStr">
        <is>
          <t>Net Income Continuous Operations</t>
        </is>
      </c>
      <c r="B24" s="3" t="n">
        <v>30776000</v>
      </c>
      <c r="C24" s="3" t="n">
        <v>23093000</v>
      </c>
      <c r="D24" s="3" t="n">
        <v>22574000</v>
      </c>
      <c r="E24" s="3" t="n">
        <v>37805000</v>
      </c>
      <c r="F24" s="3" t="n">
        <v>24598000</v>
      </c>
    </row>
    <row r="25">
      <c r="A25" t="inlineStr">
        <is>
          <t>Tax Provision</t>
        </is>
      </c>
      <c r="B25" s="3" t="n">
        <v>4648000</v>
      </c>
      <c r="C25" s="3" t="n">
        <v>5776000</v>
      </c>
      <c r="D25" s="3" t="n">
        <v>5942000</v>
      </c>
      <c r="E25" s="3" t="n">
        <v>6221000</v>
      </c>
      <c r="F25" s="3" t="n">
        <v>3923000</v>
      </c>
    </row>
    <row r="26">
      <c r="A26" t="inlineStr">
        <is>
          <t>Pretax Income</t>
        </is>
      </c>
      <c r="B26" s="3" t="n">
        <v>35424000</v>
      </c>
      <c r="C26" s="3" t="n">
        <v>28869000</v>
      </c>
      <c r="D26" s="3" t="n">
        <v>28516000</v>
      </c>
      <c r="E26" s="3" t="n">
        <v>44026000</v>
      </c>
      <c r="F26" s="3" t="n">
        <v>28521000</v>
      </c>
    </row>
    <row r="27">
      <c r="A27" t="inlineStr">
        <is>
          <t>Net Non Operating Interest Income Expense</t>
        </is>
      </c>
      <c r="B27" s="3" t="n">
        <v>-3147000</v>
      </c>
      <c r="C27" s="3" t="n">
        <v>-4304000</v>
      </c>
      <c r="D27" s="3" t="n">
        <v>-2968000</v>
      </c>
      <c r="E27" s="3" t="n">
        <v>8376000</v>
      </c>
      <c r="F27" s="3" t="n">
        <v>-462000</v>
      </c>
    </row>
    <row r="28">
      <c r="A28" t="inlineStr">
        <is>
          <t>Operating Income</t>
        </is>
      </c>
      <c r="B28" s="3" t="n">
        <v>38571000</v>
      </c>
      <c r="C28" s="3" t="n">
        <v>33174000</v>
      </c>
      <c r="D28" s="3" t="n">
        <v>31484000</v>
      </c>
      <c r="E28" s="3" t="n">
        <v>35651000</v>
      </c>
      <c r="F28" s="3" t="n">
        <v>28983000</v>
      </c>
    </row>
    <row r="29">
      <c r="A29" t="inlineStr">
        <is>
          <t>Operating Expense</t>
        </is>
      </c>
      <c r="B29" s="3" t="n">
        <v>49368000</v>
      </c>
      <c r="C29" s="3" t="n">
        <v>47436000</v>
      </c>
      <c r="D29" s="3" t="n">
        <v>50818000</v>
      </c>
      <c r="E29" s="3" t="n">
        <v>46951000</v>
      </c>
      <c r="F29" s="3" t="n">
        <v>46697000</v>
      </c>
    </row>
    <row r="30">
      <c r="A30" t="inlineStr">
        <is>
          <t>Research And Development</t>
        </is>
      </c>
      <c r="B30" s="3" t="n">
        <v>29940000</v>
      </c>
      <c r="C30" s="3" t="n">
        <v>29315000</v>
      </c>
      <c r="D30" s="3" t="n">
        <v>31112000</v>
      </c>
      <c r="E30" s="3" t="n">
        <v>28842000</v>
      </c>
      <c r="F30" s="3" t="n">
        <v>28394000</v>
      </c>
    </row>
    <row r="31">
      <c r="A31" t="inlineStr">
        <is>
          <t>Selling General And Administration</t>
        </is>
      </c>
      <c r="B31" s="3" t="n">
        <v>19428000</v>
      </c>
      <c r="C31" s="3" t="n">
        <v>18121000</v>
      </c>
      <c r="D31" s="3" t="n">
        <v>19706000</v>
      </c>
      <c r="E31" s="3" t="n">
        <v>18109000</v>
      </c>
      <c r="F31" s="3" t="n">
        <v>18303000</v>
      </c>
    </row>
    <row r="32">
      <c r="A32" t="inlineStr">
        <is>
          <t>Selling And Marketing Expense</t>
        </is>
      </c>
      <c r="B32" s="3" t="n">
        <v>4872000</v>
      </c>
      <c r="C32" s="3" t="n">
        <v>4385000</v>
      </c>
      <c r="D32" s="3" t="n">
        <v>5273000</v>
      </c>
      <c r="E32" s="3" t="n">
        <v>4848000</v>
      </c>
      <c r="F32" s="3" t="n">
        <v>4791000</v>
      </c>
    </row>
    <row r="33">
      <c r="A33" t="inlineStr">
        <is>
          <t>General And Administrative Expense</t>
        </is>
      </c>
      <c r="B33" s="3" t="n">
        <v>14556000</v>
      </c>
      <c r="C33" s="3" t="n">
        <v>13736000</v>
      </c>
      <c r="D33" s="3" t="n">
        <v>14433000</v>
      </c>
      <c r="E33" s="3" t="n">
        <v>13261000</v>
      </c>
      <c r="F33" s="3" t="n">
        <v>13512000</v>
      </c>
    </row>
    <row r="34">
      <c r="A34" t="inlineStr">
        <is>
          <t>Gross Profit</t>
        </is>
      </c>
      <c r="B34" s="3" t="n">
        <v>87939000</v>
      </c>
      <c r="C34" s="3" t="n">
        <v>80610000</v>
      </c>
      <c r="D34" s="3" t="n">
        <v>82302000</v>
      </c>
      <c r="E34" s="3" t="n">
        <v>82602000</v>
      </c>
      <c r="F34" s="3" t="n">
        <v>75680000</v>
      </c>
    </row>
    <row r="35">
      <c r="A35" t="inlineStr">
        <is>
          <t>Cost Of Revenue</t>
        </is>
      </c>
      <c r="B35" s="3" t="n">
        <v>129120000</v>
      </c>
      <c r="C35" s="3" t="n">
        <v>121484000</v>
      </c>
      <c r="D35" s="3" t="n">
        <v>132191000</v>
      </c>
      <c r="E35" s="3" t="n">
        <v>128987000</v>
      </c>
      <c r="F35" s="3" t="n">
        <v>122568000</v>
      </c>
    </row>
    <row r="36">
      <c r="A36" t="inlineStr">
        <is>
          <t>Total Revenue</t>
        </is>
      </c>
      <c r="B36" s="3" t="n">
        <v>217058000</v>
      </c>
      <c r="C36" s="3" t="n">
        <v>202094000</v>
      </c>
      <c r="D36" s="3" t="n">
        <v>214493000</v>
      </c>
      <c r="E36" s="3" t="n">
        <v>211589000</v>
      </c>
      <c r="F36" s="3" t="n">
        <v>198248000</v>
      </c>
    </row>
    <row r="37">
      <c r="A37" t="inlineStr">
        <is>
          <t>Operating Revenue</t>
        </is>
      </c>
      <c r="B37" s="3" t="n">
        <v>217058000</v>
      </c>
      <c r="C37" s="3" t="n">
        <v>202094000</v>
      </c>
      <c r="D37" s="3" t="n">
        <v>214493000</v>
      </c>
      <c r="E37" s="3" t="n">
        <v>211589000</v>
      </c>
      <c r="F37" s="3" t="n">
        <v>198248000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878291</v>
      </c>
      <c r="C2" s="3" t="n">
        <v>77200</v>
      </c>
      <c r="D2" s="3" t="n"/>
      <c r="E2" s="3" t="n"/>
      <c r="F2" s="3" t="n"/>
    </row>
    <row r="3">
      <c r="A3" t="inlineStr">
        <is>
          <t>Ordinary Shares Number</t>
        </is>
      </c>
      <c r="B3" s="3" t="n">
        <v>39521709</v>
      </c>
      <c r="C3" s="3" t="n">
        <v>40322800</v>
      </c>
      <c r="D3" s="3" t="n">
        <v>40400000</v>
      </c>
      <c r="E3" s="3" t="n">
        <v>40400000</v>
      </c>
      <c r="F3" s="3" t="n"/>
    </row>
    <row r="4">
      <c r="A4" t="inlineStr">
        <is>
          <t>Share Issued</t>
        </is>
      </c>
      <c r="B4" s="3" t="n">
        <v>40400000</v>
      </c>
      <c r="C4" s="3" t="n">
        <v>40400000</v>
      </c>
      <c r="D4" s="3" t="n">
        <v>40400000</v>
      </c>
      <c r="E4" s="3" t="n">
        <v>40400000</v>
      </c>
      <c r="F4" s="3" t="n"/>
    </row>
    <row r="5">
      <c r="A5" t="inlineStr">
        <is>
          <t>Net Debt</t>
        </is>
      </c>
      <c r="B5" s="3" t="n">
        <v>279665976</v>
      </c>
      <c r="C5" s="3" t="n">
        <v>180641040</v>
      </c>
      <c r="D5" s="3" t="n">
        <v>145310255</v>
      </c>
      <c r="E5" s="3" t="n"/>
      <c r="F5" s="3" t="n"/>
    </row>
    <row r="6">
      <c r="A6" t="inlineStr">
        <is>
          <t>Total Debt</t>
        </is>
      </c>
      <c r="B6" s="3" t="n">
        <v>322038204</v>
      </c>
      <c r="C6" s="3" t="n">
        <v>222179478</v>
      </c>
      <c r="D6" s="3" t="n">
        <v>188175590</v>
      </c>
      <c r="E6" s="3" t="n">
        <v>4248855</v>
      </c>
      <c r="F6" s="3" t="n"/>
    </row>
    <row r="7">
      <c r="A7" t="inlineStr">
        <is>
          <t>Tangible Book Value</t>
        </is>
      </c>
      <c r="B7" s="3" t="n">
        <v>483331409</v>
      </c>
      <c r="C7" s="3" t="n">
        <v>566325854</v>
      </c>
      <c r="D7" s="3" t="n">
        <v>548991611</v>
      </c>
      <c r="E7" s="3" t="n">
        <v>479033362</v>
      </c>
      <c r="F7" s="3" t="n"/>
    </row>
    <row r="8">
      <c r="A8" t="inlineStr">
        <is>
          <t>Invested Capital</t>
        </is>
      </c>
      <c r="B8" s="3" t="n">
        <v>798828065</v>
      </c>
      <c r="C8" s="3" t="n">
        <v>780822998</v>
      </c>
      <c r="D8" s="3" t="n">
        <v>735725933</v>
      </c>
      <c r="E8" s="3" t="n">
        <v>482082821</v>
      </c>
      <c r="F8" s="3" t="n"/>
    </row>
    <row r="9">
      <c r="A9" t="inlineStr">
        <is>
          <t>Working Capital</t>
        </is>
      </c>
      <c r="B9" s="3" t="n">
        <v>473295235</v>
      </c>
      <c r="C9" s="3" t="n">
        <v>368382979</v>
      </c>
      <c r="D9" s="3" t="n">
        <v>326031012</v>
      </c>
      <c r="E9" s="3" t="n">
        <v>319656058</v>
      </c>
      <c r="F9" s="3" t="n"/>
    </row>
    <row r="10">
      <c r="A10" t="inlineStr">
        <is>
          <t>Net Tangible Assets</t>
        </is>
      </c>
      <c r="B10" s="3" t="n">
        <v>483331409</v>
      </c>
      <c r="C10" s="3" t="n">
        <v>566325854</v>
      </c>
      <c r="D10" s="3" t="n">
        <v>548991611</v>
      </c>
      <c r="E10" s="3" t="n">
        <v>479033362</v>
      </c>
      <c r="F10" s="3" t="n"/>
    </row>
    <row r="11">
      <c r="A11" t="inlineStr">
        <is>
          <t>Capital Lease Obligations</t>
        </is>
      </c>
      <c r="B11" s="3" t="n">
        <v>7738795</v>
      </c>
      <c r="C11" s="3" t="n">
        <v>8857414</v>
      </c>
      <c r="D11" s="3" t="n">
        <v>3516494</v>
      </c>
      <c r="E11" s="3" t="n">
        <v>4248855</v>
      </c>
      <c r="F11" s="3" t="n"/>
    </row>
    <row r="12">
      <c r="A12" t="inlineStr">
        <is>
          <t>Common Stock Equity</t>
        </is>
      </c>
      <c r="B12" s="3" t="n">
        <v>484528656</v>
      </c>
      <c r="C12" s="3" t="n">
        <v>567500934</v>
      </c>
      <c r="D12" s="3" t="n">
        <v>551066837</v>
      </c>
      <c r="E12" s="3" t="n">
        <v>482082821</v>
      </c>
      <c r="F12" s="3" t="n"/>
    </row>
    <row r="13">
      <c r="A13" t="inlineStr">
        <is>
          <t>Total Capitalization</t>
        </is>
      </c>
      <c r="B13" s="3" t="n">
        <v>785806258</v>
      </c>
      <c r="C13" s="3" t="n">
        <v>775026152</v>
      </c>
      <c r="D13" s="3" t="n">
        <v>735725933</v>
      </c>
      <c r="E13" s="3" t="n">
        <v>482082821</v>
      </c>
      <c r="F13" s="3" t="n"/>
    </row>
    <row r="14">
      <c r="A14" t="inlineStr">
        <is>
          <t>Total Equity Gross Minority Interest</t>
        </is>
      </c>
      <c r="B14" s="3" t="n">
        <v>484529066</v>
      </c>
      <c r="C14" s="3" t="n">
        <v>567501344</v>
      </c>
      <c r="D14" s="3" t="n">
        <v>551067247</v>
      </c>
      <c r="E14" s="3" t="n">
        <v>482083231</v>
      </c>
      <c r="F14" s="3" t="n"/>
    </row>
    <row r="15">
      <c r="A15" t="inlineStr">
        <is>
          <t>Minority Interest</t>
        </is>
      </c>
      <c r="B15" s="3" t="n">
        <v>410</v>
      </c>
      <c r="C15" s="3" t="n">
        <v>410</v>
      </c>
      <c r="D15" s="3" t="n">
        <v>410</v>
      </c>
      <c r="E15" s="3" t="n">
        <v>410</v>
      </c>
      <c r="F15" s="3" t="n"/>
    </row>
    <row r="16">
      <c r="A16" t="inlineStr">
        <is>
          <t>Stockholders Equity</t>
        </is>
      </c>
      <c r="B16" s="3" t="n">
        <v>484528656</v>
      </c>
      <c r="C16" s="3" t="n">
        <v>567500934</v>
      </c>
      <c r="D16" s="3" t="n">
        <v>551066837</v>
      </c>
      <c r="E16" s="3" t="n">
        <v>482082821</v>
      </c>
      <c r="F16" s="3" t="n"/>
    </row>
    <row r="17">
      <c r="A17" t="inlineStr">
        <is>
          <t>Other Equity Interest</t>
        </is>
      </c>
      <c r="B17" s="3" t="n">
        <v>-1</v>
      </c>
      <c r="C17" s="3" t="n">
        <v>-1</v>
      </c>
      <c r="D17" s="3" t="n">
        <v>1</v>
      </c>
      <c r="E17" s="3" t="n">
        <v>-1000</v>
      </c>
      <c r="F17" s="3" t="n"/>
    </row>
    <row r="18">
      <c r="A18" t="inlineStr">
        <is>
          <t>Treasury Stock</t>
        </is>
      </c>
      <c r="B18" s="3" t="n">
        <v>50030747</v>
      </c>
      <c r="C18" s="3" t="n">
        <v>4410107</v>
      </c>
      <c r="D18" s="3" t="n">
        <v>0</v>
      </c>
      <c r="E18" s="3" t="n">
        <v>0</v>
      </c>
      <c r="F18" s="3" t="n"/>
    </row>
    <row r="19">
      <c r="A19" t="inlineStr">
        <is>
          <t>Retained Earnings</t>
        </is>
      </c>
      <c r="B19" s="3" t="n">
        <v>539606857</v>
      </c>
      <c r="C19" s="3" t="n">
        <v>574606096</v>
      </c>
      <c r="D19" s="3" t="n">
        <v>553305064</v>
      </c>
      <c r="E19" s="3" t="n">
        <v>485241671</v>
      </c>
      <c r="F19" s="3" t="n"/>
    </row>
    <row r="20">
      <c r="A20" t="inlineStr">
        <is>
          <t>Capital Stock</t>
        </is>
      </c>
      <c r="B20" s="3" t="n">
        <v>564814</v>
      </c>
      <c r="C20" s="3" t="n">
        <v>564814</v>
      </c>
      <c r="D20" s="3" t="n">
        <v>564814</v>
      </c>
      <c r="E20" s="3" t="n">
        <v>564814</v>
      </c>
      <c r="F20" s="3" t="n"/>
    </row>
    <row r="21">
      <c r="A21" t="inlineStr">
        <is>
          <t>Common Stock</t>
        </is>
      </c>
      <c r="B21" s="3" t="n">
        <v>564814</v>
      </c>
      <c r="C21" s="3" t="n">
        <v>564814</v>
      </c>
      <c r="D21" s="3" t="n">
        <v>564814</v>
      </c>
      <c r="E21" s="3" t="n">
        <v>564814</v>
      </c>
      <c r="F21" s="3" t="n"/>
    </row>
    <row r="22">
      <c r="A22" t="inlineStr">
        <is>
          <t>Total Liabilities Net Minority Interest</t>
        </is>
      </c>
      <c r="B22" s="3" t="n">
        <v>418739645</v>
      </c>
      <c r="C22" s="3" t="n">
        <v>326753944</v>
      </c>
      <c r="D22" s="3" t="n">
        <v>315013892</v>
      </c>
      <c r="E22" s="3" t="n">
        <v>98149738</v>
      </c>
      <c r="F22" s="3" t="n"/>
    </row>
    <row r="23">
      <c r="A23" t="inlineStr">
        <is>
          <t>Total Non Current Liabilities Net Minority Interest</t>
        </is>
      </c>
      <c r="B23" s="3" t="n">
        <v>312688075</v>
      </c>
      <c r="C23" s="3" t="n">
        <v>222544017</v>
      </c>
      <c r="D23" s="3" t="n">
        <v>190985061</v>
      </c>
      <c r="E23" s="3" t="n">
        <v>10070646</v>
      </c>
      <c r="F23" s="3" t="n"/>
    </row>
    <row r="24">
      <c r="A24" t="inlineStr">
        <is>
          <t>Other Non Current Liabilities</t>
        </is>
      </c>
      <c r="B24" s="3" t="n">
        <v>3114000</v>
      </c>
      <c r="C24" s="3" t="n">
        <v>108975</v>
      </c>
      <c r="D24" s="3" t="n">
        <v>221946</v>
      </c>
      <c r="E24" s="3" t="n">
        <v>-1</v>
      </c>
      <c r="F24" s="3" t="n"/>
    </row>
    <row r="25">
      <c r="A25" t="inlineStr">
        <is>
          <t>Non Current Pension And Other Postretirement Benefit Plans</t>
        </is>
      </c>
      <c r="B25" s="3" t="n">
        <v>425505</v>
      </c>
      <c r="C25" s="3" t="n">
        <v>887054</v>
      </c>
      <c r="D25" s="3" t="n">
        <v>0</v>
      </c>
      <c r="E25" s="3" t="n"/>
      <c r="F25" s="3" t="n"/>
    </row>
    <row r="26">
      <c r="A26" t="inlineStr">
        <is>
          <t>Non Current Deferred Taxes Liabilities</t>
        </is>
      </c>
      <c r="B26" s="3" t="n">
        <v>2673210</v>
      </c>
      <c r="C26" s="3" t="n">
        <v>3737367</v>
      </c>
      <c r="D26" s="3" t="n">
        <v>710268</v>
      </c>
      <c r="E26" s="3" t="n">
        <v>3259743</v>
      </c>
      <c r="F26" s="3" t="n"/>
    </row>
    <row r="27">
      <c r="A27" t="inlineStr">
        <is>
          <t>Long Term Debt And Capital Lease Obligation</t>
        </is>
      </c>
      <c r="B27" s="3" t="n">
        <v>306900360</v>
      </c>
      <c r="C27" s="3" t="n">
        <v>214239621</v>
      </c>
      <c r="D27" s="3" t="n">
        <v>186648847</v>
      </c>
      <c r="E27" s="3" t="n">
        <v>2538904</v>
      </c>
      <c r="F27" s="3" t="n"/>
    </row>
    <row r="28">
      <c r="A28" t="inlineStr">
        <is>
          <t>Long Term Capital Lease Obligation</t>
        </is>
      </c>
      <c r="B28" s="3" t="n">
        <v>5622758</v>
      </c>
      <c r="C28" s="3" t="n">
        <v>6714403</v>
      </c>
      <c r="D28" s="3" t="n">
        <v>1989751</v>
      </c>
      <c r="E28" s="3" t="n">
        <v>2538904</v>
      </c>
      <c r="F28" s="3" t="n"/>
    </row>
    <row r="29">
      <c r="A29" t="inlineStr">
        <is>
          <t>Long Term Debt</t>
        </is>
      </c>
      <c r="B29" s="3" t="n">
        <v>301277602</v>
      </c>
      <c r="C29" s="3" t="n">
        <v>207525218</v>
      </c>
      <c r="D29" s="3" t="n">
        <v>184659096</v>
      </c>
      <c r="E29" s="3" t="n">
        <v>0</v>
      </c>
      <c r="F29" s="3" t="n"/>
    </row>
    <row r="30">
      <c r="A30" t="inlineStr">
        <is>
          <t>Long Term Provisions</t>
        </is>
      </c>
      <c r="B30" s="3" t="n">
        <v>2689000</v>
      </c>
      <c r="C30" s="3" t="n">
        <v>3571000</v>
      </c>
      <c r="D30" s="3" t="n">
        <v>3404000</v>
      </c>
      <c r="E30" s="3" t="n">
        <v>4272000</v>
      </c>
      <c r="F30" s="3" t="n"/>
    </row>
    <row r="31">
      <c r="A31" t="inlineStr">
        <is>
          <t>Current Liabilities</t>
        </is>
      </c>
      <c r="B31" s="3" t="n">
        <v>106051570</v>
      </c>
      <c r="C31" s="3" t="n">
        <v>104209927</v>
      </c>
      <c r="D31" s="3" t="n">
        <v>124028831</v>
      </c>
      <c r="E31" s="3" t="n">
        <v>88079092</v>
      </c>
      <c r="F31" s="3" t="n"/>
    </row>
    <row r="32">
      <c r="A32" t="inlineStr">
        <is>
          <t>Other Current Liabilities</t>
        </is>
      </c>
      <c r="B32" s="3" t="n">
        <v>927229</v>
      </c>
      <c r="C32" s="3" t="n">
        <v>2896923</v>
      </c>
      <c r="D32" s="3" t="n">
        <v>6826805</v>
      </c>
      <c r="E32" s="3" t="n">
        <v>1255244</v>
      </c>
      <c r="F32" s="3" t="n"/>
    </row>
    <row r="33">
      <c r="A33" t="inlineStr">
        <is>
          <t>Current Debt And Capital Lease Obligation</t>
        </is>
      </c>
      <c r="B33" s="3" t="n">
        <v>15137844</v>
      </c>
      <c r="C33" s="3" t="n">
        <v>7939857</v>
      </c>
      <c r="D33" s="3" t="n">
        <v>1526743</v>
      </c>
      <c r="E33" s="3" t="n">
        <v>1709951</v>
      </c>
      <c r="F33" s="3" t="n"/>
    </row>
    <row r="34">
      <c r="A34" t="inlineStr">
        <is>
          <t>Current Capital Lease Obligation</t>
        </is>
      </c>
      <c r="B34" s="3" t="n">
        <v>2116037</v>
      </c>
      <c r="C34" s="3" t="n">
        <v>2143011</v>
      </c>
      <c r="D34" s="3" t="n">
        <v>1526743</v>
      </c>
      <c r="E34" s="3" t="n">
        <v>1709951</v>
      </c>
      <c r="F34" s="3" t="n"/>
    </row>
    <row r="35">
      <c r="A35" t="inlineStr">
        <is>
          <t>Current Debt</t>
        </is>
      </c>
      <c r="B35" s="3" t="n">
        <v>13021807</v>
      </c>
      <c r="C35" s="3" t="n">
        <v>5796846</v>
      </c>
      <c r="D35" s="3" t="n">
        <v>0</v>
      </c>
      <c r="E35" s="3" t="n"/>
      <c r="F35" s="3" t="n">
        <v>0</v>
      </c>
    </row>
    <row r="36">
      <c r="A36" t="inlineStr">
        <is>
          <t>Pensionand Other Post Retirement Benefit Plans Current</t>
        </is>
      </c>
      <c r="B36" s="3" t="n">
        <v>14628094</v>
      </c>
      <c r="C36" s="3" t="n">
        <v>14459922</v>
      </c>
      <c r="D36" s="3" t="n">
        <v>19349271</v>
      </c>
      <c r="E36" s="3" t="n">
        <v>18342344</v>
      </c>
      <c r="F36" s="3" t="n"/>
    </row>
    <row r="37">
      <c r="A37" t="inlineStr">
        <is>
          <t>Payables</t>
        </is>
      </c>
      <c r="B37" s="3" t="n">
        <v>59537906</v>
      </c>
      <c r="C37" s="3" t="n">
        <v>69273322</v>
      </c>
      <c r="D37" s="3" t="n">
        <v>84783780</v>
      </c>
      <c r="E37" s="3" t="n">
        <v>57026270</v>
      </c>
      <c r="F37" s="3" t="n"/>
    </row>
    <row r="38">
      <c r="A38" t="inlineStr">
        <is>
          <t>Other Payable</t>
        </is>
      </c>
      <c r="B38" s="3" t="n">
        <v>574784</v>
      </c>
      <c r="C38" s="3" t="n">
        <v>1638389</v>
      </c>
      <c r="D38" s="3" t="n">
        <v>989933</v>
      </c>
      <c r="E38" s="3" t="n">
        <v>26195316</v>
      </c>
      <c r="F38" s="3" t="n"/>
    </row>
    <row r="39">
      <c r="A39" t="inlineStr">
        <is>
          <t>Total Tax Payable</t>
        </is>
      </c>
      <c r="B39" s="3" t="n">
        <v>7909011</v>
      </c>
      <c r="C39" s="3" t="n">
        <v>4432322</v>
      </c>
      <c r="D39" s="3" t="n">
        <v>3763474</v>
      </c>
      <c r="E39" s="3" t="n">
        <v>2102872</v>
      </c>
      <c r="F39" s="3" t="n"/>
    </row>
    <row r="40">
      <c r="A40" t="inlineStr">
        <is>
          <t>Accounts Payable</t>
        </is>
      </c>
      <c r="B40" s="3" t="n">
        <v>51054111</v>
      </c>
      <c r="C40" s="3" t="n">
        <v>63202611</v>
      </c>
      <c r="D40" s="3" t="n">
        <v>80030373</v>
      </c>
      <c r="E40" s="3" t="n">
        <v>28728082</v>
      </c>
      <c r="F40" s="3" t="n"/>
    </row>
    <row r="41">
      <c r="A41" t="inlineStr">
        <is>
          <t>Total Assets</t>
        </is>
      </c>
      <c r="B41" s="3" t="n">
        <v>903268711</v>
      </c>
      <c r="C41" s="3" t="n">
        <v>894255288</v>
      </c>
      <c r="D41" s="3" t="n">
        <v>866081139</v>
      </c>
      <c r="E41" s="3" t="n">
        <v>580232969</v>
      </c>
      <c r="F41" s="3" t="n"/>
    </row>
    <row r="42">
      <c r="A42" t="inlineStr">
        <is>
          <t>Total Non Current Assets</t>
        </is>
      </c>
      <c r="B42" s="3" t="n">
        <v>323921906</v>
      </c>
      <c r="C42" s="3" t="n">
        <v>421662382</v>
      </c>
      <c r="D42" s="3" t="n">
        <v>416021296</v>
      </c>
      <c r="E42" s="3" t="n">
        <v>172497819</v>
      </c>
      <c r="F42" s="3" t="n"/>
    </row>
    <row r="43">
      <c r="A43" t="inlineStr">
        <is>
          <t>Other Non Current Assets</t>
        </is>
      </c>
      <c r="B43" s="3" t="n">
        <v>82818888</v>
      </c>
      <c r="C43" s="3" t="n">
        <v>163581334</v>
      </c>
      <c r="D43" s="3" t="n">
        <v>181233402</v>
      </c>
      <c r="E43" s="3" t="n">
        <v>2369110</v>
      </c>
      <c r="F43" s="3" t="n"/>
    </row>
    <row r="44">
      <c r="A44" t="inlineStr">
        <is>
          <t>Non Current Deferred Taxes Assets</t>
        </is>
      </c>
      <c r="B44" s="3" t="n">
        <v>35367266</v>
      </c>
      <c r="C44" s="3" t="n">
        <v>36985308</v>
      </c>
      <c r="D44" s="3" t="n">
        <v>33331820</v>
      </c>
      <c r="E44" s="3" t="n">
        <v>27832233</v>
      </c>
      <c r="F44" s="3" t="n"/>
    </row>
    <row r="45">
      <c r="A45" t="inlineStr">
        <is>
          <t>Goodwill And Other Intangible Assets</t>
        </is>
      </c>
      <c r="B45" s="3" t="n">
        <v>1197247</v>
      </c>
      <c r="C45" s="3" t="n">
        <v>1175080</v>
      </c>
      <c r="D45" s="3" t="n">
        <v>2075226</v>
      </c>
      <c r="E45" s="3" t="n">
        <v>3049459</v>
      </c>
      <c r="F45" s="3" t="n"/>
    </row>
    <row r="46">
      <c r="A46" t="inlineStr">
        <is>
          <t>Other Intangible Assets</t>
        </is>
      </c>
      <c r="B46" s="3" t="n">
        <v>1197247</v>
      </c>
      <c r="C46" s="3" t="n">
        <v>1175080</v>
      </c>
      <c r="D46" s="3" t="n">
        <v>2075226</v>
      </c>
      <c r="E46" s="3" t="n">
        <v>3049459</v>
      </c>
      <c r="F46" s="3" t="n"/>
    </row>
    <row r="47">
      <c r="A47" t="inlineStr">
        <is>
          <t>Net PPE</t>
        </is>
      </c>
      <c r="B47" s="3" t="n">
        <v>204538505</v>
      </c>
      <c r="C47" s="3" t="n">
        <v>219920660</v>
      </c>
      <c r="D47" s="3" t="n">
        <v>199380848</v>
      </c>
      <c r="E47" s="3" t="n">
        <v>139247017</v>
      </c>
      <c r="F47" s="3" t="n"/>
    </row>
    <row r="48">
      <c r="A48" t="inlineStr">
        <is>
          <t>Accumulated Depreciation</t>
        </is>
      </c>
      <c r="B48" s="3" t="n">
        <v>-414682161</v>
      </c>
      <c r="C48" s="3" t="n">
        <v>-384047645</v>
      </c>
      <c r="D48" s="3" t="n">
        <v>-363948427</v>
      </c>
      <c r="E48" s="3" t="n">
        <v>-340192387</v>
      </c>
      <c r="F48" s="3" t="n"/>
    </row>
    <row r="49">
      <c r="A49" t="inlineStr">
        <is>
          <t>Gross PPE</t>
        </is>
      </c>
      <c r="B49" s="3" t="n">
        <v>619220666</v>
      </c>
      <c r="C49" s="3" t="n">
        <v>603968305</v>
      </c>
      <c r="D49" s="3" t="n">
        <v>563329275</v>
      </c>
      <c r="E49" s="3" t="n">
        <v>479439404</v>
      </c>
      <c r="F49" s="3" t="n"/>
    </row>
    <row r="50">
      <c r="A50" t="inlineStr">
        <is>
          <t>Construction In Progress</t>
        </is>
      </c>
      <c r="B50" s="3" t="n">
        <v>9274161</v>
      </c>
      <c r="C50" s="3" t="n">
        <v>12766226</v>
      </c>
      <c r="D50" s="3" t="n">
        <v>54993993</v>
      </c>
      <c r="E50" s="3" t="n">
        <v>12022728</v>
      </c>
      <c r="F50" s="3" t="n"/>
    </row>
    <row r="51">
      <c r="A51" t="inlineStr">
        <is>
          <t>Other Properties</t>
        </is>
      </c>
      <c r="B51" s="3" t="n">
        <v>824822</v>
      </c>
      <c r="C51" s="3" t="n">
        <v>842770</v>
      </c>
      <c r="D51" s="3" t="n">
        <v>757023</v>
      </c>
      <c r="E51" s="3" t="n">
        <v>677450</v>
      </c>
      <c r="F51" s="3" t="n"/>
    </row>
    <row r="52">
      <c r="A52" t="inlineStr">
        <is>
          <t>Machinery Furniture Equipment</t>
        </is>
      </c>
      <c r="B52" s="3" t="n">
        <v>463037945</v>
      </c>
      <c r="C52" s="3" t="n">
        <v>446528408</v>
      </c>
      <c r="D52" s="3" t="n">
        <v>423178806</v>
      </c>
      <c r="E52" s="3" t="n">
        <v>385854152</v>
      </c>
      <c r="F52" s="3" t="n"/>
    </row>
    <row r="53">
      <c r="A53" t="inlineStr">
        <is>
          <t>Buildings And Improvements</t>
        </is>
      </c>
      <c r="B53" s="3" t="n">
        <v>11217602</v>
      </c>
      <c r="C53" s="3" t="n">
        <v>10956061</v>
      </c>
      <c r="D53" s="3" t="n">
        <v>6603760</v>
      </c>
      <c r="E53" s="3" t="n">
        <v>7020008</v>
      </c>
      <c r="F53" s="3" t="n"/>
    </row>
    <row r="54">
      <c r="A54" t="inlineStr">
        <is>
          <t>Land And Improvements</t>
        </is>
      </c>
      <c r="B54" s="3" t="n">
        <v>134866136</v>
      </c>
      <c r="C54" s="3" t="n">
        <v>132874840</v>
      </c>
      <c r="D54" s="3" t="n">
        <v>77795693</v>
      </c>
      <c r="E54" s="3" t="n">
        <v>73865066</v>
      </c>
      <c r="F54" s="3" t="n"/>
    </row>
    <row r="55">
      <c r="A55" t="inlineStr">
        <is>
          <t>Properties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/>
    </row>
    <row r="56">
      <c r="A56" t="inlineStr">
        <is>
          <t>Current Assets</t>
        </is>
      </c>
      <c r="B56" s="3" t="n">
        <v>579346805</v>
      </c>
      <c r="C56" s="3" t="n">
        <v>472592906</v>
      </c>
      <c r="D56" s="3" t="n">
        <v>450059843</v>
      </c>
      <c r="E56" s="3" t="n">
        <v>407735150</v>
      </c>
      <c r="F56" s="3" t="n"/>
    </row>
    <row r="57">
      <c r="A57" t="inlineStr">
        <is>
          <t>Other Current Assets</t>
        </is>
      </c>
      <c r="B57" s="3" t="n">
        <v>-1</v>
      </c>
      <c r="C57" s="3" t="n">
        <v>-1</v>
      </c>
      <c r="D57" s="3" t="n"/>
      <c r="E57" s="3" t="n">
        <v>-1</v>
      </c>
      <c r="F57" s="3" t="n">
        <v>10681000</v>
      </c>
    </row>
    <row r="58">
      <c r="A58" t="inlineStr">
        <is>
          <t>Hedging Assets Current</t>
        </is>
      </c>
      <c r="B58" s="3" t="n"/>
      <c r="C58" s="3" t="n"/>
      <c r="D58" s="3" t="n">
        <v>0</v>
      </c>
      <c r="E58" s="3" t="n">
        <v>12500754</v>
      </c>
      <c r="F58" s="3" t="n">
        <v>10356160</v>
      </c>
    </row>
    <row r="59">
      <c r="A59" t="inlineStr">
        <is>
          <t>Prepaid Assets</t>
        </is>
      </c>
      <c r="B59" s="3" t="n">
        <v>6673135</v>
      </c>
      <c r="C59" s="3" t="n">
        <v>4495342</v>
      </c>
      <c r="D59" s="3" t="n">
        <v>4828920</v>
      </c>
      <c r="E59" s="3" t="n">
        <v>5672645</v>
      </c>
      <c r="F59" s="3" t="n"/>
    </row>
    <row r="60">
      <c r="A60" t="inlineStr">
        <is>
          <t>Inventory</t>
        </is>
      </c>
      <c r="B60" s="3" t="n">
        <v>300329421</v>
      </c>
      <c r="C60" s="3" t="n">
        <v>262815232</v>
      </c>
      <c r="D60" s="3" t="n">
        <v>254348153</v>
      </c>
      <c r="E60" s="3" t="n">
        <v>179648793</v>
      </c>
      <c r="F60" s="3" t="n"/>
    </row>
    <row r="61">
      <c r="A61" t="inlineStr">
        <is>
          <t>Inventories Adjustments Allowances</t>
        </is>
      </c>
      <c r="B61" s="3" t="n">
        <v>-6878382</v>
      </c>
      <c r="C61" s="3" t="n">
        <v>-7170432</v>
      </c>
      <c r="D61" s="3" t="n">
        <v>-8379780</v>
      </c>
      <c r="E61" s="3" t="n">
        <v>-6494403</v>
      </c>
      <c r="F61" s="3" t="n"/>
    </row>
    <row r="62">
      <c r="A62" t="inlineStr">
        <is>
          <t>Other Inventories</t>
        </is>
      </c>
      <c r="B62" s="3" t="n">
        <v>1</v>
      </c>
      <c r="C62" s="3" t="n"/>
      <c r="D62" s="3" t="n"/>
      <c r="E62" s="3" t="n">
        <v>1</v>
      </c>
      <c r="F62" s="3" t="n">
        <v>-1</v>
      </c>
    </row>
    <row r="63">
      <c r="A63" t="inlineStr">
        <is>
          <t>Finished Goods</t>
        </is>
      </c>
      <c r="B63" s="3" t="n">
        <v>43199937</v>
      </c>
      <c r="C63" s="3" t="n">
        <v>45353881</v>
      </c>
      <c r="D63" s="3" t="n">
        <v>35177056</v>
      </c>
      <c r="E63" s="3" t="n">
        <v>23614600</v>
      </c>
      <c r="F63" s="3" t="n"/>
    </row>
    <row r="64">
      <c r="A64" t="inlineStr">
        <is>
          <t>Work In Process</t>
        </is>
      </c>
      <c r="B64" s="3" t="n">
        <v>224954545</v>
      </c>
      <c r="C64" s="3" t="n">
        <v>188241810</v>
      </c>
      <c r="D64" s="3" t="n">
        <v>182932814</v>
      </c>
      <c r="E64" s="3" t="n">
        <v>139544862</v>
      </c>
      <c r="F64" s="3" t="n"/>
    </row>
    <row r="65">
      <c r="A65" t="inlineStr">
        <is>
          <t>Raw Materials</t>
        </is>
      </c>
      <c r="B65" s="3" t="n">
        <v>39053320</v>
      </c>
      <c r="C65" s="3" t="n">
        <v>36389973</v>
      </c>
      <c r="D65" s="3" t="n">
        <v>44618063</v>
      </c>
      <c r="E65" s="3" t="n">
        <v>22983733</v>
      </c>
      <c r="F65" s="3" t="n"/>
    </row>
    <row r="66">
      <c r="A66" t="inlineStr">
        <is>
          <t>Other Receivables</t>
        </is>
      </c>
      <c r="B66" s="3" t="n">
        <v>102132015</v>
      </c>
      <c r="C66" s="3" t="n">
        <v>51465415</v>
      </c>
      <c r="D66" s="3" t="n">
        <v>27600253</v>
      </c>
      <c r="E66" s="3" t="n">
        <v>15691868</v>
      </c>
      <c r="F66" s="3" t="n"/>
    </row>
    <row r="67">
      <c r="A67" t="inlineStr">
        <is>
          <t>Taxes Receivable</t>
        </is>
      </c>
      <c r="B67" s="3" t="n">
        <v>27726651</v>
      </c>
      <c r="C67" s="3" t="n">
        <v>18889415</v>
      </c>
      <c r="D67" s="3" t="n">
        <v>3727334</v>
      </c>
      <c r="E67" s="3" t="n">
        <v>1593576</v>
      </c>
      <c r="F67" s="3" t="n"/>
    </row>
    <row r="68">
      <c r="A68" t="inlineStr">
        <is>
          <t>Accounts Receivable</t>
        </is>
      </c>
      <c r="B68" s="3" t="n">
        <v>107852151</v>
      </c>
      <c r="C68" s="3" t="n">
        <v>102246479</v>
      </c>
      <c r="D68" s="3" t="n">
        <v>120206342</v>
      </c>
      <c r="E68" s="3" t="n">
        <v>107547507</v>
      </c>
      <c r="F68" s="3" t="n"/>
    </row>
    <row r="69">
      <c r="A69" t="inlineStr">
        <is>
          <t>Allowance For Doubtful Accounts Receivable</t>
        </is>
      </c>
      <c r="B69" s="3" t="n">
        <v>-514048</v>
      </c>
      <c r="C69" s="3" t="n">
        <v>-55783</v>
      </c>
      <c r="D69" s="3" t="n">
        <v>-57940</v>
      </c>
      <c r="E69" s="3" t="n">
        <v>-61378</v>
      </c>
      <c r="F69" s="3" t="n"/>
    </row>
    <row r="70">
      <c r="A70" t="inlineStr">
        <is>
          <t>Gross Accounts Receivable</t>
        </is>
      </c>
      <c r="B70" s="3" t="n">
        <v>108366199</v>
      </c>
      <c r="C70" s="3" t="n">
        <v>102302262</v>
      </c>
      <c r="D70" s="3" t="n">
        <v>120264282</v>
      </c>
      <c r="E70" s="3" t="n">
        <v>107608885</v>
      </c>
      <c r="F70" s="3" t="n"/>
    </row>
    <row r="71">
      <c r="A71" t="inlineStr">
        <is>
          <t>Cash Cash Equivalents And Short Term Investments</t>
        </is>
      </c>
      <c r="B71" s="3" t="n">
        <v>34633433</v>
      </c>
      <c r="C71" s="3" t="n">
        <v>32681024</v>
      </c>
      <c r="D71" s="3" t="n">
        <v>39348841</v>
      </c>
      <c r="E71" s="3" t="n">
        <v>85080008</v>
      </c>
      <c r="F71" s="3" t="n"/>
    </row>
    <row r="72">
      <c r="A72" t="inlineStr">
        <is>
          <t>Other Short Term Investments</t>
        </is>
      </c>
      <c r="B72" s="3" t="n"/>
      <c r="C72" s="3" t="n"/>
      <c r="D72" s="3" t="n"/>
      <c r="E72" s="3" t="n">
        <v>12501000</v>
      </c>
      <c r="F72" s="3" t="n">
        <v>10356000</v>
      </c>
    </row>
    <row r="73">
      <c r="A73" t="inlineStr">
        <is>
          <t>Cash And Cash Equivalents</t>
        </is>
      </c>
      <c r="B73" s="3" t="n">
        <v>34633433</v>
      </c>
      <c r="C73" s="3" t="n">
        <v>32681024</v>
      </c>
      <c r="D73" s="3" t="n">
        <v>39348841</v>
      </c>
      <c r="E73" s="3" t="n">
        <v>85080008</v>
      </c>
      <c r="F73" s="3" t="n"/>
    </row>
    <row r="74">
      <c r="A74" t="inlineStr">
        <is>
          <t>Cash Financial</t>
        </is>
      </c>
      <c r="B74" s="3" t="n">
        <v>34633433</v>
      </c>
      <c r="C74" s="3" t="n">
        <v>32681024</v>
      </c>
      <c r="D74" s="3" t="n">
        <v>39348841</v>
      </c>
      <c r="E74" s="3" t="n">
        <v>85080008</v>
      </c>
      <c r="F7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/>
      <c r="C2" s="3" t="n">
        <v>1022791</v>
      </c>
      <c r="D2" s="3" t="n">
        <v>878291</v>
      </c>
      <c r="E2" s="3" t="n">
        <v>480782</v>
      </c>
      <c r="F2" s="3" t="n"/>
      <c r="G2" s="3" t="n">
        <v>77200</v>
      </c>
    </row>
    <row r="3">
      <c r="A3" t="inlineStr">
        <is>
          <t>Ordinary Shares Number</t>
        </is>
      </c>
      <c r="B3" s="3" t="n">
        <v>39377209</v>
      </c>
      <c r="C3" s="3" t="n">
        <v>39377209</v>
      </c>
      <c r="D3" s="3" t="n">
        <v>39521709</v>
      </c>
      <c r="E3" s="3" t="n">
        <v>39919218</v>
      </c>
      <c r="F3" s="3" t="n">
        <v>39919218</v>
      </c>
      <c r="G3" s="3" t="n"/>
    </row>
    <row r="4">
      <c r="A4" t="inlineStr">
        <is>
          <t>Share Issued</t>
        </is>
      </c>
      <c r="B4" s="3" t="n">
        <v>39377209</v>
      </c>
      <c r="C4" s="3" t="n">
        <v>40400000</v>
      </c>
      <c r="D4" s="3" t="n">
        <v>40400000</v>
      </c>
      <c r="E4" s="3" t="n">
        <v>40400000</v>
      </c>
      <c r="F4" s="3" t="n">
        <v>39919218</v>
      </c>
      <c r="G4" s="3" t="n"/>
    </row>
    <row r="5">
      <c r="A5" t="inlineStr">
        <is>
          <t>Net Debt</t>
        </is>
      </c>
      <c r="B5" s="3" t="n">
        <v>255839000</v>
      </c>
      <c r="C5" s="3" t="n">
        <v>207039000</v>
      </c>
      <c r="D5" s="3" t="n">
        <v>279665976</v>
      </c>
      <c r="E5" s="3" t="n">
        <v>280069071</v>
      </c>
      <c r="F5" s="3" t="n">
        <v>182831000</v>
      </c>
      <c r="G5" s="3" t="n"/>
    </row>
    <row r="6">
      <c r="A6" t="inlineStr">
        <is>
          <t>Total Debt</t>
        </is>
      </c>
      <c r="B6" s="3" t="n">
        <v>301033000</v>
      </c>
      <c r="C6" s="3" t="n">
        <v>251387000</v>
      </c>
      <c r="D6" s="3" t="n">
        <v>322038204</v>
      </c>
      <c r="E6" s="3" t="n">
        <v>321720312</v>
      </c>
      <c r="F6" s="3" t="n">
        <v>225900000</v>
      </c>
      <c r="G6" s="3" t="n"/>
    </row>
    <row r="7">
      <c r="A7" t="inlineStr">
        <is>
          <t>Tangible Book Value</t>
        </is>
      </c>
      <c r="B7" s="3" t="n">
        <v>434157000</v>
      </c>
      <c r="C7" s="3" t="n">
        <v>497409000</v>
      </c>
      <c r="D7" s="3" t="n">
        <v>483331409</v>
      </c>
      <c r="E7" s="3" t="n">
        <v>506921513</v>
      </c>
      <c r="F7" s="3" t="n">
        <v>574674000</v>
      </c>
      <c r="G7" s="3" t="n"/>
    </row>
    <row r="8">
      <c r="A8" t="inlineStr">
        <is>
          <t>Invested Capital</t>
        </is>
      </c>
      <c r="B8" s="3" t="n">
        <v>728866000</v>
      </c>
      <c r="C8" s="3" t="n">
        <v>743316000</v>
      </c>
      <c r="D8" s="3" t="n">
        <v>798828065</v>
      </c>
      <c r="E8" s="3" t="n">
        <v>822286052</v>
      </c>
      <c r="F8" s="3" t="n">
        <v>793886000</v>
      </c>
      <c r="G8" s="3" t="n"/>
    </row>
    <row r="9">
      <c r="A9" t="inlineStr">
        <is>
          <t>Working Capital</t>
        </is>
      </c>
      <c r="B9" s="3" t="n">
        <v>455739000</v>
      </c>
      <c r="C9" s="3" t="n">
        <v>440256000</v>
      </c>
      <c r="D9" s="3" t="n">
        <v>473295235</v>
      </c>
      <c r="E9" s="3" t="n">
        <v>457338611</v>
      </c>
      <c r="F9" s="3" t="n">
        <v>400288000</v>
      </c>
      <c r="G9" s="3" t="n"/>
    </row>
    <row r="10">
      <c r="A10" t="inlineStr">
        <is>
          <t>Net Tangible Assets</t>
        </is>
      </c>
      <c r="B10" s="3" t="n">
        <v>434157000</v>
      </c>
      <c r="C10" s="3" t="n">
        <v>497409000</v>
      </c>
      <c r="D10" s="3" t="n">
        <v>483331409</v>
      </c>
      <c r="E10" s="3" t="n">
        <v>506921513</v>
      </c>
      <c r="F10" s="3" t="n">
        <v>574674000</v>
      </c>
      <c r="G10" s="3" t="n"/>
    </row>
    <row r="11">
      <c r="A11" t="inlineStr">
        <is>
          <t>Capital Lease Obligations</t>
        </is>
      </c>
      <c r="B11" s="3" t="n">
        <v>7846000</v>
      </c>
      <c r="C11" s="3" t="n">
        <v>7209000</v>
      </c>
      <c r="D11" s="3" t="n">
        <v>7738795</v>
      </c>
      <c r="E11" s="3" t="n">
        <v>7739674</v>
      </c>
      <c r="F11" s="3" t="n">
        <v>8227000</v>
      </c>
      <c r="G11" s="3" t="n"/>
    </row>
    <row r="12">
      <c r="A12" t="inlineStr">
        <is>
          <t>Common Stock Equity</t>
        </is>
      </c>
      <c r="B12" s="3" t="n">
        <v>435679000</v>
      </c>
      <c r="C12" s="3" t="n">
        <v>499138000</v>
      </c>
      <c r="D12" s="3" t="n">
        <v>484528656</v>
      </c>
      <c r="E12" s="3" t="n">
        <v>508305414</v>
      </c>
      <c r="F12" s="3" t="n">
        <v>576213000</v>
      </c>
      <c r="G12" s="3" t="n"/>
    </row>
    <row r="13">
      <c r="A13" t="inlineStr">
        <is>
          <t>Total Capitalization</t>
        </is>
      </c>
      <c r="B13" s="3" t="n">
        <v>725770000</v>
      </c>
      <c r="C13" s="3" t="n">
        <v>732596000</v>
      </c>
      <c r="D13" s="3" t="n">
        <v>785806258</v>
      </c>
      <c r="E13" s="3" t="n">
        <v>816992268</v>
      </c>
      <c r="F13" s="3" t="n">
        <v>781634000</v>
      </c>
      <c r="G13" s="3" t="n"/>
    </row>
    <row r="14">
      <c r="A14" t="inlineStr">
        <is>
          <t>Total Equity Gross Minority Interest</t>
        </is>
      </c>
      <c r="B14" s="3" t="n">
        <v>435679000</v>
      </c>
      <c r="C14" s="3" t="n">
        <v>499138000</v>
      </c>
      <c r="D14" s="3" t="n">
        <v>484529066</v>
      </c>
      <c r="E14" s="3" t="n">
        <v>508305824</v>
      </c>
      <c r="F14" s="3" t="n">
        <v>576213000</v>
      </c>
      <c r="G14" s="3" t="n"/>
    </row>
    <row r="15">
      <c r="A15" t="inlineStr">
        <is>
          <t>Minority Interest</t>
        </is>
      </c>
      <c r="B15" s="3" t="n">
        <v>0</v>
      </c>
      <c r="C15" s="3" t="n">
        <v>0</v>
      </c>
      <c r="D15" s="3" t="n">
        <v>410</v>
      </c>
      <c r="E15" s="3" t="n">
        <v>410</v>
      </c>
      <c r="F15" s="3" t="n">
        <v>0</v>
      </c>
      <c r="G15" s="3" t="n"/>
    </row>
    <row r="16">
      <c r="A16" t="inlineStr">
        <is>
          <t>Stockholders Equity</t>
        </is>
      </c>
      <c r="B16" s="3" t="n">
        <v>435679000</v>
      </c>
      <c r="C16" s="3" t="n">
        <v>499138000</v>
      </c>
      <c r="D16" s="3" t="n">
        <v>484528656</v>
      </c>
      <c r="E16" s="3" t="n">
        <v>508305414</v>
      </c>
      <c r="F16" s="3" t="n">
        <v>576213000</v>
      </c>
      <c r="G16" s="3" t="n"/>
    </row>
    <row r="17">
      <c r="A17" t="inlineStr">
        <is>
          <t>Other Equity Interest</t>
        </is>
      </c>
      <c r="B17" s="3" t="n"/>
      <c r="C17" s="3" t="n">
        <v>-2000</v>
      </c>
      <c r="D17" s="3" t="n">
        <v>-1</v>
      </c>
      <c r="E17" s="3" t="n"/>
      <c r="F17" s="3" t="n"/>
      <c r="G17" s="3" t="n">
        <v>-1</v>
      </c>
    </row>
    <row r="18">
      <c r="A18" t="inlineStr">
        <is>
          <t>Treasury Stock</t>
        </is>
      </c>
      <c r="B18" s="3" t="n">
        <v>59217000</v>
      </c>
      <c r="C18" s="3" t="n">
        <v>59217000</v>
      </c>
      <c r="D18" s="3" t="n">
        <v>50030747</v>
      </c>
      <c r="E18" s="3" t="n">
        <v>27720279</v>
      </c>
      <c r="F18" s="3" t="n">
        <v>19387000</v>
      </c>
      <c r="G18" s="3" t="n"/>
    </row>
    <row r="19">
      <c r="A19" t="inlineStr">
        <is>
          <t>Retained Earnings</t>
        </is>
      </c>
      <c r="B19" s="3" t="n">
        <v>499028000</v>
      </c>
      <c r="C19" s="3" t="n">
        <v>562701000</v>
      </c>
      <c r="D19" s="3" t="n">
        <v>539606857</v>
      </c>
      <c r="E19" s="3" t="n">
        <v>541032524</v>
      </c>
      <c r="F19" s="3" t="n">
        <v>599204000</v>
      </c>
      <c r="G19" s="3" t="n"/>
    </row>
    <row r="20">
      <c r="A20" t="inlineStr">
        <is>
          <t>Capital Stock</t>
        </is>
      </c>
      <c r="B20" s="3" t="n">
        <v>565000</v>
      </c>
      <c r="C20" s="3" t="n">
        <v>565000</v>
      </c>
      <c r="D20" s="3" t="n">
        <v>564814</v>
      </c>
      <c r="E20" s="3" t="n">
        <v>564814</v>
      </c>
      <c r="F20" s="3" t="n">
        <v>565000</v>
      </c>
      <c r="G20" s="3" t="n"/>
    </row>
    <row r="21">
      <c r="A21" t="inlineStr">
        <is>
          <t>Common Stock</t>
        </is>
      </c>
      <c r="B21" s="3" t="n">
        <v>565000</v>
      </c>
      <c r="C21" s="3" t="n">
        <v>565000</v>
      </c>
      <c r="D21" s="3" t="n">
        <v>564814</v>
      </c>
      <c r="E21" s="3" t="n">
        <v>564814</v>
      </c>
      <c r="F21" s="3" t="n">
        <v>565000</v>
      </c>
      <c r="G21" s="3" t="n"/>
    </row>
    <row r="22">
      <c r="A22" t="inlineStr">
        <is>
          <t>Total Liabilities Net Minority Interest</t>
        </is>
      </c>
      <c r="B22" s="3" t="n">
        <v>395507000</v>
      </c>
      <c r="C22" s="3" t="n">
        <v>352013000</v>
      </c>
      <c r="D22" s="3" t="n">
        <v>418739645</v>
      </c>
      <c r="E22" s="3" t="n">
        <v>419812122</v>
      </c>
      <c r="F22" s="3" t="n">
        <v>328654000</v>
      </c>
      <c r="G22" s="3" t="n"/>
    </row>
    <row r="23">
      <c r="A23" t="inlineStr">
        <is>
          <t>Total Non Current Liabilities Net Minority Interest</t>
        </is>
      </c>
      <c r="B23" s="3" t="n">
        <v>302001000</v>
      </c>
      <c r="C23" s="3" t="n">
        <v>244951000</v>
      </c>
      <c r="D23" s="3" t="n">
        <v>312688075</v>
      </c>
      <c r="E23" s="3" t="n">
        <v>320195178</v>
      </c>
      <c r="F23" s="3" t="n">
        <v>220276000</v>
      </c>
      <c r="G23" s="3" t="n"/>
    </row>
    <row r="24">
      <c r="A24" t="inlineStr">
        <is>
          <t>Other Non Current Liabilities</t>
        </is>
      </c>
      <c r="B24" s="3" t="n">
        <v>3115000</v>
      </c>
      <c r="C24" s="3" t="n">
        <v>3115000</v>
      </c>
      <c r="D24" s="3" t="n">
        <v>3114000</v>
      </c>
      <c r="E24" s="3" t="n">
        <v>3474468</v>
      </c>
      <c r="F24" s="3" t="n">
        <v>4564000</v>
      </c>
      <c r="G24" s="3" t="n"/>
    </row>
    <row r="25">
      <c r="A25" t="inlineStr">
        <is>
          <t>Non Current Pension And Other Postretirement Benefit Plans</t>
        </is>
      </c>
      <c r="B25" s="3" t="n"/>
      <c r="C25" s="3" t="n"/>
      <c r="D25" s="3" t="n">
        <v>425505</v>
      </c>
      <c r="E25" s="3" t="n"/>
      <c r="F25" s="3" t="n"/>
      <c r="G25" s="3" t="n">
        <v>887054</v>
      </c>
    </row>
    <row r="26">
      <c r="A26" t="inlineStr">
        <is>
          <t>Non Current Deferred Taxes Liabilities</t>
        </is>
      </c>
      <c r="B26" s="3" t="n">
        <v>2945000</v>
      </c>
      <c r="C26" s="3" t="n">
        <v>2695000</v>
      </c>
      <c r="D26" s="3" t="n">
        <v>2673210</v>
      </c>
      <c r="E26" s="3" t="n">
        <v>2318247</v>
      </c>
      <c r="F26" s="3" t="n">
        <v>3660000</v>
      </c>
      <c r="G26" s="3" t="n"/>
    </row>
    <row r="27">
      <c r="A27" t="inlineStr">
        <is>
          <t>Long Term Debt And Capital Lease Obligation</t>
        </is>
      </c>
      <c r="B27" s="3" t="n">
        <v>295941000</v>
      </c>
      <c r="C27" s="3" t="n">
        <v>239141000</v>
      </c>
      <c r="D27" s="3" t="n">
        <v>306900360</v>
      </c>
      <c r="E27" s="3" t="n">
        <v>314402463</v>
      </c>
      <c r="F27" s="3" t="n">
        <v>212052000</v>
      </c>
      <c r="G27" s="3" t="n"/>
    </row>
    <row r="28">
      <c r="A28" t="inlineStr">
        <is>
          <t>Long Term Capital Lease Obligation</t>
        </is>
      </c>
      <c r="B28" s="3" t="n">
        <v>5850000</v>
      </c>
      <c r="C28" s="3" t="n">
        <v>5683000</v>
      </c>
      <c r="D28" s="3" t="n">
        <v>5622758</v>
      </c>
      <c r="E28" s="3" t="n">
        <v>5715609</v>
      </c>
      <c r="F28" s="3" t="n">
        <v>6631000</v>
      </c>
      <c r="G28" s="3" t="n"/>
    </row>
    <row r="29">
      <c r="A29" t="inlineStr">
        <is>
          <t>Long Term Debt</t>
        </is>
      </c>
      <c r="B29" s="3" t="n">
        <v>290091000</v>
      </c>
      <c r="C29" s="3" t="n">
        <v>233458000</v>
      </c>
      <c r="D29" s="3" t="n">
        <v>301277602</v>
      </c>
      <c r="E29" s="3" t="n">
        <v>308686854</v>
      </c>
      <c r="F29" s="3" t="n">
        <v>205421000</v>
      </c>
      <c r="G29" s="3" t="n"/>
    </row>
    <row r="30">
      <c r="A30" t="inlineStr">
        <is>
          <t>Long Term Provisions</t>
        </is>
      </c>
      <c r="B30" s="3" t="n"/>
      <c r="C30" s="3" t="n"/>
      <c r="D30" s="3" t="n">
        <v>2689000</v>
      </c>
      <c r="E30" s="3" t="n"/>
      <c r="F30" s="3" t="n"/>
      <c r="G30" s="3" t="n">
        <v>3571000</v>
      </c>
    </row>
    <row r="31">
      <c r="A31" t="inlineStr">
        <is>
          <t>Current Liabilities</t>
        </is>
      </c>
      <c r="B31" s="3" t="n">
        <v>93506000</v>
      </c>
      <c r="C31" s="3" t="n">
        <v>107062000</v>
      </c>
      <c r="D31" s="3" t="n">
        <v>106051570</v>
      </c>
      <c r="E31" s="3" t="n">
        <v>99616944</v>
      </c>
      <c r="F31" s="3" t="n">
        <v>108378000</v>
      </c>
      <c r="G31" s="3" t="n"/>
    </row>
    <row r="32">
      <c r="A32" t="inlineStr">
        <is>
          <t>Other Current Liabilities</t>
        </is>
      </c>
      <c r="B32" s="3" t="n">
        <v>6069000</v>
      </c>
      <c r="C32" s="3" t="n">
        <v>6581000</v>
      </c>
      <c r="D32" s="3" t="n">
        <v>927229</v>
      </c>
      <c r="E32" s="3" t="n">
        <v>432286</v>
      </c>
      <c r="F32" s="3" t="n">
        <v>9199000</v>
      </c>
      <c r="G32" s="3" t="n"/>
    </row>
    <row r="33">
      <c r="A33" t="inlineStr">
        <is>
          <t>Current Debt And Capital Lease Obligation</t>
        </is>
      </c>
      <c r="B33" s="3" t="n">
        <v>5092000</v>
      </c>
      <c r="C33" s="3" t="n">
        <v>12246000</v>
      </c>
      <c r="D33" s="3" t="n">
        <v>15137844</v>
      </c>
      <c r="E33" s="3" t="n">
        <v>7317849</v>
      </c>
      <c r="F33" s="3" t="n">
        <v>13848000</v>
      </c>
      <c r="G33" s="3" t="n"/>
    </row>
    <row r="34">
      <c r="A34" t="inlineStr">
        <is>
          <t>Current Capital Lease Obligation</t>
        </is>
      </c>
      <c r="B34" s="3" t="n">
        <v>1996000</v>
      </c>
      <c r="C34" s="3" t="n">
        <v>1526000</v>
      </c>
      <c r="D34" s="3" t="n">
        <v>2116037</v>
      </c>
      <c r="E34" s="3" t="n">
        <v>2024065</v>
      </c>
      <c r="F34" s="3" t="n">
        <v>1596000</v>
      </c>
      <c r="G34" s="3" t="n"/>
    </row>
    <row r="35">
      <c r="A35" t="inlineStr">
        <is>
          <t>Current Debt</t>
        </is>
      </c>
      <c r="B35" s="3" t="n">
        <v>3096000</v>
      </c>
      <c r="C35" s="3" t="n">
        <v>10720000</v>
      </c>
      <c r="D35" s="3" t="n">
        <v>13021807</v>
      </c>
      <c r="E35" s="3" t="n">
        <v>5293784</v>
      </c>
      <c r="F35" s="3" t="n">
        <v>12252000</v>
      </c>
      <c r="G35" s="3" t="n"/>
    </row>
    <row r="36">
      <c r="A36" t="inlineStr">
        <is>
          <t>Pensionand Other Post Retirement Benefit Plans Current</t>
        </is>
      </c>
      <c r="B36" s="3" t="n">
        <v>23512000</v>
      </c>
      <c r="C36" s="3" t="n">
        <v>27635000</v>
      </c>
      <c r="D36" s="3" t="n">
        <v>14628094</v>
      </c>
      <c r="E36" s="3" t="n">
        <v>20720514</v>
      </c>
      <c r="F36" s="3" t="n">
        <v>21665000</v>
      </c>
      <c r="G36" s="3" t="n"/>
    </row>
    <row r="37">
      <c r="A37" t="inlineStr">
        <is>
          <t>Payables</t>
        </is>
      </c>
      <c r="B37" s="3" t="n">
        <v>55894000</v>
      </c>
      <c r="C37" s="3" t="n">
        <v>56023000</v>
      </c>
      <c r="D37" s="3" t="n">
        <v>59537906</v>
      </c>
      <c r="E37" s="3" t="n">
        <v>64242254</v>
      </c>
      <c r="F37" s="3" t="n">
        <v>60580000</v>
      </c>
      <c r="G37" s="3" t="n"/>
    </row>
    <row r="38">
      <c r="A38" t="inlineStr">
        <is>
          <t>Other Payable</t>
        </is>
      </c>
      <c r="B38" s="3" t="n"/>
      <c r="C38" s="3" t="n"/>
      <c r="D38" s="3" t="n">
        <v>574784</v>
      </c>
      <c r="E38" s="3" t="n">
        <v>100898</v>
      </c>
      <c r="F38" s="3" t="n"/>
      <c r="G38" s="3" t="n">
        <v>1638389</v>
      </c>
    </row>
    <row r="39">
      <c r="A39" t="inlineStr">
        <is>
          <t>Total Tax Payable</t>
        </is>
      </c>
      <c r="B39" s="3" t="n">
        <v>6464000</v>
      </c>
      <c r="C39" s="3" t="n">
        <v>9336000</v>
      </c>
      <c r="D39" s="3" t="n">
        <v>7909011</v>
      </c>
      <c r="E39" s="3" t="n">
        <v>5067363</v>
      </c>
      <c r="F39" s="3" t="n">
        <v>3853000</v>
      </c>
      <c r="G39" s="3" t="n"/>
    </row>
    <row r="40">
      <c r="A40" t="inlineStr">
        <is>
          <t>Accounts Payable</t>
        </is>
      </c>
      <c r="B40" s="3" t="n">
        <v>49430000</v>
      </c>
      <c r="C40" s="3" t="n">
        <v>46687000</v>
      </c>
      <c r="D40" s="3" t="n">
        <v>51054111</v>
      </c>
      <c r="E40" s="3" t="n">
        <v>59073993</v>
      </c>
      <c r="F40" s="3" t="n">
        <v>56727000</v>
      </c>
      <c r="G40" s="3" t="n"/>
    </row>
    <row r="41">
      <c r="A41" t="inlineStr">
        <is>
          <t>Total Assets</t>
        </is>
      </c>
      <c r="B41" s="3" t="n">
        <v>831186000</v>
      </c>
      <c r="C41" s="3" t="n">
        <v>851151000</v>
      </c>
      <c r="D41" s="3" t="n">
        <v>903268711</v>
      </c>
      <c r="E41" s="3" t="n">
        <v>928117946</v>
      </c>
      <c r="F41" s="3" t="n">
        <v>904867000</v>
      </c>
      <c r="G41" s="3" t="n"/>
    </row>
    <row r="42">
      <c r="A42" t="inlineStr">
        <is>
          <t>Total Non Current Assets</t>
        </is>
      </c>
      <c r="B42" s="3" t="n">
        <v>281941000</v>
      </c>
      <c r="C42" s="3" t="n">
        <v>303833000</v>
      </c>
      <c r="D42" s="3" t="n">
        <v>323921906</v>
      </c>
      <c r="E42" s="3" t="n">
        <v>371162391</v>
      </c>
      <c r="F42" s="3" t="n">
        <v>396201000</v>
      </c>
      <c r="G42" s="3" t="n"/>
    </row>
    <row r="43">
      <c r="A43" t="inlineStr">
        <is>
          <t>Other Non Current Assets</t>
        </is>
      </c>
      <c r="B43" s="3" t="n">
        <v>44751000</v>
      </c>
      <c r="C43" s="3" t="n">
        <v>65123000</v>
      </c>
      <c r="D43" s="3" t="n">
        <v>82818888</v>
      </c>
      <c r="E43" s="3" t="n">
        <v>121369380</v>
      </c>
      <c r="F43" s="3" t="n">
        <v>143786000</v>
      </c>
      <c r="G43" s="3" t="n"/>
    </row>
    <row r="44">
      <c r="A44" t="inlineStr">
        <is>
          <t>Non Current Deferred Taxes Assets</t>
        </is>
      </c>
      <c r="B44" s="3" t="n">
        <v>34448000</v>
      </c>
      <c r="C44" s="3" t="n">
        <v>35034000</v>
      </c>
      <c r="D44" s="3" t="n">
        <v>35367266</v>
      </c>
      <c r="E44" s="3" t="n">
        <v>37799521</v>
      </c>
      <c r="F44" s="3" t="n">
        <v>36908000</v>
      </c>
      <c r="G44" s="3" t="n"/>
    </row>
    <row r="45">
      <c r="A45" t="inlineStr">
        <is>
          <t>Goodwill And Other Intangible Assets</t>
        </is>
      </c>
      <c r="B45" s="3" t="n">
        <v>1522000</v>
      </c>
      <c r="C45" s="3" t="n">
        <v>1729000</v>
      </c>
      <c r="D45" s="3" t="n">
        <v>1197247</v>
      </c>
      <c r="E45" s="3" t="n">
        <v>1383901</v>
      </c>
      <c r="F45" s="3" t="n">
        <v>1539000</v>
      </c>
      <c r="G45" s="3" t="n"/>
    </row>
    <row r="46">
      <c r="A46" t="inlineStr">
        <is>
          <t>Other Intangible Assets</t>
        </is>
      </c>
      <c r="B46" s="3" t="n"/>
      <c r="C46" s="3" t="n"/>
      <c r="D46" s="3" t="n">
        <v>1197247</v>
      </c>
      <c r="E46" s="3" t="n">
        <v>1383901</v>
      </c>
      <c r="F46" s="3" t="n"/>
      <c r="G46" s="3" t="n">
        <v>1175080</v>
      </c>
    </row>
    <row r="47">
      <c r="A47" t="inlineStr">
        <is>
          <t>Net PPE</t>
        </is>
      </c>
      <c r="B47" s="3" t="n">
        <v>201220000</v>
      </c>
      <c r="C47" s="3" t="n">
        <v>201947000</v>
      </c>
      <c r="D47" s="3" t="n">
        <v>204538505</v>
      </c>
      <c r="E47" s="3" t="n">
        <v>210609589</v>
      </c>
      <c r="F47" s="3" t="n">
        <v>213968000</v>
      </c>
      <c r="G47" s="3" t="n"/>
    </row>
    <row r="48">
      <c r="A48" t="inlineStr">
        <is>
          <t>Accumulated Depreciation</t>
        </is>
      </c>
      <c r="B48" s="3" t="n"/>
      <c r="C48" s="3" t="n"/>
      <c r="D48" s="3" t="n">
        <v>-414682161</v>
      </c>
      <c r="E48" s="3" t="n">
        <v>-401048707</v>
      </c>
      <c r="F48" s="3" t="n"/>
      <c r="G48" s="3" t="n">
        <v>-384047645</v>
      </c>
    </row>
    <row r="49">
      <c r="A49" t="inlineStr">
        <is>
          <t>Gross PPE</t>
        </is>
      </c>
      <c r="B49" s="3" t="n">
        <v>201220000</v>
      </c>
      <c r="C49" s="3" t="n">
        <v>201947000</v>
      </c>
      <c r="D49" s="3" t="n">
        <v>619220666</v>
      </c>
      <c r="E49" s="3" t="n">
        <v>611658296</v>
      </c>
      <c r="F49" s="3" t="n">
        <v>213968000</v>
      </c>
      <c r="G49" s="3" t="n"/>
    </row>
    <row r="50">
      <c r="A50" t="inlineStr">
        <is>
          <t>Construction In Progress</t>
        </is>
      </c>
      <c r="B50" s="3" t="n"/>
      <c r="C50" s="3" t="n"/>
      <c r="D50" s="3" t="n">
        <v>9274161</v>
      </c>
      <c r="E50" s="3" t="n">
        <v>7853855</v>
      </c>
      <c r="F50" s="3" t="n"/>
      <c r="G50" s="3" t="n">
        <v>12766226</v>
      </c>
    </row>
    <row r="51">
      <c r="A51" t="inlineStr">
        <is>
          <t>Other Properties</t>
        </is>
      </c>
      <c r="B51" s="3" t="n">
        <v>201220000</v>
      </c>
      <c r="C51" s="3" t="n">
        <v>201947000</v>
      </c>
      <c r="D51" s="3" t="n">
        <v>824822</v>
      </c>
      <c r="E51" s="3" t="n">
        <v>829347</v>
      </c>
      <c r="F51" s="3" t="n">
        <v>213968000</v>
      </c>
      <c r="G51" s="3" t="n"/>
    </row>
    <row r="52">
      <c r="A52" t="inlineStr">
        <is>
          <t>Machinery Furniture Equipment</t>
        </is>
      </c>
      <c r="B52" s="3" t="n"/>
      <c r="C52" s="3" t="n"/>
      <c r="D52" s="3" t="n">
        <v>463037945</v>
      </c>
      <c r="E52" s="3" t="n">
        <v>460120816</v>
      </c>
      <c r="F52" s="3" t="n"/>
      <c r="G52" s="3" t="n">
        <v>446528408</v>
      </c>
    </row>
    <row r="53">
      <c r="A53" t="inlineStr">
        <is>
          <t>Buildings And Improvements</t>
        </is>
      </c>
      <c r="B53" s="3" t="n"/>
      <c r="C53" s="3" t="n"/>
      <c r="D53" s="3" t="n">
        <v>11217602</v>
      </c>
      <c r="E53" s="3" t="n">
        <v>10713319</v>
      </c>
      <c r="F53" s="3" t="n"/>
      <c r="G53" s="3" t="n">
        <v>10956061</v>
      </c>
    </row>
    <row r="54">
      <c r="A54" t="inlineStr">
        <is>
          <t>Land And Improvements</t>
        </is>
      </c>
      <c r="B54" s="3" t="n"/>
      <c r="C54" s="3" t="n"/>
      <c r="D54" s="3" t="n">
        <v>134866136</v>
      </c>
      <c r="E54" s="3" t="n">
        <v>132140959</v>
      </c>
      <c r="F54" s="3" t="n"/>
      <c r="G54" s="3" t="n">
        <v>132874840</v>
      </c>
    </row>
    <row r="55">
      <c r="A55" t="inlineStr">
        <is>
          <t>Properties</t>
        </is>
      </c>
      <c r="B55" s="3" t="n"/>
      <c r="C55" s="3" t="n"/>
      <c r="D55" s="3" t="n">
        <v>0</v>
      </c>
      <c r="E55" s="3" t="n">
        <v>0</v>
      </c>
      <c r="F55" s="3" t="n"/>
      <c r="G55" s="3" t="n">
        <v>0</v>
      </c>
    </row>
    <row r="56">
      <c r="A56" t="inlineStr">
        <is>
          <t>Current Assets</t>
        </is>
      </c>
      <c r="B56" s="3" t="n">
        <v>549245000</v>
      </c>
      <c r="C56" s="3" t="n">
        <v>547318000</v>
      </c>
      <c r="D56" s="3" t="n">
        <v>579346805</v>
      </c>
      <c r="E56" s="3" t="n">
        <v>556955555</v>
      </c>
      <c r="F56" s="3" t="n">
        <v>508666000</v>
      </c>
      <c r="G56" s="3" t="n"/>
    </row>
    <row r="57">
      <c r="A57" t="inlineStr">
        <is>
          <t>Other Current Assets</t>
        </is>
      </c>
      <c r="B57" s="3" t="n">
        <v>102463000</v>
      </c>
      <c r="C57" s="3" t="n">
        <v>101858000</v>
      </c>
      <c r="D57" s="3" t="n">
        <v>-1</v>
      </c>
      <c r="E57" s="3" t="n">
        <v>-1</v>
      </c>
      <c r="F57" s="3" t="n">
        <v>75741000</v>
      </c>
      <c r="G57" s="3" t="n"/>
    </row>
    <row r="58">
      <c r="A58" t="inlineStr">
        <is>
          <t>Hedging Assets Current</t>
        </is>
      </c>
      <c r="B58" s="3" t="n"/>
      <c r="C58" s="3" t="n"/>
      <c r="D58" s="3" t="n"/>
      <c r="E58" s="3" t="n">
        <v>300250</v>
      </c>
      <c r="F58" s="3" t="n"/>
      <c r="G58" s="3" t="n"/>
    </row>
    <row r="59">
      <c r="A59" t="inlineStr">
        <is>
          <t>Prepaid Assets</t>
        </is>
      </c>
      <c r="B59" s="3" t="n"/>
      <c r="C59" s="3" t="n"/>
      <c r="D59" s="3" t="n">
        <v>6673135</v>
      </c>
      <c r="E59" s="3" t="n">
        <v>6645610</v>
      </c>
      <c r="F59" s="3" t="n"/>
      <c r="G59" s="3" t="n">
        <v>4495342</v>
      </c>
    </row>
    <row r="60">
      <c r="A60" t="inlineStr">
        <is>
          <t>Inventory</t>
        </is>
      </c>
      <c r="B60" s="3" t="n">
        <v>270351000</v>
      </c>
      <c r="C60" s="3" t="n">
        <v>292214000</v>
      </c>
      <c r="D60" s="3" t="n">
        <v>300329421</v>
      </c>
      <c r="E60" s="3" t="n">
        <v>287169573</v>
      </c>
      <c r="F60" s="3" t="n">
        <v>281787000</v>
      </c>
      <c r="G60" s="3" t="n"/>
    </row>
    <row r="61">
      <c r="A61" t="inlineStr">
        <is>
          <t>Inventories Adjustments Allowances</t>
        </is>
      </c>
      <c r="B61" s="3" t="n"/>
      <c r="C61" s="3" t="n"/>
      <c r="D61" s="3" t="n">
        <v>-6878382</v>
      </c>
      <c r="E61" s="3" t="n"/>
      <c r="F61" s="3" t="n"/>
      <c r="G61" s="3" t="n">
        <v>-7170432</v>
      </c>
    </row>
    <row r="62">
      <c r="A62" t="inlineStr">
        <is>
          <t>Other Inventories</t>
        </is>
      </c>
      <c r="B62" s="3" t="n"/>
      <c r="C62" s="3" t="n"/>
      <c r="D62" s="3" t="n">
        <v>1</v>
      </c>
      <c r="E62" s="3" t="n"/>
      <c r="F62" s="3" t="n"/>
      <c r="G62" s="3" t="n"/>
    </row>
    <row r="63">
      <c r="A63" t="inlineStr">
        <is>
          <t>Finished Goods</t>
        </is>
      </c>
      <c r="B63" s="3" t="n"/>
      <c r="C63" s="3" t="n"/>
      <c r="D63" s="3" t="n">
        <v>43199937</v>
      </c>
      <c r="E63" s="3" t="n"/>
      <c r="F63" s="3" t="n"/>
      <c r="G63" s="3" t="n">
        <v>45353881</v>
      </c>
    </row>
    <row r="64">
      <c r="A64" t="inlineStr">
        <is>
          <t>Work In Process</t>
        </is>
      </c>
      <c r="B64" s="3" t="n"/>
      <c r="C64" s="3" t="n"/>
      <c r="D64" s="3" t="n">
        <v>224954545</v>
      </c>
      <c r="E64" s="3" t="n"/>
      <c r="F64" s="3" t="n"/>
      <c r="G64" s="3" t="n">
        <v>188241810</v>
      </c>
    </row>
    <row r="65">
      <c r="A65" t="inlineStr">
        <is>
          <t>Raw Materials</t>
        </is>
      </c>
      <c r="B65" s="3" t="n"/>
      <c r="C65" s="3" t="n"/>
      <c r="D65" s="3" t="n">
        <v>39053320</v>
      </c>
      <c r="E65" s="3" t="n"/>
      <c r="F65" s="3" t="n"/>
      <c r="G65" s="3" t="n">
        <v>36389973</v>
      </c>
    </row>
    <row r="66">
      <c r="A66" t="inlineStr">
        <is>
          <t>Other Receivables</t>
        </is>
      </c>
      <c r="B66" s="3" t="n"/>
      <c r="C66" s="3" t="n"/>
      <c r="D66" s="3" t="n">
        <v>102132015</v>
      </c>
      <c r="E66" s="3" t="n">
        <v>92863514</v>
      </c>
      <c r="F66" s="3" t="n"/>
      <c r="G66" s="3" t="n">
        <v>51465415</v>
      </c>
    </row>
    <row r="67">
      <c r="A67" t="inlineStr">
        <is>
          <t>Taxes Receivable</t>
        </is>
      </c>
      <c r="B67" s="3" t="n">
        <v>16056000</v>
      </c>
      <c r="C67" s="3" t="n">
        <v>10650000</v>
      </c>
      <c r="D67" s="3" t="n">
        <v>27726651</v>
      </c>
      <c r="E67" s="3" t="n">
        <v>31245267</v>
      </c>
      <c r="F67" s="3" t="n">
        <v>14729000</v>
      </c>
      <c r="G67" s="3" t="n"/>
    </row>
    <row r="68">
      <c r="A68" t="inlineStr">
        <is>
          <t>Accounts Receivable</t>
        </is>
      </c>
      <c r="B68" s="3" t="n">
        <v>123027000</v>
      </c>
      <c r="C68" s="3" t="n">
        <v>105457000</v>
      </c>
      <c r="D68" s="3" t="n">
        <v>107852151</v>
      </c>
      <c r="E68" s="3" t="n">
        <v>104819775</v>
      </c>
      <c r="F68" s="3" t="n">
        <v>101567000</v>
      </c>
      <c r="G68" s="3" t="n"/>
    </row>
    <row r="69">
      <c r="A69" t="inlineStr">
        <is>
          <t>Allowance For Doubtful Accounts Receivable</t>
        </is>
      </c>
      <c r="B69" s="3" t="n"/>
      <c r="C69" s="3" t="n"/>
      <c r="D69" s="3" t="n">
        <v>-514048</v>
      </c>
      <c r="E69" s="3" t="n">
        <v>-523862</v>
      </c>
      <c r="F69" s="3" t="n"/>
      <c r="G69" s="3" t="n">
        <v>-55783</v>
      </c>
    </row>
    <row r="70">
      <c r="A70" t="inlineStr">
        <is>
          <t>Gross Accounts Receivable</t>
        </is>
      </c>
      <c r="B70" s="3" t="n"/>
      <c r="C70" s="3" t="n"/>
      <c r="D70" s="3" t="n">
        <v>108366199</v>
      </c>
      <c r="E70" s="3" t="n">
        <v>105343637</v>
      </c>
      <c r="F70" s="3" t="n"/>
      <c r="G70" s="3" t="n">
        <v>102302262</v>
      </c>
    </row>
    <row r="71">
      <c r="A71" t="inlineStr">
        <is>
          <t>Cash Cash Equivalents And Short Term Investments</t>
        </is>
      </c>
      <c r="B71" s="3" t="n">
        <v>37348000</v>
      </c>
      <c r="C71" s="3" t="n">
        <v>37139000</v>
      </c>
      <c r="D71" s="3" t="n">
        <v>34633433</v>
      </c>
      <c r="E71" s="3" t="n">
        <v>33911567</v>
      </c>
      <c r="F71" s="3" t="n">
        <v>34842000</v>
      </c>
      <c r="G71" s="3" t="n"/>
    </row>
    <row r="72">
      <c r="A72" t="inlineStr">
        <is>
          <t>Cash And Cash Equivalents</t>
        </is>
      </c>
      <c r="B72" s="3" t="n">
        <v>37348000</v>
      </c>
      <c r="C72" s="3" t="n">
        <v>37139000</v>
      </c>
      <c r="D72" s="3" t="n">
        <v>34633433</v>
      </c>
      <c r="E72" s="3" t="n">
        <v>33911567</v>
      </c>
      <c r="F72" s="3" t="n">
        <v>34842000</v>
      </c>
      <c r="G72" s="3" t="n"/>
    </row>
    <row r="73">
      <c r="A73" t="inlineStr">
        <is>
          <t>Cash Financial</t>
        </is>
      </c>
      <c r="B73" s="3" t="n"/>
      <c r="C73" s="3" t="n"/>
      <c r="D73" s="3" t="n">
        <v>34633433</v>
      </c>
      <c r="E73" s="3" t="n">
        <v>33911567</v>
      </c>
      <c r="F73" s="3" t="n"/>
      <c r="G73" s="3" t="n">
        <v>32681024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96942103</v>
      </c>
      <c r="C2" s="3" t="n">
        <v>120120045</v>
      </c>
      <c r="D2" s="3" t="n">
        <v>-91778850</v>
      </c>
      <c r="E2" s="3" t="n">
        <v>147953469</v>
      </c>
      <c r="F2" s="3" t="n"/>
    </row>
    <row r="3">
      <c r="A3" t="inlineStr">
        <is>
          <t>Repurchase Of Capital Stock</t>
        </is>
      </c>
      <c r="B3" s="3" t="n">
        <v>-45620640</v>
      </c>
      <c r="C3" s="3" t="n">
        <v>-4410107</v>
      </c>
      <c r="D3" s="3" t="n">
        <v>0</v>
      </c>
      <c r="E3" s="3" t="n"/>
      <c r="F3" s="3" t="n"/>
    </row>
    <row r="4">
      <c r="A4" t="inlineStr">
        <is>
          <t>Issuance Of Debt</t>
        </is>
      </c>
      <c r="B4" s="3" t="n">
        <v>100977345</v>
      </c>
      <c r="C4" s="3" t="n">
        <v>28662968</v>
      </c>
      <c r="D4" s="3" t="n">
        <v>184659096</v>
      </c>
      <c r="E4" s="3" t="n"/>
      <c r="F4" s="3" t="n"/>
    </row>
    <row r="5">
      <c r="A5" t="inlineStr">
        <is>
          <t>Issuance Of Capital Stock</t>
        </is>
      </c>
      <c r="B5" s="3" t="n"/>
      <c r="C5" s="3" t="n"/>
      <c r="D5" s="3" t="n"/>
      <c r="E5" s="3" t="n">
        <v>0</v>
      </c>
      <c r="F5" s="3" t="n">
        <v>30633560</v>
      </c>
    </row>
    <row r="6">
      <c r="A6" t="inlineStr">
        <is>
          <t>Capital Expenditure</t>
        </is>
      </c>
      <c r="B6" s="3" t="n">
        <v>-29363705</v>
      </c>
      <c r="C6" s="3" t="n">
        <v>-53107148</v>
      </c>
      <c r="D6" s="3" t="n">
        <v>-94789958</v>
      </c>
      <c r="E6" s="3" t="n">
        <v>-39883633</v>
      </c>
      <c r="F6" s="3" t="n"/>
    </row>
    <row r="7">
      <c r="A7" t="inlineStr">
        <is>
          <t>End Cash Position</t>
        </is>
      </c>
      <c r="B7" s="3" t="n">
        <v>34633433</v>
      </c>
      <c r="C7" s="3" t="n">
        <v>32681024</v>
      </c>
      <c r="D7" s="3" t="n">
        <v>39348841</v>
      </c>
      <c r="E7" s="3" t="n">
        <v>85080008</v>
      </c>
      <c r="F7" s="3" t="n"/>
    </row>
    <row r="8">
      <c r="A8" t="inlineStr">
        <is>
          <t>Other Cash Adjustment Outside Changein Cash</t>
        </is>
      </c>
      <c r="B8" s="3" t="n">
        <v>-1000</v>
      </c>
      <c r="C8" s="3" t="n">
        <v>-2</v>
      </c>
      <c r="D8" s="3" t="n"/>
      <c r="E8" s="3" t="n">
        <v>-1</v>
      </c>
      <c r="F8" s="3" t="n">
        <v>1</v>
      </c>
    </row>
    <row r="9">
      <c r="A9" t="inlineStr">
        <is>
          <t>Beginning Cash Position</t>
        </is>
      </c>
      <c r="B9" s="3" t="n">
        <v>32681024</v>
      </c>
      <c r="C9" s="3" t="n">
        <v>39348841</v>
      </c>
      <c r="D9" s="3" t="n">
        <v>85080008</v>
      </c>
      <c r="E9" s="3" t="n">
        <v>34950394</v>
      </c>
      <c r="F9" s="3" t="n"/>
    </row>
    <row r="10">
      <c r="A10" t="inlineStr">
        <is>
          <t>Effect Of Exchange Rate Changes</t>
        </is>
      </c>
      <c r="B10" s="3" t="n">
        <v>-468677</v>
      </c>
      <c r="C10" s="3" t="n">
        <v>147984</v>
      </c>
      <c r="D10" s="3" t="n">
        <v>-418236</v>
      </c>
      <c r="E10" s="3" t="n">
        <v>-16173</v>
      </c>
      <c r="F10" s="3" t="n"/>
    </row>
    <row r="11">
      <c r="A11" t="inlineStr">
        <is>
          <t>Changes In Cash</t>
        </is>
      </c>
      <c r="B11" s="3" t="n">
        <v>2421086</v>
      </c>
      <c r="C11" s="3" t="n">
        <v>-6815799</v>
      </c>
      <c r="D11" s="3" t="n">
        <v>-45312931</v>
      </c>
      <c r="E11" s="3" t="n">
        <v>50145788</v>
      </c>
      <c r="F11" s="3" t="n"/>
    </row>
    <row r="12">
      <c r="A12" t="inlineStr">
        <is>
          <t>Other Cash Adjustment Inside Changein Cash</t>
        </is>
      </c>
      <c r="B12" s="3" t="n"/>
      <c r="C12" s="3" t="n"/>
      <c r="D12" s="3" t="n"/>
      <c r="E12" s="3" t="n">
        <v>-16000</v>
      </c>
      <c r="F12" s="3" t="n">
        <v>28000</v>
      </c>
    </row>
    <row r="13">
      <c r="A13" t="inlineStr">
        <is>
          <t>Financing Cash Flow</t>
        </is>
      </c>
      <c r="B13" s="3" t="n">
        <v>-94699446</v>
      </c>
      <c r="C13" s="3" t="n">
        <v>-127292539</v>
      </c>
      <c r="D13" s="3" t="n">
        <v>43354964</v>
      </c>
      <c r="E13" s="3" t="n">
        <v>-110400872</v>
      </c>
      <c r="F13" s="3" t="n"/>
    </row>
    <row r="14">
      <c r="A14" t="inlineStr">
        <is>
          <t>Net Other Financing Charges</t>
        </is>
      </c>
      <c r="B14" s="3" t="n">
        <v>1</v>
      </c>
      <c r="C14" s="3" t="n">
        <v>-4962556</v>
      </c>
      <c r="D14" s="3" t="n">
        <v>832962</v>
      </c>
      <c r="E14" s="3" t="n">
        <v>-3519423</v>
      </c>
      <c r="F14" s="3" t="n"/>
    </row>
    <row r="15">
      <c r="A15" t="inlineStr">
        <is>
          <t>Cash Dividends Paid</t>
        </is>
      </c>
      <c r="B15" s="3" t="n">
        <v>-147850627</v>
      </c>
      <c r="C15" s="3" t="n">
        <v>-149480000</v>
      </c>
      <c r="D15" s="3" t="n">
        <v>-141400000</v>
      </c>
      <c r="E15" s="3" t="n">
        <v>-105040000</v>
      </c>
      <c r="F15" s="3" t="n"/>
    </row>
    <row r="16">
      <c r="A16" t="inlineStr">
        <is>
          <t>Common Stock Dividend Paid</t>
        </is>
      </c>
      <c r="B16" s="3" t="n"/>
      <c r="C16" s="3" t="n">
        <v>-149480000</v>
      </c>
      <c r="D16" s="3" t="n">
        <v>-141400000</v>
      </c>
      <c r="E16" s="3" t="n">
        <v>-105040000</v>
      </c>
      <c r="F16" s="3" t="n">
        <v>-88880000</v>
      </c>
    </row>
    <row r="17">
      <c r="A17" t="inlineStr">
        <is>
          <t>Net Common Stock Issuance</t>
        </is>
      </c>
      <c r="B17" s="3" t="n">
        <v>-45620640</v>
      </c>
      <c r="C17" s="3" t="n">
        <v>-4410107</v>
      </c>
      <c r="D17" s="3" t="n">
        <v>0</v>
      </c>
      <c r="E17" s="3" t="n">
        <v>0</v>
      </c>
      <c r="F17" s="3" t="n"/>
    </row>
    <row r="18">
      <c r="A18" t="inlineStr">
        <is>
          <t>Common Stock Payments</t>
        </is>
      </c>
      <c r="B18" s="3" t="n">
        <v>-45620640</v>
      </c>
      <c r="C18" s="3" t="n">
        <v>-4410107</v>
      </c>
      <c r="D18" s="3" t="n">
        <v>0</v>
      </c>
      <c r="E18" s="3" t="n"/>
      <c r="F18" s="3" t="n"/>
    </row>
    <row r="19">
      <c r="A19" t="inlineStr">
        <is>
          <t>Common Stock Issuance</t>
        </is>
      </c>
      <c r="B19" s="3" t="n"/>
      <c r="C19" s="3" t="n"/>
      <c r="D19" s="3" t="n"/>
      <c r="E19" s="3" t="n">
        <v>0</v>
      </c>
      <c r="F19" s="3" t="n">
        <v>30633560</v>
      </c>
    </row>
    <row r="20">
      <c r="A20" t="inlineStr">
        <is>
          <t>Net Issuance Payments Of Debt</t>
        </is>
      </c>
      <c r="B20" s="3" t="n">
        <v>100977345</v>
      </c>
      <c r="C20" s="3" t="n">
        <v>28662968</v>
      </c>
      <c r="D20" s="3" t="n">
        <v>184659096</v>
      </c>
      <c r="E20" s="3" t="n">
        <v>0</v>
      </c>
      <c r="F20" s="3" t="n"/>
    </row>
    <row r="21">
      <c r="A21" t="inlineStr">
        <is>
          <t>Net Long Term Debt Issuance</t>
        </is>
      </c>
      <c r="B21" s="3" t="n">
        <v>100977345</v>
      </c>
      <c r="C21" s="3" t="n">
        <v>28662968</v>
      </c>
      <c r="D21" s="3" t="n">
        <v>184659096</v>
      </c>
      <c r="E21" s="3" t="n">
        <v>0</v>
      </c>
      <c r="F21" s="3" t="n"/>
    </row>
    <row r="22">
      <c r="A22" t="inlineStr">
        <is>
          <t>Long Term Debt Issuance</t>
        </is>
      </c>
      <c r="B22" s="3" t="n">
        <v>100977345</v>
      </c>
      <c r="C22" s="3" t="n">
        <v>28662968</v>
      </c>
      <c r="D22" s="3" t="n">
        <v>184659096</v>
      </c>
      <c r="E22" s="3" t="n"/>
      <c r="F22" s="3" t="n"/>
    </row>
    <row r="23">
      <c r="A23" t="inlineStr">
        <is>
          <t>Investing Cash Flow</t>
        </is>
      </c>
      <c r="B23" s="3" t="n">
        <v>-29185276</v>
      </c>
      <c r="C23" s="3" t="n">
        <v>-52750453</v>
      </c>
      <c r="D23" s="3" t="n">
        <v>-91679003</v>
      </c>
      <c r="E23" s="3" t="n">
        <v>-27290442</v>
      </c>
      <c r="F23" s="3" t="n"/>
    </row>
    <row r="24">
      <c r="A24" t="inlineStr">
        <is>
          <t>Net Other Investing Changes</t>
        </is>
      </c>
      <c r="B24" s="3" t="n">
        <v>-1</v>
      </c>
      <c r="C24" s="3" t="n">
        <v>1</v>
      </c>
      <c r="D24" s="3" t="n">
        <v>11628000</v>
      </c>
      <c r="E24" s="3" t="n">
        <v>1000</v>
      </c>
      <c r="F24" s="3" t="n"/>
    </row>
    <row r="25">
      <c r="A25" t="inlineStr">
        <is>
          <t>Interest Received Cfi</t>
        </is>
      </c>
      <c r="B25" s="3" t="n">
        <v>178430</v>
      </c>
      <c r="C25" s="3" t="n">
        <v>356694</v>
      </c>
      <c r="D25" s="3" t="n">
        <v>891554</v>
      </c>
      <c r="E25" s="3" t="n">
        <v>50121</v>
      </c>
      <c r="F25" s="3" t="n"/>
    </row>
    <row r="26">
      <c r="A26" t="inlineStr">
        <is>
          <t>Net Investment Purchase And Sale</t>
        </is>
      </c>
      <c r="B26" s="3" t="n"/>
      <c r="C26" s="3" t="n">
        <v>0</v>
      </c>
      <c r="D26" s="3" t="n">
        <v>11628646</v>
      </c>
      <c r="E26" s="3" t="n">
        <v>12543070</v>
      </c>
      <c r="F26" s="3" t="n">
        <v>244971</v>
      </c>
    </row>
    <row r="27">
      <c r="A27" t="inlineStr">
        <is>
          <t>Net Business Purchase And Sale</t>
        </is>
      </c>
      <c r="B27" s="3" t="n"/>
      <c r="C27" s="3" t="n">
        <v>0</v>
      </c>
      <c r="D27" s="3" t="n">
        <v>-9409245</v>
      </c>
      <c r="E27" s="3" t="n">
        <v>0</v>
      </c>
      <c r="F27" s="3" t="n"/>
    </row>
    <row r="28">
      <c r="A28" t="inlineStr">
        <is>
          <t>Purchase Of Business</t>
        </is>
      </c>
      <c r="B28" s="3" t="n"/>
      <c r="C28" s="3" t="n">
        <v>0</v>
      </c>
      <c r="D28" s="3" t="n">
        <v>-9409245</v>
      </c>
      <c r="E28" s="3" t="n">
        <v>0</v>
      </c>
      <c r="F28" s="3" t="n"/>
    </row>
    <row r="29">
      <c r="A29" t="inlineStr">
        <is>
          <t>Net Intangibles Purchase And Sale</t>
        </is>
      </c>
      <c r="B29" s="3" t="n">
        <v>-842698</v>
      </c>
      <c r="C29" s="3" t="n">
        <v>-114493</v>
      </c>
      <c r="D29" s="3" t="n">
        <v>-559417</v>
      </c>
      <c r="E29" s="3" t="n">
        <v>0</v>
      </c>
      <c r="F29" s="3" t="n"/>
    </row>
    <row r="30">
      <c r="A30" t="inlineStr">
        <is>
          <t>Purchase Of Intangibles</t>
        </is>
      </c>
      <c r="B30" s="3" t="n">
        <v>-842698</v>
      </c>
      <c r="C30" s="3" t="n">
        <v>-114493</v>
      </c>
      <c r="D30" s="3" t="n">
        <v>-559417</v>
      </c>
      <c r="E30" s="3" t="n">
        <v>0</v>
      </c>
      <c r="F30" s="3" t="n"/>
    </row>
    <row r="31">
      <c r="A31" t="inlineStr">
        <is>
          <t>Net PPE Purchase And Sale</t>
        </is>
      </c>
      <c r="B31" s="3" t="n">
        <v>-28521007</v>
      </c>
      <c r="C31" s="3" t="n">
        <v>-52992655</v>
      </c>
      <c r="D31" s="3" t="n">
        <v>-94230541</v>
      </c>
      <c r="E31" s="3" t="n">
        <v>-39883633</v>
      </c>
      <c r="F31" s="3" t="n"/>
    </row>
    <row r="32">
      <c r="A32" t="inlineStr">
        <is>
          <t>Purchase Of PPE</t>
        </is>
      </c>
      <c r="B32" s="3" t="n">
        <v>-28521007</v>
      </c>
      <c r="C32" s="3" t="n">
        <v>-52992655</v>
      </c>
      <c r="D32" s="3" t="n">
        <v>-94230541</v>
      </c>
      <c r="E32" s="3" t="n">
        <v>-39883633</v>
      </c>
      <c r="F32" s="3" t="n"/>
    </row>
    <row r="33">
      <c r="A33" t="inlineStr">
        <is>
          <t>Operating Cash Flow</t>
        </is>
      </c>
      <c r="B33" s="3" t="n">
        <v>126305808</v>
      </c>
      <c r="C33" s="3" t="n">
        <v>173227193</v>
      </c>
      <c r="D33" s="3" t="n">
        <v>3011108</v>
      </c>
      <c r="E33" s="3" t="n">
        <v>187837102</v>
      </c>
      <c r="F33" s="3" t="n"/>
    </row>
    <row r="34">
      <c r="A34" t="inlineStr">
        <is>
          <t>Taxes Refund Paid</t>
        </is>
      </c>
      <c r="B34" s="3" t="n">
        <v>-28213472</v>
      </c>
      <c r="C34" s="3" t="n">
        <v>-48912928</v>
      </c>
      <c r="D34" s="3" t="n">
        <v>-52759725</v>
      </c>
      <c r="E34" s="3" t="n">
        <v>-36488622</v>
      </c>
      <c r="F34" s="3" t="n"/>
    </row>
    <row r="35">
      <c r="A35" t="inlineStr">
        <is>
          <t>Interest Paid Cfo</t>
        </is>
      </c>
      <c r="B35" s="3" t="n">
        <v>-9261785</v>
      </c>
      <c r="C35" s="3" t="n">
        <v>-10749641</v>
      </c>
      <c r="D35" s="3" t="n">
        <v>-5335560</v>
      </c>
      <c r="E35" s="3" t="n">
        <v>-112044</v>
      </c>
      <c r="F35" s="3" t="n"/>
    </row>
    <row r="36">
      <c r="A36" t="inlineStr">
        <is>
          <t>Change In Working Capital</t>
        </is>
      </c>
      <c r="B36" s="3" t="n">
        <v>-33990404</v>
      </c>
      <c r="C36" s="3" t="n">
        <v>-29196453</v>
      </c>
      <c r="D36" s="3" t="n">
        <v>-241896868</v>
      </c>
      <c r="E36" s="3" t="n">
        <v>-54942028</v>
      </c>
      <c r="F36" s="3" t="n"/>
    </row>
    <row r="37">
      <c r="A37" t="inlineStr">
        <is>
          <t>Change In Other Current Liabilities</t>
        </is>
      </c>
      <c r="B37" s="3" t="n">
        <v>-3418398</v>
      </c>
      <c r="C37" s="3" t="n">
        <v>-3643944</v>
      </c>
      <c r="D37" s="3" t="n">
        <v>7833755</v>
      </c>
      <c r="E37" s="3" t="n">
        <v>932425</v>
      </c>
      <c r="F37" s="3" t="n"/>
    </row>
    <row r="38">
      <c r="A38" t="inlineStr">
        <is>
          <t>Change In Other Current Assets</t>
        </is>
      </c>
      <c r="B38" s="3" t="n">
        <v>27918050</v>
      </c>
      <c r="C38" s="3" t="n">
        <v>-5879512</v>
      </c>
      <c r="D38" s="3" t="n">
        <v>-190985331</v>
      </c>
      <c r="E38" s="3" t="n">
        <v>-7841633</v>
      </c>
      <c r="F38" s="3" t="n"/>
    </row>
    <row r="39">
      <c r="A39" t="inlineStr">
        <is>
          <t>Change In Accrued Expense</t>
        </is>
      </c>
      <c r="B39" s="3" t="n">
        <v>4307000</v>
      </c>
      <c r="C39" s="3" t="n">
        <v>-5471000</v>
      </c>
      <c r="D39" s="3" t="n">
        <v>2339000</v>
      </c>
      <c r="E39" s="3" t="n"/>
      <c r="F39" s="3" t="n">
        <v>5929000</v>
      </c>
    </row>
    <row r="40">
      <c r="A40" t="inlineStr">
        <is>
          <t>Change In Payable</t>
        </is>
      </c>
      <c r="B40" s="3" t="n">
        <v>-12148500</v>
      </c>
      <c r="C40" s="3" t="n">
        <v>-16827761</v>
      </c>
      <c r="D40" s="3" t="n">
        <v>24680480</v>
      </c>
      <c r="E40" s="3" t="n">
        <v>12466490</v>
      </c>
      <c r="F40" s="3" t="n"/>
    </row>
    <row r="41">
      <c r="A41" t="inlineStr">
        <is>
          <t>Change In Inventory</t>
        </is>
      </c>
      <c r="B41" s="3" t="n">
        <v>-44585035</v>
      </c>
      <c r="C41" s="3" t="n">
        <v>-15335144</v>
      </c>
      <c r="D41" s="3" t="n">
        <v>-75619378</v>
      </c>
      <c r="E41" s="3" t="n">
        <v>-40379637</v>
      </c>
      <c r="F41" s="3" t="n"/>
    </row>
    <row r="42">
      <c r="A42" t="inlineStr">
        <is>
          <t>Change In Receivables</t>
        </is>
      </c>
      <c r="B42" s="3" t="n">
        <v>-6063105</v>
      </c>
      <c r="C42" s="3" t="n">
        <v>17960555</v>
      </c>
      <c r="D42" s="3" t="n">
        <v>-10145524</v>
      </c>
      <c r="E42" s="3" t="n">
        <v>-23430499</v>
      </c>
      <c r="F42" s="3" t="n"/>
    </row>
    <row r="43">
      <c r="A43" t="inlineStr">
        <is>
          <t>Other Non Cash Items</t>
        </is>
      </c>
      <c r="B43" s="3" t="n">
        <v>9528172</v>
      </c>
      <c r="C43" s="3" t="n">
        <v>8969925</v>
      </c>
      <c r="D43" s="3" t="n">
        <v>5316957</v>
      </c>
      <c r="E43" s="3" t="n">
        <v>-8437815</v>
      </c>
      <c r="F43" s="3" t="n"/>
    </row>
    <row r="44">
      <c r="A44" t="inlineStr">
        <is>
          <t>Provisionand Write Offof Assets</t>
        </is>
      </c>
      <c r="B44" s="3" t="n">
        <v>-990974</v>
      </c>
      <c r="C44" s="3" t="n">
        <v>54028</v>
      </c>
      <c r="D44" s="3" t="n">
        <v>-646053</v>
      </c>
      <c r="E44" s="3" t="n">
        <v>4272000</v>
      </c>
      <c r="F44" s="3" t="n"/>
    </row>
    <row r="45">
      <c r="A45" t="inlineStr">
        <is>
          <t>Deferred Tax</t>
        </is>
      </c>
      <c r="B45" s="3" t="n">
        <v>23390166</v>
      </c>
      <c r="C45" s="3" t="n">
        <v>33874765</v>
      </c>
      <c r="D45" s="3" t="n">
        <v>43699487</v>
      </c>
      <c r="E45" s="3" t="n">
        <v>41226357</v>
      </c>
      <c r="F45" s="3" t="n"/>
    </row>
    <row r="46">
      <c r="A46" t="inlineStr">
        <is>
          <t>Depreciation And Amortization</t>
        </is>
      </c>
      <c r="B46" s="3" t="n">
        <v>53338881</v>
      </c>
      <c r="C46" s="3" t="n">
        <v>47741175</v>
      </c>
      <c r="D46" s="3" t="n">
        <v>45169477</v>
      </c>
      <c r="E46" s="3" t="n">
        <v>45166591</v>
      </c>
      <c r="F46" s="3" t="n"/>
    </row>
    <row r="47">
      <c r="A47" t="inlineStr">
        <is>
          <t>Depreciation</t>
        </is>
      </c>
      <c r="B47" s="3" t="n">
        <v>53338881</v>
      </c>
      <c r="C47" s="3" t="n">
        <v>47741175</v>
      </c>
      <c r="D47" s="3" t="n">
        <v>45169477</v>
      </c>
      <c r="E47" s="3" t="n">
        <v>45166591</v>
      </c>
      <c r="F47" s="3" t="n"/>
    </row>
    <row r="48">
      <c r="A48" t="inlineStr">
        <is>
          <t>Net Foreign Currency Exchange Gain Loss</t>
        </is>
      </c>
      <c r="B48" s="3" t="n"/>
      <c r="C48" s="3" t="n"/>
      <c r="D48" s="3" t="n"/>
      <c r="E48" s="3" t="n"/>
      <c r="F48" s="3" t="n">
        <v>-6489626</v>
      </c>
    </row>
    <row r="49">
      <c r="A49" t="inlineStr">
        <is>
          <t>Net Income From Continuing Operations</t>
        </is>
      </c>
      <c r="B49" s="3" t="n">
        <v>112505226</v>
      </c>
      <c r="C49" s="3" t="n">
        <v>171446322</v>
      </c>
      <c r="D49" s="3" t="n">
        <v>209463394</v>
      </c>
      <c r="E49" s="3" t="n">
        <v>197152664</v>
      </c>
      <c r="F4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46159000</v>
      </c>
      <c r="C2" s="3" t="n">
        <v>82304000</v>
      </c>
      <c r="D2" s="3" t="n">
        <v>38552000</v>
      </c>
      <c r="E2" s="3" t="n">
        <v>7859000</v>
      </c>
      <c r="F2" s="3" t="n">
        <v>13485000</v>
      </c>
      <c r="G2" s="3" t="n"/>
    </row>
    <row r="3">
      <c r="A3" t="inlineStr">
        <is>
          <t>Repurchase Of Capital Stock</t>
        </is>
      </c>
      <c r="B3" s="3" t="n">
        <v>0</v>
      </c>
      <c r="C3" s="3" t="n">
        <v>-9186000</v>
      </c>
      <c r="D3" s="3" t="n">
        <v>-21277000</v>
      </c>
      <c r="E3" s="3" t="n">
        <v>-8333000</v>
      </c>
      <c r="F3" s="3" t="n">
        <v>-14977000</v>
      </c>
      <c r="G3" s="3" t="n"/>
    </row>
    <row r="4">
      <c r="A4" t="inlineStr">
        <is>
          <t>Capital Expenditure</t>
        </is>
      </c>
      <c r="B4" s="3" t="n">
        <v>-9812000</v>
      </c>
      <c r="C4" s="3" t="n">
        <v>-9526000</v>
      </c>
      <c r="D4" s="3" t="n">
        <v>-8468000</v>
      </c>
      <c r="E4" s="3" t="n">
        <v>-7887000</v>
      </c>
      <c r="F4" s="3" t="n">
        <v>-5555000</v>
      </c>
      <c r="G4" s="3" t="n"/>
    </row>
    <row r="5">
      <c r="A5" t="inlineStr">
        <is>
          <t>End Cash Position</t>
        </is>
      </c>
      <c r="B5" s="3" t="n">
        <v>37348000</v>
      </c>
      <c r="C5" s="3" t="n">
        <v>37139000</v>
      </c>
      <c r="D5" s="3" t="n">
        <v>34633000</v>
      </c>
      <c r="E5" s="3" t="n">
        <v>33912000</v>
      </c>
      <c r="F5" s="3" t="n">
        <v>34842000</v>
      </c>
      <c r="G5" s="3" t="n"/>
    </row>
    <row r="6">
      <c r="A6" t="inlineStr">
        <is>
          <t>Other Cash Adjustment Outside Changein Cash</t>
        </is>
      </c>
      <c r="B6" s="3" t="n">
        <v>1000</v>
      </c>
      <c r="C6" s="3" t="n">
        <v>1000</v>
      </c>
      <c r="D6" s="3" t="n"/>
      <c r="E6" s="3" t="n"/>
      <c r="F6" s="3" t="n">
        <v>-1000</v>
      </c>
      <c r="G6" s="3" t="n">
        <v>-1000</v>
      </c>
    </row>
    <row r="7">
      <c r="A7" t="inlineStr">
        <is>
          <t>Beginning Cash Position</t>
        </is>
      </c>
      <c r="B7" s="3" t="n">
        <v>37139000</v>
      </c>
      <c r="C7" s="3" t="n">
        <v>34633000</v>
      </c>
      <c r="D7" s="3" t="n">
        <v>33321000</v>
      </c>
      <c r="E7" s="3" t="n">
        <v>34842000</v>
      </c>
      <c r="F7" s="3" t="n">
        <v>32681000</v>
      </c>
      <c r="G7" s="3" t="n"/>
    </row>
    <row r="8">
      <c r="A8" t="inlineStr">
        <is>
          <t>Effect Of Exchange Rate Changes</t>
        </is>
      </c>
      <c r="B8" s="3" t="n">
        <v>-6000</v>
      </c>
      <c r="C8" s="3" t="n">
        <v>7000</v>
      </c>
      <c r="D8" s="3" t="n">
        <v>76000</v>
      </c>
      <c r="E8" s="3" t="n">
        <v>-292000</v>
      </c>
      <c r="F8" s="3" t="n">
        <v>-227000</v>
      </c>
      <c r="G8" s="3" t="n"/>
    </row>
    <row r="9">
      <c r="A9" t="inlineStr">
        <is>
          <t>Changes In Cash</t>
        </is>
      </c>
      <c r="B9" s="3" t="n">
        <v>214000</v>
      </c>
      <c r="C9" s="3" t="n">
        <v>2498000</v>
      </c>
      <c r="D9" s="3" t="n">
        <v>1236000</v>
      </c>
      <c r="E9" s="3" t="n">
        <v>-638000</v>
      </c>
      <c r="F9" s="3" t="n">
        <v>2389000</v>
      </c>
      <c r="G9" s="3" t="n"/>
    </row>
    <row r="10">
      <c r="A10" t="inlineStr">
        <is>
          <t>Financing Cash Flow</t>
        </is>
      </c>
      <c r="B10" s="3" t="n">
        <v>-45995000</v>
      </c>
      <c r="C10" s="3" t="n">
        <v>-79859000</v>
      </c>
      <c r="D10" s="3" t="n">
        <v>-37376000</v>
      </c>
      <c r="E10" s="3" t="n">
        <v>-8539000</v>
      </c>
      <c r="F10" s="3" t="n">
        <v>-11170000</v>
      </c>
      <c r="G10" s="3" t="n"/>
    </row>
    <row r="11">
      <c r="A11" t="inlineStr">
        <is>
          <t>Net Other Financing Charges</t>
        </is>
      </c>
      <c r="B11" s="3" t="n"/>
      <c r="C11" s="3" t="n">
        <v>-1000</v>
      </c>
      <c r="D11" s="3" t="n"/>
      <c r="E11" s="3" t="n"/>
      <c r="F11" s="3" t="n">
        <v>1000</v>
      </c>
      <c r="G11" s="3" t="n">
        <v>-5113000</v>
      </c>
    </row>
    <row r="12">
      <c r="A12" t="inlineStr">
        <is>
          <t>Cash Dividends Paid</t>
        </is>
      </c>
      <c r="B12" s="3" t="n">
        <v>-94448000</v>
      </c>
      <c r="C12" s="3" t="n"/>
      <c r="D12" s="3" t="n">
        <v>-51874000</v>
      </c>
      <c r="E12" s="3" t="n">
        <v>-95976000</v>
      </c>
      <c r="F12" s="3" t="n"/>
      <c r="G12" s="3" t="n">
        <v>-52520000</v>
      </c>
    </row>
    <row r="13">
      <c r="A13" t="inlineStr">
        <is>
          <t>Common Stock Dividend Paid</t>
        </is>
      </c>
      <c r="B13" s="3" t="n"/>
      <c r="C13" s="3" t="n"/>
      <c r="D13" s="3" t="n"/>
      <c r="E13" s="3" t="n"/>
      <c r="F13" s="3" t="n"/>
      <c r="G13" s="3" t="n">
        <v>-52520000</v>
      </c>
    </row>
    <row r="14">
      <c r="A14" t="inlineStr">
        <is>
          <t>Net Common Stock Issuance</t>
        </is>
      </c>
      <c r="B14" s="3" t="n">
        <v>0</v>
      </c>
      <c r="C14" s="3" t="n">
        <v>-9186000</v>
      </c>
      <c r="D14" s="3" t="n">
        <v>-21277000</v>
      </c>
      <c r="E14" s="3" t="n">
        <v>-8333000</v>
      </c>
      <c r="F14" s="3" t="n">
        <v>-14977000</v>
      </c>
      <c r="G14" s="3" t="n"/>
    </row>
    <row r="15">
      <c r="A15" t="inlineStr">
        <is>
          <t>Common Stock Payments</t>
        </is>
      </c>
      <c r="B15" s="3" t="n">
        <v>0</v>
      </c>
      <c r="C15" s="3" t="n">
        <v>-9186000</v>
      </c>
      <c r="D15" s="3" t="n">
        <v>-21277000</v>
      </c>
      <c r="E15" s="3" t="n">
        <v>-8333000</v>
      </c>
      <c r="F15" s="3" t="n">
        <v>-14977000</v>
      </c>
      <c r="G15" s="3" t="n"/>
    </row>
    <row r="16">
      <c r="A16" t="inlineStr">
        <is>
          <t>Net Issuance Payments Of Debt</t>
        </is>
      </c>
      <c r="B16" s="3" t="n">
        <v>49009000</v>
      </c>
      <c r="C16" s="3" t="n">
        <v>-70121000</v>
      </c>
      <c r="D16" s="3" t="n">
        <v>36355000</v>
      </c>
      <c r="E16" s="3" t="n">
        <v>96307000</v>
      </c>
      <c r="F16" s="3" t="n">
        <v>4351000</v>
      </c>
      <c r="G16" s="3" t="n"/>
    </row>
    <row r="17">
      <c r="A17" t="inlineStr">
        <is>
          <t>Net Long Term Debt Issuance</t>
        </is>
      </c>
      <c r="B17" s="3" t="n">
        <v>49009000</v>
      </c>
      <c r="C17" s="3" t="n"/>
      <c r="D17" s="3" t="n"/>
      <c r="E17" s="3" t="n">
        <v>96307000</v>
      </c>
      <c r="F17" s="3" t="n"/>
      <c r="G17" s="3" t="n"/>
    </row>
    <row r="18">
      <c r="A18" t="inlineStr">
        <is>
          <t>Investing Cash Flow</t>
        </is>
      </c>
      <c r="B18" s="3" t="n">
        <v>-9762000</v>
      </c>
      <c r="C18" s="3" t="n">
        <v>-9473000</v>
      </c>
      <c r="D18" s="3" t="n">
        <v>-8408000</v>
      </c>
      <c r="E18" s="3" t="n">
        <v>-7845000</v>
      </c>
      <c r="F18" s="3" t="n">
        <v>-5481000</v>
      </c>
      <c r="G18" s="3" t="n"/>
    </row>
    <row r="19">
      <c r="A19" t="inlineStr">
        <is>
          <t>Interest Received Cfi</t>
        </is>
      </c>
      <c r="B19" s="3" t="n">
        <v>50000</v>
      </c>
      <c r="C19" s="3" t="n">
        <v>53000</v>
      </c>
      <c r="D19" s="3" t="n">
        <v>60000</v>
      </c>
      <c r="E19" s="3" t="n">
        <v>42000</v>
      </c>
      <c r="F19" s="3" t="n">
        <v>74000</v>
      </c>
      <c r="G19" s="3" t="n"/>
    </row>
    <row r="20">
      <c r="A20" t="inlineStr">
        <is>
          <t>Net Business Purchase And Sale</t>
        </is>
      </c>
      <c r="B20" s="3" t="n"/>
      <c r="C20" s="3" t="n"/>
      <c r="D20" s="3" t="n"/>
      <c r="E20" s="3" t="n"/>
      <c r="F20" s="3" t="n">
        <v>0</v>
      </c>
      <c r="G20" s="3" t="n">
        <v>0</v>
      </c>
    </row>
    <row r="21">
      <c r="A21" t="inlineStr">
        <is>
          <t>Purchase Of Business</t>
        </is>
      </c>
      <c r="B21" s="3" t="n"/>
      <c r="C21" s="3" t="n"/>
      <c r="D21" s="3" t="n"/>
      <c r="E21" s="3" t="n"/>
      <c r="F21" s="3" t="n">
        <v>0</v>
      </c>
      <c r="G21" s="3" t="n">
        <v>0</v>
      </c>
    </row>
    <row r="22">
      <c r="A22" t="inlineStr">
        <is>
          <t>Net PPE Purchase And Sale</t>
        </is>
      </c>
      <c r="B22" s="3" t="n">
        <v>-9812000</v>
      </c>
      <c r="C22" s="3" t="n">
        <v>-9526000</v>
      </c>
      <c r="D22" s="3" t="n">
        <v>-8468000</v>
      </c>
      <c r="E22" s="3" t="n">
        <v>-7887000</v>
      </c>
      <c r="F22" s="3" t="n">
        <v>-5555000</v>
      </c>
      <c r="G22" s="3" t="n"/>
    </row>
    <row r="23">
      <c r="A23" t="inlineStr">
        <is>
          <t>Purchase Of PPE</t>
        </is>
      </c>
      <c r="B23" s="3" t="n">
        <v>-9812000</v>
      </c>
      <c r="C23" s="3" t="n">
        <v>-9526000</v>
      </c>
      <c r="D23" s="3" t="n">
        <v>-8468000</v>
      </c>
      <c r="E23" s="3" t="n">
        <v>-7887000</v>
      </c>
      <c r="F23" s="3" t="n">
        <v>-5555000</v>
      </c>
      <c r="G23" s="3" t="n"/>
    </row>
    <row r="24">
      <c r="A24" t="inlineStr">
        <is>
          <t>Operating Cash Flow</t>
        </is>
      </c>
      <c r="B24" s="3" t="n">
        <v>55971000</v>
      </c>
      <c r="C24" s="3" t="n">
        <v>91830000</v>
      </c>
      <c r="D24" s="3" t="n">
        <v>47020000</v>
      </c>
      <c r="E24" s="3" t="n">
        <v>15746000</v>
      </c>
      <c r="F24" s="3" t="n">
        <v>19040000</v>
      </c>
      <c r="G24" s="3" t="n"/>
    </row>
    <row r="25">
      <c r="A25" t="inlineStr">
        <is>
          <t>Taxes Refund Paid</t>
        </is>
      </c>
      <c r="B25" s="3" t="n">
        <v>-12056000</v>
      </c>
      <c r="C25" s="3" t="n">
        <v>14388000</v>
      </c>
      <c r="D25" s="3" t="n">
        <v>-3740000</v>
      </c>
      <c r="E25" s="3" t="n">
        <v>-23843000</v>
      </c>
      <c r="F25" s="3" t="n">
        <v>874000</v>
      </c>
      <c r="G25" s="3" t="n"/>
    </row>
    <row r="26">
      <c r="A26" t="inlineStr">
        <is>
          <t>Interest Paid Cfo</t>
        </is>
      </c>
      <c r="B26" s="3" t="n">
        <v>-1950000</v>
      </c>
      <c r="C26" s="3" t="n">
        <v>-1966000</v>
      </c>
      <c r="D26" s="3" t="n"/>
      <c r="E26" s="3" t="n">
        <v>-2485000</v>
      </c>
      <c r="F26" s="3" t="n">
        <v>-2377000</v>
      </c>
      <c r="G26" s="3" t="n">
        <v>-2686000</v>
      </c>
    </row>
    <row r="27">
      <c r="A27" t="inlineStr">
        <is>
          <t>Change In Working Capital</t>
        </is>
      </c>
      <c r="B27" s="3" t="n">
        <v>20719000</v>
      </c>
      <c r="C27" s="3" t="n">
        <v>35602000</v>
      </c>
      <c r="D27" s="3" t="n">
        <v>8266000</v>
      </c>
      <c r="E27" s="3" t="n">
        <v>-16239000</v>
      </c>
      <c r="F27" s="3" t="n">
        <v>-22629000</v>
      </c>
      <c r="G27" s="3" t="n"/>
    </row>
    <row r="28">
      <c r="A28" t="inlineStr">
        <is>
          <t>Change In Other Current Liabilities</t>
        </is>
      </c>
      <c r="B28" s="3" t="n">
        <v>-510000</v>
      </c>
      <c r="C28" s="3" t="n">
        <v>679000</v>
      </c>
      <c r="D28" s="3" t="n">
        <v>-53000</v>
      </c>
      <c r="E28" s="3" t="n">
        <v>-4630000</v>
      </c>
      <c r="F28" s="3" t="n">
        <v>-122000</v>
      </c>
      <c r="G28" s="3" t="n"/>
    </row>
    <row r="29">
      <c r="A29" t="inlineStr">
        <is>
          <t>Change In Other Current Assets</t>
        </is>
      </c>
      <c r="B29" s="3" t="n">
        <v>19766000</v>
      </c>
      <c r="C29" s="3" t="n">
        <v>24643000</v>
      </c>
      <c r="D29" s="3" t="n">
        <v>17416000</v>
      </c>
      <c r="E29" s="3" t="n">
        <v>-1353000</v>
      </c>
      <c r="F29" s="3" t="n">
        <v>17000</v>
      </c>
      <c r="G29" s="3" t="n"/>
    </row>
    <row r="30">
      <c r="A30" t="inlineStr">
        <is>
          <t>Change In Accrued Expense</t>
        </is>
      </c>
      <c r="B30" s="3" t="n"/>
      <c r="C30" s="3" t="n"/>
      <c r="D30" s="3" t="n">
        <v>-1940000</v>
      </c>
      <c r="E30" s="3" t="n"/>
      <c r="F30" s="3" t="n"/>
      <c r="G30" s="3" t="n">
        <v>279000</v>
      </c>
    </row>
    <row r="31">
      <c r="A31" t="inlineStr">
        <is>
          <t>Change In Payable</t>
        </is>
      </c>
      <c r="B31" s="3" t="n">
        <v>2742000</v>
      </c>
      <c r="C31" s="3" t="n">
        <v>-4367000</v>
      </c>
      <c r="D31" s="3" t="n">
        <v>-3436000</v>
      </c>
      <c r="E31" s="3" t="n">
        <v>2347000</v>
      </c>
      <c r="F31" s="3" t="n">
        <v>-6475000</v>
      </c>
      <c r="G31" s="3" t="n"/>
    </row>
    <row r="32">
      <c r="A32" t="inlineStr">
        <is>
          <t>Change In Inventory</t>
        </is>
      </c>
      <c r="B32" s="3" t="n">
        <v>20012000</v>
      </c>
      <c r="C32" s="3" t="n">
        <v>7085000</v>
      </c>
      <c r="D32" s="3" t="n">
        <v>-2640000</v>
      </c>
      <c r="E32" s="3" t="n">
        <v>-7901000</v>
      </c>
      <c r="F32" s="3" t="n">
        <v>-20187000</v>
      </c>
      <c r="G32" s="3" t="n"/>
    </row>
    <row r="33">
      <c r="A33" t="inlineStr">
        <is>
          <t>Change In Receivables</t>
        </is>
      </c>
      <c r="B33" s="3" t="n">
        <v>-17102000</v>
      </c>
      <c r="C33" s="3" t="n">
        <v>2441000</v>
      </c>
      <c r="D33" s="3" t="n">
        <v>-1081000</v>
      </c>
      <c r="E33" s="3" t="n">
        <v>-3721000</v>
      </c>
      <c r="F33" s="3" t="n">
        <v>679000</v>
      </c>
      <c r="G33" s="3" t="n"/>
    </row>
    <row r="34">
      <c r="A34" t="inlineStr">
        <is>
          <t>Other Non Cash Items</t>
        </is>
      </c>
      <c r="B34" s="3" t="n">
        <v>512000</v>
      </c>
      <c r="C34" s="3" t="n">
        <v>2346000</v>
      </c>
      <c r="D34" s="3" t="n">
        <v>1000000</v>
      </c>
      <c r="E34" s="3" t="n">
        <v>940000</v>
      </c>
      <c r="F34" s="3" t="n">
        <v>2382000</v>
      </c>
      <c r="G34" s="3" t="n"/>
    </row>
    <row r="35">
      <c r="A35" t="inlineStr">
        <is>
          <t>Provisionand Write Offof Assets</t>
        </is>
      </c>
      <c r="B35" s="3" t="n">
        <v>0</v>
      </c>
      <c r="C35" s="3" t="n">
        <v>0</v>
      </c>
      <c r="D35" s="3" t="n">
        <v>-99000</v>
      </c>
      <c r="E35" s="3" t="n">
        <v>-1089000</v>
      </c>
      <c r="F35" s="3" t="n">
        <v>-4000</v>
      </c>
      <c r="G35" s="3" t="n"/>
    </row>
    <row r="36">
      <c r="A36" t="inlineStr">
        <is>
          <t>Deferred Tax</t>
        </is>
      </c>
      <c r="B36" s="3" t="n">
        <v>4648000</v>
      </c>
      <c r="C36" s="3" t="n">
        <v>5776000</v>
      </c>
      <c r="D36" s="3" t="n">
        <v>5942000</v>
      </c>
      <c r="E36" s="3" t="n">
        <v>6221000</v>
      </c>
      <c r="F36" s="3" t="n">
        <v>3923000</v>
      </c>
      <c r="G36" s="3" t="n"/>
    </row>
    <row r="37">
      <c r="A37" t="inlineStr">
        <is>
          <t>Depreciation And Amortization</t>
        </is>
      </c>
      <c r="B37" s="3" t="n">
        <v>13324000</v>
      </c>
      <c r="C37" s="3" t="n">
        <v>12592000</v>
      </c>
      <c r="D37" s="3" t="n">
        <v>12476000</v>
      </c>
      <c r="E37" s="3" t="n">
        <v>14436000</v>
      </c>
      <c r="F37" s="3" t="n">
        <v>12274000</v>
      </c>
      <c r="G37" s="3" t="n"/>
    </row>
    <row r="38">
      <c r="A38" t="inlineStr">
        <is>
          <t>Depreciation</t>
        </is>
      </c>
      <c r="B38" s="3" t="n">
        <v>13324000</v>
      </c>
      <c r="C38" s="3" t="n">
        <v>12592000</v>
      </c>
      <c r="D38" s="3" t="n">
        <v>12476000</v>
      </c>
      <c r="E38" s="3" t="n">
        <v>14436000</v>
      </c>
      <c r="F38" s="3" t="n">
        <v>12274000</v>
      </c>
      <c r="G38" s="3" t="n"/>
    </row>
    <row r="39">
      <c r="A39" t="inlineStr">
        <is>
          <t>Net Income From Continuing Operations</t>
        </is>
      </c>
      <c r="B39" s="3" t="n">
        <v>30776000</v>
      </c>
      <c r="C39" s="3" t="n">
        <v>23094000</v>
      </c>
      <c r="D39" s="3" t="n">
        <v>22575000</v>
      </c>
      <c r="E39" s="3" t="n">
        <v>37805000</v>
      </c>
      <c r="F39" s="3" t="n">
        <v>24598000</v>
      </c>
      <c r="G3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2026-08-02T23:44:41Z</dcterms:created>
  <dcterms:modified xsi:type="dcterms:W3CDTF">2026-08-02T23:44:42Z</dcterms:modified>
</cp:coreProperties>
</file>