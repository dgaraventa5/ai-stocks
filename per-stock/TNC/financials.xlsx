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Y Summary" sheetId="2" state="visible" r:id="rId2"/>
    <sheet name="Income stmt (annual)" sheetId="3" state="visible" r:id="rId3"/>
    <sheet name="Income stmt (quarterly)" sheetId="4" state="visible" r:id="rId4"/>
    <sheet name="Balance sheet (annual)" sheetId="5" state="visible" r:id="rId5"/>
    <sheet name="Balance sheet (quarterly)" sheetId="6" state="visible" r:id="rId6"/>
    <sheet name="Cash flow (annual)" sheetId="7" state="visible" r:id="rId7"/>
    <sheet name="Cash flow (quarterly)" sheetId="8" state="visible" r:id="rId8"/>
    <sheet name="Data flag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&quot;x&quot;"/>
    <numFmt numFmtId="166" formatCode="#,##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36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Source / formula</t>
        </is>
      </c>
    </row>
    <row r="2">
      <c r="A2" t="inlineStr">
        <is>
          <t>Ticker</t>
        </is>
      </c>
      <c r="B2" t="inlineStr">
        <is>
          <t>TNC</t>
        </is>
      </c>
      <c r="C2" t="inlineStr">
        <is>
          <t>input</t>
        </is>
      </c>
    </row>
    <row r="3">
      <c r="A3" t="inlineStr">
        <is>
          <t>Name</t>
        </is>
      </c>
      <c r="B3" t="inlineStr">
        <is>
          <t>Tennant Company</t>
        </is>
      </c>
      <c r="C3" t="inlineStr">
        <is>
          <t>yfinance info.longName</t>
        </is>
      </c>
    </row>
    <row r="4">
      <c r="A4" t="inlineStr">
        <is>
          <t>Sector</t>
        </is>
      </c>
      <c r="B4" t="inlineStr">
        <is>
          <t>Industrials</t>
        </is>
      </c>
      <c r="C4" t="inlineStr">
        <is>
          <t>yfinance info.sector</t>
        </is>
      </c>
    </row>
    <row r="5">
      <c r="A5" t="inlineStr">
        <is>
          <t>Industry</t>
        </is>
      </c>
      <c r="B5" t="inlineStr">
        <is>
          <t>Specialty Industrial Machinery</t>
        </is>
      </c>
      <c r="C5" t="inlineStr">
        <is>
          <t>yfinance info.industry</t>
        </is>
      </c>
    </row>
    <row r="6">
      <c r="A6" t="inlineStr">
        <is>
          <t>Market cap ($)</t>
        </is>
      </c>
      <c r="B6" t="n">
        <v>1431779072</v>
      </c>
      <c r="C6" t="inlineStr">
        <is>
          <t>yfinance info.marketCap</t>
        </is>
      </c>
    </row>
    <row r="7">
      <c r="A7" t="inlineStr">
        <is>
          <t>Enterprise value ($)</t>
        </is>
      </c>
      <c r="B7" t="n">
        <v>1743479040</v>
      </c>
      <c r="C7" t="inlineStr">
        <is>
          <t>yfinance info.enterpriseValue</t>
        </is>
      </c>
    </row>
    <row r="8">
      <c r="A8" t="inlineStr">
        <is>
          <t>Trailing P/E</t>
        </is>
      </c>
      <c r="B8" t="n">
        <v>50.017857</v>
      </c>
      <c r="C8" t="inlineStr">
        <is>
          <t>yfinance info.trailingPE</t>
        </is>
      </c>
    </row>
    <row r="9">
      <c r="A9" t="inlineStr">
        <is>
          <t>Forward P/E</t>
        </is>
      </c>
      <c r="B9" t="n">
        <v>13.109204</v>
      </c>
      <c r="C9" t="inlineStr">
        <is>
          <t>yfinance info.forwardPE</t>
        </is>
      </c>
    </row>
    <row r="10">
      <c r="A10" t="inlineStr">
        <is>
          <t>P/S (TTM)</t>
        </is>
      </c>
      <c r="B10" t="n">
        <v>1.181921</v>
      </c>
      <c r="C10" t="inlineStr">
        <is>
          <t>yfinance</t>
        </is>
      </c>
    </row>
    <row r="11">
      <c r="A11" t="inlineStr">
        <is>
          <t>Gross margin (TTM)</t>
        </is>
      </c>
      <c r="B11" t="n">
        <v>0.39450002</v>
      </c>
      <c r="C11" t="inlineStr">
        <is>
          <t>yfinance info.grossMargins</t>
        </is>
      </c>
    </row>
    <row r="12">
      <c r="A12" t="inlineStr">
        <is>
          <t>Operating margin (TTM)</t>
        </is>
      </c>
      <c r="B12" t="n">
        <v>0.01746</v>
      </c>
      <c r="C12" t="inlineStr">
        <is>
          <t>yfinance info.operatingMargins</t>
        </is>
      </c>
    </row>
    <row r="13">
      <c r="A13" t="inlineStr">
        <is>
          <t>Net margin (TTM)</t>
        </is>
      </c>
      <c r="B13" t="n">
        <v>0.025510002</v>
      </c>
      <c r="C13" t="inlineStr">
        <is>
          <t>yfinance info.profitMargins</t>
        </is>
      </c>
    </row>
    <row r="14">
      <c r="A14" t="inlineStr">
        <is>
          <t>ROE</t>
        </is>
      </c>
      <c r="B14" t="n">
        <v>0.053319998</v>
      </c>
      <c r="C14" t="inlineStr">
        <is>
          <t>yfinance info.returnOnEquity</t>
        </is>
      </c>
    </row>
    <row r="15">
      <c r="A15" t="inlineStr">
        <is>
          <t>Revenue growth (YoY)</t>
        </is>
      </c>
      <c r="B15" t="n">
        <v>0.027</v>
      </c>
      <c r="C15" t="inlineStr">
        <is>
          <t>yfinance info.revenueGrowth</t>
        </is>
      </c>
    </row>
    <row r="16">
      <c r="A16" t="inlineStr">
        <is>
          <t>Total cash ($)</t>
        </is>
      </c>
      <c r="B16" t="n">
        <v>82600000</v>
      </c>
      <c r="C16" t="inlineStr">
        <is>
          <t>yfinance info.totalCash</t>
        </is>
      </c>
    </row>
    <row r="17">
      <c r="A17" t="inlineStr">
        <is>
          <t>Total debt ($)</t>
        </is>
      </c>
      <c r="B17" t="n">
        <v>392500000</v>
      </c>
      <c r="C17" t="inlineStr">
        <is>
          <t>yfinance info.totalDebt</t>
        </is>
      </c>
    </row>
    <row r="18">
      <c r="A18" t="inlineStr">
        <is>
          <t>FCF (TTM, $)</t>
        </is>
      </c>
      <c r="B18" t="n">
        <v>15900000</v>
      </c>
      <c r="C18" t="inlineStr">
        <is>
          <t>statement: TTM OCF - |capex| (yfinance quarterly_cashflow)</t>
        </is>
      </c>
    </row>
    <row r="19">
      <c r="A19" t="inlineStr">
        <is>
          <t>Shares outstanding</t>
        </is>
      </c>
      <c r="B19" t="n">
        <v>17038903</v>
      </c>
      <c r="C19" t="inlineStr">
        <is>
          <t>yfinance info.sharesOutstanding</t>
        </is>
      </c>
    </row>
    <row r="20">
      <c r="A20" t="inlineStr">
        <is>
          <t>Current price ($)</t>
        </is>
      </c>
      <c r="B20" t="n">
        <v>84.03</v>
      </c>
      <c r="C20" t="inlineStr">
        <is>
          <t>yfinance info.currentPrice</t>
        </is>
      </c>
    </row>
    <row r="21">
      <c r="A21" t="inlineStr">
        <is>
          <t>FCF yield</t>
        </is>
      </c>
      <c r="B21" s="2">
        <f>IFERROR(B18/B6,"")</f>
        <v/>
      </c>
      <c r="C21">
        <f>B18/B6</f>
        <v/>
      </c>
    </row>
    <row r="22">
      <c r="A22" t="inlineStr">
        <is>
          <t>FCF / EV</t>
        </is>
      </c>
      <c r="B22" s="2">
        <f>IFERROR(B18/B7,"")</f>
        <v/>
      </c>
      <c r="C22">
        <f>B18/B7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15" customWidth="1" min="4" max="4"/>
    <col width="15" customWidth="1" min="5" max="5"/>
    <col width="52" customWidth="1" min="6" max="6"/>
  </cols>
  <sheetData>
    <row r="1">
      <c r="A1" s="1" t="inlineStr">
        <is>
          <t>Fiscal-year summary (GAAP, $ except where noted)</t>
        </is>
      </c>
      <c r="B1" s="1" t="inlineStr">
        <is>
          <t>FY-3</t>
        </is>
      </c>
      <c r="C1" s="1" t="inlineStr">
        <is>
          <t>FY-2</t>
        </is>
      </c>
      <c r="D1" s="1" t="inlineStr">
        <is>
          <t>FY-1</t>
        </is>
      </c>
      <c r="E1" s="1" t="inlineStr">
        <is>
          <t>TTM</t>
        </is>
      </c>
      <c r="F1" s="1" t="inlineStr">
        <is>
          <t>Source / formula</t>
        </is>
      </c>
    </row>
    <row r="2">
      <c r="A2" t="inlineStr">
        <is>
          <t>Fiscal period end</t>
        </is>
      </c>
      <c r="B2" t="inlineStr">
        <is>
          <t>2023-12-31</t>
        </is>
      </c>
      <c r="C2" t="inlineStr">
        <is>
          <t>2024-12-31</t>
        </is>
      </c>
      <c r="D2" t="inlineStr">
        <is>
          <t>2025-12-31</t>
        </is>
      </c>
      <c r="E2" t="inlineStr">
        <is>
          <t>TTM → 2026-03-31</t>
        </is>
      </c>
      <c r="F2" t="inlineStr">
        <is>
          <t>annual statement headers; TTM = Σ last 4 quarters</t>
        </is>
      </c>
    </row>
    <row r="3">
      <c r="A3" t="inlineStr">
        <is>
          <t>Revenue</t>
        </is>
      </c>
      <c r="B3" s="3">
        <f>'Income stmt (annual)'!D45</f>
        <v/>
      </c>
      <c r="C3" s="3">
        <f>'Income stmt (annual)'!C45</f>
        <v/>
      </c>
      <c r="D3" s="3">
        <f>'Income stmt (annual)'!B45</f>
        <v/>
      </c>
      <c r="E3" s="3">
        <f>SUM('Income stmt (quarterly)'!B40:E40)</f>
        <v/>
      </c>
      <c r="F3" t="inlineStr">
        <is>
          <t>Total Revenue</t>
        </is>
      </c>
    </row>
    <row r="4">
      <c r="A4" t="inlineStr">
        <is>
          <t>Gross profit</t>
        </is>
      </c>
      <c r="B4" s="3">
        <f>'Income stmt (annual)'!D43</f>
        <v/>
      </c>
      <c r="C4" s="3">
        <f>'Income stmt (annual)'!C43</f>
        <v/>
      </c>
      <c r="D4" s="3">
        <f>'Income stmt (annual)'!B43</f>
        <v/>
      </c>
      <c r="E4" s="3">
        <f>SUM('Income stmt (quarterly)'!B38:E38)</f>
        <v/>
      </c>
      <c r="F4" t="inlineStr">
        <is>
          <t>Gross Profit (GAAP)</t>
        </is>
      </c>
    </row>
    <row r="5">
      <c r="A5" t="inlineStr">
        <is>
          <t>Gross margin %</t>
        </is>
      </c>
      <c r="B5" s="4">
        <f>IFERROR(B4/B3,"")</f>
        <v/>
      </c>
      <c r="C5" s="4">
        <f>IFERROR(C4/C3,"")</f>
        <v/>
      </c>
      <c r="D5" s="4">
        <f>IFERROR(D4/D3,"")</f>
        <v/>
      </c>
      <c r="E5" s="4">
        <f>IFERROR(E4/E3,"")</f>
        <v/>
      </c>
      <c r="F5" t="inlineStr">
        <is>
          <t>GAAP = gross profit / revenue</t>
        </is>
      </c>
    </row>
    <row r="6">
      <c r="A6" t="inlineStr">
        <is>
          <t>Operating income</t>
        </is>
      </c>
      <c r="B6" s="3">
        <f>'Income stmt (annual)'!D39</f>
        <v/>
      </c>
      <c r="C6" s="3">
        <f>'Income stmt (annual)'!C39</f>
        <v/>
      </c>
      <c r="D6" s="3">
        <f>'Income stmt (annual)'!B39</f>
        <v/>
      </c>
      <c r="E6" s="3">
        <f>SUM('Income stmt (quarterly)'!B34:E34)</f>
        <v/>
      </c>
      <c r="F6" t="inlineStr">
        <is>
          <t>Operating Income</t>
        </is>
      </c>
    </row>
    <row r="7">
      <c r="A7" t="inlineStr">
        <is>
          <t>Operating margin %</t>
        </is>
      </c>
      <c r="B7" s="4">
        <f>IFERROR(B6/B3,"")</f>
        <v/>
      </c>
      <c r="C7" s="4">
        <f>IFERROR(C6/C3,"")</f>
        <v/>
      </c>
      <c r="D7" s="4">
        <f>IFERROR(D6/D3,"")</f>
        <v/>
      </c>
      <c r="E7" s="4">
        <f>IFERROR(E6/E3,"")</f>
        <v/>
      </c>
      <c r="F7">
        <f> operating income / revenue</f>
        <v/>
      </c>
    </row>
    <row r="8">
      <c r="A8" t="inlineStr">
        <is>
          <t>EBITDA</t>
        </is>
      </c>
      <c r="B8" s="3">
        <f>'Income stmt (annual)'!D10</f>
        <v/>
      </c>
      <c r="C8" s="3">
        <f>'Income stmt (annual)'!C10</f>
        <v/>
      </c>
      <c r="D8" s="3">
        <f>'Income stmt (annual)'!B10</f>
        <v/>
      </c>
      <c r="E8" s="3">
        <f>SUM('Income stmt (quarterly)'!B10:E10)</f>
        <v/>
      </c>
      <c r="F8" t="inlineStr">
        <is>
          <t>EBITDA</t>
        </is>
      </c>
    </row>
    <row r="9">
      <c r="A9" t="inlineStr">
        <is>
          <t>Free cash flow</t>
        </is>
      </c>
      <c r="B9" s="3">
        <f>'Cash flow (annual)'!D2</f>
        <v/>
      </c>
      <c r="C9" s="3">
        <f>'Cash flow (annual)'!C2</f>
        <v/>
      </c>
      <c r="D9" s="3">
        <f>'Cash flow (annual)'!B2</f>
        <v/>
      </c>
      <c r="E9" s="3">
        <f>SUM('Cash flow (quarterly)'!B2:E2)</f>
        <v/>
      </c>
      <c r="F9" t="inlineStr">
        <is>
          <t>FCF = OCF − capex</t>
        </is>
      </c>
    </row>
    <row r="10">
      <c r="A10" t="inlineStr">
        <is>
          <t>FCF margin %</t>
        </is>
      </c>
      <c r="B10" s="4">
        <f>IFERROR(B9/B3,"")</f>
        <v/>
      </c>
      <c r="C10" s="4">
        <f>IFERROR(C9/C3,"")</f>
        <v/>
      </c>
      <c r="D10" s="4">
        <f>IFERROR(D9/D3,"")</f>
        <v/>
      </c>
      <c r="E10" s="4">
        <f>IFERROR(E9/E3,"")</f>
        <v/>
      </c>
      <c r="F10">
        <f> FCF / revenue</f>
        <v/>
      </c>
    </row>
    <row r="11">
      <c r="A11" t="inlineStr">
        <is>
          <t>Capex</t>
        </is>
      </c>
      <c r="B11" s="3">
        <f>-'Cash flow (annual)'!D7</f>
        <v/>
      </c>
      <c r="C11" s="3">
        <f>-'Cash flow (annual)'!C7</f>
        <v/>
      </c>
      <c r="D11" s="3">
        <f>-'Cash flow (annual)'!B7</f>
        <v/>
      </c>
      <c r="E11" s="3">
        <f>-SUM('Cash flow (quarterly)'!B6:E6)</f>
        <v/>
      </c>
      <c r="F11" t="inlineStr">
        <is>
          <t>Capex (shown positive)</t>
        </is>
      </c>
    </row>
    <row r="12">
      <c r="A12" t="inlineStr">
        <is>
          <t>Capex / revenue %</t>
        </is>
      </c>
      <c r="B12" s="4">
        <f>IFERROR(B11/B3,"")</f>
        <v/>
      </c>
      <c r="C12" s="4">
        <f>IFERROR(C11/C3,"")</f>
        <v/>
      </c>
      <c r="D12" s="4">
        <f>IFERROR(D11/D3,"")</f>
        <v/>
      </c>
      <c r="E12" s="4">
        <f>IFERROR(E11/E3,"")</f>
        <v/>
      </c>
      <c r="F12">
        <f> capex / revenue</f>
        <v/>
      </c>
    </row>
    <row r="13">
      <c r="A13" t="inlineStr">
        <is>
          <t>Net debt</t>
        </is>
      </c>
      <c r="B13" s="3">
        <f>'Balance sheet (annual)'!D5</f>
        <v/>
      </c>
      <c r="C13" s="3">
        <f>'Balance sheet (annual)'!C5</f>
        <v/>
      </c>
      <c r="D13" s="3">
        <f>'Balance sheet (annual)'!B5</f>
        <v/>
      </c>
      <c r="E13" s="3">
        <f>'Balance sheet (quarterly)'!B5</f>
        <v/>
      </c>
      <c r="F13" t="inlineStr">
        <is>
          <t>Net debt; TTM = MRQ</t>
        </is>
      </c>
    </row>
    <row r="14">
      <c r="A14" t="inlineStr">
        <is>
          <t>Net debt / EBITDA</t>
        </is>
      </c>
      <c r="B14" s="5">
        <f>IFERROR(B13/B8,"")</f>
        <v/>
      </c>
      <c r="C14" s="5">
        <f>IFERROR(C13/C8,"")</f>
        <v/>
      </c>
      <c r="D14" s="5">
        <f>IFERROR(D13/D8,"")</f>
        <v/>
      </c>
      <c r="E14" s="5">
        <f>IFERROR(E13/E8,"")</f>
        <v/>
      </c>
      <c r="F14">
        <f> net debt / EBITDA</f>
        <v/>
      </c>
    </row>
    <row r="15">
      <c r="A15" t="inlineStr">
        <is>
          <t>Share count (period-end, M)</t>
        </is>
      </c>
      <c r="B15" s="6">
        <f>'Balance sheet (annual)'!D3/1e6</f>
        <v/>
      </c>
      <c r="C15" s="6">
        <f>'Balance sheet (annual)'!C3/1e6</f>
        <v/>
      </c>
      <c r="D15" s="6">
        <f>'Balance sheet (annual)'!B3/1e6</f>
        <v/>
      </c>
      <c r="E15" s="6">
        <f>'Balance sheet (quarterly)'!B3/1e6</f>
        <v/>
      </c>
      <c r="F15" t="inlineStr">
        <is>
          <t>shares ÷ 1e6; TTM = MRQ</t>
        </is>
      </c>
    </row>
    <row r="16">
      <c r="A16" t="inlineStr">
        <is>
          <t>Share count YoY %</t>
        </is>
      </c>
      <c r="B16" s="4" t="inlineStr"/>
      <c r="C16" s="4">
        <f>IFERROR(C15/B15-1,"")</f>
        <v/>
      </c>
      <c r="D16" s="4">
        <f>IFERROR(D15/C15-1,"")</f>
        <v/>
      </c>
      <c r="E16" s="4">
        <f>IFERROR(E15/D15-1,"")</f>
        <v/>
      </c>
      <c r="F16" t="inlineStr">
        <is>
          <t>vs prior 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Tax Effect Of Unusual Items</t>
        </is>
      </c>
      <c r="B2" s="3" t="n">
        <v>-413989.637306</v>
      </c>
      <c r="C2" s="3" t="n">
        <v>20133.587786</v>
      </c>
      <c r="D2" s="3" t="n">
        <v>34800</v>
      </c>
      <c r="E2" s="3" t="n">
        <v>415000</v>
      </c>
      <c r="F2" s="3" t="n"/>
    </row>
    <row r="3">
      <c r="A3" t="inlineStr">
        <is>
          <t>Tax Rate For Calcs</t>
        </is>
      </c>
      <c r="B3" s="3" t="n">
        <v>0.243523</v>
      </c>
      <c r="C3" s="3" t="n">
        <v>0.201336</v>
      </c>
      <c r="D3" s="3" t="n">
        <v>0.116</v>
      </c>
      <c r="E3" s="3" t="n">
        <v>0.166</v>
      </c>
      <c r="F3" s="3" t="n"/>
    </row>
    <row r="4">
      <c r="A4" t="inlineStr">
        <is>
          <t>Normalized EBITDA</t>
        </is>
      </c>
      <c r="B4" s="3" t="n">
        <v>127300000</v>
      </c>
      <c r="C4" s="3" t="n">
        <v>168900000</v>
      </c>
      <c r="D4" s="3" t="n">
        <v>188100000</v>
      </c>
      <c r="E4" s="3" t="n">
        <v>132800000</v>
      </c>
      <c r="F4" s="3" t="n"/>
    </row>
    <row r="5">
      <c r="A5" t="inlineStr">
        <is>
          <t>Total Unusual Items</t>
        </is>
      </c>
      <c r="B5" s="3" t="n">
        <v>-1700000</v>
      </c>
      <c r="C5" s="3" t="n">
        <v>100000</v>
      </c>
      <c r="D5" s="3" t="n">
        <v>300000</v>
      </c>
      <c r="E5" s="3" t="n">
        <v>2500000</v>
      </c>
      <c r="F5" s="3" t="n"/>
    </row>
    <row r="6">
      <c r="A6" t="inlineStr">
        <is>
          <t>Total Unusual Items Excluding Goodwill</t>
        </is>
      </c>
      <c r="B6" s="3" t="n">
        <v>-1700000</v>
      </c>
      <c r="C6" s="3" t="n">
        <v>100000</v>
      </c>
      <c r="D6" s="3" t="n">
        <v>300000</v>
      </c>
      <c r="E6" s="3" t="n">
        <v>2500000</v>
      </c>
      <c r="F6" s="3" t="n"/>
    </row>
    <row r="7">
      <c r="A7" t="inlineStr">
        <is>
          <t>Net Income From Continuing Operation Net Minority Interest</t>
        </is>
      </c>
      <c r="B7" s="3" t="n">
        <v>43800000</v>
      </c>
      <c r="C7" s="3" t="n">
        <v>83700000</v>
      </c>
      <c r="D7" s="3" t="n">
        <v>109500000</v>
      </c>
      <c r="E7" s="3" t="n">
        <v>66300000</v>
      </c>
      <c r="F7" s="3" t="n"/>
    </row>
    <row r="8">
      <c r="A8" t="inlineStr">
        <is>
          <t>Reconciled Depreciation</t>
        </is>
      </c>
      <c r="B8" s="3" t="n">
        <v>58700000</v>
      </c>
      <c r="C8" s="3" t="n">
        <v>55100000</v>
      </c>
      <c r="D8" s="3" t="n">
        <v>51100000</v>
      </c>
      <c r="E8" s="3" t="n">
        <v>48700000</v>
      </c>
      <c r="F8" s="3" t="n"/>
    </row>
    <row r="9">
      <c r="A9" t="inlineStr">
        <is>
          <t>Reconciled Cost Of Revenue</t>
        </is>
      </c>
      <c r="B9" s="3" t="n">
        <v>719200000</v>
      </c>
      <c r="C9" s="3" t="n">
        <v>736700000</v>
      </c>
      <c r="D9" s="3" t="n">
        <v>715800000</v>
      </c>
      <c r="E9" s="3" t="n">
        <v>671300000</v>
      </c>
      <c r="F9" s="3" t="n"/>
    </row>
    <row r="10">
      <c r="A10" t="inlineStr">
        <is>
          <t>EBITDA</t>
        </is>
      </c>
      <c r="B10" s="3" t="n">
        <v>125600000</v>
      </c>
      <c r="C10" s="3" t="n">
        <v>169000000</v>
      </c>
      <c r="D10" s="3" t="n">
        <v>188400000</v>
      </c>
      <c r="E10" s="3" t="n">
        <v>135300000</v>
      </c>
      <c r="F10" s="3" t="n"/>
    </row>
    <row r="11">
      <c r="A11" t="inlineStr">
        <is>
          <t>EBIT</t>
        </is>
      </c>
      <c r="B11" s="3" t="n">
        <v>66900000</v>
      </c>
      <c r="C11" s="3" t="n">
        <v>113900000</v>
      </c>
      <c r="D11" s="3" t="n">
        <v>137300000</v>
      </c>
      <c r="E11" s="3" t="n">
        <v>86600000</v>
      </c>
      <c r="F11" s="3" t="n"/>
    </row>
    <row r="12">
      <c r="A12" t="inlineStr">
        <is>
          <t>Net Interest Income</t>
        </is>
      </c>
      <c r="B12" s="3" t="n">
        <v>-9000000</v>
      </c>
      <c r="C12" s="3" t="n">
        <v>-9100000</v>
      </c>
      <c r="D12" s="3" t="n">
        <v>-13500000</v>
      </c>
      <c r="E12" s="3" t="n">
        <v>-7100000</v>
      </c>
      <c r="F12" s="3" t="n"/>
    </row>
    <row r="13">
      <c r="A13" t="inlineStr">
        <is>
          <t>Interest Expense</t>
        </is>
      </c>
      <c r="B13" s="3" t="n">
        <v>9000000</v>
      </c>
      <c r="C13" s="3" t="n">
        <v>9100000</v>
      </c>
      <c r="D13" s="3" t="n">
        <v>13500000</v>
      </c>
      <c r="E13" s="3" t="n">
        <v>7100000</v>
      </c>
      <c r="F13" s="3" t="n"/>
    </row>
    <row r="14">
      <c r="A14" t="inlineStr">
        <is>
          <t>Normalized Income</t>
        </is>
      </c>
      <c r="B14" s="3" t="n">
        <v>45086010.362694</v>
      </c>
      <c r="C14" s="3" t="n">
        <v>83620133.587786</v>
      </c>
      <c r="D14" s="3" t="n">
        <v>109234800</v>
      </c>
      <c r="E14" s="3" t="n">
        <v>64215000</v>
      </c>
      <c r="F14" s="3" t="n"/>
    </row>
    <row r="15">
      <c r="A15" t="inlineStr">
        <is>
          <t>Net Income From Continuing And Discontinued Operation</t>
        </is>
      </c>
      <c r="B15" s="3" t="n">
        <v>43800000</v>
      </c>
      <c r="C15" s="3" t="n">
        <v>83700000</v>
      </c>
      <c r="D15" s="3" t="n">
        <v>109500000</v>
      </c>
      <c r="E15" s="3" t="n">
        <v>66300000</v>
      </c>
      <c r="F15" s="3" t="n"/>
    </row>
    <row r="16">
      <c r="A16" t="inlineStr">
        <is>
          <t>Total Expenses</t>
        </is>
      </c>
      <c r="B16" s="3" t="n">
        <v>1135200000</v>
      </c>
      <c r="C16" s="3" t="n">
        <v>1172400000</v>
      </c>
      <c r="D16" s="3" t="n">
        <v>1105000000</v>
      </c>
      <c r="E16" s="3" t="n">
        <v>1008700000</v>
      </c>
      <c r="F16" s="3" t="n"/>
    </row>
    <row r="17">
      <c r="A17" t="inlineStr">
        <is>
          <t>Total Operating Income As Reported</t>
        </is>
      </c>
      <c r="B17" s="3" t="n">
        <v>68300000</v>
      </c>
      <c r="C17" s="3" t="n">
        <v>114300000</v>
      </c>
      <c r="D17" s="3" t="n">
        <v>138600000</v>
      </c>
      <c r="E17" s="3" t="n">
        <v>87200000</v>
      </c>
      <c r="F17" s="3" t="n"/>
    </row>
    <row r="18">
      <c r="A18" t="inlineStr">
        <is>
          <t>Diluted Average Shares</t>
        </is>
      </c>
      <c r="B18" s="3" t="n">
        <v>18579707</v>
      </c>
      <c r="C18" s="3" t="n">
        <v>19096138</v>
      </c>
      <c r="D18" s="3" t="n">
        <v>18783633</v>
      </c>
      <c r="E18" s="3" t="n">
        <v>18697255</v>
      </c>
      <c r="F18" s="3" t="n"/>
    </row>
    <row r="19">
      <c r="A19" t="inlineStr">
        <is>
          <t>Basic Average Shares</t>
        </is>
      </c>
      <c r="B19" s="3" t="n">
        <v>18366216</v>
      </c>
      <c r="C19" s="3" t="n">
        <v>18786871</v>
      </c>
      <c r="D19" s="3" t="n">
        <v>18509523</v>
      </c>
      <c r="E19" s="3" t="n">
        <v>18494356</v>
      </c>
      <c r="F19" s="3" t="n"/>
    </row>
    <row r="20">
      <c r="A20" t="inlineStr">
        <is>
          <t>Diluted EPS</t>
        </is>
      </c>
      <c r="B20" s="3" t="n">
        <v>2.36</v>
      </c>
      <c r="C20" s="3" t="n">
        <v>4.38</v>
      </c>
      <c r="D20" s="3" t="n">
        <v>5.83</v>
      </c>
      <c r="E20" s="3" t="n">
        <v>3.55</v>
      </c>
      <c r="F20" s="3" t="n"/>
    </row>
    <row r="21">
      <c r="A21" t="inlineStr">
        <is>
          <t>Basic EPS</t>
        </is>
      </c>
      <c r="B21" s="3" t="n">
        <v>2.38</v>
      </c>
      <c r="C21" s="3" t="n">
        <v>4.46</v>
      </c>
      <c r="D21" s="3" t="n">
        <v>5.92</v>
      </c>
      <c r="E21" s="3" t="n">
        <v>3.58</v>
      </c>
      <c r="F21" s="3" t="n"/>
    </row>
    <row r="22">
      <c r="A22" t="inlineStr">
        <is>
          <t>Diluted NI Availto Com Stockholders</t>
        </is>
      </c>
      <c r="B22" s="3" t="n">
        <v>43800000</v>
      </c>
      <c r="C22" s="3" t="n">
        <v>83700000</v>
      </c>
      <c r="D22" s="3" t="n">
        <v>109500000</v>
      </c>
      <c r="E22" s="3" t="n">
        <v>66300000</v>
      </c>
      <c r="F22" s="3" t="n"/>
    </row>
    <row r="23">
      <c r="A23" t="inlineStr">
        <is>
          <t>Net Income Common Stockholders</t>
        </is>
      </c>
      <c r="B23" s="3" t="n">
        <v>43800000</v>
      </c>
      <c r="C23" s="3" t="n">
        <v>83700000</v>
      </c>
      <c r="D23" s="3" t="n">
        <v>109500000</v>
      </c>
      <c r="E23" s="3" t="n">
        <v>66300000</v>
      </c>
      <c r="F23" s="3" t="n"/>
    </row>
    <row r="24">
      <c r="A24" t="inlineStr">
        <is>
          <t>Net Income</t>
        </is>
      </c>
      <c r="B24" s="3" t="n">
        <v>43800000</v>
      </c>
      <c r="C24" s="3" t="n">
        <v>83700000</v>
      </c>
      <c r="D24" s="3" t="n">
        <v>109500000</v>
      </c>
      <c r="E24" s="3" t="n">
        <v>66300000</v>
      </c>
      <c r="F24" s="3" t="n"/>
    </row>
    <row r="25">
      <c r="A25" t="inlineStr">
        <is>
          <t>Minority Interests</t>
        </is>
      </c>
      <c r="B25" s="3" t="n"/>
      <c r="C25" s="3" t="n"/>
      <c r="D25" s="3" t="n"/>
      <c r="E25" s="3" t="n"/>
      <c r="F25" s="3" t="n">
        <v>0</v>
      </c>
    </row>
    <row r="26">
      <c r="A26" t="inlineStr">
        <is>
          <t>Net Income Including Noncontrolling Interests</t>
        </is>
      </c>
      <c r="B26" s="3" t="n">
        <v>43800000</v>
      </c>
      <c r="C26" s="3" t="n">
        <v>83700000</v>
      </c>
      <c r="D26" s="3" t="n">
        <v>109500000</v>
      </c>
      <c r="E26" s="3" t="n">
        <v>66300000</v>
      </c>
      <c r="F26" s="3" t="n"/>
    </row>
    <row r="27">
      <c r="A27" t="inlineStr">
        <is>
          <t>Net Income Continuous Operations</t>
        </is>
      </c>
      <c r="B27" s="3" t="n">
        <v>43800000</v>
      </c>
      <c r="C27" s="3" t="n">
        <v>83700000</v>
      </c>
      <c r="D27" s="3" t="n">
        <v>109500000</v>
      </c>
      <c r="E27" s="3" t="n">
        <v>66300000</v>
      </c>
      <c r="F27" s="3" t="n"/>
    </row>
    <row r="28">
      <c r="A28" t="inlineStr">
        <is>
          <t>Tax Provision</t>
        </is>
      </c>
      <c r="B28" s="3" t="n">
        <v>14100000</v>
      </c>
      <c r="C28" s="3" t="n">
        <v>21100000</v>
      </c>
      <c r="D28" s="3" t="n">
        <v>14300000</v>
      </c>
      <c r="E28" s="3" t="n">
        <v>13200000</v>
      </c>
      <c r="F28" s="3" t="n"/>
    </row>
    <row r="29">
      <c r="A29" t="inlineStr">
        <is>
          <t>Pretax Income</t>
        </is>
      </c>
      <c r="B29" s="3" t="n">
        <v>57900000</v>
      </c>
      <c r="C29" s="3" t="n">
        <v>104800000</v>
      </c>
      <c r="D29" s="3" t="n">
        <v>123800000</v>
      </c>
      <c r="E29" s="3" t="n">
        <v>79500000</v>
      </c>
      <c r="F29" s="3" t="n"/>
    </row>
    <row r="30">
      <c r="A30" t="inlineStr">
        <is>
          <t>Other Income Expense</t>
        </is>
      </c>
      <c r="B30" s="3" t="n">
        <v>-1400000</v>
      </c>
      <c r="C30" s="3" t="n">
        <v>-400000</v>
      </c>
      <c r="D30" s="3" t="n">
        <v>-1300000</v>
      </c>
      <c r="E30" s="3" t="n">
        <v>3100000</v>
      </c>
      <c r="F30" s="3" t="n"/>
    </row>
    <row r="31">
      <c r="A31" t="inlineStr">
        <is>
          <t>Other Non Operating Income Expenses</t>
        </is>
      </c>
      <c r="B31" s="3" t="n">
        <v>300000</v>
      </c>
      <c r="C31" s="3" t="n">
        <v>-500000</v>
      </c>
      <c r="D31" s="3" t="n">
        <v>-1600000</v>
      </c>
      <c r="E31" s="3" t="n">
        <v>600000</v>
      </c>
      <c r="F31" s="3" t="n"/>
    </row>
    <row r="32">
      <c r="A32" t="inlineStr">
        <is>
          <t>Special Income Charges</t>
        </is>
      </c>
      <c r="B32" s="3" t="n"/>
      <c r="C32" s="3" t="n">
        <v>0</v>
      </c>
      <c r="D32" s="3" t="n">
        <v>0</v>
      </c>
      <c r="E32" s="3" t="n">
        <v>3700000</v>
      </c>
      <c r="F32" s="3" t="n">
        <v>-1500000</v>
      </c>
    </row>
    <row r="33">
      <c r="A33" t="inlineStr">
        <is>
          <t>Gain On Sale Of Ppe</t>
        </is>
      </c>
      <c r="B33" s="3" t="n"/>
      <c r="C33" s="3" t="n">
        <v>0</v>
      </c>
      <c r="D33" s="3" t="n">
        <v>0</v>
      </c>
      <c r="E33" s="3" t="n">
        <v>3700000</v>
      </c>
      <c r="F33" s="3" t="n">
        <v>9800000</v>
      </c>
    </row>
    <row r="34">
      <c r="A34" t="inlineStr">
        <is>
          <t>Gain On Sale Of Business</t>
        </is>
      </c>
      <c r="B34" s="3" t="n"/>
      <c r="C34" s="3" t="n"/>
      <c r="D34" s="3" t="n"/>
      <c r="E34" s="3" t="n"/>
      <c r="F34" s="3" t="n">
        <v>9800000</v>
      </c>
    </row>
    <row r="35">
      <c r="A35" t="inlineStr">
        <is>
          <t>Other Special Charges</t>
        </is>
      </c>
      <c r="B35" s="3" t="n"/>
      <c r="C35" s="3" t="n"/>
      <c r="D35" s="3" t="n"/>
      <c r="E35" s="3" t="n"/>
      <c r="F35" s="3" t="n">
        <v>11300000</v>
      </c>
    </row>
    <row r="36">
      <c r="A36" t="inlineStr">
        <is>
          <t>Gain On Sale Of Security</t>
        </is>
      </c>
      <c r="B36" s="3" t="n">
        <v>-1700000</v>
      </c>
      <c r="C36" s="3" t="n">
        <v>100000</v>
      </c>
      <c r="D36" s="3" t="n">
        <v>300000</v>
      </c>
      <c r="E36" s="3" t="n">
        <v>-1200000</v>
      </c>
      <c r="F36" s="3" t="n"/>
    </row>
    <row r="37">
      <c r="A37" t="inlineStr">
        <is>
          <t>Net Non Operating Interest Income Expense</t>
        </is>
      </c>
      <c r="B37" s="3" t="n">
        <v>-9000000</v>
      </c>
      <c r="C37" s="3" t="n">
        <v>-9100000</v>
      </c>
      <c r="D37" s="3" t="n">
        <v>-13500000</v>
      </c>
      <c r="E37" s="3" t="n">
        <v>-7100000</v>
      </c>
      <c r="F37" s="3" t="n"/>
    </row>
    <row r="38">
      <c r="A38" t="inlineStr">
        <is>
          <t>Interest Expense Non Operating</t>
        </is>
      </c>
      <c r="B38" s="3" t="n">
        <v>9000000</v>
      </c>
      <c r="C38" s="3" t="n">
        <v>9100000</v>
      </c>
      <c r="D38" s="3" t="n">
        <v>13500000</v>
      </c>
      <c r="E38" s="3" t="n">
        <v>7100000</v>
      </c>
      <c r="F38" s="3" t="n"/>
    </row>
    <row r="39">
      <c r="A39" t="inlineStr">
        <is>
          <t>Operating Income</t>
        </is>
      </c>
      <c r="B39" s="3" t="n">
        <v>68300000</v>
      </c>
      <c r="C39" s="3" t="n">
        <v>114300000</v>
      </c>
      <c r="D39" s="3" t="n">
        <v>138600000</v>
      </c>
      <c r="E39" s="3" t="n">
        <v>83500000</v>
      </c>
      <c r="F39" s="3" t="n"/>
    </row>
    <row r="40">
      <c r="A40" t="inlineStr">
        <is>
          <t>Operating Expense</t>
        </is>
      </c>
      <c r="B40" s="3" t="n">
        <v>416000000</v>
      </c>
      <c r="C40" s="3" t="n">
        <v>435700000</v>
      </c>
      <c r="D40" s="3" t="n">
        <v>389200000</v>
      </c>
      <c r="E40" s="3" t="n">
        <v>337400000</v>
      </c>
      <c r="F40" s="3" t="n"/>
    </row>
    <row r="41">
      <c r="A41" t="inlineStr">
        <is>
          <t>Research And Development</t>
        </is>
      </c>
      <c r="B41" s="3" t="n">
        <v>41200000</v>
      </c>
      <c r="C41" s="3" t="n">
        <v>43800000</v>
      </c>
      <c r="D41" s="3" t="n">
        <v>36600000</v>
      </c>
      <c r="E41" s="3" t="n">
        <v>31100000</v>
      </c>
      <c r="F41" s="3" t="n"/>
    </row>
    <row r="42">
      <c r="A42" t="inlineStr">
        <is>
          <t>Selling General And Administration</t>
        </is>
      </c>
      <c r="B42" s="3" t="n">
        <v>374800000</v>
      </c>
      <c r="C42" s="3" t="n">
        <v>391900000</v>
      </c>
      <c r="D42" s="3" t="n">
        <v>352600000</v>
      </c>
      <c r="E42" s="3" t="n">
        <v>306300000</v>
      </c>
      <c r="F42" s="3" t="n"/>
    </row>
    <row r="43">
      <c r="A43" t="inlineStr">
        <is>
          <t>Gross Profit</t>
        </is>
      </c>
      <c r="B43" s="3" t="n">
        <v>484300000</v>
      </c>
      <c r="C43" s="3" t="n">
        <v>550000000</v>
      </c>
      <c r="D43" s="3" t="n">
        <v>527800000</v>
      </c>
      <c r="E43" s="3" t="n">
        <v>420900000</v>
      </c>
      <c r="F43" s="3" t="n"/>
    </row>
    <row r="44">
      <c r="A44" t="inlineStr">
        <is>
          <t>Cost Of Revenue</t>
        </is>
      </c>
      <c r="B44" s="3" t="n">
        <v>719200000</v>
      </c>
      <c r="C44" s="3" t="n">
        <v>736700000</v>
      </c>
      <c r="D44" s="3" t="n">
        <v>715800000</v>
      </c>
      <c r="E44" s="3" t="n">
        <v>671300000</v>
      </c>
      <c r="F44" s="3" t="n"/>
    </row>
    <row r="45">
      <c r="A45" t="inlineStr">
        <is>
          <t>Total Revenue</t>
        </is>
      </c>
      <c r="B45" s="3" t="n">
        <v>1203500000</v>
      </c>
      <c r="C45" s="3" t="n">
        <v>1286700000</v>
      </c>
      <c r="D45" s="3" t="n">
        <v>1243600000</v>
      </c>
      <c r="E45" s="3" t="n">
        <v>1092200000</v>
      </c>
      <c r="F45" s="3" t="n"/>
    </row>
    <row r="46">
      <c r="A46" t="inlineStr">
        <is>
          <t>Operating Revenue</t>
        </is>
      </c>
      <c r="B46" s="3" t="n">
        <v>1203500000</v>
      </c>
      <c r="C46" s="3" t="n">
        <v>1286700000</v>
      </c>
      <c r="D46" s="3" t="n">
        <v>1243600000</v>
      </c>
      <c r="E46" s="3" t="n">
        <v>1092200000</v>
      </c>
      <c r="F46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</row>
    <row r="2">
      <c r="A2" t="inlineStr">
        <is>
          <t>Tax Effect Of Unusual Items</t>
        </is>
      </c>
      <c r="B2" s="3" t="n">
        <v>-160000</v>
      </c>
      <c r="C2" s="3" t="n">
        <v>-186666.666667</v>
      </c>
      <c r="D2" s="3" t="n">
        <v>0</v>
      </c>
      <c r="E2" s="3" t="n">
        <v>-208058.608059</v>
      </c>
      <c r="F2" s="3" t="n">
        <v>-47674.418605</v>
      </c>
      <c r="G2" s="3" t="n"/>
    </row>
    <row r="3">
      <c r="A3" t="inlineStr">
        <is>
          <t>Tax Rate For Calcs</t>
        </is>
      </c>
      <c r="B3" s="3" t="n">
        <v>0.4</v>
      </c>
      <c r="C3" s="3" t="n">
        <v>0.266667</v>
      </c>
      <c r="D3" s="3" t="n">
        <v>0.231959</v>
      </c>
      <c r="E3" s="3" t="n">
        <v>0.260073</v>
      </c>
      <c r="F3" s="3" t="n">
        <v>0.238372</v>
      </c>
      <c r="G3" s="3" t="n"/>
    </row>
    <row r="4">
      <c r="A4" t="inlineStr">
        <is>
          <t>Normalized EBITDA</t>
        </is>
      </c>
      <c r="B4" s="3" t="n">
        <v>19600000</v>
      </c>
      <c r="C4" s="3" t="n">
        <v>12100000</v>
      </c>
      <c r="D4" s="3" t="n">
        <v>36500000</v>
      </c>
      <c r="E4" s="3" t="n">
        <v>45000000</v>
      </c>
      <c r="F4" s="3" t="n">
        <v>33700000</v>
      </c>
      <c r="G4" s="3" t="n"/>
    </row>
    <row r="5">
      <c r="A5" t="inlineStr">
        <is>
          <t>Total Unusual Items</t>
        </is>
      </c>
      <c r="B5" s="3" t="n">
        <v>-400000</v>
      </c>
      <c r="C5" s="3" t="n">
        <v>-700000</v>
      </c>
      <c r="D5" s="3" t="n"/>
      <c r="E5" s="3" t="n">
        <v>-800000</v>
      </c>
      <c r="F5" s="3" t="n">
        <v>-200000</v>
      </c>
      <c r="G5" s="3" t="n">
        <v>0</v>
      </c>
    </row>
    <row r="6">
      <c r="A6" t="inlineStr">
        <is>
          <t>Total Unusual Items Excluding Goodwill</t>
        </is>
      </c>
      <c r="B6" s="3" t="n">
        <v>-400000</v>
      </c>
      <c r="C6" s="3" t="n">
        <v>-700000</v>
      </c>
      <c r="D6" s="3" t="n"/>
      <c r="E6" s="3" t="n">
        <v>-800000</v>
      </c>
      <c r="F6" s="3" t="n">
        <v>-200000</v>
      </c>
      <c r="G6" s="3" t="n">
        <v>0</v>
      </c>
    </row>
    <row r="7">
      <c r="A7" t="inlineStr">
        <is>
          <t>Net Income From Continuing Operation Net Minority Interest</t>
        </is>
      </c>
      <c r="B7" s="3" t="n">
        <v>200000</v>
      </c>
      <c r="C7" s="3" t="n">
        <v>-4400000</v>
      </c>
      <c r="D7" s="3" t="n">
        <v>14900000</v>
      </c>
      <c r="E7" s="3" t="n">
        <v>20200000</v>
      </c>
      <c r="F7" s="3" t="n">
        <v>13100000</v>
      </c>
      <c r="G7" s="3" t="n"/>
    </row>
    <row r="8">
      <c r="A8" t="inlineStr">
        <is>
          <t>Reconciled Depreciation</t>
        </is>
      </c>
      <c r="B8" s="3" t="n">
        <v>14900000</v>
      </c>
      <c r="C8" s="3" t="n">
        <v>15300000</v>
      </c>
      <c r="D8" s="3" t="n">
        <v>14700000</v>
      </c>
      <c r="E8" s="3" t="n">
        <v>14700000</v>
      </c>
      <c r="F8" s="3" t="n">
        <v>14000000</v>
      </c>
      <c r="G8" s="3" t="n"/>
    </row>
    <row r="9">
      <c r="A9" t="inlineStr">
        <is>
          <t>Reconciled Cost Of Revenue</t>
        </is>
      </c>
      <c r="B9" s="3" t="n">
        <v>184300000</v>
      </c>
      <c r="C9" s="3" t="n">
        <v>190800000</v>
      </c>
      <c r="D9" s="3" t="n">
        <v>173900000</v>
      </c>
      <c r="E9" s="3" t="n">
        <v>184500000</v>
      </c>
      <c r="F9" s="3" t="n">
        <v>170000000</v>
      </c>
      <c r="G9" s="3" t="n"/>
    </row>
    <row r="10">
      <c r="A10" t="inlineStr">
        <is>
          <t>EBITDA</t>
        </is>
      </c>
      <c r="B10" s="3" t="n">
        <v>19200000</v>
      </c>
      <c r="C10" s="3" t="n">
        <v>11400000</v>
      </c>
      <c r="D10" s="3" t="n">
        <v>36500000</v>
      </c>
      <c r="E10" s="3" t="n">
        <v>44200000</v>
      </c>
      <c r="F10" s="3" t="n">
        <v>33500000</v>
      </c>
      <c r="G10" s="3" t="n"/>
    </row>
    <row r="11">
      <c r="A11" t="inlineStr">
        <is>
          <t>EBIT</t>
        </is>
      </c>
      <c r="B11" s="3" t="n">
        <v>4300000</v>
      </c>
      <c r="C11" s="3" t="n">
        <v>-3900000</v>
      </c>
      <c r="D11" s="3" t="n">
        <v>21800000</v>
      </c>
      <c r="E11" s="3" t="n">
        <v>29500000</v>
      </c>
      <c r="F11" s="3" t="n">
        <v>19500000</v>
      </c>
      <c r="G11" s="3" t="n"/>
    </row>
    <row r="12">
      <c r="A12" t="inlineStr">
        <is>
          <t>Net Interest Income</t>
        </is>
      </c>
      <c r="B12" s="3" t="n">
        <v>-3400000</v>
      </c>
      <c r="C12" s="3" t="n">
        <v>-2100000</v>
      </c>
      <c r="D12" s="3" t="n">
        <v>-2400000</v>
      </c>
      <c r="E12" s="3" t="n">
        <v>-2200000</v>
      </c>
      <c r="F12" s="3" t="n">
        <v>-2300000</v>
      </c>
      <c r="G12" s="3" t="n"/>
    </row>
    <row r="13">
      <c r="A13" t="inlineStr">
        <is>
          <t>Interest Expense</t>
        </is>
      </c>
      <c r="B13" s="3" t="n">
        <v>3400000</v>
      </c>
      <c r="C13" s="3" t="n">
        <v>2100000</v>
      </c>
      <c r="D13" s="3" t="n">
        <v>2400000</v>
      </c>
      <c r="E13" s="3" t="n">
        <v>2200000</v>
      </c>
      <c r="F13" s="3" t="n">
        <v>2300000</v>
      </c>
      <c r="G13" s="3" t="n"/>
    </row>
    <row r="14">
      <c r="A14" t="inlineStr">
        <is>
          <t>Normalized Income</t>
        </is>
      </c>
      <c r="B14" s="3" t="n">
        <v>440000</v>
      </c>
      <c r="C14" s="3" t="n">
        <v>-3886666.666667</v>
      </c>
      <c r="D14" s="3" t="n">
        <v>14900000</v>
      </c>
      <c r="E14" s="3" t="n">
        <v>20791941.391941</v>
      </c>
      <c r="F14" s="3" t="n">
        <v>13252325.581395</v>
      </c>
      <c r="G14" s="3" t="n"/>
    </row>
    <row r="15">
      <c r="A15" t="inlineStr">
        <is>
          <t>Net Income From Continuing And Discontinued Operation</t>
        </is>
      </c>
      <c r="B15" s="3" t="n">
        <v>200000</v>
      </c>
      <c r="C15" s="3" t="n">
        <v>-4400000</v>
      </c>
      <c r="D15" s="3" t="n">
        <v>14900000</v>
      </c>
      <c r="E15" s="3" t="n">
        <v>20200000</v>
      </c>
      <c r="F15" s="3" t="n">
        <v>13100000</v>
      </c>
      <c r="G15" s="3" t="n"/>
    </row>
    <row r="16">
      <c r="A16" t="inlineStr">
        <is>
          <t>Total Expenses</t>
        </is>
      </c>
      <c r="B16" s="3" t="n">
        <v>293000000</v>
      </c>
      <c r="C16" s="3" t="n">
        <v>295800000</v>
      </c>
      <c r="D16" s="3" t="n">
        <v>281000000</v>
      </c>
      <c r="E16" s="3" t="n">
        <v>288000000</v>
      </c>
      <c r="F16" s="3" t="n">
        <v>270400000</v>
      </c>
      <c r="G16" s="3" t="n"/>
    </row>
    <row r="17">
      <c r="A17" t="inlineStr">
        <is>
          <t>Total Operating Income As Reported</t>
        </is>
      </c>
      <c r="B17" s="3" t="n">
        <v>4900000</v>
      </c>
      <c r="C17" s="3" t="n">
        <v>-4200000</v>
      </c>
      <c r="D17" s="3" t="n">
        <v>22300000</v>
      </c>
      <c r="E17" s="3" t="n">
        <v>30600000</v>
      </c>
      <c r="F17" s="3" t="n">
        <v>19600000</v>
      </c>
      <c r="G17" s="3" t="n"/>
    </row>
    <row r="18">
      <c r="A18" t="inlineStr">
        <is>
          <t>Diluted Average Shares</t>
        </is>
      </c>
      <c r="B18" s="3" t="n">
        <v>17804603</v>
      </c>
      <c r="C18" s="3" t="n">
        <v>18184728</v>
      </c>
      <c r="D18" s="3" t="n">
        <v>18547724</v>
      </c>
      <c r="E18" s="3" t="n">
        <v>18687918</v>
      </c>
      <c r="F18" s="3" t="n">
        <v>18960007</v>
      </c>
      <c r="G18" s="3" t="n"/>
    </row>
    <row r="19">
      <c r="A19" t="inlineStr">
        <is>
          <t>Basic Average Shares</t>
        </is>
      </c>
      <c r="B19" s="3" t="n">
        <v>17558556</v>
      </c>
      <c r="C19" s="3" t="n">
        <v>17947760</v>
      </c>
      <c r="D19" s="3" t="n">
        <v>18314488</v>
      </c>
      <c r="E19" s="3" t="n">
        <v>18508758</v>
      </c>
      <c r="F19" s="3" t="n">
        <v>18702438</v>
      </c>
      <c r="G19" s="3" t="n"/>
    </row>
    <row r="20">
      <c r="A20" t="inlineStr">
        <is>
          <t>Diluted EPS</t>
        </is>
      </c>
      <c r="B20" s="3" t="n">
        <v>0.01</v>
      </c>
      <c r="C20" s="3" t="n">
        <v>-0.23</v>
      </c>
      <c r="D20" s="3" t="n">
        <v>0.8</v>
      </c>
      <c r="E20" s="3" t="n">
        <v>1.08</v>
      </c>
      <c r="F20" s="3" t="n">
        <v>0.6899999999999999</v>
      </c>
      <c r="G20" s="3" t="n"/>
    </row>
    <row r="21">
      <c r="A21" t="inlineStr">
        <is>
          <t>Basic EPS</t>
        </is>
      </c>
      <c r="B21" s="3" t="n">
        <v>0.01</v>
      </c>
      <c r="C21" s="3" t="n">
        <v>-0.23</v>
      </c>
      <c r="D21" s="3" t="n">
        <v>0.8100000000000001</v>
      </c>
      <c r="E21" s="3" t="n">
        <v>1.1</v>
      </c>
      <c r="F21" s="3" t="n">
        <v>0.7</v>
      </c>
      <c r="G21" s="3" t="n"/>
    </row>
    <row r="22">
      <c r="A22" t="inlineStr">
        <is>
          <t>Diluted NI Availto Com Stockholders</t>
        </is>
      </c>
      <c r="B22" s="3" t="n">
        <v>200000</v>
      </c>
      <c r="C22" s="3" t="n">
        <v>-4400000</v>
      </c>
      <c r="D22" s="3" t="n">
        <v>14900000</v>
      </c>
      <c r="E22" s="3" t="n">
        <v>20200000</v>
      </c>
      <c r="F22" s="3" t="n">
        <v>13100000</v>
      </c>
      <c r="G22" s="3" t="n"/>
    </row>
    <row r="23">
      <c r="A23" t="inlineStr">
        <is>
          <t>Net Income Common Stockholders</t>
        </is>
      </c>
      <c r="B23" s="3" t="n">
        <v>200000</v>
      </c>
      <c r="C23" s="3" t="n">
        <v>-4400000</v>
      </c>
      <c r="D23" s="3" t="n">
        <v>14900000</v>
      </c>
      <c r="E23" s="3" t="n">
        <v>20200000</v>
      </c>
      <c r="F23" s="3" t="n">
        <v>13100000</v>
      </c>
      <c r="G23" s="3" t="n"/>
    </row>
    <row r="24">
      <c r="A24" t="inlineStr">
        <is>
          <t>Net Income</t>
        </is>
      </c>
      <c r="B24" s="3" t="n">
        <v>200000</v>
      </c>
      <c r="C24" s="3" t="n">
        <v>-4400000</v>
      </c>
      <c r="D24" s="3" t="n">
        <v>14900000</v>
      </c>
      <c r="E24" s="3" t="n">
        <v>20200000</v>
      </c>
      <c r="F24" s="3" t="n">
        <v>13100000</v>
      </c>
      <c r="G24" s="3" t="n"/>
    </row>
    <row r="25">
      <c r="A25" t="inlineStr">
        <is>
          <t>Net Income Including Noncontrolling Interests</t>
        </is>
      </c>
      <c r="B25" s="3" t="n">
        <v>200000</v>
      </c>
      <c r="C25" s="3" t="n">
        <v>-4400000</v>
      </c>
      <c r="D25" s="3" t="n">
        <v>14900000</v>
      </c>
      <c r="E25" s="3" t="n">
        <v>20200000</v>
      </c>
      <c r="F25" s="3" t="n">
        <v>13100000</v>
      </c>
      <c r="G25" s="3" t="n"/>
    </row>
    <row r="26">
      <c r="A26" t="inlineStr">
        <is>
          <t>Net Income Continuous Operations</t>
        </is>
      </c>
      <c r="B26" s="3" t="n">
        <v>200000</v>
      </c>
      <c r="C26" s="3" t="n">
        <v>-4400000</v>
      </c>
      <c r="D26" s="3" t="n">
        <v>14900000</v>
      </c>
      <c r="E26" s="3" t="n">
        <v>20200000</v>
      </c>
      <c r="F26" s="3" t="n">
        <v>13100000</v>
      </c>
      <c r="G26" s="3" t="n"/>
    </row>
    <row r="27">
      <c r="A27" t="inlineStr">
        <is>
          <t>Tax Provision</t>
        </is>
      </c>
      <c r="B27" s="3" t="n">
        <v>700000</v>
      </c>
      <c r="C27" s="3" t="n">
        <v>-1600000</v>
      </c>
      <c r="D27" s="3" t="n">
        <v>4500000</v>
      </c>
      <c r="E27" s="3" t="n">
        <v>7100000</v>
      </c>
      <c r="F27" s="3" t="n">
        <v>4100000</v>
      </c>
      <c r="G27" s="3" t="n"/>
    </row>
    <row r="28">
      <c r="A28" t="inlineStr">
        <is>
          <t>Pretax Income</t>
        </is>
      </c>
      <c r="B28" s="3" t="n">
        <v>900000</v>
      </c>
      <c r="C28" s="3" t="n">
        <v>-6000000</v>
      </c>
      <c r="D28" s="3" t="n">
        <v>19400000</v>
      </c>
      <c r="E28" s="3" t="n">
        <v>27300000</v>
      </c>
      <c r="F28" s="3" t="n">
        <v>17200000</v>
      </c>
      <c r="G28" s="3" t="n"/>
    </row>
    <row r="29">
      <c r="A29" t="inlineStr">
        <is>
          <t>Other Income Expense</t>
        </is>
      </c>
      <c r="B29" s="3" t="n">
        <v>-600000</v>
      </c>
      <c r="C29" s="3" t="n">
        <v>300000</v>
      </c>
      <c r="D29" s="3" t="n">
        <v>-500000</v>
      </c>
      <c r="E29" s="3" t="n">
        <v>-1100000</v>
      </c>
      <c r="F29" s="3" t="n">
        <v>-100000</v>
      </c>
      <c r="G29" s="3" t="n"/>
    </row>
    <row r="30">
      <c r="A30" t="inlineStr">
        <is>
          <t>Other Non Operating Income Expenses</t>
        </is>
      </c>
      <c r="B30" s="3" t="n">
        <v>-200000</v>
      </c>
      <c r="C30" s="3" t="n">
        <v>1000000</v>
      </c>
      <c r="D30" s="3" t="n">
        <v>-500000</v>
      </c>
      <c r="E30" s="3" t="n">
        <v>-300000</v>
      </c>
      <c r="F30" s="3" t="n">
        <v>100000</v>
      </c>
      <c r="G30" s="3" t="n"/>
    </row>
    <row r="31">
      <c r="A31" t="inlineStr">
        <is>
          <t>Gain On Sale Of Security</t>
        </is>
      </c>
      <c r="B31" s="3" t="n">
        <v>-400000</v>
      </c>
      <c r="C31" s="3" t="n">
        <v>-700000</v>
      </c>
      <c r="D31" s="3" t="n"/>
      <c r="E31" s="3" t="n">
        <v>-800000</v>
      </c>
      <c r="F31" s="3" t="n">
        <v>-200000</v>
      </c>
      <c r="G31" s="3" t="n">
        <v>0</v>
      </c>
    </row>
    <row r="32">
      <c r="A32" t="inlineStr">
        <is>
          <t>Net Non Operating Interest Income Expense</t>
        </is>
      </c>
      <c r="B32" s="3" t="n">
        <v>-3400000</v>
      </c>
      <c r="C32" s="3" t="n">
        <v>-2100000</v>
      </c>
      <c r="D32" s="3" t="n">
        <v>-2400000</v>
      </c>
      <c r="E32" s="3" t="n">
        <v>-2200000</v>
      </c>
      <c r="F32" s="3" t="n">
        <v>-2300000</v>
      </c>
      <c r="G32" s="3" t="n"/>
    </row>
    <row r="33">
      <c r="A33" t="inlineStr">
        <is>
          <t>Interest Expense Non Operating</t>
        </is>
      </c>
      <c r="B33" s="3" t="n">
        <v>3400000</v>
      </c>
      <c r="C33" s="3" t="n">
        <v>2100000</v>
      </c>
      <c r="D33" s="3" t="n">
        <v>2400000</v>
      </c>
      <c r="E33" s="3" t="n">
        <v>2200000</v>
      </c>
      <c r="F33" s="3" t="n">
        <v>2300000</v>
      </c>
      <c r="G33" s="3" t="n"/>
    </row>
    <row r="34">
      <c r="A34" t="inlineStr">
        <is>
          <t>Operating Income</t>
        </is>
      </c>
      <c r="B34" s="3" t="n">
        <v>4900000</v>
      </c>
      <c r="C34" s="3" t="n">
        <v>-4200000</v>
      </c>
      <c r="D34" s="3" t="n">
        <v>22300000</v>
      </c>
      <c r="E34" s="3" t="n">
        <v>30600000</v>
      </c>
      <c r="F34" s="3" t="n">
        <v>19600000</v>
      </c>
      <c r="G34" s="3" t="n"/>
    </row>
    <row r="35">
      <c r="A35" t="inlineStr">
        <is>
          <t>Operating Expense</t>
        </is>
      </c>
      <c r="B35" s="3" t="n">
        <v>108700000</v>
      </c>
      <c r="C35" s="3" t="n">
        <v>105000000</v>
      </c>
      <c r="D35" s="3" t="n">
        <v>107100000</v>
      </c>
      <c r="E35" s="3" t="n">
        <v>103500000</v>
      </c>
      <c r="F35" s="3" t="n">
        <v>100400000</v>
      </c>
      <c r="G35" s="3" t="n"/>
    </row>
    <row r="36">
      <c r="A36" t="inlineStr">
        <is>
          <t>Research And Development</t>
        </is>
      </c>
      <c r="B36" s="3" t="n">
        <v>10600000</v>
      </c>
      <c r="C36" s="3" t="n">
        <v>11200000</v>
      </c>
      <c r="D36" s="3" t="n">
        <v>10500000</v>
      </c>
      <c r="E36" s="3" t="n">
        <v>9800000</v>
      </c>
      <c r="F36" s="3" t="n">
        <v>9700000</v>
      </c>
      <c r="G36" s="3" t="n"/>
    </row>
    <row r="37">
      <c r="A37" t="inlineStr">
        <is>
          <t>Selling General And Administration</t>
        </is>
      </c>
      <c r="B37" s="3" t="n">
        <v>98100000</v>
      </c>
      <c r="C37" s="3" t="n">
        <v>93800000</v>
      </c>
      <c r="D37" s="3" t="n">
        <v>96600000</v>
      </c>
      <c r="E37" s="3" t="n">
        <v>93700000</v>
      </c>
      <c r="F37" s="3" t="n">
        <v>90700000</v>
      </c>
      <c r="G37" s="3" t="n"/>
    </row>
    <row r="38">
      <c r="A38" t="inlineStr">
        <is>
          <t>Gross Profit</t>
        </is>
      </c>
      <c r="B38" s="3" t="n">
        <v>113600000</v>
      </c>
      <c r="C38" s="3" t="n">
        <v>100800000</v>
      </c>
      <c r="D38" s="3" t="n">
        <v>129400000</v>
      </c>
      <c r="E38" s="3" t="n">
        <v>134100000</v>
      </c>
      <c r="F38" s="3" t="n">
        <v>120000000</v>
      </c>
      <c r="G38" s="3" t="n"/>
    </row>
    <row r="39">
      <c r="A39" t="inlineStr">
        <is>
          <t>Cost Of Revenue</t>
        </is>
      </c>
      <c r="B39" s="3" t="n">
        <v>184300000</v>
      </c>
      <c r="C39" s="3" t="n">
        <v>190800000</v>
      </c>
      <c r="D39" s="3" t="n">
        <v>173900000</v>
      </c>
      <c r="E39" s="3" t="n">
        <v>184500000</v>
      </c>
      <c r="F39" s="3" t="n">
        <v>170000000</v>
      </c>
      <c r="G39" s="3" t="n"/>
    </row>
    <row r="40">
      <c r="A40" t="inlineStr">
        <is>
          <t>Total Revenue</t>
        </is>
      </c>
      <c r="B40" s="3" t="n">
        <v>297900000</v>
      </c>
      <c r="C40" s="3" t="n">
        <v>291600000</v>
      </c>
      <c r="D40" s="3" t="n">
        <v>303300000</v>
      </c>
      <c r="E40" s="3" t="n">
        <v>318600000</v>
      </c>
      <c r="F40" s="3" t="n">
        <v>290000000</v>
      </c>
      <c r="G40" s="3" t="n"/>
    </row>
    <row r="41">
      <c r="A41" t="inlineStr">
        <is>
          <t>Operating Revenue</t>
        </is>
      </c>
      <c r="B41" s="3" t="n">
        <v>297900000</v>
      </c>
      <c r="C41" s="3" t="n">
        <v>291600000</v>
      </c>
      <c r="D41" s="3" t="n">
        <v>303300000</v>
      </c>
      <c r="E41" s="3" t="n">
        <v>318600000</v>
      </c>
      <c r="F41" s="3" t="n">
        <v>290000000</v>
      </c>
      <c r="G41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Treasury Shares Number</t>
        </is>
      </c>
      <c r="B2" s="3" t="n"/>
      <c r="C2" s="3" t="n"/>
      <c r="D2" s="3" t="n">
        <v>0</v>
      </c>
      <c r="E2" s="3" t="n"/>
      <c r="F2" s="3" t="n"/>
    </row>
    <row r="3">
      <c r="A3" t="inlineStr">
        <is>
          <t>Ordinary Shares Number</t>
        </is>
      </c>
      <c r="B3" s="3" t="n">
        <v>17846681</v>
      </c>
      <c r="C3" s="3" t="n">
        <v>18849456</v>
      </c>
      <c r="D3" s="3" t="n">
        <v>18631384</v>
      </c>
      <c r="E3" s="3" t="n">
        <v>18521485</v>
      </c>
      <c r="F3" s="3" t="n"/>
    </row>
    <row r="4">
      <c r="A4" t="inlineStr">
        <is>
          <t>Share Issued</t>
        </is>
      </c>
      <c r="B4" s="3" t="n">
        <v>17846681</v>
      </c>
      <c r="C4" s="3" t="n">
        <v>18849456</v>
      </c>
      <c r="D4" s="3" t="n">
        <v>18631384</v>
      </c>
      <c r="E4" s="3" t="n">
        <v>18521485</v>
      </c>
      <c r="F4" s="3" t="n"/>
    </row>
    <row r="5">
      <c r="A5" t="inlineStr">
        <is>
          <t>Net Debt</t>
        </is>
      </c>
      <c r="B5" s="3" t="n">
        <v>166300000</v>
      </c>
      <c r="C5" s="3" t="n">
        <v>97900000</v>
      </c>
      <c r="D5" s="3" t="n">
        <v>83100000</v>
      </c>
      <c r="E5" s="3" t="n">
        <v>222800000</v>
      </c>
      <c r="F5" s="3" t="n"/>
    </row>
    <row r="6">
      <c r="A6" t="inlineStr">
        <is>
          <t>Total Debt</t>
        </is>
      </c>
      <c r="B6" s="3" t="n">
        <v>330800000</v>
      </c>
      <c r="C6" s="3" t="n">
        <v>254500000</v>
      </c>
      <c r="D6" s="3" t="n">
        <v>242400000</v>
      </c>
      <c r="E6" s="3" t="n">
        <v>332400000</v>
      </c>
      <c r="F6" s="3" t="n"/>
    </row>
    <row r="7">
      <c r="A7" t="inlineStr">
        <is>
          <t>Tangible Book Value</t>
        </is>
      </c>
      <c r="B7" s="3" t="n">
        <v>340400000</v>
      </c>
      <c r="C7" s="3" t="n">
        <v>376500000</v>
      </c>
      <c r="D7" s="3" t="n">
        <v>326500000</v>
      </c>
      <c r="E7" s="3" t="n">
        <v>212400000</v>
      </c>
      <c r="F7" s="3" t="n"/>
    </row>
    <row r="8">
      <c r="A8" t="inlineStr">
        <is>
          <t>Invested Capital</t>
        </is>
      </c>
      <c r="B8" s="3" t="n">
        <v>874100000</v>
      </c>
      <c r="C8" s="3" t="n">
        <v>818300000</v>
      </c>
      <c r="D8" s="3" t="n">
        <v>777000000</v>
      </c>
      <c r="E8" s="3" t="n">
        <v>770800000</v>
      </c>
      <c r="F8" s="3" t="n"/>
    </row>
    <row r="9">
      <c r="A9" t="inlineStr">
        <is>
          <t>Working Capital</t>
        </is>
      </c>
      <c r="B9" s="3" t="n">
        <v>306600000</v>
      </c>
      <c r="C9" s="3" t="n">
        <v>284400000</v>
      </c>
      <c r="D9" s="3" t="n">
        <v>295400000</v>
      </c>
      <c r="E9" s="3" t="n">
        <v>313700000</v>
      </c>
      <c r="F9" s="3" t="n"/>
    </row>
    <row r="10">
      <c r="A10" t="inlineStr">
        <is>
          <t>Net Tangible Assets</t>
        </is>
      </c>
      <c r="B10" s="3" t="n">
        <v>340400000</v>
      </c>
      <c r="C10" s="3" t="n">
        <v>376500000</v>
      </c>
      <c r="D10" s="3" t="n">
        <v>326500000</v>
      </c>
      <c r="E10" s="3" t="n">
        <v>212400000</v>
      </c>
      <c r="F10" s="3" t="n"/>
    </row>
    <row r="11">
      <c r="A11" t="inlineStr">
        <is>
          <t>Capital Lease Obligations</t>
        </is>
      </c>
      <c r="B11" s="3" t="n">
        <v>58300000</v>
      </c>
      <c r="C11" s="3" t="n">
        <v>57000000</v>
      </c>
      <c r="D11" s="3" t="n">
        <v>42400000</v>
      </c>
      <c r="E11" s="3" t="n">
        <v>32400000</v>
      </c>
      <c r="F11" s="3" t="n"/>
    </row>
    <row r="12">
      <c r="A12" t="inlineStr">
        <is>
          <t>Common Stock Equity</t>
        </is>
      </c>
      <c r="B12" s="3" t="n">
        <v>601600000</v>
      </c>
      <c r="C12" s="3" t="n">
        <v>620800000</v>
      </c>
      <c r="D12" s="3" t="n">
        <v>577000000</v>
      </c>
      <c r="E12" s="3" t="n">
        <v>470800000</v>
      </c>
      <c r="F12" s="3" t="n"/>
    </row>
    <row r="13">
      <c r="A13" t="inlineStr">
        <is>
          <t>Total Capitalization</t>
        </is>
      </c>
      <c r="B13" s="3" t="n">
        <v>874100000</v>
      </c>
      <c r="C13" s="3" t="n">
        <v>817500000</v>
      </c>
      <c r="D13" s="3" t="n">
        <v>770700000</v>
      </c>
      <c r="E13" s="3" t="n">
        <v>765600000</v>
      </c>
      <c r="F13" s="3" t="n"/>
    </row>
    <row r="14">
      <c r="A14" t="inlineStr">
        <is>
          <t>Total Equity Gross Minority Interest</t>
        </is>
      </c>
      <c r="B14" s="3" t="n">
        <v>603400000</v>
      </c>
      <c r="C14" s="3" t="n">
        <v>622100000</v>
      </c>
      <c r="D14" s="3" t="n">
        <v>578300000</v>
      </c>
      <c r="E14" s="3" t="n">
        <v>472100000</v>
      </c>
      <c r="F14" s="3" t="n"/>
    </row>
    <row r="15">
      <c r="A15" t="inlineStr">
        <is>
          <t>Minority Interest</t>
        </is>
      </c>
      <c r="B15" s="3" t="n">
        <v>1800000</v>
      </c>
      <c r="C15" s="3" t="n">
        <v>1300000</v>
      </c>
      <c r="D15" s="3" t="n">
        <v>1300000</v>
      </c>
      <c r="E15" s="3" t="n">
        <v>1300000</v>
      </c>
      <c r="F15" s="3" t="n"/>
    </row>
    <row r="16">
      <c r="A16" t="inlineStr">
        <is>
          <t>Stockholders Equity</t>
        </is>
      </c>
      <c r="B16" s="3" t="n">
        <v>601600000</v>
      </c>
      <c r="C16" s="3" t="n">
        <v>620800000</v>
      </c>
      <c r="D16" s="3" t="n">
        <v>577000000</v>
      </c>
      <c r="E16" s="3" t="n">
        <v>470800000</v>
      </c>
      <c r="F16" s="3" t="n"/>
    </row>
    <row r="17">
      <c r="A17" t="inlineStr">
        <is>
          <t>Gains Losses Not Affecting Retained Earnings</t>
        </is>
      </c>
      <c r="B17" s="3" t="n">
        <v>-33200000</v>
      </c>
      <c r="C17" s="3" t="n">
        <v>-72700000</v>
      </c>
      <c r="D17" s="3" t="n">
        <v>-42300000</v>
      </c>
      <c r="E17" s="3" t="n">
        <v>-50200000</v>
      </c>
      <c r="F17" s="3" t="n"/>
    </row>
    <row r="18">
      <c r="A18" t="inlineStr">
        <is>
          <t>Other Equity Adjustments</t>
        </is>
      </c>
      <c r="B18" s="3" t="n">
        <v>-33200000</v>
      </c>
      <c r="C18" s="3" t="n">
        <v>-72700000</v>
      </c>
      <c r="D18" s="3" t="n">
        <v>-42300000</v>
      </c>
      <c r="E18" s="3" t="n">
        <v>-50200000</v>
      </c>
      <c r="F18" s="3" t="n"/>
    </row>
    <row r="19">
      <c r="A19" t="inlineStr">
        <is>
          <t>Retained Earnings</t>
        </is>
      </c>
      <c r="B19" s="3" t="n">
        <v>628100000</v>
      </c>
      <c r="C19" s="3" t="n">
        <v>609700000</v>
      </c>
      <c r="D19" s="3" t="n">
        <v>547400000</v>
      </c>
      <c r="E19" s="3" t="n">
        <v>458000000</v>
      </c>
      <c r="F19" s="3" t="n"/>
    </row>
    <row r="20">
      <c r="A20" t="inlineStr">
        <is>
          <t>Additional Paid In Capital</t>
        </is>
      </c>
      <c r="B20" s="3" t="n">
        <v>0</v>
      </c>
      <c r="C20" s="3" t="n">
        <v>76700000</v>
      </c>
      <c r="D20" s="3" t="n">
        <v>64900000</v>
      </c>
      <c r="E20" s="3" t="n">
        <v>56000000</v>
      </c>
      <c r="F20" s="3" t="n"/>
    </row>
    <row r="21">
      <c r="A21" t="inlineStr">
        <is>
          <t>Capital Stock</t>
        </is>
      </c>
      <c r="B21" s="3" t="n">
        <v>6700000</v>
      </c>
      <c r="C21" s="3" t="n">
        <v>7100000</v>
      </c>
      <c r="D21" s="3" t="n">
        <v>7000000</v>
      </c>
      <c r="E21" s="3" t="n">
        <v>7000000</v>
      </c>
      <c r="F21" s="3" t="n"/>
    </row>
    <row r="22">
      <c r="A22" t="inlineStr">
        <is>
          <t>Common Stock</t>
        </is>
      </c>
      <c r="B22" s="3" t="n">
        <v>6700000</v>
      </c>
      <c r="C22" s="3" t="n">
        <v>7100000</v>
      </c>
      <c r="D22" s="3" t="n">
        <v>7000000</v>
      </c>
      <c r="E22" s="3" t="n">
        <v>7000000</v>
      </c>
      <c r="F22" s="3" t="n"/>
    </row>
    <row r="23">
      <c r="A23" t="inlineStr">
        <is>
          <t>Total Liabilities Net Minority Interest</t>
        </is>
      </c>
      <c r="B23" s="3" t="n">
        <v>665500000</v>
      </c>
      <c r="C23" s="3" t="n">
        <v>568000000</v>
      </c>
      <c r="D23" s="3" t="n">
        <v>535100000</v>
      </c>
      <c r="E23" s="3" t="n">
        <v>613000000</v>
      </c>
      <c r="F23" s="3" t="n"/>
    </row>
    <row r="24">
      <c r="A24" t="inlineStr">
        <is>
          <t>Total Non Current Liabilities Net Minority Interest</t>
        </is>
      </c>
      <c r="B24" s="3" t="n">
        <v>372400000</v>
      </c>
      <c r="C24" s="3" t="n">
        <v>275800000</v>
      </c>
      <c r="D24" s="3" t="n">
        <v>261400000</v>
      </c>
      <c r="E24" s="3" t="n">
        <v>351400000</v>
      </c>
      <c r="F24" s="3" t="n"/>
    </row>
    <row r="25">
      <c r="A25" t="inlineStr">
        <is>
          <t>Other Non Current Liabilities</t>
        </is>
      </c>
      <c r="B25" s="3" t="n">
        <v>44700000</v>
      </c>
      <c r="C25" s="3" t="n">
        <v>22700000</v>
      </c>
      <c r="D25" s="3" t="n">
        <v>21500000</v>
      </c>
      <c r="E25" s="3" t="n">
        <v>14500000</v>
      </c>
      <c r="F25" s="3" t="n"/>
    </row>
    <row r="26">
      <c r="A26" t="inlineStr">
        <is>
          <t>Employee Benefits</t>
        </is>
      </c>
      <c r="B26" s="3" t="n">
        <v>15700000</v>
      </c>
      <c r="C26" s="3" t="n">
        <v>13500000</v>
      </c>
      <c r="D26" s="3" t="n">
        <v>13300000</v>
      </c>
      <c r="E26" s="3" t="n">
        <v>13200000</v>
      </c>
      <c r="F26" s="3" t="n"/>
    </row>
    <row r="27">
      <c r="A27" t="inlineStr">
        <is>
          <t>Non Current Deferred Liabilities</t>
        </is>
      </c>
      <c r="B27" s="3" t="n">
        <v>3300000</v>
      </c>
      <c r="C27" s="3" t="n">
        <v>4900000</v>
      </c>
      <c r="D27" s="3" t="n">
        <v>5000000</v>
      </c>
      <c r="E27" s="3" t="n">
        <v>11500000</v>
      </c>
      <c r="F27" s="3" t="n"/>
    </row>
    <row r="28">
      <c r="A28" t="inlineStr">
        <is>
          <t>Non Current Deferred Taxes Liabilities</t>
        </is>
      </c>
      <c r="B28" s="3" t="n">
        <v>3300000</v>
      </c>
      <c r="C28" s="3" t="n">
        <v>4900000</v>
      </c>
      <c r="D28" s="3" t="n">
        <v>5000000</v>
      </c>
      <c r="E28" s="3" t="n">
        <v>11500000</v>
      </c>
      <c r="F28" s="3" t="n"/>
    </row>
    <row r="29">
      <c r="A29" t="inlineStr">
        <is>
          <t>Long Term Debt And Capital Lease Obligation</t>
        </is>
      </c>
      <c r="B29" s="3" t="n">
        <v>308700000</v>
      </c>
      <c r="C29" s="3" t="n">
        <v>234700000</v>
      </c>
      <c r="D29" s="3" t="n">
        <v>221600000</v>
      </c>
      <c r="E29" s="3" t="n">
        <v>312200000</v>
      </c>
      <c r="F29" s="3" t="n"/>
    </row>
    <row r="30">
      <c r="A30" t="inlineStr">
        <is>
          <t>Long Term Capital Lease Obligation</t>
        </is>
      </c>
      <c r="B30" s="3" t="n">
        <v>36200000</v>
      </c>
      <c r="C30" s="3" t="n">
        <v>38000000</v>
      </c>
      <c r="D30" s="3" t="n">
        <v>27900000</v>
      </c>
      <c r="E30" s="3" t="n">
        <v>17400000</v>
      </c>
      <c r="F30" s="3" t="n"/>
    </row>
    <row r="31">
      <c r="A31" t="inlineStr">
        <is>
          <t>Long Term Debt</t>
        </is>
      </c>
      <c r="B31" s="3" t="n">
        <v>272500000</v>
      </c>
      <c r="C31" s="3" t="n">
        <v>196700000</v>
      </c>
      <c r="D31" s="3" t="n">
        <v>193700000</v>
      </c>
      <c r="E31" s="3" t="n">
        <v>294800000</v>
      </c>
      <c r="F31" s="3" t="n"/>
    </row>
    <row r="32">
      <c r="A32" t="inlineStr">
        <is>
          <t>Current Liabilities</t>
        </is>
      </c>
      <c r="B32" s="3" t="n">
        <v>293100000</v>
      </c>
      <c r="C32" s="3" t="n">
        <v>292200000</v>
      </c>
      <c r="D32" s="3" t="n">
        <v>273700000</v>
      </c>
      <c r="E32" s="3" t="n">
        <v>261600000</v>
      </c>
      <c r="F32" s="3" t="n"/>
    </row>
    <row r="33">
      <c r="A33" t="inlineStr">
        <is>
          <t>Other Current Liabilities</t>
        </is>
      </c>
      <c r="B33" s="3" t="n">
        <v>25800000</v>
      </c>
      <c r="C33" s="3" t="n">
        <v>28600000</v>
      </c>
      <c r="D33" s="3" t="n">
        <v>27600000</v>
      </c>
      <c r="E33" s="3" t="n">
        <v>28100000</v>
      </c>
      <c r="F33" s="3" t="n"/>
    </row>
    <row r="34">
      <c r="A34" t="inlineStr">
        <is>
          <t>Current Deferred Liabilities</t>
        </is>
      </c>
      <c r="B34" s="3" t="n">
        <v>16600000</v>
      </c>
      <c r="C34" s="3" t="n">
        <v>9800000</v>
      </c>
      <c r="D34" s="3" t="n">
        <v>7900000</v>
      </c>
      <c r="E34" s="3" t="n">
        <v>6600000</v>
      </c>
      <c r="F34" s="3" t="n"/>
    </row>
    <row r="35">
      <c r="A35" t="inlineStr">
        <is>
          <t>Current Deferred Revenue</t>
        </is>
      </c>
      <c r="B35" s="3" t="n">
        <v>16600000</v>
      </c>
      <c r="C35" s="3" t="n">
        <v>9800000</v>
      </c>
      <c r="D35" s="3" t="n">
        <v>7900000</v>
      </c>
      <c r="E35" s="3" t="n">
        <v>6600000</v>
      </c>
      <c r="F35" s="3" t="n"/>
    </row>
    <row r="36">
      <c r="A36" t="inlineStr">
        <is>
          <t>Current Debt And Capital Lease Obligation</t>
        </is>
      </c>
      <c r="B36" s="3" t="n">
        <v>22100000</v>
      </c>
      <c r="C36" s="3" t="n">
        <v>19800000</v>
      </c>
      <c r="D36" s="3" t="n">
        <v>20800000</v>
      </c>
      <c r="E36" s="3" t="n">
        <v>20200000</v>
      </c>
      <c r="F36" s="3" t="n"/>
    </row>
    <row r="37">
      <c r="A37" t="inlineStr">
        <is>
          <t>Current Capital Lease Obligation</t>
        </is>
      </c>
      <c r="B37" s="3" t="n">
        <v>22100000</v>
      </c>
      <c r="C37" s="3" t="n">
        <v>19000000</v>
      </c>
      <c r="D37" s="3" t="n">
        <v>14500000</v>
      </c>
      <c r="E37" s="3" t="n">
        <v>15000000</v>
      </c>
      <c r="F37" s="3" t="n"/>
    </row>
    <row r="38">
      <c r="A38" t="inlineStr">
        <is>
          <t>Current Debt</t>
        </is>
      </c>
      <c r="B38" s="3" t="n"/>
      <c r="C38" s="3" t="n">
        <v>800000</v>
      </c>
      <c r="D38" s="3" t="n">
        <v>6300000</v>
      </c>
      <c r="E38" s="3" t="n">
        <v>5200000</v>
      </c>
      <c r="F38" s="3" t="n">
        <v>4200000</v>
      </c>
    </row>
    <row r="39">
      <c r="A39" t="inlineStr">
        <is>
          <t>Other Current Borrowings</t>
        </is>
      </c>
      <c r="B39" s="3" t="n"/>
      <c r="C39" s="3" t="n">
        <v>800000</v>
      </c>
      <c r="D39" s="3" t="n">
        <v>6300000</v>
      </c>
      <c r="E39" s="3" t="n">
        <v>5200000</v>
      </c>
      <c r="F39" s="3" t="n">
        <v>4200000</v>
      </c>
    </row>
    <row r="40">
      <c r="A40" t="inlineStr">
        <is>
          <t>Pensionand Other Post Retirement Benefit Plans Current</t>
        </is>
      </c>
      <c r="B40" s="3" t="n">
        <v>40900000</v>
      </c>
      <c r="C40" s="3" t="n">
        <v>53100000</v>
      </c>
      <c r="D40" s="3" t="n">
        <v>67300000</v>
      </c>
      <c r="E40" s="3" t="n">
        <v>44000000</v>
      </c>
      <c r="F40" s="3" t="n"/>
    </row>
    <row r="41">
      <c r="A41" t="inlineStr">
        <is>
          <t>Current Provisions</t>
        </is>
      </c>
      <c r="B41" s="3" t="n">
        <v>6500000</v>
      </c>
      <c r="C41" s="3" t="n">
        <v>6900000</v>
      </c>
      <c r="D41" s="3" t="n">
        <v>7400000</v>
      </c>
      <c r="E41" s="3" t="n">
        <v>7800000</v>
      </c>
      <c r="F41" s="3" t="n"/>
    </row>
    <row r="42">
      <c r="A42" t="inlineStr">
        <is>
          <t>Payables And Accrued Expenses</t>
        </is>
      </c>
      <c r="B42" s="3" t="n">
        <v>181200000</v>
      </c>
      <c r="C42" s="3" t="n">
        <v>174000000</v>
      </c>
      <c r="D42" s="3" t="n">
        <v>142700000</v>
      </c>
      <c r="E42" s="3" t="n">
        <v>154900000</v>
      </c>
      <c r="F42" s="3" t="n"/>
    </row>
    <row r="43">
      <c r="A43" t="inlineStr">
        <is>
          <t>Current Accrued Expenses</t>
        </is>
      </c>
      <c r="B43" s="3" t="n">
        <v>35200000</v>
      </c>
      <c r="C43" s="3" t="n">
        <v>26600000</v>
      </c>
      <c r="D43" s="3" t="n">
        <v>20000000</v>
      </c>
      <c r="E43" s="3" t="n">
        <v>17700000</v>
      </c>
      <c r="F43" s="3" t="n"/>
    </row>
    <row r="44">
      <c r="A44" t="inlineStr">
        <is>
          <t>Payables</t>
        </is>
      </c>
      <c r="B44" s="3" t="n">
        <v>146000000</v>
      </c>
      <c r="C44" s="3" t="n">
        <v>147400000</v>
      </c>
      <c r="D44" s="3" t="n">
        <v>122700000</v>
      </c>
      <c r="E44" s="3" t="n">
        <v>137200000</v>
      </c>
      <c r="F44" s="3" t="n"/>
    </row>
    <row r="45">
      <c r="A45" t="inlineStr">
        <is>
          <t>Total Tax Payable</t>
        </is>
      </c>
      <c r="B45" s="3" t="n">
        <v>18500000</v>
      </c>
      <c r="C45" s="3" t="n">
        <v>20500000</v>
      </c>
      <c r="D45" s="3" t="n">
        <v>11300000</v>
      </c>
      <c r="E45" s="3" t="n">
        <v>11100000</v>
      </c>
      <c r="F45" s="3" t="n"/>
    </row>
    <row r="46">
      <c r="A46" t="inlineStr">
        <is>
          <t>Accounts Payable</t>
        </is>
      </c>
      <c r="B46" s="3" t="n">
        <v>127500000</v>
      </c>
      <c r="C46" s="3" t="n">
        <v>126900000</v>
      </c>
      <c r="D46" s="3" t="n">
        <v>111400000</v>
      </c>
      <c r="E46" s="3" t="n">
        <v>126100000</v>
      </c>
      <c r="F46" s="3" t="n"/>
    </row>
    <row r="47">
      <c r="A47" t="inlineStr">
        <is>
          <t>Total Assets</t>
        </is>
      </c>
      <c r="B47" s="3" t="n">
        <v>1268900000</v>
      </c>
      <c r="C47" s="3" t="n">
        <v>1190100000</v>
      </c>
      <c r="D47" s="3" t="n">
        <v>1113400000</v>
      </c>
      <c r="E47" s="3" t="n">
        <v>1085100000</v>
      </c>
      <c r="F47" s="3" t="n"/>
    </row>
    <row r="48">
      <c r="A48" t="inlineStr">
        <is>
          <t>Total Non Current Assets</t>
        </is>
      </c>
      <c r="B48" s="3" t="n">
        <v>669200000</v>
      </c>
      <c r="C48" s="3" t="n">
        <v>613500000</v>
      </c>
      <c r="D48" s="3" t="n">
        <v>544300000</v>
      </c>
      <c r="E48" s="3" t="n">
        <v>509800000</v>
      </c>
      <c r="F48" s="3" t="n"/>
    </row>
    <row r="49">
      <c r="A49" t="inlineStr">
        <is>
          <t>Other Non Current Assets</t>
        </is>
      </c>
      <c r="B49" s="3" t="n">
        <v>161300000</v>
      </c>
      <c r="C49" s="3" t="n">
        <v>130200000</v>
      </c>
      <c r="D49" s="3" t="n">
        <v>64400000</v>
      </c>
      <c r="E49" s="3" t="n">
        <v>39700000</v>
      </c>
      <c r="F49" s="3" t="n"/>
    </row>
    <row r="50">
      <c r="A50" t="inlineStr">
        <is>
          <t>Goodwill And Other Intangible Assets</t>
        </is>
      </c>
      <c r="B50" s="3" t="n">
        <v>261200000</v>
      </c>
      <c r="C50" s="3" t="n">
        <v>244300000</v>
      </c>
      <c r="D50" s="3" t="n">
        <v>250500000</v>
      </c>
      <c r="E50" s="3" t="n">
        <v>258400000</v>
      </c>
      <c r="F50" s="3" t="n"/>
    </row>
    <row r="51">
      <c r="A51" t="inlineStr">
        <is>
          <t>Other Intangible Assets</t>
        </is>
      </c>
      <c r="B51" s="3" t="n">
        <v>52600000</v>
      </c>
      <c r="C51" s="3" t="n">
        <v>58700000</v>
      </c>
      <c r="D51" s="3" t="n">
        <v>63100000</v>
      </c>
      <c r="E51" s="3" t="n">
        <v>76400000</v>
      </c>
      <c r="F51" s="3" t="n"/>
    </row>
    <row r="52">
      <c r="A52" t="inlineStr">
        <is>
          <t>Goodwill</t>
        </is>
      </c>
      <c r="B52" s="3" t="n">
        <v>208600000</v>
      </c>
      <c r="C52" s="3" t="n">
        <v>185600000</v>
      </c>
      <c r="D52" s="3" t="n">
        <v>187400000</v>
      </c>
      <c r="E52" s="3" t="n">
        <v>182000000</v>
      </c>
      <c r="F52" s="3" t="n"/>
    </row>
    <row r="53">
      <c r="A53" t="inlineStr">
        <is>
          <t>Net PPE</t>
        </is>
      </c>
      <c r="B53" s="3" t="n">
        <v>246700000</v>
      </c>
      <c r="C53" s="3" t="n">
        <v>239000000</v>
      </c>
      <c r="D53" s="3" t="n">
        <v>229400000</v>
      </c>
      <c r="E53" s="3" t="n">
        <v>211700000</v>
      </c>
      <c r="F53" s="3" t="n"/>
    </row>
    <row r="54">
      <c r="A54" t="inlineStr">
        <is>
          <t>Accumulated Depreciation</t>
        </is>
      </c>
      <c r="B54" s="3" t="n">
        <v>-289000000</v>
      </c>
      <c r="C54" s="3" t="n">
        <v>-310900000</v>
      </c>
      <c r="D54" s="3" t="n">
        <v>-304000000</v>
      </c>
      <c r="E54" s="3" t="n">
        <v>-279300000</v>
      </c>
      <c r="F54" s="3" t="n"/>
    </row>
    <row r="55">
      <c r="A55" t="inlineStr">
        <is>
          <t>Gross PPE</t>
        </is>
      </c>
      <c r="B55" s="3" t="n">
        <v>535700000</v>
      </c>
      <c r="C55" s="3" t="n">
        <v>549900000</v>
      </c>
      <c r="D55" s="3" t="n">
        <v>533400000</v>
      </c>
      <c r="E55" s="3" t="n">
        <v>491000000</v>
      </c>
      <c r="F55" s="3" t="n"/>
    </row>
    <row r="56">
      <c r="A56" t="inlineStr">
        <is>
          <t>Construction In Progress</t>
        </is>
      </c>
      <c r="B56" s="3" t="n">
        <v>4300000</v>
      </c>
      <c r="C56" s="3" t="n">
        <v>4500000</v>
      </c>
      <c r="D56" s="3" t="n">
        <v>7600000</v>
      </c>
      <c r="E56" s="3" t="n">
        <v>9400000</v>
      </c>
      <c r="F56" s="3" t="n"/>
    </row>
    <row r="57">
      <c r="A57" t="inlineStr">
        <is>
          <t>Other Properties</t>
        </is>
      </c>
      <c r="B57" s="3" t="n">
        <v>56900000</v>
      </c>
      <c r="C57" s="3" t="n">
        <v>54600000</v>
      </c>
      <c r="D57" s="3" t="n">
        <v>41700000</v>
      </c>
      <c r="E57" s="3" t="n">
        <v>31800000</v>
      </c>
      <c r="F57" s="3" t="n"/>
    </row>
    <row r="58">
      <c r="A58" t="inlineStr">
        <is>
          <t>Machinery Furniture Equipment</t>
        </is>
      </c>
      <c r="B58" s="3" t="n">
        <v>302600000</v>
      </c>
      <c r="C58" s="3" t="n">
        <v>332600000</v>
      </c>
      <c r="D58" s="3" t="n">
        <v>325500000</v>
      </c>
      <c r="E58" s="3" t="n">
        <v>278800000</v>
      </c>
      <c r="F58" s="3" t="n"/>
    </row>
    <row r="59">
      <c r="A59" t="inlineStr">
        <is>
          <t>Buildings And Improvements</t>
        </is>
      </c>
      <c r="B59" s="3" t="n">
        <v>144000000</v>
      </c>
      <c r="C59" s="3" t="n">
        <v>134100000</v>
      </c>
      <c r="D59" s="3" t="n">
        <v>137600000</v>
      </c>
      <c r="E59" s="3" t="n">
        <v>149000000</v>
      </c>
      <c r="F59" s="3" t="n"/>
    </row>
    <row r="60">
      <c r="A60" t="inlineStr">
        <is>
          <t>Land And Improvements</t>
        </is>
      </c>
      <c r="B60" s="3" t="n">
        <v>27900000</v>
      </c>
      <c r="C60" s="3" t="n">
        <v>24100000</v>
      </c>
      <c r="D60" s="3" t="n">
        <v>21000000</v>
      </c>
      <c r="E60" s="3" t="n">
        <v>22000000</v>
      </c>
      <c r="F60" s="3" t="n"/>
    </row>
    <row r="61">
      <c r="A61" t="inlineStr">
        <is>
          <t>Properties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/>
    </row>
    <row r="62">
      <c r="A62" t="inlineStr">
        <is>
          <t>Current Assets</t>
        </is>
      </c>
      <c r="B62" s="3" t="n">
        <v>599700000</v>
      </c>
      <c r="C62" s="3" t="n">
        <v>576600000</v>
      </c>
      <c r="D62" s="3" t="n">
        <v>569100000</v>
      </c>
      <c r="E62" s="3" t="n">
        <v>575300000</v>
      </c>
      <c r="F62" s="3" t="n"/>
    </row>
    <row r="63">
      <c r="A63" t="inlineStr">
        <is>
          <t>Other Current Assets</t>
        </is>
      </c>
      <c r="B63" s="3" t="n">
        <v>38000000</v>
      </c>
      <c r="C63" s="3" t="n">
        <v>33900000</v>
      </c>
      <c r="D63" s="3" t="n">
        <v>28500000</v>
      </c>
      <c r="E63" s="3" t="n">
        <v>39800000</v>
      </c>
      <c r="F63" s="3" t="n"/>
    </row>
    <row r="64">
      <c r="A64" t="inlineStr">
        <is>
          <t>Restricted Cash</t>
        </is>
      </c>
      <c r="B64" s="3" t="n">
        <v>200000</v>
      </c>
      <c r="C64" s="3" t="n">
        <v>200000</v>
      </c>
      <c r="D64" s="3" t="n">
        <v>200000</v>
      </c>
      <c r="E64" s="3" t="n">
        <v>200000</v>
      </c>
      <c r="F64" s="3" t="n"/>
    </row>
    <row r="65">
      <c r="A65" t="inlineStr">
        <is>
          <t>Prepaid Assets</t>
        </is>
      </c>
      <c r="B65" s="3" t="n"/>
      <c r="C65" s="3" t="n"/>
      <c r="D65" s="3" t="n"/>
      <c r="E65" s="3" t="n"/>
      <c r="F65" s="3" t="n">
        <v>31200000</v>
      </c>
    </row>
    <row r="66">
      <c r="A66" t="inlineStr">
        <is>
          <t>Inventory</t>
        </is>
      </c>
      <c r="B66" s="3" t="n">
        <v>198500000</v>
      </c>
      <c r="C66" s="3" t="n">
        <v>183800000</v>
      </c>
      <c r="D66" s="3" t="n">
        <v>175900000</v>
      </c>
      <c r="E66" s="3" t="n">
        <v>206600000</v>
      </c>
      <c r="F66" s="3" t="n"/>
    </row>
    <row r="67">
      <c r="A67" t="inlineStr">
        <is>
          <t>Inventories Adjustments Allowances</t>
        </is>
      </c>
      <c r="B67" s="3" t="n">
        <v>-54900000</v>
      </c>
      <c r="C67" s="3" t="n">
        <v>-50400000</v>
      </c>
      <c r="D67" s="3" t="n">
        <v>-47700000</v>
      </c>
      <c r="E67" s="3" t="n">
        <v>-49700000</v>
      </c>
      <c r="F67" s="3" t="n"/>
    </row>
    <row r="68">
      <c r="A68" t="inlineStr">
        <is>
          <t>Finished Goods</t>
        </is>
      </c>
      <c r="B68" s="3" t="n">
        <v>149300000</v>
      </c>
      <c r="C68" s="3" t="n">
        <v>138600000</v>
      </c>
      <c r="D68" s="3" t="n">
        <v>127500000</v>
      </c>
      <c r="E68" s="3" t="n">
        <v>153900000</v>
      </c>
      <c r="F68" s="3" t="n"/>
    </row>
    <row r="69">
      <c r="A69" t="inlineStr">
        <is>
          <t>Raw Materials</t>
        </is>
      </c>
      <c r="B69" s="3" t="n">
        <v>104100000</v>
      </c>
      <c r="C69" s="3" t="n">
        <v>95600000</v>
      </c>
      <c r="D69" s="3" t="n">
        <v>96100000</v>
      </c>
      <c r="E69" s="3" t="n">
        <v>102400000</v>
      </c>
      <c r="F69" s="3" t="n"/>
    </row>
    <row r="70">
      <c r="A70" t="inlineStr">
        <is>
          <t>Receivables</t>
        </is>
      </c>
      <c r="B70" s="3" t="n">
        <v>256800000</v>
      </c>
      <c r="C70" s="3" t="n">
        <v>259100000</v>
      </c>
      <c r="D70" s="3" t="n">
        <v>247600000</v>
      </c>
      <c r="E70" s="3" t="n">
        <v>251500000</v>
      </c>
      <c r="F70" s="3" t="n"/>
    </row>
    <row r="71">
      <c r="A71" t="inlineStr">
        <is>
          <t>Accounts Receivable</t>
        </is>
      </c>
      <c r="B71" s="3" t="n">
        <v>256800000</v>
      </c>
      <c r="C71" s="3" t="n">
        <v>259100000</v>
      </c>
      <c r="D71" s="3" t="n">
        <v>247600000</v>
      </c>
      <c r="E71" s="3" t="n">
        <v>251500000</v>
      </c>
      <c r="F71" s="3" t="n"/>
    </row>
    <row r="72">
      <c r="A72" t="inlineStr">
        <is>
          <t>Allowance For Doubtful Accounts Receivable</t>
        </is>
      </c>
      <c r="B72" s="3" t="n">
        <v>-10400000</v>
      </c>
      <c r="C72" s="3" t="n">
        <v>-7100000</v>
      </c>
      <c r="D72" s="3" t="n">
        <v>-7200000</v>
      </c>
      <c r="E72" s="3" t="n">
        <v>-6100000</v>
      </c>
      <c r="F72" s="3" t="n"/>
    </row>
    <row r="73">
      <c r="A73" t="inlineStr">
        <is>
          <t>Gross Accounts Receivable</t>
        </is>
      </c>
      <c r="B73" s="3" t="n">
        <v>267200000</v>
      </c>
      <c r="C73" s="3" t="n">
        <v>266200000</v>
      </c>
      <c r="D73" s="3" t="n">
        <v>254800000</v>
      </c>
      <c r="E73" s="3" t="n">
        <v>257600000</v>
      </c>
      <c r="F73" s="3" t="n"/>
    </row>
    <row r="74">
      <c r="A74" t="inlineStr">
        <is>
          <t>Cash Cash Equivalents And Short Term Investments</t>
        </is>
      </c>
      <c r="B74" s="3" t="n">
        <v>106200000</v>
      </c>
      <c r="C74" s="3" t="n">
        <v>99600000</v>
      </c>
      <c r="D74" s="3" t="n">
        <v>116900000</v>
      </c>
      <c r="E74" s="3" t="n">
        <v>77200000</v>
      </c>
      <c r="F74" s="3" t="n"/>
    </row>
    <row r="75">
      <c r="A75" t="inlineStr">
        <is>
          <t>Cash And Cash Equivalents</t>
        </is>
      </c>
      <c r="B75" s="3" t="n">
        <v>106200000</v>
      </c>
      <c r="C75" s="3" t="n">
        <v>99600000</v>
      </c>
      <c r="D75" s="3" t="n">
        <v>116900000</v>
      </c>
      <c r="E75" s="3" t="n">
        <v>77200000</v>
      </c>
      <c r="F75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</row>
    <row r="2">
      <c r="A2" t="inlineStr">
        <is>
          <t>Treasury Shares Number</t>
        </is>
      </c>
      <c r="B2" s="3" t="n"/>
      <c r="C2" s="3" t="n"/>
      <c r="D2" s="3" t="n"/>
      <c r="E2" s="3" t="n">
        <v>0</v>
      </c>
      <c r="F2" s="3" t="n"/>
      <c r="G2" s="3" t="n"/>
    </row>
    <row r="3">
      <c r="A3" t="inlineStr">
        <is>
          <t>Ordinary Shares Number</t>
        </is>
      </c>
      <c r="B3" s="3" t="n">
        <v>17037788</v>
      </c>
      <c r="C3" s="3" t="n">
        <v>17846681</v>
      </c>
      <c r="D3" s="3" t="n">
        <v>18259632</v>
      </c>
      <c r="E3" s="3" t="n">
        <v>18532326</v>
      </c>
      <c r="F3" s="3" t="n">
        <v>18703285</v>
      </c>
      <c r="G3" s="3" t="n"/>
    </row>
    <row r="4">
      <c r="A4" t="inlineStr">
        <is>
          <t>Share Issued</t>
        </is>
      </c>
      <c r="B4" s="3" t="n">
        <v>17037788</v>
      </c>
      <c r="C4" s="3" t="n">
        <v>17846681</v>
      </c>
      <c r="D4" s="3" t="n">
        <v>18259632</v>
      </c>
      <c r="E4" s="3" t="n">
        <v>18532326</v>
      </c>
      <c r="F4" s="3" t="n">
        <v>18703285</v>
      </c>
      <c r="G4" s="3" t="n"/>
    </row>
    <row r="5">
      <c r="A5" t="inlineStr">
        <is>
          <t>Net Debt</t>
        </is>
      </c>
      <c r="B5" s="3" t="n">
        <v>274900000</v>
      </c>
      <c r="C5" s="3" t="n">
        <v>166300000</v>
      </c>
      <c r="D5" s="3" t="n">
        <v>138100000</v>
      </c>
      <c r="E5" s="3" t="n">
        <v>132400000</v>
      </c>
      <c r="F5" s="3" t="n">
        <v>133000000</v>
      </c>
      <c r="G5" s="3" t="n"/>
    </row>
    <row r="6">
      <c r="A6" t="inlineStr">
        <is>
          <t>Total Debt</t>
        </is>
      </c>
      <c r="B6" s="3" t="n">
        <v>392500000</v>
      </c>
      <c r="C6" s="3" t="n">
        <v>330800000</v>
      </c>
      <c r="D6" s="3" t="n">
        <v>273000000</v>
      </c>
      <c r="E6" s="3" t="n">
        <v>247900000</v>
      </c>
      <c r="F6" s="3" t="n">
        <v>249200000</v>
      </c>
      <c r="G6" s="3" t="n"/>
    </row>
    <row r="7">
      <c r="A7" t="inlineStr">
        <is>
          <t>Tangible Book Value</t>
        </is>
      </c>
      <c r="B7" s="3" t="n">
        <v>268800000</v>
      </c>
      <c r="C7" s="3" t="n">
        <v>340400000</v>
      </c>
      <c r="D7" s="3" t="n">
        <v>376700000</v>
      </c>
      <c r="E7" s="3" t="n">
        <v>386500000</v>
      </c>
      <c r="F7" s="3" t="n">
        <v>374300000</v>
      </c>
      <c r="G7" s="3" t="n"/>
    </row>
    <row r="8">
      <c r="A8" t="inlineStr">
        <is>
          <t>Invested Capital</t>
        </is>
      </c>
      <c r="B8" s="3" t="n">
        <v>888700000</v>
      </c>
      <c r="C8" s="3" t="n">
        <v>874100000</v>
      </c>
      <c r="D8" s="3" t="n">
        <v>878400000</v>
      </c>
      <c r="E8" s="3" t="n">
        <v>864400000</v>
      </c>
      <c r="F8" s="3" t="n">
        <v>836900000</v>
      </c>
      <c r="G8" s="3" t="n"/>
    </row>
    <row r="9">
      <c r="A9" t="inlineStr">
        <is>
          <t>Working Capital</t>
        </is>
      </c>
      <c r="B9" s="3" t="n">
        <v>322500000</v>
      </c>
      <c r="C9" s="3" t="n">
        <v>306600000</v>
      </c>
      <c r="D9" s="3" t="n">
        <v>316800000</v>
      </c>
      <c r="E9" s="3" t="n">
        <v>299800000</v>
      </c>
      <c r="F9" s="3" t="n">
        <v>293500000</v>
      </c>
      <c r="G9" s="3" t="n"/>
    </row>
    <row r="10">
      <c r="A10" t="inlineStr">
        <is>
          <t>Net Tangible Assets</t>
        </is>
      </c>
      <c r="B10" s="3" t="n">
        <v>268800000</v>
      </c>
      <c r="C10" s="3" t="n">
        <v>340400000</v>
      </c>
      <c r="D10" s="3" t="n">
        <v>376700000</v>
      </c>
      <c r="E10" s="3" t="n">
        <v>386500000</v>
      </c>
      <c r="F10" s="3" t="n">
        <v>374300000</v>
      </c>
      <c r="G10" s="3" t="n"/>
    </row>
    <row r="11">
      <c r="A11" t="inlineStr">
        <is>
          <t>Capital Lease Obligations</t>
        </is>
      </c>
      <c r="B11" s="3" t="n">
        <v>35000000</v>
      </c>
      <c r="C11" s="3" t="n">
        <v>58300000</v>
      </c>
      <c r="D11" s="3" t="n">
        <v>35500000</v>
      </c>
      <c r="E11" s="3" t="n">
        <v>35400000</v>
      </c>
      <c r="F11" s="3" t="n">
        <v>36700000</v>
      </c>
      <c r="G11" s="3" t="n"/>
    </row>
    <row r="12">
      <c r="A12" t="inlineStr">
        <is>
          <t>Common Stock Equity</t>
        </is>
      </c>
      <c r="B12" s="3" t="n">
        <v>531200000</v>
      </c>
      <c r="C12" s="3" t="n">
        <v>601600000</v>
      </c>
      <c r="D12" s="3" t="n">
        <v>640900000</v>
      </c>
      <c r="E12" s="3" t="n">
        <v>651900000</v>
      </c>
      <c r="F12" s="3" t="n">
        <v>624400000</v>
      </c>
      <c r="G12" s="3" t="n"/>
    </row>
    <row r="13">
      <c r="A13" t="inlineStr">
        <is>
          <t>Total Capitalization</t>
        </is>
      </c>
      <c r="B13" s="3" t="n">
        <v>888700000</v>
      </c>
      <c r="C13" s="3" t="n">
        <v>874100000</v>
      </c>
      <c r="D13" s="3" t="n">
        <v>878400000</v>
      </c>
      <c r="E13" s="3" t="n">
        <v>864400000</v>
      </c>
      <c r="F13" s="3" t="n">
        <v>836900000</v>
      </c>
      <c r="G13" s="3" t="n"/>
    </row>
    <row r="14">
      <c r="A14" t="inlineStr">
        <is>
          <t>Total Equity Gross Minority Interest</t>
        </is>
      </c>
      <c r="B14" s="3" t="n">
        <v>533000000</v>
      </c>
      <c r="C14" s="3" t="n">
        <v>603400000</v>
      </c>
      <c r="D14" s="3" t="n">
        <v>642700000</v>
      </c>
      <c r="E14" s="3" t="n">
        <v>653700000</v>
      </c>
      <c r="F14" s="3" t="n">
        <v>626100000</v>
      </c>
      <c r="G14" s="3" t="n"/>
    </row>
    <row r="15">
      <c r="A15" t="inlineStr">
        <is>
          <t>Minority Interest</t>
        </is>
      </c>
      <c r="B15" s="3" t="n">
        <v>1800000</v>
      </c>
      <c r="C15" s="3" t="n">
        <v>1800000</v>
      </c>
      <c r="D15" s="3" t="n">
        <v>1800000</v>
      </c>
      <c r="E15" s="3" t="n">
        <v>1800000</v>
      </c>
      <c r="F15" s="3" t="n">
        <v>1700000</v>
      </c>
      <c r="G15" s="3" t="n"/>
    </row>
    <row r="16">
      <c r="A16" t="inlineStr">
        <is>
          <t>Stockholders Equity</t>
        </is>
      </c>
      <c r="B16" s="3" t="n">
        <v>531200000</v>
      </c>
      <c r="C16" s="3" t="n">
        <v>601600000</v>
      </c>
      <c r="D16" s="3" t="n">
        <v>640900000</v>
      </c>
      <c r="E16" s="3" t="n">
        <v>651900000</v>
      </c>
      <c r="F16" s="3" t="n">
        <v>624400000</v>
      </c>
      <c r="G16" s="3" t="n"/>
    </row>
    <row r="17">
      <c r="A17" t="inlineStr">
        <is>
          <t>Gains Losses Not Affecting Retained Earnings</t>
        </is>
      </c>
      <c r="B17" s="3" t="n">
        <v>-37300000</v>
      </c>
      <c r="C17" s="3" t="n">
        <v>-33200000</v>
      </c>
      <c r="D17" s="3" t="n">
        <v>-34100000</v>
      </c>
      <c r="E17" s="3" t="n">
        <v>-33600000</v>
      </c>
      <c r="F17" s="3" t="n">
        <v>-57400000</v>
      </c>
      <c r="G17" s="3" t="n"/>
    </row>
    <row r="18">
      <c r="A18" t="inlineStr">
        <is>
          <t>Other Equity Adjustments</t>
        </is>
      </c>
      <c r="B18" s="3" t="n">
        <v>-37300000</v>
      </c>
      <c r="C18" s="3" t="n">
        <v>-33200000</v>
      </c>
      <c r="D18" s="3" t="n">
        <v>-34100000</v>
      </c>
      <c r="E18" s="3" t="n">
        <v>-33600000</v>
      </c>
      <c r="F18" s="3" t="n">
        <v>-57400000</v>
      </c>
      <c r="G18" s="3" t="n"/>
    </row>
    <row r="19">
      <c r="A19" t="inlineStr">
        <is>
          <t>Retained Earnings</t>
        </is>
      </c>
      <c r="B19" s="3" t="n">
        <v>562100000</v>
      </c>
      <c r="C19" s="3" t="n">
        <v>628100000</v>
      </c>
      <c r="D19" s="3" t="n">
        <v>641500000</v>
      </c>
      <c r="E19" s="3" t="n">
        <v>632000000</v>
      </c>
      <c r="F19" s="3" t="n">
        <v>617200000</v>
      </c>
      <c r="G19" s="3" t="n"/>
    </row>
    <row r="20">
      <c r="A20" t="inlineStr">
        <is>
          <t>Additional Paid In Capital</t>
        </is>
      </c>
      <c r="B20" s="3" t="n">
        <v>0</v>
      </c>
      <c r="C20" s="3" t="n">
        <v>0</v>
      </c>
      <c r="D20" s="3" t="n">
        <v>26600000</v>
      </c>
      <c r="E20" s="3" t="n">
        <v>46500000</v>
      </c>
      <c r="F20" s="3" t="n">
        <v>57600000</v>
      </c>
      <c r="G20" s="3" t="n"/>
    </row>
    <row r="21">
      <c r="A21" t="inlineStr">
        <is>
          <t>Capital Stock</t>
        </is>
      </c>
      <c r="B21" s="3" t="n">
        <v>6400000</v>
      </c>
      <c r="C21" s="3" t="n">
        <v>6700000</v>
      </c>
      <c r="D21" s="3" t="n">
        <v>6900000</v>
      </c>
      <c r="E21" s="3" t="n">
        <v>7000000</v>
      </c>
      <c r="F21" s="3" t="n">
        <v>7000000</v>
      </c>
      <c r="G21" s="3" t="n"/>
    </row>
    <row r="22">
      <c r="A22" t="inlineStr">
        <is>
          <t>Common Stock</t>
        </is>
      </c>
      <c r="B22" s="3" t="n">
        <v>6400000</v>
      </c>
      <c r="C22" s="3" t="n">
        <v>6700000</v>
      </c>
      <c r="D22" s="3" t="n">
        <v>6900000</v>
      </c>
      <c r="E22" s="3" t="n">
        <v>7000000</v>
      </c>
      <c r="F22" s="3" t="n">
        <v>7000000</v>
      </c>
      <c r="G22" s="3" t="n"/>
    </row>
    <row r="23">
      <c r="A23" t="inlineStr">
        <is>
          <t>Total Liabilities Net Minority Interest</t>
        </is>
      </c>
      <c r="B23" s="3" t="n">
        <v>743600000</v>
      </c>
      <c r="C23" s="3" t="n">
        <v>665500000</v>
      </c>
      <c r="D23" s="3" t="n">
        <v>614200000</v>
      </c>
      <c r="E23" s="3" t="n">
        <v>587800000</v>
      </c>
      <c r="F23" s="3" t="n">
        <v>554200000</v>
      </c>
      <c r="G23" s="3" t="n"/>
    </row>
    <row r="24">
      <c r="A24" t="inlineStr">
        <is>
          <t>Total Non Current Liabilities Net Minority Interest</t>
        </is>
      </c>
      <c r="B24" s="3" t="n">
        <v>455000000</v>
      </c>
      <c r="C24" s="3" t="n">
        <v>372400000</v>
      </c>
      <c r="D24" s="3" t="n">
        <v>332700000</v>
      </c>
      <c r="E24" s="3" t="n">
        <v>313000000</v>
      </c>
      <c r="F24" s="3" t="n">
        <v>296800000</v>
      </c>
      <c r="G24" s="3" t="n"/>
    </row>
    <row r="25">
      <c r="A25" t="inlineStr">
        <is>
          <t>Other Non Current Liabilities</t>
        </is>
      </c>
      <c r="B25" s="3" t="n">
        <v>43300000</v>
      </c>
      <c r="C25" s="3" t="n">
        <v>44700000</v>
      </c>
      <c r="D25" s="3" t="n">
        <v>44000000</v>
      </c>
      <c r="E25" s="3" t="n">
        <v>45400000</v>
      </c>
      <c r="F25" s="3" t="n">
        <v>28800000</v>
      </c>
      <c r="G25" s="3" t="n"/>
    </row>
    <row r="26">
      <c r="A26" t="inlineStr">
        <is>
          <t>Employee Benefits</t>
        </is>
      </c>
      <c r="B26" s="3" t="n">
        <v>15400000</v>
      </c>
      <c r="C26" s="3" t="n">
        <v>15700000</v>
      </c>
      <c r="D26" s="3" t="n">
        <v>14900000</v>
      </c>
      <c r="E26" s="3" t="n">
        <v>14800000</v>
      </c>
      <c r="F26" s="3" t="n">
        <v>14200000</v>
      </c>
      <c r="G26" s="3" t="n"/>
    </row>
    <row r="27">
      <c r="A27" t="inlineStr">
        <is>
          <t>Non Current Deferred Liabilities</t>
        </is>
      </c>
      <c r="B27" s="3" t="n">
        <v>4200000</v>
      </c>
      <c r="C27" s="3" t="n">
        <v>3300000</v>
      </c>
      <c r="D27" s="3" t="n">
        <v>1200000</v>
      </c>
      <c r="E27" s="3" t="n">
        <v>5300000</v>
      </c>
      <c r="F27" s="3" t="n">
        <v>5100000</v>
      </c>
      <c r="G27" s="3" t="n"/>
    </row>
    <row r="28">
      <c r="A28" t="inlineStr">
        <is>
          <t>Non Current Deferred Taxes Liabilities</t>
        </is>
      </c>
      <c r="B28" s="3" t="n">
        <v>4200000</v>
      </c>
      <c r="C28" s="3" t="n">
        <v>3300000</v>
      </c>
      <c r="D28" s="3" t="n">
        <v>1200000</v>
      </c>
      <c r="E28" s="3" t="n">
        <v>5300000</v>
      </c>
      <c r="F28" s="3" t="n">
        <v>5100000</v>
      </c>
      <c r="G28" s="3" t="n"/>
    </row>
    <row r="29">
      <c r="A29" t="inlineStr">
        <is>
          <t>Long Term Debt And Capital Lease Obligation</t>
        </is>
      </c>
      <c r="B29" s="3" t="n">
        <v>392100000</v>
      </c>
      <c r="C29" s="3" t="n">
        <v>308700000</v>
      </c>
      <c r="D29" s="3" t="n">
        <v>272600000</v>
      </c>
      <c r="E29" s="3" t="n">
        <v>247500000</v>
      </c>
      <c r="F29" s="3" t="n">
        <v>248700000</v>
      </c>
      <c r="G29" s="3" t="n"/>
    </row>
    <row r="30">
      <c r="A30" t="inlineStr">
        <is>
          <t>Long Term Capital Lease Obligation</t>
        </is>
      </c>
      <c r="B30" s="3" t="n">
        <v>34600000</v>
      </c>
      <c r="C30" s="3" t="n">
        <v>36200000</v>
      </c>
      <c r="D30" s="3" t="n">
        <v>35100000</v>
      </c>
      <c r="E30" s="3" t="n">
        <v>35000000</v>
      </c>
      <c r="F30" s="3" t="n">
        <v>36200000</v>
      </c>
      <c r="G30" s="3" t="n"/>
    </row>
    <row r="31">
      <c r="A31" t="inlineStr">
        <is>
          <t>Long Term Debt</t>
        </is>
      </c>
      <c r="B31" s="3" t="n">
        <v>357500000</v>
      </c>
      <c r="C31" s="3" t="n">
        <v>272500000</v>
      </c>
      <c r="D31" s="3" t="n">
        <v>237500000</v>
      </c>
      <c r="E31" s="3" t="n">
        <v>212500000</v>
      </c>
      <c r="F31" s="3" t="n">
        <v>212500000</v>
      </c>
      <c r="G31" s="3" t="n"/>
    </row>
    <row r="32">
      <c r="A32" t="inlineStr">
        <is>
          <t>Current Liabilities</t>
        </is>
      </c>
      <c r="B32" s="3" t="n">
        <v>288600000</v>
      </c>
      <c r="C32" s="3" t="n">
        <v>293100000</v>
      </c>
      <c r="D32" s="3" t="n">
        <v>281500000</v>
      </c>
      <c r="E32" s="3" t="n">
        <v>274800000</v>
      </c>
      <c r="F32" s="3" t="n">
        <v>257400000</v>
      </c>
      <c r="G32" s="3" t="n"/>
    </row>
    <row r="33">
      <c r="A33" t="inlineStr">
        <is>
          <t>Other Current Liabilities</t>
        </is>
      </c>
      <c r="B33" s="3" t="n">
        <v>125500000</v>
      </c>
      <c r="C33" s="3" t="n">
        <v>25800000</v>
      </c>
      <c r="D33" s="3" t="n">
        <v>121600000</v>
      </c>
      <c r="E33" s="3" t="n">
        <v>110800000</v>
      </c>
      <c r="F33" s="3" t="n">
        <v>102300000</v>
      </c>
      <c r="G33" s="3" t="n"/>
    </row>
    <row r="34">
      <c r="A34" t="inlineStr">
        <is>
          <t>Current Deferred Liabilities</t>
        </is>
      </c>
      <c r="B34" s="3" t="n"/>
      <c r="C34" s="3" t="n">
        <v>16600000</v>
      </c>
      <c r="D34" s="3" t="n"/>
      <c r="E34" s="3" t="n"/>
      <c r="F34" s="3" t="n"/>
      <c r="G34" s="3" t="n">
        <v>9800000</v>
      </c>
    </row>
    <row r="35">
      <c r="A35" t="inlineStr">
        <is>
          <t>Current Deferred Revenue</t>
        </is>
      </c>
      <c r="B35" s="3" t="n"/>
      <c r="C35" s="3" t="n">
        <v>16600000</v>
      </c>
      <c r="D35" s="3" t="n"/>
      <c r="E35" s="3" t="n"/>
      <c r="F35" s="3" t="n"/>
      <c r="G35" s="3" t="n">
        <v>9800000</v>
      </c>
    </row>
    <row r="36">
      <c r="A36" t="inlineStr">
        <is>
          <t>Current Debt And Capital Lease Obligation</t>
        </is>
      </c>
      <c r="B36" s="3" t="n">
        <v>400000</v>
      </c>
      <c r="C36" s="3" t="n">
        <v>22100000</v>
      </c>
      <c r="D36" s="3" t="n">
        <v>400000</v>
      </c>
      <c r="E36" s="3" t="n">
        <v>400000</v>
      </c>
      <c r="F36" s="3" t="n">
        <v>500000</v>
      </c>
      <c r="G36" s="3" t="n"/>
    </row>
    <row r="37">
      <c r="A37" t="inlineStr">
        <is>
          <t>Current Capital Lease Obligation</t>
        </is>
      </c>
      <c r="B37" s="3" t="n">
        <v>400000</v>
      </c>
      <c r="C37" s="3" t="n">
        <v>22100000</v>
      </c>
      <c r="D37" s="3" t="n">
        <v>400000</v>
      </c>
      <c r="E37" s="3" t="n">
        <v>400000</v>
      </c>
      <c r="F37" s="3" t="n">
        <v>500000</v>
      </c>
      <c r="G37" s="3" t="n"/>
    </row>
    <row r="38">
      <c r="A38" t="inlineStr">
        <is>
          <t>Current Debt</t>
        </is>
      </c>
      <c r="B38" s="3" t="n"/>
      <c r="C38" s="3" t="n"/>
      <c r="D38" s="3" t="n"/>
      <c r="E38" s="3" t="n"/>
      <c r="F38" s="3" t="n"/>
      <c r="G38" s="3" t="n">
        <v>800000</v>
      </c>
    </row>
    <row r="39">
      <c r="A39" t="inlineStr">
        <is>
          <t>Other Current Borrowings</t>
        </is>
      </c>
      <c r="B39" s="3" t="n"/>
      <c r="C39" s="3" t="n"/>
      <c r="D39" s="3" t="n"/>
      <c r="E39" s="3" t="n"/>
      <c r="F39" s="3" t="n"/>
      <c r="G39" s="3" t="n">
        <v>800000</v>
      </c>
    </row>
    <row r="40">
      <c r="A40" t="inlineStr">
        <is>
          <t>Line Of Credit</t>
        </is>
      </c>
      <c r="B40" s="3" t="n"/>
      <c r="C40" s="3" t="n"/>
      <c r="D40" s="3" t="n">
        <v>0</v>
      </c>
      <c r="E40" s="3" t="n">
        <v>0</v>
      </c>
      <c r="F40" s="3" t="n"/>
      <c r="G40" s="3" t="n"/>
    </row>
    <row r="41">
      <c r="A41" t="inlineStr">
        <is>
          <t>Pensionand Other Post Retirement Benefit Plans Current</t>
        </is>
      </c>
      <c r="B41" s="3" t="n">
        <v>39600000</v>
      </c>
      <c r="C41" s="3" t="n">
        <v>40900000</v>
      </c>
      <c r="D41" s="3" t="n">
        <v>48900000</v>
      </c>
      <c r="E41" s="3" t="n">
        <v>41300000</v>
      </c>
      <c r="F41" s="3" t="n">
        <v>39300000</v>
      </c>
      <c r="G41" s="3" t="n"/>
    </row>
    <row r="42">
      <c r="A42" t="inlineStr">
        <is>
          <t>Current Provisions</t>
        </is>
      </c>
      <c r="B42" s="3" t="n"/>
      <c r="C42" s="3" t="n">
        <v>6500000</v>
      </c>
      <c r="D42" s="3" t="n"/>
      <c r="E42" s="3" t="n"/>
      <c r="F42" s="3" t="n"/>
      <c r="G42" s="3" t="n">
        <v>6900000</v>
      </c>
    </row>
    <row r="43">
      <c r="A43" t="inlineStr">
        <is>
          <t>Payables And Accrued Expenses</t>
        </is>
      </c>
      <c r="B43" s="3" t="n">
        <v>123100000</v>
      </c>
      <c r="C43" s="3" t="n">
        <v>181200000</v>
      </c>
      <c r="D43" s="3" t="n">
        <v>110600000</v>
      </c>
      <c r="E43" s="3" t="n">
        <v>122300000</v>
      </c>
      <c r="F43" s="3" t="n">
        <v>115300000</v>
      </c>
      <c r="G43" s="3" t="n"/>
    </row>
    <row r="44">
      <c r="A44" t="inlineStr">
        <is>
          <t>Current Accrued Expenses</t>
        </is>
      </c>
      <c r="B44" s="3" t="n"/>
      <c r="C44" s="3" t="n">
        <v>35200000</v>
      </c>
      <c r="D44" s="3" t="n"/>
      <c r="E44" s="3" t="n"/>
      <c r="F44" s="3" t="n"/>
      <c r="G44" s="3" t="n">
        <v>26600000</v>
      </c>
    </row>
    <row r="45">
      <c r="A45" t="inlineStr">
        <is>
          <t>Payables</t>
        </is>
      </c>
      <c r="B45" s="3" t="n">
        <v>123100000</v>
      </c>
      <c r="C45" s="3" t="n">
        <v>146000000</v>
      </c>
      <c r="D45" s="3" t="n">
        <v>110600000</v>
      </c>
      <c r="E45" s="3" t="n">
        <v>122300000</v>
      </c>
      <c r="F45" s="3" t="n">
        <v>115300000</v>
      </c>
      <c r="G45" s="3" t="n"/>
    </row>
    <row r="46">
      <c r="A46" t="inlineStr">
        <is>
          <t>Total Tax Payable</t>
        </is>
      </c>
      <c r="B46" s="3" t="n"/>
      <c r="C46" s="3" t="n">
        <v>18500000</v>
      </c>
      <c r="D46" s="3" t="n"/>
      <c r="E46" s="3" t="n"/>
      <c r="F46" s="3" t="n"/>
      <c r="G46" s="3" t="n">
        <v>20500000</v>
      </c>
    </row>
    <row r="47">
      <c r="A47" t="inlineStr">
        <is>
          <t>Accounts Payable</t>
        </is>
      </c>
      <c r="B47" s="3" t="n">
        <v>123100000</v>
      </c>
      <c r="C47" s="3" t="n">
        <v>127500000</v>
      </c>
      <c r="D47" s="3" t="n">
        <v>110600000</v>
      </c>
      <c r="E47" s="3" t="n">
        <v>122300000</v>
      </c>
      <c r="F47" s="3" t="n">
        <v>115300000</v>
      </c>
      <c r="G47" s="3" t="n"/>
    </row>
    <row r="48">
      <c r="A48" t="inlineStr">
        <is>
          <t>Total Assets</t>
        </is>
      </c>
      <c r="B48" s="3" t="n">
        <v>1276600000</v>
      </c>
      <c r="C48" s="3" t="n">
        <v>1268900000</v>
      </c>
      <c r="D48" s="3" t="n">
        <v>1256900000</v>
      </c>
      <c r="E48" s="3" t="n">
        <v>1241500000</v>
      </c>
      <c r="F48" s="3" t="n">
        <v>1180300000</v>
      </c>
      <c r="G48" s="3" t="n"/>
    </row>
    <row r="49">
      <c r="A49" t="inlineStr">
        <is>
          <t>Total Non Current Assets</t>
        </is>
      </c>
      <c r="B49" s="3" t="n">
        <v>665500000</v>
      </c>
      <c r="C49" s="3" t="n">
        <v>669200000</v>
      </c>
      <c r="D49" s="3" t="n">
        <v>658600000</v>
      </c>
      <c r="E49" s="3" t="n">
        <v>666900000</v>
      </c>
      <c r="F49" s="3" t="n">
        <v>629400000</v>
      </c>
      <c r="G49" s="3" t="n"/>
    </row>
    <row r="50">
      <c r="A50" t="inlineStr">
        <is>
          <t>Other Non Current Assets</t>
        </is>
      </c>
      <c r="B50" s="3" t="n">
        <v>162100000</v>
      </c>
      <c r="C50" s="3" t="n">
        <v>161300000</v>
      </c>
      <c r="D50" s="3" t="n">
        <v>147600000</v>
      </c>
      <c r="E50" s="3" t="n">
        <v>155100000</v>
      </c>
      <c r="F50" s="3" t="n">
        <v>139300000</v>
      </c>
      <c r="G50" s="3" t="n"/>
    </row>
    <row r="51">
      <c r="A51" t="inlineStr">
        <is>
          <t>Goodwill And Other Intangible Assets</t>
        </is>
      </c>
      <c r="B51" s="3" t="n">
        <v>262400000</v>
      </c>
      <c r="C51" s="3" t="n">
        <v>261200000</v>
      </c>
      <c r="D51" s="3" t="n">
        <v>264200000</v>
      </c>
      <c r="E51" s="3" t="n">
        <v>265400000</v>
      </c>
      <c r="F51" s="3" t="n">
        <v>250100000</v>
      </c>
      <c r="G51" s="3" t="n"/>
    </row>
    <row r="52">
      <c r="A52" t="inlineStr">
        <is>
          <t>Other Intangible Assets</t>
        </is>
      </c>
      <c r="B52" s="3" t="n">
        <v>52500000</v>
      </c>
      <c r="C52" s="3" t="n">
        <v>52600000</v>
      </c>
      <c r="D52" s="3" t="n">
        <v>55900000</v>
      </c>
      <c r="E52" s="3" t="n">
        <v>58200000</v>
      </c>
      <c r="F52" s="3" t="n">
        <v>57300000</v>
      </c>
      <c r="G52" s="3" t="n"/>
    </row>
    <row r="53">
      <c r="A53" t="inlineStr">
        <is>
          <t>Goodwill</t>
        </is>
      </c>
      <c r="B53" s="3" t="n">
        <v>209900000</v>
      </c>
      <c r="C53" s="3" t="n">
        <v>208600000</v>
      </c>
      <c r="D53" s="3" t="n">
        <v>208300000</v>
      </c>
      <c r="E53" s="3" t="n">
        <v>207200000</v>
      </c>
      <c r="F53" s="3" t="n">
        <v>192800000</v>
      </c>
      <c r="G53" s="3" t="n"/>
    </row>
    <row r="54">
      <c r="A54" t="inlineStr">
        <is>
          <t>Net PPE</t>
        </is>
      </c>
      <c r="B54" s="3" t="n">
        <v>241000000</v>
      </c>
      <c r="C54" s="3" t="n">
        <v>246700000</v>
      </c>
      <c r="D54" s="3" t="n">
        <v>246800000</v>
      </c>
      <c r="E54" s="3" t="n">
        <v>246400000</v>
      </c>
      <c r="F54" s="3" t="n">
        <v>240000000</v>
      </c>
      <c r="G54" s="3" t="n"/>
    </row>
    <row r="55">
      <c r="A55" t="inlineStr">
        <is>
          <t>Accumulated Depreciation</t>
        </is>
      </c>
      <c r="B55" s="3" t="n">
        <v>-297100000</v>
      </c>
      <c r="C55" s="3" t="n">
        <v>-289000000</v>
      </c>
      <c r="D55" s="3" t="n">
        <v>-351200000</v>
      </c>
      <c r="E55" s="3" t="n">
        <v>-342700000</v>
      </c>
      <c r="F55" s="3" t="n">
        <v>-323800000</v>
      </c>
      <c r="G55" s="3" t="n"/>
    </row>
    <row r="56">
      <c r="A56" t="inlineStr">
        <is>
          <t>Gross PPE</t>
        </is>
      </c>
      <c r="B56" s="3" t="n">
        <v>538100000</v>
      </c>
      <c r="C56" s="3" t="n">
        <v>535700000</v>
      </c>
      <c r="D56" s="3" t="n">
        <v>598000000</v>
      </c>
      <c r="E56" s="3" t="n">
        <v>589100000</v>
      </c>
      <c r="F56" s="3" t="n">
        <v>563800000</v>
      </c>
      <c r="G56" s="3" t="n"/>
    </row>
    <row r="57">
      <c r="A57" t="inlineStr">
        <is>
          <t>Construction In Progress</t>
        </is>
      </c>
      <c r="B57" s="3" t="n"/>
      <c r="C57" s="3" t="n">
        <v>4300000</v>
      </c>
      <c r="D57" s="3" t="n"/>
      <c r="E57" s="3" t="n"/>
      <c r="F57" s="3" t="n"/>
      <c r="G57" s="3" t="n">
        <v>4500000</v>
      </c>
    </row>
    <row r="58">
      <c r="A58" t="inlineStr">
        <is>
          <t>Other Properties</t>
        </is>
      </c>
      <c r="B58" s="3" t="n">
        <v>538100000</v>
      </c>
      <c r="C58" s="3" t="n">
        <v>56900000</v>
      </c>
      <c r="D58" s="3" t="n">
        <v>598000000</v>
      </c>
      <c r="E58" s="3" t="n">
        <v>589100000</v>
      </c>
      <c r="F58" s="3" t="n">
        <v>563800000</v>
      </c>
      <c r="G58" s="3" t="n"/>
    </row>
    <row r="59">
      <c r="A59" t="inlineStr">
        <is>
          <t>Machinery Furniture Equipment</t>
        </is>
      </c>
      <c r="B59" s="3" t="n"/>
      <c r="C59" s="3" t="n">
        <v>302600000</v>
      </c>
      <c r="D59" s="3" t="n"/>
      <c r="E59" s="3" t="n"/>
      <c r="F59" s="3" t="n"/>
      <c r="G59" s="3" t="n">
        <v>332600000</v>
      </c>
    </row>
    <row r="60">
      <c r="A60" t="inlineStr">
        <is>
          <t>Buildings And Improvements</t>
        </is>
      </c>
      <c r="B60" s="3" t="n"/>
      <c r="C60" s="3" t="n">
        <v>144000000</v>
      </c>
      <c r="D60" s="3" t="n"/>
      <c r="E60" s="3" t="n"/>
      <c r="F60" s="3" t="n"/>
      <c r="G60" s="3" t="n">
        <v>134100000</v>
      </c>
    </row>
    <row r="61">
      <c r="A61" t="inlineStr">
        <is>
          <t>Land And Improvements</t>
        </is>
      </c>
      <c r="B61" s="3" t="n"/>
      <c r="C61" s="3" t="n">
        <v>27900000</v>
      </c>
      <c r="D61" s="3" t="n"/>
      <c r="E61" s="3" t="n"/>
      <c r="F61" s="3" t="n"/>
      <c r="G61" s="3" t="n">
        <v>24100000</v>
      </c>
    </row>
    <row r="62">
      <c r="A62" t="inlineStr">
        <is>
          <t>Properties</t>
        </is>
      </c>
      <c r="B62" s="3" t="n"/>
      <c r="C62" s="3" t="n">
        <v>0</v>
      </c>
      <c r="D62" s="3" t="n"/>
      <c r="E62" s="3" t="n"/>
      <c r="F62" s="3" t="n"/>
      <c r="G62" s="3" t="n">
        <v>0</v>
      </c>
    </row>
    <row r="63">
      <c r="A63" t="inlineStr">
        <is>
          <t>Current Assets</t>
        </is>
      </c>
      <c r="B63" s="3" t="n">
        <v>611100000</v>
      </c>
      <c r="C63" s="3" t="n">
        <v>599700000</v>
      </c>
      <c r="D63" s="3" t="n">
        <v>598300000</v>
      </c>
      <c r="E63" s="3" t="n">
        <v>574600000</v>
      </c>
      <c r="F63" s="3" t="n">
        <v>550900000</v>
      </c>
      <c r="G63" s="3" t="n"/>
    </row>
    <row r="64">
      <c r="A64" t="inlineStr">
        <is>
          <t>Other Current Assets</t>
        </is>
      </c>
      <c r="B64" s="3" t="n">
        <v>43300000</v>
      </c>
      <c r="C64" s="3" t="n">
        <v>38000000</v>
      </c>
      <c r="D64" s="3" t="n">
        <v>43700000</v>
      </c>
      <c r="E64" s="3" t="n">
        <v>33800000</v>
      </c>
      <c r="F64" s="3" t="n">
        <v>28900000</v>
      </c>
      <c r="G64" s="3" t="n"/>
    </row>
    <row r="65">
      <c r="A65" t="inlineStr">
        <is>
          <t>Restricted Cash</t>
        </is>
      </c>
      <c r="B65" s="3" t="n"/>
      <c r="C65" s="3" t="n">
        <v>200000</v>
      </c>
      <c r="D65" s="3" t="n"/>
      <c r="E65" s="3" t="n"/>
      <c r="F65" s="3" t="n"/>
      <c r="G65" s="3" t="n">
        <v>200000</v>
      </c>
    </row>
    <row r="66">
      <c r="A66" t="inlineStr">
        <is>
          <t>Inventory</t>
        </is>
      </c>
      <c r="B66" s="3" t="n">
        <v>204600000</v>
      </c>
      <c r="C66" s="3" t="n">
        <v>198500000</v>
      </c>
      <c r="D66" s="3" t="n">
        <v>205900000</v>
      </c>
      <c r="E66" s="3" t="n">
        <v>195400000</v>
      </c>
      <c r="F66" s="3" t="n">
        <v>191300000</v>
      </c>
      <c r="G66" s="3" t="n"/>
    </row>
    <row r="67">
      <c r="A67" t="inlineStr">
        <is>
          <t>Inventories Adjustments Allowances</t>
        </is>
      </c>
      <c r="B67" s="3" t="n">
        <v>-59600000</v>
      </c>
      <c r="C67" s="3" t="n">
        <v>-54900000</v>
      </c>
      <c r="D67" s="3" t="n">
        <v>-49900000</v>
      </c>
      <c r="E67" s="3" t="n">
        <v>-49400000</v>
      </c>
      <c r="F67" s="3" t="n">
        <v>-49700000</v>
      </c>
      <c r="G67" s="3" t="n"/>
    </row>
    <row r="68">
      <c r="A68" t="inlineStr">
        <is>
          <t>Finished Goods</t>
        </is>
      </c>
      <c r="B68" s="3" t="n">
        <v>160700000</v>
      </c>
      <c r="C68" s="3" t="n">
        <v>149300000</v>
      </c>
      <c r="D68" s="3" t="n">
        <v>148200000</v>
      </c>
      <c r="E68" s="3" t="n">
        <v>142700000</v>
      </c>
      <c r="F68" s="3" t="n">
        <v>140900000</v>
      </c>
      <c r="G68" s="3" t="n"/>
    </row>
    <row r="69">
      <c r="A69" t="inlineStr">
        <is>
          <t>Raw Materials</t>
        </is>
      </c>
      <c r="B69" s="3" t="n">
        <v>103500000</v>
      </c>
      <c r="C69" s="3" t="n">
        <v>104100000</v>
      </c>
      <c r="D69" s="3" t="n">
        <v>107600000</v>
      </c>
      <c r="E69" s="3" t="n">
        <v>102100000</v>
      </c>
      <c r="F69" s="3" t="n">
        <v>100100000</v>
      </c>
      <c r="G69" s="3" t="n"/>
    </row>
    <row r="70">
      <c r="A70" t="inlineStr">
        <is>
          <t>Receivables</t>
        </is>
      </c>
      <c r="B70" s="3" t="n">
        <v>280600000</v>
      </c>
      <c r="C70" s="3" t="n">
        <v>256800000</v>
      </c>
      <c r="D70" s="3" t="n">
        <v>249300000</v>
      </c>
      <c r="E70" s="3" t="n">
        <v>265300000</v>
      </c>
      <c r="F70" s="3" t="n">
        <v>251200000</v>
      </c>
      <c r="G70" s="3" t="n"/>
    </row>
    <row r="71">
      <c r="A71" t="inlineStr">
        <is>
          <t>Accounts Receivable</t>
        </is>
      </c>
      <c r="B71" s="3" t="n">
        <v>280600000</v>
      </c>
      <c r="C71" s="3" t="n">
        <v>256800000</v>
      </c>
      <c r="D71" s="3" t="n">
        <v>249300000</v>
      </c>
      <c r="E71" s="3" t="n">
        <v>265300000</v>
      </c>
      <c r="F71" s="3" t="n">
        <v>251200000</v>
      </c>
      <c r="G71" s="3" t="n"/>
    </row>
    <row r="72">
      <c r="A72" t="inlineStr">
        <is>
          <t>Allowance For Doubtful Accounts Receivable</t>
        </is>
      </c>
      <c r="B72" s="3" t="n">
        <v>-10500000</v>
      </c>
      <c r="C72" s="3" t="n">
        <v>-10400000</v>
      </c>
      <c r="D72" s="3" t="n">
        <v>-8100000</v>
      </c>
      <c r="E72" s="3" t="n">
        <v>-10100000</v>
      </c>
      <c r="F72" s="3" t="n">
        <v>-7500000</v>
      </c>
      <c r="G72" s="3" t="n"/>
    </row>
    <row r="73">
      <c r="A73" t="inlineStr">
        <is>
          <t>Gross Accounts Receivable</t>
        </is>
      </c>
      <c r="B73" s="3" t="n">
        <v>291100000</v>
      </c>
      <c r="C73" s="3" t="n">
        <v>267200000</v>
      </c>
      <c r="D73" s="3" t="n">
        <v>257400000</v>
      </c>
      <c r="E73" s="3" t="n">
        <v>275400000</v>
      </c>
      <c r="F73" s="3" t="n">
        <v>258700000</v>
      </c>
      <c r="G73" s="3" t="n"/>
    </row>
    <row r="74">
      <c r="A74" t="inlineStr">
        <is>
          <t>Cash Cash Equivalents And Short Term Investments</t>
        </is>
      </c>
      <c r="B74" s="3" t="n">
        <v>82600000</v>
      </c>
      <c r="C74" s="3" t="n">
        <v>106200000</v>
      </c>
      <c r="D74" s="3" t="n">
        <v>99400000</v>
      </c>
      <c r="E74" s="3" t="n">
        <v>80100000</v>
      </c>
      <c r="F74" s="3" t="n">
        <v>79500000</v>
      </c>
      <c r="G74" s="3" t="n"/>
    </row>
    <row r="75">
      <c r="A75" t="inlineStr">
        <is>
          <t>Cash And Cash Equivalents</t>
        </is>
      </c>
      <c r="B75" s="3" t="n">
        <v>82600000</v>
      </c>
      <c r="C75" s="3" t="n">
        <v>106200000</v>
      </c>
      <c r="D75" s="3" t="n">
        <v>99400000</v>
      </c>
      <c r="E75" s="3" t="n">
        <v>80100000</v>
      </c>
      <c r="F75" s="3" t="n">
        <v>79500000</v>
      </c>
      <c r="G75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Free Cash Flow</t>
        </is>
      </c>
      <c r="B2" s="3" t="n">
        <v>42900000</v>
      </c>
      <c r="C2" s="3" t="n">
        <v>68300000</v>
      </c>
      <c r="D2" s="3" t="n">
        <v>164400000</v>
      </c>
      <c r="E2" s="3" t="n">
        <v>-54400000</v>
      </c>
      <c r="F2" s="3" t="n"/>
    </row>
    <row r="3">
      <c r="A3" t="inlineStr">
        <is>
          <t>Repurchase Of Capital Stock</t>
        </is>
      </c>
      <c r="B3" s="3" t="n">
        <v>-88500000</v>
      </c>
      <c r="C3" s="3" t="n">
        <v>-19600000</v>
      </c>
      <c r="D3" s="3" t="n">
        <v>-21700000</v>
      </c>
      <c r="E3" s="3" t="n">
        <v>-5000000</v>
      </c>
      <c r="F3" s="3" t="n"/>
    </row>
    <row r="4">
      <c r="A4" t="inlineStr">
        <is>
          <t>Repayment Of Debt</t>
        </is>
      </c>
      <c r="B4" s="3" t="n">
        <v>-10800000</v>
      </c>
      <c r="C4" s="3" t="n">
        <v>-42500000</v>
      </c>
      <c r="D4" s="3" t="n">
        <v>-120000000</v>
      </c>
      <c r="E4" s="3" t="n">
        <v>-19100000</v>
      </c>
      <c r="F4" s="3" t="n"/>
    </row>
    <row r="5">
      <c r="A5" t="inlineStr">
        <is>
          <t>Issuance Of Debt</t>
        </is>
      </c>
      <c r="B5" s="3" t="n">
        <v>85000000</v>
      </c>
      <c r="C5" s="3" t="n">
        <v>40900000</v>
      </c>
      <c r="D5" s="3" t="n">
        <v>20000000</v>
      </c>
      <c r="E5" s="3" t="n">
        <v>52000000</v>
      </c>
      <c r="F5" s="3" t="n"/>
    </row>
    <row r="6">
      <c r="A6" t="inlineStr">
        <is>
          <t>Issuance Of Capital Stock</t>
        </is>
      </c>
      <c r="B6" s="3" t="n"/>
      <c r="C6" s="3" t="n"/>
      <c r="D6" s="3" t="n"/>
      <c r="E6" s="3" t="n"/>
      <c r="F6" s="3" t="n">
        <v>5000000</v>
      </c>
    </row>
    <row r="7">
      <c r="A7" t="inlineStr">
        <is>
          <t>Capital Expenditure</t>
        </is>
      </c>
      <c r="B7" s="3" t="n">
        <v>-22100000</v>
      </c>
      <c r="C7" s="3" t="n">
        <v>-21400000</v>
      </c>
      <c r="D7" s="3" t="n">
        <v>-24000000</v>
      </c>
      <c r="E7" s="3" t="n">
        <v>-29300000</v>
      </c>
      <c r="F7" s="3" t="n"/>
    </row>
    <row r="8">
      <c r="A8" t="inlineStr">
        <is>
          <t>Interest Paid Supplemental Data</t>
        </is>
      </c>
      <c r="B8" s="3" t="n">
        <v>12300000</v>
      </c>
      <c r="C8" s="3" t="n">
        <v>13600000</v>
      </c>
      <c r="D8" s="3" t="n">
        <v>17100000</v>
      </c>
      <c r="E8" s="3" t="n">
        <v>7600000</v>
      </c>
      <c r="F8" s="3" t="n"/>
    </row>
    <row r="9">
      <c r="A9" t="inlineStr">
        <is>
          <t>Income Tax Paid Supplemental Data</t>
        </is>
      </c>
      <c r="B9" s="3" t="n">
        <v>13400000</v>
      </c>
      <c r="C9" s="3" t="n">
        <v>30200000</v>
      </c>
      <c r="D9" s="3" t="n">
        <v>39500000</v>
      </c>
      <c r="E9" s="3" t="n">
        <v>34100000</v>
      </c>
      <c r="F9" s="3" t="n"/>
    </row>
    <row r="10">
      <c r="A10" t="inlineStr">
        <is>
          <t>End Cash Position</t>
        </is>
      </c>
      <c r="B10" s="3" t="n">
        <v>106400000</v>
      </c>
      <c r="C10" s="3" t="n">
        <v>99800000</v>
      </c>
      <c r="D10" s="3" t="n">
        <v>117100000</v>
      </c>
      <c r="E10" s="3" t="n">
        <v>77400000</v>
      </c>
      <c r="F10" s="3" t="n"/>
    </row>
    <row r="11">
      <c r="A11" t="inlineStr">
        <is>
          <t>Beginning Cash Position</t>
        </is>
      </c>
      <c r="B11" s="3" t="n">
        <v>99800000</v>
      </c>
      <c r="C11" s="3" t="n">
        <v>117100000</v>
      </c>
      <c r="D11" s="3" t="n">
        <v>77400000</v>
      </c>
      <c r="E11" s="3" t="n">
        <v>123600000</v>
      </c>
      <c r="F11" s="3" t="n"/>
    </row>
    <row r="12">
      <c r="A12" t="inlineStr">
        <is>
          <t>Effect Of Exchange Rate Changes</t>
        </is>
      </c>
      <c r="B12" s="3" t="n">
        <v>3000000</v>
      </c>
      <c r="C12" s="3" t="n">
        <v>-3400000</v>
      </c>
      <c r="D12" s="3" t="n">
        <v>-2900000</v>
      </c>
      <c r="E12" s="3" t="n">
        <v>-4700000</v>
      </c>
      <c r="F12" s="3" t="n"/>
    </row>
    <row r="13">
      <c r="A13" t="inlineStr">
        <is>
          <t>Changes In Cash</t>
        </is>
      </c>
      <c r="B13" s="3" t="n">
        <v>3600000</v>
      </c>
      <c r="C13" s="3" t="n">
        <v>-13900000</v>
      </c>
      <c r="D13" s="3" t="n">
        <v>42600000</v>
      </c>
      <c r="E13" s="3" t="n">
        <v>-41500000</v>
      </c>
      <c r="F13" s="3" t="n"/>
    </row>
    <row r="14">
      <c r="A14" t="inlineStr">
        <is>
          <t>Financing Cash Flow</t>
        </is>
      </c>
      <c r="B14" s="3" t="n">
        <v>-38700000</v>
      </c>
      <c r="C14" s="3" t="n">
        <v>-25200000</v>
      </c>
      <c r="D14" s="3" t="n">
        <v>-122600000</v>
      </c>
      <c r="E14" s="3" t="n">
        <v>8100000</v>
      </c>
      <c r="F14" s="3" t="n"/>
    </row>
    <row r="15">
      <c r="A15" t="inlineStr">
        <is>
          <t>Cash Flow From Continuing Financing Activities</t>
        </is>
      </c>
      <c r="B15" s="3" t="n">
        <v>-38700000</v>
      </c>
      <c r="C15" s="3" t="n">
        <v>-25200000</v>
      </c>
      <c r="D15" s="3" t="n">
        <v>-122600000</v>
      </c>
      <c r="E15" s="3" t="n">
        <v>8100000</v>
      </c>
      <c r="F15" s="3" t="n"/>
    </row>
    <row r="16">
      <c r="A16" t="inlineStr">
        <is>
          <t>Net Other Financing Charges</t>
        </is>
      </c>
      <c r="B16" s="3" t="n"/>
      <c r="C16" s="3" t="n">
        <v>-2200000</v>
      </c>
      <c r="D16" s="3" t="n"/>
      <c r="E16" s="3" t="n">
        <v>52000000</v>
      </c>
      <c r="F16" s="3" t="n">
        <v>-10900000</v>
      </c>
    </row>
    <row r="17">
      <c r="A17" t="inlineStr">
        <is>
          <t>Proceeds From Stock Option Exercised</t>
        </is>
      </c>
      <c r="B17" s="3" t="n">
        <v>-2500000</v>
      </c>
      <c r="C17" s="3" t="n">
        <v>19600000</v>
      </c>
      <c r="D17" s="3" t="n">
        <v>19000000</v>
      </c>
      <c r="E17" s="3" t="n">
        <v>-900000</v>
      </c>
      <c r="F17" s="3" t="n"/>
    </row>
    <row r="18">
      <c r="A18" t="inlineStr">
        <is>
          <t>Cash Dividends Paid</t>
        </is>
      </c>
      <c r="B18" s="3" t="n">
        <v>-21900000</v>
      </c>
      <c r="C18" s="3" t="n">
        <v>-21400000</v>
      </c>
      <c r="D18" s="3" t="n">
        <v>-20100000</v>
      </c>
      <c r="E18" s="3" t="n">
        <v>-18900000</v>
      </c>
      <c r="F18" s="3" t="n"/>
    </row>
    <row r="19">
      <c r="A19" t="inlineStr">
        <is>
          <t>Common Stock Dividend Paid</t>
        </is>
      </c>
      <c r="B19" s="3" t="n">
        <v>-21900000</v>
      </c>
      <c r="C19" s="3" t="n">
        <v>-21400000</v>
      </c>
      <c r="D19" s="3" t="n">
        <v>-20100000</v>
      </c>
      <c r="E19" s="3" t="n">
        <v>-18900000</v>
      </c>
      <c r="F19" s="3" t="n"/>
    </row>
    <row r="20">
      <c r="A20" t="inlineStr">
        <is>
          <t>Net Common Stock Issuance</t>
        </is>
      </c>
      <c r="B20" s="3" t="n">
        <v>-88500000</v>
      </c>
      <c r="C20" s="3" t="n">
        <v>-19600000</v>
      </c>
      <c r="D20" s="3" t="n">
        <v>-21700000</v>
      </c>
      <c r="E20" s="3" t="n">
        <v>-5000000</v>
      </c>
      <c r="F20" s="3" t="n"/>
    </row>
    <row r="21">
      <c r="A21" t="inlineStr">
        <is>
          <t>Common Stock Payments</t>
        </is>
      </c>
      <c r="B21" s="3" t="n">
        <v>-88500000</v>
      </c>
      <c r="C21" s="3" t="n">
        <v>-19600000</v>
      </c>
      <c r="D21" s="3" t="n">
        <v>-21700000</v>
      </c>
      <c r="E21" s="3" t="n">
        <v>-5000000</v>
      </c>
      <c r="F21" s="3" t="n"/>
    </row>
    <row r="22">
      <c r="A22" t="inlineStr">
        <is>
          <t>Common Stock Issuance</t>
        </is>
      </c>
      <c r="B22" s="3" t="n"/>
      <c r="C22" s="3" t="n"/>
      <c r="D22" s="3" t="n"/>
      <c r="E22" s="3" t="n"/>
      <c r="F22" s="3" t="n">
        <v>5000000</v>
      </c>
    </row>
    <row r="23">
      <c r="A23" t="inlineStr">
        <is>
          <t>Net Issuance Payments Of Debt</t>
        </is>
      </c>
      <c r="B23" s="3" t="n">
        <v>74200000</v>
      </c>
      <c r="C23" s="3" t="n">
        <v>-1600000</v>
      </c>
      <c r="D23" s="3" t="n">
        <v>-99800000</v>
      </c>
      <c r="E23" s="3" t="n">
        <v>32900000</v>
      </c>
      <c r="F23" s="3" t="n"/>
    </row>
    <row r="24">
      <c r="A24" t="inlineStr">
        <is>
          <t>Net Long Term Debt Issuance</t>
        </is>
      </c>
      <c r="B24" s="3" t="n">
        <v>74200000</v>
      </c>
      <c r="C24" s="3" t="n">
        <v>-1600000</v>
      </c>
      <c r="D24" s="3" t="n">
        <v>-99800000</v>
      </c>
      <c r="E24" s="3" t="n">
        <v>32900000</v>
      </c>
      <c r="F24" s="3" t="n"/>
    </row>
    <row r="25">
      <c r="A25" t="inlineStr">
        <is>
          <t>Long Term Debt Payments</t>
        </is>
      </c>
      <c r="B25" s="3" t="n">
        <v>-10800000</v>
      </c>
      <c r="C25" s="3" t="n">
        <v>-42500000</v>
      </c>
      <c r="D25" s="3" t="n">
        <v>-120000000</v>
      </c>
      <c r="E25" s="3" t="n">
        <v>-19100000</v>
      </c>
      <c r="F25" s="3" t="n"/>
    </row>
    <row r="26">
      <c r="A26" t="inlineStr">
        <is>
          <t>Long Term Debt Issuance</t>
        </is>
      </c>
      <c r="B26" s="3" t="n">
        <v>85000000</v>
      </c>
      <c r="C26" s="3" t="n">
        <v>40900000</v>
      </c>
      <c r="D26" s="3" t="n">
        <v>20000000</v>
      </c>
      <c r="E26" s="3" t="n">
        <v>52000000</v>
      </c>
      <c r="F26" s="3" t="n"/>
    </row>
    <row r="27">
      <c r="A27" t="inlineStr">
        <is>
          <t>Investing Cash Flow</t>
        </is>
      </c>
      <c r="B27" s="3" t="n">
        <v>-22700000</v>
      </c>
      <c r="C27" s="3" t="n">
        <v>-78400000</v>
      </c>
      <c r="D27" s="3" t="n">
        <v>-23200000</v>
      </c>
      <c r="E27" s="3" t="n">
        <v>-24500000</v>
      </c>
      <c r="F27" s="3" t="n"/>
    </row>
    <row r="28">
      <c r="A28" t="inlineStr">
        <is>
          <t>Cash Flow From Continuing Investing Activities</t>
        </is>
      </c>
      <c r="B28" s="3" t="n">
        <v>-22700000</v>
      </c>
      <c r="C28" s="3" t="n">
        <v>-78400000</v>
      </c>
      <c r="D28" s="3" t="n">
        <v>-23200000</v>
      </c>
      <c r="E28" s="3" t="n">
        <v>-24500000</v>
      </c>
      <c r="F28" s="3" t="n"/>
    </row>
    <row r="29">
      <c r="A29" t="inlineStr">
        <is>
          <t>Net Other Investing Changes</t>
        </is>
      </c>
      <c r="B29" s="3" t="n"/>
      <c r="C29" s="3" t="n"/>
      <c r="D29" s="3" t="n"/>
      <c r="E29" s="3" t="n">
        <v>100000</v>
      </c>
      <c r="F29" s="3" t="n">
        <v>100000</v>
      </c>
    </row>
    <row r="30">
      <c r="A30" t="inlineStr">
        <is>
          <t>Net Investment Purchase And Sale</t>
        </is>
      </c>
      <c r="B30" s="3" t="n">
        <v>0</v>
      </c>
      <c r="C30" s="3" t="n">
        <v>-32100000</v>
      </c>
      <c r="D30" s="3" t="n">
        <v>0</v>
      </c>
      <c r="E30" s="3" t="n">
        <v>0</v>
      </c>
      <c r="F30" s="3" t="n"/>
    </row>
    <row r="31">
      <c r="A31" t="inlineStr">
        <is>
          <t>Purchase Of Investment</t>
        </is>
      </c>
      <c r="B31" s="3" t="n">
        <v>0</v>
      </c>
      <c r="C31" s="3" t="n">
        <v>-32100000</v>
      </c>
      <c r="D31" s="3" t="n">
        <v>0</v>
      </c>
      <c r="E31" s="3" t="n">
        <v>0</v>
      </c>
      <c r="F31" s="3" t="n"/>
    </row>
    <row r="32">
      <c r="A32" t="inlineStr">
        <is>
          <t>Net Business Purchase And Sale</t>
        </is>
      </c>
      <c r="B32" s="3" t="n">
        <v>-3200000</v>
      </c>
      <c r="C32" s="3" t="n">
        <v>-25700000</v>
      </c>
      <c r="D32" s="3" t="n">
        <v>0</v>
      </c>
      <c r="E32" s="3" t="n">
        <v>0</v>
      </c>
      <c r="F32" s="3" t="n"/>
    </row>
    <row r="33">
      <c r="A33" t="inlineStr">
        <is>
          <t>Sale Of Business</t>
        </is>
      </c>
      <c r="B33" s="3" t="n"/>
      <c r="C33" s="3" t="n"/>
      <c r="D33" s="3" t="n"/>
      <c r="E33" s="3" t="n"/>
      <c r="F33" s="3" t="n">
        <v>24700000</v>
      </c>
    </row>
    <row r="34">
      <c r="A34" t="inlineStr">
        <is>
          <t>Purchase Of Business</t>
        </is>
      </c>
      <c r="B34" s="3" t="n">
        <v>-3200000</v>
      </c>
      <c r="C34" s="3" t="n">
        <v>-25700000</v>
      </c>
      <c r="D34" s="3" t="n">
        <v>0</v>
      </c>
      <c r="E34" s="3" t="n">
        <v>0</v>
      </c>
      <c r="F34" s="3" t="n"/>
    </row>
    <row r="35">
      <c r="A35" t="inlineStr">
        <is>
          <t>Net Intangibles Purchase And Sale</t>
        </is>
      </c>
      <c r="B35" s="3" t="n"/>
      <c r="C35" s="3" t="n"/>
      <c r="D35" s="3" t="n"/>
      <c r="E35" s="3" t="n">
        <v>0</v>
      </c>
      <c r="F35" s="3" t="n">
        <v>-100000</v>
      </c>
    </row>
    <row r="36">
      <c r="A36" t="inlineStr">
        <is>
          <t>Purchase Of Intangibles</t>
        </is>
      </c>
      <c r="B36" s="3" t="n"/>
      <c r="C36" s="3" t="n"/>
      <c r="D36" s="3" t="n"/>
      <c r="E36" s="3" t="n">
        <v>0</v>
      </c>
      <c r="F36" s="3" t="n">
        <v>-100000</v>
      </c>
    </row>
    <row r="37">
      <c r="A37" t="inlineStr">
        <is>
          <t>Net PPE Purchase And Sale</t>
        </is>
      </c>
      <c r="B37" s="3" t="n">
        <v>-19500000</v>
      </c>
      <c r="C37" s="3" t="n">
        <v>-20600000</v>
      </c>
      <c r="D37" s="3" t="n">
        <v>-23200000</v>
      </c>
      <c r="E37" s="3" t="n">
        <v>-24600000</v>
      </c>
      <c r="F37" s="3" t="n"/>
    </row>
    <row r="38">
      <c r="A38" t="inlineStr">
        <is>
          <t>Sale Of PPE</t>
        </is>
      </c>
      <c r="B38" s="3" t="n">
        <v>2600000</v>
      </c>
      <c r="C38" s="3" t="n">
        <v>800000</v>
      </c>
      <c r="D38" s="3" t="n">
        <v>800000</v>
      </c>
      <c r="E38" s="3" t="n">
        <v>4700000</v>
      </c>
      <c r="F38" s="3" t="n"/>
    </row>
    <row r="39">
      <c r="A39" t="inlineStr">
        <is>
          <t>Purchase Of PPE</t>
        </is>
      </c>
      <c r="B39" s="3" t="n">
        <v>-22100000</v>
      </c>
      <c r="C39" s="3" t="n">
        <v>-21400000</v>
      </c>
      <c r="D39" s="3" t="n">
        <v>-24000000</v>
      </c>
      <c r="E39" s="3" t="n">
        <v>-29300000</v>
      </c>
      <c r="F39" s="3" t="n"/>
    </row>
    <row r="40">
      <c r="A40" t="inlineStr">
        <is>
          <t>Operating Cash Flow</t>
        </is>
      </c>
      <c r="B40" s="3" t="n">
        <v>65000000</v>
      </c>
      <c r="C40" s="3" t="n">
        <v>89700000</v>
      </c>
      <c r="D40" s="3" t="n">
        <v>188400000</v>
      </c>
      <c r="E40" s="3" t="n">
        <v>-25100000</v>
      </c>
      <c r="F40" s="3" t="n"/>
    </row>
    <row r="41">
      <c r="A41" t="inlineStr">
        <is>
          <t>Cash Flow From Continuing Operating Activities</t>
        </is>
      </c>
      <c r="B41" s="3" t="n">
        <v>65000000</v>
      </c>
      <c r="C41" s="3" t="n">
        <v>89700000</v>
      </c>
      <c r="D41" s="3" t="n">
        <v>188400000</v>
      </c>
      <c r="E41" s="3" t="n">
        <v>-25100000</v>
      </c>
      <c r="F41" s="3" t="n"/>
    </row>
    <row r="42">
      <c r="A42" t="inlineStr">
        <is>
          <t>Change In Working Capital</t>
        </is>
      </c>
      <c r="B42" s="3" t="n">
        <v>-60500000</v>
      </c>
      <c r="C42" s="3" t="n">
        <v>-55200000</v>
      </c>
      <c r="D42" s="3" t="n">
        <v>38400000</v>
      </c>
      <c r="E42" s="3" t="n">
        <v>-131900000</v>
      </c>
      <c r="F42" s="3" t="n"/>
    </row>
    <row r="43">
      <c r="A43" t="inlineStr">
        <is>
          <t>Change In Other Working Capital</t>
        </is>
      </c>
      <c r="B43" s="3" t="n">
        <v>-41000000</v>
      </c>
      <c r="C43" s="3" t="n">
        <v>-22600000</v>
      </c>
      <c r="D43" s="3" t="n">
        <v>35300000</v>
      </c>
      <c r="E43" s="3" t="n">
        <v>-25000000</v>
      </c>
      <c r="F43" s="3" t="n"/>
    </row>
    <row r="44">
      <c r="A44" t="inlineStr">
        <is>
          <t>Change In Payables And Accrued Expense</t>
        </is>
      </c>
      <c r="B44" s="3" t="n">
        <v>-1900000</v>
      </c>
      <c r="C44" s="3" t="n">
        <v>15400000</v>
      </c>
      <c r="D44" s="3" t="n">
        <v>-15300000</v>
      </c>
      <c r="E44" s="3" t="n">
        <v>7700000</v>
      </c>
      <c r="F44" s="3" t="n"/>
    </row>
    <row r="45">
      <c r="A45" t="inlineStr">
        <is>
          <t>Change In Payable</t>
        </is>
      </c>
      <c r="B45" s="3" t="n">
        <v>-1900000</v>
      </c>
      <c r="C45" s="3" t="n">
        <v>15400000</v>
      </c>
      <c r="D45" s="3" t="n">
        <v>-15300000</v>
      </c>
      <c r="E45" s="3" t="n">
        <v>7700000</v>
      </c>
      <c r="F45" s="3" t="n"/>
    </row>
    <row r="46">
      <c r="A46" t="inlineStr">
        <is>
          <t>Change In Account Payable</t>
        </is>
      </c>
      <c r="B46" s="3" t="n">
        <v>-1900000</v>
      </c>
      <c r="C46" s="3" t="n">
        <v>15400000</v>
      </c>
      <c r="D46" s="3" t="n">
        <v>-15300000</v>
      </c>
      <c r="E46" s="3" t="n">
        <v>7700000</v>
      </c>
      <c r="F46" s="3" t="n"/>
    </row>
    <row r="47">
      <c r="A47" t="inlineStr">
        <is>
          <t>Change In Inventory</t>
        </is>
      </c>
      <c r="B47" s="3" t="n">
        <v>-21700000</v>
      </c>
      <c r="C47" s="3" t="n">
        <v>-33000000</v>
      </c>
      <c r="D47" s="3" t="n">
        <v>14300000</v>
      </c>
      <c r="E47" s="3" t="n">
        <v>-68300000</v>
      </c>
      <c r="F47" s="3" t="n"/>
    </row>
    <row r="48">
      <c r="A48" t="inlineStr">
        <is>
          <t>Change In Receivables</t>
        </is>
      </c>
      <c r="B48" s="3" t="n">
        <v>4100000</v>
      </c>
      <c r="C48" s="3" t="n">
        <v>-15000000</v>
      </c>
      <c r="D48" s="3" t="n">
        <v>4100000</v>
      </c>
      <c r="E48" s="3" t="n">
        <v>-46300000</v>
      </c>
      <c r="F48" s="3" t="n"/>
    </row>
    <row r="49">
      <c r="A49" t="inlineStr">
        <is>
          <t>Other Non Cash Items</t>
        </is>
      </c>
      <c r="B49" s="3" t="n">
        <v>1300000</v>
      </c>
      <c r="C49" s="3" t="n">
        <v>600000</v>
      </c>
      <c r="D49" s="3" t="n">
        <v>1300000</v>
      </c>
      <c r="E49" s="3" t="n">
        <v>1000000</v>
      </c>
      <c r="F49" s="3" t="n"/>
    </row>
    <row r="50">
      <c r="A50" t="inlineStr">
        <is>
          <t>Stock Based Compensation</t>
        </is>
      </c>
      <c r="B50" s="3" t="n">
        <v>10400000</v>
      </c>
      <c r="C50" s="3" t="n">
        <v>11900000</v>
      </c>
      <c r="D50" s="3" t="n">
        <v>11600000</v>
      </c>
      <c r="E50" s="3" t="n">
        <v>7800000</v>
      </c>
      <c r="F50" s="3" t="n"/>
    </row>
    <row r="51">
      <c r="A51" t="inlineStr">
        <is>
          <t>Provisionand Write Offof Assets</t>
        </is>
      </c>
      <c r="B51" s="3" t="n"/>
      <c r="C51" s="3" t="n"/>
      <c r="D51" s="3" t="n"/>
      <c r="E51" s="3" t="n"/>
      <c r="F51" s="3" t="n">
        <v>1500000</v>
      </c>
    </row>
    <row r="52">
      <c r="A52" t="inlineStr">
        <is>
          <t>Asset Impairment Charge</t>
        </is>
      </c>
      <c r="B52" s="3" t="n">
        <v>7100000</v>
      </c>
      <c r="C52" s="3" t="n">
        <v>3400000</v>
      </c>
      <c r="D52" s="3" t="n">
        <v>3400000</v>
      </c>
      <c r="E52" s="3" t="n">
        <v>2300000</v>
      </c>
      <c r="F52" s="3" t="n"/>
    </row>
    <row r="53">
      <c r="A53" t="inlineStr">
        <is>
          <t>Deferred Tax</t>
        </is>
      </c>
      <c r="B53" s="3" t="n">
        <v>4200000</v>
      </c>
      <c r="C53" s="3" t="n">
        <v>-9800000</v>
      </c>
      <c r="D53" s="3" t="n">
        <v>-26900000</v>
      </c>
      <c r="E53" s="3" t="n">
        <v>-15600000</v>
      </c>
      <c r="F53" s="3" t="n"/>
    </row>
    <row r="54">
      <c r="A54" t="inlineStr">
        <is>
          <t>Deferred Income Tax</t>
        </is>
      </c>
      <c r="B54" s="3" t="n">
        <v>4200000</v>
      </c>
      <c r="C54" s="3" t="n">
        <v>-9800000</v>
      </c>
      <c r="D54" s="3" t="n">
        <v>-26900000</v>
      </c>
      <c r="E54" s="3" t="n">
        <v>-15600000</v>
      </c>
      <c r="F54" s="3" t="n"/>
    </row>
    <row r="55">
      <c r="A55" t="inlineStr">
        <is>
          <t>Depreciation Amortization Depletion</t>
        </is>
      </c>
      <c r="B55" s="3" t="n">
        <v>58700000</v>
      </c>
      <c r="C55" s="3" t="n">
        <v>55100000</v>
      </c>
      <c r="D55" s="3" t="n">
        <v>51100000</v>
      </c>
      <c r="E55" s="3" t="n">
        <v>48700000</v>
      </c>
      <c r="F55" s="3" t="n"/>
    </row>
    <row r="56">
      <c r="A56" t="inlineStr">
        <is>
          <t>Depreciation And Amortization</t>
        </is>
      </c>
      <c r="B56" s="3" t="n">
        <v>58700000</v>
      </c>
      <c r="C56" s="3" t="n">
        <v>55100000</v>
      </c>
      <c r="D56" s="3" t="n">
        <v>51100000</v>
      </c>
      <c r="E56" s="3" t="n">
        <v>48700000</v>
      </c>
      <c r="F56" s="3" t="n"/>
    </row>
    <row r="57">
      <c r="A57" t="inlineStr">
        <is>
          <t>Amortization Cash Flow</t>
        </is>
      </c>
      <c r="B57" s="3" t="n">
        <v>13700000</v>
      </c>
      <c r="C57" s="3" t="n">
        <v>15000000</v>
      </c>
      <c r="D57" s="3" t="n">
        <v>14700000</v>
      </c>
      <c r="E57" s="3" t="n">
        <v>15900000</v>
      </c>
      <c r="F57" s="3" t="n"/>
    </row>
    <row r="58">
      <c r="A58" t="inlineStr">
        <is>
          <t>Amortization Of Intangibles</t>
        </is>
      </c>
      <c r="B58" s="3" t="n">
        <v>13700000</v>
      </c>
      <c r="C58" s="3" t="n">
        <v>15000000</v>
      </c>
      <c r="D58" s="3" t="n">
        <v>14700000</v>
      </c>
      <c r="E58" s="3" t="n">
        <v>15900000</v>
      </c>
      <c r="F58" s="3" t="n"/>
    </row>
    <row r="59">
      <c r="A59" t="inlineStr">
        <is>
          <t>Depreciation</t>
        </is>
      </c>
      <c r="B59" s="3" t="n">
        <v>45000000</v>
      </c>
      <c r="C59" s="3" t="n">
        <v>40100000</v>
      </c>
      <c r="D59" s="3" t="n">
        <v>36400000</v>
      </c>
      <c r="E59" s="3" t="n">
        <v>32800000</v>
      </c>
      <c r="F59" s="3" t="n"/>
    </row>
    <row r="60">
      <c r="A60" t="inlineStr">
        <is>
          <t>Operating Gains Losses</t>
        </is>
      </c>
      <c r="B60" s="3" t="n"/>
      <c r="C60" s="3" t="n"/>
      <c r="D60" s="3" t="n"/>
      <c r="E60" s="3" t="n">
        <v>-3700000</v>
      </c>
      <c r="F60" s="3" t="n">
        <v>1500000</v>
      </c>
    </row>
    <row r="61">
      <c r="A61" t="inlineStr">
        <is>
          <t>Gain Loss On Sale Of Business</t>
        </is>
      </c>
      <c r="B61" s="3" t="n"/>
      <c r="C61" s="3" t="n"/>
      <c r="D61" s="3" t="n"/>
      <c r="E61" s="3" t="n"/>
      <c r="F61" s="3" t="n">
        <v>-9800000</v>
      </c>
    </row>
    <row r="62">
      <c r="A62" t="inlineStr">
        <is>
          <t>Net Income From Continuing Operations</t>
        </is>
      </c>
      <c r="B62" s="3" t="n">
        <v>43800000</v>
      </c>
      <c r="C62" s="3" t="n">
        <v>83700000</v>
      </c>
      <c r="D62" s="3" t="n">
        <v>109500000</v>
      </c>
      <c r="E62" s="3" t="n">
        <v>66300000</v>
      </c>
      <c r="F62" s="3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</row>
    <row r="2">
      <c r="A2" t="inlineStr">
        <is>
          <t>Free Cash Flow</t>
        </is>
      </c>
      <c r="B2" s="3" t="n">
        <v>-34500000</v>
      </c>
      <c r="C2" s="3" t="n">
        <v>9600000</v>
      </c>
      <c r="D2" s="3" t="n">
        <v>22200000</v>
      </c>
      <c r="E2" s="3" t="n">
        <v>18600000</v>
      </c>
      <c r="F2" s="3" t="n">
        <v>-7500000</v>
      </c>
      <c r="G2" s="3" t="n"/>
    </row>
    <row r="3">
      <c r="A3" t="inlineStr">
        <is>
          <t>Repurchase Of Capital Stock</t>
        </is>
      </c>
      <c r="B3" s="3" t="n">
        <v>-60000000</v>
      </c>
      <c r="C3" s="3" t="n">
        <v>-32200000</v>
      </c>
      <c r="D3" s="3" t="n">
        <v>-22700000</v>
      </c>
      <c r="E3" s="3" t="n">
        <v>-13400000</v>
      </c>
      <c r="F3" s="3" t="n">
        <v>-20200000</v>
      </c>
      <c r="G3" s="3" t="n"/>
    </row>
    <row r="4">
      <c r="A4" t="inlineStr">
        <is>
          <t>Repayment Of Debt</t>
        </is>
      </c>
      <c r="B4" s="3" t="n">
        <v>-20000000</v>
      </c>
      <c r="C4" s="3" t="n">
        <v>-10000000</v>
      </c>
      <c r="D4" s="3" t="n">
        <v>0</v>
      </c>
      <c r="E4" s="3" t="n">
        <v>0</v>
      </c>
      <c r="F4" s="3" t="n">
        <v>-800000</v>
      </c>
      <c r="G4" s="3" t="n"/>
    </row>
    <row r="5">
      <c r="A5" t="inlineStr">
        <is>
          <t>Issuance Of Debt</t>
        </is>
      </c>
      <c r="B5" s="3" t="n">
        <v>105000000</v>
      </c>
      <c r="C5" s="3" t="n">
        <v>45000000</v>
      </c>
      <c r="D5" s="3" t="n">
        <v>25000000</v>
      </c>
      <c r="E5" s="3" t="n">
        <v>0</v>
      </c>
      <c r="F5" s="3" t="n">
        <v>15000000</v>
      </c>
      <c r="G5" s="3" t="n"/>
    </row>
    <row r="6">
      <c r="A6" t="inlineStr">
        <is>
          <t>Capital Expenditure</t>
        </is>
      </c>
      <c r="B6" s="3" t="n">
        <v>-3300000</v>
      </c>
      <c r="C6" s="3" t="n">
        <v>-4600000</v>
      </c>
      <c r="D6" s="3" t="n">
        <v>-6500000</v>
      </c>
      <c r="E6" s="3" t="n">
        <v>-3900000</v>
      </c>
      <c r="F6" s="3" t="n">
        <v>-7100000</v>
      </c>
      <c r="G6" s="3" t="n"/>
    </row>
    <row r="7">
      <c r="A7" t="inlineStr">
        <is>
          <t>Interest Paid Supplemental Data</t>
        </is>
      </c>
      <c r="B7" s="3" t="n">
        <v>4100000</v>
      </c>
      <c r="C7" s="3" t="n">
        <v>3300000</v>
      </c>
      <c r="D7" s="3" t="n">
        <v>3000000</v>
      </c>
      <c r="E7" s="3" t="n">
        <v>3100000</v>
      </c>
      <c r="F7" s="3" t="n">
        <v>2900000</v>
      </c>
      <c r="G7" s="3" t="n"/>
    </row>
    <row r="8">
      <c r="A8" t="inlineStr">
        <is>
          <t>Income Tax Paid Supplemental Data</t>
        </is>
      </c>
      <c r="B8" s="3" t="n"/>
      <c r="C8" s="3" t="n">
        <v>2200000</v>
      </c>
      <c r="D8" s="3" t="n">
        <v>2200000</v>
      </c>
      <c r="E8" s="3" t="n">
        <v>5500000</v>
      </c>
      <c r="F8" s="3" t="n">
        <v>3500000</v>
      </c>
      <c r="G8" s="3" t="n">
        <v>2300000</v>
      </c>
    </row>
    <row r="9">
      <c r="A9" t="inlineStr">
        <is>
          <t>End Cash Position</t>
        </is>
      </c>
      <c r="B9" s="3" t="n">
        <v>82600000</v>
      </c>
      <c r="C9" s="3" t="n">
        <v>106400000</v>
      </c>
      <c r="D9" s="3" t="n">
        <v>99400000</v>
      </c>
      <c r="E9" s="3" t="n">
        <v>80100000</v>
      </c>
      <c r="F9" s="3" t="n">
        <v>79500000</v>
      </c>
      <c r="G9" s="3" t="n"/>
    </row>
    <row r="10">
      <c r="A10" t="inlineStr">
        <is>
          <t>Beginning Cash Position</t>
        </is>
      </c>
      <c r="B10" s="3" t="n">
        <v>106400000</v>
      </c>
      <c r="C10" s="3" t="n">
        <v>99400000</v>
      </c>
      <c r="D10" s="3" t="n">
        <v>80100000</v>
      </c>
      <c r="E10" s="3" t="n">
        <v>79500000</v>
      </c>
      <c r="F10" s="3" t="n">
        <v>99800000</v>
      </c>
      <c r="G10" s="3" t="n"/>
    </row>
    <row r="11">
      <c r="A11" t="inlineStr">
        <is>
          <t>Effect Of Exchange Rate Changes</t>
        </is>
      </c>
      <c r="B11" s="3" t="n">
        <v>500000</v>
      </c>
      <c r="C11" s="3" t="n">
        <v>-100000</v>
      </c>
      <c r="D11" s="3" t="n">
        <v>1500000</v>
      </c>
      <c r="E11" s="3" t="n">
        <v>900000</v>
      </c>
      <c r="F11" s="3" t="n">
        <v>700000</v>
      </c>
      <c r="G11" s="3" t="n"/>
    </row>
    <row r="12">
      <c r="A12" t="inlineStr">
        <is>
          <t>Changes In Cash</t>
        </is>
      </c>
      <c r="B12" s="3" t="n">
        <v>-24300000</v>
      </c>
      <c r="C12" s="3" t="n">
        <v>7100000</v>
      </c>
      <c r="D12" s="3" t="n">
        <v>17800000</v>
      </c>
      <c r="E12" s="3" t="n">
        <v>-300000</v>
      </c>
      <c r="F12" s="3" t="n">
        <v>-21000000</v>
      </c>
      <c r="G12" s="3" t="n"/>
    </row>
    <row r="13">
      <c r="A13" t="inlineStr">
        <is>
          <t>Financing Cash Flow</t>
        </is>
      </c>
      <c r="B13" s="3" t="n">
        <v>17200000</v>
      </c>
      <c r="C13" s="3" t="n">
        <v>-2700000</v>
      </c>
      <c r="D13" s="3" t="n">
        <v>-3200000</v>
      </c>
      <c r="E13" s="3" t="n">
        <v>-19100000</v>
      </c>
      <c r="F13" s="3" t="n">
        <v>-13700000</v>
      </c>
      <c r="G13" s="3" t="n"/>
    </row>
    <row r="14">
      <c r="A14" t="inlineStr">
        <is>
          <t>Cash Flow From Continuing Financing Activities</t>
        </is>
      </c>
      <c r="B14" s="3" t="n">
        <v>17200000</v>
      </c>
      <c r="C14" s="3" t="n">
        <v>-2700000</v>
      </c>
      <c r="D14" s="3" t="n">
        <v>-3200000</v>
      </c>
      <c r="E14" s="3" t="n">
        <v>-19100000</v>
      </c>
      <c r="F14" s="3" t="n">
        <v>-13700000</v>
      </c>
      <c r="G14" s="3" t="n"/>
    </row>
    <row r="15">
      <c r="A15" t="inlineStr">
        <is>
          <t>Net Other Financing Charges</t>
        </is>
      </c>
      <c r="B15" s="3" t="n"/>
      <c r="C15" s="3" t="n"/>
      <c r="D15" s="3" t="n"/>
      <c r="E15" s="3" t="n"/>
      <c r="F15" s="3" t="n"/>
      <c r="G15" s="3" t="n">
        <v>0</v>
      </c>
    </row>
    <row r="16">
      <c r="A16" t="inlineStr">
        <is>
          <t>Proceeds From Stock Option Exercised</t>
        </is>
      </c>
      <c r="B16" s="3" t="n">
        <v>-2300000</v>
      </c>
      <c r="C16" s="3" t="n">
        <v>0</v>
      </c>
      <c r="D16" s="3" t="n">
        <v>-100000</v>
      </c>
      <c r="E16" s="3" t="n">
        <v>-300000</v>
      </c>
      <c r="F16" s="3" t="n">
        <v>-2100000</v>
      </c>
      <c r="G16" s="3" t="n"/>
    </row>
    <row r="17">
      <c r="A17" t="inlineStr">
        <is>
          <t>Cash Dividends Paid</t>
        </is>
      </c>
      <c r="B17" s="3" t="n">
        <v>-5500000</v>
      </c>
      <c r="C17" s="3" t="n">
        <v>-5500000</v>
      </c>
      <c r="D17" s="3" t="n">
        <v>-5400000</v>
      </c>
      <c r="E17" s="3" t="n">
        <v>-5400000</v>
      </c>
      <c r="F17" s="3" t="n">
        <v>-5600000</v>
      </c>
      <c r="G17" s="3" t="n"/>
    </row>
    <row r="18">
      <c r="A18" t="inlineStr">
        <is>
          <t>Common Stock Dividend Paid</t>
        </is>
      </c>
      <c r="B18" s="3" t="n">
        <v>-5500000</v>
      </c>
      <c r="C18" s="3" t="n">
        <v>-5500000</v>
      </c>
      <c r="D18" s="3" t="n">
        <v>-5400000</v>
      </c>
      <c r="E18" s="3" t="n">
        <v>-5400000</v>
      </c>
      <c r="F18" s="3" t="n">
        <v>-5600000</v>
      </c>
      <c r="G18" s="3" t="n"/>
    </row>
    <row r="19">
      <c r="A19" t="inlineStr">
        <is>
          <t>Net Common Stock Issuance</t>
        </is>
      </c>
      <c r="B19" s="3" t="n">
        <v>-60000000</v>
      </c>
      <c r="C19" s="3" t="n">
        <v>-32200000</v>
      </c>
      <c r="D19" s="3" t="n">
        <v>-22700000</v>
      </c>
      <c r="E19" s="3" t="n">
        <v>-13400000</v>
      </c>
      <c r="F19" s="3" t="n">
        <v>-20200000</v>
      </c>
      <c r="G19" s="3" t="n"/>
    </row>
    <row r="20">
      <c r="A20" t="inlineStr">
        <is>
          <t>Common Stock Payments</t>
        </is>
      </c>
      <c r="B20" s="3" t="n">
        <v>-60000000</v>
      </c>
      <c r="C20" s="3" t="n">
        <v>-32200000</v>
      </c>
      <c r="D20" s="3" t="n">
        <v>-22700000</v>
      </c>
      <c r="E20" s="3" t="n">
        <v>-13400000</v>
      </c>
      <c r="F20" s="3" t="n">
        <v>-20200000</v>
      </c>
      <c r="G20" s="3" t="n"/>
    </row>
    <row r="21">
      <c r="A21" t="inlineStr">
        <is>
          <t>Net Issuance Payments Of Debt</t>
        </is>
      </c>
      <c r="B21" s="3" t="n">
        <v>85000000</v>
      </c>
      <c r="C21" s="3" t="n">
        <v>35000000</v>
      </c>
      <c r="D21" s="3" t="n">
        <v>25000000</v>
      </c>
      <c r="E21" s="3" t="n">
        <v>0</v>
      </c>
      <c r="F21" s="3" t="n">
        <v>14200000</v>
      </c>
      <c r="G21" s="3" t="n"/>
    </row>
    <row r="22">
      <c r="A22" t="inlineStr">
        <is>
          <t>Net Long Term Debt Issuance</t>
        </is>
      </c>
      <c r="B22" s="3" t="n">
        <v>85000000</v>
      </c>
      <c r="C22" s="3" t="n">
        <v>35000000</v>
      </c>
      <c r="D22" s="3" t="n">
        <v>25000000</v>
      </c>
      <c r="E22" s="3" t="n">
        <v>0</v>
      </c>
      <c r="F22" s="3" t="n">
        <v>14200000</v>
      </c>
      <c r="G22" s="3" t="n"/>
    </row>
    <row r="23">
      <c r="A23" t="inlineStr">
        <is>
          <t>Long Term Debt Payments</t>
        </is>
      </c>
      <c r="B23" s="3" t="n">
        <v>-20000000</v>
      </c>
      <c r="C23" s="3" t="n">
        <v>-10000000</v>
      </c>
      <c r="D23" s="3" t="n">
        <v>0</v>
      </c>
      <c r="E23" s="3" t="n">
        <v>0</v>
      </c>
      <c r="F23" s="3" t="n">
        <v>-800000</v>
      </c>
      <c r="G23" s="3" t="n"/>
    </row>
    <row r="24">
      <c r="A24" t="inlineStr">
        <is>
          <t>Long Term Debt Issuance</t>
        </is>
      </c>
      <c r="B24" s="3" t="n">
        <v>105000000</v>
      </c>
      <c r="C24" s="3" t="n">
        <v>45000000</v>
      </c>
      <c r="D24" s="3" t="n">
        <v>25000000</v>
      </c>
      <c r="E24" s="3" t="n">
        <v>0</v>
      </c>
      <c r="F24" s="3" t="n">
        <v>15000000</v>
      </c>
      <c r="G24" s="3" t="n"/>
    </row>
    <row r="25">
      <c r="A25" t="inlineStr">
        <is>
          <t>Investing Cash Flow</t>
        </is>
      </c>
      <c r="B25" s="3" t="n">
        <v>-10300000</v>
      </c>
      <c r="C25" s="3" t="n">
        <v>-4400000</v>
      </c>
      <c r="D25" s="3" t="n">
        <v>-7700000</v>
      </c>
      <c r="E25" s="3" t="n">
        <v>-3700000</v>
      </c>
      <c r="F25" s="3" t="n">
        <v>-6900000</v>
      </c>
      <c r="G25" s="3" t="n"/>
    </row>
    <row r="26">
      <c r="A26" t="inlineStr">
        <is>
          <t>Cash Flow From Continuing Investing Activities</t>
        </is>
      </c>
      <c r="B26" s="3" t="n">
        <v>-10300000</v>
      </c>
      <c r="C26" s="3" t="n">
        <v>-4400000</v>
      </c>
      <c r="D26" s="3" t="n">
        <v>-7700000</v>
      </c>
      <c r="E26" s="3" t="n">
        <v>-3700000</v>
      </c>
      <c r="F26" s="3" t="n">
        <v>-6900000</v>
      </c>
      <c r="G26" s="3" t="n"/>
    </row>
    <row r="27">
      <c r="A27" t="inlineStr">
        <is>
          <t>Net Investment Purchase And Sale</t>
        </is>
      </c>
      <c r="B27" s="3" t="n"/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</row>
    <row r="28">
      <c r="A28" t="inlineStr">
        <is>
          <t>Purchase Of Investment</t>
        </is>
      </c>
      <c r="B28" s="3" t="n"/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</row>
    <row r="29">
      <c r="A29" t="inlineStr">
        <is>
          <t>Net Business Purchase And Sale</t>
        </is>
      </c>
      <c r="B29" s="3" t="n">
        <v>-7200000</v>
      </c>
      <c r="C29" s="3" t="n">
        <v>0</v>
      </c>
      <c r="D29" s="3" t="n">
        <v>-3200000</v>
      </c>
      <c r="E29" s="3" t="n">
        <v>0</v>
      </c>
      <c r="F29" s="3" t="n">
        <v>0</v>
      </c>
      <c r="G29" s="3" t="n"/>
    </row>
    <row r="30">
      <c r="A30" t="inlineStr">
        <is>
          <t>Purchase Of Business</t>
        </is>
      </c>
      <c r="B30" s="3" t="n">
        <v>-7200000</v>
      </c>
      <c r="C30" s="3" t="n">
        <v>0</v>
      </c>
      <c r="D30" s="3" t="n">
        <v>-3200000</v>
      </c>
      <c r="E30" s="3" t="n">
        <v>0</v>
      </c>
      <c r="F30" s="3" t="n">
        <v>0</v>
      </c>
      <c r="G30" s="3" t="n"/>
    </row>
    <row r="31">
      <c r="A31" t="inlineStr">
        <is>
          <t>Net PPE Purchase And Sale</t>
        </is>
      </c>
      <c r="B31" s="3" t="n">
        <v>-3100000</v>
      </c>
      <c r="C31" s="3" t="n">
        <v>-4400000</v>
      </c>
      <c r="D31" s="3" t="n">
        <v>-4500000</v>
      </c>
      <c r="E31" s="3" t="n">
        <v>-3700000</v>
      </c>
      <c r="F31" s="3" t="n">
        <v>-6900000</v>
      </c>
      <c r="G31" s="3" t="n"/>
    </row>
    <row r="32">
      <c r="A32" t="inlineStr">
        <is>
          <t>Sale Of PPE</t>
        </is>
      </c>
      <c r="B32" s="3" t="n">
        <v>200000</v>
      </c>
      <c r="C32" s="3" t="n">
        <v>200000</v>
      </c>
      <c r="D32" s="3" t="n">
        <v>2000000</v>
      </c>
      <c r="E32" s="3" t="n">
        <v>200000</v>
      </c>
      <c r="F32" s="3" t="n">
        <v>200000</v>
      </c>
      <c r="G32" s="3" t="n"/>
    </row>
    <row r="33">
      <c r="A33" t="inlineStr">
        <is>
          <t>Purchase Of PPE</t>
        </is>
      </c>
      <c r="B33" s="3" t="n">
        <v>-3300000</v>
      </c>
      <c r="C33" s="3" t="n">
        <v>-4600000</v>
      </c>
      <c r="D33" s="3" t="n">
        <v>-6500000</v>
      </c>
      <c r="E33" s="3" t="n">
        <v>-3900000</v>
      </c>
      <c r="F33" s="3" t="n">
        <v>-7100000</v>
      </c>
      <c r="G33" s="3" t="n"/>
    </row>
    <row r="34">
      <c r="A34" t="inlineStr">
        <is>
          <t>Operating Cash Flow</t>
        </is>
      </c>
      <c r="B34" s="3" t="n">
        <v>-31200000</v>
      </c>
      <c r="C34" s="3" t="n">
        <v>14200000</v>
      </c>
      <c r="D34" s="3" t="n">
        <v>28700000</v>
      </c>
      <c r="E34" s="3" t="n">
        <v>22500000</v>
      </c>
      <c r="F34" s="3" t="n">
        <v>-400000</v>
      </c>
      <c r="G34" s="3" t="n"/>
    </row>
    <row r="35">
      <c r="A35" t="inlineStr">
        <is>
          <t>Cash Flow From Continuing Operating Activities</t>
        </is>
      </c>
      <c r="B35" s="3" t="n">
        <v>-31200000</v>
      </c>
      <c r="C35" s="3" t="n">
        <v>14200000</v>
      </c>
      <c r="D35" s="3" t="n">
        <v>28700000</v>
      </c>
      <c r="E35" s="3" t="n">
        <v>22500000</v>
      </c>
      <c r="F35" s="3" t="n">
        <v>-400000</v>
      </c>
      <c r="G35" s="3" t="n"/>
    </row>
    <row r="36">
      <c r="A36" t="inlineStr">
        <is>
          <t>Change In Working Capital</t>
        </is>
      </c>
      <c r="B36" s="3" t="n">
        <v>-51700000</v>
      </c>
      <c r="C36" s="3" t="n">
        <v>3900000</v>
      </c>
      <c r="D36" s="3" t="n">
        <v>-15300000</v>
      </c>
      <c r="E36" s="3" t="n">
        <v>-17000000</v>
      </c>
      <c r="F36" s="3" t="n">
        <v>-32100000</v>
      </c>
      <c r="G36" s="3" t="n"/>
    </row>
    <row r="37">
      <c r="A37" t="inlineStr">
        <is>
          <t>Change In Other Working Capital</t>
        </is>
      </c>
      <c r="B37" s="3" t="n">
        <v>-12300000</v>
      </c>
      <c r="C37" s="3" t="n">
        <v>-5500000</v>
      </c>
      <c r="D37" s="3" t="n">
        <v>-3300000</v>
      </c>
      <c r="E37" s="3" t="n">
        <v>-6100000</v>
      </c>
      <c r="F37" s="3" t="n">
        <v>-26100000</v>
      </c>
      <c r="G37" s="3" t="n"/>
    </row>
    <row r="38">
      <c r="A38" t="inlineStr">
        <is>
          <t>Change In Payables And Accrued Expense</t>
        </is>
      </c>
      <c r="B38" s="3" t="n">
        <v>-2500000</v>
      </c>
      <c r="C38" s="3" t="n">
        <v>14200000</v>
      </c>
      <c r="D38" s="3" t="n">
        <v>-9900000</v>
      </c>
      <c r="E38" s="3" t="n">
        <v>2500000</v>
      </c>
      <c r="F38" s="3" t="n">
        <v>-8700000</v>
      </c>
      <c r="G38" s="3" t="n"/>
    </row>
    <row r="39">
      <c r="A39" t="inlineStr">
        <is>
          <t>Change In Payable</t>
        </is>
      </c>
      <c r="B39" s="3" t="n">
        <v>-2500000</v>
      </c>
      <c r="C39" s="3" t="n">
        <v>14200000</v>
      </c>
      <c r="D39" s="3" t="n">
        <v>-9900000</v>
      </c>
      <c r="E39" s="3" t="n">
        <v>2500000</v>
      </c>
      <c r="F39" s="3" t="n">
        <v>-8700000</v>
      </c>
      <c r="G39" s="3" t="n"/>
    </row>
    <row r="40">
      <c r="A40" t="inlineStr">
        <is>
          <t>Change In Account Payable</t>
        </is>
      </c>
      <c r="B40" s="3" t="n">
        <v>-2500000</v>
      </c>
      <c r="C40" s="3" t="n">
        <v>14200000</v>
      </c>
      <c r="D40" s="3" t="n">
        <v>-9900000</v>
      </c>
      <c r="E40" s="3" t="n">
        <v>2500000</v>
      </c>
      <c r="F40" s="3" t="n">
        <v>-8700000</v>
      </c>
      <c r="G40" s="3" t="n"/>
    </row>
    <row r="41">
      <c r="A41" t="inlineStr">
        <is>
          <t>Change In Inventory</t>
        </is>
      </c>
      <c r="B41" s="3" t="n">
        <v>-11700000</v>
      </c>
      <c r="C41" s="3" t="n">
        <v>2600000</v>
      </c>
      <c r="D41" s="3" t="n">
        <v>-16000000</v>
      </c>
      <c r="E41" s="3" t="n">
        <v>-100000</v>
      </c>
      <c r="F41" s="3" t="n">
        <v>-8200000</v>
      </c>
      <c r="G41" s="3" t="n"/>
    </row>
    <row r="42">
      <c r="A42" t="inlineStr">
        <is>
          <t>Change In Receivables</t>
        </is>
      </c>
      <c r="B42" s="3" t="n">
        <v>-25200000</v>
      </c>
      <c r="C42" s="3" t="n">
        <v>-7400000</v>
      </c>
      <c r="D42" s="3" t="n">
        <v>13900000</v>
      </c>
      <c r="E42" s="3" t="n">
        <v>-13300000</v>
      </c>
      <c r="F42" s="3" t="n">
        <v>10900000</v>
      </c>
      <c r="G42" s="3" t="n"/>
    </row>
    <row r="43">
      <c r="A43" t="inlineStr">
        <is>
          <t>Other Non Cash Items</t>
        </is>
      </c>
      <c r="B43" s="3" t="n">
        <v>100000</v>
      </c>
      <c r="C43" s="3" t="n">
        <v>800000</v>
      </c>
      <c r="D43" s="3" t="n">
        <v>200000</v>
      </c>
      <c r="E43" s="3" t="n">
        <v>100000</v>
      </c>
      <c r="F43" s="3" t="n">
        <v>200000</v>
      </c>
      <c r="G43" s="3" t="n"/>
    </row>
    <row r="44">
      <c r="A44" t="inlineStr">
        <is>
          <t>Stock Based Compensation</t>
        </is>
      </c>
      <c r="B44" s="3" t="n">
        <v>1500000</v>
      </c>
      <c r="C44" s="3" t="n">
        <v>1800000</v>
      </c>
      <c r="D44" s="3" t="n">
        <v>2800000</v>
      </c>
      <c r="E44" s="3" t="n">
        <v>2600000</v>
      </c>
      <c r="F44" s="3" t="n">
        <v>3200000</v>
      </c>
      <c r="G44" s="3" t="n"/>
    </row>
    <row r="45">
      <c r="A45" t="inlineStr">
        <is>
          <t>Asset Impairment Charge</t>
        </is>
      </c>
      <c r="B45" s="3" t="n">
        <v>500000</v>
      </c>
      <c r="C45" s="3" t="n">
        <v>2700000</v>
      </c>
      <c r="D45" s="3" t="n">
        <v>1100000</v>
      </c>
      <c r="E45" s="3" t="n">
        <v>2600000</v>
      </c>
      <c r="F45" s="3" t="n">
        <v>700000</v>
      </c>
      <c r="G45" s="3" t="n"/>
    </row>
    <row r="46">
      <c r="A46" t="inlineStr">
        <is>
          <t>Deferred Tax</t>
        </is>
      </c>
      <c r="B46" s="3" t="n">
        <v>3300000</v>
      </c>
      <c r="C46" s="3" t="n">
        <v>-5900000</v>
      </c>
      <c r="D46" s="3" t="n">
        <v>10300000</v>
      </c>
      <c r="E46" s="3" t="n">
        <v>-700000</v>
      </c>
      <c r="F46" s="3" t="n">
        <v>500000</v>
      </c>
      <c r="G46" s="3" t="n"/>
    </row>
    <row r="47">
      <c r="A47" t="inlineStr">
        <is>
          <t>Deferred Income Tax</t>
        </is>
      </c>
      <c r="B47" s="3" t="n">
        <v>3300000</v>
      </c>
      <c r="C47" s="3" t="n">
        <v>-5900000</v>
      </c>
      <c r="D47" s="3" t="n">
        <v>10300000</v>
      </c>
      <c r="E47" s="3" t="n">
        <v>-700000</v>
      </c>
      <c r="F47" s="3" t="n">
        <v>500000</v>
      </c>
      <c r="G47" s="3" t="n"/>
    </row>
    <row r="48">
      <c r="A48" t="inlineStr">
        <is>
          <t>Depreciation Amortization Depletion</t>
        </is>
      </c>
      <c r="B48" s="3" t="n">
        <v>14900000</v>
      </c>
      <c r="C48" s="3" t="n">
        <v>15300000</v>
      </c>
      <c r="D48" s="3" t="n">
        <v>14700000</v>
      </c>
      <c r="E48" s="3" t="n">
        <v>14700000</v>
      </c>
      <c r="F48" s="3" t="n">
        <v>14000000</v>
      </c>
      <c r="G48" s="3" t="n"/>
    </row>
    <row r="49">
      <c r="A49" t="inlineStr">
        <is>
          <t>Depreciation And Amortization</t>
        </is>
      </c>
      <c r="B49" s="3" t="n">
        <v>14900000</v>
      </c>
      <c r="C49" s="3" t="n">
        <v>15300000</v>
      </c>
      <c r="D49" s="3" t="n">
        <v>14700000</v>
      </c>
      <c r="E49" s="3" t="n">
        <v>14700000</v>
      </c>
      <c r="F49" s="3" t="n">
        <v>14000000</v>
      </c>
      <c r="G49" s="3" t="n"/>
    </row>
    <row r="50">
      <c r="A50" t="inlineStr">
        <is>
          <t>Amortization Cash Flow</t>
        </is>
      </c>
      <c r="B50" s="3" t="n">
        <v>3500000</v>
      </c>
      <c r="C50" s="3" t="n">
        <v>3500000</v>
      </c>
      <c r="D50" s="3" t="n">
        <v>3400000</v>
      </c>
      <c r="E50" s="3" t="n">
        <v>3400000</v>
      </c>
      <c r="F50" s="3" t="n">
        <v>3400000</v>
      </c>
      <c r="G50" s="3" t="n"/>
    </row>
    <row r="51">
      <c r="A51" t="inlineStr">
        <is>
          <t>Amortization Of Intangibles</t>
        </is>
      </c>
      <c r="B51" s="3" t="n">
        <v>3500000</v>
      </c>
      <c r="C51" s="3" t="n">
        <v>3500000</v>
      </c>
      <c r="D51" s="3" t="n">
        <v>3400000</v>
      </c>
      <c r="E51" s="3" t="n">
        <v>3400000</v>
      </c>
      <c r="F51" s="3" t="n">
        <v>3400000</v>
      </c>
      <c r="G51" s="3" t="n"/>
    </row>
    <row r="52">
      <c r="A52" t="inlineStr">
        <is>
          <t>Depreciation</t>
        </is>
      </c>
      <c r="B52" s="3" t="n">
        <v>11400000</v>
      </c>
      <c r="C52" s="3" t="n">
        <v>11800000</v>
      </c>
      <c r="D52" s="3" t="n">
        <v>11300000</v>
      </c>
      <c r="E52" s="3" t="n">
        <v>11300000</v>
      </c>
      <c r="F52" s="3" t="n">
        <v>10600000</v>
      </c>
      <c r="G52" s="3" t="n"/>
    </row>
    <row r="53">
      <c r="A53" t="inlineStr">
        <is>
          <t>Net Income From Continuing Operations</t>
        </is>
      </c>
      <c r="B53" s="3" t="n">
        <v>200000</v>
      </c>
      <c r="C53" s="3" t="n">
        <v>-4400000</v>
      </c>
      <c r="D53" s="3" t="n">
        <v>14900000</v>
      </c>
      <c r="E53" s="3" t="n">
        <v>20200000</v>
      </c>
      <c r="F53" s="3" t="n">
        <v>13100000</v>
      </c>
      <c r="G53" s="3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Issue</t>
        </is>
      </c>
    </row>
    <row r="2">
      <c r="A2" t="inlineStr">
        <is>
          <t>—</t>
        </is>
      </c>
      <c r="B2" t="inlineStr">
        <is>
          <t>no gaps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2026-08-02T23:43:22Z</dcterms:created>
  <dcterms:modified xsi:type="dcterms:W3CDTF">2026-08-02T23:43:23Z</dcterms:modified>
</cp:coreProperties>
</file>