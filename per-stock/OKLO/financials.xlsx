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OKLO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Oklo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Independent Power Producers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10643028992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8437039616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-73.368195</v>
      </c>
      <c r="C9" t="inlineStr">
        <is>
          <t>yfinance info.forwardPE</t>
        </is>
      </c>
    </row>
    <row r="10">
      <c r="A10" t="inlineStr">
        <is>
          <t>P/S (TTM)</t>
        </is>
      </c>
      <c r="B10" t="inlineStr">
        <is>
          <t>(missing — see Data flags)</t>
        </is>
      </c>
      <c r="C10" t="inlineStr">
        <is>
          <t>yfinance</t>
        </is>
      </c>
    </row>
    <row r="11">
      <c r="A11" t="inlineStr">
        <is>
          <t>Gross margin (TTM)</t>
        </is>
      </c>
      <c r="B11" t="n">
        <v>0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-0.08866999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inlineStr">
        <is>
          <t>(missing — see Data flags)</t>
        </is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2208609024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2620000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-153481000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173990987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61.17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(annual)'!D39</f>
        <v/>
      </c>
      <c r="C3" s="3">
        <f>'Income stmt (annual)'!C39</f>
        <v/>
      </c>
      <c r="D3" s="3">
        <f>'Income stmt (annual)'!B39</f>
        <v/>
      </c>
      <c r="E3" s="3">
        <f>SUM('Income stmt (quarterly)'!B39:E39)</f>
        <v/>
      </c>
      <c r="F3" t="inlineStr">
        <is>
          <t>Total Revenue</t>
        </is>
      </c>
    </row>
    <row r="4">
      <c r="A4" t="inlineStr">
        <is>
          <t>Gross profit</t>
        </is>
      </c>
      <c r="B4" s="3" t="inlineStr"/>
      <c r="C4" s="3" t="inlineStr"/>
      <c r="D4" s="3" t="inlineStr"/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(annual)'!D32</f>
        <v/>
      </c>
      <c r="C6" s="3">
        <f>'Income stmt (annual)'!C32</f>
        <v/>
      </c>
      <c r="D6" s="3">
        <f>'Income stmt (annual)'!B32</f>
        <v/>
      </c>
      <c r="E6" s="3">
        <f>SUM('Income stmt (quarterly)'!B32:E32)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(annual)'!D9</f>
        <v/>
      </c>
      <c r="C8" s="3">
        <f>'Income stmt (annual)'!C9</f>
        <v/>
      </c>
      <c r="D8" s="3">
        <f>'Income stmt (annual)'!B9</f>
        <v/>
      </c>
      <c r="E8" s="3">
        <f>SUM('Income stmt (quarterly)'!B9:E9)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-5851440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0.041</v>
      </c>
      <c r="C3" s="3" t="n">
        <v>0.21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-138772000</v>
      </c>
      <c r="C4" s="3" t="n">
        <v>-24669000</v>
      </c>
      <c r="D4" s="3" t="n">
        <v>-4844000</v>
      </c>
      <c r="E4" s="3" t="n">
        <v>-9995279</v>
      </c>
      <c r="F4" s="3" t="n"/>
    </row>
    <row r="5">
      <c r="A5" t="inlineStr">
        <is>
          <t>Total Unusual Items</t>
        </is>
      </c>
      <c r="B5" s="3" t="n"/>
      <c r="C5" s="3" t="n">
        <v>-27864000</v>
      </c>
      <c r="D5" s="3" t="n">
        <v>-13717000</v>
      </c>
      <c r="E5" s="3" t="n"/>
      <c r="F5" s="3" t="n"/>
    </row>
    <row r="6">
      <c r="A6" t="inlineStr">
        <is>
          <t>Total Unusual Items Excluding Goodwill</t>
        </is>
      </c>
      <c r="B6" s="3" t="n"/>
      <c r="C6" s="3" t="n">
        <v>-27864000</v>
      </c>
      <c r="D6" s="3" t="n">
        <v>-13717000</v>
      </c>
      <c r="E6" s="3" t="n"/>
      <c r="F6" s="3" t="n"/>
    </row>
    <row r="7">
      <c r="A7" t="inlineStr">
        <is>
          <t>Net Income From Continuing Operation Net Minority Interest</t>
        </is>
      </c>
      <c r="B7" s="3" t="n">
        <v>-105663000</v>
      </c>
      <c r="C7" s="3" t="n">
        <v>-73616000</v>
      </c>
      <c r="D7" s="3" t="n">
        <v>-32173000</v>
      </c>
      <c r="E7" s="3" t="n">
        <v>-10023891</v>
      </c>
      <c r="F7" s="3" t="n"/>
    </row>
    <row r="8">
      <c r="A8" t="inlineStr">
        <is>
          <t>Reconciled Depreciation</t>
        </is>
      </c>
      <c r="B8" s="3" t="n">
        <v>522000</v>
      </c>
      <c r="C8" s="3" t="n">
        <v>268000</v>
      </c>
      <c r="D8" s="3" t="n">
        <v>75000</v>
      </c>
      <c r="E8" s="3" t="n">
        <v>29532</v>
      </c>
      <c r="F8" s="3" t="n"/>
    </row>
    <row r="9">
      <c r="A9" t="inlineStr">
        <is>
          <t>EBITDA</t>
        </is>
      </c>
      <c r="B9" s="3" t="n">
        <v>-138772000</v>
      </c>
      <c r="C9" s="3" t="n">
        <v>-52533000</v>
      </c>
      <c r="D9" s="3" t="n">
        <v>-18561000</v>
      </c>
      <c r="E9" s="3" t="n">
        <v>-9995279</v>
      </c>
      <c r="F9" s="3" t="n"/>
    </row>
    <row r="10">
      <c r="A10" t="inlineStr">
        <is>
          <t>EBIT</t>
        </is>
      </c>
      <c r="B10" s="3" t="n">
        <v>-139294000</v>
      </c>
      <c r="C10" s="3" t="n">
        <v>-52801000</v>
      </c>
      <c r="D10" s="3" t="n">
        <v>-18636000</v>
      </c>
      <c r="E10" s="3" t="n">
        <v>-10024811</v>
      </c>
      <c r="F10" s="3" t="n"/>
    </row>
    <row r="11">
      <c r="A11" t="inlineStr">
        <is>
          <t>Net Interest Income</t>
        </is>
      </c>
      <c r="B11" s="3" t="n">
        <v>29102000</v>
      </c>
      <c r="C11" s="3" t="n">
        <v>7732000</v>
      </c>
      <c r="D11" s="3" t="n">
        <v>180000</v>
      </c>
      <c r="E11" s="3" t="n">
        <v>920</v>
      </c>
      <c r="F11" s="3" t="n"/>
    </row>
    <row r="12">
      <c r="A12" t="inlineStr">
        <is>
          <t>Interest Income</t>
        </is>
      </c>
      <c r="B12" s="3" t="n">
        <v>29102000</v>
      </c>
      <c r="C12" s="3" t="n">
        <v>7732000</v>
      </c>
      <c r="D12" s="3" t="n">
        <v>180000</v>
      </c>
      <c r="E12" s="3" t="n">
        <v>920</v>
      </c>
      <c r="F12" s="3" t="n"/>
    </row>
    <row r="13">
      <c r="A13" t="inlineStr">
        <is>
          <t>Normalized Income</t>
        </is>
      </c>
      <c r="B13" s="3" t="n">
        <v>-105663000</v>
      </c>
      <c r="C13" s="3" t="n">
        <v>-51603440</v>
      </c>
      <c r="D13" s="3" t="n">
        <v>-18456000</v>
      </c>
      <c r="E13" s="3" t="n">
        <v>-10023891</v>
      </c>
      <c r="F13" s="3" t="n"/>
    </row>
    <row r="14">
      <c r="A14" t="inlineStr">
        <is>
          <t>Net Income From Continuing And Discontinued Operation</t>
        </is>
      </c>
      <c r="B14" s="3" t="n">
        <v>-105663000</v>
      </c>
      <c r="C14" s="3" t="n">
        <v>-73616000</v>
      </c>
      <c r="D14" s="3" t="n">
        <v>-32173000</v>
      </c>
      <c r="E14" s="3" t="n">
        <v>-10023891</v>
      </c>
      <c r="F14" s="3" t="n"/>
    </row>
    <row r="15">
      <c r="A15" t="inlineStr">
        <is>
          <t>Total Expenses</t>
        </is>
      </c>
      <c r="B15" s="3" t="n">
        <v>139294000</v>
      </c>
      <c r="C15" s="3" t="n">
        <v>52801000</v>
      </c>
      <c r="D15" s="3" t="n">
        <v>18636000</v>
      </c>
      <c r="E15" s="3" t="n">
        <v>10024811</v>
      </c>
      <c r="F15" s="3" t="n"/>
    </row>
    <row r="16">
      <c r="A16" t="inlineStr">
        <is>
          <t>Total Operating Income As Reported</t>
        </is>
      </c>
      <c r="B16" s="3" t="n">
        <v>-139294000</v>
      </c>
      <c r="C16" s="3" t="n">
        <v>-52801000</v>
      </c>
      <c r="D16" s="3" t="n">
        <v>-18636000</v>
      </c>
      <c r="E16" s="3" t="n">
        <v>-10024811</v>
      </c>
      <c r="F16" s="3" t="n"/>
    </row>
    <row r="17">
      <c r="A17" t="inlineStr">
        <is>
          <t>Diluted Average Shares</t>
        </is>
      </c>
      <c r="B17" s="3" t="n">
        <v>146351775</v>
      </c>
      <c r="C17" s="3" t="n">
        <v>98910013</v>
      </c>
      <c r="D17" s="3" t="n">
        <v>70320242</v>
      </c>
      <c r="E17" s="3" t="n">
        <v>70320242</v>
      </c>
      <c r="F17" s="3" t="n"/>
    </row>
    <row r="18">
      <c r="A18" t="inlineStr">
        <is>
          <t>Basic Average Shares</t>
        </is>
      </c>
      <c r="B18" s="3" t="n">
        <v>146351775</v>
      </c>
      <c r="C18" s="3" t="n">
        <v>98910013</v>
      </c>
      <c r="D18" s="3" t="n">
        <v>70320242</v>
      </c>
      <c r="E18" s="3" t="n">
        <v>70320242</v>
      </c>
      <c r="F18" s="3" t="n"/>
    </row>
    <row r="19">
      <c r="A19" t="inlineStr">
        <is>
          <t>Diluted EPS</t>
        </is>
      </c>
      <c r="B19" s="3" t="n">
        <v>-0.72</v>
      </c>
      <c r="C19" s="3" t="n">
        <v>-0.74</v>
      </c>
      <c r="D19" s="3" t="n">
        <v>-0.457521</v>
      </c>
      <c r="E19" s="3" t="n">
        <v>-0.142546</v>
      </c>
      <c r="F19" s="3" t="n"/>
    </row>
    <row r="20">
      <c r="A20" t="inlineStr">
        <is>
          <t>Basic EPS</t>
        </is>
      </c>
      <c r="B20" s="3" t="n">
        <v>-0.72</v>
      </c>
      <c r="C20" s="3" t="n">
        <v>-0.74</v>
      </c>
      <c r="D20" s="3" t="n">
        <v>-0.457521</v>
      </c>
      <c r="E20" s="3" t="n">
        <v>-0.142546</v>
      </c>
      <c r="F20" s="3" t="n"/>
    </row>
    <row r="21">
      <c r="A21" t="inlineStr">
        <is>
          <t>Diluted NI Availto Com Stockholders</t>
        </is>
      </c>
      <c r="B21" s="3" t="n">
        <v>-105663000</v>
      </c>
      <c r="C21" s="3" t="n">
        <v>-73616000</v>
      </c>
      <c r="D21" s="3" t="n">
        <v>-32173000</v>
      </c>
      <c r="E21" s="3" t="n">
        <v>-10023891</v>
      </c>
      <c r="F21" s="3" t="n"/>
    </row>
    <row r="22">
      <c r="A22" t="inlineStr">
        <is>
          <t>Net Income Common Stockholders</t>
        </is>
      </c>
      <c r="B22" s="3" t="n">
        <v>-105663000</v>
      </c>
      <c r="C22" s="3" t="n">
        <v>-73616000</v>
      </c>
      <c r="D22" s="3" t="n">
        <v>-32173000</v>
      </c>
      <c r="E22" s="3" t="n">
        <v>-10023891</v>
      </c>
      <c r="F22" s="3" t="n"/>
    </row>
    <row r="23">
      <c r="A23" t="inlineStr">
        <is>
          <t>Net Income</t>
        </is>
      </c>
      <c r="B23" s="3" t="n">
        <v>-105663000</v>
      </c>
      <c r="C23" s="3" t="n">
        <v>-73616000</v>
      </c>
      <c r="D23" s="3" t="n">
        <v>-32173000</v>
      </c>
      <c r="E23" s="3" t="n">
        <v>-10023891</v>
      </c>
      <c r="F23" s="3" t="n"/>
    </row>
    <row r="24">
      <c r="A24" t="inlineStr">
        <is>
          <t>Net Income Including Noncontrolling Interests</t>
        </is>
      </c>
      <c r="B24" s="3" t="n">
        <v>-105663000</v>
      </c>
      <c r="C24" s="3" t="n">
        <v>-73616000</v>
      </c>
      <c r="D24" s="3" t="n">
        <v>-32173000</v>
      </c>
      <c r="E24" s="3" t="n">
        <v>-10023891</v>
      </c>
      <c r="F24" s="3" t="n"/>
    </row>
    <row r="25">
      <c r="A25" t="inlineStr">
        <is>
          <t>Net Income Continuous Operations</t>
        </is>
      </c>
      <c r="B25" s="3" t="n">
        <v>-105663000</v>
      </c>
      <c r="C25" s="3" t="n">
        <v>-73616000</v>
      </c>
      <c r="D25" s="3" t="n">
        <v>-32173000</v>
      </c>
      <c r="E25" s="3" t="n">
        <v>-10023891</v>
      </c>
      <c r="F25" s="3" t="n"/>
    </row>
    <row r="26">
      <c r="A26" t="inlineStr">
        <is>
          <t>Tax Provision</t>
        </is>
      </c>
      <c r="B26" s="3" t="n">
        <v>-4529000</v>
      </c>
      <c r="C26" s="3" t="n">
        <v>683000</v>
      </c>
      <c r="D26" s="3" t="n">
        <v>0</v>
      </c>
      <c r="E26" s="3" t="n">
        <v>0</v>
      </c>
      <c r="F26" s="3" t="n"/>
    </row>
    <row r="27">
      <c r="A27" t="inlineStr">
        <is>
          <t>Pretax Income</t>
        </is>
      </c>
      <c r="B27" s="3" t="n">
        <v>-110192000</v>
      </c>
      <c r="C27" s="3" t="n">
        <v>-72933000</v>
      </c>
      <c r="D27" s="3" t="n">
        <v>-32173000</v>
      </c>
      <c r="E27" s="3" t="n">
        <v>-10023891</v>
      </c>
      <c r="F27" s="3" t="n"/>
    </row>
    <row r="28">
      <c r="A28" t="inlineStr">
        <is>
          <t>Other Income Expense</t>
        </is>
      </c>
      <c r="B28" s="3" t="n"/>
      <c r="C28" s="3" t="n">
        <v>-27864000</v>
      </c>
      <c r="D28" s="3" t="n">
        <v>-13717000</v>
      </c>
      <c r="E28" s="3" t="n"/>
      <c r="F28" s="3" t="n"/>
    </row>
    <row r="29">
      <c r="A29" t="inlineStr">
        <is>
          <t>Gain On Sale Of Security</t>
        </is>
      </c>
      <c r="B29" s="3" t="n"/>
      <c r="C29" s="3" t="n">
        <v>-27864000</v>
      </c>
      <c r="D29" s="3" t="n">
        <v>-13717000</v>
      </c>
      <c r="E29" s="3" t="n"/>
      <c r="F29" s="3" t="n"/>
    </row>
    <row r="30">
      <c r="A30" t="inlineStr">
        <is>
          <t>Net Non Operating Interest Income Expense</t>
        </is>
      </c>
      <c r="B30" s="3" t="n">
        <v>29102000</v>
      </c>
      <c r="C30" s="3" t="n">
        <v>7732000</v>
      </c>
      <c r="D30" s="3" t="n">
        <v>180000</v>
      </c>
      <c r="E30" s="3" t="n">
        <v>920</v>
      </c>
      <c r="F30" s="3" t="n"/>
    </row>
    <row r="31">
      <c r="A31" t="inlineStr">
        <is>
          <t>Interest Income Non Operating</t>
        </is>
      </c>
      <c r="B31" s="3" t="n">
        <v>29102000</v>
      </c>
      <c r="C31" s="3" t="n">
        <v>7732000</v>
      </c>
      <c r="D31" s="3" t="n">
        <v>180000</v>
      </c>
      <c r="E31" s="3" t="n">
        <v>920</v>
      </c>
      <c r="F31" s="3" t="n"/>
    </row>
    <row r="32">
      <c r="A32" t="inlineStr">
        <is>
          <t>Operating Income</t>
        </is>
      </c>
      <c r="B32" s="3" t="n">
        <v>-139294000</v>
      </c>
      <c r="C32" s="3" t="n">
        <v>-52801000</v>
      </c>
      <c r="D32" s="3" t="n">
        <v>-18636000</v>
      </c>
      <c r="E32" s="3" t="n">
        <v>-10024811</v>
      </c>
      <c r="F32" s="3" t="n"/>
    </row>
    <row r="33">
      <c r="A33" t="inlineStr">
        <is>
          <t>Operating Expense</t>
        </is>
      </c>
      <c r="B33" s="3" t="n">
        <v>139294000</v>
      </c>
      <c r="C33" s="3" t="n">
        <v>52801000</v>
      </c>
      <c r="D33" s="3" t="n">
        <v>18636000</v>
      </c>
      <c r="E33" s="3" t="n">
        <v>10024811</v>
      </c>
      <c r="F33" s="3" t="n"/>
    </row>
    <row r="34">
      <c r="A34" t="inlineStr">
        <is>
          <t>Research And Development</t>
        </is>
      </c>
      <c r="B34" s="3" t="n">
        <v>58852000</v>
      </c>
      <c r="C34" s="3" t="n">
        <v>26711000</v>
      </c>
      <c r="D34" s="3" t="n">
        <v>9763000</v>
      </c>
      <c r="E34" s="3" t="n">
        <v>6024267</v>
      </c>
      <c r="F34" s="3" t="n"/>
    </row>
    <row r="35">
      <c r="A35" t="inlineStr">
        <is>
          <t>Selling General And Administration</t>
        </is>
      </c>
      <c r="B35" s="3" t="n">
        <v>80442000</v>
      </c>
      <c r="C35" s="3" t="n">
        <v>26090000</v>
      </c>
      <c r="D35" s="3" t="n">
        <v>8873000</v>
      </c>
      <c r="E35" s="3" t="n">
        <v>4000544</v>
      </c>
      <c r="F35" s="3" t="n"/>
    </row>
    <row r="36">
      <c r="A36" t="inlineStr">
        <is>
          <t>General And Administrative Expense</t>
        </is>
      </c>
      <c r="B36" s="3" t="n">
        <v>80442000</v>
      </c>
      <c r="C36" s="3" t="n">
        <v>26090000</v>
      </c>
      <c r="D36" s="3" t="n">
        <v>8873000</v>
      </c>
      <c r="E36" s="3" t="n">
        <v>4000544</v>
      </c>
      <c r="F36" s="3" t="n"/>
    </row>
    <row r="37">
      <c r="A37" t="inlineStr">
        <is>
          <t>Other Gand A</t>
        </is>
      </c>
      <c r="B37" s="3" t="n">
        <v>80442000</v>
      </c>
      <c r="C37" s="3" t="n">
        <v>26090000</v>
      </c>
      <c r="D37" s="3" t="n">
        <v>8873000</v>
      </c>
      <c r="E37" s="3" t="n">
        <v>1531149</v>
      </c>
      <c r="F37" s="3" t="n"/>
    </row>
    <row r="38">
      <c r="A38" t="inlineStr">
        <is>
          <t>Salaries And Wages</t>
        </is>
      </c>
      <c r="B38" s="3" t="n"/>
      <c r="C38" s="3" t="n"/>
      <c r="D38" s="3" t="n"/>
      <c r="E38" s="3" t="n">
        <v>2469395</v>
      </c>
      <c r="F38" s="3" t="n">
        <v>1661369</v>
      </c>
    </row>
    <row r="39">
      <c r="A39" t="inlineStr">
        <is>
          <t>Total Revenue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/>
    </row>
    <row r="40">
      <c r="A40" t="inlineStr">
        <is>
          <t>Operating Revenue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0.4</v>
      </c>
      <c r="C3" s="3" t="n">
        <v>0.025396</v>
      </c>
      <c r="D3" s="3" t="n">
        <v>0.21</v>
      </c>
      <c r="E3" s="3" t="n">
        <v>0.21</v>
      </c>
      <c r="F3" s="3" t="n">
        <v>0.310175</v>
      </c>
      <c r="G3" s="3" t="n"/>
      <c r="H3" s="3" t="n"/>
    </row>
    <row r="4">
      <c r="A4" t="inlineStr">
        <is>
          <t>Normalized EBITDA</t>
        </is>
      </c>
      <c r="B4" s="3" t="n">
        <v>-51086000</v>
      </c>
      <c r="C4" s="3" t="n">
        <v>-56947000</v>
      </c>
      <c r="D4" s="3" t="n">
        <v>-36185000</v>
      </c>
      <c r="E4" s="3" t="n">
        <v>-27890000</v>
      </c>
      <c r="F4" s="3" t="n">
        <v>-17750000</v>
      </c>
      <c r="G4" s="3" t="n"/>
      <c r="H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2055959</v>
      </c>
      <c r="H5" s="3" t="n"/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2055959</v>
      </c>
      <c r="H6" s="3" t="n"/>
    </row>
    <row r="7">
      <c r="A7" t="inlineStr">
        <is>
          <t>Net Income From Continuing Operation Net Minority Interest</t>
        </is>
      </c>
      <c r="B7" s="3" t="n">
        <v>-33065000</v>
      </c>
      <c r="C7" s="3" t="n">
        <v>-41446000</v>
      </c>
      <c r="D7" s="3" t="n">
        <v>-29722000</v>
      </c>
      <c r="E7" s="3" t="n">
        <v>-24685000</v>
      </c>
      <c r="F7" s="3" t="n">
        <v>-9810000</v>
      </c>
      <c r="G7" s="3" t="n"/>
      <c r="H7" s="3" t="n"/>
    </row>
    <row r="8">
      <c r="A8" t="inlineStr">
        <is>
          <t>Reconciled Depreciation</t>
        </is>
      </c>
      <c r="B8" s="3" t="n">
        <v>163000</v>
      </c>
      <c r="C8" s="3" t="n">
        <v>149000</v>
      </c>
      <c r="D8" s="3" t="n">
        <v>124000</v>
      </c>
      <c r="E8" s="3" t="n">
        <v>125000</v>
      </c>
      <c r="F8" s="3" t="n">
        <v>124000</v>
      </c>
      <c r="G8" s="3" t="n"/>
      <c r="H8" s="3" t="n"/>
    </row>
    <row r="9">
      <c r="A9" t="inlineStr">
        <is>
          <t>EBITDA</t>
        </is>
      </c>
      <c r="B9" s="3" t="n">
        <v>-51086000</v>
      </c>
      <c r="C9" s="3" t="n">
        <v>-56947000</v>
      </c>
      <c r="D9" s="3" t="n">
        <v>-36185000</v>
      </c>
      <c r="E9" s="3" t="n">
        <v>-27890000</v>
      </c>
      <c r="F9" s="3" t="n">
        <v>-17750000</v>
      </c>
      <c r="G9" s="3" t="n"/>
      <c r="H9" s="3" t="n"/>
    </row>
    <row r="10">
      <c r="A10" t="inlineStr">
        <is>
          <t>EBIT</t>
        </is>
      </c>
      <c r="B10" s="3" t="n">
        <v>-51249000</v>
      </c>
      <c r="C10" s="3" t="n">
        <v>-57096000</v>
      </c>
      <c r="D10" s="3" t="n">
        <v>-36309000</v>
      </c>
      <c r="E10" s="3" t="n">
        <v>-28015000</v>
      </c>
      <c r="F10" s="3" t="n">
        <v>-17874000</v>
      </c>
      <c r="G10" s="3" t="n"/>
      <c r="H10" s="3" t="n"/>
    </row>
    <row r="11">
      <c r="A11" t="inlineStr">
        <is>
          <t>Net Interest Income</t>
        </is>
      </c>
      <c r="B11" s="3" t="n">
        <v>21339000</v>
      </c>
      <c r="C11" s="3" t="n">
        <v>14570000</v>
      </c>
      <c r="D11" s="3" t="n">
        <v>7118000</v>
      </c>
      <c r="E11" s="3" t="n">
        <v>3761000</v>
      </c>
      <c r="F11" s="3" t="n">
        <v>3653000</v>
      </c>
      <c r="G11" s="3" t="n"/>
      <c r="H11" s="3" t="n"/>
    </row>
    <row r="12">
      <c r="A12" t="inlineStr">
        <is>
          <t>Interest Income</t>
        </is>
      </c>
      <c r="B12" s="3" t="n">
        <v>21339000</v>
      </c>
      <c r="C12" s="3" t="n">
        <v>14570000</v>
      </c>
      <c r="D12" s="3" t="n">
        <v>7118000</v>
      </c>
      <c r="E12" s="3" t="n">
        <v>3761000</v>
      </c>
      <c r="F12" s="3" t="n">
        <v>3653000</v>
      </c>
      <c r="G12" s="3" t="n"/>
      <c r="H12" s="3" t="n"/>
    </row>
    <row r="13">
      <c r="A13" t="inlineStr">
        <is>
          <t>Normalized Income</t>
        </is>
      </c>
      <c r="B13" s="3" t="n">
        <v>-33065000</v>
      </c>
      <c r="C13" s="3" t="n">
        <v>-41446000</v>
      </c>
      <c r="D13" s="3" t="n">
        <v>-29722000</v>
      </c>
      <c r="E13" s="3" t="n">
        <v>-24685000</v>
      </c>
      <c r="F13" s="3" t="n">
        <v>-9810000</v>
      </c>
      <c r="G13" s="3" t="n"/>
      <c r="H13" s="3" t="n"/>
    </row>
    <row r="14">
      <c r="A14" t="inlineStr">
        <is>
          <t>Net Income From Continuing And Discontinued Operation</t>
        </is>
      </c>
      <c r="B14" s="3" t="n">
        <v>-33065000</v>
      </c>
      <c r="C14" s="3" t="n">
        <v>-41446000</v>
      </c>
      <c r="D14" s="3" t="n">
        <v>-29722000</v>
      </c>
      <c r="E14" s="3" t="n">
        <v>-24685000</v>
      </c>
      <c r="F14" s="3" t="n">
        <v>-9810000</v>
      </c>
      <c r="G14" s="3" t="n"/>
      <c r="H14" s="3" t="n"/>
    </row>
    <row r="15">
      <c r="A15" t="inlineStr">
        <is>
          <t>Total Expenses</t>
        </is>
      </c>
      <c r="B15" s="3" t="n">
        <v>51249000</v>
      </c>
      <c r="C15" s="3" t="n">
        <v>57096000</v>
      </c>
      <c r="D15" s="3" t="n">
        <v>36309000</v>
      </c>
      <c r="E15" s="3" t="n">
        <v>28015000</v>
      </c>
      <c r="F15" s="3" t="n">
        <v>17874000</v>
      </c>
      <c r="G15" s="3" t="n"/>
      <c r="H15" s="3" t="n"/>
    </row>
    <row r="16">
      <c r="A16" t="inlineStr">
        <is>
          <t>Total Operating Income As Reported</t>
        </is>
      </c>
      <c r="B16" s="3" t="n">
        <v>-51249000</v>
      </c>
      <c r="C16" s="3" t="n">
        <v>-57096000</v>
      </c>
      <c r="D16" s="3" t="n">
        <v>-36309000</v>
      </c>
      <c r="E16" s="3" t="n">
        <v>-28015000</v>
      </c>
      <c r="F16" s="3" t="n">
        <v>-17874000</v>
      </c>
      <c r="G16" s="3" t="n"/>
      <c r="H16" s="3" t="n"/>
    </row>
    <row r="17">
      <c r="A17" t="inlineStr">
        <is>
          <t>Diluted Average Shares</t>
        </is>
      </c>
      <c r="B17" s="3" t="n">
        <v>170333746</v>
      </c>
      <c r="C17" s="3" t="n"/>
      <c r="D17" s="3" t="n">
        <v>150364909</v>
      </c>
      <c r="E17" s="3" t="n">
        <v>140085498</v>
      </c>
      <c r="F17" s="3" t="n">
        <v>138109974</v>
      </c>
      <c r="G17" s="3" t="n"/>
      <c r="H17" s="3" t="n">
        <v>122134375</v>
      </c>
    </row>
    <row r="18">
      <c r="A18" t="inlineStr">
        <is>
          <t>Basic Average Shares</t>
        </is>
      </c>
      <c r="B18" s="3" t="n">
        <v>170333746</v>
      </c>
      <c r="C18" s="3" t="n"/>
      <c r="D18" s="3" t="n">
        <v>150364909</v>
      </c>
      <c r="E18" s="3" t="n">
        <v>140085498</v>
      </c>
      <c r="F18" s="3" t="n">
        <v>138109974</v>
      </c>
      <c r="G18" s="3" t="n"/>
      <c r="H18" s="3" t="n">
        <v>122134375</v>
      </c>
    </row>
    <row r="19">
      <c r="A19" t="inlineStr">
        <is>
          <t>Diluted EPS</t>
        </is>
      </c>
      <c r="B19" s="3" t="n">
        <v>-0.19</v>
      </c>
      <c r="C19" s="3" t="n"/>
      <c r="D19" s="3" t="n">
        <v>-0.2</v>
      </c>
      <c r="E19" s="3" t="n">
        <v>-0.18</v>
      </c>
      <c r="F19" s="3" t="n">
        <v>-0.07000000000000001</v>
      </c>
      <c r="G19" s="3" t="n"/>
      <c r="H19" s="3" t="n">
        <v>-0.08</v>
      </c>
    </row>
    <row r="20">
      <c r="A20" t="inlineStr">
        <is>
          <t>Basic EPS</t>
        </is>
      </c>
      <c r="B20" s="3" t="n">
        <v>-0.19</v>
      </c>
      <c r="C20" s="3" t="n"/>
      <c r="D20" s="3" t="n">
        <v>-0.2</v>
      </c>
      <c r="E20" s="3" t="n">
        <v>-0.18</v>
      </c>
      <c r="F20" s="3" t="n">
        <v>-0.07000000000000001</v>
      </c>
      <c r="G20" s="3" t="n"/>
      <c r="H20" s="3" t="n">
        <v>-0.08</v>
      </c>
    </row>
    <row r="21">
      <c r="A21" t="inlineStr">
        <is>
          <t>Diluted NI Availto Com Stockholders</t>
        </is>
      </c>
      <c r="B21" s="3" t="n">
        <v>-33065000</v>
      </c>
      <c r="C21" s="3" t="n">
        <v>-41446000</v>
      </c>
      <c r="D21" s="3" t="n">
        <v>-29722000</v>
      </c>
      <c r="E21" s="3" t="n">
        <v>-24685000</v>
      </c>
      <c r="F21" s="3" t="n">
        <v>-9810000</v>
      </c>
      <c r="G21" s="3" t="n"/>
      <c r="H21" s="3" t="n"/>
    </row>
    <row r="22">
      <c r="A22" t="inlineStr">
        <is>
          <t>Net Income Common Stockholders</t>
        </is>
      </c>
      <c r="B22" s="3" t="n">
        <v>-33065000</v>
      </c>
      <c r="C22" s="3" t="n">
        <v>-41446000</v>
      </c>
      <c r="D22" s="3" t="n">
        <v>-29722000</v>
      </c>
      <c r="E22" s="3" t="n">
        <v>-24685000</v>
      </c>
      <c r="F22" s="3" t="n">
        <v>-9810000</v>
      </c>
      <c r="G22" s="3" t="n"/>
      <c r="H22" s="3" t="n"/>
    </row>
    <row r="23">
      <c r="A23" t="inlineStr">
        <is>
          <t>Net Income</t>
        </is>
      </c>
      <c r="B23" s="3" t="n">
        <v>-33065000</v>
      </c>
      <c r="C23" s="3" t="n">
        <v>-41446000</v>
      </c>
      <c r="D23" s="3" t="n">
        <v>-29722000</v>
      </c>
      <c r="E23" s="3" t="n">
        <v>-24685000</v>
      </c>
      <c r="F23" s="3" t="n">
        <v>-9810000</v>
      </c>
      <c r="G23" s="3" t="n"/>
      <c r="H23" s="3" t="n"/>
    </row>
    <row r="24">
      <c r="A24" t="inlineStr">
        <is>
          <t>Net Income Including Noncontrolling Interests</t>
        </is>
      </c>
      <c r="B24" s="3" t="n">
        <v>-33065000</v>
      </c>
      <c r="C24" s="3" t="n">
        <v>-41446000</v>
      </c>
      <c r="D24" s="3" t="n">
        <v>-29722000</v>
      </c>
      <c r="E24" s="3" t="n">
        <v>-24685000</v>
      </c>
      <c r="F24" s="3" t="n">
        <v>-9810000</v>
      </c>
      <c r="G24" s="3" t="n"/>
      <c r="H24" s="3" t="n"/>
    </row>
    <row r="25">
      <c r="A25" t="inlineStr">
        <is>
          <t>Net Income Continuous Operations</t>
        </is>
      </c>
      <c r="B25" s="3" t="n">
        <v>-33065000</v>
      </c>
      <c r="C25" s="3" t="n">
        <v>-41446000</v>
      </c>
      <c r="D25" s="3" t="n">
        <v>-29722000</v>
      </c>
      <c r="E25" s="3" t="n">
        <v>-24685000</v>
      </c>
      <c r="F25" s="3" t="n">
        <v>-9810000</v>
      </c>
      <c r="G25" s="3" t="n"/>
      <c r="H25" s="3" t="n"/>
    </row>
    <row r="26">
      <c r="A26" t="inlineStr">
        <is>
          <t>Tax Provision</t>
        </is>
      </c>
      <c r="B26" s="3" t="n">
        <v>3155000</v>
      </c>
      <c r="C26" s="3" t="n">
        <v>-1080000</v>
      </c>
      <c r="D26" s="3" t="n">
        <v>531000</v>
      </c>
      <c r="E26" s="3" t="n">
        <v>431000</v>
      </c>
      <c r="F26" s="3" t="n">
        <v>-4411000</v>
      </c>
      <c r="G26" s="3" t="n"/>
      <c r="H26" s="3" t="n"/>
    </row>
    <row r="27">
      <c r="A27" t="inlineStr">
        <is>
          <t>Pretax Income</t>
        </is>
      </c>
      <c r="B27" s="3" t="n">
        <v>-29910000</v>
      </c>
      <c r="C27" s="3" t="n">
        <v>-42526000</v>
      </c>
      <c r="D27" s="3" t="n">
        <v>-29191000</v>
      </c>
      <c r="E27" s="3" t="n">
        <v>-24254000</v>
      </c>
      <c r="F27" s="3" t="n">
        <v>-14221000</v>
      </c>
      <c r="G27" s="3" t="n"/>
      <c r="H27" s="3" t="n"/>
    </row>
    <row r="28">
      <c r="A28" t="inlineStr">
        <is>
          <t>Other Income Expense</t>
        </is>
      </c>
      <c r="B28" s="3" t="n"/>
      <c r="C28" s="3" t="n"/>
      <c r="D28" s="3" t="n"/>
      <c r="E28" s="3" t="n"/>
      <c r="F28" s="3" t="n"/>
      <c r="G28" s="3" t="n">
        <v>2055959</v>
      </c>
      <c r="H28" s="3" t="n"/>
    </row>
    <row r="29">
      <c r="A29" t="inlineStr">
        <is>
          <t>Gain On Sale Of Security</t>
        </is>
      </c>
      <c r="B29" s="3" t="n"/>
      <c r="C29" s="3" t="n"/>
      <c r="D29" s="3" t="n"/>
      <c r="E29" s="3" t="n"/>
      <c r="F29" s="3" t="n"/>
      <c r="G29" s="3" t="n">
        <v>2055959</v>
      </c>
      <c r="H29" s="3" t="n"/>
    </row>
    <row r="30">
      <c r="A30" t="inlineStr">
        <is>
          <t>Net Non Operating Interest Income Expense</t>
        </is>
      </c>
      <c r="B30" s="3" t="n">
        <v>21339000</v>
      </c>
      <c r="C30" s="3" t="n">
        <v>14570000</v>
      </c>
      <c r="D30" s="3" t="n">
        <v>7118000</v>
      </c>
      <c r="E30" s="3" t="n">
        <v>3761000</v>
      </c>
      <c r="F30" s="3" t="n">
        <v>3653000</v>
      </c>
      <c r="G30" s="3" t="n"/>
      <c r="H30" s="3" t="n"/>
    </row>
    <row r="31">
      <c r="A31" t="inlineStr">
        <is>
          <t>Interest Income Non Operating</t>
        </is>
      </c>
      <c r="B31" s="3" t="n">
        <v>21339000</v>
      </c>
      <c r="C31" s="3" t="n">
        <v>14570000</v>
      </c>
      <c r="D31" s="3" t="n">
        <v>7118000</v>
      </c>
      <c r="E31" s="3" t="n">
        <v>3761000</v>
      </c>
      <c r="F31" s="3" t="n">
        <v>3653000</v>
      </c>
      <c r="G31" s="3" t="n"/>
      <c r="H31" s="3" t="n"/>
    </row>
    <row r="32">
      <c r="A32" t="inlineStr">
        <is>
          <t>Operating Income</t>
        </is>
      </c>
      <c r="B32" s="3" t="n">
        <v>-51249000</v>
      </c>
      <c r="C32" s="3" t="n">
        <v>-57096000</v>
      </c>
      <c r="D32" s="3" t="n">
        <v>-36309000</v>
      </c>
      <c r="E32" s="3" t="n">
        <v>-28015000</v>
      </c>
      <c r="F32" s="3" t="n">
        <v>-17874000</v>
      </c>
      <c r="G32" s="3" t="n"/>
      <c r="H32" s="3" t="n"/>
    </row>
    <row r="33">
      <c r="A33" t="inlineStr">
        <is>
          <t>Operating Expense</t>
        </is>
      </c>
      <c r="B33" s="3" t="n">
        <v>51249000</v>
      </c>
      <c r="C33" s="3" t="n">
        <v>57096000</v>
      </c>
      <c r="D33" s="3" t="n">
        <v>36309000</v>
      </c>
      <c r="E33" s="3" t="n">
        <v>28015000</v>
      </c>
      <c r="F33" s="3" t="n">
        <v>17874000</v>
      </c>
      <c r="G33" s="3" t="n"/>
      <c r="H33" s="3" t="n"/>
    </row>
    <row r="34">
      <c r="A34" t="inlineStr">
        <is>
          <t>Research And Development</t>
        </is>
      </c>
      <c r="B34" s="3" t="n">
        <v>27049000</v>
      </c>
      <c r="C34" s="3" t="n">
        <v>24593000</v>
      </c>
      <c r="D34" s="3" t="n">
        <v>14945000</v>
      </c>
      <c r="E34" s="3" t="n">
        <v>11468000</v>
      </c>
      <c r="F34" s="3" t="n">
        <v>7846000</v>
      </c>
      <c r="G34" s="3" t="n"/>
      <c r="H34" s="3" t="n"/>
    </row>
    <row r="35">
      <c r="A35" t="inlineStr">
        <is>
          <t>Selling General And Administration</t>
        </is>
      </c>
      <c r="B35" s="3" t="n">
        <v>24200000</v>
      </c>
      <c r="C35" s="3" t="n">
        <v>32503000</v>
      </c>
      <c r="D35" s="3" t="n">
        <v>21364000</v>
      </c>
      <c r="E35" s="3" t="n">
        <v>16547000</v>
      </c>
      <c r="F35" s="3" t="n">
        <v>10028000</v>
      </c>
      <c r="G35" s="3" t="n"/>
      <c r="H35" s="3" t="n"/>
    </row>
    <row r="36">
      <c r="A36" t="inlineStr">
        <is>
          <t>General And Administrative Expense</t>
        </is>
      </c>
      <c r="B36" s="3" t="n">
        <v>24200000</v>
      </c>
      <c r="C36" s="3" t="n">
        <v>32503000</v>
      </c>
      <c r="D36" s="3" t="n">
        <v>21364000</v>
      </c>
      <c r="E36" s="3" t="n">
        <v>16547000</v>
      </c>
      <c r="F36" s="3" t="n">
        <v>10028000</v>
      </c>
      <c r="G36" s="3" t="n"/>
      <c r="H36" s="3" t="n"/>
    </row>
    <row r="37">
      <c r="A37" t="inlineStr">
        <is>
          <t>Other Gand A</t>
        </is>
      </c>
      <c r="B37" s="3" t="n">
        <v>24200000</v>
      </c>
      <c r="C37" s="3" t="n">
        <v>32503000</v>
      </c>
      <c r="D37" s="3" t="n">
        <v>21364000</v>
      </c>
      <c r="E37" s="3" t="n">
        <v>16547000</v>
      </c>
      <c r="F37" s="3" t="n">
        <v>10028000</v>
      </c>
      <c r="G37" s="3" t="n"/>
      <c r="H37" s="3" t="n"/>
    </row>
    <row r="38">
      <c r="A38" t="inlineStr">
        <is>
          <t>Salaries And Wages</t>
        </is>
      </c>
      <c r="B38" s="3" t="n"/>
      <c r="C38" s="3" t="n"/>
      <c r="D38" s="3" t="n"/>
      <c r="E38" s="3" t="n"/>
      <c r="F38" s="3" t="n"/>
      <c r="G38" s="3" t="n"/>
      <c r="H38" s="3" t="n">
        <v>3168622</v>
      </c>
    </row>
    <row r="39">
      <c r="A39" t="inlineStr">
        <is>
          <t>Total Revenue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/>
      <c r="H39" s="3" t="n"/>
    </row>
    <row r="40">
      <c r="A40" t="inlineStr">
        <is>
          <t>Operating Revenue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/>
      <c r="H4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160514103</v>
      </c>
      <c r="C2" s="3" t="n">
        <v>137706596</v>
      </c>
      <c r="D2" s="3" t="n">
        <v>122096270</v>
      </c>
      <c r="E2" s="3" t="n">
        <v>122096270</v>
      </c>
      <c r="F2" s="3" t="n"/>
    </row>
    <row r="3">
      <c r="A3" t="inlineStr">
        <is>
          <t>Share Issued</t>
        </is>
      </c>
      <c r="B3" s="3" t="n">
        <v>160514103</v>
      </c>
      <c r="C3" s="3" t="n">
        <v>137706596</v>
      </c>
      <c r="D3" s="3" t="n">
        <v>122096270</v>
      </c>
      <c r="E3" s="3" t="n">
        <v>122096270</v>
      </c>
      <c r="F3" s="3" t="n"/>
    </row>
    <row r="4">
      <c r="A4" t="inlineStr">
        <is>
          <t>Total Debt</t>
        </is>
      </c>
      <c r="B4" s="3" t="n">
        <v>1450000</v>
      </c>
      <c r="C4" s="3" t="n">
        <v>1024000</v>
      </c>
      <c r="D4" s="3" t="n">
        <v>250000</v>
      </c>
      <c r="E4" s="3" t="n">
        <v>304181</v>
      </c>
      <c r="F4" s="3" t="n"/>
    </row>
    <row r="5">
      <c r="A5" t="inlineStr">
        <is>
          <t>Tangible Book Value</t>
        </is>
      </c>
      <c r="B5" s="3" t="n">
        <v>1442089000</v>
      </c>
      <c r="C5" s="3" t="n">
        <v>250857000</v>
      </c>
      <c r="D5" s="3" t="n">
        <v>-34361000</v>
      </c>
      <c r="E5" s="3" t="n">
        <v>-28111066</v>
      </c>
      <c r="F5" s="3" t="n"/>
    </row>
    <row r="6">
      <c r="A6" t="inlineStr">
        <is>
          <t>Invested Capital</t>
        </is>
      </c>
      <c r="B6" s="3" t="n">
        <v>1476210000</v>
      </c>
      <c r="C6" s="3" t="n">
        <v>250857000</v>
      </c>
      <c r="D6" s="3" t="n">
        <v>-34205000</v>
      </c>
      <c r="E6" s="3" t="n">
        <v>-28111066</v>
      </c>
      <c r="F6" s="3" t="n"/>
    </row>
    <row r="7">
      <c r="A7" t="inlineStr">
        <is>
          <t>Working Capital</t>
        </is>
      </c>
      <c r="B7" s="3" t="n">
        <v>1228223000</v>
      </c>
      <c r="C7" s="3" t="n">
        <v>226603000</v>
      </c>
      <c r="D7" s="3" t="n">
        <v>10995000</v>
      </c>
      <c r="E7" s="3" t="n">
        <v>9854216</v>
      </c>
      <c r="F7" s="3" t="n"/>
    </row>
    <row r="8">
      <c r="A8" t="inlineStr">
        <is>
          <t>Net Tangible Assets</t>
        </is>
      </c>
      <c r="B8" s="3" t="n">
        <v>1442089000</v>
      </c>
      <c r="C8" s="3" t="n">
        <v>250857000</v>
      </c>
      <c r="D8" s="3" t="n">
        <v>-34361000</v>
      </c>
      <c r="E8" s="3" t="n">
        <v>-28111066</v>
      </c>
      <c r="F8" s="3" t="n"/>
    </row>
    <row r="9">
      <c r="A9" t="inlineStr">
        <is>
          <t>Capital Lease Obligations</t>
        </is>
      </c>
      <c r="B9" s="3" t="n">
        <v>1450000</v>
      </c>
      <c r="C9" s="3" t="n">
        <v>1024000</v>
      </c>
      <c r="D9" s="3" t="n">
        <v>94000</v>
      </c>
      <c r="E9" s="3" t="n">
        <v>304181</v>
      </c>
      <c r="F9" s="3" t="n"/>
    </row>
    <row r="10">
      <c r="A10" t="inlineStr">
        <is>
          <t>Common Stock Equity</t>
        </is>
      </c>
      <c r="B10" s="3" t="n">
        <v>1476210000</v>
      </c>
      <c r="C10" s="3" t="n">
        <v>250857000</v>
      </c>
      <c r="D10" s="3" t="n">
        <v>-34361000</v>
      </c>
      <c r="E10" s="3" t="n">
        <v>-28111066</v>
      </c>
      <c r="F10" s="3" t="n"/>
    </row>
    <row r="11">
      <c r="A11" t="inlineStr">
        <is>
          <t>Total Capitalization</t>
        </is>
      </c>
      <c r="B11" s="3" t="n">
        <v>1476210000</v>
      </c>
      <c r="C11" s="3" t="n">
        <v>250857000</v>
      </c>
      <c r="D11" s="3" t="n">
        <v>-34361000</v>
      </c>
      <c r="E11" s="3" t="n">
        <v>-28111066</v>
      </c>
      <c r="F11" s="3" t="n"/>
    </row>
    <row r="12">
      <c r="A12" t="inlineStr">
        <is>
          <t>Total Equity Gross Minority Interest</t>
        </is>
      </c>
      <c r="B12" s="3" t="n">
        <v>1476210000</v>
      </c>
      <c r="C12" s="3" t="n">
        <v>250857000</v>
      </c>
      <c r="D12" s="3" t="n">
        <v>-34361000</v>
      </c>
      <c r="E12" s="3" t="n">
        <v>-28111066</v>
      </c>
      <c r="F12" s="3" t="n"/>
    </row>
    <row r="13">
      <c r="A13" t="inlineStr">
        <is>
          <t>Stockholders Equity</t>
        </is>
      </c>
      <c r="B13" s="3" t="n">
        <v>1476210000</v>
      </c>
      <c r="C13" s="3" t="n">
        <v>250857000</v>
      </c>
      <c r="D13" s="3" t="n">
        <v>-34361000</v>
      </c>
      <c r="E13" s="3" t="n">
        <v>-28111066</v>
      </c>
      <c r="F13" s="3" t="n"/>
    </row>
    <row r="14">
      <c r="A14" t="inlineStr">
        <is>
          <t>Gains Losses Not Affecting Retained Earnings</t>
        </is>
      </c>
      <c r="B14" s="3" t="n">
        <v>1179000</v>
      </c>
      <c r="C14" s="3" t="n">
        <v>2213000</v>
      </c>
      <c r="D14" s="3" t="n">
        <v>0</v>
      </c>
      <c r="E14" s="3" t="n"/>
      <c r="F14" s="3" t="n"/>
    </row>
    <row r="15">
      <c r="A15" t="inlineStr">
        <is>
          <t>Other Equity Adjustments</t>
        </is>
      </c>
      <c r="B15" s="3" t="n">
        <v>1179000</v>
      </c>
      <c r="C15" s="3" t="n">
        <v>2213000</v>
      </c>
      <c r="D15" s="3" t="n"/>
      <c r="E15" s="3" t="n"/>
      <c r="F15" s="3" t="n"/>
    </row>
    <row r="16">
      <c r="A16" t="inlineStr">
        <is>
          <t>Retained Earnings</t>
        </is>
      </c>
      <c r="B16" s="3" t="n">
        <v>-240772000</v>
      </c>
      <c r="C16" s="3" t="n">
        <v>-135109000</v>
      </c>
      <c r="D16" s="3" t="n">
        <v>-61493000</v>
      </c>
      <c r="E16" s="3" t="n">
        <v>-29320787</v>
      </c>
      <c r="F16" s="3" t="n"/>
    </row>
    <row r="17">
      <c r="A17" t="inlineStr">
        <is>
          <t>Additional Paid In Capital</t>
        </is>
      </c>
      <c r="B17" s="3" t="n">
        <v>1715787000</v>
      </c>
      <c r="C17" s="3" t="n">
        <v>383739000</v>
      </c>
      <c r="D17" s="3" t="n">
        <v>27125000</v>
      </c>
      <c r="E17" s="3" t="n">
        <v>1209244</v>
      </c>
      <c r="F17" s="3" t="n"/>
    </row>
    <row r="18">
      <c r="A18" t="inlineStr">
        <is>
          <t>Capital Stock</t>
        </is>
      </c>
      <c r="B18" s="3" t="n">
        <v>16000</v>
      </c>
      <c r="C18" s="3" t="n">
        <v>14000</v>
      </c>
      <c r="D18" s="3" t="n">
        <v>7000</v>
      </c>
      <c r="E18" s="3" t="n">
        <v>477</v>
      </c>
      <c r="F18" s="3" t="n"/>
    </row>
    <row r="19">
      <c r="A19" t="inlineStr">
        <is>
          <t>Common Stock</t>
        </is>
      </c>
      <c r="B19" s="3" t="n">
        <v>16000</v>
      </c>
      <c r="C19" s="3" t="n">
        <v>14000</v>
      </c>
      <c r="D19" s="3" t="n">
        <v>7000</v>
      </c>
      <c r="E19" s="3" t="n">
        <v>477</v>
      </c>
      <c r="F19" s="3" t="n"/>
    </row>
    <row r="20">
      <c r="A20" t="inlineStr">
        <is>
          <t>Total Liabilities Net Minority Interest</t>
        </is>
      </c>
      <c r="B20" s="3" t="n">
        <v>52247000</v>
      </c>
      <c r="C20" s="3" t="n">
        <v>30879000</v>
      </c>
      <c r="D20" s="3" t="n">
        <v>49246000</v>
      </c>
      <c r="E20" s="3" t="n">
        <v>39098491</v>
      </c>
      <c r="F20" s="3" t="n"/>
    </row>
    <row r="21">
      <c r="A21" t="inlineStr">
        <is>
          <t>Total Non Current Liabilities Net Minority Interest</t>
        </is>
      </c>
      <c r="B21" s="3" t="n">
        <v>26701000</v>
      </c>
      <c r="C21" s="3" t="n">
        <v>25543000</v>
      </c>
      <c r="D21" s="3" t="n">
        <v>46042000</v>
      </c>
      <c r="E21" s="3" t="n">
        <v>38464455</v>
      </c>
      <c r="F21" s="3" t="n"/>
    </row>
    <row r="22">
      <c r="A22" t="inlineStr">
        <is>
          <t>Other Non Current Liabilities</t>
        </is>
      </c>
      <c r="B22" s="3" t="n">
        <v>25000000</v>
      </c>
      <c r="C22" s="3" t="n">
        <v>25000000</v>
      </c>
      <c r="D22" s="3" t="n"/>
      <c r="E22" s="3" t="n"/>
      <c r="F22" s="3" t="n"/>
    </row>
    <row r="23">
      <c r="A23" t="inlineStr">
        <is>
          <t>Preferred Securities Outside Stock Equity</t>
        </is>
      </c>
      <c r="B23" s="3" t="n"/>
      <c r="C23" s="3" t="n"/>
      <c r="D23" s="3" t="n"/>
      <c r="E23" s="3" t="n">
        <v>25030520</v>
      </c>
      <c r="F23" s="3" t="n">
        <v>25030520</v>
      </c>
    </row>
    <row r="24">
      <c r="A24" t="inlineStr">
        <is>
          <t>Derivative Product Liabilities</t>
        </is>
      </c>
      <c r="B24" s="3" t="n"/>
      <c r="C24" s="3" t="n">
        <v>0</v>
      </c>
      <c r="D24" s="3" t="n">
        <v>46042000</v>
      </c>
      <c r="E24" s="3" t="n">
        <v>13340000</v>
      </c>
      <c r="F24" s="3" t="n">
        <v>4000000</v>
      </c>
    </row>
    <row r="25">
      <c r="A25" t="inlineStr">
        <is>
          <t>Non Current Deferred Liabilities</t>
        </is>
      </c>
      <c r="B25" s="3" t="n">
        <v>1155000</v>
      </c>
      <c r="C25" s="3" t="n">
        <v>0</v>
      </c>
      <c r="D25" s="3" t="n"/>
      <c r="E25" s="3" t="n"/>
      <c r="F25" s="3" t="n"/>
    </row>
    <row r="26">
      <c r="A26" t="inlineStr">
        <is>
          <t>Non Current Deferred Taxes Liabilities</t>
        </is>
      </c>
      <c r="B26" s="3" t="n">
        <v>1155000</v>
      </c>
      <c r="C26" s="3" t="n">
        <v>0</v>
      </c>
      <c r="D26" s="3" t="n"/>
      <c r="E26" s="3" t="n"/>
      <c r="F26" s="3" t="n"/>
    </row>
    <row r="27">
      <c r="A27" t="inlineStr">
        <is>
          <t>Long Term Debt And Capital Lease Obligation</t>
        </is>
      </c>
      <c r="B27" s="3" t="n">
        <v>546000</v>
      </c>
      <c r="C27" s="3" t="n">
        <v>543000</v>
      </c>
      <c r="D27" s="3" t="n"/>
      <c r="E27" s="3" t="n">
        <v>93935</v>
      </c>
      <c r="F27" s="3" t="n">
        <v>304181</v>
      </c>
    </row>
    <row r="28">
      <c r="A28" t="inlineStr">
        <is>
          <t>Long Term Capital Lease Obligation</t>
        </is>
      </c>
      <c r="B28" s="3" t="n">
        <v>546000</v>
      </c>
      <c r="C28" s="3" t="n">
        <v>543000</v>
      </c>
      <c r="D28" s="3" t="n">
        <v>0</v>
      </c>
      <c r="E28" s="3" t="n">
        <v>93935</v>
      </c>
      <c r="F28" s="3" t="n"/>
    </row>
    <row r="29">
      <c r="A29" t="inlineStr">
        <is>
          <t>Current Liabilities</t>
        </is>
      </c>
      <c r="B29" s="3" t="n">
        <v>25546000</v>
      </c>
      <c r="C29" s="3" t="n">
        <v>5336000</v>
      </c>
      <c r="D29" s="3" t="n">
        <v>3204000</v>
      </c>
      <c r="E29" s="3" t="n">
        <v>634036</v>
      </c>
      <c r="F29" s="3" t="n"/>
    </row>
    <row r="30">
      <c r="A30" t="inlineStr">
        <is>
          <t>Other Current Liabilities</t>
        </is>
      </c>
      <c r="B30" s="3" t="n">
        <v>451000</v>
      </c>
      <c r="C30" s="3" t="n">
        <v>463000</v>
      </c>
      <c r="D30" s="3" t="n"/>
      <c r="E30" s="3" t="n"/>
      <c r="F30" s="3" t="n"/>
    </row>
    <row r="31">
      <c r="A31" t="inlineStr">
        <is>
          <t>Current Debt And Capital Lease Obligation</t>
        </is>
      </c>
      <c r="B31" s="3" t="n">
        <v>904000</v>
      </c>
      <c r="C31" s="3" t="n">
        <v>481000</v>
      </c>
      <c r="D31" s="3" t="n">
        <v>250000</v>
      </c>
      <c r="E31" s="3" t="n">
        <v>210246</v>
      </c>
      <c r="F31" s="3" t="n"/>
    </row>
    <row r="32">
      <c r="A32" t="inlineStr">
        <is>
          <t>Current Capital Lease Obligation</t>
        </is>
      </c>
      <c r="B32" s="3" t="n">
        <v>904000</v>
      </c>
      <c r="C32" s="3" t="n">
        <v>481000</v>
      </c>
      <c r="D32" s="3" t="n">
        <v>94000</v>
      </c>
      <c r="E32" s="3" t="n">
        <v>210246</v>
      </c>
      <c r="F32" s="3" t="n"/>
    </row>
    <row r="33">
      <c r="A33" t="inlineStr">
        <is>
          <t>Current Debt</t>
        </is>
      </c>
      <c r="B33" s="3" t="n"/>
      <c r="C33" s="3" t="n">
        <v>261000</v>
      </c>
      <c r="D33" s="3" t="n">
        <v>156000</v>
      </c>
      <c r="E33" s="3" t="n"/>
      <c r="F33" s="3" t="n"/>
    </row>
    <row r="34">
      <c r="A34" t="inlineStr">
        <is>
          <t>Line Of Credit</t>
        </is>
      </c>
      <c r="B34" s="3" t="n"/>
      <c r="C34" s="3" t="n">
        <v>261000</v>
      </c>
      <c r="D34" s="3" t="n">
        <v>156000</v>
      </c>
      <c r="E34" s="3" t="n"/>
      <c r="F34" s="3" t="n"/>
    </row>
    <row r="35">
      <c r="A35" t="inlineStr">
        <is>
          <t>Payables And Accrued Expenses</t>
        </is>
      </c>
      <c r="B35" s="3" t="n">
        <v>24191000</v>
      </c>
      <c r="C35" s="3" t="n">
        <v>4392000</v>
      </c>
      <c r="D35" s="3" t="n">
        <v>2954000</v>
      </c>
      <c r="E35" s="3" t="n">
        <v>423790</v>
      </c>
      <c r="F35" s="3" t="n"/>
    </row>
    <row r="36">
      <c r="A36" t="inlineStr">
        <is>
          <t>Current Accrued Expenses</t>
        </is>
      </c>
      <c r="B36" s="3" t="n">
        <v>20046000</v>
      </c>
      <c r="C36" s="3" t="n">
        <v>1422000</v>
      </c>
      <c r="D36" s="3" t="n">
        <v>680000</v>
      </c>
      <c r="E36" s="3" t="n">
        <v>87169</v>
      </c>
      <c r="F36" s="3" t="n"/>
    </row>
    <row r="37">
      <c r="A37" t="inlineStr">
        <is>
          <t>Payables</t>
        </is>
      </c>
      <c r="B37" s="3" t="n">
        <v>4145000</v>
      </c>
      <c r="C37" s="3" t="n">
        <v>2970000</v>
      </c>
      <c r="D37" s="3" t="n">
        <v>2274000</v>
      </c>
      <c r="E37" s="3" t="n">
        <v>336621</v>
      </c>
      <c r="F37" s="3" t="n"/>
    </row>
    <row r="38">
      <c r="A38" t="inlineStr">
        <is>
          <t>Total Tax Payable</t>
        </is>
      </c>
      <c r="B38" s="3" t="n"/>
      <c r="C38" s="3" t="n">
        <v>202000</v>
      </c>
      <c r="D38" s="3" t="n">
        <v>0</v>
      </c>
      <c r="E38" s="3" t="n"/>
      <c r="F38" s="3" t="n"/>
    </row>
    <row r="39">
      <c r="A39" t="inlineStr">
        <is>
          <t>Accounts Payable</t>
        </is>
      </c>
      <c r="B39" s="3" t="n">
        <v>4145000</v>
      </c>
      <c r="C39" s="3" t="n">
        <v>2970000</v>
      </c>
      <c r="D39" s="3" t="n">
        <v>2274000</v>
      </c>
      <c r="E39" s="3" t="n">
        <v>336621</v>
      </c>
      <c r="F39" s="3" t="n"/>
    </row>
    <row r="40">
      <c r="A40" t="inlineStr">
        <is>
          <t>Total Assets</t>
        </is>
      </c>
      <c r="B40" s="3" t="n">
        <v>1528457000</v>
      </c>
      <c r="C40" s="3" t="n">
        <v>281736000</v>
      </c>
      <c r="D40" s="3" t="n">
        <v>14885000</v>
      </c>
      <c r="E40" s="3" t="n">
        <v>10987425</v>
      </c>
      <c r="F40" s="3" t="n"/>
    </row>
    <row r="41">
      <c r="A41" t="inlineStr">
        <is>
          <t>Total Non Current Assets</t>
        </is>
      </c>
      <c r="B41" s="3" t="n">
        <v>274688000</v>
      </c>
      <c r="C41" s="3" t="n">
        <v>49797000</v>
      </c>
      <c r="D41" s="3" t="n">
        <v>686000</v>
      </c>
      <c r="E41" s="3" t="n">
        <v>499173</v>
      </c>
      <c r="F41" s="3" t="n"/>
    </row>
    <row r="42">
      <c r="A42" t="inlineStr">
        <is>
          <t>Other Non Current Assets</t>
        </is>
      </c>
      <c r="B42" s="3" t="n">
        <v>217000</v>
      </c>
      <c r="C42" s="3" t="n">
        <v>140000</v>
      </c>
      <c r="D42" s="3" t="n">
        <v>25000</v>
      </c>
      <c r="E42" s="3" t="n">
        <v>51270</v>
      </c>
      <c r="F42" s="3" t="n"/>
    </row>
    <row r="43">
      <c r="A43" t="inlineStr">
        <is>
          <t>Investments And Advances</t>
        </is>
      </c>
      <c r="B43" s="3" t="n">
        <v>196654000</v>
      </c>
      <c r="C43" s="3" t="n">
        <v>47473000</v>
      </c>
      <c r="D43" s="3" t="n">
        <v>0</v>
      </c>
      <c r="E43" s="3" t="n"/>
      <c r="F43" s="3" t="n"/>
    </row>
    <row r="44">
      <c r="A44" t="inlineStr">
        <is>
          <t>Other Investments</t>
        </is>
      </c>
      <c r="B44" s="3" t="n">
        <v>12086000</v>
      </c>
      <c r="C44" s="3" t="n">
        <v>0</v>
      </c>
      <c r="D44" s="3" t="n"/>
      <c r="E44" s="3" t="n"/>
      <c r="F44" s="3" t="n"/>
    </row>
    <row r="45">
      <c r="A45" t="inlineStr">
        <is>
          <t>Investmentin Financial Assets</t>
        </is>
      </c>
      <c r="B45" s="3" t="n">
        <v>184568000</v>
      </c>
      <c r="C45" s="3" t="n">
        <v>47473000</v>
      </c>
      <c r="D45" s="3" t="n">
        <v>0</v>
      </c>
      <c r="E45" s="3" t="n"/>
      <c r="F45" s="3" t="n"/>
    </row>
    <row r="46">
      <c r="A46" t="inlineStr">
        <is>
          <t>Held To Maturity Securities</t>
        </is>
      </c>
      <c r="B46" s="3" t="n"/>
      <c r="C46" s="3" t="n">
        <v>47473000</v>
      </c>
      <c r="D46" s="3" t="n">
        <v>0</v>
      </c>
      <c r="E46" s="3" t="n"/>
      <c r="F46" s="3" t="n"/>
    </row>
    <row r="47">
      <c r="A47" t="inlineStr">
        <is>
          <t>Available For Sale Securities</t>
        </is>
      </c>
      <c r="B47" s="3" t="n">
        <v>184568000</v>
      </c>
      <c r="C47" s="3" t="n">
        <v>47473000</v>
      </c>
      <c r="D47" s="3" t="n"/>
      <c r="E47" s="3" t="n"/>
      <c r="F47" s="3" t="n"/>
    </row>
    <row r="48">
      <c r="A48" t="inlineStr">
        <is>
          <t>Goodwill And Other Intangible Assets</t>
        </is>
      </c>
      <c r="B48" s="3" t="n">
        <v>34121000</v>
      </c>
      <c r="C48" s="3" t="n">
        <v>0</v>
      </c>
      <c r="D48" s="3" t="n"/>
      <c r="E48" s="3" t="n"/>
      <c r="F48" s="3" t="n"/>
    </row>
    <row r="49">
      <c r="A49" t="inlineStr">
        <is>
          <t>Other Intangible Assets</t>
        </is>
      </c>
      <c r="B49" s="3" t="n">
        <v>27500000</v>
      </c>
      <c r="C49" s="3" t="n"/>
      <c r="D49" s="3" t="n"/>
      <c r="E49" s="3" t="n"/>
      <c r="F49" s="3" t="n"/>
    </row>
    <row r="50">
      <c r="A50" t="inlineStr">
        <is>
          <t>Goodwill</t>
        </is>
      </c>
      <c r="B50" s="3" t="n">
        <v>6621000</v>
      </c>
      <c r="C50" s="3" t="n">
        <v>0</v>
      </c>
      <c r="D50" s="3" t="n"/>
      <c r="E50" s="3" t="n"/>
      <c r="F50" s="3" t="n"/>
    </row>
    <row r="51">
      <c r="A51" t="inlineStr">
        <is>
          <t>Net PPE</t>
        </is>
      </c>
      <c r="B51" s="3" t="n">
        <v>43696000</v>
      </c>
      <c r="C51" s="3" t="n">
        <v>2184000</v>
      </c>
      <c r="D51" s="3" t="n">
        <v>661000</v>
      </c>
      <c r="E51" s="3" t="n">
        <v>447903</v>
      </c>
      <c r="F51" s="3" t="n"/>
    </row>
    <row r="52">
      <c r="A52" t="inlineStr">
        <is>
          <t>Accumulated Depreciation</t>
        </is>
      </c>
      <c r="B52" s="3" t="n">
        <v>-897000</v>
      </c>
      <c r="C52" s="3" t="n">
        <v>-375000</v>
      </c>
      <c r="D52" s="3" t="n">
        <v>-107000</v>
      </c>
      <c r="E52" s="3" t="n">
        <v>-32103</v>
      </c>
      <c r="F52" s="3" t="n"/>
    </row>
    <row r="53">
      <c r="A53" t="inlineStr">
        <is>
          <t>Gross PPE</t>
        </is>
      </c>
      <c r="B53" s="3" t="n">
        <v>44593000</v>
      </c>
      <c r="C53" s="3" t="n">
        <v>2559000</v>
      </c>
      <c r="D53" s="3" t="n">
        <v>768000</v>
      </c>
      <c r="E53" s="3" t="n">
        <v>480006</v>
      </c>
      <c r="F53" s="3" t="n"/>
    </row>
    <row r="54">
      <c r="A54" t="inlineStr">
        <is>
          <t>Leases</t>
        </is>
      </c>
      <c r="B54" s="3" t="n">
        <v>62000</v>
      </c>
      <c r="C54" s="3" t="n">
        <v>45000</v>
      </c>
      <c r="D54" s="3" t="n">
        <v>31000</v>
      </c>
      <c r="E54" s="3" t="n">
        <v>59070</v>
      </c>
      <c r="F54" s="3" t="n"/>
    </row>
    <row r="55">
      <c r="A55" t="inlineStr">
        <is>
          <t>Construction In Progress</t>
        </is>
      </c>
      <c r="B55" s="3" t="n">
        <v>35748000</v>
      </c>
      <c r="C55" s="3" t="n">
        <v>0</v>
      </c>
      <c r="D55" s="3" t="n"/>
      <c r="E55" s="3" t="n"/>
      <c r="F55" s="3" t="n"/>
    </row>
    <row r="56">
      <c r="A56" t="inlineStr">
        <is>
          <t>Other Properties</t>
        </is>
      </c>
      <c r="B56" s="3" t="n">
        <v>8783000</v>
      </c>
      <c r="C56" s="3" t="n">
        <v>2514000</v>
      </c>
      <c r="D56" s="3" t="n">
        <v>737000</v>
      </c>
      <c r="E56" s="3" t="n">
        <v>420936</v>
      </c>
      <c r="F56" s="3" t="n"/>
    </row>
    <row r="57">
      <c r="A57" t="inlineStr">
        <is>
          <t>Current Assets</t>
        </is>
      </c>
      <c r="B57" s="3" t="n">
        <v>1253769000</v>
      </c>
      <c r="C57" s="3" t="n">
        <v>231939000</v>
      </c>
      <c r="D57" s="3" t="n">
        <v>14199000</v>
      </c>
      <c r="E57" s="3" t="n">
        <v>10488252</v>
      </c>
      <c r="F57" s="3" t="n"/>
    </row>
    <row r="58">
      <c r="A58" t="inlineStr">
        <is>
          <t>Other Current Assets</t>
        </is>
      </c>
      <c r="B58" s="3" t="n">
        <v>1969000</v>
      </c>
      <c r="C58" s="3" t="n">
        <v>868000</v>
      </c>
      <c r="D58" s="3" t="n"/>
      <c r="E58" s="3" t="n"/>
      <c r="F58" s="3" t="n"/>
    </row>
    <row r="59">
      <c r="A59" t="inlineStr">
        <is>
          <t>Current Deferred Assets</t>
        </is>
      </c>
      <c r="B59" s="3" t="n"/>
      <c r="C59" s="3" t="n">
        <v>0</v>
      </c>
      <c r="D59" s="3" t="n">
        <v>3710000</v>
      </c>
      <c r="E59" s="3" t="n">
        <v>164358</v>
      </c>
      <c r="F59" s="3" t="n">
        <v>0</v>
      </c>
    </row>
    <row r="60">
      <c r="A60" t="inlineStr">
        <is>
          <t>Prepaid Assets</t>
        </is>
      </c>
      <c r="B60" s="3" t="n">
        <v>18853000</v>
      </c>
      <c r="C60" s="3" t="n">
        <v>2119000</v>
      </c>
      <c r="D60" s="3" t="n">
        <v>495000</v>
      </c>
      <c r="E60" s="3" t="n">
        <v>279366</v>
      </c>
      <c r="F60" s="3" t="n"/>
    </row>
    <row r="61">
      <c r="A61" t="inlineStr">
        <is>
          <t>Receivables</t>
        </is>
      </c>
      <c r="B61" s="3" t="n">
        <v>4976000</v>
      </c>
      <c r="C61" s="3" t="n">
        <v>1138000</v>
      </c>
      <c r="D61" s="3" t="n">
        <v>126000</v>
      </c>
      <c r="E61" s="3" t="n">
        <v>391000</v>
      </c>
      <c r="F61" s="3" t="n"/>
    </row>
    <row r="62">
      <c r="A62" t="inlineStr">
        <is>
          <t>Other Receivables</t>
        </is>
      </c>
      <c r="B62" s="3" t="n"/>
      <c r="C62" s="3" t="n">
        <v>600000</v>
      </c>
      <c r="D62" s="3" t="n">
        <v>126000</v>
      </c>
      <c r="E62" s="3" t="n">
        <v>391000</v>
      </c>
      <c r="F62" s="3" t="n"/>
    </row>
    <row r="63">
      <c r="A63" t="inlineStr">
        <is>
          <t>Accrued Interest Receivable</t>
        </is>
      </c>
      <c r="B63" s="3" t="n">
        <v>4976000</v>
      </c>
      <c r="C63" s="3" t="n">
        <v>1138000</v>
      </c>
      <c r="D63" s="3" t="n">
        <v>0</v>
      </c>
      <c r="E63" s="3" t="n"/>
      <c r="F63" s="3" t="n"/>
    </row>
    <row r="64">
      <c r="A64" t="inlineStr">
        <is>
          <t>Cash Cash Equivalents And Short Term Investments</t>
        </is>
      </c>
      <c r="B64" s="3" t="n">
        <v>1227971000</v>
      </c>
      <c r="C64" s="3" t="n">
        <v>227814000</v>
      </c>
      <c r="D64" s="3" t="n">
        <v>9868000</v>
      </c>
      <c r="E64" s="3" t="n">
        <v>9653528</v>
      </c>
      <c r="F64" s="3" t="n"/>
    </row>
    <row r="65">
      <c r="A65" t="inlineStr">
        <is>
          <t>Other Short Term Investments</t>
        </is>
      </c>
      <c r="B65" s="3" t="n">
        <v>439526000</v>
      </c>
      <c r="C65" s="3" t="n">
        <v>130682000</v>
      </c>
      <c r="D65" s="3" t="n">
        <v>0</v>
      </c>
      <c r="E65" s="3" t="n"/>
      <c r="F65" s="3" t="n"/>
    </row>
    <row r="66">
      <c r="A66" t="inlineStr">
        <is>
          <t>Cash And Cash Equivalents</t>
        </is>
      </c>
      <c r="B66" s="3" t="n">
        <v>788445000</v>
      </c>
      <c r="C66" s="3" t="n">
        <v>97132000</v>
      </c>
      <c r="D66" s="3" t="n">
        <v>9868000</v>
      </c>
      <c r="E66" s="3" t="n">
        <v>9653528</v>
      </c>
      <c r="F66" s="3" t="n"/>
    </row>
    <row r="67">
      <c r="A67" t="inlineStr">
        <is>
          <t>Cash Equivalents</t>
        </is>
      </c>
      <c r="B67" s="3" t="n">
        <v>777423000</v>
      </c>
      <c r="C67" s="3" t="n">
        <v>94112000</v>
      </c>
      <c r="D67" s="3" t="n"/>
      <c r="E67" s="3" t="n"/>
      <c r="F67" s="3" t="n"/>
    </row>
    <row r="68">
      <c r="A68" t="inlineStr">
        <is>
          <t>Cash Financial</t>
        </is>
      </c>
      <c r="B68" s="3" t="n">
        <v>11022000</v>
      </c>
      <c r="C68" s="3" t="n">
        <v>3020000</v>
      </c>
      <c r="D68" s="3" t="n"/>
      <c r="E68" s="3" t="n"/>
      <c r="F6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173867839</v>
      </c>
      <c r="C2" s="3" t="n">
        <v>160514103</v>
      </c>
      <c r="D2" s="3" t="n">
        <v>156186456</v>
      </c>
      <c r="E2" s="3" t="n">
        <v>147595514</v>
      </c>
      <c r="F2" s="3" t="n">
        <v>139188804</v>
      </c>
      <c r="G2" s="3" t="n"/>
      <c r="H2" s="3" t="n"/>
    </row>
    <row r="3">
      <c r="A3" t="inlineStr">
        <is>
          <t>Share Issued</t>
        </is>
      </c>
      <c r="B3" s="3" t="n">
        <v>173867839</v>
      </c>
      <c r="C3" s="3" t="n">
        <v>160514103</v>
      </c>
      <c r="D3" s="3" t="n">
        <v>156186456</v>
      </c>
      <c r="E3" s="3" t="n">
        <v>147595514</v>
      </c>
      <c r="F3" s="3" t="n">
        <v>139188804</v>
      </c>
      <c r="G3" s="3" t="n"/>
      <c r="H3" s="3" t="n"/>
    </row>
    <row r="4">
      <c r="A4" t="inlineStr">
        <is>
          <t>Total Debt</t>
        </is>
      </c>
      <c r="B4" s="3" t="n">
        <v>2620000</v>
      </c>
      <c r="C4" s="3" t="n">
        <v>1450000</v>
      </c>
      <c r="D4" s="3" t="n">
        <v>1944000</v>
      </c>
      <c r="E4" s="3" t="n">
        <v>2139000</v>
      </c>
      <c r="F4" s="3" t="n">
        <v>2053000</v>
      </c>
      <c r="G4" s="3" t="n"/>
      <c r="H4" s="3" t="n"/>
    </row>
    <row r="5">
      <c r="A5" t="inlineStr">
        <is>
          <t>Tangible Book Value</t>
        </is>
      </c>
      <c r="B5" s="3" t="n">
        <v>2604508000</v>
      </c>
      <c r="C5" s="3" t="n">
        <v>1442089000</v>
      </c>
      <c r="D5" s="3" t="n">
        <v>1171366000</v>
      </c>
      <c r="E5" s="3" t="n">
        <v>662191000</v>
      </c>
      <c r="F5" s="3" t="n">
        <v>235110000</v>
      </c>
      <c r="G5" s="3" t="n"/>
      <c r="H5" s="3" t="n"/>
    </row>
    <row r="6">
      <c r="A6" t="inlineStr">
        <is>
          <t>Invested Capital</t>
        </is>
      </c>
      <c r="B6" s="3" t="n">
        <v>2638629000</v>
      </c>
      <c r="C6" s="3" t="n">
        <v>1476210000</v>
      </c>
      <c r="D6" s="3" t="n">
        <v>1205869000</v>
      </c>
      <c r="E6" s="3" t="n">
        <v>696686000</v>
      </c>
      <c r="F6" s="3" t="n">
        <v>269590000</v>
      </c>
      <c r="G6" s="3" t="n"/>
      <c r="H6" s="3" t="n"/>
    </row>
    <row r="7">
      <c r="A7" t="inlineStr">
        <is>
          <t>Working Capital</t>
        </is>
      </c>
      <c r="B7" s="3" t="n">
        <v>2188522000</v>
      </c>
      <c r="C7" s="3" t="n">
        <v>1228223000</v>
      </c>
      <c r="D7" s="3" t="n">
        <v>917976000</v>
      </c>
      <c r="E7" s="3" t="n">
        <v>535048000</v>
      </c>
      <c r="F7" s="3" t="n">
        <v>199251000</v>
      </c>
      <c r="G7" s="3" t="n"/>
      <c r="H7" s="3" t="n"/>
    </row>
    <row r="8">
      <c r="A8" t="inlineStr">
        <is>
          <t>Net Tangible Assets</t>
        </is>
      </c>
      <c r="B8" s="3" t="n">
        <v>2604508000</v>
      </c>
      <c r="C8" s="3" t="n">
        <v>1442089000</v>
      </c>
      <c r="D8" s="3" t="n">
        <v>1171366000</v>
      </c>
      <c r="E8" s="3" t="n">
        <v>662191000</v>
      </c>
      <c r="F8" s="3" t="n">
        <v>235110000</v>
      </c>
      <c r="G8" s="3" t="n"/>
      <c r="H8" s="3" t="n"/>
    </row>
    <row r="9">
      <c r="A9" t="inlineStr">
        <is>
          <t>Capital Lease Obligations</t>
        </is>
      </c>
      <c r="B9" s="3" t="n">
        <v>2620000</v>
      </c>
      <c r="C9" s="3" t="n">
        <v>1450000</v>
      </c>
      <c r="D9" s="3" t="n">
        <v>1661000</v>
      </c>
      <c r="E9" s="3" t="n">
        <v>1864000</v>
      </c>
      <c r="F9" s="3" t="n">
        <v>1793000</v>
      </c>
      <c r="G9" s="3" t="n"/>
      <c r="H9" s="3" t="n"/>
    </row>
    <row r="10">
      <c r="A10" t="inlineStr">
        <is>
          <t>Common Stock Equity</t>
        </is>
      </c>
      <c r="B10" s="3" t="n">
        <v>2638629000</v>
      </c>
      <c r="C10" s="3" t="n">
        <v>1476210000</v>
      </c>
      <c r="D10" s="3" t="n">
        <v>1205586000</v>
      </c>
      <c r="E10" s="3" t="n">
        <v>696411000</v>
      </c>
      <c r="F10" s="3" t="n">
        <v>269330000</v>
      </c>
      <c r="G10" s="3" t="n"/>
      <c r="H10" s="3" t="n"/>
    </row>
    <row r="11">
      <c r="A11" t="inlineStr">
        <is>
          <t>Total Capitalization</t>
        </is>
      </c>
      <c r="B11" s="3" t="n">
        <v>2638629000</v>
      </c>
      <c r="C11" s="3" t="n">
        <v>1476210000</v>
      </c>
      <c r="D11" s="3" t="n">
        <v>1205586000</v>
      </c>
      <c r="E11" s="3" t="n">
        <v>696411000</v>
      </c>
      <c r="F11" s="3" t="n">
        <v>269330000</v>
      </c>
      <c r="G11" s="3" t="n"/>
      <c r="H11" s="3" t="n"/>
    </row>
    <row r="12">
      <c r="A12" t="inlineStr">
        <is>
          <t>Total Equity Gross Minority Interest</t>
        </is>
      </c>
      <c r="B12" s="3" t="n">
        <v>2638629000</v>
      </c>
      <c r="C12" s="3" t="n">
        <v>1476210000</v>
      </c>
      <c r="D12" s="3" t="n">
        <v>1205586000</v>
      </c>
      <c r="E12" s="3" t="n">
        <v>696411000</v>
      </c>
      <c r="F12" s="3" t="n">
        <v>269330000</v>
      </c>
      <c r="G12" s="3" t="n"/>
      <c r="H12" s="3" t="n"/>
    </row>
    <row r="13">
      <c r="A13" t="inlineStr">
        <is>
          <t>Stockholders Equity</t>
        </is>
      </c>
      <c r="B13" s="3" t="n">
        <v>2638629000</v>
      </c>
      <c r="C13" s="3" t="n">
        <v>1476210000</v>
      </c>
      <c r="D13" s="3" t="n">
        <v>1205586000</v>
      </c>
      <c r="E13" s="3" t="n">
        <v>696411000</v>
      </c>
      <c r="F13" s="3" t="n">
        <v>269330000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-1482000</v>
      </c>
      <c r="C14" s="3" t="n">
        <v>1179000</v>
      </c>
      <c r="D14" s="3" t="n">
        <v>3576000</v>
      </c>
      <c r="E14" s="3" t="n">
        <v>1323000</v>
      </c>
      <c r="F14" s="3" t="n">
        <v>1652000</v>
      </c>
      <c r="G14" s="3" t="n"/>
      <c r="H14" s="3" t="n"/>
    </row>
    <row r="15">
      <c r="A15" t="inlineStr">
        <is>
          <t>Other Equity Adjustments</t>
        </is>
      </c>
      <c r="B15" s="3" t="n">
        <v>-1482000</v>
      </c>
      <c r="C15" s="3" t="n">
        <v>1179000</v>
      </c>
      <c r="D15" s="3" t="n">
        <v>3576000</v>
      </c>
      <c r="E15" s="3" t="n">
        <v>1323000</v>
      </c>
      <c r="F15" s="3" t="n">
        <v>1652000</v>
      </c>
      <c r="G15" s="3" t="n"/>
      <c r="H15" s="3" t="n"/>
    </row>
    <row r="16">
      <c r="A16" t="inlineStr">
        <is>
          <t>Retained Earnings</t>
        </is>
      </c>
      <c r="B16" s="3" t="n">
        <v>-273837000</v>
      </c>
      <c r="C16" s="3" t="n">
        <v>-240772000</v>
      </c>
      <c r="D16" s="3" t="n">
        <v>-199326000</v>
      </c>
      <c r="E16" s="3" t="n">
        <v>-169604000</v>
      </c>
      <c r="F16" s="3" t="n">
        <v>-144919000</v>
      </c>
      <c r="G16" s="3" t="n"/>
      <c r="H16" s="3" t="n"/>
    </row>
    <row r="17">
      <c r="A17" t="inlineStr">
        <is>
          <t>Additional Paid In Capital</t>
        </is>
      </c>
      <c r="B17" s="3" t="n">
        <v>2913931000</v>
      </c>
      <c r="C17" s="3" t="n">
        <v>1715787000</v>
      </c>
      <c r="D17" s="3" t="n">
        <v>1401320000</v>
      </c>
      <c r="E17" s="3" t="n">
        <v>864677000</v>
      </c>
      <c r="F17" s="3" t="n">
        <v>412583000</v>
      </c>
      <c r="G17" s="3" t="n"/>
      <c r="H17" s="3" t="n"/>
    </row>
    <row r="18">
      <c r="A18" t="inlineStr">
        <is>
          <t>Capital Stock</t>
        </is>
      </c>
      <c r="B18" s="3" t="n">
        <v>17000</v>
      </c>
      <c r="C18" s="3" t="n">
        <v>16000</v>
      </c>
      <c r="D18" s="3" t="n">
        <v>16000</v>
      </c>
      <c r="E18" s="3" t="n">
        <v>15000</v>
      </c>
      <c r="F18" s="3" t="n">
        <v>14000</v>
      </c>
      <c r="G18" s="3" t="n"/>
      <c r="H18" s="3" t="n"/>
    </row>
    <row r="19">
      <c r="A19" t="inlineStr">
        <is>
          <t>Common Stock</t>
        </is>
      </c>
      <c r="B19" s="3" t="n">
        <v>17000</v>
      </c>
      <c r="C19" s="3" t="n">
        <v>16000</v>
      </c>
      <c r="D19" s="3" t="n">
        <v>16000</v>
      </c>
      <c r="E19" s="3" t="n">
        <v>15000</v>
      </c>
      <c r="F19" s="3" t="n">
        <v>14000</v>
      </c>
      <c r="G19" s="3" t="n"/>
      <c r="H19" s="3" t="n"/>
    </row>
    <row r="20">
      <c r="A20" t="inlineStr">
        <is>
          <t>Total Liabilities Net Minority Interest</t>
        </is>
      </c>
      <c r="B20" s="3" t="n">
        <v>64880000</v>
      </c>
      <c r="C20" s="3" t="n">
        <v>52247000</v>
      </c>
      <c r="D20" s="3" t="n">
        <v>40633000</v>
      </c>
      <c r="E20" s="3" t="n">
        <v>34673000</v>
      </c>
      <c r="F20" s="3" t="n">
        <v>32816000</v>
      </c>
      <c r="G20" s="3" t="n"/>
      <c r="H20" s="3" t="n"/>
    </row>
    <row r="21">
      <c r="A21" t="inlineStr">
        <is>
          <t>Total Non Current Liabilities Net Minority Interest</t>
        </is>
      </c>
      <c r="B21" s="3" t="n">
        <v>27744000</v>
      </c>
      <c r="C21" s="3" t="n">
        <v>26701000</v>
      </c>
      <c r="D21" s="3" t="n">
        <v>26830000</v>
      </c>
      <c r="E21" s="3" t="n">
        <v>27059000</v>
      </c>
      <c r="F21" s="3" t="n">
        <v>27161000</v>
      </c>
      <c r="G21" s="3" t="n"/>
      <c r="H21" s="3" t="n"/>
    </row>
    <row r="22">
      <c r="A22" t="inlineStr">
        <is>
          <t>Other Non Current Liabilities</t>
        </is>
      </c>
      <c r="B22" s="3" t="n">
        <v>25000000</v>
      </c>
      <c r="C22" s="3" t="n">
        <v>25000000</v>
      </c>
      <c r="D22" s="3" t="n">
        <v>25000000</v>
      </c>
      <c r="E22" s="3" t="n">
        <v>25000000</v>
      </c>
      <c r="F22" s="3" t="n">
        <v>25000000</v>
      </c>
      <c r="G22" s="3" t="n"/>
      <c r="H22" s="3" t="n"/>
    </row>
    <row r="23">
      <c r="A23" t="inlineStr">
        <is>
          <t>Derivative Product Liabilities</t>
        </is>
      </c>
      <c r="B23" s="3" t="n"/>
      <c r="C23" s="3" t="n"/>
      <c r="D23" s="3" t="n"/>
      <c r="E23" s="3" t="n"/>
      <c r="F23" s="3" t="n"/>
      <c r="G23" s="3" t="n">
        <v>0</v>
      </c>
      <c r="H23" s="3" t="n">
        <v>0</v>
      </c>
    </row>
    <row r="24">
      <c r="A24" t="inlineStr">
        <is>
          <t>Non Current Deferred Liabilities</t>
        </is>
      </c>
      <c r="B24" s="3" t="n">
        <v>1155000</v>
      </c>
      <c r="C24" s="3" t="n">
        <v>1155000</v>
      </c>
      <c r="D24" s="3" t="n">
        <v>1049000</v>
      </c>
      <c r="E24" s="3" t="n">
        <v>1049000</v>
      </c>
      <c r="F24" s="3" t="n">
        <v>1049000</v>
      </c>
      <c r="G24" s="3" t="n"/>
      <c r="H24" s="3" t="n"/>
    </row>
    <row r="25">
      <c r="A25" t="inlineStr">
        <is>
          <t>Non Current Deferred Taxes Liabilities</t>
        </is>
      </c>
      <c r="B25" s="3" t="n">
        <v>1155000</v>
      </c>
      <c r="C25" s="3" t="n">
        <v>1155000</v>
      </c>
      <c r="D25" s="3" t="n">
        <v>1049000</v>
      </c>
      <c r="E25" s="3" t="n">
        <v>1049000</v>
      </c>
      <c r="F25" s="3" t="n">
        <v>1049000</v>
      </c>
      <c r="G25" s="3" t="n"/>
      <c r="H25" s="3" t="n"/>
    </row>
    <row r="26">
      <c r="A26" t="inlineStr">
        <is>
          <t>Long Term Debt And Capital Lease Obligation</t>
        </is>
      </c>
      <c r="B26" s="3" t="n">
        <v>1589000</v>
      </c>
      <c r="C26" s="3" t="n">
        <v>546000</v>
      </c>
      <c r="D26" s="3" t="n">
        <v>781000</v>
      </c>
      <c r="E26" s="3" t="n">
        <v>1010000</v>
      </c>
      <c r="F26" s="3" t="n">
        <v>1112000</v>
      </c>
      <c r="G26" s="3" t="n"/>
      <c r="H26" s="3" t="n"/>
    </row>
    <row r="27">
      <c r="A27" t="inlineStr">
        <is>
          <t>Long Term Capital Lease Obligation</t>
        </is>
      </c>
      <c r="B27" s="3" t="n">
        <v>1589000</v>
      </c>
      <c r="C27" s="3" t="n">
        <v>546000</v>
      </c>
      <c r="D27" s="3" t="n">
        <v>781000</v>
      </c>
      <c r="E27" s="3" t="n">
        <v>1010000</v>
      </c>
      <c r="F27" s="3" t="n">
        <v>1112000</v>
      </c>
      <c r="G27" s="3" t="n"/>
      <c r="H27" s="3" t="n"/>
    </row>
    <row r="28">
      <c r="A28" t="inlineStr">
        <is>
          <t>Current Liabilities</t>
        </is>
      </c>
      <c r="B28" s="3" t="n">
        <v>37136000</v>
      </c>
      <c r="C28" s="3" t="n">
        <v>25546000</v>
      </c>
      <c r="D28" s="3" t="n">
        <v>13803000</v>
      </c>
      <c r="E28" s="3" t="n">
        <v>7614000</v>
      </c>
      <c r="F28" s="3" t="n">
        <v>5655000</v>
      </c>
      <c r="G28" s="3" t="n"/>
      <c r="H28" s="3" t="n"/>
    </row>
    <row r="29">
      <c r="A29" t="inlineStr">
        <is>
          <t>Other Current Liabilities</t>
        </is>
      </c>
      <c r="B29" s="3" t="n">
        <v>1556000</v>
      </c>
      <c r="C29" s="3" t="n">
        <v>451000</v>
      </c>
      <c r="D29" s="3" t="n"/>
      <c r="E29" s="3" t="n"/>
      <c r="F29" s="3" t="n"/>
      <c r="G29" s="3" t="n">
        <v>463000</v>
      </c>
      <c r="H29" s="3" t="n"/>
    </row>
    <row r="30">
      <c r="A30" t="inlineStr">
        <is>
          <t>Current Debt And Capital Lease Obligation</t>
        </is>
      </c>
      <c r="B30" s="3" t="n">
        <v>1031000</v>
      </c>
      <c r="C30" s="3" t="n">
        <v>904000</v>
      </c>
      <c r="D30" s="3" t="n">
        <v>1163000</v>
      </c>
      <c r="E30" s="3" t="n">
        <v>1129000</v>
      </c>
      <c r="F30" s="3" t="n">
        <v>941000</v>
      </c>
      <c r="G30" s="3" t="n"/>
      <c r="H30" s="3" t="n"/>
    </row>
    <row r="31">
      <c r="A31" t="inlineStr">
        <is>
          <t>Current Capital Lease Obligation</t>
        </is>
      </c>
      <c r="B31" s="3" t="n">
        <v>1031000</v>
      </c>
      <c r="C31" s="3" t="n">
        <v>904000</v>
      </c>
      <c r="D31" s="3" t="n">
        <v>880000</v>
      </c>
      <c r="E31" s="3" t="n">
        <v>854000</v>
      </c>
      <c r="F31" s="3" t="n">
        <v>681000</v>
      </c>
      <c r="G31" s="3" t="n"/>
      <c r="H31" s="3" t="n"/>
    </row>
    <row r="32">
      <c r="A32" t="inlineStr">
        <is>
          <t>Current Debt</t>
        </is>
      </c>
      <c r="B32" s="3" t="n"/>
      <c r="C32" s="3" t="n"/>
      <c r="D32" s="3" t="n">
        <v>283000</v>
      </c>
      <c r="E32" s="3" t="n">
        <v>275000</v>
      </c>
      <c r="F32" s="3" t="n">
        <v>260000</v>
      </c>
      <c r="G32" s="3" t="n">
        <v>261000</v>
      </c>
      <c r="H32" s="3" t="n">
        <v>226138</v>
      </c>
    </row>
    <row r="33">
      <c r="A33" t="inlineStr">
        <is>
          <t>Line Of Credit</t>
        </is>
      </c>
      <c r="B33" s="3" t="n"/>
      <c r="C33" s="3" t="n"/>
      <c r="D33" s="3" t="n">
        <v>283000</v>
      </c>
      <c r="E33" s="3" t="n">
        <v>275000</v>
      </c>
      <c r="F33" s="3" t="n">
        <v>260000</v>
      </c>
      <c r="G33" s="3" t="n">
        <v>261000</v>
      </c>
      <c r="H33" s="3" t="n">
        <v>226138</v>
      </c>
    </row>
    <row r="34">
      <c r="A34" t="inlineStr">
        <is>
          <t>Payables And Accrued Expenses</t>
        </is>
      </c>
      <c r="B34" s="3" t="n">
        <v>34549000</v>
      </c>
      <c r="C34" s="3" t="n">
        <v>24191000</v>
      </c>
      <c r="D34" s="3" t="n">
        <v>12640000</v>
      </c>
      <c r="E34" s="3" t="n">
        <v>6485000</v>
      </c>
      <c r="F34" s="3" t="n">
        <v>4714000</v>
      </c>
      <c r="G34" s="3" t="n"/>
      <c r="H34" s="3" t="n"/>
    </row>
    <row r="35">
      <c r="A35" t="inlineStr">
        <is>
          <t>Current Accrued Expenses</t>
        </is>
      </c>
      <c r="B35" s="3" t="n">
        <v>20340000</v>
      </c>
      <c r="C35" s="3" t="n">
        <v>20046000</v>
      </c>
      <c r="D35" s="3" t="n">
        <v>10504000</v>
      </c>
      <c r="E35" s="3" t="n">
        <v>3898000</v>
      </c>
      <c r="F35" s="3" t="n">
        <v>2778000</v>
      </c>
      <c r="G35" s="3" t="n"/>
      <c r="H35" s="3" t="n"/>
    </row>
    <row r="36">
      <c r="A36" t="inlineStr">
        <is>
          <t>Payables</t>
        </is>
      </c>
      <c r="B36" s="3" t="n">
        <v>14209000</v>
      </c>
      <c r="C36" s="3" t="n">
        <v>4145000</v>
      </c>
      <c r="D36" s="3" t="n">
        <v>2136000</v>
      </c>
      <c r="E36" s="3" t="n">
        <v>2587000</v>
      </c>
      <c r="F36" s="3" t="n">
        <v>1936000</v>
      </c>
      <c r="G36" s="3" t="n"/>
      <c r="H36" s="3" t="n"/>
    </row>
    <row r="37">
      <c r="A37" t="inlineStr">
        <is>
          <t>Total Tax Payable</t>
        </is>
      </c>
      <c r="B37" s="3" t="n"/>
      <c r="C37" s="3" t="n"/>
      <c r="D37" s="3" t="n">
        <v>113000</v>
      </c>
      <c r="E37" s="3" t="n">
        <v>247000</v>
      </c>
      <c r="F37" s="3" t="n">
        <v>506000</v>
      </c>
      <c r="G37" s="3" t="n">
        <v>202000</v>
      </c>
      <c r="H37" s="3" t="n">
        <v>2547731</v>
      </c>
    </row>
    <row r="38">
      <c r="A38" t="inlineStr">
        <is>
          <t>Income Tax Payable</t>
        </is>
      </c>
      <c r="B38" s="3" t="n"/>
      <c r="C38" s="3" t="n"/>
      <c r="D38" s="3" t="n"/>
      <c r="E38" s="3" t="n"/>
      <c r="F38" s="3" t="n">
        <v>506000</v>
      </c>
      <c r="G38" s="3" t="n"/>
      <c r="H38" s="3" t="n">
        <v>388584</v>
      </c>
    </row>
    <row r="39">
      <c r="A39" t="inlineStr">
        <is>
          <t>Accounts Payable</t>
        </is>
      </c>
      <c r="B39" s="3" t="n">
        <v>14209000</v>
      </c>
      <c r="C39" s="3" t="n">
        <v>4145000</v>
      </c>
      <c r="D39" s="3" t="n">
        <v>2023000</v>
      </c>
      <c r="E39" s="3" t="n">
        <v>2340000</v>
      </c>
      <c r="F39" s="3" t="n">
        <v>1430000</v>
      </c>
      <c r="G39" s="3" t="n"/>
      <c r="H39" s="3" t="n"/>
    </row>
    <row r="40">
      <c r="A40" t="inlineStr">
        <is>
          <t>Total Assets</t>
        </is>
      </c>
      <c r="B40" s="3" t="n">
        <v>2703509000</v>
      </c>
      <c r="C40" s="3" t="n">
        <v>1528457000</v>
      </c>
      <c r="D40" s="3" t="n">
        <v>1246219000</v>
      </c>
      <c r="E40" s="3" t="n">
        <v>731084000</v>
      </c>
      <c r="F40" s="3" t="n">
        <v>302146000</v>
      </c>
      <c r="G40" s="3" t="n"/>
      <c r="H40" s="3" t="n"/>
    </row>
    <row r="41">
      <c r="A41" t="inlineStr">
        <is>
          <t>Total Non Current Assets</t>
        </is>
      </c>
      <c r="B41" s="3" t="n">
        <v>477851000</v>
      </c>
      <c r="C41" s="3" t="n">
        <v>274688000</v>
      </c>
      <c r="D41" s="3" t="n">
        <v>314440000</v>
      </c>
      <c r="E41" s="3" t="n">
        <v>188422000</v>
      </c>
      <c r="F41" s="3" t="n">
        <v>97240000</v>
      </c>
      <c r="G41" s="3" t="n"/>
      <c r="H41" s="3" t="n"/>
    </row>
    <row r="42">
      <c r="A42" t="inlineStr">
        <is>
          <t>Other Non Current Assets</t>
        </is>
      </c>
      <c r="B42" s="3" t="n">
        <v>17298000</v>
      </c>
      <c r="C42" s="3" t="n">
        <v>217000</v>
      </c>
      <c r="D42" s="3" t="n">
        <v>5182000</v>
      </c>
      <c r="E42" s="3" t="n">
        <v>161000</v>
      </c>
      <c r="F42" s="3" t="n">
        <v>157000</v>
      </c>
      <c r="G42" s="3" t="n"/>
      <c r="H42" s="3" t="n"/>
    </row>
    <row r="43">
      <c r="A43" t="inlineStr">
        <is>
          <t>Investments And Advances</t>
        </is>
      </c>
      <c r="B43" s="3" t="n">
        <v>328289000</v>
      </c>
      <c r="C43" s="3" t="n">
        <v>196654000</v>
      </c>
      <c r="D43" s="3" t="n">
        <v>261963000</v>
      </c>
      <c r="E43" s="3" t="n">
        <v>148540000</v>
      </c>
      <c r="F43" s="3" t="n">
        <v>59670000</v>
      </c>
      <c r="G43" s="3" t="n"/>
      <c r="H43" s="3" t="n"/>
    </row>
    <row r="44">
      <c r="A44" t="inlineStr">
        <is>
          <t>Other Investments</t>
        </is>
      </c>
      <c r="B44" s="3" t="n"/>
      <c r="C44" s="3" t="n">
        <v>12086000</v>
      </c>
      <c r="D44" s="3" t="n"/>
      <c r="E44" s="3" t="n"/>
      <c r="F44" s="3" t="n"/>
      <c r="G44" s="3" t="n">
        <v>0</v>
      </c>
      <c r="H44" s="3" t="n"/>
    </row>
    <row r="45">
      <c r="A45" t="inlineStr">
        <is>
          <t>Investmentin Financial Assets</t>
        </is>
      </c>
      <c r="B45" s="3" t="n">
        <v>328289000</v>
      </c>
      <c r="C45" s="3" t="n">
        <v>184568000</v>
      </c>
      <c r="D45" s="3" t="n">
        <v>261963000</v>
      </c>
      <c r="E45" s="3" t="n">
        <v>148540000</v>
      </c>
      <c r="F45" s="3" t="n">
        <v>59670000</v>
      </c>
      <c r="G45" s="3" t="n"/>
      <c r="H45" s="3" t="n"/>
    </row>
    <row r="46">
      <c r="A46" t="inlineStr">
        <is>
          <t>Held To Maturity Securities</t>
        </is>
      </c>
      <c r="B46" s="3" t="n"/>
      <c r="C46" s="3" t="n"/>
      <c r="D46" s="3" t="n"/>
      <c r="E46" s="3" t="n"/>
      <c r="F46" s="3" t="n">
        <v>59670000</v>
      </c>
      <c r="G46" s="3" t="n">
        <v>47473000</v>
      </c>
      <c r="H46" s="3" t="n">
        <v>57080461</v>
      </c>
    </row>
    <row r="47">
      <c r="A47" t="inlineStr">
        <is>
          <t>Available For Sale Securities</t>
        </is>
      </c>
      <c r="B47" s="3" t="n">
        <v>328289000</v>
      </c>
      <c r="C47" s="3" t="n">
        <v>184568000</v>
      </c>
      <c r="D47" s="3" t="n">
        <v>261963000</v>
      </c>
      <c r="E47" s="3" t="n">
        <v>148540000</v>
      </c>
      <c r="F47" s="3" t="n">
        <v>59670000</v>
      </c>
      <c r="G47" s="3" t="n"/>
      <c r="H47" s="3" t="n"/>
    </row>
    <row r="48">
      <c r="A48" t="inlineStr">
        <is>
          <t>Goodwill And Other Intangible Assets</t>
        </is>
      </c>
      <c r="B48" s="3" t="n">
        <v>34121000</v>
      </c>
      <c r="C48" s="3" t="n">
        <v>34121000</v>
      </c>
      <c r="D48" s="3" t="n">
        <v>34220000</v>
      </c>
      <c r="E48" s="3" t="n">
        <v>34220000</v>
      </c>
      <c r="F48" s="3" t="n">
        <v>34220000</v>
      </c>
      <c r="G48" s="3" t="n"/>
      <c r="H48" s="3" t="n"/>
    </row>
    <row r="49">
      <c r="A49" t="inlineStr">
        <is>
          <t>Other Intangible Assets</t>
        </is>
      </c>
      <c r="B49" s="3" t="n">
        <v>27500000</v>
      </c>
      <c r="C49" s="3" t="n">
        <v>27500000</v>
      </c>
      <c r="D49" s="3" t="n">
        <v>27500000</v>
      </c>
      <c r="E49" s="3" t="n">
        <v>27500000</v>
      </c>
      <c r="F49" s="3" t="n">
        <v>27500000</v>
      </c>
      <c r="G49" s="3" t="n"/>
      <c r="H49" s="3" t="n"/>
    </row>
    <row r="50">
      <c r="A50" t="inlineStr">
        <is>
          <t>Goodwill</t>
        </is>
      </c>
      <c r="B50" s="3" t="n">
        <v>6621000</v>
      </c>
      <c r="C50" s="3" t="n">
        <v>6621000</v>
      </c>
      <c r="D50" s="3" t="n">
        <v>6720000</v>
      </c>
      <c r="E50" s="3" t="n">
        <v>6720000</v>
      </c>
      <c r="F50" s="3" t="n">
        <v>6720000</v>
      </c>
      <c r="G50" s="3" t="n"/>
      <c r="H50" s="3" t="n"/>
    </row>
    <row r="51">
      <c r="A51" t="inlineStr">
        <is>
          <t>Net PPE</t>
        </is>
      </c>
      <c r="B51" s="3" t="n">
        <v>98143000</v>
      </c>
      <c r="C51" s="3" t="n">
        <v>43696000</v>
      </c>
      <c r="D51" s="3" t="n">
        <v>13075000</v>
      </c>
      <c r="E51" s="3" t="n">
        <v>5501000</v>
      </c>
      <c r="F51" s="3" t="n">
        <v>3193000</v>
      </c>
      <c r="G51" s="3" t="n"/>
      <c r="H51" s="3" t="n"/>
    </row>
    <row r="52">
      <c r="A52" t="inlineStr">
        <is>
          <t>Accumulated Depreciation</t>
        </is>
      </c>
      <c r="B52" s="3" t="n">
        <v>-1060000</v>
      </c>
      <c r="C52" s="3" t="n">
        <v>-897000</v>
      </c>
      <c r="D52" s="3" t="n">
        <v>-748000</v>
      </c>
      <c r="E52" s="3" t="n">
        <v>-624000</v>
      </c>
      <c r="F52" s="3" t="n">
        <v>-499000</v>
      </c>
      <c r="G52" s="3" t="n"/>
      <c r="H52" s="3" t="n"/>
    </row>
    <row r="53">
      <c r="A53" t="inlineStr">
        <is>
          <t>Gross PPE</t>
        </is>
      </c>
      <c r="B53" s="3" t="n">
        <v>99203000</v>
      </c>
      <c r="C53" s="3" t="n">
        <v>44593000</v>
      </c>
      <c r="D53" s="3" t="n">
        <v>13823000</v>
      </c>
      <c r="E53" s="3" t="n">
        <v>6125000</v>
      </c>
      <c r="F53" s="3" t="n">
        <v>3692000</v>
      </c>
      <c r="G53" s="3" t="n"/>
      <c r="H53" s="3" t="n"/>
    </row>
    <row r="54">
      <c r="A54" t="inlineStr">
        <is>
          <t>Leases</t>
        </is>
      </c>
      <c r="B54" s="3" t="n">
        <v>62000</v>
      </c>
      <c r="C54" s="3" t="n">
        <v>62000</v>
      </c>
      <c r="D54" s="3" t="n">
        <v>62000</v>
      </c>
      <c r="E54" s="3" t="n">
        <v>62000</v>
      </c>
      <c r="F54" s="3" t="n">
        <v>93000</v>
      </c>
      <c r="G54" s="3" t="n"/>
      <c r="H54" s="3" t="n"/>
    </row>
    <row r="55">
      <c r="A55" t="inlineStr">
        <is>
          <t>Construction In Progress</t>
        </is>
      </c>
      <c r="B55" s="3" t="n">
        <v>89032000</v>
      </c>
      <c r="C55" s="3" t="n">
        <v>35748000</v>
      </c>
      <c r="D55" s="3" t="n">
        <v>10530000</v>
      </c>
      <c r="E55" s="3" t="n">
        <v>2645000</v>
      </c>
      <c r="F55" s="3" t="n"/>
      <c r="G55" s="3" t="n">
        <v>0</v>
      </c>
      <c r="H55" s="3" t="n"/>
    </row>
    <row r="56">
      <c r="A56" t="inlineStr">
        <is>
          <t>Other Properties</t>
        </is>
      </c>
      <c r="B56" s="3" t="n">
        <v>10109000</v>
      </c>
      <c r="C56" s="3" t="n">
        <v>8783000</v>
      </c>
      <c r="D56" s="3" t="n">
        <v>3231000</v>
      </c>
      <c r="E56" s="3" t="n">
        <v>3418000</v>
      </c>
      <c r="F56" s="3" t="n">
        <v>3599000</v>
      </c>
      <c r="G56" s="3" t="n"/>
      <c r="H56" s="3" t="n"/>
    </row>
    <row r="57">
      <c r="A57" t="inlineStr">
        <is>
          <t>Current Assets</t>
        </is>
      </c>
      <c r="B57" s="3" t="n">
        <v>2225658000</v>
      </c>
      <c r="C57" s="3" t="n">
        <v>1253769000</v>
      </c>
      <c r="D57" s="3" t="n">
        <v>931779000</v>
      </c>
      <c r="E57" s="3" t="n">
        <v>542662000</v>
      </c>
      <c r="F57" s="3" t="n">
        <v>204906000</v>
      </c>
      <c r="G57" s="3" t="n"/>
      <c r="H57" s="3" t="n"/>
    </row>
    <row r="58">
      <c r="A58" t="inlineStr">
        <is>
          <t>Other Current Assets</t>
        </is>
      </c>
      <c r="B58" s="3" t="n">
        <v>1669000</v>
      </c>
      <c r="C58" s="3" t="n">
        <v>1969000</v>
      </c>
      <c r="D58" s="3" t="n">
        <v>46000</v>
      </c>
      <c r="E58" s="3" t="n">
        <v>38000</v>
      </c>
      <c r="F58" s="3" t="n">
        <v>160000</v>
      </c>
      <c r="G58" s="3" t="n"/>
      <c r="H58" s="3" t="n"/>
    </row>
    <row r="59">
      <c r="A59" t="inlineStr">
        <is>
          <t>Current Deferred Assets</t>
        </is>
      </c>
      <c r="B59" s="3" t="n"/>
      <c r="C59" s="3" t="n"/>
      <c r="D59" s="3" t="n"/>
      <c r="E59" s="3" t="n"/>
      <c r="F59" s="3" t="n"/>
      <c r="G59" s="3" t="n">
        <v>0</v>
      </c>
      <c r="H59" s="3" t="n">
        <v>0</v>
      </c>
    </row>
    <row r="60">
      <c r="A60" t="inlineStr">
        <is>
          <t>Prepaid Assets</t>
        </is>
      </c>
      <c r="B60" s="3" t="n">
        <v>5670000</v>
      </c>
      <c r="C60" s="3" t="n">
        <v>18853000</v>
      </c>
      <c r="D60" s="3" t="n">
        <v>4898000</v>
      </c>
      <c r="E60" s="3" t="n">
        <v>5373000</v>
      </c>
      <c r="F60" s="3" t="n">
        <v>2085000</v>
      </c>
      <c r="G60" s="3" t="n"/>
      <c r="H60" s="3" t="n"/>
    </row>
    <row r="61">
      <c r="A61" t="inlineStr">
        <is>
          <t>Receivables</t>
        </is>
      </c>
      <c r="B61" s="3" t="n">
        <v>9710000</v>
      </c>
      <c r="C61" s="3" t="n">
        <v>4976000</v>
      </c>
      <c r="D61" s="3" t="n">
        <v>5235000</v>
      </c>
      <c r="E61" s="3" t="n">
        <v>2826000</v>
      </c>
      <c r="F61" s="3" t="n">
        <v>1643000</v>
      </c>
      <c r="G61" s="3" t="n"/>
      <c r="H61" s="3" t="n"/>
    </row>
    <row r="62">
      <c r="A62" t="inlineStr">
        <is>
          <t>Other Receivables</t>
        </is>
      </c>
      <c r="B62" s="3" t="n"/>
      <c r="C62" s="3" t="n"/>
      <c r="D62" s="3" t="n">
        <v>518000</v>
      </c>
      <c r="E62" s="3" t="n">
        <v>189000</v>
      </c>
      <c r="F62" s="3" t="n">
        <v>307000</v>
      </c>
      <c r="G62" s="3" t="n">
        <v>600000</v>
      </c>
      <c r="H62" s="3" t="n">
        <v>433985</v>
      </c>
    </row>
    <row r="63">
      <c r="A63" t="inlineStr">
        <is>
          <t>Accrued Interest Receivable</t>
        </is>
      </c>
      <c r="B63" s="3" t="n">
        <v>9710000</v>
      </c>
      <c r="C63" s="3" t="n">
        <v>4976000</v>
      </c>
      <c r="D63" s="3" t="n">
        <v>4717000</v>
      </c>
      <c r="E63" s="3" t="n">
        <v>2637000</v>
      </c>
      <c r="F63" s="3" t="n">
        <v>1336000</v>
      </c>
      <c r="G63" s="3" t="n"/>
      <c r="H63" s="3" t="n"/>
    </row>
    <row r="64">
      <c r="A64" t="inlineStr">
        <is>
          <t>Cash Cash Equivalents And Short Term Investments</t>
        </is>
      </c>
      <c r="B64" s="3" t="n">
        <v>2208609000</v>
      </c>
      <c r="C64" s="3" t="n">
        <v>1227971000</v>
      </c>
      <c r="D64" s="3" t="n">
        <v>921600000</v>
      </c>
      <c r="E64" s="3" t="n">
        <v>534425000</v>
      </c>
      <c r="F64" s="3" t="n">
        <v>201018000</v>
      </c>
      <c r="G64" s="3" t="n"/>
      <c r="H64" s="3" t="n"/>
    </row>
    <row r="65">
      <c r="A65" t="inlineStr">
        <is>
          <t>Other Short Term Investments</t>
        </is>
      </c>
      <c r="B65" s="3" t="n">
        <v>614506000</v>
      </c>
      <c r="C65" s="3" t="n">
        <v>439526000</v>
      </c>
      <c r="D65" s="3" t="n">
        <v>511559000</v>
      </c>
      <c r="E65" s="3" t="n">
        <v>307654000</v>
      </c>
      <c r="F65" s="3" t="n">
        <v>110940000</v>
      </c>
      <c r="G65" s="3" t="n"/>
      <c r="H65" s="3" t="n"/>
    </row>
    <row r="66">
      <c r="A66" t="inlineStr">
        <is>
          <t>Cash And Cash Equivalents</t>
        </is>
      </c>
      <c r="B66" s="3" t="n">
        <v>1594103000</v>
      </c>
      <c r="C66" s="3" t="n">
        <v>788445000</v>
      </c>
      <c r="D66" s="3" t="n">
        <v>410041000</v>
      </c>
      <c r="E66" s="3" t="n">
        <v>226771000</v>
      </c>
      <c r="F66" s="3" t="n">
        <v>90078000</v>
      </c>
      <c r="G66" s="3" t="n"/>
      <c r="H66" s="3" t="n"/>
    </row>
    <row r="67">
      <c r="A67" t="inlineStr">
        <is>
          <t>Cash Equivalents</t>
        </is>
      </c>
      <c r="B67" s="3" t="n"/>
      <c r="C67" s="3" t="n">
        <v>777423000</v>
      </c>
      <c r="D67" s="3" t="n">
        <v>402241000</v>
      </c>
      <c r="E67" s="3" t="n"/>
      <c r="F67" s="3" t="n"/>
      <c r="G67" s="3" t="n">
        <v>94112000</v>
      </c>
      <c r="H67" s="3" t="n"/>
    </row>
    <row r="68">
      <c r="A68" t="inlineStr">
        <is>
          <t>Cash Financial</t>
        </is>
      </c>
      <c r="B68" s="3" t="n"/>
      <c r="C68" s="3" t="n">
        <v>11022000</v>
      </c>
      <c r="D68" s="3" t="n">
        <v>7800000</v>
      </c>
      <c r="E68" s="3" t="n"/>
      <c r="F68" s="3" t="n"/>
      <c r="G68" s="3" t="n">
        <v>3020000</v>
      </c>
      <c r="H6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-115379000</v>
      </c>
      <c r="C2" s="3" t="n">
        <v>-38742000</v>
      </c>
      <c r="D2" s="3" t="n">
        <v>-16081000</v>
      </c>
      <c r="E2" s="3" t="n">
        <v>-10142085</v>
      </c>
      <c r="F2" s="3" t="n"/>
    </row>
    <row r="3">
      <c r="A3" t="inlineStr">
        <is>
          <t>Issuance Of Capital Stock</t>
        </is>
      </c>
      <c r="B3" s="3" t="n">
        <v>1263599000</v>
      </c>
      <c r="C3" s="3" t="n">
        <v>0</v>
      </c>
      <c r="D3" s="3" t="n"/>
      <c r="E3" s="3" t="n"/>
      <c r="F3" s="3" t="n"/>
    </row>
    <row r="4">
      <c r="A4" t="inlineStr">
        <is>
          <t>Capital Expenditure</t>
        </is>
      </c>
      <c r="B4" s="3" t="n">
        <v>-33205000</v>
      </c>
      <c r="C4" s="3" t="n">
        <v>-352000</v>
      </c>
      <c r="D4" s="3" t="n">
        <v>-83000</v>
      </c>
      <c r="E4" s="3" t="n">
        <v>-149560</v>
      </c>
      <c r="F4" s="3" t="n"/>
    </row>
    <row r="5">
      <c r="A5" t="inlineStr">
        <is>
          <t>Interest Paid Supplemental Data</t>
        </is>
      </c>
      <c r="B5" s="3" t="n"/>
      <c r="C5" s="3" t="n">
        <v>0</v>
      </c>
      <c r="D5" s="3" t="n">
        <v>0</v>
      </c>
      <c r="E5" s="3" t="n">
        <v>0</v>
      </c>
      <c r="F5" s="3" t="n">
        <v>0</v>
      </c>
    </row>
    <row r="6">
      <c r="A6" t="inlineStr">
        <is>
          <t>Income Tax Paid Supplemental Data</t>
        </is>
      </c>
      <c r="B6" s="3" t="n"/>
      <c r="C6" s="3" t="n">
        <v>907000</v>
      </c>
      <c r="D6" s="3" t="n">
        <v>0</v>
      </c>
      <c r="E6" s="3" t="n">
        <v>0</v>
      </c>
      <c r="F6" s="3" t="n">
        <v>0</v>
      </c>
    </row>
    <row r="7">
      <c r="A7" t="inlineStr">
        <is>
          <t>End Cash Position</t>
        </is>
      </c>
      <c r="B7" s="3" t="n">
        <v>788445000</v>
      </c>
      <c r="C7" s="3" t="n">
        <v>97132000</v>
      </c>
      <c r="D7" s="3" t="n">
        <v>9868000</v>
      </c>
      <c r="E7" s="3" t="n">
        <v>9653528</v>
      </c>
      <c r="F7" s="3" t="n"/>
    </row>
    <row r="8">
      <c r="A8" t="inlineStr">
        <is>
          <t>Beginning Cash Position</t>
        </is>
      </c>
      <c r="B8" s="3" t="n">
        <v>97132000</v>
      </c>
      <c r="C8" s="3" t="n">
        <v>9868000</v>
      </c>
      <c r="D8" s="3" t="n">
        <v>9654000</v>
      </c>
      <c r="E8" s="3" t="n">
        <v>10443901</v>
      </c>
      <c r="F8" s="3" t="n"/>
    </row>
    <row r="9">
      <c r="A9" t="inlineStr">
        <is>
          <t>Changes In Cash</t>
        </is>
      </c>
      <c r="B9" s="3" t="n">
        <v>691313000</v>
      </c>
      <c r="C9" s="3" t="n">
        <v>87264000</v>
      </c>
      <c r="D9" s="3" t="n">
        <v>214000</v>
      </c>
      <c r="E9" s="3" t="n">
        <v>-790373</v>
      </c>
      <c r="F9" s="3" t="n"/>
    </row>
    <row r="10">
      <c r="A10" t="inlineStr">
        <is>
          <t>Financing Cash Flow</t>
        </is>
      </c>
      <c r="B10" s="3" t="n">
        <v>1263166000</v>
      </c>
      <c r="C10" s="3" t="n">
        <v>301428000</v>
      </c>
      <c r="D10" s="3" t="n">
        <v>16295000</v>
      </c>
      <c r="E10" s="3" t="n">
        <v>9351712</v>
      </c>
      <c r="F10" s="3" t="n"/>
    </row>
    <row r="11">
      <c r="A11" t="inlineStr">
        <is>
          <t>Cash Flow From Continuing Financing Activities</t>
        </is>
      </c>
      <c r="B11" s="3" t="n">
        <v>1263166000</v>
      </c>
      <c r="C11" s="3" t="n">
        <v>301428000</v>
      </c>
      <c r="D11" s="3" t="n">
        <v>16295000</v>
      </c>
      <c r="E11" s="3" t="n">
        <v>9351712</v>
      </c>
      <c r="F11" s="3" t="n"/>
    </row>
    <row r="12">
      <c r="A12" t="inlineStr">
        <is>
          <t>Net Other Financing Charges</t>
        </is>
      </c>
      <c r="B12" s="3" t="n">
        <v>-4461000</v>
      </c>
      <c r="C12" s="3" t="n">
        <v>300384000</v>
      </c>
      <c r="D12" s="3" t="n">
        <v>16181000</v>
      </c>
      <c r="E12" s="3" t="n">
        <v>8996523</v>
      </c>
      <c r="F12" s="3" t="n"/>
    </row>
    <row r="13">
      <c r="A13" t="inlineStr">
        <is>
          <t>Proceeds From Stock Option Exercised</t>
        </is>
      </c>
      <c r="B13" s="3" t="n">
        <v>4028000</v>
      </c>
      <c r="C13" s="3" t="n">
        <v>1044000</v>
      </c>
      <c r="D13" s="3" t="n">
        <v>114000</v>
      </c>
      <c r="E13" s="3" t="n">
        <v>355189</v>
      </c>
      <c r="F13" s="3" t="n"/>
    </row>
    <row r="14">
      <c r="A14" t="inlineStr">
        <is>
          <t>Net Common Stock Issuance</t>
        </is>
      </c>
      <c r="B14" s="3" t="n">
        <v>1263599000</v>
      </c>
      <c r="C14" s="3" t="n">
        <v>0</v>
      </c>
      <c r="D14" s="3" t="n"/>
      <c r="E14" s="3" t="n"/>
      <c r="F14" s="3" t="n"/>
    </row>
    <row r="15">
      <c r="A15" t="inlineStr">
        <is>
          <t>Common Stock Issuance</t>
        </is>
      </c>
      <c r="B15" s="3" t="n">
        <v>1263599000</v>
      </c>
      <c r="C15" s="3" t="n">
        <v>0</v>
      </c>
      <c r="D15" s="3" t="n"/>
      <c r="E15" s="3" t="n"/>
      <c r="F15" s="3" t="n"/>
    </row>
    <row r="16">
      <c r="A16" t="inlineStr">
        <is>
          <t>Investing Cash Flow</t>
        </is>
      </c>
      <c r="B16" s="3" t="n">
        <v>-489679000</v>
      </c>
      <c r="C16" s="3" t="n">
        <v>-175774000</v>
      </c>
      <c r="D16" s="3" t="n">
        <v>-83000</v>
      </c>
      <c r="E16" s="3" t="n">
        <v>-149560</v>
      </c>
      <c r="F16" s="3" t="n"/>
    </row>
    <row r="17">
      <c r="A17" t="inlineStr">
        <is>
          <t>Cash Flow From Continuing Investing Activities</t>
        </is>
      </c>
      <c r="B17" s="3" t="n">
        <v>-489679000</v>
      </c>
      <c r="C17" s="3" t="n">
        <v>-175774000</v>
      </c>
      <c r="D17" s="3" t="n">
        <v>-83000</v>
      </c>
      <c r="E17" s="3" t="n">
        <v>-149560</v>
      </c>
      <c r="F17" s="3" t="n"/>
    </row>
    <row r="18">
      <c r="A18" t="inlineStr">
        <is>
          <t>Net Investment Purchase And Sale</t>
        </is>
      </c>
      <c r="B18" s="3" t="n">
        <v>-455574000</v>
      </c>
      <c r="C18" s="3" t="n">
        <v>-175422000</v>
      </c>
      <c r="D18" s="3" t="n">
        <v>0</v>
      </c>
      <c r="E18" s="3" t="n"/>
      <c r="F18" s="3" t="n"/>
    </row>
    <row r="19">
      <c r="A19" t="inlineStr">
        <is>
          <t>Sale Of Investment</t>
        </is>
      </c>
      <c r="B19" s="3" t="n">
        <v>376992000</v>
      </c>
      <c r="C19" s="3" t="n">
        <v>116198000</v>
      </c>
      <c r="D19" s="3" t="n">
        <v>0</v>
      </c>
      <c r="E19" s="3" t="n"/>
      <c r="F19" s="3" t="n"/>
    </row>
    <row r="20">
      <c r="A20" t="inlineStr">
        <is>
          <t>Purchase Of Investment</t>
        </is>
      </c>
      <c r="B20" s="3" t="n">
        <v>-832566000</v>
      </c>
      <c r="C20" s="3" t="n">
        <v>-291620000</v>
      </c>
      <c r="D20" s="3" t="n">
        <v>0</v>
      </c>
      <c r="E20" s="3" t="n"/>
      <c r="F20" s="3" t="n"/>
    </row>
    <row r="21">
      <c r="A21" t="inlineStr">
        <is>
          <t>Net Business Purchase And Sale</t>
        </is>
      </c>
      <c r="B21" s="3" t="n">
        <v>-900000</v>
      </c>
      <c r="C21" s="3" t="n">
        <v>0</v>
      </c>
      <c r="D21" s="3" t="n"/>
      <c r="E21" s="3" t="n"/>
      <c r="F21" s="3" t="n"/>
    </row>
    <row r="22">
      <c r="A22" t="inlineStr">
        <is>
          <t>Purchase Of Business</t>
        </is>
      </c>
      <c r="B22" s="3" t="n">
        <v>-900000</v>
      </c>
      <c r="C22" s="3" t="n">
        <v>0</v>
      </c>
      <c r="D22" s="3" t="n"/>
      <c r="E22" s="3" t="n"/>
      <c r="F22" s="3" t="n"/>
    </row>
    <row r="23">
      <c r="A23" t="inlineStr">
        <is>
          <t>Net PPE Purchase And Sale</t>
        </is>
      </c>
      <c r="B23" s="3" t="n">
        <v>-33205000</v>
      </c>
      <c r="C23" s="3" t="n">
        <v>-352000</v>
      </c>
      <c r="D23" s="3" t="n">
        <v>-83000</v>
      </c>
      <c r="E23" s="3" t="n">
        <v>-149560</v>
      </c>
      <c r="F23" s="3" t="n"/>
    </row>
    <row r="24">
      <c r="A24" t="inlineStr">
        <is>
          <t>Purchase Of PPE</t>
        </is>
      </c>
      <c r="B24" s="3" t="n">
        <v>-33205000</v>
      </c>
      <c r="C24" s="3" t="n">
        <v>-352000</v>
      </c>
      <c r="D24" s="3" t="n">
        <v>-83000</v>
      </c>
      <c r="E24" s="3" t="n">
        <v>-149560</v>
      </c>
      <c r="F24" s="3" t="n"/>
    </row>
    <row r="25">
      <c r="A25" t="inlineStr">
        <is>
          <t>Operating Cash Flow</t>
        </is>
      </c>
      <c r="B25" s="3" t="n">
        <v>-82174000</v>
      </c>
      <c r="C25" s="3" t="n">
        <v>-38390000</v>
      </c>
      <c r="D25" s="3" t="n">
        <v>-15998000</v>
      </c>
      <c r="E25" s="3" t="n">
        <v>-9992525</v>
      </c>
      <c r="F25" s="3" t="n"/>
    </row>
    <row r="26">
      <c r="A26" t="inlineStr">
        <is>
          <t>Cash Flow From Continuing Operating Activities</t>
        </is>
      </c>
      <c r="B26" s="3" t="n">
        <v>-82174000</v>
      </c>
      <c r="C26" s="3" t="n">
        <v>-38390000</v>
      </c>
      <c r="D26" s="3" t="n">
        <v>-15998000</v>
      </c>
      <c r="E26" s="3" t="n">
        <v>-9992525</v>
      </c>
      <c r="F26" s="3" t="n"/>
    </row>
    <row r="27">
      <c r="A27" t="inlineStr">
        <is>
          <t>Change In Working Capital</t>
        </is>
      </c>
      <c r="B27" s="3" t="n">
        <v>-10814000</v>
      </c>
      <c r="C27" s="3" t="n">
        <v>-4870000</v>
      </c>
      <c r="D27" s="3" t="n">
        <v>1606000</v>
      </c>
      <c r="E27" s="3" t="n">
        <v>-286414</v>
      </c>
      <c r="F27" s="3" t="n"/>
    </row>
    <row r="28">
      <c r="A28" t="inlineStr">
        <is>
          <t>Change In Other Working Capital</t>
        </is>
      </c>
      <c r="B28" s="3" t="n">
        <v>24000</v>
      </c>
      <c r="C28" s="3" t="n">
        <v>31000</v>
      </c>
      <c r="D28" s="3" t="n"/>
      <c r="E28" s="3" t="n"/>
      <c r="F28" s="3" t="n"/>
    </row>
    <row r="29">
      <c r="A29" t="inlineStr">
        <is>
          <t>Change In Other Current Liabilities</t>
        </is>
      </c>
      <c r="B29" s="3" t="n"/>
      <c r="C29" s="3" t="n">
        <v>31000</v>
      </c>
      <c r="D29" s="3" t="n">
        <v>-22000</v>
      </c>
      <c r="E29" s="3" t="n">
        <v>-15849</v>
      </c>
      <c r="F29" s="3" t="n">
        <v>49425</v>
      </c>
    </row>
    <row r="30">
      <c r="A30" t="inlineStr">
        <is>
          <t>Change In Other Current Assets</t>
        </is>
      </c>
      <c r="B30" s="3" t="n">
        <v>-77000</v>
      </c>
      <c r="C30" s="3" t="n">
        <v>-115000</v>
      </c>
      <c r="D30" s="3" t="n">
        <v>26000</v>
      </c>
      <c r="E30" s="3" t="n">
        <v>34189</v>
      </c>
      <c r="F30" s="3" t="n"/>
    </row>
    <row r="31">
      <c r="A31" t="inlineStr">
        <is>
          <t>Change In Payables And Accrued Expense</t>
        </is>
      </c>
      <c r="B31" s="3" t="n">
        <v>10813000</v>
      </c>
      <c r="C31" s="3" t="n">
        <v>-3266000</v>
      </c>
      <c r="D31" s="3" t="n">
        <v>1728000</v>
      </c>
      <c r="E31" s="3" t="n">
        <v>15885</v>
      </c>
      <c r="F31" s="3" t="n"/>
    </row>
    <row r="32">
      <c r="A32" t="inlineStr">
        <is>
          <t>Change In Accrued Expense</t>
        </is>
      </c>
      <c r="B32" s="3" t="n">
        <v>12345000</v>
      </c>
      <c r="C32" s="3" t="n">
        <v>-1504000</v>
      </c>
      <c r="D32" s="3" t="n">
        <v>384000</v>
      </c>
      <c r="E32" s="3" t="n">
        <v>-59949</v>
      </c>
      <c r="F32" s="3" t="n"/>
    </row>
    <row r="33">
      <c r="A33" t="inlineStr">
        <is>
          <t>Change In Payable</t>
        </is>
      </c>
      <c r="B33" s="3" t="n">
        <v>-1532000</v>
      </c>
      <c r="C33" s="3" t="n">
        <v>-1762000</v>
      </c>
      <c r="D33" s="3" t="n">
        <v>1344000</v>
      </c>
      <c r="E33" s="3" t="n">
        <v>75834</v>
      </c>
      <c r="F33" s="3" t="n"/>
    </row>
    <row r="34">
      <c r="A34" t="inlineStr">
        <is>
          <t>Change In Account Payable</t>
        </is>
      </c>
      <c r="B34" s="3" t="n">
        <v>-1532000</v>
      </c>
      <c r="C34" s="3" t="n">
        <v>-1762000</v>
      </c>
      <c r="D34" s="3" t="n">
        <v>1344000</v>
      </c>
      <c r="E34" s="3" t="n">
        <v>75834</v>
      </c>
      <c r="F34" s="3" t="n"/>
    </row>
    <row r="35">
      <c r="A35" t="inlineStr">
        <is>
          <t>Change In Prepaid Assets</t>
        </is>
      </c>
      <c r="B35" s="3" t="n">
        <v>-21574000</v>
      </c>
      <c r="C35" s="3" t="n">
        <v>-1520000</v>
      </c>
      <c r="D35" s="3" t="n">
        <v>-126000</v>
      </c>
      <c r="E35" s="3" t="n">
        <v>-320639</v>
      </c>
      <c r="F35" s="3" t="n"/>
    </row>
    <row r="36">
      <c r="A36" t="inlineStr">
        <is>
          <t>Stock Based Compensation</t>
        </is>
      </c>
      <c r="B36" s="3" t="n">
        <v>41795000</v>
      </c>
      <c r="C36" s="3" t="n">
        <v>12484000</v>
      </c>
      <c r="D36" s="3" t="n">
        <v>777000</v>
      </c>
      <c r="E36" s="3" t="n">
        <v>288248</v>
      </c>
      <c r="F36" s="3" t="n"/>
    </row>
    <row r="37">
      <c r="A37" t="inlineStr">
        <is>
          <t>Amortization Of Securities</t>
        </is>
      </c>
      <c r="B37" s="3" t="n">
        <v>-3485000</v>
      </c>
      <c r="C37" s="3" t="n">
        <v>-520000</v>
      </c>
      <c r="D37" s="3" t="n">
        <v>0</v>
      </c>
      <c r="E37" s="3" t="n"/>
      <c r="F37" s="3" t="n"/>
    </row>
    <row r="38">
      <c r="A38" t="inlineStr">
        <is>
          <t>Deferred Tax</t>
        </is>
      </c>
      <c r="B38" s="3" t="n">
        <v>-4529000</v>
      </c>
      <c r="C38" s="3" t="n">
        <v>0</v>
      </c>
      <c r="D38" s="3" t="n"/>
      <c r="E38" s="3" t="n"/>
      <c r="F38" s="3" t="n"/>
    </row>
    <row r="39">
      <c r="A39" t="inlineStr">
        <is>
          <t>Deferred Income Tax</t>
        </is>
      </c>
      <c r="B39" s="3" t="n">
        <v>-4529000</v>
      </c>
      <c r="C39" s="3" t="n">
        <v>0</v>
      </c>
      <c r="D39" s="3" t="n"/>
      <c r="E39" s="3" t="n"/>
      <c r="F39" s="3" t="n"/>
    </row>
    <row r="40">
      <c r="A40" t="inlineStr">
        <is>
          <t>Depreciation Amortization Depletion</t>
        </is>
      </c>
      <c r="B40" s="3" t="n">
        <v>522000</v>
      </c>
      <c r="C40" s="3" t="n">
        <v>268000</v>
      </c>
      <c r="D40" s="3" t="n">
        <v>75000</v>
      </c>
      <c r="E40" s="3" t="n">
        <v>29532</v>
      </c>
      <c r="F40" s="3" t="n"/>
    </row>
    <row r="41">
      <c r="A41" t="inlineStr">
        <is>
          <t>Depreciation And Amortization</t>
        </is>
      </c>
      <c r="B41" s="3" t="n">
        <v>522000</v>
      </c>
      <c r="C41" s="3" t="n">
        <v>268000</v>
      </c>
      <c r="D41" s="3" t="n">
        <v>75000</v>
      </c>
      <c r="E41" s="3" t="n">
        <v>29532</v>
      </c>
      <c r="F41" s="3" t="n"/>
    </row>
    <row r="42">
      <c r="A42" t="inlineStr">
        <is>
          <t>Depreciation</t>
        </is>
      </c>
      <c r="B42" s="3" t="n">
        <v>522000</v>
      </c>
      <c r="C42" s="3" t="n">
        <v>268000</v>
      </c>
      <c r="D42" s="3" t="n">
        <v>75000</v>
      </c>
      <c r="E42" s="3" t="n"/>
      <c r="F42" s="3" t="n"/>
    </row>
    <row r="43">
      <c r="A43" t="inlineStr">
        <is>
          <t>Operating Gains Losses</t>
        </is>
      </c>
      <c r="B43" s="3" t="n"/>
      <c r="C43" s="3" t="n">
        <v>27864000</v>
      </c>
      <c r="D43" s="3" t="n">
        <v>13717000</v>
      </c>
      <c r="E43" s="3" t="n"/>
      <c r="F43" s="3" t="n"/>
    </row>
    <row r="44">
      <c r="A44" t="inlineStr">
        <is>
          <t>Gain Loss On Investment Securities</t>
        </is>
      </c>
      <c r="B44" s="3" t="n"/>
      <c r="C44" s="3" t="n">
        <v>27864000</v>
      </c>
      <c r="D44" s="3" t="n">
        <v>13717000</v>
      </c>
      <c r="E44" s="3" t="n"/>
      <c r="F44" s="3" t="n"/>
    </row>
    <row r="45">
      <c r="A45" t="inlineStr">
        <is>
          <t>Net Income From Continuing Operations</t>
        </is>
      </c>
      <c r="B45" s="3" t="n">
        <v>-105663000</v>
      </c>
      <c r="C45" s="3" t="n">
        <v>-73616000</v>
      </c>
      <c r="D45" s="3" t="n">
        <v>-32173000</v>
      </c>
      <c r="E45" s="3" t="n">
        <v>-10023891</v>
      </c>
      <c r="F4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-50677000</v>
      </c>
      <c r="C2" s="3" t="n">
        <v>-60379000</v>
      </c>
      <c r="D2" s="3" t="n">
        <v>-23077000</v>
      </c>
      <c r="E2" s="3" t="n">
        <v>-19348000</v>
      </c>
      <c r="F2" s="3" t="n">
        <v>-12575000</v>
      </c>
      <c r="G2" s="3" t="n"/>
      <c r="H2" s="3" t="n"/>
    </row>
    <row r="3">
      <c r="A3" t="inlineStr">
        <is>
          <t>Issuance Of Capital Stock</t>
        </is>
      </c>
      <c r="B3" s="3" t="n">
        <v>1181897000</v>
      </c>
      <c r="C3" s="3" t="n">
        <v>295500000</v>
      </c>
      <c r="D3" s="3" t="n">
        <v>526499000</v>
      </c>
      <c r="E3" s="3" t="n">
        <v>441600000</v>
      </c>
      <c r="F3" s="3" t="n">
        <v>0</v>
      </c>
      <c r="G3" s="3" t="n"/>
      <c r="H3" s="3" t="n"/>
    </row>
    <row r="4">
      <c r="A4" t="inlineStr">
        <is>
          <t>Capital Expenditure</t>
        </is>
      </c>
      <c r="B4" s="3" t="n">
        <v>-32810000</v>
      </c>
      <c r="C4" s="3" t="n">
        <v>-26950000</v>
      </c>
      <c r="D4" s="3" t="n">
        <v>-5046000</v>
      </c>
      <c r="E4" s="3" t="n">
        <v>-877000</v>
      </c>
      <c r="F4" s="3" t="n">
        <v>-332000</v>
      </c>
      <c r="G4" s="3" t="n"/>
      <c r="H4" s="3" t="n"/>
    </row>
    <row r="5">
      <c r="A5" t="inlineStr">
        <is>
          <t>Interest Paid Supplemental Data</t>
        </is>
      </c>
      <c r="B5" s="3" t="n"/>
      <c r="C5" s="3" t="n"/>
      <c r="D5" s="3" t="n"/>
      <c r="E5" s="3" t="n"/>
      <c r="F5" s="3" t="n"/>
      <c r="G5" s="3" t="n">
        <v>0</v>
      </c>
      <c r="H5" s="3" t="n">
        <v>0</v>
      </c>
    </row>
    <row r="6">
      <c r="A6" t="inlineStr">
        <is>
          <t>Income Tax Paid Supplemental Data</t>
        </is>
      </c>
      <c r="B6" s="3" t="n"/>
      <c r="C6" s="3" t="n"/>
      <c r="D6" s="3" t="n">
        <v>684000</v>
      </c>
      <c r="E6" s="3" t="n"/>
      <c r="F6" s="3" t="n"/>
      <c r="G6" s="3" t="n">
        <v>550110</v>
      </c>
      <c r="H6" s="3" t="n">
        <v>357000</v>
      </c>
    </row>
    <row r="7">
      <c r="A7" t="inlineStr">
        <is>
          <t>End Cash Position</t>
        </is>
      </c>
      <c r="B7" s="3" t="n">
        <v>1594103000</v>
      </c>
      <c r="C7" s="3" t="n">
        <v>788445000</v>
      </c>
      <c r="D7" s="3" t="n">
        <v>410041000</v>
      </c>
      <c r="E7" s="3" t="n">
        <v>226771000</v>
      </c>
      <c r="F7" s="3" t="n">
        <v>90078000</v>
      </c>
      <c r="G7" s="3" t="n"/>
      <c r="H7" s="3" t="n"/>
    </row>
    <row r="8">
      <c r="A8" t="inlineStr">
        <is>
          <t>Beginning Cash Position</t>
        </is>
      </c>
      <c r="B8" s="3" t="n">
        <v>788445000</v>
      </c>
      <c r="C8" s="3" t="n">
        <v>410041000</v>
      </c>
      <c r="D8" s="3" t="n">
        <v>226771000</v>
      </c>
      <c r="E8" s="3" t="n">
        <v>90078000</v>
      </c>
      <c r="F8" s="3" t="n">
        <v>97132000</v>
      </c>
      <c r="G8" s="3" t="n"/>
      <c r="H8" s="3" t="n"/>
    </row>
    <row r="9">
      <c r="A9" t="inlineStr">
        <is>
          <t>Changes In Cash</t>
        </is>
      </c>
      <c r="B9" s="3" t="n">
        <v>805658000</v>
      </c>
      <c r="C9" s="3" t="n">
        <v>378404000</v>
      </c>
      <c r="D9" s="3" t="n">
        <v>183270000</v>
      </c>
      <c r="E9" s="3" t="n">
        <v>136693000</v>
      </c>
      <c r="F9" s="3" t="n">
        <v>-7054000</v>
      </c>
      <c r="G9" s="3" t="n"/>
      <c r="H9" s="3" t="n"/>
    </row>
    <row r="10">
      <c r="A10" t="inlineStr">
        <is>
          <t>Financing Cash Flow</t>
        </is>
      </c>
      <c r="B10" s="3" t="n">
        <v>1182559000</v>
      </c>
      <c r="C10" s="3" t="n">
        <v>295606000</v>
      </c>
      <c r="D10" s="3" t="n">
        <v>526511000</v>
      </c>
      <c r="E10" s="3" t="n">
        <v>441924000</v>
      </c>
      <c r="F10" s="3" t="n">
        <v>-875000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1182559000</v>
      </c>
      <c r="C11" s="3" t="n">
        <v>295606000</v>
      </c>
      <c r="D11" s="3" t="n">
        <v>526511000</v>
      </c>
      <c r="E11" s="3" t="n">
        <v>441924000</v>
      </c>
      <c r="F11" s="3" t="n">
        <v>-875000</v>
      </c>
      <c r="G11" s="3" t="n"/>
      <c r="H11" s="3" t="n"/>
    </row>
    <row r="12">
      <c r="A12" t="inlineStr">
        <is>
          <t>Net Other Financing Charges</t>
        </is>
      </c>
      <c r="B12" s="3" t="n">
        <v>-75000</v>
      </c>
      <c r="C12" s="3" t="n">
        <v>-1177000</v>
      </c>
      <c r="D12" s="3" t="n">
        <v>-1385000</v>
      </c>
      <c r="E12" s="3" t="n">
        <v>-304000</v>
      </c>
      <c r="F12" s="3" t="n">
        <v>-1595000</v>
      </c>
      <c r="G12" s="3" t="n"/>
      <c r="H12" s="3" t="n"/>
    </row>
    <row r="13">
      <c r="A13" t="inlineStr">
        <is>
          <t>Proceeds From Stock Option Exercised</t>
        </is>
      </c>
      <c r="B13" s="3" t="n">
        <v>737000</v>
      </c>
      <c r="C13" s="3" t="n">
        <v>1283000</v>
      </c>
      <c r="D13" s="3" t="n">
        <v>1397000</v>
      </c>
      <c r="E13" s="3" t="n">
        <v>628000</v>
      </c>
      <c r="F13" s="3" t="n">
        <v>720000</v>
      </c>
      <c r="G13" s="3" t="n"/>
      <c r="H13" s="3" t="n"/>
    </row>
    <row r="14">
      <c r="A14" t="inlineStr">
        <is>
          <t>Net Common Stock Issuance</t>
        </is>
      </c>
      <c r="B14" s="3" t="n">
        <v>1181897000</v>
      </c>
      <c r="C14" s="3" t="n">
        <v>295500000</v>
      </c>
      <c r="D14" s="3" t="n">
        <v>526499000</v>
      </c>
      <c r="E14" s="3" t="n">
        <v>441600000</v>
      </c>
      <c r="F14" s="3" t="n">
        <v>0</v>
      </c>
      <c r="G14" s="3" t="n"/>
      <c r="H14" s="3" t="n"/>
    </row>
    <row r="15">
      <c r="A15" t="inlineStr">
        <is>
          <t>Common Stock Issuance</t>
        </is>
      </c>
      <c r="B15" s="3" t="n">
        <v>1181897000</v>
      </c>
      <c r="C15" s="3" t="n">
        <v>295500000</v>
      </c>
      <c r="D15" s="3" t="n">
        <v>526499000</v>
      </c>
      <c r="E15" s="3" t="n">
        <v>441600000</v>
      </c>
      <c r="F15" s="3" t="n">
        <v>0</v>
      </c>
      <c r="G15" s="3" t="n"/>
      <c r="H15" s="3" t="n"/>
    </row>
    <row r="16">
      <c r="A16" t="inlineStr">
        <is>
          <t>Investing Cash Flow</t>
        </is>
      </c>
      <c r="B16" s="3" t="n">
        <v>-359034000</v>
      </c>
      <c r="C16" s="3" t="n">
        <v>116227000</v>
      </c>
      <c r="D16" s="3" t="n">
        <v>-325210000</v>
      </c>
      <c r="E16" s="3" t="n">
        <v>-286760000</v>
      </c>
      <c r="F16" s="3" t="n">
        <v>6064000</v>
      </c>
      <c r="G16" s="3" t="n"/>
      <c r="H16" s="3" t="n"/>
    </row>
    <row r="17">
      <c r="A17" t="inlineStr">
        <is>
          <t>Cash Flow From Continuing Investing Activities</t>
        </is>
      </c>
      <c r="B17" s="3" t="n">
        <v>-359034000</v>
      </c>
      <c r="C17" s="3" t="n">
        <v>116227000</v>
      </c>
      <c r="D17" s="3" t="n">
        <v>-325210000</v>
      </c>
      <c r="E17" s="3" t="n">
        <v>-286760000</v>
      </c>
      <c r="F17" s="3" t="n">
        <v>6064000</v>
      </c>
      <c r="G17" s="3" t="n"/>
      <c r="H17" s="3" t="n"/>
    </row>
    <row r="18">
      <c r="A18" t="inlineStr">
        <is>
          <t>Net Investment Purchase And Sale</t>
        </is>
      </c>
      <c r="B18" s="3" t="n">
        <v>-326224000</v>
      </c>
      <c r="C18" s="3" t="n">
        <v>143177000</v>
      </c>
      <c r="D18" s="3" t="n">
        <v>-320164000</v>
      </c>
      <c r="E18" s="3" t="n">
        <v>-285883000</v>
      </c>
      <c r="F18" s="3" t="n">
        <v>7296000</v>
      </c>
      <c r="G18" s="3" t="n"/>
      <c r="H18" s="3" t="n"/>
    </row>
    <row r="19">
      <c r="A19" t="inlineStr">
        <is>
          <t>Sale Of Investment</t>
        </is>
      </c>
      <c r="B19" s="3" t="n">
        <v>130454000</v>
      </c>
      <c r="C19" s="3" t="n">
        <v>214148000</v>
      </c>
      <c r="D19" s="3" t="n">
        <v>94827000</v>
      </c>
      <c r="E19" s="3" t="n">
        <v>30834000</v>
      </c>
      <c r="F19" s="3" t="n">
        <v>37183000</v>
      </c>
      <c r="G19" s="3" t="n"/>
      <c r="H19" s="3" t="n"/>
    </row>
    <row r="20">
      <c r="A20" t="inlineStr">
        <is>
          <t>Purchase Of Investment</t>
        </is>
      </c>
      <c r="B20" s="3" t="n">
        <v>-456678000</v>
      </c>
      <c r="C20" s="3" t="n">
        <v>-70971000</v>
      </c>
      <c r="D20" s="3" t="n">
        <v>-414991000</v>
      </c>
      <c r="E20" s="3" t="n">
        <v>-316717000</v>
      </c>
      <c r="F20" s="3" t="n">
        <v>-29887000</v>
      </c>
      <c r="G20" s="3" t="n"/>
      <c r="H20" s="3" t="n"/>
    </row>
    <row r="21">
      <c r="A21" t="inlineStr">
        <is>
          <t>Net Business Purchase And Sale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-900000</v>
      </c>
      <c r="G21" s="3" t="n"/>
      <c r="H21" s="3" t="n"/>
    </row>
    <row r="22">
      <c r="A22" t="inlineStr">
        <is>
          <t>Purchase Of Business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-900000</v>
      </c>
      <c r="G22" s="3" t="n"/>
      <c r="H22" s="3" t="n"/>
    </row>
    <row r="23">
      <c r="A23" t="inlineStr">
        <is>
          <t>Net PPE Purchase And Sale</t>
        </is>
      </c>
      <c r="B23" s="3" t="n">
        <v>-32810000</v>
      </c>
      <c r="C23" s="3" t="n">
        <v>-26950000</v>
      </c>
      <c r="D23" s="3" t="n">
        <v>-5046000</v>
      </c>
      <c r="E23" s="3" t="n">
        <v>-877000</v>
      </c>
      <c r="F23" s="3" t="n">
        <v>-332000</v>
      </c>
      <c r="G23" s="3" t="n"/>
      <c r="H23" s="3" t="n"/>
    </row>
    <row r="24">
      <c r="A24" t="inlineStr">
        <is>
          <t>Purchase Of PPE</t>
        </is>
      </c>
      <c r="B24" s="3" t="n">
        <v>-32810000</v>
      </c>
      <c r="C24" s="3" t="n">
        <v>-26950000</v>
      </c>
      <c r="D24" s="3" t="n">
        <v>-5046000</v>
      </c>
      <c r="E24" s="3" t="n">
        <v>-877000</v>
      </c>
      <c r="F24" s="3" t="n">
        <v>-332000</v>
      </c>
      <c r="G24" s="3" t="n"/>
      <c r="H24" s="3" t="n"/>
    </row>
    <row r="25">
      <c r="A25" t="inlineStr">
        <is>
          <t>Operating Cash Flow</t>
        </is>
      </c>
      <c r="B25" s="3" t="n">
        <v>-17867000</v>
      </c>
      <c r="C25" s="3" t="n">
        <v>-33429000</v>
      </c>
      <c r="D25" s="3" t="n">
        <v>-18031000</v>
      </c>
      <c r="E25" s="3" t="n">
        <v>-18471000</v>
      </c>
      <c r="F25" s="3" t="n">
        <v>-12243000</v>
      </c>
      <c r="G25" s="3" t="n"/>
      <c r="H25" s="3" t="n"/>
    </row>
    <row r="26">
      <c r="A26" t="inlineStr">
        <is>
          <t>Cash Flow From Continuing Operating Activities</t>
        </is>
      </c>
      <c r="B26" s="3" t="n">
        <v>-17867000</v>
      </c>
      <c r="C26" s="3" t="n">
        <v>-33429000</v>
      </c>
      <c r="D26" s="3" t="n">
        <v>-18031000</v>
      </c>
      <c r="E26" s="3" t="n">
        <v>-18471000</v>
      </c>
      <c r="F26" s="3" t="n">
        <v>-12243000</v>
      </c>
      <c r="G26" s="3" t="n"/>
      <c r="H26" s="3" t="n"/>
    </row>
    <row r="27">
      <c r="A27" t="inlineStr">
        <is>
          <t>Change In Working Capital</t>
        </is>
      </c>
      <c r="B27" s="3" t="n">
        <v>-413000</v>
      </c>
      <c r="C27" s="3" t="n">
        <v>-8104000</v>
      </c>
      <c r="D27" s="3" t="n">
        <v>2358000</v>
      </c>
      <c r="E27" s="3" t="n">
        <v>-5246000</v>
      </c>
      <c r="F27" s="3" t="n">
        <v>178000</v>
      </c>
      <c r="G27" s="3" t="n"/>
      <c r="H27" s="3" t="n"/>
    </row>
    <row r="28">
      <c r="A28" t="inlineStr">
        <is>
          <t>Change In Other Working Capital</t>
        </is>
      </c>
      <c r="B28" s="3" t="n">
        <v>26000</v>
      </c>
      <c r="C28" s="3" t="n">
        <v>-6000</v>
      </c>
      <c r="D28" s="3" t="n">
        <v>-2000</v>
      </c>
      <c r="E28" s="3" t="n">
        <v>24000</v>
      </c>
      <c r="F28" s="3" t="n">
        <v>8000</v>
      </c>
      <c r="G28" s="3" t="n"/>
      <c r="H28" s="3" t="n"/>
    </row>
    <row r="29">
      <c r="A29" t="inlineStr">
        <is>
          <t>Change In Other Current Liabilities</t>
        </is>
      </c>
      <c r="B29" s="3" t="n"/>
      <c r="C29" s="3" t="n"/>
      <c r="D29" s="3" t="n"/>
      <c r="E29" s="3" t="n"/>
      <c r="F29" s="3" t="n"/>
      <c r="G29" s="3" t="n">
        <v>-2409</v>
      </c>
      <c r="H29" s="3" t="n">
        <v>44667</v>
      </c>
    </row>
    <row r="30">
      <c r="A30" t="inlineStr">
        <is>
          <t>Change In Other Current Assets</t>
        </is>
      </c>
      <c r="B30" s="3" t="n">
        <v>5000</v>
      </c>
      <c r="C30" s="3" t="n">
        <v>-35000</v>
      </c>
      <c r="D30" s="3" t="n">
        <v>-21000</v>
      </c>
      <c r="E30" s="3" t="n">
        <v>-4000</v>
      </c>
      <c r="F30" s="3" t="n">
        <v>-17000</v>
      </c>
      <c r="G30" s="3" t="n"/>
      <c r="H30" s="3" t="n"/>
    </row>
    <row r="31">
      <c r="A31" t="inlineStr">
        <is>
          <t>Change In Payables And Accrued Expense</t>
        </is>
      </c>
      <c r="B31" s="3" t="n">
        <v>-9193000</v>
      </c>
      <c r="C31" s="3" t="n">
        <v>7556000</v>
      </c>
      <c r="D31" s="3" t="n">
        <v>4323000</v>
      </c>
      <c r="E31" s="3" t="n">
        <v>-917000</v>
      </c>
      <c r="F31" s="3" t="n">
        <v>-149000</v>
      </c>
      <c r="G31" s="3" t="n"/>
      <c r="H31" s="3" t="n"/>
    </row>
    <row r="32">
      <c r="A32" t="inlineStr">
        <is>
          <t>Change In Accrued Expense</t>
        </is>
      </c>
      <c r="B32" s="3" t="n">
        <v>-9132000</v>
      </c>
      <c r="C32" s="3" t="n">
        <v>7894000</v>
      </c>
      <c r="D32" s="3" t="n">
        <v>3061000</v>
      </c>
      <c r="E32" s="3" t="n">
        <v>-216000</v>
      </c>
      <c r="F32" s="3" t="n">
        <v>1606000</v>
      </c>
      <c r="G32" s="3" t="n"/>
      <c r="H32" s="3" t="n"/>
    </row>
    <row r="33">
      <c r="A33" t="inlineStr">
        <is>
          <t>Change In Payable</t>
        </is>
      </c>
      <c r="B33" s="3" t="n">
        <v>-61000</v>
      </c>
      <c r="C33" s="3" t="n">
        <v>-338000</v>
      </c>
      <c r="D33" s="3" t="n">
        <v>1262000</v>
      </c>
      <c r="E33" s="3" t="n">
        <v>-701000</v>
      </c>
      <c r="F33" s="3" t="n">
        <v>-1755000</v>
      </c>
      <c r="G33" s="3" t="n"/>
      <c r="H33" s="3" t="n"/>
    </row>
    <row r="34">
      <c r="A34" t="inlineStr">
        <is>
          <t>Change In Account Payable</t>
        </is>
      </c>
      <c r="B34" s="3" t="n">
        <v>-61000</v>
      </c>
      <c r="C34" s="3" t="n">
        <v>-338000</v>
      </c>
      <c r="D34" s="3" t="n">
        <v>1262000</v>
      </c>
      <c r="E34" s="3" t="n">
        <v>-701000</v>
      </c>
      <c r="F34" s="3" t="n">
        <v>-1755000</v>
      </c>
      <c r="G34" s="3" t="n"/>
      <c r="H34" s="3" t="n"/>
    </row>
    <row r="35">
      <c r="A35" t="inlineStr">
        <is>
          <t>Change In Prepaid Assets</t>
        </is>
      </c>
      <c r="B35" s="3" t="n">
        <v>8749000</v>
      </c>
      <c r="C35" s="3" t="n">
        <v>-15619000</v>
      </c>
      <c r="D35" s="3" t="n">
        <v>-1942000</v>
      </c>
      <c r="E35" s="3" t="n">
        <v>-4349000</v>
      </c>
      <c r="F35" s="3" t="n">
        <v>336000</v>
      </c>
      <c r="G35" s="3" t="n"/>
      <c r="H35" s="3" t="n"/>
    </row>
    <row r="36">
      <c r="A36" t="inlineStr">
        <is>
          <t>Stock Based Compensation</t>
        </is>
      </c>
      <c r="B36" s="3" t="n">
        <v>15586000</v>
      </c>
      <c r="C36" s="3" t="n">
        <v>18999000</v>
      </c>
      <c r="D36" s="3" t="n">
        <v>9120000</v>
      </c>
      <c r="E36" s="3" t="n">
        <v>11365000</v>
      </c>
      <c r="F36" s="3" t="n">
        <v>2311000</v>
      </c>
      <c r="G36" s="3" t="n"/>
      <c r="H36" s="3" t="n"/>
    </row>
    <row r="37">
      <c r="A37" t="inlineStr">
        <is>
          <t>Amortization Of Securities</t>
        </is>
      </c>
      <c r="B37" s="3" t="n">
        <v>-138000</v>
      </c>
      <c r="C37" s="3" t="n">
        <v>-3232000</v>
      </c>
      <c r="D37" s="3" t="n">
        <v>89000</v>
      </c>
      <c r="E37" s="3" t="n">
        <v>-30000</v>
      </c>
      <c r="F37" s="3" t="n">
        <v>-312000</v>
      </c>
      <c r="G37" s="3" t="n"/>
      <c r="H37" s="3" t="n"/>
    </row>
    <row r="38">
      <c r="A38" t="inlineStr">
        <is>
          <t>Deferred Tax</t>
        </is>
      </c>
      <c r="B38" s="3" t="n">
        <v>0</v>
      </c>
      <c r="C38" s="3" t="n">
        <v>205000</v>
      </c>
      <c r="D38" s="3" t="n">
        <v>0</v>
      </c>
      <c r="E38" s="3" t="n">
        <v>0</v>
      </c>
      <c r="F38" s="3" t="n">
        <v>-4734000</v>
      </c>
      <c r="G38" s="3" t="n"/>
      <c r="H38" s="3" t="n"/>
    </row>
    <row r="39">
      <c r="A39" t="inlineStr">
        <is>
          <t>Deferred Income Tax</t>
        </is>
      </c>
      <c r="B39" s="3" t="n">
        <v>0</v>
      </c>
      <c r="C39" s="3" t="n">
        <v>205000</v>
      </c>
      <c r="D39" s="3" t="n">
        <v>0</v>
      </c>
      <c r="E39" s="3" t="n">
        <v>0</v>
      </c>
      <c r="F39" s="3" t="n">
        <v>-4734000</v>
      </c>
      <c r="G39" s="3" t="n"/>
      <c r="H39" s="3" t="n"/>
    </row>
    <row r="40">
      <c r="A40" t="inlineStr">
        <is>
          <t>Depreciation Amortization Depletion</t>
        </is>
      </c>
      <c r="B40" s="3" t="n">
        <v>163000</v>
      </c>
      <c r="C40" s="3" t="n">
        <v>149000</v>
      </c>
      <c r="D40" s="3" t="n">
        <v>124000</v>
      </c>
      <c r="E40" s="3" t="n">
        <v>125000</v>
      </c>
      <c r="F40" s="3" t="n">
        <v>124000</v>
      </c>
      <c r="G40" s="3" t="n"/>
      <c r="H40" s="3" t="n"/>
    </row>
    <row r="41">
      <c r="A41" t="inlineStr">
        <is>
          <t>Depreciation And Amortization</t>
        </is>
      </c>
      <c r="B41" s="3" t="n">
        <v>163000</v>
      </c>
      <c r="C41" s="3" t="n">
        <v>149000</v>
      </c>
      <c r="D41" s="3" t="n">
        <v>124000</v>
      </c>
      <c r="E41" s="3" t="n">
        <v>125000</v>
      </c>
      <c r="F41" s="3" t="n">
        <v>124000</v>
      </c>
      <c r="G41" s="3" t="n"/>
      <c r="H41" s="3" t="n"/>
    </row>
    <row r="42">
      <c r="A42" t="inlineStr">
        <is>
          <t>Depreciation</t>
        </is>
      </c>
      <c r="B42" s="3" t="n">
        <v>163000</v>
      </c>
      <c r="C42" s="3" t="n"/>
      <c r="D42" s="3" t="n"/>
      <c r="E42" s="3" t="n"/>
      <c r="F42" s="3" t="n">
        <v>124000</v>
      </c>
      <c r="G42" s="3" t="n"/>
      <c r="H42" s="3" t="n"/>
    </row>
    <row r="43">
      <c r="A43" t="inlineStr">
        <is>
          <t>Operating Gains Losses</t>
        </is>
      </c>
      <c r="B43" s="3" t="n"/>
      <c r="C43" s="3" t="n"/>
      <c r="D43" s="3" t="n"/>
      <c r="E43" s="3" t="n"/>
      <c r="F43" s="3" t="n"/>
      <c r="G43" s="3" t="n">
        <v>-2055959</v>
      </c>
      <c r="H43" s="3" t="n">
        <v>0</v>
      </c>
    </row>
    <row r="44">
      <c r="A44" t="inlineStr">
        <is>
          <t>Gain Loss On Investment Securities</t>
        </is>
      </c>
      <c r="B44" s="3" t="n"/>
      <c r="C44" s="3" t="n"/>
      <c r="D44" s="3" t="n"/>
      <c r="E44" s="3" t="n"/>
      <c r="F44" s="3" t="n"/>
      <c r="G44" s="3" t="n">
        <v>-2055959</v>
      </c>
      <c r="H44" s="3" t="n">
        <v>0</v>
      </c>
    </row>
    <row r="45">
      <c r="A45" t="inlineStr">
        <is>
          <t>Net Income From Continuing Operations</t>
        </is>
      </c>
      <c r="B45" s="3" t="n">
        <v>-33065000</v>
      </c>
      <c r="C45" s="3" t="n">
        <v>-41446000</v>
      </c>
      <c r="D45" s="3" t="n">
        <v>-29722000</v>
      </c>
      <c r="E45" s="3" t="n">
        <v>-24685000</v>
      </c>
      <c r="F45" s="3" t="n">
        <v>-9810000</v>
      </c>
      <c r="G45" s="3" t="n"/>
      <c r="H4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P/S (TTM)</t>
        </is>
      </c>
      <c r="B3" t="inlineStr">
        <is>
          <t>missing from yfinance</t>
        </is>
      </c>
    </row>
    <row r="4">
      <c r="A4" t="inlineStr">
        <is>
          <t>Revenue growth (YoY)</t>
        </is>
      </c>
      <c r="B4" t="inlineStr">
        <is>
          <t>missing from yfinance</t>
        </is>
      </c>
    </row>
    <row r="5">
      <c r="A5" t="inlineStr">
        <is>
          <t>FY Summary</t>
        </is>
      </c>
      <c r="B5" t="inlineStr">
        <is>
          <t>'Gross Profit' not found in statements — left blank</t>
        </is>
      </c>
    </row>
    <row r="6">
      <c r="A6" t="inlineStr">
        <is>
          <t>FY Summary</t>
        </is>
      </c>
      <c r="B6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2026-06-20T19:57:08Z</dcterms:created>
  <dcterms:modified xsi:type="dcterms:W3CDTF">2026-06-20T19:57:10Z</dcterms:modified>
</cp:coreProperties>
</file>