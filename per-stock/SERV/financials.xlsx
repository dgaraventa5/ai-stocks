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SERV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Serve Robotics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Integrated Freight &amp; Logistics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406731328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186960496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-2.6555557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78.29285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-16.734919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-0.51955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5.782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187478000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4818000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-147865000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85090231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4.78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(annual)'!D49</f>
        <v/>
      </c>
      <c r="C3" s="3">
        <f>'Income stmt (annual)'!C49</f>
        <v/>
      </c>
      <c r="D3" s="3">
        <f>'Income stmt (annual)'!B49</f>
        <v/>
      </c>
      <c r="E3" s="3">
        <f>SUM('Income stmt (quarterly)'!B47:E47)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(annual)'!D47</f>
        <v/>
      </c>
      <c r="C4" s="3">
        <f>'Income stmt (annual)'!C47</f>
        <v/>
      </c>
      <c r="D4" s="3">
        <f>'Income stmt (annual)'!B47</f>
        <v/>
      </c>
      <c r="E4" s="3">
        <f>SUM('Income stmt (quarterly)'!B45:E45)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(annual)'!D39</f>
        <v/>
      </c>
      <c r="C6" s="3">
        <f>'Income stmt (annual)'!C39</f>
        <v/>
      </c>
      <c r="D6" s="3">
        <f>'Income stmt (annual)'!B39</f>
        <v/>
      </c>
      <c r="E6" s="3">
        <f>SUM('Income stmt (quarterly)'!B37:E37)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(annual)'!B5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</row>
    <row r="2">
      <c r="A2" t="inlineStr">
        <is>
          <t>Tax Effect Of Unusual Items</t>
        </is>
      </c>
      <c r="B2" s="3" t="n">
        <v>13755</v>
      </c>
      <c r="C2" s="3" t="n">
        <v>0</v>
      </c>
      <c r="D2" s="3" t="n">
        <v>0</v>
      </c>
      <c r="E2" s="3" t="n">
        <v>0</v>
      </c>
    </row>
    <row r="3">
      <c r="A3" t="inlineStr">
        <is>
          <t>Tax Rate For Calcs</t>
        </is>
      </c>
      <c r="B3" s="3" t="n">
        <v>0.035</v>
      </c>
      <c r="C3" s="3" t="n">
        <v>0</v>
      </c>
      <c r="D3" s="3" t="n">
        <v>0</v>
      </c>
      <c r="E3" s="3" t="n">
        <v>0</v>
      </c>
    </row>
    <row r="4">
      <c r="A4" t="inlineStr">
        <is>
          <t>Normalized EBITDA</t>
        </is>
      </c>
      <c r="B4" s="3" t="n">
        <v>-97194000</v>
      </c>
      <c r="C4" s="3" t="n">
        <v>-36700000</v>
      </c>
      <c r="D4" s="3" t="n">
        <v>-14103984</v>
      </c>
      <c r="E4" s="3" t="n">
        <v>-20564914</v>
      </c>
    </row>
    <row r="5">
      <c r="A5" t="inlineStr">
        <is>
          <t>Total Unusual Items</t>
        </is>
      </c>
      <c r="B5" s="3" t="n">
        <v>393000</v>
      </c>
      <c r="C5" s="3" t="n">
        <v>-222000</v>
      </c>
      <c r="D5" s="3" t="n">
        <v>-3290701</v>
      </c>
      <c r="E5" s="3" t="n">
        <v>-265744</v>
      </c>
    </row>
    <row r="6">
      <c r="A6" t="inlineStr">
        <is>
          <t>Total Unusual Items Excluding Goodwill</t>
        </is>
      </c>
      <c r="B6" s="3" t="n">
        <v>393000</v>
      </c>
      <c r="C6" s="3" t="n">
        <v>-222000</v>
      </c>
      <c r="D6" s="3" t="n">
        <v>-3290701</v>
      </c>
      <c r="E6" s="3" t="n">
        <v>-265744</v>
      </c>
    </row>
    <row r="7">
      <c r="A7" t="inlineStr">
        <is>
          <t>Net Income From Continuing Operation Net Minority Interest</t>
        </is>
      </c>
      <c r="B7" s="3" t="n">
        <v>-101361000</v>
      </c>
      <c r="C7" s="3" t="n">
        <v>-39191000</v>
      </c>
      <c r="D7" s="3" t="n">
        <v>-24813736</v>
      </c>
      <c r="E7" s="3" t="n">
        <v>-21855127</v>
      </c>
    </row>
    <row r="8">
      <c r="A8" t="inlineStr">
        <is>
          <t>Reconciled Depreciation</t>
        </is>
      </c>
      <c r="B8" s="3" t="n">
        <v>8213000</v>
      </c>
      <c r="C8" s="3" t="n">
        <v>310000</v>
      </c>
      <c r="D8" s="3" t="n">
        <v>1863924</v>
      </c>
      <c r="E8" s="3" t="n">
        <v>388139</v>
      </c>
    </row>
    <row r="9">
      <c r="A9" t="inlineStr">
        <is>
          <t>Reconciled Cost Of Revenue</t>
        </is>
      </c>
      <c r="B9" s="3" t="n">
        <v>18033000</v>
      </c>
      <c r="C9" s="3" t="n">
        <v>1888000</v>
      </c>
      <c r="D9" s="3" t="n">
        <v>1730262</v>
      </c>
      <c r="E9" s="3" t="n">
        <v>1148426</v>
      </c>
    </row>
    <row r="10">
      <c r="A10" t="inlineStr">
        <is>
          <t>EBITDA</t>
        </is>
      </c>
      <c r="B10" s="3" t="n">
        <v>-96801000</v>
      </c>
      <c r="C10" s="3" t="n">
        <v>-36922000</v>
      </c>
      <c r="D10" s="3" t="n">
        <v>-17394685</v>
      </c>
      <c r="E10" s="3" t="n">
        <v>-20830658</v>
      </c>
    </row>
    <row r="11">
      <c r="A11" t="inlineStr">
        <is>
          <t>EBIT</t>
        </is>
      </c>
      <c r="B11" s="3" t="n">
        <v>-105014000</v>
      </c>
      <c r="C11" s="3" t="n">
        <v>-37232000</v>
      </c>
      <c r="D11" s="3" t="n">
        <v>-19258609</v>
      </c>
      <c r="E11" s="3" t="n">
        <v>-21218797</v>
      </c>
    </row>
    <row r="12">
      <c r="A12" t="inlineStr">
        <is>
          <t>Net Interest Income</t>
        </is>
      </c>
      <c r="B12" s="3" t="n">
        <v>7268000</v>
      </c>
      <c r="C12" s="3" t="n">
        <v>-680000</v>
      </c>
      <c r="D12" s="3" t="n">
        <v>-2264426</v>
      </c>
      <c r="E12" s="3" t="n">
        <v>-636330</v>
      </c>
    </row>
    <row r="13">
      <c r="A13" t="inlineStr">
        <is>
          <t>Interest Expense</t>
        </is>
      </c>
      <c r="B13" s="3" t="n">
        <v>3000</v>
      </c>
      <c r="C13" s="3" t="n">
        <v>1959000</v>
      </c>
      <c r="D13" s="3" t="n">
        <v>2264426</v>
      </c>
      <c r="E13" s="3" t="n">
        <v>636330</v>
      </c>
    </row>
    <row r="14">
      <c r="A14" t="inlineStr">
        <is>
          <t>Interest Income</t>
        </is>
      </c>
      <c r="B14" s="3" t="n">
        <v>7271000</v>
      </c>
      <c r="C14" s="3" t="n">
        <v>1279000</v>
      </c>
      <c r="D14" s="3" t="n"/>
      <c r="E14" s="3" t="n"/>
    </row>
    <row r="15">
      <c r="A15" t="inlineStr">
        <is>
          <t>Normalized Income</t>
        </is>
      </c>
      <c r="B15" s="3" t="n">
        <v>-101740245</v>
      </c>
      <c r="C15" s="3" t="n">
        <v>-38969000</v>
      </c>
      <c r="D15" s="3" t="n">
        <v>-21523035</v>
      </c>
      <c r="E15" s="3" t="n">
        <v>-21589383</v>
      </c>
    </row>
    <row r="16">
      <c r="A16" t="inlineStr">
        <is>
          <t>Net Income From Continuing And Discontinued Operation</t>
        </is>
      </c>
      <c r="B16" s="3" t="n">
        <v>-101361000</v>
      </c>
      <c r="C16" s="3" t="n">
        <v>-39191000</v>
      </c>
      <c r="D16" s="3" t="n">
        <v>-24813736</v>
      </c>
      <c r="E16" s="3" t="n">
        <v>-21855127</v>
      </c>
    </row>
    <row r="17">
      <c r="A17" t="inlineStr">
        <is>
          <t>Total Expenses</t>
        </is>
      </c>
      <c r="B17" s="3" t="n">
        <v>115420000</v>
      </c>
      <c r="C17" s="3" t="n">
        <v>40102000</v>
      </c>
      <c r="D17" s="3" t="n">
        <v>19466154</v>
      </c>
      <c r="E17" s="3" t="n">
        <v>21060872</v>
      </c>
    </row>
    <row r="18">
      <c r="A18" t="inlineStr">
        <is>
          <t>Total Operating Income As Reported</t>
        </is>
      </c>
      <c r="B18" s="3" t="n">
        <v>-112769000</v>
      </c>
      <c r="C18" s="3" t="n">
        <v>-38289000</v>
      </c>
      <c r="D18" s="3" t="n">
        <v>-20727604</v>
      </c>
      <c r="E18" s="3" t="n">
        <v>-20953053</v>
      </c>
    </row>
    <row r="19">
      <c r="A19" t="inlineStr">
        <is>
          <t>Diluted Average Shares</t>
        </is>
      </c>
      <c r="B19" s="3" t="n">
        <v>62284449</v>
      </c>
      <c r="C19" s="3" t="n">
        <v>36658834</v>
      </c>
      <c r="D19" s="3" t="n">
        <v>36940918</v>
      </c>
      <c r="E19" s="3" t="n">
        <v>36940918</v>
      </c>
    </row>
    <row r="20">
      <c r="A20" t="inlineStr">
        <is>
          <t>Basic Average Shares</t>
        </is>
      </c>
      <c r="B20" s="3" t="n">
        <v>62284449</v>
      </c>
      <c r="C20" s="3" t="n">
        <v>36658834</v>
      </c>
      <c r="D20" s="3" t="n">
        <v>36940918</v>
      </c>
      <c r="E20" s="3" t="n">
        <v>36940918</v>
      </c>
    </row>
    <row r="21">
      <c r="A21" t="inlineStr">
        <is>
          <t>Diluted EPS</t>
        </is>
      </c>
      <c r="B21" s="3" t="n">
        <v>-1.63</v>
      </c>
      <c r="C21" s="3" t="n">
        <v>-1.07</v>
      </c>
      <c r="D21" s="3" t="n">
        <v>-0.671714</v>
      </c>
      <c r="E21" s="3" t="n">
        <v>-0.591624</v>
      </c>
    </row>
    <row r="22">
      <c r="A22" t="inlineStr">
        <is>
          <t>Basic EPS</t>
        </is>
      </c>
      <c r="B22" s="3" t="n">
        <v>-1.63</v>
      </c>
      <c r="C22" s="3" t="n">
        <v>-1.07</v>
      </c>
      <c r="D22" s="3" t="n">
        <v>-0.671714</v>
      </c>
      <c r="E22" s="3" t="n">
        <v>-0.591624</v>
      </c>
    </row>
    <row r="23">
      <c r="A23" t="inlineStr">
        <is>
          <t>Diluted NI Availto Com Stockholders</t>
        </is>
      </c>
      <c r="B23" s="3" t="n">
        <v>-101361000</v>
      </c>
      <c r="C23" s="3" t="n">
        <v>-39191000</v>
      </c>
      <c r="D23" s="3" t="n">
        <v>-24813736</v>
      </c>
      <c r="E23" s="3" t="n">
        <v>-21855127</v>
      </c>
    </row>
    <row r="24">
      <c r="A24" t="inlineStr">
        <is>
          <t>Net Income Common Stockholders</t>
        </is>
      </c>
      <c r="B24" s="3" t="n">
        <v>-101361000</v>
      </c>
      <c r="C24" s="3" t="n">
        <v>-39191000</v>
      </c>
      <c r="D24" s="3" t="n">
        <v>-24813736</v>
      </c>
      <c r="E24" s="3" t="n">
        <v>-21855127</v>
      </c>
    </row>
    <row r="25">
      <c r="A25" t="inlineStr">
        <is>
          <t>Net Income</t>
        </is>
      </c>
      <c r="B25" s="3" t="n">
        <v>-101361000</v>
      </c>
      <c r="C25" s="3" t="n">
        <v>-39191000</v>
      </c>
      <c r="D25" s="3" t="n">
        <v>-24813736</v>
      </c>
      <c r="E25" s="3" t="n">
        <v>-21855127</v>
      </c>
    </row>
    <row r="26">
      <c r="A26" t="inlineStr">
        <is>
          <t>Net Income Including Noncontrolling Interests</t>
        </is>
      </c>
      <c r="B26" s="3" t="n">
        <v>-101361000</v>
      </c>
      <c r="C26" s="3" t="n">
        <v>-39191000</v>
      </c>
      <c r="D26" s="3" t="n">
        <v>-24813736</v>
      </c>
      <c r="E26" s="3" t="n">
        <v>-21855127</v>
      </c>
    </row>
    <row r="27">
      <c r="A27" t="inlineStr">
        <is>
          <t>Net Income Continuous Operations</t>
        </is>
      </c>
      <c r="B27" s="3" t="n">
        <v>-101361000</v>
      </c>
      <c r="C27" s="3" t="n">
        <v>-39191000</v>
      </c>
      <c r="D27" s="3" t="n">
        <v>-24813736</v>
      </c>
      <c r="E27" s="3" t="n">
        <v>-21855127</v>
      </c>
    </row>
    <row r="28">
      <c r="A28" t="inlineStr">
        <is>
          <t>Tax Provision</t>
        </is>
      </c>
      <c r="B28" s="3" t="n">
        <v>-3656000</v>
      </c>
      <c r="C28" s="3" t="n">
        <v>0</v>
      </c>
      <c r="D28" s="3" t="n">
        <v>0</v>
      </c>
      <c r="E28" s="3" t="n">
        <v>0</v>
      </c>
    </row>
    <row r="29">
      <c r="A29" t="inlineStr">
        <is>
          <t>Pretax Income</t>
        </is>
      </c>
      <c r="B29" s="3" t="n">
        <v>-105017000</v>
      </c>
      <c r="C29" s="3" t="n">
        <v>-39191000</v>
      </c>
      <c r="D29" s="3" t="n">
        <v>-24813736</v>
      </c>
      <c r="E29" s="3" t="n">
        <v>-21855127</v>
      </c>
    </row>
    <row r="30">
      <c r="A30" t="inlineStr">
        <is>
          <t>Other Income Expense</t>
        </is>
      </c>
      <c r="B30" s="3" t="n">
        <v>484000</v>
      </c>
      <c r="C30" s="3" t="n">
        <v>-222000</v>
      </c>
      <c r="D30" s="3" t="n">
        <v>-3290701</v>
      </c>
      <c r="E30" s="3" t="n">
        <v>-265744</v>
      </c>
    </row>
    <row r="31">
      <c r="A31" t="inlineStr">
        <is>
          <t>Other Non Operating Income Expenses</t>
        </is>
      </c>
      <c r="B31" s="3" t="n">
        <v>91000</v>
      </c>
      <c r="C31" s="3" t="n"/>
      <c r="D31" s="3" t="n"/>
      <c r="E31" s="3" t="n"/>
    </row>
    <row r="32">
      <c r="A32" t="inlineStr">
        <is>
          <t>Special Income Charges</t>
        </is>
      </c>
      <c r="B32" s="3" t="n"/>
      <c r="C32" s="3" t="n">
        <v>0</v>
      </c>
      <c r="D32" s="3" t="n">
        <v>-1468995</v>
      </c>
      <c r="E32" s="3" t="n">
        <v>0</v>
      </c>
    </row>
    <row r="33">
      <c r="A33" t="inlineStr">
        <is>
          <t>Impairment Of Capital Assets</t>
        </is>
      </c>
      <c r="B33" s="3" t="n"/>
      <c r="C33" s="3" t="n">
        <v>0</v>
      </c>
      <c r="D33" s="3" t="n">
        <v>1468995</v>
      </c>
      <c r="E33" s="3" t="n">
        <v>0</v>
      </c>
    </row>
    <row r="34">
      <c r="A34" t="inlineStr">
        <is>
          <t>Gain On Sale Of Security</t>
        </is>
      </c>
      <c r="B34" s="3" t="n">
        <v>393000</v>
      </c>
      <c r="C34" s="3" t="n">
        <v>-222000</v>
      </c>
      <c r="D34" s="3" t="n">
        <v>-1821706</v>
      </c>
      <c r="E34" s="3" t="n">
        <v>-265744</v>
      </c>
    </row>
    <row r="35">
      <c r="A35" t="inlineStr">
        <is>
          <t>Net Non Operating Interest Income Expense</t>
        </is>
      </c>
      <c r="B35" s="3" t="n">
        <v>7268000</v>
      </c>
      <c r="C35" s="3" t="n">
        <v>-680000</v>
      </c>
      <c r="D35" s="3" t="n">
        <v>-2264426</v>
      </c>
      <c r="E35" s="3" t="n">
        <v>-636330</v>
      </c>
    </row>
    <row r="36">
      <c r="A36" t="inlineStr">
        <is>
          <t>Total Other Finance Cost</t>
        </is>
      </c>
      <c r="B36" s="3" t="n"/>
      <c r="C36" s="3" t="n">
        <v>680548</v>
      </c>
      <c r="D36" s="3" t="n">
        <v>2264426</v>
      </c>
      <c r="E36" s="3" t="n"/>
    </row>
    <row r="37">
      <c r="A37" t="inlineStr">
        <is>
          <t>Interest Expense Non Operating</t>
        </is>
      </c>
      <c r="B37" s="3" t="n">
        <v>3000</v>
      </c>
      <c r="C37" s="3" t="n">
        <v>1959000</v>
      </c>
      <c r="D37" s="3" t="n">
        <v>2264426</v>
      </c>
      <c r="E37" s="3" t="n">
        <v>636330</v>
      </c>
    </row>
    <row r="38">
      <c r="A38" t="inlineStr">
        <is>
          <t>Interest Income Non Operating</t>
        </is>
      </c>
      <c r="B38" s="3" t="n">
        <v>7271000</v>
      </c>
      <c r="C38" s="3" t="n">
        <v>1279000</v>
      </c>
      <c r="D38" s="3" t="n"/>
      <c r="E38" s="3" t="n"/>
    </row>
    <row r="39">
      <c r="A39" t="inlineStr">
        <is>
          <t>Operating Income</t>
        </is>
      </c>
      <c r="B39" s="3" t="n">
        <v>-112769000</v>
      </c>
      <c r="C39" s="3" t="n">
        <v>-38289000</v>
      </c>
      <c r="D39" s="3" t="n">
        <v>-19258609</v>
      </c>
      <c r="E39" s="3" t="n">
        <v>-20953053</v>
      </c>
    </row>
    <row r="40">
      <c r="A40" t="inlineStr">
        <is>
          <t>Operating Expense</t>
        </is>
      </c>
      <c r="B40" s="3" t="n">
        <v>97387000</v>
      </c>
      <c r="C40" s="3" t="n">
        <v>38214000</v>
      </c>
      <c r="D40" s="3" t="n">
        <v>17735892</v>
      </c>
      <c r="E40" s="3" t="n">
        <v>19912446</v>
      </c>
    </row>
    <row r="41">
      <c r="A41" t="inlineStr">
        <is>
          <t>Other Operating Expenses</t>
        </is>
      </c>
      <c r="B41" s="3" t="n">
        <v>12101000</v>
      </c>
      <c r="C41" s="3" t="n">
        <v>3289000</v>
      </c>
      <c r="D41" s="3" t="n">
        <v>2564930</v>
      </c>
      <c r="E41" s="3" t="n">
        <v>2035063</v>
      </c>
    </row>
    <row r="42">
      <c r="A42" t="inlineStr">
        <is>
          <t>Research And Development</t>
        </is>
      </c>
      <c r="B42" s="3" t="n">
        <v>45267000</v>
      </c>
      <c r="C42" s="3" t="n">
        <v>24255000</v>
      </c>
      <c r="D42" s="3" t="n">
        <v>9947258</v>
      </c>
      <c r="E42" s="3" t="n">
        <v>13565765</v>
      </c>
    </row>
    <row r="43">
      <c r="A43" t="inlineStr">
        <is>
          <t>Selling General And Administration</t>
        </is>
      </c>
      <c r="B43" s="3" t="n">
        <v>40019000</v>
      </c>
      <c r="C43" s="3" t="n">
        <v>10670000</v>
      </c>
      <c r="D43" s="3" t="n">
        <v>5223704</v>
      </c>
      <c r="E43" s="3" t="n">
        <v>4311618</v>
      </c>
    </row>
    <row r="44">
      <c r="A44" t="inlineStr">
        <is>
          <t>Selling And Marketing Expense</t>
        </is>
      </c>
      <c r="B44" s="3" t="n">
        <v>2901000</v>
      </c>
      <c r="C44" s="3" t="n">
        <v>577000</v>
      </c>
      <c r="D44" s="3" t="n">
        <v>605205</v>
      </c>
      <c r="E44" s="3" t="n">
        <v>525494</v>
      </c>
    </row>
    <row r="45">
      <c r="A45" t="inlineStr">
        <is>
          <t>General And Administrative Expense</t>
        </is>
      </c>
      <c r="B45" s="3" t="n">
        <v>37118000</v>
      </c>
      <c r="C45" s="3" t="n">
        <v>10093000</v>
      </c>
      <c r="D45" s="3" t="n">
        <v>4618499</v>
      </c>
      <c r="E45" s="3" t="n">
        <v>3786124</v>
      </c>
    </row>
    <row r="46">
      <c r="A46" t="inlineStr">
        <is>
          <t>Other Gand A</t>
        </is>
      </c>
      <c r="B46" s="3" t="n">
        <v>37118000</v>
      </c>
      <c r="C46" s="3" t="n">
        <v>10093000</v>
      </c>
      <c r="D46" s="3" t="n">
        <v>4618499</v>
      </c>
      <c r="E46" s="3" t="n">
        <v>3786124</v>
      </c>
    </row>
    <row r="47">
      <c r="A47" t="inlineStr">
        <is>
          <t>Gross Profit</t>
        </is>
      </c>
      <c r="B47" s="3" t="n">
        <v>-15382000</v>
      </c>
      <c r="C47" s="3" t="n">
        <v>-75000</v>
      </c>
      <c r="D47" s="3" t="n">
        <v>-1522717</v>
      </c>
      <c r="E47" s="3" t="n">
        <v>-1040607</v>
      </c>
    </row>
    <row r="48">
      <c r="A48" t="inlineStr">
        <is>
          <t>Cost Of Revenue</t>
        </is>
      </c>
      <c r="B48" s="3" t="n">
        <v>18033000</v>
      </c>
      <c r="C48" s="3" t="n">
        <v>1888000</v>
      </c>
      <c r="D48" s="3" t="n">
        <v>1730262</v>
      </c>
      <c r="E48" s="3" t="n">
        <v>1148426</v>
      </c>
    </row>
    <row r="49">
      <c r="A49" t="inlineStr">
        <is>
          <t>Total Revenue</t>
        </is>
      </c>
      <c r="B49" s="3" t="n">
        <v>2651000</v>
      </c>
      <c r="C49" s="3" t="n">
        <v>1813000</v>
      </c>
      <c r="D49" s="3" t="n">
        <v>207545</v>
      </c>
      <c r="E49" s="3" t="n">
        <v>107819</v>
      </c>
    </row>
    <row r="50">
      <c r="A50" t="inlineStr">
        <is>
          <t>Operating Revenue</t>
        </is>
      </c>
      <c r="B50" s="3" t="n">
        <v>2651000</v>
      </c>
      <c r="C50" s="3" t="n">
        <v>1813000</v>
      </c>
      <c r="D50" s="3" t="n">
        <v>207545</v>
      </c>
      <c r="E50" s="3" t="n">
        <v>107819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-143.559172</v>
      </c>
      <c r="C2" s="3" t="n">
        <v>29302.749875</v>
      </c>
      <c r="D2" s="3" t="n">
        <v>0</v>
      </c>
      <c r="E2" s="3" t="n">
        <v>0</v>
      </c>
      <c r="F2" s="3" t="n">
        <v>0</v>
      </c>
      <c r="G2" s="3" t="n"/>
    </row>
    <row r="3">
      <c r="A3" t="inlineStr">
        <is>
          <t>Tax Rate For Calcs</t>
        </is>
      </c>
      <c r="B3" s="3" t="n">
        <v>0.013051</v>
      </c>
      <c r="C3" s="3" t="n">
        <v>0.096391</v>
      </c>
      <c r="D3" s="3" t="n">
        <v>0</v>
      </c>
      <c r="E3" s="3" t="n">
        <v>0</v>
      </c>
      <c r="F3" s="3" t="n">
        <v>0</v>
      </c>
      <c r="G3" s="3" t="n"/>
    </row>
    <row r="4">
      <c r="A4" t="inlineStr">
        <is>
          <t>Normalized EBITDA</t>
        </is>
      </c>
      <c r="B4" s="3" t="n">
        <v>-43383000</v>
      </c>
      <c r="C4" s="3" t="n">
        <v>-33407000</v>
      </c>
      <c r="D4" s="3" t="n">
        <v>-31014000</v>
      </c>
      <c r="E4" s="3" t="n">
        <v>-20033000</v>
      </c>
      <c r="F4" s="3" t="n">
        <v>-12739000</v>
      </c>
      <c r="G4" s="3" t="n"/>
    </row>
    <row r="5">
      <c r="A5" t="inlineStr">
        <is>
          <t>Total Unusual Items</t>
        </is>
      </c>
      <c r="B5" s="3" t="n">
        <v>-11000</v>
      </c>
      <c r="C5" s="3" t="n">
        <v>304000</v>
      </c>
      <c r="D5" s="3" t="n">
        <v>89000</v>
      </c>
      <c r="E5" s="3" t="n"/>
      <c r="F5" s="3" t="n"/>
      <c r="G5" s="3" t="n">
        <v>0</v>
      </c>
    </row>
    <row r="6">
      <c r="A6" t="inlineStr">
        <is>
          <t>Total Unusual Items Excluding Goodwill</t>
        </is>
      </c>
      <c r="B6" s="3" t="n">
        <v>-11000</v>
      </c>
      <c r="C6" s="3" t="n">
        <v>304000</v>
      </c>
      <c r="D6" s="3" t="n">
        <v>89000</v>
      </c>
      <c r="E6" s="3" t="n"/>
      <c r="F6" s="3" t="n"/>
      <c r="G6" s="3" t="n">
        <v>0</v>
      </c>
    </row>
    <row r="7">
      <c r="A7" t="inlineStr">
        <is>
          <t>Net Income From Continuing Operation Net Minority Interest</t>
        </is>
      </c>
      <c r="B7" s="3" t="n">
        <v>-49004000</v>
      </c>
      <c r="C7" s="3" t="n">
        <v>-34273000</v>
      </c>
      <c r="D7" s="3" t="n">
        <v>-33020000</v>
      </c>
      <c r="E7" s="3" t="n">
        <v>-20850000</v>
      </c>
      <c r="F7" s="3" t="n">
        <v>-13217000</v>
      </c>
      <c r="G7" s="3" t="n"/>
    </row>
    <row r="8">
      <c r="A8" t="inlineStr">
        <is>
          <t>Reconciled Depreciation</t>
        </is>
      </c>
      <c r="B8" s="3" t="n">
        <v>6258000</v>
      </c>
      <c r="C8" s="3" t="n">
        <v>4826000</v>
      </c>
      <c r="D8" s="3" t="n">
        <v>2095000</v>
      </c>
      <c r="E8" s="3" t="n">
        <v>817000</v>
      </c>
      <c r="F8" s="3" t="n">
        <v>475000</v>
      </c>
      <c r="G8" s="3" t="n"/>
    </row>
    <row r="9">
      <c r="A9" t="inlineStr">
        <is>
          <t>Reconciled Cost Of Revenue</t>
        </is>
      </c>
      <c r="B9" s="3" t="n">
        <v>11985000</v>
      </c>
      <c r="C9" s="3" t="n">
        <v>7557000</v>
      </c>
      <c r="D9" s="3" t="n">
        <v>5066000</v>
      </c>
      <c r="E9" s="3" t="n">
        <v>3501000</v>
      </c>
      <c r="F9" s="3" t="n">
        <v>1909000</v>
      </c>
      <c r="G9" s="3" t="n"/>
    </row>
    <row r="10">
      <c r="A10" t="inlineStr">
        <is>
          <t>EBITDA</t>
        </is>
      </c>
      <c r="B10" s="3" t="n">
        <v>-43394000</v>
      </c>
      <c r="C10" s="3" t="n">
        <v>-33103000</v>
      </c>
      <c r="D10" s="3" t="n">
        <v>-30925000</v>
      </c>
      <c r="E10" s="3" t="n">
        <v>-20033000</v>
      </c>
      <c r="F10" s="3" t="n">
        <v>-12739000</v>
      </c>
      <c r="G10" s="3" t="n"/>
    </row>
    <row r="11">
      <c r="A11" t="inlineStr">
        <is>
          <t>EBIT</t>
        </is>
      </c>
      <c r="B11" s="3" t="n">
        <v>-49652000</v>
      </c>
      <c r="C11" s="3" t="n">
        <v>-37929000</v>
      </c>
      <c r="D11" s="3" t="n">
        <v>-33020000</v>
      </c>
      <c r="E11" s="3" t="n">
        <v>-20850000</v>
      </c>
      <c r="F11" s="3" t="n">
        <v>-13214000</v>
      </c>
      <c r="G11" s="3" t="n"/>
    </row>
    <row r="12">
      <c r="A12" t="inlineStr">
        <is>
          <t>Net Interest Income</t>
        </is>
      </c>
      <c r="B12" s="3" t="n">
        <v>2106000</v>
      </c>
      <c r="C12" s="3" t="n">
        <v>1978000</v>
      </c>
      <c r="D12" s="3" t="n">
        <v>1707000</v>
      </c>
      <c r="E12" s="3" t="n">
        <v>1794000</v>
      </c>
      <c r="F12" s="3" t="n">
        <v>1789000</v>
      </c>
      <c r="G12" s="3" t="n"/>
    </row>
    <row r="13">
      <c r="A13" t="inlineStr">
        <is>
          <t>Interest Expense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3000</v>
      </c>
      <c r="G13" s="3" t="n"/>
    </row>
    <row r="14">
      <c r="A14" t="inlineStr">
        <is>
          <t>Interest Income</t>
        </is>
      </c>
      <c r="B14" s="3" t="n">
        <v>2106000</v>
      </c>
      <c r="C14" s="3" t="n">
        <v>1978000</v>
      </c>
      <c r="D14" s="3" t="n">
        <v>1707000</v>
      </c>
      <c r="E14" s="3" t="n">
        <v>1794000</v>
      </c>
      <c r="F14" s="3" t="n">
        <v>1792000</v>
      </c>
      <c r="G14" s="3" t="n"/>
    </row>
    <row r="15">
      <c r="A15" t="inlineStr">
        <is>
          <t>Normalized Income</t>
        </is>
      </c>
      <c r="B15" s="3" t="n">
        <v>-48993143.559172</v>
      </c>
      <c r="C15" s="3" t="n">
        <v>-34547697.250125</v>
      </c>
      <c r="D15" s="3" t="n">
        <v>-33109000</v>
      </c>
      <c r="E15" s="3" t="n">
        <v>-20850000</v>
      </c>
      <c r="F15" s="3" t="n">
        <v>-13217000</v>
      </c>
      <c r="G15" s="3" t="n"/>
    </row>
    <row r="16">
      <c r="A16" t="inlineStr">
        <is>
          <t>Net Income From Continuing And Discontinued Operation</t>
        </is>
      </c>
      <c r="B16" s="3" t="n">
        <v>-49004000</v>
      </c>
      <c r="C16" s="3" t="n">
        <v>-34273000</v>
      </c>
      <c r="D16" s="3" t="n">
        <v>-33020000</v>
      </c>
      <c r="E16" s="3" t="n">
        <v>-20850000</v>
      </c>
      <c r="F16" s="3" t="n">
        <v>-13217000</v>
      </c>
      <c r="G16" s="3" t="n"/>
    </row>
    <row r="17">
      <c r="A17" t="inlineStr">
        <is>
          <t>Total Expenses</t>
        </is>
      </c>
      <c r="B17" s="3" t="n">
        <v>54766000</v>
      </c>
      <c r="C17" s="3" t="n">
        <v>41184000</v>
      </c>
      <c r="D17" s="3" t="n">
        <v>35503000</v>
      </c>
      <c r="E17" s="3" t="n">
        <v>23286000</v>
      </c>
      <c r="F17" s="3" t="n">
        <v>15446000</v>
      </c>
      <c r="G17" s="3" t="n"/>
    </row>
    <row r="18">
      <c r="A18" t="inlineStr">
        <is>
          <t>Total Operating Income As Reported</t>
        </is>
      </c>
      <c r="B18" s="3" t="n">
        <v>-51782000</v>
      </c>
      <c r="C18" s="3" t="n">
        <v>-40302000</v>
      </c>
      <c r="D18" s="3" t="n">
        <v>-34816000</v>
      </c>
      <c r="E18" s="3" t="n">
        <v>-22644000</v>
      </c>
      <c r="F18" s="3" t="n">
        <v>-15006000</v>
      </c>
      <c r="G18" s="3" t="n"/>
    </row>
    <row r="19">
      <c r="A19" t="inlineStr">
        <is>
          <t>Diluted Average Shares</t>
        </is>
      </c>
      <c r="B19" s="3" t="n">
        <v>75302980</v>
      </c>
      <c r="C19" s="3" t="n">
        <v>73829726</v>
      </c>
      <c r="D19" s="3" t="n">
        <v>61343218</v>
      </c>
      <c r="E19" s="3" t="n">
        <v>57514808</v>
      </c>
      <c r="F19" s="3" t="n">
        <v>56319299</v>
      </c>
      <c r="G19" s="3" t="n"/>
    </row>
    <row r="20">
      <c r="A20" t="inlineStr">
        <is>
          <t>Basic Average Shares</t>
        </is>
      </c>
      <c r="B20" s="3" t="n">
        <v>75302980</v>
      </c>
      <c r="C20" s="3" t="n">
        <v>73829726</v>
      </c>
      <c r="D20" s="3" t="n">
        <v>61343218</v>
      </c>
      <c r="E20" s="3" t="n">
        <v>57514808</v>
      </c>
      <c r="F20" s="3" t="n">
        <v>56319299</v>
      </c>
      <c r="G20" s="3" t="n"/>
    </row>
    <row r="21">
      <c r="A21" t="inlineStr">
        <is>
          <t>Diluted EPS</t>
        </is>
      </c>
      <c r="B21" s="3" t="n">
        <v>-0.65</v>
      </c>
      <c r="C21" s="3" t="n">
        <v>-0.46</v>
      </c>
      <c r="D21" s="3" t="n">
        <v>-0.54</v>
      </c>
      <c r="E21" s="3" t="n">
        <v>-0.36</v>
      </c>
      <c r="F21" s="3" t="n">
        <v>-0.23</v>
      </c>
      <c r="G21" s="3" t="n"/>
    </row>
    <row r="22">
      <c r="A22" t="inlineStr">
        <is>
          <t>Basic EPS</t>
        </is>
      </c>
      <c r="B22" s="3" t="n">
        <v>-0.65</v>
      </c>
      <c r="C22" s="3" t="n">
        <v>-0.46</v>
      </c>
      <c r="D22" s="3" t="n">
        <v>-0.54</v>
      </c>
      <c r="E22" s="3" t="n">
        <v>-0.36</v>
      </c>
      <c r="F22" s="3" t="n">
        <v>-0.23</v>
      </c>
      <c r="G22" s="3" t="n"/>
    </row>
    <row r="23">
      <c r="A23" t="inlineStr">
        <is>
          <t>Diluted NI Availto Com Stockholders</t>
        </is>
      </c>
      <c r="B23" s="3" t="n">
        <v>-49004000</v>
      </c>
      <c r="C23" s="3" t="n">
        <v>-34273000</v>
      </c>
      <c r="D23" s="3" t="n">
        <v>-33020000</v>
      </c>
      <c r="E23" s="3" t="n">
        <v>-20850000</v>
      </c>
      <c r="F23" s="3" t="n">
        <v>-13217000</v>
      </c>
      <c r="G23" s="3" t="n"/>
    </row>
    <row r="24">
      <c r="A24" t="inlineStr">
        <is>
          <t>Net Income Common Stockholders</t>
        </is>
      </c>
      <c r="B24" s="3" t="n">
        <v>-49004000</v>
      </c>
      <c r="C24" s="3" t="n">
        <v>-34273000</v>
      </c>
      <c r="D24" s="3" t="n">
        <v>-33020000</v>
      </c>
      <c r="E24" s="3" t="n">
        <v>-20850000</v>
      </c>
      <c r="F24" s="3" t="n">
        <v>-13217000</v>
      </c>
      <c r="G24" s="3" t="n"/>
    </row>
    <row r="25">
      <c r="A25" t="inlineStr">
        <is>
          <t>Net Income</t>
        </is>
      </c>
      <c r="B25" s="3" t="n">
        <v>-49004000</v>
      </c>
      <c r="C25" s="3" t="n">
        <v>-34273000</v>
      </c>
      <c r="D25" s="3" t="n">
        <v>-33020000</v>
      </c>
      <c r="E25" s="3" t="n">
        <v>-20850000</v>
      </c>
      <c r="F25" s="3" t="n">
        <v>-13217000</v>
      </c>
      <c r="G25" s="3" t="n"/>
    </row>
    <row r="26">
      <c r="A26" t="inlineStr">
        <is>
          <t>Net Income Including Noncontrolling Interests</t>
        </is>
      </c>
      <c r="B26" s="3" t="n">
        <v>-49004000</v>
      </c>
      <c r="C26" s="3" t="n">
        <v>-34273000</v>
      </c>
      <c r="D26" s="3" t="n">
        <v>-33020000</v>
      </c>
      <c r="E26" s="3" t="n">
        <v>-20850000</v>
      </c>
      <c r="F26" s="3" t="n">
        <v>-13217000</v>
      </c>
      <c r="G26" s="3" t="n"/>
    </row>
    <row r="27">
      <c r="A27" t="inlineStr">
        <is>
          <t>Net Income Continuous Operations</t>
        </is>
      </c>
      <c r="B27" s="3" t="n">
        <v>-49004000</v>
      </c>
      <c r="C27" s="3" t="n">
        <v>-34273000</v>
      </c>
      <c r="D27" s="3" t="n">
        <v>-33020000</v>
      </c>
      <c r="E27" s="3" t="n">
        <v>-20850000</v>
      </c>
      <c r="F27" s="3" t="n">
        <v>-13217000</v>
      </c>
      <c r="G27" s="3" t="n"/>
    </row>
    <row r="28">
      <c r="A28" t="inlineStr">
        <is>
          <t>Tax Provision</t>
        </is>
      </c>
      <c r="B28" s="3" t="n">
        <v>-648000</v>
      </c>
      <c r="C28" s="3" t="n">
        <v>-3656000</v>
      </c>
      <c r="D28" s="3" t="n">
        <v>0</v>
      </c>
      <c r="E28" s="3" t="n">
        <v>0</v>
      </c>
      <c r="F28" s="3" t="n">
        <v>0</v>
      </c>
      <c r="G28" s="3" t="n"/>
    </row>
    <row r="29">
      <c r="A29" t="inlineStr">
        <is>
          <t>Pretax Income</t>
        </is>
      </c>
      <c r="B29" s="3" t="n">
        <v>-49652000</v>
      </c>
      <c r="C29" s="3" t="n">
        <v>-37929000</v>
      </c>
      <c r="D29" s="3" t="n">
        <v>-33020000</v>
      </c>
      <c r="E29" s="3" t="n">
        <v>-20850000</v>
      </c>
      <c r="F29" s="3" t="n">
        <v>-13217000</v>
      </c>
      <c r="G29" s="3" t="n"/>
    </row>
    <row r="30">
      <c r="A30" t="inlineStr">
        <is>
          <t>Other Income Expense</t>
        </is>
      </c>
      <c r="B30" s="3" t="n">
        <v>24000</v>
      </c>
      <c r="C30" s="3" t="n">
        <v>395000</v>
      </c>
      <c r="D30" s="3" t="n">
        <v>89000</v>
      </c>
      <c r="E30" s="3" t="n"/>
      <c r="F30" s="3" t="n"/>
      <c r="G30" s="3" t="n">
        <v>0</v>
      </c>
    </row>
    <row r="31">
      <c r="A31" t="inlineStr">
        <is>
          <t>Other Non Operating Income Expenses</t>
        </is>
      </c>
      <c r="B31" s="3" t="n">
        <v>35000</v>
      </c>
      <c r="C31" s="3" t="n"/>
      <c r="D31" s="3" t="n"/>
      <c r="E31" s="3" t="n"/>
      <c r="F31" s="3" t="n"/>
      <c r="G31" s="3" t="n"/>
    </row>
    <row r="32">
      <c r="A32" t="inlineStr">
        <is>
          <t>Gain On Sale Of Security</t>
        </is>
      </c>
      <c r="B32" s="3" t="n">
        <v>-11000</v>
      </c>
      <c r="C32" s="3" t="n">
        <v>304000</v>
      </c>
      <c r="D32" s="3" t="n">
        <v>89000</v>
      </c>
      <c r="E32" s="3" t="n"/>
      <c r="F32" s="3" t="n"/>
      <c r="G32" s="3" t="n">
        <v>0</v>
      </c>
    </row>
    <row r="33">
      <c r="A33" t="inlineStr">
        <is>
          <t>Net Non Operating Interest Income Expense</t>
        </is>
      </c>
      <c r="B33" s="3" t="n">
        <v>2106000</v>
      </c>
      <c r="C33" s="3" t="n">
        <v>1978000</v>
      </c>
      <c r="D33" s="3" t="n">
        <v>1707000</v>
      </c>
      <c r="E33" s="3" t="n">
        <v>1794000</v>
      </c>
      <c r="F33" s="3" t="n">
        <v>1789000</v>
      </c>
      <c r="G33" s="3" t="n"/>
    </row>
    <row r="34">
      <c r="A34" t="inlineStr">
        <is>
          <t>Total Other Finance Cost</t>
        </is>
      </c>
      <c r="B34" s="3" t="n"/>
      <c r="C34" s="3" t="n"/>
      <c r="D34" s="3" t="n"/>
      <c r="E34" s="3" t="n"/>
      <c r="F34" s="3" t="n"/>
      <c r="G34" s="3" t="n">
        <v>-457240</v>
      </c>
    </row>
    <row r="35">
      <c r="A35" t="inlineStr">
        <is>
          <t>Interest Expense Non Operating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3000</v>
      </c>
      <c r="G35" s="3" t="n"/>
    </row>
    <row r="36">
      <c r="A36" t="inlineStr">
        <is>
          <t>Interest Income Non Operating</t>
        </is>
      </c>
      <c r="B36" s="3" t="n">
        <v>2106000</v>
      </c>
      <c r="C36" s="3" t="n">
        <v>1978000</v>
      </c>
      <c r="D36" s="3" t="n">
        <v>1707000</v>
      </c>
      <c r="E36" s="3" t="n">
        <v>1794000</v>
      </c>
      <c r="F36" s="3" t="n">
        <v>1792000</v>
      </c>
      <c r="G36" s="3" t="n"/>
    </row>
    <row r="37">
      <c r="A37" t="inlineStr">
        <is>
          <t>Operating Income</t>
        </is>
      </c>
      <c r="B37" s="3" t="n">
        <v>-51782000</v>
      </c>
      <c r="C37" s="3" t="n">
        <v>-40302000</v>
      </c>
      <c r="D37" s="3" t="n">
        <v>-34816000</v>
      </c>
      <c r="E37" s="3" t="n">
        <v>-22644000</v>
      </c>
      <c r="F37" s="3" t="n">
        <v>-15006000</v>
      </c>
      <c r="G37" s="3" t="n"/>
    </row>
    <row r="38">
      <c r="A38" t="inlineStr">
        <is>
          <t>Operating Expense</t>
        </is>
      </c>
      <c r="B38" s="3" t="n">
        <v>42781000</v>
      </c>
      <c r="C38" s="3" t="n">
        <v>33627000</v>
      </c>
      <c r="D38" s="3" t="n">
        <v>30437000</v>
      </c>
      <c r="E38" s="3" t="n">
        <v>19785000</v>
      </c>
      <c r="F38" s="3" t="n">
        <v>13537000</v>
      </c>
      <c r="G38" s="3" t="n"/>
    </row>
    <row r="39">
      <c r="A39" t="inlineStr">
        <is>
          <t>Other Operating Expenses</t>
        </is>
      </c>
      <c r="B39" s="3" t="n">
        <v>6955000</v>
      </c>
      <c r="C39" s="3" t="n">
        <v>5321000</v>
      </c>
      <c r="D39" s="3" t="n">
        <v>2987000</v>
      </c>
      <c r="E39" s="3" t="n">
        <v>2124000</v>
      </c>
      <c r="F39" s="3" t="n">
        <v>1668000</v>
      </c>
      <c r="G39" s="3" t="n"/>
    </row>
    <row r="40">
      <c r="A40" t="inlineStr">
        <is>
          <t>Research And Development</t>
        </is>
      </c>
      <c r="B40" s="3" t="n">
        <v>19037000</v>
      </c>
      <c r="C40" s="3" t="n">
        <v>15853000</v>
      </c>
      <c r="D40" s="3" t="n">
        <v>13414000</v>
      </c>
      <c r="E40" s="3" t="n">
        <v>9120000</v>
      </c>
      <c r="F40" s="3" t="n">
        <v>6880000</v>
      </c>
      <c r="G40" s="3" t="n"/>
    </row>
    <row r="41">
      <c r="A41" t="inlineStr">
        <is>
          <t>Selling General And Administration</t>
        </is>
      </c>
      <c r="B41" s="3" t="n">
        <v>16789000</v>
      </c>
      <c r="C41" s="3" t="n">
        <v>12453000</v>
      </c>
      <c r="D41" s="3" t="n">
        <v>14036000</v>
      </c>
      <c r="E41" s="3" t="n">
        <v>8541000</v>
      </c>
      <c r="F41" s="3" t="n">
        <v>4989000</v>
      </c>
      <c r="G41" s="3" t="n"/>
    </row>
    <row r="42">
      <c r="A42" t="inlineStr">
        <is>
          <t>Selling And Marketing Expense</t>
        </is>
      </c>
      <c r="B42" s="3" t="n">
        <v>1873000</v>
      </c>
      <c r="C42" s="3" t="n">
        <v>1316000</v>
      </c>
      <c r="D42" s="3" t="n">
        <v>883000</v>
      </c>
      <c r="E42" s="3" t="n">
        <v>463000</v>
      </c>
      <c r="F42" s="3" t="n">
        <v>239000</v>
      </c>
      <c r="G42" s="3" t="n"/>
    </row>
    <row r="43">
      <c r="A43" t="inlineStr">
        <is>
          <t>General And Administrative Expense</t>
        </is>
      </c>
      <c r="B43" s="3" t="n">
        <v>14916000</v>
      </c>
      <c r="C43" s="3" t="n">
        <v>11137000</v>
      </c>
      <c r="D43" s="3" t="n">
        <v>13153000</v>
      </c>
      <c r="E43" s="3" t="n">
        <v>8078000</v>
      </c>
      <c r="F43" s="3" t="n">
        <v>4750000</v>
      </c>
      <c r="G43" s="3" t="n"/>
    </row>
    <row r="44">
      <c r="A44" t="inlineStr">
        <is>
          <t>Other Gand A</t>
        </is>
      </c>
      <c r="B44" s="3" t="n">
        <v>14916000</v>
      </c>
      <c r="C44" s="3" t="n">
        <v>11137000</v>
      </c>
      <c r="D44" s="3" t="n">
        <v>13153000</v>
      </c>
      <c r="E44" s="3" t="n">
        <v>8078000</v>
      </c>
      <c r="F44" s="3" t="n">
        <v>4750000</v>
      </c>
      <c r="G44" s="3" t="n"/>
    </row>
    <row r="45">
      <c r="A45" t="inlineStr">
        <is>
          <t>Gross Profit</t>
        </is>
      </c>
      <c r="B45" s="3" t="n">
        <v>-9001000</v>
      </c>
      <c r="C45" s="3" t="n">
        <v>-6675000</v>
      </c>
      <c r="D45" s="3" t="n">
        <v>-4379000</v>
      </c>
      <c r="E45" s="3" t="n">
        <v>-2859000</v>
      </c>
      <c r="F45" s="3" t="n">
        <v>-1469000</v>
      </c>
      <c r="G45" s="3" t="n"/>
    </row>
    <row r="46">
      <c r="A46" t="inlineStr">
        <is>
          <t>Cost Of Revenue</t>
        </is>
      </c>
      <c r="B46" s="3" t="n">
        <v>11985000</v>
      </c>
      <c r="C46" s="3" t="n">
        <v>7557000</v>
      </c>
      <c r="D46" s="3" t="n">
        <v>5066000</v>
      </c>
      <c r="E46" s="3" t="n">
        <v>3501000</v>
      </c>
      <c r="F46" s="3" t="n">
        <v>1909000</v>
      </c>
      <c r="G46" s="3" t="n"/>
    </row>
    <row r="47">
      <c r="A47" t="inlineStr">
        <is>
          <t>Total Revenue</t>
        </is>
      </c>
      <c r="B47" s="3" t="n">
        <v>2984000</v>
      </c>
      <c r="C47" s="3" t="n">
        <v>882000</v>
      </c>
      <c r="D47" s="3" t="n">
        <v>687000</v>
      </c>
      <c r="E47" s="3" t="n">
        <v>642000</v>
      </c>
      <c r="F47" s="3" t="n">
        <v>440000</v>
      </c>
      <c r="G47" s="3" t="n"/>
    </row>
    <row r="48">
      <c r="A48" t="inlineStr">
        <is>
          <t>Operating Revenue</t>
        </is>
      </c>
      <c r="B48" s="3" t="n">
        <v>2984000</v>
      </c>
      <c r="C48" s="3" t="n">
        <v>882000</v>
      </c>
      <c r="D48" s="3" t="n">
        <v>687000</v>
      </c>
      <c r="E48" s="3" t="n">
        <v>642000</v>
      </c>
      <c r="F48" s="3" t="n">
        <v>440000</v>
      </c>
      <c r="G48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46833</v>
      </c>
      <c r="C2" s="3" t="n">
        <v>108008</v>
      </c>
      <c r="D2" s="3" t="n"/>
      <c r="E2" s="3" t="n"/>
      <c r="F2" s="3" t="n"/>
    </row>
    <row r="3">
      <c r="A3" t="inlineStr">
        <is>
          <t>Ordinary Shares Number</t>
        </is>
      </c>
      <c r="B3" s="3" t="n">
        <v>74734949</v>
      </c>
      <c r="C3" s="3" t="n">
        <v>51288566</v>
      </c>
      <c r="D3" s="3" t="n">
        <v>36940918</v>
      </c>
      <c r="E3" s="3" t="n">
        <v>36940918</v>
      </c>
      <c r="F3" s="3" t="n"/>
    </row>
    <row r="4">
      <c r="A4" t="inlineStr">
        <is>
          <t>Share Issued</t>
        </is>
      </c>
      <c r="B4" s="3" t="n">
        <v>74781782</v>
      </c>
      <c r="C4" s="3" t="n">
        <v>51396574</v>
      </c>
      <c r="D4" s="3" t="n">
        <v>36940918</v>
      </c>
      <c r="E4" s="3" t="n">
        <v>36940918</v>
      </c>
      <c r="F4" s="3" t="n"/>
    </row>
    <row r="5">
      <c r="A5" t="inlineStr">
        <is>
          <t>Net Debt</t>
        </is>
      </c>
      <c r="B5" s="3" t="n"/>
      <c r="C5" s="3" t="n"/>
      <c r="D5" s="3" t="n">
        <v>1294177</v>
      </c>
      <c r="E5" s="3" t="n"/>
      <c r="F5" s="3" t="n"/>
    </row>
    <row r="6">
      <c r="A6" t="inlineStr">
        <is>
          <t>Total Debt</t>
        </is>
      </c>
      <c r="B6" s="3" t="n">
        <v>5254000</v>
      </c>
      <c r="C6" s="3" t="n">
        <v>2343000</v>
      </c>
      <c r="D6" s="3" t="n">
        <v>4372884</v>
      </c>
      <c r="E6" s="3" t="n">
        <v>7483257</v>
      </c>
      <c r="F6" s="3" t="n"/>
    </row>
    <row r="7">
      <c r="A7" t="inlineStr">
        <is>
          <t>Tangible Book Value</t>
        </is>
      </c>
      <c r="B7" s="3" t="n">
        <v>303901000</v>
      </c>
      <c r="C7" s="3" t="n">
        <v>131681000</v>
      </c>
      <c r="D7" s="3" t="n">
        <v>-4033406</v>
      </c>
      <c r="E7" s="3" t="n">
        <v>-12452944</v>
      </c>
      <c r="F7" s="3" t="n"/>
    </row>
    <row r="8">
      <c r="A8" t="inlineStr">
        <is>
          <t>Invested Capital</t>
        </is>
      </c>
      <c r="B8" s="3" t="n">
        <v>350744000</v>
      </c>
      <c r="C8" s="3" t="n">
        <v>131681000</v>
      </c>
      <c r="D8" s="3" t="n">
        <v>-2732473</v>
      </c>
      <c r="E8" s="3" t="n">
        <v>-10238344</v>
      </c>
      <c r="F8" s="3" t="n"/>
    </row>
    <row r="9">
      <c r="A9" t="inlineStr">
        <is>
          <t>Working Capital</t>
        </is>
      </c>
      <c r="B9" s="3" t="n">
        <v>227777000</v>
      </c>
      <c r="C9" s="3" t="n">
        <v>118445000</v>
      </c>
      <c r="D9" s="3" t="n">
        <v>-4776195</v>
      </c>
      <c r="E9" s="3" t="n">
        <v>-457985</v>
      </c>
      <c r="F9" s="3" t="n"/>
    </row>
    <row r="10">
      <c r="A10" t="inlineStr">
        <is>
          <t>Net Tangible Assets</t>
        </is>
      </c>
      <c r="B10" s="3" t="n">
        <v>303901000</v>
      </c>
      <c r="C10" s="3" t="n">
        <v>131681000</v>
      </c>
      <c r="D10" s="3" t="n">
        <v>-4033406</v>
      </c>
      <c r="E10" s="3" t="n">
        <v>-12452146</v>
      </c>
      <c r="F10" s="3" t="n"/>
    </row>
    <row r="11">
      <c r="A11" t="inlineStr">
        <is>
          <t>Capital Lease Obligations</t>
        </is>
      </c>
      <c r="B11" s="3" t="n">
        <v>5254000</v>
      </c>
      <c r="C11" s="3" t="n">
        <v>2343000</v>
      </c>
      <c r="D11" s="3" t="n">
        <v>3071951</v>
      </c>
      <c r="E11" s="3" t="n">
        <v>5268657</v>
      </c>
      <c r="F11" s="3" t="n"/>
    </row>
    <row r="12">
      <c r="A12" t="inlineStr">
        <is>
          <t>Common Stock Equity</t>
        </is>
      </c>
      <c r="B12" s="3" t="n">
        <v>350744000</v>
      </c>
      <c r="C12" s="3" t="n">
        <v>131681000</v>
      </c>
      <c r="D12" s="3" t="n">
        <v>-4033406</v>
      </c>
      <c r="E12" s="3" t="n">
        <v>-12452944</v>
      </c>
      <c r="F12" s="3" t="n"/>
    </row>
    <row r="13">
      <c r="A13" t="inlineStr">
        <is>
          <t>Preferred Stock Equity</t>
        </is>
      </c>
      <c r="B13" s="3" t="n"/>
      <c r="C13" s="3" t="n"/>
      <c r="D13" s="3" t="n"/>
      <c r="E13" s="3" t="n">
        <v>798</v>
      </c>
      <c r="F13" s="3" t="n">
        <v>772</v>
      </c>
    </row>
    <row r="14">
      <c r="A14" t="inlineStr">
        <is>
          <t>Total Capitalization</t>
        </is>
      </c>
      <c r="B14" s="3" t="n">
        <v>350744000</v>
      </c>
      <c r="C14" s="3" t="n">
        <v>131681000</v>
      </c>
      <c r="D14" s="3" t="n">
        <v>-3802473</v>
      </c>
      <c r="E14" s="3" t="n">
        <v>-11237546</v>
      </c>
      <c r="F14" s="3" t="n"/>
    </row>
    <row r="15">
      <c r="A15" t="inlineStr">
        <is>
          <t>Total Equity Gross Minority Interest</t>
        </is>
      </c>
      <c r="B15" s="3" t="n">
        <v>350744000</v>
      </c>
      <c r="C15" s="3" t="n">
        <v>131681000</v>
      </c>
      <c r="D15" s="3" t="n">
        <v>-4033406</v>
      </c>
      <c r="E15" s="3" t="n">
        <v>-12452146</v>
      </c>
      <c r="F15" s="3" t="n"/>
    </row>
    <row r="16">
      <c r="A16" t="inlineStr">
        <is>
          <t>Stockholders Equity</t>
        </is>
      </c>
      <c r="B16" s="3" t="n">
        <v>350744000</v>
      </c>
      <c r="C16" s="3" t="n">
        <v>131681000</v>
      </c>
      <c r="D16" s="3" t="n">
        <v>-4033406</v>
      </c>
      <c r="E16" s="3" t="n">
        <v>-12452146</v>
      </c>
      <c r="F16" s="3" t="n"/>
    </row>
    <row r="17">
      <c r="A17" t="inlineStr">
        <is>
          <t>Other Equity Interest</t>
        </is>
      </c>
      <c r="B17" s="3" t="n"/>
      <c r="C17" s="3" t="n"/>
      <c r="D17" s="3" t="n">
        <v>-169616</v>
      </c>
      <c r="E17" s="3" t="n">
        <v>-165719</v>
      </c>
      <c r="F17" s="3" t="n"/>
    </row>
    <row r="18">
      <c r="A18" t="inlineStr">
        <is>
          <t>Gains Losses Not Affecting Retained Earnings</t>
        </is>
      </c>
      <c r="B18" s="3" t="n">
        <v>138000</v>
      </c>
      <c r="C18" s="3" t="n">
        <v>0</v>
      </c>
      <c r="D18" s="3" t="n"/>
      <c r="E18" s="3" t="n"/>
      <c r="F18" s="3" t="n"/>
    </row>
    <row r="19">
      <c r="A19" t="inlineStr">
        <is>
          <t>Other Equity Adjustments</t>
        </is>
      </c>
      <c r="B19" s="3" t="n">
        <v>138000</v>
      </c>
      <c r="C19" s="3" t="n"/>
      <c r="D19" s="3" t="n"/>
      <c r="E19" s="3" t="n"/>
      <c r="F19" s="3" t="n"/>
    </row>
    <row r="20">
      <c r="A20" t="inlineStr">
        <is>
          <t>Retained Earnings</t>
        </is>
      </c>
      <c r="B20" s="3" t="n">
        <v>-208886000</v>
      </c>
      <c r="C20" s="3" t="n">
        <v>-107525000</v>
      </c>
      <c r="D20" s="3" t="n">
        <v>-68334381</v>
      </c>
      <c r="E20" s="3" t="n">
        <v>-43520645</v>
      </c>
      <c r="F20" s="3" t="n"/>
    </row>
    <row r="21">
      <c r="A21" t="inlineStr">
        <is>
          <t>Additional Paid In Capital</t>
        </is>
      </c>
      <c r="B21" s="3" t="n">
        <v>559485000</v>
      </c>
      <c r="C21" s="3" t="n">
        <v>239201000</v>
      </c>
      <c r="D21" s="3" t="n">
        <v>64468141</v>
      </c>
      <c r="E21" s="3" t="n">
        <v>31232737</v>
      </c>
      <c r="F21" s="3" t="n"/>
    </row>
    <row r="22">
      <c r="A22" t="inlineStr">
        <is>
          <t>Capital Stock</t>
        </is>
      </c>
      <c r="B22" s="3" t="n">
        <v>7000</v>
      </c>
      <c r="C22" s="3" t="n">
        <v>5000</v>
      </c>
      <c r="D22" s="3" t="n">
        <v>2450</v>
      </c>
      <c r="E22" s="3" t="n">
        <v>1481</v>
      </c>
      <c r="F22" s="3" t="n"/>
    </row>
    <row r="23">
      <c r="A23" t="inlineStr">
        <is>
          <t>Common Stock</t>
        </is>
      </c>
      <c r="B23" s="3" t="n">
        <v>7000</v>
      </c>
      <c r="C23" s="3" t="n">
        <v>5000</v>
      </c>
      <c r="D23" s="3" t="n">
        <v>2450</v>
      </c>
      <c r="E23" s="3" t="n">
        <v>683</v>
      </c>
      <c r="F23" s="3" t="n"/>
    </row>
    <row r="24">
      <c r="A24" t="inlineStr">
        <is>
          <t>Preferred Stock</t>
        </is>
      </c>
      <c r="B24" s="3" t="n">
        <v>0</v>
      </c>
      <c r="C24" s="3" t="n">
        <v>0</v>
      </c>
      <c r="D24" s="3" t="n">
        <v>0</v>
      </c>
      <c r="E24" s="3" t="n">
        <v>798</v>
      </c>
      <c r="F24" s="3" t="n"/>
    </row>
    <row r="25">
      <c r="A25" t="inlineStr">
        <is>
          <t>Total Liabilities Net Minority Interest</t>
        </is>
      </c>
      <c r="B25" s="3" t="n">
        <v>17007000</v>
      </c>
      <c r="C25" s="3" t="n">
        <v>7920000</v>
      </c>
      <c r="D25" s="3" t="n">
        <v>6837955</v>
      </c>
      <c r="E25" s="3" t="n">
        <v>20996217</v>
      </c>
      <c r="F25" s="3" t="n"/>
    </row>
    <row r="26">
      <c r="A26" t="inlineStr">
        <is>
          <t>Total Non Current Liabilities Net Minority Interest</t>
        </is>
      </c>
      <c r="B26" s="3" t="n">
        <v>3709000</v>
      </c>
      <c r="C26" s="3" t="n">
        <v>1113000</v>
      </c>
      <c r="D26" s="3" t="n">
        <v>600731</v>
      </c>
      <c r="E26" s="3" t="n">
        <v>17099215</v>
      </c>
      <c r="F26" s="3" t="n"/>
    </row>
    <row r="27">
      <c r="A27" t="inlineStr">
        <is>
          <t>Other Non Current Liabilities</t>
        </is>
      </c>
      <c r="B27" s="3" t="n"/>
      <c r="C27" s="3" t="n"/>
      <c r="D27" s="3" t="n">
        <v>158617</v>
      </c>
      <c r="E27" s="3" t="n">
        <v>162747</v>
      </c>
      <c r="F27" s="3" t="n"/>
    </row>
    <row r="28">
      <c r="A28" t="inlineStr">
        <is>
          <t>Derivative Product Liabilities</t>
        </is>
      </c>
      <c r="B28" s="3" t="n"/>
      <c r="C28" s="3" t="n"/>
      <c r="D28" s="3" t="n">
        <v>0</v>
      </c>
      <c r="E28" s="3" t="n">
        <v>13150745</v>
      </c>
      <c r="F28" s="3" t="n">
        <v>0</v>
      </c>
    </row>
    <row r="29">
      <c r="A29" t="inlineStr">
        <is>
          <t>Non Current Deferred Liabilities</t>
        </is>
      </c>
      <c r="B29" s="3" t="n">
        <v>255000</v>
      </c>
      <c r="C29" s="3" t="n">
        <v>0</v>
      </c>
      <c r="D29" s="3" t="n"/>
      <c r="E29" s="3" t="n"/>
      <c r="F29" s="3" t="n"/>
    </row>
    <row r="30">
      <c r="A30" t="inlineStr">
        <is>
          <t>Non Current Deferred Taxes Liabilities</t>
        </is>
      </c>
      <c r="B30" s="3" t="n">
        <v>255000</v>
      </c>
      <c r="C30" s="3" t="n">
        <v>0</v>
      </c>
      <c r="D30" s="3" t="n"/>
      <c r="E30" s="3" t="n"/>
      <c r="F30" s="3" t="n"/>
    </row>
    <row r="31">
      <c r="A31" t="inlineStr">
        <is>
          <t>Long Term Debt And Capital Lease Obligation</t>
        </is>
      </c>
      <c r="B31" s="3" t="n">
        <v>3454000</v>
      </c>
      <c r="C31" s="3" t="n">
        <v>1113000</v>
      </c>
      <c r="D31" s="3" t="n">
        <v>442114</v>
      </c>
      <c r="E31" s="3" t="n">
        <v>3785723</v>
      </c>
      <c r="F31" s="3" t="n"/>
    </row>
    <row r="32">
      <c r="A32" t="inlineStr">
        <is>
          <t>Long Term Capital Lease Obligation</t>
        </is>
      </c>
      <c r="B32" s="3" t="n">
        <v>3454000</v>
      </c>
      <c r="C32" s="3" t="n">
        <v>1113000</v>
      </c>
      <c r="D32" s="3" t="n">
        <v>211181</v>
      </c>
      <c r="E32" s="3" t="n">
        <v>2571123</v>
      </c>
      <c r="F32" s="3" t="n"/>
    </row>
    <row r="33">
      <c r="A33" t="inlineStr">
        <is>
          <t>Long Term Debt</t>
        </is>
      </c>
      <c r="B33" s="3" t="n"/>
      <c r="C33" s="3" t="n"/>
      <c r="D33" s="3" t="n">
        <v>230933</v>
      </c>
      <c r="E33" s="3" t="n">
        <v>1214600</v>
      </c>
      <c r="F33" s="3" t="n"/>
    </row>
    <row r="34">
      <c r="A34" t="inlineStr">
        <is>
          <t>Current Liabilities</t>
        </is>
      </c>
      <c r="B34" s="3" t="n">
        <v>13298000</v>
      </c>
      <c r="C34" s="3" t="n">
        <v>6807000</v>
      </c>
      <c r="D34" s="3" t="n">
        <v>6237224</v>
      </c>
      <c r="E34" s="3" t="n">
        <v>3897002</v>
      </c>
      <c r="F34" s="3" t="n"/>
    </row>
    <row r="35">
      <c r="A35" t="inlineStr">
        <is>
          <t>Current Deferred Liabilities</t>
        </is>
      </c>
      <c r="B35" s="3" t="n">
        <v>2000</v>
      </c>
      <c r="C35" s="3" t="n">
        <v>20000</v>
      </c>
      <c r="D35" s="3" t="n">
        <v>0</v>
      </c>
      <c r="E35" s="3" t="n"/>
      <c r="F35" s="3" t="n"/>
    </row>
    <row r="36">
      <c r="A36" t="inlineStr">
        <is>
          <t>Current Deferred Revenue</t>
        </is>
      </c>
      <c r="B36" s="3" t="n">
        <v>2000</v>
      </c>
      <c r="C36" s="3" t="n">
        <v>20000</v>
      </c>
      <c r="D36" s="3" t="n">
        <v>0</v>
      </c>
      <c r="E36" s="3" t="n"/>
      <c r="F36" s="3" t="n"/>
    </row>
    <row r="37">
      <c r="A37" t="inlineStr">
        <is>
          <t>Current Debt And Capital Lease Obligation</t>
        </is>
      </c>
      <c r="B37" s="3" t="n">
        <v>1800000</v>
      </c>
      <c r="C37" s="3" t="n">
        <v>1230000</v>
      </c>
      <c r="D37" s="3" t="n">
        <v>3930770</v>
      </c>
      <c r="E37" s="3" t="n">
        <v>3697534</v>
      </c>
      <c r="F37" s="3" t="n"/>
    </row>
    <row r="38">
      <c r="A38" t="inlineStr">
        <is>
          <t>Current Capital Lease Obligation</t>
        </is>
      </c>
      <c r="B38" s="3" t="n">
        <v>1800000</v>
      </c>
      <c r="C38" s="3" t="n">
        <v>1230000</v>
      </c>
      <c r="D38" s="3" t="n">
        <v>2860770</v>
      </c>
      <c r="E38" s="3" t="n">
        <v>2697534</v>
      </c>
      <c r="F38" s="3" t="n"/>
    </row>
    <row r="39">
      <c r="A39" t="inlineStr">
        <is>
          <t>Current Debt</t>
        </is>
      </c>
      <c r="B39" s="3" t="n"/>
      <c r="C39" s="3" t="n"/>
      <c r="D39" s="3" t="n">
        <v>1070000</v>
      </c>
      <c r="E39" s="3" t="n">
        <v>1000000</v>
      </c>
      <c r="F39" s="3" t="n"/>
    </row>
    <row r="40">
      <c r="A40" t="inlineStr">
        <is>
          <t>Other Current Borrowings</t>
        </is>
      </c>
      <c r="B40" s="3" t="n"/>
      <c r="C40" s="3" t="n"/>
      <c r="D40" s="3" t="n">
        <v>1000000</v>
      </c>
      <c r="E40" s="3" t="n">
        <v>1000000</v>
      </c>
      <c r="F40" s="3" t="n"/>
    </row>
    <row r="41">
      <c r="A41" t="inlineStr">
        <is>
          <t>Current Notes Payable</t>
        </is>
      </c>
      <c r="B41" s="3" t="n"/>
      <c r="C41" s="3" t="n">
        <v>0</v>
      </c>
      <c r="D41" s="3" t="n">
        <v>70000</v>
      </c>
      <c r="E41" s="3" t="n">
        <v>0</v>
      </c>
      <c r="F41" s="3" t="n"/>
    </row>
    <row r="42">
      <c r="A42" t="inlineStr">
        <is>
          <t>Payables And Accrued Expenses</t>
        </is>
      </c>
      <c r="B42" s="3" t="n">
        <v>11496000</v>
      </c>
      <c r="C42" s="3" t="n">
        <v>5557000</v>
      </c>
      <c r="D42" s="3" t="n">
        <v>2306454</v>
      </c>
      <c r="E42" s="3" t="n">
        <v>199468</v>
      </c>
      <c r="F42" s="3" t="n"/>
    </row>
    <row r="43">
      <c r="A43" t="inlineStr">
        <is>
          <t>Current Accrued Expenses</t>
        </is>
      </c>
      <c r="B43" s="3" t="n">
        <v>6482000</v>
      </c>
      <c r="C43" s="3" t="n">
        <v>655000</v>
      </c>
      <c r="D43" s="3" t="n">
        <v>255849</v>
      </c>
      <c r="E43" s="3" t="n">
        <v>37434</v>
      </c>
      <c r="F43" s="3" t="n"/>
    </row>
    <row r="44">
      <c r="A44" t="inlineStr">
        <is>
          <t>Payables</t>
        </is>
      </c>
      <c r="B44" s="3" t="n">
        <v>5014000</v>
      </c>
      <c r="C44" s="3" t="n">
        <v>4902000</v>
      </c>
      <c r="D44" s="3" t="n">
        <v>2050605</v>
      </c>
      <c r="E44" s="3" t="n">
        <v>162034</v>
      </c>
      <c r="F44" s="3" t="n"/>
    </row>
    <row r="45">
      <c r="A45" t="inlineStr">
        <is>
          <t>Accounts Payable</t>
        </is>
      </c>
      <c r="B45" s="3" t="n">
        <v>5014000</v>
      </c>
      <c r="C45" s="3" t="n">
        <v>4902000</v>
      </c>
      <c r="D45" s="3" t="n">
        <v>2050605</v>
      </c>
      <c r="E45" s="3" t="n">
        <v>162034</v>
      </c>
      <c r="F45" s="3" t="n"/>
    </row>
    <row r="46">
      <c r="A46" t="inlineStr">
        <is>
          <t>Total Assets</t>
        </is>
      </c>
      <c r="B46" s="3" t="n">
        <v>367751000</v>
      </c>
      <c r="C46" s="3" t="n">
        <v>139601000</v>
      </c>
      <c r="D46" s="3" t="n">
        <v>2804549</v>
      </c>
      <c r="E46" s="3" t="n">
        <v>8544071</v>
      </c>
      <c r="F46" s="3" t="n"/>
    </row>
    <row r="47">
      <c r="A47" t="inlineStr">
        <is>
          <t>Total Non Current Assets</t>
        </is>
      </c>
      <c r="B47" s="3" t="n">
        <v>126676000</v>
      </c>
      <c r="C47" s="3" t="n">
        <v>14349000</v>
      </c>
      <c r="D47" s="3" t="n">
        <v>1343520</v>
      </c>
      <c r="E47" s="3" t="n">
        <v>5105054</v>
      </c>
      <c r="F47" s="3" t="n"/>
    </row>
    <row r="48">
      <c r="A48" t="inlineStr">
        <is>
          <t>Other Non Current Assets</t>
        </is>
      </c>
      <c r="B48" s="3" t="n">
        <v>1107000</v>
      </c>
      <c r="C48" s="3" t="n">
        <v>578000</v>
      </c>
      <c r="D48" s="3" t="n"/>
      <c r="E48" s="3" t="n"/>
      <c r="F48" s="3" t="n"/>
    </row>
    <row r="49">
      <c r="A49" t="inlineStr">
        <is>
          <t>Non Current Prepaid Assets</t>
        </is>
      </c>
      <c r="B49" s="3" t="n"/>
      <c r="C49" s="3" t="n">
        <v>578237</v>
      </c>
      <c r="D49" s="3" t="n">
        <v>512659</v>
      </c>
      <c r="E49" s="3" t="n">
        <v>512659</v>
      </c>
      <c r="F49" s="3" t="n">
        <v>96647</v>
      </c>
    </row>
    <row r="50">
      <c r="A50" t="inlineStr">
        <is>
          <t>Investments And Advances</t>
        </is>
      </c>
      <c r="B50" s="3" t="n">
        <v>26344000</v>
      </c>
      <c r="C50" s="3" t="n">
        <v>0</v>
      </c>
      <c r="D50" s="3" t="n"/>
      <c r="E50" s="3" t="n"/>
      <c r="F50" s="3" t="n"/>
    </row>
    <row r="51">
      <c r="A51" t="inlineStr">
        <is>
          <t>Investmentin Financial Assets</t>
        </is>
      </c>
      <c r="B51" s="3" t="n">
        <v>26344000</v>
      </c>
      <c r="C51" s="3" t="n">
        <v>0</v>
      </c>
      <c r="D51" s="3" t="n"/>
      <c r="E51" s="3" t="n"/>
      <c r="F51" s="3" t="n"/>
    </row>
    <row r="52">
      <c r="A52" t="inlineStr">
        <is>
          <t>Available For Sale Securities</t>
        </is>
      </c>
      <c r="B52" s="3" t="n">
        <v>26344000</v>
      </c>
      <c r="C52" s="3" t="n"/>
      <c r="D52" s="3" t="n"/>
      <c r="E52" s="3" t="n"/>
      <c r="F52" s="3" t="n"/>
    </row>
    <row r="53">
      <c r="A53" t="inlineStr">
        <is>
          <t>Goodwill And Other Intangible Assets</t>
        </is>
      </c>
      <c r="B53" s="3" t="n">
        <v>46843000</v>
      </c>
      <c r="C53" s="3" t="n">
        <v>0</v>
      </c>
      <c r="D53" s="3" t="n"/>
      <c r="E53" s="3" t="n"/>
      <c r="F53" s="3" t="n"/>
    </row>
    <row r="54">
      <c r="A54" t="inlineStr">
        <is>
          <t>Other Intangible Assets</t>
        </is>
      </c>
      <c r="B54" s="3" t="n">
        <v>31313000</v>
      </c>
      <c r="C54" s="3" t="n"/>
      <c r="D54" s="3" t="n"/>
      <c r="E54" s="3" t="n"/>
      <c r="F54" s="3" t="n"/>
    </row>
    <row r="55">
      <c r="A55" t="inlineStr">
        <is>
          <t>Goodwill</t>
        </is>
      </c>
      <c r="B55" s="3" t="n">
        <v>15530000</v>
      </c>
      <c r="C55" s="3" t="n">
        <v>0</v>
      </c>
      <c r="D55" s="3" t="n"/>
      <c r="E55" s="3" t="n"/>
      <c r="F55" s="3" t="n"/>
    </row>
    <row r="56">
      <c r="A56" t="inlineStr">
        <is>
          <t>Net PPE</t>
        </is>
      </c>
      <c r="B56" s="3" t="n">
        <v>52382000</v>
      </c>
      <c r="C56" s="3" t="n">
        <v>13771000</v>
      </c>
      <c r="D56" s="3" t="n">
        <v>830861</v>
      </c>
      <c r="E56" s="3" t="n">
        <v>4592395</v>
      </c>
      <c r="F56" s="3" t="n"/>
    </row>
    <row r="57">
      <c r="A57" t="inlineStr">
        <is>
          <t>Accumulated Depreciation</t>
        </is>
      </c>
      <c r="B57" s="3" t="n">
        <v>-6465000</v>
      </c>
      <c r="C57" s="3" t="n">
        <v>-2604000</v>
      </c>
      <c r="D57" s="3" t="n">
        <v>-2294532</v>
      </c>
      <c r="E57" s="3" t="n">
        <v>-430608</v>
      </c>
      <c r="F57" s="3" t="n"/>
    </row>
    <row r="58">
      <c r="A58" t="inlineStr">
        <is>
          <t>Gross PPE</t>
        </is>
      </c>
      <c r="B58" s="3" t="n">
        <v>58847000</v>
      </c>
      <c r="C58" s="3" t="n">
        <v>16375000</v>
      </c>
      <c r="D58" s="3" t="n">
        <v>3125393</v>
      </c>
      <c r="E58" s="3" t="n">
        <v>5023003</v>
      </c>
      <c r="F58" s="3" t="n"/>
    </row>
    <row r="59">
      <c r="A59" t="inlineStr">
        <is>
          <t>Leases</t>
        </is>
      </c>
      <c r="B59" s="3" t="n">
        <v>414000</v>
      </c>
      <c r="C59" s="3" t="n">
        <v>0</v>
      </c>
      <c r="D59" s="3" t="n"/>
      <c r="E59" s="3" t="n"/>
      <c r="F59" s="3" t="n"/>
    </row>
    <row r="60">
      <c r="A60" t="inlineStr">
        <is>
          <t>Construction In Progress</t>
        </is>
      </c>
      <c r="B60" s="3" t="n">
        <v>3357000</v>
      </c>
      <c r="C60" s="3" t="n">
        <v>7826000</v>
      </c>
      <c r="D60" s="3" t="n">
        <v>0</v>
      </c>
      <c r="E60" s="3" t="n"/>
      <c r="F60" s="3" t="n"/>
    </row>
    <row r="61">
      <c r="A61" t="inlineStr">
        <is>
          <t>Other Properties</t>
        </is>
      </c>
      <c r="B61" s="3" t="n">
        <v>54701000</v>
      </c>
      <c r="C61" s="3" t="n">
        <v>8217000</v>
      </c>
      <c r="D61" s="3" t="n">
        <v>2874732</v>
      </c>
      <c r="E61" s="3" t="n">
        <v>4777256</v>
      </c>
      <c r="F61" s="3" t="n"/>
    </row>
    <row r="62">
      <c r="A62" t="inlineStr">
        <is>
          <t>Machinery Furniture Equipment</t>
        </is>
      </c>
      <c r="B62" s="3" t="n">
        <v>375000</v>
      </c>
      <c r="C62" s="3" t="n">
        <v>332000</v>
      </c>
      <c r="D62" s="3" t="n">
        <v>250661</v>
      </c>
      <c r="E62" s="3" t="n">
        <v>245747</v>
      </c>
      <c r="F62" s="3" t="n"/>
    </row>
    <row r="63">
      <c r="A63" t="inlineStr">
        <is>
          <t>Properties</t>
        </is>
      </c>
      <c r="B63" s="3" t="n">
        <v>0</v>
      </c>
      <c r="C63" s="3" t="n">
        <v>0</v>
      </c>
      <c r="D63" s="3" t="n"/>
      <c r="E63" s="3" t="n"/>
      <c r="F63" s="3" t="n"/>
    </row>
    <row r="64">
      <c r="A64" t="inlineStr">
        <is>
          <t>Current Assets</t>
        </is>
      </c>
      <c r="B64" s="3" t="n">
        <v>241075000</v>
      </c>
      <c r="C64" s="3" t="n">
        <v>125252000</v>
      </c>
      <c r="D64" s="3" t="n">
        <v>1461029</v>
      </c>
      <c r="E64" s="3" t="n">
        <v>3439017</v>
      </c>
      <c r="F64" s="3" t="n"/>
    </row>
    <row r="65">
      <c r="A65" t="inlineStr">
        <is>
          <t>Other Current Assets</t>
        </is>
      </c>
      <c r="B65" s="3" t="n">
        <v>77000</v>
      </c>
      <c r="C65" s="3" t="n"/>
      <c r="D65" s="3" t="n"/>
      <c r="E65" s="3" t="n"/>
      <c r="F65" s="3" t="n">
        <v>11163</v>
      </c>
    </row>
    <row r="66">
      <c r="A66" t="inlineStr">
        <is>
          <t>Prepaid Assets</t>
        </is>
      </c>
      <c r="B66" s="3" t="n">
        <v>6042000</v>
      </c>
      <c r="C66" s="3" t="n">
        <v>1397000</v>
      </c>
      <c r="D66" s="3" t="n">
        <v>676969</v>
      </c>
      <c r="E66" s="3" t="n">
        <v>81339</v>
      </c>
      <c r="F66" s="3" t="n"/>
    </row>
    <row r="67">
      <c r="A67" t="inlineStr">
        <is>
          <t>Inventory</t>
        </is>
      </c>
      <c r="B67" s="3" t="n">
        <v>0</v>
      </c>
      <c r="C67" s="3" t="n">
        <v>310000</v>
      </c>
      <c r="D67" s="3" t="n">
        <v>774349</v>
      </c>
      <c r="E67" s="3" t="n">
        <v>618262</v>
      </c>
      <c r="F67" s="3" t="n"/>
    </row>
    <row r="68">
      <c r="A68" t="inlineStr">
        <is>
          <t>Receivables</t>
        </is>
      </c>
      <c r="B68" s="3" t="n">
        <v>1547000</v>
      </c>
      <c r="C68" s="3" t="n">
        <v>279000</v>
      </c>
      <c r="D68" s="3" t="n">
        <v>2955</v>
      </c>
      <c r="E68" s="3" t="n">
        <v>23697</v>
      </c>
      <c r="F68" s="3" t="n"/>
    </row>
    <row r="69">
      <c r="A69" t="inlineStr">
        <is>
          <t>Other Receivables</t>
        </is>
      </c>
      <c r="B69" s="3" t="n">
        <v>696000</v>
      </c>
      <c r="C69" s="3" t="n">
        <v>192000</v>
      </c>
      <c r="D69" s="3" t="n"/>
      <c r="E69" s="3" t="n"/>
      <c r="F69" s="3" t="n"/>
    </row>
    <row r="70">
      <c r="A70" t="inlineStr">
        <is>
          <t>Accounts Receivable</t>
        </is>
      </c>
      <c r="B70" s="3" t="n">
        <v>851000</v>
      </c>
      <c r="C70" s="3" t="n">
        <v>87000</v>
      </c>
      <c r="D70" s="3" t="n">
        <v>2955</v>
      </c>
      <c r="E70" s="3" t="n">
        <v>23697</v>
      </c>
      <c r="F70" s="3" t="n"/>
    </row>
    <row r="71">
      <c r="A71" t="inlineStr">
        <is>
          <t>Cash Cash Equivalents And Short Term Investments</t>
        </is>
      </c>
      <c r="B71" s="3" t="n">
        <v>233409000</v>
      </c>
      <c r="C71" s="3" t="n">
        <v>123266000</v>
      </c>
      <c r="D71" s="3" t="n">
        <v>6756</v>
      </c>
      <c r="E71" s="3" t="n">
        <v>2715719</v>
      </c>
      <c r="F71" s="3" t="n"/>
    </row>
    <row r="72">
      <c r="A72" t="inlineStr">
        <is>
          <t>Other Short Term Investments</t>
        </is>
      </c>
      <c r="B72" s="3" t="n">
        <v>127170000</v>
      </c>
      <c r="C72" s="3" t="n">
        <v>0</v>
      </c>
      <c r="D72" s="3" t="n"/>
      <c r="E72" s="3" t="n"/>
      <c r="F72" s="3" t="n"/>
    </row>
    <row r="73">
      <c r="A73" t="inlineStr">
        <is>
          <t>Cash And Cash Equivalents</t>
        </is>
      </c>
      <c r="B73" s="3" t="n">
        <v>106239000</v>
      </c>
      <c r="C73" s="3" t="n">
        <v>123266000</v>
      </c>
      <c r="D73" s="3" t="n">
        <v>6756</v>
      </c>
      <c r="E73" s="3" t="n">
        <v>2715719</v>
      </c>
      <c r="F73" s="3" t="n"/>
    </row>
    <row r="74">
      <c r="A74" t="inlineStr">
        <is>
          <t>Cash Financial</t>
        </is>
      </c>
      <c r="B74" s="3" t="n"/>
      <c r="C74" s="3" t="n">
        <v>123266437</v>
      </c>
      <c r="D74" s="3" t="n">
        <v>6756</v>
      </c>
      <c r="E74" s="3" t="n">
        <v>2715719</v>
      </c>
      <c r="F74" s="3" t="n">
        <v>7965861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Treasury Shares Number</t>
        </is>
      </c>
      <c r="B2" s="3" t="n">
        <v>46833</v>
      </c>
      <c r="C2" s="3" t="n">
        <v>46833</v>
      </c>
      <c r="D2" s="3" t="n">
        <v>50178</v>
      </c>
      <c r="E2" s="3" t="n">
        <v>107728</v>
      </c>
      <c r="F2" s="3" t="n">
        <v>126117</v>
      </c>
      <c r="G2" s="3" t="n"/>
    </row>
    <row r="3">
      <c r="A3" t="inlineStr">
        <is>
          <t>Ordinary Shares Number</t>
        </is>
      </c>
      <c r="B3" s="3" t="n">
        <v>76057229</v>
      </c>
      <c r="C3" s="3" t="n">
        <v>74734949</v>
      </c>
      <c r="D3" s="3" t="n">
        <v>67761023</v>
      </c>
      <c r="E3" s="3" t="n">
        <v>59333332</v>
      </c>
      <c r="F3" s="3" t="n">
        <v>56845515</v>
      </c>
      <c r="G3" s="3" t="n"/>
    </row>
    <row r="4">
      <c r="A4" t="inlineStr">
        <is>
          <t>Share Issued</t>
        </is>
      </c>
      <c r="B4" s="3" t="n">
        <v>76104062</v>
      </c>
      <c r="C4" s="3" t="n">
        <v>74781782</v>
      </c>
      <c r="D4" s="3" t="n">
        <v>67811201</v>
      </c>
      <c r="E4" s="3" t="n">
        <v>59441060</v>
      </c>
      <c r="F4" s="3" t="n">
        <v>56971632</v>
      </c>
      <c r="G4" s="3" t="n"/>
    </row>
    <row r="5">
      <c r="A5" t="inlineStr">
        <is>
          <t>Total Debt</t>
        </is>
      </c>
      <c r="B5" s="3" t="n">
        <v>4818000</v>
      </c>
      <c r="C5" s="3" t="n">
        <v>5254000</v>
      </c>
      <c r="D5" s="3" t="n">
        <v>4147000</v>
      </c>
      <c r="E5" s="3" t="n">
        <v>2575000</v>
      </c>
      <c r="F5" s="3" t="n">
        <v>1885723</v>
      </c>
      <c r="G5" s="3" t="n"/>
    </row>
    <row r="6">
      <c r="A6" t="inlineStr">
        <is>
          <t>Tangible Book Value</t>
        </is>
      </c>
      <c r="B6" s="3" t="n">
        <v>253284000</v>
      </c>
      <c r="C6" s="3" t="n">
        <v>303901000</v>
      </c>
      <c r="D6" s="3" t="n">
        <v>239148000</v>
      </c>
      <c r="E6" s="3" t="n">
        <v>201189000</v>
      </c>
      <c r="F6" s="3" t="n">
        <v>210163668</v>
      </c>
      <c r="G6" s="3" t="n"/>
    </row>
    <row r="7">
      <c r="A7" t="inlineStr">
        <is>
          <t>Invested Capital</t>
        </is>
      </c>
      <c r="B7" s="3" t="n">
        <v>317790000</v>
      </c>
      <c r="C7" s="3" t="n">
        <v>350744000</v>
      </c>
      <c r="D7" s="3" t="n">
        <v>283858000</v>
      </c>
      <c r="E7" s="3" t="n">
        <v>207206000</v>
      </c>
      <c r="F7" s="3" t="n">
        <v>210163668</v>
      </c>
      <c r="G7" s="3" t="n"/>
    </row>
    <row r="8">
      <c r="A8" t="inlineStr">
        <is>
          <t>Working Capital</t>
        </is>
      </c>
      <c r="B8" s="3" t="n">
        <v>181396000</v>
      </c>
      <c r="C8" s="3" t="n">
        <v>227777000</v>
      </c>
      <c r="D8" s="3" t="n">
        <v>206936000</v>
      </c>
      <c r="E8" s="3" t="n">
        <v>180841000</v>
      </c>
      <c r="F8" s="3" t="n">
        <v>194712527</v>
      </c>
      <c r="G8" s="3" t="n"/>
    </row>
    <row r="9">
      <c r="A9" t="inlineStr">
        <is>
          <t>Net Tangible Assets</t>
        </is>
      </c>
      <c r="B9" s="3" t="n">
        <v>253284000</v>
      </c>
      <c r="C9" s="3" t="n">
        <v>303901000</v>
      </c>
      <c r="D9" s="3" t="n">
        <v>239148000</v>
      </c>
      <c r="E9" s="3" t="n">
        <v>201189000</v>
      </c>
      <c r="F9" s="3" t="n">
        <v>210163668</v>
      </c>
      <c r="G9" s="3" t="n"/>
    </row>
    <row r="10">
      <c r="A10" t="inlineStr">
        <is>
          <t>Capital Lease Obligations</t>
        </is>
      </c>
      <c r="B10" s="3" t="n">
        <v>4818000</v>
      </c>
      <c r="C10" s="3" t="n">
        <v>5254000</v>
      </c>
      <c r="D10" s="3" t="n">
        <v>4147000</v>
      </c>
      <c r="E10" s="3" t="n">
        <v>2575000</v>
      </c>
      <c r="F10" s="3" t="n">
        <v>1885723</v>
      </c>
      <c r="G10" s="3" t="n"/>
    </row>
    <row r="11">
      <c r="A11" t="inlineStr">
        <is>
          <t>Common Stock Equity</t>
        </is>
      </c>
      <c r="B11" s="3" t="n">
        <v>317790000</v>
      </c>
      <c r="C11" s="3" t="n">
        <v>350744000</v>
      </c>
      <c r="D11" s="3" t="n">
        <v>283858000</v>
      </c>
      <c r="E11" s="3" t="n">
        <v>207206000</v>
      </c>
      <c r="F11" s="3" t="n">
        <v>210163668</v>
      </c>
      <c r="G11" s="3" t="n"/>
    </row>
    <row r="12">
      <c r="A12" t="inlineStr">
        <is>
          <t>Total Capitalization</t>
        </is>
      </c>
      <c r="B12" s="3" t="n">
        <v>317790000</v>
      </c>
      <c r="C12" s="3" t="n">
        <v>350744000</v>
      </c>
      <c r="D12" s="3" t="n">
        <v>283858000</v>
      </c>
      <c r="E12" s="3" t="n">
        <v>207206000</v>
      </c>
      <c r="F12" s="3" t="n">
        <v>210163668</v>
      </c>
      <c r="G12" s="3" t="n"/>
    </row>
    <row r="13">
      <c r="A13" t="inlineStr">
        <is>
          <t>Total Equity Gross Minority Interest</t>
        </is>
      </c>
      <c r="B13" s="3" t="n">
        <v>317790000</v>
      </c>
      <c r="C13" s="3" t="n">
        <v>350744000</v>
      </c>
      <c r="D13" s="3" t="n">
        <v>283858000</v>
      </c>
      <c r="E13" s="3" t="n">
        <v>207206000</v>
      </c>
      <c r="F13" s="3" t="n">
        <v>210163668</v>
      </c>
      <c r="G13" s="3" t="n"/>
    </row>
    <row r="14">
      <c r="A14" t="inlineStr">
        <is>
          <t>Stockholders Equity</t>
        </is>
      </c>
      <c r="B14" s="3" t="n">
        <v>317790000</v>
      </c>
      <c r="C14" s="3" t="n">
        <v>350744000</v>
      </c>
      <c r="D14" s="3" t="n">
        <v>283858000</v>
      </c>
      <c r="E14" s="3" t="n">
        <v>207206000</v>
      </c>
      <c r="F14" s="3" t="n">
        <v>210163668</v>
      </c>
      <c r="G14" s="3" t="n"/>
    </row>
    <row r="15">
      <c r="A15" t="inlineStr">
        <is>
          <t>Gains Losses Not Affecting Retained Earnings</t>
        </is>
      </c>
      <c r="B15" s="3" t="n">
        <v>-61000</v>
      </c>
      <c r="C15" s="3" t="n">
        <v>138000</v>
      </c>
      <c r="D15" s="3" t="n">
        <v>65000</v>
      </c>
      <c r="E15" s="3" t="n">
        <v>298000</v>
      </c>
      <c r="F15" s="3" t="n"/>
      <c r="G15" s="3" t="n">
        <v>0</v>
      </c>
    </row>
    <row r="16">
      <c r="A16" t="inlineStr">
        <is>
          <t>Other Equity Adjustments</t>
        </is>
      </c>
      <c r="B16" s="3" t="n">
        <v>-61000</v>
      </c>
      <c r="C16" s="3" t="n">
        <v>138000</v>
      </c>
      <c r="D16" s="3" t="n">
        <v>65000</v>
      </c>
      <c r="E16" s="3" t="n">
        <v>298000</v>
      </c>
      <c r="F16" s="3" t="n"/>
      <c r="G16" s="3" t="n"/>
    </row>
    <row r="17">
      <c r="A17" t="inlineStr">
        <is>
          <t>Retained Earnings</t>
        </is>
      </c>
      <c r="B17" s="3" t="n">
        <v>-257890000</v>
      </c>
      <c r="C17" s="3" t="n">
        <v>-208886000</v>
      </c>
      <c r="D17" s="3" t="n">
        <v>-174612000</v>
      </c>
      <c r="E17" s="3" t="n">
        <v>-141592000</v>
      </c>
      <c r="F17" s="3" t="n">
        <v>-120741725</v>
      </c>
      <c r="G17" s="3" t="n"/>
    </row>
    <row r="18">
      <c r="A18" t="inlineStr">
        <is>
          <t>Additional Paid In Capital</t>
        </is>
      </c>
      <c r="B18" s="3" t="n">
        <v>575734000</v>
      </c>
      <c r="C18" s="3" t="n">
        <v>559485000</v>
      </c>
      <c r="D18" s="3" t="n">
        <v>458398000</v>
      </c>
      <c r="E18" s="3" t="n">
        <v>348494000</v>
      </c>
      <c r="F18" s="3" t="n">
        <v>330899711</v>
      </c>
      <c r="G18" s="3" t="n"/>
    </row>
    <row r="19">
      <c r="A19" t="inlineStr">
        <is>
          <t>Capital Stock</t>
        </is>
      </c>
      <c r="B19" s="3" t="n">
        <v>7000</v>
      </c>
      <c r="C19" s="3" t="n">
        <v>7000</v>
      </c>
      <c r="D19" s="3" t="n">
        <v>7000</v>
      </c>
      <c r="E19" s="3" t="n">
        <v>6000</v>
      </c>
      <c r="F19" s="3" t="n">
        <v>5682</v>
      </c>
      <c r="G19" s="3" t="n"/>
    </row>
    <row r="20">
      <c r="A20" t="inlineStr">
        <is>
          <t>Common Stock</t>
        </is>
      </c>
      <c r="B20" s="3" t="n">
        <v>7000</v>
      </c>
      <c r="C20" s="3" t="n">
        <v>7000</v>
      </c>
      <c r="D20" s="3" t="n">
        <v>7000</v>
      </c>
      <c r="E20" s="3" t="n">
        <v>6000</v>
      </c>
      <c r="F20" s="3" t="n">
        <v>5682</v>
      </c>
      <c r="G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/>
    </row>
    <row r="22">
      <c r="A22" t="inlineStr">
        <is>
          <t>Total Liabilities Net Minority Interest</t>
        </is>
      </c>
      <c r="B22" s="3" t="n">
        <v>23014000</v>
      </c>
      <c r="C22" s="3" t="n">
        <v>17007000</v>
      </c>
      <c r="D22" s="3" t="n">
        <v>15241000</v>
      </c>
      <c r="E22" s="3" t="n">
        <v>7109000</v>
      </c>
      <c r="F22" s="3" t="n">
        <v>6430948</v>
      </c>
      <c r="G22" s="3" t="n"/>
    </row>
    <row r="23">
      <c r="A23" t="inlineStr">
        <is>
          <t>Total Non Current Liabilities Net Minority Interest</t>
        </is>
      </c>
      <c r="B23" s="3" t="n">
        <v>3279000</v>
      </c>
      <c r="C23" s="3" t="n">
        <v>3709000</v>
      </c>
      <c r="D23" s="3" t="n">
        <v>2478000</v>
      </c>
      <c r="E23" s="3" t="n">
        <v>1420000</v>
      </c>
      <c r="F23" s="3" t="n">
        <v>1173161</v>
      </c>
      <c r="G23" s="3" t="n"/>
    </row>
    <row r="24">
      <c r="A24" t="inlineStr">
        <is>
          <t>Non Current Deferred Liabilities</t>
        </is>
      </c>
      <c r="B24" s="3" t="n">
        <v>347000</v>
      </c>
      <c r="C24" s="3" t="n">
        <v>255000</v>
      </c>
      <c r="D24" s="3" t="n"/>
      <c r="E24" s="3" t="n"/>
      <c r="F24" s="3" t="n"/>
      <c r="G24" s="3" t="n">
        <v>0</v>
      </c>
    </row>
    <row r="25">
      <c r="A25" t="inlineStr">
        <is>
          <t>Non Current Deferred Taxes Liabilities</t>
        </is>
      </c>
      <c r="B25" s="3" t="n">
        <v>347000</v>
      </c>
      <c r="C25" s="3" t="n">
        <v>255000</v>
      </c>
      <c r="D25" s="3" t="n"/>
      <c r="E25" s="3" t="n"/>
      <c r="F25" s="3" t="n"/>
      <c r="G25" s="3" t="n">
        <v>0</v>
      </c>
    </row>
    <row r="26">
      <c r="A26" t="inlineStr">
        <is>
          <t>Long Term Debt And Capital Lease Obligation</t>
        </is>
      </c>
      <c r="B26" s="3" t="n">
        <v>2932000</v>
      </c>
      <c r="C26" s="3" t="n">
        <v>3454000</v>
      </c>
      <c r="D26" s="3" t="n">
        <v>2478000</v>
      </c>
      <c r="E26" s="3" t="n">
        <v>1420000</v>
      </c>
      <c r="F26" s="3" t="n">
        <v>1173161</v>
      </c>
      <c r="G26" s="3" t="n"/>
    </row>
    <row r="27">
      <c r="A27" t="inlineStr">
        <is>
          <t>Long Term Capital Lease Obligation</t>
        </is>
      </c>
      <c r="B27" s="3" t="n">
        <v>2932000</v>
      </c>
      <c r="C27" s="3" t="n">
        <v>3454000</v>
      </c>
      <c r="D27" s="3" t="n">
        <v>2478000</v>
      </c>
      <c r="E27" s="3" t="n">
        <v>1420000</v>
      </c>
      <c r="F27" s="3" t="n">
        <v>1173161</v>
      </c>
      <c r="G27" s="3" t="n"/>
    </row>
    <row r="28">
      <c r="A28" t="inlineStr">
        <is>
          <t>Current Liabilities</t>
        </is>
      </c>
      <c r="B28" s="3" t="n">
        <v>19735000</v>
      </c>
      <c r="C28" s="3" t="n">
        <v>13298000</v>
      </c>
      <c r="D28" s="3" t="n">
        <v>12763000</v>
      </c>
      <c r="E28" s="3" t="n">
        <v>5689000</v>
      </c>
      <c r="F28" s="3" t="n">
        <v>5257787</v>
      </c>
      <c r="G28" s="3" t="n"/>
    </row>
    <row r="29">
      <c r="A29" t="inlineStr">
        <is>
          <t>Current Deferred Liabilities</t>
        </is>
      </c>
      <c r="B29" s="3" t="n">
        <v>2524000</v>
      </c>
      <c r="C29" s="3" t="n">
        <v>2000</v>
      </c>
      <c r="D29" s="3" t="n">
        <v>3000</v>
      </c>
      <c r="E29" s="3" t="n">
        <v>10000</v>
      </c>
      <c r="F29" s="3" t="n">
        <v>0</v>
      </c>
      <c r="G29" s="3" t="n"/>
    </row>
    <row r="30">
      <c r="A30" t="inlineStr">
        <is>
          <t>Current Deferred Revenue</t>
        </is>
      </c>
      <c r="B30" s="3" t="n">
        <v>2524000</v>
      </c>
      <c r="C30" s="3" t="n">
        <v>2000</v>
      </c>
      <c r="D30" s="3" t="n">
        <v>3000</v>
      </c>
      <c r="E30" s="3" t="n">
        <v>10000</v>
      </c>
      <c r="F30" s="3" t="n">
        <v>0</v>
      </c>
      <c r="G30" s="3" t="n"/>
    </row>
    <row r="31">
      <c r="A31" t="inlineStr">
        <is>
          <t>Current Debt And Capital Lease Obligation</t>
        </is>
      </c>
      <c r="B31" s="3" t="n">
        <v>1886000</v>
      </c>
      <c r="C31" s="3" t="n">
        <v>1800000</v>
      </c>
      <c r="D31" s="3" t="n">
        <v>1669000</v>
      </c>
      <c r="E31" s="3" t="n">
        <v>1155000</v>
      </c>
      <c r="F31" s="3" t="n">
        <v>712562</v>
      </c>
      <c r="G31" s="3" t="n"/>
    </row>
    <row r="32">
      <c r="A32" t="inlineStr">
        <is>
          <t>Current Capital Lease Obligation</t>
        </is>
      </c>
      <c r="B32" s="3" t="n">
        <v>1886000</v>
      </c>
      <c r="C32" s="3" t="n">
        <v>1800000</v>
      </c>
      <c r="D32" s="3" t="n">
        <v>1669000</v>
      </c>
      <c r="E32" s="3" t="n">
        <v>1155000</v>
      </c>
      <c r="F32" s="3" t="n">
        <v>712562</v>
      </c>
      <c r="G32" s="3" t="n"/>
    </row>
    <row r="33">
      <c r="A33" t="inlineStr">
        <is>
          <t>Current Notes Payable</t>
        </is>
      </c>
      <c r="B33" s="3" t="n"/>
      <c r="C33" s="3" t="n"/>
      <c r="D33" s="3" t="n"/>
      <c r="E33" s="3" t="n"/>
      <c r="F33" s="3" t="n"/>
      <c r="G33" s="3" t="n">
        <v>0</v>
      </c>
    </row>
    <row r="34">
      <c r="A34" t="inlineStr">
        <is>
          <t>Payables And Accrued Expenses</t>
        </is>
      </c>
      <c r="B34" s="3" t="n">
        <v>15325000</v>
      </c>
      <c r="C34" s="3" t="n">
        <v>11496000</v>
      </c>
      <c r="D34" s="3" t="n">
        <v>11091000</v>
      </c>
      <c r="E34" s="3" t="n">
        <v>4524000</v>
      </c>
      <c r="F34" s="3" t="n">
        <v>4545225</v>
      </c>
      <c r="G34" s="3" t="n"/>
    </row>
    <row r="35">
      <c r="A35" t="inlineStr">
        <is>
          <t>Current Accrued Expenses</t>
        </is>
      </c>
      <c r="B35" s="3" t="n">
        <v>9621000</v>
      </c>
      <c r="C35" s="3" t="n">
        <v>6482000</v>
      </c>
      <c r="D35" s="3" t="n">
        <v>3343000</v>
      </c>
      <c r="E35" s="3" t="n">
        <v>1993000</v>
      </c>
      <c r="F35" s="3" t="n">
        <v>890294</v>
      </c>
      <c r="G35" s="3" t="n"/>
    </row>
    <row r="36">
      <c r="A36" t="inlineStr">
        <is>
          <t>Payables</t>
        </is>
      </c>
      <c r="B36" s="3" t="n">
        <v>5704000</v>
      </c>
      <c r="C36" s="3" t="n">
        <v>5014000</v>
      </c>
      <c r="D36" s="3" t="n">
        <v>7748000</v>
      </c>
      <c r="E36" s="3" t="n">
        <v>2531000</v>
      </c>
      <c r="F36" s="3" t="n">
        <v>3654931</v>
      </c>
      <c r="G36" s="3" t="n"/>
    </row>
    <row r="37">
      <c r="A37" t="inlineStr">
        <is>
          <t>Accounts Payable</t>
        </is>
      </c>
      <c r="B37" s="3" t="n">
        <v>5704000</v>
      </c>
      <c r="C37" s="3" t="n">
        <v>5014000</v>
      </c>
      <c r="D37" s="3" t="n">
        <v>7748000</v>
      </c>
      <c r="E37" s="3" t="n">
        <v>2531000</v>
      </c>
      <c r="F37" s="3" t="n">
        <v>3654931</v>
      </c>
      <c r="G37" s="3" t="n"/>
    </row>
    <row r="38">
      <c r="A38" t="inlineStr">
        <is>
          <t>Total Assets</t>
        </is>
      </c>
      <c r="B38" s="3" t="n">
        <v>340804000</v>
      </c>
      <c r="C38" s="3" t="n">
        <v>367751000</v>
      </c>
      <c r="D38" s="3" t="n">
        <v>299099000</v>
      </c>
      <c r="E38" s="3" t="n">
        <v>214315000</v>
      </c>
      <c r="F38" s="3" t="n">
        <v>216594616</v>
      </c>
      <c r="G38" s="3" t="n"/>
    </row>
    <row r="39">
      <c r="A39" t="inlineStr">
        <is>
          <t>Total Non Current Assets</t>
        </is>
      </c>
      <c r="B39" s="3" t="n">
        <v>139673000</v>
      </c>
      <c r="C39" s="3" t="n">
        <v>126676000</v>
      </c>
      <c r="D39" s="3" t="n">
        <v>79400000</v>
      </c>
      <c r="E39" s="3" t="n">
        <v>27785000</v>
      </c>
      <c r="F39" s="3" t="n">
        <v>16624302</v>
      </c>
      <c r="G39" s="3" t="n"/>
    </row>
    <row r="40">
      <c r="A40" t="inlineStr">
        <is>
          <t>Other Non Current Assets</t>
        </is>
      </c>
      <c r="B40" s="3" t="n">
        <v>3390000</v>
      </c>
      <c r="C40" s="3" t="n">
        <v>1107000</v>
      </c>
      <c r="D40" s="3" t="n">
        <v>612000</v>
      </c>
      <c r="E40" s="3" t="n">
        <v>759000</v>
      </c>
      <c r="F40" s="3" t="n"/>
      <c r="G40" s="3" t="n">
        <v>578000</v>
      </c>
    </row>
    <row r="41">
      <c r="A41" t="inlineStr">
        <is>
          <t>Non Current Prepaid Assets</t>
        </is>
      </c>
      <c r="B41" s="3" t="n"/>
      <c r="C41" s="3" t="n"/>
      <c r="D41" s="3" t="n"/>
      <c r="E41" s="3" t="n"/>
      <c r="F41" s="3" t="n">
        <v>417407</v>
      </c>
      <c r="G41" s="3" t="n">
        <v>578237</v>
      </c>
    </row>
    <row r="42">
      <c r="A42" t="inlineStr">
        <is>
          <t>Investments And Advances</t>
        </is>
      </c>
      <c r="B42" s="3" t="n">
        <v>9930000</v>
      </c>
      <c r="C42" s="3" t="n">
        <v>26344000</v>
      </c>
      <c r="D42" s="3" t="n"/>
      <c r="E42" s="3" t="n"/>
      <c r="F42" s="3" t="n"/>
      <c r="G42" s="3" t="n">
        <v>0</v>
      </c>
    </row>
    <row r="43">
      <c r="A43" t="inlineStr">
        <is>
          <t>Investmentin Financial Assets</t>
        </is>
      </c>
      <c r="B43" s="3" t="n"/>
      <c r="C43" s="3" t="n">
        <v>26344000</v>
      </c>
      <c r="D43" s="3" t="n"/>
      <c r="E43" s="3" t="n"/>
      <c r="F43" s="3" t="n"/>
      <c r="G43" s="3" t="n">
        <v>0</v>
      </c>
    </row>
    <row r="44">
      <c r="A44" t="inlineStr">
        <is>
          <t>Available For Sale Securities</t>
        </is>
      </c>
      <c r="B44" s="3" t="n"/>
      <c r="C44" s="3" t="n">
        <v>26344000</v>
      </c>
      <c r="D44" s="3" t="n"/>
      <c r="E44" s="3" t="n"/>
      <c r="F44" s="3" t="n"/>
      <c r="G44" s="3" t="n"/>
    </row>
    <row r="45">
      <c r="A45" t="inlineStr">
        <is>
          <t>Long Term Equity Investment</t>
        </is>
      </c>
      <c r="B45" s="3" t="n">
        <v>9930000</v>
      </c>
      <c r="C45" s="3" t="n"/>
      <c r="D45" s="3" t="n"/>
      <c r="E45" s="3" t="n"/>
      <c r="F45" s="3" t="n"/>
      <c r="G45" s="3" t="n"/>
    </row>
    <row r="46">
      <c r="A46" t="inlineStr">
        <is>
          <t>Goodwill And Other Intangible Assets</t>
        </is>
      </c>
      <c r="B46" s="3" t="n">
        <v>64506000</v>
      </c>
      <c r="C46" s="3" t="n">
        <v>46843000</v>
      </c>
      <c r="D46" s="3" t="n">
        <v>44710000</v>
      </c>
      <c r="E46" s="3" t="n">
        <v>6017000</v>
      </c>
      <c r="F46" s="3" t="n"/>
      <c r="G46" s="3" t="n">
        <v>0</v>
      </c>
    </row>
    <row r="47">
      <c r="A47" t="inlineStr">
        <is>
          <t>Other Intangible Assets</t>
        </is>
      </c>
      <c r="B47" s="3" t="n">
        <v>36508000</v>
      </c>
      <c r="C47" s="3" t="n">
        <v>31313000</v>
      </c>
      <c r="D47" s="3" t="n">
        <v>32871000</v>
      </c>
      <c r="E47" s="3" t="n">
        <v>1429000</v>
      </c>
      <c r="F47" s="3" t="n"/>
      <c r="G47" s="3" t="n"/>
    </row>
    <row r="48">
      <c r="A48" t="inlineStr">
        <is>
          <t>Goodwill</t>
        </is>
      </c>
      <c r="B48" s="3" t="n">
        <v>27998000</v>
      </c>
      <c r="C48" s="3" t="n">
        <v>15530000</v>
      </c>
      <c r="D48" s="3" t="n">
        <v>11839000</v>
      </c>
      <c r="E48" s="3" t="n">
        <v>4588000</v>
      </c>
      <c r="F48" s="3" t="n"/>
      <c r="G48" s="3" t="n">
        <v>0</v>
      </c>
    </row>
    <row r="49">
      <c r="A49" t="inlineStr">
        <is>
          <t>Net PPE</t>
        </is>
      </c>
      <c r="B49" s="3" t="n">
        <v>61847000</v>
      </c>
      <c r="C49" s="3" t="n">
        <v>52382000</v>
      </c>
      <c r="D49" s="3" t="n">
        <v>34078000</v>
      </c>
      <c r="E49" s="3" t="n">
        <v>21009000</v>
      </c>
      <c r="F49" s="3" t="n">
        <v>16206895</v>
      </c>
      <c r="G49" s="3" t="n"/>
    </row>
    <row r="50">
      <c r="A50" t="inlineStr">
        <is>
          <t>Accumulated Depreciation</t>
        </is>
      </c>
      <c r="B50" s="3" t="n">
        <v>-9917000</v>
      </c>
      <c r="C50" s="3" t="n">
        <v>-6465000</v>
      </c>
      <c r="D50" s="3" t="n">
        <v>-5050000</v>
      </c>
      <c r="E50" s="3" t="n">
        <v>-3908000</v>
      </c>
      <c r="F50" s="3" t="n">
        <v>-3078875</v>
      </c>
      <c r="G50" s="3" t="n"/>
    </row>
    <row r="51">
      <c r="A51" t="inlineStr">
        <is>
          <t>Gross PPE</t>
        </is>
      </c>
      <c r="B51" s="3" t="n">
        <v>71764000</v>
      </c>
      <c r="C51" s="3" t="n">
        <v>58847000</v>
      </c>
      <c r="D51" s="3" t="n">
        <v>39128000</v>
      </c>
      <c r="E51" s="3" t="n">
        <v>24917000</v>
      </c>
      <c r="F51" s="3" t="n">
        <v>19285770</v>
      </c>
      <c r="G51" s="3" t="n"/>
    </row>
    <row r="52">
      <c r="A52" t="inlineStr">
        <is>
          <t>Leases</t>
        </is>
      </c>
      <c r="B52" s="3" t="n">
        <v>441000</v>
      </c>
      <c r="C52" s="3" t="n">
        <v>414000</v>
      </c>
      <c r="D52" s="3" t="n">
        <v>66000</v>
      </c>
      <c r="E52" s="3" t="n"/>
      <c r="F52" s="3" t="n"/>
      <c r="G52" s="3" t="n">
        <v>0</v>
      </c>
    </row>
    <row r="53">
      <c r="A53" t="inlineStr">
        <is>
          <t>Construction In Progress</t>
        </is>
      </c>
      <c r="B53" s="3" t="n">
        <v>8928000</v>
      </c>
      <c r="C53" s="3" t="n">
        <v>3357000</v>
      </c>
      <c r="D53" s="3" t="n">
        <v>5791000</v>
      </c>
      <c r="E53" s="3" t="n">
        <v>7069000</v>
      </c>
      <c r="F53" s="3" t="n">
        <v>4766289</v>
      </c>
      <c r="G53" s="3" t="n"/>
    </row>
    <row r="54">
      <c r="A54" t="inlineStr">
        <is>
          <t>Other Properties</t>
        </is>
      </c>
      <c r="B54" s="3" t="n">
        <v>61895000</v>
      </c>
      <c r="C54" s="3" t="n">
        <v>54701000</v>
      </c>
      <c r="D54" s="3" t="n">
        <v>32896000</v>
      </c>
      <c r="E54" s="3" t="n">
        <v>17475000</v>
      </c>
      <c r="F54" s="3" t="n">
        <v>14187171</v>
      </c>
      <c r="G54" s="3" t="n"/>
    </row>
    <row r="55">
      <c r="A55" t="inlineStr">
        <is>
          <t>Machinery Furniture Equipment</t>
        </is>
      </c>
      <c r="B55" s="3" t="n">
        <v>500000</v>
      </c>
      <c r="C55" s="3" t="n">
        <v>375000</v>
      </c>
      <c r="D55" s="3" t="n">
        <v>375000</v>
      </c>
      <c r="E55" s="3" t="n">
        <v>373000</v>
      </c>
      <c r="F55" s="3" t="n">
        <v>332310</v>
      </c>
      <c r="G55" s="3" t="n"/>
    </row>
    <row r="56">
      <c r="A56" t="inlineStr">
        <is>
          <t>Properties</t>
        </is>
      </c>
      <c r="B56" s="3" t="n">
        <v>0</v>
      </c>
      <c r="C56" s="3" t="n">
        <v>0</v>
      </c>
      <c r="D56" s="3" t="n">
        <v>0</v>
      </c>
      <c r="E56" s="3" t="n"/>
      <c r="F56" s="3" t="n"/>
      <c r="G56" s="3" t="n">
        <v>0</v>
      </c>
    </row>
    <row r="57">
      <c r="A57" t="inlineStr">
        <is>
          <t>Current Assets</t>
        </is>
      </c>
      <c r="B57" s="3" t="n">
        <v>201131000</v>
      </c>
      <c r="C57" s="3" t="n">
        <v>241075000</v>
      </c>
      <c r="D57" s="3" t="n">
        <v>219699000</v>
      </c>
      <c r="E57" s="3" t="n">
        <v>186530000</v>
      </c>
      <c r="F57" s="3" t="n">
        <v>199970314</v>
      </c>
      <c r="G57" s="3" t="n"/>
    </row>
    <row r="58">
      <c r="A58" t="inlineStr">
        <is>
          <t>Other Current Assets</t>
        </is>
      </c>
      <c r="B58" s="3" t="n">
        <v>228000</v>
      </c>
      <c r="C58" s="3" t="n">
        <v>77000</v>
      </c>
      <c r="D58" s="3" t="n">
        <v>133000</v>
      </c>
      <c r="E58" s="3" t="n"/>
      <c r="F58" s="3" t="n"/>
      <c r="G58" s="3" t="n"/>
    </row>
    <row r="59">
      <c r="A59" t="inlineStr">
        <is>
          <t>Prepaid Assets</t>
        </is>
      </c>
      <c r="B59" s="3" t="n">
        <v>7821000</v>
      </c>
      <c r="C59" s="3" t="n">
        <v>6042000</v>
      </c>
      <c r="D59" s="3" t="n">
        <v>7626000</v>
      </c>
      <c r="E59" s="3" t="n">
        <v>2059000</v>
      </c>
      <c r="F59" s="3" t="n">
        <v>1112309</v>
      </c>
      <c r="G59" s="3" t="n"/>
    </row>
    <row r="60">
      <c r="A60" t="inlineStr">
        <is>
          <t>Inventory</t>
        </is>
      </c>
      <c r="B60" s="3" t="n"/>
      <c r="C60" s="3" t="n">
        <v>0</v>
      </c>
      <c r="D60" s="3" t="n">
        <v>0</v>
      </c>
      <c r="E60" s="3" t="n">
        <v>0</v>
      </c>
      <c r="F60" s="3" t="n">
        <v>0</v>
      </c>
      <c r="G60" s="3" t="n">
        <v>310000</v>
      </c>
    </row>
    <row r="61">
      <c r="A61" t="inlineStr">
        <is>
          <t>Receivables</t>
        </is>
      </c>
      <c r="B61" s="3" t="n">
        <v>5604000</v>
      </c>
      <c r="C61" s="3" t="n">
        <v>1547000</v>
      </c>
      <c r="D61" s="3" t="n">
        <v>1493000</v>
      </c>
      <c r="E61" s="3" t="n">
        <v>1140000</v>
      </c>
      <c r="F61" s="3" t="n">
        <v>1099169</v>
      </c>
      <c r="G61" s="3" t="n"/>
    </row>
    <row r="62">
      <c r="A62" t="inlineStr">
        <is>
          <t>Other Receivables</t>
        </is>
      </c>
      <c r="B62" s="3" t="n">
        <v>1662000</v>
      </c>
      <c r="C62" s="3" t="n">
        <v>696000</v>
      </c>
      <c r="D62" s="3" t="n">
        <v>688000</v>
      </c>
      <c r="E62" s="3" t="n">
        <v>484000</v>
      </c>
      <c r="F62" s="3" t="n">
        <v>717714</v>
      </c>
      <c r="G62" s="3" t="n"/>
    </row>
    <row r="63">
      <c r="A63" t="inlineStr">
        <is>
          <t>Accounts Receivable</t>
        </is>
      </c>
      <c r="B63" s="3" t="n">
        <v>3942000</v>
      </c>
      <c r="C63" s="3" t="n">
        <v>851000</v>
      </c>
      <c r="D63" s="3" t="n">
        <v>805000</v>
      </c>
      <c r="E63" s="3" t="n">
        <v>656000</v>
      </c>
      <c r="F63" s="3" t="n">
        <v>381455</v>
      </c>
      <c r="G63" s="3" t="n"/>
    </row>
    <row r="64">
      <c r="A64" t="inlineStr">
        <is>
          <t>Cash Cash Equivalents And Short Term Investments</t>
        </is>
      </c>
      <c r="B64" s="3" t="n">
        <v>187478000</v>
      </c>
      <c r="C64" s="3" t="n">
        <v>233409000</v>
      </c>
      <c r="D64" s="3" t="n">
        <v>210447000</v>
      </c>
      <c r="E64" s="3" t="n">
        <v>183331000</v>
      </c>
      <c r="F64" s="3" t="n">
        <v>197758836</v>
      </c>
      <c r="G64" s="3" t="n"/>
    </row>
    <row r="65">
      <c r="A65" t="inlineStr">
        <is>
          <t>Other Short Term Investments</t>
        </is>
      </c>
      <c r="B65" s="3" t="n">
        <v>140364000</v>
      </c>
      <c r="C65" s="3" t="n">
        <v>127170000</v>
      </c>
      <c r="D65" s="3" t="n">
        <v>93608000</v>
      </c>
      <c r="E65" s="3" t="n">
        <v>66631000</v>
      </c>
      <c r="F65" s="3" t="n"/>
      <c r="G65" s="3" t="n">
        <v>0</v>
      </c>
    </row>
    <row r="66">
      <c r="A66" t="inlineStr">
        <is>
          <t>Cash And Cash Equivalents</t>
        </is>
      </c>
      <c r="B66" s="3" t="n">
        <v>47114000</v>
      </c>
      <c r="C66" s="3" t="n">
        <v>106239000</v>
      </c>
      <c r="D66" s="3" t="n">
        <v>116839000</v>
      </c>
      <c r="E66" s="3" t="n">
        <v>116700000</v>
      </c>
      <c r="F66" s="3" t="n">
        <v>197758836</v>
      </c>
      <c r="G66" s="3" t="n"/>
    </row>
    <row r="67">
      <c r="A67" t="inlineStr">
        <is>
          <t>Cash Financial</t>
        </is>
      </c>
      <c r="B67" s="3" t="n"/>
      <c r="C67" s="3" t="n"/>
      <c r="D67" s="3" t="n"/>
      <c r="E67" s="3" t="n"/>
      <c r="F67" s="3" t="n">
        <v>197758836</v>
      </c>
      <c r="G67" s="3" t="n">
        <v>123266437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-117979000</v>
      </c>
      <c r="C2" s="3" t="n">
        <v>-31794000</v>
      </c>
      <c r="D2" s="3" t="n">
        <v>-15975792</v>
      </c>
      <c r="E2" s="3" t="n">
        <v>-25047736</v>
      </c>
      <c r="F2" s="3" t="n"/>
    </row>
    <row r="3">
      <c r="A3" t="inlineStr">
        <is>
          <t>Repayment Of Debt</t>
        </is>
      </c>
      <c r="B3" s="3" t="n">
        <v>-186000</v>
      </c>
      <c r="C3" s="3" t="n">
        <v>-3102000</v>
      </c>
      <c r="D3" s="3" t="n">
        <v>-3912518</v>
      </c>
      <c r="E3" s="3" t="n">
        <v>-628524</v>
      </c>
      <c r="F3" s="3" t="n"/>
    </row>
    <row r="4">
      <c r="A4" t="inlineStr">
        <is>
          <t>Issuance Of Debt</t>
        </is>
      </c>
      <c r="B4" s="3" t="n">
        <v>0</v>
      </c>
      <c r="C4" s="3" t="n">
        <v>4845000</v>
      </c>
      <c r="D4" s="3" t="n">
        <v>4067410</v>
      </c>
      <c r="E4" s="3" t="n">
        <v>6955852</v>
      </c>
      <c r="F4" s="3" t="n"/>
    </row>
    <row r="5">
      <c r="A5" t="inlineStr">
        <is>
          <t>Issuance Of Capital Stock</t>
        </is>
      </c>
      <c r="B5" s="3" t="n">
        <v>249496000</v>
      </c>
      <c r="C5" s="3" t="n">
        <v>113445000</v>
      </c>
      <c r="D5" s="3" t="n">
        <v>10444987</v>
      </c>
      <c r="E5" s="3" t="n">
        <v>999999</v>
      </c>
      <c r="F5" s="3" t="n"/>
    </row>
    <row r="6">
      <c r="A6" t="inlineStr">
        <is>
          <t>Capital Expenditure</t>
        </is>
      </c>
      <c r="B6" s="3" t="n">
        <v>-37739000</v>
      </c>
      <c r="C6" s="3" t="n">
        <v>-10252000</v>
      </c>
      <c r="D6" s="3" t="n">
        <v>-4914</v>
      </c>
      <c r="E6" s="3" t="n">
        <v>-3644950</v>
      </c>
      <c r="F6" s="3" t="n"/>
    </row>
    <row r="7">
      <c r="A7" t="inlineStr">
        <is>
          <t>Interest Paid Supplemental Data</t>
        </is>
      </c>
      <c r="B7" s="3" t="n">
        <v>224000</v>
      </c>
      <c r="C7" s="3" t="n">
        <v>203000</v>
      </c>
      <c r="D7" s="3" t="n">
        <v>507193</v>
      </c>
      <c r="E7" s="3" t="n">
        <v>622730</v>
      </c>
      <c r="F7" s="3" t="n"/>
    </row>
    <row r="8">
      <c r="A8" t="inlineStr">
        <is>
          <t>Income Tax Paid Supplemental Data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/>
    </row>
    <row r="9">
      <c r="A9" t="inlineStr">
        <is>
          <t>End Cash Position</t>
        </is>
      </c>
      <c r="B9" s="3" t="n">
        <v>106239000</v>
      </c>
      <c r="C9" s="3" t="n">
        <v>123266000</v>
      </c>
      <c r="D9" s="3" t="n">
        <v>6756</v>
      </c>
      <c r="E9" s="3" t="n">
        <v>2715719</v>
      </c>
      <c r="F9" s="3" t="n"/>
    </row>
    <row r="10">
      <c r="A10" t="inlineStr">
        <is>
          <t>Beginning Cash Position</t>
        </is>
      </c>
      <c r="B10" s="3" t="n">
        <v>123266000</v>
      </c>
      <c r="C10" s="3" t="n">
        <v>7000</v>
      </c>
      <c r="D10" s="3" t="n">
        <v>2715719</v>
      </c>
      <c r="E10" s="3" t="n">
        <v>7965861</v>
      </c>
      <c r="F10" s="3" t="n"/>
    </row>
    <row r="11">
      <c r="A11" t="inlineStr">
        <is>
          <t>Effect Of Exchange Rate Changes</t>
        </is>
      </c>
      <c r="B11" s="3" t="n">
        <v>1000</v>
      </c>
      <c r="C11" s="3" t="n">
        <v>0</v>
      </c>
      <c r="D11" s="3" t="n"/>
      <c r="E11" s="3" t="n"/>
      <c r="F11" s="3" t="n"/>
    </row>
    <row r="12">
      <c r="A12" t="inlineStr">
        <is>
          <t>Changes In Cash</t>
        </is>
      </c>
      <c r="B12" s="3" t="n">
        <v>-17028000</v>
      </c>
      <c r="C12" s="3" t="n">
        <v>123259000</v>
      </c>
      <c r="D12" s="3" t="n">
        <v>-2708963</v>
      </c>
      <c r="E12" s="3" t="n">
        <v>-5250142</v>
      </c>
      <c r="F12" s="3" t="n"/>
    </row>
    <row r="13">
      <c r="A13" t="inlineStr">
        <is>
          <t>Financing Cash Flow</t>
        </is>
      </c>
      <c r="B13" s="3" t="n">
        <v>261212000</v>
      </c>
      <c r="C13" s="3" t="n">
        <v>155120000</v>
      </c>
      <c r="D13" s="3" t="n">
        <v>13266829</v>
      </c>
      <c r="E13" s="3" t="n">
        <v>20213606</v>
      </c>
      <c r="F13" s="3" t="n"/>
    </row>
    <row r="14">
      <c r="A14" t="inlineStr">
        <is>
          <t>Cash Flow From Continuing Financing Activities</t>
        </is>
      </c>
      <c r="B14" s="3" t="n">
        <v>261212000</v>
      </c>
      <c r="C14" s="3" t="n">
        <v>155120000</v>
      </c>
      <c r="D14" s="3" t="n">
        <v>13266829</v>
      </c>
      <c r="E14" s="3" t="n">
        <v>20213606</v>
      </c>
      <c r="F14" s="3" t="n"/>
    </row>
    <row r="15">
      <c r="A15" t="inlineStr">
        <is>
          <t>Net Other Financing Charges</t>
        </is>
      </c>
      <c r="B15" s="3" t="n">
        <v>48000</v>
      </c>
      <c r="C15" s="3" t="n"/>
      <c r="D15" s="3" t="n">
        <v>2666953</v>
      </c>
      <c r="E15" s="3" t="n">
        <v>12885001</v>
      </c>
      <c r="F15" s="3" t="n">
        <v>7925000</v>
      </c>
    </row>
    <row r="16">
      <c r="A16" t="inlineStr">
        <is>
          <t>Proceeds From Stock Option Exercised</t>
        </is>
      </c>
      <c r="B16" s="3" t="n">
        <v>11854000</v>
      </c>
      <c r="C16" s="3" t="n">
        <v>39932000</v>
      </c>
      <c r="D16" s="3" t="n">
        <v>-3</v>
      </c>
      <c r="E16" s="3" t="n">
        <v>12886279</v>
      </c>
      <c r="F16" s="3" t="n"/>
    </row>
    <row r="17">
      <c r="A17" t="inlineStr">
        <is>
          <t>Net Preferred Stock Issuance</t>
        </is>
      </c>
      <c r="B17" s="3" t="n"/>
      <c r="C17" s="3" t="n"/>
      <c r="D17" s="3" t="n">
        <v>0</v>
      </c>
      <c r="E17" s="3" t="n">
        <v>999999</v>
      </c>
      <c r="F17" s="3" t="n">
        <v>10999998</v>
      </c>
    </row>
    <row r="18">
      <c r="A18" t="inlineStr">
        <is>
          <t>Preferred Stock Issuance</t>
        </is>
      </c>
      <c r="B18" s="3" t="n"/>
      <c r="C18" s="3" t="n"/>
      <c r="D18" s="3" t="n">
        <v>0</v>
      </c>
      <c r="E18" s="3" t="n">
        <v>999999</v>
      </c>
      <c r="F18" s="3" t="n">
        <v>10999998</v>
      </c>
    </row>
    <row r="19">
      <c r="A19" t="inlineStr">
        <is>
          <t>Net Common Stock Issuance</t>
        </is>
      </c>
      <c r="B19" s="3" t="n">
        <v>249496000</v>
      </c>
      <c r="C19" s="3" t="n">
        <v>113445000</v>
      </c>
      <c r="D19" s="3" t="n">
        <v>10444987</v>
      </c>
      <c r="E19" s="3" t="n">
        <v>0</v>
      </c>
      <c r="F19" s="3" t="n"/>
    </row>
    <row r="20">
      <c r="A20" t="inlineStr">
        <is>
          <t>Common Stock Issuance</t>
        </is>
      </c>
      <c r="B20" s="3" t="n">
        <v>249496000</v>
      </c>
      <c r="C20" s="3" t="n">
        <v>113445000</v>
      </c>
      <c r="D20" s="3" t="n">
        <v>10444987</v>
      </c>
      <c r="E20" s="3" t="n">
        <v>0</v>
      </c>
      <c r="F20" s="3" t="n"/>
    </row>
    <row r="21">
      <c r="A21" t="inlineStr">
        <is>
          <t>Net Issuance Payments Of Debt</t>
        </is>
      </c>
      <c r="B21" s="3" t="n">
        <v>-186000</v>
      </c>
      <c r="C21" s="3" t="n">
        <v>1743000</v>
      </c>
      <c r="D21" s="3" t="n">
        <v>154892</v>
      </c>
      <c r="E21" s="3" t="n">
        <v>6327328</v>
      </c>
      <c r="F21" s="3" t="n"/>
    </row>
    <row r="22">
      <c r="A22" t="inlineStr">
        <is>
          <t>Net Short Term Debt Issuance</t>
        </is>
      </c>
      <c r="B22" s="3" t="n">
        <v>0</v>
      </c>
      <c r="C22" s="3" t="n">
        <v>-1320000</v>
      </c>
      <c r="D22" s="3" t="n">
        <v>70000</v>
      </c>
      <c r="E22" s="3" t="n">
        <v>0</v>
      </c>
      <c r="F22" s="3" t="n"/>
    </row>
    <row r="23">
      <c r="A23" t="inlineStr">
        <is>
          <t>Short Term Debt Payments</t>
        </is>
      </c>
      <c r="B23" s="3" t="n">
        <v>0</v>
      </c>
      <c r="C23" s="3" t="n">
        <v>-1320000</v>
      </c>
      <c r="D23" s="3" t="n">
        <v>-449000</v>
      </c>
      <c r="E23" s="3" t="n">
        <v>0</v>
      </c>
      <c r="F23" s="3" t="n"/>
    </row>
    <row r="24">
      <c r="A24" t="inlineStr">
        <is>
          <t>Short Term Debt Issuance</t>
        </is>
      </c>
      <c r="B24" s="3" t="n"/>
      <c r="C24" s="3" t="n"/>
      <c r="D24" s="3" t="n">
        <v>519000</v>
      </c>
      <c r="E24" s="3" t="n">
        <v>0</v>
      </c>
      <c r="F24" s="3" t="n"/>
    </row>
    <row r="25">
      <c r="A25" t="inlineStr">
        <is>
          <t>Net Long Term Debt Issuance</t>
        </is>
      </c>
      <c r="B25" s="3" t="n">
        <v>-186000</v>
      </c>
      <c r="C25" s="3" t="n">
        <v>3063000</v>
      </c>
      <c r="D25" s="3" t="n">
        <v>154892</v>
      </c>
      <c r="E25" s="3" t="n">
        <v>6327328</v>
      </c>
      <c r="F25" s="3" t="n"/>
    </row>
    <row r="26">
      <c r="A26" t="inlineStr">
        <is>
          <t>Long Term Debt Payments</t>
        </is>
      </c>
      <c r="B26" s="3" t="n">
        <v>-186000</v>
      </c>
      <c r="C26" s="3" t="n">
        <v>-1782000</v>
      </c>
      <c r="D26" s="3" t="n">
        <v>-3912518</v>
      </c>
      <c r="E26" s="3" t="n">
        <v>-628524</v>
      </c>
      <c r="F26" s="3" t="n"/>
    </row>
    <row r="27">
      <c r="A27" t="inlineStr">
        <is>
          <t>Long Term Debt Issuance</t>
        </is>
      </c>
      <c r="B27" s="3" t="n">
        <v>0</v>
      </c>
      <c r="C27" s="3" t="n">
        <v>4845000</v>
      </c>
      <c r="D27" s="3" t="n">
        <v>4067410</v>
      </c>
      <c r="E27" s="3" t="n">
        <v>6955852</v>
      </c>
      <c r="F27" s="3" t="n"/>
    </row>
    <row r="28">
      <c r="A28" t="inlineStr">
        <is>
          <t>Investing Cash Flow</t>
        </is>
      </c>
      <c r="B28" s="3" t="n">
        <v>-197999000</v>
      </c>
      <c r="C28" s="3" t="n">
        <v>-10318000</v>
      </c>
      <c r="D28" s="3" t="n">
        <v>-4914</v>
      </c>
      <c r="E28" s="3" t="n">
        <v>-4060962</v>
      </c>
      <c r="F28" s="3" t="n"/>
    </row>
    <row r="29">
      <c r="A29" t="inlineStr">
        <is>
          <t>Cash Flow From Continuing Investing Activities</t>
        </is>
      </c>
      <c r="B29" s="3" t="n">
        <v>-197999000</v>
      </c>
      <c r="C29" s="3" t="n">
        <v>-10318000</v>
      </c>
      <c r="D29" s="3" t="n">
        <v>-4914</v>
      </c>
      <c r="E29" s="3" t="n">
        <v>-4060962</v>
      </c>
      <c r="F29" s="3" t="n"/>
    </row>
    <row r="30">
      <c r="A30" t="inlineStr">
        <is>
          <t>Net Other Investing Changes</t>
        </is>
      </c>
      <c r="B30" s="3" t="n">
        <v>-506000</v>
      </c>
      <c r="C30" s="3" t="n">
        <v>-66000</v>
      </c>
      <c r="D30" s="3" t="n"/>
      <c r="E30" s="3" t="n">
        <v>-416012</v>
      </c>
      <c r="F30" s="3" t="n">
        <v>-96647</v>
      </c>
    </row>
    <row r="31">
      <c r="A31" t="inlineStr">
        <is>
          <t>Net Investment Purchase And Sale</t>
        </is>
      </c>
      <c r="B31" s="3" t="n">
        <v>-152252000</v>
      </c>
      <c r="C31" s="3" t="n">
        <v>0</v>
      </c>
      <c r="D31" s="3" t="n"/>
      <c r="E31" s="3" t="n"/>
      <c r="F31" s="3" t="n"/>
    </row>
    <row r="32">
      <c r="A32" t="inlineStr">
        <is>
          <t>Sale Of Investment</t>
        </is>
      </c>
      <c r="B32" s="3" t="n">
        <v>51500000</v>
      </c>
      <c r="C32" s="3" t="n">
        <v>0</v>
      </c>
      <c r="D32" s="3" t="n"/>
      <c r="E32" s="3" t="n"/>
      <c r="F32" s="3" t="n"/>
    </row>
    <row r="33">
      <c r="A33" t="inlineStr">
        <is>
          <t>Purchase Of Investment</t>
        </is>
      </c>
      <c r="B33" s="3" t="n">
        <v>-203752000</v>
      </c>
      <c r="C33" s="3" t="n">
        <v>0</v>
      </c>
      <c r="D33" s="3" t="n"/>
      <c r="E33" s="3" t="n"/>
      <c r="F33" s="3" t="n"/>
    </row>
    <row r="34">
      <c r="A34" t="inlineStr">
        <is>
          <t>Net Business Purchase And Sale</t>
        </is>
      </c>
      <c r="B34" s="3" t="n">
        <v>-7502000</v>
      </c>
      <c r="C34" s="3" t="n">
        <v>0</v>
      </c>
      <c r="D34" s="3" t="n"/>
      <c r="E34" s="3" t="n"/>
      <c r="F34" s="3" t="n"/>
    </row>
    <row r="35">
      <c r="A35" t="inlineStr">
        <is>
          <t>Purchase Of Business</t>
        </is>
      </c>
      <c r="B35" s="3" t="n">
        <v>-7502000</v>
      </c>
      <c r="C35" s="3" t="n">
        <v>0</v>
      </c>
      <c r="D35" s="3" t="n"/>
      <c r="E35" s="3" t="n"/>
      <c r="F35" s="3" t="n"/>
    </row>
    <row r="36">
      <c r="A36" t="inlineStr">
        <is>
          <t>Net PPE Purchase And Sale</t>
        </is>
      </c>
      <c r="B36" s="3" t="n">
        <v>-37334000</v>
      </c>
      <c r="C36" s="3" t="n">
        <v>-10252000</v>
      </c>
      <c r="D36" s="3" t="n">
        <v>-4914</v>
      </c>
      <c r="E36" s="3" t="n">
        <v>-3644950</v>
      </c>
      <c r="F36" s="3" t="n"/>
    </row>
    <row r="37">
      <c r="A37" t="inlineStr">
        <is>
          <t>Purchase Of PPE</t>
        </is>
      </c>
      <c r="B37" s="3" t="n">
        <v>-37334000</v>
      </c>
      <c r="C37" s="3" t="n">
        <v>-10252000</v>
      </c>
      <c r="D37" s="3" t="n">
        <v>-4914</v>
      </c>
      <c r="E37" s="3" t="n">
        <v>-3644950</v>
      </c>
      <c r="F37" s="3" t="n"/>
    </row>
    <row r="38">
      <c r="A38" t="inlineStr">
        <is>
          <t>Capital Expenditure Reported</t>
        </is>
      </c>
      <c r="B38" s="3" t="n">
        <v>-405000</v>
      </c>
      <c r="C38" s="3" t="n">
        <v>0</v>
      </c>
      <c r="D38" s="3" t="n"/>
      <c r="E38" s="3" t="n"/>
      <c r="F38" s="3" t="n"/>
    </row>
    <row r="39">
      <c r="A39" t="inlineStr">
        <is>
          <t>Operating Cash Flow</t>
        </is>
      </c>
      <c r="B39" s="3" t="n">
        <v>-80240000</v>
      </c>
      <c r="C39" s="3" t="n">
        <v>-21542000</v>
      </c>
      <c r="D39" s="3" t="n">
        <v>-15970878</v>
      </c>
      <c r="E39" s="3" t="n">
        <v>-21402786</v>
      </c>
      <c r="F39" s="3" t="n"/>
    </row>
    <row r="40">
      <c r="A40" t="inlineStr">
        <is>
          <t>Cash Flow From Continuing Operating Activities</t>
        </is>
      </c>
      <c r="B40" s="3" t="n">
        <v>-80240000</v>
      </c>
      <c r="C40" s="3" t="n">
        <v>-21542000</v>
      </c>
      <c r="D40" s="3" t="n">
        <v>-15970878</v>
      </c>
      <c r="E40" s="3" t="n">
        <v>-21402786</v>
      </c>
      <c r="F40" s="3" t="n"/>
    </row>
    <row r="41">
      <c r="A41" t="inlineStr">
        <is>
          <t>Change In Working Capital</t>
        </is>
      </c>
      <c r="B41" s="3" t="n">
        <v>-2569000</v>
      </c>
      <c r="C41" s="3" t="n">
        <v>884000</v>
      </c>
      <c r="D41" s="3" t="n">
        <v>1335957</v>
      </c>
      <c r="E41" s="3" t="n">
        <v>-410198</v>
      </c>
      <c r="F41" s="3" t="n"/>
    </row>
    <row r="42">
      <c r="A42" t="inlineStr">
        <is>
          <t>Change In Other Working Capital</t>
        </is>
      </c>
      <c r="B42" s="3" t="n">
        <v>-18000</v>
      </c>
      <c r="C42" s="3" t="n">
        <v>20000</v>
      </c>
      <c r="D42" s="3" t="n"/>
      <c r="E42" s="3" t="n"/>
      <c r="F42" s="3" t="n"/>
    </row>
    <row r="43">
      <c r="A43" t="inlineStr">
        <is>
          <t>Change In Other Current Liabilities</t>
        </is>
      </c>
      <c r="B43" s="3" t="n">
        <v>-1413000</v>
      </c>
      <c r="C43" s="3" t="n">
        <v>46000</v>
      </c>
      <c r="D43" s="3" t="n">
        <v>-49656</v>
      </c>
      <c r="E43" s="3" t="n">
        <v>-24641</v>
      </c>
      <c r="F43" s="3" t="n"/>
    </row>
    <row r="44">
      <c r="A44" t="inlineStr">
        <is>
          <t>Change In Other Current Assets</t>
        </is>
      </c>
      <c r="B44" s="3" t="n"/>
      <c r="C44" s="3" t="n"/>
      <c r="D44" s="3" t="n">
        <v>0</v>
      </c>
      <c r="E44" s="3" t="n">
        <v>11163</v>
      </c>
      <c r="F44" s="3" t="n">
        <v>-11163</v>
      </c>
    </row>
    <row r="45">
      <c r="A45" t="inlineStr">
        <is>
          <t>Change In Payables And Accrued Expense</t>
        </is>
      </c>
      <c r="B45" s="3" t="n">
        <v>4691000</v>
      </c>
      <c r="C45" s="3" t="n">
        <v>1349000</v>
      </c>
      <c r="D45" s="3" t="n">
        <v>2116588</v>
      </c>
      <c r="E45" s="3" t="n">
        <v>-136844</v>
      </c>
      <c r="F45" s="3" t="n"/>
    </row>
    <row r="46">
      <c r="A46" t="inlineStr">
        <is>
          <t>Change In Accrued Expense</t>
        </is>
      </c>
      <c r="B46" s="3" t="n">
        <v>6708000</v>
      </c>
      <c r="C46" s="3" t="n">
        <v>477000</v>
      </c>
      <c r="D46" s="3" t="n">
        <v>228020</v>
      </c>
      <c r="E46" s="3" t="n">
        <v>37434</v>
      </c>
      <c r="F46" s="3" t="n"/>
    </row>
    <row r="47">
      <c r="A47" t="inlineStr">
        <is>
          <t>Change In Payable</t>
        </is>
      </c>
      <c r="B47" s="3" t="n">
        <v>-2017000</v>
      </c>
      <c r="C47" s="3" t="n">
        <v>872000</v>
      </c>
      <c r="D47" s="3" t="n">
        <v>1888568</v>
      </c>
      <c r="E47" s="3" t="n">
        <v>-174278</v>
      </c>
      <c r="F47" s="3" t="n"/>
    </row>
    <row r="48">
      <c r="A48" t="inlineStr">
        <is>
          <t>Change In Account Payable</t>
        </is>
      </c>
      <c r="B48" s="3" t="n">
        <v>-2017000</v>
      </c>
      <c r="C48" s="3" t="n">
        <v>872000</v>
      </c>
      <c r="D48" s="3" t="n">
        <v>1888568</v>
      </c>
      <c r="E48" s="3" t="n">
        <v>-174278</v>
      </c>
      <c r="F48" s="3" t="n"/>
    </row>
    <row r="49">
      <c r="A49" t="inlineStr">
        <is>
          <t>Change In Prepaid Assets</t>
        </is>
      </c>
      <c r="B49" s="3" t="n">
        <v>-4634000</v>
      </c>
      <c r="C49" s="3" t="n">
        <v>-720000</v>
      </c>
      <c r="D49" s="3" t="n">
        <v>-595630</v>
      </c>
      <c r="E49" s="3" t="n">
        <v>-81339</v>
      </c>
      <c r="F49" s="3" t="n"/>
    </row>
    <row r="50">
      <c r="A50" t="inlineStr">
        <is>
          <t>Change In Inventory</t>
        </is>
      </c>
      <c r="B50" s="3" t="n">
        <v>0</v>
      </c>
      <c r="C50" s="3" t="n">
        <v>465000</v>
      </c>
      <c r="D50" s="3" t="n">
        <v>-156087</v>
      </c>
      <c r="E50" s="3" t="n">
        <v>-154840</v>
      </c>
      <c r="F50" s="3" t="n"/>
    </row>
    <row r="51">
      <c r="A51" t="inlineStr">
        <is>
          <t>Change In Receivables</t>
        </is>
      </c>
      <c r="B51" s="3" t="n">
        <v>-1195000</v>
      </c>
      <c r="C51" s="3" t="n">
        <v>-276000</v>
      </c>
      <c r="D51" s="3" t="n">
        <v>20742</v>
      </c>
      <c r="E51" s="3" t="n">
        <v>-23697</v>
      </c>
      <c r="F51" s="3" t="n"/>
    </row>
    <row r="52">
      <c r="A52" t="inlineStr">
        <is>
          <t>Changes In Account Receivables</t>
        </is>
      </c>
      <c r="B52" s="3" t="n">
        <v>-697000</v>
      </c>
      <c r="C52" s="3" t="n">
        <v>-84000</v>
      </c>
      <c r="D52" s="3" t="n">
        <v>20742</v>
      </c>
      <c r="E52" s="3" t="n">
        <v>-23697</v>
      </c>
      <c r="F52" s="3" t="n"/>
    </row>
    <row r="53">
      <c r="A53" t="inlineStr">
        <is>
          <t>Other Non Cash Items</t>
        </is>
      </c>
      <c r="B53" s="3" t="n"/>
      <c r="C53" s="3" t="n">
        <v>1678000</v>
      </c>
      <c r="D53" s="3" t="n">
        <v>1807901</v>
      </c>
      <c r="E53" s="3" t="n">
        <v>13600</v>
      </c>
      <c r="F53" s="3" t="n"/>
    </row>
    <row r="54">
      <c r="A54" t="inlineStr">
        <is>
          <t>Stock Based Compensation</t>
        </is>
      </c>
      <c r="B54" s="3" t="n">
        <v>21252000</v>
      </c>
      <c r="C54" s="3" t="n">
        <v>14555000</v>
      </c>
      <c r="D54" s="3" t="n">
        <v>544375</v>
      </c>
      <c r="E54" s="3" t="n">
        <v>195056</v>
      </c>
      <c r="F54" s="3" t="n"/>
    </row>
    <row r="55">
      <c r="A55" t="inlineStr">
        <is>
          <t>Asset Impairment Charge</t>
        </is>
      </c>
      <c r="B55" s="3" t="n"/>
      <c r="C55" s="3" t="n">
        <v>0</v>
      </c>
      <c r="D55" s="3" t="n">
        <v>1468995</v>
      </c>
      <c r="E55" s="3" t="n">
        <v>0</v>
      </c>
      <c r="F55" s="3" t="n"/>
    </row>
    <row r="56">
      <c r="A56" t="inlineStr">
        <is>
          <t>Amortization Of Securities</t>
        </is>
      </c>
      <c r="B56" s="3" t="n">
        <v>-1073000</v>
      </c>
      <c r="C56" s="3" t="n">
        <v>0</v>
      </c>
      <c r="D56" s="3" t="n"/>
      <c r="E56" s="3" t="n"/>
      <c r="F56" s="3" t="n"/>
    </row>
    <row r="57">
      <c r="A57" t="inlineStr">
        <is>
          <t>Deferred Tax</t>
        </is>
      </c>
      <c r="B57" s="3" t="n">
        <v>-4702000</v>
      </c>
      <c r="C57" s="3" t="n">
        <v>0</v>
      </c>
      <c r="D57" s="3" t="n"/>
      <c r="E57" s="3" t="n"/>
      <c r="F57" s="3" t="n"/>
    </row>
    <row r="58">
      <c r="A58" t="inlineStr">
        <is>
          <t>Deferred Income Tax</t>
        </is>
      </c>
      <c r="B58" s="3" t="n">
        <v>-4702000</v>
      </c>
      <c r="C58" s="3" t="n">
        <v>0</v>
      </c>
      <c r="D58" s="3" t="n"/>
      <c r="E58" s="3" t="n"/>
      <c r="F58" s="3" t="n"/>
    </row>
    <row r="59">
      <c r="A59" t="inlineStr">
        <is>
          <t>Depreciation Amortization Depletion</t>
        </is>
      </c>
      <c r="B59" s="3" t="n">
        <v>8213000</v>
      </c>
      <c r="C59" s="3" t="n">
        <v>310000</v>
      </c>
      <c r="D59" s="3" t="n">
        <v>1863924</v>
      </c>
      <c r="E59" s="3" t="n">
        <v>388139</v>
      </c>
      <c r="F59" s="3" t="n"/>
    </row>
    <row r="60">
      <c r="A60" t="inlineStr">
        <is>
          <t>Depreciation And Amortization</t>
        </is>
      </c>
      <c r="B60" s="3" t="n">
        <v>8213000</v>
      </c>
      <c r="C60" s="3" t="n">
        <v>310000</v>
      </c>
      <c r="D60" s="3" t="n">
        <v>1863924</v>
      </c>
      <c r="E60" s="3" t="n">
        <v>388139</v>
      </c>
      <c r="F60" s="3" t="n"/>
    </row>
    <row r="61">
      <c r="A61" t="inlineStr">
        <is>
          <t>Depreciation</t>
        </is>
      </c>
      <c r="B61" s="3" t="n"/>
      <c r="C61" s="3" t="n">
        <v>309712</v>
      </c>
      <c r="D61" s="3" t="n">
        <v>1863924</v>
      </c>
      <c r="E61" s="3" t="n">
        <v>388139</v>
      </c>
      <c r="F61" s="3" t="n">
        <v>42469</v>
      </c>
    </row>
    <row r="62">
      <c r="A62" t="inlineStr">
        <is>
          <t>Operating Gains Losses</t>
        </is>
      </c>
      <c r="B62" s="3" t="n"/>
      <c r="C62" s="3" t="n">
        <v>222000</v>
      </c>
      <c r="D62" s="3" t="n">
        <v>1821706</v>
      </c>
      <c r="E62" s="3" t="n">
        <v>265744</v>
      </c>
      <c r="F62" s="3" t="n">
        <v>11043155</v>
      </c>
    </row>
    <row r="63">
      <c r="A63" t="inlineStr">
        <is>
          <t>Gain Loss On Investment Securities</t>
        </is>
      </c>
      <c r="B63" s="3" t="n"/>
      <c r="C63" s="3" t="n">
        <v>222000</v>
      </c>
      <c r="D63" s="3" t="n">
        <v>1821706</v>
      </c>
      <c r="E63" s="3" t="n">
        <v>265744</v>
      </c>
      <c r="F63" s="3" t="n">
        <v>11043155</v>
      </c>
    </row>
    <row r="64">
      <c r="A64" t="inlineStr">
        <is>
          <t>Net Income From Continuing Operations</t>
        </is>
      </c>
      <c r="B64" s="3" t="n">
        <v>-101361000</v>
      </c>
      <c r="C64" s="3" t="n">
        <v>-39191000</v>
      </c>
      <c r="D64" s="3" t="n">
        <v>-24813736</v>
      </c>
      <c r="E64" s="3" t="n">
        <v>-21855127</v>
      </c>
      <c r="F64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Free Cash Flow</t>
        </is>
      </c>
      <c r="B2" s="3" t="n">
        <v>-42866000</v>
      </c>
      <c r="C2" s="3" t="n">
        <v>-46142000</v>
      </c>
      <c r="D2" s="3" t="n">
        <v>-36488000</v>
      </c>
      <c r="E2" s="3" t="n">
        <v>-22369000</v>
      </c>
      <c r="F2" s="3" t="n">
        <v>-12980000</v>
      </c>
      <c r="G2" s="3" t="n"/>
    </row>
    <row r="3">
      <c r="A3" t="inlineStr">
        <is>
          <t>Repayment Of Debt</t>
        </is>
      </c>
      <c r="B3" s="3" t="n">
        <v>0</v>
      </c>
      <c r="C3" s="3" t="n">
        <v>0</v>
      </c>
      <c r="D3" s="3" t="n">
        <v>0</v>
      </c>
      <c r="E3" s="3" t="n">
        <v>378000</v>
      </c>
      <c r="F3" s="3" t="n">
        <v>-564000</v>
      </c>
      <c r="G3" s="3" t="n"/>
    </row>
    <row r="4">
      <c r="A4" t="inlineStr">
        <is>
          <t>Issuance Of Debt</t>
        </is>
      </c>
      <c r="B4" s="3" t="n"/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t="inlineStr">
        <is>
          <t>Issuance Of Capital Stock</t>
        </is>
      </c>
      <c r="B5" s="3" t="n">
        <v>1506000</v>
      </c>
      <c r="C5" s="3" t="n">
        <v>94882000</v>
      </c>
      <c r="D5" s="3" t="n">
        <v>65246000</v>
      </c>
      <c r="E5" s="3" t="n">
        <v>13521000</v>
      </c>
      <c r="F5" s="3" t="n">
        <v>75847000</v>
      </c>
      <c r="G5" s="3" t="n"/>
    </row>
    <row r="6">
      <c r="A6" t="inlineStr">
        <is>
          <t>Capital Expenditure</t>
        </is>
      </c>
      <c r="B6" s="3" t="n">
        <v>-1444000</v>
      </c>
      <c r="C6" s="3" t="n">
        <v>-16503000</v>
      </c>
      <c r="D6" s="3" t="n">
        <v>-11313000</v>
      </c>
      <c r="E6" s="3" t="n">
        <v>-6406000</v>
      </c>
      <c r="F6" s="3" t="n">
        <v>-3517000</v>
      </c>
      <c r="G6" s="3" t="n"/>
    </row>
    <row r="7">
      <c r="A7" t="inlineStr">
        <is>
          <t>Interest Paid Supplemental Data</t>
        </is>
      </c>
      <c r="B7" s="3" t="n"/>
      <c r="C7" s="3" t="n">
        <v>131000</v>
      </c>
      <c r="D7" s="3" t="n">
        <v>0</v>
      </c>
      <c r="E7" s="3" t="n">
        <v>56741</v>
      </c>
      <c r="F7" s="3" t="n">
        <v>36259</v>
      </c>
      <c r="G7" s="3" t="n">
        <v>140291</v>
      </c>
    </row>
    <row r="8">
      <c r="A8" t="inlineStr">
        <is>
          <t>Income Tax Paid Supplemental Data</t>
        </is>
      </c>
      <c r="B8" s="3" t="n"/>
      <c r="C8" s="3" t="n">
        <v>0</v>
      </c>
      <c r="D8" s="3" t="n">
        <v>0</v>
      </c>
      <c r="E8" s="3" t="n"/>
      <c r="F8" s="3" t="n"/>
      <c r="G8" s="3" t="n">
        <v>0</v>
      </c>
    </row>
    <row r="9">
      <c r="A9" t="inlineStr">
        <is>
          <t>End Cash Position</t>
        </is>
      </c>
      <c r="B9" s="3" t="n">
        <v>47114000</v>
      </c>
      <c r="C9" s="3" t="n">
        <v>106239000</v>
      </c>
      <c r="D9" s="3" t="n">
        <v>116839000</v>
      </c>
      <c r="E9" s="3" t="n">
        <v>116700000</v>
      </c>
      <c r="F9" s="3" t="n">
        <v>197759000</v>
      </c>
      <c r="G9" s="3" t="n"/>
    </row>
    <row r="10">
      <c r="A10" t="inlineStr">
        <is>
          <t>Beginning Cash Position</t>
        </is>
      </c>
      <c r="B10" s="3" t="n">
        <v>106239000</v>
      </c>
      <c r="C10" s="3" t="n">
        <v>116839000</v>
      </c>
      <c r="D10" s="3" t="n">
        <v>116700000</v>
      </c>
      <c r="E10" s="3" t="n">
        <v>197759000</v>
      </c>
      <c r="F10" s="3" t="n">
        <v>123266000</v>
      </c>
      <c r="G10" s="3" t="n"/>
    </row>
    <row r="11">
      <c r="A11" t="inlineStr">
        <is>
          <t>Effect Of Exchange Rate Changes</t>
        </is>
      </c>
      <c r="B11" s="3" t="n">
        <v>0</v>
      </c>
      <c r="C11" s="3" t="n">
        <v>-55000</v>
      </c>
      <c r="D11" s="3" t="n">
        <v>57000</v>
      </c>
      <c r="E11" s="3" t="n">
        <v>-1000</v>
      </c>
      <c r="F11" s="3" t="n">
        <v>0</v>
      </c>
      <c r="G11" s="3" t="n"/>
    </row>
    <row r="12">
      <c r="A12" t="inlineStr">
        <is>
          <t>Changes In Cash</t>
        </is>
      </c>
      <c r="B12" s="3" t="n">
        <v>-59125000</v>
      </c>
      <c r="C12" s="3" t="n">
        <v>-10545000</v>
      </c>
      <c r="D12" s="3" t="n">
        <v>82000</v>
      </c>
      <c r="E12" s="3" t="n">
        <v>-81058000</v>
      </c>
      <c r="F12" s="3" t="n">
        <v>74493000</v>
      </c>
      <c r="G12" s="3" t="n"/>
    </row>
    <row r="13">
      <c r="A13" t="inlineStr">
        <is>
          <t>Financing Cash Flow</t>
        </is>
      </c>
      <c r="B13" s="3" t="n">
        <v>1912000</v>
      </c>
      <c r="C13" s="3" t="n">
        <v>94950000</v>
      </c>
      <c r="D13" s="3" t="n">
        <v>65467000</v>
      </c>
      <c r="E13" s="3" t="n">
        <v>13539000</v>
      </c>
      <c r="F13" s="3" t="n">
        <v>87256000</v>
      </c>
      <c r="G13" s="3" t="n"/>
    </row>
    <row r="14">
      <c r="A14" t="inlineStr">
        <is>
          <t>Cash Flow From Continuing Financing Activities</t>
        </is>
      </c>
      <c r="B14" s="3" t="n">
        <v>1912000</v>
      </c>
      <c r="C14" s="3" t="n">
        <v>94950000</v>
      </c>
      <c r="D14" s="3" t="n">
        <v>65467000</v>
      </c>
      <c r="E14" s="3" t="n">
        <v>13539000</v>
      </c>
      <c r="F14" s="3" t="n">
        <v>87256000</v>
      </c>
      <c r="G14" s="3" t="n"/>
    </row>
    <row r="15">
      <c r="A15" t="inlineStr">
        <is>
          <t>Net Other Financing Charges</t>
        </is>
      </c>
      <c r="B15" s="3" t="n"/>
      <c r="C15" s="3" t="n">
        <v>0</v>
      </c>
      <c r="D15" s="3" t="n">
        <v>35000</v>
      </c>
      <c r="E15" s="3" t="n">
        <v>-35000</v>
      </c>
      <c r="F15" s="3" t="n">
        <v>48000</v>
      </c>
      <c r="G15" s="3" t="n"/>
    </row>
    <row r="16">
      <c r="A16" t="inlineStr">
        <is>
          <t>Proceeds From Stock Option Exercised</t>
        </is>
      </c>
      <c r="B16" s="3" t="n">
        <v>406000</v>
      </c>
      <c r="C16" s="3" t="n">
        <v>68000</v>
      </c>
      <c r="D16" s="3" t="n">
        <v>186000</v>
      </c>
      <c r="E16" s="3" t="n">
        <v>-325000</v>
      </c>
      <c r="F16" s="3" t="n">
        <v>11925000</v>
      </c>
      <c r="G16" s="3" t="n"/>
    </row>
    <row r="17">
      <c r="A17" t="inlineStr">
        <is>
          <t>Net Common Stock Issuance</t>
        </is>
      </c>
      <c r="B17" s="3" t="n">
        <v>1506000</v>
      </c>
      <c r="C17" s="3" t="n">
        <v>94882000</v>
      </c>
      <c r="D17" s="3" t="n">
        <v>65246000</v>
      </c>
      <c r="E17" s="3" t="n">
        <v>13521000</v>
      </c>
      <c r="F17" s="3" t="n">
        <v>75847000</v>
      </c>
      <c r="G17" s="3" t="n"/>
    </row>
    <row r="18">
      <c r="A18" t="inlineStr">
        <is>
          <t>Common Stock Issuance</t>
        </is>
      </c>
      <c r="B18" s="3" t="n">
        <v>1506000</v>
      </c>
      <c r="C18" s="3" t="n">
        <v>94882000</v>
      </c>
      <c r="D18" s="3" t="n">
        <v>65246000</v>
      </c>
      <c r="E18" s="3" t="n">
        <v>13521000</v>
      </c>
      <c r="F18" s="3" t="n">
        <v>75847000</v>
      </c>
      <c r="G18" s="3" t="n"/>
    </row>
    <row r="19">
      <c r="A19" t="inlineStr">
        <is>
          <t>Net Issuance Payments Of Debt</t>
        </is>
      </c>
      <c r="B19" s="3" t="n">
        <v>0</v>
      </c>
      <c r="C19" s="3" t="n">
        <v>0</v>
      </c>
      <c r="D19" s="3" t="n">
        <v>0</v>
      </c>
      <c r="E19" s="3" t="n">
        <v>378000</v>
      </c>
      <c r="F19" s="3" t="n">
        <v>-564000</v>
      </c>
      <c r="G19" s="3" t="n"/>
    </row>
    <row r="20">
      <c r="A20" t="inlineStr">
        <is>
          <t>Net Short Term Debt Issuance</t>
        </is>
      </c>
      <c r="B20" s="3" t="n"/>
      <c r="C20" s="3" t="n">
        <v>0</v>
      </c>
      <c r="D20" s="3" t="n">
        <v>0</v>
      </c>
      <c r="E20" s="3" t="n">
        <v>0</v>
      </c>
      <c r="F20" s="3" t="n">
        <v>0</v>
      </c>
      <c r="G20" s="3" t="n"/>
    </row>
    <row r="21">
      <c r="A21" t="inlineStr">
        <is>
          <t>Short Term Debt Payments</t>
        </is>
      </c>
      <c r="B21" s="3" t="n"/>
      <c r="C21" s="3" t="n">
        <v>0</v>
      </c>
      <c r="D21" s="3" t="n">
        <v>0</v>
      </c>
      <c r="E21" s="3" t="n">
        <v>0</v>
      </c>
      <c r="F21" s="3" t="n">
        <v>0</v>
      </c>
      <c r="G21" s="3" t="n"/>
    </row>
    <row r="22">
      <c r="A22" t="inlineStr">
        <is>
          <t>Net Long Term Debt Issuance</t>
        </is>
      </c>
      <c r="B22" s="3" t="n">
        <v>0</v>
      </c>
      <c r="C22" s="3" t="n">
        <v>0</v>
      </c>
      <c r="D22" s="3" t="n">
        <v>0</v>
      </c>
      <c r="E22" s="3" t="n">
        <v>378000</v>
      </c>
      <c r="F22" s="3" t="n">
        <v>-564000</v>
      </c>
      <c r="G22" s="3" t="n"/>
    </row>
    <row r="23">
      <c r="A23" t="inlineStr">
        <is>
          <t>Long Term Debt Payments</t>
        </is>
      </c>
      <c r="B23" s="3" t="n">
        <v>0</v>
      </c>
      <c r="C23" s="3" t="n">
        <v>0</v>
      </c>
      <c r="D23" s="3" t="n">
        <v>0</v>
      </c>
      <c r="E23" s="3" t="n">
        <v>378000</v>
      </c>
      <c r="F23" s="3" t="n">
        <v>-564000</v>
      </c>
      <c r="G23" s="3" t="n"/>
    </row>
    <row r="24">
      <c r="A24" t="inlineStr">
        <is>
          <t>Long Term Debt Issuance</t>
        </is>
      </c>
      <c r="B24" s="3" t="n"/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</row>
    <row r="25">
      <c r="A25" t="inlineStr">
        <is>
          <t>Investing Cash Flow</t>
        </is>
      </c>
      <c r="B25" s="3" t="n">
        <v>-19615000</v>
      </c>
      <c r="C25" s="3" t="n">
        <v>-75855000</v>
      </c>
      <c r="D25" s="3" t="n">
        <v>-40210000</v>
      </c>
      <c r="E25" s="3" t="n">
        <v>-78634000</v>
      </c>
      <c r="F25" s="3" t="n">
        <v>-3300000</v>
      </c>
      <c r="G25" s="3" t="n"/>
    </row>
    <row r="26">
      <c r="A26" t="inlineStr">
        <is>
          <t>Cash Flow From Continuing Investing Activities</t>
        </is>
      </c>
      <c r="B26" s="3" t="n">
        <v>-19615000</v>
      </c>
      <c r="C26" s="3" t="n">
        <v>-75855000</v>
      </c>
      <c r="D26" s="3" t="n">
        <v>-40210000</v>
      </c>
      <c r="E26" s="3" t="n">
        <v>-78634000</v>
      </c>
      <c r="F26" s="3" t="n">
        <v>-3300000</v>
      </c>
      <c r="G26" s="3" t="n"/>
    </row>
    <row r="27">
      <c r="A27" t="inlineStr">
        <is>
          <t>Net Other Investing Changes</t>
        </is>
      </c>
      <c r="B27" s="3" t="n"/>
      <c r="C27" s="3" t="n">
        <v>-387000</v>
      </c>
      <c r="D27" s="3" t="n">
        <v>-50000</v>
      </c>
      <c r="E27" s="3" t="n">
        <v>-286000</v>
      </c>
      <c r="F27" s="3" t="n">
        <v>217000</v>
      </c>
      <c r="G27" s="3" t="n"/>
    </row>
    <row r="28">
      <c r="A28" t="inlineStr">
        <is>
          <t>Net Investment Purchase And Sale</t>
        </is>
      </c>
      <c r="B28" s="3" t="n">
        <v>3276000</v>
      </c>
      <c r="C28" s="3" t="n">
        <v>-58967000</v>
      </c>
      <c r="D28" s="3" t="n">
        <v>-26977000</v>
      </c>
      <c r="E28" s="3" t="n">
        <v>-66308000</v>
      </c>
      <c r="F28" s="3" t="n">
        <v>0</v>
      </c>
      <c r="G28" s="3" t="n"/>
    </row>
    <row r="29">
      <c r="A29" t="inlineStr">
        <is>
          <t>Sale Of Investment</t>
        </is>
      </c>
      <c r="B29" s="3" t="n">
        <v>60287000</v>
      </c>
      <c r="C29" s="3" t="n">
        <v>19000000</v>
      </c>
      <c r="D29" s="3" t="n"/>
      <c r="E29" s="3" t="n"/>
      <c r="F29" s="3" t="n">
        <v>0</v>
      </c>
      <c r="G29" s="3" t="n"/>
    </row>
    <row r="30">
      <c r="A30" t="inlineStr">
        <is>
          <t>Purchase Of Investment</t>
        </is>
      </c>
      <c r="B30" s="3" t="n">
        <v>-57011000</v>
      </c>
      <c r="C30" s="3" t="n">
        <v>-77967000</v>
      </c>
      <c r="D30" s="3" t="n">
        <v>-59477000</v>
      </c>
      <c r="E30" s="3" t="n">
        <v>-66308000</v>
      </c>
      <c r="F30" s="3" t="n">
        <v>0</v>
      </c>
      <c r="G30" s="3" t="n"/>
    </row>
    <row r="31">
      <c r="A31" t="inlineStr">
        <is>
          <t>Net Business Purchase And Sale</t>
        </is>
      </c>
      <c r="B31" s="3" t="n">
        <v>-21447000</v>
      </c>
      <c r="C31" s="3" t="n">
        <v>2000</v>
      </c>
      <c r="D31" s="3" t="n">
        <v>-1870000</v>
      </c>
      <c r="E31" s="3" t="n">
        <v>-5634000</v>
      </c>
      <c r="F31" s="3" t="n">
        <v>0</v>
      </c>
      <c r="G31" s="3" t="n"/>
    </row>
    <row r="32">
      <c r="A32" t="inlineStr">
        <is>
          <t>Purchase Of Business</t>
        </is>
      </c>
      <c r="B32" s="3" t="n">
        <v>-21447000</v>
      </c>
      <c r="C32" s="3" t="n">
        <v>2000</v>
      </c>
      <c r="D32" s="3" t="n">
        <v>-1870000</v>
      </c>
      <c r="E32" s="3" t="n">
        <v>-5634000</v>
      </c>
      <c r="F32" s="3" t="n">
        <v>0</v>
      </c>
      <c r="G32" s="3" t="n"/>
    </row>
    <row r="33">
      <c r="A33" t="inlineStr">
        <is>
          <t>Net PPE Purchase And Sale</t>
        </is>
      </c>
      <c r="B33" s="3" t="n">
        <v>-1444000</v>
      </c>
      <c r="C33" s="3" t="n">
        <v>-16503000</v>
      </c>
      <c r="D33" s="3" t="n">
        <v>-11333000</v>
      </c>
      <c r="E33" s="3" t="n">
        <v>-6037000</v>
      </c>
      <c r="F33" s="3" t="n">
        <v>-3461000</v>
      </c>
      <c r="G33" s="3" t="n"/>
    </row>
    <row r="34">
      <c r="A34" t="inlineStr">
        <is>
          <t>Purchase Of PPE</t>
        </is>
      </c>
      <c r="B34" s="3" t="n">
        <v>-1444000</v>
      </c>
      <c r="C34" s="3" t="n">
        <v>-16503000</v>
      </c>
      <c r="D34" s="3" t="n">
        <v>-11333000</v>
      </c>
      <c r="E34" s="3" t="n">
        <v>-6037000</v>
      </c>
      <c r="F34" s="3" t="n">
        <v>-3461000</v>
      </c>
      <c r="G34" s="3" t="n"/>
    </row>
    <row r="35">
      <c r="A35" t="inlineStr">
        <is>
          <t>Capital Expenditure Reported</t>
        </is>
      </c>
      <c r="B35" s="3" t="n">
        <v>0</v>
      </c>
      <c r="C35" s="3" t="n">
        <v>0</v>
      </c>
      <c r="D35" s="3" t="n">
        <v>20000</v>
      </c>
      <c r="E35" s="3" t="n">
        <v>-369000</v>
      </c>
      <c r="F35" s="3" t="n">
        <v>-56000</v>
      </c>
      <c r="G35" s="3" t="n"/>
    </row>
    <row r="36">
      <c r="A36" t="inlineStr">
        <is>
          <t>Operating Cash Flow</t>
        </is>
      </c>
      <c r="B36" s="3" t="n">
        <v>-41422000</v>
      </c>
      <c r="C36" s="3" t="n">
        <v>-29639000</v>
      </c>
      <c r="D36" s="3" t="n">
        <v>-25175000</v>
      </c>
      <c r="E36" s="3" t="n">
        <v>-15963000</v>
      </c>
      <c r="F36" s="3" t="n">
        <v>-9463000</v>
      </c>
      <c r="G36" s="3" t="n"/>
    </row>
    <row r="37">
      <c r="A37" t="inlineStr">
        <is>
          <t>Cash Flow From Continuing Operating Activities</t>
        </is>
      </c>
      <c r="B37" s="3" t="n">
        <v>-41422000</v>
      </c>
      <c r="C37" s="3" t="n">
        <v>-29639000</v>
      </c>
      <c r="D37" s="3" t="n">
        <v>-25175000</v>
      </c>
      <c r="E37" s="3" t="n">
        <v>-15963000</v>
      </c>
      <c r="F37" s="3" t="n">
        <v>-9463000</v>
      </c>
      <c r="G37" s="3" t="n"/>
    </row>
    <row r="38">
      <c r="A38" t="inlineStr">
        <is>
          <t>Change In Working Capital</t>
        </is>
      </c>
      <c r="B38" s="3" t="n">
        <v>-4963000</v>
      </c>
      <c r="C38" s="3" t="n">
        <v>-1298000</v>
      </c>
      <c r="D38" s="3" t="n">
        <v>-742000</v>
      </c>
      <c r="E38" s="3" t="n">
        <v>71000</v>
      </c>
      <c r="F38" s="3" t="n">
        <v>-600000</v>
      </c>
      <c r="G38" s="3" t="n"/>
    </row>
    <row r="39">
      <c r="A39" t="inlineStr">
        <is>
          <t>Change In Other Working Capital</t>
        </is>
      </c>
      <c r="B39" s="3" t="n">
        <v>598000</v>
      </c>
      <c r="C39" s="3" t="n">
        <v>-1000</v>
      </c>
      <c r="D39" s="3" t="n">
        <v>-9000</v>
      </c>
      <c r="E39" s="3" t="n">
        <v>12000</v>
      </c>
      <c r="F39" s="3" t="n">
        <v>-20000</v>
      </c>
      <c r="G39" s="3" t="n"/>
    </row>
    <row r="40">
      <c r="A40" t="inlineStr">
        <is>
          <t>Change In Other Current Liabilities</t>
        </is>
      </c>
      <c r="B40" s="3" t="n">
        <v>-625000</v>
      </c>
      <c r="C40" s="3" t="n">
        <v>-1568000</v>
      </c>
      <c r="D40" s="3" t="n">
        <v>-33000</v>
      </c>
      <c r="E40" s="3" t="n">
        <v>201000</v>
      </c>
      <c r="F40" s="3" t="n">
        <v>-13000</v>
      </c>
      <c r="G40" s="3" t="n"/>
    </row>
    <row r="41">
      <c r="A41" t="inlineStr">
        <is>
          <t>Change In Other Current Assets</t>
        </is>
      </c>
      <c r="B41" s="3" t="n">
        <v>-58000</v>
      </c>
      <c r="C41" s="3" t="n"/>
      <c r="D41" s="3" t="n"/>
      <c r="E41" s="3" t="n"/>
      <c r="F41" s="3" t="n">
        <v>0</v>
      </c>
      <c r="G41" s="3" t="n"/>
    </row>
    <row r="42">
      <c r="A42" t="inlineStr">
        <is>
          <t>Change In Payables And Accrued Expense</t>
        </is>
      </c>
      <c r="B42" s="3" t="n">
        <v>-430000</v>
      </c>
      <c r="C42" s="3" t="n">
        <v>-1476000</v>
      </c>
      <c r="D42" s="3" t="n">
        <v>5444000</v>
      </c>
      <c r="E42" s="3" t="n">
        <v>754000</v>
      </c>
      <c r="F42" s="3" t="n">
        <v>-31000</v>
      </c>
      <c r="G42" s="3" t="n"/>
    </row>
    <row r="43">
      <c r="A43" t="inlineStr">
        <is>
          <t>Change In Accrued Expense</t>
        </is>
      </c>
      <c r="B43" s="3" t="n">
        <v>673000</v>
      </c>
      <c r="C43" s="3" t="n">
        <v>4020000</v>
      </c>
      <c r="D43" s="3" t="n">
        <v>1480000</v>
      </c>
      <c r="E43" s="3" t="n">
        <v>972000</v>
      </c>
      <c r="F43" s="3" t="n">
        <v>236000</v>
      </c>
      <c r="G43" s="3" t="n"/>
    </row>
    <row r="44">
      <c r="A44" t="inlineStr">
        <is>
          <t>Change In Payable</t>
        </is>
      </c>
      <c r="B44" s="3" t="n">
        <v>-1103000</v>
      </c>
      <c r="C44" s="3" t="n">
        <v>-5496000</v>
      </c>
      <c r="D44" s="3" t="n">
        <v>3964000</v>
      </c>
      <c r="E44" s="3" t="n">
        <v>-218000</v>
      </c>
      <c r="F44" s="3" t="n">
        <v>-267000</v>
      </c>
      <c r="G44" s="3" t="n"/>
    </row>
    <row r="45">
      <c r="A45" t="inlineStr">
        <is>
          <t>Change In Account Payable</t>
        </is>
      </c>
      <c r="B45" s="3" t="n">
        <v>-1103000</v>
      </c>
      <c r="C45" s="3" t="n">
        <v>-5496000</v>
      </c>
      <c r="D45" s="3" t="n">
        <v>3964000</v>
      </c>
      <c r="E45" s="3" t="n">
        <v>-218000</v>
      </c>
      <c r="F45" s="3" t="n">
        <v>-267000</v>
      </c>
      <c r="G45" s="3" t="n"/>
    </row>
    <row r="46">
      <c r="A46" t="inlineStr">
        <is>
          <t>Change In Prepaid Assets</t>
        </is>
      </c>
      <c r="B46" s="3" t="n">
        <v>-1257000</v>
      </c>
      <c r="C46" s="3" t="n">
        <v>1595000</v>
      </c>
      <c r="D46" s="3" t="n">
        <v>-5579000</v>
      </c>
      <c r="E46" s="3" t="n">
        <v>-935000</v>
      </c>
      <c r="F46" s="3" t="n">
        <v>285000</v>
      </c>
      <c r="G46" s="3" t="n"/>
    </row>
    <row r="47">
      <c r="A47" t="inlineStr">
        <is>
          <t>Change In Inventory</t>
        </is>
      </c>
      <c r="B47" s="3" t="n"/>
      <c r="C47" s="3" t="n">
        <v>0</v>
      </c>
      <c r="D47" s="3" t="n">
        <v>0</v>
      </c>
      <c r="E47" s="3" t="n">
        <v>0</v>
      </c>
      <c r="F47" s="3" t="n">
        <v>0</v>
      </c>
      <c r="G47" s="3" t="n">
        <v>17652</v>
      </c>
    </row>
    <row r="48">
      <c r="A48" t="inlineStr">
        <is>
          <t>Change In Receivables</t>
        </is>
      </c>
      <c r="B48" s="3" t="n">
        <v>-3191000</v>
      </c>
      <c r="C48" s="3" t="n">
        <v>19000</v>
      </c>
      <c r="D48" s="3" t="n">
        <v>-432000</v>
      </c>
      <c r="E48" s="3" t="n">
        <v>39000</v>
      </c>
      <c r="F48" s="3" t="n">
        <v>-821000</v>
      </c>
      <c r="G48" s="3" t="n"/>
    </row>
    <row r="49">
      <c r="A49" t="inlineStr">
        <is>
          <t>Changes In Account Receivables</t>
        </is>
      </c>
      <c r="B49" s="3" t="n">
        <v>-2225000</v>
      </c>
      <c r="C49" s="3" t="n">
        <v>21000</v>
      </c>
      <c r="D49" s="3" t="n">
        <v>-219000</v>
      </c>
      <c r="E49" s="3" t="n">
        <v>-204000</v>
      </c>
      <c r="F49" s="3" t="n">
        <v>-295000</v>
      </c>
      <c r="G49" s="3" t="n"/>
    </row>
    <row r="50">
      <c r="A50" t="inlineStr">
        <is>
          <t>Other Non Cash Items</t>
        </is>
      </c>
      <c r="B50" s="3" t="n"/>
      <c r="C50" s="3" t="n"/>
      <c r="D50" s="3" t="n"/>
      <c r="E50" s="3" t="n"/>
      <c r="F50" s="3" t="n"/>
      <c r="G50" s="3" t="n">
        <v>0</v>
      </c>
    </row>
    <row r="51">
      <c r="A51" t="inlineStr">
        <is>
          <t>Stock Based Compensation</t>
        </is>
      </c>
      <c r="B51" s="3" t="n">
        <v>7353000</v>
      </c>
      <c r="C51" s="3" t="n">
        <v>6333000</v>
      </c>
      <c r="D51" s="3" t="n">
        <v>6642000</v>
      </c>
      <c r="E51" s="3" t="n">
        <v>4398000</v>
      </c>
      <c r="F51" s="3" t="n">
        <v>3879000</v>
      </c>
      <c r="G51" s="3" t="n"/>
    </row>
    <row r="52">
      <c r="A52" t="inlineStr">
        <is>
          <t>Amortization Of Securities</t>
        </is>
      </c>
      <c r="B52" s="3" t="n">
        <v>-418000</v>
      </c>
      <c r="C52" s="3" t="n">
        <v>-525000</v>
      </c>
      <c r="D52" s="3" t="n">
        <v>-150000</v>
      </c>
      <c r="E52" s="3" t="n">
        <v>-398000</v>
      </c>
      <c r="F52" s="3" t="n">
        <v>0</v>
      </c>
      <c r="G52" s="3" t="n"/>
    </row>
    <row r="53">
      <c r="A53" t="inlineStr">
        <is>
          <t>Deferred Tax</t>
        </is>
      </c>
      <c r="B53" s="3" t="n">
        <v>-648000</v>
      </c>
      <c r="C53" s="3" t="n"/>
      <c r="D53" s="3" t="n"/>
      <c r="E53" s="3" t="n"/>
      <c r="F53" s="3" t="n">
        <v>0</v>
      </c>
      <c r="G53" s="3" t="n"/>
    </row>
    <row r="54">
      <c r="A54" t="inlineStr">
        <is>
          <t>Deferred Income Tax</t>
        </is>
      </c>
      <c r="B54" s="3" t="n">
        <v>-648000</v>
      </c>
      <c r="C54" s="3" t="n"/>
      <c r="D54" s="3" t="n"/>
      <c r="E54" s="3" t="n"/>
      <c r="F54" s="3" t="n">
        <v>0</v>
      </c>
      <c r="G54" s="3" t="n"/>
    </row>
    <row r="55">
      <c r="A55" t="inlineStr">
        <is>
          <t>Depreciation Amortization Depletion</t>
        </is>
      </c>
      <c r="B55" s="3" t="n">
        <v>6258000</v>
      </c>
      <c r="C55" s="3" t="n">
        <v>4826000</v>
      </c>
      <c r="D55" s="3" t="n">
        <v>2095000</v>
      </c>
      <c r="E55" s="3" t="n">
        <v>817000</v>
      </c>
      <c r="F55" s="3" t="n">
        <v>475000</v>
      </c>
      <c r="G55" s="3" t="n"/>
    </row>
    <row r="56">
      <c r="A56" t="inlineStr">
        <is>
          <t>Depreciation And Amortization</t>
        </is>
      </c>
      <c r="B56" s="3" t="n">
        <v>6258000</v>
      </c>
      <c r="C56" s="3" t="n">
        <v>4826000</v>
      </c>
      <c r="D56" s="3" t="n">
        <v>2095000</v>
      </c>
      <c r="E56" s="3" t="n">
        <v>817000</v>
      </c>
      <c r="F56" s="3" t="n">
        <v>475000</v>
      </c>
      <c r="G56" s="3" t="n"/>
    </row>
    <row r="57">
      <c r="A57" t="inlineStr">
        <is>
          <t>Depreciation</t>
        </is>
      </c>
      <c r="B57" s="3" t="n"/>
      <c r="C57" s="3" t="n"/>
      <c r="D57" s="3" t="n"/>
      <c r="E57" s="3" t="n"/>
      <c r="F57" s="3" t="n">
        <v>474632</v>
      </c>
      <c r="G57" s="3" t="n">
        <v>273152</v>
      </c>
    </row>
    <row r="58">
      <c r="A58" t="inlineStr">
        <is>
          <t>Operating Gains Losses</t>
        </is>
      </c>
      <c r="B58" s="3" t="n"/>
      <c r="C58" s="3" t="n"/>
      <c r="D58" s="3" t="n"/>
      <c r="E58" s="3" t="n"/>
      <c r="F58" s="3" t="n"/>
      <c r="G58" s="3" t="n">
        <v>0</v>
      </c>
    </row>
    <row r="59">
      <c r="A59" t="inlineStr">
        <is>
          <t>Gain Loss On Investment Securities</t>
        </is>
      </c>
      <c r="B59" s="3" t="n"/>
      <c r="C59" s="3" t="n"/>
      <c r="D59" s="3" t="n"/>
      <c r="E59" s="3" t="n"/>
      <c r="F59" s="3" t="n"/>
      <c r="G59" s="3" t="n">
        <v>0</v>
      </c>
    </row>
    <row r="60">
      <c r="A60" t="inlineStr">
        <is>
          <t>Net Income From Continuing Operations</t>
        </is>
      </c>
      <c r="B60" s="3" t="n">
        <v>-49004000</v>
      </c>
      <c r="C60" s="3" t="n">
        <v>-34273000</v>
      </c>
      <c r="D60" s="3" t="n">
        <v>-33020000</v>
      </c>
      <c r="E60" s="3" t="n">
        <v>-20851000</v>
      </c>
      <c r="F60" s="3" t="n">
        <v>-13217000</v>
      </c>
      <c r="G6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2026-08-02T23:43:20Z</dcterms:created>
  <dcterms:modified xsi:type="dcterms:W3CDTF">2026-08-02T23:43:21Z</dcterms:modified>
</cp:coreProperties>
</file>