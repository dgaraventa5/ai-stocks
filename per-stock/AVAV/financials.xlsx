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 Summary" sheetId="2" state="visible" r:id="rId2"/>
    <sheet name="Income stmt (annual)" sheetId="3" state="visible" r:id="rId3"/>
    <sheet name="Income stmt (quarterly)" sheetId="4" state="visible" r:id="rId4"/>
    <sheet name="Balance sheet (annual)" sheetId="5" state="visible" r:id="rId5"/>
    <sheet name="Balance sheet (quarterly)" sheetId="6" state="visible" r:id="rId6"/>
    <sheet name="Cash flow (annual)" sheetId="7" state="visible" r:id="rId7"/>
    <sheet name="Cash flow (quarterly)" sheetId="8" state="visible" r:id="rId8"/>
    <sheet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AVAV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AeroVironment, Inc.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Industrials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Aerospace &amp; Defense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7559321600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7733651456</v>
      </c>
      <c r="C7" t="inlineStr">
        <is>
          <t>yfinance info.enterpriseValue</t>
        </is>
      </c>
    </row>
    <row r="8">
      <c r="A8" t="inlineStr">
        <is>
          <t>Trailing P/E</t>
        </is>
      </c>
      <c r="B8" t="inlineStr">
        <is>
          <t>(missing — see Data flags)</t>
        </is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33.772568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3.8239322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0.25325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0.02812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-0.13411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-0.10029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1.333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632297024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834788992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-164622000</v>
      </c>
      <c r="C18" t="inlineStr">
        <is>
          <t>statement: TTM OCF - |capex| (yfinance quarterly_cashflow)</t>
        </is>
      </c>
    </row>
    <row r="19">
      <c r="A19" t="inlineStr">
        <is>
          <t>Shares outstanding</t>
        </is>
      </c>
      <c r="B19" t="n">
        <v>50608030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149.37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2024-04-30</t>
        </is>
      </c>
      <c r="C2" t="inlineStr">
        <is>
          <t>2025-04-30</t>
        </is>
      </c>
      <c r="D2" t="inlineStr">
        <is>
          <t>2026-04-30</t>
        </is>
      </c>
      <c r="E2" t="inlineStr">
        <is>
          <t>TTM → 2026-04-30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(annual)'!D45</f>
        <v/>
      </c>
      <c r="C3" s="3">
        <f>'Income stmt (annual)'!C45</f>
        <v/>
      </c>
      <c r="D3" s="3">
        <f>'Income stmt (annual)'!B45</f>
        <v/>
      </c>
      <c r="E3" s="3">
        <f>SUM('Income stmt (quarterly)'!B43:E43)</f>
        <v/>
      </c>
      <c r="F3" t="inlineStr">
        <is>
          <t>Total Revenue</t>
        </is>
      </c>
    </row>
    <row r="4">
      <c r="A4" t="inlineStr">
        <is>
          <t>Gross profit</t>
        </is>
      </c>
      <c r="B4" s="3">
        <f>'Income stmt (annual)'!D43</f>
        <v/>
      </c>
      <c r="C4" s="3">
        <f>'Income stmt (annual)'!C43</f>
        <v/>
      </c>
      <c r="D4" s="3">
        <f>'Income stmt (annual)'!B43</f>
        <v/>
      </c>
      <c r="E4" s="3">
        <f>SUM('Income stmt (quarterly)'!B41:E41)</f>
        <v/>
      </c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>
        <f>'Income stmt (annual)'!D39</f>
        <v/>
      </c>
      <c r="C6" s="3">
        <f>'Income stmt (annual)'!C39</f>
        <v/>
      </c>
      <c r="D6" s="3">
        <f>'Income stmt (annual)'!B39</f>
        <v/>
      </c>
      <c r="E6" s="3">
        <f>SUM('Income stmt (quarterly)'!B37:E37)</f>
        <v/>
      </c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>
        <f>'Income stmt (annual)'!D10</f>
        <v/>
      </c>
      <c r="C8" s="3">
        <f>'Income stmt (annual)'!C10</f>
        <v/>
      </c>
      <c r="D8" s="3">
        <f>'Income stmt (annual)'!B10</f>
        <v/>
      </c>
      <c r="E8" s="3">
        <f>SUM('Income stmt (quarterly)'!B10:E10)</f>
        <v/>
      </c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>
        <f>SUM('Cash flow (quarterly)'!B2:E2)</f>
        <v/>
      </c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>
        <f>-'Cash flow (annual)'!D6</f>
        <v/>
      </c>
      <c r="C11" s="3">
        <f>-'Cash flow (annual)'!C6</f>
        <v/>
      </c>
      <c r="D11" s="3">
        <f>-'Cash flow (annual)'!B6</f>
        <v/>
      </c>
      <c r="E11" s="3">
        <f>-SUM('Cash flow (quarterly)'!B6:E6)</f>
        <v/>
      </c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>
        <f>'Balance sheet (annual)'!D4</f>
        <v/>
      </c>
      <c r="C13" s="3">
        <f>'Balance sheet (annual)'!C4</f>
        <v/>
      </c>
      <c r="D13" s="3">
        <f>'Balance sheet (annual)'!B4</f>
        <v/>
      </c>
      <c r="E13" s="3">
        <f>'Balance sheet (quarterly)'!B4</f>
        <v/>
      </c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(annual)'!D2/1e6</f>
        <v/>
      </c>
      <c r="C15" s="6">
        <f>'Balance sheet (annual)'!C2/1e6</f>
        <v/>
      </c>
      <c r="D15" s="6">
        <f>'Balance sheet (annual)'!B2/1e6</f>
        <v/>
      </c>
      <c r="E15" s="6">
        <f>'Balance sheet (quarterly)'!B2/1e6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2026-04-30</t>
        </is>
      </c>
      <c r="C1" s="1" t="inlineStr">
        <is>
          <t>2025-04-30</t>
        </is>
      </c>
      <c r="D1" s="1" t="inlineStr">
        <is>
          <t>2024-04-30</t>
        </is>
      </c>
      <c r="E1" s="1" t="inlineStr">
        <is>
          <t>2023-04-30</t>
        </is>
      </c>
      <c r="F1" s="1" t="inlineStr">
        <is>
          <t>2022-04-30</t>
        </is>
      </c>
    </row>
    <row r="2">
      <c r="A2" t="inlineStr">
        <is>
          <t>Tax Effect Of Unusual Items</t>
        </is>
      </c>
      <c r="B2" s="3" t="n">
        <v>-18053100</v>
      </c>
      <c r="C2" s="3" t="n">
        <v>-403898</v>
      </c>
      <c r="D2" s="3" t="n">
        <v>0</v>
      </c>
      <c r="E2" s="3" t="n">
        <v>-12144143.239355</v>
      </c>
      <c r="F2" s="3" t="n"/>
    </row>
    <row r="3">
      <c r="A3" t="inlineStr">
        <is>
          <t>Tax Rate For Calcs</t>
        </is>
      </c>
      <c r="B3" s="3" t="n">
        <v>0.075</v>
      </c>
      <c r="C3" s="3" t="n">
        <v>0.022</v>
      </c>
      <c r="D3" s="3" t="n">
        <v>0.029906</v>
      </c>
      <c r="E3" s="3" t="n">
        <v>0.07783900000000001</v>
      </c>
      <c r="F3" s="3" t="n"/>
    </row>
    <row r="4">
      <c r="A4" t="inlineStr">
        <is>
          <t>Normalized EBITDA</t>
        </is>
      </c>
      <c r="B4" s="3" t="n">
        <v>205736000</v>
      </c>
      <c r="C4" s="3" t="n">
        <v>101209000</v>
      </c>
      <c r="D4" s="3" t="n">
        <v>103200000</v>
      </c>
      <c r="E4" s="3" t="n">
        <v>77007000</v>
      </c>
      <c r="F4" s="3" t="n"/>
    </row>
    <row r="5">
      <c r="A5" t="inlineStr">
        <is>
          <t>Total Unusual Items</t>
        </is>
      </c>
      <c r="B5" s="3" t="n">
        <v>-240708000</v>
      </c>
      <c r="C5" s="3" t="n">
        <v>-18359000</v>
      </c>
      <c r="D5" s="3" t="n">
        <v>0</v>
      </c>
      <c r="E5" s="3" t="n">
        <v>-156017000</v>
      </c>
      <c r="F5" s="3" t="n"/>
    </row>
    <row r="6">
      <c r="A6" t="inlineStr">
        <is>
          <t>Total Unusual Items Excluding Goodwill</t>
        </is>
      </c>
      <c r="B6" s="3" t="n">
        <v>-240708000</v>
      </c>
      <c r="C6" s="3" t="n">
        <v>-18359000</v>
      </c>
      <c r="D6" s="3" t="n">
        <v>0</v>
      </c>
      <c r="E6" s="3" t="n">
        <v>-156017000</v>
      </c>
      <c r="F6" s="3" t="n"/>
    </row>
    <row r="7">
      <c r="A7" t="inlineStr">
        <is>
          <t>Net Income From Continuing Operation Net Minority Interest</t>
        </is>
      </c>
      <c r="B7" s="3" t="n">
        <v>-265122000</v>
      </c>
      <c r="C7" s="3" t="n">
        <v>43619000</v>
      </c>
      <c r="D7" s="3" t="n">
        <v>59666000</v>
      </c>
      <c r="E7" s="3" t="n">
        <v>-176212000</v>
      </c>
      <c r="F7" s="3" t="n"/>
    </row>
    <row r="8">
      <c r="A8" t="inlineStr">
        <is>
          <t>Reconciled Depreciation</t>
        </is>
      </c>
      <c r="B8" s="3" t="n">
        <v>265037000</v>
      </c>
      <c r="C8" s="3" t="n">
        <v>40998000</v>
      </c>
      <c r="D8" s="3" t="n">
        <v>35749000</v>
      </c>
      <c r="E8" s="3" t="n">
        <v>99999000</v>
      </c>
      <c r="F8" s="3" t="n"/>
    </row>
    <row r="9">
      <c r="A9" t="inlineStr">
        <is>
          <t>Reconciled Cost Of Revenue</t>
        </is>
      </c>
      <c r="B9" s="3" t="n">
        <v>1476203000</v>
      </c>
      <c r="C9" s="3" t="n">
        <v>501991000</v>
      </c>
      <c r="D9" s="3" t="n">
        <v>432789000</v>
      </c>
      <c r="E9" s="3" t="n">
        <v>367022000</v>
      </c>
      <c r="F9" s="3" t="n"/>
    </row>
    <row r="10">
      <c r="A10" t="inlineStr">
        <is>
          <t>EBITDA</t>
        </is>
      </c>
      <c r="B10" s="3" t="n">
        <v>-34972000</v>
      </c>
      <c r="C10" s="3" t="n">
        <v>82850000</v>
      </c>
      <c r="D10" s="3" t="n">
        <v>103200000</v>
      </c>
      <c r="E10" s="3" t="n">
        <v>-79010000</v>
      </c>
      <c r="F10" s="3" t="n"/>
    </row>
    <row r="11">
      <c r="A11" t="inlineStr">
        <is>
          <t>EBIT</t>
        </is>
      </c>
      <c r="B11" s="3" t="n">
        <v>-300009000</v>
      </c>
      <c r="C11" s="3" t="n">
        <v>41852000</v>
      </c>
      <c r="D11" s="3" t="n">
        <v>67451000</v>
      </c>
      <c r="E11" s="3" t="n">
        <v>-179009000</v>
      </c>
      <c r="F11" s="3" t="n"/>
    </row>
    <row r="12">
      <c r="A12" t="inlineStr">
        <is>
          <t>Net Interest Income</t>
        </is>
      </c>
      <c r="B12" s="3" t="n">
        <v>-5613000</v>
      </c>
      <c r="C12" s="3" t="n">
        <v>-2188000</v>
      </c>
      <c r="D12" s="3" t="n">
        <v>-4220000</v>
      </c>
      <c r="E12" s="3" t="n">
        <v>-9368000</v>
      </c>
      <c r="F12" s="3" t="n"/>
    </row>
    <row r="13">
      <c r="A13" t="inlineStr">
        <is>
          <t>Interest Expense</t>
        </is>
      </c>
      <c r="B13" s="3" t="n">
        <v>5613000</v>
      </c>
      <c r="C13" s="3" t="n">
        <v>2188000</v>
      </c>
      <c r="D13" s="3" t="n">
        <v>4220000</v>
      </c>
      <c r="E13" s="3" t="n">
        <v>9368000</v>
      </c>
      <c r="F13" s="3" t="n"/>
    </row>
    <row r="14">
      <c r="A14" t="inlineStr">
        <is>
          <t>Normalized Income</t>
        </is>
      </c>
      <c r="B14" s="3" t="n">
        <v>-42467100</v>
      </c>
      <c r="C14" s="3" t="n">
        <v>61574102</v>
      </c>
      <c r="D14" s="3" t="n">
        <v>59666000</v>
      </c>
      <c r="E14" s="3" t="n">
        <v>-32339143.239355</v>
      </c>
      <c r="F14" s="3" t="n"/>
    </row>
    <row r="15">
      <c r="A15" t="inlineStr">
        <is>
          <t>Net Income From Continuing And Discontinued Operation</t>
        </is>
      </c>
      <c r="B15" s="3" t="n">
        <v>-265122000</v>
      </c>
      <c r="C15" s="3" t="n">
        <v>43619000</v>
      </c>
      <c r="D15" s="3" t="n">
        <v>59666000</v>
      </c>
      <c r="E15" s="3" t="n">
        <v>-176212000</v>
      </c>
      <c r="F15" s="3" t="n"/>
    </row>
    <row r="16">
      <c r="A16" t="inlineStr">
        <is>
          <t>Total Expenses</t>
        </is>
      </c>
      <c r="B16" s="3" t="n">
        <v>2047132000</v>
      </c>
      <c r="C16" s="3" t="n">
        <v>761473000</v>
      </c>
      <c r="D16" s="3" t="n">
        <v>644896000</v>
      </c>
      <c r="E16" s="3" t="n">
        <v>563182000</v>
      </c>
      <c r="F16" s="3" t="n"/>
    </row>
    <row r="17">
      <c r="A17" t="inlineStr">
        <is>
          <t>Total Operating Income As Reported</t>
        </is>
      </c>
      <c r="B17" s="3" t="n">
        <v>-310995000</v>
      </c>
      <c r="C17" s="3" t="n">
        <v>40795000</v>
      </c>
      <c r="D17" s="3" t="n">
        <v>71824000</v>
      </c>
      <c r="E17" s="3" t="n">
        <v>-178663000</v>
      </c>
      <c r="F17" s="3" t="n"/>
    </row>
    <row r="18">
      <c r="A18" t="inlineStr">
        <is>
          <t>Diluted Average Shares</t>
        </is>
      </c>
      <c r="B18" s="3" t="n">
        <v>49087346</v>
      </c>
      <c r="C18" s="3" t="n">
        <v>28173488</v>
      </c>
      <c r="D18" s="3" t="n">
        <v>27327993</v>
      </c>
      <c r="E18" s="3" t="n">
        <v>25044881</v>
      </c>
      <c r="F18" s="3" t="n"/>
    </row>
    <row r="19">
      <c r="A19" t="inlineStr">
        <is>
          <t>Basic Average Shares</t>
        </is>
      </c>
      <c r="B19" s="3" t="n">
        <v>49087346</v>
      </c>
      <c r="C19" s="3" t="n">
        <v>28018656</v>
      </c>
      <c r="D19" s="3" t="n">
        <v>27203417</v>
      </c>
      <c r="E19" s="3" t="n">
        <v>25044881</v>
      </c>
      <c r="F19" s="3" t="n"/>
    </row>
    <row r="20">
      <c r="A20" t="inlineStr">
        <is>
          <t>Diluted EPS</t>
        </is>
      </c>
      <c r="B20" s="3" t="n">
        <v>-5.4</v>
      </c>
      <c r="C20" s="3" t="n">
        <v>1.55</v>
      </c>
      <c r="D20" s="3" t="n">
        <v>2.18</v>
      </c>
      <c r="E20" s="3" t="n">
        <v>-7.04</v>
      </c>
      <c r="F20" s="3" t="n"/>
    </row>
    <row r="21">
      <c r="A21" t="inlineStr">
        <is>
          <t>Basic EPS</t>
        </is>
      </c>
      <c r="B21" s="3" t="n">
        <v>-5.4</v>
      </c>
      <c r="C21" s="3" t="n">
        <v>1.56</v>
      </c>
      <c r="D21" s="3" t="n">
        <v>2.19</v>
      </c>
      <c r="E21" s="3" t="n">
        <v>-7.04</v>
      </c>
      <c r="F21" s="3" t="n"/>
    </row>
    <row r="22">
      <c r="A22" t="inlineStr">
        <is>
          <t>Diluted NI Availto Com Stockholders</t>
        </is>
      </c>
      <c r="B22" s="3" t="n">
        <v>-265122000</v>
      </c>
      <c r="C22" s="3" t="n">
        <v>43619000</v>
      </c>
      <c r="D22" s="3" t="n">
        <v>59666000</v>
      </c>
      <c r="E22" s="3" t="n">
        <v>-176212000</v>
      </c>
      <c r="F22" s="3" t="n"/>
    </row>
    <row r="23">
      <c r="A23" t="inlineStr">
        <is>
          <t>Net Income Common Stockholders</t>
        </is>
      </c>
      <c r="B23" s="3" t="n">
        <v>-265122000</v>
      </c>
      <c r="C23" s="3" t="n">
        <v>43619000</v>
      </c>
      <c r="D23" s="3" t="n">
        <v>59666000</v>
      </c>
      <c r="E23" s="3" t="n">
        <v>-176212000</v>
      </c>
      <c r="F23" s="3" t="n"/>
    </row>
    <row r="24">
      <c r="A24" t="inlineStr">
        <is>
          <t>Net Income</t>
        </is>
      </c>
      <c r="B24" s="3" t="n">
        <v>-265122000</v>
      </c>
      <c r="C24" s="3" t="n">
        <v>43619000</v>
      </c>
      <c r="D24" s="3" t="n">
        <v>59666000</v>
      </c>
      <c r="E24" s="3" t="n">
        <v>-176212000</v>
      </c>
      <c r="F24" s="3" t="n"/>
    </row>
    <row r="25">
      <c r="A25" t="inlineStr">
        <is>
          <t>Minority Interests</t>
        </is>
      </c>
      <c r="B25" s="3" t="n"/>
      <c r="C25" s="3" t="n">
        <v>0</v>
      </c>
      <c r="D25" s="3" t="n">
        <v>0</v>
      </c>
      <c r="E25" s="3" t="n">
        <v>-45000</v>
      </c>
      <c r="F25" s="3" t="n">
        <v>-3000</v>
      </c>
    </row>
    <row r="26">
      <c r="A26" t="inlineStr">
        <is>
          <t>Net Income Including Noncontrolling Interests</t>
        </is>
      </c>
      <c r="B26" s="3" t="n">
        <v>-265122000</v>
      </c>
      <c r="C26" s="3" t="n">
        <v>43619000</v>
      </c>
      <c r="D26" s="3" t="n">
        <v>59666000</v>
      </c>
      <c r="E26" s="3" t="n">
        <v>-176167000</v>
      </c>
      <c r="F26" s="3" t="n"/>
    </row>
    <row r="27">
      <c r="A27" t="inlineStr">
        <is>
          <t>Net Income Discontinuous Operations</t>
        </is>
      </c>
      <c r="B27" s="3" t="n"/>
      <c r="C27" s="3" t="n"/>
      <c r="D27" s="3" t="n"/>
      <c r="E27" s="3" t="n"/>
      <c r="F27" s="3" t="n">
        <v>0</v>
      </c>
    </row>
    <row r="28">
      <c r="A28" t="inlineStr">
        <is>
          <t>Net Income Continuous Operations</t>
        </is>
      </c>
      <c r="B28" s="3" t="n">
        <v>-265122000</v>
      </c>
      <c r="C28" s="3" t="n">
        <v>43619000</v>
      </c>
      <c r="D28" s="3" t="n">
        <v>59666000</v>
      </c>
      <c r="E28" s="3" t="n">
        <v>-176167000</v>
      </c>
      <c r="F28" s="3" t="n"/>
    </row>
    <row r="29">
      <c r="A29" t="inlineStr">
        <is>
          <t>Earnings From Equity Interest Net Of Tax</t>
        </is>
      </c>
      <c r="B29" s="3" t="n">
        <v>17441000</v>
      </c>
      <c r="C29" s="3" t="n">
        <v>4837000</v>
      </c>
      <c r="D29" s="3" t="n">
        <v>-1674000</v>
      </c>
      <c r="E29" s="3" t="n">
        <v>-2453000</v>
      </c>
      <c r="F29" s="3" t="n"/>
    </row>
    <row r="30">
      <c r="A30" t="inlineStr">
        <is>
          <t>Tax Provision</t>
        </is>
      </c>
      <c r="B30" s="3" t="n">
        <v>-23059000</v>
      </c>
      <c r="C30" s="3" t="n">
        <v>882000</v>
      </c>
      <c r="D30" s="3" t="n">
        <v>1891000</v>
      </c>
      <c r="E30" s="3" t="n">
        <v>-14663000</v>
      </c>
      <c r="F30" s="3" t="n"/>
    </row>
    <row r="31">
      <c r="A31" t="inlineStr">
        <is>
          <t>Pretax Income</t>
        </is>
      </c>
      <c r="B31" s="3" t="n">
        <v>-305622000</v>
      </c>
      <c r="C31" s="3" t="n">
        <v>39664000</v>
      </c>
      <c r="D31" s="3" t="n">
        <v>63231000</v>
      </c>
      <c r="E31" s="3" t="n">
        <v>-188377000</v>
      </c>
      <c r="F31" s="3" t="n"/>
    </row>
    <row r="32">
      <c r="A32" t="inlineStr">
        <is>
          <t>Other Income Expense</t>
        </is>
      </c>
      <c r="B32" s="3" t="n">
        <v>-229722000</v>
      </c>
      <c r="C32" s="3" t="n">
        <v>-17302000</v>
      </c>
      <c r="D32" s="3" t="n">
        <v>-4373000</v>
      </c>
      <c r="E32" s="3" t="n">
        <v>-156363000</v>
      </c>
      <c r="F32" s="3" t="n"/>
    </row>
    <row r="33">
      <c r="A33" t="inlineStr">
        <is>
          <t>Other Non Operating Income Expenses</t>
        </is>
      </c>
      <c r="B33" s="3" t="n">
        <v>10986000</v>
      </c>
      <c r="C33" s="3" t="n">
        <v>1057000</v>
      </c>
      <c r="D33" s="3" t="n">
        <v>-4373000</v>
      </c>
      <c r="E33" s="3" t="n">
        <v>-346000</v>
      </c>
      <c r="F33" s="3" t="n"/>
    </row>
    <row r="34">
      <c r="A34" t="inlineStr">
        <is>
          <t>Special Income Charges</t>
        </is>
      </c>
      <c r="B34" s="3" t="n">
        <v>-240708000</v>
      </c>
      <c r="C34" s="3" t="n">
        <v>-18359000</v>
      </c>
      <c r="D34" s="3" t="n">
        <v>0</v>
      </c>
      <c r="E34" s="3" t="n">
        <v>-156017000</v>
      </c>
      <c r="F34" s="3" t="n"/>
    </row>
    <row r="35">
      <c r="A35" t="inlineStr">
        <is>
          <t>Gain On Sale Of Business</t>
        </is>
      </c>
      <c r="B35" s="3" t="n"/>
      <c r="C35" s="3" t="n"/>
      <c r="D35" s="3" t="n">
        <v>0</v>
      </c>
      <c r="E35" s="3" t="n">
        <v>0</v>
      </c>
      <c r="F35" s="3" t="n">
        <v>6497000</v>
      </c>
    </row>
    <row r="36">
      <c r="A36" t="inlineStr">
        <is>
          <t>Impairment Of Capital Assets</t>
        </is>
      </c>
      <c r="B36" s="3" t="n">
        <v>240708000</v>
      </c>
      <c r="C36" s="3" t="n">
        <v>18359000</v>
      </c>
      <c r="D36" s="3" t="n">
        <v>0</v>
      </c>
      <c r="E36" s="3" t="n">
        <v>156017000</v>
      </c>
      <c r="F36" s="3" t="n"/>
    </row>
    <row r="37">
      <c r="A37" t="inlineStr">
        <is>
          <t>Net Non Operating Interest Income Expense</t>
        </is>
      </c>
      <c r="B37" s="3" t="n">
        <v>-5613000</v>
      </c>
      <c r="C37" s="3" t="n">
        <v>-2188000</v>
      </c>
      <c r="D37" s="3" t="n">
        <v>-4220000</v>
      </c>
      <c r="E37" s="3" t="n">
        <v>-9368000</v>
      </c>
      <c r="F37" s="3" t="n"/>
    </row>
    <row r="38">
      <c r="A38" t="inlineStr">
        <is>
          <t>Interest Expense Non Operating</t>
        </is>
      </c>
      <c r="B38" s="3" t="n">
        <v>5613000</v>
      </c>
      <c r="C38" s="3" t="n">
        <v>2188000</v>
      </c>
      <c r="D38" s="3" t="n">
        <v>4220000</v>
      </c>
      <c r="E38" s="3" t="n">
        <v>9368000</v>
      </c>
      <c r="F38" s="3" t="n"/>
    </row>
    <row r="39">
      <c r="A39" t="inlineStr">
        <is>
          <t>Operating Income</t>
        </is>
      </c>
      <c r="B39" s="3" t="n">
        <v>-70287000</v>
      </c>
      <c r="C39" s="3" t="n">
        <v>59154000</v>
      </c>
      <c r="D39" s="3" t="n">
        <v>71824000</v>
      </c>
      <c r="E39" s="3" t="n">
        <v>-22646000</v>
      </c>
      <c r="F39" s="3" t="n"/>
    </row>
    <row r="40">
      <c r="A40" t="inlineStr">
        <is>
          <t>Operating Expense</t>
        </is>
      </c>
      <c r="B40" s="3" t="n">
        <v>570929000</v>
      </c>
      <c r="C40" s="3" t="n">
        <v>259482000</v>
      </c>
      <c r="D40" s="3" t="n">
        <v>212107000</v>
      </c>
      <c r="E40" s="3" t="n">
        <v>196160000</v>
      </c>
      <c r="F40" s="3" t="n"/>
    </row>
    <row r="41">
      <c r="A41" t="inlineStr">
        <is>
          <t>Research And Development</t>
        </is>
      </c>
      <c r="B41" s="3" t="n">
        <v>127678000</v>
      </c>
      <c r="C41" s="3" t="n">
        <v>100729000</v>
      </c>
      <c r="D41" s="3" t="n">
        <v>97687000</v>
      </c>
      <c r="E41" s="3" t="n">
        <v>64255000</v>
      </c>
      <c r="F41" s="3" t="n"/>
    </row>
    <row r="42">
      <c r="A42" t="inlineStr">
        <is>
          <t>Selling General And Administration</t>
        </is>
      </c>
      <c r="B42" s="3" t="n">
        <v>443251000</v>
      </c>
      <c r="C42" s="3" t="n">
        <v>158753000</v>
      </c>
      <c r="D42" s="3" t="n">
        <v>114420000</v>
      </c>
      <c r="E42" s="3" t="n">
        <v>131905000</v>
      </c>
      <c r="F42" s="3" t="n"/>
    </row>
    <row r="43">
      <c r="A43" t="inlineStr">
        <is>
          <t>Gross Profit</t>
        </is>
      </c>
      <c r="B43" s="3" t="n">
        <v>500642000</v>
      </c>
      <c r="C43" s="3" t="n">
        <v>318636000</v>
      </c>
      <c r="D43" s="3" t="n">
        <v>283931000</v>
      </c>
      <c r="E43" s="3" t="n">
        <v>173514000</v>
      </c>
      <c r="F43" s="3" t="n"/>
    </row>
    <row r="44">
      <c r="A44" t="inlineStr">
        <is>
          <t>Cost Of Revenue</t>
        </is>
      </c>
      <c r="B44" s="3" t="n">
        <v>1476203000</v>
      </c>
      <c r="C44" s="3" t="n">
        <v>501991000</v>
      </c>
      <c r="D44" s="3" t="n">
        <v>432789000</v>
      </c>
      <c r="E44" s="3" t="n">
        <v>367022000</v>
      </c>
      <c r="F44" s="3" t="n"/>
    </row>
    <row r="45">
      <c r="A45" t="inlineStr">
        <is>
          <t>Total Revenue</t>
        </is>
      </c>
      <c r="B45" s="3" t="n">
        <v>1976845000</v>
      </c>
      <c r="C45" s="3" t="n">
        <v>820627000</v>
      </c>
      <c r="D45" s="3" t="n">
        <v>716720000</v>
      </c>
      <c r="E45" s="3" t="n">
        <v>540536000</v>
      </c>
      <c r="F45" s="3" t="n"/>
    </row>
    <row r="46">
      <c r="A46" t="inlineStr">
        <is>
          <t>Operating Revenue</t>
        </is>
      </c>
      <c r="B46" s="3" t="n">
        <v>1976845000</v>
      </c>
      <c r="C46" s="3" t="n">
        <v>820627000</v>
      </c>
      <c r="D46" s="3" t="n">
        <v>716720000</v>
      </c>
      <c r="E46" s="3" t="n">
        <v>540536000</v>
      </c>
      <c r="F46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2026-04-30</t>
        </is>
      </c>
      <c r="C1" s="1" t="inlineStr">
        <is>
          <t>2026-01-31</t>
        </is>
      </c>
      <c r="D1" s="1" t="inlineStr">
        <is>
          <t>2025-10-31</t>
        </is>
      </c>
      <c r="E1" s="1" t="inlineStr">
        <is>
          <t>2025-07-31</t>
        </is>
      </c>
      <c r="F1" s="1" t="inlineStr">
        <is>
          <t>2025-04-30</t>
        </is>
      </c>
      <c r="G1" s="1" t="inlineStr">
        <is>
          <t>2025-01-31</t>
        </is>
      </c>
    </row>
    <row r="2">
      <c r="A2" t="inlineStr">
        <is>
          <t>Tax Effect Of Unusual Items</t>
        </is>
      </c>
      <c r="B2" s="3" t="n">
        <v>-35760800</v>
      </c>
      <c r="C2" s="3" t="n">
        <v>-19623842.621368</v>
      </c>
      <c r="D2" s="3" t="n">
        <v>0</v>
      </c>
      <c r="E2" s="3" t="n">
        <v>0</v>
      </c>
      <c r="F2" s="3" t="n">
        <v>0</v>
      </c>
      <c r="G2" s="3" t="n"/>
    </row>
    <row r="3">
      <c r="A3" t="inlineStr">
        <is>
          <t>Tax Rate For Calcs</t>
        </is>
      </c>
      <c r="B3" s="3" t="n">
        <v>0.4</v>
      </c>
      <c r="C3" s="3" t="n">
        <v>0.081526</v>
      </c>
      <c r="D3" s="3" t="n">
        <v>0.111871</v>
      </c>
      <c r="E3" s="3" t="n">
        <v>0.18</v>
      </c>
      <c r="F3" s="3" t="n">
        <v>0.017016</v>
      </c>
      <c r="G3" s="3" t="n"/>
    </row>
    <row r="4">
      <c r="A4" t="inlineStr">
        <is>
          <t>Normalized EBITDA</t>
        </is>
      </c>
      <c r="B4" s="3" t="n">
        <v>-21302000</v>
      </c>
      <c r="C4" s="3" t="n">
        <v>267609000</v>
      </c>
      <c r="D4" s="3" t="n">
        <v>27849000</v>
      </c>
      <c r="E4" s="3" t="n">
        <v>23343000</v>
      </c>
      <c r="F4" s="3" t="n">
        <v>27970000</v>
      </c>
      <c r="G4" s="3" t="n"/>
    </row>
    <row r="5">
      <c r="A5" t="inlineStr">
        <is>
          <t>Total Unusual Items</t>
        </is>
      </c>
      <c r="B5" s="3" t="n">
        <v>-89402000</v>
      </c>
      <c r="C5" s="3" t="n">
        <v>-240708000</v>
      </c>
      <c r="D5" s="3" t="n"/>
      <c r="E5" s="3" t="n"/>
      <c r="F5" s="3" t="n"/>
      <c r="G5" s="3" t="n">
        <v>0</v>
      </c>
    </row>
    <row r="6">
      <c r="A6" t="inlineStr">
        <is>
          <t>Total Unusual Items Excluding Goodwill</t>
        </is>
      </c>
      <c r="B6" s="3" t="n">
        <v>-89402000</v>
      </c>
      <c r="C6" s="3" t="n">
        <v>-240708000</v>
      </c>
      <c r="D6" s="3" t="n"/>
      <c r="E6" s="3" t="n"/>
      <c r="F6" s="3" t="n"/>
      <c r="G6" s="3" t="n">
        <v>0</v>
      </c>
    </row>
    <row r="7">
      <c r="A7" t="inlineStr">
        <is>
          <t>Net Income From Continuing Operation Net Minority Interest</t>
        </is>
      </c>
      <c r="B7" s="3" t="n">
        <v>-24098000</v>
      </c>
      <c r="C7" s="3" t="n">
        <v>-243823000</v>
      </c>
      <c r="D7" s="3" t="n">
        <v>-17103000</v>
      </c>
      <c r="E7" s="3" t="n">
        <v>-67370000</v>
      </c>
      <c r="F7" s="3" t="n">
        <v>16664000</v>
      </c>
      <c r="G7" s="3" t="n"/>
    </row>
    <row r="8">
      <c r="A8" t="inlineStr">
        <is>
          <t>Reconciled Depreciation</t>
        </is>
      </c>
      <c r="B8" s="3" t="n">
        <v>62077000</v>
      </c>
      <c r="C8" s="3" t="n">
        <v>54633000</v>
      </c>
      <c r="D8" s="3" t="n">
        <v>58073000</v>
      </c>
      <c r="E8" s="3" t="n">
        <v>90254000</v>
      </c>
      <c r="F8" s="3" t="n">
        <v>13854000</v>
      </c>
      <c r="G8" s="3" t="n"/>
    </row>
    <row r="9">
      <c r="A9" t="inlineStr">
        <is>
          <t>Reconciled Cost Of Revenue</t>
        </is>
      </c>
      <c r="B9" s="3" t="n">
        <v>438991000</v>
      </c>
      <c r="C9" s="3" t="n">
        <v>309251000</v>
      </c>
      <c r="D9" s="3" t="n">
        <v>368403000</v>
      </c>
      <c r="E9" s="3" t="n">
        <v>359558000</v>
      </c>
      <c r="F9" s="3" t="n">
        <v>174718000</v>
      </c>
      <c r="G9" s="3" t="n"/>
    </row>
    <row r="10">
      <c r="A10" t="inlineStr">
        <is>
          <t>EBITDA</t>
        </is>
      </c>
      <c r="B10" s="3" t="n">
        <v>-110704000</v>
      </c>
      <c r="C10" s="3" t="n">
        <v>26901000</v>
      </c>
      <c r="D10" s="3" t="n">
        <v>27849000</v>
      </c>
      <c r="E10" s="3" t="n">
        <v>23343000</v>
      </c>
      <c r="F10" s="3" t="n">
        <v>27970000</v>
      </c>
      <c r="G10" s="3" t="n"/>
    </row>
    <row r="11">
      <c r="A11" t="inlineStr">
        <is>
          <t>EBIT</t>
        </is>
      </c>
      <c r="B11" s="3" t="n">
        <v>-172781000</v>
      </c>
      <c r="C11" s="3" t="n">
        <v>-27732000</v>
      </c>
      <c r="D11" s="3" t="n">
        <v>-30224000</v>
      </c>
      <c r="E11" s="3" t="n">
        <v>-66911000</v>
      </c>
      <c r="F11" s="3" t="n">
        <v>14116000</v>
      </c>
      <c r="G11" s="3" t="n"/>
    </row>
    <row r="12">
      <c r="A12" t="inlineStr">
        <is>
          <t>Net Interest Income</t>
        </is>
      </c>
      <c r="B12" s="3" t="n">
        <v>3437000</v>
      </c>
      <c r="C12" s="3" t="n">
        <v>3696000</v>
      </c>
      <c r="D12" s="3" t="n">
        <v>4669000</v>
      </c>
      <c r="E12" s="3" t="n">
        <v>-17415000</v>
      </c>
      <c r="F12" s="3" t="n">
        <v>-1011000</v>
      </c>
      <c r="G12" s="3" t="n"/>
    </row>
    <row r="13">
      <c r="A13" t="inlineStr">
        <is>
          <t>Interest Expense</t>
        </is>
      </c>
      <c r="B13" s="3" t="n"/>
      <c r="C13" s="3" t="n"/>
      <c r="D13" s="3" t="n"/>
      <c r="E13" s="3" t="n">
        <v>17415000</v>
      </c>
      <c r="F13" s="3" t="n">
        <v>1011000</v>
      </c>
      <c r="G13" s="3" t="n">
        <v>248000</v>
      </c>
    </row>
    <row r="14">
      <c r="A14" t="inlineStr">
        <is>
          <t>Normalized Income</t>
        </is>
      </c>
      <c r="B14" s="3" t="n">
        <v>29543200</v>
      </c>
      <c r="C14" s="3" t="n">
        <v>-22738842.621368</v>
      </c>
      <c r="D14" s="3" t="n">
        <v>-17103000</v>
      </c>
      <c r="E14" s="3" t="n">
        <v>-67370000</v>
      </c>
      <c r="F14" s="3" t="n">
        <v>16664000</v>
      </c>
      <c r="G14" s="3" t="n"/>
    </row>
    <row r="15">
      <c r="A15" t="inlineStr">
        <is>
          <t>Net Income From Continuing And Discontinued Operation</t>
        </is>
      </c>
      <c r="B15" s="3" t="n">
        <v>-24098000</v>
      </c>
      <c r="C15" s="3" t="n">
        <v>-243823000</v>
      </c>
      <c r="D15" s="3" t="n">
        <v>-17103000</v>
      </c>
      <c r="E15" s="3" t="n">
        <v>-67370000</v>
      </c>
      <c r="F15" s="3" t="n">
        <v>16664000</v>
      </c>
      <c r="G15" s="3" t="n"/>
    </row>
    <row r="16">
      <c r="A16" t="inlineStr">
        <is>
          <t>Total Expenses</t>
        </is>
      </c>
      <c r="B16" s="3" t="n">
        <v>584675000</v>
      </c>
      <c r="C16" s="3" t="n">
        <v>435777000</v>
      </c>
      <c r="D16" s="3" t="n">
        <v>502732000</v>
      </c>
      <c r="E16" s="3" t="n">
        <v>523948000</v>
      </c>
      <c r="F16" s="3" t="n">
        <v>242874000</v>
      </c>
      <c r="G16" s="3" t="n"/>
    </row>
    <row r="17">
      <c r="A17" t="inlineStr">
        <is>
          <t>Total Operating Income As Reported</t>
        </is>
      </c>
      <c r="B17" s="3" t="n">
        <v>-32461000</v>
      </c>
      <c r="C17" s="3" t="n">
        <v>-268440000</v>
      </c>
      <c r="D17" s="3" t="n">
        <v>-30224000</v>
      </c>
      <c r="E17" s="3" t="n">
        <v>-69272000</v>
      </c>
      <c r="F17" s="3" t="n">
        <v>13817000</v>
      </c>
      <c r="G17" s="3" t="n"/>
    </row>
    <row r="18">
      <c r="A18" t="inlineStr">
        <is>
          <t>Diluted Average Shares</t>
        </is>
      </c>
      <c r="B18" s="3" t="n">
        <v>50486838</v>
      </c>
      <c r="C18" s="3" t="n">
        <v>49741441</v>
      </c>
      <c r="D18" s="3" t="n">
        <v>49723280</v>
      </c>
      <c r="E18" s="3" t="n">
        <v>46882350</v>
      </c>
      <c r="F18" s="3" t="n">
        <v>28264953</v>
      </c>
      <c r="G18" s="3" t="n"/>
    </row>
    <row r="19">
      <c r="A19" t="inlineStr">
        <is>
          <t>Basic Average Shares</t>
        </is>
      </c>
      <c r="B19" s="3" t="n">
        <v>50097894</v>
      </c>
      <c r="C19" s="3" t="n">
        <v>49741441</v>
      </c>
      <c r="D19" s="3" t="n">
        <v>49723280</v>
      </c>
      <c r="E19" s="3" t="n">
        <v>46882350</v>
      </c>
      <c r="F19" s="3" t="n">
        <v>28068584</v>
      </c>
      <c r="G19" s="3" t="n"/>
    </row>
    <row r="20">
      <c r="A20" t="inlineStr">
        <is>
          <t>Diluted EPS</t>
        </is>
      </c>
      <c r="B20" s="3" t="n">
        <v>1.25</v>
      </c>
      <c r="C20" s="3" t="n">
        <v>-3.15</v>
      </c>
      <c r="D20" s="3" t="n">
        <v>-0.34</v>
      </c>
      <c r="E20" s="3" t="n">
        <v>-1.44</v>
      </c>
      <c r="F20" s="3" t="n">
        <v>0.59</v>
      </c>
      <c r="G20" s="3" t="n"/>
    </row>
    <row r="21">
      <c r="A21" t="inlineStr">
        <is>
          <t>Basic EPS</t>
        </is>
      </c>
      <c r="B21" s="3" t="n">
        <v>1.26</v>
      </c>
      <c r="C21" s="3" t="n">
        <v>-3.15</v>
      </c>
      <c r="D21" s="3" t="n">
        <v>-0.34</v>
      </c>
      <c r="E21" s="3" t="n">
        <v>-1.44</v>
      </c>
      <c r="F21" s="3" t="n">
        <v>0.59</v>
      </c>
      <c r="G21" s="3" t="n"/>
    </row>
    <row r="22">
      <c r="A22" t="inlineStr">
        <is>
          <t>Diluted NI Availto Com Stockholders</t>
        </is>
      </c>
      <c r="B22" s="3" t="n">
        <v>-24098000</v>
      </c>
      <c r="C22" s="3" t="n">
        <v>-243823000</v>
      </c>
      <c r="D22" s="3" t="n">
        <v>-17103000</v>
      </c>
      <c r="E22" s="3" t="n">
        <v>-67370000</v>
      </c>
      <c r="F22" s="3" t="n">
        <v>16664000</v>
      </c>
      <c r="G22" s="3" t="n"/>
    </row>
    <row r="23">
      <c r="A23" t="inlineStr">
        <is>
          <t>Net Income Common Stockholders</t>
        </is>
      </c>
      <c r="B23" s="3" t="n">
        <v>-24098000</v>
      </c>
      <c r="C23" s="3" t="n">
        <v>-243823000</v>
      </c>
      <c r="D23" s="3" t="n">
        <v>-17103000</v>
      </c>
      <c r="E23" s="3" t="n">
        <v>-67370000</v>
      </c>
      <c r="F23" s="3" t="n">
        <v>16664000</v>
      </c>
      <c r="G23" s="3" t="n"/>
    </row>
    <row r="24">
      <c r="A24" t="inlineStr">
        <is>
          <t>Net Income</t>
        </is>
      </c>
      <c r="B24" s="3" t="n">
        <v>-24098000</v>
      </c>
      <c r="C24" s="3" t="n">
        <v>-243823000</v>
      </c>
      <c r="D24" s="3" t="n">
        <v>-17103000</v>
      </c>
      <c r="E24" s="3" t="n">
        <v>-67370000</v>
      </c>
      <c r="F24" s="3" t="n">
        <v>16664000</v>
      </c>
      <c r="G24" s="3" t="n"/>
    </row>
    <row r="25">
      <c r="A25" t="inlineStr">
        <is>
          <t>Net Income Including Noncontrolling Interests</t>
        </is>
      </c>
      <c r="B25" s="3" t="n">
        <v>-24098000</v>
      </c>
      <c r="C25" s="3" t="n">
        <v>-243823000</v>
      </c>
      <c r="D25" s="3" t="n">
        <v>-17103000</v>
      </c>
      <c r="E25" s="3" t="n">
        <v>-67370000</v>
      </c>
      <c r="F25" s="3" t="n">
        <v>16664000</v>
      </c>
      <c r="G25" s="3" t="n"/>
    </row>
    <row r="26">
      <c r="A26" t="inlineStr">
        <is>
          <t>Net Income Continuous Operations</t>
        </is>
      </c>
      <c r="B26" s="3" t="n">
        <v>-24098000</v>
      </c>
      <c r="C26" s="3" t="n">
        <v>-243823000</v>
      </c>
      <c r="D26" s="3" t="n">
        <v>-17103000</v>
      </c>
      <c r="E26" s="3" t="n">
        <v>-67370000</v>
      </c>
      <c r="F26" s="3" t="n">
        <v>16664000</v>
      </c>
      <c r="G26" s="3" t="n"/>
    </row>
    <row r="27">
      <c r="A27" t="inlineStr">
        <is>
          <t>Earnings From Equity Interest Net Of Tax</t>
        </is>
      </c>
      <c r="B27" s="3" t="n">
        <v>14753000</v>
      </c>
      <c r="C27" s="3" t="n">
        <v>-295000</v>
      </c>
      <c r="D27" s="3" t="n">
        <v>1196000</v>
      </c>
      <c r="E27" s="3" t="n">
        <v>1787000</v>
      </c>
      <c r="F27" s="3" t="n">
        <v>3782000</v>
      </c>
      <c r="G27" s="3" t="n"/>
    </row>
    <row r="28">
      <c r="A28" t="inlineStr">
        <is>
          <t>Tax Provision</t>
        </is>
      </c>
      <c r="B28" s="3" t="n">
        <v>13901000</v>
      </c>
      <c r="C28" s="3" t="n">
        <v>-21616000</v>
      </c>
      <c r="D28" s="3" t="n">
        <v>-2305000</v>
      </c>
      <c r="E28" s="3" t="n">
        <v>-15169000</v>
      </c>
      <c r="F28" s="3" t="n">
        <v>223000</v>
      </c>
      <c r="G28" s="3" t="n"/>
    </row>
    <row r="29">
      <c r="A29" t="inlineStr">
        <is>
          <t>Pretax Income</t>
        </is>
      </c>
      <c r="B29" s="3" t="n">
        <v>-24950000</v>
      </c>
      <c r="C29" s="3" t="n">
        <v>-265144000</v>
      </c>
      <c r="D29" s="3" t="n">
        <v>-20604000</v>
      </c>
      <c r="E29" s="3" t="n">
        <v>-84326000</v>
      </c>
      <c r="F29" s="3" t="n">
        <v>13105000</v>
      </c>
      <c r="G29" s="3" t="n"/>
    </row>
    <row r="30">
      <c r="A30" t="inlineStr">
        <is>
          <t>Other Income Expense</t>
        </is>
      </c>
      <c r="B30" s="3" t="n">
        <v>-85328000</v>
      </c>
      <c r="C30" s="3" t="n">
        <v>-241108000</v>
      </c>
      <c r="D30" s="3" t="n">
        <v>4951000</v>
      </c>
      <c r="E30" s="3" t="n">
        <v>2361000</v>
      </c>
      <c r="F30" s="3" t="n">
        <v>-18060000</v>
      </c>
      <c r="G30" s="3" t="n"/>
    </row>
    <row r="31">
      <c r="A31" t="inlineStr">
        <is>
          <t>Other Non Operating Income Expenses</t>
        </is>
      </c>
      <c r="B31" s="3" t="n">
        <v>4074000</v>
      </c>
      <c r="C31" s="3" t="n">
        <v>-400000</v>
      </c>
      <c r="D31" s="3" t="n">
        <v>4951000</v>
      </c>
      <c r="E31" s="3" t="n">
        <v>2361000</v>
      </c>
      <c r="F31" s="3" t="n">
        <v>299000</v>
      </c>
      <c r="G31" s="3" t="n"/>
    </row>
    <row r="32">
      <c r="A32" t="inlineStr">
        <is>
          <t>Special Income Charges</t>
        </is>
      </c>
      <c r="B32" s="3" t="n">
        <v>-89402000</v>
      </c>
      <c r="C32" s="3" t="n">
        <v>-240708000</v>
      </c>
      <c r="D32" s="3" t="n"/>
      <c r="E32" s="3" t="n"/>
      <c r="F32" s="3" t="n"/>
      <c r="G32" s="3" t="n">
        <v>0</v>
      </c>
    </row>
    <row r="33">
      <c r="A33" t="inlineStr">
        <is>
          <t>Impairment Of Capital Assets</t>
        </is>
      </c>
      <c r="B33" s="3" t="n">
        <v>89402000</v>
      </c>
      <c r="C33" s="3" t="n">
        <v>240708000</v>
      </c>
      <c r="D33" s="3" t="n"/>
      <c r="E33" s="3" t="n"/>
      <c r="F33" s="3" t="n"/>
      <c r="G33" s="3" t="n">
        <v>0</v>
      </c>
    </row>
    <row r="34">
      <c r="A34" t="inlineStr">
        <is>
          <t>Net Non Operating Interest Income Expense</t>
        </is>
      </c>
      <c r="B34" s="3" t="n">
        <v>3437000</v>
      </c>
      <c r="C34" s="3" t="n">
        <v>3696000</v>
      </c>
      <c r="D34" s="3" t="n">
        <v>4669000</v>
      </c>
      <c r="E34" s="3" t="n">
        <v>-17415000</v>
      </c>
      <c r="F34" s="3" t="n">
        <v>-1011000</v>
      </c>
      <c r="G34" s="3" t="n"/>
    </row>
    <row r="35">
      <c r="A35" t="inlineStr">
        <is>
          <t>Total Other Finance Cost</t>
        </is>
      </c>
      <c r="B35" s="3" t="n"/>
      <c r="C35" s="3" t="n">
        <v>-3696000</v>
      </c>
      <c r="D35" s="3" t="n">
        <v>-4669000</v>
      </c>
      <c r="E35" s="3" t="n"/>
      <c r="F35" s="3" t="n"/>
      <c r="G35" s="3" t="n">
        <v>248000</v>
      </c>
    </row>
    <row r="36">
      <c r="A36" t="inlineStr">
        <is>
          <t>Interest Expense Non Operating</t>
        </is>
      </c>
      <c r="B36" s="3" t="n"/>
      <c r="C36" s="3" t="n"/>
      <c r="D36" s="3" t="n"/>
      <c r="E36" s="3" t="n">
        <v>17415000</v>
      </c>
      <c r="F36" s="3" t="n">
        <v>1011000</v>
      </c>
      <c r="G36" s="3" t="n">
        <v>248000</v>
      </c>
    </row>
    <row r="37">
      <c r="A37" t="inlineStr">
        <is>
          <t>Operating Income</t>
        </is>
      </c>
      <c r="B37" s="3" t="n">
        <v>56941000</v>
      </c>
      <c r="C37" s="3" t="n">
        <v>-27732000</v>
      </c>
      <c r="D37" s="3" t="n">
        <v>-30224000</v>
      </c>
      <c r="E37" s="3" t="n">
        <v>-69272000</v>
      </c>
      <c r="F37" s="3" t="n">
        <v>32176000</v>
      </c>
      <c r="G37" s="3" t="n"/>
    </row>
    <row r="38">
      <c r="A38" t="inlineStr">
        <is>
          <t>Operating Expense</t>
        </is>
      </c>
      <c r="B38" s="3" t="n">
        <v>145684000</v>
      </c>
      <c r="C38" s="3" t="n">
        <v>126526000</v>
      </c>
      <c r="D38" s="3" t="n">
        <v>134329000</v>
      </c>
      <c r="E38" s="3" t="n">
        <v>164390000</v>
      </c>
      <c r="F38" s="3" t="n">
        <v>68156000</v>
      </c>
      <c r="G38" s="3" t="n"/>
    </row>
    <row r="39">
      <c r="A39" t="inlineStr">
        <is>
          <t>Research And Development</t>
        </is>
      </c>
      <c r="B39" s="3" t="n">
        <v>31459000</v>
      </c>
      <c r="C39" s="3" t="n">
        <v>27112000</v>
      </c>
      <c r="D39" s="3" t="n">
        <v>35993000</v>
      </c>
      <c r="E39" s="3" t="n">
        <v>33114000</v>
      </c>
      <c r="F39" s="3" t="n">
        <v>24902000</v>
      </c>
      <c r="G39" s="3" t="n"/>
    </row>
    <row r="40">
      <c r="A40" t="inlineStr">
        <is>
          <t>Selling General And Administration</t>
        </is>
      </c>
      <c r="B40" s="3" t="n">
        <v>114225000</v>
      </c>
      <c r="C40" s="3" t="n">
        <v>99414000</v>
      </c>
      <c r="D40" s="3" t="n">
        <v>98336000</v>
      </c>
      <c r="E40" s="3" t="n">
        <v>131276000</v>
      </c>
      <c r="F40" s="3" t="n">
        <v>43254000</v>
      </c>
      <c r="G40" s="3" t="n"/>
    </row>
    <row r="41">
      <c r="A41" t="inlineStr">
        <is>
          <t>Gross Profit</t>
        </is>
      </c>
      <c r="B41" s="3" t="n">
        <v>202625000</v>
      </c>
      <c r="C41" s="3" t="n">
        <v>98794000</v>
      </c>
      <c r="D41" s="3" t="n">
        <v>104105000</v>
      </c>
      <c r="E41" s="3" t="n">
        <v>95118000</v>
      </c>
      <c r="F41" s="3" t="n">
        <v>100332000</v>
      </c>
      <c r="G41" s="3" t="n"/>
    </row>
    <row r="42">
      <c r="A42" t="inlineStr">
        <is>
          <t>Cost Of Revenue</t>
        </is>
      </c>
      <c r="B42" s="3" t="n">
        <v>438991000</v>
      </c>
      <c r="C42" s="3" t="n">
        <v>309251000</v>
      </c>
      <c r="D42" s="3" t="n">
        <v>368403000</v>
      </c>
      <c r="E42" s="3" t="n">
        <v>359558000</v>
      </c>
      <c r="F42" s="3" t="n">
        <v>174718000</v>
      </c>
      <c r="G42" s="3" t="n"/>
    </row>
    <row r="43">
      <c r="A43" t="inlineStr">
        <is>
          <t>Total Revenue</t>
        </is>
      </c>
      <c r="B43" s="3" t="n">
        <v>641616000</v>
      </c>
      <c r="C43" s="3" t="n">
        <v>408045000</v>
      </c>
      <c r="D43" s="3" t="n">
        <v>472508000</v>
      </c>
      <c r="E43" s="3" t="n">
        <v>454676000</v>
      </c>
      <c r="F43" s="3" t="n">
        <v>275050000</v>
      </c>
      <c r="G43" s="3" t="n"/>
    </row>
    <row r="44">
      <c r="A44" t="inlineStr">
        <is>
          <t>Operating Revenue</t>
        </is>
      </c>
      <c r="B44" s="3" t="n">
        <v>641616000</v>
      </c>
      <c r="C44" s="3" t="n">
        <v>408045000</v>
      </c>
      <c r="D44" s="3" t="n">
        <v>472508000</v>
      </c>
      <c r="E44" s="3" t="n">
        <v>454676000</v>
      </c>
      <c r="F44" s="3" t="n">
        <v>275050000</v>
      </c>
      <c r="G44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2026-04-30</t>
        </is>
      </c>
      <c r="C1" s="1" t="inlineStr">
        <is>
          <t>2025-04-30</t>
        </is>
      </c>
      <c r="D1" s="1" t="inlineStr">
        <is>
          <t>2024-04-30</t>
        </is>
      </c>
      <c r="E1" s="1" t="inlineStr">
        <is>
          <t>2023-04-30</t>
        </is>
      </c>
      <c r="F1" s="1" t="inlineStr">
        <is>
          <t>2022-04-30</t>
        </is>
      </c>
    </row>
    <row r="2">
      <c r="A2" t="inlineStr">
        <is>
          <t>Ordinary Shares Number</t>
        </is>
      </c>
      <c r="B2" s="3" t="n">
        <v>50610514</v>
      </c>
      <c r="C2" s="3" t="n">
        <v>28267517</v>
      </c>
      <c r="D2" s="3" t="n">
        <v>28134438</v>
      </c>
      <c r="E2" s="3" t="n">
        <v>26216897</v>
      </c>
      <c r="F2" s="3" t="n"/>
    </row>
    <row r="3">
      <c r="A3" t="inlineStr">
        <is>
          <t>Share Issued</t>
        </is>
      </c>
      <c r="B3" s="3" t="n">
        <v>50610514</v>
      </c>
      <c r="C3" s="3" t="n">
        <v>28267517</v>
      </c>
      <c r="D3" s="3" t="n">
        <v>28134438</v>
      </c>
      <c r="E3" s="3" t="n">
        <v>26216897</v>
      </c>
      <c r="F3" s="3" t="n"/>
    </row>
    <row r="4">
      <c r="A4" t="inlineStr">
        <is>
          <t>Net Debt</t>
        </is>
      </c>
      <c r="B4" s="3" t="n">
        <v>351642000</v>
      </c>
      <c r="C4" s="3" t="n"/>
      <c r="D4" s="3" t="n"/>
      <c r="E4" s="3" t="n">
        <v>545000</v>
      </c>
      <c r="F4" s="3" t="n">
        <v>110609000</v>
      </c>
    </row>
    <row r="5">
      <c r="A5" t="inlineStr">
        <is>
          <t>Total Debt</t>
        </is>
      </c>
      <c r="B5" s="3" t="n">
        <v>834789000</v>
      </c>
      <c r="C5" s="3" t="n">
        <v>64291000</v>
      </c>
      <c r="D5" s="3" t="n">
        <v>59678000</v>
      </c>
      <c r="E5" s="3" t="n">
        <v>162822000</v>
      </c>
      <c r="F5" s="3" t="n"/>
    </row>
    <row r="6">
      <c r="A6" t="inlineStr">
        <is>
          <t>Tangible Book Value</t>
        </is>
      </c>
      <c r="B6" s="3" t="n">
        <v>976896000</v>
      </c>
      <c r="C6" s="3" t="n">
        <v>581015000</v>
      </c>
      <c r="D6" s="3" t="n">
        <v>474869000</v>
      </c>
      <c r="E6" s="3" t="n">
        <v>326592000</v>
      </c>
      <c r="F6" s="3" t="n"/>
    </row>
    <row r="7">
      <c r="A7" t="inlineStr">
        <is>
          <t>Invested Capital</t>
        </is>
      </c>
      <c r="B7" s="3" t="n">
        <v>5129367000</v>
      </c>
      <c r="C7" s="3" t="n">
        <v>916507000</v>
      </c>
      <c r="D7" s="3" t="n">
        <v>849837000</v>
      </c>
      <c r="E7" s="3" t="n">
        <v>684374000</v>
      </c>
      <c r="F7" s="3" t="n"/>
    </row>
    <row r="8">
      <c r="A8" t="inlineStr">
        <is>
          <t>Working Capital</t>
        </is>
      </c>
      <c r="B8" s="3" t="n">
        <v>1451186000</v>
      </c>
      <c r="C8" s="3" t="n">
        <v>434355000</v>
      </c>
      <c r="D8" s="3" t="n">
        <v>370702000</v>
      </c>
      <c r="E8" s="3" t="n">
        <v>355668000</v>
      </c>
      <c r="F8" s="3" t="n"/>
    </row>
    <row r="9">
      <c r="A9" t="inlineStr">
        <is>
          <t>Net Tangible Assets</t>
        </is>
      </c>
      <c r="B9" s="3" t="n">
        <v>976896000</v>
      </c>
      <c r="C9" s="3" t="n">
        <v>581015000</v>
      </c>
      <c r="D9" s="3" t="n">
        <v>474869000</v>
      </c>
      <c r="E9" s="3" t="n">
        <v>326592000</v>
      </c>
      <c r="F9" s="3" t="n"/>
    </row>
    <row r="10">
      <c r="A10" t="inlineStr">
        <is>
          <t>Capital Lease Obligations</t>
        </is>
      </c>
      <c r="B10" s="3" t="n">
        <v>105822000</v>
      </c>
      <c r="C10" s="3" t="n">
        <v>34291000</v>
      </c>
      <c r="D10" s="3" t="n">
        <v>32586000</v>
      </c>
      <c r="E10" s="3" t="n">
        <v>29418000</v>
      </c>
      <c r="F10" s="3" t="n"/>
    </row>
    <row r="11">
      <c r="A11" t="inlineStr">
        <is>
          <t>Common Stock Equity</t>
        </is>
      </c>
      <c r="B11" s="3" t="n">
        <v>4400400000</v>
      </c>
      <c r="C11" s="3" t="n">
        <v>886507000</v>
      </c>
      <c r="D11" s="3" t="n">
        <v>822745000</v>
      </c>
      <c r="E11" s="3" t="n">
        <v>550970000</v>
      </c>
      <c r="F11" s="3" t="n"/>
    </row>
    <row r="12">
      <c r="A12" t="inlineStr">
        <is>
          <t>Total Capitalization</t>
        </is>
      </c>
      <c r="B12" s="3" t="n">
        <v>5129367000</v>
      </c>
      <c r="C12" s="3" t="n">
        <v>916507000</v>
      </c>
      <c r="D12" s="3" t="n">
        <v>839837000</v>
      </c>
      <c r="E12" s="3" t="n">
        <v>676874000</v>
      </c>
      <c r="F12" s="3" t="n"/>
    </row>
    <row r="13">
      <c r="A13" t="inlineStr">
        <is>
          <t>Total Equity Gross Minority Interest</t>
        </is>
      </c>
      <c r="B13" s="3" t="n">
        <v>4400400000</v>
      </c>
      <c r="C13" s="3" t="n">
        <v>886507000</v>
      </c>
      <c r="D13" s="3" t="n">
        <v>822745000</v>
      </c>
      <c r="E13" s="3" t="n">
        <v>550970000</v>
      </c>
      <c r="F13" s="3" t="n"/>
    </row>
    <row r="14">
      <c r="A14" t="inlineStr">
        <is>
          <t>Minority Interest</t>
        </is>
      </c>
      <c r="B14" s="3" t="n"/>
      <c r="C14" s="3" t="n"/>
      <c r="D14" s="3" t="n"/>
      <c r="E14" s="3" t="n">
        <v>0</v>
      </c>
      <c r="F14" s="3" t="n">
        <v>241000</v>
      </c>
    </row>
    <row r="15">
      <c r="A15" t="inlineStr">
        <is>
          <t>Stockholders Equity</t>
        </is>
      </c>
      <c r="B15" s="3" t="n">
        <v>4400400000</v>
      </c>
      <c r="C15" s="3" t="n">
        <v>886507000</v>
      </c>
      <c r="D15" s="3" t="n">
        <v>822745000</v>
      </c>
      <c r="E15" s="3" t="n">
        <v>550970000</v>
      </c>
      <c r="F15" s="3" t="n"/>
    </row>
    <row r="16">
      <c r="A16" t="inlineStr">
        <is>
          <t>Gains Losses Not Affecting Retained Earnings</t>
        </is>
      </c>
      <c r="B16" s="3" t="n">
        <v>-5635000</v>
      </c>
      <c r="C16" s="3" t="n">
        <v>-6514000</v>
      </c>
      <c r="D16" s="3" t="n">
        <v>-5592000</v>
      </c>
      <c r="E16" s="3" t="n">
        <v>-4452000</v>
      </c>
      <c r="F16" s="3" t="n"/>
    </row>
    <row r="17">
      <c r="A17" t="inlineStr">
        <is>
          <t>Other Equity Adjustments</t>
        </is>
      </c>
      <c r="B17" s="3" t="n">
        <v>-5635000</v>
      </c>
      <c r="C17" s="3" t="n">
        <v>-6514000</v>
      </c>
      <c r="D17" s="3" t="n">
        <v>-5592000</v>
      </c>
      <c r="E17" s="3" t="n">
        <v>-4452000</v>
      </c>
      <c r="F17" s="3" t="n"/>
    </row>
    <row r="18">
      <c r="A18" t="inlineStr">
        <is>
          <t>Retained Earnings</t>
        </is>
      </c>
      <c r="B18" s="3" t="n">
        <v>9184000</v>
      </c>
      <c r="C18" s="3" t="n">
        <v>274306000</v>
      </c>
      <c r="D18" s="3" t="n">
        <v>230687000</v>
      </c>
      <c r="E18" s="3" t="n">
        <v>171021000</v>
      </c>
      <c r="F18" s="3" t="n"/>
    </row>
    <row r="19">
      <c r="A19" t="inlineStr">
        <is>
          <t>Additional Paid In Capital</t>
        </is>
      </c>
      <c r="B19" s="3" t="n">
        <v>4396845000</v>
      </c>
      <c r="C19" s="3" t="n">
        <v>618711000</v>
      </c>
      <c r="D19" s="3" t="n">
        <v>597646000</v>
      </c>
      <c r="E19" s="3" t="n">
        <v>384397000</v>
      </c>
      <c r="F19" s="3" t="n"/>
    </row>
    <row r="20">
      <c r="A20" t="inlineStr">
        <is>
          <t>Capital Stock</t>
        </is>
      </c>
      <c r="B20" s="3" t="n">
        <v>6000</v>
      </c>
      <c r="C20" s="3" t="n">
        <v>4000</v>
      </c>
      <c r="D20" s="3" t="n">
        <v>4000</v>
      </c>
      <c r="E20" s="3" t="n">
        <v>4000</v>
      </c>
      <c r="F20" s="3" t="n"/>
    </row>
    <row r="21">
      <c r="A21" t="inlineStr">
        <is>
          <t>Common Stock</t>
        </is>
      </c>
      <c r="B21" s="3" t="n">
        <v>6000</v>
      </c>
      <c r="C21" s="3" t="n">
        <v>4000</v>
      </c>
      <c r="D21" s="3" t="n">
        <v>4000</v>
      </c>
      <c r="E21" s="3" t="n">
        <v>4000</v>
      </c>
      <c r="F21" s="3" t="n"/>
    </row>
    <row r="22">
      <c r="A22" t="inlineStr">
        <is>
          <t>Preferred Stock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/>
    </row>
    <row r="23">
      <c r="A23" t="inlineStr">
        <is>
          <t>Total Liabilities Net Minority Interest</t>
        </is>
      </c>
      <c r="B23" s="3" t="n">
        <v>1316342000</v>
      </c>
      <c r="C23" s="3" t="n">
        <v>234060000</v>
      </c>
      <c r="D23" s="3" t="n">
        <v>193115000</v>
      </c>
      <c r="E23" s="3" t="n">
        <v>273607000</v>
      </c>
      <c r="F23" s="3" t="n"/>
    </row>
    <row r="24">
      <c r="A24" t="inlineStr">
        <is>
          <t>Total Non Current Liabilities Net Minority Interest</t>
        </is>
      </c>
      <c r="B24" s="3" t="n">
        <v>877105000</v>
      </c>
      <c r="C24" s="3" t="n">
        <v>61899000</v>
      </c>
      <c r="D24" s="3" t="n">
        <v>48236000</v>
      </c>
      <c r="E24" s="3" t="n">
        <v>152273000</v>
      </c>
      <c r="F24" s="3" t="n"/>
    </row>
    <row r="25">
      <c r="A25" t="inlineStr">
        <is>
          <t>Other Non Current Liabilities</t>
        </is>
      </c>
      <c r="B25" s="3" t="n">
        <v>9416000</v>
      </c>
      <c r="C25" s="3" t="n">
        <v>8087000</v>
      </c>
      <c r="D25" s="3" t="n">
        <v>7735000</v>
      </c>
      <c r="E25" s="3" t="n">
        <v>3451000</v>
      </c>
      <c r="F25" s="3" t="n"/>
    </row>
    <row r="26">
      <c r="A26" t="inlineStr">
        <is>
          <t>Non Current Deferred Liabilities</t>
        </is>
      </c>
      <c r="B26" s="3" t="n">
        <v>50494000</v>
      </c>
      <c r="C26" s="3" t="n">
        <v>0</v>
      </c>
      <c r="D26" s="3" t="n">
        <v>664000</v>
      </c>
      <c r="E26" s="3" t="n">
        <v>1729000</v>
      </c>
      <c r="F26" s="3" t="n"/>
    </row>
    <row r="27">
      <c r="A27" t="inlineStr">
        <is>
          <t>Non Current Deferred Taxes Liabilities</t>
        </is>
      </c>
      <c r="B27" s="3" t="n">
        <v>50494000</v>
      </c>
      <c r="C27" s="3" t="n">
        <v>0</v>
      </c>
      <c r="D27" s="3" t="n">
        <v>664000</v>
      </c>
      <c r="E27" s="3" t="n">
        <v>1729000</v>
      </c>
      <c r="F27" s="3" t="n"/>
    </row>
    <row r="28">
      <c r="A28" t="inlineStr">
        <is>
          <t>Long Term Debt And Capital Lease Obligation</t>
        </is>
      </c>
      <c r="B28" s="3" t="n">
        <v>817195000</v>
      </c>
      <c r="C28" s="3" t="n">
        <v>53812000</v>
      </c>
      <c r="D28" s="3" t="n">
        <v>39837000</v>
      </c>
      <c r="E28" s="3" t="n">
        <v>147093000</v>
      </c>
      <c r="F28" s="3" t="n"/>
    </row>
    <row r="29">
      <c r="A29" t="inlineStr">
        <is>
          <t>Long Term Capital Lease Obligation</t>
        </is>
      </c>
      <c r="B29" s="3" t="n">
        <v>88228000</v>
      </c>
      <c r="C29" s="3" t="n">
        <v>23812000</v>
      </c>
      <c r="D29" s="3" t="n">
        <v>22745000</v>
      </c>
      <c r="E29" s="3" t="n">
        <v>21189000</v>
      </c>
      <c r="F29" s="3" t="n"/>
    </row>
    <row r="30">
      <c r="A30" t="inlineStr">
        <is>
          <t>Long Term Debt</t>
        </is>
      </c>
      <c r="B30" s="3" t="n">
        <v>728967000</v>
      </c>
      <c r="C30" s="3" t="n">
        <v>30000000</v>
      </c>
      <c r="D30" s="3" t="n">
        <v>17092000</v>
      </c>
      <c r="E30" s="3" t="n">
        <v>125904000</v>
      </c>
      <c r="F30" s="3" t="n"/>
    </row>
    <row r="31">
      <c r="A31" t="inlineStr">
        <is>
          <t>Current Liabilities</t>
        </is>
      </c>
      <c r="B31" s="3" t="n">
        <v>439237000</v>
      </c>
      <c r="C31" s="3" t="n">
        <v>172161000</v>
      </c>
      <c r="D31" s="3" t="n">
        <v>144879000</v>
      </c>
      <c r="E31" s="3" t="n">
        <v>121334000</v>
      </c>
      <c r="F31" s="3" t="n"/>
    </row>
    <row r="32">
      <c r="A32" t="inlineStr">
        <is>
          <t>Other Current Liabilities</t>
        </is>
      </c>
      <c r="B32" s="3" t="n">
        <v>82949000</v>
      </c>
      <c r="C32" s="3" t="n">
        <v>28659000</v>
      </c>
      <c r="D32" s="3" t="n">
        <v>17074000</v>
      </c>
      <c r="E32" s="3" t="n">
        <v>19626000</v>
      </c>
      <c r="F32" s="3" t="n"/>
    </row>
    <row r="33">
      <c r="A33" t="inlineStr">
        <is>
          <t>Current Deferred Liabilities</t>
        </is>
      </c>
      <c r="B33" s="3" t="n">
        <v>79607000</v>
      </c>
      <c r="C33" s="3" t="n">
        <v>15952000</v>
      </c>
      <c r="D33" s="3" t="n">
        <v>11192000</v>
      </c>
      <c r="E33" s="3" t="n">
        <v>16645000</v>
      </c>
      <c r="F33" s="3" t="n"/>
    </row>
    <row r="34">
      <c r="A34" t="inlineStr">
        <is>
          <t>Current Deferred Revenue</t>
        </is>
      </c>
      <c r="B34" s="3" t="n">
        <v>79607000</v>
      </c>
      <c r="C34" s="3" t="n">
        <v>15952000</v>
      </c>
      <c r="D34" s="3" t="n">
        <v>11192000</v>
      </c>
      <c r="E34" s="3" t="n">
        <v>16645000</v>
      </c>
      <c r="F34" s="3" t="n"/>
    </row>
    <row r="35">
      <c r="A35" t="inlineStr">
        <is>
          <t>Current Debt And Capital Lease Obligation</t>
        </is>
      </c>
      <c r="B35" s="3" t="n">
        <v>17594000</v>
      </c>
      <c r="C35" s="3" t="n">
        <v>10479000</v>
      </c>
      <c r="D35" s="3" t="n">
        <v>19841000</v>
      </c>
      <c r="E35" s="3" t="n">
        <v>15729000</v>
      </c>
      <c r="F35" s="3" t="n"/>
    </row>
    <row r="36">
      <c r="A36" t="inlineStr">
        <is>
          <t>Current Capital Lease Obligation</t>
        </is>
      </c>
      <c r="B36" s="3" t="n">
        <v>17594000</v>
      </c>
      <c r="C36" s="3" t="n">
        <v>10479000</v>
      </c>
      <c r="D36" s="3" t="n">
        <v>9841000</v>
      </c>
      <c r="E36" s="3" t="n">
        <v>8229000</v>
      </c>
      <c r="F36" s="3" t="n"/>
    </row>
    <row r="37">
      <c r="A37" t="inlineStr">
        <is>
          <t>Current Debt</t>
        </is>
      </c>
      <c r="B37" s="3" t="n"/>
      <c r="C37" s="3" t="n"/>
      <c r="D37" s="3" t="n">
        <v>10000000</v>
      </c>
      <c r="E37" s="3" t="n">
        <v>7500000</v>
      </c>
      <c r="F37" s="3" t="n">
        <v>10000000</v>
      </c>
    </row>
    <row r="38">
      <c r="A38" t="inlineStr">
        <is>
          <t>Other Current Borrowings</t>
        </is>
      </c>
      <c r="B38" s="3" t="n"/>
      <c r="C38" s="3" t="n"/>
      <c r="D38" s="3" t="n">
        <v>10000000</v>
      </c>
      <c r="E38" s="3" t="n">
        <v>7500000</v>
      </c>
      <c r="F38" s="3" t="n">
        <v>10000000</v>
      </c>
    </row>
    <row r="39">
      <c r="A39" t="inlineStr">
        <is>
          <t>Payables And Accrued Expenses</t>
        </is>
      </c>
      <c r="B39" s="3" t="n">
        <v>259087000</v>
      </c>
      <c r="C39" s="3" t="n">
        <v>117071000</v>
      </c>
      <c r="D39" s="3" t="n">
        <v>96772000</v>
      </c>
      <c r="E39" s="3" t="n">
        <v>69334000</v>
      </c>
      <c r="F39" s="3" t="n"/>
    </row>
    <row r="40">
      <c r="A40" t="inlineStr">
        <is>
          <t>Current Accrued Expenses</t>
        </is>
      </c>
      <c r="B40" s="3" t="n">
        <v>98056000</v>
      </c>
      <c r="C40" s="3" t="n">
        <v>44253000</v>
      </c>
      <c r="D40" s="3" t="n">
        <v>44312000</v>
      </c>
      <c r="E40" s="3" t="n">
        <v>35637000</v>
      </c>
      <c r="F40" s="3" t="n"/>
    </row>
    <row r="41">
      <c r="A41" t="inlineStr">
        <is>
          <t>Payables</t>
        </is>
      </c>
      <c r="B41" s="3" t="n">
        <v>161031000</v>
      </c>
      <c r="C41" s="3" t="n">
        <v>72818000</v>
      </c>
      <c r="D41" s="3" t="n">
        <v>52460000</v>
      </c>
      <c r="E41" s="3" t="n">
        <v>33697000</v>
      </c>
      <c r="F41" s="3" t="n"/>
    </row>
    <row r="42">
      <c r="A42" t="inlineStr">
        <is>
          <t>Total Tax Payable</t>
        </is>
      </c>
      <c r="B42" s="3" t="n">
        <v>524000</v>
      </c>
      <c r="C42" s="3" t="n">
        <v>356000</v>
      </c>
      <c r="D42" s="3" t="n">
        <v>4162000</v>
      </c>
      <c r="E42" s="3" t="n">
        <v>2342000</v>
      </c>
      <c r="F42" s="3" t="n"/>
    </row>
    <row r="43">
      <c r="A43" t="inlineStr">
        <is>
          <t>Income Tax Payable</t>
        </is>
      </c>
      <c r="B43" s="3" t="n">
        <v>524000</v>
      </c>
      <c r="C43" s="3" t="n">
        <v>356000</v>
      </c>
      <c r="D43" s="3" t="n">
        <v>4162000</v>
      </c>
      <c r="E43" s="3" t="n">
        <v>2342000</v>
      </c>
      <c r="F43" s="3" t="n"/>
    </row>
    <row r="44">
      <c r="A44" t="inlineStr">
        <is>
          <t>Accounts Payable</t>
        </is>
      </c>
      <c r="B44" s="3" t="n">
        <v>160507000</v>
      </c>
      <c r="C44" s="3" t="n">
        <v>72462000</v>
      </c>
      <c r="D44" s="3" t="n">
        <v>48298000</v>
      </c>
      <c r="E44" s="3" t="n">
        <v>31355000</v>
      </c>
      <c r="F44" s="3" t="n"/>
    </row>
    <row r="45">
      <c r="A45" t="inlineStr">
        <is>
          <t>Total Assets</t>
        </is>
      </c>
      <c r="B45" s="3" t="n">
        <v>5716742000</v>
      </c>
      <c r="C45" s="3" t="n">
        <v>1120567000</v>
      </c>
      <c r="D45" s="3" t="n">
        <v>1015860000</v>
      </c>
      <c r="E45" s="3" t="n">
        <v>824577000</v>
      </c>
      <c r="F45" s="3" t="n"/>
    </row>
    <row r="46">
      <c r="A46" t="inlineStr">
        <is>
          <t>Total Non Current Assets</t>
        </is>
      </c>
      <c r="B46" s="3" t="n">
        <v>3826319000</v>
      </c>
      <c r="C46" s="3" t="n">
        <v>514051000</v>
      </c>
      <c r="D46" s="3" t="n">
        <v>500279000</v>
      </c>
      <c r="E46" s="3" t="n">
        <v>347575000</v>
      </c>
      <c r="F46" s="3" t="n"/>
    </row>
    <row r="47">
      <c r="A47" t="inlineStr">
        <is>
          <t>Other Non Current Assets</t>
        </is>
      </c>
      <c r="B47" s="3" t="n">
        <v>54576000</v>
      </c>
      <c r="C47" s="3" t="n">
        <v>32889000</v>
      </c>
      <c r="D47" s="3" t="n">
        <v>13505000</v>
      </c>
      <c r="E47" s="3" t="n">
        <v>5220000</v>
      </c>
      <c r="F47" s="3" t="n"/>
    </row>
    <row r="48">
      <c r="A48" t="inlineStr">
        <is>
          <t>Non Current Deferred Assets</t>
        </is>
      </c>
      <c r="B48" s="3" t="n">
        <v>0</v>
      </c>
      <c r="C48" s="3" t="n">
        <v>61460000</v>
      </c>
      <c r="D48" s="3" t="n">
        <v>41303000</v>
      </c>
      <c r="E48" s="3" t="n">
        <v>27206000</v>
      </c>
      <c r="F48" s="3" t="n"/>
    </row>
    <row r="49">
      <c r="A49" t="inlineStr">
        <is>
          <t>Non Current Deferred Taxes Assets</t>
        </is>
      </c>
      <c r="B49" s="3" t="n">
        <v>0</v>
      </c>
      <c r="C49" s="3" t="n">
        <v>61460000</v>
      </c>
      <c r="D49" s="3" t="n">
        <v>41303000</v>
      </c>
      <c r="E49" s="3" t="n">
        <v>27206000</v>
      </c>
      <c r="F49" s="3" t="n"/>
    </row>
    <row r="50">
      <c r="A50" t="inlineStr">
        <is>
          <t>Investments And Advances</t>
        </is>
      </c>
      <c r="B50" s="3" t="n">
        <v>81128000</v>
      </c>
      <c r="C50" s="3" t="n">
        <v>31627000</v>
      </c>
      <c r="D50" s="3" t="n">
        <v>20960000</v>
      </c>
      <c r="E50" s="3" t="n">
        <v>23613000</v>
      </c>
      <c r="F50" s="3" t="n"/>
    </row>
    <row r="51">
      <c r="A51" t="inlineStr">
        <is>
          <t>Investmentin Financial Assets</t>
        </is>
      </c>
      <c r="B51" s="3" t="n">
        <v>29059000</v>
      </c>
      <c r="C51" s="3" t="n">
        <v>1204000</v>
      </c>
      <c r="D51" s="3" t="n">
        <v>1027000</v>
      </c>
      <c r="E51" s="3" t="n">
        <v>4969000</v>
      </c>
      <c r="F51" s="3" t="n"/>
    </row>
    <row r="52">
      <c r="A52" t="inlineStr">
        <is>
          <t>Available For Sale Securities</t>
        </is>
      </c>
      <c r="B52" s="3" t="n">
        <v>29059000</v>
      </c>
      <c r="C52" s="3" t="n">
        <v>1204000</v>
      </c>
      <c r="D52" s="3" t="n">
        <v>1027000</v>
      </c>
      <c r="E52" s="3" t="n">
        <v>4969000</v>
      </c>
      <c r="F52" s="3" t="n"/>
    </row>
    <row r="53">
      <c r="A53" t="inlineStr">
        <is>
          <t>Long Term Equity Investment</t>
        </is>
      </c>
      <c r="B53" s="3" t="n">
        <v>52069000</v>
      </c>
      <c r="C53" s="3" t="n">
        <v>30423000</v>
      </c>
      <c r="D53" s="3" t="n">
        <v>19933000</v>
      </c>
      <c r="E53" s="3" t="n">
        <v>18644000</v>
      </c>
      <c r="F53" s="3" t="n"/>
    </row>
    <row r="54">
      <c r="A54" t="inlineStr">
        <is>
          <t>Goodwill And Other Intangible Assets</t>
        </is>
      </c>
      <c r="B54" s="3" t="n">
        <v>3423504000</v>
      </c>
      <c r="C54" s="3" t="n">
        <v>305492000</v>
      </c>
      <c r="D54" s="3" t="n">
        <v>347876000</v>
      </c>
      <c r="E54" s="3" t="n">
        <v>224378000</v>
      </c>
      <c r="F54" s="3" t="n"/>
    </row>
    <row r="55">
      <c r="A55" t="inlineStr">
        <is>
          <t>Other Intangible Assets</t>
        </is>
      </c>
      <c r="B55" s="3" t="n">
        <v>929826000</v>
      </c>
      <c r="C55" s="3" t="n">
        <v>48711000</v>
      </c>
      <c r="D55" s="3" t="n">
        <v>72224000</v>
      </c>
      <c r="E55" s="3" t="n">
        <v>43577000</v>
      </c>
      <c r="F55" s="3" t="n"/>
    </row>
    <row r="56">
      <c r="A56" t="inlineStr">
        <is>
          <t>Goodwill</t>
        </is>
      </c>
      <c r="B56" s="3" t="n">
        <v>2493678000</v>
      </c>
      <c r="C56" s="3" t="n">
        <v>256781000</v>
      </c>
      <c r="D56" s="3" t="n">
        <v>275652000</v>
      </c>
      <c r="E56" s="3" t="n">
        <v>180801000</v>
      </c>
      <c r="F56" s="3" t="n"/>
    </row>
    <row r="57">
      <c r="A57" t="inlineStr">
        <is>
          <t>Net PPE</t>
        </is>
      </c>
      <c r="B57" s="3" t="n">
        <v>267111000</v>
      </c>
      <c r="C57" s="3" t="n">
        <v>82583000</v>
      </c>
      <c r="D57" s="3" t="n">
        <v>76635000</v>
      </c>
      <c r="E57" s="3" t="n">
        <v>67158000</v>
      </c>
      <c r="F57" s="3" t="n"/>
    </row>
    <row r="58">
      <c r="A58" t="inlineStr">
        <is>
          <t>Accumulated Depreciation</t>
        </is>
      </c>
      <c r="B58" s="3" t="n">
        <v>-206254000</v>
      </c>
      <c r="C58" s="3" t="n">
        <v>-179735000</v>
      </c>
      <c r="D58" s="3" t="n">
        <v>-175152000</v>
      </c>
      <c r="E58" s="3" t="n">
        <v>-162998000</v>
      </c>
      <c r="F58" s="3" t="n"/>
    </row>
    <row r="59">
      <c r="A59" t="inlineStr">
        <is>
          <t>Gross PPE</t>
        </is>
      </c>
      <c r="B59" s="3" t="n">
        <v>473365000</v>
      </c>
      <c r="C59" s="3" t="n">
        <v>262318000</v>
      </c>
      <c r="D59" s="3" t="n">
        <v>251787000</v>
      </c>
      <c r="E59" s="3" t="n">
        <v>230156000</v>
      </c>
      <c r="F59" s="3" t="n"/>
    </row>
    <row r="60">
      <c r="A60" t="inlineStr">
        <is>
          <t>Leases</t>
        </is>
      </c>
      <c r="B60" s="3" t="n"/>
      <c r="C60" s="3" t="n"/>
      <c r="D60" s="3" t="n">
        <v>26921000</v>
      </c>
      <c r="E60" s="3" t="n">
        <v>22541000</v>
      </c>
      <c r="F60" s="3" t="n">
        <v>20842000</v>
      </c>
    </row>
    <row r="61">
      <c r="A61" t="inlineStr">
        <is>
          <t>Construction In Progress</t>
        </is>
      </c>
      <c r="B61" s="3" t="n">
        <v>24622000</v>
      </c>
      <c r="C61" s="3" t="n">
        <v>8304000</v>
      </c>
      <c r="D61" s="3" t="n">
        <v>7258000</v>
      </c>
      <c r="E61" s="3" t="n">
        <v>5962000</v>
      </c>
      <c r="F61" s="3" t="n"/>
    </row>
    <row r="62">
      <c r="A62" t="inlineStr">
        <is>
          <t>Other Properties</t>
        </is>
      </c>
      <c r="B62" s="3" t="n">
        <v>104379000</v>
      </c>
      <c r="C62" s="3" t="n">
        <v>33365000</v>
      </c>
      <c r="D62" s="3" t="n">
        <v>30033000</v>
      </c>
      <c r="E62" s="3" t="n">
        <v>27363000</v>
      </c>
      <c r="F62" s="3" t="n"/>
    </row>
    <row r="63">
      <c r="A63" t="inlineStr">
        <is>
          <t>Machinery Furniture Equipment</t>
        </is>
      </c>
      <c r="B63" s="3" t="n">
        <v>259221000</v>
      </c>
      <c r="C63" s="3" t="n">
        <v>189177000</v>
      </c>
      <c r="D63" s="3" t="n">
        <v>187575000</v>
      </c>
      <c r="E63" s="3" t="n">
        <v>174290000</v>
      </c>
      <c r="F63" s="3" t="n"/>
    </row>
    <row r="64">
      <c r="A64" t="inlineStr">
        <is>
          <t>Properties</t>
        </is>
      </c>
      <c r="B64" s="3" t="n">
        <v>85143000</v>
      </c>
      <c r="C64" s="3" t="n">
        <v>31472000</v>
      </c>
      <c r="D64" s="3" t="n">
        <v>26921000</v>
      </c>
      <c r="E64" s="3" t="n">
        <v>0</v>
      </c>
      <c r="F64" s="3" t="n"/>
    </row>
    <row r="65">
      <c r="A65" t="inlineStr">
        <is>
          <t>Current Assets</t>
        </is>
      </c>
      <c r="B65" s="3" t="n">
        <v>1890423000</v>
      </c>
      <c r="C65" s="3" t="n">
        <v>606516000</v>
      </c>
      <c r="D65" s="3" t="n">
        <v>515581000</v>
      </c>
      <c r="E65" s="3" t="n">
        <v>477002000</v>
      </c>
      <c r="F65" s="3" t="n"/>
    </row>
    <row r="66">
      <c r="A66" t="inlineStr">
        <is>
          <t>Other Current Assets</t>
        </is>
      </c>
      <c r="B66" s="3" t="n">
        <v>52485000</v>
      </c>
      <c r="C66" s="3" t="n">
        <v>28966000</v>
      </c>
      <c r="D66" s="3" t="n">
        <v>22333000</v>
      </c>
      <c r="E66" s="3" t="n">
        <v>12043000</v>
      </c>
      <c r="F66" s="3" t="n"/>
    </row>
    <row r="67">
      <c r="A67" t="inlineStr">
        <is>
          <t>Prepaid Assets</t>
        </is>
      </c>
      <c r="B67" s="3" t="n"/>
      <c r="C67" s="3" t="n"/>
      <c r="D67" s="3" t="n"/>
      <c r="E67" s="3" t="n"/>
      <c r="F67" s="3" t="n">
        <v>11527000</v>
      </c>
    </row>
    <row r="68">
      <c r="A68" t="inlineStr">
        <is>
          <t>Inventory</t>
        </is>
      </c>
      <c r="B68" s="3" t="n">
        <v>312856000</v>
      </c>
      <c r="C68" s="3" t="n">
        <v>144090000</v>
      </c>
      <c r="D68" s="3" t="n">
        <v>150168000</v>
      </c>
      <c r="E68" s="3" t="n">
        <v>138814000</v>
      </c>
      <c r="F68" s="3" t="n"/>
    </row>
    <row r="69">
      <c r="A69" t="inlineStr">
        <is>
          <t>Inventories Adjustments Allowances</t>
        </is>
      </c>
      <c r="B69" s="3" t="n">
        <v>-36590000</v>
      </c>
      <c r="C69" s="3" t="n">
        <v>-28672000</v>
      </c>
      <c r="D69" s="3" t="n">
        <v>-25900000</v>
      </c>
      <c r="E69" s="3" t="n">
        <v>-15205000</v>
      </c>
      <c r="F69" s="3" t="n"/>
    </row>
    <row r="70">
      <c r="A70" t="inlineStr">
        <is>
          <t>Finished Goods</t>
        </is>
      </c>
      <c r="B70" s="3" t="n">
        <v>119957000</v>
      </c>
      <c r="C70" s="3" t="n">
        <v>46761000</v>
      </c>
      <c r="D70" s="3" t="n">
        <v>65618000</v>
      </c>
      <c r="E70" s="3" t="n">
        <v>42968000</v>
      </c>
      <c r="F70" s="3" t="n"/>
    </row>
    <row r="71">
      <c r="A71" t="inlineStr">
        <is>
          <t>Work In Process</t>
        </is>
      </c>
      <c r="B71" s="3" t="n">
        <v>73289000</v>
      </c>
      <c r="C71" s="3" t="n">
        <v>73434000</v>
      </c>
      <c r="D71" s="3" t="n">
        <v>53232000</v>
      </c>
      <c r="E71" s="3" t="n">
        <v>43276000</v>
      </c>
      <c r="F71" s="3" t="n"/>
    </row>
    <row r="72">
      <c r="A72" t="inlineStr">
        <is>
          <t>Raw Materials</t>
        </is>
      </c>
      <c r="B72" s="3" t="n">
        <v>156200000</v>
      </c>
      <c r="C72" s="3" t="n">
        <v>52567000</v>
      </c>
      <c r="D72" s="3" t="n">
        <v>57218000</v>
      </c>
      <c r="E72" s="3" t="n">
        <v>67775000</v>
      </c>
      <c r="F72" s="3" t="n"/>
    </row>
    <row r="73">
      <c r="A73" t="inlineStr">
        <is>
          <t>Receivables</t>
        </is>
      </c>
      <c r="B73" s="3" t="n">
        <v>892785000</v>
      </c>
      <c r="C73" s="3" t="n">
        <v>392598000</v>
      </c>
      <c r="D73" s="3" t="n">
        <v>269779000</v>
      </c>
      <c r="E73" s="3" t="n">
        <v>193286000</v>
      </c>
      <c r="F73" s="3" t="n"/>
    </row>
    <row r="74">
      <c r="A74" t="inlineStr">
        <is>
          <t>Other Receivables</t>
        </is>
      </c>
      <c r="B74" s="3" t="n">
        <v>570408000</v>
      </c>
      <c r="C74" s="3" t="n">
        <v>290009000</v>
      </c>
      <c r="D74" s="3" t="n">
        <v>199474000</v>
      </c>
      <c r="E74" s="3" t="n">
        <v>105653000</v>
      </c>
      <c r="F74" s="3" t="n"/>
    </row>
    <row r="75">
      <c r="A75" t="inlineStr">
        <is>
          <t>Taxes Receivable</t>
        </is>
      </c>
      <c r="B75" s="3" t="n">
        <v>6210000</v>
      </c>
      <c r="C75" s="3" t="n">
        <v>622000</v>
      </c>
      <c r="D75" s="3" t="n">
        <v>0</v>
      </c>
      <c r="E75" s="3" t="n">
        <v>0</v>
      </c>
      <c r="F75" s="3" t="n"/>
    </row>
    <row r="76">
      <c r="A76" t="inlineStr">
        <is>
          <t>Accounts Receivable</t>
        </is>
      </c>
      <c r="B76" s="3" t="n">
        <v>316167000</v>
      </c>
      <c r="C76" s="3" t="n">
        <v>101967000</v>
      </c>
      <c r="D76" s="3" t="n">
        <v>70305000</v>
      </c>
      <c r="E76" s="3" t="n">
        <v>87633000</v>
      </c>
      <c r="F76" s="3" t="n"/>
    </row>
    <row r="77">
      <c r="A77" t="inlineStr">
        <is>
          <t>Allowance For Doubtful Accounts Receivable</t>
        </is>
      </c>
      <c r="B77" s="3" t="n">
        <v>-1961000</v>
      </c>
      <c r="C77" s="3" t="n">
        <v>-203000</v>
      </c>
      <c r="D77" s="3" t="n">
        <v>-159000</v>
      </c>
      <c r="E77" s="3" t="n">
        <v>-156000</v>
      </c>
      <c r="F77" s="3" t="n"/>
    </row>
    <row r="78">
      <c r="A78" t="inlineStr">
        <is>
          <t>Gross Accounts Receivable</t>
        </is>
      </c>
      <c r="B78" s="3" t="n">
        <v>318128000</v>
      </c>
      <c r="C78" s="3" t="n">
        <v>102170000</v>
      </c>
      <c r="D78" s="3" t="n">
        <v>70464000</v>
      </c>
      <c r="E78" s="3" t="n">
        <v>87789000</v>
      </c>
      <c r="F78" s="3" t="n"/>
    </row>
    <row r="79">
      <c r="A79" t="inlineStr">
        <is>
          <t>Cash Cash Equivalents And Short Term Investments</t>
        </is>
      </c>
      <c r="B79" s="3" t="n">
        <v>632297000</v>
      </c>
      <c r="C79" s="3" t="n">
        <v>40862000</v>
      </c>
      <c r="D79" s="3" t="n">
        <v>73301000</v>
      </c>
      <c r="E79" s="3" t="n">
        <v>132859000</v>
      </c>
      <c r="F79" s="3" t="n"/>
    </row>
    <row r="80">
      <c r="A80" t="inlineStr">
        <is>
          <t>Other Short Term Investments</t>
        </is>
      </c>
      <c r="B80" s="3" t="n">
        <v>254972000</v>
      </c>
      <c r="C80" s="3" t="n">
        <v>0</v>
      </c>
      <c r="D80" s="3" t="n"/>
      <c r="E80" s="3" t="n">
        <v>0</v>
      </c>
      <c r="F80" s="3" t="n">
        <v>24716000</v>
      </c>
    </row>
    <row r="81">
      <c r="A81" t="inlineStr">
        <is>
          <t>Cash And Cash Equivalents</t>
        </is>
      </c>
      <c r="B81" s="3" t="n">
        <v>377325000</v>
      </c>
      <c r="C81" s="3" t="n">
        <v>40862000</v>
      </c>
      <c r="D81" s="3" t="n">
        <v>73301000</v>
      </c>
      <c r="E81" s="3" t="n">
        <v>132859000</v>
      </c>
      <c r="F81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2026-04-30</t>
        </is>
      </c>
      <c r="C1" s="1" t="inlineStr">
        <is>
          <t>2026-01-31</t>
        </is>
      </c>
      <c r="D1" s="1" t="inlineStr">
        <is>
          <t>2025-10-31</t>
        </is>
      </c>
      <c r="E1" s="1" t="inlineStr">
        <is>
          <t>2025-07-31</t>
        </is>
      </c>
      <c r="F1" s="1" t="inlineStr">
        <is>
          <t>2025-04-30</t>
        </is>
      </c>
    </row>
    <row r="2">
      <c r="A2" t="inlineStr">
        <is>
          <t>Ordinary Shares Number</t>
        </is>
      </c>
      <c r="B2" s="3" t="n">
        <v>50610514</v>
      </c>
      <c r="C2" s="3" t="n">
        <v>49934738</v>
      </c>
      <c r="D2" s="3" t="n">
        <v>49927306</v>
      </c>
      <c r="E2" s="3" t="n">
        <v>49932300</v>
      </c>
      <c r="F2" s="3" t="n">
        <v>28267517</v>
      </c>
    </row>
    <row r="3">
      <c r="A3" t="inlineStr">
        <is>
          <t>Share Issued</t>
        </is>
      </c>
      <c r="B3" s="3" t="n">
        <v>50610514</v>
      </c>
      <c r="C3" s="3" t="n">
        <v>49934738</v>
      </c>
      <c r="D3" s="3" t="n">
        <v>49927306</v>
      </c>
      <c r="E3" s="3" t="n">
        <v>49932300</v>
      </c>
      <c r="F3" s="3" t="n">
        <v>28267517</v>
      </c>
    </row>
    <row r="4">
      <c r="A4" t="inlineStr">
        <is>
          <t>Net Debt</t>
        </is>
      </c>
      <c r="B4" s="3" t="n">
        <v>351642000</v>
      </c>
      <c r="C4" s="3" t="n">
        <v>437999000</v>
      </c>
      <c r="D4" s="3" t="n">
        <v>367359000</v>
      </c>
      <c r="E4" s="3" t="n">
        <v>39900000</v>
      </c>
      <c r="F4" s="3" t="n"/>
    </row>
    <row r="5">
      <c r="A5" t="inlineStr">
        <is>
          <t>Total Debt</t>
        </is>
      </c>
      <c r="B5" s="3" t="n">
        <v>834789000</v>
      </c>
      <c r="C5" s="3" t="n">
        <v>826013000</v>
      </c>
      <c r="D5" s="3" t="n">
        <v>825935000</v>
      </c>
      <c r="E5" s="3" t="n">
        <v>829708000</v>
      </c>
      <c r="F5" s="3" t="n">
        <v>64291000</v>
      </c>
    </row>
    <row r="6">
      <c r="A6" t="inlineStr">
        <is>
          <t>Tangible Book Value</t>
        </is>
      </c>
      <c r="B6" s="3" t="n">
        <v>976896000</v>
      </c>
      <c r="C6" s="3" t="n">
        <v>884551000</v>
      </c>
      <c r="D6" s="3" t="n">
        <v>822625000</v>
      </c>
      <c r="E6" s="3" t="n">
        <v>768671000</v>
      </c>
      <c r="F6" s="3" t="n">
        <v>581015000</v>
      </c>
    </row>
    <row r="7">
      <c r="A7" t="inlineStr">
        <is>
          <t>Invested Capital</t>
        </is>
      </c>
      <c r="B7" s="3" t="n">
        <v>5129367000</v>
      </c>
      <c r="C7" s="3" t="n">
        <v>5000067000</v>
      </c>
      <c r="D7" s="3" t="n">
        <v>5144874000</v>
      </c>
      <c r="E7" s="3" t="n">
        <v>5152782000</v>
      </c>
      <c r="F7" s="3" t="n">
        <v>916507000</v>
      </c>
    </row>
    <row r="8">
      <c r="A8" t="inlineStr">
        <is>
          <t>Working Capital</t>
        </is>
      </c>
      <c r="B8" s="3" t="n">
        <v>1451186000</v>
      </c>
      <c r="C8" s="3" t="n">
        <v>1394928000</v>
      </c>
      <c r="D8" s="3" t="n">
        <v>1338430000</v>
      </c>
      <c r="E8" s="3" t="n">
        <v>1364409000</v>
      </c>
      <c r="F8" s="3" t="n">
        <v>434355000</v>
      </c>
    </row>
    <row r="9">
      <c r="A9" t="inlineStr">
        <is>
          <t>Net Tangible Assets</t>
        </is>
      </c>
      <c r="B9" s="3" t="n">
        <v>976896000</v>
      </c>
      <c r="C9" s="3" t="n">
        <v>884551000</v>
      </c>
      <c r="D9" s="3" t="n">
        <v>822625000</v>
      </c>
      <c r="E9" s="3" t="n">
        <v>768671000</v>
      </c>
      <c r="F9" s="3" t="n">
        <v>581015000</v>
      </c>
    </row>
    <row r="10">
      <c r="A10" t="inlineStr">
        <is>
          <t>Capital Lease Obligations</t>
        </is>
      </c>
      <c r="B10" s="3" t="n">
        <v>105822000</v>
      </c>
      <c r="C10" s="3" t="n">
        <v>98136000</v>
      </c>
      <c r="D10" s="3" t="n">
        <v>99142000</v>
      </c>
      <c r="E10" s="3" t="n">
        <v>104005000</v>
      </c>
      <c r="F10" s="3" t="n">
        <v>34291000</v>
      </c>
    </row>
    <row r="11">
      <c r="A11" t="inlineStr">
        <is>
          <t>Common Stock Equity</t>
        </is>
      </c>
      <c r="B11" s="3" t="n">
        <v>4400400000</v>
      </c>
      <c r="C11" s="3" t="n">
        <v>4272190000</v>
      </c>
      <c r="D11" s="3" t="n">
        <v>4418081000</v>
      </c>
      <c r="E11" s="3" t="n">
        <v>4427079000</v>
      </c>
      <c r="F11" s="3" t="n">
        <v>886507000</v>
      </c>
    </row>
    <row r="12">
      <c r="A12" t="inlineStr">
        <is>
          <t>Total Capitalization</t>
        </is>
      </c>
      <c r="B12" s="3" t="n">
        <v>5129367000</v>
      </c>
      <c r="C12" s="3" t="n">
        <v>5000067000</v>
      </c>
      <c r="D12" s="3" t="n">
        <v>5144874000</v>
      </c>
      <c r="E12" s="3" t="n">
        <v>5152782000</v>
      </c>
      <c r="F12" s="3" t="n">
        <v>916507000</v>
      </c>
    </row>
    <row r="13">
      <c r="A13" t="inlineStr">
        <is>
          <t>Total Equity Gross Minority Interest</t>
        </is>
      </c>
      <c r="B13" s="3" t="n">
        <v>4400400000</v>
      </c>
      <c r="C13" s="3" t="n">
        <v>4272190000</v>
      </c>
      <c r="D13" s="3" t="n">
        <v>4418081000</v>
      </c>
      <c r="E13" s="3" t="n">
        <v>4427079000</v>
      </c>
      <c r="F13" s="3" t="n">
        <v>886507000</v>
      </c>
    </row>
    <row r="14">
      <c r="A14" t="inlineStr">
        <is>
          <t>Stockholders Equity</t>
        </is>
      </c>
      <c r="B14" s="3" t="n">
        <v>4400400000</v>
      </c>
      <c r="C14" s="3" t="n">
        <v>4272190000</v>
      </c>
      <c r="D14" s="3" t="n">
        <v>4418081000</v>
      </c>
      <c r="E14" s="3" t="n">
        <v>4427079000</v>
      </c>
      <c r="F14" s="3" t="n">
        <v>886507000</v>
      </c>
    </row>
    <row r="15">
      <c r="A15" t="inlineStr">
        <is>
          <t>Gains Losses Not Affecting Retained Earnings</t>
        </is>
      </c>
      <c r="B15" s="3" t="n">
        <v>-5635000</v>
      </c>
      <c r="C15" s="3" t="n">
        <v>-5514000</v>
      </c>
      <c r="D15" s="3" t="n">
        <v>-6222000</v>
      </c>
      <c r="E15" s="3" t="n">
        <v>-5875000</v>
      </c>
      <c r="F15" s="3" t="n">
        <v>-6514000</v>
      </c>
    </row>
    <row r="16">
      <c r="A16" t="inlineStr">
        <is>
          <t>Other Equity Adjustments</t>
        </is>
      </c>
      <c r="B16" s="3" t="n">
        <v>-5635000</v>
      </c>
      <c r="C16" s="3" t="n">
        <v>-5514000</v>
      </c>
      <c r="D16" s="3" t="n">
        <v>-6222000</v>
      </c>
      <c r="E16" s="3" t="n">
        <v>-5875000</v>
      </c>
      <c r="F16" s="3" t="n">
        <v>-6514000</v>
      </c>
    </row>
    <row r="17">
      <c r="A17" t="inlineStr">
        <is>
          <t>Retained Earnings</t>
        </is>
      </c>
      <c r="B17" s="3" t="n">
        <v>9184000</v>
      </c>
      <c r="C17" s="3" t="n">
        <v>33282000</v>
      </c>
      <c r="D17" s="3" t="n">
        <v>189833000</v>
      </c>
      <c r="E17" s="3" t="n">
        <v>206936000</v>
      </c>
      <c r="F17" s="3" t="n">
        <v>274306000</v>
      </c>
    </row>
    <row r="18">
      <c r="A18" t="inlineStr">
        <is>
          <t>Additional Paid In Capital</t>
        </is>
      </c>
      <c r="B18" s="3" t="n">
        <v>4396845000</v>
      </c>
      <c r="C18" s="3" t="n">
        <v>4244416000</v>
      </c>
      <c r="D18" s="3" t="n">
        <v>4234464000</v>
      </c>
      <c r="E18" s="3" t="n">
        <v>4226012000</v>
      </c>
      <c r="F18" s="3" t="n">
        <v>618711000</v>
      </c>
    </row>
    <row r="19">
      <c r="A19" t="inlineStr">
        <is>
          <t>Capital Stock</t>
        </is>
      </c>
      <c r="B19" s="3" t="n">
        <v>6000</v>
      </c>
      <c r="C19" s="3" t="n">
        <v>6000</v>
      </c>
      <c r="D19" s="3" t="n">
        <v>6000</v>
      </c>
      <c r="E19" s="3" t="n">
        <v>6000</v>
      </c>
      <c r="F19" s="3" t="n">
        <v>4000</v>
      </c>
    </row>
    <row r="20">
      <c r="A20" t="inlineStr">
        <is>
          <t>Common Stock</t>
        </is>
      </c>
      <c r="B20" s="3" t="n">
        <v>6000</v>
      </c>
      <c r="C20" s="3" t="n">
        <v>6000</v>
      </c>
      <c r="D20" s="3" t="n">
        <v>6000</v>
      </c>
      <c r="E20" s="3" t="n">
        <v>6000</v>
      </c>
      <c r="F20" s="3" t="n">
        <v>4000</v>
      </c>
    </row>
    <row r="21">
      <c r="A21" t="inlineStr">
        <is>
          <t>Preferred Stock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t="inlineStr">
        <is>
          <t>Total Liabilities Net Minority Interest</t>
        </is>
      </c>
      <c r="B22" s="3" t="n">
        <v>1316342000</v>
      </c>
      <c r="C22" s="3" t="n">
        <v>1181446000</v>
      </c>
      <c r="D22" s="3" t="n">
        <v>1220385000</v>
      </c>
      <c r="E22" s="3" t="n">
        <v>1196958000</v>
      </c>
      <c r="F22" s="3" t="n">
        <v>234060000</v>
      </c>
    </row>
    <row r="23">
      <c r="A23" t="inlineStr">
        <is>
          <t>Total Non Current Liabilities Net Minority Interest</t>
        </is>
      </c>
      <c r="B23" s="3" t="n">
        <v>877105000</v>
      </c>
      <c r="C23" s="3" t="n">
        <v>872127000</v>
      </c>
      <c r="D23" s="3" t="n">
        <v>892358000</v>
      </c>
      <c r="E23" s="3" t="n">
        <v>922028000</v>
      </c>
      <c r="F23" s="3" t="n">
        <v>61899000</v>
      </c>
    </row>
    <row r="24">
      <c r="A24" t="inlineStr">
        <is>
          <t>Other Non Current Liabilities</t>
        </is>
      </c>
      <c r="B24" s="3" t="n">
        <v>9416000</v>
      </c>
      <c r="C24" s="3" t="n">
        <v>8056000</v>
      </c>
      <c r="D24" s="3" t="n">
        <v>8064000</v>
      </c>
      <c r="E24" s="3" t="n">
        <v>8077000</v>
      </c>
      <c r="F24" s="3" t="n">
        <v>8087000</v>
      </c>
    </row>
    <row r="25">
      <c r="A25" t="inlineStr">
        <is>
          <t>Non Current Deferred Liabilities</t>
        </is>
      </c>
      <c r="B25" s="3" t="n">
        <v>50494000</v>
      </c>
      <c r="C25" s="3" t="n">
        <v>53627000</v>
      </c>
      <c r="D25" s="3" t="n">
        <v>73188000</v>
      </c>
      <c r="E25" s="3" t="n">
        <v>101002000</v>
      </c>
      <c r="F25" s="3" t="n">
        <v>0</v>
      </c>
    </row>
    <row r="26">
      <c r="A26" t="inlineStr">
        <is>
          <t>Non Current Deferred Taxes Liabilities</t>
        </is>
      </c>
      <c r="B26" s="3" t="n">
        <v>50494000</v>
      </c>
      <c r="C26" s="3" t="n">
        <v>53627000</v>
      </c>
      <c r="D26" s="3" t="n">
        <v>73188000</v>
      </c>
      <c r="E26" s="3" t="n">
        <v>101002000</v>
      </c>
      <c r="F26" s="3" t="n">
        <v>0</v>
      </c>
    </row>
    <row r="27">
      <c r="A27" t="inlineStr">
        <is>
          <t>Long Term Debt And Capital Lease Obligation</t>
        </is>
      </c>
      <c r="B27" s="3" t="n">
        <v>817195000</v>
      </c>
      <c r="C27" s="3" t="n">
        <v>810444000</v>
      </c>
      <c r="D27" s="3" t="n">
        <v>811106000</v>
      </c>
      <c r="E27" s="3" t="n">
        <v>812949000</v>
      </c>
      <c r="F27" s="3" t="n">
        <v>53812000</v>
      </c>
    </row>
    <row r="28">
      <c r="A28" t="inlineStr">
        <is>
          <t>Long Term Capital Lease Obligation</t>
        </is>
      </c>
      <c r="B28" s="3" t="n">
        <v>88228000</v>
      </c>
      <c r="C28" s="3" t="n">
        <v>82567000</v>
      </c>
      <c r="D28" s="3" t="n">
        <v>84313000</v>
      </c>
      <c r="E28" s="3" t="n">
        <v>87246000</v>
      </c>
      <c r="F28" s="3" t="n">
        <v>23812000</v>
      </c>
    </row>
    <row r="29">
      <c r="A29" t="inlineStr">
        <is>
          <t>Long Term Debt</t>
        </is>
      </c>
      <c r="B29" s="3" t="n">
        <v>728967000</v>
      </c>
      <c r="C29" s="3" t="n">
        <v>727877000</v>
      </c>
      <c r="D29" s="3" t="n">
        <v>726793000</v>
      </c>
      <c r="E29" s="3" t="n">
        <v>725703000</v>
      </c>
      <c r="F29" s="3" t="n">
        <v>30000000</v>
      </c>
    </row>
    <row r="30">
      <c r="A30" t="inlineStr">
        <is>
          <t>Current Liabilities</t>
        </is>
      </c>
      <c r="B30" s="3" t="n">
        <v>439237000</v>
      </c>
      <c r="C30" s="3" t="n">
        <v>309319000</v>
      </c>
      <c r="D30" s="3" t="n">
        <v>328027000</v>
      </c>
      <c r="E30" s="3" t="n">
        <v>274930000</v>
      </c>
      <c r="F30" s="3" t="n">
        <v>172161000</v>
      </c>
    </row>
    <row r="31">
      <c r="A31" t="inlineStr">
        <is>
          <t>Other Current Liabilities</t>
        </is>
      </c>
      <c r="B31" s="3" t="n">
        <v>82949000</v>
      </c>
      <c r="C31" s="3" t="n">
        <v>40489000</v>
      </c>
      <c r="D31" s="3" t="n">
        <v>42991000</v>
      </c>
      <c r="E31" s="3" t="n">
        <v>32017000</v>
      </c>
      <c r="F31" s="3" t="n">
        <v>28659000</v>
      </c>
    </row>
    <row r="32">
      <c r="A32" t="inlineStr">
        <is>
          <t>Current Deferred Liabilities</t>
        </is>
      </c>
      <c r="B32" s="3" t="n">
        <v>79607000</v>
      </c>
      <c r="C32" s="3" t="n">
        <v>67543000</v>
      </c>
      <c r="D32" s="3" t="n">
        <v>71167000</v>
      </c>
      <c r="E32" s="3" t="n">
        <v>61269000</v>
      </c>
      <c r="F32" s="3" t="n">
        <v>15952000</v>
      </c>
    </row>
    <row r="33">
      <c r="A33" t="inlineStr">
        <is>
          <t>Current Deferred Revenue</t>
        </is>
      </c>
      <c r="B33" s="3" t="n">
        <v>79607000</v>
      </c>
      <c r="C33" s="3" t="n">
        <v>67543000</v>
      </c>
      <c r="D33" s="3" t="n">
        <v>71167000</v>
      </c>
      <c r="E33" s="3" t="n">
        <v>61269000</v>
      </c>
      <c r="F33" s="3" t="n">
        <v>15952000</v>
      </c>
    </row>
    <row r="34">
      <c r="A34" t="inlineStr">
        <is>
          <t>Current Debt And Capital Lease Obligation</t>
        </is>
      </c>
      <c r="B34" s="3" t="n">
        <v>17594000</v>
      </c>
      <c r="C34" s="3" t="n">
        <v>15569000</v>
      </c>
      <c r="D34" s="3" t="n">
        <v>14829000</v>
      </c>
      <c r="E34" s="3" t="n">
        <v>16759000</v>
      </c>
      <c r="F34" s="3" t="n">
        <v>10479000</v>
      </c>
    </row>
    <row r="35">
      <c r="A35" t="inlineStr">
        <is>
          <t>Current Capital Lease Obligation</t>
        </is>
      </c>
      <c r="B35" s="3" t="n">
        <v>17594000</v>
      </c>
      <c r="C35" s="3" t="n">
        <v>15569000</v>
      </c>
      <c r="D35" s="3" t="n">
        <v>14829000</v>
      </c>
      <c r="E35" s="3" t="n">
        <v>16759000</v>
      </c>
      <c r="F35" s="3" t="n">
        <v>10479000</v>
      </c>
    </row>
    <row r="36">
      <c r="A36" t="inlineStr">
        <is>
          <t>Payables And Accrued Expenses</t>
        </is>
      </c>
      <c r="B36" s="3" t="n">
        <v>259087000</v>
      </c>
      <c r="C36" s="3" t="n">
        <v>185718000</v>
      </c>
      <c r="D36" s="3" t="n">
        <v>199040000</v>
      </c>
      <c r="E36" s="3" t="n">
        <v>164885000</v>
      </c>
      <c r="F36" s="3" t="n">
        <v>117071000</v>
      </c>
    </row>
    <row r="37">
      <c r="A37" t="inlineStr">
        <is>
          <t>Current Accrued Expenses</t>
        </is>
      </c>
      <c r="B37" s="3" t="n">
        <v>98056000</v>
      </c>
      <c r="C37" s="3" t="n">
        <v>75765000</v>
      </c>
      <c r="D37" s="3" t="n">
        <v>79294000</v>
      </c>
      <c r="E37" s="3" t="n">
        <v>73752000</v>
      </c>
      <c r="F37" s="3" t="n">
        <v>44253000</v>
      </c>
    </row>
    <row r="38">
      <c r="A38" t="inlineStr">
        <is>
          <t>Payables</t>
        </is>
      </c>
      <c r="B38" s="3" t="n">
        <v>161031000</v>
      </c>
      <c r="C38" s="3" t="n">
        <v>109953000</v>
      </c>
      <c r="D38" s="3" t="n">
        <v>119746000</v>
      </c>
      <c r="E38" s="3" t="n">
        <v>91133000</v>
      </c>
      <c r="F38" s="3" t="n">
        <v>72818000</v>
      </c>
    </row>
    <row r="39">
      <c r="A39" t="inlineStr">
        <is>
          <t>Total Tax Payable</t>
        </is>
      </c>
      <c r="B39" s="3" t="n">
        <v>524000</v>
      </c>
      <c r="C39" s="3" t="n">
        <v>320000</v>
      </c>
      <c r="D39" s="3" t="n">
        <v>215000</v>
      </c>
      <c r="E39" s="3" t="n">
        <v>0</v>
      </c>
      <c r="F39" s="3" t="n">
        <v>356000</v>
      </c>
    </row>
    <row r="40">
      <c r="A40" t="inlineStr">
        <is>
          <t>Income Tax Payable</t>
        </is>
      </c>
      <c r="B40" s="3" t="n">
        <v>524000</v>
      </c>
      <c r="C40" s="3" t="n">
        <v>320000</v>
      </c>
      <c r="D40" s="3" t="n">
        <v>215000</v>
      </c>
      <c r="E40" s="3" t="n">
        <v>0</v>
      </c>
      <c r="F40" s="3" t="n">
        <v>356000</v>
      </c>
    </row>
    <row r="41">
      <c r="A41" t="inlineStr">
        <is>
          <t>Accounts Payable</t>
        </is>
      </c>
      <c r="B41" s="3" t="n">
        <v>160507000</v>
      </c>
      <c r="C41" s="3" t="n">
        <v>109633000</v>
      </c>
      <c r="D41" s="3" t="n">
        <v>119531000</v>
      </c>
      <c r="E41" s="3" t="n">
        <v>91133000</v>
      </c>
      <c r="F41" s="3" t="n">
        <v>72462000</v>
      </c>
    </row>
    <row r="42">
      <c r="A42" t="inlineStr">
        <is>
          <t>Total Assets</t>
        </is>
      </c>
      <c r="B42" s="3" t="n">
        <v>5716742000</v>
      </c>
      <c r="C42" s="3" t="n">
        <v>5453636000</v>
      </c>
      <c r="D42" s="3" t="n">
        <v>5638466000</v>
      </c>
      <c r="E42" s="3" t="n">
        <v>5624037000</v>
      </c>
      <c r="F42" s="3" t="n">
        <v>1120567000</v>
      </c>
    </row>
    <row r="43">
      <c r="A43" t="inlineStr">
        <is>
          <t>Total Non Current Assets</t>
        </is>
      </c>
      <c r="B43" s="3" t="n">
        <v>3826319000</v>
      </c>
      <c r="C43" s="3" t="n">
        <v>3749389000</v>
      </c>
      <c r="D43" s="3" t="n">
        <v>3972009000</v>
      </c>
      <c r="E43" s="3" t="n">
        <v>3984698000</v>
      </c>
      <c r="F43" s="3" t="n">
        <v>514051000</v>
      </c>
    </row>
    <row r="44">
      <c r="A44" t="inlineStr">
        <is>
          <t>Other Non Current Assets</t>
        </is>
      </c>
      <c r="B44" s="3" t="n">
        <v>54576000</v>
      </c>
      <c r="C44" s="3" t="n">
        <v>49414000</v>
      </c>
      <c r="D44" s="3" t="n">
        <v>45909000</v>
      </c>
      <c r="E44" s="3" t="n">
        <v>42702000</v>
      </c>
      <c r="F44" s="3" t="n">
        <v>32889000</v>
      </c>
    </row>
    <row r="45">
      <c r="A45" t="inlineStr">
        <is>
          <t>Non Current Deferred Assets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61460000</v>
      </c>
    </row>
    <row r="46">
      <c r="A46" t="inlineStr">
        <is>
          <t>Non Current Deferred Taxes Assets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61460000</v>
      </c>
    </row>
    <row r="47">
      <c r="A47" t="inlineStr">
        <is>
          <t>Investments And Advances</t>
        </is>
      </c>
      <c r="B47" s="3" t="n">
        <v>81128000</v>
      </c>
      <c r="C47" s="3" t="n">
        <v>61659000</v>
      </c>
      <c r="D47" s="3" t="n">
        <v>80970000</v>
      </c>
      <c r="E47" s="3" t="n">
        <v>36267000</v>
      </c>
      <c r="F47" s="3" t="n">
        <v>31627000</v>
      </c>
    </row>
    <row r="48">
      <c r="A48" t="inlineStr">
        <is>
          <t>Investmentin Financial Assets</t>
        </is>
      </c>
      <c r="B48" s="3" t="n">
        <v>29059000</v>
      </c>
      <c r="C48" s="3" t="n">
        <v>25736000</v>
      </c>
      <c r="D48" s="3" t="n">
        <v>45283000</v>
      </c>
      <c r="E48" s="3" t="n">
        <v>3905000</v>
      </c>
      <c r="F48" s="3" t="n">
        <v>1204000</v>
      </c>
    </row>
    <row r="49">
      <c r="A49" t="inlineStr">
        <is>
          <t>Available For Sale Securities</t>
        </is>
      </c>
      <c r="B49" s="3" t="n">
        <v>29059000</v>
      </c>
      <c r="C49" s="3" t="n">
        <v>25736000</v>
      </c>
      <c r="D49" s="3" t="n">
        <v>45283000</v>
      </c>
      <c r="E49" s="3" t="n">
        <v>3905000</v>
      </c>
      <c r="F49" s="3" t="n">
        <v>1204000</v>
      </c>
    </row>
    <row r="50">
      <c r="A50" t="inlineStr">
        <is>
          <t>Long Term Equity Investment</t>
        </is>
      </c>
      <c r="B50" s="3" t="n">
        <v>52069000</v>
      </c>
      <c r="C50" s="3" t="n">
        <v>35923000</v>
      </c>
      <c r="D50" s="3" t="n">
        <v>35687000</v>
      </c>
      <c r="E50" s="3" t="n">
        <v>32362000</v>
      </c>
      <c r="F50" s="3" t="n">
        <v>30423000</v>
      </c>
    </row>
    <row r="51">
      <c r="A51" t="inlineStr">
        <is>
          <t>Goodwill And Other Intangible Assets</t>
        </is>
      </c>
      <c r="B51" s="3" t="n">
        <v>3423504000</v>
      </c>
      <c r="C51" s="3" t="n">
        <v>3387639000</v>
      </c>
      <c r="D51" s="3" t="n">
        <v>3595456000</v>
      </c>
      <c r="E51" s="3" t="n">
        <v>3658408000</v>
      </c>
      <c r="F51" s="3" t="n">
        <v>305492000</v>
      </c>
    </row>
    <row r="52">
      <c r="A52" t="inlineStr">
        <is>
          <t>Other Intangible Assets</t>
        </is>
      </c>
      <c r="B52" s="3" t="n">
        <v>929826000</v>
      </c>
      <c r="C52" s="3" t="n">
        <v>925925000</v>
      </c>
      <c r="D52" s="3" t="n">
        <v>971787000</v>
      </c>
      <c r="E52" s="3" t="n">
        <v>1118848000</v>
      </c>
      <c r="F52" s="3" t="n">
        <v>48711000</v>
      </c>
    </row>
    <row r="53">
      <c r="A53" t="inlineStr">
        <is>
          <t>Goodwill</t>
        </is>
      </c>
      <c r="B53" s="3" t="n">
        <v>2493678000</v>
      </c>
      <c r="C53" s="3" t="n">
        <v>2461714000</v>
      </c>
      <c r="D53" s="3" t="n">
        <v>2623669000</v>
      </c>
      <c r="E53" s="3" t="n">
        <v>2539560000</v>
      </c>
      <c r="F53" s="3" t="n">
        <v>256781000</v>
      </c>
    </row>
    <row r="54">
      <c r="A54" t="inlineStr">
        <is>
          <t>Net PPE</t>
        </is>
      </c>
      <c r="B54" s="3" t="n">
        <v>267111000</v>
      </c>
      <c r="C54" s="3" t="n">
        <v>250677000</v>
      </c>
      <c r="D54" s="3" t="n">
        <v>249674000</v>
      </c>
      <c r="E54" s="3" t="n">
        <v>247321000</v>
      </c>
      <c r="F54" s="3" t="n">
        <v>82583000</v>
      </c>
    </row>
    <row r="55">
      <c r="A55" t="inlineStr">
        <is>
          <t>Accumulated Depreciation</t>
        </is>
      </c>
      <c r="B55" s="3" t="n">
        <v>-206254000</v>
      </c>
      <c r="C55" s="3" t="n"/>
      <c r="D55" s="3" t="n"/>
      <c r="E55" s="3" t="n"/>
      <c r="F55" s="3" t="n">
        <v>-179735000</v>
      </c>
    </row>
    <row r="56">
      <c r="A56" t="inlineStr">
        <is>
          <t>Gross PPE</t>
        </is>
      </c>
      <c r="B56" s="3" t="n">
        <v>473365000</v>
      </c>
      <c r="C56" s="3" t="n">
        <v>250677000</v>
      </c>
      <c r="D56" s="3" t="n">
        <v>249674000</v>
      </c>
      <c r="E56" s="3" t="n">
        <v>247321000</v>
      </c>
      <c r="F56" s="3" t="n">
        <v>262318000</v>
      </c>
    </row>
    <row r="57">
      <c r="A57" t="inlineStr">
        <is>
          <t>Construction In Progress</t>
        </is>
      </c>
      <c r="B57" s="3" t="n">
        <v>24622000</v>
      </c>
      <c r="C57" s="3" t="n"/>
      <c r="D57" s="3" t="n"/>
      <c r="E57" s="3" t="n"/>
      <c r="F57" s="3" t="n">
        <v>8304000</v>
      </c>
    </row>
    <row r="58">
      <c r="A58" t="inlineStr">
        <is>
          <t>Other Properties</t>
        </is>
      </c>
      <c r="B58" s="3" t="n">
        <v>104379000</v>
      </c>
      <c r="C58" s="3" t="n">
        <v>250677000</v>
      </c>
      <c r="D58" s="3" t="n">
        <v>249674000</v>
      </c>
      <c r="E58" s="3" t="n">
        <v>247321000</v>
      </c>
      <c r="F58" s="3" t="n">
        <v>33365000</v>
      </c>
    </row>
    <row r="59">
      <c r="A59" t="inlineStr">
        <is>
          <t>Machinery Furniture Equipment</t>
        </is>
      </c>
      <c r="B59" s="3" t="n">
        <v>259221000</v>
      </c>
      <c r="C59" s="3" t="n"/>
      <c r="D59" s="3" t="n"/>
      <c r="E59" s="3" t="n"/>
      <c r="F59" s="3" t="n">
        <v>189177000</v>
      </c>
    </row>
    <row r="60">
      <c r="A60" t="inlineStr">
        <is>
          <t>Properties</t>
        </is>
      </c>
      <c r="B60" s="3" t="n">
        <v>85143000</v>
      </c>
      <c r="C60" s="3" t="n"/>
      <c r="D60" s="3" t="n"/>
      <c r="E60" s="3" t="n"/>
      <c r="F60" s="3" t="n">
        <v>31472000</v>
      </c>
    </row>
    <row r="61">
      <c r="A61" t="inlineStr">
        <is>
          <t>Current Assets</t>
        </is>
      </c>
      <c r="B61" s="3" t="n">
        <v>1890423000</v>
      </c>
      <c r="C61" s="3" t="n">
        <v>1704247000</v>
      </c>
      <c r="D61" s="3" t="n">
        <v>1666457000</v>
      </c>
      <c r="E61" s="3" t="n">
        <v>1639339000</v>
      </c>
      <c r="F61" s="3" t="n">
        <v>606516000</v>
      </c>
    </row>
    <row r="62">
      <c r="A62" t="inlineStr">
        <is>
          <t>Other Current Assets</t>
        </is>
      </c>
      <c r="B62" s="3" t="n">
        <v>52485000</v>
      </c>
      <c r="C62" s="3" t="n">
        <v>45199000</v>
      </c>
      <c r="D62" s="3" t="n">
        <v>46490000</v>
      </c>
      <c r="E62" s="3" t="n">
        <v>37707000</v>
      </c>
      <c r="F62" s="3" t="n">
        <v>28966000</v>
      </c>
    </row>
    <row r="63">
      <c r="A63" t="inlineStr">
        <is>
          <t>Inventory</t>
        </is>
      </c>
      <c r="B63" s="3" t="n">
        <v>312856000</v>
      </c>
      <c r="C63" s="3" t="n">
        <v>299277000</v>
      </c>
      <c r="D63" s="3" t="n">
        <v>259213000</v>
      </c>
      <c r="E63" s="3" t="n">
        <v>232888000</v>
      </c>
      <c r="F63" s="3" t="n">
        <v>144090000</v>
      </c>
    </row>
    <row r="64">
      <c r="A64" t="inlineStr">
        <is>
          <t>Inventories Adjustments Allowances</t>
        </is>
      </c>
      <c r="B64" s="3" t="n">
        <v>-36590000</v>
      </c>
      <c r="C64" s="3" t="n">
        <v>-35636000</v>
      </c>
      <c r="D64" s="3" t="n">
        <v>-39105000</v>
      </c>
      <c r="E64" s="3" t="n">
        <v>-38379000</v>
      </c>
      <c r="F64" s="3" t="n">
        <v>-28672000</v>
      </c>
    </row>
    <row r="65">
      <c r="A65" t="inlineStr">
        <is>
          <t>Finished Goods</t>
        </is>
      </c>
      <c r="B65" s="3" t="n">
        <v>119957000</v>
      </c>
      <c r="C65" s="3" t="n">
        <v>97189000</v>
      </c>
      <c r="D65" s="3" t="n">
        <v>81786000</v>
      </c>
      <c r="E65" s="3" t="n">
        <v>61420000</v>
      </c>
      <c r="F65" s="3" t="n">
        <v>46761000</v>
      </c>
    </row>
    <row r="66">
      <c r="A66" t="inlineStr">
        <is>
          <t>Work In Process</t>
        </is>
      </c>
      <c r="B66" s="3" t="n">
        <v>73289000</v>
      </c>
      <c r="C66" s="3" t="n">
        <v>80709000</v>
      </c>
      <c r="D66" s="3" t="n">
        <v>82155000</v>
      </c>
      <c r="E66" s="3" t="n">
        <v>95925000</v>
      </c>
      <c r="F66" s="3" t="n">
        <v>73434000</v>
      </c>
    </row>
    <row r="67">
      <c r="A67" t="inlineStr">
        <is>
          <t>Raw Materials</t>
        </is>
      </c>
      <c r="B67" s="3" t="n">
        <v>156200000</v>
      </c>
      <c r="C67" s="3" t="n">
        <v>157015000</v>
      </c>
      <c r="D67" s="3" t="n">
        <v>134377000</v>
      </c>
      <c r="E67" s="3" t="n">
        <v>113922000</v>
      </c>
      <c r="F67" s="3" t="n">
        <v>52567000</v>
      </c>
    </row>
    <row r="68">
      <c r="A68" t="inlineStr">
        <is>
          <t>Receivables</t>
        </is>
      </c>
      <c r="B68" s="3" t="n">
        <v>892785000</v>
      </c>
      <c r="C68" s="3" t="n">
        <v>772634000</v>
      </c>
      <c r="D68" s="3" t="n">
        <v>772274000</v>
      </c>
      <c r="E68" s="3" t="n">
        <v>682941000</v>
      </c>
      <c r="F68" s="3" t="n">
        <v>392598000</v>
      </c>
    </row>
    <row r="69">
      <c r="A69" t="inlineStr">
        <is>
          <t>Other Receivables</t>
        </is>
      </c>
      <c r="B69" s="3" t="n">
        <v>570408000</v>
      </c>
      <c r="C69" s="3" t="n">
        <v>528557000</v>
      </c>
      <c r="D69" s="3" t="n">
        <v>513486000</v>
      </c>
      <c r="E69" s="3" t="n">
        <v>463870000</v>
      </c>
      <c r="F69" s="3" t="n">
        <v>290009000</v>
      </c>
    </row>
    <row r="70">
      <c r="A70" t="inlineStr">
        <is>
          <t>Taxes Receivable</t>
        </is>
      </c>
      <c r="B70" s="3" t="n">
        <v>6210000</v>
      </c>
      <c r="C70" s="3" t="n">
        <v>43031000</v>
      </c>
      <c r="D70" s="3" t="n">
        <v>26446000</v>
      </c>
      <c r="E70" s="3" t="n">
        <v>20778000</v>
      </c>
      <c r="F70" s="3" t="n">
        <v>622000</v>
      </c>
    </row>
    <row r="71">
      <c r="A71" t="inlineStr">
        <is>
          <t>Accounts Receivable</t>
        </is>
      </c>
      <c r="B71" s="3" t="n">
        <v>316167000</v>
      </c>
      <c r="C71" s="3" t="n">
        <v>201046000</v>
      </c>
      <c r="D71" s="3" t="n">
        <v>232342000</v>
      </c>
      <c r="E71" s="3" t="n">
        <v>198293000</v>
      </c>
      <c r="F71" s="3" t="n">
        <v>101967000</v>
      </c>
    </row>
    <row r="72">
      <c r="A72" t="inlineStr">
        <is>
          <t>Allowance For Doubtful Accounts Receivable</t>
        </is>
      </c>
      <c r="B72" s="3" t="n">
        <v>-1961000</v>
      </c>
      <c r="C72" s="3" t="n">
        <v>-2213000</v>
      </c>
      <c r="D72" s="3" t="n">
        <v>-2601000</v>
      </c>
      <c r="E72" s="3" t="n">
        <v>-773000</v>
      </c>
      <c r="F72" s="3" t="n">
        <v>-203000</v>
      </c>
    </row>
    <row r="73">
      <c r="A73" t="inlineStr">
        <is>
          <t>Gross Accounts Receivable</t>
        </is>
      </c>
      <c r="B73" s="3" t="n">
        <v>318128000</v>
      </c>
      <c r="C73" s="3" t="n">
        <v>203259000</v>
      </c>
      <c r="D73" s="3" t="n">
        <v>234943000</v>
      </c>
      <c r="E73" s="3" t="n">
        <v>199066000</v>
      </c>
      <c r="F73" s="3" t="n">
        <v>102170000</v>
      </c>
    </row>
    <row r="74">
      <c r="A74" t="inlineStr">
        <is>
          <t>Cash Cash Equivalents And Short Term Investments</t>
        </is>
      </c>
      <c r="B74" s="3" t="n">
        <v>632297000</v>
      </c>
      <c r="C74" s="3" t="n">
        <v>587137000</v>
      </c>
      <c r="D74" s="3" t="n">
        <v>588480000</v>
      </c>
      <c r="E74" s="3" t="n">
        <v>685803000</v>
      </c>
      <c r="F74" s="3" t="n">
        <v>40862000</v>
      </c>
    </row>
    <row r="75">
      <c r="A75" t="inlineStr">
        <is>
          <t>Other Short Term Investments</t>
        </is>
      </c>
      <c r="B75" s="3" t="n">
        <v>254972000</v>
      </c>
      <c r="C75" s="3" t="n">
        <v>297259000</v>
      </c>
      <c r="D75" s="3" t="n">
        <v>229046000</v>
      </c>
      <c r="E75" s="3" t="n"/>
      <c r="F75" s="3" t="n">
        <v>0</v>
      </c>
    </row>
    <row r="76">
      <c r="A76" t="inlineStr">
        <is>
          <t>Cash And Cash Equivalents</t>
        </is>
      </c>
      <c r="B76" s="3" t="n">
        <v>377325000</v>
      </c>
      <c r="C76" s="3" t="n">
        <v>289878000</v>
      </c>
      <c r="D76" s="3" t="n">
        <v>359434000</v>
      </c>
      <c r="E76" s="3" t="n">
        <v>685803000</v>
      </c>
      <c r="F76" s="3" t="n">
        <v>40862000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2026-04-30</t>
        </is>
      </c>
      <c r="C1" s="1" t="inlineStr">
        <is>
          <t>2025-04-30</t>
        </is>
      </c>
      <c r="D1" s="1" t="inlineStr">
        <is>
          <t>2024-04-30</t>
        </is>
      </c>
      <c r="E1" s="1" t="inlineStr">
        <is>
          <t>2023-04-30</t>
        </is>
      </c>
      <c r="F1" s="1" t="inlineStr">
        <is>
          <t>2022-04-30</t>
        </is>
      </c>
    </row>
    <row r="2">
      <c r="A2" t="inlineStr">
        <is>
          <t>Free Cash Flow</t>
        </is>
      </c>
      <c r="B2" s="3" t="n">
        <v>-164622000</v>
      </c>
      <c r="C2" s="3" t="n">
        <v>-24134000</v>
      </c>
      <c r="D2" s="3" t="n">
        <v>-9191000</v>
      </c>
      <c r="E2" s="3" t="n">
        <v>-3468000</v>
      </c>
      <c r="F2" s="3" t="n"/>
    </row>
    <row r="3">
      <c r="A3" t="inlineStr">
        <is>
          <t>Repayment Of Debt</t>
        </is>
      </c>
      <c r="B3" s="3" t="n">
        <v>-965000000</v>
      </c>
      <c r="C3" s="3" t="n">
        <v>-38000000</v>
      </c>
      <c r="D3" s="3" t="n">
        <v>-107000000</v>
      </c>
      <c r="E3" s="3" t="n">
        <v>-55000000</v>
      </c>
      <c r="F3" s="3" t="n"/>
    </row>
    <row r="4">
      <c r="A4" t="inlineStr">
        <is>
          <t>Issuance Of Debt</t>
        </is>
      </c>
      <c r="B4" s="3" t="n">
        <v>1654085000</v>
      </c>
      <c r="C4" s="3" t="n">
        <v>40000000</v>
      </c>
      <c r="D4" s="3" t="n">
        <v>0</v>
      </c>
      <c r="E4" s="3" t="n">
        <v>0</v>
      </c>
      <c r="F4" s="3" t="n"/>
    </row>
    <row r="5">
      <c r="A5" t="inlineStr">
        <is>
          <t>Issuance Of Capital Stock</t>
        </is>
      </c>
      <c r="B5" s="3" t="n">
        <v>968515000</v>
      </c>
      <c r="C5" s="3" t="n">
        <v>0</v>
      </c>
      <c r="D5" s="3" t="n">
        <v>88437000</v>
      </c>
      <c r="E5" s="3" t="n">
        <v>104649000</v>
      </c>
      <c r="F5" s="3" t="n"/>
    </row>
    <row r="6">
      <c r="A6" t="inlineStr">
        <is>
          <t>Capital Expenditure</t>
        </is>
      </c>
      <c r="B6" s="3" t="n">
        <v>-86218000</v>
      </c>
      <c r="C6" s="3" t="n">
        <v>-22816000</v>
      </c>
      <c r="D6" s="3" t="n">
        <v>-24483000</v>
      </c>
      <c r="E6" s="3" t="n">
        <v>-14868000</v>
      </c>
      <c r="F6" s="3" t="n"/>
    </row>
    <row r="7">
      <c r="A7" t="inlineStr">
        <is>
          <t>Interest Paid Supplemental Data</t>
        </is>
      </c>
      <c r="B7" s="3" t="n">
        <v>12847000</v>
      </c>
      <c r="C7" s="3" t="n">
        <v>1757000</v>
      </c>
      <c r="D7" s="3" t="n">
        <v>6823000</v>
      </c>
      <c r="E7" s="3" t="n">
        <v>10229000</v>
      </c>
      <c r="F7" s="3" t="n"/>
    </row>
    <row r="8">
      <c r="A8" t="inlineStr">
        <is>
          <t>Income Tax Paid Supplemental Data</t>
        </is>
      </c>
      <c r="B8" s="3" t="n">
        <v>3606000</v>
      </c>
      <c r="C8" s="3" t="n">
        <v>24631000</v>
      </c>
      <c r="D8" s="3" t="n">
        <v>20438000</v>
      </c>
      <c r="E8" s="3" t="n">
        <v>2911000</v>
      </c>
      <c r="F8" s="3" t="n"/>
    </row>
    <row r="9">
      <c r="A9" t="inlineStr">
        <is>
          <t>End Cash Position</t>
        </is>
      </c>
      <c r="B9" s="3" t="n">
        <v>377325000</v>
      </c>
      <c r="C9" s="3" t="n">
        <v>40862000</v>
      </c>
      <c r="D9" s="3" t="n">
        <v>73301000</v>
      </c>
      <c r="E9" s="3" t="n">
        <v>132859000</v>
      </c>
      <c r="F9" s="3" t="n"/>
    </row>
    <row r="10">
      <c r="A10" t="inlineStr">
        <is>
          <t>Beginning Cash Position</t>
        </is>
      </c>
      <c r="B10" s="3" t="n">
        <v>40862000</v>
      </c>
      <c r="C10" s="3" t="n">
        <v>73301000</v>
      </c>
      <c r="D10" s="3" t="n">
        <v>132859000</v>
      </c>
      <c r="E10" s="3" t="n">
        <v>77231000</v>
      </c>
      <c r="F10" s="3" t="n"/>
    </row>
    <row r="11">
      <c r="A11" t="inlineStr">
        <is>
          <t>Effect Of Exchange Rate Changes</t>
        </is>
      </c>
      <c r="B11" s="3" t="n">
        <v>360000</v>
      </c>
      <c r="C11" s="3" t="n">
        <v>225000</v>
      </c>
      <c r="D11" s="3" t="n">
        <v>-284000</v>
      </c>
      <c r="E11" s="3" t="n">
        <v>397000</v>
      </c>
      <c r="F11" s="3" t="n"/>
    </row>
    <row r="12">
      <c r="A12" t="inlineStr">
        <is>
          <t>Changes In Cash</t>
        </is>
      </c>
      <c r="B12" s="3" t="n">
        <v>336103000</v>
      </c>
      <c r="C12" s="3" t="n">
        <v>-32664000</v>
      </c>
      <c r="D12" s="3" t="n">
        <v>-59274000</v>
      </c>
      <c r="E12" s="3" t="n">
        <v>55231000</v>
      </c>
      <c r="F12" s="3" t="n"/>
    </row>
    <row r="13">
      <c r="A13" t="inlineStr">
        <is>
          <t>Financing Cash Flow</t>
        </is>
      </c>
      <c r="B13" s="3" t="n">
        <v>1647178000</v>
      </c>
      <c r="C13" s="3" t="n">
        <v>-2856000</v>
      </c>
      <c r="D13" s="3" t="n">
        <v>-22852000</v>
      </c>
      <c r="E13" s="3" t="n">
        <v>50834000</v>
      </c>
      <c r="F13" s="3" t="n"/>
    </row>
    <row r="14">
      <c r="A14" t="inlineStr">
        <is>
          <t>Cash Flow From Continuing Financing Activities</t>
        </is>
      </c>
      <c r="B14" s="3" t="n">
        <v>1647178000</v>
      </c>
      <c r="C14" s="3" t="n">
        <v>-2856000</v>
      </c>
      <c r="D14" s="3" t="n">
        <v>-22852000</v>
      </c>
      <c r="E14" s="3" t="n">
        <v>50834000</v>
      </c>
      <c r="F14" s="3" t="n"/>
    </row>
    <row r="15">
      <c r="A15" t="inlineStr">
        <is>
          <t>Net Other Financing Charges</t>
        </is>
      </c>
      <c r="B15" s="3" t="n">
        <v>-14777000</v>
      </c>
      <c r="C15" s="3" t="n">
        <v>-8607000</v>
      </c>
      <c r="D15" s="3" t="n">
        <v>-4289000</v>
      </c>
      <c r="E15" s="3" t="n">
        <v>-1093000</v>
      </c>
      <c r="F15" s="3" t="n"/>
    </row>
    <row r="16">
      <c r="A16" t="inlineStr">
        <is>
          <t>Proceeds From Stock Option Exercised</t>
        </is>
      </c>
      <c r="B16" s="3" t="n">
        <v>4355000</v>
      </c>
      <c r="C16" s="3" t="n">
        <v>3751000</v>
      </c>
      <c r="D16" s="3" t="n">
        <v>0</v>
      </c>
      <c r="E16" s="3" t="n">
        <v>2278000</v>
      </c>
      <c r="F16" s="3" t="n"/>
    </row>
    <row r="17">
      <c r="A17" t="inlineStr">
        <is>
          <t>Net Common Stock Issuance</t>
        </is>
      </c>
      <c r="B17" s="3" t="n">
        <v>968515000</v>
      </c>
      <c r="C17" s="3" t="n">
        <v>0</v>
      </c>
      <c r="D17" s="3" t="n">
        <v>88437000</v>
      </c>
      <c r="E17" s="3" t="n">
        <v>104649000</v>
      </c>
      <c r="F17" s="3" t="n"/>
    </row>
    <row r="18">
      <c r="A18" t="inlineStr">
        <is>
          <t>Common Stock Issuance</t>
        </is>
      </c>
      <c r="B18" s="3" t="n">
        <v>968515000</v>
      </c>
      <c r="C18" s="3" t="n">
        <v>0</v>
      </c>
      <c r="D18" s="3" t="n">
        <v>88437000</v>
      </c>
      <c r="E18" s="3" t="n">
        <v>104649000</v>
      </c>
      <c r="F18" s="3" t="n"/>
    </row>
    <row r="19">
      <c r="A19" t="inlineStr">
        <is>
          <t>Net Issuance Payments Of Debt</t>
        </is>
      </c>
      <c r="B19" s="3" t="n">
        <v>689085000</v>
      </c>
      <c r="C19" s="3" t="n">
        <v>2000000</v>
      </c>
      <c r="D19" s="3" t="n">
        <v>-107000000</v>
      </c>
      <c r="E19" s="3" t="n">
        <v>-55000000</v>
      </c>
      <c r="F19" s="3" t="n"/>
    </row>
    <row r="20">
      <c r="A20" t="inlineStr">
        <is>
          <t>Net Long Term Debt Issuance</t>
        </is>
      </c>
      <c r="B20" s="3" t="n">
        <v>689085000</v>
      </c>
      <c r="C20" s="3" t="n">
        <v>2000000</v>
      </c>
      <c r="D20" s="3" t="n">
        <v>-107000000</v>
      </c>
      <c r="E20" s="3" t="n">
        <v>-55000000</v>
      </c>
      <c r="F20" s="3" t="n"/>
    </row>
    <row r="21">
      <c r="A21" t="inlineStr">
        <is>
          <t>Long Term Debt Payments</t>
        </is>
      </c>
      <c r="B21" s="3" t="n">
        <v>-965000000</v>
      </c>
      <c r="C21" s="3" t="n">
        <v>-38000000</v>
      </c>
      <c r="D21" s="3" t="n">
        <v>-107000000</v>
      </c>
      <c r="E21" s="3" t="n">
        <v>-55000000</v>
      </c>
      <c r="F21" s="3" t="n"/>
    </row>
    <row r="22">
      <c r="A22" t="inlineStr">
        <is>
          <t>Long Term Debt Issuance</t>
        </is>
      </c>
      <c r="B22" s="3" t="n">
        <v>1654085000</v>
      </c>
      <c r="C22" s="3" t="n">
        <v>40000000</v>
      </c>
      <c r="D22" s="3" t="n">
        <v>0</v>
      </c>
      <c r="E22" s="3" t="n">
        <v>0</v>
      </c>
      <c r="F22" s="3" t="n"/>
    </row>
    <row r="23">
      <c r="A23" t="inlineStr">
        <is>
          <t>Investing Cash Flow</t>
        </is>
      </c>
      <c r="B23" s="3" t="n">
        <v>-1232671000</v>
      </c>
      <c r="C23" s="3" t="n">
        <v>-28490000</v>
      </c>
      <c r="D23" s="3" t="n">
        <v>-51714000</v>
      </c>
      <c r="E23" s="3" t="n">
        <v>-7003000</v>
      </c>
      <c r="F23" s="3" t="n"/>
    </row>
    <row r="24">
      <c r="A24" t="inlineStr">
        <is>
          <t>Cash Flow From Continuing Investing Activities</t>
        </is>
      </c>
      <c r="B24" s="3" t="n">
        <v>-1232671000</v>
      </c>
      <c r="C24" s="3" t="n">
        <v>-28490000</v>
      </c>
      <c r="D24" s="3" t="n">
        <v>-51714000</v>
      </c>
      <c r="E24" s="3" t="n">
        <v>-7003000</v>
      </c>
      <c r="F24" s="3" t="n"/>
    </row>
    <row r="25">
      <c r="A25" t="inlineStr">
        <is>
          <t>Net Other Investing Changes</t>
        </is>
      </c>
      <c r="B25" s="3" t="n"/>
      <c r="C25" s="3" t="n"/>
      <c r="D25" s="3" t="n"/>
      <c r="E25" s="3" t="n">
        <v>-250000</v>
      </c>
      <c r="F25" s="3" t="n">
        <v>4569000</v>
      </c>
    </row>
    <row r="26">
      <c r="A26" t="inlineStr">
        <is>
          <t>Net Investment Purchase And Sale</t>
        </is>
      </c>
      <c r="B26" s="3" t="n">
        <v>-270403000</v>
      </c>
      <c r="C26" s="3" t="n">
        <v>0</v>
      </c>
      <c r="D26" s="3" t="n">
        <v>0</v>
      </c>
      <c r="E26" s="3" t="n">
        <v>19633000</v>
      </c>
      <c r="F26" s="3" t="n"/>
    </row>
    <row r="27">
      <c r="A27" t="inlineStr">
        <is>
          <t>Sale Of Investment</t>
        </is>
      </c>
      <c r="B27" s="3" t="n">
        <v>113714000</v>
      </c>
      <c r="C27" s="3" t="n">
        <v>0</v>
      </c>
      <c r="D27" s="3" t="n">
        <v>0</v>
      </c>
      <c r="E27" s="3" t="n">
        <v>26059000</v>
      </c>
      <c r="F27" s="3" t="n"/>
    </row>
    <row r="28">
      <c r="A28" t="inlineStr">
        <is>
          <t>Purchase Of Investment</t>
        </is>
      </c>
      <c r="B28" s="3" t="n">
        <v>-384117000</v>
      </c>
      <c r="C28" s="3" t="n">
        <v>0</v>
      </c>
      <c r="D28" s="3" t="n">
        <v>0</v>
      </c>
      <c r="E28" s="3" t="n">
        <v>-6426000</v>
      </c>
      <c r="F28" s="3" t="n"/>
    </row>
    <row r="29">
      <c r="A29" t="inlineStr">
        <is>
          <t>Net Business Purchase And Sale</t>
        </is>
      </c>
      <c r="B29" s="3" t="n">
        <v>-876050000</v>
      </c>
      <c r="C29" s="3" t="n">
        <v>-5674000</v>
      </c>
      <c r="D29" s="3" t="n">
        <v>-27231000</v>
      </c>
      <c r="E29" s="3" t="n">
        <v>-11518000</v>
      </c>
      <c r="F29" s="3" t="n"/>
    </row>
    <row r="30">
      <c r="A30" t="inlineStr">
        <is>
          <t>Sale Of Business</t>
        </is>
      </c>
      <c r="B30" s="3" t="n"/>
      <c r="C30" s="3" t="n"/>
      <c r="D30" s="3" t="n">
        <v>0</v>
      </c>
      <c r="E30" s="3" t="n">
        <v>0</v>
      </c>
      <c r="F30" s="3" t="n">
        <v>6497000</v>
      </c>
    </row>
    <row r="31">
      <c r="A31" t="inlineStr">
        <is>
          <t>Purchase Of Business</t>
        </is>
      </c>
      <c r="B31" s="3" t="n">
        <v>-876050000</v>
      </c>
      <c r="C31" s="3" t="n">
        <v>-5674000</v>
      </c>
      <c r="D31" s="3" t="n">
        <v>-27231000</v>
      </c>
      <c r="E31" s="3" t="n">
        <v>-11518000</v>
      </c>
      <c r="F31" s="3" t="n"/>
    </row>
    <row r="32">
      <c r="A32" t="inlineStr">
        <is>
          <t>Net Intangibles Purchase And Sale</t>
        </is>
      </c>
      <c r="B32" s="3" t="n">
        <v>0</v>
      </c>
      <c r="C32" s="3" t="n">
        <v>0</v>
      </c>
      <c r="D32" s="3" t="n">
        <v>-1500000</v>
      </c>
      <c r="E32" s="3" t="n">
        <v>0</v>
      </c>
      <c r="F32" s="3" t="n"/>
    </row>
    <row r="33">
      <c r="A33" t="inlineStr">
        <is>
          <t>Purchase Of Intangibles</t>
        </is>
      </c>
      <c r="B33" s="3" t="n">
        <v>0</v>
      </c>
      <c r="C33" s="3" t="n">
        <v>0</v>
      </c>
      <c r="D33" s="3" t="n">
        <v>-1500000</v>
      </c>
      <c r="E33" s="3" t="n">
        <v>0</v>
      </c>
      <c r="F33" s="3" t="n"/>
    </row>
    <row r="34">
      <c r="A34" t="inlineStr">
        <is>
          <t>Net PPE Purchase And Sale</t>
        </is>
      </c>
      <c r="B34" s="3" t="n">
        <v>-62544000</v>
      </c>
      <c r="C34" s="3" t="n">
        <v>-19547000</v>
      </c>
      <c r="D34" s="3" t="n">
        <v>-22983000</v>
      </c>
      <c r="E34" s="3" t="n">
        <v>-14868000</v>
      </c>
      <c r="F34" s="3" t="n"/>
    </row>
    <row r="35">
      <c r="A35" t="inlineStr">
        <is>
          <t>Sale Of PPE</t>
        </is>
      </c>
      <c r="B35" s="3" t="n"/>
      <c r="C35" s="3" t="n"/>
      <c r="D35" s="3" t="n"/>
      <c r="E35" s="3" t="n"/>
      <c r="F35" s="3" t="n">
        <v>0</v>
      </c>
    </row>
    <row r="36">
      <c r="A36" t="inlineStr">
        <is>
          <t>Purchase Of PPE</t>
        </is>
      </c>
      <c r="B36" s="3" t="n">
        <v>-62544000</v>
      </c>
      <c r="C36" s="3" t="n">
        <v>-19547000</v>
      </c>
      <c r="D36" s="3" t="n">
        <v>-22983000</v>
      </c>
      <c r="E36" s="3" t="n">
        <v>-14868000</v>
      </c>
      <c r="F36" s="3" t="n"/>
    </row>
    <row r="37">
      <c r="A37" t="inlineStr">
        <is>
          <t>Capital Expenditure Reported</t>
        </is>
      </c>
      <c r="B37" s="3" t="n">
        <v>-23674000</v>
      </c>
      <c r="C37" s="3" t="n">
        <v>-3269000</v>
      </c>
      <c r="D37" s="3" t="n">
        <v>0</v>
      </c>
      <c r="E37" s="3" t="n"/>
      <c r="F37" s="3" t="n"/>
    </row>
    <row r="38">
      <c r="A38" t="inlineStr">
        <is>
          <t>Operating Cash Flow</t>
        </is>
      </c>
      <c r="B38" s="3" t="n">
        <v>-78404000</v>
      </c>
      <c r="C38" s="3" t="n">
        <v>-1318000</v>
      </c>
      <c r="D38" s="3" t="n">
        <v>15292000</v>
      </c>
      <c r="E38" s="3" t="n">
        <v>11400000</v>
      </c>
      <c r="F38" s="3" t="n"/>
    </row>
    <row r="39">
      <c r="A39" t="inlineStr">
        <is>
          <t>Cash Flow From Continuing Operating Activities</t>
        </is>
      </c>
      <c r="B39" s="3" t="n">
        <v>-78404000</v>
      </c>
      <c r="C39" s="3" t="n">
        <v>-1318000</v>
      </c>
      <c r="D39" s="3" t="n">
        <v>15292000</v>
      </c>
      <c r="E39" s="3" t="n">
        <v>11400000</v>
      </c>
      <c r="F39" s="3" t="n"/>
    </row>
    <row r="40">
      <c r="A40" t="inlineStr">
        <is>
          <t>Change In Working Capital</t>
        </is>
      </c>
      <c r="B40" s="3" t="n">
        <v>-354950000</v>
      </c>
      <c r="C40" s="3" t="n">
        <v>-118275000</v>
      </c>
      <c r="D40" s="3" t="n">
        <v>-106830000</v>
      </c>
      <c r="E40" s="3" t="n">
        <v>-84191000</v>
      </c>
      <c r="F40" s="3" t="n"/>
    </row>
    <row r="41">
      <c r="A41" t="inlineStr">
        <is>
          <t>Change In Other Current Liabilities</t>
        </is>
      </c>
      <c r="B41" s="3" t="n">
        <v>37560000</v>
      </c>
      <c r="C41" s="3" t="n">
        <v>303000</v>
      </c>
      <c r="D41" s="3" t="n">
        <v>-2832000</v>
      </c>
      <c r="E41" s="3" t="n">
        <v>-2635000</v>
      </c>
      <c r="F41" s="3" t="n"/>
    </row>
    <row r="42">
      <c r="A42" t="inlineStr">
        <is>
          <t>Change In Payables And Accrued Expense</t>
        </is>
      </c>
      <c r="B42" s="3" t="n">
        <v>28081000</v>
      </c>
      <c r="C42" s="3" t="n">
        <v>22331000</v>
      </c>
      <c r="D42" s="3" t="n">
        <v>12968000</v>
      </c>
      <c r="E42" s="3" t="n">
        <v>12538000</v>
      </c>
      <c r="F42" s="3" t="n"/>
    </row>
    <row r="43">
      <c r="A43" t="inlineStr">
        <is>
          <t>Change In Payable</t>
        </is>
      </c>
      <c r="B43" s="3" t="n">
        <v>28081000</v>
      </c>
      <c r="C43" s="3" t="n">
        <v>22331000</v>
      </c>
      <c r="D43" s="3" t="n">
        <v>12968000</v>
      </c>
      <c r="E43" s="3" t="n">
        <v>12538000</v>
      </c>
      <c r="F43" s="3" t="n"/>
    </row>
    <row r="44">
      <c r="A44" t="inlineStr">
        <is>
          <t>Change In Account Payable</t>
        </is>
      </c>
      <c r="B44" s="3" t="n">
        <v>28081000</v>
      </c>
      <c r="C44" s="3" t="n">
        <v>22331000</v>
      </c>
      <c r="D44" s="3" t="n">
        <v>12968000</v>
      </c>
      <c r="E44" s="3" t="n">
        <v>12538000</v>
      </c>
      <c r="F44" s="3" t="n"/>
    </row>
    <row r="45">
      <c r="A45" t="inlineStr">
        <is>
          <t>Change In Prepaid Assets</t>
        </is>
      </c>
      <c r="B45" s="3" t="n">
        <v>-19940000</v>
      </c>
      <c r="C45" s="3" t="n">
        <v>-21010000</v>
      </c>
      <c r="D45" s="3" t="n">
        <v>-20279000</v>
      </c>
      <c r="E45" s="3" t="n">
        <v>-3821000</v>
      </c>
      <c r="F45" s="3" t="n"/>
    </row>
    <row r="46">
      <c r="A46" t="inlineStr">
        <is>
          <t>Change In Inventory</t>
        </is>
      </c>
      <c r="B46" s="3" t="n">
        <v>-111610000</v>
      </c>
      <c r="C46" s="3" t="n">
        <v>2966000</v>
      </c>
      <c r="D46" s="3" t="n">
        <v>-23045000</v>
      </c>
      <c r="E46" s="3" t="n">
        <v>-61846000</v>
      </c>
      <c r="F46" s="3" t="n"/>
    </row>
    <row r="47">
      <c r="A47" t="inlineStr">
        <is>
          <t>Change In Receivables</t>
        </is>
      </c>
      <c r="B47" s="3" t="n">
        <v>-289041000</v>
      </c>
      <c r="C47" s="3" t="n">
        <v>-122865000</v>
      </c>
      <c r="D47" s="3" t="n">
        <v>-73642000</v>
      </c>
      <c r="E47" s="3" t="n">
        <v>-28427000</v>
      </c>
      <c r="F47" s="3" t="n"/>
    </row>
    <row r="48">
      <c r="A48" t="inlineStr">
        <is>
          <t>Changes In Account Receivables</t>
        </is>
      </c>
      <c r="B48" s="3" t="n">
        <v>-128697000</v>
      </c>
      <c r="C48" s="3" t="n">
        <v>-31761000</v>
      </c>
      <c r="D48" s="3" t="n">
        <v>19208000</v>
      </c>
      <c r="E48" s="3" t="n">
        <v>-27423000</v>
      </c>
      <c r="F48" s="3" t="n"/>
    </row>
    <row r="49">
      <c r="A49" t="inlineStr">
        <is>
          <t>Other Non Cash Items</t>
        </is>
      </c>
      <c r="B49" s="3" t="n">
        <v>42140000</v>
      </c>
      <c r="C49" s="3" t="n">
        <v>13964000</v>
      </c>
      <c r="D49" s="3" t="n">
        <v>12725000</v>
      </c>
      <c r="E49" s="3" t="n">
        <v>10888000</v>
      </c>
      <c r="F49" s="3" t="n"/>
    </row>
    <row r="50">
      <c r="A50" t="inlineStr">
        <is>
          <t>Stock Based Compensation</t>
        </is>
      </c>
      <c r="B50" s="3" t="n">
        <v>38334000</v>
      </c>
      <c r="C50" s="3" t="n">
        <v>21461000</v>
      </c>
      <c r="D50" s="3" t="n">
        <v>17069000</v>
      </c>
      <c r="E50" s="3" t="n">
        <v>10765000</v>
      </c>
      <c r="F50" s="3" t="n"/>
    </row>
    <row r="51">
      <c r="A51" t="inlineStr">
        <is>
          <t>Unrealized Gain Loss On Investment Securities</t>
        </is>
      </c>
      <c r="B51" s="3" t="n">
        <v>-11720000</v>
      </c>
      <c r="C51" s="3" t="n">
        <v>-177000</v>
      </c>
      <c r="D51" s="3" t="n">
        <v>3945000</v>
      </c>
      <c r="E51" s="3" t="n">
        <v>132000</v>
      </c>
      <c r="F51" s="3" t="n"/>
    </row>
    <row r="52">
      <c r="A52" t="inlineStr">
        <is>
          <t>Provisionand Write Offof Assets</t>
        </is>
      </c>
      <c r="B52" s="3" t="n">
        <v>10446000</v>
      </c>
      <c r="C52" s="3" t="n">
        <v>2925000</v>
      </c>
      <c r="D52" s="3" t="n">
        <v>13941000</v>
      </c>
      <c r="E52" s="3" t="n">
        <v>8235000</v>
      </c>
      <c r="F52" s="3" t="n"/>
    </row>
    <row r="53">
      <c r="A53" t="inlineStr">
        <is>
          <t>Asset Impairment Charge</t>
        </is>
      </c>
      <c r="B53" s="3" t="n">
        <v>240708000</v>
      </c>
      <c r="C53" s="3" t="n">
        <v>18359000</v>
      </c>
      <c r="D53" s="3" t="n">
        <v>0</v>
      </c>
      <c r="E53" s="3" t="n">
        <v>156017000</v>
      </c>
      <c r="F53" s="3" t="n"/>
    </row>
    <row r="54">
      <c r="A54" t="inlineStr">
        <is>
          <t>Amortization Of Securities</t>
        </is>
      </c>
      <c r="B54" s="3" t="n">
        <v>-879000</v>
      </c>
      <c r="C54" s="3" t="n">
        <v>0</v>
      </c>
      <c r="D54" s="3" t="n">
        <v>0</v>
      </c>
      <c r="E54" s="3" t="n">
        <v>125000</v>
      </c>
      <c r="F54" s="3" t="n"/>
    </row>
    <row r="55">
      <c r="A55" t="inlineStr">
        <is>
          <t>Deferred Tax</t>
        </is>
      </c>
      <c r="B55" s="3" t="n">
        <v>-27111000</v>
      </c>
      <c r="C55" s="3" t="n">
        <v>-20157000</v>
      </c>
      <c r="D55" s="3" t="n">
        <v>-23290000</v>
      </c>
      <c r="E55" s="3" t="n">
        <v>-18661000</v>
      </c>
      <c r="F55" s="3" t="n"/>
    </row>
    <row r="56">
      <c r="A56" t="inlineStr">
        <is>
          <t>Deferred Income Tax</t>
        </is>
      </c>
      <c r="B56" s="3" t="n">
        <v>-27111000</v>
      </c>
      <c r="C56" s="3" t="n">
        <v>-20157000</v>
      </c>
      <c r="D56" s="3" t="n">
        <v>-23290000</v>
      </c>
      <c r="E56" s="3" t="n">
        <v>-18661000</v>
      </c>
      <c r="F56" s="3" t="n"/>
    </row>
    <row r="57">
      <c r="A57" t="inlineStr">
        <is>
          <t>Depreciation Amortization Depletion</t>
        </is>
      </c>
      <c r="B57" s="3" t="n">
        <v>265037000</v>
      </c>
      <c r="C57" s="3" t="n">
        <v>40998000</v>
      </c>
      <c r="D57" s="3" t="n">
        <v>35749000</v>
      </c>
      <c r="E57" s="3" t="n">
        <v>99999000</v>
      </c>
      <c r="F57" s="3" t="n"/>
    </row>
    <row r="58">
      <c r="A58" t="inlineStr">
        <is>
          <t>Depreciation And Amortization</t>
        </is>
      </c>
      <c r="B58" s="3" t="n">
        <v>265037000</v>
      </c>
      <c r="C58" s="3" t="n">
        <v>40998000</v>
      </c>
      <c r="D58" s="3" t="n">
        <v>35749000</v>
      </c>
      <c r="E58" s="3" t="n">
        <v>99999000</v>
      </c>
      <c r="F58" s="3" t="n"/>
    </row>
    <row r="59">
      <c r="A59" t="inlineStr">
        <is>
          <t>Operating Gains Losses</t>
        </is>
      </c>
      <c r="B59" s="3" t="n">
        <v>-15287000</v>
      </c>
      <c r="C59" s="3" t="n">
        <v>-4035000</v>
      </c>
      <c r="D59" s="3" t="n">
        <v>2317000</v>
      </c>
      <c r="E59" s="3" t="n">
        <v>4258000</v>
      </c>
      <c r="F59" s="3" t="n"/>
    </row>
    <row r="60">
      <c r="A60" t="inlineStr">
        <is>
          <t>Earnings Losses From Equity Investments</t>
        </is>
      </c>
      <c r="B60" s="3" t="n">
        <v>-17441000</v>
      </c>
      <c r="C60" s="3" t="n">
        <v>-4837000</v>
      </c>
      <c r="D60" s="3" t="n">
        <v>1674000</v>
      </c>
      <c r="E60" s="3" t="n">
        <v>2453000</v>
      </c>
      <c r="F60" s="3" t="n"/>
    </row>
    <row r="61">
      <c r="A61" t="inlineStr">
        <is>
          <t>Net Foreign Currency Exchange Gain Loss</t>
        </is>
      </c>
      <c r="B61" s="3" t="n">
        <v>18000</v>
      </c>
      <c r="C61" s="3" t="n">
        <v>491000</v>
      </c>
      <c r="D61" s="3" t="n">
        <v>22000</v>
      </c>
      <c r="E61" s="3" t="n">
        <v>119000</v>
      </c>
      <c r="F61" s="3" t="n"/>
    </row>
    <row r="62">
      <c r="A62" t="inlineStr">
        <is>
          <t>Gain Loss On Sale Of PPE</t>
        </is>
      </c>
      <c r="B62" s="3" t="n">
        <v>2136000</v>
      </c>
      <c r="C62" s="3" t="n">
        <v>311000</v>
      </c>
      <c r="D62" s="3" t="n">
        <v>621000</v>
      </c>
      <c r="E62" s="3" t="n">
        <v>1497000</v>
      </c>
      <c r="F62" s="3" t="n"/>
    </row>
    <row r="63">
      <c r="A63" t="inlineStr">
        <is>
          <t>Gain Loss On Sale Of Business</t>
        </is>
      </c>
      <c r="B63" s="3" t="n"/>
      <c r="C63" s="3" t="n">
        <v>0</v>
      </c>
      <c r="D63" s="3" t="n">
        <v>0</v>
      </c>
      <c r="E63" s="3" t="n">
        <v>189000</v>
      </c>
      <c r="F63" s="3" t="n">
        <v>0</v>
      </c>
    </row>
    <row r="64">
      <c r="A64" t="inlineStr">
        <is>
          <t>Net Income From Continuing Operations</t>
        </is>
      </c>
      <c r="B64" s="3" t="n">
        <v>-265122000</v>
      </c>
      <c r="C64" s="3" t="n">
        <v>43619000</v>
      </c>
      <c r="D64" s="3" t="n">
        <v>59666000</v>
      </c>
      <c r="E64" s="3" t="n">
        <v>-176167000</v>
      </c>
      <c r="F64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2026-04-30</t>
        </is>
      </c>
      <c r="C1" s="1" t="inlineStr">
        <is>
          <t>2026-01-31</t>
        </is>
      </c>
      <c r="D1" s="1" t="inlineStr">
        <is>
          <t>2025-10-31</t>
        </is>
      </c>
      <c r="E1" s="1" t="inlineStr">
        <is>
          <t>2025-07-31</t>
        </is>
      </c>
      <c r="F1" s="1" t="inlineStr">
        <is>
          <t>2025-04-30</t>
        </is>
      </c>
      <c r="G1" s="1" t="inlineStr">
        <is>
          <t>2025-01-31</t>
        </is>
      </c>
    </row>
    <row r="2">
      <c r="A2" t="inlineStr">
        <is>
          <t>Free Cash Flow</t>
        </is>
      </c>
      <c r="B2" s="3" t="n">
        <v>72704000</v>
      </c>
      <c r="C2" s="3" t="n">
        <v>-21713000</v>
      </c>
      <c r="D2" s="3" t="n">
        <v>-59819000</v>
      </c>
      <c r="E2" s="3" t="n">
        <v>-155794000</v>
      </c>
      <c r="F2" s="3" t="n">
        <v>-8788000</v>
      </c>
      <c r="G2" s="3" t="n"/>
    </row>
    <row r="3">
      <c r="A3" t="inlineStr">
        <is>
          <t>Repayment Of Debt</t>
        </is>
      </c>
      <c r="B3" s="3" t="n">
        <v>0</v>
      </c>
      <c r="C3" s="3" t="n">
        <v>0</v>
      </c>
      <c r="D3" s="3" t="n">
        <v>0</v>
      </c>
      <c r="E3" s="3" t="n">
        <v>-965000000</v>
      </c>
      <c r="F3" s="3" t="n">
        <v>-10000000</v>
      </c>
      <c r="G3" s="3" t="n"/>
    </row>
    <row r="4">
      <c r="A4" t="inlineStr">
        <is>
          <t>Issuance Of Debt</t>
        </is>
      </c>
      <c r="B4" s="3" t="n">
        <v>0</v>
      </c>
      <c r="C4" s="3" t="n">
        <v>0</v>
      </c>
      <c r="D4" s="3" t="n">
        <v>0</v>
      </c>
      <c r="E4" s="3" t="n">
        <v>1654085000</v>
      </c>
      <c r="F4" s="3" t="n">
        <v>15000000</v>
      </c>
      <c r="G4" s="3" t="n"/>
    </row>
    <row r="5">
      <c r="A5" t="inlineStr">
        <is>
          <t>Issuance Of Capital Stock</t>
        </is>
      </c>
      <c r="B5" s="3" t="n">
        <v>0</v>
      </c>
      <c r="C5" s="3" t="n">
        <v>0</v>
      </c>
      <c r="D5" s="3" t="n">
        <v>0</v>
      </c>
      <c r="E5" s="3" t="n">
        <v>968515000</v>
      </c>
      <c r="F5" s="3" t="n">
        <v>0</v>
      </c>
      <c r="G5" s="3" t="n"/>
    </row>
    <row r="6">
      <c r="A6" t="inlineStr">
        <is>
          <t>Capital Expenditure</t>
        </is>
      </c>
      <c r="B6" s="3" t="n">
        <v>-22809000</v>
      </c>
      <c r="C6" s="3" t="n">
        <v>-16606000</v>
      </c>
      <c r="D6" s="3" t="n">
        <v>-14735000</v>
      </c>
      <c r="E6" s="3" t="n">
        <v>-32068000</v>
      </c>
      <c r="F6" s="3" t="n">
        <v>-8524000</v>
      </c>
      <c r="G6" s="3" t="n"/>
    </row>
    <row r="7">
      <c r="A7" t="inlineStr">
        <is>
          <t>Interest Paid Supplemental Data</t>
        </is>
      </c>
      <c r="B7" s="3" t="n">
        <v>312000</v>
      </c>
      <c r="C7" s="3" t="n">
        <v>319000</v>
      </c>
      <c r="D7" s="3" t="n">
        <v>362000</v>
      </c>
      <c r="E7" s="3" t="n">
        <v>11854000</v>
      </c>
      <c r="F7" s="3" t="n">
        <v>561000</v>
      </c>
      <c r="G7" s="3" t="n"/>
    </row>
    <row r="8">
      <c r="A8" t="inlineStr">
        <is>
          <t>Income Tax Paid Supplemental Data</t>
        </is>
      </c>
      <c r="B8" s="3" t="n">
        <v>-729000</v>
      </c>
      <c r="C8" s="3" t="n">
        <v>1143000</v>
      </c>
      <c r="D8" s="3" t="n"/>
      <c r="E8" s="3" t="n"/>
      <c r="F8" s="3" t="n">
        <v>5289000</v>
      </c>
      <c r="G8" s="3" t="n">
        <v>4898000</v>
      </c>
    </row>
    <row r="9">
      <c r="A9" t="inlineStr">
        <is>
          <t>End Cash Position</t>
        </is>
      </c>
      <c r="B9" s="3" t="n">
        <v>377325000</v>
      </c>
      <c r="C9" s="3" t="n">
        <v>289878000</v>
      </c>
      <c r="D9" s="3" t="n">
        <v>359434000</v>
      </c>
      <c r="E9" s="3" t="n">
        <v>685803000</v>
      </c>
      <c r="F9" s="3" t="n">
        <v>40862000</v>
      </c>
      <c r="G9" s="3" t="n"/>
    </row>
    <row r="10">
      <c r="A10" t="inlineStr">
        <is>
          <t>Beginning Cash Position</t>
        </is>
      </c>
      <c r="B10" s="3" t="n">
        <v>289878000</v>
      </c>
      <c r="C10" s="3" t="n">
        <v>359434000</v>
      </c>
      <c r="D10" s="3" t="n">
        <v>685803000</v>
      </c>
      <c r="E10" s="3" t="n">
        <v>40862000</v>
      </c>
      <c r="F10" s="3" t="n">
        <v>47000000</v>
      </c>
      <c r="G10" s="3" t="n"/>
    </row>
    <row r="11">
      <c r="A11" t="inlineStr">
        <is>
          <t>Effect Of Exchange Rate Changes</t>
        </is>
      </c>
      <c r="B11" s="3" t="n">
        <v>-284000</v>
      </c>
      <c r="C11" s="3" t="n">
        <v>866000</v>
      </c>
      <c r="D11" s="3" t="n">
        <v>-94000</v>
      </c>
      <c r="E11" s="3" t="n">
        <v>-128000</v>
      </c>
      <c r="F11" s="3" t="n">
        <v>483000</v>
      </c>
      <c r="G11" s="3" t="n"/>
    </row>
    <row r="12">
      <c r="A12" t="inlineStr">
        <is>
          <t>Changes In Cash</t>
        </is>
      </c>
      <c r="B12" s="3" t="n">
        <v>87731000</v>
      </c>
      <c r="C12" s="3" t="n">
        <v>-70422000</v>
      </c>
      <c r="D12" s="3" t="n">
        <v>-326275000</v>
      </c>
      <c r="E12" s="3" t="n">
        <v>645069000</v>
      </c>
      <c r="F12" s="3" t="n">
        <v>-6621000</v>
      </c>
      <c r="G12" s="3" t="n"/>
    </row>
    <row r="13">
      <c r="A13" t="inlineStr">
        <is>
          <t>Financing Cash Flow</t>
        </is>
      </c>
      <c r="B13" s="3" t="n">
        <v>-32000</v>
      </c>
      <c r="C13" s="3" t="n">
        <v>1885000</v>
      </c>
      <c r="D13" s="3" t="n">
        <v>-118000</v>
      </c>
      <c r="E13" s="3" t="n">
        <v>1645443000</v>
      </c>
      <c r="F13" s="3" t="n">
        <v>5532000</v>
      </c>
      <c r="G13" s="3" t="n"/>
    </row>
    <row r="14">
      <c r="A14" t="inlineStr">
        <is>
          <t>Cash Flow From Continuing Financing Activities</t>
        </is>
      </c>
      <c r="B14" s="3" t="n">
        <v>-32000</v>
      </c>
      <c r="C14" s="3" t="n">
        <v>1885000</v>
      </c>
      <c r="D14" s="3" t="n">
        <v>-118000</v>
      </c>
      <c r="E14" s="3" t="n">
        <v>1645443000</v>
      </c>
      <c r="F14" s="3" t="n">
        <v>5532000</v>
      </c>
      <c r="G14" s="3" t="n"/>
    </row>
    <row r="15">
      <c r="A15" t="inlineStr">
        <is>
          <t>Net Other Financing Charges</t>
        </is>
      </c>
      <c r="B15" s="3" t="n">
        <v>-32000</v>
      </c>
      <c r="C15" s="3" t="n">
        <v>-3000</v>
      </c>
      <c r="D15" s="3" t="n">
        <v>-118000</v>
      </c>
      <c r="E15" s="3" t="n">
        <v>-14624000</v>
      </c>
      <c r="F15" s="3" t="n">
        <v>-2713000</v>
      </c>
      <c r="G15" s="3" t="n"/>
    </row>
    <row r="16">
      <c r="A16" t="inlineStr">
        <is>
          <t>Proceeds From Stock Option Exercised</t>
        </is>
      </c>
      <c r="B16" s="3" t="n">
        <v>0</v>
      </c>
      <c r="C16" s="3" t="n">
        <v>1888000</v>
      </c>
      <c r="D16" s="3" t="n">
        <v>0</v>
      </c>
      <c r="E16" s="3" t="n">
        <v>2467000</v>
      </c>
      <c r="F16" s="3" t="n">
        <v>3245000</v>
      </c>
      <c r="G16" s="3" t="n"/>
    </row>
    <row r="17">
      <c r="A17" t="inlineStr">
        <is>
          <t>Net Common Stock Issuance</t>
        </is>
      </c>
      <c r="B17" s="3" t="n">
        <v>0</v>
      </c>
      <c r="C17" s="3" t="n">
        <v>0</v>
      </c>
      <c r="D17" s="3" t="n">
        <v>0</v>
      </c>
      <c r="E17" s="3" t="n">
        <v>968515000</v>
      </c>
      <c r="F17" s="3" t="n">
        <v>0</v>
      </c>
      <c r="G17" s="3" t="n"/>
    </row>
    <row r="18">
      <c r="A18" t="inlineStr">
        <is>
          <t>Common Stock Issuance</t>
        </is>
      </c>
      <c r="B18" s="3" t="n">
        <v>0</v>
      </c>
      <c r="C18" s="3" t="n">
        <v>0</v>
      </c>
      <c r="D18" s="3" t="n">
        <v>0</v>
      </c>
      <c r="E18" s="3" t="n">
        <v>968515000</v>
      </c>
      <c r="F18" s="3" t="n">
        <v>0</v>
      </c>
      <c r="G18" s="3" t="n"/>
    </row>
    <row r="19">
      <c r="A19" t="inlineStr">
        <is>
          <t>Net Issuance Payments Of Debt</t>
        </is>
      </c>
      <c r="B19" s="3" t="n">
        <v>0</v>
      </c>
      <c r="C19" s="3" t="n">
        <v>0</v>
      </c>
      <c r="D19" s="3" t="n">
        <v>0</v>
      </c>
      <c r="E19" s="3" t="n">
        <v>689085000</v>
      </c>
      <c r="F19" s="3" t="n">
        <v>5000000</v>
      </c>
      <c r="G19" s="3" t="n"/>
    </row>
    <row r="20">
      <c r="A20" t="inlineStr">
        <is>
          <t>Net Long Term Debt Issuance</t>
        </is>
      </c>
      <c r="B20" s="3" t="n">
        <v>0</v>
      </c>
      <c r="C20" s="3" t="n">
        <v>0</v>
      </c>
      <c r="D20" s="3" t="n">
        <v>0</v>
      </c>
      <c r="E20" s="3" t="n">
        <v>689085000</v>
      </c>
      <c r="F20" s="3" t="n">
        <v>5000000</v>
      </c>
      <c r="G20" s="3" t="n"/>
    </row>
    <row r="21">
      <c r="A21" t="inlineStr">
        <is>
          <t>Long Term Debt Payments</t>
        </is>
      </c>
      <c r="B21" s="3" t="n">
        <v>0</v>
      </c>
      <c r="C21" s="3" t="n">
        <v>0</v>
      </c>
      <c r="D21" s="3" t="n">
        <v>0</v>
      </c>
      <c r="E21" s="3" t="n">
        <v>-965000000</v>
      </c>
      <c r="F21" s="3" t="n">
        <v>-10000000</v>
      </c>
      <c r="G21" s="3" t="n"/>
    </row>
    <row r="22">
      <c r="A22" t="inlineStr">
        <is>
          <t>Long Term Debt Issuance</t>
        </is>
      </c>
      <c r="B22" s="3" t="n">
        <v>0</v>
      </c>
      <c r="C22" s="3" t="n">
        <v>0</v>
      </c>
      <c r="D22" s="3" t="n">
        <v>0</v>
      </c>
      <c r="E22" s="3" t="n">
        <v>1654085000</v>
      </c>
      <c r="F22" s="3" t="n">
        <v>15000000</v>
      </c>
      <c r="G22" s="3" t="n"/>
    </row>
    <row r="23">
      <c r="A23" t="inlineStr">
        <is>
          <t>Investing Cash Flow</t>
        </is>
      </c>
      <c r="B23" s="3" t="n">
        <v>-7750000</v>
      </c>
      <c r="C23" s="3" t="n">
        <v>-67200000</v>
      </c>
      <c r="D23" s="3" t="n">
        <v>-281073000</v>
      </c>
      <c r="E23" s="3" t="n">
        <v>-876648000</v>
      </c>
      <c r="F23" s="3" t="n">
        <v>-11889000</v>
      </c>
      <c r="G23" s="3" t="n"/>
    </row>
    <row r="24">
      <c r="A24" t="inlineStr">
        <is>
          <t>Cash Flow From Continuing Investing Activities</t>
        </is>
      </c>
      <c r="B24" s="3" t="n">
        <v>-7750000</v>
      </c>
      <c r="C24" s="3" t="n">
        <v>-67200000</v>
      </c>
      <c r="D24" s="3" t="n">
        <v>-281073000</v>
      </c>
      <c r="E24" s="3" t="n">
        <v>-876648000</v>
      </c>
      <c r="F24" s="3" t="n">
        <v>-11889000</v>
      </c>
      <c r="G24" s="3" t="n"/>
    </row>
    <row r="25">
      <c r="A25" t="inlineStr">
        <is>
          <t>Net Investment Purchase And Sale</t>
        </is>
      </c>
      <c r="B25" s="3" t="n">
        <v>43280000</v>
      </c>
      <c r="C25" s="3" t="n">
        <v>-49468000</v>
      </c>
      <c r="D25" s="3" t="n"/>
      <c r="E25" s="3" t="n"/>
      <c r="F25" s="3" t="n"/>
      <c r="G25" s="3" t="n">
        <v>0</v>
      </c>
    </row>
    <row r="26">
      <c r="A26" t="inlineStr">
        <is>
          <t>Sale Of Investment</t>
        </is>
      </c>
      <c r="B26" s="3" t="n">
        <v>92214000</v>
      </c>
      <c r="C26" s="3" t="n"/>
      <c r="D26" s="3" t="n"/>
      <c r="E26" s="3" t="n"/>
      <c r="F26" s="3" t="n"/>
      <c r="G26" s="3" t="n"/>
    </row>
    <row r="27">
      <c r="A27" t="inlineStr">
        <is>
          <t>Purchase Of Investment</t>
        </is>
      </c>
      <c r="B27" s="3" t="n">
        <v>-48934000</v>
      </c>
      <c r="C27" s="3" t="n">
        <v>-70968000</v>
      </c>
      <c r="D27" s="3" t="n"/>
      <c r="E27" s="3" t="n"/>
      <c r="F27" s="3" t="n"/>
      <c r="G27" s="3" t="n">
        <v>0</v>
      </c>
    </row>
    <row r="28">
      <c r="A28" t="inlineStr">
        <is>
          <t>Net Business Purchase And Sale</t>
        </is>
      </c>
      <c r="B28" s="3" t="n">
        <v>-28221000</v>
      </c>
      <c r="C28" s="3" t="n">
        <v>-1126000</v>
      </c>
      <c r="D28" s="3" t="n">
        <v>-2123000</v>
      </c>
      <c r="E28" s="3" t="n">
        <v>-844580000</v>
      </c>
      <c r="F28" s="3" t="n">
        <v>-3365000</v>
      </c>
      <c r="G28" s="3" t="n"/>
    </row>
    <row r="29">
      <c r="A29" t="inlineStr">
        <is>
          <t>Purchase Of Business</t>
        </is>
      </c>
      <c r="B29" s="3" t="n">
        <v>-28221000</v>
      </c>
      <c r="C29" s="3" t="n">
        <v>-1126000</v>
      </c>
      <c r="D29" s="3" t="n">
        <v>-2123000</v>
      </c>
      <c r="E29" s="3" t="n">
        <v>-844580000</v>
      </c>
      <c r="F29" s="3" t="n">
        <v>-3365000</v>
      </c>
      <c r="G29" s="3" t="n"/>
    </row>
    <row r="30">
      <c r="A30" t="inlineStr">
        <is>
          <t>Net Intangibles Purchase And Sale</t>
        </is>
      </c>
      <c r="B30" s="3" t="n"/>
      <c r="C30" s="3" t="n"/>
      <c r="D30" s="3" t="n"/>
      <c r="E30" s="3" t="n"/>
      <c r="F30" s="3" t="n">
        <v>0</v>
      </c>
      <c r="G30" s="3" t="n">
        <v>0</v>
      </c>
    </row>
    <row r="31">
      <c r="A31" t="inlineStr">
        <is>
          <t>Purchase Of Intangibles</t>
        </is>
      </c>
      <c r="B31" s="3" t="n"/>
      <c r="C31" s="3" t="n"/>
      <c r="D31" s="3" t="n"/>
      <c r="E31" s="3" t="n"/>
      <c r="F31" s="3" t="n">
        <v>0</v>
      </c>
      <c r="G31" s="3" t="n">
        <v>0</v>
      </c>
    </row>
    <row r="32">
      <c r="A32" t="inlineStr">
        <is>
          <t>Net PPE Purchase And Sale</t>
        </is>
      </c>
      <c r="B32" s="3" t="n">
        <v>-16410000</v>
      </c>
      <c r="C32" s="3" t="n">
        <v>-12597000</v>
      </c>
      <c r="D32" s="3" t="n">
        <v>-10809000</v>
      </c>
      <c r="E32" s="3" t="n">
        <v>-22728000</v>
      </c>
      <c r="F32" s="3" t="n">
        <v>-8524000</v>
      </c>
      <c r="G32" s="3" t="n"/>
    </row>
    <row r="33">
      <c r="A33" t="inlineStr">
        <is>
          <t>Purchase Of PPE</t>
        </is>
      </c>
      <c r="B33" s="3" t="n">
        <v>-16410000</v>
      </c>
      <c r="C33" s="3" t="n">
        <v>-12597000</v>
      </c>
      <c r="D33" s="3" t="n">
        <v>-10809000</v>
      </c>
      <c r="E33" s="3" t="n">
        <v>-22728000</v>
      </c>
      <c r="F33" s="3" t="n">
        <v>-8524000</v>
      </c>
      <c r="G33" s="3" t="n"/>
    </row>
    <row r="34">
      <c r="A34" t="inlineStr">
        <is>
          <t>Capital Expenditure Reported</t>
        </is>
      </c>
      <c r="B34" s="3" t="n">
        <v>-6399000</v>
      </c>
      <c r="C34" s="3" t="n">
        <v>-4009000</v>
      </c>
      <c r="D34" s="3" t="n">
        <v>-3926000</v>
      </c>
      <c r="E34" s="3" t="n">
        <v>-9340000</v>
      </c>
      <c r="F34" s="3" t="n"/>
      <c r="G34" s="3" t="n">
        <v>0</v>
      </c>
    </row>
    <row r="35">
      <c r="A35" t="inlineStr">
        <is>
          <t>Operating Cash Flow</t>
        </is>
      </c>
      <c r="B35" s="3" t="n">
        <v>95513000</v>
      </c>
      <c r="C35" s="3" t="n">
        <v>-5107000</v>
      </c>
      <c r="D35" s="3" t="n">
        <v>-45084000</v>
      </c>
      <c r="E35" s="3" t="n">
        <v>-123726000</v>
      </c>
      <c r="F35" s="3" t="n">
        <v>-264000</v>
      </c>
      <c r="G35" s="3" t="n"/>
    </row>
    <row r="36">
      <c r="A36" t="inlineStr">
        <is>
          <t>Cash Flow From Continuing Operating Activities</t>
        </is>
      </c>
      <c r="B36" s="3" t="n">
        <v>95513000</v>
      </c>
      <c r="C36" s="3" t="n">
        <v>-5107000</v>
      </c>
      <c r="D36" s="3" t="n">
        <v>-45084000</v>
      </c>
      <c r="E36" s="3" t="n">
        <v>-123726000</v>
      </c>
      <c r="F36" s="3" t="n">
        <v>-264000</v>
      </c>
      <c r="G36" s="3" t="n"/>
    </row>
    <row r="37">
      <c r="A37" t="inlineStr">
        <is>
          <t>Change In Working Capital</t>
        </is>
      </c>
      <c r="B37" s="3" t="n">
        <v>-13745000</v>
      </c>
      <c r="C37" s="3" t="n">
        <v>-71324000</v>
      </c>
      <c r="D37" s="3" t="n">
        <v>-99476000</v>
      </c>
      <c r="E37" s="3" t="n">
        <v>-170405000</v>
      </c>
      <c r="F37" s="3" t="n">
        <v>-37396000</v>
      </c>
      <c r="G37" s="3" t="n"/>
    </row>
    <row r="38">
      <c r="A38" t="inlineStr">
        <is>
          <t>Change In Other Current Liabilities</t>
        </is>
      </c>
      <c r="B38" s="3" t="n">
        <v>54734000</v>
      </c>
      <c r="C38" s="3" t="n">
        <v>-15068000</v>
      </c>
      <c r="D38" s="3" t="n">
        <v>17628000</v>
      </c>
      <c r="E38" s="3" t="n">
        <v>-19734000</v>
      </c>
      <c r="F38" s="3" t="n">
        <v>13337000</v>
      </c>
      <c r="G38" s="3" t="n"/>
    </row>
    <row r="39">
      <c r="A39" t="inlineStr">
        <is>
          <t>Change In Payables And Accrued Expense</t>
        </is>
      </c>
      <c r="B39" s="3" t="n">
        <v>45478000</v>
      </c>
      <c r="C39" s="3" t="n">
        <v>-9625000</v>
      </c>
      <c r="D39" s="3" t="n">
        <v>21853000</v>
      </c>
      <c r="E39" s="3" t="n">
        <v>-29625000</v>
      </c>
      <c r="F39" s="3" t="n">
        <v>23690000</v>
      </c>
      <c r="G39" s="3" t="n"/>
    </row>
    <row r="40">
      <c r="A40" t="inlineStr">
        <is>
          <t>Change In Payable</t>
        </is>
      </c>
      <c r="B40" s="3" t="n">
        <v>45478000</v>
      </c>
      <c r="C40" s="3" t="n">
        <v>-9625000</v>
      </c>
      <c r="D40" s="3" t="n">
        <v>21853000</v>
      </c>
      <c r="E40" s="3" t="n">
        <v>-29625000</v>
      </c>
      <c r="F40" s="3" t="n">
        <v>23690000</v>
      </c>
      <c r="G40" s="3" t="n"/>
    </row>
    <row r="41">
      <c r="A41" t="inlineStr">
        <is>
          <t>Change In Account Payable</t>
        </is>
      </c>
      <c r="B41" s="3" t="n">
        <v>45478000</v>
      </c>
      <c r="C41" s="3" t="n">
        <v>-9625000</v>
      </c>
      <c r="D41" s="3" t="n">
        <v>21853000</v>
      </c>
      <c r="E41" s="3" t="n">
        <v>-29625000</v>
      </c>
      <c r="F41" s="3" t="n">
        <v>23690000</v>
      </c>
      <c r="G41" s="3" t="n"/>
    </row>
    <row r="42">
      <c r="A42" t="inlineStr">
        <is>
          <t>Change In Prepaid Assets</t>
        </is>
      </c>
      <c r="B42" s="3" t="n">
        <v>-6653000</v>
      </c>
      <c r="C42" s="3" t="n">
        <v>-540000</v>
      </c>
      <c r="D42" s="3" t="n">
        <v>-10998000</v>
      </c>
      <c r="E42" s="3" t="n">
        <v>-1749000</v>
      </c>
      <c r="F42" s="3" t="n">
        <v>-11696000</v>
      </c>
      <c r="G42" s="3" t="n"/>
    </row>
    <row r="43">
      <c r="A43" t="inlineStr">
        <is>
          <t>Change In Inventory</t>
        </is>
      </c>
      <c r="B43" s="3" t="n">
        <v>-18889000</v>
      </c>
      <c r="C43" s="3" t="n">
        <v>-43361000</v>
      </c>
      <c r="D43" s="3" t="n">
        <v>-36656000</v>
      </c>
      <c r="E43" s="3" t="n">
        <v>-12704000</v>
      </c>
      <c r="F43" s="3" t="n">
        <v>4133000</v>
      </c>
      <c r="G43" s="3" t="n"/>
    </row>
    <row r="44">
      <c r="A44" t="inlineStr">
        <is>
          <t>Change In Receivables</t>
        </is>
      </c>
      <c r="B44" s="3" t="n">
        <v>-88415000</v>
      </c>
      <c r="C44" s="3" t="n">
        <v>-2730000</v>
      </c>
      <c r="D44" s="3" t="n">
        <v>-91303000</v>
      </c>
      <c r="E44" s="3" t="n">
        <v>-106593000</v>
      </c>
      <c r="F44" s="3" t="n">
        <v>-66860000</v>
      </c>
      <c r="G44" s="3" t="n"/>
    </row>
    <row r="45">
      <c r="A45" t="inlineStr">
        <is>
          <t>Changes In Account Receivables</t>
        </is>
      </c>
      <c r="B45" s="3" t="n">
        <v>-108805000</v>
      </c>
      <c r="C45" s="3" t="n">
        <v>31627000</v>
      </c>
      <c r="D45" s="3" t="n">
        <v>-35826000</v>
      </c>
      <c r="E45" s="3" t="n">
        <v>-15693000</v>
      </c>
      <c r="F45" s="3" t="n">
        <v>-20666000</v>
      </c>
      <c r="G45" s="3" t="n"/>
    </row>
    <row r="46">
      <c r="A46" t="inlineStr">
        <is>
          <t>Other Non Cash Items</t>
        </is>
      </c>
      <c r="B46" s="3" t="n">
        <v>9435000</v>
      </c>
      <c r="C46" s="3" t="n">
        <v>8907000</v>
      </c>
      <c r="D46" s="3" t="n">
        <v>8503000</v>
      </c>
      <c r="E46" s="3" t="n">
        <v>15295000</v>
      </c>
      <c r="F46" s="3" t="n">
        <v>3654000</v>
      </c>
      <c r="G46" s="3" t="n"/>
    </row>
    <row r="47">
      <c r="A47" t="inlineStr">
        <is>
          <t>Stock Based Compensation</t>
        </is>
      </c>
      <c r="B47" s="3" t="n">
        <v>10269000</v>
      </c>
      <c r="C47" s="3" t="n">
        <v>8070000</v>
      </c>
      <c r="D47" s="3" t="n">
        <v>8566000</v>
      </c>
      <c r="E47" s="3" t="n">
        <v>11429000</v>
      </c>
      <c r="F47" s="3" t="n">
        <v>5943000</v>
      </c>
      <c r="G47" s="3" t="n"/>
    </row>
    <row r="48">
      <c r="A48" t="inlineStr">
        <is>
          <t>Unrealized Gain Loss On Investment Securities</t>
        </is>
      </c>
      <c r="B48" s="3" t="n">
        <v>-4274000</v>
      </c>
      <c r="C48" s="3" t="n">
        <v>1412000</v>
      </c>
      <c r="D48" s="3" t="n">
        <v>-6156000</v>
      </c>
      <c r="E48" s="3" t="n">
        <v>-2702000</v>
      </c>
      <c r="F48" s="3" t="n">
        <v>1010000</v>
      </c>
      <c r="G48" s="3" t="n"/>
    </row>
    <row r="49">
      <c r="A49" t="inlineStr">
        <is>
          <t>Provisionand Write Offof Assets</t>
        </is>
      </c>
      <c r="B49" s="3" t="n">
        <v>3454000</v>
      </c>
      <c r="C49" s="3" t="n">
        <v>2335000</v>
      </c>
      <c r="D49" s="3" t="n">
        <v>3306000</v>
      </c>
      <c r="E49" s="3" t="n">
        <v>1351000</v>
      </c>
      <c r="F49" s="3" t="n">
        <v>964000</v>
      </c>
      <c r="G49" s="3" t="n"/>
    </row>
    <row r="50">
      <c r="A50" t="inlineStr">
        <is>
          <t>Asset Impairment Charge</t>
        </is>
      </c>
      <c r="B50" s="3" t="n">
        <v>89402000</v>
      </c>
      <c r="C50" s="3" t="n"/>
      <c r="D50" s="3" t="n"/>
      <c r="E50" s="3" t="n"/>
      <c r="F50" s="3" t="n"/>
      <c r="G50" s="3" t="n"/>
    </row>
    <row r="51">
      <c r="A51" t="inlineStr">
        <is>
          <t>Amortization Of Securities</t>
        </is>
      </c>
      <c r="B51" s="3" t="n">
        <v>-218000</v>
      </c>
      <c r="C51" s="3" t="n">
        <v>-460000</v>
      </c>
      <c r="D51" s="3" t="n"/>
      <c r="E51" s="3" t="n"/>
      <c r="F51" s="3" t="n"/>
      <c r="G51" s="3" t="n">
        <v>0</v>
      </c>
    </row>
    <row r="52">
      <c r="A52" t="inlineStr">
        <is>
          <t>Deferred Tax</t>
        </is>
      </c>
      <c r="B52" s="3" t="n">
        <v>-22777000</v>
      </c>
      <c r="C52" s="3" t="n"/>
      <c r="D52" s="3" t="n"/>
      <c r="E52" s="3" t="n">
        <v>0</v>
      </c>
      <c r="F52" s="3" t="n">
        <v>-20157000</v>
      </c>
      <c r="G52" s="3" t="n">
        <v>0</v>
      </c>
    </row>
    <row r="53">
      <c r="A53" t="inlineStr">
        <is>
          <t>Deferred Income Tax</t>
        </is>
      </c>
      <c r="B53" s="3" t="n">
        <v>-22777000</v>
      </c>
      <c r="C53" s="3" t="n"/>
      <c r="D53" s="3" t="n"/>
      <c r="E53" s="3" t="n">
        <v>0</v>
      </c>
      <c r="F53" s="3" t="n">
        <v>-20157000</v>
      </c>
      <c r="G53" s="3" t="n">
        <v>0</v>
      </c>
    </row>
    <row r="54">
      <c r="A54" t="inlineStr">
        <is>
          <t>Depreciation Amortization Depletion</t>
        </is>
      </c>
      <c r="B54" s="3" t="n">
        <v>62077000</v>
      </c>
      <c r="C54" s="3" t="n">
        <v>54633000</v>
      </c>
      <c r="D54" s="3" t="n">
        <v>58073000</v>
      </c>
      <c r="E54" s="3" t="n">
        <v>90254000</v>
      </c>
      <c r="F54" s="3" t="n">
        <v>13854000</v>
      </c>
      <c r="G54" s="3" t="n"/>
    </row>
    <row r="55">
      <c r="A55" t="inlineStr">
        <is>
          <t>Depreciation And Amortization</t>
        </is>
      </c>
      <c r="B55" s="3" t="n">
        <v>62077000</v>
      </c>
      <c r="C55" s="3" t="n">
        <v>54633000</v>
      </c>
      <c r="D55" s="3" t="n">
        <v>58073000</v>
      </c>
      <c r="E55" s="3" t="n">
        <v>90254000</v>
      </c>
      <c r="F55" s="3" t="n">
        <v>13854000</v>
      </c>
      <c r="G55" s="3" t="n"/>
    </row>
    <row r="56">
      <c r="A56" t="inlineStr">
        <is>
          <t>Operating Gains Losses</t>
        </is>
      </c>
      <c r="B56" s="3" t="n">
        <v>-14012000</v>
      </c>
      <c r="C56" s="3" t="n">
        <v>899000</v>
      </c>
      <c r="D56" s="3" t="n">
        <v>-596000</v>
      </c>
      <c r="E56" s="3" t="n">
        <v>-1578000</v>
      </c>
      <c r="F56" s="3" t="n">
        <v>-3159000</v>
      </c>
      <c r="G56" s="3" t="n"/>
    </row>
    <row r="57">
      <c r="A57" t="inlineStr">
        <is>
          <t>Earnings Losses From Equity Investments</t>
        </is>
      </c>
      <c r="B57" s="3" t="n">
        <v>-14753000</v>
      </c>
      <c r="C57" s="3" t="n">
        <v>295000</v>
      </c>
      <c r="D57" s="3" t="n">
        <v>-1196000</v>
      </c>
      <c r="E57" s="3" t="n">
        <v>-1787000</v>
      </c>
      <c r="F57" s="3" t="n">
        <v>-3782000</v>
      </c>
      <c r="G57" s="3" t="n"/>
    </row>
    <row r="58">
      <c r="A58" t="inlineStr">
        <is>
          <t>Net Foreign Currency Exchange Gain Loss</t>
        </is>
      </c>
      <c r="B58" s="3" t="n">
        <v>-246000</v>
      </c>
      <c r="C58" s="3" t="n">
        <v>49000</v>
      </c>
      <c r="D58" s="3" t="n">
        <v>54000</v>
      </c>
      <c r="E58" s="3" t="n">
        <v>161000</v>
      </c>
      <c r="F58" s="3" t="n">
        <v>513000</v>
      </c>
      <c r="G58" s="3" t="n"/>
    </row>
    <row r="59">
      <c r="A59" t="inlineStr">
        <is>
          <t>Gain Loss On Sale Of PPE</t>
        </is>
      </c>
      <c r="B59" s="3" t="n">
        <v>987000</v>
      </c>
      <c r="C59" s="3" t="n">
        <v>555000</v>
      </c>
      <c r="D59" s="3" t="n">
        <v>546000</v>
      </c>
      <c r="E59" s="3" t="n">
        <v>48000</v>
      </c>
      <c r="F59" s="3" t="n">
        <v>110000</v>
      </c>
      <c r="G59" s="3" t="n"/>
    </row>
    <row r="60">
      <c r="A60" t="inlineStr">
        <is>
          <t>Net Income From Continuing Operations</t>
        </is>
      </c>
      <c r="B60" s="3" t="n">
        <v>-24098000</v>
      </c>
      <c r="C60" s="3" t="n">
        <v>-243823000</v>
      </c>
      <c r="D60" s="3" t="n">
        <v>-17103000</v>
      </c>
      <c r="E60" s="3" t="n">
        <v>-67370000</v>
      </c>
      <c r="F60" s="3" t="n">
        <v>16664000</v>
      </c>
      <c r="G60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Trailing P/E</t>
        </is>
      </c>
      <c r="B2" t="inlineStr">
        <is>
          <t>missing from yfinance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2026-08-02T23:44:26Z</dcterms:created>
  <dcterms:modified xsi:type="dcterms:W3CDTF">2026-08-02T23:44:27Z</dcterms:modified>
</cp:coreProperties>
</file>