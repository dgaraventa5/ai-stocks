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Y Summary" sheetId="2" state="visible" r:id="rId2"/>
    <sheet name="Income stmt (annual)" sheetId="3" state="visible" r:id="rId3"/>
    <sheet name="Income stmt (quarterly)" sheetId="4" state="visible" r:id="rId4"/>
    <sheet name="Balance sheet (annual)" sheetId="5" state="visible" r:id="rId5"/>
    <sheet name="Balance sheet (quarterly)" sheetId="6" state="visible" r:id="rId6"/>
    <sheet name="Cash flow (annual)" sheetId="7" state="visible" r:id="rId7"/>
    <sheet name="Cash flow (quarterly)" sheetId="8" state="visible" r:id="rId8"/>
    <sheet name="Data flag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&quot;x&quot;"/>
    <numFmt numFmtId="166" formatCode="#,##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KLAC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KLA Corporation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Technology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Semiconductor Equipment &amp; Materials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339056787456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340244201472</v>
      </c>
      <c r="C7" t="inlineStr">
        <is>
          <t>yfinance info.enterpriseValue</t>
        </is>
      </c>
    </row>
    <row r="8">
      <c r="A8" t="inlineStr">
        <is>
          <t>Trailing P/E</t>
        </is>
      </c>
      <c r="B8" t="n">
        <v>73.52975000000001</v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51.299282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25.888796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0.61446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0.41215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0.35661998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0.94975996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0.115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4957938176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6145359872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4012475000</v>
      </c>
      <c r="C18" t="inlineStr">
        <is>
          <t>statement: TTM OCF - |capex| (yfinance quarterly_cashflow)</t>
        </is>
      </c>
    </row>
    <row r="19">
      <c r="A19" t="inlineStr">
        <is>
          <t>Shares outstanding</t>
        </is>
      </c>
      <c r="B19" t="n">
        <v>1306275210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259.56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52" customWidth="1" min="6" max="6"/>
  </cols>
  <sheetData>
    <row r="1">
      <c r="A1" s="1" t="inlineStr">
        <is>
          <t>Fiscal-year summary (GAAP, $ except where noted)</t>
        </is>
      </c>
      <c r="B1" s="1" t="inlineStr">
        <is>
          <t>FY-3</t>
        </is>
      </c>
      <c r="C1" s="1" t="inlineStr">
        <is>
          <t>FY-2</t>
        </is>
      </c>
      <c r="D1" s="1" t="inlineStr">
        <is>
          <t>FY-1</t>
        </is>
      </c>
      <c r="E1" s="1" t="inlineStr">
        <is>
          <t>TTM</t>
        </is>
      </c>
      <c r="F1" s="1" t="inlineStr">
        <is>
          <t>Source / formula</t>
        </is>
      </c>
    </row>
    <row r="2">
      <c r="A2" t="inlineStr">
        <is>
          <t>Fiscal period end</t>
        </is>
      </c>
      <c r="B2" t="inlineStr">
        <is>
          <t>2023-06-30</t>
        </is>
      </c>
      <c r="C2" t="inlineStr">
        <is>
          <t>2024-06-30</t>
        </is>
      </c>
      <c r="D2" t="inlineStr">
        <is>
          <t>2025-06-30</t>
        </is>
      </c>
      <c r="E2" t="inlineStr">
        <is>
          <t>TTM → 2026-03-31</t>
        </is>
      </c>
      <c r="F2" t="inlineStr">
        <is>
          <t>annual statement headers; TTM = Σ last 4 quarters</t>
        </is>
      </c>
    </row>
    <row r="3">
      <c r="A3" t="inlineStr">
        <is>
          <t>Revenue</t>
        </is>
      </c>
      <c r="B3" s="3">
        <f>'Income stmt (annual)'!D45</f>
        <v/>
      </c>
      <c r="C3" s="3">
        <f>'Income stmt (annual)'!C45</f>
        <v/>
      </c>
      <c r="D3" s="3">
        <f>'Income stmt (annual)'!B45</f>
        <v/>
      </c>
      <c r="E3" s="3">
        <f>SUM('Income stmt (quarterly)'!B40:E40)</f>
        <v/>
      </c>
      <c r="F3" t="inlineStr">
        <is>
          <t>Total Revenue</t>
        </is>
      </c>
    </row>
    <row r="4">
      <c r="A4" t="inlineStr">
        <is>
          <t>Gross profit</t>
        </is>
      </c>
      <c r="B4" s="3">
        <f>'Income stmt (annual)'!D43</f>
        <v/>
      </c>
      <c r="C4" s="3">
        <f>'Income stmt (annual)'!C43</f>
        <v/>
      </c>
      <c r="D4" s="3">
        <f>'Income stmt (annual)'!B43</f>
        <v/>
      </c>
      <c r="E4" s="3">
        <f>SUM('Income stmt (quarterly)'!B38:E38)</f>
        <v/>
      </c>
      <c r="F4" t="inlineStr">
        <is>
          <t>Gross Profit (GAAP)</t>
        </is>
      </c>
    </row>
    <row r="5">
      <c r="A5" t="inlineStr">
        <is>
          <t>Gross margin %</t>
        </is>
      </c>
      <c r="B5" s="4">
        <f>IFERROR(B4/B3,"")</f>
        <v/>
      </c>
      <c r="C5" s="4">
        <f>IFERROR(C4/C3,"")</f>
        <v/>
      </c>
      <c r="D5" s="4">
        <f>IFERROR(D4/D3,"")</f>
        <v/>
      </c>
      <c r="E5" s="4">
        <f>IFERROR(E4/E3,"")</f>
        <v/>
      </c>
      <c r="F5" t="inlineStr">
        <is>
          <t>GAAP = gross profit / revenue</t>
        </is>
      </c>
    </row>
    <row r="6">
      <c r="A6" t="inlineStr">
        <is>
          <t>Operating income</t>
        </is>
      </c>
      <c r="B6" s="3">
        <f>'Income stmt (annual)'!D39</f>
        <v/>
      </c>
      <c r="C6" s="3">
        <f>'Income stmt (annual)'!C39</f>
        <v/>
      </c>
      <c r="D6" s="3">
        <f>'Income stmt (annual)'!B39</f>
        <v/>
      </c>
      <c r="E6" s="3">
        <f>SUM('Income stmt (quarterly)'!B34:E34)</f>
        <v/>
      </c>
      <c r="F6" t="inlineStr">
        <is>
          <t>Operating Income</t>
        </is>
      </c>
    </row>
    <row r="7">
      <c r="A7" t="inlineStr">
        <is>
          <t>Operating margin %</t>
        </is>
      </c>
      <c r="B7" s="4">
        <f>IFERROR(B6/B3,"")</f>
        <v/>
      </c>
      <c r="C7" s="4">
        <f>IFERROR(C6/C3,"")</f>
        <v/>
      </c>
      <c r="D7" s="4">
        <f>IFERROR(D6/D3,"")</f>
        <v/>
      </c>
      <c r="E7" s="4">
        <f>IFERROR(E6/E3,"")</f>
        <v/>
      </c>
      <c r="F7">
        <f> operating income / revenue</f>
        <v/>
      </c>
    </row>
    <row r="8">
      <c r="A8" t="inlineStr">
        <is>
          <t>EBITDA</t>
        </is>
      </c>
      <c r="B8" s="3">
        <f>'Income stmt (annual)'!D10</f>
        <v/>
      </c>
      <c r="C8" s="3">
        <f>'Income stmt (annual)'!C10</f>
        <v/>
      </c>
      <c r="D8" s="3">
        <f>'Income stmt (annual)'!B10</f>
        <v/>
      </c>
      <c r="E8" s="3">
        <f>SUM('Income stmt (quarterly)'!B10:E10)</f>
        <v/>
      </c>
      <c r="F8" t="inlineStr">
        <is>
          <t>EBITDA</t>
        </is>
      </c>
    </row>
    <row r="9">
      <c r="A9" t="inlineStr">
        <is>
          <t>Free cash flow</t>
        </is>
      </c>
      <c r="B9" s="3">
        <f>'Cash flow (annual)'!D2</f>
        <v/>
      </c>
      <c r="C9" s="3">
        <f>'Cash flow (annual)'!C2</f>
        <v/>
      </c>
      <c r="D9" s="3">
        <f>'Cash flow (annual)'!B2</f>
        <v/>
      </c>
      <c r="E9" s="3">
        <f>SUM('Cash flow (quarterly)'!B2:E2)</f>
        <v/>
      </c>
      <c r="F9" t="inlineStr">
        <is>
          <t>FCF = OCF − capex</t>
        </is>
      </c>
    </row>
    <row r="10">
      <c r="A10" t="inlineStr">
        <is>
          <t>FCF margin %</t>
        </is>
      </c>
      <c r="B10" s="4">
        <f>IFERROR(B9/B3,"")</f>
        <v/>
      </c>
      <c r="C10" s="4">
        <f>IFERROR(C9/C3,"")</f>
        <v/>
      </c>
      <c r="D10" s="4">
        <f>IFERROR(D9/D3,"")</f>
        <v/>
      </c>
      <c r="E10" s="4">
        <f>IFERROR(E9/E3,"")</f>
        <v/>
      </c>
      <c r="F10">
        <f> FCF / revenue</f>
        <v/>
      </c>
    </row>
    <row r="11">
      <c r="A11" t="inlineStr">
        <is>
          <t>Capex</t>
        </is>
      </c>
      <c r="B11" s="3">
        <f>-'Cash flow (annual)'!D7</f>
        <v/>
      </c>
      <c r="C11" s="3">
        <f>-'Cash flow (annual)'!C7</f>
        <v/>
      </c>
      <c r="D11" s="3">
        <f>-'Cash flow (annual)'!B7</f>
        <v/>
      </c>
      <c r="E11" s="3">
        <f>-SUM('Cash flow (quarterly)'!B7:E7)</f>
        <v/>
      </c>
      <c r="F11" t="inlineStr">
        <is>
          <t>Capex (shown positive)</t>
        </is>
      </c>
    </row>
    <row r="12">
      <c r="A12" t="inlineStr">
        <is>
          <t>Capex / revenue %</t>
        </is>
      </c>
      <c r="B12" s="4">
        <f>IFERROR(B11/B3,"")</f>
        <v/>
      </c>
      <c r="C12" s="4">
        <f>IFERROR(C11/C3,"")</f>
        <v/>
      </c>
      <c r="D12" s="4">
        <f>IFERROR(D11/D3,"")</f>
        <v/>
      </c>
      <c r="E12" s="4">
        <f>IFERROR(E11/E3,"")</f>
        <v/>
      </c>
      <c r="F12">
        <f> capex / revenue</f>
        <v/>
      </c>
    </row>
    <row r="13">
      <c r="A13" t="inlineStr">
        <is>
          <t>Net debt</t>
        </is>
      </c>
      <c r="B13" s="3">
        <f>'Balance sheet (annual)'!D5</f>
        <v/>
      </c>
      <c r="C13" s="3">
        <f>'Balance sheet (annual)'!C5</f>
        <v/>
      </c>
      <c r="D13" s="3">
        <f>'Balance sheet (annual)'!B5</f>
        <v/>
      </c>
      <c r="E13" s="3">
        <f>'Balance sheet (quarterly)'!B5</f>
        <v/>
      </c>
      <c r="F13" t="inlineStr">
        <is>
          <t>Net debt; TTM = MRQ</t>
        </is>
      </c>
    </row>
    <row r="14">
      <c r="A14" t="inlineStr">
        <is>
          <t>Net debt / EBITDA</t>
        </is>
      </c>
      <c r="B14" s="5">
        <f>IFERROR(B13/B8,"")</f>
        <v/>
      </c>
      <c r="C14" s="5">
        <f>IFERROR(C13/C8,"")</f>
        <v/>
      </c>
      <c r="D14" s="5">
        <f>IFERROR(D13/D8,"")</f>
        <v/>
      </c>
      <c r="E14" s="5">
        <f>IFERROR(E13/E8,"")</f>
        <v/>
      </c>
      <c r="F14">
        <f> net debt / EBITDA</f>
        <v/>
      </c>
    </row>
    <row r="15">
      <c r="A15" t="inlineStr">
        <is>
          <t>Share count (period-end, M)</t>
        </is>
      </c>
      <c r="B15" s="6">
        <f>'Balance sheet (annual)'!D3/1e6</f>
        <v/>
      </c>
      <c r="C15" s="6">
        <f>'Balance sheet (annual)'!C3/1e6</f>
        <v/>
      </c>
      <c r="D15" s="6">
        <f>'Balance sheet (annual)'!B3/1e6</f>
        <v/>
      </c>
      <c r="E15" s="6">
        <f>'Balance sheet (quarterly)'!B3/1e6</f>
        <v/>
      </c>
      <c r="F15" t="inlineStr">
        <is>
          <t>shares ÷ 1e6; TTM = MRQ</t>
        </is>
      </c>
    </row>
    <row r="16">
      <c r="A16" t="inlineStr">
        <is>
          <t>Share count YoY %</t>
        </is>
      </c>
      <c r="B16" s="4" t="inlineStr"/>
      <c r="C16" s="4">
        <f>IFERROR(C15/B15-1,"")</f>
        <v/>
      </c>
      <c r="D16" s="4">
        <f>IFERROR(D15/C15-1,"")</f>
        <v/>
      </c>
      <c r="E16" s="4">
        <f>IFERROR(E15/D15-1,"")</f>
        <v/>
      </c>
      <c r="F16" t="inlineStr">
        <is>
          <t>vs prior 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2025-06-30</t>
        </is>
      </c>
      <c r="C1" s="1" t="inlineStr">
        <is>
          <t>2024-06-30</t>
        </is>
      </c>
      <c r="D1" s="1" t="inlineStr">
        <is>
          <t>2023-06-30</t>
        </is>
      </c>
      <c r="E1" s="1" t="inlineStr">
        <is>
          <t>2022-06-30</t>
        </is>
      </c>
      <c r="F1" s="1" t="inlineStr">
        <is>
          <t>2021-06-30</t>
        </is>
      </c>
    </row>
    <row r="2">
      <c r="A2" t="inlineStr">
        <is>
          <t>Tax Effect Of Unusual Items</t>
        </is>
      </c>
      <c r="B2" s="3" t="n">
        <v>-30250625</v>
      </c>
      <c r="C2" s="3" t="n">
        <v>-37829406</v>
      </c>
      <c r="D2" s="3" t="n">
        <v>-1538237.643137</v>
      </c>
      <c r="E2" s="3" t="n">
        <v>-203088</v>
      </c>
      <c r="F2" s="3" t="n"/>
    </row>
    <row r="3">
      <c r="A3" t="inlineStr">
        <is>
          <t>Tax Rate For Calcs</t>
        </is>
      </c>
      <c r="B3" s="3" t="n">
        <v>0.125</v>
      </c>
      <c r="C3" s="3" t="n">
        <v>0.134</v>
      </c>
      <c r="D3" s="3" t="n">
        <v>0.106049</v>
      </c>
      <c r="E3" s="3" t="n">
        <v>0.048</v>
      </c>
      <c r="F3" s="3" t="n"/>
    </row>
    <row r="4">
      <c r="A4" t="inlineStr">
        <is>
          <t>Normalized EBITDA</t>
        </is>
      </c>
      <c r="B4" s="3" t="n">
        <v>5582707000</v>
      </c>
      <c r="C4" s="3" t="n">
        <v>4185324000</v>
      </c>
      <c r="D4" s="3" t="n">
        <v>4515748000</v>
      </c>
      <c r="E4" s="3" t="n">
        <v>4017151000</v>
      </c>
      <c r="F4" s="3" t="n"/>
    </row>
    <row r="5">
      <c r="A5" t="inlineStr">
        <is>
          <t>Total Unusual Items</t>
        </is>
      </c>
      <c r="B5" s="3" t="n">
        <v>-242005000</v>
      </c>
      <c r="C5" s="3" t="n">
        <v>-282309000</v>
      </c>
      <c r="D5" s="3" t="n">
        <v>-14505000</v>
      </c>
      <c r="E5" s="3" t="n">
        <v>-4231000</v>
      </c>
      <c r="F5" s="3" t="n"/>
    </row>
    <row r="6">
      <c r="A6" t="inlineStr">
        <is>
          <t>Total Unusual Items Excluding Goodwill</t>
        </is>
      </c>
      <c r="B6" s="3" t="n">
        <v>-242005000</v>
      </c>
      <c r="C6" s="3" t="n">
        <v>-282309000</v>
      </c>
      <c r="D6" s="3" t="n">
        <v>-14505000</v>
      </c>
      <c r="E6" s="3" t="n">
        <v>-4231000</v>
      </c>
      <c r="F6" s="3" t="n"/>
    </row>
    <row r="7">
      <c r="A7" t="inlineStr">
        <is>
          <t>Net Income From Continuing Operation Net Minority Interest</t>
        </is>
      </c>
      <c r="B7" s="3" t="n">
        <v>4061643000</v>
      </c>
      <c r="C7" s="3" t="n">
        <v>2761896000</v>
      </c>
      <c r="D7" s="3" t="n">
        <v>3387277000</v>
      </c>
      <c r="E7" s="3" t="n">
        <v>3321807000</v>
      </c>
      <c r="F7" s="3" t="n"/>
    </row>
    <row r="8">
      <c r="A8" t="inlineStr">
        <is>
          <t>Reconciled Depreciation</t>
        </is>
      </c>
      <c r="B8" s="3" t="n">
        <v>394088000</v>
      </c>
      <c r="C8" s="3" t="n">
        <v>401730000</v>
      </c>
      <c r="D8" s="3" t="n">
        <v>415113000</v>
      </c>
      <c r="E8" s="3" t="n">
        <v>363344000</v>
      </c>
      <c r="F8" s="3" t="n"/>
    </row>
    <row r="9">
      <c r="A9" t="inlineStr">
        <is>
          <t>Reconciled Cost Of Revenue</t>
        </is>
      </c>
      <c r="B9" s="3" t="n">
        <v>4751867000</v>
      </c>
      <c r="C9" s="3" t="n">
        <v>3928073000</v>
      </c>
      <c r="D9" s="3" t="n">
        <v>4218307000</v>
      </c>
      <c r="E9" s="3" t="n">
        <v>3592441000</v>
      </c>
      <c r="F9" s="3" t="n"/>
    </row>
    <row r="10">
      <c r="A10" t="inlineStr">
        <is>
          <t>EBITDA</t>
        </is>
      </c>
      <c r="B10" s="3" t="n">
        <v>5340702000</v>
      </c>
      <c r="C10" s="3" t="n">
        <v>3903015000</v>
      </c>
      <c r="D10" s="3" t="n">
        <v>4501243000</v>
      </c>
      <c r="E10" s="3" t="n">
        <v>4012920000</v>
      </c>
      <c r="F10" s="3" t="n"/>
    </row>
    <row r="11">
      <c r="A11" t="inlineStr">
        <is>
          <t>EBIT</t>
        </is>
      </c>
      <c r="B11" s="3" t="n">
        <v>4946614000</v>
      </c>
      <c r="C11" s="3" t="n">
        <v>3501285000</v>
      </c>
      <c r="D11" s="3" t="n">
        <v>4086130000</v>
      </c>
      <c r="E11" s="3" t="n">
        <v>3649576000</v>
      </c>
      <c r="F11" s="3" t="n"/>
    </row>
    <row r="12">
      <c r="A12" t="inlineStr">
        <is>
          <t>Net Interest Income</t>
        </is>
      </c>
      <c r="B12" s="3" t="n">
        <v>-121890000</v>
      </c>
      <c r="C12" s="3" t="n">
        <v>-150565000</v>
      </c>
      <c r="D12" s="3" t="n">
        <v>-222845000</v>
      </c>
      <c r="E12" s="3" t="n">
        <v>-151644000</v>
      </c>
      <c r="F12" s="3" t="n"/>
    </row>
    <row r="13">
      <c r="A13" t="inlineStr">
        <is>
          <t>Interest Expense</t>
        </is>
      </c>
      <c r="B13" s="3" t="n">
        <v>302166000</v>
      </c>
      <c r="C13" s="3" t="n">
        <v>311253000</v>
      </c>
      <c r="D13" s="3" t="n">
        <v>296940000</v>
      </c>
      <c r="E13" s="3" t="n">
        <v>160339000</v>
      </c>
      <c r="F13" s="3" t="n"/>
    </row>
    <row r="14">
      <c r="A14" t="inlineStr">
        <is>
          <t>Interest Income</t>
        </is>
      </c>
      <c r="B14" s="3" t="n">
        <v>180276000</v>
      </c>
      <c r="C14" s="3" t="n">
        <v>160688000</v>
      </c>
      <c r="D14" s="3" t="n">
        <v>74095000</v>
      </c>
      <c r="E14" s="3" t="n">
        <v>8695000</v>
      </c>
      <c r="F14" s="3" t="n"/>
    </row>
    <row r="15">
      <c r="A15" t="inlineStr">
        <is>
          <t>Normalized Income</t>
        </is>
      </c>
      <c r="B15" s="3" t="n">
        <v>4273397375</v>
      </c>
      <c r="C15" s="3" t="n">
        <v>3006375594</v>
      </c>
      <c r="D15" s="3" t="n">
        <v>3400243762.356863</v>
      </c>
      <c r="E15" s="3" t="n">
        <v>3325834912</v>
      </c>
      <c r="F15" s="3" t="n"/>
    </row>
    <row r="16">
      <c r="A16" t="inlineStr">
        <is>
          <t>Net Income From Continuing And Discontinued Operation</t>
        </is>
      </c>
      <c r="B16" s="3" t="n">
        <v>4061643000</v>
      </c>
      <c r="C16" s="3" t="n">
        <v>2761896000</v>
      </c>
      <c r="D16" s="3" t="n">
        <v>3387277000</v>
      </c>
      <c r="E16" s="3" t="n">
        <v>3321807000</v>
      </c>
      <c r="F16" s="3" t="n"/>
    </row>
    <row r="17">
      <c r="A17" t="inlineStr">
        <is>
          <t>Total Expenses</t>
        </is>
      </c>
      <c r="B17" s="3" t="n">
        <v>7141935000</v>
      </c>
      <c r="C17" s="3" t="n">
        <v>6176563000</v>
      </c>
      <c r="D17" s="3" t="n">
        <v>6501360000</v>
      </c>
      <c r="E17" s="3" t="n">
        <v>5557702000</v>
      </c>
      <c r="F17" s="3" t="n"/>
    </row>
    <row r="18">
      <c r="A18" t="inlineStr">
        <is>
          <t>Diluted Average Shares</t>
        </is>
      </c>
      <c r="B18" s="3" t="n"/>
      <c r="C18" s="3" t="n">
        <v>136187000</v>
      </c>
      <c r="D18" s="3" t="n">
        <v>140235000</v>
      </c>
      <c r="E18" s="3" t="n">
        <v>151555000</v>
      </c>
      <c r="F18" s="3" t="n">
        <v>155437000</v>
      </c>
    </row>
    <row r="19">
      <c r="A19" t="inlineStr">
        <is>
          <t>Basic Average Shares</t>
        </is>
      </c>
      <c r="B19" s="3" t="n"/>
      <c r="C19" s="3" t="n">
        <v>135345000</v>
      </c>
      <c r="D19" s="3" t="n">
        <v>139483000</v>
      </c>
      <c r="E19" s="3" t="n">
        <v>150494000</v>
      </c>
      <c r="F19" s="3" t="n">
        <v>154086000</v>
      </c>
    </row>
    <row r="20">
      <c r="A20" t="inlineStr">
        <is>
          <t>Diluted EPS</t>
        </is>
      </c>
      <c r="B20" s="3" t="n"/>
      <c r="C20" s="3" t="n">
        <v>20.28</v>
      </c>
      <c r="D20" s="3" t="n">
        <v>24.15</v>
      </c>
      <c r="E20" s="3" t="n">
        <v>21.92</v>
      </c>
      <c r="F20" s="3" t="n">
        <v>13.37</v>
      </c>
    </row>
    <row r="21">
      <c r="A21" t="inlineStr">
        <is>
          <t>Basic EPS</t>
        </is>
      </c>
      <c r="B21" s="3" t="n"/>
      <c r="C21" s="3" t="n">
        <v>20.41</v>
      </c>
      <c r="D21" s="3" t="n">
        <v>24.28</v>
      </c>
      <c r="E21" s="3" t="n">
        <v>22.07</v>
      </c>
      <c r="F21" s="3" t="n">
        <v>13.49</v>
      </c>
    </row>
    <row r="22">
      <c r="A22" t="inlineStr">
        <is>
          <t>Diluted NI Availto Com Stockholders</t>
        </is>
      </c>
      <c r="B22" s="3" t="n">
        <v>4061643000</v>
      </c>
      <c r="C22" s="3" t="n">
        <v>2761896000</v>
      </c>
      <c r="D22" s="3" t="n">
        <v>3387277000</v>
      </c>
      <c r="E22" s="3" t="n">
        <v>3321807000</v>
      </c>
      <c r="F22" s="3" t="n"/>
    </row>
    <row r="23">
      <c r="A23" t="inlineStr">
        <is>
          <t>Net Income Common Stockholders</t>
        </is>
      </c>
      <c r="B23" s="3" t="n">
        <v>4061643000</v>
      </c>
      <c r="C23" s="3" t="n">
        <v>2761896000</v>
      </c>
      <c r="D23" s="3" t="n">
        <v>3387277000</v>
      </c>
      <c r="E23" s="3" t="n">
        <v>3321807000</v>
      </c>
      <c r="F23" s="3" t="n"/>
    </row>
    <row r="24">
      <c r="A24" t="inlineStr">
        <is>
          <t>Net Income</t>
        </is>
      </c>
      <c r="B24" s="3" t="n">
        <v>4061643000</v>
      </c>
      <c r="C24" s="3" t="n">
        <v>2761896000</v>
      </c>
      <c r="D24" s="3" t="n">
        <v>3387277000</v>
      </c>
      <c r="E24" s="3" t="n">
        <v>3321807000</v>
      </c>
      <c r="F24" s="3" t="n"/>
    </row>
    <row r="25">
      <c r="A25" t="inlineStr">
        <is>
          <t>Minority Interests</t>
        </is>
      </c>
      <c r="B25" s="3" t="n">
        <v>0</v>
      </c>
      <c r="C25" s="3" t="n">
        <v>0</v>
      </c>
      <c r="D25" s="3" t="n">
        <v>-74000</v>
      </c>
      <c r="E25" s="3" t="n">
        <v>-253000</v>
      </c>
      <c r="F25" s="3" t="n"/>
    </row>
    <row r="26">
      <c r="A26" t="inlineStr">
        <is>
          <t>Net Income Including Noncontrolling Interests</t>
        </is>
      </c>
      <c r="B26" s="3" t="n">
        <v>4061643000</v>
      </c>
      <c r="C26" s="3" t="n">
        <v>2761896000</v>
      </c>
      <c r="D26" s="3" t="n">
        <v>3387351000</v>
      </c>
      <c r="E26" s="3" t="n">
        <v>3322060000</v>
      </c>
      <c r="F26" s="3" t="n"/>
    </row>
    <row r="27">
      <c r="A27" t="inlineStr">
        <is>
          <t>Net Income Continuous Operations</t>
        </is>
      </c>
      <c r="B27" s="3" t="n">
        <v>4061643000</v>
      </c>
      <c r="C27" s="3" t="n">
        <v>2761896000</v>
      </c>
      <c r="D27" s="3" t="n">
        <v>3387351000</v>
      </c>
      <c r="E27" s="3" t="n">
        <v>3322060000</v>
      </c>
      <c r="F27" s="3" t="n"/>
    </row>
    <row r="28">
      <c r="A28" t="inlineStr">
        <is>
          <t>Tax Provision</t>
        </is>
      </c>
      <c r="B28" s="3" t="n">
        <v>582805000</v>
      </c>
      <c r="C28" s="3" t="n">
        <v>428136000</v>
      </c>
      <c r="D28" s="3" t="n">
        <v>401839000</v>
      </c>
      <c r="E28" s="3" t="n">
        <v>167177000</v>
      </c>
      <c r="F28" s="3" t="n"/>
    </row>
    <row r="29">
      <c r="A29" t="inlineStr">
        <is>
          <t>Pretax Income</t>
        </is>
      </c>
      <c r="B29" s="3" t="n">
        <v>4644448000</v>
      </c>
      <c r="C29" s="3" t="n">
        <v>3190032000</v>
      </c>
      <c r="D29" s="3" t="n">
        <v>3789190000</v>
      </c>
      <c r="E29" s="3" t="n">
        <v>3489237000</v>
      </c>
      <c r="F29" s="3" t="n"/>
    </row>
    <row r="30">
      <c r="A30" t="inlineStr">
        <is>
          <t>Other Income Expense</t>
        </is>
      </c>
      <c r="B30" s="3" t="n">
        <v>-247889000</v>
      </c>
      <c r="C30" s="3" t="n">
        <v>-295087000</v>
      </c>
      <c r="D30" s="3" t="n">
        <v>17339000</v>
      </c>
      <c r="E30" s="3" t="n">
        <v>-13300000</v>
      </c>
      <c r="F30" s="3" t="n"/>
    </row>
    <row r="31">
      <c r="A31" t="inlineStr">
        <is>
          <t>Other Non Operating Income Expenses</t>
        </is>
      </c>
      <c r="B31" s="3" t="n">
        <v>-5884000</v>
      </c>
      <c r="C31" s="3" t="n">
        <v>-12778000</v>
      </c>
      <c r="D31" s="3" t="n">
        <v>31844000</v>
      </c>
      <c r="E31" s="3" t="n">
        <v>-9069000</v>
      </c>
      <c r="F31" s="3" t="n"/>
    </row>
    <row r="32">
      <c r="A32" t="inlineStr">
        <is>
          <t>Special Income Charges</t>
        </is>
      </c>
      <c r="B32" s="3" t="n">
        <v>-239100000</v>
      </c>
      <c r="C32" s="3" t="n">
        <v>-289474000</v>
      </c>
      <c r="D32" s="3" t="n">
        <v>-13286000</v>
      </c>
      <c r="E32" s="3" t="n">
        <v>0</v>
      </c>
      <c r="F32" s="3" t="n"/>
    </row>
    <row r="33">
      <c r="A33" t="inlineStr">
        <is>
          <t>Other Special Charges</t>
        </is>
      </c>
      <c r="B33" s="3" t="n"/>
      <c r="C33" s="3" t="n"/>
      <c r="D33" s="3" t="n">
        <v>13286000</v>
      </c>
      <c r="E33" s="3" t="n"/>
      <c r="F33" s="3" t="n"/>
    </row>
    <row r="34">
      <c r="A34" t="inlineStr">
        <is>
          <t>Impairment Of Capital Assets</t>
        </is>
      </c>
      <c r="B34" s="3" t="n">
        <v>239100000</v>
      </c>
      <c r="C34" s="3" t="n">
        <v>289474000</v>
      </c>
      <c r="D34" s="3" t="n">
        <v>0</v>
      </c>
      <c r="E34" s="3" t="n">
        <v>0</v>
      </c>
      <c r="F34" s="3" t="n"/>
    </row>
    <row r="35">
      <c r="A35" t="inlineStr">
        <is>
          <t>Gain On Sale Of Security</t>
        </is>
      </c>
      <c r="B35" s="3" t="n">
        <v>-2905000</v>
      </c>
      <c r="C35" s="3" t="n">
        <v>7165000</v>
      </c>
      <c r="D35" s="3" t="n">
        <v>-1219000</v>
      </c>
      <c r="E35" s="3" t="n">
        <v>-4231000</v>
      </c>
      <c r="F35" s="3" t="n"/>
    </row>
    <row r="36">
      <c r="A36" t="inlineStr">
        <is>
          <t>Net Non Operating Interest Income Expense</t>
        </is>
      </c>
      <c r="B36" s="3" t="n">
        <v>-121890000</v>
      </c>
      <c r="C36" s="3" t="n">
        <v>-150565000</v>
      </c>
      <c r="D36" s="3" t="n">
        <v>-222845000</v>
      </c>
      <c r="E36" s="3" t="n">
        <v>-151644000</v>
      </c>
      <c r="F36" s="3" t="n"/>
    </row>
    <row r="37">
      <c r="A37" t="inlineStr">
        <is>
          <t>Interest Expense Non Operating</t>
        </is>
      </c>
      <c r="B37" s="3" t="n">
        <v>302166000</v>
      </c>
      <c r="C37" s="3" t="n">
        <v>311253000</v>
      </c>
      <c r="D37" s="3" t="n">
        <v>296940000</v>
      </c>
      <c r="E37" s="3" t="n">
        <v>160339000</v>
      </c>
      <c r="F37" s="3" t="n"/>
    </row>
    <row r="38">
      <c r="A38" t="inlineStr">
        <is>
          <t>Interest Income Non Operating</t>
        </is>
      </c>
      <c r="B38" s="3" t="n">
        <v>180276000</v>
      </c>
      <c r="C38" s="3" t="n">
        <v>160688000</v>
      </c>
      <c r="D38" s="3" t="n">
        <v>74095000</v>
      </c>
      <c r="E38" s="3" t="n">
        <v>8695000</v>
      </c>
      <c r="F38" s="3" t="n"/>
    </row>
    <row r="39">
      <c r="A39" t="inlineStr">
        <is>
          <t>Operating Income</t>
        </is>
      </c>
      <c r="B39" s="3" t="n">
        <v>5014227000</v>
      </c>
      <c r="C39" s="3" t="n">
        <v>3635684000</v>
      </c>
      <c r="D39" s="3" t="n">
        <v>3994696000</v>
      </c>
      <c r="E39" s="3" t="n">
        <v>3654181000</v>
      </c>
      <c r="F39" s="3" t="n"/>
    </row>
    <row r="40">
      <c r="A40" t="inlineStr">
        <is>
          <t>Operating Expense</t>
        </is>
      </c>
      <c r="B40" s="3" t="n">
        <v>2390068000</v>
      </c>
      <c r="C40" s="3" t="n">
        <v>2248490000</v>
      </c>
      <c r="D40" s="3" t="n">
        <v>2283053000</v>
      </c>
      <c r="E40" s="3" t="n">
        <v>1965261000</v>
      </c>
      <c r="F40" s="3" t="n"/>
    </row>
    <row r="41">
      <c r="A41" t="inlineStr">
        <is>
          <t>Research And Development</t>
        </is>
      </c>
      <c r="B41" s="3" t="n">
        <v>1360334000</v>
      </c>
      <c r="C41" s="3" t="n">
        <v>1278981000</v>
      </c>
      <c r="D41" s="3" t="n">
        <v>1296727000</v>
      </c>
      <c r="E41" s="3" t="n">
        <v>1105254000</v>
      </c>
      <c r="F41" s="3" t="n"/>
    </row>
    <row r="42">
      <c r="A42" t="inlineStr">
        <is>
          <t>Selling General And Administration</t>
        </is>
      </c>
      <c r="B42" s="3" t="n">
        <v>1029734000</v>
      </c>
      <c r="C42" s="3" t="n">
        <v>969509000</v>
      </c>
      <c r="D42" s="3" t="n">
        <v>986326000</v>
      </c>
      <c r="E42" s="3" t="n">
        <v>860007000</v>
      </c>
      <c r="F42" s="3" t="n"/>
    </row>
    <row r="43">
      <c r="A43" t="inlineStr">
        <is>
          <t>Gross Profit</t>
        </is>
      </c>
      <c r="B43" s="3" t="n">
        <v>7404295000</v>
      </c>
      <c r="C43" s="3" t="n">
        <v>5884174000</v>
      </c>
      <c r="D43" s="3" t="n">
        <v>6277749000</v>
      </c>
      <c r="E43" s="3" t="n">
        <v>5619442000</v>
      </c>
      <c r="F43" s="3" t="n"/>
    </row>
    <row r="44">
      <c r="A44" t="inlineStr">
        <is>
          <t>Cost Of Revenue</t>
        </is>
      </c>
      <c r="B44" s="3" t="n">
        <v>4751867000</v>
      </c>
      <c r="C44" s="3" t="n">
        <v>3928073000</v>
      </c>
      <c r="D44" s="3" t="n">
        <v>4218307000</v>
      </c>
      <c r="E44" s="3" t="n">
        <v>3592441000</v>
      </c>
      <c r="F44" s="3" t="n"/>
    </row>
    <row r="45">
      <c r="A45" t="inlineStr">
        <is>
          <t>Total Revenue</t>
        </is>
      </c>
      <c r="B45" s="3" t="n">
        <v>12156162000</v>
      </c>
      <c r="C45" s="3" t="n">
        <v>9812247000</v>
      </c>
      <c r="D45" s="3" t="n">
        <v>10496056000</v>
      </c>
      <c r="E45" s="3" t="n">
        <v>9211883000</v>
      </c>
      <c r="F45" s="3" t="n"/>
    </row>
    <row r="46">
      <c r="A46" t="inlineStr">
        <is>
          <t>Operating Revenue</t>
        </is>
      </c>
      <c r="B46" s="3" t="n">
        <v>12156162000</v>
      </c>
      <c r="C46" s="3" t="n">
        <v>9812247000</v>
      </c>
      <c r="D46" s="3" t="n">
        <v>10496056000</v>
      </c>
      <c r="E46" s="3" t="n">
        <v>9211883000</v>
      </c>
      <c r="F46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</row>
    <row r="2">
      <c r="A2" t="inlineStr">
        <is>
          <t>Tax Effect Of Unusual Items</t>
        </is>
      </c>
      <c r="B2" s="3" t="n">
        <v>0</v>
      </c>
      <c r="C2" s="3" t="n">
        <v>0</v>
      </c>
      <c r="D2" s="3" t="n">
        <v>0</v>
      </c>
      <c r="E2" s="3" t="n">
        <v>-275349.958873</v>
      </c>
      <c r="F2" s="3" t="n">
        <v>0</v>
      </c>
      <c r="G2" s="3" t="n"/>
    </row>
    <row r="3">
      <c r="A3" t="inlineStr">
        <is>
          <t>Tax Rate For Calcs</t>
        </is>
      </c>
      <c r="B3" s="3" t="n">
        <v>0.152</v>
      </c>
      <c r="C3" s="3" t="n">
        <v>0.139</v>
      </c>
      <c r="D3" s="3" t="n">
        <v>0.144</v>
      </c>
      <c r="E3" s="3" t="n">
        <v>0.09478499999999999</v>
      </c>
      <c r="F3" s="3" t="n">
        <v>0.139</v>
      </c>
      <c r="G3" s="3" t="n"/>
    </row>
    <row r="4">
      <c r="A4" t="inlineStr">
        <is>
          <t>Normalized EBITDA</t>
        </is>
      </c>
      <c r="B4" s="3" t="n">
        <v>1586272000</v>
      </c>
      <c r="C4" s="3" t="n">
        <v>1499239000</v>
      </c>
      <c r="D4" s="3" t="n">
        <v>1477567000</v>
      </c>
      <c r="E4" s="3" t="n">
        <v>1501081000</v>
      </c>
      <c r="F4" s="3" t="n">
        <v>1434413000</v>
      </c>
      <c r="G4" s="3" t="n"/>
    </row>
    <row r="5">
      <c r="A5" t="inlineStr">
        <is>
          <t>Total Unusual Items</t>
        </is>
      </c>
      <c r="B5" s="3" t="n">
        <v>0</v>
      </c>
      <c r="C5" s="3" t="n">
        <v>0</v>
      </c>
      <c r="D5" s="3" t="n"/>
      <c r="E5" s="3" t="n">
        <v>-2905000</v>
      </c>
      <c r="F5" s="3" t="n">
        <v>0</v>
      </c>
      <c r="G5" s="3" t="n">
        <v>-239100000</v>
      </c>
    </row>
    <row r="6">
      <c r="A6" t="inlineStr">
        <is>
          <t>Total Unusual Items Excluding Goodwill</t>
        </is>
      </c>
      <c r="B6" s="3" t="n">
        <v>0</v>
      </c>
      <c r="C6" s="3" t="n">
        <v>0</v>
      </c>
      <c r="D6" s="3" t="n"/>
      <c r="E6" s="3" t="n">
        <v>-2905000</v>
      </c>
      <c r="F6" s="3" t="n">
        <v>0</v>
      </c>
      <c r="G6" s="3" t="n">
        <v>-239100000</v>
      </c>
    </row>
    <row r="7">
      <c r="A7" t="inlineStr">
        <is>
          <t>Net Income From Continuing Operation Net Minority Interest</t>
        </is>
      </c>
      <c r="B7" s="3" t="n">
        <v>1200990000</v>
      </c>
      <c r="C7" s="3" t="n">
        <v>1145682000</v>
      </c>
      <c r="D7" s="3" t="n">
        <v>1121040000</v>
      </c>
      <c r="E7" s="3" t="n">
        <v>1202849000</v>
      </c>
      <c r="F7" s="3" t="n">
        <v>1088416000</v>
      </c>
      <c r="G7" s="3" t="n"/>
    </row>
    <row r="8">
      <c r="A8" t="inlineStr">
        <is>
          <t>Reconciled Depreciation</t>
        </is>
      </c>
      <c r="B8" s="3" t="n">
        <v>99088000</v>
      </c>
      <c r="C8" s="3" t="n">
        <v>99268000</v>
      </c>
      <c r="D8" s="3" t="n">
        <v>97016000</v>
      </c>
      <c r="E8" s="3" t="n">
        <v>96252000</v>
      </c>
      <c r="F8" s="3" t="n">
        <v>98091000</v>
      </c>
      <c r="G8" s="3" t="n"/>
    </row>
    <row r="9">
      <c r="A9" t="inlineStr">
        <is>
          <t>Reconciled Cost Of Revenue</t>
        </is>
      </c>
      <c r="B9" s="3" t="n">
        <v>1327672000</v>
      </c>
      <c r="C9" s="3" t="n">
        <v>1271210000</v>
      </c>
      <c r="D9" s="3" t="n">
        <v>1243070000</v>
      </c>
      <c r="E9" s="3" t="n">
        <v>1207286000</v>
      </c>
      <c r="F9" s="3" t="n">
        <v>1175689000</v>
      </c>
      <c r="G9" s="3" t="n"/>
    </row>
    <row r="10">
      <c r="A10" t="inlineStr">
        <is>
          <t>EBITDA</t>
        </is>
      </c>
      <c r="B10" s="3" t="n">
        <v>1586272000</v>
      </c>
      <c r="C10" s="3" t="n">
        <v>1499239000</v>
      </c>
      <c r="D10" s="3" t="n">
        <v>1477567000</v>
      </c>
      <c r="E10" s="3" t="n">
        <v>1498176000</v>
      </c>
      <c r="F10" s="3" t="n">
        <v>1434413000</v>
      </c>
      <c r="G10" s="3" t="n"/>
    </row>
    <row r="11">
      <c r="A11" t="inlineStr">
        <is>
          <t>EBIT</t>
        </is>
      </c>
      <c r="B11" s="3" t="n">
        <v>1487184000</v>
      </c>
      <c r="C11" s="3" t="n">
        <v>1399971000</v>
      </c>
      <c r="D11" s="3" t="n">
        <v>1380551000</v>
      </c>
      <c r="E11" s="3" t="n">
        <v>1401924000</v>
      </c>
      <c r="F11" s="3" t="n">
        <v>1336322000</v>
      </c>
      <c r="G11" s="3" t="n"/>
    </row>
    <row r="12">
      <c r="A12" t="inlineStr">
        <is>
          <t>Net Interest Income</t>
        </is>
      </c>
      <c r="B12" s="3" t="n">
        <v>-70423000</v>
      </c>
      <c r="C12" s="3" t="n">
        <v>-69668000</v>
      </c>
      <c r="D12" s="3" t="n">
        <v>-71075000</v>
      </c>
      <c r="E12" s="3" t="n">
        <v>107151000</v>
      </c>
      <c r="F12" s="3" t="n">
        <v>-71889000</v>
      </c>
      <c r="G12" s="3" t="n"/>
    </row>
    <row r="13">
      <c r="A13" t="inlineStr">
        <is>
          <t>Interest Expense</t>
        </is>
      </c>
      <c r="B13" s="3" t="n">
        <v>70423000</v>
      </c>
      <c r="C13" s="3" t="n">
        <v>69668000</v>
      </c>
      <c r="D13" s="3" t="n">
        <v>71075000</v>
      </c>
      <c r="E13" s="3" t="n">
        <v>73125000</v>
      </c>
      <c r="F13" s="3" t="n">
        <v>71889000</v>
      </c>
      <c r="G13" s="3" t="n"/>
    </row>
    <row r="14">
      <c r="A14" t="inlineStr">
        <is>
          <t>Normalized Income</t>
        </is>
      </c>
      <c r="B14" s="3" t="n">
        <v>1200990000</v>
      </c>
      <c r="C14" s="3" t="n">
        <v>1145682000</v>
      </c>
      <c r="D14" s="3" t="n">
        <v>1121040000</v>
      </c>
      <c r="E14" s="3" t="n">
        <v>1205478650.041127</v>
      </c>
      <c r="F14" s="3" t="n">
        <v>1088416000</v>
      </c>
      <c r="G14" s="3" t="n"/>
    </row>
    <row r="15">
      <c r="A15" t="inlineStr">
        <is>
          <t>Net Income From Continuing And Discontinued Operation</t>
        </is>
      </c>
      <c r="B15" s="3" t="n">
        <v>1200990000</v>
      </c>
      <c r="C15" s="3" t="n">
        <v>1145682000</v>
      </c>
      <c r="D15" s="3" t="n">
        <v>1121040000</v>
      </c>
      <c r="E15" s="3" t="n">
        <v>1202849000</v>
      </c>
      <c r="F15" s="3" t="n">
        <v>1088416000</v>
      </c>
      <c r="G15" s="3" t="n"/>
    </row>
    <row r="16">
      <c r="A16" t="inlineStr">
        <is>
          <t>Total Expenses</t>
        </is>
      </c>
      <c r="B16" s="3" t="n">
        <v>2007569000</v>
      </c>
      <c r="C16" s="3" t="n">
        <v>1935000000</v>
      </c>
      <c r="D16" s="3" t="n">
        <v>1872519000</v>
      </c>
      <c r="E16" s="3" t="n">
        <v>1822981000</v>
      </c>
      <c r="F16" s="3" t="n">
        <v>1762637000</v>
      </c>
      <c r="G16" s="3" t="n"/>
    </row>
    <row r="17">
      <c r="A17" t="inlineStr">
        <is>
          <t>Diluted Average Shares</t>
        </is>
      </c>
      <c r="B17" s="3" t="n">
        <v>131750000</v>
      </c>
      <c r="C17" s="3" t="n">
        <v>132009000</v>
      </c>
      <c r="D17" s="3" t="n">
        <v>132381000</v>
      </c>
      <c r="E17" s="3" t="n">
        <v>132734000</v>
      </c>
      <c r="F17" s="3" t="n">
        <v>133303000</v>
      </c>
      <c r="G17" s="3" t="n"/>
    </row>
    <row r="18">
      <c r="A18" t="inlineStr">
        <is>
          <t>Basic Average Shares</t>
        </is>
      </c>
      <c r="B18" s="3" t="n">
        <v>130909000</v>
      </c>
      <c r="C18" s="3" t="n">
        <v>131278000</v>
      </c>
      <c r="D18" s="3" t="n">
        <v>131757000</v>
      </c>
      <c r="E18" s="3" t="n">
        <v>132032000</v>
      </c>
      <c r="F18" s="3" t="n">
        <v>132607000</v>
      </c>
      <c r="G18" s="3" t="n"/>
    </row>
    <row r="19">
      <c r="A19" t="inlineStr">
        <is>
          <t>Diluted EPS</t>
        </is>
      </c>
      <c r="B19" s="3" t="n">
        <v>9.119999999999999</v>
      </c>
      <c r="C19" s="3" t="n">
        <v>8.68</v>
      </c>
      <c r="D19" s="3" t="n">
        <v>8.470000000000001</v>
      </c>
      <c r="E19" s="3" t="n">
        <v>9.06</v>
      </c>
      <c r="F19" s="3" t="n">
        <v>8.16</v>
      </c>
      <c r="G19" s="3" t="n"/>
    </row>
    <row r="20">
      <c r="A20" t="inlineStr">
        <is>
          <t>Basic EPS</t>
        </is>
      </c>
      <c r="B20" s="3" t="n">
        <v>9.17</v>
      </c>
      <c r="C20" s="3" t="n">
        <v>8.73</v>
      </c>
      <c r="D20" s="3" t="n">
        <v>8.51</v>
      </c>
      <c r="E20" s="3" t="n">
        <v>9.109999999999999</v>
      </c>
      <c r="F20" s="3" t="n">
        <v>8.210000000000001</v>
      </c>
      <c r="G20" s="3" t="n"/>
    </row>
    <row r="21">
      <c r="A21" t="inlineStr">
        <is>
          <t>Diluted NI Availto Com Stockholders</t>
        </is>
      </c>
      <c r="B21" s="3" t="n">
        <v>1200990000</v>
      </c>
      <c r="C21" s="3" t="n">
        <v>1145682000</v>
      </c>
      <c r="D21" s="3" t="n">
        <v>1121040000</v>
      </c>
      <c r="E21" s="3" t="n">
        <v>1202849000</v>
      </c>
      <c r="F21" s="3" t="n">
        <v>1088416000</v>
      </c>
      <c r="G21" s="3" t="n"/>
    </row>
    <row r="22">
      <c r="A22" t="inlineStr">
        <is>
          <t>Net Income Common Stockholders</t>
        </is>
      </c>
      <c r="B22" s="3" t="n">
        <v>1200990000</v>
      </c>
      <c r="C22" s="3" t="n">
        <v>1145682000</v>
      </c>
      <c r="D22" s="3" t="n">
        <v>1121040000</v>
      </c>
      <c r="E22" s="3" t="n">
        <v>1202849000</v>
      </c>
      <c r="F22" s="3" t="n">
        <v>1088416000</v>
      </c>
      <c r="G22" s="3" t="n"/>
    </row>
    <row r="23">
      <c r="A23" t="inlineStr">
        <is>
          <t>Net Income</t>
        </is>
      </c>
      <c r="B23" s="3" t="n">
        <v>1200990000</v>
      </c>
      <c r="C23" s="3" t="n">
        <v>1145682000</v>
      </c>
      <c r="D23" s="3" t="n">
        <v>1121040000</v>
      </c>
      <c r="E23" s="3" t="n">
        <v>1202849000</v>
      </c>
      <c r="F23" s="3" t="n">
        <v>1088416000</v>
      </c>
      <c r="G23" s="3" t="n"/>
    </row>
    <row r="24">
      <c r="A24" t="inlineStr">
        <is>
          <t>Net Income Including Noncontrolling Interests</t>
        </is>
      </c>
      <c r="B24" s="3" t="n">
        <v>1200990000</v>
      </c>
      <c r="C24" s="3" t="n">
        <v>1145682000</v>
      </c>
      <c r="D24" s="3" t="n">
        <v>1121040000</v>
      </c>
      <c r="E24" s="3" t="n">
        <v>1202849000</v>
      </c>
      <c r="F24" s="3" t="n">
        <v>1088416000</v>
      </c>
      <c r="G24" s="3" t="n"/>
    </row>
    <row r="25">
      <c r="A25" t="inlineStr">
        <is>
          <t>Net Income Continuous Operations</t>
        </is>
      </c>
      <c r="B25" s="3" t="n">
        <v>1200990000</v>
      </c>
      <c r="C25" s="3" t="n">
        <v>1145682000</v>
      </c>
      <c r="D25" s="3" t="n">
        <v>1121040000</v>
      </c>
      <c r="E25" s="3" t="n">
        <v>1202849000</v>
      </c>
      <c r="F25" s="3" t="n">
        <v>1088416000</v>
      </c>
      <c r="G25" s="3" t="n"/>
    </row>
    <row r="26">
      <c r="A26" t="inlineStr">
        <is>
          <t>Tax Provision</t>
        </is>
      </c>
      <c r="B26" s="3" t="n">
        <v>215771000</v>
      </c>
      <c r="C26" s="3" t="n">
        <v>184621000</v>
      </c>
      <c r="D26" s="3" t="n">
        <v>188436000</v>
      </c>
      <c r="E26" s="3" t="n">
        <v>125950000</v>
      </c>
      <c r="F26" s="3" t="n">
        <v>176017000</v>
      </c>
      <c r="G26" s="3" t="n"/>
    </row>
    <row r="27">
      <c r="A27" t="inlineStr">
        <is>
          <t>Pretax Income</t>
        </is>
      </c>
      <c r="B27" s="3" t="n">
        <v>1416761000</v>
      </c>
      <c r="C27" s="3" t="n">
        <v>1330303000</v>
      </c>
      <c r="D27" s="3" t="n">
        <v>1309476000</v>
      </c>
      <c r="E27" s="3" t="n">
        <v>1328799000</v>
      </c>
      <c r="F27" s="3" t="n">
        <v>1264433000</v>
      </c>
      <c r="G27" s="3" t="n"/>
    </row>
    <row r="28">
      <c r="A28" t="inlineStr">
        <is>
          <t>Other Income Expense</t>
        </is>
      </c>
      <c r="B28" s="3" t="n">
        <v>79675000</v>
      </c>
      <c r="C28" s="3" t="n">
        <v>37825000</v>
      </c>
      <c r="D28" s="3" t="n">
        <v>43374000</v>
      </c>
      <c r="E28" s="3" t="n">
        <v>-130112000</v>
      </c>
      <c r="F28" s="3" t="n">
        <v>35930000</v>
      </c>
      <c r="G28" s="3" t="n"/>
    </row>
    <row r="29">
      <c r="A29" t="inlineStr">
        <is>
          <t>Other Non Operating Income Expenses</t>
        </is>
      </c>
      <c r="B29" s="3" t="n">
        <v>79675000</v>
      </c>
      <c r="C29" s="3" t="n">
        <v>37825000</v>
      </c>
      <c r="D29" s="3" t="n">
        <v>43374000</v>
      </c>
      <c r="E29" s="3" t="n">
        <v>-127207000</v>
      </c>
      <c r="F29" s="3" t="n">
        <v>35930000</v>
      </c>
      <c r="G29" s="3" t="n"/>
    </row>
    <row r="30">
      <c r="A30" t="inlineStr">
        <is>
          <t>Special Income Charges</t>
        </is>
      </c>
      <c r="B30" s="3" t="n">
        <v>0</v>
      </c>
      <c r="C30" s="3" t="n">
        <v>0</v>
      </c>
      <c r="D30" s="3" t="n"/>
      <c r="E30" s="3" t="n">
        <v>0</v>
      </c>
      <c r="F30" s="3" t="n">
        <v>0</v>
      </c>
      <c r="G30" s="3" t="n">
        <v>-239100000</v>
      </c>
    </row>
    <row r="31">
      <c r="A31" t="inlineStr">
        <is>
          <t>Impairment Of Capital Assets</t>
        </is>
      </c>
      <c r="B31" s="3" t="n"/>
      <c r="C31" s="3" t="n"/>
      <c r="D31" s="3" t="n"/>
      <c r="E31" s="3" t="n">
        <v>0</v>
      </c>
      <c r="F31" s="3" t="n">
        <v>0</v>
      </c>
      <c r="G31" s="3" t="n">
        <v>239100000</v>
      </c>
    </row>
    <row r="32">
      <c r="A32" t="inlineStr">
        <is>
          <t>Net Non Operating Interest Income Expense</t>
        </is>
      </c>
      <c r="B32" s="3" t="n">
        <v>-70423000</v>
      </c>
      <c r="C32" s="3" t="n">
        <v>-69668000</v>
      </c>
      <c r="D32" s="3" t="n">
        <v>-71075000</v>
      </c>
      <c r="E32" s="3" t="n">
        <v>107151000</v>
      </c>
      <c r="F32" s="3" t="n">
        <v>-71889000</v>
      </c>
      <c r="G32" s="3" t="n"/>
    </row>
    <row r="33">
      <c r="A33" t="inlineStr">
        <is>
          <t>Interest Expense Non Operating</t>
        </is>
      </c>
      <c r="B33" s="3" t="n">
        <v>70423000</v>
      </c>
      <c r="C33" s="3" t="n">
        <v>69668000</v>
      </c>
      <c r="D33" s="3" t="n">
        <v>71075000</v>
      </c>
      <c r="E33" s="3" t="n">
        <v>73125000</v>
      </c>
      <c r="F33" s="3" t="n">
        <v>71889000</v>
      </c>
      <c r="G33" s="3" t="n"/>
    </row>
    <row r="34">
      <c r="A34" t="inlineStr">
        <is>
          <t>Operating Income</t>
        </is>
      </c>
      <c r="B34" s="3" t="n">
        <v>1407509000</v>
      </c>
      <c r="C34" s="3" t="n">
        <v>1362146000</v>
      </c>
      <c r="D34" s="3" t="n">
        <v>1337177000</v>
      </c>
      <c r="E34" s="3" t="n">
        <v>1351760000</v>
      </c>
      <c r="F34" s="3" t="n">
        <v>1300392000</v>
      </c>
      <c r="G34" s="3" t="n"/>
    </row>
    <row r="35">
      <c r="A35" t="inlineStr">
        <is>
          <t>Operating Expense</t>
        </is>
      </c>
      <c r="B35" s="3" t="n">
        <v>679897000</v>
      </c>
      <c r="C35" s="3" t="n">
        <v>663790000</v>
      </c>
      <c r="D35" s="3" t="n">
        <v>629449000</v>
      </c>
      <c r="E35" s="3" t="n">
        <v>615695000</v>
      </c>
      <c r="F35" s="3" t="n">
        <v>586948000</v>
      </c>
      <c r="G35" s="3" t="n"/>
    </row>
    <row r="36">
      <c r="A36" t="inlineStr">
        <is>
          <t>Research And Development</t>
        </is>
      </c>
      <c r="B36" s="3" t="n">
        <v>388763000</v>
      </c>
      <c r="C36" s="3" t="n">
        <v>383871000</v>
      </c>
      <c r="D36" s="3" t="n">
        <v>360461000</v>
      </c>
      <c r="E36" s="3" t="n">
        <v>352989000</v>
      </c>
      <c r="F36" s="3" t="n">
        <v>338043000</v>
      </c>
      <c r="G36" s="3" t="n"/>
    </row>
    <row r="37">
      <c r="A37" t="inlineStr">
        <is>
          <t>Selling General And Administration</t>
        </is>
      </c>
      <c r="B37" s="3" t="n">
        <v>291134000</v>
      </c>
      <c r="C37" s="3" t="n">
        <v>279919000</v>
      </c>
      <c r="D37" s="3" t="n">
        <v>268988000</v>
      </c>
      <c r="E37" s="3" t="n">
        <v>262706000</v>
      </c>
      <c r="F37" s="3" t="n">
        <v>248905000</v>
      </c>
      <c r="G37" s="3" t="n"/>
    </row>
    <row r="38">
      <c r="A38" t="inlineStr">
        <is>
          <t>Gross Profit</t>
        </is>
      </c>
      <c r="B38" s="3" t="n">
        <v>2087406000</v>
      </c>
      <c r="C38" s="3" t="n">
        <v>2025936000</v>
      </c>
      <c r="D38" s="3" t="n">
        <v>1966626000</v>
      </c>
      <c r="E38" s="3" t="n">
        <v>1967455000</v>
      </c>
      <c r="F38" s="3" t="n">
        <v>1887340000</v>
      </c>
      <c r="G38" s="3" t="n"/>
    </row>
    <row r="39">
      <c r="A39" t="inlineStr">
        <is>
          <t>Cost Of Revenue</t>
        </is>
      </c>
      <c r="B39" s="3" t="n">
        <v>1327672000</v>
      </c>
      <c r="C39" s="3" t="n">
        <v>1271210000</v>
      </c>
      <c r="D39" s="3" t="n">
        <v>1243070000</v>
      </c>
      <c r="E39" s="3" t="n">
        <v>1207286000</v>
      </c>
      <c r="F39" s="3" t="n">
        <v>1175689000</v>
      </c>
      <c r="G39" s="3" t="n"/>
    </row>
    <row r="40">
      <c r="A40" t="inlineStr">
        <is>
          <t>Total Revenue</t>
        </is>
      </c>
      <c r="B40" s="3" t="n">
        <v>3415078000</v>
      </c>
      <c r="C40" s="3" t="n">
        <v>3297146000</v>
      </c>
      <c r="D40" s="3" t="n">
        <v>3209696000</v>
      </c>
      <c r="E40" s="3" t="n">
        <v>3174741000</v>
      </c>
      <c r="F40" s="3" t="n">
        <v>3063029000</v>
      </c>
      <c r="G40" s="3" t="n"/>
    </row>
    <row r="41">
      <c r="A41" t="inlineStr">
        <is>
          <t>Operating Revenue</t>
        </is>
      </c>
      <c r="B41" s="3" t="n">
        <v>3415078000</v>
      </c>
      <c r="C41" s="3" t="n">
        <v>3297146000</v>
      </c>
      <c r="D41" s="3" t="n">
        <v>3209696000</v>
      </c>
      <c r="E41" s="3" t="n">
        <v>3174741000</v>
      </c>
      <c r="F41" s="3" t="n">
        <v>3063029000</v>
      </c>
      <c r="G41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2025-06-30</t>
        </is>
      </c>
      <c r="C1" s="1" t="inlineStr">
        <is>
          <t>2024-06-30</t>
        </is>
      </c>
      <c r="D1" s="1" t="inlineStr">
        <is>
          <t>2023-06-30</t>
        </is>
      </c>
      <c r="E1" s="1" t="inlineStr">
        <is>
          <t>2022-06-30</t>
        </is>
      </c>
      <c r="F1" s="1" t="inlineStr">
        <is>
          <t>2021-06-30</t>
        </is>
      </c>
    </row>
    <row r="2">
      <c r="A2" t="inlineStr">
        <is>
          <t>Treasury Shares Number</t>
        </is>
      </c>
      <c r="B2" s="3" t="n">
        <v>149153000</v>
      </c>
      <c r="C2" s="3" t="n">
        <v>146224000</v>
      </c>
      <c r="D2" s="3" t="n"/>
      <c r="E2" s="3" t="n"/>
      <c r="F2" s="3" t="n"/>
    </row>
    <row r="3">
      <c r="A3" t="inlineStr">
        <is>
          <t>Ordinary Shares Number</t>
        </is>
      </c>
      <c r="B3" s="3" t="n">
        <v>132023000</v>
      </c>
      <c r="C3" s="3" t="n">
        <v>134425000</v>
      </c>
      <c r="D3" s="3" t="n">
        <v>136750000</v>
      </c>
      <c r="E3" s="3" t="n">
        <v>141804000</v>
      </c>
      <c r="F3" s="3" t="n"/>
    </row>
    <row r="4">
      <c r="A4" t="inlineStr">
        <is>
          <t>Share Issued</t>
        </is>
      </c>
      <c r="B4" s="3" t="n">
        <v>281176000</v>
      </c>
      <c r="C4" s="3" t="n">
        <v>280649000</v>
      </c>
      <c r="D4" s="3" t="n">
        <v>136750000</v>
      </c>
      <c r="E4" s="3" t="n">
        <v>141804000</v>
      </c>
      <c r="F4" s="3" t="n"/>
    </row>
    <row r="5">
      <c r="A5" t="inlineStr">
        <is>
          <t>Net Debt</t>
        </is>
      </c>
      <c r="B5" s="3" t="n">
        <v>3805349000</v>
      </c>
      <c r="C5" s="3" t="n">
        <v>4653006000</v>
      </c>
      <c r="D5" s="3" t="n">
        <v>3962871000</v>
      </c>
      <c r="E5" s="3" t="n">
        <v>5075810000</v>
      </c>
      <c r="F5" s="3" t="n"/>
    </row>
    <row r="6">
      <c r="A6" t="inlineStr">
        <is>
          <t>Total Debt</t>
        </is>
      </c>
      <c r="B6" s="3" t="n">
        <v>6088282000</v>
      </c>
      <c r="C6" s="3" t="n">
        <v>6819643000</v>
      </c>
      <c r="D6" s="3" t="n">
        <v>6063132000</v>
      </c>
      <c r="E6" s="3" t="n">
        <v>6774305000</v>
      </c>
      <c r="F6" s="3" t="n"/>
    </row>
    <row r="7">
      <c r="A7" t="inlineStr">
        <is>
          <t>Tangible Book Value</t>
        </is>
      </c>
      <c r="B7" s="3" t="n">
        <v>2455475000</v>
      </c>
      <c r="C7" s="3" t="n">
        <v>683838000</v>
      </c>
      <c r="D7" s="3" t="n">
        <v>-294370000</v>
      </c>
      <c r="E7" s="3" t="n">
        <v>-2113112000</v>
      </c>
      <c r="F7" s="3" t="n"/>
    </row>
    <row r="8">
      <c r="A8" t="inlineStr">
        <is>
          <t>Invested Capital</t>
        </is>
      </c>
      <c r="B8" s="3" t="n">
        <v>10576710000</v>
      </c>
      <c r="C8" s="3" t="n">
        <v>9998463000</v>
      </c>
      <c r="D8" s="3" t="n">
        <v>8810489000</v>
      </c>
      <c r="E8" s="3" t="n">
        <v>8062069000</v>
      </c>
      <c r="F8" s="3" t="n"/>
    </row>
    <row r="9">
      <c r="A9" t="inlineStr">
        <is>
          <t>Working Capital</t>
        </is>
      </c>
      <c r="B9" s="3" t="n">
        <v>6612994000</v>
      </c>
      <c r="C9" s="3" t="n">
        <v>5370370000</v>
      </c>
      <c r="D9" s="3" t="n">
        <v>4629190000</v>
      </c>
      <c r="E9" s="3" t="n">
        <v>4297828000</v>
      </c>
      <c r="F9" s="3" t="n"/>
    </row>
    <row r="10">
      <c r="A10" t="inlineStr">
        <is>
          <t>Net Tangible Assets</t>
        </is>
      </c>
      <c r="B10" s="3" t="n">
        <v>2455475000</v>
      </c>
      <c r="C10" s="3" t="n">
        <v>683838000</v>
      </c>
      <c r="D10" s="3" t="n">
        <v>-294370000</v>
      </c>
      <c r="E10" s="3" t="n">
        <v>-2113112000</v>
      </c>
      <c r="F10" s="3" t="n"/>
    </row>
    <row r="11">
      <c r="A11" t="inlineStr">
        <is>
          <t>Capital Lease Obligations</t>
        </is>
      </c>
      <c r="B11" s="3" t="n">
        <v>204025000</v>
      </c>
      <c r="C11" s="3" t="n">
        <v>189508000</v>
      </c>
      <c r="D11" s="3" t="n">
        <v>172396000</v>
      </c>
      <c r="E11" s="3" t="n">
        <v>113587000</v>
      </c>
      <c r="F11" s="3" t="n"/>
    </row>
    <row r="12">
      <c r="A12" t="inlineStr">
        <is>
          <t>Common Stock Equity</t>
        </is>
      </c>
      <c r="B12" s="3" t="n">
        <v>4692453000</v>
      </c>
      <c r="C12" s="3" t="n">
        <v>3368328000</v>
      </c>
      <c r="D12" s="3" t="n">
        <v>2919753000</v>
      </c>
      <c r="E12" s="3" t="n">
        <v>1401351000</v>
      </c>
      <c r="F12" s="3" t="n"/>
    </row>
    <row r="13">
      <c r="A13" t="inlineStr">
        <is>
          <t>Total Capitalization</t>
        </is>
      </c>
      <c r="B13" s="3" t="n">
        <v>10576710000</v>
      </c>
      <c r="C13" s="3" t="n">
        <v>9248527000</v>
      </c>
      <c r="D13" s="3" t="n">
        <v>8810489000</v>
      </c>
      <c r="E13" s="3" t="n">
        <v>8062069000</v>
      </c>
      <c r="F13" s="3" t="n"/>
    </row>
    <row r="14">
      <c r="A14" t="inlineStr">
        <is>
          <t>Total Equity Gross Minority Interest</t>
        </is>
      </c>
      <c r="B14" s="3" t="n">
        <v>4692453000</v>
      </c>
      <c r="C14" s="3" t="n">
        <v>3368328000</v>
      </c>
      <c r="D14" s="3" t="n">
        <v>2919753000</v>
      </c>
      <c r="E14" s="3" t="n">
        <v>1399090000</v>
      </c>
      <c r="F14" s="3" t="n"/>
    </row>
    <row r="15">
      <c r="A15" t="inlineStr">
        <is>
          <t>Minority Interest</t>
        </is>
      </c>
      <c r="B15" s="3" t="n">
        <v>0</v>
      </c>
      <c r="C15" s="3" t="n">
        <v>0</v>
      </c>
      <c r="D15" s="3" t="n">
        <v>0</v>
      </c>
      <c r="E15" s="3" t="n">
        <v>-2261000</v>
      </c>
      <c r="F15" s="3" t="n"/>
    </row>
    <row r="16">
      <c r="A16" t="inlineStr">
        <is>
          <t>Stockholders Equity</t>
        </is>
      </c>
      <c r="B16" s="3" t="n">
        <v>4692453000</v>
      </c>
      <c r="C16" s="3" t="n">
        <v>3368328000</v>
      </c>
      <c r="D16" s="3" t="n">
        <v>2919753000</v>
      </c>
      <c r="E16" s="3" t="n">
        <v>1401351000</v>
      </c>
      <c r="F16" s="3" t="n"/>
    </row>
    <row r="17">
      <c r="A17" t="inlineStr">
        <is>
          <t>Gains Losses Not Affecting Retained Earnings</t>
        </is>
      </c>
      <c r="B17" s="3" t="n">
        <v>1201000</v>
      </c>
      <c r="C17" s="3" t="n">
        <v>-49075000</v>
      </c>
      <c r="D17" s="3" t="n">
        <v>-36341000</v>
      </c>
      <c r="E17" s="3" t="n">
        <v>-27471000</v>
      </c>
      <c r="F17" s="3" t="n"/>
    </row>
    <row r="18">
      <c r="A18" t="inlineStr">
        <is>
          <t>Other Equity Adjustments</t>
        </is>
      </c>
      <c r="B18" s="3" t="n">
        <v>1201000</v>
      </c>
      <c r="C18" s="3" t="n">
        <v>-49075000</v>
      </c>
      <c r="D18" s="3" t="n">
        <v>-36341000</v>
      </c>
      <c r="E18" s="3" t="n">
        <v>-27471000</v>
      </c>
      <c r="F18" s="3" t="n"/>
    </row>
    <row r="19">
      <c r="A19" t="inlineStr">
        <is>
          <t>Retained Earnings</t>
        </is>
      </c>
      <c r="B19" s="3" t="n">
        <v>2179330000</v>
      </c>
      <c r="C19" s="3" t="n">
        <v>1137270000</v>
      </c>
      <c r="D19" s="3" t="n">
        <v>848431000</v>
      </c>
      <c r="E19" s="3" t="n">
        <v>366882000</v>
      </c>
      <c r="F19" s="3" t="n"/>
    </row>
    <row r="20">
      <c r="A20" t="inlineStr">
        <is>
          <t>Additional Paid In Capital</t>
        </is>
      </c>
      <c r="B20" s="3" t="n">
        <v>2511790000</v>
      </c>
      <c r="C20" s="3" t="n">
        <v>2279999000</v>
      </c>
      <c r="D20" s="3" t="n">
        <v>2107526000</v>
      </c>
      <c r="E20" s="3" t="n">
        <v>1061798000</v>
      </c>
      <c r="F20" s="3" t="n"/>
    </row>
    <row r="21">
      <c r="A21" t="inlineStr">
        <is>
          <t>Capital Stock</t>
        </is>
      </c>
      <c r="B21" s="3" t="n">
        <v>132000</v>
      </c>
      <c r="C21" s="3" t="n">
        <v>134000</v>
      </c>
      <c r="D21" s="3" t="n">
        <v>137000</v>
      </c>
      <c r="E21" s="3" t="n">
        <v>142000</v>
      </c>
      <c r="F21" s="3" t="n"/>
    </row>
    <row r="22">
      <c r="A22" t="inlineStr">
        <is>
          <t>Common Stock</t>
        </is>
      </c>
      <c r="B22" s="3" t="n">
        <v>132000</v>
      </c>
      <c r="C22" s="3" t="n">
        <v>134000</v>
      </c>
      <c r="D22" s="3" t="n">
        <v>137000</v>
      </c>
      <c r="E22" s="3" t="n">
        <v>142000</v>
      </c>
      <c r="F22" s="3" t="n"/>
    </row>
    <row r="23">
      <c r="A23" t="inlineStr">
        <is>
          <t>Preferred Stock</t>
        </is>
      </c>
      <c r="B23" s="3" t="n">
        <v>0</v>
      </c>
      <c r="C23" s="3" t="n">
        <v>0</v>
      </c>
      <c r="D23" s="3" t="n">
        <v>0</v>
      </c>
      <c r="E23" s="3" t="n">
        <v>0</v>
      </c>
      <c r="F23" s="3" t="n"/>
    </row>
    <row r="24">
      <c r="A24" t="inlineStr">
        <is>
          <t>Total Liabilities Net Minority Interest</t>
        </is>
      </c>
      <c r="B24" s="3" t="n">
        <v>11375473000</v>
      </c>
      <c r="C24" s="3" t="n">
        <v>12065238000</v>
      </c>
      <c r="D24" s="3" t="n">
        <v>11152604000</v>
      </c>
      <c r="E24" s="3" t="n">
        <v>11197998000</v>
      </c>
      <c r="F24" s="3" t="n"/>
    </row>
    <row r="25">
      <c r="A25" t="inlineStr">
        <is>
          <t>Total Non Current Liabilities Net Minority Interest</t>
        </is>
      </c>
      <c r="B25" s="3" t="n">
        <v>7289678000</v>
      </c>
      <c r="C25" s="3" t="n">
        <v>7404464000</v>
      </c>
      <c r="D25" s="3" t="n">
        <v>7409762000</v>
      </c>
      <c r="E25" s="3" t="n">
        <v>8326915000</v>
      </c>
      <c r="F25" s="3" t="n"/>
    </row>
    <row r="26">
      <c r="A26" t="inlineStr">
        <is>
          <t>Other Non Current Liabilities</t>
        </is>
      </c>
      <c r="B26" s="3" t="n">
        <v>170418000</v>
      </c>
      <c r="C26" s="3" t="n">
        <v>147320000</v>
      </c>
      <c r="D26" s="3" t="n">
        <v>132045000</v>
      </c>
      <c r="E26" s="3" t="n">
        <v>150782000</v>
      </c>
      <c r="F26" s="3" t="n"/>
    </row>
    <row r="27">
      <c r="A27" t="inlineStr">
        <is>
          <t>Employee Benefits</t>
        </is>
      </c>
      <c r="B27" s="3" t="n">
        <v>51750000</v>
      </c>
      <c r="C27" s="3" t="n">
        <v>51778000</v>
      </c>
      <c r="D27" s="3" t="n">
        <v>63672000</v>
      </c>
      <c r="E27" s="3" t="n">
        <v>78525000</v>
      </c>
      <c r="F27" s="3" t="n"/>
    </row>
    <row r="28">
      <c r="A28" t="inlineStr">
        <is>
          <t>Non Current Pension And Other Postretirement Benefit Plans</t>
        </is>
      </c>
      <c r="B28" s="3" t="n">
        <v>51750000</v>
      </c>
      <c r="C28" s="3" t="n">
        <v>51778000</v>
      </c>
      <c r="D28" s="3" t="n">
        <v>63672000</v>
      </c>
      <c r="E28" s="3" t="n">
        <v>78525000</v>
      </c>
      <c r="F28" s="3" t="n"/>
    </row>
    <row r="29">
      <c r="A29" t="inlineStr">
        <is>
          <t>Tradeand Other Payables Non Current</t>
        </is>
      </c>
      <c r="B29" s="3" t="n">
        <v>221808000</v>
      </c>
      <c r="C29" s="3" t="n">
        <v>291106000</v>
      </c>
      <c r="D29" s="3" t="n">
        <v>322113000</v>
      </c>
      <c r="E29" s="3" t="n">
        <v>367052000</v>
      </c>
      <c r="F29" s="3" t="n"/>
    </row>
    <row r="30">
      <c r="A30" t="inlineStr">
        <is>
          <t>Non Current Deferred Liabilities</t>
        </is>
      </c>
      <c r="B30" s="3" t="n">
        <v>802612000</v>
      </c>
      <c r="C30" s="3" t="n">
        <v>880944000</v>
      </c>
      <c r="D30" s="3" t="n">
        <v>862842000</v>
      </c>
      <c r="E30" s="3" t="n">
        <v>988469000</v>
      </c>
      <c r="F30" s="3" t="n"/>
    </row>
    <row r="31">
      <c r="A31" t="inlineStr">
        <is>
          <t>Non Current Deferred Revenue</t>
        </is>
      </c>
      <c r="B31" s="3" t="n">
        <v>355667000</v>
      </c>
      <c r="C31" s="3" t="n">
        <v>394254000</v>
      </c>
      <c r="D31" s="3" t="n">
        <v>333555000</v>
      </c>
      <c r="E31" s="3" t="n">
        <v>329532000</v>
      </c>
      <c r="F31" s="3" t="n"/>
    </row>
    <row r="32">
      <c r="A32" t="inlineStr">
        <is>
          <t>Non Current Deferred Taxes Liabilities</t>
        </is>
      </c>
      <c r="B32" s="3" t="n">
        <v>446945000</v>
      </c>
      <c r="C32" s="3" t="n">
        <v>486690000</v>
      </c>
      <c r="D32" s="3" t="n">
        <v>529287000</v>
      </c>
      <c r="E32" s="3" t="n">
        <v>658937000</v>
      </c>
      <c r="F32" s="3" t="n"/>
    </row>
    <row r="33">
      <c r="A33" t="inlineStr">
        <is>
          <t>Long Term Debt And Capital Lease Obligation</t>
        </is>
      </c>
      <c r="B33" s="3" t="n">
        <v>6043090000</v>
      </c>
      <c r="C33" s="3" t="n">
        <v>6033316000</v>
      </c>
      <c r="D33" s="3" t="n">
        <v>6029090000</v>
      </c>
      <c r="E33" s="3" t="n">
        <v>6742087000</v>
      </c>
      <c r="F33" s="3" t="n"/>
    </row>
    <row r="34">
      <c r="A34" t="inlineStr">
        <is>
          <t>Long Term Capital Lease Obligation</t>
        </is>
      </c>
      <c r="B34" s="3" t="n">
        <v>158833000</v>
      </c>
      <c r="C34" s="3" t="n">
        <v>153117000</v>
      </c>
      <c r="D34" s="3" t="n">
        <v>138354000</v>
      </c>
      <c r="E34" s="3" t="n">
        <v>81369000</v>
      </c>
      <c r="F34" s="3" t="n"/>
    </row>
    <row r="35">
      <c r="A35" t="inlineStr">
        <is>
          <t>Long Term Debt</t>
        </is>
      </c>
      <c r="B35" s="3" t="n">
        <v>5884257000</v>
      </c>
      <c r="C35" s="3" t="n">
        <v>5880199000</v>
      </c>
      <c r="D35" s="3" t="n">
        <v>5890736000</v>
      </c>
      <c r="E35" s="3" t="n">
        <v>6660718000</v>
      </c>
      <c r="F35" s="3" t="n"/>
    </row>
    <row r="36">
      <c r="A36" t="inlineStr">
        <is>
          <t>Current Liabilities</t>
        </is>
      </c>
      <c r="B36" s="3" t="n">
        <v>4085795000</v>
      </c>
      <c r="C36" s="3" t="n">
        <v>4660774000</v>
      </c>
      <c r="D36" s="3" t="n">
        <v>3742842000</v>
      </c>
      <c r="E36" s="3" t="n">
        <v>2871083000</v>
      </c>
      <c r="F36" s="3" t="n"/>
    </row>
    <row r="37">
      <c r="A37" t="inlineStr">
        <is>
          <t>Other Current Liabilities</t>
        </is>
      </c>
      <c r="B37" s="3" t="n">
        <v>534621000</v>
      </c>
      <c r="C37" s="3" t="n">
        <v>431017000</v>
      </c>
      <c r="D37" s="3" t="n">
        <v>383407000</v>
      </c>
      <c r="E37" s="3" t="n">
        <v>374367000</v>
      </c>
      <c r="F37" s="3" t="n"/>
    </row>
    <row r="38">
      <c r="A38" t="inlineStr">
        <is>
          <t>Current Deferred Liabilities</t>
        </is>
      </c>
      <c r="B38" s="3" t="n">
        <v>2351640000</v>
      </c>
      <c r="C38" s="3" t="n">
        <v>2436763000</v>
      </c>
      <c r="D38" s="3" t="n">
        <v>2095549000</v>
      </c>
      <c r="E38" s="3" t="n">
        <v>1502589000</v>
      </c>
      <c r="F38" s="3" t="n"/>
    </row>
    <row r="39">
      <c r="A39" t="inlineStr">
        <is>
          <t>Current Deferred Revenue</t>
        </is>
      </c>
      <c r="B39" s="3" t="n">
        <v>2001214000</v>
      </c>
      <c r="C39" s="3" t="n">
        <v>2133675000</v>
      </c>
      <c r="D39" s="3" t="n">
        <v>1837326000</v>
      </c>
      <c r="E39" s="3" t="n">
        <v>1276722000</v>
      </c>
      <c r="F39" s="3" t="n"/>
    </row>
    <row r="40">
      <c r="A40" t="inlineStr">
        <is>
          <t>Current Debt And Capital Lease Obligation</t>
        </is>
      </c>
      <c r="B40" s="3" t="n">
        <v>45192000</v>
      </c>
      <c r="C40" s="3" t="n">
        <v>786327000</v>
      </c>
      <c r="D40" s="3" t="n">
        <v>34042000</v>
      </c>
      <c r="E40" s="3" t="n">
        <v>32218000</v>
      </c>
      <c r="F40" s="3" t="n"/>
    </row>
    <row r="41">
      <c r="A41" t="inlineStr">
        <is>
          <t>Current Capital Lease Obligation</t>
        </is>
      </c>
      <c r="B41" s="3" t="n">
        <v>45192000</v>
      </c>
      <c r="C41" s="3" t="n">
        <v>36391000</v>
      </c>
      <c r="D41" s="3" t="n">
        <v>34042000</v>
      </c>
      <c r="E41" s="3" t="n">
        <v>32218000</v>
      </c>
      <c r="F41" s="3" t="n"/>
    </row>
    <row r="42">
      <c r="A42" t="inlineStr">
        <is>
          <t>Current Debt</t>
        </is>
      </c>
      <c r="B42" s="3" t="n"/>
      <c r="C42" s="3" t="n">
        <v>749936000</v>
      </c>
      <c r="D42" s="3" t="n"/>
      <c r="E42" s="3" t="n"/>
      <c r="F42" s="3" t="n">
        <v>20000000</v>
      </c>
    </row>
    <row r="43">
      <c r="A43" t="inlineStr">
        <is>
          <t>Other Current Borrowings</t>
        </is>
      </c>
      <c r="B43" s="3" t="n"/>
      <c r="C43" s="3" t="n">
        <v>749936000</v>
      </c>
      <c r="D43" s="3" t="n"/>
      <c r="E43" s="3" t="n"/>
      <c r="F43" s="3" t="n">
        <v>20000000</v>
      </c>
    </row>
    <row r="44">
      <c r="A44" t="inlineStr">
        <is>
          <t>Pensionand Other Post Retirement Benefit Plans Current</t>
        </is>
      </c>
      <c r="B44" s="3" t="n">
        <v>418515000</v>
      </c>
      <c r="C44" s="3" t="n">
        <v>371713000</v>
      </c>
      <c r="D44" s="3" t="n">
        <v>370536000</v>
      </c>
      <c r="E44" s="3" t="n">
        <v>351924000</v>
      </c>
      <c r="F44" s="3" t="n"/>
    </row>
    <row r="45">
      <c r="A45" t="inlineStr">
        <is>
          <t>Payables And Accrued Expenses</t>
        </is>
      </c>
      <c r="B45" s="3" t="n">
        <v>735827000</v>
      </c>
      <c r="C45" s="3" t="n">
        <v>634954000</v>
      </c>
      <c r="D45" s="3" t="n">
        <v>859308000</v>
      </c>
      <c r="E45" s="3" t="n">
        <v>609985000</v>
      </c>
      <c r="F45" s="3" t="n"/>
    </row>
    <row r="46">
      <c r="A46" t="inlineStr">
        <is>
          <t>Current Accrued Expenses</t>
        </is>
      </c>
      <c r="B46" s="3" t="n">
        <v>110056000</v>
      </c>
      <c r="C46" s="3" t="n">
        <v>128727000</v>
      </c>
      <c r="D46" s="3" t="n">
        <v>105270000</v>
      </c>
      <c r="E46" s="3" t="n">
        <v>39683000</v>
      </c>
      <c r="F46" s="3" t="n"/>
    </row>
    <row r="47">
      <c r="A47" t="inlineStr">
        <is>
          <t>Interest Payable</t>
        </is>
      </c>
      <c r="B47" s="3" t="n">
        <v>110056000</v>
      </c>
      <c r="C47" s="3" t="n">
        <v>128727000</v>
      </c>
      <c r="D47" s="3" t="n">
        <v>105270000</v>
      </c>
      <c r="E47" s="3" t="n">
        <v>39683000</v>
      </c>
      <c r="F47" s="3" t="n"/>
    </row>
    <row r="48">
      <c r="A48" t="inlineStr">
        <is>
          <t>Payables</t>
        </is>
      </c>
      <c r="B48" s="3" t="n">
        <v>625771000</v>
      </c>
      <c r="C48" s="3" t="n">
        <v>506227000</v>
      </c>
      <c r="D48" s="3" t="n">
        <v>754038000</v>
      </c>
      <c r="E48" s="3" t="n">
        <v>570302000</v>
      </c>
      <c r="F48" s="3" t="n"/>
    </row>
    <row r="49">
      <c r="A49" t="inlineStr">
        <is>
          <t>Total Tax Payable</t>
        </is>
      </c>
      <c r="B49" s="3" t="n">
        <v>167262000</v>
      </c>
      <c r="C49" s="3" t="n">
        <v>146740000</v>
      </c>
      <c r="D49" s="3" t="n">
        <v>383012000</v>
      </c>
      <c r="E49" s="3" t="n">
        <v>126964000</v>
      </c>
      <c r="F49" s="3" t="n"/>
    </row>
    <row r="50">
      <c r="A50" t="inlineStr">
        <is>
          <t>Income Tax Payable</t>
        </is>
      </c>
      <c r="B50" s="3" t="n">
        <v>167262000</v>
      </c>
      <c r="C50" s="3" t="n">
        <v>146740000</v>
      </c>
      <c r="D50" s="3" t="n">
        <v>383012000</v>
      </c>
      <c r="E50" s="3" t="n">
        <v>126964000</v>
      </c>
      <c r="F50" s="3" t="n"/>
    </row>
    <row r="51">
      <c r="A51" t="inlineStr">
        <is>
          <t>Accounts Payable</t>
        </is>
      </c>
      <c r="B51" s="3" t="n">
        <v>458509000</v>
      </c>
      <c r="C51" s="3" t="n">
        <v>359487000</v>
      </c>
      <c r="D51" s="3" t="n">
        <v>371026000</v>
      </c>
      <c r="E51" s="3" t="n">
        <v>443338000</v>
      </c>
      <c r="F51" s="3" t="n"/>
    </row>
    <row r="52">
      <c r="A52" t="inlineStr">
        <is>
          <t>Total Assets</t>
        </is>
      </c>
      <c r="B52" s="3" t="n">
        <v>16067926000</v>
      </c>
      <c r="C52" s="3" t="n">
        <v>15433566000</v>
      </c>
      <c r="D52" s="3" t="n">
        <v>14072357000</v>
      </c>
      <c r="E52" s="3" t="n">
        <v>12597088000</v>
      </c>
      <c r="F52" s="3" t="n"/>
    </row>
    <row r="53">
      <c r="A53" t="inlineStr">
        <is>
          <t>Total Non Current Assets</t>
        </is>
      </c>
      <c r="B53" s="3" t="n">
        <v>5369137000</v>
      </c>
      <c r="C53" s="3" t="n">
        <v>5402422000</v>
      </c>
      <c r="D53" s="3" t="n">
        <v>5700325000</v>
      </c>
      <c r="E53" s="3" t="n">
        <v>5428177000</v>
      </c>
      <c r="F53" s="3" t="n"/>
    </row>
    <row r="54">
      <c r="A54" t="inlineStr">
        <is>
          <t>Other Non Current Assets</t>
        </is>
      </c>
      <c r="B54" s="3" t="n">
        <v>154370000</v>
      </c>
      <c r="C54" s="3" t="n">
        <v>157546000</v>
      </c>
      <c r="D54" s="3" t="n">
        <v>171910000</v>
      </c>
      <c r="E54" s="3" t="n">
        <v>133980000</v>
      </c>
      <c r="F54" s="3" t="n"/>
    </row>
    <row r="55">
      <c r="A55" t="inlineStr">
        <is>
          <t>Non Current Deferred Assets</t>
        </is>
      </c>
      <c r="B55" s="3" t="n">
        <v>1455300000</v>
      </c>
      <c r="C55" s="3" t="n">
        <v>1218606000</v>
      </c>
      <c r="D55" s="3" t="n">
        <v>1073745000</v>
      </c>
      <c r="E55" s="3" t="n">
        <v>803361000</v>
      </c>
      <c r="F55" s="3" t="n"/>
    </row>
    <row r="56">
      <c r="A56" t="inlineStr">
        <is>
          <t>Non Current Deferred Taxes Assets</t>
        </is>
      </c>
      <c r="B56" s="3" t="n">
        <v>1105770000</v>
      </c>
      <c r="C56" s="3" t="n">
        <v>915241000</v>
      </c>
      <c r="D56" s="3" t="n">
        <v>816899000</v>
      </c>
      <c r="E56" s="3" t="n">
        <v>579173000</v>
      </c>
      <c r="F56" s="3" t="n"/>
    </row>
    <row r="57">
      <c r="A57" t="inlineStr">
        <is>
          <t>Goodwill And Other Intangible Assets</t>
        </is>
      </c>
      <c r="B57" s="3" t="n">
        <v>2236978000</v>
      </c>
      <c r="C57" s="3" t="n">
        <v>2684490000</v>
      </c>
      <c r="D57" s="3" t="n">
        <v>3214123000</v>
      </c>
      <c r="E57" s="3" t="n">
        <v>3514463000</v>
      </c>
      <c r="F57" s="3" t="n"/>
    </row>
    <row r="58">
      <c r="A58" t="inlineStr">
        <is>
          <t>Other Intangible Assets</t>
        </is>
      </c>
      <c r="B58" s="3" t="n">
        <v>444785000</v>
      </c>
      <c r="C58" s="3" t="n">
        <v>668764000</v>
      </c>
      <c r="D58" s="3" t="n">
        <v>935303000</v>
      </c>
      <c r="E58" s="3" t="n">
        <v>1194414000</v>
      </c>
      <c r="F58" s="3" t="n"/>
    </row>
    <row r="59">
      <c r="A59" t="inlineStr">
        <is>
          <t>Goodwill</t>
        </is>
      </c>
      <c r="B59" s="3" t="n">
        <v>1792193000</v>
      </c>
      <c r="C59" s="3" t="n">
        <v>2015726000</v>
      </c>
      <c r="D59" s="3" t="n">
        <v>2278820000</v>
      </c>
      <c r="E59" s="3" t="n">
        <v>2320049000</v>
      </c>
      <c r="F59" s="3" t="n"/>
    </row>
    <row r="60">
      <c r="A60" t="inlineStr">
        <is>
          <t>Net PPE</t>
        </is>
      </c>
      <c r="B60" s="3" t="n">
        <v>1522489000</v>
      </c>
      <c r="C60" s="3" t="n">
        <v>1341780000</v>
      </c>
      <c r="D60" s="3" t="n">
        <v>1240547000</v>
      </c>
      <c r="E60" s="3" t="n">
        <v>976373000</v>
      </c>
      <c r="F60" s="3" t="n"/>
    </row>
    <row r="61">
      <c r="A61" t="inlineStr">
        <is>
          <t>Accumulated Depreciation</t>
        </is>
      </c>
      <c r="B61" s="3" t="n">
        <v>-1486477000</v>
      </c>
      <c r="C61" s="3" t="n">
        <v>-1284490000</v>
      </c>
      <c r="D61" s="3" t="n">
        <v>-1109987000</v>
      </c>
      <c r="E61" s="3" t="n">
        <v>-904895000</v>
      </c>
      <c r="F61" s="3" t="n"/>
    </row>
    <row r="62">
      <c r="A62" t="inlineStr">
        <is>
          <t>Gross PPE</t>
        </is>
      </c>
      <c r="B62" s="3" t="n">
        <v>3008966000</v>
      </c>
      <c r="C62" s="3" t="n">
        <v>2626270000</v>
      </c>
      <c r="D62" s="3" t="n">
        <v>2350534000</v>
      </c>
      <c r="E62" s="3" t="n">
        <v>1881268000</v>
      </c>
      <c r="F62" s="3" t="n"/>
    </row>
    <row r="63">
      <c r="A63" t="inlineStr">
        <is>
          <t>Construction In Progress</t>
        </is>
      </c>
      <c r="B63" s="3" t="n">
        <v>207807000</v>
      </c>
      <c r="C63" s="3" t="n">
        <v>215006000</v>
      </c>
      <c r="D63" s="3" t="n">
        <v>168817000</v>
      </c>
      <c r="E63" s="3" t="n">
        <v>110079000</v>
      </c>
      <c r="F63" s="3" t="n"/>
    </row>
    <row r="64">
      <c r="A64" t="inlineStr">
        <is>
          <t>Other Properties</t>
        </is>
      </c>
      <c r="B64" s="3" t="n">
        <v>269714000</v>
      </c>
      <c r="C64" s="3" t="n">
        <v>231812000</v>
      </c>
      <c r="D64" s="3" t="n">
        <v>208706000</v>
      </c>
      <c r="E64" s="3" t="n">
        <v>126444000</v>
      </c>
      <c r="F64" s="3" t="n"/>
    </row>
    <row r="65">
      <c r="A65" t="inlineStr">
        <is>
          <t>Machinery Furniture Equipment</t>
        </is>
      </c>
      <c r="B65" s="3" t="n">
        <v>1312592000</v>
      </c>
      <c r="C65" s="3" t="n">
        <v>1181273000</v>
      </c>
      <c r="D65" s="3" t="n">
        <v>1074749000</v>
      </c>
      <c r="E65" s="3" t="n">
        <v>864148000</v>
      </c>
      <c r="F65" s="3" t="n"/>
    </row>
    <row r="66">
      <c r="A66" t="inlineStr">
        <is>
          <t>Buildings And Improvements</t>
        </is>
      </c>
      <c r="B66" s="3" t="n">
        <v>1132176000</v>
      </c>
      <c r="C66" s="3" t="n">
        <v>919919000</v>
      </c>
      <c r="D66" s="3" t="n">
        <v>825975000</v>
      </c>
      <c r="E66" s="3" t="n">
        <v>712751000</v>
      </c>
      <c r="F66" s="3" t="n"/>
    </row>
    <row r="67">
      <c r="A67" t="inlineStr">
        <is>
          <t>Land And Improvements</t>
        </is>
      </c>
      <c r="B67" s="3" t="n">
        <v>86677000</v>
      </c>
      <c r="C67" s="3" t="n">
        <v>78260000</v>
      </c>
      <c r="D67" s="3" t="n">
        <v>72287000</v>
      </c>
      <c r="E67" s="3" t="n">
        <v>67846000</v>
      </c>
      <c r="F67" s="3" t="n"/>
    </row>
    <row r="68">
      <c r="A68" t="inlineStr">
        <is>
          <t>Properties</t>
        </is>
      </c>
      <c r="B68" s="3" t="n">
        <v>0</v>
      </c>
      <c r="C68" s="3" t="n">
        <v>0</v>
      </c>
      <c r="D68" s="3" t="n">
        <v>0</v>
      </c>
      <c r="E68" s="3" t="n">
        <v>0</v>
      </c>
      <c r="F68" s="3" t="n"/>
    </row>
    <row r="69">
      <c r="A69" t="inlineStr">
        <is>
          <t>Current Assets</t>
        </is>
      </c>
      <c r="B69" s="3" t="n">
        <v>10698789000</v>
      </c>
      <c r="C69" s="3" t="n">
        <v>10031144000</v>
      </c>
      <c r="D69" s="3" t="n">
        <v>8372032000</v>
      </c>
      <c r="E69" s="3" t="n">
        <v>7168911000</v>
      </c>
      <c r="F69" s="3" t="n"/>
    </row>
    <row r="70">
      <c r="A70" t="inlineStr">
        <is>
          <t>Other Current Assets</t>
        </is>
      </c>
      <c r="B70" s="3" t="n">
        <v>133435000</v>
      </c>
      <c r="C70" s="3" t="n">
        <v>82822000</v>
      </c>
      <c r="D70" s="3" t="n">
        <v>62419000</v>
      </c>
      <c r="E70" s="3" t="n">
        <v>64248000</v>
      </c>
      <c r="F70" s="3" t="n"/>
    </row>
    <row r="71">
      <c r="A71" t="inlineStr">
        <is>
          <t>Current Deferred Assets</t>
        </is>
      </c>
      <c r="B71" s="3" t="n">
        <v>223829000</v>
      </c>
      <c r="C71" s="3" t="n">
        <v>279879000</v>
      </c>
      <c r="D71" s="3" t="n">
        <v>133067000</v>
      </c>
      <c r="E71" s="3" t="n">
        <v>124487000</v>
      </c>
      <c r="F71" s="3" t="n"/>
    </row>
    <row r="72">
      <c r="A72" t="inlineStr">
        <is>
          <t>Prepaid Assets</t>
        </is>
      </c>
      <c r="B72" s="3" t="n">
        <v>201053000</v>
      </c>
      <c r="C72" s="3" t="n">
        <v>124969000</v>
      </c>
      <c r="D72" s="3" t="n">
        <v>121204000</v>
      </c>
      <c r="E72" s="3" t="n">
        <v>108942000</v>
      </c>
      <c r="F72" s="3" t="n"/>
    </row>
    <row r="73">
      <c r="A73" t="inlineStr">
        <is>
          <t>Inventory</t>
        </is>
      </c>
      <c r="B73" s="3" t="n">
        <v>3212149000</v>
      </c>
      <c r="C73" s="3" t="n">
        <v>3034781000</v>
      </c>
      <c r="D73" s="3" t="n">
        <v>2876784000</v>
      </c>
      <c r="E73" s="3" t="n">
        <v>2146889000</v>
      </c>
      <c r="F73" s="3" t="n"/>
    </row>
    <row r="74">
      <c r="A74" t="inlineStr">
        <is>
          <t>Other Inventories</t>
        </is>
      </c>
      <c r="B74" s="3" t="n">
        <v>600769000</v>
      </c>
      <c r="C74" s="3" t="n">
        <v>589751000</v>
      </c>
      <c r="D74" s="3" t="n">
        <v>524096000</v>
      </c>
      <c r="E74" s="3" t="n">
        <v>402121000</v>
      </c>
      <c r="F74" s="3" t="n"/>
    </row>
    <row r="75">
      <c r="A75" t="inlineStr">
        <is>
          <t>Finished Goods</t>
        </is>
      </c>
      <c r="B75" s="3" t="n">
        <v>285661000</v>
      </c>
      <c r="C75" s="3" t="n">
        <v>258735000</v>
      </c>
      <c r="D75" s="3" t="n">
        <v>214622000</v>
      </c>
      <c r="E75" s="3" t="n">
        <v>250070000</v>
      </c>
      <c r="F75" s="3" t="n"/>
    </row>
    <row r="76">
      <c r="A76" t="inlineStr">
        <is>
          <t>Work In Process</t>
        </is>
      </c>
      <c r="B76" s="3" t="n">
        <v>833933000</v>
      </c>
      <c r="C76" s="3" t="n">
        <v>700895000</v>
      </c>
      <c r="D76" s="3" t="n">
        <v>578864000</v>
      </c>
      <c r="E76" s="3" t="n">
        <v>451782000</v>
      </c>
      <c r="F76" s="3" t="n"/>
    </row>
    <row r="77">
      <c r="A77" t="inlineStr">
        <is>
          <t>Raw Materials</t>
        </is>
      </c>
      <c r="B77" s="3" t="n">
        <v>1491786000</v>
      </c>
      <c r="C77" s="3" t="n">
        <v>1485400000</v>
      </c>
      <c r="D77" s="3" t="n">
        <v>1559202000</v>
      </c>
      <c r="E77" s="3" t="n">
        <v>1042916000</v>
      </c>
      <c r="F77" s="3" t="n"/>
    </row>
    <row r="78">
      <c r="A78" t="inlineStr">
        <is>
          <t>Receivables</t>
        </is>
      </c>
      <c r="B78" s="3" t="n">
        <v>2433700000</v>
      </c>
      <c r="C78" s="3" t="n">
        <v>2004698000</v>
      </c>
      <c r="D78" s="3" t="n">
        <v>1935399000</v>
      </c>
      <c r="E78" s="3" t="n">
        <v>2016337000</v>
      </c>
      <c r="F78" s="3" t="n"/>
    </row>
    <row r="79">
      <c r="A79" t="inlineStr">
        <is>
          <t>Other Receivables</t>
        </is>
      </c>
      <c r="B79" s="3" t="n">
        <v>105081000</v>
      </c>
      <c r="C79" s="3" t="n">
        <v>69259000</v>
      </c>
      <c r="D79" s="3" t="n">
        <v>117137000</v>
      </c>
      <c r="E79" s="3" t="n">
        <v>114747000</v>
      </c>
      <c r="F79" s="3" t="n"/>
    </row>
    <row r="80">
      <c r="A80" t="inlineStr">
        <is>
          <t>Taxes Receivable</t>
        </is>
      </c>
      <c r="B80" s="3" t="n">
        <v>64704000</v>
      </c>
      <c r="C80" s="3" t="n">
        <v>102398000</v>
      </c>
      <c r="D80" s="3" t="n">
        <v>64901000</v>
      </c>
      <c r="E80" s="3" t="n">
        <v>89713000</v>
      </c>
      <c r="F80" s="3" t="n"/>
    </row>
    <row r="81">
      <c r="A81" t="inlineStr">
        <is>
          <t>Accounts Receivable</t>
        </is>
      </c>
      <c r="B81" s="3" t="n">
        <v>2263915000</v>
      </c>
      <c r="C81" s="3" t="n">
        <v>1833041000</v>
      </c>
      <c r="D81" s="3" t="n">
        <v>1753361000</v>
      </c>
      <c r="E81" s="3" t="n">
        <v>1811877000</v>
      </c>
      <c r="F81" s="3" t="n"/>
    </row>
    <row r="82">
      <c r="A82" t="inlineStr">
        <is>
          <t>Allowance For Doubtful Accounts Receivable</t>
        </is>
      </c>
      <c r="B82" s="3" t="n">
        <v>-34015000</v>
      </c>
      <c r="C82" s="3" t="n">
        <v>-32782000</v>
      </c>
      <c r="D82" s="3" t="n">
        <v>-33632000</v>
      </c>
      <c r="E82" s="3" t="n">
        <v>-20631000</v>
      </c>
      <c r="F82" s="3" t="n"/>
    </row>
    <row r="83">
      <c r="A83" t="inlineStr">
        <is>
          <t>Gross Accounts Receivable</t>
        </is>
      </c>
      <c r="B83" s="3" t="n">
        <v>2297930000</v>
      </c>
      <c r="C83" s="3" t="n">
        <v>1865823000</v>
      </c>
      <c r="D83" s="3" t="n">
        <v>1786993000</v>
      </c>
      <c r="E83" s="3" t="n">
        <v>1832508000</v>
      </c>
      <c r="F83" s="3" t="n"/>
    </row>
    <row r="84">
      <c r="A84" t="inlineStr">
        <is>
          <t>Cash Cash Equivalents And Short Term Investments</t>
        </is>
      </c>
      <c r="B84" s="3" t="n">
        <v>4494623000</v>
      </c>
      <c r="C84" s="3" t="n">
        <v>4503995000</v>
      </c>
      <c r="D84" s="3" t="n">
        <v>3243159000</v>
      </c>
      <c r="E84" s="3" t="n">
        <v>2708008000</v>
      </c>
      <c r="F84" s="3" t="n"/>
    </row>
    <row r="85">
      <c r="A85" t="inlineStr">
        <is>
          <t>Other Short Term Investments</t>
        </is>
      </c>
      <c r="B85" s="3" t="n">
        <v>2415715000</v>
      </c>
      <c r="C85" s="3" t="n">
        <v>2526866000</v>
      </c>
      <c r="D85" s="3" t="n">
        <v>1315294000</v>
      </c>
      <c r="E85" s="3" t="n">
        <v>1123100000</v>
      </c>
      <c r="F85" s="3" t="n"/>
    </row>
    <row r="86">
      <c r="A86" t="inlineStr">
        <is>
          <t>Cash And Cash Equivalents</t>
        </is>
      </c>
      <c r="B86" s="3" t="n">
        <v>2078908000</v>
      </c>
      <c r="C86" s="3" t="n">
        <v>1977129000</v>
      </c>
      <c r="D86" s="3" t="n">
        <v>1927865000</v>
      </c>
      <c r="E86" s="3" t="n">
        <v>1584908000</v>
      </c>
      <c r="F86" s="3" t="n"/>
    </row>
    <row r="87">
      <c r="A87" t="inlineStr">
        <is>
          <t>Cash Equivalents</t>
        </is>
      </c>
      <c r="B87" s="3" t="n"/>
      <c r="C87" s="3" t="n"/>
      <c r="D87" s="3" t="n"/>
      <c r="E87" s="3" t="n">
        <v>971434000</v>
      </c>
      <c r="F87" s="3" t="n">
        <v>691375000</v>
      </c>
    </row>
    <row r="88">
      <c r="A88" t="inlineStr">
        <is>
          <t>Cash Financial</t>
        </is>
      </c>
      <c r="B88" s="3" t="n"/>
      <c r="C88" s="3" t="n"/>
      <c r="D88" s="3" t="n"/>
      <c r="E88" s="3" t="n">
        <v>613474000</v>
      </c>
      <c r="F88" s="3" t="n">
        <v>743235000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2024-09-30</t>
        </is>
      </c>
    </row>
    <row r="2">
      <c r="A2" t="inlineStr">
        <is>
          <t>Treasury Shares Number</t>
        </is>
      </c>
      <c r="B2" s="3" t="n"/>
      <c r="C2" s="3" t="n"/>
      <c r="D2" s="3" t="n"/>
      <c r="E2" s="3" t="n">
        <v>149153000</v>
      </c>
      <c r="F2" s="3" t="n"/>
      <c r="G2" s="3" t="n"/>
    </row>
    <row r="3">
      <c r="A3" t="inlineStr">
        <is>
          <t>Ordinary Shares Number</t>
        </is>
      </c>
      <c r="B3" s="3" t="n">
        <v>130710000</v>
      </c>
      <c r="C3" s="3" t="n">
        <v>131143000</v>
      </c>
      <c r="D3" s="3" t="n">
        <v>131516000</v>
      </c>
      <c r="E3" s="3" t="n">
        <v>132023000</v>
      </c>
      <c r="F3" s="3" t="n">
        <v>132241000</v>
      </c>
      <c r="G3" s="3" t="n"/>
    </row>
    <row r="4">
      <c r="A4" t="inlineStr">
        <is>
          <t>Share Issued</t>
        </is>
      </c>
      <c r="B4" s="3" t="n">
        <v>130710000</v>
      </c>
      <c r="C4" s="3" t="n">
        <v>131143000</v>
      </c>
      <c r="D4" s="3" t="n">
        <v>131516000</v>
      </c>
      <c r="E4" s="3" t="n">
        <v>281176000</v>
      </c>
      <c r="F4" s="3" t="n">
        <v>132241000</v>
      </c>
      <c r="G4" s="3" t="n"/>
    </row>
    <row r="5">
      <c r="A5" t="inlineStr">
        <is>
          <t>Net Debt</t>
        </is>
      </c>
      <c r="B5" s="3" t="n">
        <v>4100053000</v>
      </c>
      <c r="C5" s="3" t="n">
        <v>3434004000</v>
      </c>
      <c r="D5" s="3" t="n">
        <v>3938982000</v>
      </c>
      <c r="E5" s="3" t="n">
        <v>3805349000</v>
      </c>
      <c r="F5" s="3" t="n">
        <v>4025300000</v>
      </c>
      <c r="G5" s="3" t="n"/>
    </row>
    <row r="6">
      <c r="A6" t="inlineStr">
        <is>
          <t>Total Debt</t>
        </is>
      </c>
      <c r="B6" s="3" t="n">
        <v>6145360000</v>
      </c>
      <c r="C6" s="3" t="n">
        <v>6109478000</v>
      </c>
      <c r="D6" s="3" t="n">
        <v>6088119000</v>
      </c>
      <c r="E6" s="3" t="n">
        <v>6088282000</v>
      </c>
      <c r="F6" s="3" t="n">
        <v>6089173000</v>
      </c>
      <c r="G6" s="3" t="n"/>
    </row>
    <row r="7">
      <c r="A7" t="inlineStr">
        <is>
          <t>Tangible Book Value</t>
        </is>
      </c>
      <c r="B7" s="3" t="n">
        <v>3741295000</v>
      </c>
      <c r="C7" s="3" t="n">
        <v>3327116000</v>
      </c>
      <c r="D7" s="3" t="n">
        <v>2796683000</v>
      </c>
      <c r="E7" s="3" t="n">
        <v>2455475000</v>
      </c>
      <c r="F7" s="3" t="n">
        <v>1721635000</v>
      </c>
      <c r="G7" s="3" t="n"/>
    </row>
    <row r="8">
      <c r="A8" t="inlineStr">
        <is>
          <t>Invested Capital</t>
        </is>
      </c>
      <c r="B8" s="3" t="n">
        <v>11717558000</v>
      </c>
      <c r="C8" s="3" t="n">
        <v>11351859000</v>
      </c>
      <c r="D8" s="3" t="n">
        <v>10870264000</v>
      </c>
      <c r="E8" s="3" t="n">
        <v>10576710000</v>
      </c>
      <c r="F8" s="3" t="n">
        <v>9888061000</v>
      </c>
      <c r="G8" s="3" t="n"/>
    </row>
    <row r="9">
      <c r="A9" t="inlineStr">
        <is>
          <t>Working Capital</t>
        </is>
      </c>
      <c r="B9" s="3" t="n">
        <v>7599424000</v>
      </c>
      <c r="C9" s="3" t="n">
        <v>7281333000</v>
      </c>
      <c r="D9" s="3" t="n">
        <v>6851190000</v>
      </c>
      <c r="E9" s="3" t="n">
        <v>6612994000</v>
      </c>
      <c r="F9" s="3" t="n">
        <v>6035090000</v>
      </c>
      <c r="G9" s="3" t="n"/>
    </row>
    <row r="10">
      <c r="A10" t="inlineStr">
        <is>
          <t>Net Tangible Assets</t>
        </is>
      </c>
      <c r="B10" s="3" t="n">
        <v>3741295000</v>
      </c>
      <c r="C10" s="3" t="n">
        <v>3327116000</v>
      </c>
      <c r="D10" s="3" t="n">
        <v>2796683000</v>
      </c>
      <c r="E10" s="3" t="n">
        <v>2455475000</v>
      </c>
      <c r="F10" s="3" t="n">
        <v>1721635000</v>
      </c>
      <c r="G10" s="3" t="n"/>
    </row>
    <row r="11">
      <c r="A11" t="inlineStr">
        <is>
          <t>Capital Lease Obligations</t>
        </is>
      </c>
      <c r="B11" s="3" t="n">
        <v>258297000</v>
      </c>
      <c r="C11" s="3" t="n">
        <v>223350000</v>
      </c>
      <c r="D11" s="3" t="n">
        <v>202926000</v>
      </c>
      <c r="E11" s="3" t="n">
        <v>204025000</v>
      </c>
      <c r="F11" s="3" t="n">
        <v>205851000</v>
      </c>
      <c r="G11" s="3" t="n"/>
    </row>
    <row r="12">
      <c r="A12" t="inlineStr">
        <is>
          <t>Common Stock Equity</t>
        </is>
      </c>
      <c r="B12" s="3" t="n">
        <v>5830495000</v>
      </c>
      <c r="C12" s="3" t="n">
        <v>5465731000</v>
      </c>
      <c r="D12" s="3" t="n">
        <v>4985071000</v>
      </c>
      <c r="E12" s="3" t="n">
        <v>4692453000</v>
      </c>
      <c r="F12" s="3" t="n">
        <v>4004739000</v>
      </c>
      <c r="G12" s="3" t="n"/>
    </row>
    <row r="13">
      <c r="A13" t="inlineStr">
        <is>
          <t>Total Capitalization</t>
        </is>
      </c>
      <c r="B13" s="3" t="n">
        <v>11717558000</v>
      </c>
      <c r="C13" s="3" t="n">
        <v>11351859000</v>
      </c>
      <c r="D13" s="3" t="n">
        <v>10870264000</v>
      </c>
      <c r="E13" s="3" t="n">
        <v>10576710000</v>
      </c>
      <c r="F13" s="3" t="n">
        <v>9888061000</v>
      </c>
      <c r="G13" s="3" t="n"/>
    </row>
    <row r="14">
      <c r="A14" t="inlineStr">
        <is>
          <t>Total Equity Gross Minority Interest</t>
        </is>
      </c>
      <c r="B14" s="3" t="n">
        <v>5830495000</v>
      </c>
      <c r="C14" s="3" t="n">
        <v>5465731000</v>
      </c>
      <c r="D14" s="3" t="n">
        <v>4985071000</v>
      </c>
      <c r="E14" s="3" t="n">
        <v>4692453000</v>
      </c>
      <c r="F14" s="3" t="n">
        <v>4004739000</v>
      </c>
      <c r="G14" s="3" t="n"/>
    </row>
    <row r="15">
      <c r="A15" t="inlineStr">
        <is>
          <t>Minority Interest</t>
        </is>
      </c>
      <c r="B15" s="3" t="n"/>
      <c r="C15" s="3" t="n"/>
      <c r="D15" s="3" t="n"/>
      <c r="E15" s="3" t="n">
        <v>0</v>
      </c>
      <c r="F15" s="3" t="n"/>
      <c r="G15" s="3" t="n"/>
    </row>
    <row r="16">
      <c r="A16" t="inlineStr">
        <is>
          <t>Stockholders Equity</t>
        </is>
      </c>
      <c r="B16" s="3" t="n">
        <v>5830495000</v>
      </c>
      <c r="C16" s="3" t="n">
        <v>5465731000</v>
      </c>
      <c r="D16" s="3" t="n">
        <v>4985071000</v>
      </c>
      <c r="E16" s="3" t="n">
        <v>4692453000</v>
      </c>
      <c r="F16" s="3" t="n">
        <v>4004739000</v>
      </c>
      <c r="G16" s="3" t="n"/>
    </row>
    <row r="17">
      <c r="A17" t="inlineStr">
        <is>
          <t>Gains Losses Not Affecting Retained Earnings</t>
        </is>
      </c>
      <c r="B17" s="3" t="n">
        <v>-31980000</v>
      </c>
      <c r="C17" s="3" t="n">
        <v>960000</v>
      </c>
      <c r="D17" s="3" t="n">
        <v>671000</v>
      </c>
      <c r="E17" s="3" t="n">
        <v>1201000</v>
      </c>
      <c r="F17" s="3" t="n">
        <v>-42633000</v>
      </c>
      <c r="G17" s="3" t="n"/>
    </row>
    <row r="18">
      <c r="A18" t="inlineStr">
        <is>
          <t>Other Equity Adjustments</t>
        </is>
      </c>
      <c r="B18" s="3" t="n">
        <v>-31980000</v>
      </c>
      <c r="C18" s="3" t="n">
        <v>960000</v>
      </c>
      <c r="D18" s="3" t="n">
        <v>671000</v>
      </c>
      <c r="E18" s="3" t="n">
        <v>1201000</v>
      </c>
      <c r="F18" s="3" t="n">
        <v>-42633000</v>
      </c>
      <c r="G18" s="3" t="n"/>
    </row>
    <row r="19">
      <c r="A19" t="inlineStr">
        <is>
          <t>Retained Earnings</t>
        </is>
      </c>
      <c r="B19" s="3" t="n">
        <v>3187462000</v>
      </c>
      <c r="C19" s="3" t="n">
        <v>2860594000</v>
      </c>
      <c r="D19" s="3" t="n">
        <v>2495279000</v>
      </c>
      <c r="E19" s="3" t="n">
        <v>2179330000</v>
      </c>
      <c r="F19" s="3" t="n">
        <v>1646055000</v>
      </c>
      <c r="G19" s="3" t="n"/>
    </row>
    <row r="20">
      <c r="A20" t="inlineStr">
        <is>
          <t>Additional Paid In Capital</t>
        </is>
      </c>
      <c r="B20" s="3" t="n"/>
      <c r="C20" s="3" t="n"/>
      <c r="D20" s="3" t="n"/>
      <c r="E20" s="3" t="n">
        <v>2511790000</v>
      </c>
      <c r="F20" s="3" t="n"/>
      <c r="G20" s="3" t="n"/>
    </row>
    <row r="21">
      <c r="A21" t="inlineStr">
        <is>
          <t>Capital Stock</t>
        </is>
      </c>
      <c r="B21" s="3" t="n">
        <v>2675013000</v>
      </c>
      <c r="C21" s="3" t="n">
        <v>2604177000</v>
      </c>
      <c r="D21" s="3" t="n">
        <v>2489121000</v>
      </c>
      <c r="E21" s="3" t="n">
        <v>132000</v>
      </c>
      <c r="F21" s="3" t="n">
        <v>2401317000</v>
      </c>
      <c r="G21" s="3" t="n"/>
    </row>
    <row r="22">
      <c r="A22" t="inlineStr">
        <is>
          <t>Common Stock</t>
        </is>
      </c>
      <c r="B22" s="3" t="n">
        <v>2675013000</v>
      </c>
      <c r="C22" s="3" t="n">
        <v>2604177000</v>
      </c>
      <c r="D22" s="3" t="n">
        <v>2489121000</v>
      </c>
      <c r="E22" s="3" t="n">
        <v>132000</v>
      </c>
      <c r="F22" s="3" t="n">
        <v>2401317000</v>
      </c>
      <c r="G22" s="3" t="n"/>
    </row>
    <row r="23">
      <c r="A23" t="inlineStr">
        <is>
          <t>Preferred Stock</t>
        </is>
      </c>
      <c r="B23" s="3" t="n"/>
      <c r="C23" s="3" t="n"/>
      <c r="D23" s="3" t="n"/>
      <c r="E23" s="3" t="n">
        <v>0</v>
      </c>
      <c r="F23" s="3" t="n"/>
      <c r="G23" s="3" t="n"/>
    </row>
    <row r="24">
      <c r="A24" t="inlineStr">
        <is>
          <t>Total Liabilities Net Minority Interest</t>
        </is>
      </c>
      <c r="B24" s="3" t="n">
        <v>11043020000</v>
      </c>
      <c r="C24" s="3" t="n">
        <v>11254497000</v>
      </c>
      <c r="D24" s="3" t="n">
        <v>11332903000</v>
      </c>
      <c r="E24" s="3" t="n">
        <v>11375473000</v>
      </c>
      <c r="F24" s="3" t="n">
        <v>11183568000</v>
      </c>
      <c r="G24" s="3" t="n"/>
    </row>
    <row r="25">
      <c r="A25" t="inlineStr">
        <is>
          <t>Total Non Current Liabilities Net Minority Interest</t>
        </is>
      </c>
      <c r="B25" s="3" t="n">
        <v>7291465000</v>
      </c>
      <c r="C25" s="3" t="n">
        <v>7272025000</v>
      </c>
      <c r="D25" s="3" t="n">
        <v>7282933000</v>
      </c>
      <c r="E25" s="3" t="n">
        <v>7289678000</v>
      </c>
      <c r="F25" s="3" t="n">
        <v>7273639000</v>
      </c>
      <c r="G25" s="3" t="n"/>
    </row>
    <row r="26">
      <c r="A26" t="inlineStr">
        <is>
          <t>Other Non Current Liabilities</t>
        </is>
      </c>
      <c r="B26" s="3" t="n">
        <v>189312000</v>
      </c>
      <c r="C26" s="3" t="n">
        <v>181928000</v>
      </c>
      <c r="D26" s="3" t="n">
        <v>171454000</v>
      </c>
      <c r="E26" s="3" t="n">
        <v>170418000</v>
      </c>
      <c r="F26" s="3" t="n">
        <v>161411000</v>
      </c>
      <c r="G26" s="3" t="n"/>
    </row>
    <row r="27">
      <c r="A27" t="inlineStr">
        <is>
          <t>Employee Benefits</t>
        </is>
      </c>
      <c r="B27" s="3" t="n">
        <v>48043000</v>
      </c>
      <c r="C27" s="3" t="n">
        <v>48767000</v>
      </c>
      <c r="D27" s="3" t="n">
        <v>50620000</v>
      </c>
      <c r="E27" s="3" t="n">
        <v>51750000</v>
      </c>
      <c r="F27" s="3" t="n">
        <v>54284000</v>
      </c>
      <c r="G27" s="3" t="n"/>
    </row>
    <row r="28">
      <c r="A28" t="inlineStr">
        <is>
          <t>Non Current Pension And Other Postretirement Benefit Plans</t>
        </is>
      </c>
      <c r="B28" s="3" t="n">
        <v>48043000</v>
      </c>
      <c r="C28" s="3" t="n">
        <v>48767000</v>
      </c>
      <c r="D28" s="3" t="n">
        <v>50620000</v>
      </c>
      <c r="E28" s="3" t="n">
        <v>51750000</v>
      </c>
      <c r="F28" s="3" t="n">
        <v>54284000</v>
      </c>
      <c r="G28" s="3" t="n"/>
    </row>
    <row r="29">
      <c r="A29" t="inlineStr">
        <is>
          <t>Tradeand Other Payables Non Current</t>
        </is>
      </c>
      <c r="B29" s="3" t="n">
        <v>254498000</v>
      </c>
      <c r="C29" s="3" t="n">
        <v>252145000</v>
      </c>
      <c r="D29" s="3" t="n">
        <v>259642000</v>
      </c>
      <c r="E29" s="3" t="n">
        <v>221808000</v>
      </c>
      <c r="F29" s="3" t="n">
        <v>226545000</v>
      </c>
      <c r="G29" s="3" t="n"/>
    </row>
    <row r="30">
      <c r="A30" t="inlineStr">
        <is>
          <t>Non Current Deferred Liabilities</t>
        </is>
      </c>
      <c r="B30" s="3" t="n">
        <v>705398000</v>
      </c>
      <c r="C30" s="3" t="n">
        <v>730694000</v>
      </c>
      <c r="D30" s="3" t="n">
        <v>759861000</v>
      </c>
      <c r="E30" s="3" t="n">
        <v>802612000</v>
      </c>
      <c r="F30" s="3" t="n">
        <v>785694000</v>
      </c>
      <c r="G30" s="3" t="n"/>
    </row>
    <row r="31">
      <c r="A31" t="inlineStr">
        <is>
          <t>Non Current Deferred Revenue</t>
        </is>
      </c>
      <c r="B31" s="3" t="n">
        <v>261216000</v>
      </c>
      <c r="C31" s="3" t="n">
        <v>278016000</v>
      </c>
      <c r="D31" s="3" t="n">
        <v>295342000</v>
      </c>
      <c r="E31" s="3" t="n">
        <v>355667000</v>
      </c>
      <c r="F31" s="3" t="n">
        <v>379782000</v>
      </c>
      <c r="G31" s="3" t="n"/>
    </row>
    <row r="32">
      <c r="A32" t="inlineStr">
        <is>
          <t>Non Current Deferred Taxes Liabilities</t>
        </is>
      </c>
      <c r="B32" s="3" t="n">
        <v>444182000</v>
      </c>
      <c r="C32" s="3" t="n">
        <v>452678000</v>
      </c>
      <c r="D32" s="3" t="n">
        <v>464519000</v>
      </c>
      <c r="E32" s="3" t="n">
        <v>446945000</v>
      </c>
      <c r="F32" s="3" t="n">
        <v>405912000</v>
      </c>
      <c r="G32" s="3" t="n"/>
    </row>
    <row r="33">
      <c r="A33" t="inlineStr">
        <is>
          <t>Long Term Debt And Capital Lease Obligation</t>
        </is>
      </c>
      <c r="B33" s="3" t="n">
        <v>6094214000</v>
      </c>
      <c r="C33" s="3" t="n">
        <v>6058491000</v>
      </c>
      <c r="D33" s="3" t="n">
        <v>6041356000</v>
      </c>
      <c r="E33" s="3" t="n">
        <v>6043090000</v>
      </c>
      <c r="F33" s="3" t="n">
        <v>6045705000</v>
      </c>
      <c r="G33" s="3" t="n"/>
    </row>
    <row r="34">
      <c r="A34" t="inlineStr">
        <is>
          <t>Long Term Capital Lease Obligation</t>
        </is>
      </c>
      <c r="B34" s="3" t="n">
        <v>207151000</v>
      </c>
      <c r="C34" s="3" t="n">
        <v>172363000</v>
      </c>
      <c r="D34" s="3" t="n">
        <v>156163000</v>
      </c>
      <c r="E34" s="3" t="n">
        <v>158833000</v>
      </c>
      <c r="F34" s="3" t="n">
        <v>162383000</v>
      </c>
      <c r="G34" s="3" t="n"/>
    </row>
    <row r="35">
      <c r="A35" t="inlineStr">
        <is>
          <t>Long Term Debt</t>
        </is>
      </c>
      <c r="B35" s="3" t="n">
        <v>5887063000</v>
      </c>
      <c r="C35" s="3" t="n">
        <v>5886128000</v>
      </c>
      <c r="D35" s="3" t="n">
        <v>5885193000</v>
      </c>
      <c r="E35" s="3" t="n">
        <v>5884257000</v>
      </c>
      <c r="F35" s="3" t="n">
        <v>5883322000</v>
      </c>
      <c r="G35" s="3" t="n"/>
    </row>
    <row r="36">
      <c r="A36" t="inlineStr">
        <is>
          <t>Current Liabilities</t>
        </is>
      </c>
      <c r="B36" s="3" t="n">
        <v>3751555000</v>
      </c>
      <c r="C36" s="3" t="n">
        <v>3982472000</v>
      </c>
      <c r="D36" s="3" t="n">
        <v>4049970000</v>
      </c>
      <c r="E36" s="3" t="n">
        <v>4085795000</v>
      </c>
      <c r="F36" s="3" t="n">
        <v>3909929000</v>
      </c>
      <c r="G36" s="3" t="n"/>
    </row>
    <row r="37">
      <c r="A37" t="inlineStr">
        <is>
          <t>Other Current Liabilities</t>
        </is>
      </c>
      <c r="B37" s="3" t="n">
        <v>566022000</v>
      </c>
      <c r="C37" s="3" t="n">
        <v>494294000</v>
      </c>
      <c r="D37" s="3" t="n">
        <v>515430000</v>
      </c>
      <c r="E37" s="3" t="n">
        <v>534621000</v>
      </c>
      <c r="F37" s="3" t="n">
        <v>489379000</v>
      </c>
      <c r="G37" s="3" t="n"/>
    </row>
    <row r="38">
      <c r="A38" t="inlineStr">
        <is>
          <t>Current Deferred Liabilities</t>
        </is>
      </c>
      <c r="B38" s="3" t="n">
        <v>1982981000</v>
      </c>
      <c r="C38" s="3" t="n">
        <v>2191664000</v>
      </c>
      <c r="D38" s="3" t="n">
        <v>2301375000</v>
      </c>
      <c r="E38" s="3" t="n">
        <v>2351640000</v>
      </c>
      <c r="F38" s="3" t="n">
        <v>2229241000</v>
      </c>
      <c r="G38" s="3" t="n"/>
    </row>
    <row r="39">
      <c r="A39" t="inlineStr">
        <is>
          <t>Current Deferred Revenue</t>
        </is>
      </c>
      <c r="B39" s="3" t="n">
        <v>1608544000</v>
      </c>
      <c r="C39" s="3" t="n">
        <v>1820463000</v>
      </c>
      <c r="D39" s="3" t="n">
        <v>1934142000</v>
      </c>
      <c r="E39" s="3" t="n">
        <v>2001214000</v>
      </c>
      <c r="F39" s="3" t="n">
        <v>1906544000</v>
      </c>
      <c r="G39" s="3" t="n"/>
    </row>
    <row r="40">
      <c r="A40" t="inlineStr">
        <is>
          <t>Current Debt And Capital Lease Obligation</t>
        </is>
      </c>
      <c r="B40" s="3" t="n">
        <v>51146000</v>
      </c>
      <c r="C40" s="3" t="n">
        <v>50987000</v>
      </c>
      <c r="D40" s="3" t="n">
        <v>46763000</v>
      </c>
      <c r="E40" s="3" t="n">
        <v>45192000</v>
      </c>
      <c r="F40" s="3" t="n">
        <v>43468000</v>
      </c>
      <c r="G40" s="3" t="n"/>
    </row>
    <row r="41">
      <c r="A41" t="inlineStr">
        <is>
          <t>Current Capital Lease Obligation</t>
        </is>
      </c>
      <c r="B41" s="3" t="n">
        <v>51146000</v>
      </c>
      <c r="C41" s="3" t="n">
        <v>50987000</v>
      </c>
      <c r="D41" s="3" t="n">
        <v>46763000</v>
      </c>
      <c r="E41" s="3" t="n">
        <v>45192000</v>
      </c>
      <c r="F41" s="3" t="n">
        <v>43468000</v>
      </c>
      <c r="G41" s="3" t="n"/>
    </row>
    <row r="42">
      <c r="A42" t="inlineStr">
        <is>
          <t>Current Debt</t>
        </is>
      </c>
      <c r="B42" s="3" t="n"/>
      <c r="C42" s="3" t="n"/>
      <c r="D42" s="3" t="n"/>
      <c r="E42" s="3" t="n"/>
      <c r="F42" s="3" t="n"/>
      <c r="G42" s="3" t="n">
        <v>749984000</v>
      </c>
    </row>
    <row r="43">
      <c r="A43" t="inlineStr">
        <is>
          <t>Other Current Borrowings</t>
        </is>
      </c>
      <c r="B43" s="3" t="n"/>
      <c r="C43" s="3" t="n"/>
      <c r="D43" s="3" t="n"/>
      <c r="E43" s="3" t="n"/>
      <c r="F43" s="3" t="n"/>
      <c r="G43" s="3" t="n">
        <v>749984000</v>
      </c>
    </row>
    <row r="44">
      <c r="A44" t="inlineStr">
        <is>
          <t>Pensionand Other Post Retirement Benefit Plans Current</t>
        </is>
      </c>
      <c r="B44" s="3" t="n">
        <v>470913000</v>
      </c>
      <c r="C44" s="3" t="n">
        <v>550870000</v>
      </c>
      <c r="D44" s="3" t="n">
        <v>508343000</v>
      </c>
      <c r="E44" s="3" t="n">
        <v>418515000</v>
      </c>
      <c r="F44" s="3" t="n">
        <v>456482000</v>
      </c>
      <c r="G44" s="3" t="n"/>
    </row>
    <row r="45">
      <c r="A45" t="inlineStr">
        <is>
          <t>Payables And Accrued Expenses</t>
        </is>
      </c>
      <c r="B45" s="3" t="n">
        <v>680493000</v>
      </c>
      <c r="C45" s="3" t="n">
        <v>694657000</v>
      </c>
      <c r="D45" s="3" t="n">
        <v>678059000</v>
      </c>
      <c r="E45" s="3" t="n">
        <v>735827000</v>
      </c>
      <c r="F45" s="3" t="n">
        <v>691359000</v>
      </c>
      <c r="G45" s="3" t="n"/>
    </row>
    <row r="46">
      <c r="A46" t="inlineStr">
        <is>
          <t>Current Accrued Expenses</t>
        </is>
      </c>
      <c r="B46" s="3" t="n">
        <v>48253000</v>
      </c>
      <c r="C46" s="3" t="n">
        <v>110058000</v>
      </c>
      <c r="D46" s="3" t="n">
        <v>48253000</v>
      </c>
      <c r="E46" s="3" t="n">
        <v>110056000</v>
      </c>
      <c r="F46" s="3" t="n">
        <v>61172000</v>
      </c>
      <c r="G46" s="3" t="n"/>
    </row>
    <row r="47">
      <c r="A47" t="inlineStr">
        <is>
          <t>Interest Payable</t>
        </is>
      </c>
      <c r="B47" s="3" t="n">
        <v>48253000</v>
      </c>
      <c r="C47" s="3" t="n">
        <v>110058000</v>
      </c>
      <c r="D47" s="3" t="n">
        <v>48253000</v>
      </c>
      <c r="E47" s="3" t="n">
        <v>110056000</v>
      </c>
      <c r="F47" s="3" t="n">
        <v>61172000</v>
      </c>
      <c r="G47" s="3" t="n"/>
    </row>
    <row r="48">
      <c r="A48" t="inlineStr">
        <is>
          <t>Payables</t>
        </is>
      </c>
      <c r="B48" s="3" t="n">
        <v>632240000</v>
      </c>
      <c r="C48" s="3" t="n">
        <v>584599000</v>
      </c>
      <c r="D48" s="3" t="n">
        <v>629806000</v>
      </c>
      <c r="E48" s="3" t="n">
        <v>625771000</v>
      </c>
      <c r="F48" s="3" t="n">
        <v>630187000</v>
      </c>
      <c r="G48" s="3" t="n"/>
    </row>
    <row r="49">
      <c r="A49" t="inlineStr">
        <is>
          <t>Total Tax Payable</t>
        </is>
      </c>
      <c r="B49" s="3" t="n">
        <v>117231000</v>
      </c>
      <c r="C49" s="3" t="n">
        <v>159410000</v>
      </c>
      <c r="D49" s="3" t="n">
        <v>199970000</v>
      </c>
      <c r="E49" s="3" t="n">
        <v>167262000</v>
      </c>
      <c r="F49" s="3" t="n">
        <v>200869000</v>
      </c>
      <c r="G49" s="3" t="n"/>
    </row>
    <row r="50">
      <c r="A50" t="inlineStr">
        <is>
          <t>Income Tax Payable</t>
        </is>
      </c>
      <c r="B50" s="3" t="n">
        <v>117231000</v>
      </c>
      <c r="C50" s="3" t="n">
        <v>159410000</v>
      </c>
      <c r="D50" s="3" t="n">
        <v>199970000</v>
      </c>
      <c r="E50" s="3" t="n">
        <v>167262000</v>
      </c>
      <c r="F50" s="3" t="n">
        <v>200869000</v>
      </c>
      <c r="G50" s="3" t="n"/>
    </row>
    <row r="51">
      <c r="A51" t="inlineStr">
        <is>
          <t>Accounts Payable</t>
        </is>
      </c>
      <c r="B51" s="3" t="n">
        <v>515009000</v>
      </c>
      <c r="C51" s="3" t="n">
        <v>425189000</v>
      </c>
      <c r="D51" s="3" t="n">
        <v>429836000</v>
      </c>
      <c r="E51" s="3" t="n">
        <v>458509000</v>
      </c>
      <c r="F51" s="3" t="n">
        <v>429318000</v>
      </c>
      <c r="G51" s="3" t="n"/>
    </row>
    <row r="52">
      <c r="A52" t="inlineStr">
        <is>
          <t>Total Assets</t>
        </is>
      </c>
      <c r="B52" s="3" t="n">
        <v>16873515000</v>
      </c>
      <c r="C52" s="3" t="n">
        <v>16720228000</v>
      </c>
      <c r="D52" s="3" t="n">
        <v>16317974000</v>
      </c>
      <c r="E52" s="3" t="n">
        <v>16067926000</v>
      </c>
      <c r="F52" s="3" t="n">
        <v>15188307000</v>
      </c>
      <c r="G52" s="3" t="n"/>
    </row>
    <row r="53">
      <c r="A53" t="inlineStr">
        <is>
          <t>Total Non Current Assets</t>
        </is>
      </c>
      <c r="B53" s="3" t="n">
        <v>5522536000</v>
      </c>
      <c r="C53" s="3" t="n">
        <v>5456423000</v>
      </c>
      <c r="D53" s="3" t="n">
        <v>5416814000</v>
      </c>
      <c r="E53" s="3" t="n">
        <v>5369137000</v>
      </c>
      <c r="F53" s="3" t="n">
        <v>5243288000</v>
      </c>
      <c r="G53" s="3" t="n"/>
    </row>
    <row r="54">
      <c r="A54" t="inlineStr">
        <is>
          <t>Other Non Current Assets</t>
        </is>
      </c>
      <c r="B54" s="3" t="n">
        <v>163781000</v>
      </c>
      <c r="C54" s="3" t="n">
        <v>164567000</v>
      </c>
      <c r="D54" s="3" t="n">
        <v>160618000</v>
      </c>
      <c r="E54" s="3" t="n">
        <v>154370000</v>
      </c>
      <c r="F54" s="3" t="n">
        <v>149979000</v>
      </c>
      <c r="G54" s="3" t="n"/>
    </row>
    <row r="55">
      <c r="A55" t="inlineStr">
        <is>
          <t>Non Current Deferred Assets</t>
        </is>
      </c>
      <c r="B55" s="3" t="n">
        <v>1495274000</v>
      </c>
      <c r="C55" s="3" t="n">
        <v>1514046000</v>
      </c>
      <c r="D55" s="3" t="n">
        <v>1496396000</v>
      </c>
      <c r="E55" s="3" t="n">
        <v>1455300000</v>
      </c>
      <c r="F55" s="3" t="n">
        <v>1343498000</v>
      </c>
      <c r="G55" s="3" t="n"/>
    </row>
    <row r="56">
      <c r="A56" t="inlineStr">
        <is>
          <t>Non Current Deferred Taxes Assets</t>
        </is>
      </c>
      <c r="B56" s="3" t="n">
        <v>1123406000</v>
      </c>
      <c r="C56" s="3" t="n">
        <v>1144113000</v>
      </c>
      <c r="D56" s="3" t="n">
        <v>1131211000</v>
      </c>
      <c r="E56" s="3" t="n">
        <v>1105770000</v>
      </c>
      <c r="F56" s="3" t="n">
        <v>1023292000</v>
      </c>
      <c r="G56" s="3" t="n"/>
    </row>
    <row r="57">
      <c r="A57" t="inlineStr">
        <is>
          <t>Non Current Accounts Receivable</t>
        </is>
      </c>
      <c r="B57" s="3" t="n">
        <v>78210000</v>
      </c>
      <c r="C57" s="3" t="n"/>
      <c r="D57" s="3" t="n"/>
      <c r="E57" s="3" t="n"/>
      <c r="F57" s="3" t="n"/>
      <c r="G57" s="3" t="n"/>
    </row>
    <row r="58">
      <c r="A58" t="inlineStr">
        <is>
          <t>Goodwill And Other Intangible Assets</t>
        </is>
      </c>
      <c r="B58" s="3" t="n">
        <v>2089200000</v>
      </c>
      <c r="C58" s="3" t="n">
        <v>2138615000</v>
      </c>
      <c r="D58" s="3" t="n">
        <v>2188388000</v>
      </c>
      <c r="E58" s="3" t="n">
        <v>2236978000</v>
      </c>
      <c r="F58" s="3" t="n">
        <v>2283104000</v>
      </c>
      <c r="G58" s="3" t="n"/>
    </row>
    <row r="59">
      <c r="A59" t="inlineStr">
        <is>
          <t>Other Intangible Assets</t>
        </is>
      </c>
      <c r="B59" s="3" t="n">
        <v>300717000</v>
      </c>
      <c r="C59" s="3" t="n">
        <v>348018000</v>
      </c>
      <c r="D59" s="3" t="n">
        <v>397366000</v>
      </c>
      <c r="E59" s="3" t="n">
        <v>444785000</v>
      </c>
      <c r="F59" s="3" t="n">
        <v>495572000</v>
      </c>
      <c r="G59" s="3" t="n"/>
    </row>
    <row r="60">
      <c r="A60" t="inlineStr">
        <is>
          <t>Goodwill</t>
        </is>
      </c>
      <c r="B60" s="3" t="n">
        <v>1788483000</v>
      </c>
      <c r="C60" s="3" t="n">
        <v>1790597000</v>
      </c>
      <c r="D60" s="3" t="n">
        <v>1791022000</v>
      </c>
      <c r="E60" s="3" t="n">
        <v>1792193000</v>
      </c>
      <c r="F60" s="3" t="n">
        <v>1787532000</v>
      </c>
      <c r="G60" s="3" t="n"/>
    </row>
    <row r="61">
      <c r="A61" t="inlineStr">
        <is>
          <t>Net PPE</t>
        </is>
      </c>
      <c r="B61" s="3" t="n">
        <v>1696071000</v>
      </c>
      <c r="C61" s="3" t="n">
        <v>1639195000</v>
      </c>
      <c r="D61" s="3" t="n">
        <v>1571412000</v>
      </c>
      <c r="E61" s="3" t="n">
        <v>1522489000</v>
      </c>
      <c r="F61" s="3" t="n">
        <v>1466707000</v>
      </c>
      <c r="G61" s="3" t="n"/>
    </row>
    <row r="62">
      <c r="A62" t="inlineStr">
        <is>
          <t>Accumulated Depreciation</t>
        </is>
      </c>
      <c r="B62" s="3" t="n">
        <v>-1634657000</v>
      </c>
      <c r="C62" s="3" t="n">
        <v>-1588936000</v>
      </c>
      <c r="D62" s="3" t="n">
        <v>-1537966000</v>
      </c>
      <c r="E62" s="3" t="n">
        <v>-1486477000</v>
      </c>
      <c r="F62" s="3" t="n">
        <v>-1435998000</v>
      </c>
      <c r="G62" s="3" t="n"/>
    </row>
    <row r="63">
      <c r="A63" t="inlineStr">
        <is>
          <t>Gross PPE</t>
        </is>
      </c>
      <c r="B63" s="3" t="n">
        <v>3330728000</v>
      </c>
      <c r="C63" s="3" t="n">
        <v>3228131000</v>
      </c>
      <c r="D63" s="3" t="n">
        <v>3109378000</v>
      </c>
      <c r="E63" s="3" t="n">
        <v>3008966000</v>
      </c>
      <c r="F63" s="3" t="n">
        <v>2902705000</v>
      </c>
      <c r="G63" s="3" t="n"/>
    </row>
    <row r="64">
      <c r="A64" t="inlineStr">
        <is>
          <t>Construction In Progress</t>
        </is>
      </c>
      <c r="B64" s="3" t="n">
        <v>220756000</v>
      </c>
      <c r="C64" s="3" t="n">
        <v>210611000</v>
      </c>
      <c r="D64" s="3" t="n">
        <v>204448000</v>
      </c>
      <c r="E64" s="3" t="n">
        <v>207807000</v>
      </c>
      <c r="F64" s="3" t="n">
        <v>287290000</v>
      </c>
      <c r="G64" s="3" t="n"/>
    </row>
    <row r="65">
      <c r="A65" t="inlineStr">
        <is>
          <t>Other Properties</t>
        </is>
      </c>
      <c r="B65" s="3" t="n">
        <v>332287000</v>
      </c>
      <c r="C65" s="3" t="n">
        <v>294427000</v>
      </c>
      <c r="D65" s="3" t="n">
        <v>269583000</v>
      </c>
      <c r="E65" s="3" t="n">
        <v>269714000</v>
      </c>
      <c r="F65" s="3" t="n">
        <v>268405000</v>
      </c>
      <c r="G65" s="3" t="n"/>
    </row>
    <row r="66">
      <c r="A66" t="inlineStr">
        <is>
          <t>Machinery Furniture Equipment</t>
        </is>
      </c>
      <c r="B66" s="3" t="n">
        <v>1454068000</v>
      </c>
      <c r="C66" s="3" t="n">
        <v>1414833000</v>
      </c>
      <c r="D66" s="3" t="n">
        <v>1369977000</v>
      </c>
      <c r="E66" s="3" t="n">
        <v>1312592000</v>
      </c>
      <c r="F66" s="3" t="n">
        <v>1260681000</v>
      </c>
      <c r="G66" s="3" t="n"/>
    </row>
    <row r="67">
      <c r="A67" t="inlineStr">
        <is>
          <t>Buildings And Improvements</t>
        </is>
      </c>
      <c r="B67" s="3" t="n">
        <v>1236963000</v>
      </c>
      <c r="C67" s="3" t="n">
        <v>1221595000</v>
      </c>
      <c r="D67" s="3" t="n">
        <v>1178702000</v>
      </c>
      <c r="E67" s="3" t="n">
        <v>1132176000</v>
      </c>
      <c r="F67" s="3" t="n">
        <v>999652000</v>
      </c>
      <c r="G67" s="3" t="n"/>
    </row>
    <row r="68">
      <c r="A68" t="inlineStr">
        <is>
          <t>Land And Improvements</t>
        </is>
      </c>
      <c r="B68" s="3" t="n">
        <v>86654000</v>
      </c>
      <c r="C68" s="3" t="n">
        <v>86665000</v>
      </c>
      <c r="D68" s="3" t="n">
        <v>86668000</v>
      </c>
      <c r="E68" s="3" t="n">
        <v>86677000</v>
      </c>
      <c r="F68" s="3" t="n">
        <v>86677000</v>
      </c>
      <c r="G68" s="3" t="n"/>
    </row>
    <row r="69">
      <c r="A69" t="inlineStr">
        <is>
          <t>Properties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/>
    </row>
    <row r="70">
      <c r="A70" t="inlineStr">
        <is>
          <t>Current Assets</t>
        </is>
      </c>
      <c r="B70" s="3" t="n">
        <v>11350979000</v>
      </c>
      <c r="C70" s="3" t="n">
        <v>11263805000</v>
      </c>
      <c r="D70" s="3" t="n">
        <v>10901160000</v>
      </c>
      <c r="E70" s="3" t="n">
        <v>10698789000</v>
      </c>
      <c r="F70" s="3" t="n">
        <v>9945019000</v>
      </c>
      <c r="G70" s="3" t="n"/>
    </row>
    <row r="71">
      <c r="A71" t="inlineStr">
        <is>
          <t>Other Current Assets</t>
        </is>
      </c>
      <c r="B71" s="3" t="n">
        <v>141087000</v>
      </c>
      <c r="C71" s="3" t="n">
        <v>161658000</v>
      </c>
      <c r="D71" s="3" t="n">
        <v>126068000</v>
      </c>
      <c r="E71" s="3" t="n">
        <v>133435000</v>
      </c>
      <c r="F71" s="3" t="n">
        <v>62948000</v>
      </c>
      <c r="G71" s="3" t="n"/>
    </row>
    <row r="72">
      <c r="A72" t="inlineStr">
        <is>
          <t>Current Deferred Assets</t>
        </is>
      </c>
      <c r="B72" s="3" t="n">
        <v>172014000</v>
      </c>
      <c r="C72" s="3" t="n">
        <v>230611000</v>
      </c>
      <c r="D72" s="3" t="n">
        <v>200662000</v>
      </c>
      <c r="E72" s="3" t="n">
        <v>223829000</v>
      </c>
      <c r="F72" s="3" t="n">
        <v>206708000</v>
      </c>
      <c r="G72" s="3" t="n"/>
    </row>
    <row r="73">
      <c r="A73" t="inlineStr">
        <is>
          <t>Prepaid Assets</t>
        </is>
      </c>
      <c r="B73" s="3" t="n">
        <v>173576000</v>
      </c>
      <c r="C73" s="3" t="n">
        <v>154399000</v>
      </c>
      <c r="D73" s="3" t="n">
        <v>128877000</v>
      </c>
      <c r="E73" s="3" t="n">
        <v>201053000</v>
      </c>
      <c r="F73" s="3" t="n">
        <v>179226000</v>
      </c>
      <c r="G73" s="3" t="n"/>
    </row>
    <row r="74">
      <c r="A74" t="inlineStr">
        <is>
          <t>Inventory</t>
        </is>
      </c>
      <c r="B74" s="3" t="n">
        <v>3437046000</v>
      </c>
      <c r="C74" s="3" t="n">
        <v>3282605000</v>
      </c>
      <c r="D74" s="3" t="n">
        <v>3297368000</v>
      </c>
      <c r="E74" s="3" t="n">
        <v>3212149000</v>
      </c>
      <c r="F74" s="3" t="n">
        <v>3155777000</v>
      </c>
      <c r="G74" s="3" t="n"/>
    </row>
    <row r="75">
      <c r="A75" t="inlineStr">
        <is>
          <t>Other Inventories</t>
        </is>
      </c>
      <c r="B75" s="3" t="n">
        <v>602543000</v>
      </c>
      <c r="C75" s="3" t="n">
        <v>625503000</v>
      </c>
      <c r="D75" s="3" t="n">
        <v>607998000</v>
      </c>
      <c r="E75" s="3" t="n">
        <v>600769000</v>
      </c>
      <c r="F75" s="3" t="n">
        <v>585938000</v>
      </c>
      <c r="G75" s="3" t="n"/>
    </row>
    <row r="76">
      <c r="A76" t="inlineStr">
        <is>
          <t>Finished Goods</t>
        </is>
      </c>
      <c r="B76" s="3" t="n">
        <v>256469000</v>
      </c>
      <c r="C76" s="3" t="n">
        <v>252202000</v>
      </c>
      <c r="D76" s="3" t="n">
        <v>292818000</v>
      </c>
      <c r="E76" s="3" t="n">
        <v>285661000</v>
      </c>
      <c r="F76" s="3" t="n">
        <v>300139000</v>
      </c>
      <c r="G76" s="3" t="n"/>
    </row>
    <row r="77">
      <c r="A77" t="inlineStr">
        <is>
          <t>Work In Process</t>
        </is>
      </c>
      <c r="B77" s="3" t="n">
        <v>929604000</v>
      </c>
      <c r="C77" s="3" t="n">
        <v>836166000</v>
      </c>
      <c r="D77" s="3" t="n">
        <v>859779000</v>
      </c>
      <c r="E77" s="3" t="n">
        <v>833933000</v>
      </c>
      <c r="F77" s="3" t="n">
        <v>808562000</v>
      </c>
      <c r="G77" s="3" t="n"/>
    </row>
    <row r="78">
      <c r="A78" t="inlineStr">
        <is>
          <t>Raw Materials</t>
        </is>
      </c>
      <c r="B78" s="3" t="n">
        <v>1648430000</v>
      </c>
      <c r="C78" s="3" t="n">
        <v>1568734000</v>
      </c>
      <c r="D78" s="3" t="n">
        <v>1536773000</v>
      </c>
      <c r="E78" s="3" t="n">
        <v>1491786000</v>
      </c>
      <c r="F78" s="3" t="n">
        <v>1461138000</v>
      </c>
      <c r="G78" s="3" t="n"/>
    </row>
    <row r="79">
      <c r="A79" t="inlineStr">
        <is>
          <t>Receivables</t>
        </is>
      </c>
      <c r="B79" s="3" t="n">
        <v>2469318000</v>
      </c>
      <c r="C79" s="3" t="n">
        <v>2227068000</v>
      </c>
      <c r="D79" s="3" t="n">
        <v>2464594000</v>
      </c>
      <c r="E79" s="3" t="n">
        <v>2433700000</v>
      </c>
      <c r="F79" s="3" t="n">
        <v>2311738000</v>
      </c>
      <c r="G79" s="3" t="n"/>
    </row>
    <row r="80">
      <c r="A80" t="inlineStr">
        <is>
          <t>Other Receivables</t>
        </is>
      </c>
      <c r="B80" s="3" t="n">
        <v>100906000</v>
      </c>
      <c r="C80" s="3" t="n">
        <v>93117000</v>
      </c>
      <c r="D80" s="3" t="n">
        <v>123656000</v>
      </c>
      <c r="E80" s="3" t="n">
        <v>105081000</v>
      </c>
      <c r="F80" s="3" t="n">
        <v>98987000</v>
      </c>
      <c r="G80" s="3" t="n"/>
    </row>
    <row r="81">
      <c r="A81" t="inlineStr">
        <is>
          <t>Taxes Receivable</t>
        </is>
      </c>
      <c r="B81" s="3" t="n">
        <v>63958000</v>
      </c>
      <c r="C81" s="3" t="n">
        <v>60370000</v>
      </c>
      <c r="D81" s="3" t="n">
        <v>63183000</v>
      </c>
      <c r="E81" s="3" t="n">
        <v>64704000</v>
      </c>
      <c r="F81" s="3" t="n">
        <v>52854000</v>
      </c>
      <c r="G81" s="3" t="n"/>
    </row>
    <row r="82">
      <c r="A82" t="inlineStr">
        <is>
          <t>Accounts Receivable</t>
        </is>
      </c>
      <c r="B82" s="3" t="n">
        <v>2304454000</v>
      </c>
      <c r="C82" s="3" t="n">
        <v>2073581000</v>
      </c>
      <c r="D82" s="3" t="n">
        <v>2277755000</v>
      </c>
      <c r="E82" s="3" t="n">
        <v>2263915000</v>
      </c>
      <c r="F82" s="3" t="n">
        <v>2159897000</v>
      </c>
      <c r="G82" s="3" t="n"/>
    </row>
    <row r="83">
      <c r="A83" t="inlineStr">
        <is>
          <t>Allowance For Doubtful Accounts Receivable</t>
        </is>
      </c>
      <c r="B83" s="3" t="n">
        <v>-58049000</v>
      </c>
      <c r="C83" s="3" t="n">
        <v>-33959000</v>
      </c>
      <c r="D83" s="3" t="n">
        <v>-34368000</v>
      </c>
      <c r="E83" s="3" t="n">
        <v>-34015000</v>
      </c>
      <c r="F83" s="3" t="n">
        <v>-31515000</v>
      </c>
      <c r="G83" s="3" t="n"/>
    </row>
    <row r="84">
      <c r="A84" t="inlineStr">
        <is>
          <t>Gross Accounts Receivable</t>
        </is>
      </c>
      <c r="B84" s="3" t="n">
        <v>2362503000</v>
      </c>
      <c r="C84" s="3" t="n">
        <v>2107540000</v>
      </c>
      <c r="D84" s="3" t="n">
        <v>2312123000</v>
      </c>
      <c r="E84" s="3" t="n">
        <v>2297930000</v>
      </c>
      <c r="F84" s="3" t="n">
        <v>2191412000</v>
      </c>
      <c r="G84" s="3" t="n"/>
    </row>
    <row r="85">
      <c r="A85" t="inlineStr">
        <is>
          <t>Cash Cash Equivalents And Short Term Investments</t>
        </is>
      </c>
      <c r="B85" s="3" t="n">
        <v>4957938000</v>
      </c>
      <c r="C85" s="3" t="n">
        <v>5207464000</v>
      </c>
      <c r="D85" s="3" t="n">
        <v>4683591000</v>
      </c>
      <c r="E85" s="3" t="n">
        <v>4494623000</v>
      </c>
      <c r="F85" s="3" t="n">
        <v>4028622000</v>
      </c>
      <c r="G85" s="3" t="n"/>
    </row>
    <row r="86">
      <c r="A86" t="inlineStr">
        <is>
          <t>Other Short Term Investments</t>
        </is>
      </c>
      <c r="B86" s="3" t="n">
        <v>3170928000</v>
      </c>
      <c r="C86" s="3" t="n">
        <v>2755340000</v>
      </c>
      <c r="D86" s="3" t="n">
        <v>2737380000</v>
      </c>
      <c r="E86" s="3" t="n">
        <v>2415715000</v>
      </c>
      <c r="F86" s="3" t="n">
        <v>2170600000</v>
      </c>
      <c r="G86" s="3" t="n"/>
    </row>
    <row r="87">
      <c r="A87" t="inlineStr">
        <is>
          <t>Cash And Cash Equivalents</t>
        </is>
      </c>
      <c r="B87" s="3" t="n">
        <v>1787010000</v>
      </c>
      <c r="C87" s="3" t="n">
        <v>2452124000</v>
      </c>
      <c r="D87" s="3" t="n">
        <v>1946211000</v>
      </c>
      <c r="E87" s="3" t="n">
        <v>2078908000</v>
      </c>
      <c r="F87" s="3" t="n">
        <v>1858022000</v>
      </c>
      <c r="G87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2025-06-30</t>
        </is>
      </c>
      <c r="C1" s="1" t="inlineStr">
        <is>
          <t>2024-06-30</t>
        </is>
      </c>
      <c r="D1" s="1" t="inlineStr">
        <is>
          <t>2023-06-30</t>
        </is>
      </c>
      <c r="E1" s="1" t="inlineStr">
        <is>
          <t>2022-06-30</t>
        </is>
      </c>
      <c r="F1" s="1" t="inlineStr">
        <is>
          <t>2021-06-30</t>
        </is>
      </c>
    </row>
    <row r="2">
      <c r="A2" t="inlineStr">
        <is>
          <t>Free Cash Flow</t>
        </is>
      </c>
      <c r="B2" s="3" t="n">
        <v>3741694000</v>
      </c>
      <c r="C2" s="3" t="n">
        <v>3031191000</v>
      </c>
      <c r="D2" s="3" t="n">
        <v>3328214000</v>
      </c>
      <c r="E2" s="3" t="n">
        <v>3005382000</v>
      </c>
      <c r="F2" s="3" t="n"/>
    </row>
    <row r="3">
      <c r="A3" t="inlineStr">
        <is>
          <t>Repurchase Of Capital Stock</t>
        </is>
      </c>
      <c r="B3" s="3" t="n">
        <v>-2149946000</v>
      </c>
      <c r="C3" s="3" t="n">
        <v>-1735746000</v>
      </c>
      <c r="D3" s="3" t="n">
        <v>-1311864000</v>
      </c>
      <c r="E3" s="3" t="n">
        <v>-3967806000</v>
      </c>
      <c r="F3" s="3" t="n"/>
    </row>
    <row r="4">
      <c r="A4" t="inlineStr">
        <is>
          <t>Repayment Of Debt</t>
        </is>
      </c>
      <c r="B4" s="3" t="n">
        <v>-750000000</v>
      </c>
      <c r="C4" s="3" t="n">
        <v>0</v>
      </c>
      <c r="D4" s="3" t="n">
        <v>-1087250000</v>
      </c>
      <c r="E4" s="3" t="n">
        <v>-620000000</v>
      </c>
      <c r="F4" s="3" t="n"/>
    </row>
    <row r="5">
      <c r="A5" t="inlineStr">
        <is>
          <t>Issuance Of Debt</t>
        </is>
      </c>
      <c r="B5" s="3" t="n">
        <v>0</v>
      </c>
      <c r="C5" s="3" t="n">
        <v>735043000</v>
      </c>
      <c r="D5" s="3" t="n">
        <v>300000000</v>
      </c>
      <c r="E5" s="3" t="n">
        <v>3842409000</v>
      </c>
      <c r="F5" s="3" t="n"/>
    </row>
    <row r="6">
      <c r="A6" t="inlineStr">
        <is>
          <t>Issuance Of Capital Stock</t>
        </is>
      </c>
      <c r="B6" s="3" t="n">
        <v>151514000</v>
      </c>
      <c r="C6" s="3" t="n">
        <v>144934000</v>
      </c>
      <c r="D6" s="3" t="n">
        <v>124847000</v>
      </c>
      <c r="E6" s="3" t="n">
        <v>113014000</v>
      </c>
      <c r="F6" s="3" t="n"/>
    </row>
    <row r="7">
      <c r="A7" t="inlineStr">
        <is>
          <t>Capital Expenditure</t>
        </is>
      </c>
      <c r="B7" s="3" t="n">
        <v>-340209000</v>
      </c>
      <c r="C7" s="3" t="n">
        <v>-277384000</v>
      </c>
      <c r="D7" s="3" t="n">
        <v>-341591000</v>
      </c>
      <c r="E7" s="3" t="n">
        <v>-307320000</v>
      </c>
      <c r="F7" s="3" t="n"/>
    </row>
    <row r="8">
      <c r="A8" t="inlineStr">
        <is>
          <t>Interest Paid Supplemental Data</t>
        </is>
      </c>
      <c r="B8" s="3" t="n">
        <v>292771000</v>
      </c>
      <c r="C8" s="3" t="n">
        <v>276597000</v>
      </c>
      <c r="D8" s="3" t="n">
        <v>223955000</v>
      </c>
      <c r="E8" s="3" t="n">
        <v>154673000</v>
      </c>
      <c r="F8" s="3" t="n"/>
    </row>
    <row r="9">
      <c r="A9" t="inlineStr">
        <is>
          <t>Income Tax Paid Supplemental Data</t>
        </is>
      </c>
      <c r="B9" s="3" t="n">
        <v>886937000</v>
      </c>
      <c r="C9" s="3" t="n">
        <v>830835000</v>
      </c>
      <c r="D9" s="3" t="n">
        <v>495101000</v>
      </c>
      <c r="E9" s="3" t="n">
        <v>464526000</v>
      </c>
      <c r="F9" s="3" t="n"/>
    </row>
    <row r="10">
      <c r="A10" t="inlineStr">
        <is>
          <t>End Cash Position</t>
        </is>
      </c>
      <c r="B10" s="3" t="n">
        <v>2078908000</v>
      </c>
      <c r="C10" s="3" t="n">
        <v>1977129000</v>
      </c>
      <c r="D10" s="3" t="n">
        <v>1927865000</v>
      </c>
      <c r="E10" s="3" t="n">
        <v>1584908000</v>
      </c>
      <c r="F10" s="3" t="n"/>
    </row>
    <row r="11">
      <c r="A11" t="inlineStr">
        <is>
          <t>Beginning Cash Position</t>
        </is>
      </c>
      <c r="B11" s="3" t="n">
        <v>1977129000</v>
      </c>
      <c r="C11" s="3" t="n">
        <v>1927865000</v>
      </c>
      <c r="D11" s="3" t="n">
        <v>1584908000</v>
      </c>
      <c r="E11" s="3" t="n">
        <v>1434610000</v>
      </c>
      <c r="F11" s="3" t="n"/>
    </row>
    <row r="12">
      <c r="A12" t="inlineStr">
        <is>
          <t>Effect Of Exchange Rate Changes</t>
        </is>
      </c>
      <c r="B12" s="3" t="n">
        <v>8044000</v>
      </c>
      <c r="C12" s="3" t="n">
        <v>-6309000</v>
      </c>
      <c r="D12" s="3" t="n">
        <v>-13988000</v>
      </c>
      <c r="E12" s="3" t="n">
        <v>-28941000</v>
      </c>
      <c r="F12" s="3" t="n"/>
    </row>
    <row r="13">
      <c r="A13" t="inlineStr">
        <is>
          <t>Changes In Cash</t>
        </is>
      </c>
      <c r="B13" s="3" t="n">
        <v>93735000</v>
      </c>
      <c r="C13" s="3" t="n">
        <v>55573000</v>
      </c>
      <c r="D13" s="3" t="n">
        <v>356945000</v>
      </c>
      <c r="E13" s="3" t="n">
        <v>179239000</v>
      </c>
      <c r="F13" s="3" t="n"/>
    </row>
    <row r="14">
      <c r="A14" t="inlineStr">
        <is>
          <t>Financing Cash Flow</t>
        </is>
      </c>
      <c r="B14" s="3" t="n">
        <v>-3785687000</v>
      </c>
      <c r="C14" s="3" t="n">
        <v>-1776017000</v>
      </c>
      <c r="D14" s="3" t="n">
        <v>-2830289000</v>
      </c>
      <c r="E14" s="3" t="n">
        <v>-2257005000</v>
      </c>
      <c r="F14" s="3" t="n"/>
    </row>
    <row r="15">
      <c r="A15" t="inlineStr">
        <is>
          <t>Cash Flow From Continuing Financing Activities</t>
        </is>
      </c>
      <c r="B15" s="3" t="n">
        <v>-3785687000</v>
      </c>
      <c r="C15" s="3" t="n">
        <v>-1776017000</v>
      </c>
      <c r="D15" s="3" t="n">
        <v>-2830289000</v>
      </c>
      <c r="E15" s="3" t="n">
        <v>-2257005000</v>
      </c>
      <c r="F15" s="3" t="n"/>
    </row>
    <row r="16">
      <c r="A16" t="inlineStr">
        <is>
          <t>Net Other Financing Charges</t>
        </is>
      </c>
      <c r="B16" s="3" t="n">
        <v>-132661000</v>
      </c>
      <c r="C16" s="3" t="n">
        <v>-147207000</v>
      </c>
      <c r="D16" s="3" t="n">
        <v>-123466000</v>
      </c>
      <c r="E16" s="3" t="n">
        <v>-986094000</v>
      </c>
      <c r="F16" s="3" t="n"/>
    </row>
    <row r="17">
      <c r="A17" t="inlineStr">
        <is>
          <t>Cash Dividends Paid</t>
        </is>
      </c>
      <c r="B17" s="3" t="n">
        <v>-904594000</v>
      </c>
      <c r="C17" s="3" t="n">
        <v>-773041000</v>
      </c>
      <c r="D17" s="3" t="n">
        <v>-732556000</v>
      </c>
      <c r="E17" s="3" t="n">
        <v>-638528000</v>
      </c>
      <c r="F17" s="3" t="n"/>
    </row>
    <row r="18">
      <c r="A18" t="inlineStr">
        <is>
          <t>Common Stock Dividend Paid</t>
        </is>
      </c>
      <c r="B18" s="3" t="n">
        <v>-904594000</v>
      </c>
      <c r="C18" s="3" t="n">
        <v>-773041000</v>
      </c>
      <c r="D18" s="3" t="n">
        <v>-732556000</v>
      </c>
      <c r="E18" s="3" t="n">
        <v>-638528000</v>
      </c>
      <c r="F18" s="3" t="n"/>
    </row>
    <row r="19">
      <c r="A19" t="inlineStr">
        <is>
          <t>Net Common Stock Issuance</t>
        </is>
      </c>
      <c r="B19" s="3" t="n">
        <v>-1998432000</v>
      </c>
      <c r="C19" s="3" t="n">
        <v>-1590812000</v>
      </c>
      <c r="D19" s="3" t="n">
        <v>-1187017000</v>
      </c>
      <c r="E19" s="3" t="n">
        <v>-3854792000</v>
      </c>
      <c r="F19" s="3" t="n"/>
    </row>
    <row r="20">
      <c r="A20" t="inlineStr">
        <is>
          <t>Common Stock Payments</t>
        </is>
      </c>
      <c r="B20" s="3" t="n">
        <v>-2149946000</v>
      </c>
      <c r="C20" s="3" t="n">
        <v>-1735746000</v>
      </c>
      <c r="D20" s="3" t="n">
        <v>-1311864000</v>
      </c>
      <c r="E20" s="3" t="n">
        <v>-3967806000</v>
      </c>
      <c r="F20" s="3" t="n"/>
    </row>
    <row r="21">
      <c r="A21" t="inlineStr">
        <is>
          <t>Common Stock Issuance</t>
        </is>
      </c>
      <c r="B21" s="3" t="n">
        <v>151514000</v>
      </c>
      <c r="C21" s="3" t="n">
        <v>144934000</v>
      </c>
      <c r="D21" s="3" t="n">
        <v>124847000</v>
      </c>
      <c r="E21" s="3" t="n">
        <v>113014000</v>
      </c>
      <c r="F21" s="3" t="n"/>
    </row>
    <row r="22">
      <c r="A22" t="inlineStr">
        <is>
          <t>Net Issuance Payments Of Debt</t>
        </is>
      </c>
      <c r="B22" s="3" t="n">
        <v>-750000000</v>
      </c>
      <c r="C22" s="3" t="n">
        <v>735043000</v>
      </c>
      <c r="D22" s="3" t="n">
        <v>-787250000</v>
      </c>
      <c r="E22" s="3" t="n">
        <v>3222409000</v>
      </c>
      <c r="F22" s="3" t="n"/>
    </row>
    <row r="23">
      <c r="A23" t="inlineStr">
        <is>
          <t>Net Short Term Debt Issuance</t>
        </is>
      </c>
      <c r="B23" s="3" t="n"/>
      <c r="C23" s="3" t="n"/>
      <c r="D23" s="3" t="n"/>
      <c r="E23" s="3" t="n"/>
      <c r="F23" s="3" t="n">
        <v>0</v>
      </c>
    </row>
    <row r="24">
      <c r="A24" t="inlineStr">
        <is>
          <t>Short Term Debt Issuance</t>
        </is>
      </c>
      <c r="B24" s="3" t="n"/>
      <c r="C24" s="3" t="n"/>
      <c r="D24" s="3" t="n"/>
      <c r="E24" s="3" t="n"/>
      <c r="F24" s="3" t="n">
        <v>0</v>
      </c>
    </row>
    <row r="25">
      <c r="A25" t="inlineStr">
        <is>
          <t>Net Long Term Debt Issuance</t>
        </is>
      </c>
      <c r="B25" s="3" t="n">
        <v>-750000000</v>
      </c>
      <c r="C25" s="3" t="n">
        <v>735043000</v>
      </c>
      <c r="D25" s="3" t="n">
        <v>-787250000</v>
      </c>
      <c r="E25" s="3" t="n">
        <v>3222409000</v>
      </c>
      <c r="F25" s="3" t="n"/>
    </row>
    <row r="26">
      <c r="A26" t="inlineStr">
        <is>
          <t>Long Term Debt Payments</t>
        </is>
      </c>
      <c r="B26" s="3" t="n">
        <v>-750000000</v>
      </c>
      <c r="C26" s="3" t="n">
        <v>0</v>
      </c>
      <c r="D26" s="3" t="n">
        <v>-1087250000</v>
      </c>
      <c r="E26" s="3" t="n">
        <v>-620000000</v>
      </c>
      <c r="F26" s="3" t="n"/>
    </row>
    <row r="27">
      <c r="A27" t="inlineStr">
        <is>
          <t>Long Term Debt Issuance</t>
        </is>
      </c>
      <c r="B27" s="3" t="n">
        <v>0</v>
      </c>
      <c r="C27" s="3" t="n">
        <v>735043000</v>
      </c>
      <c r="D27" s="3" t="n">
        <v>300000000</v>
      </c>
      <c r="E27" s="3" t="n">
        <v>3842409000</v>
      </c>
      <c r="F27" s="3" t="n"/>
    </row>
    <row r="28">
      <c r="A28" t="inlineStr">
        <is>
          <t>Investing Cash Flow</t>
        </is>
      </c>
      <c r="B28" s="3" t="n">
        <v>-202481000</v>
      </c>
      <c r="C28" s="3" t="n">
        <v>-1476985000</v>
      </c>
      <c r="D28" s="3" t="n">
        <v>-482571000</v>
      </c>
      <c r="E28" s="3" t="n">
        <v>-876458000</v>
      </c>
      <c r="F28" s="3" t="n"/>
    </row>
    <row r="29">
      <c r="A29" t="inlineStr">
        <is>
          <t>Cash Flow From Continuing Investing Activities</t>
        </is>
      </c>
      <c r="B29" s="3" t="n">
        <v>-202481000</v>
      </c>
      <c r="C29" s="3" t="n">
        <v>-1476985000</v>
      </c>
      <c r="D29" s="3" t="n">
        <v>-482571000</v>
      </c>
      <c r="E29" s="3" t="n">
        <v>-876458000</v>
      </c>
      <c r="F29" s="3" t="n"/>
    </row>
    <row r="30">
      <c r="A30" t="inlineStr">
        <is>
          <t>Net Other Investing Changes</t>
        </is>
      </c>
      <c r="B30" s="3" t="n">
        <v>6424000</v>
      </c>
      <c r="C30" s="3" t="n">
        <v>5079000</v>
      </c>
      <c r="D30" s="3" t="n"/>
      <c r="E30" s="3" t="n">
        <v>27658000</v>
      </c>
      <c r="F30" s="3" t="n">
        <v>1855000</v>
      </c>
    </row>
    <row r="31">
      <c r="A31" t="inlineStr">
        <is>
          <t>Net Investment Purchase And Sale</t>
        </is>
      </c>
      <c r="B31" s="3" t="n">
        <v>131304000</v>
      </c>
      <c r="C31" s="3" t="n">
        <v>-1200998000</v>
      </c>
      <c r="D31" s="3" t="n">
        <v>-189194000</v>
      </c>
      <c r="E31" s="3" t="n">
        <v>-117683000</v>
      </c>
      <c r="F31" s="3" t="n"/>
    </row>
    <row r="32">
      <c r="A32" t="inlineStr">
        <is>
          <t>Sale Of Investment</t>
        </is>
      </c>
      <c r="B32" s="3" t="n">
        <v>3022170000</v>
      </c>
      <c r="C32" s="3" t="n">
        <v>1690087000</v>
      </c>
      <c r="D32" s="3" t="n">
        <v>1349350000</v>
      </c>
      <c r="E32" s="3" t="n">
        <v>991231000</v>
      </c>
      <c r="F32" s="3" t="n"/>
    </row>
    <row r="33">
      <c r="A33" t="inlineStr">
        <is>
          <t>Purchase Of Investment</t>
        </is>
      </c>
      <c r="B33" s="3" t="n">
        <v>-2890866000</v>
      </c>
      <c r="C33" s="3" t="n">
        <v>-2891085000</v>
      </c>
      <c r="D33" s="3" t="n">
        <v>-1538544000</v>
      </c>
      <c r="E33" s="3" t="n">
        <v>-1108914000</v>
      </c>
      <c r="F33" s="3" t="n"/>
    </row>
    <row r="34">
      <c r="A34" t="inlineStr">
        <is>
          <t>Net Business Purchase And Sale</t>
        </is>
      </c>
      <c r="B34" s="3" t="n">
        <v>0</v>
      </c>
      <c r="C34" s="3" t="n">
        <v>-3682000</v>
      </c>
      <c r="D34" s="3" t="n">
        <v>48214000</v>
      </c>
      <c r="E34" s="3" t="n">
        <v>-479113000</v>
      </c>
      <c r="F34" s="3" t="n"/>
    </row>
    <row r="35">
      <c r="A35" t="inlineStr">
        <is>
          <t>Sale Of Business</t>
        </is>
      </c>
      <c r="B35" s="3" t="n">
        <v>0</v>
      </c>
      <c r="C35" s="3" t="n">
        <v>0</v>
      </c>
      <c r="D35" s="3" t="n">
        <v>75358000</v>
      </c>
      <c r="E35" s="3" t="n">
        <v>0</v>
      </c>
      <c r="F35" s="3" t="n"/>
    </row>
    <row r="36">
      <c r="A36" t="inlineStr">
        <is>
          <t>Purchase Of Business</t>
        </is>
      </c>
      <c r="B36" s="3" t="n">
        <v>0</v>
      </c>
      <c r="C36" s="3" t="n">
        <v>-3682000</v>
      </c>
      <c r="D36" s="3" t="n">
        <v>-27144000</v>
      </c>
      <c r="E36" s="3" t="n">
        <v>-479113000</v>
      </c>
      <c r="F36" s="3" t="n"/>
    </row>
    <row r="37">
      <c r="A37" t="inlineStr">
        <is>
          <t>Net Intangibles Purchase And Sale</t>
        </is>
      </c>
      <c r="B37" s="3" t="n">
        <v>-4950000</v>
      </c>
      <c r="C37" s="3" t="n">
        <v>0</v>
      </c>
      <c r="D37" s="3" t="n">
        <v>0</v>
      </c>
      <c r="E37" s="3" t="n"/>
      <c r="F37" s="3" t="n"/>
    </row>
    <row r="38">
      <c r="A38" t="inlineStr">
        <is>
          <t>Purchase Of Intangibles</t>
        </is>
      </c>
      <c r="B38" s="3" t="n">
        <v>-4950000</v>
      </c>
      <c r="C38" s="3" t="n">
        <v>0</v>
      </c>
      <c r="D38" s="3" t="n">
        <v>0</v>
      </c>
      <c r="E38" s="3" t="n"/>
      <c r="F38" s="3" t="n"/>
    </row>
    <row r="39">
      <c r="A39" t="inlineStr">
        <is>
          <t>Capital Expenditure Reported</t>
        </is>
      </c>
      <c r="B39" s="3" t="n">
        <v>-335259000</v>
      </c>
      <c r="C39" s="3" t="n">
        <v>-277384000</v>
      </c>
      <c r="D39" s="3" t="n">
        <v>-341591000</v>
      </c>
      <c r="E39" s="3" t="n">
        <v>-307320000</v>
      </c>
      <c r="F39" s="3" t="n"/>
    </row>
    <row r="40">
      <c r="A40" t="inlineStr">
        <is>
          <t>Operating Cash Flow</t>
        </is>
      </c>
      <c r="B40" s="3" t="n">
        <v>4081903000</v>
      </c>
      <c r="C40" s="3" t="n">
        <v>3308575000</v>
      </c>
      <c r="D40" s="3" t="n">
        <v>3669805000</v>
      </c>
      <c r="E40" s="3" t="n">
        <v>3312702000</v>
      </c>
      <c r="F40" s="3" t="n"/>
    </row>
    <row r="41">
      <c r="A41" t="inlineStr">
        <is>
          <t>Cash Flow From Continuing Operating Activities</t>
        </is>
      </c>
      <c r="B41" s="3" t="n">
        <v>4081903000</v>
      </c>
      <c r="C41" s="3" t="n">
        <v>3308575000</v>
      </c>
      <c r="D41" s="3" t="n">
        <v>3669805000</v>
      </c>
      <c r="E41" s="3" t="n">
        <v>3312702000</v>
      </c>
      <c r="F41" s="3" t="n"/>
    </row>
    <row r="42">
      <c r="A42" t="inlineStr">
        <is>
          <t>Change In Working Capital</t>
        </is>
      </c>
      <c r="B42" s="3" t="n">
        <v>-646175000</v>
      </c>
      <c r="C42" s="3" t="n">
        <v>-201181000</v>
      </c>
      <c r="D42" s="3" t="n">
        <v>10113000</v>
      </c>
      <c r="E42" s="3" t="n">
        <v>-305411000</v>
      </c>
      <c r="F42" s="3" t="n"/>
    </row>
    <row r="43">
      <c r="A43" t="inlineStr">
        <is>
          <t>Change In Other Working Capital</t>
        </is>
      </c>
      <c r="B43" s="3" t="n">
        <v>-68567000</v>
      </c>
      <c r="C43" s="3" t="n">
        <v>537242000</v>
      </c>
      <c r="D43" s="3" t="n">
        <v>238973000</v>
      </c>
      <c r="E43" s="3" t="n">
        <v>343086000</v>
      </c>
      <c r="F43" s="3" t="n"/>
    </row>
    <row r="44">
      <c r="A44" t="inlineStr">
        <is>
          <t>Change In Other Current Liabilities</t>
        </is>
      </c>
      <c r="B44" s="3" t="n">
        <v>-77871000</v>
      </c>
      <c r="C44" s="3" t="n">
        <v>-228904000</v>
      </c>
      <c r="D44" s="3" t="n">
        <v>834400000</v>
      </c>
      <c r="E44" s="3" t="n">
        <v>544270000</v>
      </c>
      <c r="F44" s="3" t="n"/>
    </row>
    <row r="45">
      <c r="A45" t="inlineStr">
        <is>
          <t>Change In Other Current Assets</t>
        </is>
      </c>
      <c r="B45" s="3" t="n">
        <v>-10459000</v>
      </c>
      <c r="C45" s="3" t="n">
        <v>-289509000</v>
      </c>
      <c r="D45" s="3" t="n">
        <v>-121018000</v>
      </c>
      <c r="E45" s="3" t="n">
        <v>-217070000</v>
      </c>
      <c r="F45" s="3" t="n"/>
    </row>
    <row r="46">
      <c r="A46" t="inlineStr">
        <is>
          <t>Change In Payables And Accrued Expense</t>
        </is>
      </c>
      <c r="B46" s="3" t="n">
        <v>33789000</v>
      </c>
      <c r="C46" s="3" t="n">
        <v>24976000</v>
      </c>
      <c r="D46" s="3" t="n">
        <v>-144661000</v>
      </c>
      <c r="E46" s="3" t="n">
        <v>101632000</v>
      </c>
      <c r="F46" s="3" t="n"/>
    </row>
    <row r="47">
      <c r="A47" t="inlineStr">
        <is>
          <t>Change In Payable</t>
        </is>
      </c>
      <c r="B47" s="3" t="n">
        <v>33789000</v>
      </c>
      <c r="C47" s="3" t="n">
        <v>24976000</v>
      </c>
      <c r="D47" s="3" t="n">
        <v>-144661000</v>
      </c>
      <c r="E47" s="3" t="n">
        <v>101632000</v>
      </c>
      <c r="F47" s="3" t="n"/>
    </row>
    <row r="48">
      <c r="A48" t="inlineStr">
        <is>
          <t>Change In Account Payable</t>
        </is>
      </c>
      <c r="B48" s="3" t="n">
        <v>33789000</v>
      </c>
      <c r="C48" s="3" t="n">
        <v>24976000</v>
      </c>
      <c r="D48" s="3" t="n">
        <v>-144661000</v>
      </c>
      <c r="E48" s="3" t="n">
        <v>101632000</v>
      </c>
      <c r="F48" s="3" t="n"/>
    </row>
    <row r="49">
      <c r="A49" t="inlineStr">
        <is>
          <t>Change In Inventory</t>
        </is>
      </c>
      <c r="B49" s="3" t="n">
        <v>-155170000</v>
      </c>
      <c r="C49" s="3" t="n">
        <v>-164092000</v>
      </c>
      <c r="D49" s="3" t="n">
        <v>-749047000</v>
      </c>
      <c r="E49" s="3" t="n">
        <v>-567003000</v>
      </c>
      <c r="F49" s="3" t="n"/>
    </row>
    <row r="50">
      <c r="A50" t="inlineStr">
        <is>
          <t>Change In Receivables</t>
        </is>
      </c>
      <c r="B50" s="3" t="n">
        <v>-367897000</v>
      </c>
      <c r="C50" s="3" t="n">
        <v>-80894000</v>
      </c>
      <c r="D50" s="3" t="n">
        <v>-48534000</v>
      </c>
      <c r="E50" s="3" t="n">
        <v>-510326000</v>
      </c>
      <c r="F50" s="3" t="n"/>
    </row>
    <row r="51">
      <c r="A51" t="inlineStr">
        <is>
          <t>Changes In Account Receivables</t>
        </is>
      </c>
      <c r="B51" s="3" t="n">
        <v>-367897000</v>
      </c>
      <c r="C51" s="3" t="n">
        <v>-80894000</v>
      </c>
      <c r="D51" s="3" t="n">
        <v>-48534000</v>
      </c>
      <c r="E51" s="3" t="n">
        <v>-510326000</v>
      </c>
      <c r="F51" s="3" t="n"/>
    </row>
    <row r="52">
      <c r="A52" t="inlineStr">
        <is>
          <t>Other Non Cash Items</t>
        </is>
      </c>
      <c r="B52" s="3" t="n"/>
      <c r="C52" s="3" t="n">
        <v>415000</v>
      </c>
      <c r="D52" s="3" t="n">
        <v>8270000</v>
      </c>
      <c r="E52" s="3" t="n">
        <v>82799000</v>
      </c>
      <c r="F52" s="3" t="n"/>
    </row>
    <row r="53">
      <c r="A53" t="inlineStr">
        <is>
          <t>Stock Based Compensation</t>
        </is>
      </c>
      <c r="B53" s="3" t="n">
        <v>265011000</v>
      </c>
      <c r="C53" s="3" t="n">
        <v>212695000</v>
      </c>
      <c r="D53" s="3" t="n">
        <v>171424000</v>
      </c>
      <c r="E53" s="3" t="n">
        <v>126918000</v>
      </c>
      <c r="F53" s="3" t="n"/>
    </row>
    <row r="54">
      <c r="A54" t="inlineStr">
        <is>
          <t>Unrealized Gain Loss On Investment Securities</t>
        </is>
      </c>
      <c r="B54" s="3" t="n"/>
      <c r="C54" s="3" t="n"/>
      <c r="D54" s="3" t="n">
        <v>0</v>
      </c>
      <c r="E54" s="3" t="n">
        <v>0</v>
      </c>
      <c r="F54" s="3" t="n">
        <v>-26719000</v>
      </c>
    </row>
    <row r="55">
      <c r="A55" t="inlineStr">
        <is>
          <t>Asset Impairment Charge</t>
        </is>
      </c>
      <c r="B55" s="3" t="n">
        <v>239100000</v>
      </c>
      <c r="C55" s="3" t="n">
        <v>300781000</v>
      </c>
      <c r="D55" s="3" t="n">
        <v>9905000</v>
      </c>
      <c r="E55" s="3" t="n">
        <v>5962000</v>
      </c>
      <c r="F55" s="3" t="n"/>
    </row>
    <row r="56">
      <c r="A56" t="inlineStr">
        <is>
          <t>Deferred Tax</t>
        </is>
      </c>
      <c r="B56" s="3" t="n">
        <v>-246577000</v>
      </c>
      <c r="C56" s="3" t="n">
        <v>-155228000</v>
      </c>
      <c r="D56" s="3" t="n">
        <v>-298145000</v>
      </c>
      <c r="E56" s="3" t="n">
        <v>-329501000</v>
      </c>
      <c r="F56" s="3" t="n"/>
    </row>
    <row r="57">
      <c r="A57" t="inlineStr">
        <is>
          <t>Deferred Income Tax</t>
        </is>
      </c>
      <c r="B57" s="3" t="n">
        <v>-246577000</v>
      </c>
      <c r="C57" s="3" t="n">
        <v>-155228000</v>
      </c>
      <c r="D57" s="3" t="n">
        <v>-298145000</v>
      </c>
      <c r="E57" s="3" t="n">
        <v>-329501000</v>
      </c>
      <c r="F57" s="3" t="n"/>
    </row>
    <row r="58">
      <c r="A58" t="inlineStr">
        <is>
          <t>Depreciation Amortization Depletion</t>
        </is>
      </c>
      <c r="B58" s="3" t="n">
        <v>394088000</v>
      </c>
      <c r="C58" s="3" t="n">
        <v>401730000</v>
      </c>
      <c r="D58" s="3" t="n">
        <v>415113000</v>
      </c>
      <c r="E58" s="3" t="n">
        <v>363344000</v>
      </c>
      <c r="F58" s="3" t="n"/>
    </row>
    <row r="59">
      <c r="A59" t="inlineStr">
        <is>
          <t>Depreciation And Amortization</t>
        </is>
      </c>
      <c r="B59" s="3" t="n">
        <v>394088000</v>
      </c>
      <c r="C59" s="3" t="n">
        <v>401730000</v>
      </c>
      <c r="D59" s="3" t="n">
        <v>415113000</v>
      </c>
      <c r="E59" s="3" t="n">
        <v>363344000</v>
      </c>
      <c r="F59" s="3" t="n"/>
    </row>
    <row r="60">
      <c r="A60" t="inlineStr">
        <is>
          <t>Operating Gains Losses</t>
        </is>
      </c>
      <c r="B60" s="3" t="n">
        <v>14813000</v>
      </c>
      <c r="C60" s="3" t="n">
        <v>-12118000</v>
      </c>
      <c r="D60" s="3" t="n">
        <v>-34226000</v>
      </c>
      <c r="E60" s="3" t="n">
        <v>129330000</v>
      </c>
      <c r="F60" s="3" t="n"/>
    </row>
    <row r="61">
      <c r="A61" t="inlineStr">
        <is>
          <t>Gain Loss On Investment Securities</t>
        </is>
      </c>
      <c r="B61" s="3" t="n"/>
      <c r="C61" s="3" t="n">
        <v>415000</v>
      </c>
      <c r="D61" s="3" t="n"/>
      <c r="E61" s="3" t="n">
        <v>82799000</v>
      </c>
      <c r="F61" s="3" t="n"/>
    </row>
    <row r="62">
      <c r="A62" t="inlineStr">
        <is>
          <t>Net Foreign Currency Exchange Gain Loss</t>
        </is>
      </c>
      <c r="B62" s="3" t="n">
        <v>14974000</v>
      </c>
      <c r="C62" s="3" t="n">
        <v>-12533000</v>
      </c>
      <c r="D62" s="3" t="n">
        <v>-17825000</v>
      </c>
      <c r="E62" s="3" t="n">
        <v>46531000</v>
      </c>
      <c r="F62" s="3" t="n"/>
    </row>
    <row r="63">
      <c r="A63" t="inlineStr">
        <is>
          <t>Gain Loss On Sale Of Business</t>
        </is>
      </c>
      <c r="B63" s="3" t="n">
        <v>0</v>
      </c>
      <c r="C63" s="3" t="n">
        <v>0</v>
      </c>
      <c r="D63" s="3" t="n">
        <v>-29687000</v>
      </c>
      <c r="E63" s="3" t="n">
        <v>0</v>
      </c>
      <c r="F63" s="3" t="n"/>
    </row>
    <row r="64">
      <c r="A64" t="inlineStr">
        <is>
          <t>Net Income From Continuing Operations</t>
        </is>
      </c>
      <c r="B64" s="3" t="n">
        <v>4061643000</v>
      </c>
      <c r="C64" s="3" t="n">
        <v>2761896000</v>
      </c>
      <c r="D64" s="3" t="n">
        <v>3387351000</v>
      </c>
      <c r="E64" s="3" t="n">
        <v>3322060000</v>
      </c>
      <c r="F64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</row>
    <row r="2">
      <c r="A2" t="inlineStr">
        <is>
          <t>Free Cash Flow</t>
        </is>
      </c>
      <c r="B2" s="3" t="n">
        <v>622264000</v>
      </c>
      <c r="C2" s="3" t="n">
        <v>1262031000</v>
      </c>
      <c r="D2" s="3" t="n">
        <v>1065697000</v>
      </c>
      <c r="E2" s="3" t="n">
        <v>1062483000</v>
      </c>
      <c r="F2" s="3" t="n">
        <v>990024000</v>
      </c>
    </row>
    <row r="3">
      <c r="A3" t="inlineStr">
        <is>
          <t>Repurchase Of Capital Stock</t>
        </is>
      </c>
      <c r="B3" s="3" t="n">
        <v>-625955000</v>
      </c>
      <c r="C3" s="3" t="n">
        <v>-547750000</v>
      </c>
      <c r="D3" s="3" t="n">
        <v>-545067000</v>
      </c>
      <c r="E3" s="3" t="n">
        <v>-425697000</v>
      </c>
      <c r="F3" s="3" t="n">
        <v>-506745000</v>
      </c>
    </row>
    <row r="4">
      <c r="A4" t="inlineStr">
        <is>
          <t>Repayment Of Debt</t>
        </is>
      </c>
      <c r="B4" s="3" t="n">
        <v>0</v>
      </c>
      <c r="C4" s="3" t="n"/>
      <c r="D4" s="3" t="n"/>
      <c r="E4" s="3" t="n">
        <v>0</v>
      </c>
      <c r="F4" s="3" t="n">
        <v>0</v>
      </c>
    </row>
    <row r="5">
      <c r="A5" t="inlineStr">
        <is>
          <t>Issuance Of Debt</t>
        </is>
      </c>
      <c r="B5" s="3" t="n"/>
      <c r="C5" s="3" t="n"/>
      <c r="D5" s="3" t="n"/>
      <c r="E5" s="3" t="n">
        <v>0</v>
      </c>
      <c r="F5" s="3" t="n"/>
    </row>
    <row r="6">
      <c r="A6" t="inlineStr">
        <is>
          <t>Issuance Of Capital Stock</t>
        </is>
      </c>
      <c r="B6" s="3" t="n">
        <v>1000</v>
      </c>
      <c r="C6" s="3" t="n"/>
      <c r="D6" s="3" t="n"/>
      <c r="E6" s="3" t="n">
        <v>103976000</v>
      </c>
      <c r="F6" s="3" t="n">
        <v>0</v>
      </c>
    </row>
    <row r="7">
      <c r="A7" t="inlineStr">
        <is>
          <t>Capital Expenditure</t>
        </is>
      </c>
      <c r="B7" s="3" t="n">
        <v>-85187000</v>
      </c>
      <c r="C7" s="3" t="n">
        <v>-105576000</v>
      </c>
      <c r="D7" s="3" t="n">
        <v>-95894000</v>
      </c>
      <c r="E7" s="3" t="n">
        <v>-102508000</v>
      </c>
      <c r="F7" s="3" t="n">
        <v>-82135000</v>
      </c>
    </row>
    <row r="8">
      <c r="A8" t="inlineStr">
        <is>
          <t>Interest Paid Supplemental Data</t>
        </is>
      </c>
      <c r="B8" s="3" t="n">
        <v>131392000</v>
      </c>
      <c r="C8" s="3" t="n">
        <v>7700000</v>
      </c>
      <c r="D8" s="3" t="n">
        <v>131494000</v>
      </c>
      <c r="E8" s="3" t="n">
        <v>7772000</v>
      </c>
      <c r="F8" s="3" t="n">
        <v>128814000</v>
      </c>
    </row>
    <row r="9">
      <c r="A9" t="inlineStr">
        <is>
          <t>Income Tax Paid Supplemental Data</t>
        </is>
      </c>
      <c r="B9" s="3" t="n">
        <v>179496000</v>
      </c>
      <c r="C9" s="3" t="n">
        <v>283901000</v>
      </c>
      <c r="D9" s="3" t="n">
        <v>119049000</v>
      </c>
      <c r="E9" s="3" t="n">
        <v>231115000</v>
      </c>
      <c r="F9" s="3" t="n">
        <v>197594000</v>
      </c>
    </row>
    <row r="10">
      <c r="A10" t="inlineStr">
        <is>
          <t>End Cash Position</t>
        </is>
      </c>
      <c r="B10" s="3" t="n">
        <v>1787010000</v>
      </c>
      <c r="C10" s="3" t="n">
        <v>2452124000</v>
      </c>
      <c r="D10" s="3" t="n">
        <v>1946211000</v>
      </c>
      <c r="E10" s="3" t="n">
        <v>2078908000</v>
      </c>
      <c r="F10" s="3" t="n">
        <v>1858022000</v>
      </c>
    </row>
    <row r="11">
      <c r="A11" t="inlineStr">
        <is>
          <t>Beginning Cash Position</t>
        </is>
      </c>
      <c r="B11" s="3" t="n">
        <v>2452124000</v>
      </c>
      <c r="C11" s="3" t="n">
        <v>1946211000</v>
      </c>
      <c r="D11" s="3" t="n">
        <v>2078908000</v>
      </c>
      <c r="E11" s="3" t="n">
        <v>1858022000</v>
      </c>
      <c r="F11" s="3" t="n">
        <v>1838278000</v>
      </c>
    </row>
    <row r="12">
      <c r="A12" t="inlineStr">
        <is>
          <t>Effect Of Exchange Rate Changes</t>
        </is>
      </c>
      <c r="B12" s="3" t="n">
        <v>895000</v>
      </c>
      <c r="C12" s="3" t="n">
        <v>-1433000</v>
      </c>
      <c r="D12" s="3" t="n">
        <v>-2501000</v>
      </c>
      <c r="E12" s="3" t="n">
        <v>11053000</v>
      </c>
      <c r="F12" s="3" t="n">
        <v>2587000</v>
      </c>
    </row>
    <row r="13">
      <c r="A13" t="inlineStr">
        <is>
          <t>Changes In Cash</t>
        </is>
      </c>
      <c r="B13" s="3" t="n">
        <v>-666009000</v>
      </c>
      <c r="C13" s="3" t="n">
        <v>507346000</v>
      </c>
      <c r="D13" s="3" t="n">
        <v>-130196000</v>
      </c>
      <c r="E13" s="3" t="n">
        <v>209833000</v>
      </c>
      <c r="F13" s="3" t="n">
        <v>17157000</v>
      </c>
    </row>
    <row r="14">
      <c r="A14" t="inlineStr">
        <is>
          <t>Financing Cash Flow</t>
        </is>
      </c>
      <c r="B14" s="3" t="n">
        <v>-879152000</v>
      </c>
      <c r="C14" s="3" t="n">
        <v>-747579000</v>
      </c>
      <c r="D14" s="3" t="n">
        <v>-881799000</v>
      </c>
      <c r="E14" s="3" t="n">
        <v>-629813000</v>
      </c>
      <c r="F14" s="3" t="n">
        <v>-735199000</v>
      </c>
    </row>
    <row r="15">
      <c r="A15" t="inlineStr">
        <is>
          <t>Cash Flow From Continuing Financing Activities</t>
        </is>
      </c>
      <c r="B15" s="3" t="n">
        <v>-879152000</v>
      </c>
      <c r="C15" s="3" t="n">
        <v>-747579000</v>
      </c>
      <c r="D15" s="3" t="n">
        <v>-881799000</v>
      </c>
      <c r="E15" s="3" t="n">
        <v>-629813000</v>
      </c>
      <c r="F15" s="3" t="n">
        <v>-735199000</v>
      </c>
    </row>
    <row r="16">
      <c r="A16" t="inlineStr">
        <is>
          <t>Net Other Financing Charges</t>
        </is>
      </c>
      <c r="B16" s="3" t="n">
        <v>-4362000</v>
      </c>
      <c r="C16" s="3" t="n">
        <v>-5717000</v>
      </c>
      <c r="D16" s="3" t="n">
        <v>-82724000</v>
      </c>
      <c r="E16" s="3" t="n">
        <v>-54127000</v>
      </c>
      <c r="F16" s="3" t="n">
        <v>-2680000</v>
      </c>
    </row>
    <row r="17">
      <c r="A17" t="inlineStr">
        <is>
          <t>Cash Dividends Paid</t>
        </is>
      </c>
      <c r="B17" s="3" t="n">
        <v>-248836000</v>
      </c>
      <c r="C17" s="3" t="n">
        <v>-249654000</v>
      </c>
      <c r="D17" s="3" t="n">
        <v>-254008000</v>
      </c>
      <c r="E17" s="3" t="n">
        <v>-253965000</v>
      </c>
      <c r="F17" s="3" t="n">
        <v>-225774000</v>
      </c>
    </row>
    <row r="18">
      <c r="A18" t="inlineStr">
        <is>
          <t>Common Stock Dividend Paid</t>
        </is>
      </c>
      <c r="B18" s="3" t="n">
        <v>-248836000</v>
      </c>
      <c r="C18" s="3" t="n">
        <v>-249654000</v>
      </c>
      <c r="D18" s="3" t="n">
        <v>-254008000</v>
      </c>
      <c r="E18" s="3" t="n">
        <v>-253965000</v>
      </c>
      <c r="F18" s="3" t="n">
        <v>-225774000</v>
      </c>
    </row>
    <row r="19">
      <c r="A19" t="inlineStr">
        <is>
          <t>Net Common Stock Issuance</t>
        </is>
      </c>
      <c r="B19" s="3" t="n">
        <v>-625954000</v>
      </c>
      <c r="C19" s="3" t="n">
        <v>-492208000</v>
      </c>
      <c r="D19" s="3" t="n">
        <v>-545067000</v>
      </c>
      <c r="E19" s="3" t="n">
        <v>-321721000</v>
      </c>
      <c r="F19" s="3" t="n">
        <v>-506745000</v>
      </c>
    </row>
    <row r="20">
      <c r="A20" t="inlineStr">
        <is>
          <t>Common Stock Payments</t>
        </is>
      </c>
      <c r="B20" s="3" t="n">
        <v>-625955000</v>
      </c>
      <c r="C20" s="3" t="n">
        <v>-547750000</v>
      </c>
      <c r="D20" s="3" t="n">
        <v>-545067000</v>
      </c>
      <c r="E20" s="3" t="n">
        <v>-425697000</v>
      </c>
      <c r="F20" s="3" t="n">
        <v>-506745000</v>
      </c>
    </row>
    <row r="21">
      <c r="A21" t="inlineStr">
        <is>
          <t>Common Stock Issuance</t>
        </is>
      </c>
      <c r="B21" s="3" t="n">
        <v>1000</v>
      </c>
      <c r="C21" s="3" t="n"/>
      <c r="D21" s="3" t="n"/>
      <c r="E21" s="3" t="n">
        <v>103976000</v>
      </c>
      <c r="F21" s="3" t="n">
        <v>0</v>
      </c>
    </row>
    <row r="22">
      <c r="A22" t="inlineStr">
        <is>
          <t>Net Issuance Payments Of Debt</t>
        </is>
      </c>
      <c r="B22" s="3" t="n">
        <v>0</v>
      </c>
      <c r="C22" s="3" t="n"/>
      <c r="D22" s="3" t="n"/>
      <c r="E22" s="3" t="n">
        <v>0</v>
      </c>
      <c r="F22" s="3" t="n">
        <v>0</v>
      </c>
    </row>
    <row r="23">
      <c r="A23" t="inlineStr">
        <is>
          <t>Net Long Term Debt Issuance</t>
        </is>
      </c>
      <c r="B23" s="3" t="n">
        <v>0</v>
      </c>
      <c r="C23" s="3" t="n"/>
      <c r="D23" s="3" t="n"/>
      <c r="E23" s="3" t="n">
        <v>0</v>
      </c>
      <c r="F23" s="3" t="n">
        <v>0</v>
      </c>
    </row>
    <row r="24">
      <c r="A24" t="inlineStr">
        <is>
          <t>Long Term Debt Payments</t>
        </is>
      </c>
      <c r="B24" s="3" t="n">
        <v>0</v>
      </c>
      <c r="C24" s="3" t="n"/>
      <c r="D24" s="3" t="n"/>
      <c r="E24" s="3" t="n">
        <v>0</v>
      </c>
      <c r="F24" s="3" t="n">
        <v>0</v>
      </c>
    </row>
    <row r="25">
      <c r="A25" t="inlineStr">
        <is>
          <t>Long Term Debt Issuance</t>
        </is>
      </c>
      <c r="B25" s="3" t="n"/>
      <c r="C25" s="3" t="n"/>
      <c r="D25" s="3" t="n"/>
      <c r="E25" s="3" t="n">
        <v>0</v>
      </c>
      <c r="F25" s="3" t="n"/>
    </row>
    <row r="26">
      <c r="A26" t="inlineStr">
        <is>
          <t>Investing Cash Flow</t>
        </is>
      </c>
      <c r="B26" s="3" t="n">
        <v>-494308000</v>
      </c>
      <c r="C26" s="3" t="n">
        <v>-112682000</v>
      </c>
      <c r="D26" s="3" t="n">
        <v>-409988000</v>
      </c>
      <c r="E26" s="3" t="n">
        <v>-325345000</v>
      </c>
      <c r="F26" s="3" t="n">
        <v>-319803000</v>
      </c>
    </row>
    <row r="27">
      <c r="A27" t="inlineStr">
        <is>
          <t>Cash Flow From Continuing Investing Activities</t>
        </is>
      </c>
      <c r="B27" s="3" t="n">
        <v>-494308000</v>
      </c>
      <c r="C27" s="3" t="n">
        <v>-112682000</v>
      </c>
      <c r="D27" s="3" t="n">
        <v>-409988000</v>
      </c>
      <c r="E27" s="3" t="n">
        <v>-325345000</v>
      </c>
      <c r="F27" s="3" t="n">
        <v>-319803000</v>
      </c>
    </row>
    <row r="28">
      <c r="A28" t="inlineStr">
        <is>
          <t>Net Other Investing Changes</t>
        </is>
      </c>
      <c r="B28" s="3" t="n">
        <v>2451000</v>
      </c>
      <c r="C28" s="3" t="n">
        <v>15241000</v>
      </c>
      <c r="D28" s="3" t="n">
        <v>1541000</v>
      </c>
      <c r="E28" s="3" t="n">
        <v>5948000</v>
      </c>
      <c r="F28" s="3" t="n">
        <v>-1551000</v>
      </c>
    </row>
    <row r="29">
      <c r="A29" t="inlineStr">
        <is>
          <t>Net Investment Purchase And Sale</t>
        </is>
      </c>
      <c r="B29" s="3" t="n">
        <v>-411572000</v>
      </c>
      <c r="C29" s="3" t="n">
        <v>-22347000</v>
      </c>
      <c r="D29" s="3" t="n">
        <v>-315635000</v>
      </c>
      <c r="E29" s="3" t="n">
        <v>-228785000</v>
      </c>
      <c r="F29" s="3" t="n">
        <v>-236117000</v>
      </c>
    </row>
    <row r="30">
      <c r="A30" t="inlineStr">
        <is>
          <t>Sale Of Investment</t>
        </is>
      </c>
      <c r="B30" s="3" t="n">
        <v>676549000</v>
      </c>
      <c r="C30" s="3" t="n">
        <v>863210000</v>
      </c>
      <c r="D30" s="3" t="n">
        <v>791100000</v>
      </c>
      <c r="E30" s="3" t="n">
        <v>549242000</v>
      </c>
      <c r="F30" s="3" t="n">
        <v>514897000</v>
      </c>
    </row>
    <row r="31">
      <c r="A31" t="inlineStr">
        <is>
          <t>Purchase Of Investment</t>
        </is>
      </c>
      <c r="B31" s="3" t="n">
        <v>-1088121000</v>
      </c>
      <c r="C31" s="3" t="n">
        <v>-885557000</v>
      </c>
      <c r="D31" s="3" t="n">
        <v>-1106735000</v>
      </c>
      <c r="E31" s="3" t="n">
        <v>-778027000</v>
      </c>
      <c r="F31" s="3" t="n">
        <v>-751014000</v>
      </c>
    </row>
    <row r="32">
      <c r="A32" t="inlineStr">
        <is>
          <t>Net Business Purchase And Sale</t>
        </is>
      </c>
      <c r="B32" s="3" t="n"/>
      <c r="C32" s="3" t="n"/>
      <c r="D32" s="3" t="n"/>
      <c r="E32" s="3" t="n">
        <v>0</v>
      </c>
      <c r="F32" s="3" t="n"/>
    </row>
    <row r="33">
      <c r="A33" t="inlineStr">
        <is>
          <t>Purchase Of Business</t>
        </is>
      </c>
      <c r="B33" s="3" t="n"/>
      <c r="C33" s="3" t="n"/>
      <c r="D33" s="3" t="n"/>
      <c r="E33" s="3" t="n">
        <v>0</v>
      </c>
      <c r="F33" s="3" t="n"/>
    </row>
    <row r="34">
      <c r="A34" t="inlineStr">
        <is>
          <t>Net Intangibles Purchase And Sale</t>
        </is>
      </c>
      <c r="B34" s="3" t="n"/>
      <c r="C34" s="3" t="n"/>
      <c r="D34" s="3" t="n"/>
      <c r="E34" s="3" t="n">
        <v>-2100000</v>
      </c>
      <c r="F34" s="3" t="n"/>
    </row>
    <row r="35">
      <c r="A35" t="inlineStr">
        <is>
          <t>Purchase Of Intangibles</t>
        </is>
      </c>
      <c r="B35" s="3" t="n"/>
      <c r="C35" s="3" t="n"/>
      <c r="D35" s="3" t="n"/>
      <c r="E35" s="3" t="n">
        <v>-2100000</v>
      </c>
      <c r="F35" s="3" t="n"/>
    </row>
    <row r="36">
      <c r="A36" t="inlineStr">
        <is>
          <t>Capital Expenditure Reported</t>
        </is>
      </c>
      <c r="B36" s="3" t="n">
        <v>-85187000</v>
      </c>
      <c r="C36" s="3" t="n">
        <v>-105576000</v>
      </c>
      <c r="D36" s="3" t="n">
        <v>-95894000</v>
      </c>
      <c r="E36" s="3" t="n">
        <v>-100408000</v>
      </c>
      <c r="F36" s="3" t="n">
        <v>-82135000</v>
      </c>
    </row>
    <row r="37">
      <c r="A37" t="inlineStr">
        <is>
          <t>Operating Cash Flow</t>
        </is>
      </c>
      <c r="B37" s="3" t="n">
        <v>707451000</v>
      </c>
      <c r="C37" s="3" t="n">
        <v>1367607000</v>
      </c>
      <c r="D37" s="3" t="n">
        <v>1161591000</v>
      </c>
      <c r="E37" s="3" t="n">
        <v>1164991000</v>
      </c>
      <c r="F37" s="3" t="n">
        <v>1072159000</v>
      </c>
    </row>
    <row r="38">
      <c r="A38" t="inlineStr">
        <is>
          <t>Cash Flow From Continuing Operating Activities</t>
        </is>
      </c>
      <c r="B38" s="3" t="n">
        <v>707451000</v>
      </c>
      <c r="C38" s="3" t="n">
        <v>1367607000</v>
      </c>
      <c r="D38" s="3" t="n">
        <v>1161591000</v>
      </c>
      <c r="E38" s="3" t="n">
        <v>1164991000</v>
      </c>
      <c r="F38" s="3" t="n">
        <v>1072159000</v>
      </c>
    </row>
    <row r="39">
      <c r="A39" t="inlineStr">
        <is>
          <t>Change In Working Capital</t>
        </is>
      </c>
      <c r="B39" s="3" t="n">
        <v>-676971000</v>
      </c>
      <c r="C39" s="3" t="n">
        <v>78134000</v>
      </c>
      <c r="D39" s="3" t="n">
        <v>-128110000</v>
      </c>
      <c r="E39" s="3" t="n">
        <v>-136249000</v>
      </c>
      <c r="F39" s="3" t="n">
        <v>-153670000</v>
      </c>
    </row>
    <row r="40">
      <c r="A40" t="inlineStr">
        <is>
          <t>Change In Other Working Capital</t>
        </is>
      </c>
      <c r="B40" s="3" t="n">
        <v>-278987000</v>
      </c>
      <c r="C40" s="3" t="n">
        <v>17203000</v>
      </c>
      <c r="D40" s="3" t="n">
        <v>-2996000</v>
      </c>
      <c r="E40" s="3" t="n">
        <v>-15665000</v>
      </c>
      <c r="F40" s="3" t="n">
        <v>-198401000</v>
      </c>
    </row>
    <row r="41">
      <c r="A41" t="inlineStr">
        <is>
          <t>Change In Other Current Liabilities</t>
        </is>
      </c>
      <c r="B41" s="3" t="n">
        <v>-34394000</v>
      </c>
      <c r="C41" s="3" t="n">
        <v>-61147000</v>
      </c>
      <c r="D41" s="3" t="n">
        <v>-44042000</v>
      </c>
      <c r="E41" s="3" t="n">
        <v>90708000</v>
      </c>
      <c r="F41" s="3" t="n">
        <v>-31043000</v>
      </c>
    </row>
    <row r="42">
      <c r="A42" t="inlineStr">
        <is>
          <t>Change In Other Current Assets</t>
        </is>
      </c>
      <c r="B42" s="3" t="n">
        <v>-63783000</v>
      </c>
      <c r="C42" s="3" t="n">
        <v>-65267000</v>
      </c>
      <c r="D42" s="3" t="n">
        <v>50921000</v>
      </c>
      <c r="E42" s="3" t="n">
        <v>-86564000</v>
      </c>
      <c r="F42" s="3" t="n">
        <v>14309000</v>
      </c>
    </row>
    <row r="43">
      <c r="A43" t="inlineStr">
        <is>
          <t>Change In Payables And Accrued Expense</t>
        </is>
      </c>
      <c r="B43" s="3" t="n">
        <v>93276000</v>
      </c>
      <c r="C43" s="3" t="n">
        <v>-5027000</v>
      </c>
      <c r="D43" s="3" t="n">
        <v>-23680000</v>
      </c>
      <c r="E43" s="3" t="n">
        <v>-8601000</v>
      </c>
      <c r="F43" s="3" t="n">
        <v>-12227000</v>
      </c>
    </row>
    <row r="44">
      <c r="A44" t="inlineStr">
        <is>
          <t>Change In Payable</t>
        </is>
      </c>
      <c r="B44" s="3" t="n">
        <v>93276000</v>
      </c>
      <c r="C44" s="3" t="n">
        <v>-5027000</v>
      </c>
      <c r="D44" s="3" t="n">
        <v>-23680000</v>
      </c>
      <c r="E44" s="3" t="n">
        <v>-8601000</v>
      </c>
      <c r="F44" s="3" t="n">
        <v>-12227000</v>
      </c>
    </row>
    <row r="45">
      <c r="A45" t="inlineStr">
        <is>
          <t>Change In Account Payable</t>
        </is>
      </c>
      <c r="B45" s="3" t="n">
        <v>93276000</v>
      </c>
      <c r="C45" s="3" t="n">
        <v>-5027000</v>
      </c>
      <c r="D45" s="3" t="n">
        <v>-23680000</v>
      </c>
      <c r="E45" s="3" t="n">
        <v>-8601000</v>
      </c>
      <c r="F45" s="3" t="n">
        <v>-12227000</v>
      </c>
    </row>
    <row r="46">
      <c r="A46" t="inlineStr">
        <is>
          <t>Change In Inventory</t>
        </is>
      </c>
      <c r="B46" s="3" t="n">
        <v>-159135000</v>
      </c>
      <c r="C46" s="3" t="n">
        <v>1214000</v>
      </c>
      <c r="D46" s="3" t="n">
        <v>-95738000</v>
      </c>
      <c r="E46" s="3" t="n">
        <v>-48519000</v>
      </c>
      <c r="F46" s="3" t="n">
        <v>-112283000</v>
      </c>
    </row>
    <row r="47">
      <c r="A47" t="inlineStr">
        <is>
          <t>Change In Receivables</t>
        </is>
      </c>
      <c r="B47" s="3" t="n">
        <v>-233948000</v>
      </c>
      <c r="C47" s="3" t="n">
        <v>191158000</v>
      </c>
      <c r="D47" s="3" t="n">
        <v>-12575000</v>
      </c>
      <c r="E47" s="3" t="n">
        <v>-67608000</v>
      </c>
      <c r="F47" s="3" t="n">
        <v>185975000</v>
      </c>
    </row>
    <row r="48">
      <c r="A48" t="inlineStr">
        <is>
          <t>Changes In Account Receivables</t>
        </is>
      </c>
      <c r="B48" s="3" t="n">
        <v>-233948000</v>
      </c>
      <c r="C48" s="3" t="n">
        <v>191158000</v>
      </c>
      <c r="D48" s="3" t="n">
        <v>-12575000</v>
      </c>
      <c r="E48" s="3" t="n">
        <v>-67608000</v>
      </c>
      <c r="F48" s="3" t="n">
        <v>185975000</v>
      </c>
    </row>
    <row r="49">
      <c r="A49" t="inlineStr">
        <is>
          <t>Stock Based Compensation</t>
        </is>
      </c>
      <c r="B49" s="3" t="n">
        <v>83938000</v>
      </c>
      <c r="C49" s="3" t="n">
        <v>73947000</v>
      </c>
      <c r="D49" s="3" t="n">
        <v>70182000</v>
      </c>
      <c r="E49" s="3" t="n">
        <v>71269000</v>
      </c>
      <c r="F49" s="3" t="n">
        <v>70201000</v>
      </c>
    </row>
    <row r="50">
      <c r="A50" t="inlineStr">
        <is>
          <t>Asset Impairment Charge</t>
        </is>
      </c>
      <c r="B50" s="3" t="n">
        <v>0</v>
      </c>
      <c r="C50" s="3" t="n"/>
      <c r="D50" s="3" t="n"/>
      <c r="E50" s="3" t="n">
        <v>0</v>
      </c>
      <c r="F50" s="3" t="n">
        <v>0</v>
      </c>
    </row>
    <row r="51">
      <c r="A51" t="inlineStr">
        <is>
          <t>Deferred Tax</t>
        </is>
      </c>
      <c r="B51" s="3" t="n">
        <v>15089000</v>
      </c>
      <c r="C51" s="3" t="n">
        <v>-31728000</v>
      </c>
      <c r="D51" s="3" t="n">
        <v>-10615000</v>
      </c>
      <c r="E51" s="3" t="n">
        <v>-60482000</v>
      </c>
      <c r="F51" s="3" t="n">
        <v>-35437000</v>
      </c>
    </row>
    <row r="52">
      <c r="A52" t="inlineStr">
        <is>
          <t>Deferred Income Tax</t>
        </is>
      </c>
      <c r="B52" s="3" t="n">
        <v>15089000</v>
      </c>
      <c r="C52" s="3" t="n">
        <v>-31728000</v>
      </c>
      <c r="D52" s="3" t="n">
        <v>-10615000</v>
      </c>
      <c r="E52" s="3" t="n">
        <v>-60482000</v>
      </c>
      <c r="F52" s="3" t="n">
        <v>-35437000</v>
      </c>
    </row>
    <row r="53">
      <c r="A53" t="inlineStr">
        <is>
          <t>Depreciation Amortization Depletion</t>
        </is>
      </c>
      <c r="B53" s="3" t="n">
        <v>99088000</v>
      </c>
      <c r="C53" s="3" t="n">
        <v>99268000</v>
      </c>
      <c r="D53" s="3" t="n">
        <v>97016000</v>
      </c>
      <c r="E53" s="3" t="n">
        <v>96252000</v>
      </c>
      <c r="F53" s="3" t="n">
        <v>98091000</v>
      </c>
    </row>
    <row r="54">
      <c r="A54" t="inlineStr">
        <is>
          <t>Depreciation And Amortization</t>
        </is>
      </c>
      <c r="B54" s="3" t="n">
        <v>99088000</v>
      </c>
      <c r="C54" s="3" t="n">
        <v>99268000</v>
      </c>
      <c r="D54" s="3" t="n">
        <v>97016000</v>
      </c>
      <c r="E54" s="3" t="n">
        <v>96252000</v>
      </c>
      <c r="F54" s="3" t="n">
        <v>98091000</v>
      </c>
    </row>
    <row r="55">
      <c r="A55" t="inlineStr">
        <is>
          <t>Operating Gains Losses</t>
        </is>
      </c>
      <c r="B55" s="3" t="n">
        <v>-14683000</v>
      </c>
      <c r="C55" s="3" t="n">
        <v>2304000</v>
      </c>
      <c r="D55" s="3" t="n">
        <v>12078000</v>
      </c>
      <c r="E55" s="3" t="n">
        <v>-8648000</v>
      </c>
      <c r="F55" s="3" t="n">
        <v>4558000</v>
      </c>
    </row>
    <row r="56">
      <c r="A56" t="inlineStr">
        <is>
          <t>Net Foreign Currency Exchange Gain Loss</t>
        </is>
      </c>
      <c r="B56" s="3" t="n">
        <v>-14000000</v>
      </c>
      <c r="C56" s="3" t="n">
        <v>2304000</v>
      </c>
      <c r="D56" s="3" t="n">
        <v>12078000</v>
      </c>
      <c r="E56" s="3" t="n">
        <v>-8648000</v>
      </c>
      <c r="F56" s="3" t="n">
        <v>4558000</v>
      </c>
    </row>
    <row r="57">
      <c r="A57" t="inlineStr">
        <is>
          <t>Net Income From Continuing Operations</t>
        </is>
      </c>
      <c r="B57" s="3" t="n">
        <v>1200990000</v>
      </c>
      <c r="C57" s="3" t="n">
        <v>1145682000</v>
      </c>
      <c r="D57" s="3" t="n">
        <v>1121040000</v>
      </c>
      <c r="E57" s="3" t="n">
        <v>1202849000</v>
      </c>
      <c r="F57" s="3" t="n">
        <v>1088416000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—</t>
        </is>
      </c>
      <c r="B2" t="inlineStr">
        <is>
          <t>no gaps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2026-06-20T19:57:00Z</dcterms:created>
  <dcterms:modified xsi:type="dcterms:W3CDTF">2026-06-20T19:57:01Z</dcterms:modified>
</cp:coreProperties>
</file>