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come stmt (annual)" sheetId="2" state="visible" r:id="rId2"/>
    <sheet xmlns:r="http://schemas.openxmlformats.org/officeDocument/2006/relationships" name="Income stmt (quarterly)" sheetId="3" state="visible" r:id="rId3"/>
    <sheet xmlns:r="http://schemas.openxmlformats.org/officeDocument/2006/relationships" name="Balance sheet (annual)" sheetId="4" state="visible" r:id="rId4"/>
    <sheet xmlns:r="http://schemas.openxmlformats.org/officeDocument/2006/relationships" name="Cash flow (annual)" sheetId="5" state="visible" r:id="rId5"/>
    <sheet xmlns:r="http://schemas.openxmlformats.org/officeDocument/2006/relationships" name="Cash flow (quarterly)" sheetId="6" state="visible" r:id="rId6"/>
    <sheet xmlns:r="http://schemas.openxmlformats.org/officeDocument/2006/relationships" name="Data flag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0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36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Source / formula</t>
        </is>
      </c>
    </row>
    <row r="2">
      <c r="A2" t="inlineStr">
        <is>
          <t>Ticker</t>
        </is>
      </c>
      <c r="B2" t="inlineStr">
        <is>
          <t>KEYS</t>
        </is>
      </c>
      <c r="C2" t="inlineStr">
        <is>
          <t>input</t>
        </is>
      </c>
    </row>
    <row r="3">
      <c r="A3" t="inlineStr">
        <is>
          <t>Name</t>
        </is>
      </c>
      <c r="B3" t="inlineStr">
        <is>
          <t>Keysight Technologies, Inc.</t>
        </is>
      </c>
      <c r="C3" t="inlineStr">
        <is>
          <t>yfinance info.longName</t>
        </is>
      </c>
    </row>
    <row r="4">
      <c r="A4" t="inlineStr">
        <is>
          <t>Sector</t>
        </is>
      </c>
      <c r="B4" t="inlineStr">
        <is>
          <t>Technology</t>
        </is>
      </c>
      <c r="C4" t="inlineStr">
        <is>
          <t>yfinance info.sector</t>
        </is>
      </c>
    </row>
    <row r="5">
      <c r="A5" t="inlineStr">
        <is>
          <t>Industry</t>
        </is>
      </c>
      <c r="B5" t="inlineStr">
        <is>
          <t>Scientific &amp; Technical Instruments</t>
        </is>
      </c>
      <c r="C5" t="inlineStr">
        <is>
          <t>yfinance info.industry</t>
        </is>
      </c>
    </row>
    <row r="6">
      <c r="A6" t="inlineStr">
        <is>
          <t>Market cap ($)</t>
        </is>
      </c>
      <c r="B6" t="n">
        <v>59171131392</v>
      </c>
      <c r="C6" t="inlineStr">
        <is>
          <t>yfinance info.marketCap</t>
        </is>
      </c>
    </row>
    <row r="7">
      <c r="A7" t="inlineStr">
        <is>
          <t>Enterprise value ($)</t>
        </is>
      </c>
      <c r="B7" t="n">
        <v>59608760320</v>
      </c>
      <c r="C7" t="inlineStr">
        <is>
          <t>yfinance info.enterpriseValue</t>
        </is>
      </c>
    </row>
    <row r="8">
      <c r="A8" t="inlineStr">
        <is>
          <t>Trailing P/E</t>
        </is>
      </c>
      <c r="B8" t="n">
        <v>55.896774</v>
      </c>
      <c r="C8" t="inlineStr">
        <is>
          <t>yfinance info.trailingPE</t>
        </is>
      </c>
    </row>
    <row r="9">
      <c r="A9" t="inlineStr">
        <is>
          <t>Forward P/E</t>
        </is>
      </c>
      <c r="B9" t="n">
        <v>29.229881</v>
      </c>
      <c r="C9" t="inlineStr">
        <is>
          <t>yfinance info.forwardPE</t>
        </is>
      </c>
    </row>
    <row r="10">
      <c r="A10" t="inlineStr">
        <is>
          <t>P/S (TTM)</t>
        </is>
      </c>
      <c r="B10" t="n">
        <v>9.719305</v>
      </c>
      <c r="C10" t="inlineStr">
        <is>
          <t>yfinance</t>
        </is>
      </c>
    </row>
    <row r="11">
      <c r="A11" t="inlineStr">
        <is>
          <t>Gross margin (TTM)</t>
        </is>
      </c>
      <c r="B11" t="n">
        <v>0.63666</v>
      </c>
      <c r="C11" t="inlineStr">
        <is>
          <t>yfinance info.grossMargins</t>
        </is>
      </c>
    </row>
    <row r="12">
      <c r="A12" t="inlineStr">
        <is>
          <t>Operating margin (TTM)</t>
        </is>
      </c>
      <c r="B12" t="n">
        <v>0.18055001</v>
      </c>
      <c r="C12" t="inlineStr">
        <is>
          <t>yfinance info.operatingMargins</t>
        </is>
      </c>
    </row>
    <row r="13">
      <c r="A13" t="inlineStr">
        <is>
          <t>Net margin (TTM)</t>
        </is>
      </c>
      <c r="B13" t="n">
        <v>0.17312999</v>
      </c>
      <c r="C13" t="inlineStr">
        <is>
          <t>yfinance info.profitMargins</t>
        </is>
      </c>
    </row>
    <row r="14">
      <c r="A14" t="inlineStr">
        <is>
          <t>ROE</t>
        </is>
      </c>
      <c r="B14" t="n">
        <v>0.18174</v>
      </c>
      <c r="C14" t="inlineStr">
        <is>
          <t>yfinance info.returnOnEquity</t>
        </is>
      </c>
    </row>
    <row r="15">
      <c r="A15" t="inlineStr">
        <is>
          <t>Revenue growth (YoY)</t>
        </is>
      </c>
      <c r="B15" t="n">
        <v>0.315</v>
      </c>
      <c r="C15" t="inlineStr">
        <is>
          <t>yfinance info.revenueGrowth</t>
        </is>
      </c>
    </row>
    <row r="16">
      <c r="A16" t="inlineStr">
        <is>
          <t>Total cash ($)</t>
        </is>
      </c>
      <c r="B16" t="n">
        <v>2412000000</v>
      </c>
      <c r="C16" t="inlineStr">
        <is>
          <t>yfinance info.totalCash</t>
        </is>
      </c>
    </row>
    <row r="17">
      <c r="A17" t="inlineStr">
        <is>
          <t>Total debt ($)</t>
        </is>
      </c>
      <c r="B17" t="n">
        <v>2759000064</v>
      </c>
      <c r="C17" t="inlineStr">
        <is>
          <t>yfinance info.totalDebt</t>
        </is>
      </c>
    </row>
    <row r="18">
      <c r="A18" t="inlineStr">
        <is>
          <t>FCF (TTM, $)</t>
        </is>
      </c>
      <c r="B18" t="n">
        <v>1143250048</v>
      </c>
      <c r="C18" t="inlineStr">
        <is>
          <t>yfinance info.freeCashflow</t>
        </is>
      </c>
    </row>
    <row r="19">
      <c r="A19" t="inlineStr">
        <is>
          <t>Shares outstanding</t>
        </is>
      </c>
      <c r="B19" t="n">
        <v>170738495</v>
      </c>
      <c r="C19" t="inlineStr">
        <is>
          <t>yfinance info.sharesOutstanding</t>
        </is>
      </c>
    </row>
    <row r="20">
      <c r="A20" t="inlineStr">
        <is>
          <t>Current price ($)</t>
        </is>
      </c>
      <c r="B20" t="n">
        <v>346.56</v>
      </c>
      <c r="C20" t="inlineStr">
        <is>
          <t>yfinance info.currentPrice</t>
        </is>
      </c>
    </row>
    <row r="21">
      <c r="A21" t="inlineStr">
        <is>
          <t>FCF yield</t>
        </is>
      </c>
      <c r="B21" s="2">
        <f>IFERROR(B18/B6,"")</f>
        <v/>
      </c>
      <c r="C21">
        <f>B18/B6</f>
        <v/>
      </c>
    </row>
    <row r="22">
      <c r="A22" t="inlineStr">
        <is>
          <t>FCF / EV</t>
        </is>
      </c>
      <c r="B22" s="2">
        <f>IFERROR(B18/B7,"")</f>
        <v/>
      </c>
      <c r="C22">
        <f>B18/B7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Line item</t>
        </is>
      </c>
      <c r="B1" s="1" t="inlineStr">
        <is>
          <t>2025-10-31</t>
        </is>
      </c>
      <c r="C1" s="1" t="inlineStr">
        <is>
          <t>2024-10-31</t>
        </is>
      </c>
      <c r="D1" s="1" t="inlineStr">
        <is>
          <t>2023-10-31</t>
        </is>
      </c>
      <c r="E1" s="1" t="inlineStr">
        <is>
          <t>2022-10-31</t>
        </is>
      </c>
    </row>
    <row r="2">
      <c r="A2" t="inlineStr">
        <is>
          <t>Tax Effect Of Unusual Items</t>
        </is>
      </c>
      <c r="B2" s="3" t="n">
        <v>0</v>
      </c>
      <c r="C2" s="3" t="n">
        <v>0</v>
      </c>
      <c r="D2" s="3" t="n">
        <v>0</v>
      </c>
      <c r="E2" s="3" t="n">
        <v>0</v>
      </c>
    </row>
    <row r="3">
      <c r="A3" t="inlineStr">
        <is>
          <t>Tax Rate For Calcs</t>
        </is>
      </c>
      <c r="B3" s="3" t="n">
        <v>0.2</v>
      </c>
      <c r="C3" s="3" t="n">
        <v>0.29</v>
      </c>
      <c r="D3" s="3" t="n">
        <v>0.22</v>
      </c>
      <c r="E3" s="3" t="n">
        <v>0.13</v>
      </c>
    </row>
    <row r="4">
      <c r="A4" t="inlineStr">
        <is>
          <t>Normalized EBITDA</t>
        </is>
      </c>
      <c r="B4" s="3" t="n">
        <v>1454000000</v>
      </c>
      <c r="C4" s="3" t="n">
        <v>1219000000</v>
      </c>
      <c r="D4" s="3" t="n">
        <v>1647000000</v>
      </c>
      <c r="E4" s="3" t="n">
        <v>1587000000</v>
      </c>
    </row>
    <row r="5">
      <c r="A5" t="inlineStr">
        <is>
          <t>Net Income From Continuing Operation Net Minority Interest</t>
        </is>
      </c>
      <c r="B5" s="3" t="n">
        <v>869000000</v>
      </c>
      <c r="C5" s="3" t="n">
        <v>614000000</v>
      </c>
      <c r="D5" s="3" t="n">
        <v>1057000000</v>
      </c>
      <c r="E5" s="3" t="n">
        <v>1124000000</v>
      </c>
    </row>
    <row r="6">
      <c r="A6" t="inlineStr">
        <is>
          <t>Reconciled Depreciation</t>
        </is>
      </c>
      <c r="B6" s="3" t="n">
        <v>276000000</v>
      </c>
      <c r="C6" s="3" t="n">
        <v>270000000</v>
      </c>
      <c r="D6" s="3" t="n">
        <v>212000000</v>
      </c>
      <c r="E6" s="3" t="n">
        <v>223000000</v>
      </c>
    </row>
    <row r="7">
      <c r="A7" t="inlineStr">
        <is>
          <t>Reconciled Cost Of Revenue</t>
        </is>
      </c>
      <c r="B7" s="3" t="n">
        <v>2038000000</v>
      </c>
      <c r="C7" s="3" t="n">
        <v>1846000000</v>
      </c>
      <c r="D7" s="3" t="n">
        <v>1932000000</v>
      </c>
      <c r="E7" s="3" t="n">
        <v>1970000000</v>
      </c>
    </row>
    <row r="8">
      <c r="A8" t="inlineStr">
        <is>
          <t>EBITDA</t>
        </is>
      </c>
      <c r="B8" s="3" t="n">
        <v>1454000000</v>
      </c>
      <c r="C8" s="3" t="n">
        <v>1219000000</v>
      </c>
      <c r="D8" s="3" t="n">
        <v>1647000000</v>
      </c>
      <c r="E8" s="3" t="n">
        <v>1587000000</v>
      </c>
    </row>
    <row r="9">
      <c r="A9" t="inlineStr">
        <is>
          <t>EBIT</t>
        </is>
      </c>
      <c r="B9" s="3" t="n">
        <v>1178000000</v>
      </c>
      <c r="C9" s="3" t="n">
        <v>949000000</v>
      </c>
      <c r="D9" s="3" t="n">
        <v>1435000000</v>
      </c>
      <c r="E9" s="3" t="n">
        <v>1364000000</v>
      </c>
    </row>
    <row r="10">
      <c r="A10" t="inlineStr">
        <is>
          <t>Net Interest Income</t>
        </is>
      </c>
      <c r="B10" s="3" t="n">
        <v>6000000</v>
      </c>
      <c r="C10" s="3" t="n">
        <v>-3000000</v>
      </c>
      <c r="D10" s="3" t="n">
        <v>24000000</v>
      </c>
      <c r="E10" s="3" t="n">
        <v>-63000000</v>
      </c>
    </row>
    <row r="11">
      <c r="A11" t="inlineStr">
        <is>
          <t>Interest Expense</t>
        </is>
      </c>
      <c r="B11" s="3" t="n">
        <v>96000000</v>
      </c>
      <c r="C11" s="3" t="n">
        <v>84000000</v>
      </c>
      <c r="D11" s="3" t="n">
        <v>78000000</v>
      </c>
      <c r="E11" s="3" t="n">
        <v>79000000</v>
      </c>
    </row>
    <row r="12">
      <c r="A12" t="inlineStr">
        <is>
          <t>Interest Income</t>
        </is>
      </c>
      <c r="B12" s="3" t="n">
        <v>102000000</v>
      </c>
      <c r="C12" s="3" t="n">
        <v>81000000</v>
      </c>
      <c r="D12" s="3" t="n">
        <v>102000000</v>
      </c>
      <c r="E12" s="3" t="n">
        <v>16000000</v>
      </c>
    </row>
    <row r="13">
      <c r="A13" t="inlineStr">
        <is>
          <t>Normalized Income</t>
        </is>
      </c>
      <c r="B13" s="3" t="n">
        <v>869000000</v>
      </c>
      <c r="C13" s="3" t="n">
        <v>614000000</v>
      </c>
      <c r="D13" s="3" t="n">
        <v>1057000000</v>
      </c>
      <c r="E13" s="3" t="n">
        <v>1124000000</v>
      </c>
    </row>
    <row r="14">
      <c r="A14" t="inlineStr">
        <is>
          <t>Net Income From Continuing And Discontinued Operation</t>
        </is>
      </c>
      <c r="B14" s="3" t="n">
        <v>850000000</v>
      </c>
      <c r="C14" s="3" t="n">
        <v>614000000</v>
      </c>
      <c r="D14" s="3" t="n">
        <v>1057000000</v>
      </c>
      <c r="E14" s="3" t="n">
        <v>1124000000</v>
      </c>
    </row>
    <row r="15">
      <c r="A15" t="inlineStr">
        <is>
          <t>Total Expenses</t>
        </is>
      </c>
      <c r="B15" s="3" t="n">
        <v>4499000000</v>
      </c>
      <c r="C15" s="3" t="n">
        <v>4146000000</v>
      </c>
      <c r="D15" s="3" t="n">
        <v>4106000000</v>
      </c>
      <c r="E15" s="3" t="n">
        <v>4086000000</v>
      </c>
    </row>
    <row r="16">
      <c r="A16" t="inlineStr">
        <is>
          <t>Total Operating Income As Reported</t>
        </is>
      </c>
      <c r="B16" s="3" t="n">
        <v>876000000</v>
      </c>
      <c r="C16" s="3" t="n">
        <v>833000000</v>
      </c>
      <c r="D16" s="3" t="n">
        <v>1358000000</v>
      </c>
      <c r="E16" s="3" t="n">
        <v>1334000000</v>
      </c>
    </row>
    <row r="17">
      <c r="A17" t="inlineStr">
        <is>
          <t>Diluted Average Shares</t>
        </is>
      </c>
      <c r="B17" s="3" t="n">
        <v>173000000</v>
      </c>
      <c r="C17" s="3" t="n">
        <v>175000000</v>
      </c>
      <c r="D17" s="3" t="n">
        <v>179000000</v>
      </c>
      <c r="E17" s="3" t="n">
        <v>182000000</v>
      </c>
    </row>
    <row r="18">
      <c r="A18" t="inlineStr">
        <is>
          <t>Basic Average Shares</t>
        </is>
      </c>
      <c r="B18" s="3" t="n">
        <v>172000000</v>
      </c>
      <c r="C18" s="3" t="n">
        <v>174000000</v>
      </c>
      <c r="D18" s="3" t="n">
        <v>178000000</v>
      </c>
      <c r="E18" s="3" t="n">
        <v>180000000</v>
      </c>
    </row>
    <row r="19">
      <c r="A19" t="inlineStr">
        <is>
          <t>Diluted EPS</t>
        </is>
      </c>
      <c r="B19" s="3" t="n">
        <v>4.89</v>
      </c>
      <c r="C19" s="3" t="n">
        <v>3.51</v>
      </c>
      <c r="D19" s="3" t="n">
        <v>5.91</v>
      </c>
      <c r="E19" s="3" t="n">
        <v>6.18</v>
      </c>
    </row>
    <row r="20">
      <c r="A20" t="inlineStr">
        <is>
          <t>Basic EPS</t>
        </is>
      </c>
      <c r="B20" s="3" t="n">
        <v>4.91</v>
      </c>
      <c r="C20" s="3" t="n">
        <v>3.53</v>
      </c>
      <c r="D20" s="3" t="n">
        <v>5.95</v>
      </c>
      <c r="E20" s="3" t="n">
        <v>6.23</v>
      </c>
    </row>
    <row r="21">
      <c r="A21" t="inlineStr">
        <is>
          <t>Diluted NI Availto Com Stockholders</t>
        </is>
      </c>
      <c r="B21" s="3" t="n">
        <v>850000000</v>
      </c>
      <c r="C21" s="3" t="n">
        <v>614000000</v>
      </c>
      <c r="D21" s="3" t="n">
        <v>1057000000</v>
      </c>
      <c r="E21" s="3" t="n">
        <v>1124000000</v>
      </c>
    </row>
    <row r="22">
      <c r="A22" t="inlineStr">
        <is>
          <t>Net Income Common Stockholders</t>
        </is>
      </c>
      <c r="B22" s="3" t="n">
        <v>850000000</v>
      </c>
      <c r="C22" s="3" t="n">
        <v>614000000</v>
      </c>
      <c r="D22" s="3" t="n">
        <v>1057000000</v>
      </c>
      <c r="E22" s="3" t="n">
        <v>1124000000</v>
      </c>
    </row>
    <row r="23">
      <c r="A23" t="inlineStr">
        <is>
          <t>Net Income</t>
        </is>
      </c>
      <c r="B23" s="3" t="n">
        <v>850000000</v>
      </c>
      <c r="C23" s="3" t="n">
        <v>614000000</v>
      </c>
      <c r="D23" s="3" t="n">
        <v>1057000000</v>
      </c>
      <c r="E23" s="3" t="n">
        <v>1124000000</v>
      </c>
    </row>
    <row r="24">
      <c r="A24" t="inlineStr">
        <is>
          <t>Net Income Including Noncontrolling Interests</t>
        </is>
      </c>
      <c r="B24" s="3" t="n">
        <v>850000000</v>
      </c>
      <c r="C24" s="3" t="n">
        <v>614000000</v>
      </c>
      <c r="D24" s="3" t="n">
        <v>1057000000</v>
      </c>
      <c r="E24" s="3" t="n">
        <v>1124000000</v>
      </c>
    </row>
    <row r="25">
      <c r="A25" t="inlineStr">
        <is>
          <t>Net Income Discontinuous Operations</t>
        </is>
      </c>
      <c r="B25" s="3" t="n">
        <v>-19000000</v>
      </c>
      <c r="C25" s="3" t="n">
        <v>0</v>
      </c>
      <c r="D25" s="3" t="n">
        <v>0</v>
      </c>
      <c r="E25" s="3" t="n"/>
    </row>
    <row r="26">
      <c r="A26" t="inlineStr">
        <is>
          <t>Net Income Continuous Operations</t>
        </is>
      </c>
      <c r="B26" s="3" t="n">
        <v>869000000</v>
      </c>
      <c r="C26" s="3" t="n">
        <v>614000000</v>
      </c>
      <c r="D26" s="3" t="n">
        <v>1057000000</v>
      </c>
      <c r="E26" s="3" t="n">
        <v>1124000000</v>
      </c>
    </row>
    <row r="27">
      <c r="A27" t="inlineStr">
        <is>
          <t>Tax Provision</t>
        </is>
      </c>
      <c r="B27" s="3" t="n">
        <v>213000000</v>
      </c>
      <c r="C27" s="3" t="n">
        <v>251000000</v>
      </c>
      <c r="D27" s="3" t="n">
        <v>300000000</v>
      </c>
      <c r="E27" s="3" t="n">
        <v>161000000</v>
      </c>
    </row>
    <row r="28">
      <c r="A28" t="inlineStr">
        <is>
          <t>Pretax Income</t>
        </is>
      </c>
      <c r="B28" s="3" t="n">
        <v>1082000000</v>
      </c>
      <c r="C28" s="3" t="n">
        <v>865000000</v>
      </c>
      <c r="D28" s="3" t="n">
        <v>1357000000</v>
      </c>
      <c r="E28" s="3" t="n">
        <v>1285000000</v>
      </c>
    </row>
    <row r="29">
      <c r="A29" t="inlineStr">
        <is>
          <t>Other Income Expense</t>
        </is>
      </c>
      <c r="B29" s="3" t="n">
        <v>200000000</v>
      </c>
      <c r="C29" s="3" t="n">
        <v>35000000</v>
      </c>
      <c r="D29" s="3" t="n">
        <v>-25000000</v>
      </c>
      <c r="E29" s="3" t="n">
        <v>14000000</v>
      </c>
    </row>
    <row r="30">
      <c r="A30" t="inlineStr">
        <is>
          <t>Other Non Operating Income Expenses</t>
        </is>
      </c>
      <c r="B30" s="3" t="n">
        <v>200000000</v>
      </c>
      <c r="C30" s="3" t="n">
        <v>35000000</v>
      </c>
      <c r="D30" s="3" t="n">
        <v>-25000000</v>
      </c>
      <c r="E30" s="3" t="n">
        <v>14000000</v>
      </c>
    </row>
    <row r="31">
      <c r="A31" t="inlineStr">
        <is>
          <t>Net Non Operating Interest Income Expense</t>
        </is>
      </c>
      <c r="B31" s="3" t="n">
        <v>6000000</v>
      </c>
      <c r="C31" s="3" t="n">
        <v>-3000000</v>
      </c>
      <c r="D31" s="3" t="n">
        <v>24000000</v>
      </c>
      <c r="E31" s="3" t="n">
        <v>-63000000</v>
      </c>
    </row>
    <row r="32">
      <c r="A32" t="inlineStr">
        <is>
          <t>Interest Expense Non Operating</t>
        </is>
      </c>
      <c r="B32" s="3" t="n">
        <v>96000000</v>
      </c>
      <c r="C32" s="3" t="n">
        <v>84000000</v>
      </c>
      <c r="D32" s="3" t="n">
        <v>78000000</v>
      </c>
      <c r="E32" s="3" t="n">
        <v>79000000</v>
      </c>
    </row>
    <row r="33">
      <c r="A33" t="inlineStr">
        <is>
          <t>Interest Income Non Operating</t>
        </is>
      </c>
      <c r="B33" s="3" t="n">
        <v>102000000</v>
      </c>
      <c r="C33" s="3" t="n">
        <v>81000000</v>
      </c>
      <c r="D33" s="3" t="n">
        <v>102000000</v>
      </c>
      <c r="E33" s="3" t="n">
        <v>16000000</v>
      </c>
    </row>
    <row r="34">
      <c r="A34" t="inlineStr">
        <is>
          <t>Operating Income</t>
        </is>
      </c>
      <c r="B34" s="3" t="n">
        <v>876000000</v>
      </c>
      <c r="C34" s="3" t="n">
        <v>833000000</v>
      </c>
      <c r="D34" s="3" t="n">
        <v>1358000000</v>
      </c>
      <c r="E34" s="3" t="n">
        <v>1334000000</v>
      </c>
    </row>
    <row r="35">
      <c r="A35" t="inlineStr">
        <is>
          <t>Operating Expense</t>
        </is>
      </c>
      <c r="B35" s="3" t="n">
        <v>2461000000</v>
      </c>
      <c r="C35" s="3" t="n">
        <v>2300000000</v>
      </c>
      <c r="D35" s="3" t="n">
        <v>2174000000</v>
      </c>
      <c r="E35" s="3" t="n">
        <v>2116000000</v>
      </c>
    </row>
    <row r="36">
      <c r="A36" t="inlineStr">
        <is>
          <t>Other Operating Expenses</t>
        </is>
      </c>
      <c r="B36" s="3" t="n">
        <v>-20000000</v>
      </c>
      <c r="C36" s="3" t="n">
        <v>-14000000</v>
      </c>
      <c r="D36" s="3" t="n">
        <v>-15000000</v>
      </c>
      <c r="E36" s="3" t="n">
        <v>-8000000</v>
      </c>
    </row>
    <row r="37">
      <c r="A37" t="inlineStr">
        <is>
          <t>Research And Development</t>
        </is>
      </c>
      <c r="B37" s="3" t="n">
        <v>1007000000</v>
      </c>
      <c r="C37" s="3" t="n">
        <v>919000000</v>
      </c>
      <c r="D37" s="3" t="n">
        <v>882000000</v>
      </c>
      <c r="E37" s="3" t="n">
        <v>841000000</v>
      </c>
    </row>
    <row r="38">
      <c r="A38" t="inlineStr">
        <is>
          <t>Selling General And Administration</t>
        </is>
      </c>
      <c r="B38" s="3" t="n">
        <v>1474000000</v>
      </c>
      <c r="C38" s="3" t="n">
        <v>1395000000</v>
      </c>
      <c r="D38" s="3" t="n">
        <v>1307000000</v>
      </c>
      <c r="E38" s="3" t="n">
        <v>1283000000</v>
      </c>
    </row>
    <row r="39">
      <c r="A39" t="inlineStr">
        <is>
          <t>Gross Profit</t>
        </is>
      </c>
      <c r="B39" s="3" t="n">
        <v>3337000000</v>
      </c>
      <c r="C39" s="3" t="n">
        <v>3133000000</v>
      </c>
      <c r="D39" s="3" t="n">
        <v>3532000000</v>
      </c>
      <c r="E39" s="3" t="n">
        <v>3450000000</v>
      </c>
    </row>
    <row r="40">
      <c r="A40" t="inlineStr">
        <is>
          <t>Cost Of Revenue</t>
        </is>
      </c>
      <c r="B40" s="3" t="n">
        <v>2038000000</v>
      </c>
      <c r="C40" s="3" t="n">
        <v>1846000000</v>
      </c>
      <c r="D40" s="3" t="n">
        <v>1932000000</v>
      </c>
      <c r="E40" s="3" t="n">
        <v>1970000000</v>
      </c>
    </row>
    <row r="41">
      <c r="A41" t="inlineStr">
        <is>
          <t>Total Revenue</t>
        </is>
      </c>
      <c r="B41" s="3" t="n">
        <v>5375000000</v>
      </c>
      <c r="C41" s="3" t="n">
        <v>4979000000</v>
      </c>
      <c r="D41" s="3" t="n">
        <v>5464000000</v>
      </c>
      <c r="E41" s="3" t="n">
        <v>5420000000</v>
      </c>
    </row>
    <row r="42">
      <c r="A42" t="inlineStr">
        <is>
          <t>Operating Revenue</t>
        </is>
      </c>
      <c r="B42" s="3" t="n">
        <v>5375000000</v>
      </c>
      <c r="C42" s="3" t="n">
        <v>4979000000</v>
      </c>
      <c r="D42" s="3" t="n">
        <v>5464000000</v>
      </c>
      <c r="E42" s="3" t="n">
        <v>5420000000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Line item</t>
        </is>
      </c>
      <c r="B1" s="1" t="inlineStr">
        <is>
          <t>2026-04-30</t>
        </is>
      </c>
      <c r="C1" s="1" t="inlineStr">
        <is>
          <t>2026-01-31</t>
        </is>
      </c>
      <c r="D1" s="1" t="inlineStr">
        <is>
          <t>2025-10-31</t>
        </is>
      </c>
      <c r="E1" s="1" t="inlineStr">
        <is>
          <t>2025-07-31</t>
        </is>
      </c>
      <c r="F1" s="1" t="inlineStr">
        <is>
          <t>2025-04-30</t>
        </is>
      </c>
      <c r="G1" s="1" t="inlineStr">
        <is>
          <t>2025-01-31</t>
        </is>
      </c>
    </row>
    <row r="2">
      <c r="A2" t="inlineStr">
        <is>
          <t>Tax Effect Of Unusual Items</t>
        </is>
      </c>
      <c r="B2" s="3" t="n"/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</row>
    <row r="3">
      <c r="A3" t="inlineStr">
        <is>
          <t>Tax Rate For Calcs</t>
        </is>
      </c>
      <c r="B3" s="3" t="n"/>
      <c r="C3" s="3" t="n">
        <v>0.4</v>
      </c>
      <c r="D3" s="3" t="n">
        <v>0.217391</v>
      </c>
      <c r="E3" s="3" t="n">
        <v>0.208</v>
      </c>
      <c r="F3" s="3" t="n">
        <v>0.195</v>
      </c>
      <c r="G3" s="3" t="n">
        <v>0.15</v>
      </c>
    </row>
    <row r="4">
      <c r="A4" t="inlineStr">
        <is>
          <t>Normalized EBITDA</t>
        </is>
      </c>
      <c r="B4" s="3" t="n"/>
      <c r="C4" s="3" t="n">
        <v>332000000</v>
      </c>
      <c r="D4" s="3" t="n">
        <v>425000000</v>
      </c>
      <c r="E4" s="3" t="n">
        <v>336000000</v>
      </c>
      <c r="F4" s="3" t="n">
        <v>408000000</v>
      </c>
      <c r="G4" s="3" t="n">
        <v>285000000</v>
      </c>
    </row>
    <row r="5">
      <c r="A5" t="inlineStr">
        <is>
          <t>Net Income From Continuing Operation Net Minority Interest</t>
        </is>
      </c>
      <c r="B5" s="3" t="n"/>
      <c r="C5" s="3" t="n">
        <v>281000000</v>
      </c>
      <c r="D5" s="3" t="n">
        <v>252000000</v>
      </c>
      <c r="E5" s="3" t="n">
        <v>191000000</v>
      </c>
      <c r="F5" s="3" t="n">
        <v>257000000</v>
      </c>
      <c r="G5" s="3" t="n">
        <v>169000000</v>
      </c>
    </row>
    <row r="6">
      <c r="A6" t="inlineStr">
        <is>
          <t>Reconciled Depreciation</t>
        </is>
      </c>
      <c r="B6" s="3" t="n"/>
      <c r="C6" s="3" t="n">
        <v>105000000</v>
      </c>
      <c r="D6" s="3" t="n">
        <v>75000000</v>
      </c>
      <c r="E6" s="3" t="n">
        <v>67000000</v>
      </c>
      <c r="F6" s="3" t="n">
        <v>68000000</v>
      </c>
      <c r="G6" s="3" t="n">
        <v>66000000</v>
      </c>
    </row>
    <row r="7">
      <c r="A7" t="inlineStr">
        <is>
          <t>Reconciled Cost Of Revenue</t>
        </is>
      </c>
      <c r="B7" s="3" t="n"/>
      <c r="C7" s="3" t="n">
        <v>605000000</v>
      </c>
      <c r="D7" s="3" t="n">
        <v>550000000</v>
      </c>
      <c r="E7" s="3" t="n">
        <v>518000000</v>
      </c>
      <c r="F7" s="3" t="n">
        <v>492000000</v>
      </c>
      <c r="G7" s="3" t="n">
        <v>478000000</v>
      </c>
    </row>
    <row r="8">
      <c r="A8" t="inlineStr">
        <is>
          <t>EBITDA</t>
        </is>
      </c>
      <c r="B8" s="3" t="n"/>
      <c r="C8" s="3" t="n">
        <v>332000000</v>
      </c>
      <c r="D8" s="3" t="n">
        <v>425000000</v>
      </c>
      <c r="E8" s="3" t="n">
        <v>336000000</v>
      </c>
      <c r="F8" s="3" t="n">
        <v>408000000</v>
      </c>
      <c r="G8" s="3" t="n">
        <v>285000000</v>
      </c>
    </row>
    <row r="9">
      <c r="A9" t="inlineStr">
        <is>
          <t>EBIT</t>
        </is>
      </c>
      <c r="B9" s="3" t="n"/>
      <c r="C9" s="3" t="n">
        <v>227000000</v>
      </c>
      <c r="D9" s="3" t="n">
        <v>350000000</v>
      </c>
      <c r="E9" s="3" t="n">
        <v>269000000</v>
      </c>
      <c r="F9" s="3" t="n">
        <v>340000000</v>
      </c>
      <c r="G9" s="3" t="n">
        <v>219000000</v>
      </c>
    </row>
    <row r="10">
      <c r="A10" t="inlineStr">
        <is>
          <t>Net Interest Income</t>
        </is>
      </c>
      <c r="B10" s="3" t="n"/>
      <c r="C10" s="3" t="n">
        <v>-13000000</v>
      </c>
      <c r="D10" s="3" t="n">
        <v>3000000</v>
      </c>
      <c r="E10" s="3" t="n">
        <v>3000000</v>
      </c>
      <c r="F10" s="3" t="n">
        <v>1000000</v>
      </c>
      <c r="G10" s="3" t="n">
        <v>-1000000</v>
      </c>
    </row>
    <row r="11">
      <c r="A11" t="inlineStr">
        <is>
          <t>Interest Expense</t>
        </is>
      </c>
      <c r="B11" s="3" t="n"/>
      <c r="C11" s="3" t="n">
        <v>29000000</v>
      </c>
      <c r="D11" s="3" t="n">
        <v>28000000</v>
      </c>
      <c r="E11" s="3" t="n">
        <v>28000000</v>
      </c>
      <c r="F11" s="3" t="n">
        <v>20000000</v>
      </c>
      <c r="G11" s="3" t="n">
        <v>20000000</v>
      </c>
    </row>
    <row r="12">
      <c r="A12" t="inlineStr">
        <is>
          <t>Interest Income</t>
        </is>
      </c>
      <c r="B12" s="3" t="n"/>
      <c r="C12" s="3" t="n">
        <v>16000000</v>
      </c>
      <c r="D12" s="3" t="n">
        <v>31000000</v>
      </c>
      <c r="E12" s="3" t="n">
        <v>31000000</v>
      </c>
      <c r="F12" s="3" t="n">
        <v>21000000</v>
      </c>
      <c r="G12" s="3" t="n">
        <v>19000000</v>
      </c>
    </row>
    <row r="13">
      <c r="A13" t="inlineStr">
        <is>
          <t>Normalized Income</t>
        </is>
      </c>
      <c r="B13" s="3" t="n"/>
      <c r="C13" s="3" t="n">
        <v>281000000</v>
      </c>
      <c r="D13" s="3" t="n">
        <v>252000000</v>
      </c>
      <c r="E13" s="3" t="n">
        <v>191000000</v>
      </c>
      <c r="F13" s="3" t="n">
        <v>257000000</v>
      </c>
      <c r="G13" s="3" t="n">
        <v>169000000</v>
      </c>
    </row>
    <row r="14">
      <c r="A14" t="inlineStr">
        <is>
          <t>Net Income From Continuing And Discontinued Operation</t>
        </is>
      </c>
      <c r="B14" s="3" t="n"/>
      <c r="C14" s="3" t="n">
        <v>281000000</v>
      </c>
      <c r="D14" s="3" t="n">
        <v>233000000</v>
      </c>
      <c r="E14" s="3" t="n">
        <v>191000000</v>
      </c>
      <c r="F14" s="3" t="n">
        <v>257000000</v>
      </c>
      <c r="G14" s="3" t="n">
        <v>169000000</v>
      </c>
    </row>
    <row r="15">
      <c r="A15" t="inlineStr">
        <is>
          <t>Total Expenses</t>
        </is>
      </c>
      <c r="B15" s="3" t="n"/>
      <c r="C15" s="3" t="n">
        <v>1352000000</v>
      </c>
      <c r="D15" s="3" t="n">
        <v>1202000000</v>
      </c>
      <c r="E15" s="3" t="n">
        <v>1118000000</v>
      </c>
      <c r="F15" s="3" t="n">
        <v>1099000000</v>
      </c>
      <c r="G15" s="3" t="n">
        <v>1080000000</v>
      </c>
    </row>
    <row r="16">
      <c r="A16" t="inlineStr">
        <is>
          <t>Total Operating Income As Reported</t>
        </is>
      </c>
      <c r="B16" s="3" t="n"/>
      <c r="C16" s="3" t="n">
        <v>248000000</v>
      </c>
      <c r="D16" s="3" t="n">
        <v>217000000</v>
      </c>
      <c r="E16" s="3" t="n">
        <v>234000000</v>
      </c>
      <c r="F16" s="3" t="n">
        <v>207000000</v>
      </c>
      <c r="G16" s="3" t="n">
        <v>218000000</v>
      </c>
    </row>
    <row r="17">
      <c r="A17" t="inlineStr">
        <is>
          <t>Diluted Average Shares</t>
        </is>
      </c>
      <c r="B17" s="3" t="n">
        <v>173000000</v>
      </c>
      <c r="C17" s="3" t="n">
        <v>173000000</v>
      </c>
      <c r="D17" s="3" t="n">
        <v>173000000</v>
      </c>
      <c r="E17" s="3" t="n">
        <v>173000000</v>
      </c>
      <c r="F17" s="3" t="n">
        <v>173000000</v>
      </c>
      <c r="G17" s="3" t="n"/>
    </row>
    <row r="18">
      <c r="A18" t="inlineStr">
        <is>
          <t>Basic Average Shares</t>
        </is>
      </c>
      <c r="B18" s="3" t="n">
        <v>171000000</v>
      </c>
      <c r="C18" s="3" t="n">
        <v>172000000</v>
      </c>
      <c r="D18" s="3" t="n">
        <v>172000000</v>
      </c>
      <c r="E18" s="3" t="n">
        <v>172000000</v>
      </c>
      <c r="F18" s="3" t="n">
        <v>172000000</v>
      </c>
      <c r="G18" s="3" t="n"/>
    </row>
    <row r="19">
      <c r="A19" t="inlineStr">
        <is>
          <t>Diluted EPS</t>
        </is>
      </c>
      <c r="B19" s="3" t="n">
        <v>2.02</v>
      </c>
      <c r="C19" s="3" t="n">
        <v>1.63</v>
      </c>
      <c r="D19" s="3" t="n">
        <v>1.33</v>
      </c>
      <c r="E19" s="3" t="n">
        <v>1.1</v>
      </c>
      <c r="F19" s="3" t="n">
        <v>1.49</v>
      </c>
      <c r="G19" s="3" t="n"/>
    </row>
    <row r="20">
      <c r="A20" t="inlineStr">
        <is>
          <t>Basic EPS</t>
        </is>
      </c>
      <c r="B20" s="3" t="n">
        <v>2.04</v>
      </c>
      <c r="C20" s="3" t="n">
        <v>1.64</v>
      </c>
      <c r="D20" s="3" t="n">
        <v>1.34</v>
      </c>
      <c r="E20" s="3" t="n">
        <v>1.11</v>
      </c>
      <c r="F20" s="3" t="n">
        <v>1.49</v>
      </c>
      <c r="G20" s="3" t="n"/>
    </row>
    <row r="21">
      <c r="A21" t="inlineStr">
        <is>
          <t>Diluted NI Availto Com Stockholders</t>
        </is>
      </c>
      <c r="B21" s="3" t="n"/>
      <c r="C21" s="3" t="n">
        <v>281000000</v>
      </c>
      <c r="D21" s="3" t="n">
        <v>233000000</v>
      </c>
      <c r="E21" s="3" t="n">
        <v>191000000</v>
      </c>
      <c r="F21" s="3" t="n">
        <v>257000000</v>
      </c>
      <c r="G21" s="3" t="n">
        <v>169000000</v>
      </c>
    </row>
    <row r="22">
      <c r="A22" t="inlineStr">
        <is>
          <t>Net Income Common Stockholders</t>
        </is>
      </c>
      <c r="B22" s="3" t="n"/>
      <c r="C22" s="3" t="n">
        <v>281000000</v>
      </c>
      <c r="D22" s="3" t="n">
        <v>233000000</v>
      </c>
      <c r="E22" s="3" t="n">
        <v>191000000</v>
      </c>
      <c r="F22" s="3" t="n">
        <v>257000000</v>
      </c>
      <c r="G22" s="3" t="n">
        <v>169000000</v>
      </c>
    </row>
    <row r="23">
      <c r="A23" t="inlineStr">
        <is>
          <t>Net Income</t>
        </is>
      </c>
      <c r="B23" s="3" t="n"/>
      <c r="C23" s="3" t="n">
        <v>281000000</v>
      </c>
      <c r="D23" s="3" t="n">
        <v>233000000</v>
      </c>
      <c r="E23" s="3" t="n">
        <v>191000000</v>
      </c>
      <c r="F23" s="3" t="n">
        <v>257000000</v>
      </c>
      <c r="G23" s="3" t="n">
        <v>169000000</v>
      </c>
    </row>
    <row r="24">
      <c r="A24" t="inlineStr">
        <is>
          <t>Net Income Including Noncontrolling Interests</t>
        </is>
      </c>
      <c r="B24" s="3" t="n"/>
      <c r="C24" s="3" t="n">
        <v>281000000</v>
      </c>
      <c r="D24" s="3" t="n">
        <v>233000000</v>
      </c>
      <c r="E24" s="3" t="n">
        <v>191000000</v>
      </c>
      <c r="F24" s="3" t="n">
        <v>257000000</v>
      </c>
      <c r="G24" s="3" t="n">
        <v>169000000</v>
      </c>
    </row>
    <row r="25">
      <c r="A25" t="inlineStr">
        <is>
          <t>Net Income Continuous Operations</t>
        </is>
      </c>
      <c r="B25" s="3" t="n"/>
      <c r="C25" s="3" t="n">
        <v>281000000</v>
      </c>
      <c r="D25" s="3" t="n">
        <v>252000000</v>
      </c>
      <c r="E25" s="3" t="n">
        <v>191000000</v>
      </c>
      <c r="F25" s="3" t="n">
        <v>257000000</v>
      </c>
      <c r="G25" s="3" t="n">
        <v>169000000</v>
      </c>
    </row>
    <row r="26">
      <c r="A26" t="inlineStr">
        <is>
          <t>Tax Provision</t>
        </is>
      </c>
      <c r="B26" s="3" t="n"/>
      <c r="C26" s="3" t="n">
        <v>-83000000</v>
      </c>
      <c r="D26" s="3" t="n">
        <v>70000000</v>
      </c>
      <c r="E26" s="3" t="n">
        <v>50000000</v>
      </c>
      <c r="F26" s="3" t="n">
        <v>63000000</v>
      </c>
      <c r="G26" s="3" t="n">
        <v>30000000</v>
      </c>
    </row>
    <row r="27">
      <c r="A27" t="inlineStr">
        <is>
          <t>Pretax Income</t>
        </is>
      </c>
      <c r="B27" s="3" t="n"/>
      <c r="C27" s="3" t="n">
        <v>198000000</v>
      </c>
      <c r="D27" s="3" t="n">
        <v>322000000</v>
      </c>
      <c r="E27" s="3" t="n">
        <v>241000000</v>
      </c>
      <c r="F27" s="3" t="n">
        <v>320000000</v>
      </c>
      <c r="G27" s="3" t="n">
        <v>199000000</v>
      </c>
    </row>
    <row r="28">
      <c r="A28" t="inlineStr">
        <is>
          <t>Other Income Expense</t>
        </is>
      </c>
      <c r="B28" s="3" t="n"/>
      <c r="C28" s="3" t="n">
        <v>-37000000</v>
      </c>
      <c r="D28" s="3" t="n">
        <v>102000000</v>
      </c>
      <c r="E28" s="3" t="n">
        <v>4000000</v>
      </c>
      <c r="F28" s="3" t="n">
        <v>112000000</v>
      </c>
      <c r="G28" s="3" t="n">
        <v>-18000000</v>
      </c>
    </row>
    <row r="29">
      <c r="A29" t="inlineStr">
        <is>
          <t>Other Non Operating Income Expenses</t>
        </is>
      </c>
      <c r="B29" s="3" t="n"/>
      <c r="C29" s="3" t="n">
        <v>-37000000</v>
      </c>
      <c r="D29" s="3" t="n">
        <v>102000000</v>
      </c>
      <c r="E29" s="3" t="n">
        <v>4000000</v>
      </c>
      <c r="F29" s="3" t="n">
        <v>112000000</v>
      </c>
      <c r="G29" s="3" t="n">
        <v>-18000000</v>
      </c>
    </row>
    <row r="30">
      <c r="A30" t="inlineStr">
        <is>
          <t>Net Non Operating Interest Income Expense</t>
        </is>
      </c>
      <c r="B30" s="3" t="n"/>
      <c r="C30" s="3" t="n">
        <v>-13000000</v>
      </c>
      <c r="D30" s="3" t="n">
        <v>3000000</v>
      </c>
      <c r="E30" s="3" t="n">
        <v>3000000</v>
      </c>
      <c r="F30" s="3" t="n">
        <v>1000000</v>
      </c>
      <c r="G30" s="3" t="n">
        <v>-1000000</v>
      </c>
    </row>
    <row r="31">
      <c r="A31" t="inlineStr">
        <is>
          <t>Interest Expense Non Operating</t>
        </is>
      </c>
      <c r="B31" s="3" t="n"/>
      <c r="C31" s="3" t="n">
        <v>29000000</v>
      </c>
      <c r="D31" s="3" t="n">
        <v>28000000</v>
      </c>
      <c r="E31" s="3" t="n">
        <v>28000000</v>
      </c>
      <c r="F31" s="3" t="n">
        <v>20000000</v>
      </c>
      <c r="G31" s="3" t="n">
        <v>20000000</v>
      </c>
    </row>
    <row r="32">
      <c r="A32" t="inlineStr">
        <is>
          <t>Interest Income Non Operating</t>
        </is>
      </c>
      <c r="B32" s="3" t="n"/>
      <c r="C32" s="3" t="n">
        <v>16000000</v>
      </c>
      <c r="D32" s="3" t="n">
        <v>31000000</v>
      </c>
      <c r="E32" s="3" t="n">
        <v>31000000</v>
      </c>
      <c r="F32" s="3" t="n">
        <v>21000000</v>
      </c>
      <c r="G32" s="3" t="n">
        <v>19000000</v>
      </c>
    </row>
    <row r="33">
      <c r="A33" t="inlineStr">
        <is>
          <t>Operating Income</t>
        </is>
      </c>
      <c r="B33" s="3" t="n"/>
      <c r="C33" s="3" t="n">
        <v>248000000</v>
      </c>
      <c r="D33" s="3" t="n">
        <v>217000000</v>
      </c>
      <c r="E33" s="3" t="n">
        <v>234000000</v>
      </c>
      <c r="F33" s="3" t="n">
        <v>207000000</v>
      </c>
      <c r="G33" s="3" t="n">
        <v>218000000</v>
      </c>
    </row>
    <row r="34">
      <c r="A34" t="inlineStr">
        <is>
          <t>Operating Expense</t>
        </is>
      </c>
      <c r="B34" s="3" t="n"/>
      <c r="C34" s="3" t="n">
        <v>747000000</v>
      </c>
      <c r="D34" s="3" t="n">
        <v>652000000</v>
      </c>
      <c r="E34" s="3" t="n">
        <v>600000000</v>
      </c>
      <c r="F34" s="3" t="n">
        <v>607000000</v>
      </c>
      <c r="G34" s="3" t="n">
        <v>602000000</v>
      </c>
    </row>
    <row r="35">
      <c r="A35" t="inlineStr">
        <is>
          <t>Other Operating Expenses</t>
        </is>
      </c>
      <c r="B35" s="3" t="n"/>
      <c r="C35" s="3" t="n">
        <v>-3000000</v>
      </c>
      <c r="D35" s="3" t="n">
        <v>-5000000</v>
      </c>
      <c r="E35" s="3" t="n">
        <v>-4000000</v>
      </c>
      <c r="F35" s="3" t="n">
        <v>-3000000</v>
      </c>
      <c r="G35" s="3" t="n">
        <v>-8000000</v>
      </c>
    </row>
    <row r="36">
      <c r="A36" t="inlineStr">
        <is>
          <t>Research And Development</t>
        </is>
      </c>
      <c r="B36" s="3" t="n"/>
      <c r="C36" s="3" t="n">
        <v>303000000</v>
      </c>
      <c r="D36" s="3" t="n">
        <v>258000000</v>
      </c>
      <c r="E36" s="3" t="n">
        <v>250000000</v>
      </c>
      <c r="F36" s="3" t="n">
        <v>250000000</v>
      </c>
      <c r="G36" s="3" t="n">
        <v>249000000</v>
      </c>
    </row>
    <row r="37">
      <c r="A37" t="inlineStr">
        <is>
          <t>Selling General And Administration</t>
        </is>
      </c>
      <c r="B37" s="3" t="n"/>
      <c r="C37" s="3" t="n">
        <v>447000000</v>
      </c>
      <c r="D37" s="3" t="n">
        <v>399000000</v>
      </c>
      <c r="E37" s="3" t="n">
        <v>354000000</v>
      </c>
      <c r="F37" s="3" t="n">
        <v>360000000</v>
      </c>
      <c r="G37" s="3" t="n">
        <v>361000000</v>
      </c>
    </row>
    <row r="38">
      <c r="A38" t="inlineStr">
        <is>
          <t>Gross Profit</t>
        </is>
      </c>
      <c r="B38" s="3" t="n"/>
      <c r="C38" s="3" t="n">
        <v>995000000</v>
      </c>
      <c r="D38" s="3" t="n">
        <v>869000000</v>
      </c>
      <c r="E38" s="3" t="n">
        <v>834000000</v>
      </c>
      <c r="F38" s="3" t="n">
        <v>814000000</v>
      </c>
      <c r="G38" s="3" t="n">
        <v>820000000</v>
      </c>
    </row>
    <row r="39">
      <c r="A39" t="inlineStr">
        <is>
          <t>Cost Of Revenue</t>
        </is>
      </c>
      <c r="B39" s="3" t="n"/>
      <c r="C39" s="3" t="n">
        <v>605000000</v>
      </c>
      <c r="D39" s="3" t="n">
        <v>550000000</v>
      </c>
      <c r="E39" s="3" t="n">
        <v>518000000</v>
      </c>
      <c r="F39" s="3" t="n">
        <v>492000000</v>
      </c>
      <c r="G39" s="3" t="n">
        <v>478000000</v>
      </c>
    </row>
    <row r="40">
      <c r="A40" t="inlineStr">
        <is>
          <t>Total Revenue</t>
        </is>
      </c>
      <c r="B40" s="3" t="n"/>
      <c r="C40" s="3" t="n">
        <v>1600000000</v>
      </c>
      <c r="D40" s="3" t="n">
        <v>1419000000</v>
      </c>
      <c r="E40" s="3" t="n">
        <v>1352000000</v>
      </c>
      <c r="F40" s="3" t="n">
        <v>1306000000</v>
      </c>
      <c r="G40" s="3" t="n">
        <v>1298000000</v>
      </c>
    </row>
    <row r="41">
      <c r="A41" t="inlineStr">
        <is>
          <t>Operating Revenue</t>
        </is>
      </c>
      <c r="B41" s="3" t="n"/>
      <c r="C41" s="3" t="n">
        <v>1600000000</v>
      </c>
      <c r="D41" s="3" t="n">
        <v>1419000000</v>
      </c>
      <c r="E41" s="3" t="n">
        <v>1352000000</v>
      </c>
      <c r="F41" s="3" t="n">
        <v>1306000000</v>
      </c>
      <c r="G41" s="3" t="n">
        <v>1298000000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Line item</t>
        </is>
      </c>
      <c r="B1" s="1" t="inlineStr">
        <is>
          <t>2025-10-31</t>
        </is>
      </c>
      <c r="C1" s="1" t="inlineStr">
        <is>
          <t>2024-10-31</t>
        </is>
      </c>
      <c r="D1" s="1" t="inlineStr">
        <is>
          <t>2023-10-31</t>
        </is>
      </c>
      <c r="E1" s="1" t="inlineStr">
        <is>
          <t>2022-10-31</t>
        </is>
      </c>
    </row>
    <row r="2">
      <c r="A2" t="inlineStr">
        <is>
          <t>Treasury Shares Number</t>
        </is>
      </c>
      <c r="B2" s="3" t="n">
        <v>30813000</v>
      </c>
      <c r="C2" s="3" t="n">
        <v>28424000</v>
      </c>
      <c r="D2" s="3" t="n">
        <v>25400000</v>
      </c>
      <c r="E2" s="3" t="n">
        <v>20500000</v>
      </c>
    </row>
    <row r="3">
      <c r="A3" t="inlineStr">
        <is>
          <t>Ordinary Shares Number</t>
        </is>
      </c>
      <c r="B3" s="3" t="n">
        <v>171267000</v>
      </c>
      <c r="C3" s="3" t="n">
        <v>172584000</v>
      </c>
      <c r="D3" s="3" t="n">
        <v>174600000</v>
      </c>
      <c r="E3" s="3" t="n">
        <v>178500000</v>
      </c>
    </row>
    <row r="4">
      <c r="A4" t="inlineStr">
        <is>
          <t>Share Issued</t>
        </is>
      </c>
      <c r="B4" s="3" t="n">
        <v>202080000</v>
      </c>
      <c r="C4" s="3" t="n">
        <v>201008000</v>
      </c>
      <c r="D4" s="3" t="n">
        <v>200000000</v>
      </c>
      <c r="E4" s="3" t="n">
        <v>199000000</v>
      </c>
    </row>
    <row r="5">
      <c r="A5" t="inlineStr">
        <is>
          <t>Net Debt</t>
        </is>
      </c>
      <c r="B5" s="3" t="n">
        <v>661000000</v>
      </c>
      <c r="C5" s="3" t="n"/>
      <c r="D5" s="3" t="n"/>
      <c r="E5" s="3" t="n"/>
    </row>
    <row r="6">
      <c r="A6" t="inlineStr">
        <is>
          <t>Total Debt</t>
        </is>
      </c>
      <c r="B6" s="3" t="n">
        <v>2778000000</v>
      </c>
      <c r="C6" s="3" t="n">
        <v>2030000000</v>
      </c>
      <c r="D6" s="3" t="n">
        <v>2026000000</v>
      </c>
      <c r="E6" s="3" t="n">
        <v>2018000000</v>
      </c>
    </row>
    <row r="7">
      <c r="A7" t="inlineStr">
        <is>
          <t>Tangible Book Value</t>
        </is>
      </c>
      <c r="B7" s="3" t="n">
        <v>1153000000</v>
      </c>
      <c r="C7" s="3" t="n">
        <v>2110000000</v>
      </c>
      <c r="D7" s="3" t="n">
        <v>2859000000</v>
      </c>
      <c r="E7" s="3" t="n">
        <v>2390000000</v>
      </c>
    </row>
    <row r="8">
      <c r="A8" t="inlineStr">
        <is>
          <t>Invested Capital</t>
        </is>
      </c>
      <c r="B8" s="3" t="n">
        <v>8415000000</v>
      </c>
      <c r="C8" s="3" t="n">
        <v>6895000000</v>
      </c>
      <c r="D8" s="3" t="n">
        <v>6448000000</v>
      </c>
      <c r="E8" s="3" t="n">
        <v>5954000000</v>
      </c>
    </row>
    <row r="9">
      <c r="A9" t="inlineStr">
        <is>
          <t>Working Capital</t>
        </is>
      </c>
      <c r="B9" s="3" t="n">
        <v>2498000000</v>
      </c>
      <c r="C9" s="3" t="n">
        <v>2830000000</v>
      </c>
      <c r="D9" s="3" t="n">
        <v>2760000000</v>
      </c>
      <c r="E9" s="3" t="n">
        <v>2827000000</v>
      </c>
    </row>
    <row r="10">
      <c r="A10" t="inlineStr">
        <is>
          <t>Net Tangible Assets</t>
        </is>
      </c>
      <c r="B10" s="3" t="n">
        <v>1153000000</v>
      </c>
      <c r="C10" s="3" t="n">
        <v>2110000000</v>
      </c>
      <c r="D10" s="3" t="n">
        <v>2859000000</v>
      </c>
      <c r="E10" s="3" t="n">
        <v>2390000000</v>
      </c>
    </row>
    <row r="11">
      <c r="A11" t="inlineStr">
        <is>
          <t>Capital Lease Obligations</t>
        </is>
      </c>
      <c r="B11" s="3" t="n">
        <v>244000000</v>
      </c>
      <c r="C11" s="3" t="n">
        <v>240000000</v>
      </c>
      <c r="D11" s="3" t="n">
        <v>232000000</v>
      </c>
      <c r="E11" s="3" t="n">
        <v>225000000</v>
      </c>
    </row>
    <row r="12">
      <c r="A12" t="inlineStr">
        <is>
          <t>Common Stock Equity</t>
        </is>
      </c>
      <c r="B12" s="3" t="n">
        <v>5881000000</v>
      </c>
      <c r="C12" s="3" t="n">
        <v>5105000000</v>
      </c>
      <c r="D12" s="3" t="n">
        <v>4654000000</v>
      </c>
      <c r="E12" s="3" t="n">
        <v>4161000000</v>
      </c>
    </row>
    <row r="13">
      <c r="A13" t="inlineStr">
        <is>
          <t>Total Capitalization</t>
        </is>
      </c>
      <c r="B13" s="3" t="n">
        <v>8415000000</v>
      </c>
      <c r="C13" s="3" t="n">
        <v>6895000000</v>
      </c>
      <c r="D13" s="3" t="n">
        <v>5849000000</v>
      </c>
      <c r="E13" s="3" t="n">
        <v>5954000000</v>
      </c>
    </row>
    <row r="14">
      <c r="A14" t="inlineStr">
        <is>
          <t>Total Equity Gross Minority Interest</t>
        </is>
      </c>
      <c r="B14" s="3" t="n">
        <v>5881000000</v>
      </c>
      <c r="C14" s="3" t="n">
        <v>5105000000</v>
      </c>
      <c r="D14" s="3" t="n">
        <v>4654000000</v>
      </c>
      <c r="E14" s="3" t="n">
        <v>4161000000</v>
      </c>
    </row>
    <row r="15">
      <c r="A15" t="inlineStr">
        <is>
          <t>Minority Interest</t>
        </is>
      </c>
      <c r="B15" s="3" t="n">
        <v>0</v>
      </c>
      <c r="C15" s="3" t="n">
        <v>0</v>
      </c>
      <c r="D15" s="3" t="n"/>
      <c r="E15" s="3" t="n"/>
    </row>
    <row r="16">
      <c r="A16" t="inlineStr">
        <is>
          <t>Stockholders Equity</t>
        </is>
      </c>
      <c r="B16" s="3" t="n">
        <v>5881000000</v>
      </c>
      <c r="C16" s="3" t="n">
        <v>5105000000</v>
      </c>
      <c r="D16" s="3" t="n">
        <v>4654000000</v>
      </c>
      <c r="E16" s="3" t="n">
        <v>4161000000</v>
      </c>
    </row>
    <row r="17">
      <c r="A17" t="inlineStr">
        <is>
          <t>Gains Losses Not Affecting Retained Earnings</t>
        </is>
      </c>
      <c r="B17" s="3" t="n">
        <v>-248000000</v>
      </c>
      <c r="C17" s="3" t="n">
        <v>-364000000</v>
      </c>
      <c r="D17" s="3" t="n">
        <v>-466000000</v>
      </c>
      <c r="E17" s="3" t="n">
        <v>-454000000</v>
      </c>
    </row>
    <row r="18">
      <c r="A18" t="inlineStr">
        <is>
          <t>Other Equity Adjustments</t>
        </is>
      </c>
      <c r="B18" s="3" t="n">
        <v>-248000000</v>
      </c>
      <c r="C18" s="3" t="n">
        <v>-364000000</v>
      </c>
      <c r="D18" s="3" t="n">
        <v>-466000000</v>
      </c>
      <c r="E18" s="3" t="n">
        <v>-454000000</v>
      </c>
    </row>
    <row r="19">
      <c r="A19" t="inlineStr">
        <is>
          <t>Treasury Stock</t>
        </is>
      </c>
      <c r="B19" s="3" t="n">
        <v>3799000000</v>
      </c>
      <c r="C19" s="3" t="n">
        <v>3422000000</v>
      </c>
      <c r="D19" s="3" t="n">
        <v>2980000000</v>
      </c>
      <c r="E19" s="3" t="n">
        <v>2274000000</v>
      </c>
    </row>
    <row r="20">
      <c r="A20" t="inlineStr">
        <is>
          <t>Retained Earnings</t>
        </is>
      </c>
      <c r="B20" s="3" t="n">
        <v>7075000000</v>
      </c>
      <c r="C20" s="3" t="n">
        <v>6225000000</v>
      </c>
      <c r="D20" s="3" t="n">
        <v>5611000000</v>
      </c>
      <c r="E20" s="3" t="n">
        <v>4554000000</v>
      </c>
    </row>
    <row r="21">
      <c r="A21" t="inlineStr">
        <is>
          <t>Additional Paid In Capital</t>
        </is>
      </c>
      <c r="B21" s="3" t="n">
        <v>2851000000</v>
      </c>
      <c r="C21" s="3" t="n">
        <v>2664000000</v>
      </c>
      <c r="D21" s="3" t="n">
        <v>2487000000</v>
      </c>
      <c r="E21" s="3" t="n">
        <v>2333000000</v>
      </c>
    </row>
    <row r="22">
      <c r="A22" t="inlineStr">
        <is>
          <t>Capital Stock</t>
        </is>
      </c>
      <c r="B22" s="3" t="n">
        <v>2000000</v>
      </c>
      <c r="C22" s="3" t="n">
        <v>2000000</v>
      </c>
      <c r="D22" s="3" t="n">
        <v>2000000</v>
      </c>
      <c r="E22" s="3" t="n">
        <v>2000000</v>
      </c>
    </row>
    <row r="23">
      <c r="A23" t="inlineStr">
        <is>
          <t>Common Stock</t>
        </is>
      </c>
      <c r="B23" s="3" t="n">
        <v>2000000</v>
      </c>
      <c r="C23" s="3" t="n">
        <v>2000000</v>
      </c>
      <c r="D23" s="3" t="n">
        <v>2000000</v>
      </c>
      <c r="E23" s="3" t="n">
        <v>2000000</v>
      </c>
    </row>
    <row r="24">
      <c r="A24" t="inlineStr">
        <is>
          <t>Preferred Stock</t>
        </is>
      </c>
      <c r="B24" s="3" t="n">
        <v>0</v>
      </c>
      <c r="C24" s="3" t="n">
        <v>0</v>
      </c>
      <c r="D24" s="3" t="n">
        <v>0</v>
      </c>
      <c r="E24" s="3" t="n">
        <v>0</v>
      </c>
    </row>
    <row r="25">
      <c r="A25" t="inlineStr">
        <is>
          <t>Total Liabilities Net Minority Interest</t>
        </is>
      </c>
      <c r="B25" s="3" t="n">
        <v>5420000000</v>
      </c>
      <c r="C25" s="3" t="n">
        <v>4164000000</v>
      </c>
      <c r="D25" s="3" t="n">
        <v>4029000000</v>
      </c>
      <c r="E25" s="3" t="n">
        <v>3937000000</v>
      </c>
    </row>
    <row r="26">
      <c r="A26" t="inlineStr">
        <is>
          <t>Total Non Current Liabilities Net Minority Interest</t>
        </is>
      </c>
      <c r="B26" s="3" t="n">
        <v>3570000000</v>
      </c>
      <c r="C26" s="3" t="n">
        <v>2737000000</v>
      </c>
      <c r="D26" s="3" t="n">
        <v>1980000000</v>
      </c>
      <c r="E26" s="3" t="n">
        <v>2530000000</v>
      </c>
    </row>
    <row r="27">
      <c r="A27" t="inlineStr">
        <is>
          <t>Other Non Current Liabilities</t>
        </is>
      </c>
      <c r="B27" s="3" t="n">
        <v>536000000</v>
      </c>
      <c r="C27" s="3" t="n">
        <v>463000000</v>
      </c>
      <c r="D27" s="3" t="n">
        <v>313000000</v>
      </c>
      <c r="E27" s="3" t="n">
        <v>296000000</v>
      </c>
    </row>
    <row r="28">
      <c r="A28" t="inlineStr">
        <is>
          <t>Employee Benefits</t>
        </is>
      </c>
      <c r="B28" s="3" t="n">
        <v>75000000</v>
      </c>
      <c r="C28" s="3" t="n">
        <v>81000000</v>
      </c>
      <c r="D28" s="3" t="n">
        <v>64000000</v>
      </c>
      <c r="E28" s="3" t="n">
        <v>58000000</v>
      </c>
    </row>
    <row r="29">
      <c r="A29" t="inlineStr">
        <is>
          <t>Non Current Pension And Other Postretirement Benefit Plans</t>
        </is>
      </c>
      <c r="B29" s="3" t="n">
        <v>75000000</v>
      </c>
      <c r="C29" s="3" t="n">
        <v>81000000</v>
      </c>
      <c r="D29" s="3" t="n">
        <v>64000000</v>
      </c>
      <c r="E29" s="3" t="n">
        <v>58000000</v>
      </c>
    </row>
    <row r="30">
      <c r="A30" t="inlineStr">
        <is>
          <t>Non Current Deferred Liabilities</t>
        </is>
      </c>
      <c r="B30" s="3" t="n">
        <v>232000000</v>
      </c>
      <c r="C30" s="3" t="n">
        <v>206000000</v>
      </c>
      <c r="D30" s="3" t="n">
        <v>216000000</v>
      </c>
      <c r="E30" s="3" t="n">
        <v>197000000</v>
      </c>
    </row>
    <row r="31">
      <c r="A31" t="inlineStr">
        <is>
          <t>Non Current Deferred Revenue</t>
        </is>
      </c>
      <c r="B31" s="3" t="n">
        <v>232000000</v>
      </c>
      <c r="C31" s="3" t="n">
        <v>206000000</v>
      </c>
      <c r="D31" s="3" t="n">
        <v>216000000</v>
      </c>
      <c r="E31" s="3" t="n">
        <v>197000000</v>
      </c>
    </row>
    <row r="32">
      <c r="A32" t="inlineStr">
        <is>
          <t>Long Term Debt And Capital Lease Obligation</t>
        </is>
      </c>
      <c r="B32" s="3" t="n">
        <v>2727000000</v>
      </c>
      <c r="C32" s="3" t="n">
        <v>1987000000</v>
      </c>
      <c r="D32" s="3" t="n">
        <v>1387000000</v>
      </c>
      <c r="E32" s="3" t="n">
        <v>1979000000</v>
      </c>
    </row>
    <row r="33">
      <c r="A33" t="inlineStr">
        <is>
          <t>Long Term Capital Lease Obligation</t>
        </is>
      </c>
      <c r="B33" s="3" t="n">
        <v>193000000</v>
      </c>
      <c r="C33" s="3" t="n">
        <v>197000000</v>
      </c>
      <c r="D33" s="3" t="n">
        <v>192000000</v>
      </c>
      <c r="E33" s="3" t="n">
        <v>186000000</v>
      </c>
    </row>
    <row r="34">
      <c r="A34" t="inlineStr">
        <is>
          <t>Long Term Debt</t>
        </is>
      </c>
      <c r="B34" s="3" t="n">
        <v>2534000000</v>
      </c>
      <c r="C34" s="3" t="n">
        <v>1790000000</v>
      </c>
      <c r="D34" s="3" t="n">
        <v>1195000000</v>
      </c>
      <c r="E34" s="3" t="n">
        <v>1793000000</v>
      </c>
    </row>
    <row r="35">
      <c r="A35" t="inlineStr">
        <is>
          <t>Current Liabilities</t>
        </is>
      </c>
      <c r="B35" s="3" t="n">
        <v>1850000000</v>
      </c>
      <c r="C35" s="3" t="n">
        <v>1427000000</v>
      </c>
      <c r="D35" s="3" t="n">
        <v>2049000000</v>
      </c>
      <c r="E35" s="3" t="n">
        <v>1407000000</v>
      </c>
    </row>
    <row r="36">
      <c r="A36" t="inlineStr">
        <is>
          <t>Current Deferred Liabilities</t>
        </is>
      </c>
      <c r="B36" s="3" t="n">
        <v>652000000</v>
      </c>
      <c r="C36" s="3" t="n">
        <v>561000000</v>
      </c>
      <c r="D36" s="3" t="n">
        <v>541000000</v>
      </c>
      <c r="E36" s="3" t="n">
        <v>495000000</v>
      </c>
    </row>
    <row r="37">
      <c r="A37" t="inlineStr">
        <is>
          <t>Current Deferred Revenue</t>
        </is>
      </c>
      <c r="B37" s="3" t="n">
        <v>652000000</v>
      </c>
      <c r="C37" s="3" t="n">
        <v>561000000</v>
      </c>
      <c r="D37" s="3" t="n">
        <v>541000000</v>
      </c>
      <c r="E37" s="3" t="n">
        <v>495000000</v>
      </c>
    </row>
    <row r="38">
      <c r="A38" t="inlineStr">
        <is>
          <t>Current Debt And Capital Lease Obligation</t>
        </is>
      </c>
      <c r="B38" s="3" t="n">
        <v>51000000</v>
      </c>
      <c r="C38" s="3" t="n">
        <v>43000000</v>
      </c>
      <c r="D38" s="3" t="n">
        <v>639000000</v>
      </c>
      <c r="E38" s="3" t="n">
        <v>39000000</v>
      </c>
    </row>
    <row r="39">
      <c r="A39" t="inlineStr">
        <is>
          <t>Current Capital Lease Obligation</t>
        </is>
      </c>
      <c r="B39" s="3" t="n">
        <v>51000000</v>
      </c>
      <c r="C39" s="3" t="n">
        <v>43000000</v>
      </c>
      <c r="D39" s="3" t="n">
        <v>40000000</v>
      </c>
      <c r="E39" s="3" t="n">
        <v>39000000</v>
      </c>
    </row>
    <row r="40">
      <c r="A40" t="inlineStr">
        <is>
          <t>Current Debt</t>
        </is>
      </c>
      <c r="B40" s="3" t="n"/>
      <c r="C40" s="3" t="n"/>
      <c r="D40" s="3" t="n">
        <v>599000000</v>
      </c>
      <c r="E40" s="3" t="n"/>
    </row>
    <row r="41">
      <c r="A41" t="inlineStr">
        <is>
          <t>Other Current Borrowings</t>
        </is>
      </c>
      <c r="B41" s="3" t="n"/>
      <c r="C41" s="3" t="n"/>
      <c r="D41" s="3" t="n">
        <v>599000000</v>
      </c>
      <c r="E41" s="3" t="n"/>
    </row>
    <row r="42">
      <c r="A42" t="inlineStr">
        <is>
          <t>Pensionand Other Post Retirement Benefit Plans Current</t>
        </is>
      </c>
      <c r="B42" s="3" t="n">
        <v>399000000</v>
      </c>
      <c r="C42" s="3" t="n">
        <v>295000000</v>
      </c>
      <c r="D42" s="3" t="n">
        <v>304000000</v>
      </c>
      <c r="E42" s="3" t="n">
        <v>333000000</v>
      </c>
    </row>
    <row r="43">
      <c r="A43" t="inlineStr">
        <is>
          <t>Payables And Accrued Expenses</t>
        </is>
      </c>
      <c r="B43" s="3" t="n">
        <v>748000000</v>
      </c>
      <c r="C43" s="3" t="n">
        <v>528000000</v>
      </c>
      <c r="D43" s="3" t="n">
        <v>565000000</v>
      </c>
      <c r="E43" s="3" t="n">
        <v>540000000</v>
      </c>
    </row>
    <row r="44">
      <c r="A44" t="inlineStr">
        <is>
          <t>Current Accrued Expenses</t>
        </is>
      </c>
      <c r="B44" s="3" t="n">
        <v>186000000</v>
      </c>
      <c r="C44" s="3" t="n">
        <v>125000000</v>
      </c>
      <c r="D44" s="3" t="n">
        <v>189000000</v>
      </c>
      <c r="E44" s="3" t="n">
        <v>96000000</v>
      </c>
    </row>
    <row r="45">
      <c r="A45" t="inlineStr">
        <is>
          <t>Payables</t>
        </is>
      </c>
      <c r="B45" s="3" t="n">
        <v>562000000</v>
      </c>
      <c r="C45" s="3" t="n">
        <v>403000000</v>
      </c>
      <c r="D45" s="3" t="n">
        <v>376000000</v>
      </c>
      <c r="E45" s="3" t="n">
        <v>444000000</v>
      </c>
    </row>
    <row r="46">
      <c r="A46" t="inlineStr">
        <is>
          <t>Total Tax Payable</t>
        </is>
      </c>
      <c r="B46" s="3" t="n">
        <v>207000000</v>
      </c>
      <c r="C46" s="3" t="n">
        <v>90000000</v>
      </c>
      <c r="D46" s="3" t="n">
        <v>90000000</v>
      </c>
      <c r="E46" s="3" t="n">
        <v>96000000</v>
      </c>
    </row>
    <row r="47">
      <c r="A47" t="inlineStr">
        <is>
          <t>Accounts Payable</t>
        </is>
      </c>
      <c r="B47" s="3" t="n">
        <v>355000000</v>
      </c>
      <c r="C47" s="3" t="n">
        <v>313000000</v>
      </c>
      <c r="D47" s="3" t="n">
        <v>286000000</v>
      </c>
      <c r="E47" s="3" t="n">
        <v>348000000</v>
      </c>
    </row>
    <row r="48">
      <c r="A48" t="inlineStr">
        <is>
          <t>Total Assets</t>
        </is>
      </c>
      <c r="B48" s="3" t="n">
        <v>11301000000</v>
      </c>
      <c r="C48" s="3" t="n">
        <v>9269000000</v>
      </c>
      <c r="D48" s="3" t="n">
        <v>8683000000</v>
      </c>
      <c r="E48" s="3" t="n">
        <v>8098000000</v>
      </c>
    </row>
    <row r="49">
      <c r="A49" t="inlineStr">
        <is>
          <t>Total Non Current Assets</t>
        </is>
      </c>
      <c r="B49" s="3" t="n">
        <v>6953000000</v>
      </c>
      <c r="C49" s="3" t="n">
        <v>5012000000</v>
      </c>
      <c r="D49" s="3" t="n">
        <v>3874000000</v>
      </c>
      <c r="E49" s="3" t="n">
        <v>3864000000</v>
      </c>
    </row>
    <row r="50">
      <c r="A50" t="inlineStr">
        <is>
          <t>Other Non Current Assets</t>
        </is>
      </c>
      <c r="B50" s="3" t="n">
        <v>91000000</v>
      </c>
      <c r="C50" s="3" t="n">
        <v>86000000</v>
      </c>
      <c r="D50" s="3" t="n">
        <v>340000000</v>
      </c>
      <c r="E50" s="3" t="n">
        <v>454000000</v>
      </c>
    </row>
    <row r="51">
      <c r="A51" t="inlineStr">
        <is>
          <t>Defined Pension Benefit</t>
        </is>
      </c>
      <c r="B51" s="3" t="n">
        <v>408000000</v>
      </c>
      <c r="C51" s="3" t="n">
        <v>324000000</v>
      </c>
      <c r="D51" s="3" t="n"/>
      <c r="E51" s="3" t="n"/>
    </row>
    <row r="52">
      <c r="A52" t="inlineStr">
        <is>
          <t>Non Current Deferred Assets</t>
        </is>
      </c>
      <c r="B52" s="3" t="n">
        <v>373000000</v>
      </c>
      <c r="C52" s="3" t="n">
        <v>378000000</v>
      </c>
      <c r="D52" s="3" t="n">
        <v>671000000</v>
      </c>
      <c r="E52" s="3" t="n">
        <v>667000000</v>
      </c>
    </row>
    <row r="53">
      <c r="A53" t="inlineStr">
        <is>
          <t>Non Current Deferred Taxes Assets</t>
        </is>
      </c>
      <c r="B53" s="3" t="n">
        <v>373000000</v>
      </c>
      <c r="C53" s="3" t="n">
        <v>378000000</v>
      </c>
      <c r="D53" s="3" t="n">
        <v>671000000</v>
      </c>
      <c r="E53" s="3" t="n">
        <v>667000000</v>
      </c>
    </row>
    <row r="54">
      <c r="A54" t="inlineStr">
        <is>
          <t>Non Current Accounts Receivable</t>
        </is>
      </c>
      <c r="B54" s="3" t="n">
        <v>111000000</v>
      </c>
      <c r="C54" s="3" t="n">
        <v>111000000</v>
      </c>
      <c r="D54" s="3" t="n"/>
      <c r="E54" s="3" t="n"/>
    </row>
    <row r="55">
      <c r="A55" t="inlineStr">
        <is>
          <t>Investments And Advances</t>
        </is>
      </c>
      <c r="B55" s="3" t="n">
        <v>211000000</v>
      </c>
      <c r="C55" s="3" t="n">
        <v>110000000</v>
      </c>
      <c r="D55" s="3" t="n">
        <v>81000000</v>
      </c>
      <c r="E55" s="3" t="n">
        <v>62000000</v>
      </c>
    </row>
    <row r="56">
      <c r="A56" t="inlineStr">
        <is>
          <t>Goodwill And Other Intangible Assets</t>
        </is>
      </c>
      <c r="B56" s="3" t="n">
        <v>4728000000</v>
      </c>
      <c r="C56" s="3" t="n">
        <v>2995000000</v>
      </c>
      <c r="D56" s="3" t="n">
        <v>1795000000</v>
      </c>
      <c r="E56" s="3" t="n">
        <v>1771000000</v>
      </c>
    </row>
    <row r="57">
      <c r="A57" t="inlineStr">
        <is>
          <t>Other Intangible Assets</t>
        </is>
      </c>
      <c r="B57" s="3" t="n">
        <v>1304000000</v>
      </c>
      <c r="C57" s="3" t="n">
        <v>607000000</v>
      </c>
      <c r="D57" s="3" t="n">
        <v>155000000</v>
      </c>
      <c r="E57" s="3" t="n">
        <v>189000000</v>
      </c>
    </row>
    <row r="58">
      <c r="A58" t="inlineStr">
        <is>
          <t>Goodwill</t>
        </is>
      </c>
      <c r="B58" s="3" t="n">
        <v>3424000000</v>
      </c>
      <c r="C58" s="3" t="n">
        <v>2388000000</v>
      </c>
      <c r="D58" s="3" t="n">
        <v>1640000000</v>
      </c>
      <c r="E58" s="3" t="n">
        <v>1582000000</v>
      </c>
    </row>
    <row r="59">
      <c r="A59" t="inlineStr">
        <is>
          <t>Net PPE</t>
        </is>
      </c>
      <c r="B59" s="3" t="n">
        <v>1031000000</v>
      </c>
      <c r="C59" s="3" t="n">
        <v>1008000000</v>
      </c>
      <c r="D59" s="3" t="n">
        <v>987000000</v>
      </c>
      <c r="E59" s="3" t="n">
        <v>910000000</v>
      </c>
    </row>
    <row r="60">
      <c r="A60" t="inlineStr">
        <is>
          <t>Accumulated Depreciation</t>
        </is>
      </c>
      <c r="B60" s="3" t="n">
        <v>-1804000000</v>
      </c>
      <c r="C60" s="3" t="n">
        <v>-1706000000</v>
      </c>
      <c r="D60" s="3" t="n">
        <v>-1623000000</v>
      </c>
      <c r="E60" s="3" t="n">
        <v>-1541000000</v>
      </c>
    </row>
    <row r="61">
      <c r="A61" t="inlineStr">
        <is>
          <t>Gross PPE</t>
        </is>
      </c>
      <c r="B61" s="3" t="n">
        <v>2835000000</v>
      </c>
      <c r="C61" s="3" t="n">
        <v>2714000000</v>
      </c>
      <c r="D61" s="3" t="n">
        <v>2610000000</v>
      </c>
      <c r="E61" s="3" t="n">
        <v>2451000000</v>
      </c>
    </row>
    <row r="62">
      <c r="A62" t="inlineStr">
        <is>
          <t>Other Properties</t>
        </is>
      </c>
      <c r="B62" s="3" t="n">
        <v>236000000</v>
      </c>
      <c r="C62" s="3" t="n">
        <v>234000000</v>
      </c>
      <c r="D62" s="3" t="n">
        <v>226000000</v>
      </c>
      <c r="E62" s="3" t="n">
        <v>220000000</v>
      </c>
    </row>
    <row r="63">
      <c r="A63" t="inlineStr">
        <is>
          <t>Machinery Furniture Equipment</t>
        </is>
      </c>
      <c r="B63" s="3" t="n">
        <v>1672000000</v>
      </c>
      <c r="C63" s="3" t="n">
        <v>1581000000</v>
      </c>
      <c r="D63" s="3" t="n">
        <v>1508000000</v>
      </c>
      <c r="E63" s="3" t="n">
        <v>1385000000</v>
      </c>
    </row>
    <row r="64">
      <c r="A64" t="inlineStr">
        <is>
          <t>Buildings And Improvements</t>
        </is>
      </c>
      <c r="B64" s="3" t="n">
        <v>879000000</v>
      </c>
      <c r="C64" s="3" t="n">
        <v>851000000</v>
      </c>
      <c r="D64" s="3" t="n">
        <v>828000000</v>
      </c>
      <c r="E64" s="3" t="n">
        <v>798000000</v>
      </c>
    </row>
    <row r="65">
      <c r="A65" t="inlineStr">
        <is>
          <t>Land And Improvements</t>
        </is>
      </c>
      <c r="B65" s="3" t="n">
        <v>48000000</v>
      </c>
      <c r="C65" s="3" t="n">
        <v>48000000</v>
      </c>
      <c r="D65" s="3" t="n">
        <v>48000000</v>
      </c>
      <c r="E65" s="3" t="n">
        <v>48000000</v>
      </c>
    </row>
    <row r="66">
      <c r="A66" t="inlineStr">
        <is>
          <t>Properties</t>
        </is>
      </c>
      <c r="B66" s="3" t="n">
        <v>0</v>
      </c>
      <c r="C66" s="3" t="n">
        <v>0</v>
      </c>
      <c r="D66" s="3" t="n">
        <v>0</v>
      </c>
      <c r="E66" s="3" t="n">
        <v>0</v>
      </c>
    </row>
    <row r="67">
      <c r="A67" t="inlineStr">
        <is>
          <t>Current Assets</t>
        </is>
      </c>
      <c r="B67" s="3" t="n">
        <v>4348000000</v>
      </c>
      <c r="C67" s="3" t="n">
        <v>4257000000</v>
      </c>
      <c r="D67" s="3" t="n">
        <v>4809000000</v>
      </c>
      <c r="E67" s="3" t="n">
        <v>4234000000</v>
      </c>
    </row>
    <row r="68">
      <c r="A68" t="inlineStr">
        <is>
          <t>Other Current Assets</t>
        </is>
      </c>
      <c r="B68" s="3" t="n">
        <v>166000000</v>
      </c>
      <c r="C68" s="3" t="n">
        <v>157000000</v>
      </c>
      <c r="D68" s="3" t="n">
        <v>124000000</v>
      </c>
      <c r="E68" s="3" t="n">
        <v>149000000</v>
      </c>
    </row>
    <row r="69">
      <c r="A69" t="inlineStr">
        <is>
          <t>Prepaid Assets</t>
        </is>
      </c>
      <c r="B69" s="3" t="n">
        <v>285000000</v>
      </c>
      <c r="C69" s="3" t="n">
        <v>287000000</v>
      </c>
      <c r="D69" s="3" t="n">
        <v>284000000</v>
      </c>
      <c r="E69" s="3" t="n">
        <v>280000000</v>
      </c>
    </row>
    <row r="70">
      <c r="A70" t="inlineStr">
        <is>
          <t>Inventory</t>
        </is>
      </c>
      <c r="B70" s="3" t="n">
        <v>1050000000</v>
      </c>
      <c r="C70" s="3" t="n">
        <v>1022000000</v>
      </c>
      <c r="D70" s="3" t="n">
        <v>985000000</v>
      </c>
      <c r="E70" s="3" t="n">
        <v>858000000</v>
      </c>
    </row>
    <row r="71">
      <c r="A71" t="inlineStr">
        <is>
          <t>Finished Goods</t>
        </is>
      </c>
      <c r="B71" s="3" t="n">
        <v>425000000</v>
      </c>
      <c r="C71" s="3" t="n">
        <v>375000000</v>
      </c>
      <c r="D71" s="3" t="n">
        <v>376000000</v>
      </c>
      <c r="E71" s="3" t="n">
        <v>322000000</v>
      </c>
    </row>
    <row r="72">
      <c r="A72" t="inlineStr">
        <is>
          <t>Raw Materials</t>
        </is>
      </c>
      <c r="B72" s="3" t="n">
        <v>625000000</v>
      </c>
      <c r="C72" s="3" t="n">
        <v>647000000</v>
      </c>
      <c r="D72" s="3" t="n">
        <v>609000000</v>
      </c>
      <c r="E72" s="3" t="n">
        <v>536000000</v>
      </c>
    </row>
    <row r="73">
      <c r="A73" t="inlineStr">
        <is>
          <t>Receivables</t>
        </is>
      </c>
      <c r="B73" s="3" t="n">
        <v>974000000</v>
      </c>
      <c r="C73" s="3" t="n">
        <v>995000000</v>
      </c>
      <c r="D73" s="3" t="n">
        <v>944000000</v>
      </c>
      <c r="E73" s="3" t="n">
        <v>905000000</v>
      </c>
    </row>
    <row r="74">
      <c r="A74" t="inlineStr">
        <is>
          <t>Taxes Receivable</t>
        </is>
      </c>
      <c r="B74" s="3" t="n">
        <v>35000000</v>
      </c>
      <c r="C74" s="3" t="n">
        <v>138000000</v>
      </c>
      <c r="D74" s="3" t="n">
        <v>44000000</v>
      </c>
      <c r="E74" s="3" t="n"/>
    </row>
    <row r="75">
      <c r="A75" t="inlineStr">
        <is>
          <t>Accounts Receivable</t>
        </is>
      </c>
      <c r="B75" s="3" t="n">
        <v>939000000</v>
      </c>
      <c r="C75" s="3" t="n">
        <v>857000000</v>
      </c>
      <c r="D75" s="3" t="n">
        <v>900000000</v>
      </c>
      <c r="E75" s="3" t="n">
        <v>905000000</v>
      </c>
    </row>
    <row r="76">
      <c r="A76" t="inlineStr">
        <is>
          <t>Allowance For Doubtful Accounts Receivable</t>
        </is>
      </c>
      <c r="B76" s="3" t="n">
        <v>-12000000</v>
      </c>
      <c r="C76" s="3" t="n">
        <v>-9000000</v>
      </c>
      <c r="D76" s="3" t="n">
        <v>-5000000</v>
      </c>
      <c r="E76" s="3" t="n">
        <v>-4000000</v>
      </c>
    </row>
    <row r="77">
      <c r="A77" t="inlineStr">
        <is>
          <t>Gross Accounts Receivable</t>
        </is>
      </c>
      <c r="B77" s="3" t="n">
        <v>951000000</v>
      </c>
      <c r="C77" s="3" t="n">
        <v>866000000</v>
      </c>
      <c r="D77" s="3" t="n">
        <v>905000000</v>
      </c>
      <c r="E77" s="3" t="n">
        <v>909000000</v>
      </c>
    </row>
    <row r="78">
      <c r="A78" t="inlineStr">
        <is>
          <t>Cash Cash Equivalents And Short Term Investments</t>
        </is>
      </c>
      <c r="B78" s="3" t="n">
        <v>1873000000</v>
      </c>
      <c r="C78" s="3" t="n">
        <v>1796000000</v>
      </c>
      <c r="D78" s="3" t="n">
        <v>2472000000</v>
      </c>
      <c r="E78" s="3" t="n">
        <v>2042000000</v>
      </c>
    </row>
    <row r="79">
      <c r="A79" t="inlineStr">
        <is>
          <t>Cash And Cash Equivalents</t>
        </is>
      </c>
      <c r="B79" s="3" t="n">
        <v>1873000000</v>
      </c>
      <c r="C79" s="3" t="n">
        <v>1796000000</v>
      </c>
      <c r="D79" s="3" t="n">
        <v>2472000000</v>
      </c>
      <c r="E79" s="3" t="n">
        <v>2042000000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2025-10-31</t>
        </is>
      </c>
      <c r="C1" s="1" t="inlineStr">
        <is>
          <t>2024-10-31</t>
        </is>
      </c>
      <c r="D1" s="1" t="inlineStr">
        <is>
          <t>2023-10-31</t>
        </is>
      </c>
      <c r="E1" s="1" t="inlineStr">
        <is>
          <t>2022-10-31</t>
        </is>
      </c>
      <c r="F1" s="1" t="inlineStr">
        <is>
          <t>2021-10-31</t>
        </is>
      </c>
    </row>
    <row r="2">
      <c r="A2" t="inlineStr">
        <is>
          <t>Free Cash Flow</t>
        </is>
      </c>
      <c r="B2" s="3" t="n">
        <v>1281000000</v>
      </c>
      <c r="C2" s="3" t="n">
        <v>898000000</v>
      </c>
      <c r="D2" s="3" t="n">
        <v>1211000000</v>
      </c>
      <c r="E2" s="3" t="n">
        <v>959000000</v>
      </c>
      <c r="F2" s="3" t="n"/>
    </row>
    <row r="3">
      <c r="A3" t="inlineStr">
        <is>
          <t>Repurchase Of Capital Stock</t>
        </is>
      </c>
      <c r="B3" s="3" t="n">
        <v>-377000000</v>
      </c>
      <c r="C3" s="3" t="n">
        <v>-443000000</v>
      </c>
      <c r="D3" s="3" t="n">
        <v>-702000000</v>
      </c>
      <c r="E3" s="3" t="n">
        <v>-849000000</v>
      </c>
      <c r="F3" s="3" t="n"/>
    </row>
    <row r="4">
      <c r="A4" t="inlineStr">
        <is>
          <t>Repayment Of Debt</t>
        </is>
      </c>
      <c r="B4" s="3" t="n">
        <v>0</v>
      </c>
      <c r="C4" s="3" t="n">
        <v>-624000000</v>
      </c>
      <c r="D4" s="3" t="n">
        <v>0</v>
      </c>
      <c r="E4" s="3" t="n">
        <v>0</v>
      </c>
      <c r="F4" s="3" t="n"/>
    </row>
    <row r="5">
      <c r="A5" t="inlineStr">
        <is>
          <t>Issuance Of Debt</t>
        </is>
      </c>
      <c r="B5" s="3" t="n">
        <v>748000000</v>
      </c>
      <c r="C5" s="3" t="n">
        <v>599000000</v>
      </c>
      <c r="D5" s="3" t="n">
        <v>0</v>
      </c>
      <c r="E5" s="3" t="n">
        <v>0</v>
      </c>
      <c r="F5" s="3" t="n"/>
    </row>
    <row r="6">
      <c r="A6" t="inlineStr">
        <is>
          <t>Capital Expenditure</t>
        </is>
      </c>
      <c r="B6" s="3" t="n">
        <v>-128000000</v>
      </c>
      <c r="C6" s="3" t="n">
        <v>-154000000</v>
      </c>
      <c r="D6" s="3" t="n">
        <v>-197000000</v>
      </c>
      <c r="E6" s="3" t="n">
        <v>-185000000</v>
      </c>
      <c r="F6" s="3" t="n"/>
    </row>
    <row r="7">
      <c r="A7" t="inlineStr">
        <is>
          <t>Interest Paid Supplemental Data</t>
        </is>
      </c>
      <c r="B7" s="3" t="n">
        <v>77000000</v>
      </c>
      <c r="C7" s="3" t="n">
        <v>75000000</v>
      </c>
      <c r="D7" s="3" t="n">
        <v>75000000</v>
      </c>
      <c r="E7" s="3" t="n">
        <v>75000000</v>
      </c>
      <c r="F7" s="3" t="n"/>
    </row>
    <row r="8">
      <c r="A8" t="inlineStr">
        <is>
          <t>Income Tax Paid Supplemental Data</t>
        </is>
      </c>
      <c r="B8" s="3" t="n">
        <v>120000000</v>
      </c>
      <c r="C8" s="3" t="n">
        <v>146000000</v>
      </c>
      <c r="D8" s="3" t="n">
        <v>343000000</v>
      </c>
      <c r="E8" s="3" t="n">
        <v>191000000</v>
      </c>
      <c r="F8" s="3" t="n"/>
    </row>
    <row r="9">
      <c r="A9" t="inlineStr">
        <is>
          <t>End Cash Position</t>
        </is>
      </c>
      <c r="B9" s="3" t="n">
        <v>1890000000</v>
      </c>
      <c r="C9" s="3" t="n">
        <v>1814000000</v>
      </c>
      <c r="D9" s="3" t="n">
        <v>2488000000</v>
      </c>
      <c r="E9" s="3" t="n">
        <v>2057000000</v>
      </c>
      <c r="F9" s="3" t="n"/>
    </row>
    <row r="10">
      <c r="A10" t="inlineStr">
        <is>
          <t>Beginning Cash Position</t>
        </is>
      </c>
      <c r="B10" s="3" t="n">
        <v>1814000000</v>
      </c>
      <c r="C10" s="3" t="n">
        <v>2488000000</v>
      </c>
      <c r="D10" s="3" t="n">
        <v>2057000000</v>
      </c>
      <c r="E10" s="3" t="n">
        <v>2068000000</v>
      </c>
      <c r="F10" s="3" t="n"/>
    </row>
    <row r="11">
      <c r="A11" t="inlineStr">
        <is>
          <t>Effect Of Exchange Rate Changes</t>
        </is>
      </c>
      <c r="B11" s="3" t="n">
        <v>9000000</v>
      </c>
      <c r="C11" s="3" t="n">
        <v>6000000</v>
      </c>
      <c r="D11" s="3" t="n">
        <v>-2000000</v>
      </c>
      <c r="E11" s="3" t="n">
        <v>-43000000</v>
      </c>
      <c r="F11" s="3" t="n"/>
    </row>
    <row r="12">
      <c r="A12" t="inlineStr">
        <is>
          <t>Changes In Cash</t>
        </is>
      </c>
      <c r="B12" s="3" t="n">
        <v>67000000</v>
      </c>
      <c r="C12" s="3" t="n">
        <v>-680000000</v>
      </c>
      <c r="D12" s="3" t="n">
        <v>433000000</v>
      </c>
      <c r="E12" s="3" t="n">
        <v>32000000</v>
      </c>
      <c r="F12" s="3" t="n"/>
    </row>
    <row r="13">
      <c r="A13" t="inlineStr">
        <is>
          <t>Financing Cash Flow</t>
        </is>
      </c>
      <c r="B13" s="3" t="n">
        <v>385000000</v>
      </c>
      <c r="C13" s="3" t="n">
        <v>-913000000</v>
      </c>
      <c r="D13" s="3" t="n">
        <v>-687000000</v>
      </c>
      <c r="E13" s="3" t="n">
        <v>-861000000</v>
      </c>
      <c r="F13" s="3" t="n"/>
    </row>
    <row r="14">
      <c r="A14" t="inlineStr">
        <is>
          <t>Cash Flow From Continuing Financing Activities</t>
        </is>
      </c>
      <c r="B14" s="3" t="n">
        <v>385000000</v>
      </c>
      <c r="C14" s="3" t="n">
        <v>-913000000</v>
      </c>
      <c r="D14" s="3" t="n">
        <v>-687000000</v>
      </c>
      <c r="E14" s="3" t="n">
        <v>-861000000</v>
      </c>
      <c r="F14" s="3" t="n"/>
    </row>
    <row r="15">
      <c r="A15" t="inlineStr">
        <is>
          <t>Net Other Financing Charges</t>
        </is>
      </c>
      <c r="B15" s="3" t="n">
        <v>-49000000</v>
      </c>
      <c r="C15" s="3" t="n">
        <v>-511000000</v>
      </c>
      <c r="D15" s="3" t="n">
        <v>-52000000</v>
      </c>
      <c r="E15" s="3" t="n">
        <v>-75000000</v>
      </c>
      <c r="F15" s="3" t="n"/>
    </row>
    <row r="16">
      <c r="A16" t="inlineStr">
        <is>
          <t>Proceeds From Stock Option Exercised</t>
        </is>
      </c>
      <c r="B16" s="3" t="n">
        <v>63000000</v>
      </c>
      <c r="C16" s="3" t="n">
        <v>66000000</v>
      </c>
      <c r="D16" s="3" t="n">
        <v>67000000</v>
      </c>
      <c r="E16" s="3" t="n">
        <v>63000000</v>
      </c>
      <c r="F16" s="3" t="n"/>
    </row>
    <row r="17">
      <c r="A17" t="inlineStr">
        <is>
          <t>Net Common Stock Issuance</t>
        </is>
      </c>
      <c r="B17" s="3" t="n">
        <v>-377000000</v>
      </c>
      <c r="C17" s="3" t="n">
        <v>-443000000</v>
      </c>
      <c r="D17" s="3" t="n">
        <v>-702000000</v>
      </c>
      <c r="E17" s="3" t="n">
        <v>-849000000</v>
      </c>
      <c r="F17" s="3" t="n"/>
    </row>
    <row r="18">
      <c r="A18" t="inlineStr">
        <is>
          <t>Common Stock Payments</t>
        </is>
      </c>
      <c r="B18" s="3" t="n">
        <v>-377000000</v>
      </c>
      <c r="C18" s="3" t="n">
        <v>-443000000</v>
      </c>
      <c r="D18" s="3" t="n">
        <v>-702000000</v>
      </c>
      <c r="E18" s="3" t="n">
        <v>-849000000</v>
      </c>
      <c r="F18" s="3" t="n"/>
    </row>
    <row r="19">
      <c r="A19" t="inlineStr">
        <is>
          <t>Net Issuance Payments Of Debt</t>
        </is>
      </c>
      <c r="B19" s="3" t="n">
        <v>748000000</v>
      </c>
      <c r="C19" s="3" t="n">
        <v>-25000000</v>
      </c>
      <c r="D19" s="3" t="n">
        <v>0</v>
      </c>
      <c r="E19" s="3" t="n">
        <v>0</v>
      </c>
      <c r="F19" s="3" t="n"/>
    </row>
    <row r="20">
      <c r="A20" t="inlineStr">
        <is>
          <t>Net Long Term Debt Issuance</t>
        </is>
      </c>
      <c r="B20" s="3" t="n">
        <v>748000000</v>
      </c>
      <c r="C20" s="3" t="n">
        <v>-25000000</v>
      </c>
      <c r="D20" s="3" t="n">
        <v>0</v>
      </c>
      <c r="E20" s="3" t="n">
        <v>0</v>
      </c>
      <c r="F20" s="3" t="n"/>
    </row>
    <row r="21">
      <c r="A21" t="inlineStr">
        <is>
          <t>Long Term Debt Payments</t>
        </is>
      </c>
      <c r="B21" s="3" t="n">
        <v>0</v>
      </c>
      <c r="C21" s="3" t="n">
        <v>-624000000</v>
      </c>
      <c r="D21" s="3" t="n">
        <v>0</v>
      </c>
      <c r="E21" s="3" t="n">
        <v>0</v>
      </c>
      <c r="F21" s="3" t="n"/>
    </row>
    <row r="22">
      <c r="A22" t="inlineStr">
        <is>
          <t>Long Term Debt Issuance</t>
        </is>
      </c>
      <c r="B22" s="3" t="n">
        <v>748000000</v>
      </c>
      <c r="C22" s="3" t="n">
        <v>599000000</v>
      </c>
      <c r="D22" s="3" t="n">
        <v>0</v>
      </c>
      <c r="E22" s="3" t="n">
        <v>0</v>
      </c>
      <c r="F22" s="3" t="n"/>
    </row>
    <row r="23">
      <c r="A23" t="inlineStr">
        <is>
          <t>Investing Cash Flow</t>
        </is>
      </c>
      <c r="B23" s="3" t="n">
        <v>-1727000000</v>
      </c>
      <c r="C23" s="3" t="n">
        <v>-819000000</v>
      </c>
      <c r="D23" s="3" t="n">
        <v>-288000000</v>
      </c>
      <c r="E23" s="3" t="n">
        <v>-251000000</v>
      </c>
      <c r="F23" s="3" t="n"/>
    </row>
    <row r="24">
      <c r="A24" t="inlineStr">
        <is>
          <t>Cash Flow From Continuing Investing Activities</t>
        </is>
      </c>
      <c r="B24" s="3" t="n">
        <v>-1727000000</v>
      </c>
      <c r="C24" s="3" t="n">
        <v>-819000000</v>
      </c>
      <c r="D24" s="3" t="n">
        <v>-288000000</v>
      </c>
      <c r="E24" s="3" t="n">
        <v>-251000000</v>
      </c>
      <c r="F24" s="3" t="n"/>
    </row>
    <row r="25">
      <c r="A25" t="inlineStr">
        <is>
          <t>Net Other Investing Changes</t>
        </is>
      </c>
      <c r="B25" s="3" t="n">
        <v>-6000000</v>
      </c>
      <c r="C25" s="3" t="n">
        <v>5000000</v>
      </c>
      <c r="D25" s="3" t="n">
        <v>-6000000</v>
      </c>
      <c r="E25" s="3" t="n"/>
      <c r="F25" s="3" t="n">
        <v>-1000000</v>
      </c>
    </row>
    <row r="26">
      <c r="A26" t="inlineStr">
        <is>
          <t>Net Investment Purchase And Sale</t>
        </is>
      </c>
      <c r="B26" s="3" t="n">
        <v>30000000</v>
      </c>
      <c r="C26" s="3" t="n">
        <v>11000000</v>
      </c>
      <c r="D26" s="3" t="n">
        <v>0</v>
      </c>
      <c r="E26" s="3" t="n">
        <v>-33000000</v>
      </c>
      <c r="F26" s="3" t="n"/>
    </row>
    <row r="27">
      <c r="A27" t="inlineStr">
        <is>
          <t>Sale Of Investment</t>
        </is>
      </c>
      <c r="B27" s="3" t="n">
        <v>30000000</v>
      </c>
      <c r="C27" s="3" t="n">
        <v>11000000</v>
      </c>
      <c r="D27" s="3" t="n">
        <v>0</v>
      </c>
      <c r="E27" s="3" t="n"/>
      <c r="F27" s="3" t="n">
        <v>0</v>
      </c>
    </row>
    <row r="28">
      <c r="A28" t="inlineStr">
        <is>
          <t>Purchase Of Investment</t>
        </is>
      </c>
      <c r="B28" s="3" t="n"/>
      <c r="C28" s="3" t="n">
        <v>-11000000</v>
      </c>
      <c r="D28" s="3" t="n">
        <v>-7000000</v>
      </c>
      <c r="E28" s="3" t="n">
        <v>-33000000</v>
      </c>
      <c r="F28" s="3" t="n">
        <v>-1000000</v>
      </c>
    </row>
    <row r="29">
      <c r="A29" t="inlineStr">
        <is>
          <t>Net Business Purchase And Sale</t>
        </is>
      </c>
      <c r="B29" s="3" t="n">
        <v>-1623000000</v>
      </c>
      <c r="C29" s="3" t="n">
        <v>-681000000</v>
      </c>
      <c r="D29" s="3" t="n">
        <v>-85000000</v>
      </c>
      <c r="E29" s="3" t="n">
        <v>-33000000</v>
      </c>
      <c r="F29" s="3" t="n"/>
    </row>
    <row r="30">
      <c r="A30" t="inlineStr">
        <is>
          <t>Sale Of Business</t>
        </is>
      </c>
      <c r="B30" s="3" t="n">
        <v>399000000</v>
      </c>
      <c r="C30" s="3" t="n">
        <v>0</v>
      </c>
      <c r="D30" s="3" t="n">
        <v>0</v>
      </c>
      <c r="E30" s="3" t="n"/>
      <c r="F30" s="3" t="n"/>
    </row>
    <row r="31">
      <c r="A31" t="inlineStr">
        <is>
          <t>Purchase Of Business</t>
        </is>
      </c>
      <c r="B31" s="3" t="n">
        <v>-2022000000</v>
      </c>
      <c r="C31" s="3" t="n">
        <v>-681000000</v>
      </c>
      <c r="D31" s="3" t="n">
        <v>-85000000</v>
      </c>
      <c r="E31" s="3" t="n">
        <v>-33000000</v>
      </c>
      <c r="F31" s="3" t="n"/>
    </row>
    <row r="32">
      <c r="A32" t="inlineStr">
        <is>
          <t>Net PPE Purchase And Sale</t>
        </is>
      </c>
      <c r="B32" s="3" t="n">
        <v>-128000000</v>
      </c>
      <c r="C32" s="3" t="n">
        <v>-154000000</v>
      </c>
      <c r="D32" s="3" t="n">
        <v>-197000000</v>
      </c>
      <c r="E32" s="3" t="n">
        <v>-185000000</v>
      </c>
      <c r="F32" s="3" t="n"/>
    </row>
    <row r="33">
      <c r="A33" t="inlineStr">
        <is>
          <t>Purchase Of PPE</t>
        </is>
      </c>
      <c r="B33" s="3" t="n">
        <v>-128000000</v>
      </c>
      <c r="C33" s="3" t="n">
        <v>-154000000</v>
      </c>
      <c r="D33" s="3" t="n">
        <v>-197000000</v>
      </c>
      <c r="E33" s="3" t="n">
        <v>-185000000</v>
      </c>
      <c r="F33" s="3" t="n"/>
    </row>
    <row r="34">
      <c r="A34" t="inlineStr">
        <is>
          <t>Operating Cash Flow</t>
        </is>
      </c>
      <c r="B34" s="3" t="n">
        <v>1409000000</v>
      </c>
      <c r="C34" s="3" t="n">
        <v>1052000000</v>
      </c>
      <c r="D34" s="3" t="n">
        <v>1408000000</v>
      </c>
      <c r="E34" s="3" t="n">
        <v>1144000000</v>
      </c>
      <c r="F34" s="3" t="n"/>
    </row>
    <row r="35">
      <c r="A35" t="inlineStr">
        <is>
          <t>Cash Flow From Continuing Operating Activities</t>
        </is>
      </c>
      <c r="B35" s="3" t="n">
        <v>1409000000</v>
      </c>
      <c r="C35" s="3" t="n">
        <v>1052000000</v>
      </c>
      <c r="D35" s="3" t="n">
        <v>1408000000</v>
      </c>
      <c r="E35" s="3" t="n">
        <v>1144000000</v>
      </c>
      <c r="F35" s="3" t="n"/>
    </row>
    <row r="36">
      <c r="A36" t="inlineStr">
        <is>
          <t>Change In Working Capital</t>
        </is>
      </c>
      <c r="B36" s="3" t="n">
        <v>302000000</v>
      </c>
      <c r="C36" s="3" t="n">
        <v>-271000000</v>
      </c>
      <c r="D36" s="3" t="n">
        <v>-126000000</v>
      </c>
      <c r="E36" s="3" t="n">
        <v>-404000000</v>
      </c>
      <c r="F36" s="3" t="n"/>
    </row>
    <row r="37">
      <c r="A37" t="inlineStr">
        <is>
          <t>Change In Other Working Capital</t>
        </is>
      </c>
      <c r="B37" s="3" t="n">
        <v>67000000</v>
      </c>
      <c r="C37" s="3" t="n">
        <v>-147000000</v>
      </c>
      <c r="D37" s="3" t="n">
        <v>114000000</v>
      </c>
      <c r="E37" s="3" t="n">
        <v>37000000</v>
      </c>
      <c r="F37" s="3" t="n"/>
    </row>
    <row r="38">
      <c r="A38" t="inlineStr">
        <is>
          <t>Change In Payables And Accrued Expense</t>
        </is>
      </c>
      <c r="B38" s="3" t="n">
        <v>131000000</v>
      </c>
      <c r="C38" s="3" t="n">
        <v>56000000</v>
      </c>
      <c r="D38" s="3" t="n">
        <v>-102000000</v>
      </c>
      <c r="E38" s="3" t="n">
        <v>42000000</v>
      </c>
      <c r="F38" s="3" t="n"/>
    </row>
    <row r="39">
      <c r="A39" t="inlineStr">
        <is>
          <t>Change In Payable</t>
        </is>
      </c>
      <c r="B39" s="3" t="n">
        <v>131000000</v>
      </c>
      <c r="C39" s="3" t="n">
        <v>56000000</v>
      </c>
      <c r="D39" s="3" t="n">
        <v>-102000000</v>
      </c>
      <c r="E39" s="3" t="n">
        <v>42000000</v>
      </c>
      <c r="F39" s="3" t="n"/>
    </row>
    <row r="40">
      <c r="A40" t="inlineStr">
        <is>
          <t>Change In Account Payable</t>
        </is>
      </c>
      <c r="B40" s="3" t="n">
        <v>26000000</v>
      </c>
      <c r="C40" s="3" t="n">
        <v>26000000</v>
      </c>
      <c r="D40" s="3" t="n">
        <v>-62000000</v>
      </c>
      <c r="E40" s="3" t="n">
        <v>56000000</v>
      </c>
      <c r="F40" s="3" t="n"/>
    </row>
    <row r="41">
      <c r="A41" t="inlineStr">
        <is>
          <t>Change In Tax Payable</t>
        </is>
      </c>
      <c r="B41" s="3" t="n">
        <v>105000000</v>
      </c>
      <c r="C41" s="3" t="n">
        <v>30000000</v>
      </c>
      <c r="D41" s="3" t="n">
        <v>-40000000</v>
      </c>
      <c r="E41" s="3" t="n">
        <v>-14000000</v>
      </c>
      <c r="F41" s="3" t="n"/>
    </row>
    <row r="42">
      <c r="A42" t="inlineStr">
        <is>
          <t>Change In Income Tax Payable</t>
        </is>
      </c>
      <c r="B42" s="3" t="n">
        <v>105000000</v>
      </c>
      <c r="C42" s="3" t="n">
        <v>30000000</v>
      </c>
      <c r="D42" s="3" t="n">
        <v>-40000000</v>
      </c>
      <c r="E42" s="3" t="n">
        <v>-14000000</v>
      </c>
      <c r="F42" s="3" t="n"/>
    </row>
    <row r="43">
      <c r="A43" t="inlineStr">
        <is>
          <t>Change In Prepaid Assets</t>
        </is>
      </c>
      <c r="B43" s="3" t="n"/>
      <c r="C43" s="3" t="n">
        <v>14000000</v>
      </c>
      <c r="D43" s="3" t="n">
        <v>7000000</v>
      </c>
      <c r="E43" s="3" t="n">
        <v>-124000000</v>
      </c>
      <c r="F43" s="3" t="n">
        <v>-43000000</v>
      </c>
    </row>
    <row r="44">
      <c r="A44" t="inlineStr">
        <is>
          <t>Change In Inventory</t>
        </is>
      </c>
      <c r="B44" s="3" t="n">
        <v>-24000000</v>
      </c>
      <c r="C44" s="3" t="n">
        <v>-49000000</v>
      </c>
      <c r="D44" s="3" t="n">
        <v>-148000000</v>
      </c>
      <c r="E44" s="3" t="n">
        <v>-125000000</v>
      </c>
      <c r="F44" s="3" t="n"/>
    </row>
    <row r="45">
      <c r="A45" t="inlineStr">
        <is>
          <t>Change In Receivables</t>
        </is>
      </c>
      <c r="B45" s="3" t="n">
        <v>128000000</v>
      </c>
      <c r="C45" s="3" t="n">
        <v>-131000000</v>
      </c>
      <c r="D45" s="3" t="n">
        <v>10000000</v>
      </c>
      <c r="E45" s="3" t="n">
        <v>-234000000</v>
      </c>
      <c r="F45" s="3" t="n"/>
    </row>
    <row r="46">
      <c r="A46" t="inlineStr">
        <is>
          <t>Changes In Account Receivables</t>
        </is>
      </c>
      <c r="B46" s="3" t="n">
        <v>23000000</v>
      </c>
      <c r="C46" s="3" t="n">
        <v>71000000</v>
      </c>
      <c r="D46" s="3" t="n">
        <v>14000000</v>
      </c>
      <c r="E46" s="3" t="n">
        <v>-204000000</v>
      </c>
      <c r="F46" s="3" t="n"/>
    </row>
    <row r="47">
      <c r="A47" t="inlineStr">
        <is>
          <t>Other Non Cash Items</t>
        </is>
      </c>
      <c r="B47" s="3" t="n">
        <v>49000000</v>
      </c>
      <c r="C47" s="3" t="n">
        <v>42000000</v>
      </c>
      <c r="D47" s="3" t="n">
        <v>138000000</v>
      </c>
      <c r="E47" s="3" t="n">
        <v>69000000</v>
      </c>
      <c r="F47" s="3" t="n"/>
    </row>
    <row r="48">
      <c r="A48" t="inlineStr">
        <is>
          <t>Stock Based Compensation</t>
        </is>
      </c>
      <c r="B48" s="3" t="n">
        <v>162000000</v>
      </c>
      <c r="C48" s="3" t="n">
        <v>137000000</v>
      </c>
      <c r="D48" s="3" t="n">
        <v>135000000</v>
      </c>
      <c r="E48" s="3" t="n">
        <v>125000000</v>
      </c>
      <c r="F48" s="3" t="n"/>
    </row>
    <row r="49">
      <c r="A49" t="inlineStr">
        <is>
          <t>Unrealized Gain Loss On Investment Securities</t>
        </is>
      </c>
      <c r="B49" s="3" t="n">
        <v>-93000000</v>
      </c>
      <c r="C49" s="3" t="n">
        <v>-8000000</v>
      </c>
      <c r="D49" s="3" t="n">
        <v>-5000000</v>
      </c>
      <c r="E49" s="3" t="n">
        <v>31000000</v>
      </c>
      <c r="F49" s="3" t="n"/>
    </row>
    <row r="50">
      <c r="A50" t="inlineStr">
        <is>
          <t>Deferred Tax</t>
        </is>
      </c>
      <c r="B50" s="3" t="n">
        <v>-116000000</v>
      </c>
      <c r="C50" s="3" t="n">
        <v>268000000</v>
      </c>
      <c r="D50" s="3" t="n">
        <v>-3000000</v>
      </c>
      <c r="E50" s="3" t="n">
        <v>7000000</v>
      </c>
      <c r="F50" s="3" t="n"/>
    </row>
    <row r="51">
      <c r="A51" t="inlineStr">
        <is>
          <t>Deferred Income Tax</t>
        </is>
      </c>
      <c r="B51" s="3" t="n">
        <v>-116000000</v>
      </c>
      <c r="C51" s="3" t="n">
        <v>268000000</v>
      </c>
      <c r="D51" s="3" t="n">
        <v>-3000000</v>
      </c>
      <c r="E51" s="3" t="n">
        <v>7000000</v>
      </c>
      <c r="F51" s="3" t="n"/>
    </row>
    <row r="52">
      <c r="A52" t="inlineStr">
        <is>
          <t>Depreciation Amortization Depletion</t>
        </is>
      </c>
      <c r="B52" s="3" t="n">
        <v>276000000</v>
      </c>
      <c r="C52" s="3" t="n">
        <v>270000000</v>
      </c>
      <c r="D52" s="3" t="n">
        <v>212000000</v>
      </c>
      <c r="E52" s="3" t="n">
        <v>223000000</v>
      </c>
      <c r="F52" s="3" t="n"/>
    </row>
    <row r="53">
      <c r="A53" t="inlineStr">
        <is>
          <t>Depreciation And Amortization</t>
        </is>
      </c>
      <c r="B53" s="3" t="n">
        <v>276000000</v>
      </c>
      <c r="C53" s="3" t="n">
        <v>270000000</v>
      </c>
      <c r="D53" s="3" t="n">
        <v>212000000</v>
      </c>
      <c r="E53" s="3" t="n">
        <v>223000000</v>
      </c>
      <c r="F53" s="3" t="n"/>
    </row>
    <row r="54">
      <c r="A54" t="inlineStr">
        <is>
          <t>Amortization Cash Flow</t>
        </is>
      </c>
      <c r="B54" s="3" t="n">
        <v>145000000</v>
      </c>
      <c r="C54" s="3" t="n">
        <v>144000000</v>
      </c>
      <c r="D54" s="3" t="n">
        <v>92000000</v>
      </c>
      <c r="E54" s="3" t="n">
        <v>106000000</v>
      </c>
      <c r="F54" s="3" t="n"/>
    </row>
    <row r="55">
      <c r="A55" t="inlineStr">
        <is>
          <t>Amortization Of Intangibles</t>
        </is>
      </c>
      <c r="B55" s="3" t="n">
        <v>145000000</v>
      </c>
      <c r="C55" s="3" t="n">
        <v>144000000</v>
      </c>
      <c r="D55" s="3" t="n">
        <v>92000000</v>
      </c>
      <c r="E55" s="3" t="n">
        <v>106000000</v>
      </c>
      <c r="F55" s="3" t="n"/>
    </row>
    <row r="56">
      <c r="A56" t="inlineStr">
        <is>
          <t>Depreciation</t>
        </is>
      </c>
      <c r="B56" s="3" t="n">
        <v>131000000</v>
      </c>
      <c r="C56" s="3" t="n">
        <v>126000000</v>
      </c>
      <c r="D56" s="3" t="n">
        <v>120000000</v>
      </c>
      <c r="E56" s="3" t="n">
        <v>117000000</v>
      </c>
      <c r="F56" s="3" t="n"/>
    </row>
    <row r="57">
      <c r="A57" t="inlineStr">
        <is>
          <t>Operating Gains Losses</t>
        </is>
      </c>
      <c r="B57" s="3" t="n">
        <v>-21000000</v>
      </c>
      <c r="C57" s="3" t="n"/>
      <c r="D57" s="3" t="n"/>
      <c r="E57" s="3" t="n"/>
      <c r="F57" s="3" t="n">
        <v>16000000</v>
      </c>
    </row>
    <row r="58">
      <c r="A58" t="inlineStr">
        <is>
          <t>Pension And Employee Benefit Expense</t>
        </is>
      </c>
      <c r="B58" s="3" t="n"/>
      <c r="C58" s="3" t="n"/>
      <c r="D58" s="3" t="n">
        <v>0</v>
      </c>
      <c r="E58" s="3" t="n">
        <v>0</v>
      </c>
      <c r="F58" s="3" t="n">
        <v>16000000</v>
      </c>
    </row>
    <row r="59">
      <c r="A59" t="inlineStr">
        <is>
          <t>Gain Loss On Investment Securities</t>
        </is>
      </c>
      <c r="B59" s="3" t="n">
        <v>-21000000</v>
      </c>
      <c r="C59" s="3" t="n"/>
      <c r="D59" s="3" t="n"/>
      <c r="E59" s="3" t="n"/>
      <c r="F59" s="3" t="n"/>
    </row>
    <row r="60">
      <c r="A60" t="inlineStr">
        <is>
          <t>Net Income From Continuing Operations</t>
        </is>
      </c>
      <c r="B60" s="3" t="n">
        <v>850000000</v>
      </c>
      <c r="C60" s="3" t="n">
        <v>614000000</v>
      </c>
      <c r="D60" s="3" t="n">
        <v>1057000000</v>
      </c>
      <c r="E60" s="3" t="n">
        <v>1124000000</v>
      </c>
      <c r="F60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Line item</t>
        </is>
      </c>
      <c r="B1" s="1" t="inlineStr">
        <is>
          <t>2026-01-31</t>
        </is>
      </c>
      <c r="C1" s="1" t="inlineStr">
        <is>
          <t>2025-10-31</t>
        </is>
      </c>
      <c r="D1" s="1" t="inlineStr">
        <is>
          <t>2025-07-31</t>
        </is>
      </c>
      <c r="E1" s="1" t="inlineStr">
        <is>
          <t>2025-04-30</t>
        </is>
      </c>
      <c r="F1" s="1" t="inlineStr">
        <is>
          <t>2025-01-31</t>
        </is>
      </c>
      <c r="G1" s="1" t="inlineStr">
        <is>
          <t>2024-10-31</t>
        </is>
      </c>
    </row>
    <row r="2">
      <c r="A2" t="inlineStr">
        <is>
          <t>Free Cash Flow</t>
        </is>
      </c>
      <c r="B2" s="3" t="n">
        <v>407000000</v>
      </c>
      <c r="C2" s="3" t="n">
        <v>187000000</v>
      </c>
      <c r="D2" s="3" t="n">
        <v>291000000</v>
      </c>
      <c r="E2" s="3" t="n">
        <v>457000000</v>
      </c>
      <c r="F2" s="3" t="n">
        <v>346000000</v>
      </c>
      <c r="G2" s="3" t="n"/>
    </row>
    <row r="3">
      <c r="A3" t="inlineStr">
        <is>
          <t>Repurchase Of Capital Stock</t>
        </is>
      </c>
      <c r="B3" s="3" t="n">
        <v>-87000000</v>
      </c>
      <c r="C3" s="3" t="n">
        <v>-99000000</v>
      </c>
      <c r="D3" s="3" t="n">
        <v>-50000000</v>
      </c>
      <c r="E3" s="3" t="n">
        <v>-153000000</v>
      </c>
      <c r="F3" s="3" t="n">
        <v>-75000000</v>
      </c>
      <c r="G3" s="3" t="n"/>
    </row>
    <row r="4">
      <c r="A4" t="inlineStr">
        <is>
          <t>Repayment Of Debt</t>
        </is>
      </c>
      <c r="B4" s="3" t="n"/>
      <c r="C4" s="3" t="n">
        <v>0</v>
      </c>
      <c r="D4" s="3" t="n">
        <v>0</v>
      </c>
      <c r="E4" s="3" t="n"/>
      <c r="F4" s="3" t="n"/>
      <c r="G4" s="3" t="n">
        <v>-600000000</v>
      </c>
    </row>
    <row r="5">
      <c r="A5" t="inlineStr">
        <is>
          <t>Issuance Of Debt</t>
        </is>
      </c>
      <c r="B5" s="3" t="n"/>
      <c r="C5" s="3" t="n">
        <v>0</v>
      </c>
      <c r="D5" s="3" t="n">
        <v>0</v>
      </c>
      <c r="E5" s="3" t="n"/>
      <c r="F5" s="3" t="n"/>
      <c r="G5" s="3" t="n"/>
    </row>
    <row r="6">
      <c r="A6" t="inlineStr">
        <is>
          <t>Capital Expenditure</t>
        </is>
      </c>
      <c r="B6" s="3" t="n">
        <v>-34000000</v>
      </c>
      <c r="C6" s="3" t="n">
        <v>-38000000</v>
      </c>
      <c r="D6" s="3" t="n">
        <v>-31000000</v>
      </c>
      <c r="E6" s="3" t="n">
        <v>-27000000</v>
      </c>
      <c r="F6" s="3" t="n">
        <v>-32000000</v>
      </c>
      <c r="G6" s="3" t="n"/>
    </row>
    <row r="7">
      <c r="A7" t="inlineStr">
        <is>
          <t>Interest Paid Supplemental Data</t>
        </is>
      </c>
      <c r="B7" s="3" t="n">
        <v>32000000</v>
      </c>
      <c r="C7" s="3" t="n">
        <v>38000000</v>
      </c>
      <c r="D7" s="3" t="n">
        <v>0</v>
      </c>
      <c r="E7" s="3" t="n">
        <v>39000000</v>
      </c>
      <c r="F7" s="3" t="n">
        <v>0</v>
      </c>
      <c r="G7" s="3" t="n"/>
    </row>
    <row r="8">
      <c r="A8" t="inlineStr">
        <is>
          <t>Income Tax Paid Supplemental Data</t>
        </is>
      </c>
      <c r="B8" s="3" t="n">
        <v>18000000</v>
      </c>
      <c r="C8" s="3" t="n">
        <v>46000000</v>
      </c>
      <c r="D8" s="3" t="n">
        <v>30000000</v>
      </c>
      <c r="E8" s="3" t="n">
        <v>35000000</v>
      </c>
      <c r="F8" s="3" t="n">
        <v>9000000</v>
      </c>
      <c r="G8" s="3" t="n"/>
    </row>
    <row r="9">
      <c r="A9" t="inlineStr">
        <is>
          <t>End Cash Position</t>
        </is>
      </c>
      <c r="B9" s="3" t="n">
        <v>2195000000</v>
      </c>
      <c r="C9" s="3" t="n">
        <v>1890000000</v>
      </c>
      <c r="D9" s="3" t="n">
        <v>3397000000</v>
      </c>
      <c r="E9" s="3" t="n">
        <v>3135000000</v>
      </c>
      <c r="F9" s="3" t="n">
        <v>2077000000</v>
      </c>
      <c r="G9" s="3" t="n"/>
    </row>
    <row r="10">
      <c r="A10" t="inlineStr">
        <is>
          <t>Beginning Cash Position</t>
        </is>
      </c>
      <c r="B10" s="3" t="n">
        <v>1890000000</v>
      </c>
      <c r="C10" s="3" t="n">
        <v>3397000000</v>
      </c>
      <c r="D10" s="3" t="n">
        <v>3135000000</v>
      </c>
      <c r="E10" s="3" t="n">
        <v>2077000000</v>
      </c>
      <c r="F10" s="3" t="n">
        <v>1814000000</v>
      </c>
      <c r="G10" s="3" t="n"/>
    </row>
    <row r="11">
      <c r="A11" t="inlineStr">
        <is>
          <t>Effect Of Exchange Rate Changes</t>
        </is>
      </c>
      <c r="B11" s="3" t="n">
        <v>7000000</v>
      </c>
      <c r="C11" s="3" t="n">
        <v>0</v>
      </c>
      <c r="D11" s="3" t="n">
        <v>-1000000</v>
      </c>
      <c r="E11" s="3" t="n">
        <v>18000000</v>
      </c>
      <c r="F11" s="3" t="n">
        <v>-8000000</v>
      </c>
      <c r="G11" s="3" t="n"/>
    </row>
    <row r="12">
      <c r="A12" t="inlineStr">
        <is>
          <t>Changes In Cash</t>
        </is>
      </c>
      <c r="B12" s="3" t="n">
        <v>298000000</v>
      </c>
      <c r="C12" s="3" t="n">
        <v>-1507000000</v>
      </c>
      <c r="D12" s="3" t="n">
        <v>263000000</v>
      </c>
      <c r="E12" s="3" t="n">
        <v>1040000000</v>
      </c>
      <c r="F12" s="3" t="n">
        <v>271000000</v>
      </c>
      <c r="G12" s="3" t="n"/>
    </row>
    <row r="13">
      <c r="A13" t="inlineStr">
        <is>
          <t>Financing Cash Flow</t>
        </is>
      </c>
      <c r="B13" s="3" t="n">
        <v>-99000000</v>
      </c>
      <c r="C13" s="3" t="n">
        <v>-102000000</v>
      </c>
      <c r="D13" s="3" t="n">
        <v>-28000000</v>
      </c>
      <c r="E13" s="3" t="n">
        <v>589000000</v>
      </c>
      <c r="F13" s="3" t="n">
        <v>-74000000</v>
      </c>
      <c r="G13" s="3" t="n"/>
    </row>
    <row r="14">
      <c r="A14" t="inlineStr">
        <is>
          <t>Cash Flow From Continuing Financing Activities</t>
        </is>
      </c>
      <c r="B14" s="3" t="n">
        <v>-99000000</v>
      </c>
      <c r="C14" s="3" t="n">
        <v>-102000000</v>
      </c>
      <c r="D14" s="3" t="n">
        <v>-28000000</v>
      </c>
      <c r="E14" s="3" t="n">
        <v>589000000</v>
      </c>
      <c r="F14" s="3" t="n">
        <v>-74000000</v>
      </c>
      <c r="G14" s="3" t="n"/>
    </row>
    <row r="15">
      <c r="A15" t="inlineStr">
        <is>
          <t>Net Other Financing Charges</t>
        </is>
      </c>
      <c r="B15" s="3" t="n">
        <v>-44000000</v>
      </c>
      <c r="C15" s="3" t="n">
        <v>-3000000</v>
      </c>
      <c r="D15" s="3" t="n">
        <v>-10000000</v>
      </c>
      <c r="E15" s="3" t="n">
        <v>-6000000</v>
      </c>
      <c r="F15" s="3" t="n">
        <v>-30000000</v>
      </c>
      <c r="G15" s="3" t="n"/>
    </row>
    <row r="16">
      <c r="A16" t="inlineStr">
        <is>
          <t>Proceeds From Stock Option Exercised</t>
        </is>
      </c>
      <c r="B16" s="3" t="n">
        <v>32000000</v>
      </c>
      <c r="C16" s="3" t="n">
        <v>0</v>
      </c>
      <c r="D16" s="3" t="n">
        <v>32000000</v>
      </c>
      <c r="E16" s="3" t="n">
        <v>0</v>
      </c>
      <c r="F16" s="3" t="n">
        <v>31000000</v>
      </c>
      <c r="G16" s="3" t="n"/>
    </row>
    <row r="17">
      <c r="A17" t="inlineStr">
        <is>
          <t>Net Common Stock Issuance</t>
        </is>
      </c>
      <c r="B17" s="3" t="n">
        <v>-87000000</v>
      </c>
      <c r="C17" s="3" t="n">
        <v>-99000000</v>
      </c>
      <c r="D17" s="3" t="n">
        <v>-50000000</v>
      </c>
      <c r="E17" s="3" t="n">
        <v>-153000000</v>
      </c>
      <c r="F17" s="3" t="n">
        <v>-75000000</v>
      </c>
      <c r="G17" s="3" t="n"/>
    </row>
    <row r="18">
      <c r="A18" t="inlineStr">
        <is>
          <t>Common Stock Payments</t>
        </is>
      </c>
      <c r="B18" s="3" t="n">
        <v>-87000000</v>
      </c>
      <c r="C18" s="3" t="n">
        <v>-99000000</v>
      </c>
      <c r="D18" s="3" t="n">
        <v>-50000000</v>
      </c>
      <c r="E18" s="3" t="n">
        <v>-153000000</v>
      </c>
      <c r="F18" s="3" t="n">
        <v>-75000000</v>
      </c>
      <c r="G18" s="3" t="n"/>
    </row>
    <row r="19">
      <c r="A19" t="inlineStr">
        <is>
          <t>Net Issuance Payments Of Debt</t>
        </is>
      </c>
      <c r="B19" s="3" t="n"/>
      <c r="C19" s="3" t="n">
        <v>0</v>
      </c>
      <c r="D19" s="3" t="n">
        <v>0</v>
      </c>
      <c r="E19" s="3" t="n"/>
      <c r="F19" s="3" t="n"/>
      <c r="G19" s="3" t="n">
        <v>-1000000</v>
      </c>
    </row>
    <row r="20">
      <c r="A20" t="inlineStr">
        <is>
          <t>Net Long Term Debt Issuance</t>
        </is>
      </c>
      <c r="B20" s="3" t="n"/>
      <c r="C20" s="3" t="n">
        <v>0</v>
      </c>
      <c r="D20" s="3" t="n">
        <v>0</v>
      </c>
      <c r="E20" s="3" t="n"/>
      <c r="F20" s="3" t="n"/>
      <c r="G20" s="3" t="n">
        <v>-1000000</v>
      </c>
    </row>
    <row r="21">
      <c r="A21" t="inlineStr">
        <is>
          <t>Long Term Debt Payments</t>
        </is>
      </c>
      <c r="B21" s="3" t="n"/>
      <c r="C21" s="3" t="n">
        <v>0</v>
      </c>
      <c r="D21" s="3" t="n">
        <v>0</v>
      </c>
      <c r="E21" s="3" t="n"/>
      <c r="F21" s="3" t="n"/>
      <c r="G21" s="3" t="n">
        <v>-600000000</v>
      </c>
    </row>
    <row r="22">
      <c r="A22" t="inlineStr">
        <is>
          <t>Long Term Debt Issuance</t>
        </is>
      </c>
      <c r="B22" s="3" t="n"/>
      <c r="C22" s="3" t="n">
        <v>0</v>
      </c>
      <c r="D22" s="3" t="n">
        <v>0</v>
      </c>
      <c r="E22" s="3" t="n"/>
      <c r="F22" s="3" t="n"/>
      <c r="G22" s="3" t="n"/>
    </row>
    <row r="23">
      <c r="A23" t="inlineStr">
        <is>
          <t>Investing Cash Flow</t>
        </is>
      </c>
      <c r="B23" s="3" t="n">
        <v>-44000000</v>
      </c>
      <c r="C23" s="3" t="n">
        <v>-1630000000</v>
      </c>
      <c r="D23" s="3" t="n">
        <v>-31000000</v>
      </c>
      <c r="E23" s="3" t="n">
        <v>-33000000</v>
      </c>
      <c r="F23" s="3" t="n">
        <v>-33000000</v>
      </c>
      <c r="G23" s="3" t="n"/>
    </row>
    <row r="24">
      <c r="A24" t="inlineStr">
        <is>
          <t>Cash Flow From Continuing Investing Activities</t>
        </is>
      </c>
      <c r="B24" s="3" t="n">
        <v>-44000000</v>
      </c>
      <c r="C24" s="3" t="n">
        <v>-1630000000</v>
      </c>
      <c r="D24" s="3" t="n">
        <v>-31000000</v>
      </c>
      <c r="E24" s="3" t="n">
        <v>-33000000</v>
      </c>
      <c r="F24" s="3" t="n">
        <v>-33000000</v>
      </c>
      <c r="G24" s="3" t="n"/>
    </row>
    <row r="25">
      <c r="A25" t="inlineStr">
        <is>
          <t>Net Other Investing Changes</t>
        </is>
      </c>
      <c r="B25" s="3" t="n">
        <v>-1000000</v>
      </c>
      <c r="C25" s="3" t="n">
        <v>-2000000</v>
      </c>
      <c r="D25" s="3" t="n">
        <v>0</v>
      </c>
      <c r="E25" s="3" t="n">
        <v>-3000000</v>
      </c>
      <c r="F25" s="3" t="n">
        <v>-1000000</v>
      </c>
      <c r="G25" s="3" t="n"/>
    </row>
    <row r="26">
      <c r="A26" t="inlineStr">
        <is>
          <t>Net Investment Purchase And Sale</t>
        </is>
      </c>
      <c r="B26" s="3" t="n">
        <v>7000000</v>
      </c>
      <c r="C26" s="3" t="n"/>
      <c r="D26" s="3" t="n"/>
      <c r="E26" s="3" t="n"/>
      <c r="F26" s="3" t="n">
        <v>0</v>
      </c>
      <c r="G26" s="3" t="n"/>
    </row>
    <row r="27">
      <c r="A27" t="inlineStr">
        <is>
          <t>Sale Of Investment</t>
        </is>
      </c>
      <c r="B27" s="3" t="n">
        <v>7000000</v>
      </c>
      <c r="C27" s="3" t="n"/>
      <c r="D27" s="3" t="n"/>
      <c r="E27" s="3" t="n"/>
      <c r="F27" s="3" t="n">
        <v>0</v>
      </c>
      <c r="G27" s="3" t="n"/>
    </row>
    <row r="28">
      <c r="A28" t="inlineStr">
        <is>
          <t>Net Business Purchase And Sale</t>
        </is>
      </c>
      <c r="B28" s="3" t="n">
        <v>-16000000</v>
      </c>
      <c r="C28" s="3" t="n">
        <v>-1620000000</v>
      </c>
      <c r="D28" s="3" t="n">
        <v>0</v>
      </c>
      <c r="E28" s="3" t="n">
        <v>-3000000</v>
      </c>
      <c r="F28" s="3" t="n">
        <v>0</v>
      </c>
      <c r="G28" s="3" t="n"/>
    </row>
    <row r="29">
      <c r="A29" t="inlineStr">
        <is>
          <t>Purchase Of Business</t>
        </is>
      </c>
      <c r="B29" s="3" t="n">
        <v>-16000000</v>
      </c>
      <c r="C29" s="3" t="n">
        <v>-2019000000</v>
      </c>
      <c r="D29" s="3" t="n">
        <v>0</v>
      </c>
      <c r="E29" s="3" t="n">
        <v>-3000000</v>
      </c>
      <c r="F29" s="3" t="n">
        <v>0</v>
      </c>
      <c r="G29" s="3" t="n"/>
    </row>
    <row r="30">
      <c r="A30" t="inlineStr">
        <is>
          <t>Net PPE Purchase And Sale</t>
        </is>
      </c>
      <c r="B30" s="3" t="n">
        <v>-34000000</v>
      </c>
      <c r="C30" s="3" t="n">
        <v>-38000000</v>
      </c>
      <c r="D30" s="3" t="n">
        <v>-31000000</v>
      </c>
      <c r="E30" s="3" t="n">
        <v>-27000000</v>
      </c>
      <c r="F30" s="3" t="n">
        <v>-32000000</v>
      </c>
      <c r="G30" s="3" t="n"/>
    </row>
    <row r="31">
      <c r="A31" t="inlineStr">
        <is>
          <t>Purchase Of PPE</t>
        </is>
      </c>
      <c r="B31" s="3" t="n">
        <v>-34000000</v>
      </c>
      <c r="C31" s="3" t="n">
        <v>-38000000</v>
      </c>
      <c r="D31" s="3" t="n">
        <v>-31000000</v>
      </c>
      <c r="E31" s="3" t="n">
        <v>-27000000</v>
      </c>
      <c r="F31" s="3" t="n">
        <v>-32000000</v>
      </c>
      <c r="G31" s="3" t="n"/>
    </row>
    <row r="32">
      <c r="A32" t="inlineStr">
        <is>
          <t>Operating Cash Flow</t>
        </is>
      </c>
      <c r="B32" s="3" t="n">
        <v>441000000</v>
      </c>
      <c r="C32" s="3" t="n">
        <v>225000000</v>
      </c>
      <c r="D32" s="3" t="n">
        <v>322000000</v>
      </c>
      <c r="E32" s="3" t="n">
        <v>484000000</v>
      </c>
      <c r="F32" s="3" t="n">
        <v>378000000</v>
      </c>
      <c r="G32" s="3" t="n"/>
    </row>
    <row r="33">
      <c r="A33" t="inlineStr">
        <is>
          <t>Cash Flow From Continuing Operating Activities</t>
        </is>
      </c>
      <c r="B33" s="3" t="n">
        <v>441000000</v>
      </c>
      <c r="C33" s="3" t="n">
        <v>225000000</v>
      </c>
      <c r="D33" s="3" t="n">
        <v>322000000</v>
      </c>
      <c r="E33" s="3" t="n">
        <v>484000000</v>
      </c>
      <c r="F33" s="3" t="n">
        <v>378000000</v>
      </c>
      <c r="G33" s="3" t="n"/>
    </row>
    <row r="34">
      <c r="A34" t="inlineStr">
        <is>
          <t>Change In Working Capital</t>
        </is>
      </c>
      <c r="B34" s="3" t="n">
        <v>-83000000</v>
      </c>
      <c r="C34" s="3" t="n">
        <v>3000000</v>
      </c>
      <c r="D34" s="3" t="n">
        <v>56000000</v>
      </c>
      <c r="E34" s="3" t="n">
        <v>125000000</v>
      </c>
      <c r="F34" s="3" t="n">
        <v>118000000</v>
      </c>
      <c r="G34" s="3" t="n"/>
    </row>
    <row r="35">
      <c r="A35" t="inlineStr">
        <is>
          <t>Change In Other Working Capital</t>
        </is>
      </c>
      <c r="B35" s="3" t="n">
        <v>-6000000</v>
      </c>
      <c r="C35" s="3" t="n">
        <v>69000000</v>
      </c>
      <c r="D35" s="3" t="n">
        <v>-77000000</v>
      </c>
      <c r="E35" s="3" t="n">
        <v>-3000000</v>
      </c>
      <c r="F35" s="3" t="n">
        <v>78000000</v>
      </c>
      <c r="G35" s="3" t="n"/>
    </row>
    <row r="36">
      <c r="A36" t="inlineStr">
        <is>
          <t>Change In Payables And Accrued Expense</t>
        </is>
      </c>
      <c r="B36" s="3" t="n">
        <v>-54000000</v>
      </c>
      <c r="C36" s="3" t="n">
        <v>60000000</v>
      </c>
      <c r="D36" s="3" t="n">
        <v>8000000</v>
      </c>
      <c r="E36" s="3" t="n">
        <v>45000000</v>
      </c>
      <c r="F36" s="3" t="n">
        <v>18000000</v>
      </c>
      <c r="G36" s="3" t="n"/>
    </row>
    <row r="37">
      <c r="A37" t="inlineStr">
        <is>
          <t>Change In Payable</t>
        </is>
      </c>
      <c r="B37" s="3" t="n">
        <v>-54000000</v>
      </c>
      <c r="C37" s="3" t="n">
        <v>60000000</v>
      </c>
      <c r="D37" s="3" t="n">
        <v>8000000</v>
      </c>
      <c r="E37" s="3" t="n">
        <v>45000000</v>
      </c>
      <c r="F37" s="3" t="n">
        <v>18000000</v>
      </c>
      <c r="G37" s="3" t="n"/>
    </row>
    <row r="38">
      <c r="A38" t="inlineStr">
        <is>
          <t>Change In Account Payable</t>
        </is>
      </c>
      <c r="B38" s="3" t="n">
        <v>-13000000</v>
      </c>
      <c r="C38" s="3" t="n">
        <v>-3000000</v>
      </c>
      <c r="D38" s="3" t="n">
        <v>22000000</v>
      </c>
      <c r="E38" s="3" t="n">
        <v>23000000</v>
      </c>
      <c r="F38" s="3" t="n">
        <v>-16000000</v>
      </c>
      <c r="G38" s="3" t="n"/>
    </row>
    <row r="39">
      <c r="A39" t="inlineStr">
        <is>
          <t>Change In Tax Payable</t>
        </is>
      </c>
      <c r="B39" s="3" t="n">
        <v>-41000000</v>
      </c>
      <c r="C39" s="3" t="n">
        <v>63000000</v>
      </c>
      <c r="D39" s="3" t="n">
        <v>-14000000</v>
      </c>
      <c r="E39" s="3" t="n">
        <v>22000000</v>
      </c>
      <c r="F39" s="3" t="n">
        <v>34000000</v>
      </c>
      <c r="G39" s="3" t="n"/>
    </row>
    <row r="40">
      <c r="A40" t="inlineStr">
        <is>
          <t>Change In Income Tax Payable</t>
        </is>
      </c>
      <c r="B40" s="3" t="n">
        <v>-41000000</v>
      </c>
      <c r="C40" s="3" t="n">
        <v>63000000</v>
      </c>
      <c r="D40" s="3" t="n">
        <v>-14000000</v>
      </c>
      <c r="E40" s="3" t="n">
        <v>22000000</v>
      </c>
      <c r="F40" s="3" t="n">
        <v>34000000</v>
      </c>
      <c r="G40" s="3" t="n"/>
    </row>
    <row r="41">
      <c r="A41" t="inlineStr">
        <is>
          <t>Change In Prepaid Assets</t>
        </is>
      </c>
      <c r="B41" s="3" t="n"/>
      <c r="C41" s="3" t="n"/>
      <c r="D41" s="3" t="n"/>
      <c r="E41" s="3" t="n"/>
      <c r="F41" s="3" t="n"/>
      <c r="G41" s="3" t="n">
        <v>39000000</v>
      </c>
    </row>
    <row r="42">
      <c r="A42" t="inlineStr">
        <is>
          <t>Change In Inventory</t>
        </is>
      </c>
      <c r="B42" s="3" t="n">
        <v>-3000000</v>
      </c>
      <c r="C42" s="3" t="n">
        <v>-3000000</v>
      </c>
      <c r="D42" s="3" t="n">
        <v>-3000000</v>
      </c>
      <c r="E42" s="3" t="n">
        <v>8000000</v>
      </c>
      <c r="F42" s="3" t="n">
        <v>-26000000</v>
      </c>
      <c r="G42" s="3" t="n"/>
    </row>
    <row r="43">
      <c r="A43" t="inlineStr">
        <is>
          <t>Change In Receivables</t>
        </is>
      </c>
      <c r="B43" s="3" t="n">
        <v>-20000000</v>
      </c>
      <c r="C43" s="3" t="n">
        <v>-123000000</v>
      </c>
      <c r="D43" s="3" t="n">
        <v>128000000</v>
      </c>
      <c r="E43" s="3" t="n">
        <v>75000000</v>
      </c>
      <c r="F43" s="3" t="n">
        <v>48000000</v>
      </c>
      <c r="G43" s="3" t="n"/>
    </row>
    <row r="44">
      <c r="A44" t="inlineStr">
        <is>
          <t>Changes In Account Receivables</t>
        </is>
      </c>
      <c r="B44" s="3" t="n">
        <v>33000000</v>
      </c>
      <c r="C44" s="3" t="n">
        <v>-150000000</v>
      </c>
      <c r="D44" s="3" t="n">
        <v>50000000</v>
      </c>
      <c r="E44" s="3" t="n">
        <v>70000000</v>
      </c>
      <c r="F44" s="3" t="n">
        <v>53000000</v>
      </c>
      <c r="G44" s="3" t="n"/>
    </row>
    <row r="45">
      <c r="A45" t="inlineStr">
        <is>
          <t>Other Non Cash Items</t>
        </is>
      </c>
      <c r="B45" s="3" t="n">
        <v>15000000</v>
      </c>
      <c r="C45" s="3" t="n">
        <v>14000000</v>
      </c>
      <c r="D45" s="3" t="n">
        <v>11000000</v>
      </c>
      <c r="E45" s="3" t="n">
        <v>14000000</v>
      </c>
      <c r="F45" s="3" t="n">
        <v>10000000</v>
      </c>
      <c r="G45" s="3" t="n"/>
    </row>
    <row r="46">
      <c r="A46" t="inlineStr">
        <is>
          <t>Stock Based Compensation</t>
        </is>
      </c>
      <c r="B46" s="3" t="n">
        <v>76000000</v>
      </c>
      <c r="C46" s="3" t="n">
        <v>33000000</v>
      </c>
      <c r="D46" s="3" t="n">
        <v>31000000</v>
      </c>
      <c r="E46" s="3" t="n">
        <v>36000000</v>
      </c>
      <c r="F46" s="3" t="n">
        <v>62000000</v>
      </c>
      <c r="G46" s="3" t="n"/>
    </row>
    <row r="47">
      <c r="A47" t="inlineStr">
        <is>
          <t>Unrealized Gain Loss On Investment Securities</t>
        </is>
      </c>
      <c r="B47" s="3" t="n">
        <v>53000000</v>
      </c>
      <c r="C47" s="3" t="n"/>
      <c r="D47" s="3" t="n"/>
      <c r="E47" s="3" t="n"/>
      <c r="F47" s="3" t="n">
        <v>-37000000</v>
      </c>
      <c r="G47" s="3" t="n"/>
    </row>
    <row r="48">
      <c r="A48" t="inlineStr">
        <is>
          <t>Deferred Tax</t>
        </is>
      </c>
      <c r="B48" s="3" t="n">
        <v>-1000000</v>
      </c>
      <c r="C48" s="3" t="n">
        <v>-58000000</v>
      </c>
      <c r="D48" s="3" t="n">
        <v>-18000000</v>
      </c>
      <c r="E48" s="3" t="n">
        <v>-30000000</v>
      </c>
      <c r="F48" s="3" t="n">
        <v>-10000000</v>
      </c>
      <c r="G48" s="3" t="n"/>
    </row>
    <row r="49">
      <c r="A49" t="inlineStr">
        <is>
          <t>Deferred Income Tax</t>
        </is>
      </c>
      <c r="B49" s="3" t="n">
        <v>-1000000</v>
      </c>
      <c r="C49" s="3" t="n">
        <v>-58000000</v>
      </c>
      <c r="D49" s="3" t="n">
        <v>-18000000</v>
      </c>
      <c r="E49" s="3" t="n">
        <v>-30000000</v>
      </c>
      <c r="F49" s="3" t="n">
        <v>-10000000</v>
      </c>
      <c r="G49" s="3" t="n"/>
    </row>
    <row r="50">
      <c r="A50" t="inlineStr">
        <is>
          <t>Depreciation Amortization Depletion</t>
        </is>
      </c>
      <c r="B50" s="3" t="n">
        <v>105000000</v>
      </c>
      <c r="C50" s="3" t="n">
        <v>75000000</v>
      </c>
      <c r="D50" s="3" t="n">
        <v>67000000</v>
      </c>
      <c r="E50" s="3" t="n">
        <v>68000000</v>
      </c>
      <c r="F50" s="3" t="n">
        <v>66000000</v>
      </c>
      <c r="G50" s="3" t="n"/>
    </row>
    <row r="51">
      <c r="A51" t="inlineStr">
        <is>
          <t>Depreciation And Amortization</t>
        </is>
      </c>
      <c r="B51" s="3" t="n">
        <v>105000000</v>
      </c>
      <c r="C51" s="3" t="n">
        <v>75000000</v>
      </c>
      <c r="D51" s="3" t="n">
        <v>67000000</v>
      </c>
      <c r="E51" s="3" t="n">
        <v>68000000</v>
      </c>
      <c r="F51" s="3" t="n">
        <v>66000000</v>
      </c>
      <c r="G51" s="3" t="n"/>
    </row>
    <row r="52">
      <c r="A52" t="inlineStr">
        <is>
          <t>Amortization Cash Flow</t>
        </is>
      </c>
      <c r="B52" s="3" t="n">
        <v>67000000</v>
      </c>
      <c r="C52" s="3" t="n">
        <v>41000000</v>
      </c>
      <c r="D52" s="3" t="n">
        <v>34000000</v>
      </c>
      <c r="E52" s="3" t="n">
        <v>35000000</v>
      </c>
      <c r="F52" s="3" t="n">
        <v>35000000</v>
      </c>
      <c r="G52" s="3" t="n"/>
    </row>
    <row r="53">
      <c r="A53" t="inlineStr">
        <is>
          <t>Amortization Of Intangibles</t>
        </is>
      </c>
      <c r="B53" s="3" t="n">
        <v>67000000</v>
      </c>
      <c r="C53" s="3" t="n">
        <v>41000000</v>
      </c>
      <c r="D53" s="3" t="n">
        <v>34000000</v>
      </c>
      <c r="E53" s="3" t="n">
        <v>35000000</v>
      </c>
      <c r="F53" s="3" t="n">
        <v>35000000</v>
      </c>
      <c r="G53" s="3" t="n"/>
    </row>
    <row r="54">
      <c r="A54" t="inlineStr">
        <is>
          <t>Depreciation</t>
        </is>
      </c>
      <c r="B54" s="3" t="n">
        <v>38000000</v>
      </c>
      <c r="C54" s="3" t="n">
        <v>34000000</v>
      </c>
      <c r="D54" s="3" t="n">
        <v>33000000</v>
      </c>
      <c r="E54" s="3" t="n">
        <v>33000000</v>
      </c>
      <c r="F54" s="3" t="n">
        <v>31000000</v>
      </c>
      <c r="G54" s="3" t="n"/>
    </row>
    <row r="55">
      <c r="A55" t="inlineStr">
        <is>
          <t>Operating Gains Losses</t>
        </is>
      </c>
      <c r="B55" s="3" t="n">
        <v>-5000000</v>
      </c>
      <c r="C55" s="3" t="n">
        <v>18000000</v>
      </c>
      <c r="D55" s="3" t="n">
        <v>-16000000</v>
      </c>
      <c r="E55" s="3" t="n">
        <v>14000000</v>
      </c>
      <c r="F55" s="3" t="n">
        <v>-37000000</v>
      </c>
      <c r="G55" s="3" t="n"/>
    </row>
    <row r="56">
      <c r="A56" t="inlineStr">
        <is>
          <t>Earnings Losses From Equity Investments</t>
        </is>
      </c>
      <c r="B56" s="3" t="n"/>
      <c r="C56" s="3" t="n"/>
      <c r="D56" s="3" t="n">
        <v>-16000000</v>
      </c>
      <c r="E56" s="3" t="n">
        <v>14000000</v>
      </c>
      <c r="F56" s="3" t="n">
        <v>-37000000</v>
      </c>
      <c r="G56" s="3" t="n"/>
    </row>
    <row r="57">
      <c r="A57" t="inlineStr">
        <is>
          <t>Gain Loss On Investment Securities</t>
        </is>
      </c>
      <c r="B57" s="3" t="n">
        <v>-5000000</v>
      </c>
      <c r="C57" s="3" t="n"/>
      <c r="D57" s="3" t="n"/>
      <c r="E57" s="3" t="n"/>
      <c r="F57" s="3" t="n"/>
      <c r="G57" s="3" t="n"/>
    </row>
    <row r="58">
      <c r="A58" t="inlineStr">
        <is>
          <t>Net Income From Continuing Operations</t>
        </is>
      </c>
      <c r="B58" s="3" t="n">
        <v>281000000</v>
      </c>
      <c r="C58" s="3" t="n">
        <v>233000000</v>
      </c>
      <c r="D58" s="3" t="n">
        <v>191000000</v>
      </c>
      <c r="E58" s="3" t="n">
        <v>257000000</v>
      </c>
      <c r="F58" s="3" t="n">
        <v>169000000</v>
      </c>
      <c r="G58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Issue</t>
        </is>
      </c>
    </row>
    <row r="2">
      <c r="A2" t="inlineStr">
        <is>
          <t>—</t>
        </is>
      </c>
      <c r="B2" t="inlineStr">
        <is>
          <t>no gaps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2026-05-25T23:24:28Z</dcterms:created>
  <dcterms:modified xmlns:dcterms="http://purl.org/dc/terms/" xmlns:xsi="http://www.w3.org/2001/XMLSchema-instance" xsi:type="dcterms:W3CDTF">2026-05-25T23:24:29Z</dcterms:modified>
</cp:coreProperties>
</file>