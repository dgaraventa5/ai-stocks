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6861.T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Keyence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Scientific &amp; Technical Instruments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19680913784832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18254315651072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44.247787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43.456375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15.684077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0.83663005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0.53971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0.39224</v>
      </c>
      <c r="C13" t="inlineStr">
        <is>
          <t>yfinance info.profitMargins</t>
        </is>
      </c>
    </row>
    <row r="14">
      <c r="A14" t="inlineStr">
        <is>
          <t>ROE</t>
        </is>
      </c>
      <c r="B14" t="inlineStr">
        <is>
          <t>(missing — see Data flags)</t>
        </is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0.328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1426593939456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0</v>
      </c>
      <c r="C17" t="inlineStr">
        <is>
          <t>yfinance info.totalDebt</t>
        </is>
      </c>
    </row>
    <row r="18">
      <c r="A18" t="inlineStr">
        <is>
          <t>FCF (TTM, $)</t>
        </is>
      </c>
      <c r="B18" t="inlineStr">
        <is>
          <t>(missing — see Data flags)</t>
        </is>
      </c>
      <c r="C18" t="inlineStr">
        <is>
          <t>yfinance info.freeCashflow (FALLBACK levered estimate — statement TTM unavailable)</t>
        </is>
      </c>
    </row>
    <row r="19">
      <c r="A19" t="inlineStr">
        <is>
          <t>Shares outstanding</t>
        </is>
      </c>
      <c r="B19" t="n">
        <v>242525136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81150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2024-03-31</t>
        </is>
      </c>
      <c r="C2" t="inlineStr">
        <is>
          <t>2025-03-31</t>
        </is>
      </c>
      <c r="D2" t="inlineStr">
        <is>
          <t>2026-03-31</t>
        </is>
      </c>
      <c r="E2" t="inlineStr">
        <is>
          <t>TTM → 2025-06-30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(annual)'!D35</f>
        <v/>
      </c>
      <c r="C3" s="3">
        <f>'Income stmt (annual)'!C35</f>
        <v/>
      </c>
      <c r="D3" s="3">
        <f>'Income stmt (annual)'!B35</f>
        <v/>
      </c>
      <c r="E3" s="3" t="inlineStr"/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(annual)'!D33</f>
        <v/>
      </c>
      <c r="C4" s="3">
        <f>'Income stmt (annual)'!C33</f>
        <v/>
      </c>
      <c r="D4" s="3">
        <f>'Income stmt (annual)'!B33</f>
        <v/>
      </c>
      <c r="E4" s="3" t="inlineStr"/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(annual)'!D31</f>
        <v/>
      </c>
      <c r="C6" s="3">
        <f>'Income stmt (annual)'!C31</f>
        <v/>
      </c>
      <c r="D6" s="3">
        <f>'Income stmt (annual)'!B31</f>
        <v/>
      </c>
      <c r="E6" s="3" t="inlineStr"/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(annual)'!D8</f>
        <v/>
      </c>
      <c r="C8" s="3">
        <f>'Income stmt (annual)'!C8</f>
        <v/>
      </c>
      <c r="D8" s="3">
        <f>'Income stmt (annual)'!B8</f>
        <v/>
      </c>
      <c r="E8" s="3" t="inlineStr"/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 t="inlineStr"/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(annual)'!D3</f>
        <v/>
      </c>
      <c r="C11" s="3">
        <f>-'Cash flow (annual)'!C3</f>
        <v/>
      </c>
      <c r="D11" s="3">
        <f>-'Cash flow (annual)'!B3</f>
        <v/>
      </c>
      <c r="E11" s="3" t="inlineStr"/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2025-03-31</t>
        </is>
      </c>
      <c r="D1" s="1" t="inlineStr">
        <is>
          <t>2024-03-31</t>
        </is>
      </c>
      <c r="E1" s="1" t="inlineStr">
        <is>
          <t>2023-03-31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t="inlineStr">
        <is>
          <t>Tax Rate For Calcs</t>
        </is>
      </c>
      <c r="B3" s="3" t="n">
        <v>0.299753</v>
      </c>
      <c r="C3" s="3" t="n">
        <v>0.289</v>
      </c>
      <c r="D3" s="3" t="n">
        <v>0.288</v>
      </c>
      <c r="E3" s="3" t="n">
        <v>0.292233</v>
      </c>
    </row>
    <row r="4">
      <c r="A4" t="inlineStr">
        <is>
          <t>Normalized EBITDA</t>
        </is>
      </c>
      <c r="B4" s="3" t="n">
        <v>612986000000</v>
      </c>
      <c r="C4" s="3" t="n">
        <v>564968000000</v>
      </c>
      <c r="D4" s="3" t="n">
        <v>508781000000</v>
      </c>
      <c r="E4" s="3" t="n">
        <v>510438000000</v>
      </c>
    </row>
    <row r="5">
      <c r="A5" t="inlineStr">
        <is>
          <t>Net Income From Continuing Operation Net Minority Interest</t>
        </is>
      </c>
      <c r="B5" s="3" t="n">
        <v>445185000000</v>
      </c>
      <c r="C5" s="3" t="n">
        <v>398656000000</v>
      </c>
      <c r="D5" s="3" t="n">
        <v>369642000000</v>
      </c>
      <c r="E5" s="3" t="n">
        <v>362963000000</v>
      </c>
    </row>
    <row r="6">
      <c r="A6" t="inlineStr">
        <is>
          <t>Reconciled Depreciation</t>
        </is>
      </c>
      <c r="B6" s="3" t="n">
        <v>17227000000</v>
      </c>
      <c r="C6" s="3" t="n">
        <v>15193000000</v>
      </c>
      <c r="D6" s="3" t="n">
        <v>13767000000</v>
      </c>
      <c r="E6" s="3" t="n">
        <v>11523000000</v>
      </c>
    </row>
    <row r="7">
      <c r="A7" t="inlineStr">
        <is>
          <t>Reconciled Cost Of Revenue</t>
        </is>
      </c>
      <c r="B7" s="3" t="n">
        <v>198552000000</v>
      </c>
      <c r="C7" s="3" t="n">
        <v>171444000000</v>
      </c>
      <c r="D7" s="3" t="n">
        <v>164782000000</v>
      </c>
      <c r="E7" s="3" t="n">
        <v>167690000000</v>
      </c>
    </row>
    <row r="8">
      <c r="A8" t="inlineStr">
        <is>
          <t>EBITDA</t>
        </is>
      </c>
      <c r="B8" s="3" t="n">
        <v>612986000000</v>
      </c>
      <c r="C8" s="3" t="n">
        <v>564968000000</v>
      </c>
      <c r="D8" s="3" t="n">
        <v>508781000000</v>
      </c>
      <c r="E8" s="3" t="n">
        <v>510438000000</v>
      </c>
    </row>
    <row r="9">
      <c r="A9" t="inlineStr">
        <is>
          <t>EBIT</t>
        </is>
      </c>
      <c r="B9" s="3" t="n">
        <v>595759000000</v>
      </c>
      <c r="C9" s="3" t="n">
        <v>549775000000</v>
      </c>
      <c r="D9" s="3" t="n">
        <v>495014000000</v>
      </c>
      <c r="E9" s="3" t="n">
        <v>498915000000</v>
      </c>
    </row>
    <row r="10">
      <c r="A10" t="inlineStr">
        <is>
          <t>Net Interest Income</t>
        </is>
      </c>
      <c r="B10" s="3" t="n">
        <v>16249000000</v>
      </c>
      <c r="C10" s="3" t="n">
        <v>8968000000</v>
      </c>
      <c r="D10" s="3" t="n">
        <v>5358000000</v>
      </c>
      <c r="E10" s="3" t="n">
        <v>2033000000</v>
      </c>
    </row>
    <row r="11">
      <c r="A11" t="inlineStr">
        <is>
          <t>Interest Income</t>
        </is>
      </c>
      <c r="B11" s="3" t="n">
        <v>16249000000</v>
      </c>
      <c r="C11" s="3" t="n">
        <v>8968000000</v>
      </c>
      <c r="D11" s="3" t="n">
        <v>5358000000</v>
      </c>
      <c r="E11" s="3" t="n">
        <v>2033000000</v>
      </c>
    </row>
    <row r="12">
      <c r="A12" t="inlineStr">
        <is>
          <t>Normalized Income</t>
        </is>
      </c>
      <c r="B12" s="3" t="n">
        <v>445185000000</v>
      </c>
      <c r="C12" s="3" t="n">
        <v>398656000000</v>
      </c>
      <c r="D12" s="3" t="n">
        <v>369642000000</v>
      </c>
      <c r="E12" s="3" t="n">
        <v>362963000000</v>
      </c>
    </row>
    <row r="13">
      <c r="A13" t="inlineStr">
        <is>
          <t>Net Income From Continuing And Discontinued Operation</t>
        </is>
      </c>
      <c r="B13" s="3" t="n">
        <v>445185000000</v>
      </c>
      <c r="C13" s="3" t="n">
        <v>398656000000</v>
      </c>
      <c r="D13" s="3" t="n">
        <v>369642000000</v>
      </c>
      <c r="E13" s="3" t="n">
        <v>362963000000</v>
      </c>
    </row>
    <row r="14">
      <c r="A14" t="inlineStr">
        <is>
          <t>Total Expenses</t>
        </is>
      </c>
      <c r="B14" s="3" t="n">
        <v>573530000000</v>
      </c>
      <c r="C14" s="3" t="n">
        <v>509369000000</v>
      </c>
      <c r="D14" s="3" t="n">
        <v>472273000000</v>
      </c>
      <c r="E14" s="3" t="n">
        <v>423507000000</v>
      </c>
    </row>
    <row r="15">
      <c r="A15" t="inlineStr">
        <is>
          <t>Total Operating Income As Reported</t>
        </is>
      </c>
      <c r="B15" s="3" t="n">
        <v>595759000000</v>
      </c>
      <c r="C15" s="3" t="n">
        <v>549775000000</v>
      </c>
      <c r="D15" s="3" t="n">
        <v>495014000000</v>
      </c>
      <c r="E15" s="3" t="n">
        <v>498914000000</v>
      </c>
    </row>
    <row r="16">
      <c r="A16" t="inlineStr">
        <is>
          <t>Diluted Average Shares</t>
        </is>
      </c>
      <c r="B16" s="3" t="n">
        <v>242524365</v>
      </c>
      <c r="C16" s="3" t="n">
        <v>242525414</v>
      </c>
      <c r="D16" s="3" t="n">
        <v>242524965</v>
      </c>
      <c r="E16" s="3" t="n">
        <v>242526077</v>
      </c>
    </row>
    <row r="17">
      <c r="A17" t="inlineStr">
        <is>
          <t>Basic Average Shares</t>
        </is>
      </c>
      <c r="B17" s="3" t="n">
        <v>242524365</v>
      </c>
      <c r="C17" s="3" t="n">
        <v>242525414</v>
      </c>
      <c r="D17" s="3" t="n">
        <v>242524965</v>
      </c>
      <c r="E17" s="3" t="n">
        <v>242526077</v>
      </c>
    </row>
    <row r="18">
      <c r="A18" t="inlineStr">
        <is>
          <t>Diluted EPS</t>
        </is>
      </c>
      <c r="B18" s="3" t="n">
        <v>1835.63</v>
      </c>
      <c r="C18" s="3" t="n">
        <v>1643.77</v>
      </c>
      <c r="D18" s="3" t="n">
        <v>1524.14</v>
      </c>
      <c r="E18" s="3" t="n">
        <v>1496.6</v>
      </c>
    </row>
    <row r="19">
      <c r="A19" t="inlineStr">
        <is>
          <t>Basic EPS</t>
        </is>
      </c>
      <c r="B19" s="3" t="n">
        <v>1835.63</v>
      </c>
      <c r="C19" s="3" t="n">
        <v>1643.77</v>
      </c>
      <c r="D19" s="3" t="n">
        <v>1524.14</v>
      </c>
      <c r="E19" s="3" t="n">
        <v>1496.6</v>
      </c>
    </row>
    <row r="20">
      <c r="A20" t="inlineStr">
        <is>
          <t>Diluted NI Availto Com Stockholders</t>
        </is>
      </c>
      <c r="B20" s="3" t="n">
        <v>445185000000</v>
      </c>
      <c r="C20" s="3" t="n">
        <v>398656000000</v>
      </c>
      <c r="D20" s="3" t="n">
        <v>369642000000</v>
      </c>
      <c r="E20" s="3" t="n">
        <v>362963000000</v>
      </c>
    </row>
    <row r="21">
      <c r="A21" t="inlineStr">
        <is>
          <t>Net Income Common Stockholders</t>
        </is>
      </c>
      <c r="B21" s="3" t="n">
        <v>445185000000</v>
      </c>
      <c r="C21" s="3" t="n">
        <v>398656000000</v>
      </c>
      <c r="D21" s="3" t="n">
        <v>369642000000</v>
      </c>
      <c r="E21" s="3" t="n">
        <v>362963000000</v>
      </c>
    </row>
    <row r="22">
      <c r="A22" t="inlineStr">
        <is>
          <t>Otherunder Preferred Stock Dividend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t="inlineStr">
        <is>
          <t>Net Income</t>
        </is>
      </c>
      <c r="B23" s="3" t="n">
        <v>445185000000</v>
      </c>
      <c r="C23" s="3" t="n">
        <v>398656000000</v>
      </c>
      <c r="D23" s="3" t="n">
        <v>369642000000</v>
      </c>
      <c r="E23" s="3" t="n">
        <v>362963000000</v>
      </c>
    </row>
    <row r="24">
      <c r="A24" t="inlineStr">
        <is>
          <t>Net Income Including Noncontrolling Interests</t>
        </is>
      </c>
      <c r="B24" s="3" t="n">
        <v>445185000000</v>
      </c>
      <c r="C24" s="3" t="n">
        <v>398656000000</v>
      </c>
      <c r="D24" s="3" t="n">
        <v>369642000000</v>
      </c>
      <c r="E24" s="3" t="n">
        <v>362963000000</v>
      </c>
    </row>
    <row r="25">
      <c r="A25" t="inlineStr">
        <is>
          <t>Net Income Continuous Operations</t>
        </is>
      </c>
      <c r="B25" s="3" t="n">
        <v>445186000000</v>
      </c>
      <c r="C25" s="3" t="n">
        <v>398657000000</v>
      </c>
      <c r="D25" s="3" t="n">
        <v>369642000000</v>
      </c>
      <c r="E25" s="3" t="n">
        <v>362964000000</v>
      </c>
    </row>
    <row r="26">
      <c r="A26" t="inlineStr">
        <is>
          <t>Tax Provision</t>
        </is>
      </c>
      <c r="B26" s="3" t="n">
        <v>190570000000</v>
      </c>
      <c r="C26" s="3" t="n">
        <v>162353000000</v>
      </c>
      <c r="D26" s="3" t="n">
        <v>149653000000</v>
      </c>
      <c r="E26" s="3" t="n">
        <v>149866000000</v>
      </c>
    </row>
    <row r="27">
      <c r="A27" t="inlineStr">
        <is>
          <t>Pretax Income</t>
        </is>
      </c>
      <c r="B27" s="3" t="n">
        <v>635756000000</v>
      </c>
      <c r="C27" s="3" t="n">
        <v>561010000000</v>
      </c>
      <c r="D27" s="3" t="n">
        <v>519295000000</v>
      </c>
      <c r="E27" s="3" t="n">
        <v>512830000000</v>
      </c>
    </row>
    <row r="28">
      <c r="A28" t="inlineStr">
        <is>
          <t>Other Non Operating Income Expenses</t>
        </is>
      </c>
      <c r="B28" s="3" t="n">
        <v>1016000000</v>
      </c>
      <c r="C28" s="3" t="n">
        <v>1178000000</v>
      </c>
      <c r="D28" s="3" t="n">
        <v>717000000</v>
      </c>
      <c r="E28" s="3" t="n">
        <v>994000000</v>
      </c>
    </row>
    <row r="29">
      <c r="A29" t="inlineStr">
        <is>
          <t>Net Non Operating Interest Income Expense</t>
        </is>
      </c>
      <c r="B29" s="3" t="n">
        <v>16249000000</v>
      </c>
      <c r="C29" s="3" t="n">
        <v>8968000000</v>
      </c>
      <c r="D29" s="3" t="n">
        <v>5358000000</v>
      </c>
      <c r="E29" s="3" t="n">
        <v>2033000000</v>
      </c>
    </row>
    <row r="30">
      <c r="A30" t="inlineStr">
        <is>
          <t>Interest Income Non Operating</t>
        </is>
      </c>
      <c r="B30" s="3" t="n">
        <v>16249000000</v>
      </c>
      <c r="C30" s="3" t="n">
        <v>8968000000</v>
      </c>
      <c r="D30" s="3" t="n">
        <v>5358000000</v>
      </c>
      <c r="E30" s="3" t="n">
        <v>2033000000</v>
      </c>
    </row>
    <row r="31">
      <c r="A31" t="inlineStr">
        <is>
          <t>Operating Income</t>
        </is>
      </c>
      <c r="B31" s="3" t="n">
        <v>595759000000</v>
      </c>
      <c r="C31" s="3" t="n">
        <v>549775000000</v>
      </c>
      <c r="D31" s="3" t="n">
        <v>495014000000</v>
      </c>
      <c r="E31" s="3" t="n">
        <v>498915000000</v>
      </c>
    </row>
    <row r="32">
      <c r="A32" t="inlineStr">
        <is>
          <t>Operating Expense</t>
        </is>
      </c>
      <c r="B32" s="3" t="n">
        <v>374978000000</v>
      </c>
      <c r="C32" s="3" t="n">
        <v>337925000000</v>
      </c>
      <c r="D32" s="3" t="n">
        <v>307491000000</v>
      </c>
      <c r="E32" s="3" t="n">
        <v>255817000000</v>
      </c>
    </row>
    <row r="33">
      <c r="A33" t="inlineStr">
        <is>
          <t>Gross Profit</t>
        </is>
      </c>
      <c r="B33" s="3" t="n">
        <v>970737000000</v>
      </c>
      <c r="C33" s="3" t="n">
        <v>887700000000</v>
      </c>
      <c r="D33" s="3" t="n">
        <v>802505000000</v>
      </c>
      <c r="E33" s="3" t="n">
        <v>754732000000</v>
      </c>
    </row>
    <row r="34">
      <c r="A34" t="inlineStr">
        <is>
          <t>Cost Of Revenue</t>
        </is>
      </c>
      <c r="B34" s="3" t="n">
        <v>198552000000</v>
      </c>
      <c r="C34" s="3" t="n">
        <v>171444000000</v>
      </c>
      <c r="D34" s="3" t="n">
        <v>164782000000</v>
      </c>
      <c r="E34" s="3" t="n">
        <v>167690000000</v>
      </c>
    </row>
    <row r="35">
      <c r="A35" t="inlineStr">
        <is>
          <t>Total Revenue</t>
        </is>
      </c>
      <c r="B35" s="3" t="n">
        <v>1169289000000</v>
      </c>
      <c r="C35" s="3" t="n">
        <v>1059145000000</v>
      </c>
      <c r="D35" s="3" t="n">
        <v>967288000000</v>
      </c>
      <c r="E35" s="3" t="n">
        <v>922422000000</v>
      </c>
    </row>
    <row r="36">
      <c r="A36" t="inlineStr">
        <is>
          <t>Operating Revenue</t>
        </is>
      </c>
      <c r="B36" s="3" t="n">
        <v>1169289000000</v>
      </c>
      <c r="C36" s="3" t="n">
        <v>1059145000000</v>
      </c>
      <c r="D36" s="3" t="n">
        <v>967288000000</v>
      </c>
      <c r="E36" s="3" t="n">
        <v>922422000000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Line item</t>
        </is>
      </c>
      <c r="B1" s="1" t="inlineStr">
        <is>
          <t>2025-06-30</t>
        </is>
      </c>
    </row>
    <row r="2">
      <c r="A2" t="inlineStr">
        <is>
          <t>Diluted Average Shares</t>
        </is>
      </c>
      <c r="B2" s="3" t="n">
        <v>242525407</v>
      </c>
    </row>
    <row r="3">
      <c r="A3" t="inlineStr">
        <is>
          <t>Basic Average Shares</t>
        </is>
      </c>
      <c r="B3" s="3" t="n">
        <v>242525407</v>
      </c>
    </row>
    <row r="4">
      <c r="A4" t="inlineStr">
        <is>
          <t>Diluted EPS</t>
        </is>
      </c>
      <c r="B4" s="3" t="n">
        <v>379.82</v>
      </c>
    </row>
    <row r="5">
      <c r="A5" t="inlineStr">
        <is>
          <t>Basic EPS</t>
        </is>
      </c>
      <c r="B5" s="3" t="n">
        <v>379.82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2025-03-31</t>
        </is>
      </c>
      <c r="D1" s="1" t="inlineStr">
        <is>
          <t>2024-03-31</t>
        </is>
      </c>
      <c r="E1" s="1" t="inlineStr">
        <is>
          <t>2023-03-31</t>
        </is>
      </c>
      <c r="F1" s="1" t="inlineStr">
        <is>
          <t>2022-03-31</t>
        </is>
      </c>
    </row>
    <row r="2">
      <c r="A2" t="inlineStr">
        <is>
          <t>Treasury Shares Number</t>
        </is>
      </c>
      <c r="B2" s="3" t="n">
        <v>682548</v>
      </c>
      <c r="C2" s="3" t="n">
        <v>682350</v>
      </c>
      <c r="D2" s="3" t="n">
        <v>682063</v>
      </c>
      <c r="E2" s="3" t="n">
        <v>681707</v>
      </c>
      <c r="F2" s="3" t="n"/>
    </row>
    <row r="3">
      <c r="A3" t="inlineStr">
        <is>
          <t>Ordinary Shares Number</t>
        </is>
      </c>
      <c r="B3" s="3" t="n">
        <v>242525136</v>
      </c>
      <c r="C3" s="3" t="n">
        <v>242525334</v>
      </c>
      <c r="D3" s="3" t="n">
        <v>242525621</v>
      </c>
      <c r="E3" s="3" t="n">
        <v>242525977</v>
      </c>
      <c r="F3" s="3" t="n"/>
    </row>
    <row r="4">
      <c r="A4" t="inlineStr">
        <is>
          <t>Share Issued</t>
        </is>
      </c>
      <c r="B4" s="3" t="n">
        <v>243207684</v>
      </c>
      <c r="C4" s="3" t="n">
        <v>243207684</v>
      </c>
      <c r="D4" s="3" t="n">
        <v>243207684</v>
      </c>
      <c r="E4" s="3" t="n">
        <v>243207684</v>
      </c>
      <c r="F4" s="3" t="n"/>
    </row>
    <row r="5">
      <c r="A5" t="inlineStr">
        <is>
          <t>Tangible Book Value</t>
        </is>
      </c>
      <c r="B5" s="3" t="n">
        <v>3442290000000</v>
      </c>
      <c r="C5" s="3" t="n">
        <v>3102214000000</v>
      </c>
      <c r="D5" s="3" t="n">
        <v>2801401000000</v>
      </c>
      <c r="E5" s="3" t="n">
        <v>2487941000000</v>
      </c>
      <c r="F5" s="3" t="n"/>
    </row>
    <row r="6">
      <c r="A6" t="inlineStr">
        <is>
          <t>Invested Capital</t>
        </is>
      </c>
      <c r="B6" s="3" t="n">
        <v>3471471000000</v>
      </c>
      <c r="C6" s="3" t="n">
        <v>3108552000000</v>
      </c>
      <c r="D6" s="3" t="n">
        <v>2806193000000</v>
      </c>
      <c r="E6" s="3" t="n">
        <v>2491633000000</v>
      </c>
      <c r="F6" s="3" t="n"/>
    </row>
    <row r="7">
      <c r="A7" t="inlineStr">
        <is>
          <t>Working Capital</t>
        </is>
      </c>
      <c r="B7" s="3" t="n">
        <v>1791674000000</v>
      </c>
      <c r="C7" s="3" t="n">
        <v>1464549000000</v>
      </c>
      <c r="D7" s="3" t="n">
        <v>1386465000000</v>
      </c>
      <c r="E7" s="3" t="n">
        <v>1186837000000</v>
      </c>
      <c r="F7" s="3" t="n"/>
    </row>
    <row r="8">
      <c r="A8" t="inlineStr">
        <is>
          <t>Net Tangible Assets</t>
        </is>
      </c>
      <c r="B8" s="3" t="n">
        <v>3442290000000</v>
      </c>
      <c r="C8" s="3" t="n">
        <v>3102214000000</v>
      </c>
      <c r="D8" s="3" t="n">
        <v>2801401000000</v>
      </c>
      <c r="E8" s="3" t="n">
        <v>2487941000000</v>
      </c>
      <c r="F8" s="3" t="n"/>
    </row>
    <row r="9">
      <c r="A9" t="inlineStr">
        <is>
          <t>Common Stock Equity</t>
        </is>
      </c>
      <c r="B9" s="3" t="n">
        <v>3471471000000</v>
      </c>
      <c r="C9" s="3" t="n">
        <v>3108552000000</v>
      </c>
      <c r="D9" s="3" t="n">
        <v>2806193000000</v>
      </c>
      <c r="E9" s="3" t="n">
        <v>2491633000000</v>
      </c>
      <c r="F9" s="3" t="n"/>
    </row>
    <row r="10">
      <c r="A10" t="inlineStr">
        <is>
          <t>Total Capitalization</t>
        </is>
      </c>
      <c r="B10" s="3" t="n">
        <v>3471471000000</v>
      </c>
      <c r="C10" s="3" t="n">
        <v>3108552000000</v>
      </c>
      <c r="D10" s="3" t="n">
        <v>2806193000000</v>
      </c>
      <c r="E10" s="3" t="n">
        <v>2491633000000</v>
      </c>
      <c r="F10" s="3" t="n"/>
    </row>
    <row r="11">
      <c r="A11" t="inlineStr">
        <is>
          <t>Total Equity Gross Minority Interest</t>
        </is>
      </c>
      <c r="B11" s="3" t="n">
        <v>3471471000000</v>
      </c>
      <c r="C11" s="3" t="n">
        <v>3108552000000</v>
      </c>
      <c r="D11" s="3" t="n">
        <v>2806193000000</v>
      </c>
      <c r="E11" s="3" t="n">
        <v>2491633000000</v>
      </c>
      <c r="F11" s="3" t="n"/>
    </row>
    <row r="12">
      <c r="A12" t="inlineStr">
        <is>
          <t>Stockholders Equity</t>
        </is>
      </c>
      <c r="B12" s="3" t="n">
        <v>3471471000000</v>
      </c>
      <c r="C12" s="3" t="n">
        <v>3108552000000</v>
      </c>
      <c r="D12" s="3" t="n">
        <v>2806193000000</v>
      </c>
      <c r="E12" s="3" t="n">
        <v>2491633000000</v>
      </c>
      <c r="F12" s="3" t="n"/>
    </row>
    <row r="13">
      <c r="A13" t="inlineStr">
        <is>
          <t>Treasury Stock</t>
        </is>
      </c>
      <c r="B13" s="3" t="n">
        <v>3854000000</v>
      </c>
      <c r="C13" s="3" t="n">
        <v>3838000000</v>
      </c>
      <c r="D13" s="3" t="n">
        <v>3819000000</v>
      </c>
      <c r="E13" s="3" t="n">
        <v>3796000000</v>
      </c>
      <c r="F13" s="3" t="n"/>
    </row>
    <row r="14">
      <c r="A14" t="inlineStr">
        <is>
          <t>Retained Earnings</t>
        </is>
      </c>
      <c r="B14" s="3" t="n">
        <v>3356584000000</v>
      </c>
      <c r="C14" s="3" t="n">
        <v>3020535000000</v>
      </c>
      <c r="D14" s="3" t="n">
        <v>2700699000000</v>
      </c>
      <c r="E14" s="3" t="n">
        <v>2403814000000</v>
      </c>
      <c r="F14" s="3" t="n"/>
    </row>
    <row r="15">
      <c r="A15" t="inlineStr">
        <is>
          <t>Additional Paid In Capital</t>
        </is>
      </c>
      <c r="B15" s="3" t="n">
        <v>30544000000</v>
      </c>
      <c r="C15" s="3" t="n">
        <v>30541000000</v>
      </c>
      <c r="D15" s="3" t="n">
        <v>30541000000</v>
      </c>
      <c r="E15" s="3" t="n">
        <v>30541000000</v>
      </c>
      <c r="F15" s="3" t="n"/>
    </row>
    <row r="16">
      <c r="A16" t="inlineStr">
        <is>
          <t>Capital Stock</t>
        </is>
      </c>
      <c r="B16" s="3" t="n">
        <v>30637000000</v>
      </c>
      <c r="C16" s="3" t="n">
        <v>30637000000</v>
      </c>
      <c r="D16" s="3" t="n">
        <v>30637000000</v>
      </c>
      <c r="E16" s="3" t="n">
        <v>30637000000</v>
      </c>
      <c r="F16" s="3" t="n"/>
    </row>
    <row r="17">
      <c r="A17" t="inlineStr">
        <is>
          <t>Common Stock</t>
        </is>
      </c>
      <c r="B17" s="3" t="n">
        <v>30637000000</v>
      </c>
      <c r="C17" s="3" t="n">
        <v>30637000000</v>
      </c>
      <c r="D17" s="3" t="n">
        <v>30637000000</v>
      </c>
      <c r="E17" s="3" t="n">
        <v>30637000000</v>
      </c>
      <c r="F17" s="3" t="n"/>
    </row>
    <row r="18">
      <c r="A18" t="inlineStr">
        <is>
          <t>Total Liabilities Net Minority Interest</t>
        </is>
      </c>
      <c r="B18" s="3" t="n">
        <v>199184000000</v>
      </c>
      <c r="C18" s="3" t="n">
        <v>180672000000</v>
      </c>
      <c r="D18" s="3" t="n">
        <v>158599000000</v>
      </c>
      <c r="E18" s="3" t="n">
        <v>158796000000</v>
      </c>
      <c r="F18" s="3" t="n"/>
    </row>
    <row r="19">
      <c r="A19" t="inlineStr">
        <is>
          <t>Total Non Current Liabilities Net Minority Interest</t>
        </is>
      </c>
      <c r="B19" s="3" t="n">
        <v>11353000000</v>
      </c>
      <c r="C19" s="3" t="n">
        <v>12632000000</v>
      </c>
      <c r="D19" s="3" t="n">
        <v>13237000000</v>
      </c>
      <c r="E19" s="3" t="n">
        <v>9535000000</v>
      </c>
      <c r="F19" s="3" t="n"/>
    </row>
    <row r="20">
      <c r="A20" t="inlineStr">
        <is>
          <t>Other Non Current Liabilities</t>
        </is>
      </c>
      <c r="B20" s="3" t="n">
        <v>11353000000</v>
      </c>
      <c r="C20" s="3" t="n">
        <v>12632000000</v>
      </c>
      <c r="D20" s="3" t="n">
        <v>13237000000</v>
      </c>
      <c r="E20" s="3" t="n">
        <v>9535000000</v>
      </c>
      <c r="F20" s="3" t="n"/>
    </row>
    <row r="21">
      <c r="A21" t="inlineStr">
        <is>
          <t>Current Liabilities</t>
        </is>
      </c>
      <c r="B21" s="3" t="n">
        <v>187831000000</v>
      </c>
      <c r="C21" s="3" t="n">
        <v>168040000000</v>
      </c>
      <c r="D21" s="3" t="n">
        <v>145362000000</v>
      </c>
      <c r="E21" s="3" t="n">
        <v>149261000000</v>
      </c>
      <c r="F21" s="3" t="n"/>
    </row>
    <row r="22">
      <c r="A22" t="inlineStr">
        <is>
          <t>Other Current Liabilities</t>
        </is>
      </c>
      <c r="B22" s="3" t="n">
        <v>52339000000</v>
      </c>
      <c r="C22" s="3" t="n">
        <v>43534000000</v>
      </c>
      <c r="D22" s="3" t="n">
        <v>43567000000</v>
      </c>
      <c r="E22" s="3" t="n">
        <v>33470000000</v>
      </c>
      <c r="F22" s="3" t="n"/>
    </row>
    <row r="23">
      <c r="A23" t="inlineStr">
        <is>
          <t>Pensionand Other Post Retirement Benefit Plans Current</t>
        </is>
      </c>
      <c r="B23" s="3" t="n">
        <v>22271000000</v>
      </c>
      <c r="C23" s="3" t="n">
        <v>18134000000</v>
      </c>
      <c r="D23" s="3" t="n">
        <v>16841000000</v>
      </c>
      <c r="E23" s="3" t="n">
        <v>15697000000</v>
      </c>
      <c r="F23" s="3" t="n"/>
    </row>
    <row r="24">
      <c r="A24" t="inlineStr">
        <is>
          <t>Payables</t>
        </is>
      </c>
      <c r="B24" s="3" t="n">
        <v>113221000000</v>
      </c>
      <c r="C24" s="3" t="n">
        <v>106372000000</v>
      </c>
      <c r="D24" s="3" t="n">
        <v>84954000000</v>
      </c>
      <c r="E24" s="3" t="n">
        <v>100094000000</v>
      </c>
      <c r="F24" s="3" t="n"/>
    </row>
    <row r="25">
      <c r="A25" t="inlineStr">
        <is>
          <t>Total Tax Payable</t>
        </is>
      </c>
      <c r="B25" s="3" t="n">
        <v>102331000000</v>
      </c>
      <c r="C25" s="3" t="n">
        <v>91482000000</v>
      </c>
      <c r="D25" s="3" t="n">
        <v>71229000000</v>
      </c>
      <c r="E25" s="3" t="n">
        <v>81713000000</v>
      </c>
      <c r="F25" s="3" t="n"/>
    </row>
    <row r="26">
      <c r="A26" t="inlineStr">
        <is>
          <t>Accounts Payable</t>
        </is>
      </c>
      <c r="B26" s="3" t="n">
        <v>10890000000</v>
      </c>
      <c r="C26" s="3" t="n">
        <v>14890000000</v>
      </c>
      <c r="D26" s="3" t="n">
        <v>13725000000</v>
      </c>
      <c r="E26" s="3" t="n">
        <v>18381000000</v>
      </c>
      <c r="F26" s="3" t="n"/>
    </row>
    <row r="27">
      <c r="A27" t="inlineStr">
        <is>
          <t>Total Assets</t>
        </is>
      </c>
      <c r="B27" s="3" t="n">
        <v>3670655000000</v>
      </c>
      <c r="C27" s="3" t="n">
        <v>3289224000000</v>
      </c>
      <c r="D27" s="3" t="n">
        <v>2964792000000</v>
      </c>
      <c r="E27" s="3" t="n">
        <v>2650429000000</v>
      </c>
      <c r="F27" s="3" t="n"/>
    </row>
    <row r="28">
      <c r="A28" t="inlineStr">
        <is>
          <t>Total Non Current Assets</t>
        </is>
      </c>
      <c r="B28" s="3" t="n">
        <v>1691149000000</v>
      </c>
      <c r="C28" s="3" t="n">
        <v>1656633000000</v>
      </c>
      <c r="D28" s="3" t="n">
        <v>1432963000000</v>
      </c>
      <c r="E28" s="3" t="n">
        <v>1314330000000</v>
      </c>
      <c r="F28" s="3" t="n"/>
    </row>
    <row r="29">
      <c r="A29" t="inlineStr">
        <is>
          <t>Other Non Current Assets</t>
        </is>
      </c>
      <c r="B29" s="3" t="n">
        <v>12211000000</v>
      </c>
      <c r="C29" s="3" t="n">
        <v>10688000000</v>
      </c>
      <c r="D29" s="3" t="n">
        <v>10644000000</v>
      </c>
      <c r="E29" s="3" t="n">
        <v>8134000000</v>
      </c>
      <c r="F29" s="3" t="n"/>
    </row>
    <row r="30">
      <c r="A30" t="inlineStr">
        <is>
          <t>Non Current Prepaid Assets</t>
        </is>
      </c>
      <c r="B30" s="3" t="n"/>
      <c r="C30" s="3" t="n"/>
      <c r="D30" s="3" t="n">
        <v>17957000000</v>
      </c>
      <c r="E30" s="3" t="n">
        <v>15907000000</v>
      </c>
      <c r="F30" s="3" t="n">
        <v>14227000000</v>
      </c>
    </row>
    <row r="31">
      <c r="A31" t="inlineStr">
        <is>
          <t>Non Current Deferred Taxes Assets</t>
        </is>
      </c>
      <c r="B31" s="3" t="n">
        <v>20515000000</v>
      </c>
      <c r="C31" s="3" t="n">
        <v>17898000000</v>
      </c>
      <c r="D31" s="3" t="n">
        <v>9480000000</v>
      </c>
      <c r="E31" s="3" t="n">
        <v>12562000000</v>
      </c>
      <c r="F31" s="3" t="n"/>
    </row>
    <row r="32">
      <c r="A32" t="inlineStr">
        <is>
          <t>Investmentin Financial Assets</t>
        </is>
      </c>
      <c r="B32" s="3" t="n">
        <v>1534524000000</v>
      </c>
      <c r="C32" s="3" t="n">
        <v>1544785000000</v>
      </c>
      <c r="D32" s="3" t="n">
        <v>1332177000000</v>
      </c>
      <c r="E32" s="3" t="n">
        <v>1222637000000</v>
      </c>
      <c r="F32" s="3" t="n"/>
    </row>
    <row r="33">
      <c r="A33" t="inlineStr">
        <is>
          <t>Available For Sale Securities</t>
        </is>
      </c>
      <c r="B33" s="3" t="n">
        <v>1534524000000</v>
      </c>
      <c r="C33" s="3" t="n">
        <v>1544785000000</v>
      </c>
      <c r="D33" s="3" t="n">
        <v>1332177000000</v>
      </c>
      <c r="E33" s="3" t="n">
        <v>1222637000000</v>
      </c>
      <c r="F33" s="3" t="n"/>
    </row>
    <row r="34">
      <c r="A34" t="inlineStr">
        <is>
          <t>Goodwill And Other Intangible Assets</t>
        </is>
      </c>
      <c r="B34" s="3" t="n">
        <v>29181000000</v>
      </c>
      <c r="C34" s="3" t="n">
        <v>6338000000</v>
      </c>
      <c r="D34" s="3" t="n">
        <v>4792000000</v>
      </c>
      <c r="E34" s="3" t="n">
        <v>3692000000</v>
      </c>
      <c r="F34" s="3" t="n"/>
    </row>
    <row r="35">
      <c r="A35" t="inlineStr">
        <is>
          <t>Other Intangible Assets</t>
        </is>
      </c>
      <c r="B35" s="3" t="n">
        <v>29181000000</v>
      </c>
      <c r="C35" s="3" t="n">
        <v>6338000000</v>
      </c>
      <c r="D35" s="3" t="n">
        <v>4792000000</v>
      </c>
      <c r="E35" s="3" t="n">
        <v>3692000000</v>
      </c>
      <c r="F35" s="3" t="n"/>
    </row>
    <row r="36">
      <c r="A36" t="inlineStr">
        <is>
          <t>Net PPE</t>
        </is>
      </c>
      <c r="B36" s="3" t="n">
        <v>94718000000</v>
      </c>
      <c r="C36" s="3" t="n">
        <v>76924000000</v>
      </c>
      <c r="D36" s="3" t="n">
        <v>75870000000</v>
      </c>
      <c r="E36" s="3" t="n">
        <v>67305000000</v>
      </c>
      <c r="F36" s="3" t="n"/>
    </row>
    <row r="37">
      <c r="A37" t="inlineStr">
        <is>
          <t>Accumulated Depreciation</t>
        </is>
      </c>
      <c r="B37" s="3" t="n">
        <v>-104573000000</v>
      </c>
      <c r="C37" s="3" t="n">
        <v>-87766000000</v>
      </c>
      <c r="D37" s="3" t="n">
        <v>-84803000000</v>
      </c>
      <c r="E37" s="3" t="n">
        <v>-71130000000</v>
      </c>
      <c r="F37" s="3" t="n"/>
    </row>
    <row r="38">
      <c r="A38" t="inlineStr">
        <is>
          <t>Gross PPE</t>
        </is>
      </c>
      <c r="B38" s="3" t="n">
        <v>199291000000</v>
      </c>
      <c r="C38" s="3" t="n">
        <v>164689000000</v>
      </c>
      <c r="D38" s="3" t="n">
        <v>160674000000</v>
      </c>
      <c r="E38" s="3" t="n">
        <v>138436000000</v>
      </c>
      <c r="F38" s="3" t="n"/>
    </row>
    <row r="39">
      <c r="A39" t="inlineStr">
        <is>
          <t>Other Properties</t>
        </is>
      </c>
      <c r="B39" s="3" t="n">
        <v>55809000000</v>
      </c>
      <c r="C39" s="3" t="n">
        <v>35601000000</v>
      </c>
      <c r="D39" s="3" t="n">
        <v>33256000000</v>
      </c>
      <c r="E39" s="3" t="n">
        <v>22014000000</v>
      </c>
      <c r="F39" s="3" t="n"/>
    </row>
    <row r="40">
      <c r="A40" t="inlineStr">
        <is>
          <t>Machinery Furniture Equipment</t>
        </is>
      </c>
      <c r="B40" s="3" t="n">
        <v>75596000000</v>
      </c>
      <c r="C40" s="3" t="n">
        <v>66183000000</v>
      </c>
      <c r="D40" s="3" t="n">
        <v>61765000000</v>
      </c>
      <c r="E40" s="3" t="n">
        <v>54100000000</v>
      </c>
      <c r="F40" s="3" t="n"/>
    </row>
    <row r="41">
      <c r="A41" t="inlineStr">
        <is>
          <t>Buildings And Improvements</t>
        </is>
      </c>
      <c r="B41" s="3" t="n">
        <v>34915000000</v>
      </c>
      <c r="C41" s="3" t="n">
        <v>29934000000</v>
      </c>
      <c r="D41" s="3" t="n">
        <v>29991000000</v>
      </c>
      <c r="E41" s="3" t="n">
        <v>26660000000</v>
      </c>
      <c r="F41" s="3" t="n"/>
    </row>
    <row r="42">
      <c r="A42" t="inlineStr">
        <is>
          <t>Land And Improvements</t>
        </is>
      </c>
      <c r="B42" s="3" t="n">
        <v>32971000000</v>
      </c>
      <c r="C42" s="3" t="n">
        <v>32971000000</v>
      </c>
      <c r="D42" s="3" t="n">
        <v>35662000000</v>
      </c>
      <c r="E42" s="3" t="n">
        <v>35662000000</v>
      </c>
      <c r="F42" s="3" t="n"/>
    </row>
    <row r="43">
      <c r="A43" t="inlineStr">
        <is>
          <t>Properties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/>
    </row>
    <row r="44">
      <c r="A44" t="inlineStr">
        <is>
          <t>Current Assets</t>
        </is>
      </c>
      <c r="B44" s="3" t="n">
        <v>1979505000000</v>
      </c>
      <c r="C44" s="3" t="n">
        <v>1632589000000</v>
      </c>
      <c r="D44" s="3" t="n">
        <v>1531827000000</v>
      </c>
      <c r="E44" s="3" t="n">
        <v>1336098000000</v>
      </c>
      <c r="F44" s="3" t="n"/>
    </row>
    <row r="45">
      <c r="A45" t="inlineStr">
        <is>
          <t>Other Current Assets</t>
        </is>
      </c>
      <c r="B45" s="3" t="n">
        <v>20753000000</v>
      </c>
      <c r="C45" s="3" t="n">
        <v>15151000000</v>
      </c>
      <c r="D45" s="3" t="n">
        <v>13912000000</v>
      </c>
      <c r="E45" s="3" t="n">
        <v>10466000000</v>
      </c>
      <c r="F45" s="3" t="n"/>
    </row>
    <row r="46">
      <c r="A46" t="inlineStr">
        <is>
          <t>Inventory</t>
        </is>
      </c>
      <c r="B46" s="3" t="n">
        <v>85273000000</v>
      </c>
      <c r="C46" s="3" t="n">
        <v>77892000000</v>
      </c>
      <c r="D46" s="3" t="n">
        <v>77613000000</v>
      </c>
      <c r="E46" s="3" t="n">
        <v>87389000000</v>
      </c>
      <c r="F46" s="3" t="n"/>
    </row>
    <row r="47">
      <c r="A47" t="inlineStr">
        <is>
          <t>Accounts Receivable</t>
        </is>
      </c>
      <c r="B47" s="3" t="n">
        <v>379590000000</v>
      </c>
      <c r="C47" s="3" t="n">
        <v>320312000000</v>
      </c>
      <c r="D47" s="3" t="n">
        <v>307526000000</v>
      </c>
      <c r="E47" s="3" t="n">
        <v>297785000000</v>
      </c>
      <c r="F47" s="3" t="n"/>
    </row>
    <row r="48">
      <c r="A48" t="inlineStr">
        <is>
          <t>Gross Accounts Receivable</t>
        </is>
      </c>
      <c r="B48" s="3" t="n">
        <v>379590000000</v>
      </c>
      <c r="C48" s="3" t="n">
        <v>320312000000</v>
      </c>
      <c r="D48" s="3" t="n">
        <v>307526000000</v>
      </c>
      <c r="E48" s="3" t="n">
        <v>297785000000</v>
      </c>
      <c r="F48" s="3" t="n"/>
    </row>
    <row r="49">
      <c r="A49" t="inlineStr">
        <is>
          <t>Cash Cash Equivalents And Short Term Investments</t>
        </is>
      </c>
      <c r="B49" s="3" t="n">
        <v>1493889000000</v>
      </c>
      <c r="C49" s="3" t="n">
        <v>1219234000000</v>
      </c>
      <c r="D49" s="3" t="n">
        <v>1132776000000</v>
      </c>
      <c r="E49" s="3" t="n">
        <v>940458000000</v>
      </c>
      <c r="F49" s="3" t="n"/>
    </row>
    <row r="50">
      <c r="A50" t="inlineStr">
        <is>
          <t>Other Short Term Investments</t>
        </is>
      </c>
      <c r="B50" s="3" t="n">
        <v>896913000000</v>
      </c>
      <c r="C50" s="3" t="n">
        <v>640183000000</v>
      </c>
      <c r="D50" s="3" t="n">
        <v>612420000000</v>
      </c>
      <c r="E50" s="3" t="n">
        <v>506802000000</v>
      </c>
      <c r="F50" s="3" t="n"/>
    </row>
    <row r="51">
      <c r="A51" t="inlineStr">
        <is>
          <t>Cash And Cash Equivalents</t>
        </is>
      </c>
      <c r="B51" s="3" t="n">
        <v>596976000000</v>
      </c>
      <c r="C51" s="3" t="n">
        <v>579051000000</v>
      </c>
      <c r="D51" s="3" t="n">
        <v>520356000000</v>
      </c>
      <c r="E51" s="3" t="n">
        <v>433656000000</v>
      </c>
      <c r="F51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Line item</t>
        </is>
      </c>
      <c r="B1" s="1" t="inlineStr">
        <is>
          <t>2026-03-31</t>
        </is>
      </c>
    </row>
    <row r="2">
      <c r="A2" t="inlineStr">
        <is>
          <t>Treasury Shares Number</t>
        </is>
      </c>
      <c r="B2" s="3" t="n">
        <v>682548</v>
      </c>
    </row>
    <row r="3">
      <c r="A3" t="inlineStr">
        <is>
          <t>Ordinary Shares Number</t>
        </is>
      </c>
      <c r="B3" s="3" t="n">
        <v>242525136</v>
      </c>
    </row>
    <row r="4">
      <c r="A4" t="inlineStr">
        <is>
          <t>Share Issued</t>
        </is>
      </c>
      <c r="B4" s="3" t="n">
        <v>243207684</v>
      </c>
    </row>
    <row r="5">
      <c r="A5" t="inlineStr">
        <is>
          <t>Tangible Book Value</t>
        </is>
      </c>
      <c r="B5" s="3" t="n">
        <v>3442290000000</v>
      </c>
    </row>
    <row r="6">
      <c r="A6" t="inlineStr">
        <is>
          <t>Invested Capital</t>
        </is>
      </c>
      <c r="B6" s="3" t="n">
        <v>3471471000000</v>
      </c>
    </row>
    <row r="7">
      <c r="A7" t="inlineStr">
        <is>
          <t>Working Capital</t>
        </is>
      </c>
      <c r="B7" s="3" t="n">
        <v>1791674000000</v>
      </c>
    </row>
    <row r="8">
      <c r="A8" t="inlineStr">
        <is>
          <t>Net Tangible Assets</t>
        </is>
      </c>
      <c r="B8" s="3" t="n">
        <v>3442290000000</v>
      </c>
    </row>
    <row r="9">
      <c r="A9" t="inlineStr">
        <is>
          <t>Common Stock Equity</t>
        </is>
      </c>
      <c r="B9" s="3" t="n">
        <v>3471471000000</v>
      </c>
    </row>
    <row r="10">
      <c r="A10" t="inlineStr">
        <is>
          <t>Total Capitalization</t>
        </is>
      </c>
      <c r="B10" s="3" t="n">
        <v>3471471000000</v>
      </c>
    </row>
    <row r="11">
      <c r="A11" t="inlineStr">
        <is>
          <t>Total Equity Gross Minority Interest</t>
        </is>
      </c>
      <c r="B11" s="3" t="n">
        <v>3471471000000</v>
      </c>
    </row>
    <row r="12">
      <c r="A12" t="inlineStr">
        <is>
          <t>Stockholders Equity</t>
        </is>
      </c>
      <c r="B12" s="3" t="n">
        <v>3471471000000</v>
      </c>
    </row>
    <row r="13">
      <c r="A13" t="inlineStr">
        <is>
          <t>Treasury Stock</t>
        </is>
      </c>
      <c r="B13" s="3" t="n">
        <v>3854000000</v>
      </c>
    </row>
    <row r="14">
      <c r="A14" t="inlineStr">
        <is>
          <t>Retained Earnings</t>
        </is>
      </c>
      <c r="B14" s="3" t="n">
        <v>3356584000000</v>
      </c>
    </row>
    <row r="15">
      <c r="A15" t="inlineStr">
        <is>
          <t>Additional Paid In Capital</t>
        </is>
      </c>
      <c r="B15" s="3" t="n">
        <v>30544000000</v>
      </c>
    </row>
    <row r="16">
      <c r="A16" t="inlineStr">
        <is>
          <t>Capital Stock</t>
        </is>
      </c>
      <c r="B16" s="3" t="n">
        <v>30637000000</v>
      </c>
    </row>
    <row r="17">
      <c r="A17" t="inlineStr">
        <is>
          <t>Common Stock</t>
        </is>
      </c>
      <c r="B17" s="3" t="n">
        <v>30637000000</v>
      </c>
    </row>
    <row r="18">
      <c r="A18" t="inlineStr">
        <is>
          <t>Total Liabilities Net Minority Interest</t>
        </is>
      </c>
      <c r="B18" s="3" t="n">
        <v>199184000000</v>
      </c>
    </row>
    <row r="19">
      <c r="A19" t="inlineStr">
        <is>
          <t>Total Non Current Liabilities Net Minority Interest</t>
        </is>
      </c>
      <c r="B19" s="3" t="n">
        <v>11353000000</v>
      </c>
    </row>
    <row r="20">
      <c r="A20" t="inlineStr">
        <is>
          <t>Other Non Current Liabilities</t>
        </is>
      </c>
      <c r="B20" s="3" t="n">
        <v>11353000000</v>
      </c>
    </row>
    <row r="21">
      <c r="A21" t="inlineStr">
        <is>
          <t>Current Liabilities</t>
        </is>
      </c>
      <c r="B21" s="3" t="n">
        <v>187831000000</v>
      </c>
    </row>
    <row r="22">
      <c r="A22" t="inlineStr">
        <is>
          <t>Other Current Liabilities</t>
        </is>
      </c>
      <c r="B22" s="3" t="n">
        <v>52339000000</v>
      </c>
    </row>
    <row r="23">
      <c r="A23" t="inlineStr">
        <is>
          <t>Pensionand Other Post Retirement Benefit Plans Current</t>
        </is>
      </c>
      <c r="B23" s="3" t="n">
        <v>22271000000</v>
      </c>
    </row>
    <row r="24">
      <c r="A24" t="inlineStr">
        <is>
          <t>Payables</t>
        </is>
      </c>
      <c r="B24" s="3" t="n">
        <v>113221000000</v>
      </c>
    </row>
    <row r="25">
      <c r="A25" t="inlineStr">
        <is>
          <t>Total Tax Payable</t>
        </is>
      </c>
      <c r="B25" s="3" t="n">
        <v>102331000000</v>
      </c>
    </row>
    <row r="26">
      <c r="A26" t="inlineStr">
        <is>
          <t>Accounts Payable</t>
        </is>
      </c>
      <c r="B26" s="3" t="n">
        <v>10890000000</v>
      </c>
    </row>
    <row r="27">
      <c r="A27" t="inlineStr">
        <is>
          <t>Total Assets</t>
        </is>
      </c>
      <c r="B27" s="3" t="n">
        <v>3670655000000</v>
      </c>
    </row>
    <row r="28">
      <c r="A28" t="inlineStr">
        <is>
          <t>Total Non Current Assets</t>
        </is>
      </c>
      <c r="B28" s="3" t="n">
        <v>1691149000000</v>
      </c>
    </row>
    <row r="29">
      <c r="A29" t="inlineStr">
        <is>
          <t>Other Non Current Assets</t>
        </is>
      </c>
      <c r="B29" s="3" t="n">
        <v>12211000000</v>
      </c>
    </row>
    <row r="30">
      <c r="A30" t="inlineStr">
        <is>
          <t>Non Current Deferred Taxes Assets</t>
        </is>
      </c>
      <c r="B30" s="3" t="n">
        <v>20515000000</v>
      </c>
    </row>
    <row r="31">
      <c r="A31" t="inlineStr">
        <is>
          <t>Investmentin Financial Assets</t>
        </is>
      </c>
      <c r="B31" s="3" t="n">
        <v>1534524000000</v>
      </c>
    </row>
    <row r="32">
      <c r="A32" t="inlineStr">
        <is>
          <t>Available For Sale Securities</t>
        </is>
      </c>
      <c r="B32" s="3" t="n">
        <v>1534524000000</v>
      </c>
    </row>
    <row r="33">
      <c r="A33" t="inlineStr">
        <is>
          <t>Goodwill And Other Intangible Assets</t>
        </is>
      </c>
      <c r="B33" s="3" t="n">
        <v>29181000000</v>
      </c>
    </row>
    <row r="34">
      <c r="A34" t="inlineStr">
        <is>
          <t>Other Intangible Assets</t>
        </is>
      </c>
      <c r="B34" s="3" t="n">
        <v>29181000000</v>
      </c>
    </row>
    <row r="35">
      <c r="A35" t="inlineStr">
        <is>
          <t>Net PPE</t>
        </is>
      </c>
      <c r="B35" s="3" t="n">
        <v>94718000000</v>
      </c>
    </row>
    <row r="36">
      <c r="A36" t="inlineStr">
        <is>
          <t>Accumulated Depreciation</t>
        </is>
      </c>
      <c r="B36" s="3" t="n">
        <v>-104573000000</v>
      </c>
    </row>
    <row r="37">
      <c r="A37" t="inlineStr">
        <is>
          <t>Gross PPE</t>
        </is>
      </c>
      <c r="B37" s="3" t="n">
        <v>199291000000</v>
      </c>
    </row>
    <row r="38">
      <c r="A38" t="inlineStr">
        <is>
          <t>Other Properties</t>
        </is>
      </c>
      <c r="B38" s="3" t="n">
        <v>55809000000</v>
      </c>
    </row>
    <row r="39">
      <c r="A39" t="inlineStr">
        <is>
          <t>Machinery Furniture Equipment</t>
        </is>
      </c>
      <c r="B39" s="3" t="n">
        <v>75596000000</v>
      </c>
    </row>
    <row r="40">
      <c r="A40" t="inlineStr">
        <is>
          <t>Buildings And Improvements</t>
        </is>
      </c>
      <c r="B40" s="3" t="n">
        <v>34915000000</v>
      </c>
    </row>
    <row r="41">
      <c r="A41" t="inlineStr">
        <is>
          <t>Land And Improvements</t>
        </is>
      </c>
      <c r="B41" s="3" t="n">
        <v>32971000000</v>
      </c>
    </row>
    <row r="42">
      <c r="A42" t="inlineStr">
        <is>
          <t>Properties</t>
        </is>
      </c>
      <c r="B42" s="3" t="n">
        <v>0</v>
      </c>
    </row>
    <row r="43">
      <c r="A43" t="inlineStr">
        <is>
          <t>Current Assets</t>
        </is>
      </c>
      <c r="B43" s="3" t="n">
        <v>1979505000000</v>
      </c>
    </row>
    <row r="44">
      <c r="A44" t="inlineStr">
        <is>
          <t>Other Current Assets</t>
        </is>
      </c>
      <c r="B44" s="3" t="n">
        <v>20753000000</v>
      </c>
    </row>
    <row r="45">
      <c r="A45" t="inlineStr">
        <is>
          <t>Inventory</t>
        </is>
      </c>
      <c r="B45" s="3" t="n">
        <v>85273000000</v>
      </c>
    </row>
    <row r="46">
      <c r="A46" t="inlineStr">
        <is>
          <t>Accounts Receivable</t>
        </is>
      </c>
      <c r="B46" s="3" t="n">
        <v>379590000000</v>
      </c>
    </row>
    <row r="47">
      <c r="A47" t="inlineStr">
        <is>
          <t>Gross Accounts Receivable</t>
        </is>
      </c>
      <c r="B47" s="3" t="n">
        <v>379590000000</v>
      </c>
    </row>
    <row r="48">
      <c r="A48" t="inlineStr">
        <is>
          <t>Cash Cash Equivalents And Short Term Investments</t>
        </is>
      </c>
      <c r="B48" s="3" t="n">
        <v>1493889000000</v>
      </c>
    </row>
    <row r="49">
      <c r="A49" t="inlineStr">
        <is>
          <t>Other Short Term Investments</t>
        </is>
      </c>
      <c r="B49" s="3" t="n">
        <v>896913000000</v>
      </c>
    </row>
    <row r="50">
      <c r="A50" t="inlineStr">
        <is>
          <t>Cash And Cash Equivalents</t>
        </is>
      </c>
      <c r="B50" s="3" t="n">
        <v>596976000000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2025-03-31</t>
        </is>
      </c>
      <c r="D1" s="1" t="inlineStr">
        <is>
          <t>2024-03-31</t>
        </is>
      </c>
      <c r="E1" s="1" t="inlineStr">
        <is>
          <t>2023-03-31</t>
        </is>
      </c>
    </row>
    <row r="2">
      <c r="A2" t="inlineStr">
        <is>
          <t>Free Cash Flow</t>
        </is>
      </c>
      <c r="B2" s="3" t="n">
        <v>402309000000</v>
      </c>
      <c r="C2" s="3" t="n">
        <v>395180000000</v>
      </c>
      <c r="D2" s="3" t="n">
        <v>375424000000</v>
      </c>
      <c r="E2" s="3" t="n">
        <v>263283000000</v>
      </c>
    </row>
    <row r="3">
      <c r="A3" t="inlineStr">
        <is>
          <t>Capital Expenditure</t>
        </is>
      </c>
      <c r="B3" s="3" t="n">
        <v>-28371000000</v>
      </c>
      <c r="C3" s="3" t="n">
        <v>-14342000000</v>
      </c>
      <c r="D3" s="3" t="n">
        <v>-12492000000</v>
      </c>
      <c r="E3" s="3" t="n">
        <v>-39345000000</v>
      </c>
    </row>
    <row r="4">
      <c r="A4" t="inlineStr">
        <is>
          <t>End Cash Position</t>
        </is>
      </c>
      <c r="B4" s="3" t="n">
        <v>451269000000</v>
      </c>
      <c r="C4" s="3" t="n">
        <v>451715000000</v>
      </c>
      <c r="D4" s="3" t="n">
        <v>406065000000</v>
      </c>
      <c r="E4" s="3" t="n">
        <v>344002000000</v>
      </c>
    </row>
    <row r="5">
      <c r="A5" t="inlineStr">
        <is>
          <t>Other Cash Adjustment Outside Changein Cash</t>
        </is>
      </c>
      <c r="B5" s="3" t="n">
        <v>-1000000</v>
      </c>
      <c r="C5" s="3" t="n">
        <v>1000000</v>
      </c>
      <c r="D5" s="3" t="n">
        <v>-1000000</v>
      </c>
      <c r="E5" s="3" t="n">
        <v>-2000000</v>
      </c>
    </row>
    <row r="6">
      <c r="A6" t="inlineStr">
        <is>
          <t>Beginning Cash Position</t>
        </is>
      </c>
      <c r="B6" s="3" t="n">
        <v>451715000000</v>
      </c>
      <c r="C6" s="3" t="n">
        <v>406065000000</v>
      </c>
      <c r="D6" s="3" t="n">
        <v>344002000000</v>
      </c>
      <c r="E6" s="3" t="n">
        <v>396165000000</v>
      </c>
    </row>
    <row r="7">
      <c r="A7" t="inlineStr">
        <is>
          <t>Effect Of Exchange Rate Changes</t>
        </is>
      </c>
      <c r="B7" s="3" t="n">
        <v>-5016000000</v>
      </c>
      <c r="C7" s="3" t="n">
        <v>169000000</v>
      </c>
      <c r="D7" s="3" t="n">
        <v>-6754000000</v>
      </c>
      <c r="E7" s="3" t="n">
        <v>-7636000000</v>
      </c>
    </row>
    <row r="8">
      <c r="A8" t="inlineStr">
        <is>
          <t>Changes In Cash</t>
        </is>
      </c>
      <c r="B8" s="3" t="n">
        <v>4571000000</v>
      </c>
      <c r="C8" s="3" t="n">
        <v>45480000000</v>
      </c>
      <c r="D8" s="3" t="n">
        <v>68818000000</v>
      </c>
      <c r="E8" s="3" t="n">
        <v>-44525000000</v>
      </c>
    </row>
    <row r="9">
      <c r="A9" t="inlineStr">
        <is>
          <t>Financing Cash Flow</t>
        </is>
      </c>
      <c r="B9" s="3" t="n">
        <v>-113722000000</v>
      </c>
      <c r="C9" s="3" t="n">
        <v>-83430000000</v>
      </c>
      <c r="D9" s="3" t="n">
        <v>-76306000000</v>
      </c>
      <c r="E9" s="3" t="n">
        <v>-63666000000</v>
      </c>
    </row>
    <row r="10">
      <c r="A10" t="inlineStr">
        <is>
          <t>Net Other Financing Charges</t>
        </is>
      </c>
      <c r="B10" s="3" t="n">
        <v>-4574000000</v>
      </c>
      <c r="C10" s="3" t="n">
        <v>-4591000000</v>
      </c>
      <c r="D10" s="3" t="n">
        <v>-3526000000</v>
      </c>
      <c r="E10" s="3" t="n">
        <v>-3025000000</v>
      </c>
    </row>
    <row r="11">
      <c r="A11" t="inlineStr">
        <is>
          <t>Cash Dividends Paid</t>
        </is>
      </c>
      <c r="B11" s="3" t="n">
        <v>-109136000000</v>
      </c>
      <c r="C11" s="3" t="n">
        <v>-78820000000</v>
      </c>
      <c r="D11" s="3" t="n">
        <v>-72757000000</v>
      </c>
      <c r="E11" s="3" t="n">
        <v>-60631000000</v>
      </c>
    </row>
    <row r="12">
      <c r="A12" t="inlineStr">
        <is>
          <t>Net Common Stock Issuance</t>
        </is>
      </c>
      <c r="B12" s="3" t="n">
        <v>-12000000</v>
      </c>
      <c r="C12" s="3" t="n">
        <v>-19000000</v>
      </c>
      <c r="D12" s="3" t="n">
        <v>-23000000</v>
      </c>
      <c r="E12" s="3" t="n">
        <v>-10000000</v>
      </c>
    </row>
    <row r="13">
      <c r="A13" t="inlineStr">
        <is>
          <t>Investing Cash Flow</t>
        </is>
      </c>
      <c r="B13" s="3" t="n">
        <v>-312387000000</v>
      </c>
      <c r="C13" s="3" t="n">
        <v>-280612000000</v>
      </c>
      <c r="D13" s="3" t="n">
        <v>-242792000000</v>
      </c>
      <c r="E13" s="3" t="n">
        <v>-283487000000</v>
      </c>
    </row>
    <row r="14">
      <c r="A14" t="inlineStr">
        <is>
          <t>Net Other Investing Changes</t>
        </is>
      </c>
      <c r="B14" s="3" t="n">
        <v>-40902000000</v>
      </c>
      <c r="C14" s="3" t="n">
        <v>-17731000000</v>
      </c>
      <c r="D14" s="3" t="n">
        <v>-19036000000</v>
      </c>
      <c r="E14" s="3" t="n">
        <v>-14168000000</v>
      </c>
    </row>
    <row r="15">
      <c r="A15" t="inlineStr">
        <is>
          <t>Net Investment Purchase And Sale</t>
        </is>
      </c>
      <c r="B15" s="3" t="n">
        <v>-243114000000</v>
      </c>
      <c r="C15" s="3" t="n">
        <v>-248539000000</v>
      </c>
      <c r="D15" s="3" t="n">
        <v>-211264000000</v>
      </c>
      <c r="E15" s="3" t="n">
        <v>-229974000000</v>
      </c>
    </row>
    <row r="16">
      <c r="A16" t="inlineStr">
        <is>
          <t>Net PPE Purchase And Sale</t>
        </is>
      </c>
      <c r="B16" s="3" t="n">
        <v>-28371000000</v>
      </c>
      <c r="C16" s="3" t="n">
        <v>-14342000000</v>
      </c>
      <c r="D16" s="3" t="n">
        <v>-12492000000</v>
      </c>
      <c r="E16" s="3" t="n">
        <v>-39345000000</v>
      </c>
    </row>
    <row r="17">
      <c r="A17" t="inlineStr">
        <is>
          <t>Purchase Of PPE</t>
        </is>
      </c>
      <c r="B17" s="3" t="n">
        <v>-28371000000</v>
      </c>
      <c r="C17" s="3" t="n">
        <v>-14342000000</v>
      </c>
      <c r="D17" s="3" t="n">
        <v>-12492000000</v>
      </c>
      <c r="E17" s="3" t="n">
        <v>-39345000000</v>
      </c>
    </row>
    <row r="18">
      <c r="A18" t="inlineStr">
        <is>
          <t>Operating Cash Flow</t>
        </is>
      </c>
      <c r="B18" s="3" t="n">
        <v>430680000000</v>
      </c>
      <c r="C18" s="3" t="n">
        <v>409522000000</v>
      </c>
      <c r="D18" s="3" t="n">
        <v>387916000000</v>
      </c>
      <c r="E18" s="3" t="n">
        <v>302628000000</v>
      </c>
    </row>
    <row r="19">
      <c r="A19" t="inlineStr">
        <is>
          <t>Taxes Refund Paid</t>
        </is>
      </c>
      <c r="B19" s="3" t="n">
        <v>-181644000000</v>
      </c>
      <c r="C19" s="3" t="n">
        <v>-148699000000</v>
      </c>
      <c r="D19" s="3" t="n">
        <v>-155798000000</v>
      </c>
      <c r="E19" s="3" t="n">
        <v>-156884000000</v>
      </c>
    </row>
    <row r="20">
      <c r="A20" t="inlineStr">
        <is>
          <t>Interest Received Cfo</t>
        </is>
      </c>
      <c r="B20" s="3" t="n">
        <v>12406000000</v>
      </c>
      <c r="C20" s="3" t="n">
        <v>8472000000</v>
      </c>
      <c r="D20" s="3" t="n">
        <v>5606000000</v>
      </c>
      <c r="E20" s="3" t="n">
        <v>2490000000</v>
      </c>
    </row>
    <row r="21">
      <c r="A21" t="inlineStr">
        <is>
          <t>Change In Working Capital</t>
        </is>
      </c>
      <c r="B21" s="3" t="n">
        <v>-43416000000</v>
      </c>
      <c r="C21" s="3" t="n">
        <v>-16627000000</v>
      </c>
      <c r="D21" s="3" t="n">
        <v>11831000000</v>
      </c>
      <c r="E21" s="3" t="n">
        <v>-57707000000</v>
      </c>
    </row>
    <row r="22">
      <c r="A22" t="inlineStr">
        <is>
          <t>Change In Payable</t>
        </is>
      </c>
      <c r="B22" s="3" t="n">
        <v>-4396000000</v>
      </c>
      <c r="C22" s="3" t="n">
        <v>1160000000</v>
      </c>
      <c r="D22" s="3" t="n">
        <v>-4643000000</v>
      </c>
      <c r="E22" s="3" t="n">
        <v>2358000000</v>
      </c>
    </row>
    <row r="23">
      <c r="A23" t="inlineStr">
        <is>
          <t>Change In Inventory</t>
        </is>
      </c>
      <c r="B23" s="3" t="n">
        <v>-5539000000</v>
      </c>
      <c r="C23" s="3" t="n">
        <v>-756000000</v>
      </c>
      <c r="D23" s="3" t="n">
        <v>11280000000</v>
      </c>
      <c r="E23" s="3" t="n">
        <v>-23961000000</v>
      </c>
    </row>
    <row r="24">
      <c r="A24" t="inlineStr">
        <is>
          <t>Change In Receivables</t>
        </is>
      </c>
      <c r="B24" s="3" t="n">
        <v>-36862000000</v>
      </c>
      <c r="C24" s="3" t="n">
        <v>-18571000000</v>
      </c>
      <c r="D24" s="3" t="n">
        <v>4709000000</v>
      </c>
      <c r="E24" s="3" t="n">
        <v>-36742000000</v>
      </c>
    </row>
    <row r="25">
      <c r="A25" t="inlineStr">
        <is>
          <t>Other Non Cash Items</t>
        </is>
      </c>
      <c r="B25" s="3" t="n">
        <v>-3064000000</v>
      </c>
      <c r="C25" s="3" t="n">
        <v>-4605000000</v>
      </c>
      <c r="D25" s="3" t="n">
        <v>-951000000</v>
      </c>
      <c r="E25" s="3" t="n">
        <v>-3859000000</v>
      </c>
    </row>
    <row r="26">
      <c r="A26" t="inlineStr">
        <is>
          <t>Depreciation And Amortization</t>
        </is>
      </c>
      <c r="B26" s="3" t="n">
        <v>17227000000</v>
      </c>
      <c r="C26" s="3" t="n">
        <v>15193000000</v>
      </c>
      <c r="D26" s="3" t="n">
        <v>13767000000</v>
      </c>
      <c r="E26" s="3" t="n">
        <v>11523000000</v>
      </c>
    </row>
    <row r="27">
      <c r="A27" t="inlineStr">
        <is>
          <t>Depreciation</t>
        </is>
      </c>
      <c r="B27" s="3" t="n">
        <v>17227000000</v>
      </c>
      <c r="C27" s="3" t="n">
        <v>15193000000</v>
      </c>
      <c r="D27" s="3" t="n">
        <v>13767000000</v>
      </c>
      <c r="E27" s="3" t="n">
        <v>11523000000</v>
      </c>
    </row>
    <row r="28">
      <c r="A28" t="inlineStr">
        <is>
          <t>Net Foreign Currency Exchange Gain Loss</t>
        </is>
      </c>
      <c r="B28" s="3" t="n">
        <v>-123000000</v>
      </c>
      <c r="C28" s="3" t="n">
        <v>88000000</v>
      </c>
      <c r="D28" s="3" t="n">
        <v>-462000000</v>
      </c>
      <c r="E28" s="3" t="n">
        <v>-140000000</v>
      </c>
    </row>
    <row r="29">
      <c r="A29" t="inlineStr">
        <is>
          <t>Net Income From Continuing Operations</t>
        </is>
      </c>
      <c r="B29" s="3" t="n">
        <v>635756000000</v>
      </c>
      <c r="C29" s="3" t="n">
        <v>561010000000</v>
      </c>
      <c r="D29" s="3" t="n">
        <v>519295000000</v>
      </c>
      <c r="E29" s="3" t="n">
        <v>512830000000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ROE</t>
        </is>
      </c>
      <c r="B2" t="inlineStr">
        <is>
          <t>missing from yfinance</t>
        </is>
      </c>
    </row>
    <row r="3">
      <c r="A3" t="inlineStr">
        <is>
          <t>FCF (TTM, $)</t>
        </is>
      </c>
      <c r="B3" t="inlineStr">
        <is>
          <t>missing from yfinance</t>
        </is>
      </c>
    </row>
    <row r="4">
      <c r="A4" t="inlineStr">
        <is>
          <t>FY Summary</t>
        </is>
      </c>
      <c r="B4" t="inlineStr">
        <is>
          <t>TTM uses only 1 quarters (&lt;4 available)</t>
        </is>
      </c>
    </row>
    <row r="5">
      <c r="A5" t="inlineStr">
        <is>
          <t>FY Summary</t>
        </is>
      </c>
      <c r="B5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2026-08-02T23:44:10Z</dcterms:created>
  <dcterms:modified xsi:type="dcterms:W3CDTF">2026-08-02T23:44:11Z</dcterms:modified>
</cp:coreProperties>
</file>