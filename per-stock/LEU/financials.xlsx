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Income stmt (annual)" sheetId="2" state="visible" r:id="rId2"/>
    <sheet xmlns:r="http://schemas.openxmlformats.org/officeDocument/2006/relationships" name="Income stmt (quarterly)" sheetId="3" state="visible" r:id="rId3"/>
    <sheet xmlns:r="http://schemas.openxmlformats.org/officeDocument/2006/relationships" name="Balance sheet (annual)" sheetId="4" state="visible" r:id="rId4"/>
    <sheet xmlns:r="http://schemas.openxmlformats.org/officeDocument/2006/relationships" name="Cash flow (annual)" sheetId="5" state="visible" r:id="rId5"/>
    <sheet xmlns:r="http://schemas.openxmlformats.org/officeDocument/2006/relationships" name="Cash flow (quarterly)" sheetId="6" state="visible" r:id="rId6"/>
    <sheet xmlns:r="http://schemas.openxmlformats.org/officeDocument/2006/relationships" name="Data flag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10" fontId="0" fillId="0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26" customWidth="1" min="1" max="1"/>
    <col width="22" customWidth="1" min="2" max="2"/>
    <col width="36" customWidth="1" min="3" max="3"/>
  </cols>
  <sheetData>
    <row r="1">
      <c r="A1" s="1" t="inlineStr">
        <is>
          <t>Field</t>
        </is>
      </c>
      <c r="B1" s="1" t="inlineStr">
        <is>
          <t>Value</t>
        </is>
      </c>
      <c r="C1" s="1" t="inlineStr">
        <is>
          <t>Source / formula</t>
        </is>
      </c>
    </row>
    <row r="2">
      <c r="A2" t="inlineStr">
        <is>
          <t>Ticker</t>
        </is>
      </c>
      <c r="B2" t="inlineStr">
        <is>
          <t>LEU</t>
        </is>
      </c>
      <c r="C2" t="inlineStr">
        <is>
          <t>input</t>
        </is>
      </c>
    </row>
    <row r="3">
      <c r="A3" t="inlineStr">
        <is>
          <t>Name</t>
        </is>
      </c>
      <c r="B3" t="inlineStr">
        <is>
          <t>Centrus Energy Corp.</t>
        </is>
      </c>
      <c r="C3" t="inlineStr">
        <is>
          <t>yfinance info.longName</t>
        </is>
      </c>
    </row>
    <row r="4">
      <c r="A4" t="inlineStr">
        <is>
          <t>Sector</t>
        </is>
      </c>
      <c r="B4" t="inlineStr">
        <is>
          <t>Energy</t>
        </is>
      </c>
      <c r="C4" t="inlineStr">
        <is>
          <t>yfinance info.sector</t>
        </is>
      </c>
    </row>
    <row r="5">
      <c r="A5" t="inlineStr">
        <is>
          <t>Industry</t>
        </is>
      </c>
      <c r="B5" t="inlineStr">
        <is>
          <t>Uranium</t>
        </is>
      </c>
      <c r="C5" t="inlineStr">
        <is>
          <t>yfinance info.industry</t>
        </is>
      </c>
    </row>
    <row r="6">
      <c r="A6" t="inlineStr">
        <is>
          <t>Market cap ($)</t>
        </is>
      </c>
      <c r="B6" t="n">
        <v>3592252416</v>
      </c>
      <c r="C6" t="inlineStr">
        <is>
          <t>yfinance info.marketCap</t>
        </is>
      </c>
    </row>
    <row r="7">
      <c r="A7" t="inlineStr">
        <is>
          <t>Enterprise value ($)</t>
        </is>
      </c>
      <c r="B7" t="n">
        <v>2902652160</v>
      </c>
      <c r="C7" t="inlineStr">
        <is>
          <t>yfinance info.enterpriseValue</t>
        </is>
      </c>
    </row>
    <row r="8">
      <c r="A8" t="inlineStr">
        <is>
          <t>Trailing P/E</t>
        </is>
      </c>
      <c r="B8" t="n">
        <v>66.159424</v>
      </c>
      <c r="C8" t="inlineStr">
        <is>
          <t>yfinance info.trailingPE</t>
        </is>
      </c>
    </row>
    <row r="9">
      <c r="A9" t="inlineStr">
        <is>
          <t>Forward P/E</t>
        </is>
      </c>
      <c r="B9" t="n">
        <v>45.994965</v>
      </c>
      <c r="C9" t="inlineStr">
        <is>
          <t>yfinance info.forwardPE</t>
        </is>
      </c>
    </row>
    <row r="10">
      <c r="A10" t="inlineStr">
        <is>
          <t>P/S (TTM)</t>
        </is>
      </c>
      <c r="B10" t="n">
        <v>7.9421897</v>
      </c>
      <c r="C10" t="inlineStr">
        <is>
          <t>yfinance</t>
        </is>
      </c>
    </row>
    <row r="11">
      <c r="A11" t="inlineStr">
        <is>
          <t>Gross margin (TTM)</t>
        </is>
      </c>
      <c r="B11" t="n">
        <v>0.25669</v>
      </c>
      <c r="C11" t="inlineStr">
        <is>
          <t>yfinance info.grossMargins</t>
        </is>
      </c>
    </row>
    <row r="12">
      <c r="A12" t="inlineStr">
        <is>
          <t>Operating margin (TTM)</t>
        </is>
      </c>
      <c r="B12" t="n">
        <v>-0.00261</v>
      </c>
      <c r="C12" t="inlineStr">
        <is>
          <t>yfinance info.operatingMargins</t>
        </is>
      </c>
    </row>
    <row r="13">
      <c r="A13" t="inlineStr">
        <is>
          <t>Net margin (TTM)</t>
        </is>
      </c>
      <c r="B13" t="n">
        <v>0.13397999</v>
      </c>
      <c r="C13" t="inlineStr">
        <is>
          <t>yfinance info.profitMargins</t>
        </is>
      </c>
    </row>
    <row r="14">
      <c r="A14" t="inlineStr">
        <is>
          <t>ROE</t>
        </is>
      </c>
      <c r="B14" t="n">
        <v>0.12254</v>
      </c>
      <c r="C14" t="inlineStr">
        <is>
          <t>yfinance info.returnOnEquity</t>
        </is>
      </c>
    </row>
    <row r="15">
      <c r="A15" t="inlineStr">
        <is>
          <t>Revenue growth (YoY)</t>
        </is>
      </c>
      <c r="B15" t="n">
        <v>0.049</v>
      </c>
      <c r="C15" t="inlineStr">
        <is>
          <t>yfinance info.revenueGrowth</t>
        </is>
      </c>
    </row>
    <row r="16">
      <c r="A16" t="inlineStr">
        <is>
          <t>Total cash ($)</t>
        </is>
      </c>
      <c r="B16" t="n">
        <v>1868199936</v>
      </c>
      <c r="C16" t="inlineStr">
        <is>
          <t>yfinance info.totalCash</t>
        </is>
      </c>
    </row>
    <row r="17">
      <c r="A17" t="inlineStr">
        <is>
          <t>Total debt ($)</t>
        </is>
      </c>
      <c r="B17" t="n">
        <v>1178599936</v>
      </c>
      <c r="C17" t="inlineStr">
        <is>
          <t>yfinance info.totalDebt</t>
        </is>
      </c>
    </row>
    <row r="18">
      <c r="A18" t="inlineStr">
        <is>
          <t>FCF (TTM, $)</t>
        </is>
      </c>
      <c r="B18" t="n">
        <v>-10875000</v>
      </c>
      <c r="C18" t="inlineStr">
        <is>
          <t>yfinance info.freeCashflow</t>
        </is>
      </c>
    </row>
    <row r="19">
      <c r="A19" t="inlineStr">
        <is>
          <t>Shares outstanding</t>
        </is>
      </c>
      <c r="B19" t="n">
        <v>18953594</v>
      </c>
      <c r="C19" t="inlineStr">
        <is>
          <t>yfinance info.sharesOutstanding</t>
        </is>
      </c>
    </row>
    <row r="20">
      <c r="A20" t="inlineStr">
        <is>
          <t>Current price ($)</t>
        </is>
      </c>
      <c r="B20" t="n">
        <v>182.6</v>
      </c>
      <c r="C20" t="inlineStr">
        <is>
          <t>yfinance info.currentPrice</t>
        </is>
      </c>
    </row>
    <row r="21">
      <c r="A21" t="inlineStr">
        <is>
          <t>FCF yield</t>
        </is>
      </c>
      <c r="B21" s="2">
        <f>IFERROR(B18/B6,"")</f>
        <v/>
      </c>
      <c r="C21">
        <f>B18/B6</f>
        <v/>
      </c>
    </row>
    <row r="22">
      <c r="A22" t="inlineStr">
        <is>
          <t>FCF / EV</t>
        </is>
      </c>
      <c r="B22" s="2">
        <f>IFERROR(B18/B7,"")</f>
        <v/>
      </c>
      <c r="C22">
        <f>B18/B7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3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Line item</t>
        </is>
      </c>
      <c r="B1" s="1" t="inlineStr">
        <is>
          <t>2025-12-31</t>
        </is>
      </c>
      <c r="C1" s="1" t="inlineStr">
        <is>
          <t>2024-12-31</t>
        </is>
      </c>
      <c r="D1" s="1" t="inlineStr">
        <is>
          <t>2023-12-31</t>
        </is>
      </c>
      <c r="E1" s="1" t="inlineStr">
        <is>
          <t>2022-12-31</t>
        </is>
      </c>
      <c r="F1" s="1" t="inlineStr">
        <is>
          <t>2021-12-31</t>
        </is>
      </c>
    </row>
    <row r="2">
      <c r="A2" t="inlineStr">
        <is>
          <t>Tax Effect Of Unusual Items</t>
        </is>
      </c>
      <c r="B2" s="3" t="n">
        <v>5650000</v>
      </c>
      <c r="C2" s="3" t="n">
        <v>2709000</v>
      </c>
      <c r="D2" s="3" t="n">
        <v>10295.857988</v>
      </c>
      <c r="E2" s="3" t="n">
        <v>345000</v>
      </c>
      <c r="F2" s="3" t="n"/>
    </row>
    <row r="3">
      <c r="A3" t="inlineStr">
        <is>
          <t>Tax Rate For Calcs</t>
        </is>
      </c>
      <c r="B3" s="3" t="n">
        <v>0.1</v>
      </c>
      <c r="C3" s="3" t="n">
        <v>0.21</v>
      </c>
      <c r="D3" s="3" t="n">
        <v>0.001183</v>
      </c>
      <c r="E3" s="3" t="n">
        <v>0.23</v>
      </c>
      <c r="F3" s="3" t="n"/>
    </row>
    <row r="4">
      <c r="A4" t="inlineStr">
        <is>
          <t>Normalized EBITDA</t>
        </is>
      </c>
      <c r="B4" s="3" t="n">
        <v>53300000</v>
      </c>
      <c r="C4" s="3" t="n">
        <v>73600000</v>
      </c>
      <c r="D4" s="3" t="n">
        <v>84200000</v>
      </c>
      <c r="E4" s="3" t="n">
        <v>76400000</v>
      </c>
      <c r="F4" s="3" t="n"/>
    </row>
    <row r="5">
      <c r="A5" t="inlineStr">
        <is>
          <t>Total Unusual Items</t>
        </is>
      </c>
      <c r="B5" s="3" t="n">
        <v>56500000</v>
      </c>
      <c r="C5" s="3" t="n">
        <v>12900000</v>
      </c>
      <c r="D5" s="3" t="n">
        <v>8700000</v>
      </c>
      <c r="E5" s="3" t="n">
        <v>1500000</v>
      </c>
      <c r="F5" s="3" t="n"/>
    </row>
    <row r="6">
      <c r="A6" t="inlineStr">
        <is>
          <t>Total Unusual Items Excluding Goodwill</t>
        </is>
      </c>
      <c r="B6" s="3" t="n">
        <v>56500000</v>
      </c>
      <c r="C6" s="3" t="n">
        <v>12900000</v>
      </c>
      <c r="D6" s="3" t="n">
        <v>8700000</v>
      </c>
      <c r="E6" s="3" t="n">
        <v>1500000</v>
      </c>
      <c r="F6" s="3" t="n"/>
    </row>
    <row r="7">
      <c r="A7" t="inlineStr">
        <is>
          <t>Net Income From Continuing Operation Net Minority Interest</t>
        </is>
      </c>
      <c r="B7" s="3" t="n">
        <v>77800000</v>
      </c>
      <c r="C7" s="3" t="n">
        <v>73200000</v>
      </c>
      <c r="D7" s="3" t="n">
        <v>84400000</v>
      </c>
      <c r="E7" s="3" t="n">
        <v>52200000</v>
      </c>
      <c r="F7" s="3" t="n"/>
    </row>
    <row r="8">
      <c r="A8" t="inlineStr">
        <is>
          <t>Reconciled Depreciation</t>
        </is>
      </c>
      <c r="B8" s="3" t="n">
        <v>9900000</v>
      </c>
      <c r="C8" s="3" t="n">
        <v>10800000</v>
      </c>
      <c r="D8" s="3" t="n">
        <v>7100000</v>
      </c>
      <c r="E8" s="3" t="n">
        <v>9600000</v>
      </c>
      <c r="F8" s="3" t="n"/>
    </row>
    <row r="9">
      <c r="A9" t="inlineStr">
        <is>
          <t>Reconciled Cost Of Revenue</t>
        </is>
      </c>
      <c r="B9" s="3" t="n">
        <v>329700000</v>
      </c>
      <c r="C9" s="3" t="n">
        <v>329500000</v>
      </c>
      <c r="D9" s="3" t="n">
        <v>207300000</v>
      </c>
      <c r="E9" s="3" t="n">
        <v>175300000</v>
      </c>
      <c r="F9" s="3" t="n"/>
    </row>
    <row r="10">
      <c r="A10" t="inlineStr">
        <is>
          <t>EBITDA</t>
        </is>
      </c>
      <c r="B10" s="3" t="n">
        <v>109800000</v>
      </c>
      <c r="C10" s="3" t="n">
        <v>86500000</v>
      </c>
      <c r="D10" s="3" t="n">
        <v>92900000</v>
      </c>
      <c r="E10" s="3" t="n">
        <v>77900000</v>
      </c>
      <c r="F10" s="3" t="n"/>
    </row>
    <row r="11">
      <c r="A11" t="inlineStr">
        <is>
          <t>EBIT</t>
        </is>
      </c>
      <c r="B11" s="3" t="n">
        <v>99900000</v>
      </c>
      <c r="C11" s="3" t="n">
        <v>75700000</v>
      </c>
      <c r="D11" s="3" t="n">
        <v>85800000</v>
      </c>
      <c r="E11" s="3" t="n">
        <v>68300000</v>
      </c>
      <c r="F11" s="3" t="n"/>
    </row>
    <row r="12">
      <c r="A12" t="inlineStr">
        <is>
          <t>Net Interest Income</t>
        </is>
      </c>
      <c r="B12" s="3" t="n">
        <v>-14000000</v>
      </c>
      <c r="C12" s="3" t="n">
        <v>-2700000</v>
      </c>
      <c r="D12" s="3" t="n">
        <v>-1300000</v>
      </c>
      <c r="E12" s="3" t="n">
        <v>-500000</v>
      </c>
      <c r="F12" s="3" t="n"/>
    </row>
    <row r="13">
      <c r="A13" t="inlineStr">
        <is>
          <t>Interest Expense</t>
        </is>
      </c>
      <c r="B13" s="3" t="n">
        <v>14000000</v>
      </c>
      <c r="C13" s="3" t="n">
        <v>2700000</v>
      </c>
      <c r="D13" s="3" t="n">
        <v>1300000</v>
      </c>
      <c r="E13" s="3" t="n">
        <v>500000</v>
      </c>
      <c r="F13" s="3" t="n"/>
    </row>
    <row r="14">
      <c r="A14" t="inlineStr">
        <is>
          <t>Normalized Income</t>
        </is>
      </c>
      <c r="B14" s="3" t="n">
        <v>26950000</v>
      </c>
      <c r="C14" s="3" t="n">
        <v>63009000</v>
      </c>
      <c r="D14" s="3" t="n">
        <v>75710295.857988</v>
      </c>
      <c r="E14" s="3" t="n">
        <v>51045000</v>
      </c>
      <c r="F14" s="3" t="n"/>
    </row>
    <row r="15">
      <c r="A15" t="inlineStr">
        <is>
          <t>Net Income From Continuing And Discontinued Operation</t>
        </is>
      </c>
      <c r="B15" s="3" t="n">
        <v>77800000</v>
      </c>
      <c r="C15" s="3" t="n">
        <v>73200000</v>
      </c>
      <c r="D15" s="3" t="n">
        <v>84400000</v>
      </c>
      <c r="E15" s="3" t="n">
        <v>52200000</v>
      </c>
      <c r="F15" s="3" t="n"/>
    </row>
    <row r="16">
      <c r="A16" t="inlineStr">
        <is>
          <t>Total Expenses</t>
        </is>
      </c>
      <c r="B16" s="3" t="n">
        <v>398500000</v>
      </c>
      <c r="C16" s="3" t="n">
        <v>394000000</v>
      </c>
      <c r="D16" s="3" t="n">
        <v>267800000</v>
      </c>
      <c r="E16" s="3" t="n">
        <v>233600000</v>
      </c>
      <c r="F16" s="3" t="n"/>
    </row>
    <row r="17">
      <c r="A17" t="inlineStr">
        <is>
          <t>Total Operating Income As Reported</t>
        </is>
      </c>
      <c r="B17" s="3" t="n">
        <v>50200000</v>
      </c>
      <c r="C17" s="3" t="n">
        <v>48000000</v>
      </c>
      <c r="D17" s="3" t="n">
        <v>52400000</v>
      </c>
      <c r="E17" s="3" t="n">
        <v>59700000</v>
      </c>
      <c r="F17" s="3" t="n"/>
    </row>
    <row r="18">
      <c r="A18" t="inlineStr">
        <is>
          <t>Diluted Average Shares</t>
        </is>
      </c>
      <c r="B18" s="3" t="n">
        <v>19925000</v>
      </c>
      <c r="C18" s="3" t="n">
        <v>16373000</v>
      </c>
      <c r="D18" s="3" t="n">
        <v>15501000</v>
      </c>
      <c r="E18" s="3" t="n">
        <v>14988000</v>
      </c>
      <c r="F18" s="3" t="n"/>
    </row>
    <row r="19">
      <c r="A19" t="inlineStr">
        <is>
          <t>Basic Average Shares</t>
        </is>
      </c>
      <c r="B19" s="3" t="n">
        <v>17967000</v>
      </c>
      <c r="C19" s="3" t="n">
        <v>16309000</v>
      </c>
      <c r="D19" s="3" t="n">
        <v>15212000</v>
      </c>
      <c r="E19" s="3" t="n">
        <v>14601000</v>
      </c>
      <c r="F19" s="3" t="n"/>
    </row>
    <row r="20">
      <c r="A20" t="inlineStr">
        <is>
          <t>Diluted EPS</t>
        </is>
      </c>
      <c r="B20" s="3" t="n">
        <v>3.9</v>
      </c>
      <c r="C20" s="3" t="n">
        <v>4.47</v>
      </c>
      <c r="D20" s="3" t="n">
        <v>5.44</v>
      </c>
      <c r="E20" s="3" t="n">
        <v>3.38</v>
      </c>
      <c r="F20" s="3" t="n"/>
    </row>
    <row r="21">
      <c r="A21" t="inlineStr">
        <is>
          <t>Basic EPS</t>
        </is>
      </c>
      <c r="B21" s="3" t="n">
        <v>4.33</v>
      </c>
      <c r="C21" s="3" t="n">
        <v>4.49</v>
      </c>
      <c r="D21" s="3" t="n">
        <v>5.55</v>
      </c>
      <c r="E21" s="3" t="n">
        <v>3.47</v>
      </c>
      <c r="F21" s="3" t="n"/>
    </row>
    <row r="22">
      <c r="A22" t="inlineStr">
        <is>
          <t>Diluted NI Availto Com Stockholders</t>
        </is>
      </c>
      <c r="B22" s="3" t="n">
        <v>77800000</v>
      </c>
      <c r="C22" s="3" t="n">
        <v>73200000</v>
      </c>
      <c r="D22" s="3" t="n">
        <v>84400000</v>
      </c>
      <c r="E22" s="3" t="n">
        <v>50700000</v>
      </c>
      <c r="F22" s="3" t="n"/>
    </row>
    <row r="23">
      <c r="A23" t="inlineStr">
        <is>
          <t>Net Income Common Stockholders</t>
        </is>
      </c>
      <c r="B23" s="3" t="n">
        <v>77800000</v>
      </c>
      <c r="C23" s="3" t="n">
        <v>73200000</v>
      </c>
      <c r="D23" s="3" t="n">
        <v>84400000</v>
      </c>
      <c r="E23" s="3" t="n">
        <v>50700000</v>
      </c>
      <c r="F23" s="3" t="n"/>
    </row>
    <row r="24">
      <c r="A24" t="inlineStr">
        <is>
          <t>Otherunder Preferred Stock Dividend</t>
        </is>
      </c>
      <c r="B24" s="3" t="n"/>
      <c r="C24" s="3" t="n">
        <v>0</v>
      </c>
      <c r="D24" s="3" t="n">
        <v>0</v>
      </c>
      <c r="E24" s="3" t="n">
        <v>1500000</v>
      </c>
      <c r="F24" s="3" t="n">
        <v>37600000</v>
      </c>
    </row>
    <row r="25">
      <c r="A25" t="inlineStr">
        <is>
          <t>Preferred Stock Dividends</t>
        </is>
      </c>
      <c r="B25" s="3" t="n"/>
      <c r="C25" s="3" t="n"/>
      <c r="D25" s="3" t="n"/>
      <c r="E25" s="3" t="n"/>
      <c r="F25" s="3" t="n">
        <v>2100000</v>
      </c>
    </row>
    <row r="26">
      <c r="A26" t="inlineStr">
        <is>
          <t>Net Income</t>
        </is>
      </c>
      <c r="B26" s="3" t="n">
        <v>77800000</v>
      </c>
      <c r="C26" s="3" t="n">
        <v>73200000</v>
      </c>
      <c r="D26" s="3" t="n">
        <v>84400000</v>
      </c>
      <c r="E26" s="3" t="n">
        <v>52200000</v>
      </c>
      <c r="F26" s="3" t="n"/>
    </row>
    <row r="27">
      <c r="A27" t="inlineStr">
        <is>
          <t>Net Income Including Noncontrolling Interests</t>
        </is>
      </c>
      <c r="B27" s="3" t="n">
        <v>77800000</v>
      </c>
      <c r="C27" s="3" t="n">
        <v>73200000</v>
      </c>
      <c r="D27" s="3" t="n">
        <v>84400000</v>
      </c>
      <c r="E27" s="3" t="n">
        <v>52200000</v>
      </c>
      <c r="F27" s="3" t="n"/>
    </row>
    <row r="28">
      <c r="A28" t="inlineStr">
        <is>
          <t>Net Income Continuous Operations</t>
        </is>
      </c>
      <c r="B28" s="3" t="n">
        <v>77800000</v>
      </c>
      <c r="C28" s="3" t="n">
        <v>73200000</v>
      </c>
      <c r="D28" s="3" t="n">
        <v>84400000</v>
      </c>
      <c r="E28" s="3" t="n">
        <v>52200000</v>
      </c>
      <c r="F28" s="3" t="n"/>
    </row>
    <row r="29">
      <c r="A29" t="inlineStr">
        <is>
          <t>Tax Provision</t>
        </is>
      </c>
      <c r="B29" s="3" t="n">
        <v>8100000</v>
      </c>
      <c r="C29" s="3" t="n">
        <v>-200000</v>
      </c>
      <c r="D29" s="3" t="n">
        <v>100000</v>
      </c>
      <c r="E29" s="3" t="n">
        <v>15600000</v>
      </c>
      <c r="F29" s="3" t="n"/>
    </row>
    <row r="30">
      <c r="A30" t="inlineStr">
        <is>
          <t>Pretax Income</t>
        </is>
      </c>
      <c r="B30" s="3" t="n">
        <v>85900000</v>
      </c>
      <c r="C30" s="3" t="n">
        <v>73000000</v>
      </c>
      <c r="D30" s="3" t="n">
        <v>84500000</v>
      </c>
      <c r="E30" s="3" t="n">
        <v>67800000</v>
      </c>
      <c r="F30" s="3" t="n"/>
    </row>
    <row r="31">
      <c r="A31" t="inlineStr">
        <is>
          <t>Other Income Expense</t>
        </is>
      </c>
      <c r="B31" s="3" t="n">
        <v>49700000</v>
      </c>
      <c r="C31" s="3" t="n">
        <v>27700000</v>
      </c>
      <c r="D31" s="3" t="n">
        <v>33400000</v>
      </c>
      <c r="E31" s="3" t="n">
        <v>8100000</v>
      </c>
      <c r="F31" s="3" t="n"/>
    </row>
    <row r="32">
      <c r="A32" t="inlineStr">
        <is>
          <t>Other Non Operating Income Expenses</t>
        </is>
      </c>
      <c r="B32" s="3" t="n">
        <v>-6800000</v>
      </c>
      <c r="C32" s="3" t="n">
        <v>14800000</v>
      </c>
      <c r="D32" s="3" t="n">
        <v>24700000</v>
      </c>
      <c r="E32" s="3" t="n">
        <v>6600000</v>
      </c>
      <c r="F32" s="3" t="n"/>
    </row>
    <row r="33">
      <c r="A33" t="inlineStr">
        <is>
          <t>Special Income Charges</t>
        </is>
      </c>
      <c r="B33" s="3" t="n">
        <v>11800000</v>
      </c>
      <c r="C33" s="3" t="n">
        <v>-300000</v>
      </c>
      <c r="D33" s="3" t="n">
        <v>-3600000</v>
      </c>
      <c r="E33" s="3" t="n">
        <v>-500000</v>
      </c>
      <c r="F33" s="3" t="n"/>
    </row>
    <row r="34">
      <c r="A34" t="inlineStr">
        <is>
          <t>Other Special Charges</t>
        </is>
      </c>
      <c r="B34" s="3" t="n">
        <v>-11800000</v>
      </c>
      <c r="C34" s="3" t="n"/>
      <c r="D34" s="3" t="n"/>
      <c r="E34" s="3" t="n"/>
      <c r="F34" s="3" t="n"/>
    </row>
    <row r="35">
      <c r="A35" t="inlineStr">
        <is>
          <t>Restructuring And Mergern Acquisition</t>
        </is>
      </c>
      <c r="B35" s="3" t="n"/>
      <c r="C35" s="3" t="n">
        <v>300000</v>
      </c>
      <c r="D35" s="3" t="n">
        <v>3600000</v>
      </c>
      <c r="E35" s="3" t="n">
        <v>500000</v>
      </c>
      <c r="F35" s="3" t="n">
        <v>0</v>
      </c>
    </row>
    <row r="36">
      <c r="A36" t="inlineStr">
        <is>
          <t>Gain On Sale Of Security</t>
        </is>
      </c>
      <c r="B36" s="3" t="n">
        <v>44700000</v>
      </c>
      <c r="C36" s="3" t="n">
        <v>12900000</v>
      </c>
      <c r="D36" s="3" t="n">
        <v>8700000</v>
      </c>
      <c r="E36" s="3" t="n">
        <v>2000000</v>
      </c>
      <c r="F36" s="3" t="n"/>
    </row>
    <row r="37">
      <c r="A37" t="inlineStr">
        <is>
          <t>Net Non Operating Interest Income Expense</t>
        </is>
      </c>
      <c r="B37" s="3" t="n">
        <v>-14000000</v>
      </c>
      <c r="C37" s="3" t="n">
        <v>-2700000</v>
      </c>
      <c r="D37" s="3" t="n">
        <v>-1300000</v>
      </c>
      <c r="E37" s="3" t="n">
        <v>-500000</v>
      </c>
      <c r="F37" s="3" t="n"/>
    </row>
    <row r="38">
      <c r="A38" t="inlineStr">
        <is>
          <t>Interest Expense Non Operating</t>
        </is>
      </c>
      <c r="B38" s="3" t="n">
        <v>14000000</v>
      </c>
      <c r="C38" s="3" t="n">
        <v>2700000</v>
      </c>
      <c r="D38" s="3" t="n">
        <v>1300000</v>
      </c>
      <c r="E38" s="3" t="n">
        <v>500000</v>
      </c>
      <c r="F38" s="3" t="n"/>
    </row>
    <row r="39">
      <c r="A39" t="inlineStr">
        <is>
          <t>Operating Income</t>
        </is>
      </c>
      <c r="B39" s="3" t="n">
        <v>50200000</v>
      </c>
      <c r="C39" s="3" t="n">
        <v>48000000</v>
      </c>
      <c r="D39" s="3" t="n">
        <v>52400000</v>
      </c>
      <c r="E39" s="3" t="n">
        <v>60200000</v>
      </c>
      <c r="F39" s="3" t="n"/>
    </row>
    <row r="40">
      <c r="A40" t="inlineStr">
        <is>
          <t>Operating Expense</t>
        </is>
      </c>
      <c r="B40" s="3" t="n">
        <v>67300000</v>
      </c>
      <c r="C40" s="3" t="n">
        <v>63500000</v>
      </c>
      <c r="D40" s="3" t="n">
        <v>59700000</v>
      </c>
      <c r="E40" s="3" t="n">
        <v>57700000</v>
      </c>
      <c r="F40" s="3" t="n"/>
    </row>
    <row r="41">
      <c r="A41" t="inlineStr">
        <is>
          <t>Other Operating Expenses</t>
        </is>
      </c>
      <c r="B41" s="3" t="n">
        <v>16900000</v>
      </c>
      <c r="C41" s="3" t="n">
        <v>17200000</v>
      </c>
      <c r="D41" s="3" t="n">
        <v>14200000</v>
      </c>
      <c r="E41" s="3" t="n">
        <v>14800000</v>
      </c>
      <c r="F41" s="3" t="n"/>
    </row>
    <row r="42">
      <c r="A42" t="inlineStr">
        <is>
          <t>Depreciation Amortization Depletion Income Statement</t>
        </is>
      </c>
      <c r="B42" s="3" t="n">
        <v>8400000</v>
      </c>
      <c r="C42" s="3" t="n">
        <v>9800000</v>
      </c>
      <c r="D42" s="3" t="n">
        <v>6300000</v>
      </c>
      <c r="E42" s="3" t="n">
        <v>9000000</v>
      </c>
      <c r="F42" s="3" t="n"/>
    </row>
    <row r="43">
      <c r="A43" t="inlineStr">
        <is>
          <t>Depreciation And Amortization In Income Statement</t>
        </is>
      </c>
      <c r="B43" s="3" t="n">
        <v>8400000</v>
      </c>
      <c r="C43" s="3" t="n">
        <v>9800000</v>
      </c>
      <c r="D43" s="3" t="n">
        <v>6300000</v>
      </c>
      <c r="E43" s="3" t="n">
        <v>9000000</v>
      </c>
      <c r="F43" s="3" t="n"/>
    </row>
    <row r="44">
      <c r="A44" t="inlineStr">
        <is>
          <t>Amortization</t>
        </is>
      </c>
      <c r="B44" s="3" t="n">
        <v>8400000</v>
      </c>
      <c r="C44" s="3" t="n">
        <v>9800000</v>
      </c>
      <c r="D44" s="3" t="n">
        <v>6300000</v>
      </c>
      <c r="E44" s="3" t="n">
        <v>9000000</v>
      </c>
      <c r="F44" s="3" t="n"/>
    </row>
    <row r="45">
      <c r="A45" t="inlineStr">
        <is>
          <t>Amortization Of Intangibles Income Statement</t>
        </is>
      </c>
      <c r="B45" s="3" t="n">
        <v>8400000</v>
      </c>
      <c r="C45" s="3" t="n">
        <v>9800000</v>
      </c>
      <c r="D45" s="3" t="n">
        <v>6300000</v>
      </c>
      <c r="E45" s="3" t="n">
        <v>9000000</v>
      </c>
      <c r="F45" s="3" t="n"/>
    </row>
    <row r="46">
      <c r="A46" t="inlineStr">
        <is>
          <t>Selling General And Administration</t>
        </is>
      </c>
      <c r="B46" s="3" t="n">
        <v>42000000</v>
      </c>
      <c r="C46" s="3" t="n">
        <v>36500000</v>
      </c>
      <c r="D46" s="3" t="n">
        <v>39200000</v>
      </c>
      <c r="E46" s="3" t="n">
        <v>33900000</v>
      </c>
      <c r="F46" s="3" t="n"/>
    </row>
    <row r="47">
      <c r="A47" t="inlineStr">
        <is>
          <t>General And Administrative Expense</t>
        </is>
      </c>
      <c r="B47" s="3" t="n">
        <v>42000000</v>
      </c>
      <c r="C47" s="3" t="n">
        <v>36500000</v>
      </c>
      <c r="D47" s="3" t="n">
        <v>39200000</v>
      </c>
      <c r="E47" s="3" t="n">
        <v>33900000</v>
      </c>
      <c r="F47" s="3" t="n"/>
    </row>
    <row r="48">
      <c r="A48" t="inlineStr">
        <is>
          <t>Other Gand A</t>
        </is>
      </c>
      <c r="B48" s="3" t="n">
        <v>36200000</v>
      </c>
      <c r="C48" s="3" t="n">
        <v>35000000</v>
      </c>
      <c r="D48" s="3" t="n">
        <v>36900000</v>
      </c>
      <c r="E48" s="3" t="n">
        <v>33900000</v>
      </c>
      <c r="F48" s="3" t="n"/>
    </row>
    <row r="49">
      <c r="A49" t="inlineStr">
        <is>
          <t>Salaries And Wages</t>
        </is>
      </c>
      <c r="B49" s="3" t="n">
        <v>5800000</v>
      </c>
      <c r="C49" s="3" t="n">
        <v>1500000</v>
      </c>
      <c r="D49" s="3" t="n">
        <v>2300000</v>
      </c>
      <c r="E49" s="3" t="n"/>
      <c r="F49" s="3" t="n"/>
    </row>
    <row r="50">
      <c r="A50" t="inlineStr">
        <is>
          <t>Gross Profit</t>
        </is>
      </c>
      <c r="B50" s="3" t="n">
        <v>117500000</v>
      </c>
      <c r="C50" s="3" t="n">
        <v>111500000</v>
      </c>
      <c r="D50" s="3" t="n">
        <v>112100000</v>
      </c>
      <c r="E50" s="3" t="n">
        <v>117900000</v>
      </c>
      <c r="F50" s="3" t="n"/>
    </row>
    <row r="51">
      <c r="A51" t="inlineStr">
        <is>
          <t>Cost Of Revenue</t>
        </is>
      </c>
      <c r="B51" s="3" t="n">
        <v>331200000</v>
      </c>
      <c r="C51" s="3" t="n">
        <v>330500000</v>
      </c>
      <c r="D51" s="3" t="n">
        <v>208100000</v>
      </c>
      <c r="E51" s="3" t="n">
        <v>175900000</v>
      </c>
      <c r="F51" s="3" t="n"/>
    </row>
    <row r="52">
      <c r="A52" t="inlineStr">
        <is>
          <t>Total Revenue</t>
        </is>
      </c>
      <c r="B52" s="3" t="n">
        <v>448700000</v>
      </c>
      <c r="C52" s="3" t="n">
        <v>442000000</v>
      </c>
      <c r="D52" s="3" t="n">
        <v>320200000</v>
      </c>
      <c r="E52" s="3" t="n">
        <v>293800000</v>
      </c>
      <c r="F52" s="3" t="n"/>
    </row>
    <row r="53">
      <c r="A53" t="inlineStr">
        <is>
          <t>Operating Revenue</t>
        </is>
      </c>
      <c r="B53" s="3" t="n">
        <v>448700000</v>
      </c>
      <c r="C53" s="3" t="n">
        <v>442000000</v>
      </c>
      <c r="D53" s="3" t="n">
        <v>320200000</v>
      </c>
      <c r="E53" s="3" t="n">
        <v>293800000</v>
      </c>
      <c r="F53" s="3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0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1" t="inlineStr">
        <is>
          <t>Line item</t>
        </is>
      </c>
      <c r="B1" s="1" t="inlineStr">
        <is>
          <t>2026-03-31</t>
        </is>
      </c>
      <c r="C1" s="1" t="inlineStr">
        <is>
          <t>2025-12-31</t>
        </is>
      </c>
      <c r="D1" s="1" t="inlineStr">
        <is>
          <t>2025-09-30</t>
        </is>
      </c>
      <c r="E1" s="1" t="inlineStr">
        <is>
          <t>2025-06-30</t>
        </is>
      </c>
      <c r="F1" s="1" t="inlineStr">
        <is>
          <t>2025-03-31</t>
        </is>
      </c>
      <c r="G1" s="1" t="inlineStr">
        <is>
          <t>2024-12-31</t>
        </is>
      </c>
      <c r="H1" s="1" t="inlineStr">
        <is>
          <t>2024-09-30</t>
        </is>
      </c>
    </row>
    <row r="2">
      <c r="A2" t="inlineStr">
        <is>
          <t>Tax Effect Of Unusual Items</t>
        </is>
      </c>
      <c r="B2" s="3" t="n"/>
      <c r="C2" s="3" t="n">
        <v>2711267.605634</v>
      </c>
      <c r="D2" s="3" t="n">
        <v>2709000</v>
      </c>
      <c r="E2" s="3" t="n">
        <v>1818181.818182</v>
      </c>
      <c r="F2" s="3" t="n">
        <v>4340909.090909</v>
      </c>
      <c r="G2" s="3" t="n">
        <v>1008000</v>
      </c>
      <c r="H2" s="3" t="n"/>
    </row>
    <row r="3">
      <c r="A3" t="inlineStr">
        <is>
          <t>Tax Rate For Calcs</t>
        </is>
      </c>
      <c r="B3" s="3" t="n"/>
      <c r="C3" s="3" t="n">
        <v>0.164319</v>
      </c>
      <c r="D3" s="3" t="n">
        <v>0.21</v>
      </c>
      <c r="E3" s="3" t="n">
        <v>0.227273</v>
      </c>
      <c r="F3" s="3" t="n">
        <v>0.227273</v>
      </c>
      <c r="G3" s="3" t="n">
        <v>0.21</v>
      </c>
      <c r="H3" s="3" t="n"/>
    </row>
    <row r="4">
      <c r="A4" t="inlineStr">
        <is>
          <t>Normalized EBITDA</t>
        </is>
      </c>
      <c r="B4" s="3" t="n"/>
      <c r="C4" s="3" t="n">
        <v>11900000</v>
      </c>
      <c r="D4" s="3" t="n">
        <v>-16000000</v>
      </c>
      <c r="E4" s="3" t="n">
        <v>36400000</v>
      </c>
      <c r="F4" s="3" t="n">
        <v>21000000</v>
      </c>
      <c r="G4" s="3" t="n">
        <v>47800000</v>
      </c>
      <c r="H4" s="3" t="n"/>
    </row>
    <row r="5">
      <c r="A5" t="inlineStr">
        <is>
          <t>Total Unusual Items</t>
        </is>
      </c>
      <c r="B5" s="3" t="n"/>
      <c r="C5" s="3" t="n">
        <v>16500000</v>
      </c>
      <c r="D5" s="3" t="n">
        <v>12900000</v>
      </c>
      <c r="E5" s="3" t="n">
        <v>8000000</v>
      </c>
      <c r="F5" s="3" t="n">
        <v>19100000</v>
      </c>
      <c r="G5" s="3" t="n">
        <v>4800000</v>
      </c>
      <c r="H5" s="3" t="n"/>
    </row>
    <row r="6">
      <c r="A6" t="inlineStr">
        <is>
          <t>Total Unusual Items Excluding Goodwill</t>
        </is>
      </c>
      <c r="B6" s="3" t="n"/>
      <c r="C6" s="3" t="n">
        <v>16500000</v>
      </c>
      <c r="D6" s="3" t="n">
        <v>12900000</v>
      </c>
      <c r="E6" s="3" t="n">
        <v>8000000</v>
      </c>
      <c r="F6" s="3" t="n">
        <v>19100000</v>
      </c>
      <c r="G6" s="3" t="n">
        <v>4800000</v>
      </c>
      <c r="H6" s="3" t="n"/>
    </row>
    <row r="7">
      <c r="A7" t="inlineStr">
        <is>
          <t>Net Income From Continuing Operation Net Minority Interest</t>
        </is>
      </c>
      <c r="B7" s="3" t="n"/>
      <c r="C7" s="3" t="n">
        <v>17800000</v>
      </c>
      <c r="D7" s="3" t="n">
        <v>3900000</v>
      </c>
      <c r="E7" s="3" t="n">
        <v>28900000</v>
      </c>
      <c r="F7" s="3" t="n">
        <v>27200000</v>
      </c>
      <c r="G7" s="3" t="n">
        <v>53700000</v>
      </c>
      <c r="H7" s="3" t="n"/>
    </row>
    <row r="8">
      <c r="A8" t="inlineStr">
        <is>
          <t>Reconciled Depreciation</t>
        </is>
      </c>
      <c r="B8" s="3" t="n"/>
      <c r="C8" s="3" t="n">
        <v>3000000</v>
      </c>
      <c r="D8" s="3" t="n">
        <v>1500000</v>
      </c>
      <c r="E8" s="3" t="n">
        <v>3900000</v>
      </c>
      <c r="F8" s="3" t="n">
        <v>1500000</v>
      </c>
      <c r="G8" s="3" t="n">
        <v>2900000</v>
      </c>
      <c r="H8" s="3" t="n"/>
    </row>
    <row r="9">
      <c r="A9" t="inlineStr">
        <is>
          <t>Reconciled Cost Of Revenue</t>
        </is>
      </c>
      <c r="B9" s="3" t="n"/>
      <c r="C9" s="3" t="n">
        <v>110700000</v>
      </c>
      <c r="D9" s="3" t="n">
        <v>78800000</v>
      </c>
      <c r="E9" s="3" t="n">
        <v>100400000</v>
      </c>
      <c r="F9" s="3" t="n">
        <v>39800000</v>
      </c>
      <c r="G9" s="3" t="n">
        <v>89500000</v>
      </c>
      <c r="H9" s="3" t="n"/>
    </row>
    <row r="10">
      <c r="A10" t="inlineStr">
        <is>
          <t>EBITDA</t>
        </is>
      </c>
      <c r="B10" s="3" t="n"/>
      <c r="C10" s="3" t="n">
        <v>28400000</v>
      </c>
      <c r="D10" s="3" t="n">
        <v>-3100000</v>
      </c>
      <c r="E10" s="3" t="n">
        <v>44400000</v>
      </c>
      <c r="F10" s="3" t="n">
        <v>40100000</v>
      </c>
      <c r="G10" s="3" t="n">
        <v>52600000</v>
      </c>
      <c r="H10" s="3" t="n"/>
    </row>
    <row r="11">
      <c r="A11" t="inlineStr">
        <is>
          <t>EBIT</t>
        </is>
      </c>
      <c r="B11" s="3" t="n"/>
      <c r="C11" s="3" t="n">
        <v>25400000</v>
      </c>
      <c r="D11" s="3" t="n">
        <v>-4600000</v>
      </c>
      <c r="E11" s="3" t="n">
        <v>40500000</v>
      </c>
      <c r="F11" s="3" t="n">
        <v>38600000</v>
      </c>
      <c r="G11" s="3" t="n">
        <v>49700000</v>
      </c>
      <c r="H11" s="3" t="n"/>
    </row>
    <row r="12">
      <c r="A12" t="inlineStr">
        <is>
          <t>Net Interest Income</t>
        </is>
      </c>
      <c r="B12" s="3" t="n"/>
      <c r="C12" s="3" t="n">
        <v>-4100000</v>
      </c>
      <c r="D12" s="3" t="n">
        <v>-3400000</v>
      </c>
      <c r="E12" s="3" t="n">
        <v>-3100000</v>
      </c>
      <c r="F12" s="3" t="n">
        <v>-3400000</v>
      </c>
      <c r="G12" s="3" t="n">
        <v>-1900000</v>
      </c>
      <c r="H12" s="3" t="n"/>
    </row>
    <row r="13">
      <c r="A13" t="inlineStr">
        <is>
          <t>Interest Expense</t>
        </is>
      </c>
      <c r="B13" s="3" t="n"/>
      <c r="C13" s="3" t="n">
        <v>4100000</v>
      </c>
      <c r="D13" s="3" t="n">
        <v>3400000</v>
      </c>
      <c r="E13" s="3" t="n">
        <v>3100000</v>
      </c>
      <c r="F13" s="3" t="n">
        <v>3400000</v>
      </c>
      <c r="G13" s="3" t="n">
        <v>1900000</v>
      </c>
      <c r="H13" s="3" t="n"/>
    </row>
    <row r="14">
      <c r="A14" t="inlineStr">
        <is>
          <t>Normalized Income</t>
        </is>
      </c>
      <c r="B14" s="3" t="n"/>
      <c r="C14" s="3" t="n">
        <v>4011267.605634</v>
      </c>
      <c r="D14" s="3" t="n">
        <v>-6291000</v>
      </c>
      <c r="E14" s="3" t="n">
        <v>22718181.818182</v>
      </c>
      <c r="F14" s="3" t="n">
        <v>12440909.090909</v>
      </c>
      <c r="G14" s="3" t="n">
        <v>49908000</v>
      </c>
      <c r="H14" s="3" t="n"/>
    </row>
    <row r="15">
      <c r="A15" t="inlineStr">
        <is>
          <t>Net Income From Continuing And Discontinued Operation</t>
        </is>
      </c>
      <c r="B15" s="3" t="n"/>
      <c r="C15" s="3" t="n">
        <v>17800000</v>
      </c>
      <c r="D15" s="3" t="n">
        <v>3900000</v>
      </c>
      <c r="E15" s="3" t="n">
        <v>28900000</v>
      </c>
      <c r="F15" s="3" t="n">
        <v>27200000</v>
      </c>
      <c r="G15" s="3" t="n">
        <v>53700000</v>
      </c>
      <c r="H15" s="3" t="n"/>
    </row>
    <row r="16">
      <c r="A16" t="inlineStr">
        <is>
          <t>Total Expenses</t>
        </is>
      </c>
      <c r="B16" s="3" t="n"/>
      <c r="C16" s="3" t="n">
        <v>133400000</v>
      </c>
      <c r="D16" s="3" t="n">
        <v>91500000</v>
      </c>
      <c r="E16" s="3" t="n">
        <v>121000000</v>
      </c>
      <c r="F16" s="3" t="n">
        <v>52600000</v>
      </c>
      <c r="G16" s="3" t="n">
        <v>106200000</v>
      </c>
      <c r="H16" s="3" t="n"/>
    </row>
    <row r="17">
      <c r="A17" t="inlineStr">
        <is>
          <t>Total Operating Income As Reported</t>
        </is>
      </c>
      <c r="B17" s="3" t="n"/>
      <c r="C17" s="3" t="n">
        <v>12800000</v>
      </c>
      <c r="D17" s="3" t="n">
        <v>-16600000</v>
      </c>
      <c r="E17" s="3" t="n">
        <v>33500000</v>
      </c>
      <c r="F17" s="3" t="n">
        <v>20500000</v>
      </c>
      <c r="G17" s="3" t="n">
        <v>45100000</v>
      </c>
      <c r="H17" s="3" t="n"/>
    </row>
    <row r="18">
      <c r="A18" t="inlineStr">
        <is>
          <t>Diluted Average Shares</t>
        </is>
      </c>
      <c r="B18" s="3" t="n">
        <v>22446000</v>
      </c>
      <c r="C18" s="3" t="n">
        <v>22527000</v>
      </c>
      <c r="D18" s="3" t="n">
        <v>20677000</v>
      </c>
      <c r="E18" s="3" t="n">
        <v>18121000</v>
      </c>
      <c r="F18" s="3" t="n">
        <v>17048000</v>
      </c>
      <c r="G18" s="3" t="n"/>
      <c r="H18" s="3" t="n"/>
    </row>
    <row r="19">
      <c r="A19" t="inlineStr">
        <is>
          <t>Basic Average Shares</t>
        </is>
      </c>
      <c r="B19" s="3" t="n">
        <v>19773000</v>
      </c>
      <c r="C19" s="3" t="n">
        <v>18844000</v>
      </c>
      <c r="D19" s="3" t="n">
        <v>18317000</v>
      </c>
      <c r="E19" s="3" t="n">
        <v>17703000</v>
      </c>
      <c r="F19" s="3" t="n">
        <v>16982000</v>
      </c>
      <c r="G19" s="3" t="n"/>
      <c r="H19" s="3" t="n"/>
    </row>
    <row r="20">
      <c r="A20" t="inlineStr">
        <is>
          <t>Diluted EPS</t>
        </is>
      </c>
      <c r="B20" s="3" t="n">
        <v>0.51</v>
      </c>
      <c r="C20" s="3" t="n">
        <v>0.79</v>
      </c>
      <c r="D20" s="3" t="n">
        <v>0.19</v>
      </c>
      <c r="E20" s="3" t="n">
        <v>1.59</v>
      </c>
      <c r="F20" s="3" t="n">
        <v>1.6</v>
      </c>
      <c r="G20" s="3" t="n"/>
      <c r="H20" s="3" t="n"/>
    </row>
    <row r="21">
      <c r="A21" t="inlineStr">
        <is>
          <t>Basic EPS</t>
        </is>
      </c>
      <c r="B21" s="3" t="n">
        <v>0.51</v>
      </c>
      <c r="C21" s="3" t="n">
        <v>0.9399999999999999</v>
      </c>
      <c r="D21" s="3" t="n">
        <v>0.21</v>
      </c>
      <c r="E21" s="3" t="n">
        <v>1.63</v>
      </c>
      <c r="F21" s="3" t="n">
        <v>1.6</v>
      </c>
      <c r="G21" s="3" t="n"/>
      <c r="H21" s="3" t="n"/>
    </row>
    <row r="22">
      <c r="A22" t="inlineStr">
        <is>
          <t>Diluted NI Availto Com Stockholders</t>
        </is>
      </c>
      <c r="B22" s="3" t="n"/>
      <c r="C22" s="3" t="n">
        <v>17800000</v>
      </c>
      <c r="D22" s="3" t="n">
        <v>3900000</v>
      </c>
      <c r="E22" s="3" t="n">
        <v>28900000</v>
      </c>
      <c r="F22" s="3" t="n">
        <v>27200000</v>
      </c>
      <c r="G22" s="3" t="n">
        <v>53700000</v>
      </c>
      <c r="H22" s="3" t="n"/>
    </row>
    <row r="23">
      <c r="A23" t="inlineStr">
        <is>
          <t>Net Income Common Stockholders</t>
        </is>
      </c>
      <c r="B23" s="3" t="n"/>
      <c r="C23" s="3" t="n">
        <v>17800000</v>
      </c>
      <c r="D23" s="3" t="n">
        <v>3900000</v>
      </c>
      <c r="E23" s="3" t="n">
        <v>28900000</v>
      </c>
      <c r="F23" s="3" t="n">
        <v>27200000</v>
      </c>
      <c r="G23" s="3" t="n">
        <v>53700000</v>
      </c>
      <c r="H23" s="3" t="n"/>
    </row>
    <row r="24">
      <c r="A24" t="inlineStr">
        <is>
          <t>Net Income</t>
        </is>
      </c>
      <c r="B24" s="3" t="n"/>
      <c r="C24" s="3" t="n">
        <v>17800000</v>
      </c>
      <c r="D24" s="3" t="n">
        <v>3900000</v>
      </c>
      <c r="E24" s="3" t="n">
        <v>28900000</v>
      </c>
      <c r="F24" s="3" t="n">
        <v>27200000</v>
      </c>
      <c r="G24" s="3" t="n">
        <v>53700000</v>
      </c>
      <c r="H24" s="3" t="n"/>
    </row>
    <row r="25">
      <c r="A25" t="inlineStr">
        <is>
          <t>Net Income Including Noncontrolling Interests</t>
        </is>
      </c>
      <c r="B25" s="3" t="n"/>
      <c r="C25" s="3" t="n">
        <v>17800000</v>
      </c>
      <c r="D25" s="3" t="n">
        <v>3900000</v>
      </c>
      <c r="E25" s="3" t="n">
        <v>28900000</v>
      </c>
      <c r="F25" s="3" t="n">
        <v>27200000</v>
      </c>
      <c r="G25" s="3" t="n">
        <v>53700000</v>
      </c>
      <c r="H25" s="3" t="n"/>
    </row>
    <row r="26">
      <c r="A26" t="inlineStr">
        <is>
          <t>Net Income Continuous Operations</t>
        </is>
      </c>
      <c r="B26" s="3" t="n"/>
      <c r="C26" s="3" t="n">
        <v>17800000</v>
      </c>
      <c r="D26" s="3" t="n">
        <v>3900000</v>
      </c>
      <c r="E26" s="3" t="n">
        <v>28900000</v>
      </c>
      <c r="F26" s="3" t="n">
        <v>27200000</v>
      </c>
      <c r="G26" s="3" t="n">
        <v>53700000</v>
      </c>
      <c r="H26" s="3" t="n"/>
    </row>
    <row r="27">
      <c r="A27" t="inlineStr">
        <is>
          <t>Tax Provision</t>
        </is>
      </c>
      <c r="B27" s="3" t="n"/>
      <c r="C27" s="3" t="n">
        <v>3500000</v>
      </c>
      <c r="D27" s="3" t="n">
        <v>-11900000</v>
      </c>
      <c r="E27" s="3" t="n">
        <v>8500000</v>
      </c>
      <c r="F27" s="3" t="n">
        <v>8000000</v>
      </c>
      <c r="G27" s="3" t="n">
        <v>-5900000</v>
      </c>
      <c r="H27" s="3" t="n"/>
    </row>
    <row r="28">
      <c r="A28" t="inlineStr">
        <is>
          <t>Pretax Income</t>
        </is>
      </c>
      <c r="B28" s="3" t="n"/>
      <c r="C28" s="3" t="n">
        <v>21300000</v>
      </c>
      <c r="D28" s="3" t="n">
        <v>-8000000</v>
      </c>
      <c r="E28" s="3" t="n">
        <v>37400000</v>
      </c>
      <c r="F28" s="3" t="n">
        <v>35200000</v>
      </c>
      <c r="G28" s="3" t="n">
        <v>47800000</v>
      </c>
      <c r="H28" s="3" t="n"/>
    </row>
    <row r="29">
      <c r="A29" t="inlineStr">
        <is>
          <t>Other Income Expense</t>
        </is>
      </c>
      <c r="B29" s="3" t="n"/>
      <c r="C29" s="3" t="n">
        <v>12600000</v>
      </c>
      <c r="D29" s="3" t="n">
        <v>12000000</v>
      </c>
      <c r="E29" s="3" t="n">
        <v>7000000</v>
      </c>
      <c r="F29" s="3" t="n">
        <v>18100000</v>
      </c>
      <c r="G29" s="3" t="n">
        <v>4300000</v>
      </c>
      <c r="H29" s="3" t="n"/>
    </row>
    <row r="30">
      <c r="A30" t="inlineStr">
        <is>
          <t>Other Non Operating Income Expenses</t>
        </is>
      </c>
      <c r="B30" s="3" t="n"/>
      <c r="C30" s="3" t="n">
        <v>-3900000</v>
      </c>
      <c r="D30" s="3" t="n">
        <v>-900000</v>
      </c>
      <c r="E30" s="3" t="n">
        <v>-1000000</v>
      </c>
      <c r="F30" s="3" t="n">
        <v>-1000000</v>
      </c>
      <c r="G30" s="3" t="n">
        <v>-500000</v>
      </c>
      <c r="H30" s="3" t="n"/>
    </row>
    <row r="31">
      <c r="A31" t="inlineStr">
        <is>
          <t>Special Income Charges</t>
        </is>
      </c>
      <c r="B31" s="3" t="n"/>
      <c r="C31" s="3" t="n">
        <v>0</v>
      </c>
      <c r="D31" s="3" t="n">
        <v>0</v>
      </c>
      <c r="E31" s="3" t="n">
        <v>0</v>
      </c>
      <c r="F31" s="3" t="n">
        <v>11800000</v>
      </c>
      <c r="G31" s="3" t="n"/>
      <c r="H31" s="3" t="n"/>
    </row>
    <row r="32">
      <c r="A32" t="inlineStr">
        <is>
          <t>Other Special Charges</t>
        </is>
      </c>
      <c r="B32" s="3" t="n"/>
      <c r="C32" s="3" t="n">
        <v>0</v>
      </c>
      <c r="D32" s="3" t="n"/>
      <c r="E32" s="3" t="n"/>
      <c r="F32" s="3" t="n">
        <v>-11800000</v>
      </c>
      <c r="G32" s="3" t="n"/>
      <c r="H32" s="3" t="n"/>
    </row>
    <row r="33">
      <c r="A33" t="inlineStr">
        <is>
          <t>Gain On Sale Of Security</t>
        </is>
      </c>
      <c r="B33" s="3" t="n"/>
      <c r="C33" s="3" t="n">
        <v>16500000</v>
      </c>
      <c r="D33" s="3" t="n">
        <v>12900000</v>
      </c>
      <c r="E33" s="3" t="n">
        <v>8000000</v>
      </c>
      <c r="F33" s="3" t="n">
        <v>7300000</v>
      </c>
      <c r="G33" s="3" t="n">
        <v>5100000</v>
      </c>
      <c r="H33" s="3" t="n"/>
    </row>
    <row r="34">
      <c r="A34" t="inlineStr">
        <is>
          <t>Net Non Operating Interest Income Expense</t>
        </is>
      </c>
      <c r="B34" s="3" t="n"/>
      <c r="C34" s="3" t="n">
        <v>-4100000</v>
      </c>
      <c r="D34" s="3" t="n">
        <v>-3400000</v>
      </c>
      <c r="E34" s="3" t="n">
        <v>-3100000</v>
      </c>
      <c r="F34" s="3" t="n">
        <v>-3400000</v>
      </c>
      <c r="G34" s="3" t="n">
        <v>-1900000</v>
      </c>
      <c r="H34" s="3" t="n"/>
    </row>
    <row r="35">
      <c r="A35" t="inlineStr">
        <is>
          <t>Interest Expense Non Operating</t>
        </is>
      </c>
      <c r="B35" s="3" t="n"/>
      <c r="C35" s="3" t="n">
        <v>4100000</v>
      </c>
      <c r="D35" s="3" t="n">
        <v>3400000</v>
      </c>
      <c r="E35" s="3" t="n">
        <v>3100000</v>
      </c>
      <c r="F35" s="3" t="n">
        <v>3400000</v>
      </c>
      <c r="G35" s="3" t="n">
        <v>1900000</v>
      </c>
      <c r="H35" s="3" t="n"/>
    </row>
    <row r="36">
      <c r="A36" t="inlineStr">
        <is>
          <t>Operating Income</t>
        </is>
      </c>
      <c r="B36" s="3" t="n"/>
      <c r="C36" s="3" t="n">
        <v>12800000</v>
      </c>
      <c r="D36" s="3" t="n">
        <v>-16600000</v>
      </c>
      <c r="E36" s="3" t="n">
        <v>33500000</v>
      </c>
      <c r="F36" s="3" t="n">
        <v>20500000</v>
      </c>
      <c r="G36" s="3" t="n">
        <v>45400000</v>
      </c>
      <c r="H36" s="3" t="n"/>
    </row>
    <row r="37">
      <c r="A37" t="inlineStr">
        <is>
          <t>Operating Expense</t>
        </is>
      </c>
      <c r="B37" s="3" t="n"/>
      <c r="C37" s="3" t="n">
        <v>22200000</v>
      </c>
      <c r="D37" s="3" t="n">
        <v>12300000</v>
      </c>
      <c r="E37" s="3" t="n">
        <v>20400000</v>
      </c>
      <c r="F37" s="3" t="n">
        <v>12400000</v>
      </c>
      <c r="G37" s="3" t="n">
        <v>16400000</v>
      </c>
      <c r="H37" s="3" t="n"/>
    </row>
    <row r="38">
      <c r="A38" t="inlineStr">
        <is>
          <t>Other Operating Expenses</t>
        </is>
      </c>
      <c r="B38" s="3" t="n"/>
      <c r="C38" s="3" t="n">
        <v>8900000</v>
      </c>
      <c r="D38" s="3" t="n">
        <v>1700000</v>
      </c>
      <c r="E38" s="3" t="n">
        <v>3300000</v>
      </c>
      <c r="F38" s="3" t="n">
        <v>3000000</v>
      </c>
      <c r="G38" s="3" t="n">
        <v>3300000</v>
      </c>
      <c r="H38" s="3" t="n"/>
    </row>
    <row r="39">
      <c r="A39" t="inlineStr">
        <is>
          <t>Depreciation Amortization Depletion Income Statement</t>
        </is>
      </c>
      <c r="B39" s="3" t="n"/>
      <c r="C39" s="3" t="n">
        <v>2500000</v>
      </c>
      <c r="D39" s="3" t="n">
        <v>1100000</v>
      </c>
      <c r="E39" s="3" t="n">
        <v>3700000</v>
      </c>
      <c r="F39" s="3" t="n">
        <v>1100000</v>
      </c>
      <c r="G39" s="3" t="n">
        <v>2600000</v>
      </c>
      <c r="H39" s="3" t="n"/>
    </row>
    <row r="40">
      <c r="A40" t="inlineStr">
        <is>
          <t>Depreciation And Amortization In Income Statement</t>
        </is>
      </c>
      <c r="B40" s="3" t="n"/>
      <c r="C40" s="3" t="n">
        <v>2500000</v>
      </c>
      <c r="D40" s="3" t="n">
        <v>1100000</v>
      </c>
      <c r="E40" s="3" t="n">
        <v>3700000</v>
      </c>
      <c r="F40" s="3" t="n">
        <v>1100000</v>
      </c>
      <c r="G40" s="3" t="n">
        <v>2600000</v>
      </c>
      <c r="H40" s="3" t="n"/>
    </row>
    <row r="41">
      <c r="A41" t="inlineStr">
        <is>
          <t>Amortization</t>
        </is>
      </c>
      <c r="B41" s="3" t="n"/>
      <c r="C41" s="3" t="n">
        <v>2500000</v>
      </c>
      <c r="D41" s="3" t="n">
        <v>1100000</v>
      </c>
      <c r="E41" s="3" t="n">
        <v>3700000</v>
      </c>
      <c r="F41" s="3" t="n">
        <v>1100000</v>
      </c>
      <c r="G41" s="3" t="n">
        <v>2600000</v>
      </c>
      <c r="H41" s="3" t="n"/>
    </row>
    <row r="42">
      <c r="A42" t="inlineStr">
        <is>
          <t>Amortization Of Intangibles Income Statement</t>
        </is>
      </c>
      <c r="B42" s="3" t="n"/>
      <c r="C42" s="3" t="n">
        <v>2500000</v>
      </c>
      <c r="D42" s="3" t="n">
        <v>1100000</v>
      </c>
      <c r="E42" s="3" t="n">
        <v>3700000</v>
      </c>
      <c r="F42" s="3" t="n">
        <v>1100000</v>
      </c>
      <c r="G42" s="3" t="n">
        <v>2600000</v>
      </c>
      <c r="H42" s="3" t="n"/>
    </row>
    <row r="43">
      <c r="A43" t="inlineStr">
        <is>
          <t>Selling General And Administration</t>
        </is>
      </c>
      <c r="B43" s="3" t="n"/>
      <c r="C43" s="3" t="n">
        <v>10800000</v>
      </c>
      <c r="D43" s="3" t="n">
        <v>9500000</v>
      </c>
      <c r="E43" s="3" t="n">
        <v>13400000</v>
      </c>
      <c r="F43" s="3" t="n">
        <v>8300000</v>
      </c>
      <c r="G43" s="3" t="n">
        <v>10500000</v>
      </c>
      <c r="H43" s="3" t="n"/>
    </row>
    <row r="44">
      <c r="A44" t="inlineStr">
        <is>
          <t>General And Administrative Expense</t>
        </is>
      </c>
      <c r="B44" s="3" t="n"/>
      <c r="C44" s="3" t="n">
        <v>10800000</v>
      </c>
      <c r="D44" s="3" t="n">
        <v>9500000</v>
      </c>
      <c r="E44" s="3" t="n">
        <v>13400000</v>
      </c>
      <c r="F44" s="3" t="n"/>
      <c r="G44" s="3" t="n"/>
      <c r="H44" s="3" t="n">
        <v>10000000</v>
      </c>
    </row>
    <row r="45">
      <c r="A45" t="inlineStr">
        <is>
          <t>Other Gand A</t>
        </is>
      </c>
      <c r="B45" s="3" t="n"/>
      <c r="C45" s="3" t="n">
        <v>10300000</v>
      </c>
      <c r="D45" s="3" t="n">
        <v>8900000</v>
      </c>
      <c r="E45" s="3" t="n">
        <v>9200000</v>
      </c>
      <c r="F45" s="3" t="n"/>
      <c r="G45" s="3" t="n"/>
      <c r="H45" s="3" t="n">
        <v>9600000</v>
      </c>
    </row>
    <row r="46">
      <c r="A46" t="inlineStr">
        <is>
          <t>Salaries And Wages</t>
        </is>
      </c>
      <c r="B46" s="3" t="n"/>
      <c r="C46" s="3" t="n">
        <v>500000</v>
      </c>
      <c r="D46" s="3" t="n">
        <v>600000</v>
      </c>
      <c r="E46" s="3" t="n">
        <v>4200000</v>
      </c>
      <c r="F46" s="3" t="n"/>
      <c r="G46" s="3" t="n"/>
      <c r="H46" s="3" t="n"/>
    </row>
    <row r="47">
      <c r="A47" t="inlineStr">
        <is>
          <t>Gross Profit</t>
        </is>
      </c>
      <c r="B47" s="3" t="n"/>
      <c r="C47" s="3" t="n">
        <v>35000000</v>
      </c>
      <c r="D47" s="3" t="n">
        <v>-4300000</v>
      </c>
      <c r="E47" s="3" t="n">
        <v>53900000</v>
      </c>
      <c r="F47" s="3" t="n">
        <v>32900000</v>
      </c>
      <c r="G47" s="3" t="n">
        <v>61800000</v>
      </c>
      <c r="H47" s="3" t="n"/>
    </row>
    <row r="48">
      <c r="A48" t="inlineStr">
        <is>
          <t>Cost Of Revenue</t>
        </is>
      </c>
      <c r="B48" s="3" t="n"/>
      <c r="C48" s="3" t="n">
        <v>111200000</v>
      </c>
      <c r="D48" s="3" t="n">
        <v>79200000</v>
      </c>
      <c r="E48" s="3" t="n">
        <v>100600000</v>
      </c>
      <c r="F48" s="3" t="n">
        <v>40200000</v>
      </c>
      <c r="G48" s="3" t="n">
        <v>89800000</v>
      </c>
      <c r="H48" s="3" t="n"/>
    </row>
    <row r="49">
      <c r="A49" t="inlineStr">
        <is>
          <t>Total Revenue</t>
        </is>
      </c>
      <c r="B49" s="3" t="n"/>
      <c r="C49" s="3" t="n">
        <v>146200000</v>
      </c>
      <c r="D49" s="3" t="n">
        <v>74900000</v>
      </c>
      <c r="E49" s="3" t="n">
        <v>154500000</v>
      </c>
      <c r="F49" s="3" t="n">
        <v>73100000</v>
      </c>
      <c r="G49" s="3" t="n">
        <v>151600000</v>
      </c>
      <c r="H49" s="3" t="n"/>
    </row>
    <row r="50">
      <c r="A50" t="inlineStr">
        <is>
          <t>Operating Revenue</t>
        </is>
      </c>
      <c r="B50" s="3" t="n"/>
      <c r="C50" s="3" t="n">
        <v>146200000</v>
      </c>
      <c r="D50" s="3" t="n">
        <v>74900000</v>
      </c>
      <c r="E50" s="3" t="n">
        <v>154500000</v>
      </c>
      <c r="F50" s="3" t="n">
        <v>73100000</v>
      </c>
      <c r="G50" s="3" t="n">
        <v>151600000</v>
      </c>
      <c r="H50" s="3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72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Line item</t>
        </is>
      </c>
      <c r="B1" s="1" t="inlineStr">
        <is>
          <t>2025-12-31</t>
        </is>
      </c>
      <c r="C1" s="1" t="inlineStr">
        <is>
          <t>2024-12-31</t>
        </is>
      </c>
      <c r="D1" s="1" t="inlineStr">
        <is>
          <t>2023-12-31</t>
        </is>
      </c>
      <c r="E1" s="1" t="inlineStr">
        <is>
          <t>2022-12-31</t>
        </is>
      </c>
      <c r="F1" s="1" t="inlineStr">
        <is>
          <t>2021-12-31</t>
        </is>
      </c>
    </row>
    <row r="2">
      <c r="A2" t="inlineStr">
        <is>
          <t>Treasury Shares Number</t>
        </is>
      </c>
      <c r="B2" s="3" t="n"/>
      <c r="C2" s="3" t="n"/>
      <c r="D2" s="3" t="n">
        <v>0</v>
      </c>
      <c r="E2" s="3" t="n"/>
      <c r="F2" s="3" t="n"/>
    </row>
    <row r="3">
      <c r="A3" t="inlineStr">
        <is>
          <t>Ordinary Shares Number</t>
        </is>
      </c>
      <c r="B3" s="3" t="n">
        <v>19664565</v>
      </c>
      <c r="C3" s="3" t="n">
        <v>16765116</v>
      </c>
      <c r="D3" s="3" t="n">
        <v>15675634</v>
      </c>
      <c r="E3" s="3" t="n">
        <v>14638846</v>
      </c>
      <c r="F3" s="3" t="n"/>
    </row>
    <row r="4">
      <c r="A4" t="inlineStr">
        <is>
          <t>Share Issued</t>
        </is>
      </c>
      <c r="B4" s="3" t="n">
        <v>19664565</v>
      </c>
      <c r="C4" s="3" t="n">
        <v>16765116</v>
      </c>
      <c r="D4" s="3" t="n">
        <v>15675634</v>
      </c>
      <c r="E4" s="3" t="n">
        <v>14638846</v>
      </c>
      <c r="F4" s="3" t="n"/>
    </row>
    <row r="5">
      <c r="A5" t="inlineStr">
        <is>
          <t>Total Debt</t>
        </is>
      </c>
      <c r="B5" s="3" t="n">
        <v>1215200000</v>
      </c>
      <c r="C5" s="3" t="n">
        <v>546000000</v>
      </c>
      <c r="D5" s="3" t="n">
        <v>174500000</v>
      </c>
      <c r="E5" s="3" t="n">
        <v>163700000</v>
      </c>
      <c r="F5" s="3" t="n"/>
    </row>
    <row r="6">
      <c r="A6" t="inlineStr">
        <is>
          <t>Tangible Book Value</t>
        </is>
      </c>
      <c r="B6" s="3" t="n">
        <v>743900000</v>
      </c>
      <c r="C6" s="3" t="n">
        <v>131800000</v>
      </c>
      <c r="D6" s="3" t="n">
        <v>-7100000</v>
      </c>
      <c r="E6" s="3" t="n">
        <v>-119800000</v>
      </c>
      <c r="F6" s="3" t="n"/>
    </row>
    <row r="7">
      <c r="A7" t="inlineStr">
        <is>
          <t>Invested Capital</t>
        </is>
      </c>
      <c r="B7" s="3" t="n">
        <v>1978800000</v>
      </c>
      <c r="C7" s="3" t="n">
        <v>706000000</v>
      </c>
      <c r="D7" s="3" t="n">
        <v>205400000</v>
      </c>
      <c r="E7" s="3" t="n">
        <v>86300000</v>
      </c>
      <c r="F7" s="3" t="n"/>
    </row>
    <row r="8">
      <c r="A8" t="inlineStr">
        <is>
          <t>Working Capital</t>
        </is>
      </c>
      <c r="B8" s="3" t="n">
        <v>1940800000</v>
      </c>
      <c r="C8" s="3" t="n">
        <v>668400000</v>
      </c>
      <c r="D8" s="3" t="n">
        <v>214300000</v>
      </c>
      <c r="E8" s="3" t="n">
        <v>137900000</v>
      </c>
      <c r="F8" s="3" t="n"/>
    </row>
    <row r="9">
      <c r="A9" t="inlineStr">
        <is>
          <t>Net Tangible Assets</t>
        </is>
      </c>
      <c r="B9" s="3" t="n">
        <v>743900000</v>
      </c>
      <c r="C9" s="3" t="n">
        <v>131800000</v>
      </c>
      <c r="D9" s="3" t="n">
        <v>-7100000</v>
      </c>
      <c r="E9" s="3" t="n">
        <v>-119800000</v>
      </c>
      <c r="F9" s="3" t="n"/>
    </row>
    <row r="10">
      <c r="A10" t="inlineStr">
        <is>
          <t>Capital Lease Obligations</t>
        </is>
      </c>
      <c r="B10" s="3" t="n">
        <v>1500000</v>
      </c>
      <c r="C10" s="3" t="n">
        <v>1400000</v>
      </c>
      <c r="D10" s="3" t="n">
        <v>1400000</v>
      </c>
      <c r="E10" s="3" t="n">
        <v>3300000</v>
      </c>
      <c r="F10" s="3" t="n"/>
    </row>
    <row r="11">
      <c r="A11" t="inlineStr">
        <is>
          <t>Common Stock Equity</t>
        </is>
      </c>
      <c r="B11" s="3" t="n">
        <v>765100000</v>
      </c>
      <c r="C11" s="3" t="n">
        <v>161400000</v>
      </c>
      <c r="D11" s="3" t="n">
        <v>32300000</v>
      </c>
      <c r="E11" s="3" t="n">
        <v>-74100000</v>
      </c>
      <c r="F11" s="3" t="n"/>
    </row>
    <row r="12">
      <c r="A12" t="inlineStr">
        <is>
          <t>Total Capitalization</t>
        </is>
      </c>
      <c r="B12" s="3" t="n">
        <v>1939900000</v>
      </c>
      <c r="C12" s="3" t="n">
        <v>660100000</v>
      </c>
      <c r="D12" s="3" t="n">
        <v>185000000</v>
      </c>
      <c r="E12" s="3" t="n">
        <v>70300000</v>
      </c>
      <c r="F12" s="3" t="n"/>
    </row>
    <row r="13">
      <c r="A13" t="inlineStr">
        <is>
          <t>Total Equity Gross Minority Interest</t>
        </is>
      </c>
      <c r="B13" s="3" t="n">
        <v>765100000</v>
      </c>
      <c r="C13" s="3" t="n">
        <v>161400000</v>
      </c>
      <c r="D13" s="3" t="n">
        <v>32300000</v>
      </c>
      <c r="E13" s="3" t="n">
        <v>-74100000</v>
      </c>
      <c r="F13" s="3" t="n"/>
    </row>
    <row r="14">
      <c r="A14" t="inlineStr">
        <is>
          <t>Stockholders Equity</t>
        </is>
      </c>
      <c r="B14" s="3" t="n">
        <v>765100000</v>
      </c>
      <c r="C14" s="3" t="n">
        <v>161400000</v>
      </c>
      <c r="D14" s="3" t="n">
        <v>32300000</v>
      </c>
      <c r="E14" s="3" t="n">
        <v>-74100000</v>
      </c>
      <c r="F14" s="3" t="n"/>
    </row>
    <row r="15">
      <c r="A15" t="inlineStr">
        <is>
          <t>Gains Losses Not Affecting Retained Earnings</t>
        </is>
      </c>
      <c r="B15" s="3" t="n">
        <v>-700000</v>
      </c>
      <c r="C15" s="3" t="n">
        <v>-500000</v>
      </c>
      <c r="D15" s="3" t="n">
        <v>-300000</v>
      </c>
      <c r="E15" s="3" t="n">
        <v>200000</v>
      </c>
      <c r="F15" s="3" t="n"/>
    </row>
    <row r="16">
      <c r="A16" t="inlineStr">
        <is>
          <t>Other Equity Adjustments</t>
        </is>
      </c>
      <c r="B16" s="3" t="n">
        <v>-700000</v>
      </c>
      <c r="C16" s="3" t="n">
        <v>-500000</v>
      </c>
      <c r="D16" s="3" t="n">
        <v>-300000</v>
      </c>
      <c r="E16" s="3" t="n">
        <v>200000</v>
      </c>
      <c r="F16" s="3" t="n"/>
    </row>
    <row r="17">
      <c r="A17" t="inlineStr">
        <is>
          <t>Retained Earnings</t>
        </is>
      </c>
      <c r="B17" s="3" t="n">
        <v>1500000</v>
      </c>
      <c r="C17" s="3" t="n">
        <v>-76300000</v>
      </c>
      <c r="D17" s="3" t="n">
        <v>-149500000</v>
      </c>
      <c r="E17" s="3" t="n">
        <v>-233900000</v>
      </c>
      <c r="F17" s="3" t="n"/>
    </row>
    <row r="18">
      <c r="A18" t="inlineStr">
        <is>
          <t>Additional Paid In Capital</t>
        </is>
      </c>
      <c r="B18" s="3" t="n">
        <v>762300000</v>
      </c>
      <c r="C18" s="3" t="n">
        <v>236500000</v>
      </c>
      <c r="D18" s="3" t="n">
        <v>180500000</v>
      </c>
      <c r="E18" s="3" t="n">
        <v>158100000</v>
      </c>
      <c r="F18" s="3" t="n"/>
    </row>
    <row r="19">
      <c r="A19" t="inlineStr">
        <is>
          <t>Capital Stock</t>
        </is>
      </c>
      <c r="B19" s="3" t="n">
        <v>2000000</v>
      </c>
      <c r="C19" s="3" t="n">
        <v>1700000</v>
      </c>
      <c r="D19" s="3" t="n">
        <v>1600000</v>
      </c>
      <c r="E19" s="3" t="n">
        <v>1500000</v>
      </c>
      <c r="F19" s="3" t="n"/>
    </row>
    <row r="20">
      <c r="A20" t="inlineStr">
        <is>
          <t>Common Stock</t>
        </is>
      </c>
      <c r="B20" s="3" t="n">
        <v>2000000</v>
      </c>
      <c r="C20" s="3" t="n">
        <v>1700000</v>
      </c>
      <c r="D20" s="3" t="n">
        <v>1600000</v>
      </c>
      <c r="E20" s="3" t="n">
        <v>1500000</v>
      </c>
      <c r="F20" s="3" t="n"/>
    </row>
    <row r="21">
      <c r="A21" t="inlineStr">
        <is>
          <t>Preferred Stock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/>
    </row>
    <row r="22">
      <c r="A22" t="inlineStr">
        <is>
          <t>Total Liabilities Net Minority Interest</t>
        </is>
      </c>
      <c r="B22" s="3" t="n">
        <v>1680800000</v>
      </c>
      <c r="C22" s="3" t="n">
        <v>932000000</v>
      </c>
      <c r="D22" s="3" t="n">
        <v>763900000</v>
      </c>
      <c r="E22" s="3" t="n">
        <v>779600000</v>
      </c>
      <c r="F22" s="3" t="n"/>
    </row>
    <row r="23">
      <c r="A23" t="inlineStr">
        <is>
          <t>Total Non Current Liabilities Net Minority Interest</t>
        </is>
      </c>
      <c r="B23" s="3" t="n">
        <v>1258000000</v>
      </c>
      <c r="C23" s="3" t="n">
        <v>585200000</v>
      </c>
      <c r="D23" s="3" t="n">
        <v>292800000</v>
      </c>
      <c r="E23" s="3" t="n">
        <v>330400000</v>
      </c>
      <c r="F23" s="3" t="n"/>
    </row>
    <row r="24">
      <c r="A24" t="inlineStr">
        <is>
          <t>Other Non Current Liabilities</t>
        </is>
      </c>
      <c r="B24" s="3" t="n">
        <v>8000000</v>
      </c>
      <c r="C24" s="3" t="n">
        <v>7900000</v>
      </c>
      <c r="D24" s="3" t="n">
        <v>8800000</v>
      </c>
      <c r="E24" s="3" t="n">
        <v>11700000</v>
      </c>
      <c r="F24" s="3" t="n"/>
    </row>
    <row r="25">
      <c r="A25" t="inlineStr">
        <is>
          <t>Employee Benefits</t>
        </is>
      </c>
      <c r="B25" s="3" t="n">
        <v>75200000</v>
      </c>
      <c r="C25" s="3" t="n">
        <v>78600000</v>
      </c>
      <c r="D25" s="3" t="n">
        <v>98500000</v>
      </c>
      <c r="E25" s="3" t="n">
        <v>128100000</v>
      </c>
      <c r="F25" s="3" t="n"/>
    </row>
    <row r="26">
      <c r="A26" t="inlineStr">
        <is>
          <t>Non Current Pension And Other Postretirement Benefit Plans</t>
        </is>
      </c>
      <c r="B26" s="3" t="n">
        <v>75200000</v>
      </c>
      <c r="C26" s="3" t="n">
        <v>78600000</v>
      </c>
      <c r="D26" s="3" t="n">
        <v>98500000</v>
      </c>
      <c r="E26" s="3" t="n">
        <v>128100000</v>
      </c>
      <c r="F26" s="3" t="n"/>
    </row>
    <row r="27">
      <c r="A27" t="inlineStr">
        <is>
          <t>Non Current Deferred Liabilities</t>
        </is>
      </c>
      <c r="B27" s="3" t="n"/>
      <c r="C27" s="3" t="n">
        <v>0</v>
      </c>
      <c r="D27" s="3" t="n">
        <v>32800000</v>
      </c>
      <c r="E27" s="3" t="n">
        <v>46200000</v>
      </c>
      <c r="F27" s="3" t="n">
        <v>45100000</v>
      </c>
    </row>
    <row r="28">
      <c r="A28" t="inlineStr">
        <is>
          <t>Non Current Deferred Revenue</t>
        </is>
      </c>
      <c r="B28" s="3" t="n"/>
      <c r="C28" s="3" t="n">
        <v>0</v>
      </c>
      <c r="D28" s="3" t="n">
        <v>32800000</v>
      </c>
      <c r="E28" s="3" t="n">
        <v>46200000</v>
      </c>
      <c r="F28" s="3" t="n">
        <v>45100000</v>
      </c>
    </row>
    <row r="29">
      <c r="A29" t="inlineStr">
        <is>
          <t>Long Term Debt And Capital Lease Obligation</t>
        </is>
      </c>
      <c r="B29" s="3" t="n">
        <v>1174800000</v>
      </c>
      <c r="C29" s="3" t="n">
        <v>498700000</v>
      </c>
      <c r="D29" s="3" t="n">
        <v>152700000</v>
      </c>
      <c r="E29" s="3" t="n">
        <v>144400000</v>
      </c>
      <c r="F29" s="3" t="n"/>
    </row>
    <row r="30">
      <c r="A30" t="inlineStr">
        <is>
          <t>Long Term Debt</t>
        </is>
      </c>
      <c r="B30" s="3" t="n">
        <v>1174800000</v>
      </c>
      <c r="C30" s="3" t="n">
        <v>498700000</v>
      </c>
      <c r="D30" s="3" t="n">
        <v>152700000</v>
      </c>
      <c r="E30" s="3" t="n">
        <v>144400000</v>
      </c>
      <c r="F30" s="3" t="n"/>
    </row>
    <row r="31">
      <c r="A31" t="inlineStr">
        <is>
          <t>Current Liabilities</t>
        </is>
      </c>
      <c r="B31" s="3" t="n">
        <v>422800000</v>
      </c>
      <c r="C31" s="3" t="n">
        <v>346800000</v>
      </c>
      <c r="D31" s="3" t="n">
        <v>471100000</v>
      </c>
      <c r="E31" s="3" t="n">
        <v>449200000</v>
      </c>
      <c r="F31" s="3" t="n"/>
    </row>
    <row r="32">
      <c r="A32" t="inlineStr">
        <is>
          <t>Other Current Liabilities</t>
        </is>
      </c>
      <c r="B32" s="3" t="n">
        <v>192700000</v>
      </c>
      <c r="C32" s="3" t="n">
        <v>16200000</v>
      </c>
      <c r="D32" s="3" t="n">
        <v>84300000</v>
      </c>
      <c r="E32" s="3" t="n">
        <v>60800000</v>
      </c>
      <c r="F32" s="3" t="n"/>
    </row>
    <row r="33">
      <c r="A33" t="inlineStr">
        <is>
          <t>Current Deferred Liabilities</t>
        </is>
      </c>
      <c r="B33" s="3" t="n">
        <v>131100000</v>
      </c>
      <c r="C33" s="3" t="n">
        <v>216400000</v>
      </c>
      <c r="D33" s="3" t="n">
        <v>282600000</v>
      </c>
      <c r="E33" s="3" t="n">
        <v>273200000</v>
      </c>
      <c r="F33" s="3" t="n"/>
    </row>
    <row r="34">
      <c r="A34" t="inlineStr">
        <is>
          <t>Current Deferred Revenue</t>
        </is>
      </c>
      <c r="B34" s="3" t="n">
        <v>131100000</v>
      </c>
      <c r="C34" s="3" t="n">
        <v>216400000</v>
      </c>
      <c r="D34" s="3" t="n">
        <v>282600000</v>
      </c>
      <c r="E34" s="3" t="n">
        <v>273200000</v>
      </c>
      <c r="F34" s="3" t="n"/>
    </row>
    <row r="35">
      <c r="A35" t="inlineStr">
        <is>
          <t>Current Debt And Capital Lease Obligation</t>
        </is>
      </c>
      <c r="B35" s="3" t="n">
        <v>40400000</v>
      </c>
      <c r="C35" s="3" t="n">
        <v>47300000</v>
      </c>
      <c r="D35" s="3" t="n">
        <v>21800000</v>
      </c>
      <c r="E35" s="3" t="n">
        <v>19300000</v>
      </c>
      <c r="F35" s="3" t="n"/>
    </row>
    <row r="36">
      <c r="A36" t="inlineStr">
        <is>
          <t>Current Capital Lease Obligation</t>
        </is>
      </c>
      <c r="B36" s="3" t="n">
        <v>1500000</v>
      </c>
      <c r="C36" s="3" t="n">
        <v>1400000</v>
      </c>
      <c r="D36" s="3" t="n">
        <v>1400000</v>
      </c>
      <c r="E36" s="3" t="n">
        <v>3300000</v>
      </c>
      <c r="F36" s="3" t="n"/>
    </row>
    <row r="37">
      <c r="A37" t="inlineStr">
        <is>
          <t>Current Debt</t>
        </is>
      </c>
      <c r="B37" s="3" t="n">
        <v>38900000</v>
      </c>
      <c r="C37" s="3" t="n">
        <v>45900000</v>
      </c>
      <c r="D37" s="3" t="n">
        <v>20400000</v>
      </c>
      <c r="E37" s="3" t="n">
        <v>16000000</v>
      </c>
      <c r="F37" s="3" t="n"/>
    </row>
    <row r="38">
      <c r="A38" t="inlineStr">
        <is>
          <t>Other Current Borrowings</t>
        </is>
      </c>
      <c r="B38" s="3" t="n">
        <v>38900000</v>
      </c>
      <c r="C38" s="3" t="n">
        <v>45900000</v>
      </c>
      <c r="D38" s="3" t="n">
        <v>20400000</v>
      </c>
      <c r="E38" s="3" t="n">
        <v>16000000</v>
      </c>
      <c r="F38" s="3" t="n"/>
    </row>
    <row r="39">
      <c r="A39" t="inlineStr">
        <is>
          <t>Pensionand Other Post Retirement Benefit Plans Current</t>
        </is>
      </c>
      <c r="B39" s="3" t="n">
        <v>25800000</v>
      </c>
      <c r="C39" s="3" t="n">
        <v>29400000</v>
      </c>
      <c r="D39" s="3" t="n">
        <v>31200000</v>
      </c>
      <c r="E39" s="3" t="n">
        <v>23000000</v>
      </c>
      <c r="F39" s="3" t="n"/>
    </row>
    <row r="40">
      <c r="A40" t="inlineStr">
        <is>
          <t>Payables And Accrued Expenses</t>
        </is>
      </c>
      <c r="B40" s="3" t="n">
        <v>32800000</v>
      </c>
      <c r="C40" s="3" t="n">
        <v>37500000</v>
      </c>
      <c r="D40" s="3" t="n">
        <v>51200000</v>
      </c>
      <c r="E40" s="3" t="n">
        <v>72900000</v>
      </c>
      <c r="F40" s="3" t="n"/>
    </row>
    <row r="41">
      <c r="A41" t="inlineStr">
        <is>
          <t>Current Accrued Expenses</t>
        </is>
      </c>
      <c r="B41" s="3" t="n">
        <v>4300000</v>
      </c>
      <c r="C41" s="3" t="n">
        <v>2200000</v>
      </c>
      <c r="D41" s="3" t="n">
        <v>3200000</v>
      </c>
      <c r="E41" s="3" t="n">
        <v>23400000</v>
      </c>
      <c r="F41" s="3" t="n"/>
    </row>
    <row r="42">
      <c r="A42" t="inlineStr">
        <is>
          <t>Interest Payable</t>
        </is>
      </c>
      <c r="B42" s="3" t="n">
        <v>1500000</v>
      </c>
      <c r="C42" s="3" t="n">
        <v>1300000</v>
      </c>
      <c r="D42" s="3" t="n">
        <v>0</v>
      </c>
      <c r="E42" s="3" t="n"/>
      <c r="F42" s="3" t="n"/>
    </row>
    <row r="43">
      <c r="A43" t="inlineStr">
        <is>
          <t>Payables</t>
        </is>
      </c>
      <c r="B43" s="3" t="n">
        <v>28500000</v>
      </c>
      <c r="C43" s="3" t="n">
        <v>35300000</v>
      </c>
      <c r="D43" s="3" t="n">
        <v>48000000</v>
      </c>
      <c r="E43" s="3" t="n">
        <v>49500000</v>
      </c>
      <c r="F43" s="3" t="n"/>
    </row>
    <row r="44">
      <c r="A44" t="inlineStr">
        <is>
          <t>Other Payable</t>
        </is>
      </c>
      <c r="B44" s="3" t="n">
        <v>18500000</v>
      </c>
      <c r="C44" s="3" t="n">
        <v>29500000</v>
      </c>
      <c r="D44" s="3" t="n">
        <v>41900000</v>
      </c>
      <c r="E44" s="3" t="n">
        <v>43600000</v>
      </c>
      <c r="F44" s="3" t="n"/>
    </row>
    <row r="45">
      <c r="A45" t="inlineStr">
        <is>
          <t>Accounts Payable</t>
        </is>
      </c>
      <c r="B45" s="3" t="n">
        <v>10000000</v>
      </c>
      <c r="C45" s="3" t="n">
        <v>5800000</v>
      </c>
      <c r="D45" s="3" t="n">
        <v>6100000</v>
      </c>
      <c r="E45" s="3" t="n">
        <v>5900000</v>
      </c>
      <c r="F45" s="3" t="n"/>
    </row>
    <row r="46">
      <c r="A46" t="inlineStr">
        <is>
          <t>Total Assets</t>
        </is>
      </c>
      <c r="B46" s="3" t="n">
        <v>2445900000</v>
      </c>
      <c r="C46" s="3" t="n">
        <v>1093400000</v>
      </c>
      <c r="D46" s="3" t="n">
        <v>796200000</v>
      </c>
      <c r="E46" s="3" t="n">
        <v>705500000</v>
      </c>
      <c r="F46" s="3" t="n"/>
    </row>
    <row r="47">
      <c r="A47" t="inlineStr">
        <is>
          <t>Total Non Current Assets</t>
        </is>
      </c>
      <c r="B47" s="3" t="n">
        <v>82300000</v>
      </c>
      <c r="C47" s="3" t="n">
        <v>78200000</v>
      </c>
      <c r="D47" s="3" t="n">
        <v>110800000</v>
      </c>
      <c r="E47" s="3" t="n">
        <v>118400000</v>
      </c>
      <c r="F47" s="3" t="n"/>
    </row>
    <row r="48">
      <c r="A48" t="inlineStr">
        <is>
          <t>Other Non Current Assets</t>
        </is>
      </c>
      <c r="B48" s="3" t="n">
        <v>7000000</v>
      </c>
      <c r="C48" s="3" t="n">
        <v>7300000</v>
      </c>
      <c r="D48" s="3" t="n">
        <v>3500000</v>
      </c>
      <c r="E48" s="3" t="n">
        <v>8100000</v>
      </c>
      <c r="F48" s="3" t="n"/>
    </row>
    <row r="49">
      <c r="A49" t="inlineStr">
        <is>
          <t>Non Current Prepaid Assets</t>
        </is>
      </c>
      <c r="B49" s="3" t="n">
        <v>2700000</v>
      </c>
      <c r="C49" s="3" t="n">
        <v>2600000</v>
      </c>
      <c r="D49" s="3" t="n">
        <v>32400000</v>
      </c>
      <c r="E49" s="3" t="n">
        <v>32300000</v>
      </c>
      <c r="F49" s="3" t="n"/>
    </row>
    <row r="50">
      <c r="A50" t="inlineStr">
        <is>
          <t>Non Current Deferred Assets</t>
        </is>
      </c>
      <c r="B50" s="3" t="n">
        <v>21900000</v>
      </c>
      <c r="C50" s="3" t="n">
        <v>29300000</v>
      </c>
      <c r="D50" s="3" t="n">
        <v>28500000</v>
      </c>
      <c r="E50" s="3" t="n">
        <v>26800000</v>
      </c>
      <c r="F50" s="3" t="n"/>
    </row>
    <row r="51">
      <c r="A51" t="inlineStr">
        <is>
          <t>Non Current Deferred Taxes Assets</t>
        </is>
      </c>
      <c r="B51" s="3" t="n">
        <v>21900000</v>
      </c>
      <c r="C51" s="3" t="n">
        <v>29300000</v>
      </c>
      <c r="D51" s="3" t="n">
        <v>28500000</v>
      </c>
      <c r="E51" s="3" t="n">
        <v>26800000</v>
      </c>
      <c r="F51" s="3" t="n"/>
    </row>
    <row r="52">
      <c r="A52" t="inlineStr">
        <is>
          <t>Goodwill And Other Intangible Assets</t>
        </is>
      </c>
      <c r="B52" s="3" t="n">
        <v>21200000</v>
      </c>
      <c r="C52" s="3" t="n">
        <v>29600000</v>
      </c>
      <c r="D52" s="3" t="n">
        <v>39400000</v>
      </c>
      <c r="E52" s="3" t="n">
        <v>45700000</v>
      </c>
      <c r="F52" s="3" t="n"/>
    </row>
    <row r="53">
      <c r="A53" t="inlineStr">
        <is>
          <t>Other Intangible Assets</t>
        </is>
      </c>
      <c r="B53" s="3" t="n">
        <v>21200000</v>
      </c>
      <c r="C53" s="3" t="n">
        <v>29600000</v>
      </c>
      <c r="D53" s="3" t="n">
        <v>39400000</v>
      </c>
      <c r="E53" s="3" t="n">
        <v>45700000</v>
      </c>
      <c r="F53" s="3" t="n"/>
    </row>
    <row r="54">
      <c r="A54" t="inlineStr">
        <is>
          <t>Net PPE</t>
        </is>
      </c>
      <c r="B54" s="3" t="n">
        <v>29500000</v>
      </c>
      <c r="C54" s="3" t="n">
        <v>9400000</v>
      </c>
      <c r="D54" s="3" t="n">
        <v>7000000</v>
      </c>
      <c r="E54" s="3" t="n">
        <v>5500000</v>
      </c>
      <c r="F54" s="3" t="n"/>
    </row>
    <row r="55">
      <c r="A55" t="inlineStr">
        <is>
          <t>Accumulated Depreciation</t>
        </is>
      </c>
      <c r="B55" s="3" t="n">
        <v>-6700000</v>
      </c>
      <c r="C55" s="3" t="n">
        <v>-5300000</v>
      </c>
      <c r="D55" s="3" t="n">
        <v>-4300000</v>
      </c>
      <c r="E55" s="3" t="n">
        <v>-3600000</v>
      </c>
      <c r="F55" s="3" t="n"/>
    </row>
    <row r="56">
      <c r="A56" t="inlineStr">
        <is>
          <t>Gross PPE</t>
        </is>
      </c>
      <c r="B56" s="3" t="n">
        <v>36200000</v>
      </c>
      <c r="C56" s="3" t="n">
        <v>14700000</v>
      </c>
      <c r="D56" s="3" t="n">
        <v>11300000</v>
      </c>
      <c r="E56" s="3" t="n">
        <v>9100000</v>
      </c>
      <c r="F56" s="3" t="n"/>
    </row>
    <row r="57">
      <c r="A57" t="inlineStr">
        <is>
          <t>Construction In Progress</t>
        </is>
      </c>
      <c r="B57" s="3" t="n">
        <v>21600000</v>
      </c>
      <c r="C57" s="3" t="n">
        <v>2900000</v>
      </c>
      <c r="D57" s="3" t="n"/>
      <c r="E57" s="3" t="n"/>
      <c r="F57" s="3" t="n"/>
    </row>
    <row r="58">
      <c r="A58" t="inlineStr">
        <is>
          <t>Other Properties</t>
        </is>
      </c>
      <c r="B58" s="3" t="n"/>
      <c r="C58" s="3" t="n">
        <v>1800000</v>
      </c>
      <c r="D58" s="3" t="n">
        <v>1300000</v>
      </c>
      <c r="E58" s="3" t="n">
        <v>1100000</v>
      </c>
      <c r="F58" s="3" t="n">
        <v>1100000</v>
      </c>
    </row>
    <row r="59">
      <c r="A59" t="inlineStr">
        <is>
          <t>Machinery Furniture Equipment</t>
        </is>
      </c>
      <c r="B59" s="3" t="n">
        <v>6600000</v>
      </c>
      <c r="C59" s="3" t="n">
        <v>5000000</v>
      </c>
      <c r="D59" s="3" t="n">
        <v>3800000</v>
      </c>
      <c r="E59" s="3" t="n">
        <v>2000000</v>
      </c>
      <c r="F59" s="3" t="n"/>
    </row>
    <row r="60">
      <c r="A60" t="inlineStr">
        <is>
          <t>Buildings And Improvements</t>
        </is>
      </c>
      <c r="B60" s="3" t="n">
        <v>6800000</v>
      </c>
      <c r="C60" s="3" t="n">
        <v>5600000</v>
      </c>
      <c r="D60" s="3" t="n">
        <v>5000000</v>
      </c>
      <c r="E60" s="3" t="n">
        <v>4800000</v>
      </c>
      <c r="F60" s="3" t="n"/>
    </row>
    <row r="61">
      <c r="A61" t="inlineStr">
        <is>
          <t>Land And Improvements</t>
        </is>
      </c>
      <c r="B61" s="3" t="n">
        <v>1200000</v>
      </c>
      <c r="C61" s="3" t="n">
        <v>1200000</v>
      </c>
      <c r="D61" s="3" t="n">
        <v>1200000</v>
      </c>
      <c r="E61" s="3" t="n">
        <v>1200000</v>
      </c>
      <c r="F61" s="3" t="n"/>
    </row>
    <row r="62">
      <c r="A62" t="inlineStr">
        <is>
          <t>Current Assets</t>
        </is>
      </c>
      <c r="B62" s="3" t="n">
        <v>2363600000</v>
      </c>
      <c r="C62" s="3" t="n">
        <v>1015200000</v>
      </c>
      <c r="D62" s="3" t="n">
        <v>685400000</v>
      </c>
      <c r="E62" s="3" t="n">
        <v>587100000</v>
      </c>
      <c r="F62" s="3" t="n"/>
    </row>
    <row r="63">
      <c r="A63" t="inlineStr">
        <is>
          <t>Other Current Assets</t>
        </is>
      </c>
      <c r="B63" s="3" t="n">
        <v>11900000</v>
      </c>
      <c r="C63" s="3" t="n">
        <v>38300000</v>
      </c>
      <c r="D63" s="3" t="n">
        <v>10800000</v>
      </c>
      <c r="E63" s="3" t="n">
        <v>24200000</v>
      </c>
      <c r="F63" s="3" t="n"/>
    </row>
    <row r="64">
      <c r="A64" t="inlineStr">
        <is>
          <t>Current Deferred Assets</t>
        </is>
      </c>
      <c r="B64" s="3" t="n">
        <v>40900000</v>
      </c>
      <c r="C64" s="3" t="n">
        <v>63900000</v>
      </c>
      <c r="D64" s="3" t="n">
        <v>117600000</v>
      </c>
      <c r="E64" s="3" t="n">
        <v>135700000</v>
      </c>
      <c r="F64" s="3" t="n"/>
    </row>
    <row r="65">
      <c r="A65" t="inlineStr">
        <is>
          <t>Inventory</t>
        </is>
      </c>
      <c r="B65" s="3" t="n">
        <v>322900000</v>
      </c>
      <c r="C65" s="3" t="n">
        <v>161600000</v>
      </c>
      <c r="D65" s="3" t="n">
        <v>306400000</v>
      </c>
      <c r="E65" s="3" t="n">
        <v>209200000</v>
      </c>
      <c r="F65" s="3" t="n"/>
    </row>
    <row r="66">
      <c r="A66" t="inlineStr">
        <is>
          <t>Other Inventories</t>
        </is>
      </c>
      <c r="B66" s="3" t="n">
        <v>21100000</v>
      </c>
      <c r="C66" s="3" t="n">
        <v>5000000</v>
      </c>
      <c r="D66" s="3" t="n">
        <v>21900000</v>
      </c>
      <c r="E66" s="3" t="n">
        <v>24100000</v>
      </c>
      <c r="F66" s="3" t="n"/>
    </row>
    <row r="67">
      <c r="A67" t="inlineStr">
        <is>
          <t>Raw Materials</t>
        </is>
      </c>
      <c r="B67" s="3" t="n">
        <v>301800000</v>
      </c>
      <c r="C67" s="3" t="n">
        <v>156600000</v>
      </c>
      <c r="D67" s="3" t="n">
        <v>284500000</v>
      </c>
      <c r="E67" s="3" t="n">
        <v>185100000</v>
      </c>
      <c r="F67" s="3" t="n"/>
    </row>
    <row r="68">
      <c r="A68" t="inlineStr">
        <is>
          <t>Receivables</t>
        </is>
      </c>
      <c r="B68" s="3" t="n">
        <v>30700000</v>
      </c>
      <c r="C68" s="3" t="n">
        <v>80000000</v>
      </c>
      <c r="D68" s="3" t="n">
        <v>49400000</v>
      </c>
      <c r="E68" s="3" t="n">
        <v>38100000</v>
      </c>
      <c r="F68" s="3" t="n"/>
    </row>
    <row r="69">
      <c r="A69" t="inlineStr">
        <is>
          <t>Other Receivables</t>
        </is>
      </c>
      <c r="B69" s="3" t="n">
        <v>10800000</v>
      </c>
      <c r="C69" s="3" t="n">
        <v>10200000</v>
      </c>
      <c r="D69" s="3" t="n">
        <v>9200000</v>
      </c>
      <c r="E69" s="3" t="n">
        <v>9100000</v>
      </c>
      <c r="F69" s="3" t="n"/>
    </row>
    <row r="70">
      <c r="A70" t="inlineStr">
        <is>
          <t>Accounts Receivable</t>
        </is>
      </c>
      <c r="B70" s="3" t="n">
        <v>19900000</v>
      </c>
      <c r="C70" s="3" t="n">
        <v>69800000</v>
      </c>
      <c r="D70" s="3" t="n">
        <v>40200000</v>
      </c>
      <c r="E70" s="3" t="n">
        <v>29000000</v>
      </c>
      <c r="F70" s="3" t="n"/>
    </row>
    <row r="71">
      <c r="A71" t="inlineStr">
        <is>
          <t>Cash Cash Equivalents And Short Term Investments</t>
        </is>
      </c>
      <c r="B71" s="3" t="n">
        <v>1957200000</v>
      </c>
      <c r="C71" s="3" t="n">
        <v>671400000</v>
      </c>
      <c r="D71" s="3" t="n">
        <v>201200000</v>
      </c>
      <c r="E71" s="3" t="n">
        <v>179900000</v>
      </c>
      <c r="F71" s="3" t="n"/>
    </row>
    <row r="72">
      <c r="A72" t="inlineStr">
        <is>
          <t>Cash And Cash Equivalents</t>
        </is>
      </c>
      <c r="B72" s="3" t="n">
        <v>1957200000</v>
      </c>
      <c r="C72" s="3" t="n">
        <v>671400000</v>
      </c>
      <c r="D72" s="3" t="n">
        <v>201200000</v>
      </c>
      <c r="E72" s="3" t="n">
        <v>179900000</v>
      </c>
      <c r="F72" s="3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4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Line item</t>
        </is>
      </c>
      <c r="B1" s="1" t="inlineStr">
        <is>
          <t>2025-12-31</t>
        </is>
      </c>
      <c r="C1" s="1" t="inlineStr">
        <is>
          <t>2024-12-31</t>
        </is>
      </c>
      <c r="D1" s="1" t="inlineStr">
        <is>
          <t>2023-12-31</t>
        </is>
      </c>
      <c r="E1" s="1" t="inlineStr">
        <is>
          <t>2022-12-31</t>
        </is>
      </c>
      <c r="F1" s="1" t="inlineStr">
        <is>
          <t>2021-12-31</t>
        </is>
      </c>
    </row>
    <row r="2">
      <c r="A2" t="inlineStr">
        <is>
          <t>Free Cash Flow</t>
        </is>
      </c>
      <c r="B2" s="3" t="n">
        <v>31300000</v>
      </c>
      <c r="C2" s="3" t="n">
        <v>32900000</v>
      </c>
      <c r="D2" s="3" t="n">
        <v>7500000</v>
      </c>
      <c r="E2" s="3" t="n">
        <v>19900000</v>
      </c>
      <c r="F2" s="3" t="n"/>
    </row>
    <row r="3">
      <c r="A3" t="inlineStr">
        <is>
          <t>Repurchase Of Capital Stock</t>
        </is>
      </c>
      <c r="B3" s="3" t="n"/>
      <c r="C3" s="3" t="n"/>
      <c r="D3" s="3" t="n">
        <v>0</v>
      </c>
      <c r="E3" s="3" t="n">
        <v>0</v>
      </c>
      <c r="F3" s="3" t="n">
        <v>-44400000</v>
      </c>
    </row>
    <row r="4">
      <c r="A4" t="inlineStr">
        <is>
          <t>Repayment Of Debt</t>
        </is>
      </c>
      <c r="B4" s="3" t="n">
        <v>-74300000</v>
      </c>
      <c r="C4" s="3" t="n">
        <v>0</v>
      </c>
      <c r="D4" s="3" t="n">
        <v>0</v>
      </c>
      <c r="E4" s="3" t="n"/>
      <c r="F4" s="3" t="n"/>
    </row>
    <row r="5">
      <c r="A5" t="inlineStr">
        <is>
          <t>Issuance Of Debt</t>
        </is>
      </c>
      <c r="B5" s="3" t="n">
        <v>782400000</v>
      </c>
      <c r="C5" s="3" t="n">
        <v>388700000</v>
      </c>
      <c r="D5" s="3" t="n">
        <v>0</v>
      </c>
      <c r="E5" s="3" t="n">
        <v>0</v>
      </c>
      <c r="F5" s="3" t="n"/>
    </row>
    <row r="6">
      <c r="A6" t="inlineStr">
        <is>
          <t>Issuance Of Capital Stock</t>
        </is>
      </c>
      <c r="B6" s="3" t="n">
        <v>523700000</v>
      </c>
      <c r="C6" s="3" t="n">
        <v>54700000</v>
      </c>
      <c r="D6" s="3" t="n">
        <v>23200000</v>
      </c>
      <c r="E6" s="3" t="n">
        <v>3600000</v>
      </c>
      <c r="F6" s="3" t="n"/>
    </row>
    <row r="7">
      <c r="A7" t="inlineStr">
        <is>
          <t>Capital Expenditure</t>
        </is>
      </c>
      <c r="B7" s="3" t="n">
        <v>-19700000</v>
      </c>
      <c r="C7" s="3" t="n">
        <v>-4100000</v>
      </c>
      <c r="D7" s="3" t="n">
        <v>-1600000</v>
      </c>
      <c r="E7" s="3" t="n">
        <v>-700000</v>
      </c>
      <c r="F7" s="3" t="n"/>
    </row>
    <row r="8">
      <c r="A8" t="inlineStr">
        <is>
          <t>Interest Paid Supplemental Data</t>
        </is>
      </c>
      <c r="B8" s="3" t="n">
        <v>8900000</v>
      </c>
      <c r="C8" s="3" t="n">
        <v>0</v>
      </c>
      <c r="D8" s="3" t="n">
        <v>0</v>
      </c>
      <c r="E8" s="3" t="n"/>
      <c r="F8" s="3" t="n"/>
    </row>
    <row r="9">
      <c r="A9" t="inlineStr">
        <is>
          <t>Income Tax Paid Supplemental Data</t>
        </is>
      </c>
      <c r="B9" s="3" t="n">
        <v>700000</v>
      </c>
      <c r="C9" s="3" t="n">
        <v>700000</v>
      </c>
      <c r="D9" s="3" t="n">
        <v>0</v>
      </c>
      <c r="E9" s="3" t="n">
        <v>0</v>
      </c>
      <c r="F9" s="3" t="n"/>
    </row>
    <row r="10">
      <c r="A10" t="inlineStr">
        <is>
          <t>End Cash Position</t>
        </is>
      </c>
      <c r="B10" s="3" t="n">
        <v>1960100000</v>
      </c>
      <c r="C10" s="3" t="n">
        <v>704000000</v>
      </c>
      <c r="D10" s="3" t="n">
        <v>233800000</v>
      </c>
      <c r="E10" s="3" t="n">
        <v>212400000</v>
      </c>
      <c r="F10" s="3" t="n"/>
    </row>
    <row r="11">
      <c r="A11" t="inlineStr">
        <is>
          <t>Beginning Cash Position</t>
        </is>
      </c>
      <c r="B11" s="3" t="n">
        <v>704000000</v>
      </c>
      <c r="C11" s="3" t="n">
        <v>233800000</v>
      </c>
      <c r="D11" s="3" t="n">
        <v>212400000</v>
      </c>
      <c r="E11" s="3" t="n">
        <v>196800000</v>
      </c>
      <c r="F11" s="3" t="n"/>
    </row>
    <row r="12">
      <c r="A12" t="inlineStr">
        <is>
          <t>Effect Of Exchange Rate Changes</t>
        </is>
      </c>
      <c r="B12" s="3" t="n">
        <v>-100000</v>
      </c>
      <c r="C12" s="3" t="n">
        <v>200000</v>
      </c>
      <c r="D12" s="3" t="n">
        <v>0</v>
      </c>
      <c r="E12" s="3" t="n">
        <v>0</v>
      </c>
      <c r="F12" s="3" t="n"/>
    </row>
    <row r="13">
      <c r="A13" t="inlineStr">
        <is>
          <t>Changes In Cash</t>
        </is>
      </c>
      <c r="B13" s="3" t="n">
        <v>1256200000</v>
      </c>
      <c r="C13" s="3" t="n">
        <v>470000000</v>
      </c>
      <c r="D13" s="3" t="n">
        <v>21400000</v>
      </c>
      <c r="E13" s="3" t="n">
        <v>15600000</v>
      </c>
      <c r="F13" s="3" t="n"/>
    </row>
    <row r="14">
      <c r="A14" t="inlineStr">
        <is>
          <t>Financing Cash Flow</t>
        </is>
      </c>
      <c r="B14" s="3" t="n">
        <v>1224900000</v>
      </c>
      <c r="C14" s="3" t="n">
        <v>437100000</v>
      </c>
      <c r="D14" s="3" t="n">
        <v>13900000</v>
      </c>
      <c r="E14" s="3" t="n">
        <v>-4300000</v>
      </c>
      <c r="F14" s="3" t="n"/>
    </row>
    <row r="15">
      <c r="A15" t="inlineStr">
        <is>
          <t>Cash Flow From Continuing Financing Activities</t>
        </is>
      </c>
      <c r="B15" s="3" t="n">
        <v>1224900000</v>
      </c>
      <c r="C15" s="3" t="n">
        <v>437100000</v>
      </c>
      <c r="D15" s="3" t="n">
        <v>13900000</v>
      </c>
      <c r="E15" s="3" t="n">
        <v>-4300000</v>
      </c>
      <c r="F15" s="3" t="n"/>
    </row>
    <row r="16">
      <c r="A16" t="inlineStr">
        <is>
          <t>Net Other Financing Charges</t>
        </is>
      </c>
      <c r="B16" s="3" t="n"/>
      <c r="C16" s="3" t="n"/>
      <c r="D16" s="3" t="n">
        <v>-200000</v>
      </c>
      <c r="E16" s="3" t="n">
        <v>-300000</v>
      </c>
      <c r="F16" s="3" t="n">
        <v>-2400000</v>
      </c>
    </row>
    <row r="17">
      <c r="A17" t="inlineStr">
        <is>
          <t>Interest Paid Cff</t>
        </is>
      </c>
      <c r="B17" s="3" t="n">
        <v>-3500000</v>
      </c>
      <c r="C17" s="3" t="n">
        <v>-6100000</v>
      </c>
      <c r="D17" s="3" t="n">
        <v>-6100000</v>
      </c>
      <c r="E17" s="3" t="n">
        <v>-6100000</v>
      </c>
      <c r="F17" s="3" t="n"/>
    </row>
    <row r="18">
      <c r="A18" t="inlineStr">
        <is>
          <t>Proceeds From Stock Option Exercised</t>
        </is>
      </c>
      <c r="B18" s="3" t="n">
        <v>-3400000</v>
      </c>
      <c r="C18" s="3" t="n">
        <v>-200000</v>
      </c>
      <c r="D18" s="3" t="n">
        <v>-3000000</v>
      </c>
      <c r="E18" s="3" t="n">
        <v>-1500000</v>
      </c>
      <c r="F18" s="3" t="n"/>
    </row>
    <row r="19">
      <c r="A19" t="inlineStr">
        <is>
          <t>Cash Dividends Paid</t>
        </is>
      </c>
      <c r="B19" s="3" t="n">
        <v>0</v>
      </c>
      <c r="C19" s="3" t="n">
        <v>0</v>
      </c>
      <c r="D19" s="3" t="n">
        <v>0</v>
      </c>
      <c r="E19" s="3" t="n">
        <v>0</v>
      </c>
      <c r="F19" s="3" t="n"/>
    </row>
    <row r="20">
      <c r="A20" t="inlineStr">
        <is>
          <t>Net Preferred Stock Issuance</t>
        </is>
      </c>
      <c r="B20" s="3" t="n"/>
      <c r="C20" s="3" t="n"/>
      <c r="D20" s="3" t="n">
        <v>0</v>
      </c>
      <c r="E20" s="3" t="n">
        <v>0</v>
      </c>
      <c r="F20" s="3" t="n">
        <v>-44400000</v>
      </c>
    </row>
    <row r="21">
      <c r="A21" t="inlineStr">
        <is>
          <t>Preferred Stock Payments</t>
        </is>
      </c>
      <c r="B21" s="3" t="n"/>
      <c r="C21" s="3" t="n"/>
      <c r="D21" s="3" t="n">
        <v>0</v>
      </c>
      <c r="E21" s="3" t="n">
        <v>0</v>
      </c>
      <c r="F21" s="3" t="n">
        <v>-44400000</v>
      </c>
    </row>
    <row r="22">
      <c r="A22" t="inlineStr">
        <is>
          <t>Net Common Stock Issuance</t>
        </is>
      </c>
      <c r="B22" s="3" t="n">
        <v>523700000</v>
      </c>
      <c r="C22" s="3" t="n">
        <v>54700000</v>
      </c>
      <c r="D22" s="3" t="n">
        <v>23200000</v>
      </c>
      <c r="E22" s="3" t="n">
        <v>3600000</v>
      </c>
      <c r="F22" s="3" t="n"/>
    </row>
    <row r="23">
      <c r="A23" t="inlineStr">
        <is>
          <t>Common Stock Issuance</t>
        </is>
      </c>
      <c r="B23" s="3" t="n">
        <v>523700000</v>
      </c>
      <c r="C23" s="3" t="n">
        <v>54700000</v>
      </c>
      <c r="D23" s="3" t="n">
        <v>23200000</v>
      </c>
      <c r="E23" s="3" t="n">
        <v>3600000</v>
      </c>
      <c r="F23" s="3" t="n"/>
    </row>
    <row r="24">
      <c r="A24" t="inlineStr">
        <is>
          <t>Net Issuance Payments Of Debt</t>
        </is>
      </c>
      <c r="B24" s="3" t="n">
        <v>708100000</v>
      </c>
      <c r="C24" s="3" t="n">
        <v>388700000</v>
      </c>
      <c r="D24" s="3" t="n">
        <v>0</v>
      </c>
      <c r="E24" s="3" t="n">
        <v>0</v>
      </c>
      <c r="F24" s="3" t="n"/>
    </row>
    <row r="25">
      <c r="A25" t="inlineStr">
        <is>
          <t>Net Long Term Debt Issuance</t>
        </is>
      </c>
      <c r="B25" s="3" t="n">
        <v>708100000</v>
      </c>
      <c r="C25" s="3" t="n">
        <v>388700000</v>
      </c>
      <c r="D25" s="3" t="n">
        <v>0</v>
      </c>
      <c r="E25" s="3" t="n">
        <v>0</v>
      </c>
      <c r="F25" s="3" t="n"/>
    </row>
    <row r="26">
      <c r="A26" t="inlineStr">
        <is>
          <t>Long Term Debt Payments</t>
        </is>
      </c>
      <c r="B26" s="3" t="n">
        <v>-74300000</v>
      </c>
      <c r="C26" s="3" t="n">
        <v>0</v>
      </c>
      <c r="D26" s="3" t="n">
        <v>0</v>
      </c>
      <c r="E26" s="3" t="n"/>
      <c r="F26" s="3" t="n"/>
    </row>
    <row r="27">
      <c r="A27" t="inlineStr">
        <is>
          <t>Long Term Debt Issuance</t>
        </is>
      </c>
      <c r="B27" s="3" t="n">
        <v>782400000</v>
      </c>
      <c r="C27" s="3" t="n">
        <v>388700000</v>
      </c>
      <c r="D27" s="3" t="n">
        <v>0</v>
      </c>
      <c r="E27" s="3" t="n">
        <v>0</v>
      </c>
      <c r="F27" s="3" t="n"/>
    </row>
    <row r="28">
      <c r="A28" t="inlineStr">
        <is>
          <t>Investing Cash Flow</t>
        </is>
      </c>
      <c r="B28" s="3" t="n">
        <v>-19700000</v>
      </c>
      <c r="C28" s="3" t="n">
        <v>-4100000</v>
      </c>
      <c r="D28" s="3" t="n">
        <v>-1600000</v>
      </c>
      <c r="E28" s="3" t="n">
        <v>-700000</v>
      </c>
      <c r="F28" s="3" t="n"/>
    </row>
    <row r="29">
      <c r="A29" t="inlineStr">
        <is>
          <t>Cash Flow From Continuing Investing Activities</t>
        </is>
      </c>
      <c r="B29" s="3" t="n">
        <v>-19700000</v>
      </c>
      <c r="C29" s="3" t="n">
        <v>-4100000</v>
      </c>
      <c r="D29" s="3" t="n">
        <v>-1600000</v>
      </c>
      <c r="E29" s="3" t="n">
        <v>-700000</v>
      </c>
      <c r="F29" s="3" t="n"/>
    </row>
    <row r="30">
      <c r="A30" t="inlineStr">
        <is>
          <t>Capital Expenditure Reported</t>
        </is>
      </c>
      <c r="B30" s="3" t="n">
        <v>-19700000</v>
      </c>
      <c r="C30" s="3" t="n">
        <v>-4100000</v>
      </c>
      <c r="D30" s="3" t="n">
        <v>-1600000</v>
      </c>
      <c r="E30" s="3" t="n">
        <v>-700000</v>
      </c>
      <c r="F30" s="3" t="n"/>
    </row>
    <row r="31">
      <c r="A31" t="inlineStr">
        <is>
          <t>Operating Cash Flow</t>
        </is>
      </c>
      <c r="B31" s="3" t="n">
        <v>51000000</v>
      </c>
      <c r="C31" s="3" t="n">
        <v>37000000</v>
      </c>
      <c r="D31" s="3" t="n">
        <v>9100000</v>
      </c>
      <c r="E31" s="3" t="n">
        <v>20600000</v>
      </c>
      <c r="F31" s="3" t="n"/>
    </row>
    <row r="32">
      <c r="A32" t="inlineStr">
        <is>
          <t>Cash Flow From Continuing Operating Activities</t>
        </is>
      </c>
      <c r="B32" s="3" t="n">
        <v>51000000</v>
      </c>
      <c r="C32" s="3" t="n">
        <v>37000000</v>
      </c>
      <c r="D32" s="3" t="n">
        <v>9100000</v>
      </c>
      <c r="E32" s="3" t="n">
        <v>20600000</v>
      </c>
      <c r="F32" s="3" t="n"/>
    </row>
    <row r="33">
      <c r="A33" t="inlineStr">
        <is>
          <t>Change In Working Capital</t>
        </is>
      </c>
      <c r="B33" s="3" t="n">
        <v>-48100000</v>
      </c>
      <c r="C33" s="3" t="n">
        <v>-32700000</v>
      </c>
      <c r="D33" s="3" t="n">
        <v>-44300000</v>
      </c>
      <c r="E33" s="3" t="n">
        <v>-93100000</v>
      </c>
      <c r="F33" s="3" t="n"/>
    </row>
    <row r="34">
      <c r="A34" t="inlineStr">
        <is>
          <t>Change In Other Working Capital</t>
        </is>
      </c>
      <c r="B34" s="3" t="n">
        <v>-35400000</v>
      </c>
      <c r="C34" s="3" t="n">
        <v>-23700000</v>
      </c>
      <c r="D34" s="3" t="n">
        <v>5600000</v>
      </c>
      <c r="E34" s="3" t="n">
        <v>-40700000</v>
      </c>
      <c r="F34" s="3" t="n"/>
    </row>
    <row r="35">
      <c r="A35" t="inlineStr">
        <is>
          <t>Change In Other Current Liabilities</t>
        </is>
      </c>
      <c r="B35" s="3" t="n"/>
      <c r="C35" s="3" t="n"/>
      <c r="D35" s="3" t="n">
        <v>-5700000</v>
      </c>
      <c r="E35" s="3" t="n">
        <v>-18100000</v>
      </c>
      <c r="F35" s="3" t="n">
        <v>-67000000</v>
      </c>
    </row>
    <row r="36">
      <c r="A36" t="inlineStr">
        <is>
          <t>Change In Other Current Assets</t>
        </is>
      </c>
      <c r="B36" s="3" t="n">
        <v>2200000</v>
      </c>
      <c r="C36" s="3" t="n">
        <v>2400000</v>
      </c>
      <c r="D36" s="3" t="n">
        <v>14900000</v>
      </c>
      <c r="E36" s="3" t="n">
        <v>-15600000</v>
      </c>
      <c r="F36" s="3" t="n"/>
    </row>
    <row r="37">
      <c r="A37" t="inlineStr">
        <is>
          <t>Change In Payables And Accrued Expense</t>
        </is>
      </c>
      <c r="B37" s="3" t="n">
        <v>-10600000</v>
      </c>
      <c r="C37" s="3" t="n">
        <v>-13800000</v>
      </c>
      <c r="D37" s="3" t="n">
        <v>6800000</v>
      </c>
      <c r="E37" s="3" t="n">
        <v>8300000</v>
      </c>
      <c r="F37" s="3" t="n"/>
    </row>
    <row r="38">
      <c r="A38" t="inlineStr">
        <is>
          <t>Change In Payable</t>
        </is>
      </c>
      <c r="B38" s="3" t="n">
        <v>-10600000</v>
      </c>
      <c r="C38" s="3" t="n">
        <v>-13800000</v>
      </c>
      <c r="D38" s="3" t="n">
        <v>6800000</v>
      </c>
      <c r="E38" s="3" t="n">
        <v>8300000</v>
      </c>
      <c r="F38" s="3" t="n"/>
    </row>
    <row r="39">
      <c r="A39" t="inlineStr">
        <is>
          <t>Change In Account Payable</t>
        </is>
      </c>
      <c r="B39" s="3" t="n">
        <v>400000</v>
      </c>
      <c r="C39" s="3" t="n">
        <v>-1400000</v>
      </c>
      <c r="D39" s="3" t="n">
        <v>8500000</v>
      </c>
      <c r="E39" s="3" t="n">
        <v>2600000</v>
      </c>
      <c r="F39" s="3" t="n"/>
    </row>
    <row r="40">
      <c r="A40" t="inlineStr">
        <is>
          <t>Change In Inventory</t>
        </is>
      </c>
      <c r="B40" s="3" t="n">
        <v>-53500000</v>
      </c>
      <c r="C40" s="3" t="n">
        <v>32900000</v>
      </c>
      <c r="D40" s="3" t="n">
        <v>-60300000</v>
      </c>
      <c r="E40" s="3" t="n">
        <v>-36100000</v>
      </c>
      <c r="F40" s="3" t="n"/>
    </row>
    <row r="41">
      <c r="A41" t="inlineStr">
        <is>
          <t>Change In Receivables</t>
        </is>
      </c>
      <c r="B41" s="3" t="n">
        <v>49200000</v>
      </c>
      <c r="C41" s="3" t="n">
        <v>-30500000</v>
      </c>
      <c r="D41" s="3" t="n">
        <v>-11300000</v>
      </c>
      <c r="E41" s="3" t="n">
        <v>-9000000</v>
      </c>
      <c r="F41" s="3" t="n"/>
    </row>
    <row r="42">
      <c r="A42" t="inlineStr">
        <is>
          <t>Changes In Account Receivables</t>
        </is>
      </c>
      <c r="B42" s="3" t="n">
        <v>49200000</v>
      </c>
      <c r="C42" s="3" t="n">
        <v>-30500000</v>
      </c>
      <c r="D42" s="3" t="n">
        <v>-11300000</v>
      </c>
      <c r="E42" s="3" t="n">
        <v>-9000000</v>
      </c>
      <c r="F42" s="3" t="n"/>
    </row>
    <row r="43">
      <c r="A43" t="inlineStr">
        <is>
          <t>Other Non Cash Items</t>
        </is>
      </c>
      <c r="B43" s="3" t="n">
        <v>7100000</v>
      </c>
      <c r="C43" s="3" t="n">
        <v>2200000</v>
      </c>
      <c r="D43" s="3" t="n">
        <v>-14200000</v>
      </c>
      <c r="E43" s="3" t="n">
        <v>27500000</v>
      </c>
      <c r="F43" s="3" t="n"/>
    </row>
    <row r="44">
      <c r="A44" t="inlineStr">
        <is>
          <t>Stock Based Compensation</t>
        </is>
      </c>
      <c r="B44" s="3" t="n">
        <v>5800000</v>
      </c>
      <c r="C44" s="3" t="n">
        <v>1500000</v>
      </c>
      <c r="D44" s="3" t="n">
        <v>2300000</v>
      </c>
      <c r="E44" s="3" t="n">
        <v>1900000</v>
      </c>
      <c r="F44" s="3" t="n"/>
    </row>
    <row r="45">
      <c r="A45" t="inlineStr">
        <is>
          <t>Deferred Tax</t>
        </is>
      </c>
      <c r="B45" s="3" t="n">
        <v>7400000</v>
      </c>
      <c r="C45" s="3" t="n">
        <v>-700000</v>
      </c>
      <c r="D45" s="3" t="n">
        <v>-1600000</v>
      </c>
      <c r="E45" s="3" t="n">
        <v>14700000</v>
      </c>
      <c r="F45" s="3" t="n"/>
    </row>
    <row r="46">
      <c r="A46" t="inlineStr">
        <is>
          <t>Deferred Income Tax</t>
        </is>
      </c>
      <c r="B46" s="3" t="n">
        <v>7400000</v>
      </c>
      <c r="C46" s="3" t="n">
        <v>-700000</v>
      </c>
      <c r="D46" s="3" t="n">
        <v>-1600000</v>
      </c>
      <c r="E46" s="3" t="n">
        <v>14700000</v>
      </c>
      <c r="F46" s="3" t="n"/>
    </row>
    <row r="47">
      <c r="A47" t="inlineStr">
        <is>
          <t>Depreciation Amortization Depletion</t>
        </is>
      </c>
      <c r="B47" s="3" t="n">
        <v>9900000</v>
      </c>
      <c r="C47" s="3" t="n">
        <v>10800000</v>
      </c>
      <c r="D47" s="3" t="n">
        <v>7100000</v>
      </c>
      <c r="E47" s="3" t="n">
        <v>9600000</v>
      </c>
      <c r="F47" s="3" t="n"/>
    </row>
    <row r="48">
      <c r="A48" t="inlineStr">
        <is>
          <t>Depreciation And Amortization</t>
        </is>
      </c>
      <c r="B48" s="3" t="n">
        <v>9900000</v>
      </c>
      <c r="C48" s="3" t="n">
        <v>10800000</v>
      </c>
      <c r="D48" s="3" t="n">
        <v>7100000</v>
      </c>
      <c r="E48" s="3" t="n">
        <v>9600000</v>
      </c>
      <c r="F48" s="3" t="n"/>
    </row>
    <row r="49">
      <c r="A49" t="inlineStr">
        <is>
          <t>Amortization Cash Flow</t>
        </is>
      </c>
      <c r="B49" s="3" t="n"/>
      <c r="C49" s="3" t="n">
        <v>9800000</v>
      </c>
      <c r="D49" s="3" t="n">
        <v>6300000</v>
      </c>
      <c r="E49" s="3" t="n">
        <v>9000000</v>
      </c>
      <c r="F49" s="3" t="n">
        <v>8100000</v>
      </c>
    </row>
    <row r="50">
      <c r="A50" t="inlineStr">
        <is>
          <t>Amortization Of Intangibles</t>
        </is>
      </c>
      <c r="B50" s="3" t="n"/>
      <c r="C50" s="3" t="n">
        <v>9800000</v>
      </c>
      <c r="D50" s="3" t="n">
        <v>6300000</v>
      </c>
      <c r="E50" s="3" t="n">
        <v>9000000</v>
      </c>
      <c r="F50" s="3" t="n">
        <v>8100000</v>
      </c>
    </row>
    <row r="51">
      <c r="A51" t="inlineStr">
        <is>
          <t>Depreciation</t>
        </is>
      </c>
      <c r="B51" s="3" t="n"/>
      <c r="C51" s="3" t="n">
        <v>1000000</v>
      </c>
      <c r="D51" s="3" t="n">
        <v>700000</v>
      </c>
      <c r="E51" s="3" t="n">
        <v>600000</v>
      </c>
      <c r="F51" s="3" t="n">
        <v>600000</v>
      </c>
    </row>
    <row r="52">
      <c r="A52" t="inlineStr">
        <is>
          <t>Operating Gains Losses</t>
        </is>
      </c>
      <c r="B52" s="3" t="n">
        <v>-8900000</v>
      </c>
      <c r="C52" s="3" t="n">
        <v>-17300000</v>
      </c>
      <c r="D52" s="3" t="n">
        <v>-24600000</v>
      </c>
      <c r="E52" s="3" t="n">
        <v>7800000</v>
      </c>
      <c r="F52" s="3" t="n"/>
    </row>
    <row r="53">
      <c r="A53" t="inlineStr">
        <is>
          <t>Pension And Employee Benefit Expense</t>
        </is>
      </c>
      <c r="B53" s="3" t="n">
        <v>2900000</v>
      </c>
      <c r="C53" s="3" t="n">
        <v>-17300000</v>
      </c>
      <c r="D53" s="3" t="n">
        <v>-24600000</v>
      </c>
      <c r="E53" s="3" t="n">
        <v>7800000</v>
      </c>
      <c r="F53" s="3" t="n"/>
    </row>
    <row r="54">
      <c r="A54" t="inlineStr">
        <is>
          <t>Net Income From Continuing Operations</t>
        </is>
      </c>
      <c r="B54" s="3" t="n">
        <v>77800000</v>
      </c>
      <c r="C54" s="3" t="n">
        <v>73200000</v>
      </c>
      <c r="D54" s="3" t="n">
        <v>84400000</v>
      </c>
      <c r="E54" s="3" t="n">
        <v>52200000</v>
      </c>
      <c r="F54" s="3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47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Line item</t>
        </is>
      </c>
      <c r="B1" s="1" t="inlineStr">
        <is>
          <t>2025-12-31</t>
        </is>
      </c>
      <c r="C1" s="1" t="inlineStr">
        <is>
          <t>2025-09-30</t>
        </is>
      </c>
      <c r="D1" s="1" t="inlineStr">
        <is>
          <t>2025-06-30</t>
        </is>
      </c>
      <c r="E1" s="1" t="inlineStr">
        <is>
          <t>2025-03-31</t>
        </is>
      </c>
      <c r="F1" s="1" t="inlineStr">
        <is>
          <t>2024-12-31</t>
        </is>
      </c>
      <c r="G1" s="1" t="inlineStr">
        <is>
          <t>2024-09-30</t>
        </is>
      </c>
    </row>
    <row r="2">
      <c r="A2" t="inlineStr">
        <is>
          <t>Free Cash Flow</t>
        </is>
      </c>
      <c r="B2" s="3" t="n">
        <v>-58000000</v>
      </c>
      <c r="C2" s="3" t="n">
        <v>5700000</v>
      </c>
      <c r="D2" s="3" t="n">
        <v>49200000</v>
      </c>
      <c r="E2" s="3" t="n">
        <v>34400000</v>
      </c>
      <c r="F2" s="3" t="n">
        <v>57200000</v>
      </c>
      <c r="G2" s="3" t="n"/>
    </row>
    <row r="3">
      <c r="A3" t="inlineStr">
        <is>
          <t>Repayment Of Debt</t>
        </is>
      </c>
      <c r="B3" s="3" t="n">
        <v>0</v>
      </c>
      <c r="C3" s="3" t="n">
        <v>0</v>
      </c>
      <c r="D3" s="3" t="n">
        <v>0</v>
      </c>
      <c r="E3" s="3" t="n">
        <v>-74300000</v>
      </c>
      <c r="F3" s="3" t="n"/>
      <c r="G3" s="3" t="n"/>
    </row>
    <row r="4">
      <c r="A4" t="inlineStr">
        <is>
          <t>Issuance Of Debt</t>
        </is>
      </c>
      <c r="B4" s="3" t="n">
        <v>0</v>
      </c>
      <c r="C4" s="3" t="n"/>
      <c r="D4" s="3" t="n"/>
      <c r="E4" s="3" t="n"/>
      <c r="F4" s="3" t="n"/>
      <c r="G4" s="3" t="n"/>
    </row>
    <row r="5">
      <c r="A5" t="inlineStr">
        <is>
          <t>Issuance Of Capital Stock</t>
        </is>
      </c>
      <c r="B5" s="3" t="n">
        <v>384000000</v>
      </c>
      <c r="C5" s="3" t="n">
        <v>-200000</v>
      </c>
      <c r="D5" s="3" t="n">
        <v>114700000</v>
      </c>
      <c r="E5" s="3" t="n">
        <v>25200000</v>
      </c>
      <c r="F5" s="3" t="n">
        <v>31300000</v>
      </c>
      <c r="G5" s="3" t="n"/>
    </row>
    <row r="6">
      <c r="A6" t="inlineStr">
        <is>
          <t>Capital Expenditure</t>
        </is>
      </c>
      <c r="B6" s="3" t="n">
        <v>-9600000</v>
      </c>
      <c r="C6" s="3" t="n">
        <v>-4400000</v>
      </c>
      <c r="D6" s="3" t="n">
        <v>-3600000</v>
      </c>
      <c r="E6" s="3" t="n">
        <v>-2100000</v>
      </c>
      <c r="F6" s="3" t="n">
        <v>-700000</v>
      </c>
      <c r="G6" s="3" t="n"/>
    </row>
    <row r="7">
      <c r="A7" t="inlineStr">
        <is>
          <t>Interest Paid Supplemental Data</t>
        </is>
      </c>
      <c r="B7" s="3" t="n">
        <v>4500000</v>
      </c>
      <c r="C7" s="3" t="n">
        <v>0</v>
      </c>
      <c r="D7" s="3" t="n"/>
      <c r="E7" s="3" t="n"/>
      <c r="F7" s="3" t="n"/>
      <c r="G7" s="3" t="n"/>
    </row>
    <row r="8">
      <c r="A8" t="inlineStr">
        <is>
          <t>Income Tax Paid Supplemental Data</t>
        </is>
      </c>
      <c r="B8" s="3" t="n">
        <v>300000</v>
      </c>
      <c r="C8" s="3" t="n">
        <v>100000</v>
      </c>
      <c r="D8" s="3" t="n"/>
      <c r="E8" s="3" t="n"/>
      <c r="F8" s="3" t="n">
        <v>100000</v>
      </c>
      <c r="G8" s="3" t="n">
        <v>0</v>
      </c>
    </row>
    <row r="9">
      <c r="A9" t="inlineStr">
        <is>
          <t>End Cash Position</t>
        </is>
      </c>
      <c r="B9" s="3" t="n">
        <v>1960100000</v>
      </c>
      <c r="C9" s="3" t="n">
        <v>1634600000</v>
      </c>
      <c r="D9" s="3" t="n">
        <v>847000000</v>
      </c>
      <c r="E9" s="3" t="n">
        <v>685700000</v>
      </c>
      <c r="F9" s="3" t="n">
        <v>704000000</v>
      </c>
      <c r="G9" s="3" t="n"/>
    </row>
    <row r="10">
      <c r="A10" t="inlineStr">
        <is>
          <t>Beginning Cash Position</t>
        </is>
      </c>
      <c r="B10" s="3" t="n">
        <v>1634600000</v>
      </c>
      <c r="C10" s="3" t="n">
        <v>847000000</v>
      </c>
      <c r="D10" s="3" t="n">
        <v>685700000</v>
      </c>
      <c r="E10" s="3" t="n">
        <v>704000000</v>
      </c>
      <c r="F10" s="3" t="n">
        <v>226900000</v>
      </c>
      <c r="G10" s="3" t="n"/>
    </row>
    <row r="11">
      <c r="A11" t="inlineStr">
        <is>
          <t>Effect Of Exchange Rate Changes</t>
        </is>
      </c>
      <c r="B11" s="3" t="n">
        <v>0</v>
      </c>
      <c r="C11" s="3" t="n">
        <v>100000</v>
      </c>
      <c r="D11" s="3" t="n">
        <v>-100000</v>
      </c>
      <c r="E11" s="3" t="n">
        <v>-100000</v>
      </c>
      <c r="F11" s="3" t="n">
        <v>200000</v>
      </c>
      <c r="G11" s="3" t="n"/>
    </row>
    <row r="12">
      <c r="A12" t="inlineStr">
        <is>
          <t>Changes In Cash</t>
        </is>
      </c>
      <c r="B12" s="3" t="n">
        <v>325500000</v>
      </c>
      <c r="C12" s="3" t="n">
        <v>787500000</v>
      </c>
      <c r="D12" s="3" t="n">
        <v>161400000</v>
      </c>
      <c r="E12" s="3" t="n">
        <v>-18200000</v>
      </c>
      <c r="F12" s="3" t="n">
        <v>476900000</v>
      </c>
      <c r="G12" s="3" t="n"/>
    </row>
    <row r="13">
      <c r="A13" t="inlineStr">
        <is>
          <t>Financing Cash Flow</t>
        </is>
      </c>
      <c r="B13" s="3" t="n">
        <v>383500000</v>
      </c>
      <c r="C13" s="3" t="n">
        <v>781800000</v>
      </c>
      <c r="D13" s="3" t="n">
        <v>112200000</v>
      </c>
      <c r="E13" s="3" t="n">
        <v>-52600000</v>
      </c>
      <c r="F13" s="3" t="n">
        <v>419700000</v>
      </c>
      <c r="G13" s="3" t="n"/>
    </row>
    <row r="14">
      <c r="A14" t="inlineStr">
        <is>
          <t>Cash Flow From Continuing Financing Activities</t>
        </is>
      </c>
      <c r="B14" s="3" t="n">
        <v>383500000</v>
      </c>
      <c r="C14" s="3" t="n">
        <v>781800000</v>
      </c>
      <c r="D14" s="3" t="n">
        <v>111900000</v>
      </c>
      <c r="E14" s="3" t="n">
        <v>-52300000</v>
      </c>
      <c r="F14" s="3" t="n">
        <v>419700000</v>
      </c>
      <c r="G14" s="3" t="n"/>
    </row>
    <row r="15">
      <c r="A15" t="inlineStr">
        <is>
          <t>Net Other Financing Charges</t>
        </is>
      </c>
      <c r="B15" s="3" t="n"/>
      <c r="C15" s="3" t="n"/>
      <c r="D15" s="3" t="n"/>
      <c r="E15" s="3" t="n">
        <v>-300000</v>
      </c>
      <c r="F15" s="3" t="n"/>
      <c r="G15" s="3" t="n"/>
    </row>
    <row r="16">
      <c r="A16" t="inlineStr">
        <is>
          <t>Interest Paid Cff</t>
        </is>
      </c>
      <c r="B16" s="3" t="n">
        <v>0</v>
      </c>
      <c r="C16" s="3" t="n">
        <v>0</v>
      </c>
      <c r="D16" s="3" t="n">
        <v>0</v>
      </c>
      <c r="E16" s="3" t="n">
        <v>-3500000</v>
      </c>
      <c r="F16" s="3" t="n">
        <v>0</v>
      </c>
      <c r="G16" s="3" t="n"/>
    </row>
    <row r="17">
      <c r="A17" t="inlineStr">
        <is>
          <t>Proceeds From Stock Option Exercised</t>
        </is>
      </c>
      <c r="B17" s="3" t="n">
        <v>-500000</v>
      </c>
      <c r="C17" s="3" t="n">
        <v>-400000</v>
      </c>
      <c r="D17" s="3" t="n">
        <v>-2800000</v>
      </c>
      <c r="E17" s="3" t="n">
        <v>300000</v>
      </c>
      <c r="F17" s="3" t="n">
        <v>-300000</v>
      </c>
      <c r="G17" s="3" t="n"/>
    </row>
    <row r="18">
      <c r="A18" t="inlineStr">
        <is>
          <t>Cash Dividends Paid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/>
    </row>
    <row r="19">
      <c r="A19" t="inlineStr">
        <is>
          <t>Net Common Stock Issuance</t>
        </is>
      </c>
      <c r="B19" s="3" t="n">
        <v>384000000</v>
      </c>
      <c r="C19" s="3" t="n">
        <v>-200000</v>
      </c>
      <c r="D19" s="3" t="n">
        <v>114700000</v>
      </c>
      <c r="E19" s="3" t="n">
        <v>25200000</v>
      </c>
      <c r="F19" s="3" t="n">
        <v>31300000</v>
      </c>
      <c r="G19" s="3" t="n"/>
    </row>
    <row r="20">
      <c r="A20" t="inlineStr">
        <is>
          <t>Common Stock Issuance</t>
        </is>
      </c>
      <c r="B20" s="3" t="n">
        <v>384000000</v>
      </c>
      <c r="C20" s="3" t="n">
        <v>-200000</v>
      </c>
      <c r="D20" s="3" t="n">
        <v>114700000</v>
      </c>
      <c r="E20" s="3" t="n">
        <v>25200000</v>
      </c>
      <c r="F20" s="3" t="n">
        <v>31300000</v>
      </c>
      <c r="G20" s="3" t="n"/>
    </row>
    <row r="21">
      <c r="A21" t="inlineStr">
        <is>
          <t>Net Issuance Payments Of Debt</t>
        </is>
      </c>
      <c r="B21" s="3" t="n">
        <v>0</v>
      </c>
      <c r="C21" s="3" t="n">
        <v>782400000</v>
      </c>
      <c r="D21" s="3" t="n">
        <v>0</v>
      </c>
      <c r="E21" s="3" t="n">
        <v>-74300000</v>
      </c>
      <c r="F21" s="3" t="n"/>
      <c r="G21" s="3" t="n"/>
    </row>
    <row r="22">
      <c r="A22" t="inlineStr">
        <is>
          <t>Net Long Term Debt Issuance</t>
        </is>
      </c>
      <c r="B22" s="3" t="n">
        <v>0</v>
      </c>
      <c r="C22" s="3" t="n">
        <v>782400000</v>
      </c>
      <c r="D22" s="3" t="n">
        <v>0</v>
      </c>
      <c r="E22" s="3" t="n">
        <v>-74300000</v>
      </c>
      <c r="F22" s="3" t="n"/>
      <c r="G22" s="3" t="n"/>
    </row>
    <row r="23">
      <c r="A23" t="inlineStr">
        <is>
          <t>Long Term Debt Payments</t>
        </is>
      </c>
      <c r="B23" s="3" t="n">
        <v>0</v>
      </c>
      <c r="C23" s="3" t="n">
        <v>0</v>
      </c>
      <c r="D23" s="3" t="n">
        <v>0</v>
      </c>
      <c r="E23" s="3" t="n">
        <v>-74300000</v>
      </c>
      <c r="F23" s="3" t="n"/>
      <c r="G23" s="3" t="n"/>
    </row>
    <row r="24">
      <c r="A24" t="inlineStr">
        <is>
          <t>Long Term Debt Issuance</t>
        </is>
      </c>
      <c r="B24" s="3" t="n">
        <v>0</v>
      </c>
      <c r="C24" s="3" t="n"/>
      <c r="D24" s="3" t="n"/>
      <c r="E24" s="3" t="n"/>
      <c r="F24" s="3" t="n"/>
      <c r="G24" s="3" t="n"/>
    </row>
    <row r="25">
      <c r="A25" t="inlineStr">
        <is>
          <t>Investing Cash Flow</t>
        </is>
      </c>
      <c r="B25" s="3" t="n">
        <v>-9600000</v>
      </c>
      <c r="C25" s="3" t="n">
        <v>-4400000</v>
      </c>
      <c r="D25" s="3" t="n">
        <v>-3600000</v>
      </c>
      <c r="E25" s="3" t="n">
        <v>-2100000</v>
      </c>
      <c r="F25" s="3" t="n">
        <v>-700000</v>
      </c>
      <c r="G25" s="3" t="n"/>
    </row>
    <row r="26">
      <c r="A26" t="inlineStr">
        <is>
          <t>Cash Flow From Continuing Investing Activities</t>
        </is>
      </c>
      <c r="B26" s="3" t="n">
        <v>-9600000</v>
      </c>
      <c r="C26" s="3" t="n">
        <v>-4400000</v>
      </c>
      <c r="D26" s="3" t="n">
        <v>-3600000</v>
      </c>
      <c r="E26" s="3" t="n">
        <v>-2100000</v>
      </c>
      <c r="F26" s="3" t="n">
        <v>-700000</v>
      </c>
      <c r="G26" s="3" t="n"/>
    </row>
    <row r="27">
      <c r="A27" t="inlineStr">
        <is>
          <t>Capital Expenditure Reported</t>
        </is>
      </c>
      <c r="B27" s="3" t="n">
        <v>-9600000</v>
      </c>
      <c r="C27" s="3" t="n">
        <v>-4400000</v>
      </c>
      <c r="D27" s="3" t="n">
        <v>-3600000</v>
      </c>
      <c r="E27" s="3" t="n">
        <v>-2100000</v>
      </c>
      <c r="F27" s="3" t="n">
        <v>-700000</v>
      </c>
      <c r="G27" s="3" t="n"/>
    </row>
    <row r="28">
      <c r="A28" t="inlineStr">
        <is>
          <t>Operating Cash Flow</t>
        </is>
      </c>
      <c r="B28" s="3" t="n">
        <v>-48400000</v>
      </c>
      <c r="C28" s="3" t="n">
        <v>10100000</v>
      </c>
      <c r="D28" s="3" t="n">
        <v>52800000</v>
      </c>
      <c r="E28" s="3" t="n">
        <v>36500000</v>
      </c>
      <c r="F28" s="3" t="n">
        <v>57900000</v>
      </c>
      <c r="G28" s="3" t="n"/>
    </row>
    <row r="29">
      <c r="A29" t="inlineStr">
        <is>
          <t>Cash Flow From Continuing Operating Activities</t>
        </is>
      </c>
      <c r="B29" s="3" t="n">
        <v>-48400000</v>
      </c>
      <c r="C29" s="3" t="n">
        <v>10100000</v>
      </c>
      <c r="D29" s="3" t="n">
        <v>52800000</v>
      </c>
      <c r="E29" s="3" t="n">
        <v>36500000</v>
      </c>
      <c r="F29" s="3" t="n">
        <v>57900000</v>
      </c>
      <c r="G29" s="3" t="n"/>
    </row>
    <row r="30">
      <c r="A30" t="inlineStr">
        <is>
          <t>Change In Working Capital</t>
        </is>
      </c>
      <c r="B30" s="3" t="n">
        <v>-77300000</v>
      </c>
      <c r="C30" s="3" t="n">
        <v>14700000</v>
      </c>
      <c r="D30" s="3" t="n">
        <v>5600000</v>
      </c>
      <c r="E30" s="3" t="n">
        <v>8900000</v>
      </c>
      <c r="F30" s="3" t="n">
        <v>9100000</v>
      </c>
      <c r="G30" s="3" t="n"/>
    </row>
    <row r="31">
      <c r="A31" t="inlineStr">
        <is>
          <t>Change In Other Working Capital</t>
        </is>
      </c>
      <c r="B31" s="3" t="n">
        <v>-17700000</v>
      </c>
      <c r="C31" s="3" t="n">
        <v>-1100000</v>
      </c>
      <c r="D31" s="3" t="n">
        <v>-14400000</v>
      </c>
      <c r="E31" s="3" t="n">
        <v>-2200000</v>
      </c>
      <c r="F31" s="3" t="n">
        <v>2600000</v>
      </c>
      <c r="G31" s="3" t="n"/>
    </row>
    <row r="32">
      <c r="A32" t="inlineStr">
        <is>
          <t>Change In Other Current Assets</t>
        </is>
      </c>
      <c r="B32" s="3" t="n">
        <v>2000000</v>
      </c>
      <c r="C32" s="3" t="n">
        <v>-1100000</v>
      </c>
      <c r="D32" s="3" t="n">
        <v>500000</v>
      </c>
      <c r="E32" s="3" t="n">
        <v>800000</v>
      </c>
      <c r="F32" s="3" t="n">
        <v>-600000</v>
      </c>
      <c r="G32" s="3" t="n"/>
    </row>
    <row r="33">
      <c r="A33" t="inlineStr">
        <is>
          <t>Change In Payables And Accrued Expense</t>
        </is>
      </c>
      <c r="B33" s="3" t="n">
        <v>-132500000</v>
      </c>
      <c r="C33" s="3" t="n">
        <v>30400000</v>
      </c>
      <c r="D33" s="3" t="n">
        <v>42100000</v>
      </c>
      <c r="E33" s="3" t="n">
        <v>49400000</v>
      </c>
      <c r="F33" s="3" t="n">
        <v>36900000</v>
      </c>
      <c r="G33" s="3" t="n"/>
    </row>
    <row r="34">
      <c r="A34" t="inlineStr">
        <is>
          <t>Change In Payable</t>
        </is>
      </c>
      <c r="B34" s="3" t="n">
        <v>-132500000</v>
      </c>
      <c r="C34" s="3" t="n">
        <v>30400000</v>
      </c>
      <c r="D34" s="3" t="n">
        <v>42100000</v>
      </c>
      <c r="E34" s="3" t="n">
        <v>49400000</v>
      </c>
      <c r="F34" s="3" t="n">
        <v>36900000</v>
      </c>
      <c r="G34" s="3" t="n"/>
    </row>
    <row r="35">
      <c r="A35" t="inlineStr">
        <is>
          <t>Change In Account Payable</t>
        </is>
      </c>
      <c r="B35" s="3" t="n">
        <v>4900000</v>
      </c>
      <c r="C35" s="3" t="n">
        <v>1600000</v>
      </c>
      <c r="D35" s="3" t="n">
        <v>100000</v>
      </c>
      <c r="E35" s="3" t="n">
        <v>-6200000</v>
      </c>
      <c r="F35" s="3" t="n">
        <v>7400000</v>
      </c>
      <c r="G35" s="3" t="n"/>
    </row>
    <row r="36">
      <c r="A36" t="inlineStr">
        <is>
          <t>Change In Inventory</t>
        </is>
      </c>
      <c r="B36" s="3" t="n">
        <v>40900000</v>
      </c>
      <c r="C36" s="3" t="n">
        <v>15900000</v>
      </c>
      <c r="D36" s="3" t="n">
        <v>-29900000</v>
      </c>
      <c r="E36" s="3" t="n">
        <v>-80400000</v>
      </c>
      <c r="F36" s="3" t="n">
        <v>31000000</v>
      </c>
      <c r="G36" s="3" t="n"/>
    </row>
    <row r="37">
      <c r="A37" t="inlineStr">
        <is>
          <t>Change In Receivables</t>
        </is>
      </c>
      <c r="B37" s="3" t="n">
        <v>30000000</v>
      </c>
      <c r="C37" s="3" t="n">
        <v>-29400000</v>
      </c>
      <c r="D37" s="3" t="n">
        <v>7300000</v>
      </c>
      <c r="E37" s="3" t="n">
        <v>41300000</v>
      </c>
      <c r="F37" s="3" t="n">
        <v>-60800000</v>
      </c>
      <c r="G37" s="3" t="n"/>
    </row>
    <row r="38">
      <c r="A38" t="inlineStr">
        <is>
          <t>Changes In Account Receivables</t>
        </is>
      </c>
      <c r="B38" s="3" t="n">
        <v>30000000</v>
      </c>
      <c r="C38" s="3" t="n">
        <v>-29400000</v>
      </c>
      <c r="D38" s="3" t="n">
        <v>7300000</v>
      </c>
      <c r="E38" s="3" t="n">
        <v>41300000</v>
      </c>
      <c r="F38" s="3" t="n">
        <v>-60800000</v>
      </c>
      <c r="G38" s="3" t="n"/>
    </row>
    <row r="39">
      <c r="A39" t="inlineStr">
        <is>
          <t>Other Non Cash Items</t>
        </is>
      </c>
      <c r="B39" s="3" t="n">
        <v>900000</v>
      </c>
      <c r="C39" s="3" t="n">
        <v>1300000</v>
      </c>
      <c r="D39" s="3" t="n">
        <v>2200000</v>
      </c>
      <c r="E39" s="3" t="n">
        <v>2700000</v>
      </c>
      <c r="F39" s="3" t="n">
        <v>-1500000</v>
      </c>
      <c r="G39" s="3" t="n"/>
    </row>
    <row r="40">
      <c r="A40" t="inlineStr">
        <is>
          <t>Stock Based Compensation</t>
        </is>
      </c>
      <c r="B40" s="3" t="n">
        <v>500000</v>
      </c>
      <c r="C40" s="3" t="n">
        <v>600000</v>
      </c>
      <c r="D40" s="3" t="n">
        <v>4200000</v>
      </c>
      <c r="E40" s="3" t="n">
        <v>500000</v>
      </c>
      <c r="F40" s="3" t="n">
        <v>400000</v>
      </c>
      <c r="G40" s="3" t="n"/>
    </row>
    <row r="41">
      <c r="A41" t="inlineStr">
        <is>
          <t>Deferred Tax</t>
        </is>
      </c>
      <c r="B41" s="3" t="n">
        <v>3800000</v>
      </c>
      <c r="C41" s="3" t="n">
        <v>-11900000</v>
      </c>
      <c r="D41" s="3" t="n">
        <v>8000000</v>
      </c>
      <c r="E41" s="3" t="n">
        <v>7500000</v>
      </c>
      <c r="F41" s="3" t="n">
        <v>-6200000</v>
      </c>
      <c r="G41" s="3" t="n"/>
    </row>
    <row r="42">
      <c r="A42" t="inlineStr">
        <is>
          <t>Deferred Income Tax</t>
        </is>
      </c>
      <c r="B42" s="3" t="n">
        <v>3800000</v>
      </c>
      <c r="C42" s="3" t="n">
        <v>-11900000</v>
      </c>
      <c r="D42" s="3" t="n">
        <v>8000000</v>
      </c>
      <c r="E42" s="3" t="n">
        <v>7500000</v>
      </c>
      <c r="F42" s="3" t="n">
        <v>-6200000</v>
      </c>
      <c r="G42" s="3" t="n"/>
    </row>
    <row r="43">
      <c r="A43" t="inlineStr">
        <is>
          <t>Depreciation Amortization Depletion</t>
        </is>
      </c>
      <c r="B43" s="3" t="n">
        <v>3000000</v>
      </c>
      <c r="C43" s="3" t="n">
        <v>1500000</v>
      </c>
      <c r="D43" s="3" t="n">
        <v>3900000</v>
      </c>
      <c r="E43" s="3" t="n">
        <v>1500000</v>
      </c>
      <c r="F43" s="3" t="n">
        <v>2900000</v>
      </c>
      <c r="G43" s="3" t="n"/>
    </row>
    <row r="44">
      <c r="A44" t="inlineStr">
        <is>
          <t>Depreciation And Amortization</t>
        </is>
      </c>
      <c r="B44" s="3" t="n">
        <v>3000000</v>
      </c>
      <c r="C44" s="3" t="n">
        <v>1500000</v>
      </c>
      <c r="D44" s="3" t="n">
        <v>3900000</v>
      </c>
      <c r="E44" s="3" t="n">
        <v>1500000</v>
      </c>
      <c r="F44" s="3" t="n">
        <v>2900000</v>
      </c>
      <c r="G44" s="3" t="n"/>
    </row>
    <row r="45">
      <c r="A45" t="inlineStr">
        <is>
          <t>Operating Gains Losses</t>
        </is>
      </c>
      <c r="B45" s="3" t="n">
        <v>2900000</v>
      </c>
      <c r="C45" s="3" t="n">
        <v>0</v>
      </c>
      <c r="D45" s="3" t="n">
        <v>0</v>
      </c>
      <c r="E45" s="3" t="n">
        <v>-11800000</v>
      </c>
      <c r="F45" s="3" t="n">
        <v>-500000</v>
      </c>
      <c r="G45" s="3" t="n"/>
    </row>
    <row r="46">
      <c r="A46" t="inlineStr">
        <is>
          <t>Pension And Employee Benefit Expense</t>
        </is>
      </c>
      <c r="B46" s="3" t="n">
        <v>2900000</v>
      </c>
      <c r="C46" s="3" t="n">
        <v>0</v>
      </c>
      <c r="D46" s="3" t="n"/>
      <c r="E46" s="3" t="n"/>
      <c r="F46" s="3" t="n">
        <v>-500000</v>
      </c>
      <c r="G46" s="3" t="n">
        <v>-200000</v>
      </c>
    </row>
    <row r="47">
      <c r="A47" t="inlineStr">
        <is>
          <t>Net Income From Continuing Operations</t>
        </is>
      </c>
      <c r="B47" s="3" t="n">
        <v>17800000</v>
      </c>
      <c r="C47" s="3" t="n">
        <v>3900000</v>
      </c>
      <c r="D47" s="3" t="n">
        <v>28900000</v>
      </c>
      <c r="E47" s="3" t="n">
        <v>27200000</v>
      </c>
      <c r="F47" s="3" t="n">
        <v>53700000</v>
      </c>
      <c r="G47" s="3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30" customWidth="1" min="1" max="1"/>
    <col width="60" customWidth="1" min="2" max="2"/>
  </cols>
  <sheetData>
    <row r="1">
      <c r="A1" s="1" t="inlineStr">
        <is>
          <t>Field</t>
        </is>
      </c>
      <c r="B1" s="1" t="inlineStr">
        <is>
          <t>Issue</t>
        </is>
      </c>
    </row>
    <row r="2">
      <c r="A2" t="inlineStr">
        <is>
          <t>—</t>
        </is>
      </c>
      <c r="B2" t="inlineStr">
        <is>
          <t>no gaps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2026-05-18T06:01:54Z</dcterms:created>
  <dcterms:modified xmlns:dcterms="http://purl.org/dc/terms/" xmlns:xsi="http://www.w3.org/2001/XMLSchema-instance" xsi:type="dcterms:W3CDTF">2026-05-18T06:01:55Z</dcterms:modified>
</cp:coreProperties>
</file>