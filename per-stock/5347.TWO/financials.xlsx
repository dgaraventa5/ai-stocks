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Y Summary" sheetId="2" state="visible" r:id="rId2"/>
    <sheet name="Income stmt (annual)" sheetId="3" state="visible" r:id="rId3"/>
    <sheet name="Income stmt (quarterly)" sheetId="4" state="visible" r:id="rId4"/>
    <sheet name="Balance sheet (annual)" sheetId="5" state="visible" r:id="rId5"/>
    <sheet name="Balance sheet (quarterly)" sheetId="6" state="visible" r:id="rId6"/>
    <sheet name="Cash flow (annual)" sheetId="7" state="visible" r:id="rId7"/>
    <sheet name="Cash flow (quarterly)" sheetId="8" state="visible" r:id="rId8"/>
    <sheet name="Data flag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0&quot;x&quot;"/>
    <numFmt numFmtId="166" formatCode="#,##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10" fontId="0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36" customWidth="1" min="3" max="3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Source / formula</t>
        </is>
      </c>
    </row>
    <row r="2">
      <c r="A2" t="inlineStr">
        <is>
          <t>Ticker</t>
        </is>
      </c>
      <c r="B2" t="inlineStr">
        <is>
          <t>5347.TWO</t>
        </is>
      </c>
      <c r="C2" t="inlineStr">
        <is>
          <t>input</t>
        </is>
      </c>
    </row>
    <row r="3">
      <c r="A3" t="inlineStr">
        <is>
          <t>Name</t>
        </is>
      </c>
      <c r="B3" t="inlineStr">
        <is>
          <t>Vanguard International Semiconductor Corporation</t>
        </is>
      </c>
      <c r="C3" t="inlineStr">
        <is>
          <t>yfinance info.longName</t>
        </is>
      </c>
    </row>
    <row r="4">
      <c r="A4" t="inlineStr">
        <is>
          <t>Sector</t>
        </is>
      </c>
      <c r="B4" t="inlineStr">
        <is>
          <t>Technology</t>
        </is>
      </c>
      <c r="C4" t="inlineStr">
        <is>
          <t>yfinance info.sector</t>
        </is>
      </c>
    </row>
    <row r="5">
      <c r="A5" t="inlineStr">
        <is>
          <t>Industry</t>
        </is>
      </c>
      <c r="B5" t="inlineStr">
        <is>
          <t>Semiconductors</t>
        </is>
      </c>
      <c r="C5" t="inlineStr">
        <is>
          <t>yfinance info.industry</t>
        </is>
      </c>
    </row>
    <row r="6">
      <c r="A6" t="inlineStr">
        <is>
          <t>Market cap ($)</t>
        </is>
      </c>
      <c r="B6" t="n">
        <v>371911229440</v>
      </c>
      <c r="C6" t="inlineStr">
        <is>
          <t>yfinance info.marketCap</t>
        </is>
      </c>
    </row>
    <row r="7">
      <c r="A7" t="inlineStr">
        <is>
          <t>Enterprise value ($)</t>
        </is>
      </c>
      <c r="B7" t="n">
        <v>408145166336</v>
      </c>
      <c r="C7" t="inlineStr">
        <is>
          <t>yfinance info.enterpriseValue</t>
        </is>
      </c>
    </row>
    <row r="8">
      <c r="A8" t="inlineStr">
        <is>
          <t>Trailing P/E</t>
        </is>
      </c>
      <c r="B8" t="n">
        <v>47.03088</v>
      </c>
      <c r="C8" t="inlineStr">
        <is>
          <t>yfinance info.trailingPE</t>
        </is>
      </c>
    </row>
    <row r="9">
      <c r="A9" t="inlineStr">
        <is>
          <t>Forward P/E</t>
        </is>
      </c>
      <c r="B9" t="n">
        <v>31.877539</v>
      </c>
      <c r="C9" t="inlineStr">
        <is>
          <t>yfinance info.forwardPE</t>
        </is>
      </c>
    </row>
    <row r="10">
      <c r="A10" t="inlineStr">
        <is>
          <t>P/S (TTM)</t>
        </is>
      </c>
      <c r="B10" t="n">
        <v>7.563238</v>
      </c>
      <c r="C10" t="inlineStr">
        <is>
          <t>yfinance</t>
        </is>
      </c>
    </row>
    <row r="11">
      <c r="A11" t="inlineStr">
        <is>
          <t>Gross margin (TTM)</t>
        </is>
      </c>
      <c r="B11" t="n">
        <v>0.27917</v>
      </c>
      <c r="C11" t="inlineStr">
        <is>
          <t>yfinance info.grossMargins</t>
        </is>
      </c>
    </row>
    <row r="12">
      <c r="A12" t="inlineStr">
        <is>
          <t>Operating margin (TTM)</t>
        </is>
      </c>
      <c r="B12" t="n">
        <v>0.1665</v>
      </c>
      <c r="C12" t="inlineStr">
        <is>
          <t>yfinance info.operatingMargins</t>
        </is>
      </c>
    </row>
    <row r="13">
      <c r="A13" t="inlineStr">
        <is>
          <t>Net margin (TTM)</t>
        </is>
      </c>
      <c r="B13" t="n">
        <v>0.1574</v>
      </c>
      <c r="C13" t="inlineStr">
        <is>
          <t>yfinance info.profitMargins</t>
        </is>
      </c>
    </row>
    <row r="14">
      <c r="A14" t="inlineStr">
        <is>
          <t>ROE</t>
        </is>
      </c>
      <c r="B14" t="n">
        <v>0.090270005</v>
      </c>
      <c r="C14" t="inlineStr">
        <is>
          <t>yfinance info.returnOnEquity</t>
        </is>
      </c>
    </row>
    <row r="15">
      <c r="A15" t="inlineStr">
        <is>
          <t>Revenue growth (YoY)</t>
        </is>
      </c>
      <c r="B15" t="n">
        <v>0.049</v>
      </c>
      <c r="C15" t="inlineStr">
        <is>
          <t>yfinance info.revenueGrowth</t>
        </is>
      </c>
    </row>
    <row r="16">
      <c r="A16" t="inlineStr">
        <is>
          <t>Total cash ($)</t>
        </is>
      </c>
      <c r="B16" t="n">
        <v>42086531072</v>
      </c>
      <c r="C16" t="inlineStr">
        <is>
          <t>yfinance info.totalCash</t>
        </is>
      </c>
    </row>
    <row r="17">
      <c r="A17" t="inlineStr">
        <is>
          <t>Total debt ($)</t>
        </is>
      </c>
      <c r="B17" t="n">
        <v>42051837952</v>
      </c>
      <c r="C17" t="inlineStr">
        <is>
          <t>yfinance info.totalDebt</t>
        </is>
      </c>
    </row>
    <row r="18">
      <c r="A18" t="inlineStr">
        <is>
          <t>FCF (TTM, $)</t>
        </is>
      </c>
      <c r="B18" t="n">
        <v>-22203703000</v>
      </c>
      <c r="C18" t="inlineStr">
        <is>
          <t>statement: TTM OCF - |capex| (yfinance quarterly_cashflow)</t>
        </is>
      </c>
    </row>
    <row r="19">
      <c r="A19" t="inlineStr">
        <is>
          <t>Shares outstanding</t>
        </is>
      </c>
      <c r="B19" t="n">
        <v>1878339592</v>
      </c>
      <c r="C19" t="inlineStr">
        <is>
          <t>yfinance info.sharesOutstanding</t>
        </is>
      </c>
    </row>
    <row r="20">
      <c r="A20" t="inlineStr">
        <is>
          <t>Current price ($)</t>
        </is>
      </c>
      <c r="B20" t="n">
        <v>198</v>
      </c>
      <c r="C20" t="inlineStr">
        <is>
          <t>yfinance info.currentPrice</t>
        </is>
      </c>
    </row>
    <row r="21">
      <c r="A21" t="inlineStr">
        <is>
          <t>FCF yield</t>
        </is>
      </c>
      <c r="B21" s="2">
        <f>IFERROR(B18/B6,"")</f>
        <v/>
      </c>
      <c r="C21">
        <f>B18/B6</f>
        <v/>
      </c>
    </row>
    <row r="22">
      <c r="A22" t="inlineStr">
        <is>
          <t>FCF / EV</t>
        </is>
      </c>
      <c r="B22" s="2">
        <f>IFERROR(B18/B7,"")</f>
        <v/>
      </c>
      <c r="C22">
        <f>B18/B7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  <col width="15" customWidth="1" min="4" max="4"/>
    <col width="15" customWidth="1" min="5" max="5"/>
    <col width="52" customWidth="1" min="6" max="6"/>
  </cols>
  <sheetData>
    <row r="1">
      <c r="A1" s="1" t="inlineStr">
        <is>
          <t>Fiscal-year summary (GAAP, $ except where noted)</t>
        </is>
      </c>
      <c r="B1" s="1" t="inlineStr">
        <is>
          <t>FY-3</t>
        </is>
      </c>
      <c r="C1" s="1" t="inlineStr">
        <is>
          <t>FY-2</t>
        </is>
      </c>
      <c r="D1" s="1" t="inlineStr">
        <is>
          <t>FY-1</t>
        </is>
      </c>
      <c r="E1" s="1" t="inlineStr">
        <is>
          <t>TTM</t>
        </is>
      </c>
      <c r="F1" s="1" t="inlineStr">
        <is>
          <t>Source / formula</t>
        </is>
      </c>
    </row>
    <row r="2">
      <c r="A2" t="inlineStr">
        <is>
          <t>Fiscal period end</t>
        </is>
      </c>
      <c r="B2" t="inlineStr">
        <is>
          <t>2023-12-31</t>
        </is>
      </c>
      <c r="C2" t="inlineStr">
        <is>
          <t>2024-12-31</t>
        </is>
      </c>
      <c r="D2" t="inlineStr">
        <is>
          <t>2025-12-31</t>
        </is>
      </c>
      <c r="E2" t="inlineStr">
        <is>
          <t>TTM → 2025-12-31</t>
        </is>
      </c>
      <c r="F2" t="inlineStr">
        <is>
          <t>annual statement headers; TTM = Σ last 4 quarters</t>
        </is>
      </c>
    </row>
    <row r="3">
      <c r="A3" t="inlineStr">
        <is>
          <t>Revenue</t>
        </is>
      </c>
      <c r="B3" s="3">
        <f>'Income stmt (annual)'!D45</f>
        <v/>
      </c>
      <c r="C3" s="3">
        <f>'Income stmt (annual)'!C45</f>
        <v/>
      </c>
      <c r="D3" s="3">
        <f>'Income stmt (annual)'!B45</f>
        <v/>
      </c>
      <c r="E3" s="3">
        <f>SUM('Income stmt (quarterly)'!B44:E44)</f>
        <v/>
      </c>
      <c r="F3" t="inlineStr">
        <is>
          <t>Total Revenue</t>
        </is>
      </c>
    </row>
    <row r="4">
      <c r="A4" t="inlineStr">
        <is>
          <t>Gross profit</t>
        </is>
      </c>
      <c r="B4" s="3">
        <f>'Income stmt (annual)'!D43</f>
        <v/>
      </c>
      <c r="C4" s="3">
        <f>'Income stmt (annual)'!C43</f>
        <v/>
      </c>
      <c r="D4" s="3">
        <f>'Income stmt (annual)'!B43</f>
        <v/>
      </c>
      <c r="E4" s="3">
        <f>SUM('Income stmt (quarterly)'!B42:E42)</f>
        <v/>
      </c>
      <c r="F4" t="inlineStr">
        <is>
          <t>Gross Profit (GAAP)</t>
        </is>
      </c>
    </row>
    <row r="5">
      <c r="A5" t="inlineStr">
        <is>
          <t>Gross margin %</t>
        </is>
      </c>
      <c r="B5" s="4">
        <f>IFERROR(B4/B3,"")</f>
        <v/>
      </c>
      <c r="C5" s="4">
        <f>IFERROR(C4/C3,"")</f>
        <v/>
      </c>
      <c r="D5" s="4">
        <f>IFERROR(D4/D3,"")</f>
        <v/>
      </c>
      <c r="E5" s="4">
        <f>IFERROR(E4/E3,"")</f>
        <v/>
      </c>
      <c r="F5" t="inlineStr">
        <is>
          <t>GAAP = gross profit / revenue</t>
        </is>
      </c>
    </row>
    <row r="6">
      <c r="A6" t="inlineStr">
        <is>
          <t>Operating income</t>
        </is>
      </c>
      <c r="B6" s="3">
        <f>'Income stmt (annual)'!D37</f>
        <v/>
      </c>
      <c r="C6" s="3">
        <f>'Income stmt (annual)'!C37</f>
        <v/>
      </c>
      <c r="D6" s="3">
        <f>'Income stmt (annual)'!B37</f>
        <v/>
      </c>
      <c r="E6" s="3">
        <f>SUM('Income stmt (quarterly)'!B36:E36)</f>
        <v/>
      </c>
      <c r="F6" t="inlineStr">
        <is>
          <t>Operating Income</t>
        </is>
      </c>
    </row>
    <row r="7">
      <c r="A7" t="inlineStr">
        <is>
          <t>Operating margin %</t>
        </is>
      </c>
      <c r="B7" s="4">
        <f>IFERROR(B6/B3,"")</f>
        <v/>
      </c>
      <c r="C7" s="4">
        <f>IFERROR(C6/C3,"")</f>
        <v/>
      </c>
      <c r="D7" s="4">
        <f>IFERROR(D6/D3,"")</f>
        <v/>
      </c>
      <c r="E7" s="4">
        <f>IFERROR(E6/E3,"")</f>
        <v/>
      </c>
      <c r="F7">
        <f> operating income / revenue</f>
        <v/>
      </c>
    </row>
    <row r="8">
      <c r="A8" t="inlineStr">
        <is>
          <t>EBITDA</t>
        </is>
      </c>
      <c r="B8" s="3">
        <f>'Income stmt (annual)'!D10</f>
        <v/>
      </c>
      <c r="C8" s="3">
        <f>'Income stmt (annual)'!C10</f>
        <v/>
      </c>
      <c r="D8" s="3">
        <f>'Income stmt (annual)'!B10</f>
        <v/>
      </c>
      <c r="E8" s="3">
        <f>SUM('Income stmt (quarterly)'!B10:E10)</f>
        <v/>
      </c>
      <c r="F8" t="inlineStr">
        <is>
          <t>EBITDA</t>
        </is>
      </c>
    </row>
    <row r="9">
      <c r="A9" t="inlineStr">
        <is>
          <t>Free cash flow</t>
        </is>
      </c>
      <c r="B9" s="3">
        <f>'Cash flow (annual)'!D2</f>
        <v/>
      </c>
      <c r="C9" s="3">
        <f>'Cash flow (annual)'!C2</f>
        <v/>
      </c>
      <c r="D9" s="3">
        <f>'Cash flow (annual)'!B2</f>
        <v/>
      </c>
      <c r="E9" s="3">
        <f>SUM('Cash flow (quarterly)'!B2:E2)</f>
        <v/>
      </c>
      <c r="F9" t="inlineStr">
        <is>
          <t>FCF = OCF − capex</t>
        </is>
      </c>
    </row>
    <row r="10">
      <c r="A10" t="inlineStr">
        <is>
          <t>FCF margin %</t>
        </is>
      </c>
      <c r="B10" s="4">
        <f>IFERROR(B9/B3,"")</f>
        <v/>
      </c>
      <c r="C10" s="4">
        <f>IFERROR(C9/C3,"")</f>
        <v/>
      </c>
      <c r="D10" s="4">
        <f>IFERROR(D9/D3,"")</f>
        <v/>
      </c>
      <c r="E10" s="4">
        <f>IFERROR(E9/E3,"")</f>
        <v/>
      </c>
      <c r="F10">
        <f> FCF / revenue</f>
        <v/>
      </c>
    </row>
    <row r="11">
      <c r="A11" t="inlineStr">
        <is>
          <t>Capex</t>
        </is>
      </c>
      <c r="B11" s="3">
        <f>-'Cash flow (annual)'!D6</f>
        <v/>
      </c>
      <c r="C11" s="3">
        <f>-'Cash flow (annual)'!C6</f>
        <v/>
      </c>
      <c r="D11" s="3">
        <f>-'Cash flow (annual)'!B6</f>
        <v/>
      </c>
      <c r="E11" s="3">
        <f>-SUM('Cash flow (quarterly)'!B4:E4)</f>
        <v/>
      </c>
      <c r="F11" t="inlineStr">
        <is>
          <t>Capex (shown positive)</t>
        </is>
      </c>
    </row>
    <row r="12">
      <c r="A12" t="inlineStr">
        <is>
          <t>Capex / revenue %</t>
        </is>
      </c>
      <c r="B12" s="4">
        <f>IFERROR(B11/B3,"")</f>
        <v/>
      </c>
      <c r="C12" s="4">
        <f>IFERROR(C11/C3,"")</f>
        <v/>
      </c>
      <c r="D12" s="4">
        <f>IFERROR(D11/D3,"")</f>
        <v/>
      </c>
      <c r="E12" s="4">
        <f>IFERROR(E11/E3,"")</f>
        <v/>
      </c>
      <c r="F12">
        <f> capex / revenue</f>
        <v/>
      </c>
    </row>
    <row r="13">
      <c r="A13" t="inlineStr">
        <is>
          <t>Net debt</t>
        </is>
      </c>
      <c r="B13" s="3" t="inlineStr"/>
      <c r="C13" s="3" t="inlineStr"/>
      <c r="D13" s="3" t="inlineStr"/>
      <c r="E13" s="3" t="inlineStr"/>
      <c r="F13" t="inlineStr">
        <is>
          <t>Net debt; TTM = MRQ</t>
        </is>
      </c>
    </row>
    <row r="14">
      <c r="A14" t="inlineStr">
        <is>
          <t>Net debt / EBITDA</t>
        </is>
      </c>
      <c r="B14" s="5">
        <f>IFERROR(B13/B8,"")</f>
        <v/>
      </c>
      <c r="C14" s="5">
        <f>IFERROR(C13/C8,"")</f>
        <v/>
      </c>
      <c r="D14" s="5">
        <f>IFERROR(D13/D8,"")</f>
        <v/>
      </c>
      <c r="E14" s="5">
        <f>IFERROR(E13/E8,"")</f>
        <v/>
      </c>
      <c r="F14">
        <f> net debt / EBITDA</f>
        <v/>
      </c>
    </row>
    <row r="15">
      <c r="A15" t="inlineStr">
        <is>
          <t>Share count (period-end, M)</t>
        </is>
      </c>
      <c r="B15" s="6">
        <f>'Balance sheet (annual)'!D3/1e6</f>
        <v/>
      </c>
      <c r="C15" s="6">
        <f>'Balance sheet (annual)'!C3/1e6</f>
        <v/>
      </c>
      <c r="D15" s="6">
        <f>'Balance sheet (annual)'!B3/1e6</f>
        <v/>
      </c>
      <c r="E15" s="6">
        <f>'Balance sheet (quarterly)'!B2/1e6</f>
        <v/>
      </c>
      <c r="F15" t="inlineStr">
        <is>
          <t>shares ÷ 1e6; TTM = MRQ</t>
        </is>
      </c>
    </row>
    <row r="16">
      <c r="A16" t="inlineStr">
        <is>
          <t>Share count YoY %</t>
        </is>
      </c>
      <c r="B16" s="4" t="inlineStr"/>
      <c r="C16" s="4">
        <f>IFERROR(C15/B15-1,"")</f>
        <v/>
      </c>
      <c r="D16" s="4">
        <f>IFERROR(D15/C15-1,"")</f>
        <v/>
      </c>
      <c r="E16" s="4">
        <f>IFERROR(E15/D15-1,"")</f>
        <v/>
      </c>
      <c r="F16" t="inlineStr">
        <is>
          <t>vs prior period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</row>
    <row r="2">
      <c r="A2" t="inlineStr">
        <is>
          <t>Tax Effect Of Unusual Items</t>
        </is>
      </c>
      <c r="B2" s="3" t="n">
        <v>33473057.28048</v>
      </c>
      <c r="C2" s="3" t="n">
        <v>2733865.673214</v>
      </c>
      <c r="D2" s="3" t="n">
        <v>256153741.481811</v>
      </c>
      <c r="E2" s="3" t="n">
        <v>32692520.280012</v>
      </c>
    </row>
    <row r="3">
      <c r="A3" t="inlineStr">
        <is>
          <t>Tax Rate For Calcs</t>
        </is>
      </c>
      <c r="B3" s="3" t="n">
        <v>0.160019</v>
      </c>
      <c r="C3" s="3" t="n">
        <v>0.194817</v>
      </c>
      <c r="D3" s="3" t="n">
        <v>0.165694</v>
      </c>
      <c r="E3" s="3" t="n">
        <v>0.18942</v>
      </c>
    </row>
    <row r="4">
      <c r="A4" t="inlineStr">
        <is>
          <t>Normalized EBITDA</t>
        </is>
      </c>
      <c r="B4" s="3" t="n">
        <v>17933846000</v>
      </c>
      <c r="C4" s="3" t="n">
        <v>17708406000</v>
      </c>
      <c r="D4" s="3" t="n">
        <v>15378086000</v>
      </c>
      <c r="E4" s="3" t="n">
        <v>24400767000</v>
      </c>
    </row>
    <row r="5">
      <c r="A5" t="inlineStr">
        <is>
          <t>Total Unusual Items</t>
        </is>
      </c>
      <c r="B5" s="3" t="n">
        <v>209182000</v>
      </c>
      <c r="C5" s="3" t="n">
        <v>14033000</v>
      </c>
      <c r="D5" s="3" t="n">
        <v>1545949000</v>
      </c>
      <c r="E5" s="3" t="n">
        <v>172593000</v>
      </c>
    </row>
    <row r="6">
      <c r="A6" t="inlineStr">
        <is>
          <t>Total Unusual Items Excluding Goodwill</t>
        </is>
      </c>
      <c r="B6" s="3" t="n">
        <v>209182000</v>
      </c>
      <c r="C6" s="3" t="n">
        <v>14033000</v>
      </c>
      <c r="D6" s="3" t="n">
        <v>1545949000</v>
      </c>
      <c r="E6" s="3" t="n">
        <v>172593000</v>
      </c>
    </row>
    <row r="7">
      <c r="A7" t="inlineStr">
        <is>
          <t>Net Income From Continuing Operation Net Minority Interest</t>
        </is>
      </c>
      <c r="B7" s="3" t="n">
        <v>7907502000</v>
      </c>
      <c r="C7" s="3" t="n">
        <v>7046424000</v>
      </c>
      <c r="D7" s="3" t="n">
        <v>7370074000</v>
      </c>
      <c r="E7" s="3" t="n">
        <v>15280388000</v>
      </c>
    </row>
    <row r="8">
      <c r="A8" t="inlineStr">
        <is>
          <t>Reconciled Depreciation</t>
        </is>
      </c>
      <c r="B8" s="3" t="n">
        <v>8552173000</v>
      </c>
      <c r="C8" s="3" t="n">
        <v>8622021000</v>
      </c>
      <c r="D8" s="3" t="n">
        <v>7852088000</v>
      </c>
      <c r="E8" s="3" t="n">
        <v>5542087000</v>
      </c>
    </row>
    <row r="9">
      <c r="A9" t="inlineStr">
        <is>
          <t>Reconciled Cost Of Revenue</t>
        </is>
      </c>
      <c r="B9" s="3" t="n">
        <v>34937406000</v>
      </c>
      <c r="C9" s="3" t="n">
        <v>32121848000</v>
      </c>
      <c r="D9" s="3" t="n">
        <v>27826556000</v>
      </c>
      <c r="E9" s="3" t="n">
        <v>27770570000</v>
      </c>
    </row>
    <row r="10">
      <c r="A10" t="inlineStr">
        <is>
          <t>EBITDA</t>
        </is>
      </c>
      <c r="B10" s="3" t="n">
        <v>18143028000</v>
      </c>
      <c r="C10" s="3" t="n">
        <v>17722439000</v>
      </c>
      <c r="D10" s="3" t="n">
        <v>16924035000</v>
      </c>
      <c r="E10" s="3" t="n">
        <v>24573360000</v>
      </c>
    </row>
    <row r="11">
      <c r="A11" t="inlineStr">
        <is>
          <t>EBIT</t>
        </is>
      </c>
      <c r="B11" s="3" t="n">
        <v>9590855000</v>
      </c>
      <c r="C11" s="3" t="n">
        <v>9100418000</v>
      </c>
      <c r="D11" s="3" t="n">
        <v>9071947000</v>
      </c>
      <c r="E11" s="3" t="n">
        <v>19031273000</v>
      </c>
    </row>
    <row r="12">
      <c r="A12" t="inlineStr">
        <is>
          <t>Net Interest Income</t>
        </is>
      </c>
      <c r="B12" s="3" t="n">
        <v>1484498000</v>
      </c>
      <c r="C12" s="3" t="n">
        <v>1665264000</v>
      </c>
      <c r="D12" s="3" t="n">
        <v>1445197000</v>
      </c>
      <c r="E12" s="3" t="n">
        <v>499673000</v>
      </c>
    </row>
    <row r="13">
      <c r="A13" t="inlineStr">
        <is>
          <t>Interest Expense</t>
        </is>
      </c>
      <c r="B13" s="3" t="n">
        <v>340112000</v>
      </c>
      <c r="C13" s="3" t="n">
        <v>348113000</v>
      </c>
      <c r="D13" s="3" t="n">
        <v>238174000</v>
      </c>
      <c r="E13" s="3" t="n">
        <v>180101000</v>
      </c>
    </row>
    <row r="14">
      <c r="A14" t="inlineStr">
        <is>
          <t>Interest Income</t>
        </is>
      </c>
      <c r="B14" s="3" t="n">
        <v>1824610000</v>
      </c>
      <c r="C14" s="3" t="n">
        <v>2013377000</v>
      </c>
      <c r="D14" s="3" t="n">
        <v>1683371000</v>
      </c>
      <c r="E14" s="3" t="n">
        <v>679774000</v>
      </c>
    </row>
    <row r="15">
      <c r="A15" t="inlineStr">
        <is>
          <t>Normalized Income</t>
        </is>
      </c>
      <c r="B15" s="3" t="n">
        <v>7731793057.28048</v>
      </c>
      <c r="C15" s="3" t="n">
        <v>7035124865.673214</v>
      </c>
      <c r="D15" s="3" t="n">
        <v>6080278741.481811</v>
      </c>
      <c r="E15" s="3" t="n">
        <v>15140487520.28001</v>
      </c>
    </row>
    <row r="16">
      <c r="A16" t="inlineStr">
        <is>
          <t>Net Income From Continuing And Discontinued Operation</t>
        </is>
      </c>
      <c r="B16" s="3" t="n">
        <v>7907502000</v>
      </c>
      <c r="C16" s="3" t="n">
        <v>7046424000</v>
      </c>
      <c r="D16" s="3" t="n">
        <v>7370074000</v>
      </c>
      <c r="E16" s="3" t="n">
        <v>15280388000</v>
      </c>
    </row>
    <row r="17">
      <c r="A17" t="inlineStr">
        <is>
          <t>Total Expenses</t>
        </is>
      </c>
      <c r="B17" s="3" t="n">
        <v>40817874000</v>
      </c>
      <c r="C17" s="3" t="n">
        <v>36943375000</v>
      </c>
      <c r="D17" s="3" t="n">
        <v>32498384000</v>
      </c>
      <c r="E17" s="3" t="n">
        <v>33887343000</v>
      </c>
    </row>
    <row r="18">
      <c r="A18" t="inlineStr">
        <is>
          <t>Diluted Average Shares</t>
        </is>
      </c>
      <c r="B18" s="3" t="n">
        <v>1872679000</v>
      </c>
      <c r="C18" s="3" t="n">
        <v>1694158000</v>
      </c>
      <c r="D18" s="3" t="n">
        <v>1665444000</v>
      </c>
      <c r="E18" s="3" t="n">
        <v>1705313157</v>
      </c>
    </row>
    <row r="19">
      <c r="A19" t="inlineStr">
        <is>
          <t>Basic Average Shares</t>
        </is>
      </c>
      <c r="B19" s="3" t="n">
        <v>1838982000</v>
      </c>
      <c r="C19" s="3" t="n">
        <v>1674501000</v>
      </c>
      <c r="D19" s="3" t="n">
        <v>1638982000</v>
      </c>
      <c r="E19" s="3" t="n">
        <v>1659823962</v>
      </c>
    </row>
    <row r="20">
      <c r="A20" t="inlineStr">
        <is>
          <t>Diluted EPS</t>
        </is>
      </c>
      <c r="B20" s="3" t="n">
        <v>4.22</v>
      </c>
      <c r="C20" s="3" t="n">
        <v>4.16</v>
      </c>
      <c r="D20" s="3" t="n">
        <v>4.43</v>
      </c>
      <c r="E20" s="3" t="n">
        <v>8.956110000000001</v>
      </c>
    </row>
    <row r="21">
      <c r="A21" t="inlineStr">
        <is>
          <t>Basic EPS</t>
        </is>
      </c>
      <c r="B21" s="3" t="n">
        <v>4.3</v>
      </c>
      <c r="C21" s="3" t="n">
        <v>4.21</v>
      </c>
      <c r="D21" s="3" t="n">
        <v>4.5</v>
      </c>
      <c r="E21" s="3" t="n">
        <v>9.202971</v>
      </c>
    </row>
    <row r="22">
      <c r="A22" t="inlineStr">
        <is>
          <t>Diluted NI Availto Com Stockholders</t>
        </is>
      </c>
      <c r="B22" s="3" t="n">
        <v>7907502000</v>
      </c>
      <c r="C22" s="3" t="n">
        <v>7046424000</v>
      </c>
      <c r="D22" s="3" t="n">
        <v>7370074000</v>
      </c>
      <c r="E22" s="3" t="n">
        <v>15280388000</v>
      </c>
    </row>
    <row r="23">
      <c r="A23" t="inlineStr">
        <is>
          <t>Net Income Common Stockholders</t>
        </is>
      </c>
      <c r="B23" s="3" t="n">
        <v>7907502000</v>
      </c>
      <c r="C23" s="3" t="n">
        <v>7046424000</v>
      </c>
      <c r="D23" s="3" t="n">
        <v>7370074000</v>
      </c>
      <c r="E23" s="3" t="n">
        <v>15280388000</v>
      </c>
    </row>
    <row r="24">
      <c r="A24" t="inlineStr">
        <is>
          <t>Otherunder Preferred Stock Dividend</t>
        </is>
      </c>
      <c r="B24" s="3" t="n">
        <v>0</v>
      </c>
      <c r="C24" s="3" t="n">
        <v>0</v>
      </c>
      <c r="D24" s="3" t="n">
        <v>0</v>
      </c>
      <c r="E24" s="3" t="n">
        <v>0</v>
      </c>
    </row>
    <row r="25">
      <c r="A25" t="inlineStr">
        <is>
          <t>Net Income</t>
        </is>
      </c>
      <c r="B25" s="3" t="n">
        <v>7907502000</v>
      </c>
      <c r="C25" s="3" t="n">
        <v>7046424000</v>
      </c>
      <c r="D25" s="3" t="n">
        <v>7370074000</v>
      </c>
      <c r="E25" s="3" t="n">
        <v>15280388000</v>
      </c>
    </row>
    <row r="26">
      <c r="A26" t="inlineStr">
        <is>
          <t>Minority Interests</t>
        </is>
      </c>
      <c r="B26" s="3" t="n">
        <v>137052000</v>
      </c>
      <c r="C26" s="3" t="n">
        <v>-784000</v>
      </c>
      <c r="D26" s="3" t="n">
        <v>0</v>
      </c>
      <c r="E26" s="3" t="n">
        <v>0</v>
      </c>
    </row>
    <row r="27">
      <c r="A27" t="inlineStr">
        <is>
          <t>Net Income Including Noncontrolling Interests</t>
        </is>
      </c>
      <c r="B27" s="3" t="n">
        <v>7770450000</v>
      </c>
      <c r="C27" s="3" t="n">
        <v>7047208000</v>
      </c>
      <c r="D27" s="3" t="n">
        <v>7370074000</v>
      </c>
      <c r="E27" s="3" t="n">
        <v>15280388000</v>
      </c>
    </row>
    <row r="28">
      <c r="A28" t="inlineStr">
        <is>
          <t>Net Income Continuous Operations</t>
        </is>
      </c>
      <c r="B28" s="3" t="n">
        <v>7770450000</v>
      </c>
      <c r="C28" s="3" t="n">
        <v>7047208000</v>
      </c>
      <c r="D28" s="3" t="n">
        <v>7370074000</v>
      </c>
      <c r="E28" s="3" t="n">
        <v>15280388000</v>
      </c>
    </row>
    <row r="29">
      <c r="A29" t="inlineStr">
        <is>
          <t>Tax Provision</t>
        </is>
      </c>
      <c r="B29" s="3" t="n">
        <v>1480293000</v>
      </c>
      <c r="C29" s="3" t="n">
        <v>1705097000</v>
      </c>
      <c r="D29" s="3" t="n">
        <v>1463699000</v>
      </c>
      <c r="E29" s="3" t="n">
        <v>3570784000</v>
      </c>
    </row>
    <row r="30">
      <c r="A30" t="inlineStr">
        <is>
          <t>Pretax Income</t>
        </is>
      </c>
      <c r="B30" s="3" t="n">
        <v>9250743000</v>
      </c>
      <c r="C30" s="3" t="n">
        <v>8752305000</v>
      </c>
      <c r="D30" s="3" t="n">
        <v>8833773000</v>
      </c>
      <c r="E30" s="3" t="n">
        <v>18851172000</v>
      </c>
    </row>
    <row r="31">
      <c r="A31" t="inlineStr">
        <is>
          <t>Other Non Operating Income Expenses</t>
        </is>
      </c>
      <c r="B31" s="3" t="n">
        <v>3770000</v>
      </c>
      <c r="C31" s="3" t="n">
        <v>19620000</v>
      </c>
      <c r="D31" s="3" t="n">
        <v>27001000</v>
      </c>
      <c r="E31" s="3" t="n">
        <v>192060000</v>
      </c>
    </row>
    <row r="32">
      <c r="A32" t="inlineStr">
        <is>
          <t>Special Income Charges</t>
        </is>
      </c>
      <c r="B32" s="3" t="n">
        <v>1048000</v>
      </c>
      <c r="C32" s="3" t="n">
        <v>867000</v>
      </c>
      <c r="D32" s="3" t="n">
        <v>23456000</v>
      </c>
      <c r="E32" s="3" t="n">
        <v>616000</v>
      </c>
    </row>
    <row r="33">
      <c r="A33" t="inlineStr">
        <is>
          <t>Other Special Charges</t>
        </is>
      </c>
      <c r="B33" s="3" t="n">
        <v>-1048000</v>
      </c>
      <c r="C33" s="3" t="n">
        <v>-867000</v>
      </c>
      <c r="D33" s="3" t="n">
        <v>-23456000</v>
      </c>
      <c r="E33" s="3" t="n">
        <v>-616000</v>
      </c>
    </row>
    <row r="34">
      <c r="A34" t="inlineStr">
        <is>
          <t>Net Non Operating Interest Income Expense</t>
        </is>
      </c>
      <c r="B34" s="3" t="n">
        <v>1484498000</v>
      </c>
      <c r="C34" s="3" t="n">
        <v>1665264000</v>
      </c>
      <c r="D34" s="3" t="n">
        <v>1445197000</v>
      </c>
      <c r="E34" s="3" t="n">
        <v>499673000</v>
      </c>
    </row>
    <row r="35">
      <c r="A35" t="inlineStr">
        <is>
          <t>Interest Expense Non Operating</t>
        </is>
      </c>
      <c r="B35" s="3" t="n">
        <v>340112000</v>
      </c>
      <c r="C35" s="3" t="n">
        <v>348113000</v>
      </c>
      <c r="D35" s="3" t="n">
        <v>238174000</v>
      </c>
      <c r="E35" s="3" t="n">
        <v>180101000</v>
      </c>
    </row>
    <row r="36">
      <c r="A36" t="inlineStr">
        <is>
          <t>Interest Income Non Operating</t>
        </is>
      </c>
      <c r="B36" s="3" t="n">
        <v>1824610000</v>
      </c>
      <c r="C36" s="3" t="n">
        <v>2013377000</v>
      </c>
      <c r="D36" s="3" t="n">
        <v>1683371000</v>
      </c>
      <c r="E36" s="3" t="n">
        <v>679774000</v>
      </c>
    </row>
    <row r="37">
      <c r="A37" t="inlineStr">
        <is>
          <t>Operating Income</t>
        </is>
      </c>
      <c r="B37" s="3" t="n">
        <v>7773371000</v>
      </c>
      <c r="C37" s="3" t="n">
        <v>7111387000</v>
      </c>
      <c r="D37" s="3" t="n">
        <v>5774186000</v>
      </c>
      <c r="E37" s="3" t="n">
        <v>17806967000</v>
      </c>
    </row>
    <row r="38">
      <c r="A38" t="inlineStr">
        <is>
          <t>Operating Expense</t>
        </is>
      </c>
      <c r="B38" s="3" t="n">
        <v>5880468000</v>
      </c>
      <c r="C38" s="3" t="n">
        <v>4821527000</v>
      </c>
      <c r="D38" s="3" t="n">
        <v>4671828000</v>
      </c>
      <c r="E38" s="3" t="n">
        <v>6116773000</v>
      </c>
    </row>
    <row r="39">
      <c r="A39" t="inlineStr">
        <is>
          <t>Research And Development</t>
        </is>
      </c>
      <c r="B39" s="3" t="n">
        <v>2189951000</v>
      </c>
      <c r="C39" s="3" t="n">
        <v>2081171000</v>
      </c>
      <c r="D39" s="3" t="n">
        <v>2150693000</v>
      </c>
      <c r="E39" s="3" t="n">
        <v>2741631000</v>
      </c>
    </row>
    <row r="40">
      <c r="A40" t="inlineStr">
        <is>
          <t>Selling General And Administration</t>
        </is>
      </c>
      <c r="B40" s="3" t="n">
        <v>3690517000</v>
      </c>
      <c r="C40" s="3" t="n">
        <v>2740356000</v>
      </c>
      <c r="D40" s="3" t="n">
        <v>2521135000</v>
      </c>
      <c r="E40" s="3" t="n">
        <v>3375142000</v>
      </c>
    </row>
    <row r="41">
      <c r="A41" t="inlineStr">
        <is>
          <t>Selling And Marketing Expense</t>
        </is>
      </c>
      <c r="B41" s="3" t="n">
        <v>557416000</v>
      </c>
      <c r="C41" s="3" t="n">
        <v>448957000</v>
      </c>
      <c r="D41" s="3" t="n">
        <v>382140000</v>
      </c>
      <c r="E41" s="3" t="n">
        <v>582693000</v>
      </c>
    </row>
    <row r="42">
      <c r="A42" t="inlineStr">
        <is>
          <t>General And Administrative Expense</t>
        </is>
      </c>
      <c r="B42" s="3" t="n">
        <v>3133101000</v>
      </c>
      <c r="C42" s="3" t="n">
        <v>2291399000</v>
      </c>
      <c r="D42" s="3" t="n">
        <v>2138995000</v>
      </c>
      <c r="E42" s="3" t="n">
        <v>2792449000</v>
      </c>
    </row>
    <row r="43">
      <c r="A43" t="inlineStr">
        <is>
          <t>Gross Profit</t>
        </is>
      </c>
      <c r="B43" s="3" t="n">
        <v>13653839000</v>
      </c>
      <c r="C43" s="3" t="n">
        <v>11932914000</v>
      </c>
      <c r="D43" s="3" t="n">
        <v>10446014000</v>
      </c>
      <c r="E43" s="3" t="n">
        <v>23923740000</v>
      </c>
    </row>
    <row r="44">
      <c r="A44" t="inlineStr">
        <is>
          <t>Cost Of Revenue</t>
        </is>
      </c>
      <c r="B44" s="3" t="n">
        <v>34937406000</v>
      </c>
      <c r="C44" s="3" t="n">
        <v>32121848000</v>
      </c>
      <c r="D44" s="3" t="n">
        <v>27826556000</v>
      </c>
      <c r="E44" s="3" t="n">
        <v>27770570000</v>
      </c>
    </row>
    <row r="45">
      <c r="A45" t="inlineStr">
        <is>
          <t>Total Revenue</t>
        </is>
      </c>
      <c r="B45" s="3" t="n">
        <v>48591245000</v>
      </c>
      <c r="C45" s="3" t="n">
        <v>44054762000</v>
      </c>
      <c r="D45" s="3" t="n">
        <v>38272570000</v>
      </c>
      <c r="E45" s="3" t="n">
        <v>51694310000</v>
      </c>
    </row>
    <row r="46">
      <c r="A46" t="inlineStr">
        <is>
          <t>Operating Revenue</t>
        </is>
      </c>
      <c r="B46" s="3" t="n">
        <v>48591245000</v>
      </c>
      <c r="C46" s="3" t="n">
        <v>44054762000</v>
      </c>
      <c r="D46" s="3" t="n">
        <v>38272570000</v>
      </c>
      <c r="E46" s="3" t="n">
        <v>51694310000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2025-06-30</t>
        </is>
      </c>
      <c r="D1" s="1" t="inlineStr">
        <is>
          <t>2025-03-31</t>
        </is>
      </c>
      <c r="E1" s="1" t="inlineStr">
        <is>
          <t>2024-12-31</t>
        </is>
      </c>
    </row>
    <row r="2">
      <c r="A2" t="inlineStr">
        <is>
          <t>Tax Effect Of Unusual Items</t>
        </is>
      </c>
      <c r="B2" s="3" t="n">
        <v>-10470451.532131</v>
      </c>
      <c r="C2" s="3" t="n">
        <v>48659279.605698</v>
      </c>
      <c r="D2" s="3" t="n">
        <v>-4715908.796746</v>
      </c>
      <c r="E2" s="3" t="n">
        <v>-7039938.447255</v>
      </c>
    </row>
    <row r="3">
      <c r="A3" t="inlineStr">
        <is>
          <t>Tax Rate For Calcs</t>
        </is>
      </c>
      <c r="B3" s="3" t="n">
        <v>0.204621</v>
      </c>
      <c r="C3" s="3" t="n">
        <v>0.154984</v>
      </c>
      <c r="D3" s="3" t="n">
        <v>0.100465</v>
      </c>
      <c r="E3" s="3" t="n">
        <v>0.20969</v>
      </c>
    </row>
    <row r="4">
      <c r="A4" t="inlineStr">
        <is>
          <t>Normalized EBITDA</t>
        </is>
      </c>
      <c r="B4" s="3" t="n">
        <v>4448601000</v>
      </c>
      <c r="C4" s="3" t="n">
        <v>4237778000</v>
      </c>
      <c r="D4" s="3" t="n">
        <v>4852705000</v>
      </c>
      <c r="E4" s="3" t="n">
        <v>4709965000</v>
      </c>
    </row>
    <row r="5">
      <c r="A5" t="inlineStr">
        <is>
          <t>Total Unusual Items</t>
        </is>
      </c>
      <c r="B5" s="3" t="n">
        <v>-51170000</v>
      </c>
      <c r="C5" s="3" t="n">
        <v>313964000</v>
      </c>
      <c r="D5" s="3" t="n">
        <v>-46941000</v>
      </c>
      <c r="E5" s="3" t="n">
        <v>-33573000</v>
      </c>
    </row>
    <row r="6">
      <c r="A6" t="inlineStr">
        <is>
          <t>Total Unusual Items Excluding Goodwill</t>
        </is>
      </c>
      <c r="B6" s="3" t="n">
        <v>-51170000</v>
      </c>
      <c r="C6" s="3" t="n">
        <v>313964000</v>
      </c>
      <c r="D6" s="3" t="n">
        <v>-46941000</v>
      </c>
      <c r="E6" s="3" t="n">
        <v>-33573000</v>
      </c>
    </row>
    <row r="7">
      <c r="A7" t="inlineStr">
        <is>
          <t>Net Income From Continuing Operation Net Minority Interest</t>
        </is>
      </c>
      <c r="B7" s="3" t="n">
        <v>1747504000</v>
      </c>
      <c r="C7" s="3" t="n">
        <v>2043020000</v>
      </c>
      <c r="D7" s="3" t="n">
        <v>2413826000</v>
      </c>
      <c r="E7" s="3" t="n">
        <v>1846652000</v>
      </c>
    </row>
    <row r="8">
      <c r="A8" t="inlineStr">
        <is>
          <t>Reconciled Depreciation</t>
        </is>
      </c>
      <c r="B8" s="3" t="n">
        <v>2215742000</v>
      </c>
      <c r="C8" s="3" t="n">
        <v>2085966000</v>
      </c>
      <c r="D8" s="3" t="n">
        <v>2045795000</v>
      </c>
      <c r="E8" s="3" t="n">
        <v>2255191000</v>
      </c>
    </row>
    <row r="9">
      <c r="A9" t="inlineStr">
        <is>
          <t>Reconciled Cost Of Revenue</t>
        </is>
      </c>
      <c r="B9" s="3" t="n">
        <v>9129202000</v>
      </c>
      <c r="C9" s="3" t="n">
        <v>8419019000</v>
      </c>
      <c r="D9" s="3" t="n">
        <v>8352408000</v>
      </c>
      <c r="E9" s="3" t="n">
        <v>8238899000</v>
      </c>
    </row>
    <row r="10">
      <c r="A10" t="inlineStr">
        <is>
          <t>EBITDA</t>
        </is>
      </c>
      <c r="B10" s="3" t="n">
        <v>4397431000</v>
      </c>
      <c r="C10" s="3" t="n">
        <v>4551742000</v>
      </c>
      <c r="D10" s="3" t="n">
        <v>4805764000</v>
      </c>
      <c r="E10" s="3" t="n">
        <v>4676392000</v>
      </c>
    </row>
    <row r="11">
      <c r="A11" t="inlineStr">
        <is>
          <t>EBIT</t>
        </is>
      </c>
      <c r="B11" s="3" t="n">
        <v>2181689000</v>
      </c>
      <c r="C11" s="3" t="n">
        <v>2465776000</v>
      </c>
      <c r="D11" s="3" t="n">
        <v>2759969000</v>
      </c>
      <c r="E11" s="3" t="n">
        <v>2421201000</v>
      </c>
    </row>
    <row r="12">
      <c r="A12" t="inlineStr">
        <is>
          <t>Net Interest Income</t>
        </is>
      </c>
      <c r="B12" s="3" t="n">
        <v>313503000</v>
      </c>
      <c r="C12" s="3" t="n">
        <v>390598000</v>
      </c>
      <c r="D12" s="3" t="n">
        <v>473436000</v>
      </c>
      <c r="E12" s="3" t="n">
        <v>464330000</v>
      </c>
    </row>
    <row r="13">
      <c r="A13" t="inlineStr">
        <is>
          <t>Interest Expense</t>
        </is>
      </c>
      <c r="B13" s="3" t="n">
        <v>86600000</v>
      </c>
      <c r="C13" s="3" t="n">
        <v>84047000</v>
      </c>
      <c r="D13" s="3" t="n">
        <v>85196000</v>
      </c>
      <c r="E13" s="3" t="n">
        <v>88210000</v>
      </c>
    </row>
    <row r="14">
      <c r="A14" t="inlineStr">
        <is>
          <t>Interest Income</t>
        </is>
      </c>
      <c r="B14" s="3" t="n">
        <v>400103000</v>
      </c>
      <c r="C14" s="3" t="n">
        <v>474645000</v>
      </c>
      <c r="D14" s="3" t="n">
        <v>558632000</v>
      </c>
      <c r="E14" s="3" t="n">
        <v>552540000</v>
      </c>
    </row>
    <row r="15">
      <c r="A15" t="inlineStr">
        <is>
          <t>Normalized Income</t>
        </is>
      </c>
      <c r="B15" s="3" t="n">
        <v>1788203548.467869</v>
      </c>
      <c r="C15" s="3" t="n">
        <v>1777715279.605698</v>
      </c>
      <c r="D15" s="3" t="n">
        <v>2456051091.203254</v>
      </c>
      <c r="E15" s="3" t="n">
        <v>1873185061.552745</v>
      </c>
    </row>
    <row r="16">
      <c r="A16" t="inlineStr">
        <is>
          <t>Net Income From Continuing And Discontinued Operation</t>
        </is>
      </c>
      <c r="B16" s="3" t="n">
        <v>1747504000</v>
      </c>
      <c r="C16" s="3" t="n">
        <v>2043020000</v>
      </c>
      <c r="D16" s="3" t="n">
        <v>2413826000</v>
      </c>
      <c r="E16" s="3" t="n">
        <v>1846652000</v>
      </c>
    </row>
    <row r="17">
      <c r="A17" t="inlineStr">
        <is>
          <t>Total Expenses</t>
        </is>
      </c>
      <c r="B17" s="3" t="n">
        <v>10787058000</v>
      </c>
      <c r="C17" s="3" t="n">
        <v>9802650000</v>
      </c>
      <c r="D17" s="3" t="n">
        <v>9711211000</v>
      </c>
      <c r="E17" s="3" t="n">
        <v>9627473000</v>
      </c>
    </row>
    <row r="18">
      <c r="A18" t="inlineStr">
        <is>
          <t>Diluted Average Shares</t>
        </is>
      </c>
      <c r="B18" s="3" t="n"/>
      <c r="C18" s="3" t="n">
        <v>1857290909</v>
      </c>
      <c r="D18" s="3" t="n">
        <v>1856911000</v>
      </c>
      <c r="E18" s="3" t="n"/>
    </row>
    <row r="19">
      <c r="A19" t="inlineStr">
        <is>
          <t>Basic Average Shares</t>
        </is>
      </c>
      <c r="B19" s="3" t="n"/>
      <c r="C19" s="3" t="n">
        <v>1840558559</v>
      </c>
      <c r="D19" s="3" t="n">
        <v>1838982000</v>
      </c>
      <c r="E19" s="3" t="n"/>
    </row>
    <row r="20">
      <c r="A20" t="inlineStr">
        <is>
          <t>Diluted EPS</t>
        </is>
      </c>
      <c r="B20" s="3" t="n"/>
      <c r="C20" s="3" t="n">
        <v>1.1</v>
      </c>
      <c r="D20" s="3" t="n">
        <v>1.3</v>
      </c>
      <c r="E20" s="3" t="n"/>
    </row>
    <row r="21">
      <c r="A21" t="inlineStr">
        <is>
          <t>Basic EPS</t>
        </is>
      </c>
      <c r="B21" s="3" t="n"/>
      <c r="C21" s="3" t="n">
        <v>1.11</v>
      </c>
      <c r="D21" s="3" t="n">
        <v>1.31</v>
      </c>
      <c r="E21" s="3" t="n"/>
    </row>
    <row r="22">
      <c r="A22" t="inlineStr">
        <is>
          <t>Diluted NI Availto Com Stockholders</t>
        </is>
      </c>
      <c r="B22" s="3" t="n">
        <v>1747504000</v>
      </c>
      <c r="C22" s="3" t="n">
        <v>2043020000</v>
      </c>
      <c r="D22" s="3" t="n">
        <v>2413826000</v>
      </c>
      <c r="E22" s="3" t="n">
        <v>1846652000</v>
      </c>
    </row>
    <row r="23">
      <c r="A23" t="inlineStr">
        <is>
          <t>Net Income Common Stockholders</t>
        </is>
      </c>
      <c r="B23" s="3" t="n">
        <v>1747504000</v>
      </c>
      <c r="C23" s="3" t="n">
        <v>2043020000</v>
      </c>
      <c r="D23" s="3" t="n">
        <v>2413826000</v>
      </c>
      <c r="E23" s="3" t="n">
        <v>1846652000</v>
      </c>
    </row>
    <row r="24">
      <c r="A24" t="inlineStr">
        <is>
          <t>Otherunder Preferred Stock Dividend</t>
        </is>
      </c>
      <c r="B24" s="3" t="n">
        <v>0</v>
      </c>
      <c r="C24" s="3" t="n">
        <v>0</v>
      </c>
      <c r="D24" s="3" t="n">
        <v>0</v>
      </c>
      <c r="E24" s="3" t="n">
        <v>0</v>
      </c>
    </row>
    <row r="25">
      <c r="A25" t="inlineStr">
        <is>
          <t>Net Income</t>
        </is>
      </c>
      <c r="B25" s="3" t="n">
        <v>1747504000</v>
      </c>
      <c r="C25" s="3" t="n">
        <v>2043020000</v>
      </c>
      <c r="D25" s="3" t="n">
        <v>2413826000</v>
      </c>
      <c r="E25" s="3" t="n">
        <v>1846652000</v>
      </c>
    </row>
    <row r="26">
      <c r="A26" t="inlineStr">
        <is>
          <t>Minority Interests</t>
        </is>
      </c>
      <c r="B26" s="3" t="n">
        <v>81114000</v>
      </c>
      <c r="C26" s="3" t="n">
        <v>30420000</v>
      </c>
      <c r="D26" s="3" t="n">
        <v>7773000</v>
      </c>
      <c r="E26" s="3" t="n">
        <v>2867000</v>
      </c>
    </row>
    <row r="27">
      <c r="A27" t="inlineStr">
        <is>
          <t>Net Income Including Noncontrolling Interests</t>
        </is>
      </c>
      <c r="B27" s="3" t="n">
        <v>1666390000</v>
      </c>
      <c r="C27" s="3" t="n">
        <v>2012600000</v>
      </c>
      <c r="D27" s="3" t="n">
        <v>2406053000</v>
      </c>
      <c r="E27" s="3" t="n">
        <v>1843785000</v>
      </c>
    </row>
    <row r="28">
      <c r="A28" t="inlineStr">
        <is>
          <t>Net Income Continuous Operations</t>
        </is>
      </c>
      <c r="B28" s="3" t="n">
        <v>1666390000</v>
      </c>
      <c r="C28" s="3" t="n">
        <v>2012600000</v>
      </c>
      <c r="D28" s="3" t="n">
        <v>2406053000</v>
      </c>
      <c r="E28" s="3" t="n">
        <v>1843785000</v>
      </c>
    </row>
    <row r="29">
      <c r="A29" t="inlineStr">
        <is>
          <t>Tax Provision</t>
        </is>
      </c>
      <c r="B29" s="3" t="n">
        <v>428699000</v>
      </c>
      <c r="C29" s="3" t="n">
        <v>369129000</v>
      </c>
      <c r="D29" s="3" t="n">
        <v>268720000</v>
      </c>
      <c r="E29" s="3" t="n">
        <v>489206000</v>
      </c>
    </row>
    <row r="30">
      <c r="A30" t="inlineStr">
        <is>
          <t>Pretax Income</t>
        </is>
      </c>
      <c r="B30" s="3" t="n">
        <v>2095089000</v>
      </c>
      <c r="C30" s="3" t="n">
        <v>2381729000</v>
      </c>
      <c r="D30" s="3" t="n">
        <v>2674773000</v>
      </c>
      <c r="E30" s="3" t="n">
        <v>2332991000</v>
      </c>
    </row>
    <row r="31">
      <c r="A31" t="inlineStr">
        <is>
          <t>Other Non Operating Income Expenses</t>
        </is>
      </c>
      <c r="B31" s="3" t="n">
        <v>16116000</v>
      </c>
      <c r="C31" s="3" t="n">
        <v>2515000</v>
      </c>
      <c r="D31" s="3" t="n">
        <v>3207000</v>
      </c>
      <c r="E31" s="3" t="n">
        <v>7450000</v>
      </c>
    </row>
    <row r="32">
      <c r="A32" t="inlineStr">
        <is>
          <t>Special Income Charges</t>
        </is>
      </c>
      <c r="B32" s="3" t="n"/>
      <c r="C32" s="3" t="n"/>
      <c r="D32" s="3" t="n"/>
      <c r="E32" s="3" t="n">
        <v>867000</v>
      </c>
    </row>
    <row r="33">
      <c r="A33" t="inlineStr">
        <is>
          <t>Net Non Operating Interest Income Expense</t>
        </is>
      </c>
      <c r="B33" s="3" t="n">
        <v>313503000</v>
      </c>
      <c r="C33" s="3" t="n">
        <v>390598000</v>
      </c>
      <c r="D33" s="3" t="n">
        <v>473436000</v>
      </c>
      <c r="E33" s="3" t="n">
        <v>464330000</v>
      </c>
    </row>
    <row r="34">
      <c r="A34" t="inlineStr">
        <is>
          <t>Interest Expense Non Operating</t>
        </is>
      </c>
      <c r="B34" s="3" t="n">
        <v>86600000</v>
      </c>
      <c r="C34" s="3" t="n">
        <v>84047000</v>
      </c>
      <c r="D34" s="3" t="n">
        <v>85196000</v>
      </c>
      <c r="E34" s="3" t="n">
        <v>88210000</v>
      </c>
    </row>
    <row r="35">
      <c r="A35" t="inlineStr">
        <is>
          <t>Interest Income Non Operating</t>
        </is>
      </c>
      <c r="B35" s="3" t="n">
        <v>400103000</v>
      </c>
      <c r="C35" s="3" t="n">
        <v>474645000</v>
      </c>
      <c r="D35" s="3" t="n">
        <v>558632000</v>
      </c>
      <c r="E35" s="3" t="n">
        <v>552540000</v>
      </c>
    </row>
    <row r="36">
      <c r="A36" t="inlineStr">
        <is>
          <t>Operating Income</t>
        </is>
      </c>
      <c r="B36" s="3" t="n">
        <v>1806669000</v>
      </c>
      <c r="C36" s="3" t="n">
        <v>1896671000</v>
      </c>
      <c r="D36" s="3" t="n">
        <v>2238120000</v>
      </c>
      <c r="E36" s="3" t="n">
        <v>1925201000</v>
      </c>
    </row>
    <row r="37">
      <c r="A37" t="inlineStr">
        <is>
          <t>Operating Expense</t>
        </is>
      </c>
      <c r="B37" s="3" t="n">
        <v>1657856000</v>
      </c>
      <c r="C37" s="3" t="n">
        <v>1383631000</v>
      </c>
      <c r="D37" s="3" t="n">
        <v>1358803000</v>
      </c>
      <c r="E37" s="3" t="n">
        <v>1388574000</v>
      </c>
    </row>
    <row r="38">
      <c r="A38" t="inlineStr">
        <is>
          <t>Research And Development</t>
        </is>
      </c>
      <c r="B38" s="3" t="n">
        <v>582363000</v>
      </c>
      <c r="C38" s="3" t="n">
        <v>522169000</v>
      </c>
      <c r="D38" s="3" t="n">
        <v>520574000</v>
      </c>
      <c r="E38" s="3" t="n">
        <v>583314000</v>
      </c>
    </row>
    <row r="39">
      <c r="A39" t="inlineStr">
        <is>
          <t>Selling General And Administration</t>
        </is>
      </c>
      <c r="B39" s="3" t="n">
        <v>1075493000</v>
      </c>
      <c r="C39" s="3" t="n">
        <v>861462000</v>
      </c>
      <c r="D39" s="3" t="n">
        <v>838229000</v>
      </c>
      <c r="E39" s="3" t="n">
        <v>805260000</v>
      </c>
    </row>
    <row r="40">
      <c r="A40" t="inlineStr">
        <is>
          <t>Selling And Marketing Expense</t>
        </is>
      </c>
      <c r="B40" s="3" t="n">
        <v>163451000</v>
      </c>
      <c r="C40" s="3" t="n">
        <v>120165000</v>
      </c>
      <c r="D40" s="3" t="n">
        <v>129421000</v>
      </c>
      <c r="E40" s="3" t="n">
        <v>124726000</v>
      </c>
    </row>
    <row r="41">
      <c r="A41" t="inlineStr">
        <is>
          <t>General And Administrative Expense</t>
        </is>
      </c>
      <c r="B41" s="3" t="n">
        <v>912042000</v>
      </c>
      <c r="C41" s="3" t="n">
        <v>741297000</v>
      </c>
      <c r="D41" s="3" t="n">
        <v>708808000</v>
      </c>
      <c r="E41" s="3" t="n">
        <v>680534000</v>
      </c>
    </row>
    <row r="42">
      <c r="A42" t="inlineStr">
        <is>
          <t>Gross Profit</t>
        </is>
      </c>
      <c r="B42" s="3" t="n">
        <v>3464525000</v>
      </c>
      <c r="C42" s="3" t="n">
        <v>3280302000</v>
      </c>
      <c r="D42" s="3" t="n">
        <v>3596923000</v>
      </c>
      <c r="E42" s="3" t="n">
        <v>3313775000</v>
      </c>
    </row>
    <row r="43">
      <c r="A43" t="inlineStr">
        <is>
          <t>Cost Of Revenue</t>
        </is>
      </c>
      <c r="B43" s="3" t="n">
        <v>9129202000</v>
      </c>
      <c r="C43" s="3" t="n">
        <v>8419019000</v>
      </c>
      <c r="D43" s="3" t="n">
        <v>8352408000</v>
      </c>
      <c r="E43" s="3" t="n">
        <v>8238899000</v>
      </c>
    </row>
    <row r="44">
      <c r="A44" t="inlineStr">
        <is>
          <t>Total Revenue</t>
        </is>
      </c>
      <c r="B44" s="3" t="n">
        <v>12593727000</v>
      </c>
      <c r="C44" s="3" t="n">
        <v>11699321000</v>
      </c>
      <c r="D44" s="3" t="n">
        <v>11949331000</v>
      </c>
      <c r="E44" s="3" t="n">
        <v>11552674000</v>
      </c>
    </row>
    <row r="45">
      <c r="A45" t="inlineStr">
        <is>
          <t>Operating Revenue</t>
        </is>
      </c>
      <c r="B45" s="3" t="n">
        <v>12593727000</v>
      </c>
      <c r="C45" s="3" t="n">
        <v>11699321000</v>
      </c>
      <c r="D45" s="3" t="n">
        <v>11949331000</v>
      </c>
      <c r="E45" s="3" t="n">
        <v>11552674000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Treasury Shares Number</t>
        </is>
      </c>
      <c r="B2" s="3" t="n"/>
      <c r="C2" s="3" t="n"/>
      <c r="D2" s="3" t="n">
        <v>0</v>
      </c>
      <c r="E2" s="3" t="n"/>
      <c r="F2" s="3" t="n"/>
    </row>
    <row r="3">
      <c r="A3" t="inlineStr">
        <is>
          <t>Ordinary Shares Number</t>
        </is>
      </c>
      <c r="B3" s="3" t="n">
        <v>1867392000</v>
      </c>
      <c r="C3" s="3" t="n">
        <v>1866647000</v>
      </c>
      <c r="D3" s="3" t="n">
        <v>1659823962</v>
      </c>
      <c r="E3" s="3" t="n">
        <v>1659823962</v>
      </c>
      <c r="F3" s="3" t="n"/>
    </row>
    <row r="4">
      <c r="A4" t="inlineStr">
        <is>
          <t>Share Issued</t>
        </is>
      </c>
      <c r="B4" s="3" t="n">
        <v>1867392000</v>
      </c>
      <c r="C4" s="3" t="n">
        <v>1866647000</v>
      </c>
      <c r="D4" s="3" t="n">
        <v>1659823962</v>
      </c>
      <c r="E4" s="3" t="n">
        <v>1659823962</v>
      </c>
      <c r="F4" s="3" t="n"/>
    </row>
    <row r="5">
      <c r="A5" t="inlineStr">
        <is>
          <t>Total Debt</t>
        </is>
      </c>
      <c r="B5" s="3" t="n">
        <v>31938557000</v>
      </c>
      <c r="C5" s="3" t="n">
        <v>24655782000</v>
      </c>
      <c r="D5" s="3" t="n">
        <v>20421953000</v>
      </c>
      <c r="E5" s="3" t="n">
        <v>14548230000</v>
      </c>
      <c r="F5" s="3" t="n"/>
    </row>
    <row r="6">
      <c r="A6" t="inlineStr">
        <is>
          <t>Tangible Book Value</t>
        </is>
      </c>
      <c r="B6" s="3" t="n">
        <v>60803760000</v>
      </c>
      <c r="C6" s="3" t="n">
        <v>60869806000</v>
      </c>
      <c r="D6" s="3" t="n">
        <v>45447898000</v>
      </c>
      <c r="E6" s="3" t="n">
        <v>45082590000</v>
      </c>
      <c r="F6" s="3" t="n"/>
    </row>
    <row r="7">
      <c r="A7" t="inlineStr">
        <is>
          <t>Invested Capital</t>
        </is>
      </c>
      <c r="B7" s="3" t="n">
        <v>92256620000</v>
      </c>
      <c r="C7" s="3" t="n">
        <v>85088598000</v>
      </c>
      <c r="D7" s="3" t="n">
        <v>63696465000</v>
      </c>
      <c r="E7" s="3" t="n">
        <v>57337873000</v>
      </c>
      <c r="F7" s="3" t="n"/>
    </row>
    <row r="8">
      <c r="A8" t="inlineStr">
        <is>
          <t>Working Capital</t>
        </is>
      </c>
      <c r="B8" s="3" t="n">
        <v>15292961000</v>
      </c>
      <c r="C8" s="3" t="n">
        <v>64835937000</v>
      </c>
      <c r="D8" s="3" t="n">
        <v>29971432000</v>
      </c>
      <c r="E8" s="3" t="n">
        <v>25162009000</v>
      </c>
      <c r="F8" s="3" t="n"/>
    </row>
    <row r="9">
      <c r="A9" t="inlineStr">
        <is>
          <t>Net Tangible Assets</t>
        </is>
      </c>
      <c r="B9" s="3" t="n">
        <v>60803760000</v>
      </c>
      <c r="C9" s="3" t="n">
        <v>60869806000</v>
      </c>
      <c r="D9" s="3" t="n">
        <v>45447898000</v>
      </c>
      <c r="E9" s="3" t="n">
        <v>45082590000</v>
      </c>
      <c r="F9" s="3" t="n"/>
    </row>
    <row r="10">
      <c r="A10" t="inlineStr">
        <is>
          <t>Capital Lease Obligations</t>
        </is>
      </c>
      <c r="B10" s="3" t="n">
        <v>3558703000</v>
      </c>
      <c r="C10" s="3" t="n">
        <v>3671610000</v>
      </c>
      <c r="D10" s="3" t="n">
        <v>2438528000</v>
      </c>
      <c r="E10" s="3" t="n">
        <v>2560861000</v>
      </c>
      <c r="F10" s="3" t="n"/>
    </row>
    <row r="11">
      <c r="A11" t="inlineStr">
        <is>
          <t>Common Stock Equity</t>
        </is>
      </c>
      <c r="B11" s="3" t="n">
        <v>63876766000</v>
      </c>
      <c r="C11" s="3" t="n">
        <v>64104426000</v>
      </c>
      <c r="D11" s="3" t="n">
        <v>45713040000</v>
      </c>
      <c r="E11" s="3" t="n">
        <v>45350504000</v>
      </c>
      <c r="F11" s="3" t="n"/>
    </row>
    <row r="12">
      <c r="A12" t="inlineStr">
        <is>
          <t>Total Capitalization</t>
        </is>
      </c>
      <c r="B12" s="3" t="n">
        <v>81736910000</v>
      </c>
      <c r="C12" s="3" t="n">
        <v>85088598000</v>
      </c>
      <c r="D12" s="3" t="n">
        <v>63696465000</v>
      </c>
      <c r="E12" s="3" t="n">
        <v>57337873000</v>
      </c>
      <c r="F12" s="3" t="n"/>
    </row>
    <row r="13">
      <c r="A13" t="inlineStr">
        <is>
          <t>Total Equity Gross Minority Interest</t>
        </is>
      </c>
      <c r="B13" s="3" t="n">
        <v>83589527000</v>
      </c>
      <c r="C13" s="3" t="n">
        <v>68667025000</v>
      </c>
      <c r="D13" s="3" t="n">
        <v>45713040000</v>
      </c>
      <c r="E13" s="3" t="n">
        <v>45350504000</v>
      </c>
      <c r="F13" s="3" t="n"/>
    </row>
    <row r="14">
      <c r="A14" t="inlineStr">
        <is>
          <t>Minority Interest</t>
        </is>
      </c>
      <c r="B14" s="3" t="n">
        <v>19712761000</v>
      </c>
      <c r="C14" s="3" t="n">
        <v>4562599000</v>
      </c>
      <c r="D14" s="3" t="n">
        <v>0</v>
      </c>
      <c r="E14" s="3" t="n"/>
      <c r="F14" s="3" t="n"/>
    </row>
    <row r="15">
      <c r="A15" t="inlineStr">
        <is>
          <t>Stockholders Equity</t>
        </is>
      </c>
      <c r="B15" s="3" t="n">
        <v>63876766000</v>
      </c>
      <c r="C15" s="3" t="n">
        <v>64104426000</v>
      </c>
      <c r="D15" s="3" t="n">
        <v>45713040000</v>
      </c>
      <c r="E15" s="3" t="n">
        <v>45350504000</v>
      </c>
      <c r="F15" s="3" t="n"/>
    </row>
    <row r="16">
      <c r="A16" t="inlineStr">
        <is>
          <t>Other Equity Interest</t>
        </is>
      </c>
      <c r="B16" s="3" t="n">
        <v>-912834000</v>
      </c>
      <c r="C16" s="3" t="n">
        <v>-1036807000</v>
      </c>
      <c r="D16" s="3" t="n">
        <v>478147000</v>
      </c>
      <c r="E16" s="3" t="n">
        <v>150047000</v>
      </c>
      <c r="F16" s="3" t="n"/>
    </row>
    <row r="17">
      <c r="A17" t="inlineStr">
        <is>
          <t>Retained Earnings</t>
        </is>
      </c>
      <c r="B17" s="3" t="n">
        <v>16615252000</v>
      </c>
      <c r="C17" s="3" t="n">
        <v>17826712000</v>
      </c>
      <c r="D17" s="3" t="n">
        <v>18889367000</v>
      </c>
      <c r="E17" s="3" t="n">
        <v>18407787000</v>
      </c>
      <c r="F17" s="3" t="n"/>
    </row>
    <row r="18">
      <c r="A18" t="inlineStr">
        <is>
          <t>Additional Paid In Capital</t>
        </is>
      </c>
      <c r="B18" s="3" t="n">
        <v>19015223000</v>
      </c>
      <c r="C18" s="3" t="n">
        <v>18865089000</v>
      </c>
      <c r="D18" s="3" t="n">
        <v>913754000</v>
      </c>
      <c r="E18" s="3" t="n">
        <v>914062000</v>
      </c>
      <c r="F18" s="3" t="n"/>
    </row>
    <row r="19">
      <c r="A19" t="inlineStr">
        <is>
          <t>Capital Stock</t>
        </is>
      </c>
      <c r="B19" s="3" t="n">
        <v>18670782000</v>
      </c>
      <c r="C19" s="3" t="n">
        <v>18666467000</v>
      </c>
      <c r="D19" s="3" t="n">
        <v>16389823000</v>
      </c>
      <c r="E19" s="3" t="n">
        <v>16389823000</v>
      </c>
      <c r="F19" s="3" t="n"/>
    </row>
    <row r="20">
      <c r="A20" t="inlineStr">
        <is>
          <t>Common Stock</t>
        </is>
      </c>
      <c r="B20" s="3" t="n">
        <v>18670782000</v>
      </c>
      <c r="C20" s="3" t="n">
        <v>18666467000</v>
      </c>
      <c r="D20" s="3" t="n">
        <v>16389823000</v>
      </c>
      <c r="E20" s="3" t="n">
        <v>16389823000</v>
      </c>
      <c r="F20" s="3" t="n"/>
    </row>
    <row r="21">
      <c r="A21" t="inlineStr">
        <is>
          <t>Total Liabilities Net Minority Interest</t>
        </is>
      </c>
      <c r="B21" s="3" t="n">
        <v>116879251000</v>
      </c>
      <c r="C21" s="3" t="n">
        <v>80038677000</v>
      </c>
      <c r="D21" s="3" t="n">
        <v>56737003000</v>
      </c>
      <c r="E21" s="3" t="n">
        <v>55589415000</v>
      </c>
      <c r="F21" s="3" t="n"/>
    </row>
    <row r="22">
      <c r="A22" t="inlineStr">
        <is>
          <t>Total Non Current Liabilities Net Minority Interest</t>
        </is>
      </c>
      <c r="B22" s="3" t="n">
        <v>65275006000</v>
      </c>
      <c r="C22" s="3" t="n">
        <v>58663435000</v>
      </c>
      <c r="D22" s="3" t="n">
        <v>36629780000</v>
      </c>
      <c r="E22" s="3" t="n">
        <v>34495937000</v>
      </c>
      <c r="F22" s="3" t="n"/>
    </row>
    <row r="23">
      <c r="A23" t="inlineStr">
        <is>
          <t>Other Non Current Liabilities</t>
        </is>
      </c>
      <c r="B23" s="3" t="n">
        <v>1368938000</v>
      </c>
      <c r="C23" s="3" t="n">
        <v>3074220000</v>
      </c>
      <c r="D23" s="3" t="n">
        <v>4632958000</v>
      </c>
      <c r="E23" s="3" t="n">
        <v>6056600000</v>
      </c>
      <c r="F23" s="3" t="n"/>
    </row>
    <row r="24">
      <c r="A24" t="inlineStr">
        <is>
          <t>Non Current Pension And Other Postretirement Benefit Plans</t>
        </is>
      </c>
      <c r="B24" s="3" t="n">
        <v>202430000</v>
      </c>
      <c r="C24" s="3" t="n">
        <v>255863000</v>
      </c>
      <c r="D24" s="3" t="n">
        <v>302690000</v>
      </c>
      <c r="E24" s="3" t="n">
        <v>372898000</v>
      </c>
      <c r="F24" s="3" t="n"/>
    </row>
    <row r="25">
      <c r="A25" t="inlineStr">
        <is>
          <t>Tradeand Other Payables Non Current</t>
        </is>
      </c>
      <c r="B25" s="3" t="n">
        <v>707490000</v>
      </c>
      <c r="C25" s="3" t="n">
        <v>2211840000</v>
      </c>
      <c r="D25" s="3" t="n"/>
      <c r="E25" s="3" t="n"/>
      <c r="F25" s="3" t="n"/>
    </row>
    <row r="26">
      <c r="A26" t="inlineStr">
        <is>
          <t>Non Current Deferred Revenue</t>
        </is>
      </c>
      <c r="B26" s="3" t="n">
        <v>40178843000</v>
      </c>
      <c r="C26" s="3" t="n">
        <v>27256837000</v>
      </c>
      <c r="D26" s="3" t="n">
        <v>10444291000</v>
      </c>
      <c r="E26" s="3" t="n">
        <v>13133211000</v>
      </c>
      <c r="F26" s="3" t="n"/>
    </row>
    <row r="27">
      <c r="A27" t="inlineStr">
        <is>
          <t>Non Current Deferred Taxes Liabilities</t>
        </is>
      </c>
      <c r="B27" s="3" t="n">
        <v>1634966000</v>
      </c>
      <c r="C27" s="3" t="n">
        <v>1454349000</v>
      </c>
      <c r="D27" s="3" t="n">
        <v>1052730000</v>
      </c>
      <c r="E27" s="3" t="n">
        <v>604135000</v>
      </c>
      <c r="F27" s="3" t="n"/>
    </row>
    <row r="28">
      <c r="A28" t="inlineStr">
        <is>
          <t>Long Term Debt And Capital Lease Obligation</t>
        </is>
      </c>
      <c r="B28" s="3" t="n">
        <v>21182339000</v>
      </c>
      <c r="C28" s="3" t="n">
        <v>24410326000</v>
      </c>
      <c r="D28" s="3" t="n">
        <v>20197111000</v>
      </c>
      <c r="E28" s="3" t="n">
        <v>14329093000</v>
      </c>
      <c r="F28" s="3" t="n"/>
    </row>
    <row r="29">
      <c r="A29" t="inlineStr">
        <is>
          <t>Long Term Capital Lease Obligation</t>
        </is>
      </c>
      <c r="B29" s="3" t="n">
        <v>3322195000</v>
      </c>
      <c r="C29" s="3" t="n">
        <v>3426154000</v>
      </c>
      <c r="D29" s="3" t="n">
        <v>2213686000</v>
      </c>
      <c r="E29" s="3" t="n">
        <v>2341724000</v>
      </c>
      <c r="F29" s="3" t="n"/>
    </row>
    <row r="30">
      <c r="A30" t="inlineStr">
        <is>
          <t>Long Term Debt</t>
        </is>
      </c>
      <c r="B30" s="3" t="n">
        <v>17860144000</v>
      </c>
      <c r="C30" s="3" t="n">
        <v>20984172000</v>
      </c>
      <c r="D30" s="3" t="n">
        <v>17983425000</v>
      </c>
      <c r="E30" s="3" t="n">
        <v>11987369000</v>
      </c>
      <c r="F30" s="3" t="n"/>
    </row>
    <row r="31">
      <c r="A31" t="inlineStr">
        <is>
          <t>Current Liabilities</t>
        </is>
      </c>
      <c r="B31" s="3" t="n">
        <v>51604245000</v>
      </c>
      <c r="C31" s="3" t="n">
        <v>21375242000</v>
      </c>
      <c r="D31" s="3" t="n">
        <v>20107223000</v>
      </c>
      <c r="E31" s="3" t="n">
        <v>21093478000</v>
      </c>
      <c r="F31" s="3" t="n"/>
    </row>
    <row r="32">
      <c r="A32" t="inlineStr">
        <is>
          <t>Other Current Liabilities</t>
        </is>
      </c>
      <c r="B32" s="3" t="n">
        <v>3430309000</v>
      </c>
      <c r="C32" s="3" t="n">
        <v>3626896000</v>
      </c>
      <c r="D32" s="3" t="n">
        <v>3704126000</v>
      </c>
      <c r="E32" s="3" t="n">
        <v>1917727000</v>
      </c>
      <c r="F32" s="3" t="n"/>
    </row>
    <row r="33">
      <c r="A33" t="inlineStr">
        <is>
          <t>Current Debt And Capital Lease Obligation</t>
        </is>
      </c>
      <c r="B33" s="3" t="n">
        <v>10756218000</v>
      </c>
      <c r="C33" s="3" t="n">
        <v>245456000</v>
      </c>
      <c r="D33" s="3" t="n">
        <v>224842000</v>
      </c>
      <c r="E33" s="3" t="n">
        <v>219137000</v>
      </c>
      <c r="F33" s="3" t="n"/>
    </row>
    <row r="34">
      <c r="A34" t="inlineStr">
        <is>
          <t>Current Capital Lease Obligation</t>
        </is>
      </c>
      <c r="B34" s="3" t="n">
        <v>236508000</v>
      </c>
      <c r="C34" s="3" t="n">
        <v>245456000</v>
      </c>
      <c r="D34" s="3" t="n">
        <v>224842000</v>
      </c>
      <c r="E34" s="3" t="n">
        <v>219137000</v>
      </c>
      <c r="F34" s="3" t="n"/>
    </row>
    <row r="35">
      <c r="A35" t="inlineStr">
        <is>
          <t>Current Debt</t>
        </is>
      </c>
      <c r="B35" s="3" t="n">
        <v>10519710000</v>
      </c>
      <c r="C35" s="3" t="n">
        <v>0</v>
      </c>
      <c r="D35" s="3" t="n"/>
      <c r="E35" s="3" t="n"/>
      <c r="F35" s="3" t="n">
        <v>0</v>
      </c>
    </row>
    <row r="36">
      <c r="A36" t="inlineStr">
        <is>
          <t>Pensionand Other Post Retirement Benefit Plans Current</t>
        </is>
      </c>
      <c r="B36" s="3" t="n">
        <v>2037429000</v>
      </c>
      <c r="C36" s="3" t="n">
        <v>1826283000</v>
      </c>
      <c r="D36" s="3" t="n">
        <v>1818740000</v>
      </c>
      <c r="E36" s="3" t="n">
        <v>3397775000</v>
      </c>
      <c r="F36" s="3" t="n"/>
    </row>
    <row r="37">
      <c r="A37" t="inlineStr">
        <is>
          <t>Payables</t>
        </is>
      </c>
      <c r="B37" s="3" t="n">
        <v>29351326000</v>
      </c>
      <c r="C37" s="3" t="n">
        <v>8450722000</v>
      </c>
      <c r="D37" s="3" t="n">
        <v>8191998000</v>
      </c>
      <c r="E37" s="3" t="n">
        <v>11440367000</v>
      </c>
      <c r="F37" s="3" t="n"/>
    </row>
    <row r="38">
      <c r="A38" t="inlineStr">
        <is>
          <t>Other Payable</t>
        </is>
      </c>
      <c r="B38" s="3" t="n">
        <v>26510259000</v>
      </c>
      <c r="C38" s="3" t="n">
        <v>5745941000</v>
      </c>
      <c r="D38" s="3" t="n">
        <v>5005353000</v>
      </c>
      <c r="E38" s="3" t="n">
        <v>7245204000</v>
      </c>
      <c r="F38" s="3" t="n"/>
    </row>
    <row r="39">
      <c r="A39" t="inlineStr">
        <is>
          <t>Total Tax Payable</t>
        </is>
      </c>
      <c r="B39" s="3" t="n">
        <v>1116863000</v>
      </c>
      <c r="C39" s="3" t="n">
        <v>1288527000</v>
      </c>
      <c r="D39" s="3" t="n">
        <v>2214455000</v>
      </c>
      <c r="E39" s="3" t="n">
        <v>2818351000</v>
      </c>
      <c r="F39" s="3" t="n"/>
    </row>
    <row r="40">
      <c r="A40" t="inlineStr">
        <is>
          <t>Accounts Payable</t>
        </is>
      </c>
      <c r="B40" s="3" t="n">
        <v>1724204000</v>
      </c>
      <c r="C40" s="3" t="n">
        <v>1416254000</v>
      </c>
      <c r="D40" s="3" t="n">
        <v>972190000</v>
      </c>
      <c r="E40" s="3" t="n">
        <v>1376812000</v>
      </c>
      <c r="F40" s="3" t="n"/>
    </row>
    <row r="41">
      <c r="A41" t="inlineStr">
        <is>
          <t>Total Assets</t>
        </is>
      </c>
      <c r="B41" s="3" t="n">
        <v>200468778000</v>
      </c>
      <c r="C41" s="3" t="n">
        <v>148705702000</v>
      </c>
      <c r="D41" s="3" t="n">
        <v>102450043000</v>
      </c>
      <c r="E41" s="3" t="n">
        <v>100939919000</v>
      </c>
      <c r="F41" s="3" t="n"/>
    </row>
    <row r="42">
      <c r="A42" t="inlineStr">
        <is>
          <t>Total Non Current Assets</t>
        </is>
      </c>
      <c r="B42" s="3" t="n">
        <v>133571572000</v>
      </c>
      <c r="C42" s="3" t="n">
        <v>62494523000</v>
      </c>
      <c r="D42" s="3" t="n">
        <v>52371388000</v>
      </c>
      <c r="E42" s="3" t="n">
        <v>54684432000</v>
      </c>
      <c r="F42" s="3" t="n"/>
    </row>
    <row r="43">
      <c r="A43" t="inlineStr">
        <is>
          <t>Other Non Current Assets</t>
        </is>
      </c>
      <c r="B43" s="3" t="n">
        <v>1312055000</v>
      </c>
      <c r="C43" s="3" t="n">
        <v>1493517000</v>
      </c>
      <c r="D43" s="3" t="n">
        <v>2000698000</v>
      </c>
      <c r="E43" s="3" t="n">
        <v>2216031000</v>
      </c>
      <c r="F43" s="3" t="n"/>
    </row>
    <row r="44">
      <c r="A44" t="inlineStr">
        <is>
          <t>Non Current Prepaid Assets</t>
        </is>
      </c>
      <c r="B44" s="3" t="n">
        <v>13752000</v>
      </c>
      <c r="C44" s="3" t="n">
        <v>5524000</v>
      </c>
      <c r="D44" s="3" t="n">
        <v>4262000</v>
      </c>
      <c r="E44" s="3" t="n">
        <v>4923000</v>
      </c>
      <c r="F44" s="3" t="n"/>
    </row>
    <row r="45">
      <c r="A45" t="inlineStr">
        <is>
          <t>Non Current Deferred Taxes Assets</t>
        </is>
      </c>
      <c r="B45" s="3" t="n">
        <v>2171645000</v>
      </c>
      <c r="C45" s="3" t="n">
        <v>2105565000</v>
      </c>
      <c r="D45" s="3" t="n">
        <v>1669814000</v>
      </c>
      <c r="E45" s="3" t="n">
        <v>890112000</v>
      </c>
      <c r="F45" s="3" t="n"/>
    </row>
    <row r="46">
      <c r="A46" t="inlineStr">
        <is>
          <t>Investmentin Financial Assets</t>
        </is>
      </c>
      <c r="B46" s="3" t="n">
        <v>6985258000</v>
      </c>
      <c r="C46" s="3" t="n">
        <v>4887296000</v>
      </c>
      <c r="D46" s="3" t="n">
        <v>8881966000</v>
      </c>
      <c r="E46" s="3" t="n">
        <v>9580372000</v>
      </c>
      <c r="F46" s="3" t="n"/>
    </row>
    <row r="47">
      <c r="A47" t="inlineStr">
        <is>
          <t>Available For Sale Securities</t>
        </is>
      </c>
      <c r="B47" s="3" t="n">
        <v>6985258000</v>
      </c>
      <c r="C47" s="3" t="n">
        <v>4887296000</v>
      </c>
      <c r="D47" s="3" t="n">
        <v>8881966000</v>
      </c>
      <c r="E47" s="3" t="n">
        <v>9580372000</v>
      </c>
      <c r="F47" s="3" t="n"/>
    </row>
    <row r="48">
      <c r="A48" t="inlineStr">
        <is>
          <t>Long Term Equity Investment</t>
        </is>
      </c>
      <c r="B48" s="3" t="n">
        <v>2435178000</v>
      </c>
      <c r="C48" s="3" t="n">
        <v>2561011000</v>
      </c>
      <c r="D48" s="3" t="n">
        <v>114836000</v>
      </c>
      <c r="E48" s="3" t="n">
        <v>217893000</v>
      </c>
      <c r="F48" s="3" t="n"/>
    </row>
    <row r="49">
      <c r="A49" t="inlineStr">
        <is>
          <t>Goodwill And Other Intangible Assets</t>
        </is>
      </c>
      <c r="B49" s="3" t="n">
        <v>3073006000</v>
      </c>
      <c r="C49" s="3" t="n">
        <v>3234620000</v>
      </c>
      <c r="D49" s="3" t="n">
        <v>265142000</v>
      </c>
      <c r="E49" s="3" t="n">
        <v>267914000</v>
      </c>
      <c r="F49" s="3" t="n"/>
    </row>
    <row r="50">
      <c r="A50" t="inlineStr">
        <is>
          <t>Net PPE</t>
        </is>
      </c>
      <c r="B50" s="3" t="n">
        <v>117580678000</v>
      </c>
      <c r="C50" s="3" t="n">
        <v>48206990000</v>
      </c>
      <c r="D50" s="3" t="n">
        <v>39434670000</v>
      </c>
      <c r="E50" s="3" t="n">
        <v>41507187000</v>
      </c>
      <c r="F50" s="3" t="n"/>
    </row>
    <row r="51">
      <c r="A51" t="inlineStr">
        <is>
          <t>Gross PPE</t>
        </is>
      </c>
      <c r="B51" s="3" t="n">
        <v>117580678000</v>
      </c>
      <c r="C51" s="3" t="n">
        <v>48206990000</v>
      </c>
      <c r="D51" s="3" t="n">
        <v>39434670000</v>
      </c>
      <c r="E51" s="3" t="n">
        <v>41507187000</v>
      </c>
      <c r="F51" s="3" t="n"/>
    </row>
    <row r="52">
      <c r="A52" t="inlineStr">
        <is>
          <t>Other Properties</t>
        </is>
      </c>
      <c r="B52" s="3" t="n">
        <v>117580678000</v>
      </c>
      <c r="C52" s="3" t="n">
        <v>48206990000</v>
      </c>
      <c r="D52" s="3" t="n">
        <v>39434670000</v>
      </c>
      <c r="E52" s="3" t="n">
        <v>41507187000</v>
      </c>
      <c r="F52" s="3" t="n"/>
    </row>
    <row r="53">
      <c r="A53" t="inlineStr">
        <is>
          <t>Current Assets</t>
        </is>
      </c>
      <c r="B53" s="3" t="n">
        <v>66897206000</v>
      </c>
      <c r="C53" s="3" t="n">
        <v>86211179000</v>
      </c>
      <c r="D53" s="3" t="n">
        <v>50078655000</v>
      </c>
      <c r="E53" s="3" t="n">
        <v>46255487000</v>
      </c>
      <c r="F53" s="3" t="n"/>
    </row>
    <row r="54">
      <c r="A54" t="inlineStr">
        <is>
          <t>Other Current Assets</t>
        </is>
      </c>
      <c r="B54" s="3" t="n">
        <v>208150000</v>
      </c>
      <c r="C54" s="3" t="n">
        <v>188088000</v>
      </c>
      <c r="D54" s="3" t="n">
        <v>124382000</v>
      </c>
      <c r="E54" s="3" t="n">
        <v>5112000</v>
      </c>
      <c r="F54" s="3" t="n"/>
    </row>
    <row r="55">
      <c r="A55" t="inlineStr">
        <is>
          <t>Hedging Assets Current</t>
        </is>
      </c>
      <c r="B55" s="3" t="n">
        <v>558833000</v>
      </c>
      <c r="C55" s="3" t="n">
        <v>2875507000</v>
      </c>
      <c r="D55" s="3" t="n">
        <v>2143633000</v>
      </c>
      <c r="E55" s="3" t="n">
        <v>2189408000</v>
      </c>
      <c r="F55" s="3" t="n"/>
    </row>
    <row r="56">
      <c r="A56" t="inlineStr">
        <is>
          <t>Prepaid Assets</t>
        </is>
      </c>
      <c r="B56" s="3" t="n">
        <v>2590676000</v>
      </c>
      <c r="C56" s="3" t="n">
        <v>697918000</v>
      </c>
      <c r="D56" s="3" t="n">
        <v>208025000</v>
      </c>
      <c r="E56" s="3" t="n">
        <v>161534000</v>
      </c>
      <c r="F56" s="3" t="n"/>
    </row>
    <row r="57">
      <c r="A57" t="inlineStr">
        <is>
          <t>Inventory</t>
        </is>
      </c>
      <c r="B57" s="3" t="n">
        <v>6936952000</v>
      </c>
      <c r="C57" s="3" t="n">
        <v>6220568000</v>
      </c>
      <c r="D57" s="3" t="n">
        <v>5672104000</v>
      </c>
      <c r="E57" s="3" t="n">
        <v>5880152000</v>
      </c>
      <c r="F57" s="3" t="n"/>
    </row>
    <row r="58">
      <c r="A58" t="inlineStr">
        <is>
          <t>Other Receivables</t>
        </is>
      </c>
      <c r="B58" s="3" t="n">
        <v>8696781000</v>
      </c>
      <c r="C58" s="3" t="n">
        <v>6120742000</v>
      </c>
      <c r="D58" s="3" t="n">
        <v>501684000</v>
      </c>
      <c r="E58" s="3" t="n">
        <v>403883000</v>
      </c>
      <c r="F58" s="3" t="n"/>
    </row>
    <row r="59">
      <c r="A59" t="inlineStr">
        <is>
          <t>Accounts Receivable</t>
        </is>
      </c>
      <c r="B59" s="3" t="n">
        <v>6748170000</v>
      </c>
      <c r="C59" s="3" t="n">
        <v>6234850000</v>
      </c>
      <c r="D59" s="3" t="n">
        <v>5522589000</v>
      </c>
      <c r="E59" s="3" t="n">
        <v>4961993000</v>
      </c>
      <c r="F59" s="3" t="n"/>
    </row>
    <row r="60">
      <c r="A60" t="inlineStr">
        <is>
          <t>Gross Accounts Receivable</t>
        </is>
      </c>
      <c r="B60" s="3" t="n">
        <v>6748170000</v>
      </c>
      <c r="C60" s="3" t="n">
        <v>6234850000</v>
      </c>
      <c r="D60" s="3" t="n">
        <v>5522589000</v>
      </c>
      <c r="E60" s="3" t="n">
        <v>4961993000</v>
      </c>
      <c r="F60" s="3" t="n"/>
    </row>
    <row r="61">
      <c r="A61" t="inlineStr">
        <is>
          <t>Cash Cash Equivalents And Short Term Investments</t>
        </is>
      </c>
      <c r="B61" s="3" t="n">
        <v>41157644000</v>
      </c>
      <c r="C61" s="3" t="n">
        <v>63873506000</v>
      </c>
      <c r="D61" s="3" t="n">
        <v>35906238000</v>
      </c>
      <c r="E61" s="3" t="n">
        <v>32653405000</v>
      </c>
      <c r="F61" s="3" t="n"/>
    </row>
    <row r="62">
      <c r="A62" t="inlineStr">
        <is>
          <t>Other Short Term Investments</t>
        </is>
      </c>
      <c r="B62" s="3" t="n">
        <v>2081504000</v>
      </c>
      <c r="C62" s="3" t="n">
        <v>6053801000</v>
      </c>
      <c r="D62" s="3" t="n">
        <v>8207429000</v>
      </c>
      <c r="E62" s="3" t="n">
        <v>3985530000</v>
      </c>
      <c r="F62" s="3" t="n"/>
    </row>
    <row r="63">
      <c r="A63" t="inlineStr">
        <is>
          <t>Cash And Cash Equivalents</t>
        </is>
      </c>
      <c r="B63" s="3" t="n">
        <v>39076140000</v>
      </c>
      <c r="C63" s="3" t="n">
        <v>57819705000</v>
      </c>
      <c r="D63" s="3" t="n">
        <v>27698809000</v>
      </c>
      <c r="E63" s="3" t="n">
        <v>28667875000</v>
      </c>
      <c r="F63" s="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2025-06-30</t>
        </is>
      </c>
      <c r="D1" s="1" t="inlineStr">
        <is>
          <t>2025-03-31</t>
        </is>
      </c>
      <c r="E1" s="1" t="inlineStr">
        <is>
          <t>2024-12-31</t>
        </is>
      </c>
    </row>
    <row r="2">
      <c r="A2" t="inlineStr">
        <is>
          <t>Ordinary Shares Number</t>
        </is>
      </c>
      <c r="B2" s="3" t="n">
        <v>1867392000</v>
      </c>
      <c r="C2" s="3" t="n">
        <v>1867392000</v>
      </c>
      <c r="D2" s="3" t="n">
        <v>1866540000</v>
      </c>
      <c r="E2" s="3" t="n">
        <v>1866647000</v>
      </c>
    </row>
    <row r="3">
      <c r="A3" t="inlineStr">
        <is>
          <t>Share Issued</t>
        </is>
      </c>
      <c r="B3" s="3" t="n">
        <v>1867392000</v>
      </c>
      <c r="C3" s="3" t="n">
        <v>1867392000</v>
      </c>
      <c r="D3" s="3" t="n">
        <v>1866540000</v>
      </c>
      <c r="E3" s="3" t="n">
        <v>1866647000</v>
      </c>
    </row>
    <row r="4">
      <c r="A4" t="inlineStr">
        <is>
          <t>Total Debt</t>
        </is>
      </c>
      <c r="B4" s="3" t="n">
        <v>31938557000</v>
      </c>
      <c r="C4" s="3" t="n">
        <v>27799260000</v>
      </c>
      <c r="D4" s="3" t="n">
        <v>24776685000</v>
      </c>
      <c r="E4" s="3" t="n">
        <v>24655782000</v>
      </c>
    </row>
    <row r="5">
      <c r="A5" t="inlineStr">
        <is>
          <t>Tangible Book Value</t>
        </is>
      </c>
      <c r="B5" s="3" t="n">
        <v>60803760000</v>
      </c>
      <c r="C5" s="3" t="n">
        <v>55090562000</v>
      </c>
      <c r="D5" s="3" t="n">
        <v>63508848000</v>
      </c>
      <c r="E5" s="3" t="n">
        <v>60869806000</v>
      </c>
    </row>
    <row r="6">
      <c r="A6" t="inlineStr">
        <is>
          <t>Invested Capital</t>
        </is>
      </c>
      <c r="B6" s="3" t="n">
        <v>92256620000</v>
      </c>
      <c r="C6" s="3" t="n">
        <v>82269511000</v>
      </c>
      <c r="D6" s="3" t="n">
        <v>87847528000</v>
      </c>
      <c r="E6" s="3" t="n">
        <v>85088598000</v>
      </c>
    </row>
    <row r="7">
      <c r="A7" t="inlineStr">
        <is>
          <t>Working Capital</t>
        </is>
      </c>
      <c r="B7" s="3" t="n">
        <v>15292961000</v>
      </c>
      <c r="C7" s="3" t="n">
        <v>41278675000</v>
      </c>
      <c r="D7" s="3" t="n">
        <v>57953650000</v>
      </c>
      <c r="E7" s="3" t="n">
        <v>64835937000</v>
      </c>
    </row>
    <row r="8">
      <c r="A8" t="inlineStr">
        <is>
          <t>Net Tangible Assets</t>
        </is>
      </c>
      <c r="B8" s="3" t="n">
        <v>60803760000</v>
      </c>
      <c r="C8" s="3" t="n">
        <v>55090562000</v>
      </c>
      <c r="D8" s="3" t="n">
        <v>63508848000</v>
      </c>
      <c r="E8" s="3" t="n">
        <v>60869806000</v>
      </c>
    </row>
    <row r="9">
      <c r="A9" t="inlineStr">
        <is>
          <t>Capital Lease Obligations</t>
        </is>
      </c>
      <c r="B9" s="3" t="n">
        <v>3558703000</v>
      </c>
      <c r="C9" s="3" t="n">
        <v>3470492000</v>
      </c>
      <c r="D9" s="3" t="n">
        <v>3691522000</v>
      </c>
      <c r="E9" s="3" t="n">
        <v>3671610000</v>
      </c>
    </row>
    <row r="10">
      <c r="A10" t="inlineStr">
        <is>
          <t>Common Stock Equity</t>
        </is>
      </c>
      <c r="B10" s="3" t="n">
        <v>63876766000</v>
      </c>
      <c r="C10" s="3" t="n">
        <v>57940743000</v>
      </c>
      <c r="D10" s="3" t="n">
        <v>66762365000</v>
      </c>
      <c r="E10" s="3" t="n">
        <v>64104426000</v>
      </c>
    </row>
    <row r="11">
      <c r="A11" t="inlineStr">
        <is>
          <t>Total Capitalization</t>
        </is>
      </c>
      <c r="B11" s="3" t="n">
        <v>81736910000</v>
      </c>
      <c r="C11" s="3" t="n">
        <v>79027122000</v>
      </c>
      <c r="D11" s="3" t="n">
        <v>87847528000</v>
      </c>
      <c r="E11" s="3" t="n">
        <v>85088598000</v>
      </c>
    </row>
    <row r="12">
      <c r="A12" t="inlineStr">
        <is>
          <t>Total Equity Gross Minority Interest</t>
        </is>
      </c>
      <c r="B12" s="3" t="n">
        <v>83589527000</v>
      </c>
      <c r="C12" s="3" t="n">
        <v>64022306000</v>
      </c>
      <c r="D12" s="3" t="n">
        <v>72074442000</v>
      </c>
      <c r="E12" s="3" t="n">
        <v>68667025000</v>
      </c>
    </row>
    <row r="13">
      <c r="A13" t="inlineStr">
        <is>
          <t>Minority Interest</t>
        </is>
      </c>
      <c r="B13" s="3" t="n">
        <v>19712761000</v>
      </c>
      <c r="C13" s="3" t="n">
        <v>6081563000</v>
      </c>
      <c r="D13" s="3" t="n">
        <v>5312077000</v>
      </c>
      <c r="E13" s="3" t="n">
        <v>4562599000</v>
      </c>
    </row>
    <row r="14">
      <c r="A14" t="inlineStr">
        <is>
          <t>Stockholders Equity</t>
        </is>
      </c>
      <c r="B14" s="3" t="n">
        <v>63876766000</v>
      </c>
      <c r="C14" s="3" t="n">
        <v>57940743000</v>
      </c>
      <c r="D14" s="3" t="n">
        <v>66762365000</v>
      </c>
      <c r="E14" s="3" t="n">
        <v>64104426000</v>
      </c>
    </row>
    <row r="15">
      <c r="A15" t="inlineStr">
        <is>
          <t>Other Equity Interest</t>
        </is>
      </c>
      <c r="B15" s="3" t="n">
        <v>-912834000</v>
      </c>
      <c r="C15" s="3" t="n">
        <v>-3376037000</v>
      </c>
      <c r="D15" s="3" t="n">
        <v>-811336000</v>
      </c>
      <c r="E15" s="3" t="n">
        <v>-1036807000</v>
      </c>
    </row>
    <row r="16">
      <c r="A16" t="inlineStr">
        <is>
          <t>Retained Earnings</t>
        </is>
      </c>
      <c r="B16" s="3" t="n">
        <v>16615252000</v>
      </c>
      <c r="C16" s="3" t="n">
        <v>13189126000</v>
      </c>
      <c r="D16" s="3" t="n">
        <v>20240410000</v>
      </c>
      <c r="E16" s="3" t="n">
        <v>17826712000</v>
      </c>
    </row>
    <row r="17">
      <c r="A17" t="inlineStr">
        <is>
          <t>Additional Paid In Capital</t>
        </is>
      </c>
      <c r="B17" s="3" t="n">
        <v>19015223000</v>
      </c>
      <c r="C17" s="3" t="n">
        <v>18965387000</v>
      </c>
      <c r="D17" s="3" t="n">
        <v>18884925000</v>
      </c>
      <c r="E17" s="3" t="n">
        <v>18865089000</v>
      </c>
    </row>
    <row r="18">
      <c r="A18" t="inlineStr">
        <is>
          <t>Capital Stock</t>
        </is>
      </c>
      <c r="B18" s="3" t="n">
        <v>18670782000</v>
      </c>
      <c r="C18" s="3" t="n">
        <v>18673924000</v>
      </c>
      <c r="D18" s="3" t="n">
        <v>18665401000</v>
      </c>
      <c r="E18" s="3" t="n">
        <v>18666467000</v>
      </c>
    </row>
    <row r="19">
      <c r="A19" t="inlineStr">
        <is>
          <t>Common Stock</t>
        </is>
      </c>
      <c r="B19" s="3" t="n">
        <v>18670782000</v>
      </c>
      <c r="C19" s="3" t="n">
        <v>18673924000</v>
      </c>
      <c r="D19" s="3" t="n">
        <v>18665401000</v>
      </c>
      <c r="E19" s="3" t="n">
        <v>18666467000</v>
      </c>
    </row>
    <row r="20">
      <c r="A20" t="inlineStr">
        <is>
          <t>Total Liabilities Net Minority Interest</t>
        </is>
      </c>
      <c r="B20" s="3" t="n">
        <v>116879251000</v>
      </c>
      <c r="C20" s="3" t="n">
        <v>93070985000</v>
      </c>
      <c r="D20" s="3" t="n">
        <v>82354308000</v>
      </c>
      <c r="E20" s="3" t="n">
        <v>80038677000</v>
      </c>
    </row>
    <row r="21">
      <c r="A21" t="inlineStr">
        <is>
          <t>Total Non Current Liabilities Net Minority Interest</t>
        </is>
      </c>
      <c r="B21" s="3" t="n">
        <v>65275006000</v>
      </c>
      <c r="C21" s="3" t="n">
        <v>55247341000</v>
      </c>
      <c r="D21" s="3" t="n">
        <v>58381537000</v>
      </c>
      <c r="E21" s="3" t="n">
        <v>58663435000</v>
      </c>
    </row>
    <row r="22">
      <c r="A22" t="inlineStr">
        <is>
          <t>Other Non Current Liabilities</t>
        </is>
      </c>
      <c r="B22" s="3" t="n">
        <v>1368938000</v>
      </c>
      <c r="C22" s="3" t="n">
        <v>1770598000</v>
      </c>
      <c r="D22" s="3" t="n">
        <v>2377653000</v>
      </c>
      <c r="E22" s="3" t="n">
        <v>3074220000</v>
      </c>
    </row>
    <row r="23">
      <c r="A23" t="inlineStr">
        <is>
          <t>Non Current Pension And Other Postretirement Benefit Plans</t>
        </is>
      </c>
      <c r="B23" s="3" t="n">
        <v>202430000</v>
      </c>
      <c r="C23" s="3" t="n">
        <v>189166000</v>
      </c>
      <c r="D23" s="3" t="n">
        <v>189913000</v>
      </c>
      <c r="E23" s="3" t="n">
        <v>255863000</v>
      </c>
    </row>
    <row r="24">
      <c r="A24" t="inlineStr">
        <is>
          <t>Tradeand Other Payables Non Current</t>
        </is>
      </c>
      <c r="B24" s="3" t="n">
        <v>707490000</v>
      </c>
      <c r="C24" s="3" t="n">
        <v>1967895000</v>
      </c>
      <c r="D24" s="3" t="n">
        <v>2237490000</v>
      </c>
      <c r="E24" s="3" t="n">
        <v>2211840000</v>
      </c>
    </row>
    <row r="25">
      <c r="A25" t="inlineStr">
        <is>
          <t>Non Current Deferred Revenue</t>
        </is>
      </c>
      <c r="B25" s="3" t="n">
        <v>40178843000</v>
      </c>
      <c r="C25" s="3" t="n">
        <v>25441293000</v>
      </c>
      <c r="D25" s="3" t="n">
        <v>27512791000</v>
      </c>
      <c r="E25" s="3" t="n">
        <v>27256837000</v>
      </c>
    </row>
    <row r="26">
      <c r="A26" t="inlineStr">
        <is>
          <t>Non Current Deferred Taxes Liabilities</t>
        </is>
      </c>
      <c r="B26" s="3" t="n">
        <v>1634966000</v>
      </c>
      <c r="C26" s="3" t="n">
        <v>1550830000</v>
      </c>
      <c r="D26" s="3" t="n">
        <v>1526376000</v>
      </c>
      <c r="E26" s="3" t="n">
        <v>1454349000</v>
      </c>
    </row>
    <row r="27">
      <c r="A27" t="inlineStr">
        <is>
          <t>Long Term Debt And Capital Lease Obligation</t>
        </is>
      </c>
      <c r="B27" s="3" t="n">
        <v>21182339000</v>
      </c>
      <c r="C27" s="3" t="n">
        <v>24327559000</v>
      </c>
      <c r="D27" s="3" t="n">
        <v>24537314000</v>
      </c>
      <c r="E27" s="3" t="n">
        <v>24410326000</v>
      </c>
    </row>
    <row r="28">
      <c r="A28" t="inlineStr">
        <is>
          <t>Long Term Capital Lease Obligation</t>
        </is>
      </c>
      <c r="B28" s="3" t="n">
        <v>3322195000</v>
      </c>
      <c r="C28" s="3" t="n">
        <v>3241180000</v>
      </c>
      <c r="D28" s="3" t="n">
        <v>3452151000</v>
      </c>
      <c r="E28" s="3" t="n">
        <v>3426154000</v>
      </c>
    </row>
    <row r="29">
      <c r="A29" t="inlineStr">
        <is>
          <t>Long Term Debt</t>
        </is>
      </c>
      <c r="B29" s="3" t="n">
        <v>17860144000</v>
      </c>
      <c r="C29" s="3" t="n">
        <v>21086379000</v>
      </c>
      <c r="D29" s="3" t="n">
        <v>21085163000</v>
      </c>
      <c r="E29" s="3" t="n">
        <v>20984172000</v>
      </c>
    </row>
    <row r="30">
      <c r="A30" t="inlineStr">
        <is>
          <t>Current Liabilities</t>
        </is>
      </c>
      <c r="B30" s="3" t="n">
        <v>51604245000</v>
      </c>
      <c r="C30" s="3" t="n">
        <v>37823644000</v>
      </c>
      <c r="D30" s="3" t="n">
        <v>23972771000</v>
      </c>
      <c r="E30" s="3" t="n">
        <v>21375242000</v>
      </c>
    </row>
    <row r="31">
      <c r="A31" t="inlineStr">
        <is>
          <t>Other Current Liabilities</t>
        </is>
      </c>
      <c r="B31" s="3" t="n">
        <v>3430309000</v>
      </c>
      <c r="C31" s="3" t="n">
        <v>3813801000</v>
      </c>
      <c r="D31" s="3" t="n">
        <v>3938526000</v>
      </c>
      <c r="E31" s="3" t="n">
        <v>3626896000</v>
      </c>
    </row>
    <row r="32">
      <c r="A32" t="inlineStr">
        <is>
          <t>Current Debt And Capital Lease Obligation</t>
        </is>
      </c>
      <c r="B32" s="3" t="n">
        <v>10756218000</v>
      </c>
      <c r="C32" s="3" t="n">
        <v>3471701000</v>
      </c>
      <c r="D32" s="3" t="n">
        <v>239371000</v>
      </c>
      <c r="E32" s="3" t="n">
        <v>245456000</v>
      </c>
    </row>
    <row r="33">
      <c r="A33" t="inlineStr">
        <is>
          <t>Current Capital Lease Obligation</t>
        </is>
      </c>
      <c r="B33" s="3" t="n">
        <v>236508000</v>
      </c>
      <c r="C33" s="3" t="n">
        <v>229312000</v>
      </c>
      <c r="D33" s="3" t="n">
        <v>239371000</v>
      </c>
      <c r="E33" s="3" t="n">
        <v>245456000</v>
      </c>
    </row>
    <row r="34">
      <c r="A34" t="inlineStr">
        <is>
          <t>Current Debt</t>
        </is>
      </c>
      <c r="B34" s="3" t="n">
        <v>10519710000</v>
      </c>
      <c r="C34" s="3" t="n">
        <v>3242389000</v>
      </c>
      <c r="D34" s="3" t="n"/>
      <c r="E34" s="3" t="n">
        <v>0</v>
      </c>
    </row>
    <row r="35">
      <c r="A35" t="inlineStr">
        <is>
          <t>Pensionand Other Post Retirement Benefit Plans Current</t>
        </is>
      </c>
      <c r="B35" s="3" t="n">
        <v>2037429000</v>
      </c>
      <c r="C35" s="3" t="n">
        <v>2579783000</v>
      </c>
      <c r="D35" s="3" t="n">
        <v>2222932000</v>
      </c>
      <c r="E35" s="3" t="n">
        <v>1826283000</v>
      </c>
    </row>
    <row r="36">
      <c r="A36" t="inlineStr">
        <is>
          <t>Payables</t>
        </is>
      </c>
      <c r="B36" s="3" t="n">
        <v>29351326000</v>
      </c>
      <c r="C36" s="3" t="n">
        <v>21031601000</v>
      </c>
      <c r="D36" s="3" t="n">
        <v>9816925000</v>
      </c>
      <c r="E36" s="3" t="n">
        <v>8450722000</v>
      </c>
    </row>
    <row r="37">
      <c r="A37" t="inlineStr">
        <is>
          <t>Other Payable</t>
        </is>
      </c>
      <c r="B37" s="3" t="n">
        <v>26510259000</v>
      </c>
      <c r="C37" s="3" t="n">
        <v>10167489000</v>
      </c>
      <c r="D37" s="3" t="n">
        <v>6935794000</v>
      </c>
      <c r="E37" s="3" t="n">
        <v>5745941000</v>
      </c>
    </row>
    <row r="38">
      <c r="A38" t="inlineStr">
        <is>
          <t>Dividends Payable</t>
        </is>
      </c>
      <c r="B38" s="3" t="n"/>
      <c r="C38" s="3" t="n">
        <v>8399910000</v>
      </c>
      <c r="D38" s="3" t="n"/>
      <c r="E38" s="3" t="n"/>
    </row>
    <row r="39">
      <c r="A39" t="inlineStr">
        <is>
          <t>Total Tax Payable</t>
        </is>
      </c>
      <c r="B39" s="3" t="n">
        <v>1116863000</v>
      </c>
      <c r="C39" s="3" t="n">
        <v>1161624000</v>
      </c>
      <c r="D39" s="3" t="n">
        <v>1563057000</v>
      </c>
      <c r="E39" s="3" t="n">
        <v>1288527000</v>
      </c>
    </row>
    <row r="40">
      <c r="A40" t="inlineStr">
        <is>
          <t>Accounts Payable</t>
        </is>
      </c>
      <c r="B40" s="3" t="n">
        <v>1724204000</v>
      </c>
      <c r="C40" s="3" t="n">
        <v>1302578000</v>
      </c>
      <c r="D40" s="3" t="n">
        <v>1318074000</v>
      </c>
      <c r="E40" s="3" t="n">
        <v>1416254000</v>
      </c>
    </row>
    <row r="41">
      <c r="A41" t="inlineStr">
        <is>
          <t>Total Assets</t>
        </is>
      </c>
      <c r="B41" s="3" t="n">
        <v>200468778000</v>
      </c>
      <c r="C41" s="3" t="n">
        <v>157093291000</v>
      </c>
      <c r="D41" s="3" t="n">
        <v>154428750000</v>
      </c>
      <c r="E41" s="3" t="n">
        <v>148705702000</v>
      </c>
    </row>
    <row r="42">
      <c r="A42" t="inlineStr">
        <is>
          <t>Total Non Current Assets</t>
        </is>
      </c>
      <c r="B42" s="3" t="n">
        <v>133571572000</v>
      </c>
      <c r="C42" s="3" t="n">
        <v>77990972000</v>
      </c>
      <c r="D42" s="3" t="n">
        <v>72502329000</v>
      </c>
      <c r="E42" s="3" t="n">
        <v>62494523000</v>
      </c>
    </row>
    <row r="43">
      <c r="A43" t="inlineStr">
        <is>
          <t>Other Non Current Assets</t>
        </is>
      </c>
      <c r="B43" s="3" t="n">
        <v>1312055000</v>
      </c>
      <c r="C43" s="3" t="n">
        <v>1442175000</v>
      </c>
      <c r="D43" s="3" t="n">
        <v>1498999000</v>
      </c>
      <c r="E43" s="3" t="n">
        <v>1493517000</v>
      </c>
    </row>
    <row r="44">
      <c r="A44" t="inlineStr">
        <is>
          <t>Non Current Prepaid Assets</t>
        </is>
      </c>
      <c r="B44" s="3" t="n">
        <v>13752000</v>
      </c>
      <c r="C44" s="3" t="n">
        <v>10068000</v>
      </c>
      <c r="D44" s="3" t="n">
        <v>7203000</v>
      </c>
      <c r="E44" s="3" t="n">
        <v>5524000</v>
      </c>
    </row>
    <row r="45">
      <c r="A45" t="inlineStr">
        <is>
          <t>Non Current Deferred Taxes Assets</t>
        </is>
      </c>
      <c r="B45" s="3" t="n">
        <v>2171645000</v>
      </c>
      <c r="C45" s="3" t="n">
        <v>1932523000</v>
      </c>
      <c r="D45" s="3" t="n">
        <v>2258246000</v>
      </c>
      <c r="E45" s="3" t="n">
        <v>2105565000</v>
      </c>
    </row>
    <row r="46">
      <c r="A46" t="inlineStr">
        <is>
          <t>Investmentin Financial Assets</t>
        </is>
      </c>
      <c r="B46" s="3" t="n">
        <v>6985258000</v>
      </c>
      <c r="C46" s="3" t="n">
        <v>5321857000</v>
      </c>
      <c r="D46" s="3" t="n">
        <v>4927612000</v>
      </c>
      <c r="E46" s="3" t="n">
        <v>4887296000</v>
      </c>
    </row>
    <row r="47">
      <c r="A47" t="inlineStr">
        <is>
          <t>Available For Sale Securities</t>
        </is>
      </c>
      <c r="B47" s="3" t="n">
        <v>6985258000</v>
      </c>
      <c r="C47" s="3" t="n">
        <v>5321857000</v>
      </c>
      <c r="D47" s="3" t="n">
        <v>4927612000</v>
      </c>
      <c r="E47" s="3" t="n">
        <v>4887296000</v>
      </c>
    </row>
    <row r="48">
      <c r="A48" t="inlineStr">
        <is>
          <t>Long Term Equity Investment</t>
        </is>
      </c>
      <c r="B48" s="3" t="n">
        <v>2435178000</v>
      </c>
      <c r="C48" s="3" t="n">
        <v>2491482000</v>
      </c>
      <c r="D48" s="3" t="n">
        <v>2542240000</v>
      </c>
      <c r="E48" s="3" t="n">
        <v>2561011000</v>
      </c>
    </row>
    <row r="49">
      <c r="A49" t="inlineStr">
        <is>
          <t>Goodwill And Other Intangible Assets</t>
        </is>
      </c>
      <c r="B49" s="3" t="n">
        <v>3073006000</v>
      </c>
      <c r="C49" s="3" t="n">
        <v>2850181000</v>
      </c>
      <c r="D49" s="3" t="n">
        <v>3253517000</v>
      </c>
      <c r="E49" s="3" t="n">
        <v>3234620000</v>
      </c>
    </row>
    <row r="50">
      <c r="A50" t="inlineStr">
        <is>
          <t>Net PPE</t>
        </is>
      </c>
      <c r="B50" s="3" t="n">
        <v>117580678000</v>
      </c>
      <c r="C50" s="3" t="n">
        <v>63942686000</v>
      </c>
      <c r="D50" s="3" t="n">
        <v>58014512000</v>
      </c>
      <c r="E50" s="3" t="n">
        <v>48206990000</v>
      </c>
    </row>
    <row r="51">
      <c r="A51" t="inlineStr">
        <is>
          <t>Gross PPE</t>
        </is>
      </c>
      <c r="B51" s="3" t="n">
        <v>117580678000</v>
      </c>
      <c r="C51" s="3" t="n">
        <v>63942686000</v>
      </c>
      <c r="D51" s="3" t="n">
        <v>58014512000</v>
      </c>
      <c r="E51" s="3" t="n">
        <v>48206990000</v>
      </c>
    </row>
    <row r="52">
      <c r="A52" t="inlineStr">
        <is>
          <t>Other Properties</t>
        </is>
      </c>
      <c r="B52" s="3" t="n">
        <v>117580678000</v>
      </c>
      <c r="C52" s="3" t="n">
        <v>63942686000</v>
      </c>
      <c r="D52" s="3" t="n">
        <v>58014512000</v>
      </c>
      <c r="E52" s="3" t="n">
        <v>48206990000</v>
      </c>
    </row>
    <row r="53">
      <c r="A53" t="inlineStr">
        <is>
          <t>Current Assets</t>
        </is>
      </c>
      <c r="B53" s="3" t="n">
        <v>66897206000</v>
      </c>
      <c r="C53" s="3" t="n">
        <v>79102319000</v>
      </c>
      <c r="D53" s="3" t="n">
        <v>81926421000</v>
      </c>
      <c r="E53" s="3" t="n">
        <v>86211179000</v>
      </c>
    </row>
    <row r="54">
      <c r="A54" t="inlineStr">
        <is>
          <t>Other Current Assets</t>
        </is>
      </c>
      <c r="B54" s="3" t="n">
        <v>208150000</v>
      </c>
      <c r="C54" s="3" t="n">
        <v>159632000</v>
      </c>
      <c r="D54" s="3" t="n">
        <v>179589000</v>
      </c>
      <c r="E54" s="3" t="n">
        <v>188088000</v>
      </c>
    </row>
    <row r="55">
      <c r="A55" t="inlineStr">
        <is>
          <t>Hedging Assets Current</t>
        </is>
      </c>
      <c r="B55" s="3" t="n">
        <v>558833000</v>
      </c>
      <c r="C55" s="3" t="n">
        <v>344382000</v>
      </c>
      <c r="D55" s="3" t="n">
        <v>2750124000</v>
      </c>
      <c r="E55" s="3" t="n">
        <v>2875507000</v>
      </c>
    </row>
    <row r="56">
      <c r="A56" t="inlineStr">
        <is>
          <t>Prepaid Assets</t>
        </is>
      </c>
      <c r="B56" s="3" t="n">
        <v>2590676000</v>
      </c>
      <c r="C56" s="3" t="n">
        <v>733133000</v>
      </c>
      <c r="D56" s="3" t="n">
        <v>892053000</v>
      </c>
      <c r="E56" s="3" t="n">
        <v>697918000</v>
      </c>
    </row>
    <row r="57">
      <c r="A57" t="inlineStr">
        <is>
          <t>Inventory</t>
        </is>
      </c>
      <c r="B57" s="3" t="n">
        <v>6936952000</v>
      </c>
      <c r="C57" s="3" t="n">
        <v>6408910000</v>
      </c>
      <c r="D57" s="3" t="n">
        <v>6135257000</v>
      </c>
      <c r="E57" s="3" t="n">
        <v>6220568000</v>
      </c>
    </row>
    <row r="58">
      <c r="A58" t="inlineStr">
        <is>
          <t>Other Receivables</t>
        </is>
      </c>
      <c r="B58" s="3" t="n">
        <v>8696781000</v>
      </c>
      <c r="C58" s="3" t="n">
        <v>4476654000</v>
      </c>
      <c r="D58" s="3" t="n">
        <v>2842881000</v>
      </c>
      <c r="E58" s="3" t="n">
        <v>6120742000</v>
      </c>
    </row>
    <row r="59">
      <c r="A59" t="inlineStr">
        <is>
          <t>Accounts Receivable</t>
        </is>
      </c>
      <c r="B59" s="3" t="n">
        <v>6748170000</v>
      </c>
      <c r="C59" s="3" t="n">
        <v>6420855000</v>
      </c>
      <c r="D59" s="3" t="n">
        <v>6965761000</v>
      </c>
      <c r="E59" s="3" t="n">
        <v>6234850000</v>
      </c>
    </row>
    <row r="60">
      <c r="A60" t="inlineStr">
        <is>
          <t>Gross Accounts Receivable</t>
        </is>
      </c>
      <c r="B60" s="3" t="n">
        <v>6748170000</v>
      </c>
      <c r="C60" s="3" t="n">
        <v>6420855000</v>
      </c>
      <c r="D60" s="3" t="n">
        <v>6965761000</v>
      </c>
      <c r="E60" s="3" t="n">
        <v>6234850000</v>
      </c>
    </row>
    <row r="61">
      <c r="A61" t="inlineStr">
        <is>
          <t>Cash Cash Equivalents And Short Term Investments</t>
        </is>
      </c>
      <c r="B61" s="3" t="n">
        <v>41157644000</v>
      </c>
      <c r="C61" s="3" t="n">
        <v>60558753000</v>
      </c>
      <c r="D61" s="3" t="n">
        <v>62160756000</v>
      </c>
      <c r="E61" s="3" t="n">
        <v>63873506000</v>
      </c>
    </row>
    <row r="62">
      <c r="A62" t="inlineStr">
        <is>
          <t>Other Short Term Investments</t>
        </is>
      </c>
      <c r="B62" s="3" t="n">
        <v>2081504000</v>
      </c>
      <c r="C62" s="3" t="n">
        <v>3123874000</v>
      </c>
      <c r="D62" s="3" t="n">
        <v>5123562000</v>
      </c>
      <c r="E62" s="3" t="n">
        <v>6053801000</v>
      </c>
    </row>
    <row r="63">
      <c r="A63" t="inlineStr">
        <is>
          <t>Cash And Cash Equivalents</t>
        </is>
      </c>
      <c r="B63" s="3" t="n">
        <v>39076140000</v>
      </c>
      <c r="C63" s="3" t="n">
        <v>57434879000</v>
      </c>
      <c r="D63" s="3" t="n">
        <v>57037194000</v>
      </c>
      <c r="E63" s="3" t="n">
        <v>57819705000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Free Cash Flow</t>
        </is>
      </c>
      <c r="B2" s="3" t="n">
        <v>-38538803000</v>
      </c>
      <c r="C2" s="3" t="n">
        <v>8778130000</v>
      </c>
      <c r="D2" s="3" t="n">
        <v>1731417000</v>
      </c>
      <c r="E2" s="3" t="n">
        <v>15062774000</v>
      </c>
      <c r="F2" s="3" t="n"/>
    </row>
    <row r="3">
      <c r="A3" t="inlineStr">
        <is>
          <t>Repayment Of Debt</t>
        </is>
      </c>
      <c r="B3" s="3" t="n"/>
      <c r="C3" s="3" t="n"/>
      <c r="D3" s="3" t="n"/>
      <c r="E3" s="3" t="n">
        <v>0</v>
      </c>
      <c r="F3" s="3" t="n">
        <v>-2274504000</v>
      </c>
    </row>
    <row r="4">
      <c r="A4" t="inlineStr">
        <is>
          <t>Issuance Of Debt</t>
        </is>
      </c>
      <c r="B4" s="3" t="n">
        <v>7518636000</v>
      </c>
      <c r="C4" s="3" t="n">
        <v>3000000000</v>
      </c>
      <c r="D4" s="3" t="n">
        <v>6000000000</v>
      </c>
      <c r="E4" s="3" t="n">
        <v>7000000000</v>
      </c>
      <c r="F4" s="3" t="n"/>
    </row>
    <row r="5">
      <c r="A5" t="inlineStr">
        <is>
          <t>Issuance Of Capital Stock</t>
        </is>
      </c>
      <c r="B5" s="3" t="n">
        <v>0</v>
      </c>
      <c r="C5" s="3" t="n">
        <v>17600000000</v>
      </c>
      <c r="D5" s="3" t="n">
        <v>0</v>
      </c>
      <c r="E5" s="3" t="n"/>
      <c r="F5" s="3" t="n"/>
    </row>
    <row r="6">
      <c r="A6" t="inlineStr">
        <is>
          <t>Capital Expenditure</t>
        </is>
      </c>
      <c r="B6" s="3" t="n">
        <v>-63978031000</v>
      </c>
      <c r="C6" s="3" t="n">
        <v>-15952931000</v>
      </c>
      <c r="D6" s="3" t="n">
        <v>-6900092000</v>
      </c>
      <c r="E6" s="3" t="n">
        <v>-18863822000</v>
      </c>
      <c r="F6" s="3" t="n"/>
    </row>
    <row r="7">
      <c r="A7" t="inlineStr">
        <is>
          <t>End Cash Position</t>
        </is>
      </c>
      <c r="B7" s="3" t="n">
        <v>39634973000</v>
      </c>
      <c r="C7" s="3" t="n">
        <v>60695212000</v>
      </c>
      <c r="D7" s="3" t="n">
        <v>29842442000</v>
      </c>
      <c r="E7" s="3" t="n">
        <v>30857283000</v>
      </c>
      <c r="F7" s="3" t="n"/>
    </row>
    <row r="8">
      <c r="A8" t="inlineStr">
        <is>
          <t>Beginning Cash Position</t>
        </is>
      </c>
      <c r="B8" s="3" t="n">
        <v>60695212000</v>
      </c>
      <c r="C8" s="3" t="n">
        <v>29842442000</v>
      </c>
      <c r="D8" s="3" t="n">
        <v>30857283000</v>
      </c>
      <c r="E8" s="3" t="n">
        <v>16386567000</v>
      </c>
      <c r="F8" s="3" t="n"/>
    </row>
    <row r="9">
      <c r="A9" t="inlineStr">
        <is>
          <t>Effect Of Exchange Rate Changes</t>
        </is>
      </c>
      <c r="B9" s="3" t="n">
        <v>-248515000</v>
      </c>
      <c r="C9" s="3" t="n">
        <v>290509000</v>
      </c>
      <c r="D9" s="3" t="n">
        <v>72176000</v>
      </c>
      <c r="E9" s="3" t="n">
        <v>574900000</v>
      </c>
      <c r="F9" s="3" t="n"/>
    </row>
    <row r="10">
      <c r="A10" t="inlineStr">
        <is>
          <t>Changes In Cash</t>
        </is>
      </c>
      <c r="B10" s="3" t="n">
        <v>-20811724000</v>
      </c>
      <c r="C10" s="3" t="n">
        <v>30562261000</v>
      </c>
      <c r="D10" s="3" t="n">
        <v>-1087017000</v>
      </c>
      <c r="E10" s="3" t="n">
        <v>13895816000</v>
      </c>
      <c r="F10" s="3" t="n"/>
    </row>
    <row r="11">
      <c r="A11" t="inlineStr">
        <is>
          <t>Financing Cash Flow</t>
        </is>
      </c>
      <c r="B11" s="3" t="n">
        <v>13459626000</v>
      </c>
      <c r="C11" s="3" t="n">
        <v>17529718000</v>
      </c>
      <c r="D11" s="3" t="n">
        <v>-1358684000</v>
      </c>
      <c r="E11" s="3" t="n">
        <v>4172793000</v>
      </c>
      <c r="F11" s="3" t="n"/>
    </row>
    <row r="12">
      <c r="A12" t="inlineStr">
        <is>
          <t>Net Other Financing Charges</t>
        </is>
      </c>
      <c r="B12" s="3" t="n">
        <v>14651799000</v>
      </c>
      <c r="C12" s="3" t="n">
        <v>4524069000</v>
      </c>
      <c r="D12" s="3" t="n">
        <v>237881000</v>
      </c>
      <c r="E12" s="3" t="n">
        <v>4781289000</v>
      </c>
      <c r="F12" s="3" t="n"/>
    </row>
    <row r="13">
      <c r="A13" t="inlineStr">
        <is>
          <t>Cash Dividends Paid</t>
        </is>
      </c>
      <c r="B13" s="3" t="n">
        <v>-8399910000</v>
      </c>
      <c r="C13" s="3" t="n">
        <v>-7375420000</v>
      </c>
      <c r="D13" s="3" t="n">
        <v>-7375420000</v>
      </c>
      <c r="E13" s="3" t="n">
        <v>-7375420000</v>
      </c>
      <c r="F13" s="3" t="n"/>
    </row>
    <row r="14">
      <c r="A14" t="inlineStr">
        <is>
          <t>Net Common Stock Issuance</t>
        </is>
      </c>
      <c r="B14" s="3" t="n">
        <v>0</v>
      </c>
      <c r="C14" s="3" t="n">
        <v>17600000000</v>
      </c>
      <c r="D14" s="3" t="n">
        <v>0</v>
      </c>
      <c r="E14" s="3" t="n"/>
      <c r="F14" s="3" t="n"/>
    </row>
    <row r="15">
      <c r="A15" t="inlineStr">
        <is>
          <t>Common Stock Issuance</t>
        </is>
      </c>
      <c r="B15" s="3" t="n">
        <v>0</v>
      </c>
      <c r="C15" s="3" t="n">
        <v>17600000000</v>
      </c>
      <c r="D15" s="3" t="n">
        <v>0</v>
      </c>
      <c r="E15" s="3" t="n"/>
      <c r="F15" s="3" t="n"/>
    </row>
    <row r="16">
      <c r="A16" t="inlineStr">
        <is>
          <t>Net Issuance Payments Of Debt</t>
        </is>
      </c>
      <c r="B16" s="3" t="n">
        <v>7518636000</v>
      </c>
      <c r="C16" s="3" t="n">
        <v>3000000000</v>
      </c>
      <c r="D16" s="3" t="n">
        <v>6000000000</v>
      </c>
      <c r="E16" s="3" t="n">
        <v>7000000000</v>
      </c>
      <c r="F16" s="3" t="n"/>
    </row>
    <row r="17">
      <c r="A17" t="inlineStr">
        <is>
          <t>Net Short Term Debt Issuance</t>
        </is>
      </c>
      <c r="B17" s="3" t="n">
        <v>5518636000</v>
      </c>
      <c r="C17" s="3" t="n">
        <v>0</v>
      </c>
      <c r="D17" s="3" t="n"/>
      <c r="E17" s="3" t="n">
        <v>0</v>
      </c>
      <c r="F17" s="3" t="n">
        <v>-2274504000</v>
      </c>
    </row>
    <row r="18">
      <c r="A18" t="inlineStr">
        <is>
          <t>Short Term Debt Payments</t>
        </is>
      </c>
      <c r="B18" s="3" t="n"/>
      <c r="C18" s="3" t="n"/>
      <c r="D18" s="3" t="n"/>
      <c r="E18" s="3" t="n">
        <v>0</v>
      </c>
      <c r="F18" s="3" t="n">
        <v>-2274504000</v>
      </c>
    </row>
    <row r="19">
      <c r="A19" t="inlineStr">
        <is>
          <t>Short Term Debt Issuance</t>
        </is>
      </c>
      <c r="B19" s="3" t="n">
        <v>5518636000</v>
      </c>
      <c r="C19" s="3" t="n">
        <v>0</v>
      </c>
      <c r="D19" s="3" t="n"/>
      <c r="E19" s="3" t="n"/>
      <c r="F19" s="3" t="n"/>
    </row>
    <row r="20">
      <c r="A20" t="inlineStr">
        <is>
          <t>Net Long Term Debt Issuance</t>
        </is>
      </c>
      <c r="B20" s="3" t="n">
        <v>2000000000</v>
      </c>
      <c r="C20" s="3" t="n">
        <v>3000000000</v>
      </c>
      <c r="D20" s="3" t="n">
        <v>6000000000</v>
      </c>
      <c r="E20" s="3" t="n">
        <v>7000000000</v>
      </c>
      <c r="F20" s="3" t="n"/>
    </row>
    <row r="21">
      <c r="A21" t="inlineStr">
        <is>
          <t>Long Term Debt Issuance</t>
        </is>
      </c>
      <c r="B21" s="3" t="n">
        <v>2000000000</v>
      </c>
      <c r="C21" s="3" t="n">
        <v>3000000000</v>
      </c>
      <c r="D21" s="3" t="n">
        <v>6000000000</v>
      </c>
      <c r="E21" s="3" t="n">
        <v>7000000000</v>
      </c>
      <c r="F21" s="3" t="n"/>
    </row>
    <row r="22">
      <c r="A22" t="inlineStr">
        <is>
          <t>Investing Cash Flow</t>
        </is>
      </c>
      <c r="B22" s="3" t="n">
        <v>-59710578000</v>
      </c>
      <c r="C22" s="3" t="n">
        <v>-11698518000</v>
      </c>
      <c r="D22" s="3" t="n">
        <v>-8359842000</v>
      </c>
      <c r="E22" s="3" t="n">
        <v>-24203573000</v>
      </c>
      <c r="F22" s="3" t="n"/>
    </row>
    <row r="23">
      <c r="A23" t="inlineStr">
        <is>
          <t>Net Other Investing Changes</t>
        </is>
      </c>
      <c r="B23" s="3" t="n">
        <v>3042778000</v>
      </c>
      <c r="C23" s="3" t="n">
        <v>-138113000</v>
      </c>
      <c r="D23" s="3" t="n">
        <v>97336000</v>
      </c>
      <c r="E23" s="3" t="n">
        <v>-819746000</v>
      </c>
      <c r="F23" s="3" t="n"/>
    </row>
    <row r="24">
      <c r="A24" t="inlineStr">
        <is>
          <t>Dividends Received Cfi</t>
        </is>
      </c>
      <c r="B24" s="3" t="n">
        <v>40702000</v>
      </c>
      <c r="C24" s="3" t="n">
        <v>34785000</v>
      </c>
      <c r="D24" s="3" t="n">
        <v>28873000</v>
      </c>
      <c r="E24" s="3" t="n">
        <v>32385000</v>
      </c>
      <c r="F24" s="3" t="n"/>
    </row>
    <row r="25">
      <c r="A25" t="inlineStr">
        <is>
          <t>Net Investment Purchase And Sale</t>
        </is>
      </c>
      <c r="B25" s="3" t="n">
        <v>1183379000</v>
      </c>
      <c r="C25" s="3" t="n">
        <v>6836874000</v>
      </c>
      <c r="D25" s="3" t="n">
        <v>-2031180000</v>
      </c>
      <c r="E25" s="3" t="n">
        <v>-4631171000</v>
      </c>
      <c r="F25" s="3" t="n"/>
    </row>
    <row r="26">
      <c r="A26" t="inlineStr">
        <is>
          <t>Sale Of Investment</t>
        </is>
      </c>
      <c r="B26" s="3" t="n">
        <v>140000000</v>
      </c>
      <c r="C26" s="3" t="n">
        <v>1426861000</v>
      </c>
      <c r="D26" s="3" t="n">
        <v>1133782000</v>
      </c>
      <c r="E26" s="3" t="n">
        <v>888500000</v>
      </c>
      <c r="F26" s="3" t="n"/>
    </row>
    <row r="27">
      <c r="A27" t="inlineStr">
        <is>
          <t>Purchase Of Investment</t>
        </is>
      </c>
      <c r="B27" s="3" t="n">
        <v>1043379000</v>
      </c>
      <c r="C27" s="3" t="n">
        <v>5410013000</v>
      </c>
      <c r="D27" s="3" t="n">
        <v>-3164962000</v>
      </c>
      <c r="E27" s="3" t="n">
        <v>-5519671000</v>
      </c>
      <c r="F27" s="3" t="n"/>
    </row>
    <row r="28">
      <c r="A28" t="inlineStr">
        <is>
          <t>Net Business Purchase And Sale</t>
        </is>
      </c>
      <c r="B28" s="3" t="n">
        <v>-454000</v>
      </c>
      <c r="C28" s="3" t="n">
        <v>-2480000000</v>
      </c>
      <c r="D28" s="3" t="n">
        <v>405181000</v>
      </c>
      <c r="E28" s="3" t="n">
        <v>78165000</v>
      </c>
      <c r="F28" s="3" t="n"/>
    </row>
    <row r="29">
      <c r="A29" t="inlineStr">
        <is>
          <t>Sale Of Business</t>
        </is>
      </c>
      <c r="B29" s="3" t="n"/>
      <c r="C29" s="3" t="n">
        <v>0</v>
      </c>
      <c r="D29" s="3" t="n">
        <v>405181000</v>
      </c>
      <c r="E29" s="3" t="n">
        <v>78165000</v>
      </c>
      <c r="F29" s="3" t="n">
        <v>0</v>
      </c>
    </row>
    <row r="30">
      <c r="A30" t="inlineStr">
        <is>
          <t>Purchase Of Business</t>
        </is>
      </c>
      <c r="B30" s="3" t="n">
        <v>-454000</v>
      </c>
      <c r="C30" s="3" t="n">
        <v>-2480000000</v>
      </c>
      <c r="D30" s="3" t="n">
        <v>0</v>
      </c>
      <c r="E30" s="3" t="n"/>
      <c r="F30" s="3" t="n"/>
    </row>
    <row r="31">
      <c r="A31" t="inlineStr">
        <is>
          <t>Net Intangibles Purchase And Sale</t>
        </is>
      </c>
      <c r="B31" s="3" t="n">
        <v>-713162000</v>
      </c>
      <c r="C31" s="3" t="n">
        <v>-29210000</v>
      </c>
      <c r="D31" s="3" t="n">
        <v>-121257000</v>
      </c>
      <c r="E31" s="3" t="n">
        <v>-141236000</v>
      </c>
      <c r="F31" s="3" t="n"/>
    </row>
    <row r="32">
      <c r="A32" t="inlineStr">
        <is>
          <t>Purchase Of Intangibles</t>
        </is>
      </c>
      <c r="B32" s="3" t="n">
        <v>-713162000</v>
      </c>
      <c r="C32" s="3" t="n">
        <v>-29210000</v>
      </c>
      <c r="D32" s="3" t="n">
        <v>-121257000</v>
      </c>
      <c r="E32" s="3" t="n">
        <v>-141236000</v>
      </c>
      <c r="F32" s="3" t="n"/>
    </row>
    <row r="33">
      <c r="A33" t="inlineStr">
        <is>
          <t>Net PPE Purchase And Sale</t>
        </is>
      </c>
      <c r="B33" s="3" t="n">
        <v>-63263821000</v>
      </c>
      <c r="C33" s="3" t="n">
        <v>-15922854000</v>
      </c>
      <c r="D33" s="3" t="n">
        <v>-6738795000</v>
      </c>
      <c r="E33" s="3" t="n">
        <v>-18721970000</v>
      </c>
      <c r="F33" s="3" t="n"/>
    </row>
    <row r="34">
      <c r="A34" t="inlineStr">
        <is>
          <t>Sale Of PPE</t>
        </is>
      </c>
      <c r="B34" s="3" t="n">
        <v>1048000</v>
      </c>
      <c r="C34" s="3" t="n">
        <v>867000</v>
      </c>
      <c r="D34" s="3" t="n">
        <v>40040000</v>
      </c>
      <c r="E34" s="3" t="n">
        <v>616000</v>
      </c>
      <c r="F34" s="3" t="n"/>
    </row>
    <row r="35">
      <c r="A35" t="inlineStr">
        <is>
          <t>Purchase Of PPE</t>
        </is>
      </c>
      <c r="B35" s="3" t="n">
        <v>-63264869000</v>
      </c>
      <c r="C35" s="3" t="n">
        <v>-15923721000</v>
      </c>
      <c r="D35" s="3" t="n">
        <v>-6778835000</v>
      </c>
      <c r="E35" s="3" t="n">
        <v>-18722586000</v>
      </c>
      <c r="F35" s="3" t="n"/>
    </row>
    <row r="36">
      <c r="A36" t="inlineStr">
        <is>
          <t>Operating Cash Flow</t>
        </is>
      </c>
      <c r="B36" s="3" t="n">
        <v>25439228000</v>
      </c>
      <c r="C36" s="3" t="n">
        <v>24731061000</v>
      </c>
      <c r="D36" s="3" t="n">
        <v>8631509000</v>
      </c>
      <c r="E36" s="3" t="n">
        <v>33926596000</v>
      </c>
      <c r="F36" s="3" t="n"/>
    </row>
    <row r="37">
      <c r="A37" t="inlineStr">
        <is>
          <t>Taxes Refund Paid</t>
        </is>
      </c>
      <c r="B37" s="3" t="n">
        <v>-1512112000</v>
      </c>
      <c r="C37" s="3" t="n">
        <v>-2644558000</v>
      </c>
      <c r="D37" s="3" t="n">
        <v>-2394419000</v>
      </c>
      <c r="E37" s="3" t="n">
        <v>-2904308000</v>
      </c>
      <c r="F37" s="3" t="n"/>
    </row>
    <row r="38">
      <c r="A38" t="inlineStr">
        <is>
          <t>Interest Received Cfo</t>
        </is>
      </c>
      <c r="B38" s="3" t="n">
        <v>1792061000</v>
      </c>
      <c r="C38" s="3" t="n">
        <v>1876402000</v>
      </c>
      <c r="D38" s="3" t="n">
        <v>1422983000</v>
      </c>
      <c r="E38" s="3" t="n">
        <v>601023000</v>
      </c>
      <c r="F38" s="3" t="n"/>
    </row>
    <row r="39">
      <c r="A39" t="inlineStr">
        <is>
          <t>Interest Paid Cfo</t>
        </is>
      </c>
      <c r="B39" s="3" t="n">
        <v>-259635000</v>
      </c>
      <c r="C39" s="3" t="n">
        <v>-298975000</v>
      </c>
      <c r="D39" s="3" t="n">
        <v>-204729000</v>
      </c>
      <c r="E39" s="3" t="n">
        <v>-128903000</v>
      </c>
      <c r="F39" s="3" t="n"/>
    </row>
    <row r="40">
      <c r="A40" t="inlineStr">
        <is>
          <t>Change In Working Capital</t>
        </is>
      </c>
      <c r="B40" s="3" t="n">
        <v>8250666000</v>
      </c>
      <c r="C40" s="3" t="n">
        <v>9900302000</v>
      </c>
      <c r="D40" s="3" t="n">
        <v>-3818569000</v>
      </c>
      <c r="E40" s="3" t="n">
        <v>12066777000</v>
      </c>
      <c r="F40" s="3" t="n"/>
    </row>
    <row r="41">
      <c r="A41" t="inlineStr">
        <is>
          <t>Change In Other Current Liabilities</t>
        </is>
      </c>
      <c r="B41" s="3" t="n">
        <v>571763000</v>
      </c>
      <c r="C41" s="3" t="n">
        <v>15323000</v>
      </c>
      <c r="D41" s="3" t="n">
        <v>-745272000</v>
      </c>
      <c r="E41" s="3" t="n">
        <v>909714000</v>
      </c>
      <c r="F41" s="3" t="n"/>
    </row>
    <row r="42">
      <c r="A42" t="inlineStr">
        <is>
          <t>Change In Other Current Assets</t>
        </is>
      </c>
      <c r="B42" s="3" t="n">
        <v>11925410000</v>
      </c>
      <c r="C42" s="3" t="n">
        <v>13010998000</v>
      </c>
      <c r="D42" s="3" t="n">
        <v>-655302000</v>
      </c>
      <c r="E42" s="3" t="n">
        <v>9796000000</v>
      </c>
      <c r="F42" s="3" t="n"/>
    </row>
    <row r="43">
      <c r="A43" t="inlineStr">
        <is>
          <t>Change In Payable</t>
        </is>
      </c>
      <c r="B43" s="3" t="n">
        <v>1554152000</v>
      </c>
      <c r="C43" s="3" t="n">
        <v>857654000</v>
      </c>
      <c r="D43" s="3" t="n">
        <v>-1367980000</v>
      </c>
      <c r="E43" s="3" t="n">
        <v>197080000</v>
      </c>
      <c r="F43" s="3" t="n"/>
    </row>
    <row r="44">
      <c r="A44" t="inlineStr">
        <is>
          <t>Change In Prepaid Assets</t>
        </is>
      </c>
      <c r="B44" s="3" t="n">
        <v>-1894113000</v>
      </c>
      <c r="C44" s="3" t="n">
        <v>37060000</v>
      </c>
      <c r="D44" s="3" t="n">
        <v>-46498000</v>
      </c>
      <c r="E44" s="3" t="n">
        <v>-985716000</v>
      </c>
      <c r="F44" s="3" t="n"/>
    </row>
    <row r="45">
      <c r="A45" t="inlineStr">
        <is>
          <t>Change In Inventory</t>
        </is>
      </c>
      <c r="B45" s="3" t="n">
        <v>-716384000</v>
      </c>
      <c r="C45" s="3" t="n">
        <v>-548464000</v>
      </c>
      <c r="D45" s="3" t="n">
        <v>208048000</v>
      </c>
      <c r="E45" s="3" t="n">
        <v>-1850377000</v>
      </c>
      <c r="F45" s="3" t="n"/>
    </row>
    <row r="46">
      <c r="A46" t="inlineStr">
        <is>
          <t>Change In Receivables</t>
        </is>
      </c>
      <c r="B46" s="3" t="n">
        <v>-3122013000</v>
      </c>
      <c r="C46" s="3" t="n">
        <v>-3437300000</v>
      </c>
      <c r="D46" s="3" t="n">
        <v>-1181542000</v>
      </c>
      <c r="E46" s="3" t="n">
        <v>4211634000</v>
      </c>
      <c r="F46" s="3" t="n"/>
    </row>
    <row r="47">
      <c r="A47" t="inlineStr">
        <is>
          <t>Other Non Cash Items</t>
        </is>
      </c>
      <c r="B47" s="3" t="n">
        <v>-1464276000</v>
      </c>
      <c r="C47" s="3" t="n">
        <v>-1665264000</v>
      </c>
      <c r="D47" s="3" t="n">
        <v>-1445197000</v>
      </c>
      <c r="E47" s="3" t="n">
        <v>-499673000</v>
      </c>
      <c r="F47" s="3" t="n"/>
    </row>
    <row r="48">
      <c r="A48" t="inlineStr">
        <is>
          <t>Stock Based Compensation</t>
        </is>
      </c>
      <c r="B48" s="3" t="n">
        <v>779468000</v>
      </c>
      <c r="C48" s="3" t="n">
        <v>370800000</v>
      </c>
      <c r="D48" s="3" t="n">
        <v>0</v>
      </c>
      <c r="E48" s="3" t="n"/>
      <c r="F48" s="3" t="n"/>
    </row>
    <row r="49">
      <c r="A49" t="inlineStr">
        <is>
          <t>Depreciation And Amortization</t>
        </is>
      </c>
      <c r="B49" s="3" t="n">
        <v>8552173000</v>
      </c>
      <c r="C49" s="3" t="n">
        <v>8622021000</v>
      </c>
      <c r="D49" s="3" t="n">
        <v>7852088000</v>
      </c>
      <c r="E49" s="3" t="n">
        <v>5542087000</v>
      </c>
      <c r="F49" s="3" t="n"/>
    </row>
    <row r="50">
      <c r="A50" t="inlineStr">
        <is>
          <t>Amortization Cash Flow</t>
        </is>
      </c>
      <c r="B50" s="3" t="n">
        <v>94264000</v>
      </c>
      <c r="C50" s="3" t="n">
        <v>155178000</v>
      </c>
      <c r="D50" s="3" t="n">
        <v>123185000</v>
      </c>
      <c r="E50" s="3" t="n">
        <v>87867000</v>
      </c>
      <c r="F50" s="3" t="n"/>
    </row>
    <row r="51">
      <c r="A51" t="inlineStr">
        <is>
          <t>Depreciation</t>
        </is>
      </c>
      <c r="B51" s="3" t="n">
        <v>8457909000</v>
      </c>
      <c r="C51" s="3" t="n">
        <v>8466843000</v>
      </c>
      <c r="D51" s="3" t="n">
        <v>7728903000</v>
      </c>
      <c r="E51" s="3" t="n">
        <v>5454220000</v>
      </c>
      <c r="F51" s="3" t="n"/>
    </row>
    <row r="52">
      <c r="A52" t="inlineStr">
        <is>
          <t>Gain Loss On Investment Securities</t>
        </is>
      </c>
      <c r="B52" s="3" t="n">
        <v>-40713000</v>
      </c>
      <c r="C52" s="3" t="n">
        <v>-44725000</v>
      </c>
      <c r="D52" s="3" t="n">
        <v>-3027000</v>
      </c>
      <c r="E52" s="3" t="n">
        <v>-48119000</v>
      </c>
      <c r="F52" s="3" t="n"/>
    </row>
    <row r="53">
      <c r="A53" t="inlineStr">
        <is>
          <t>Net Foreign Currency Exchange Gain Loss</t>
        </is>
      </c>
      <c r="B53" s="3" t="n">
        <v>-52917000</v>
      </c>
      <c r="C53" s="3" t="n">
        <v>-200370000</v>
      </c>
      <c r="D53" s="3" t="n">
        <v>-103582000</v>
      </c>
      <c r="E53" s="3" t="n">
        <v>515768000</v>
      </c>
      <c r="F53" s="3" t="n"/>
    </row>
    <row r="54">
      <c r="A54" t="inlineStr">
        <is>
          <t>Gain Loss On Sale Of PPE</t>
        </is>
      </c>
      <c r="B54" s="3" t="n">
        <v>-1048000</v>
      </c>
      <c r="C54" s="3" t="n">
        <v>-867000</v>
      </c>
      <c r="D54" s="3" t="n">
        <v>-23456000</v>
      </c>
      <c r="E54" s="3" t="n">
        <v>-616000</v>
      </c>
      <c r="F54" s="3" t="n"/>
    </row>
    <row r="55">
      <c r="A55" t="inlineStr">
        <is>
          <t>Gain Loss On Sale Of Business</t>
        </is>
      </c>
      <c r="B55" s="3" t="n"/>
      <c r="C55" s="3" t="n">
        <v>0</v>
      </c>
      <c r="D55" s="3" t="n">
        <v>-1490064000</v>
      </c>
      <c r="E55" s="3" t="n">
        <v>-62343000</v>
      </c>
      <c r="F55" s="3" t="n">
        <v>0</v>
      </c>
    </row>
    <row r="56">
      <c r="A56" t="inlineStr">
        <is>
          <t>Net Income From Continuing Operations</t>
        </is>
      </c>
      <c r="B56" s="3" t="n">
        <v>9250743000</v>
      </c>
      <c r="C56" s="3" t="n">
        <v>8752305000</v>
      </c>
      <c r="D56" s="3" t="n">
        <v>8833773000</v>
      </c>
      <c r="E56" s="3" t="n">
        <v>18851172000</v>
      </c>
      <c r="F56" s="3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2025-06-30</t>
        </is>
      </c>
      <c r="D1" s="1" t="inlineStr">
        <is>
          <t>2025-03-31</t>
        </is>
      </c>
      <c r="E1" s="1" t="inlineStr">
        <is>
          <t>2024-12-31</t>
        </is>
      </c>
    </row>
    <row r="2">
      <c r="A2" t="inlineStr">
        <is>
          <t>Free Cash Flow</t>
        </is>
      </c>
      <c r="B2" s="3" t="n">
        <v>-20331536000</v>
      </c>
      <c r="C2" s="3" t="n">
        <v>-6708045000</v>
      </c>
      <c r="D2" s="3" t="n">
        <v>-2319726000</v>
      </c>
      <c r="E2" s="3" t="n">
        <v>7155604000</v>
      </c>
    </row>
    <row r="3">
      <c r="A3" t="inlineStr">
        <is>
          <t>Issuance Of Debt</t>
        </is>
      </c>
      <c r="B3" s="3" t="n">
        <v>1815747000</v>
      </c>
      <c r="C3" s="3" t="n">
        <v>3242389000</v>
      </c>
      <c r="D3" s="3" t="n">
        <v>100000000</v>
      </c>
      <c r="E3" s="3" t="n">
        <v>-961187000</v>
      </c>
    </row>
    <row r="4">
      <c r="A4" t="inlineStr">
        <is>
          <t>Capital Expenditure</t>
        </is>
      </c>
      <c r="B4" s="3" t="n">
        <v>-28023213000</v>
      </c>
      <c r="C4" s="3" t="n">
        <v>-8679200000</v>
      </c>
      <c r="D4" s="3" t="n">
        <v>-10230837000</v>
      </c>
      <c r="E4" s="3" t="n">
        <v>-5765116000</v>
      </c>
    </row>
    <row r="5">
      <c r="A5" t="inlineStr">
        <is>
          <t>End Cash Position</t>
        </is>
      </c>
      <c r="B5" s="3" t="n">
        <v>39634973000</v>
      </c>
      <c r="C5" s="3" t="n">
        <v>57779261000</v>
      </c>
      <c r="D5" s="3" t="n">
        <v>59787318000</v>
      </c>
      <c r="E5" s="3" t="n">
        <v>60695212000</v>
      </c>
    </row>
    <row r="6">
      <c r="A6" t="inlineStr">
        <is>
          <t>Beginning Cash Position</t>
        </is>
      </c>
      <c r="B6" s="3" t="n">
        <v>48392990000</v>
      </c>
      <c r="C6" s="3" t="n">
        <v>59787318000</v>
      </c>
      <c r="D6" s="3" t="n">
        <v>60695212000</v>
      </c>
      <c r="E6" s="3" t="n">
        <v>37218250000</v>
      </c>
    </row>
    <row r="7">
      <c r="A7" t="inlineStr">
        <is>
          <t>Effect Of Exchange Rate Changes</t>
        </is>
      </c>
      <c r="B7" s="3" t="n">
        <v>-57317000</v>
      </c>
      <c r="C7" s="3" t="n">
        <v>-692629000</v>
      </c>
      <c r="D7" s="3" t="n">
        <v>229354000</v>
      </c>
      <c r="E7" s="3" t="n">
        <v>179873000</v>
      </c>
    </row>
    <row r="8">
      <c r="A8" t="inlineStr">
        <is>
          <t>Changes In Cash</t>
        </is>
      </c>
      <c r="B8" s="3" t="n">
        <v>-8700700000</v>
      </c>
      <c r="C8" s="3" t="n">
        <v>-1315428000</v>
      </c>
      <c r="D8" s="3" t="n">
        <v>-1137248000</v>
      </c>
      <c r="E8" s="3" t="n">
        <v>23297089000</v>
      </c>
    </row>
    <row r="9">
      <c r="A9" t="inlineStr">
        <is>
          <t>Financing Cash Flow</t>
        </is>
      </c>
      <c r="B9" s="3" t="n">
        <v>10354131000</v>
      </c>
      <c r="C9" s="3" t="n">
        <v>4747333000</v>
      </c>
      <c r="D9" s="3" t="n">
        <v>466937000</v>
      </c>
      <c r="E9" s="3" t="n">
        <v>16506167000</v>
      </c>
    </row>
    <row r="10">
      <c r="A10" t="inlineStr">
        <is>
          <t>Net Other Financing Charges</t>
        </is>
      </c>
      <c r="B10" s="3" t="n">
        <v>8617393000</v>
      </c>
      <c r="C10" s="3" t="n">
        <v>1565987000</v>
      </c>
      <c r="D10" s="3" t="n">
        <v>432826000</v>
      </c>
      <c r="E10" s="3" t="n">
        <v>-87738000</v>
      </c>
    </row>
    <row r="11">
      <c r="A11" t="inlineStr">
        <is>
          <t>Cash Dividends Paid</t>
        </is>
      </c>
      <c r="B11" s="3" t="n">
        <v>0</v>
      </c>
      <c r="C11" s="3" t="n"/>
      <c r="D11" s="3" t="n"/>
      <c r="E11" s="3" t="n">
        <v>0</v>
      </c>
    </row>
    <row r="12">
      <c r="A12" t="inlineStr">
        <is>
          <t>Net Issuance Payments Of Debt</t>
        </is>
      </c>
      <c r="B12" s="3" t="n">
        <v>1815747000</v>
      </c>
      <c r="C12" s="3" t="n">
        <v>3242389000</v>
      </c>
      <c r="D12" s="3" t="n">
        <v>100000000</v>
      </c>
      <c r="E12" s="3" t="n">
        <v>-961187000</v>
      </c>
    </row>
    <row r="13">
      <c r="A13" t="inlineStr">
        <is>
          <t>Net Short Term Debt Issuance</t>
        </is>
      </c>
      <c r="B13" s="3" t="n">
        <v>815747000</v>
      </c>
      <c r="C13" s="3" t="n"/>
      <c r="D13" s="3" t="n"/>
      <c r="E13" s="3" t="n"/>
    </row>
    <row r="14">
      <c r="A14" t="inlineStr">
        <is>
          <t>Short Term Debt Issuance</t>
        </is>
      </c>
      <c r="B14" s="3" t="n">
        <v>815747000</v>
      </c>
      <c r="C14" s="3" t="n"/>
      <c r="D14" s="3" t="n"/>
      <c r="E14" s="3" t="n"/>
    </row>
    <row r="15">
      <c r="A15" t="inlineStr">
        <is>
          <t>Net Long Term Debt Issuance</t>
        </is>
      </c>
      <c r="B15" s="3" t="n">
        <v>1000000000</v>
      </c>
      <c r="C15" s="3" t="n">
        <v>0</v>
      </c>
      <c r="D15" s="3" t="n">
        <v>100000000</v>
      </c>
      <c r="E15" s="3" t="n">
        <v>0</v>
      </c>
    </row>
    <row r="16">
      <c r="A16" t="inlineStr">
        <is>
          <t>Long Term Debt Issuance</t>
        </is>
      </c>
      <c r="B16" s="3" t="n">
        <v>1000000000</v>
      </c>
      <c r="C16" s="3" t="n">
        <v>0</v>
      </c>
      <c r="D16" s="3" t="n">
        <v>100000000</v>
      </c>
      <c r="E16" s="3" t="n">
        <v>0</v>
      </c>
    </row>
    <row r="17">
      <c r="A17" t="inlineStr">
        <is>
          <t>Investing Cash Flow</t>
        </is>
      </c>
      <c r="B17" s="3" t="n">
        <v>-26746508000</v>
      </c>
      <c r="C17" s="3" t="n">
        <v>-8033916000</v>
      </c>
      <c r="D17" s="3" t="n">
        <v>-9515296000</v>
      </c>
      <c r="E17" s="3" t="n">
        <v>-6129798000</v>
      </c>
    </row>
    <row r="18">
      <c r="A18" t="inlineStr">
        <is>
          <t>Net Other Investing Changes</t>
        </is>
      </c>
      <c r="B18" s="3" t="n">
        <v>1859343000</v>
      </c>
      <c r="C18" s="3" t="n">
        <v>3558000</v>
      </c>
      <c r="D18" s="3" t="n">
        <v>-1748000</v>
      </c>
      <c r="E18" s="3" t="n">
        <v>305000</v>
      </c>
    </row>
    <row r="19">
      <c r="A19" t="inlineStr">
        <is>
          <t>Dividends Received Cfi</t>
        </is>
      </c>
      <c r="B19" s="3" t="n">
        <v>0</v>
      </c>
      <c r="C19" s="3" t="n"/>
      <c r="D19" s="3" t="n"/>
      <c r="E19" s="3" t="n">
        <v>0</v>
      </c>
    </row>
    <row r="20">
      <c r="A20" t="inlineStr">
        <is>
          <t>Net Investment Purchase And Sale</t>
        </is>
      </c>
      <c r="B20" s="3" t="n">
        <v>-583686000</v>
      </c>
      <c r="C20" s="3" t="n">
        <v>612853000</v>
      </c>
      <c r="D20" s="3" t="n">
        <v>717743000</v>
      </c>
      <c r="E20" s="3" t="n">
        <v>-365854000</v>
      </c>
    </row>
    <row r="21">
      <c r="A21" t="inlineStr">
        <is>
          <t>Sale Of Investment</t>
        </is>
      </c>
      <c r="B21" s="3" t="n">
        <v>0</v>
      </c>
      <c r="C21" s="3" t="n">
        <v>0</v>
      </c>
      <c r="D21" s="3" t="n">
        <v>140000000</v>
      </c>
      <c r="E21" s="3" t="n">
        <v>0</v>
      </c>
    </row>
    <row r="22">
      <c r="A22" t="inlineStr">
        <is>
          <t>Purchase Of Investment</t>
        </is>
      </c>
      <c r="B22" s="3" t="n">
        <v>-583686000</v>
      </c>
      <c r="C22" s="3" t="n">
        <v>612853000</v>
      </c>
      <c r="D22" s="3" t="n">
        <v>577743000</v>
      </c>
      <c r="E22" s="3" t="n">
        <v>-365854000</v>
      </c>
    </row>
    <row r="23">
      <c r="A23" t="inlineStr">
        <is>
          <t>Net Business Purchase And Sale</t>
        </is>
      </c>
      <c r="B23" s="3" t="n">
        <v>0</v>
      </c>
      <c r="C23" s="3" t="n">
        <v>0</v>
      </c>
      <c r="D23" s="3" t="n">
        <v>-454000</v>
      </c>
      <c r="E23" s="3" t="n">
        <v>0</v>
      </c>
    </row>
    <row r="24">
      <c r="A24" t="inlineStr">
        <is>
          <t>Purchase Of Business</t>
        </is>
      </c>
      <c r="B24" s="3" t="n">
        <v>0</v>
      </c>
      <c r="C24" s="3" t="n">
        <v>0</v>
      </c>
      <c r="D24" s="3" t="n">
        <v>-454000</v>
      </c>
      <c r="E24" s="3" t="n">
        <v>0</v>
      </c>
    </row>
    <row r="25">
      <c r="A25" t="inlineStr">
        <is>
          <t>Net Intangibles Purchase And Sale</t>
        </is>
      </c>
      <c r="B25" s="3" t="n">
        <v>-1639000</v>
      </c>
      <c r="C25" s="3" t="n">
        <v>-1052000</v>
      </c>
      <c r="D25" s="3" t="n">
        <v>-6592000</v>
      </c>
      <c r="E25" s="3" t="n">
        <v>-11689000</v>
      </c>
    </row>
    <row r="26">
      <c r="A26" t="inlineStr">
        <is>
          <t>Purchase Of Intangibles</t>
        </is>
      </c>
      <c r="B26" s="3" t="n">
        <v>-1639000</v>
      </c>
      <c r="C26" s="3" t="n">
        <v>-1052000</v>
      </c>
      <c r="D26" s="3" t="n">
        <v>-6592000</v>
      </c>
      <c r="E26" s="3" t="n">
        <v>-11689000</v>
      </c>
    </row>
    <row r="27">
      <c r="A27" t="inlineStr">
        <is>
          <t>Net PPE Purchase And Sale</t>
        </is>
      </c>
      <c r="B27" s="3" t="n">
        <v>-28020526000</v>
      </c>
      <c r="C27" s="3" t="n">
        <v>-8678148000</v>
      </c>
      <c r="D27" s="3" t="n">
        <v>-10224245000</v>
      </c>
      <c r="E27" s="3" t="n">
        <v>-5752560000</v>
      </c>
    </row>
    <row r="28">
      <c r="A28" t="inlineStr">
        <is>
          <t>Sale Of PPE</t>
        </is>
      </c>
      <c r="B28" s="3" t="n"/>
      <c r="C28" s="3" t="n"/>
      <c r="D28" s="3" t="n"/>
      <c r="E28" s="3" t="n">
        <v>867000</v>
      </c>
    </row>
    <row r="29">
      <c r="A29" t="inlineStr">
        <is>
          <t>Purchase Of PPE</t>
        </is>
      </c>
      <c r="B29" s="3" t="n">
        <v>-28021574000</v>
      </c>
      <c r="C29" s="3" t="n">
        <v>-8678148000</v>
      </c>
      <c r="D29" s="3" t="n">
        <v>-10224245000</v>
      </c>
      <c r="E29" s="3" t="n">
        <v>-5753427000</v>
      </c>
    </row>
    <row r="30">
      <c r="A30" t="inlineStr">
        <is>
          <t>Operating Cash Flow</t>
        </is>
      </c>
      <c r="B30" s="3" t="n">
        <v>7691677000</v>
      </c>
      <c r="C30" s="3" t="n">
        <v>1971155000</v>
      </c>
      <c r="D30" s="3" t="n">
        <v>7911111000</v>
      </c>
      <c r="E30" s="3" t="n">
        <v>12920720000</v>
      </c>
    </row>
    <row r="31">
      <c r="A31" t="inlineStr">
        <is>
          <t>Taxes Refund Paid</t>
        </is>
      </c>
      <c r="B31" s="3" t="n">
        <v>-37946000</v>
      </c>
      <c r="C31" s="3" t="n">
        <v>-511225000</v>
      </c>
      <c r="D31" s="3" t="n">
        <v>-46234000</v>
      </c>
      <c r="E31" s="3" t="n">
        <v>-29346000</v>
      </c>
    </row>
    <row r="32">
      <c r="A32" t="inlineStr">
        <is>
          <t>Interest Received Cfo</t>
        </is>
      </c>
      <c r="B32" s="3" t="n">
        <v>401108000</v>
      </c>
      <c r="C32" s="3" t="n">
        <v>491728000</v>
      </c>
      <c r="D32" s="3" t="n">
        <v>420420000</v>
      </c>
      <c r="E32" s="3" t="n">
        <v>430824000</v>
      </c>
    </row>
    <row r="33">
      <c r="A33" t="inlineStr">
        <is>
          <t>Interest Paid Cfo</t>
        </is>
      </c>
      <c r="B33" s="3" t="n">
        <v>-33167000</v>
      </c>
      <c r="C33" s="3" t="n">
        <v>-20771000</v>
      </c>
      <c r="D33" s="3" t="n">
        <v>-135306000</v>
      </c>
      <c r="E33" s="3" t="n">
        <v>-24917000</v>
      </c>
    </row>
    <row r="34">
      <c r="A34" t="inlineStr">
        <is>
          <t>Change In Working Capital</t>
        </is>
      </c>
      <c r="B34" s="3" t="n">
        <v>3110757000</v>
      </c>
      <c r="C34" s="3" t="n">
        <v>-2218041000</v>
      </c>
      <c r="D34" s="3" t="n">
        <v>3228398000</v>
      </c>
      <c r="E34" s="3" t="n">
        <v>8045226000</v>
      </c>
    </row>
    <row r="35">
      <c r="A35" t="inlineStr">
        <is>
          <t>Change In Other Current Liabilities</t>
        </is>
      </c>
      <c r="B35" s="3" t="n">
        <v>464425000</v>
      </c>
      <c r="C35" s="3" t="n">
        <v>422678000</v>
      </c>
      <c r="D35" s="3" t="n">
        <v>718855000</v>
      </c>
      <c r="E35" s="3" t="n">
        <v>538519000</v>
      </c>
    </row>
    <row r="36">
      <c r="A36" t="inlineStr">
        <is>
          <t>Change In Other Current Assets</t>
        </is>
      </c>
      <c r="B36" s="3" t="n">
        <v>4717039000</v>
      </c>
      <c r="C36" s="3" t="n">
        <v>-2587206000</v>
      </c>
      <c r="D36" s="3" t="n">
        <v>3496902000</v>
      </c>
      <c r="E36" s="3" t="n">
        <v>8000767000</v>
      </c>
    </row>
    <row r="37">
      <c r="A37" t="inlineStr">
        <is>
          <t>Change In Payable</t>
        </is>
      </c>
      <c r="B37" s="3" t="n">
        <v>1573103000</v>
      </c>
      <c r="C37" s="3" t="n">
        <v>41923000</v>
      </c>
      <c r="D37" s="3" t="n">
        <v>-135593000</v>
      </c>
      <c r="E37" s="3" t="n">
        <v>22018000</v>
      </c>
    </row>
    <row r="38">
      <c r="A38" t="inlineStr">
        <is>
          <t>Change In Prepaid Assets</t>
        </is>
      </c>
      <c r="B38" s="3" t="n">
        <v>-1746078000</v>
      </c>
      <c r="C38" s="3" t="n">
        <v>158754000</v>
      </c>
      <c r="D38" s="3" t="n">
        <v>-62119000</v>
      </c>
      <c r="E38" s="3" t="n">
        <v>302989000</v>
      </c>
    </row>
    <row r="39">
      <c r="A39" t="inlineStr">
        <is>
          <t>Change In Inventory</t>
        </is>
      </c>
      <c r="B39" s="3" t="n">
        <v>-604265000</v>
      </c>
      <c r="C39" s="3" t="n">
        <v>-273653000</v>
      </c>
      <c r="D39" s="3" t="n">
        <v>85311000</v>
      </c>
      <c r="E39" s="3" t="n">
        <v>-433427000</v>
      </c>
    </row>
    <row r="40">
      <c r="A40" t="inlineStr">
        <is>
          <t>Change In Receivables</t>
        </is>
      </c>
      <c r="B40" s="3" t="n">
        <v>-1292769000</v>
      </c>
      <c r="C40" s="3" t="n">
        <v>20210000</v>
      </c>
      <c r="D40" s="3" t="n">
        <v>-809008000</v>
      </c>
      <c r="E40" s="3" t="n">
        <v>-385028000</v>
      </c>
    </row>
    <row r="41">
      <c r="A41" t="inlineStr">
        <is>
          <t>Other Non Cash Items</t>
        </is>
      </c>
      <c r="B41" s="3" t="n">
        <v>-293210000</v>
      </c>
      <c r="C41" s="3" t="n">
        <v>-390625000</v>
      </c>
      <c r="D41" s="3" t="n">
        <v>-473480000</v>
      </c>
      <c r="E41" s="3" t="n">
        <v>-464330000</v>
      </c>
    </row>
    <row r="42">
      <c r="A42" t="inlineStr">
        <is>
          <t>Stock Based Compensation</t>
        </is>
      </c>
      <c r="B42" s="3" t="n">
        <v>197231000</v>
      </c>
      <c r="C42" s="3" t="n">
        <v>204423000</v>
      </c>
      <c r="D42" s="3" t="n">
        <v>188293000</v>
      </c>
      <c r="E42" s="3" t="n"/>
    </row>
    <row r="43">
      <c r="A43" t="inlineStr">
        <is>
          <t>Depreciation And Amortization</t>
        </is>
      </c>
      <c r="B43" s="3" t="n">
        <v>2215742000</v>
      </c>
      <c r="C43" s="3" t="n">
        <v>2085966000</v>
      </c>
      <c r="D43" s="3" t="n">
        <v>2045795000</v>
      </c>
      <c r="E43" s="3" t="n">
        <v>2255191000</v>
      </c>
    </row>
    <row r="44">
      <c r="A44" t="inlineStr">
        <is>
          <t>Amortization Cash Flow</t>
        </is>
      </c>
      <c r="B44" s="3" t="n">
        <v>22025000</v>
      </c>
      <c r="C44" s="3" t="n">
        <v>24580000</v>
      </c>
      <c r="D44" s="3" t="n">
        <v>24669000</v>
      </c>
      <c r="E44" s="3" t="n">
        <v>39982000</v>
      </c>
    </row>
    <row r="45">
      <c r="A45" t="inlineStr">
        <is>
          <t>Depreciation</t>
        </is>
      </c>
      <c r="B45" s="3" t="n">
        <v>2193717000</v>
      </c>
      <c r="C45" s="3" t="n">
        <v>2061386000</v>
      </c>
      <c r="D45" s="3" t="n">
        <v>2021126000</v>
      </c>
      <c r="E45" s="3" t="n">
        <v>2215209000</v>
      </c>
    </row>
    <row r="46">
      <c r="A46" t="inlineStr">
        <is>
          <t>Gain Loss On Investment Securities</t>
        </is>
      </c>
      <c r="B46" s="3" t="n">
        <v>0</v>
      </c>
      <c r="C46" s="3" t="n">
        <v>-28873000</v>
      </c>
      <c r="D46" s="3" t="n">
        <v>-11000</v>
      </c>
      <c r="E46" s="3" t="n">
        <v>5000</v>
      </c>
    </row>
    <row r="47">
      <c r="A47" t="inlineStr">
        <is>
          <t>Net Foreign Currency Exchange Gain Loss</t>
        </is>
      </c>
      <c r="B47" s="3" t="n">
        <v>3404000</v>
      </c>
      <c r="C47" s="3" t="n">
        <v>-60407000</v>
      </c>
      <c r="D47" s="3" t="n">
        <v>-30550000</v>
      </c>
      <c r="E47" s="3" t="n">
        <v>-31451000</v>
      </c>
    </row>
    <row r="48">
      <c r="A48" t="inlineStr">
        <is>
          <t>Gain Loss On Sale Of PPE</t>
        </is>
      </c>
      <c r="B48" s="3" t="n"/>
      <c r="C48" s="3" t="n"/>
      <c r="D48" s="3" t="n"/>
      <c r="E48" s="3" t="n">
        <v>-867000</v>
      </c>
    </row>
    <row r="49">
      <c r="A49" t="inlineStr">
        <is>
          <t>Net Income From Continuing Operations</t>
        </is>
      </c>
      <c r="B49" s="3" t="n">
        <v>2095089000</v>
      </c>
      <c r="C49" s="3" t="n">
        <v>2381729000</v>
      </c>
      <c r="D49" s="3" t="n">
        <v>2674773000</v>
      </c>
      <c r="E49" s="3" t="n">
        <v>2332991000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Issue</t>
        </is>
      </c>
    </row>
    <row r="2">
      <c r="A2" t="inlineStr">
        <is>
          <t>FY Summary</t>
        </is>
      </c>
      <c r="B2" t="inlineStr">
        <is>
          <t>'Net Debt' not found in statements — left blank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2026-07-02T16:26:32Z</dcterms:created>
  <dcterms:modified xsi:type="dcterms:W3CDTF">2026-07-02T16:26:33Z</dcterms:modified>
</cp:coreProperties>
</file>