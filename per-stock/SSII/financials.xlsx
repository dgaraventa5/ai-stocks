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SSII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SS Innovations International,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Healthcare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Medical Devices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796523520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794362688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-66.333336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16.434855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0.49075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-0.32778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-0.20692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-0.21096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1.168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15979714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13818918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-17591992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200131535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3.98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(annual)'!D49</f>
        <v/>
      </c>
      <c r="C3" s="3">
        <f>'Income stmt (annual)'!C49</f>
        <v/>
      </c>
      <c r="D3" s="3">
        <f>'Income stmt (annual)'!B49</f>
        <v/>
      </c>
      <c r="E3" s="3">
        <f>SUM('Income stmt (quarterly)'!B43:E43)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(annual)'!D47</f>
        <v/>
      </c>
      <c r="C4" s="3">
        <f>'Income stmt (annual)'!C47</f>
        <v/>
      </c>
      <c r="D4" s="3">
        <f>'Income stmt (annual)'!B47</f>
        <v/>
      </c>
      <c r="E4" s="3">
        <f>SUM('Income stmt (quarterly)'!B41:E41)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>
        <f>SUM('Income stmt (quarterly)'!B31:E31)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0.3</v>
      </c>
      <c r="C3" s="3" t="n">
        <v>0</v>
      </c>
      <c r="D3" s="3" t="n">
        <v>0</v>
      </c>
      <c r="E3" s="3" t="n">
        <v>0</v>
      </c>
      <c r="F3" s="3" t="n"/>
    </row>
    <row r="4">
      <c r="A4" t="inlineStr">
        <is>
          <t>Normalized EBITDA</t>
        </is>
      </c>
      <c r="B4" s="3" t="n">
        <v>-5976403</v>
      </c>
      <c r="C4" s="3" t="n">
        <v>-17741957</v>
      </c>
      <c r="D4" s="3" t="n">
        <v>-19830933</v>
      </c>
      <c r="E4" s="3" t="n">
        <v>-2851783</v>
      </c>
      <c r="F4" s="3" t="n"/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>
        <v>-77392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>
        <v>-77392</v>
      </c>
    </row>
    <row r="7">
      <c r="A7" t="inlineStr">
        <is>
          <t>Net Income From Continuing Operation Net Minority Interest</t>
        </is>
      </c>
      <c r="B7" s="3" t="n">
        <v>-12127387</v>
      </c>
      <c r="C7" s="3" t="n">
        <v>-19151197</v>
      </c>
      <c r="D7" s="3" t="n">
        <v>-20878292</v>
      </c>
      <c r="E7" s="3" t="n">
        <v>-3213882</v>
      </c>
      <c r="F7" s="3" t="n"/>
    </row>
    <row r="8">
      <c r="A8" t="inlineStr">
        <is>
          <t>Reconciled Depreciation</t>
        </is>
      </c>
      <c r="B8" s="3" t="n">
        <v>1075907</v>
      </c>
      <c r="C8" s="3" t="n">
        <v>436005</v>
      </c>
      <c r="D8" s="3" t="n">
        <v>152738</v>
      </c>
      <c r="E8" s="3" t="n">
        <v>96577</v>
      </c>
      <c r="F8" s="3" t="n"/>
    </row>
    <row r="9">
      <c r="A9" t="inlineStr">
        <is>
          <t>Reconciled Cost Of Revenue</t>
        </is>
      </c>
      <c r="B9" s="3" t="n">
        <v>22940492</v>
      </c>
      <c r="C9" s="3" t="n">
        <v>12197162</v>
      </c>
      <c r="D9" s="3" t="n">
        <v>5149786</v>
      </c>
      <c r="E9" s="3" t="n">
        <v>1375570</v>
      </c>
      <c r="F9" s="3" t="n"/>
    </row>
    <row r="10">
      <c r="A10" t="inlineStr">
        <is>
          <t>EBITDA</t>
        </is>
      </c>
      <c r="B10" s="3" t="n">
        <v>-5976403</v>
      </c>
      <c r="C10" s="3" t="n">
        <v>-17741957</v>
      </c>
      <c r="D10" s="3" t="n">
        <v>-19830933</v>
      </c>
      <c r="E10" s="3" t="n">
        <v>-2851783</v>
      </c>
      <c r="F10" s="3" t="n"/>
    </row>
    <row r="11">
      <c r="A11" t="inlineStr">
        <is>
          <t>EBIT</t>
        </is>
      </c>
      <c r="B11" s="3" t="n">
        <v>-7052310</v>
      </c>
      <c r="C11" s="3" t="n">
        <v>-18177962</v>
      </c>
      <c r="D11" s="3" t="n">
        <v>-19983671</v>
      </c>
      <c r="E11" s="3" t="n">
        <v>-2948360</v>
      </c>
      <c r="F11" s="3" t="n"/>
    </row>
    <row r="12">
      <c r="A12" t="inlineStr">
        <is>
          <t>Net Interest Income</t>
        </is>
      </c>
      <c r="B12" s="3" t="n">
        <v>33087</v>
      </c>
      <c r="C12" s="3" t="n">
        <v>-175235</v>
      </c>
      <c r="D12" s="3" t="n">
        <v>-604308</v>
      </c>
      <c r="E12" s="3" t="n">
        <v>-255290</v>
      </c>
      <c r="F12" s="3" t="n"/>
    </row>
    <row r="13">
      <c r="A13" t="inlineStr">
        <is>
          <t>Interest Expense</t>
        </is>
      </c>
      <c r="B13" s="3" t="n">
        <v>1108637</v>
      </c>
      <c r="C13" s="3" t="n">
        <v>973235</v>
      </c>
      <c r="D13" s="3" t="n">
        <v>894621</v>
      </c>
      <c r="E13" s="3" t="n">
        <v>265522</v>
      </c>
      <c r="F13" s="3" t="n"/>
    </row>
    <row r="14">
      <c r="A14" t="inlineStr">
        <is>
          <t>Interest Income</t>
        </is>
      </c>
      <c r="B14" s="3" t="n">
        <v>1141724</v>
      </c>
      <c r="C14" s="3" t="n">
        <v>798000</v>
      </c>
      <c r="D14" s="3" t="n">
        <v>290313</v>
      </c>
      <c r="E14" s="3" t="n">
        <v>10232</v>
      </c>
      <c r="F14" s="3" t="n"/>
    </row>
    <row r="15">
      <c r="A15" t="inlineStr">
        <is>
          <t>Normalized Income</t>
        </is>
      </c>
      <c r="B15" s="3" t="n">
        <v>-12127387</v>
      </c>
      <c r="C15" s="3" t="n">
        <v>-19151197</v>
      </c>
      <c r="D15" s="3" t="n">
        <v>-20878292</v>
      </c>
      <c r="E15" s="3" t="n">
        <v>-3213882</v>
      </c>
      <c r="F15" s="3" t="n"/>
    </row>
    <row r="16">
      <c r="A16" t="inlineStr">
        <is>
          <t>Net Income From Continuing And Discontinued Operation</t>
        </is>
      </c>
      <c r="B16" s="3" t="n">
        <v>-12127387</v>
      </c>
      <c r="C16" s="3" t="n">
        <v>-19151197</v>
      </c>
      <c r="D16" s="3" t="n">
        <v>-20878292</v>
      </c>
      <c r="E16" s="3" t="n">
        <v>-3213882</v>
      </c>
      <c r="F16" s="3" t="n"/>
    </row>
    <row r="17">
      <c r="A17" t="inlineStr">
        <is>
          <t>Total Expenses</t>
        </is>
      </c>
      <c r="B17" s="3" t="n">
        <v>50678781</v>
      </c>
      <c r="C17" s="3" t="n">
        <v>39625490</v>
      </c>
      <c r="D17" s="3" t="n">
        <v>26149298</v>
      </c>
      <c r="E17" s="3" t="n">
        <v>4394739</v>
      </c>
      <c r="F17" s="3" t="n"/>
    </row>
    <row r="18">
      <c r="A18" t="inlineStr">
        <is>
          <t>Total Operating Income As Reported</t>
        </is>
      </c>
      <c r="B18" s="3" t="n">
        <v>-8194034</v>
      </c>
      <c r="C18" s="3" t="n">
        <v>-18975962</v>
      </c>
      <c r="D18" s="3" t="n">
        <v>-20273984</v>
      </c>
      <c r="E18" s="3" t="n">
        <v>-2958592</v>
      </c>
      <c r="F18" s="3" t="n"/>
    </row>
    <row r="19">
      <c r="A19" t="inlineStr">
        <is>
          <t>Diluted Average Shares</t>
        </is>
      </c>
      <c r="B19" s="3" t="n">
        <v>198699461</v>
      </c>
      <c r="C19" s="3" t="n">
        <v>181203673</v>
      </c>
      <c r="D19" s="3" t="n">
        <v>152069825</v>
      </c>
      <c r="E19" s="3" t="n">
        <v>128157040</v>
      </c>
      <c r="F19" s="3" t="n"/>
    </row>
    <row r="20">
      <c r="A20" t="inlineStr">
        <is>
          <t>Basic Average Shares</t>
        </is>
      </c>
      <c r="B20" s="3" t="n">
        <v>190009159</v>
      </c>
      <c r="C20" s="3" t="n">
        <v>170847444</v>
      </c>
      <c r="D20" s="3" t="n">
        <v>144866674</v>
      </c>
      <c r="E20" s="3" t="n">
        <v>128157040</v>
      </c>
      <c r="F20" s="3" t="n"/>
    </row>
    <row r="21">
      <c r="A21" t="inlineStr">
        <is>
          <t>Diluted EPS</t>
        </is>
      </c>
      <c r="B21" s="3" t="n">
        <v>-0.06</v>
      </c>
      <c r="C21" s="3" t="n">
        <v>-0.11</v>
      </c>
      <c r="D21" s="3" t="n">
        <v>-0.14</v>
      </c>
      <c r="E21" s="3" t="n">
        <v>-0.03</v>
      </c>
      <c r="F21" s="3" t="n"/>
    </row>
    <row r="22">
      <c r="A22" t="inlineStr">
        <is>
          <t>Basic EPS</t>
        </is>
      </c>
      <c r="B22" s="3" t="n">
        <v>-0.06</v>
      </c>
      <c r="C22" s="3" t="n">
        <v>-0.11</v>
      </c>
      <c r="D22" s="3" t="n">
        <v>-0.14</v>
      </c>
      <c r="E22" s="3" t="n">
        <v>-0.03</v>
      </c>
      <c r="F22" s="3" t="n"/>
    </row>
    <row r="23">
      <c r="A23" t="inlineStr">
        <is>
          <t>Diluted NI Availto Com Stockholders</t>
        </is>
      </c>
      <c r="B23" s="3" t="n">
        <v>-12127387</v>
      </c>
      <c r="C23" s="3" t="n">
        <v>-19151197</v>
      </c>
      <c r="D23" s="3" t="n">
        <v>-20878292</v>
      </c>
      <c r="E23" s="3" t="n">
        <v>-3213882</v>
      </c>
      <c r="F23" s="3" t="n"/>
    </row>
    <row r="24">
      <c r="A24" t="inlineStr">
        <is>
          <t>Net Income Common Stockholders</t>
        </is>
      </c>
      <c r="B24" s="3" t="n">
        <v>-12127387</v>
      </c>
      <c r="C24" s="3" t="n">
        <v>-19151197</v>
      </c>
      <c r="D24" s="3" t="n">
        <v>-20878292</v>
      </c>
      <c r="E24" s="3" t="n">
        <v>-3213882</v>
      </c>
      <c r="F24" s="3" t="n"/>
    </row>
    <row r="25">
      <c r="A25" t="inlineStr">
        <is>
          <t>Net Income</t>
        </is>
      </c>
      <c r="B25" s="3" t="n">
        <v>-12127387</v>
      </c>
      <c r="C25" s="3" t="n">
        <v>-19151197</v>
      </c>
      <c r="D25" s="3" t="n">
        <v>-20878292</v>
      </c>
      <c r="E25" s="3" t="n">
        <v>-3213882</v>
      </c>
      <c r="F25" s="3" t="n"/>
    </row>
    <row r="26">
      <c r="A26" t="inlineStr">
        <is>
          <t>Net Income Including Noncontrolling Interests</t>
        </is>
      </c>
      <c r="B26" s="3" t="n">
        <v>-12127387</v>
      </c>
      <c r="C26" s="3" t="n">
        <v>-19151197</v>
      </c>
      <c r="D26" s="3" t="n">
        <v>-20878292</v>
      </c>
      <c r="E26" s="3" t="n">
        <v>-3213882</v>
      </c>
      <c r="F26" s="3" t="n"/>
    </row>
    <row r="27">
      <c r="A27" t="inlineStr">
        <is>
          <t>Net Income Continuous Operations</t>
        </is>
      </c>
      <c r="B27" s="3" t="n">
        <v>-12127387</v>
      </c>
      <c r="C27" s="3" t="n">
        <v>-19151197</v>
      </c>
      <c r="D27" s="3" t="n">
        <v>-20878292</v>
      </c>
      <c r="E27" s="3" t="n">
        <v>-3213882</v>
      </c>
      <c r="F27" s="3" t="n"/>
    </row>
    <row r="28">
      <c r="A28" t="inlineStr">
        <is>
          <t>Tax Provision</t>
        </is>
      </c>
      <c r="B28" s="3" t="n">
        <v>3966440</v>
      </c>
      <c r="C28" s="3" t="n">
        <v>0</v>
      </c>
      <c r="D28" s="3" t="n">
        <v>0</v>
      </c>
      <c r="E28" s="3" t="n">
        <v>0</v>
      </c>
      <c r="F28" s="3" t="n"/>
    </row>
    <row r="29">
      <c r="A29" t="inlineStr">
        <is>
          <t>Pretax Income</t>
        </is>
      </c>
      <c r="B29" s="3" t="n">
        <v>-8160947</v>
      </c>
      <c r="C29" s="3" t="n">
        <v>-19151197</v>
      </c>
      <c r="D29" s="3" t="n">
        <v>-20878292</v>
      </c>
      <c r="E29" s="3" t="n">
        <v>-3213882</v>
      </c>
      <c r="F29" s="3" t="n"/>
    </row>
    <row r="30">
      <c r="A30" t="inlineStr">
        <is>
          <t>Other Income Expense</t>
        </is>
      </c>
      <c r="B30" s="3" t="n"/>
      <c r="C30" s="3" t="n"/>
      <c r="D30" s="3" t="n">
        <v>120000</v>
      </c>
      <c r="E30" s="3" t="n">
        <v>279975</v>
      </c>
      <c r="F30" s="3" t="n">
        <v>-77392</v>
      </c>
    </row>
    <row r="31">
      <c r="A31" t="inlineStr">
        <is>
          <t>Other Non Operating Income Expenses</t>
        </is>
      </c>
      <c r="B31" s="3" t="n"/>
      <c r="C31" s="3" t="n"/>
      <c r="D31" s="3" t="n">
        <v>120000</v>
      </c>
      <c r="E31" s="3" t="n">
        <v>279975</v>
      </c>
      <c r="F31" s="3" t="n"/>
    </row>
    <row r="32">
      <c r="A32" t="inlineStr">
        <is>
          <t>Special Income Charges</t>
        </is>
      </c>
      <c r="B32" s="3" t="n"/>
      <c r="C32" s="3" t="n"/>
      <c r="D32" s="3" t="n"/>
      <c r="E32" s="3" t="n"/>
      <c r="F32" s="3" t="n">
        <v>0</v>
      </c>
    </row>
    <row r="33">
      <c r="A33" t="inlineStr">
        <is>
          <t>Gain On Sale Of Security</t>
        </is>
      </c>
      <c r="B33" s="3" t="n"/>
      <c r="C33" s="3" t="n"/>
      <c r="D33" s="3" t="n"/>
      <c r="E33" s="3" t="n"/>
      <c r="F33" s="3" t="n">
        <v>-77392</v>
      </c>
    </row>
    <row r="34">
      <c r="A34" t="inlineStr">
        <is>
          <t>Net Non Operating Interest Income Expense</t>
        </is>
      </c>
      <c r="B34" s="3" t="n">
        <v>33087</v>
      </c>
      <c r="C34" s="3" t="n">
        <v>-175235</v>
      </c>
      <c r="D34" s="3" t="n">
        <v>-604308</v>
      </c>
      <c r="E34" s="3" t="n">
        <v>-255290</v>
      </c>
      <c r="F34" s="3" t="n"/>
    </row>
    <row r="35">
      <c r="A35" t="inlineStr">
        <is>
          <t>Interest Expense Non Operating</t>
        </is>
      </c>
      <c r="B35" s="3" t="n">
        <v>1108637</v>
      </c>
      <c r="C35" s="3" t="n">
        <v>973235</v>
      </c>
      <c r="D35" s="3" t="n">
        <v>894621</v>
      </c>
      <c r="E35" s="3" t="n">
        <v>265522</v>
      </c>
      <c r="F35" s="3" t="n"/>
    </row>
    <row r="36">
      <c r="A36" t="inlineStr">
        <is>
          <t>Interest Income Non Operating</t>
        </is>
      </c>
      <c r="B36" s="3" t="n">
        <v>1141724</v>
      </c>
      <c r="C36" s="3" t="n">
        <v>798000</v>
      </c>
      <c r="D36" s="3" t="n">
        <v>290313</v>
      </c>
      <c r="E36" s="3" t="n">
        <v>10232</v>
      </c>
      <c r="F36" s="3" t="n"/>
    </row>
    <row r="37">
      <c r="A37" t="inlineStr">
        <is>
          <t>Operating Income</t>
        </is>
      </c>
      <c r="B37" s="3" t="n">
        <v>-8194034</v>
      </c>
      <c r="C37" s="3" t="n">
        <v>-18975962</v>
      </c>
      <c r="D37" s="3" t="n">
        <v>-20273984</v>
      </c>
      <c r="E37" s="3" t="n">
        <v>-2958592</v>
      </c>
      <c r="F37" s="3" t="n"/>
    </row>
    <row r="38">
      <c r="A38" t="inlineStr">
        <is>
          <t>Operating Expense</t>
        </is>
      </c>
      <c r="B38" s="3" t="n">
        <v>27738289</v>
      </c>
      <c r="C38" s="3" t="n">
        <v>27428328</v>
      </c>
      <c r="D38" s="3" t="n">
        <v>20999512</v>
      </c>
      <c r="E38" s="3" t="n">
        <v>3019169</v>
      </c>
      <c r="F38" s="3" t="n"/>
    </row>
    <row r="39">
      <c r="A39" t="inlineStr">
        <is>
          <t>Depreciation Amortization Depletion Income Statement</t>
        </is>
      </c>
      <c r="B39" s="3" t="n">
        <v>1075907</v>
      </c>
      <c r="C39" s="3" t="n">
        <v>436005</v>
      </c>
      <c r="D39" s="3" t="n">
        <v>152738</v>
      </c>
      <c r="E39" s="3" t="n">
        <v>96577</v>
      </c>
      <c r="F39" s="3" t="n"/>
    </row>
    <row r="40">
      <c r="A40" t="inlineStr">
        <is>
          <t>Depreciation And Amortization In Income Statement</t>
        </is>
      </c>
      <c r="B40" s="3" t="n">
        <v>1075907</v>
      </c>
      <c r="C40" s="3" t="n">
        <v>436005</v>
      </c>
      <c r="D40" s="3" t="n">
        <v>152738</v>
      </c>
      <c r="E40" s="3" t="n">
        <v>96577</v>
      </c>
      <c r="F40" s="3" t="n"/>
    </row>
    <row r="41">
      <c r="A41" t="inlineStr">
        <is>
          <t>Depreciation Income Statement</t>
        </is>
      </c>
      <c r="B41" s="3" t="n"/>
      <c r="C41" s="3" t="n"/>
      <c r="D41" s="3" t="n">
        <v>152738</v>
      </c>
      <c r="E41" s="3" t="n">
        <v>96577</v>
      </c>
      <c r="F41" s="3" t="n"/>
    </row>
    <row r="42">
      <c r="A42" t="inlineStr">
        <is>
          <t>Research And Development</t>
        </is>
      </c>
      <c r="B42" s="3" t="n">
        <v>3685840</v>
      </c>
      <c r="C42" s="3" t="n">
        <v>2491771</v>
      </c>
      <c r="D42" s="3" t="n">
        <v>1058660</v>
      </c>
      <c r="E42" s="3" t="n">
        <v>987443</v>
      </c>
      <c r="F42" s="3" t="n"/>
    </row>
    <row r="43">
      <c r="A43" t="inlineStr">
        <is>
          <t>Selling General And Administration</t>
        </is>
      </c>
      <c r="B43" s="3" t="n">
        <v>22976542</v>
      </c>
      <c r="C43" s="3" t="n">
        <v>24500552</v>
      </c>
      <c r="D43" s="3" t="n">
        <v>19788114</v>
      </c>
      <c r="E43" s="3" t="n">
        <v>1935149</v>
      </c>
      <c r="F43" s="3" t="n"/>
    </row>
    <row r="44">
      <c r="A44" t="inlineStr">
        <is>
          <t>General And Administrative Expense</t>
        </is>
      </c>
      <c r="B44" s="3" t="n">
        <v>22976542</v>
      </c>
      <c r="C44" s="3" t="n">
        <v>24500552</v>
      </c>
      <c r="D44" s="3" t="n">
        <v>19788114</v>
      </c>
      <c r="E44" s="3" t="n">
        <v>1935149</v>
      </c>
      <c r="F44" s="3" t="n"/>
    </row>
    <row r="45">
      <c r="A45" t="inlineStr">
        <is>
          <t>Other Gand A</t>
        </is>
      </c>
      <c r="B45" s="3" t="n">
        <v>14848439</v>
      </c>
      <c r="C45" s="3" t="n">
        <v>10157768</v>
      </c>
      <c r="D45" s="3" t="n">
        <v>10064622</v>
      </c>
      <c r="E45" s="3" t="n">
        <v>1935149</v>
      </c>
      <c r="F45" s="3" t="n"/>
    </row>
    <row r="46">
      <c r="A46" t="inlineStr">
        <is>
          <t>Salaries And Wages</t>
        </is>
      </c>
      <c r="B46" s="3" t="n">
        <v>8128103</v>
      </c>
      <c r="C46" s="3" t="n">
        <v>14342784</v>
      </c>
      <c r="D46" s="3" t="n">
        <v>9723492</v>
      </c>
      <c r="E46" s="3" t="n">
        <v>0</v>
      </c>
      <c r="F46" s="3" t="n"/>
    </row>
    <row r="47">
      <c r="A47" t="inlineStr">
        <is>
          <t>Gross Profit</t>
        </is>
      </c>
      <c r="B47" s="3" t="n">
        <v>19544255</v>
      </c>
      <c r="C47" s="3" t="n">
        <v>8452366</v>
      </c>
      <c r="D47" s="3" t="n">
        <v>725528</v>
      </c>
      <c r="E47" s="3" t="n">
        <v>60577</v>
      </c>
      <c r="F47" s="3" t="n"/>
    </row>
    <row r="48">
      <c r="A48" t="inlineStr">
        <is>
          <t>Cost Of Revenue</t>
        </is>
      </c>
      <c r="B48" s="3" t="n">
        <v>22940492</v>
      </c>
      <c r="C48" s="3" t="n">
        <v>12197162</v>
      </c>
      <c r="D48" s="3" t="n">
        <v>5149786</v>
      </c>
      <c r="E48" s="3" t="n">
        <v>1375570</v>
      </c>
      <c r="F48" s="3" t="n"/>
    </row>
    <row r="49">
      <c r="A49" t="inlineStr">
        <is>
          <t>Total Revenue</t>
        </is>
      </c>
      <c r="B49" s="3" t="n">
        <v>42484747</v>
      </c>
      <c r="C49" s="3" t="n">
        <v>20649528</v>
      </c>
      <c r="D49" s="3" t="n">
        <v>5875314</v>
      </c>
      <c r="E49" s="3" t="n">
        <v>1436147</v>
      </c>
      <c r="F49" s="3" t="n"/>
    </row>
    <row r="50">
      <c r="A50" t="inlineStr">
        <is>
          <t>Operating Revenue</t>
        </is>
      </c>
      <c r="B50" s="3" t="n">
        <v>42484747</v>
      </c>
      <c r="C50" s="3" t="n">
        <v>20649528</v>
      </c>
      <c r="D50" s="3" t="n">
        <v>5875314</v>
      </c>
      <c r="E50" s="3" t="n">
        <v>1436147</v>
      </c>
      <c r="F5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0.4</v>
      </c>
      <c r="C3" s="3" t="n">
        <v>0.3</v>
      </c>
      <c r="D3" s="3" t="n">
        <v>0.3</v>
      </c>
      <c r="E3" s="3" t="n">
        <v>0.3</v>
      </c>
      <c r="F3" s="3" t="n">
        <v>0</v>
      </c>
    </row>
    <row r="4">
      <c r="A4" t="inlineStr">
        <is>
          <t>Normalized EBITDA</t>
        </is>
      </c>
      <c r="B4" s="3" t="n">
        <v>-2823421</v>
      </c>
      <c r="C4" s="3" t="n">
        <v>-60940</v>
      </c>
      <c r="D4" s="3" t="n">
        <v>-1397096</v>
      </c>
      <c r="E4" s="3" t="n">
        <v>574199</v>
      </c>
      <c r="F4" s="3" t="n">
        <v>-5092566</v>
      </c>
    </row>
    <row r="5">
      <c r="A5" t="inlineStr">
        <is>
          <t>Net Income From Continuing Operation Net Minority Interest</t>
        </is>
      </c>
      <c r="B5" s="3" t="n">
        <v>-3582571</v>
      </c>
      <c r="C5" s="3" t="n">
        <v>-2471379</v>
      </c>
      <c r="D5" s="3" t="n">
        <v>-3717964</v>
      </c>
      <c r="E5" s="3" t="n">
        <v>-256691</v>
      </c>
      <c r="F5" s="3" t="n">
        <v>-5681353</v>
      </c>
    </row>
    <row r="6">
      <c r="A6" t="inlineStr">
        <is>
          <t>Reconciled Depreciation</t>
        </is>
      </c>
      <c r="B6" s="3" t="n">
        <v>323747</v>
      </c>
      <c r="C6" s="3" t="n">
        <v>309491</v>
      </c>
      <c r="D6" s="3" t="n">
        <v>297173</v>
      </c>
      <c r="E6" s="3" t="n">
        <v>260361</v>
      </c>
      <c r="F6" s="3" t="n">
        <v>208882</v>
      </c>
    </row>
    <row r="7">
      <c r="A7" t="inlineStr">
        <is>
          <t>Reconciled Cost Of Revenue</t>
        </is>
      </c>
      <c r="B7" s="3" t="n">
        <v>5774145</v>
      </c>
      <c r="C7" s="3" t="n">
        <v>8157430</v>
      </c>
      <c r="D7" s="3" t="n">
        <v>6664413</v>
      </c>
      <c r="E7" s="3" t="n">
        <v>4085247</v>
      </c>
      <c r="F7" s="3" t="n">
        <v>4033402</v>
      </c>
    </row>
    <row r="8">
      <c r="A8" t="inlineStr">
        <is>
          <t>EBITDA</t>
        </is>
      </c>
      <c r="B8" s="3" t="n">
        <v>-2823421</v>
      </c>
      <c r="C8" s="3" t="n">
        <v>-60940</v>
      </c>
      <c r="D8" s="3" t="n">
        <v>-1397096</v>
      </c>
      <c r="E8" s="3" t="n">
        <v>574199</v>
      </c>
      <c r="F8" s="3" t="n">
        <v>-5092566</v>
      </c>
    </row>
    <row r="9">
      <c r="A9" t="inlineStr">
        <is>
          <t>EBIT</t>
        </is>
      </c>
      <c r="B9" s="3" t="n">
        <v>-3147168</v>
      </c>
      <c r="C9" s="3" t="n">
        <v>-370431</v>
      </c>
      <c r="D9" s="3" t="n">
        <v>-1694269</v>
      </c>
      <c r="E9" s="3" t="n">
        <v>313838</v>
      </c>
      <c r="F9" s="3" t="n">
        <v>-5301448</v>
      </c>
    </row>
    <row r="10">
      <c r="A10" t="inlineStr">
        <is>
          <t>Net Interest Income</t>
        </is>
      </c>
      <c r="B10" s="3" t="n">
        <v>207538</v>
      </c>
      <c r="C10" s="3" t="n">
        <v>29270</v>
      </c>
      <c r="D10" s="3" t="n">
        <v>-35634</v>
      </c>
      <c r="E10" s="3" t="n">
        <v>24</v>
      </c>
      <c r="F10" s="3" t="n">
        <v>240500</v>
      </c>
    </row>
    <row r="11">
      <c r="A11" t="inlineStr">
        <is>
          <t>Interest Expense</t>
        </is>
      </c>
      <c r="B11" s="3" t="n">
        <v>284051</v>
      </c>
      <c r="C11" s="3" t="n">
        <v>335296</v>
      </c>
      <c r="D11" s="3" t="n">
        <v>176636</v>
      </c>
      <c r="E11" s="3" t="n">
        <v>216800</v>
      </c>
      <c r="F11" s="3" t="n">
        <v>379905</v>
      </c>
    </row>
    <row r="12">
      <c r="A12" t="inlineStr">
        <is>
          <t>Interest Income</t>
        </is>
      </c>
      <c r="B12" s="3" t="n">
        <v>491589</v>
      </c>
      <c r="C12" s="3" t="n">
        <v>364566</v>
      </c>
      <c r="D12" s="3" t="n">
        <v>141002</v>
      </c>
      <c r="E12" s="3" t="n">
        <v>216824</v>
      </c>
      <c r="F12" s="3" t="n">
        <v>620405</v>
      </c>
    </row>
    <row r="13">
      <c r="A13" t="inlineStr">
        <is>
          <t>Normalized Income</t>
        </is>
      </c>
      <c r="B13" s="3" t="n">
        <v>-3582571</v>
      </c>
      <c r="C13" s="3" t="n">
        <v>-2471379</v>
      </c>
      <c r="D13" s="3" t="n">
        <v>-3717964</v>
      </c>
      <c r="E13" s="3" t="n">
        <v>-256691</v>
      </c>
      <c r="F13" s="3" t="n">
        <v>-5681353</v>
      </c>
    </row>
    <row r="14">
      <c r="A14" t="inlineStr">
        <is>
          <t>Net Income From Continuing And Discontinued Operation</t>
        </is>
      </c>
      <c r="B14" s="3" t="n">
        <v>-3582571</v>
      </c>
      <c r="C14" s="3" t="n">
        <v>-2471379</v>
      </c>
      <c r="D14" s="3" t="n">
        <v>-3717964</v>
      </c>
      <c r="E14" s="3" t="n">
        <v>-256691</v>
      </c>
      <c r="F14" s="3" t="n">
        <v>-5681353</v>
      </c>
    </row>
    <row r="15">
      <c r="A15" t="inlineStr">
        <is>
          <t>Total Expenses</t>
        </is>
      </c>
      <c r="B15" s="3" t="n">
        <v>14740123</v>
      </c>
      <c r="C15" s="3" t="n">
        <v>15269480</v>
      </c>
      <c r="D15" s="3" t="n">
        <v>14664620</v>
      </c>
      <c r="E15" s="3" t="n">
        <v>9903291</v>
      </c>
      <c r="F15" s="3" t="n">
        <v>11042463</v>
      </c>
    </row>
    <row r="16">
      <c r="A16" t="inlineStr">
        <is>
          <t>Total Operating Income As Reported</t>
        </is>
      </c>
      <c r="B16" s="3" t="n">
        <v>-3638757</v>
      </c>
      <c r="C16" s="3" t="n">
        <v>-734997</v>
      </c>
      <c r="D16" s="3" t="n">
        <v>-1835271</v>
      </c>
      <c r="E16" s="3" t="n">
        <v>97014</v>
      </c>
      <c r="F16" s="3" t="n">
        <v>-5921853</v>
      </c>
    </row>
    <row r="17">
      <c r="A17" t="inlineStr">
        <is>
          <t>Diluted Average Shares</t>
        </is>
      </c>
      <c r="B17" s="3" t="n">
        <v>205309556</v>
      </c>
      <c r="C17" s="3" t="n">
        <v>194165141</v>
      </c>
      <c r="D17" s="3" t="n">
        <v>202856501</v>
      </c>
      <c r="E17" s="3" t="n">
        <v>202835698</v>
      </c>
      <c r="F17" s="3" t="n">
        <v>188599859</v>
      </c>
    </row>
    <row r="18">
      <c r="A18" t="inlineStr">
        <is>
          <t>Basic Average Shares</t>
        </is>
      </c>
      <c r="B18" s="3" t="n">
        <v>196007956</v>
      </c>
      <c r="C18" s="3" t="n">
        <v>194165141</v>
      </c>
      <c r="D18" s="3" t="n">
        <v>193589845</v>
      </c>
      <c r="E18" s="3" t="n">
        <v>193571635</v>
      </c>
      <c r="F18" s="3" t="n">
        <v>178836342</v>
      </c>
    </row>
    <row r="19">
      <c r="A19" t="inlineStr">
        <is>
          <t>Diluted EPS</t>
        </is>
      </c>
      <c r="B19" s="3" t="n">
        <v>-0.02</v>
      </c>
      <c r="C19" s="3" t="n">
        <v>-0.012728</v>
      </c>
      <c r="D19" s="3" t="n">
        <v>-0.02</v>
      </c>
      <c r="E19" s="3" t="n">
        <v>0</v>
      </c>
      <c r="F19" s="3" t="n">
        <v>-0.03</v>
      </c>
    </row>
    <row r="20">
      <c r="A20" t="inlineStr">
        <is>
          <t>Basic EPS</t>
        </is>
      </c>
      <c r="B20" s="3" t="n">
        <v>-0.02</v>
      </c>
      <c r="C20" s="3" t="n">
        <v>-0.012728</v>
      </c>
      <c r="D20" s="3" t="n">
        <v>-0.02</v>
      </c>
      <c r="E20" s="3" t="n">
        <v>0</v>
      </c>
      <c r="F20" s="3" t="n">
        <v>-0.03</v>
      </c>
    </row>
    <row r="21">
      <c r="A21" t="inlineStr">
        <is>
          <t>Diluted NI Availto Com Stockholders</t>
        </is>
      </c>
      <c r="B21" s="3" t="n">
        <v>-3582571</v>
      </c>
      <c r="C21" s="3" t="n">
        <v>-2471379</v>
      </c>
      <c r="D21" s="3" t="n">
        <v>-3717964</v>
      </c>
      <c r="E21" s="3" t="n">
        <v>-256691</v>
      </c>
      <c r="F21" s="3" t="n">
        <v>-5681353</v>
      </c>
    </row>
    <row r="22">
      <c r="A22" t="inlineStr">
        <is>
          <t>Net Income Common Stockholders</t>
        </is>
      </c>
      <c r="B22" s="3" t="n">
        <v>-3582571</v>
      </c>
      <c r="C22" s="3" t="n">
        <v>-2471379</v>
      </c>
      <c r="D22" s="3" t="n">
        <v>-3717964</v>
      </c>
      <c r="E22" s="3" t="n">
        <v>-256691</v>
      </c>
      <c r="F22" s="3" t="n">
        <v>-5681353</v>
      </c>
    </row>
    <row r="23">
      <c r="A23" t="inlineStr">
        <is>
          <t>Net Income</t>
        </is>
      </c>
      <c r="B23" s="3" t="n">
        <v>-3582571</v>
      </c>
      <c r="C23" s="3" t="n">
        <v>-2471379</v>
      </c>
      <c r="D23" s="3" t="n">
        <v>-3717964</v>
      </c>
      <c r="E23" s="3" t="n">
        <v>-256691</v>
      </c>
      <c r="F23" s="3" t="n">
        <v>-5681353</v>
      </c>
    </row>
    <row r="24">
      <c r="A24" t="inlineStr">
        <is>
          <t>Net Income Including Noncontrolling Interests</t>
        </is>
      </c>
      <c r="B24" s="3" t="n">
        <v>-3582571</v>
      </c>
      <c r="C24" s="3" t="n">
        <v>-2471379</v>
      </c>
      <c r="D24" s="3" t="n">
        <v>-3717964</v>
      </c>
      <c r="E24" s="3" t="n">
        <v>-256691</v>
      </c>
      <c r="F24" s="3" t="n">
        <v>-5681353</v>
      </c>
    </row>
    <row r="25">
      <c r="A25" t="inlineStr">
        <is>
          <t>Net Income Continuous Operations</t>
        </is>
      </c>
      <c r="B25" s="3" t="n">
        <v>-3582571</v>
      </c>
      <c r="C25" s="3" t="n">
        <v>-2471379</v>
      </c>
      <c r="D25" s="3" t="n">
        <v>-3717964</v>
      </c>
      <c r="E25" s="3" t="n">
        <v>-256691</v>
      </c>
      <c r="F25" s="3" t="n">
        <v>-5681353</v>
      </c>
    </row>
    <row r="26">
      <c r="A26" t="inlineStr">
        <is>
          <t>Tax Provision</t>
        </is>
      </c>
      <c r="B26" s="3" t="n">
        <v>151352</v>
      </c>
      <c r="C26" s="3" t="n">
        <v>1765652</v>
      </c>
      <c r="D26" s="3" t="n">
        <v>1847059</v>
      </c>
      <c r="E26" s="3" t="n">
        <v>353729</v>
      </c>
      <c r="F26" s="3" t="n">
        <v>0</v>
      </c>
    </row>
    <row r="27">
      <c r="A27" t="inlineStr">
        <is>
          <t>Pretax Income</t>
        </is>
      </c>
      <c r="B27" s="3" t="n">
        <v>-3431219</v>
      </c>
      <c r="C27" s="3" t="n">
        <v>-705727</v>
      </c>
      <c r="D27" s="3" t="n">
        <v>-1870905</v>
      </c>
      <c r="E27" s="3" t="n">
        <v>97038</v>
      </c>
      <c r="F27" s="3" t="n">
        <v>-5681353</v>
      </c>
    </row>
    <row r="28">
      <c r="A28" t="inlineStr">
        <is>
          <t>Net Non Operating Interest Income Expense</t>
        </is>
      </c>
      <c r="B28" s="3" t="n">
        <v>207538</v>
      </c>
      <c r="C28" s="3" t="n">
        <v>29270</v>
      </c>
      <c r="D28" s="3" t="n">
        <v>-35634</v>
      </c>
      <c r="E28" s="3" t="n">
        <v>24</v>
      </c>
      <c r="F28" s="3" t="n">
        <v>240500</v>
      </c>
    </row>
    <row r="29">
      <c r="A29" t="inlineStr">
        <is>
          <t>Interest Expense Non Operating</t>
        </is>
      </c>
      <c r="B29" s="3" t="n">
        <v>284051</v>
      </c>
      <c r="C29" s="3" t="n">
        <v>335296</v>
      </c>
      <c r="D29" s="3" t="n">
        <v>176636</v>
      </c>
      <c r="E29" s="3" t="n">
        <v>216800</v>
      </c>
      <c r="F29" s="3" t="n">
        <v>379905</v>
      </c>
    </row>
    <row r="30">
      <c r="A30" t="inlineStr">
        <is>
          <t>Interest Income Non Operating</t>
        </is>
      </c>
      <c r="B30" s="3" t="n">
        <v>491589</v>
      </c>
      <c r="C30" s="3" t="n">
        <v>364566</v>
      </c>
      <c r="D30" s="3" t="n">
        <v>141002</v>
      </c>
      <c r="E30" s="3" t="n">
        <v>216824</v>
      </c>
      <c r="F30" s="3" t="n">
        <v>620405</v>
      </c>
    </row>
    <row r="31">
      <c r="A31" t="inlineStr">
        <is>
          <t>Operating Income</t>
        </is>
      </c>
      <c r="B31" s="3" t="n">
        <v>-3638757</v>
      </c>
      <c r="C31" s="3" t="n">
        <v>-734997</v>
      </c>
      <c r="D31" s="3" t="n">
        <v>-1835271</v>
      </c>
      <c r="E31" s="3" t="n">
        <v>97014</v>
      </c>
      <c r="F31" s="3" t="n">
        <v>-5921853</v>
      </c>
    </row>
    <row r="32">
      <c r="A32" t="inlineStr">
        <is>
          <t>Operating Expense</t>
        </is>
      </c>
      <c r="B32" s="3" t="n">
        <v>8965978</v>
      </c>
      <c r="C32" s="3" t="n">
        <v>7112050</v>
      </c>
      <c r="D32" s="3" t="n">
        <v>8000207</v>
      </c>
      <c r="E32" s="3" t="n">
        <v>5818044</v>
      </c>
      <c r="F32" s="3" t="n">
        <v>7009061</v>
      </c>
    </row>
    <row r="33">
      <c r="A33" t="inlineStr">
        <is>
          <t>Depreciation Amortization Depletion Income Statement</t>
        </is>
      </c>
      <c r="B33" s="3" t="n">
        <v>323747</v>
      </c>
      <c r="C33" s="3" t="n">
        <v>309491</v>
      </c>
      <c r="D33" s="3" t="n">
        <v>297173</v>
      </c>
      <c r="E33" s="3" t="n">
        <v>260361</v>
      </c>
      <c r="F33" s="3" t="n">
        <v>208882</v>
      </c>
    </row>
    <row r="34">
      <c r="A34" t="inlineStr">
        <is>
          <t>Depreciation And Amortization In Income Statement</t>
        </is>
      </c>
      <c r="B34" s="3" t="n">
        <v>323747</v>
      </c>
      <c r="C34" s="3" t="n">
        <v>309491</v>
      </c>
      <c r="D34" s="3" t="n">
        <v>297173</v>
      </c>
      <c r="E34" s="3" t="n">
        <v>260361</v>
      </c>
      <c r="F34" s="3" t="n">
        <v>208882</v>
      </c>
    </row>
    <row r="35">
      <c r="A35" t="inlineStr">
        <is>
          <t>Depreciation Income Statement</t>
        </is>
      </c>
      <c r="B35" s="3" t="n"/>
      <c r="C35" s="3" t="n"/>
      <c r="D35" s="3" t="n"/>
      <c r="E35" s="3" t="n">
        <v>260361</v>
      </c>
      <c r="F35" s="3" t="n">
        <v>208882</v>
      </c>
    </row>
    <row r="36">
      <c r="A36" t="inlineStr">
        <is>
          <t>Research And Development</t>
        </is>
      </c>
      <c r="B36" s="3" t="n">
        <v>995440</v>
      </c>
      <c r="C36" s="3" t="n">
        <v>1390826</v>
      </c>
      <c r="D36" s="3" t="n">
        <v>786319</v>
      </c>
      <c r="E36" s="3" t="n">
        <v>498600</v>
      </c>
      <c r="F36" s="3" t="n">
        <v>1010095</v>
      </c>
    </row>
    <row r="37">
      <c r="A37" t="inlineStr">
        <is>
          <t>Selling General And Administration</t>
        </is>
      </c>
      <c r="B37" s="3" t="n">
        <v>7646791</v>
      </c>
      <c r="C37" s="3" t="n">
        <v>5411733</v>
      </c>
      <c r="D37" s="3" t="n">
        <v>6916715</v>
      </c>
      <c r="E37" s="3" t="n">
        <v>5059083</v>
      </c>
      <c r="F37" s="3" t="n">
        <v>5790084</v>
      </c>
    </row>
    <row r="38">
      <c r="A38" t="inlineStr">
        <is>
          <t>General And Administrative Expense</t>
        </is>
      </c>
      <c r="B38" s="3" t="n">
        <v>7646791</v>
      </c>
      <c r="C38" s="3" t="n">
        <v>5411733</v>
      </c>
      <c r="D38" s="3" t="n">
        <v>6916715</v>
      </c>
      <c r="E38" s="3" t="n">
        <v>5059083</v>
      </c>
      <c r="F38" s="3" t="n">
        <v>5790084</v>
      </c>
    </row>
    <row r="39">
      <c r="A39" t="inlineStr">
        <is>
          <t>Other Gand A</t>
        </is>
      </c>
      <c r="B39" s="3" t="n">
        <v>4502476</v>
      </c>
      <c r="C39" s="3" t="n">
        <v>3388300</v>
      </c>
      <c r="D39" s="3" t="n">
        <v>4821552</v>
      </c>
      <c r="E39" s="3" t="n">
        <v>3428788</v>
      </c>
      <c r="F39" s="3" t="n">
        <v>3410872</v>
      </c>
    </row>
    <row r="40">
      <c r="A40" t="inlineStr">
        <is>
          <t>Salaries And Wages</t>
        </is>
      </c>
      <c r="B40" s="3" t="n">
        <v>3144315</v>
      </c>
      <c r="C40" s="3" t="n">
        <v>2023433</v>
      </c>
      <c r="D40" s="3" t="n">
        <v>2095163</v>
      </c>
      <c r="E40" s="3" t="n">
        <v>1630295</v>
      </c>
      <c r="F40" s="3" t="n">
        <v>2379212</v>
      </c>
    </row>
    <row r="41">
      <c r="A41" t="inlineStr">
        <is>
          <t>Gross Profit</t>
        </is>
      </c>
      <c r="B41" s="3" t="n">
        <v>5327221</v>
      </c>
      <c r="C41" s="3" t="n">
        <v>6377053</v>
      </c>
      <c r="D41" s="3" t="n">
        <v>6164936</v>
      </c>
      <c r="E41" s="3" t="n">
        <v>5915058</v>
      </c>
      <c r="F41" s="3" t="n">
        <v>1087208</v>
      </c>
    </row>
    <row r="42">
      <c r="A42" t="inlineStr">
        <is>
          <t>Cost Of Revenue</t>
        </is>
      </c>
      <c r="B42" s="3" t="n">
        <v>5774145</v>
      </c>
      <c r="C42" s="3" t="n">
        <v>8157430</v>
      </c>
      <c r="D42" s="3" t="n">
        <v>6664413</v>
      </c>
      <c r="E42" s="3" t="n">
        <v>4085247</v>
      </c>
      <c r="F42" s="3" t="n">
        <v>4033402</v>
      </c>
    </row>
    <row r="43">
      <c r="A43" t="inlineStr">
        <is>
          <t>Total Revenue</t>
        </is>
      </c>
      <c r="B43" s="3" t="n">
        <v>11101366</v>
      </c>
      <c r="C43" s="3" t="n">
        <v>14534483</v>
      </c>
      <c r="D43" s="3" t="n">
        <v>12829349</v>
      </c>
      <c r="E43" s="3" t="n">
        <v>10000305</v>
      </c>
      <c r="F43" s="3" t="n">
        <v>5120610</v>
      </c>
    </row>
    <row r="44">
      <c r="A44" t="inlineStr">
        <is>
          <t>Operating Revenue</t>
        </is>
      </c>
      <c r="B44" s="3" t="n">
        <v>11101366</v>
      </c>
      <c r="C44" s="3" t="n">
        <v>14534483</v>
      </c>
      <c r="D44" s="3" t="n">
        <v>12829349</v>
      </c>
      <c r="E44" s="3" t="n">
        <v>10000305</v>
      </c>
      <c r="F44" s="3" t="n">
        <v>5120610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194165141</v>
      </c>
      <c r="C3" s="3" t="n">
        <v>171579284</v>
      </c>
      <c r="D3" s="3" t="n">
        <v>170711880</v>
      </c>
      <c r="E3" s="3" t="n">
        <v>5388773</v>
      </c>
      <c r="F3" s="3" t="n"/>
    </row>
    <row r="4">
      <c r="A4" t="inlineStr">
        <is>
          <t>Share Issued</t>
        </is>
      </c>
      <c r="B4" s="3" t="n">
        <v>194165141</v>
      </c>
      <c r="C4" s="3" t="n">
        <v>171579284</v>
      </c>
      <c r="D4" s="3" t="n">
        <v>170711880</v>
      </c>
      <c r="E4" s="3" t="n">
        <v>5388773</v>
      </c>
      <c r="F4" s="3" t="n"/>
    </row>
    <row r="5">
      <c r="A5" t="inlineStr">
        <is>
          <t>Net Debt</t>
        </is>
      </c>
      <c r="B5" s="3" t="n">
        <v>8236542</v>
      </c>
      <c r="C5" s="3" t="n">
        <v>14978406</v>
      </c>
      <c r="D5" s="3" t="n">
        <v>4506839</v>
      </c>
      <c r="E5" s="3" t="n">
        <v>6495766</v>
      </c>
      <c r="F5" s="3" t="n"/>
    </row>
    <row r="6">
      <c r="A6" t="inlineStr">
        <is>
          <t>Total Debt</t>
        </is>
      </c>
      <c r="B6" s="3" t="n">
        <v>14359814</v>
      </c>
      <c r="C6" s="3" t="n">
        <v>18203542</v>
      </c>
      <c r="D6" s="3" t="n">
        <v>9277012</v>
      </c>
      <c r="E6" s="3" t="n">
        <v>8265940</v>
      </c>
      <c r="F6" s="3" t="n"/>
    </row>
    <row r="7">
      <c r="A7" t="inlineStr">
        <is>
          <t>Tangible Book Value</t>
        </is>
      </c>
      <c r="B7" s="3" t="n">
        <v>38218250</v>
      </c>
      <c r="C7" s="3" t="n">
        <v>13457102</v>
      </c>
      <c r="D7" s="3" t="n">
        <v>19718077</v>
      </c>
      <c r="E7" s="3" t="n">
        <v>-2678537</v>
      </c>
      <c r="F7" s="3" t="n"/>
    </row>
    <row r="8">
      <c r="A8" t="inlineStr">
        <is>
          <t>Invested Capital</t>
        </is>
      </c>
      <c r="B8" s="3" t="n">
        <v>49661198</v>
      </c>
      <c r="C8" s="3" t="n">
        <v>28902008</v>
      </c>
      <c r="D8" s="3" t="n">
        <v>26247192</v>
      </c>
      <c r="E8" s="3" t="n">
        <v>4034406</v>
      </c>
      <c r="F8" s="3" t="n"/>
    </row>
    <row r="9">
      <c r="A9" t="inlineStr">
        <is>
          <t>Working Capital</t>
        </is>
      </c>
      <c r="B9" s="3" t="n">
        <v>22558961</v>
      </c>
      <c r="C9" s="3" t="n">
        <v>6086069</v>
      </c>
      <c r="D9" s="3" t="n">
        <v>12954939</v>
      </c>
      <c r="E9" s="3" t="n">
        <v>-3670954</v>
      </c>
      <c r="F9" s="3" t="n"/>
    </row>
    <row r="10">
      <c r="A10" t="inlineStr">
        <is>
          <t>Net Tangible Assets</t>
        </is>
      </c>
      <c r="B10" s="3" t="n">
        <v>38218251</v>
      </c>
      <c r="C10" s="3" t="n">
        <v>13457103</v>
      </c>
      <c r="D10" s="3" t="n">
        <v>19718078</v>
      </c>
      <c r="E10" s="3" t="n">
        <v>-2678537</v>
      </c>
      <c r="F10" s="3" t="n"/>
    </row>
    <row r="11">
      <c r="A11" t="inlineStr">
        <is>
          <t>Capital Lease Obligations</t>
        </is>
      </c>
      <c r="B11" s="3" t="n">
        <v>2916866</v>
      </c>
      <c r="C11" s="3" t="n">
        <v>2758636</v>
      </c>
      <c r="D11" s="3" t="n">
        <v>2747897</v>
      </c>
      <c r="E11" s="3" t="n">
        <v>1552997</v>
      </c>
      <c r="F11" s="3" t="n"/>
    </row>
    <row r="12">
      <c r="A12" t="inlineStr">
        <is>
          <t>Common Stock Equity</t>
        </is>
      </c>
      <c r="B12" s="3" t="n">
        <v>38218250</v>
      </c>
      <c r="C12" s="3" t="n">
        <v>13457102</v>
      </c>
      <c r="D12" s="3" t="n">
        <v>19718077</v>
      </c>
      <c r="E12" s="3" t="n">
        <v>-2678537</v>
      </c>
      <c r="F12" s="3" t="n"/>
    </row>
    <row r="13">
      <c r="A13" t="inlineStr">
        <is>
          <t>Preferred Stock Equity</t>
        </is>
      </c>
      <c r="B13" s="3" t="n">
        <v>1</v>
      </c>
      <c r="C13" s="3" t="n">
        <v>1</v>
      </c>
      <c r="D13" s="3" t="n">
        <v>1</v>
      </c>
      <c r="E13" s="3" t="n"/>
      <c r="F13" s="3" t="n"/>
    </row>
    <row r="14">
      <c r="A14" t="inlineStr">
        <is>
          <t>Total Capitalization</t>
        </is>
      </c>
      <c r="B14" s="3" t="n">
        <v>38218251</v>
      </c>
      <c r="C14" s="3" t="n">
        <v>13457103</v>
      </c>
      <c r="D14" s="3" t="n">
        <v>19718078</v>
      </c>
      <c r="E14" s="3" t="n">
        <v>-2209520</v>
      </c>
      <c r="F14" s="3" t="n"/>
    </row>
    <row r="15">
      <c r="A15" t="inlineStr">
        <is>
          <t>Total Equity Gross Minority Interest</t>
        </is>
      </c>
      <c r="B15" s="3" t="n">
        <v>38218251</v>
      </c>
      <c r="C15" s="3" t="n">
        <v>13457103</v>
      </c>
      <c r="D15" s="3" t="n">
        <v>19718078</v>
      </c>
      <c r="E15" s="3" t="n">
        <v>-2678537</v>
      </c>
      <c r="F15" s="3" t="n"/>
    </row>
    <row r="16">
      <c r="A16" t="inlineStr">
        <is>
          <t>Minority Interest</t>
        </is>
      </c>
      <c r="B16" s="3" t="n"/>
      <c r="C16" s="3" t="n"/>
      <c r="D16" s="3" t="n">
        <v>0</v>
      </c>
      <c r="E16" s="3" t="n">
        <v>0</v>
      </c>
      <c r="F16" s="3" t="n"/>
    </row>
    <row r="17">
      <c r="A17" t="inlineStr">
        <is>
          <t>Stockholders Equity</t>
        </is>
      </c>
      <c r="B17" s="3" t="n">
        <v>38218251</v>
      </c>
      <c r="C17" s="3" t="n">
        <v>13457103</v>
      </c>
      <c r="D17" s="3" t="n">
        <v>19718078</v>
      </c>
      <c r="E17" s="3" t="n">
        <v>-2678537</v>
      </c>
      <c r="F17" s="3" t="n"/>
    </row>
    <row r="18">
      <c r="A18" t="inlineStr">
        <is>
          <t>Gains Losses Not Affecting Retained Earnings</t>
        </is>
      </c>
      <c r="B18" s="3" t="n">
        <v>-1122743</v>
      </c>
      <c r="C18" s="3" t="n">
        <v>150292</v>
      </c>
      <c r="D18" s="3" t="n">
        <v>704418</v>
      </c>
      <c r="E18" s="3" t="n">
        <v>954516</v>
      </c>
      <c r="F18" s="3" t="n"/>
    </row>
    <row r="19">
      <c r="A19" t="inlineStr">
        <is>
          <t>Other Equity Adjustments</t>
        </is>
      </c>
      <c r="B19" s="3" t="n">
        <v>-1122743</v>
      </c>
      <c r="C19" s="3" t="n">
        <v>150292</v>
      </c>
      <c r="D19" s="3" t="n">
        <v>704418</v>
      </c>
      <c r="E19" s="3" t="n">
        <v>954516</v>
      </c>
      <c r="F19" s="3" t="n"/>
    </row>
    <row r="20">
      <c r="A20" t="inlineStr">
        <is>
          <t>Foreign Currency Translation Adjustments</t>
        </is>
      </c>
      <c r="B20" s="3" t="n"/>
      <c r="C20" s="3" t="n"/>
      <c r="D20" s="3" t="n">
        <v>-329100</v>
      </c>
      <c r="E20" s="3" t="n">
        <v>15521</v>
      </c>
      <c r="F20" s="3" t="n"/>
    </row>
    <row r="21">
      <c r="A21" t="inlineStr">
        <is>
          <t>Treasury Stock</t>
        </is>
      </c>
      <c r="B21" s="3" t="n"/>
      <c r="C21" s="3" t="n"/>
      <c r="D21" s="3" t="n"/>
      <c r="E21" s="3" t="n">
        <v>0</v>
      </c>
      <c r="F21" s="3" t="n">
        <v>26000</v>
      </c>
    </row>
    <row r="22">
      <c r="A22" t="inlineStr">
        <is>
          <t>Retained Earnings</t>
        </is>
      </c>
      <c r="B22" s="3" t="n">
        <v>-55789934</v>
      </c>
      <c r="C22" s="3" t="n">
        <v>-43662547</v>
      </c>
      <c r="D22" s="3" t="n">
        <v>-24511350</v>
      </c>
      <c r="E22" s="3" t="n">
        <v>-3633058</v>
      </c>
      <c r="F22" s="3" t="n"/>
    </row>
    <row r="23">
      <c r="A23" t="inlineStr">
        <is>
          <t>Additional Paid In Capital</t>
        </is>
      </c>
      <c r="B23" s="3" t="n">
        <v>95111511</v>
      </c>
      <c r="C23" s="3" t="n">
        <v>56952200</v>
      </c>
      <c r="D23" s="3" t="n">
        <v>43457937</v>
      </c>
      <c r="E23" s="3" t="n">
        <v>-12812</v>
      </c>
      <c r="F23" s="3" t="n"/>
    </row>
    <row r="24">
      <c r="A24" t="inlineStr">
        <is>
          <t>Capital Stock</t>
        </is>
      </c>
      <c r="B24" s="3" t="n">
        <v>19417</v>
      </c>
      <c r="C24" s="3" t="n">
        <v>17158</v>
      </c>
      <c r="D24" s="3" t="n">
        <v>67073</v>
      </c>
      <c r="E24" s="3" t="n">
        <v>12817</v>
      </c>
      <c r="F24" s="3" t="n"/>
    </row>
    <row r="25">
      <c r="A25" t="inlineStr">
        <is>
          <t>Common Stock</t>
        </is>
      </c>
      <c r="B25" s="3" t="n">
        <v>19416</v>
      </c>
      <c r="C25" s="3" t="n">
        <v>17157</v>
      </c>
      <c r="D25" s="3" t="n">
        <v>67072</v>
      </c>
      <c r="E25" s="3" t="n">
        <v>12817</v>
      </c>
      <c r="F25" s="3" t="n"/>
    </row>
    <row r="26">
      <c r="A26" t="inlineStr">
        <is>
          <t>Preferred Stock</t>
        </is>
      </c>
      <c r="B26" s="3" t="n">
        <v>1</v>
      </c>
      <c r="C26" s="3" t="n">
        <v>1</v>
      </c>
      <c r="D26" s="3" t="n">
        <v>1</v>
      </c>
      <c r="E26" s="3" t="n">
        <v>0</v>
      </c>
      <c r="F26" s="3" t="n"/>
    </row>
    <row r="27">
      <c r="A27" t="inlineStr">
        <is>
          <t>Total Liabilities Net Minority Interest</t>
        </is>
      </c>
      <c r="B27" s="3" t="n">
        <v>36007966</v>
      </c>
      <c r="C27" s="3" t="n">
        <v>28928110</v>
      </c>
      <c r="D27" s="3" t="n">
        <v>11797916</v>
      </c>
      <c r="E27" s="3" t="n">
        <v>9659070</v>
      </c>
      <c r="F27" s="3" t="n"/>
    </row>
    <row r="28">
      <c r="A28" t="inlineStr">
        <is>
          <t>Total Non Current Liabilities Net Minority Interest</t>
        </is>
      </c>
      <c r="B28" s="3" t="n">
        <v>9766268</v>
      </c>
      <c r="C28" s="3" t="n">
        <v>7597888</v>
      </c>
      <c r="D28" s="3" t="n">
        <v>3324196</v>
      </c>
      <c r="E28" s="3" t="n">
        <v>1892881</v>
      </c>
      <c r="F28" s="3" t="n"/>
    </row>
    <row r="29">
      <c r="A29" t="inlineStr">
        <is>
          <t>Other Non Current Liabilities</t>
        </is>
      </c>
      <c r="B29" s="3" t="n"/>
      <c r="C29" s="3" t="n"/>
      <c r="D29" s="3" t="n"/>
      <c r="E29" s="3" t="n">
        <v>-1</v>
      </c>
      <c r="F29" s="3" t="n"/>
    </row>
    <row r="30">
      <c r="A30" t="inlineStr">
        <is>
          <t>Employee Benefits</t>
        </is>
      </c>
      <c r="B30" s="3" t="n">
        <v>188622</v>
      </c>
      <c r="C30" s="3" t="n">
        <v>74817</v>
      </c>
      <c r="D30" s="3" t="n">
        <v>33933</v>
      </c>
      <c r="E30" s="3" t="n">
        <v>10626</v>
      </c>
      <c r="F30" s="3" t="n"/>
    </row>
    <row r="31">
      <c r="A31" t="inlineStr">
        <is>
          <t>Non Current Pension And Other Postretirement Benefit Plans</t>
        </is>
      </c>
      <c r="B31" s="3" t="n">
        <v>188622</v>
      </c>
      <c r="C31" s="3" t="n">
        <v>74817</v>
      </c>
      <c r="D31" s="3" t="n">
        <v>33933</v>
      </c>
      <c r="E31" s="3" t="n">
        <v>10626</v>
      </c>
      <c r="F31" s="3" t="n"/>
    </row>
    <row r="32">
      <c r="A32" t="inlineStr">
        <is>
          <t>Non Current Accrued Expenses</t>
        </is>
      </c>
      <c r="B32" s="3" t="n">
        <v>100142</v>
      </c>
      <c r="C32" s="3" t="n">
        <v>0</v>
      </c>
      <c r="D32" s="3" t="n"/>
      <c r="E32" s="3" t="n"/>
      <c r="F32" s="3" t="n"/>
    </row>
    <row r="33">
      <c r="A33" t="inlineStr">
        <is>
          <t>Non Current Deferred Liabilities</t>
        </is>
      </c>
      <c r="B33" s="3" t="n">
        <v>7139807</v>
      </c>
      <c r="C33" s="3" t="n">
        <v>5173953</v>
      </c>
      <c r="D33" s="3" t="n">
        <v>939150</v>
      </c>
      <c r="E33" s="3" t="n">
        <v>42141</v>
      </c>
      <c r="F33" s="3" t="n"/>
    </row>
    <row r="34">
      <c r="A34" t="inlineStr">
        <is>
          <t>Non Current Deferred Revenue</t>
        </is>
      </c>
      <c r="B34" s="3" t="n">
        <v>7139807</v>
      </c>
      <c r="C34" s="3" t="n">
        <v>5173953</v>
      </c>
      <c r="D34" s="3" t="n">
        <v>939150</v>
      </c>
      <c r="E34" s="3" t="n">
        <v>42141</v>
      </c>
      <c r="F34" s="3" t="n"/>
    </row>
    <row r="35">
      <c r="A35" t="inlineStr">
        <is>
          <t>Long Term Debt And Capital Lease Obligation</t>
        </is>
      </c>
      <c r="B35" s="3" t="n">
        <v>2337697</v>
      </c>
      <c r="C35" s="3" t="n">
        <v>2349118</v>
      </c>
      <c r="D35" s="3" t="n">
        <v>2351113</v>
      </c>
      <c r="E35" s="3" t="n">
        <v>1840114</v>
      </c>
      <c r="F35" s="3" t="n"/>
    </row>
    <row r="36">
      <c r="A36" t="inlineStr">
        <is>
          <t>Long Term Capital Lease Obligation</t>
        </is>
      </c>
      <c r="B36" s="3" t="n">
        <v>2337697</v>
      </c>
      <c r="C36" s="3" t="n">
        <v>2349118</v>
      </c>
      <c r="D36" s="3" t="n">
        <v>2351113</v>
      </c>
      <c r="E36" s="3" t="n">
        <v>1371097</v>
      </c>
      <c r="F36" s="3" t="n"/>
    </row>
    <row r="37">
      <c r="A37" t="inlineStr">
        <is>
          <t>Long Term Debt</t>
        </is>
      </c>
      <c r="B37" s="3" t="n"/>
      <c r="C37" s="3" t="n"/>
      <c r="D37" s="3" t="n"/>
      <c r="E37" s="3" t="n">
        <v>469017</v>
      </c>
      <c r="F37" s="3" t="n"/>
    </row>
    <row r="38">
      <c r="A38" t="inlineStr">
        <is>
          <t>Current Liabilities</t>
        </is>
      </c>
      <c r="B38" s="3" t="n">
        <v>26241698</v>
      </c>
      <c r="C38" s="3" t="n">
        <v>21330222</v>
      </c>
      <c r="D38" s="3" t="n">
        <v>8473720</v>
      </c>
      <c r="E38" s="3" t="n">
        <v>7766189</v>
      </c>
      <c r="F38" s="3" t="n"/>
    </row>
    <row r="39">
      <c r="A39" t="inlineStr">
        <is>
          <t>Other Current Liabilities</t>
        </is>
      </c>
      <c r="B39" s="3" t="n"/>
      <c r="C39" s="3" t="n"/>
      <c r="D39" s="3" t="n">
        <v>-1</v>
      </c>
      <c r="E39" s="3" t="n"/>
      <c r="F39" s="3" t="n"/>
    </row>
    <row r="40">
      <c r="A40" t="inlineStr">
        <is>
          <t>Current Deferred Liabilities</t>
        </is>
      </c>
      <c r="B40" s="3" t="n">
        <v>3266686</v>
      </c>
      <c r="C40" s="3" t="n">
        <v>1278602</v>
      </c>
      <c r="D40" s="3" t="n">
        <v>156330</v>
      </c>
      <c r="E40" s="3" t="n">
        <v>1776</v>
      </c>
      <c r="F40" s="3" t="n"/>
    </row>
    <row r="41">
      <c r="A41" t="inlineStr">
        <is>
          <t>Current Deferred Revenue</t>
        </is>
      </c>
      <c r="B41" s="3" t="n">
        <v>3266686</v>
      </c>
      <c r="C41" s="3" t="n">
        <v>1278602</v>
      </c>
      <c r="D41" s="3" t="n">
        <v>156330</v>
      </c>
      <c r="E41" s="3" t="n">
        <v>1776</v>
      </c>
      <c r="F41" s="3" t="n"/>
    </row>
    <row r="42">
      <c r="A42" t="inlineStr">
        <is>
          <t>Current Deferred Taxes Liabilities</t>
        </is>
      </c>
      <c r="B42" s="3" t="n"/>
      <c r="C42" s="3" t="n"/>
      <c r="D42" s="3" t="n">
        <v>20482</v>
      </c>
      <c r="E42" s="3" t="n">
        <v>20597</v>
      </c>
      <c r="F42" s="3" t="n"/>
    </row>
    <row r="43">
      <c r="A43" t="inlineStr">
        <is>
          <t>Current Debt And Capital Lease Obligation</t>
        </is>
      </c>
      <c r="B43" s="3" t="n">
        <v>12022117</v>
      </c>
      <c r="C43" s="3" t="n">
        <v>15854424</v>
      </c>
      <c r="D43" s="3" t="n">
        <v>6925899</v>
      </c>
      <c r="E43" s="3" t="n">
        <v>6425826</v>
      </c>
      <c r="F43" s="3" t="n"/>
    </row>
    <row r="44">
      <c r="A44" t="inlineStr">
        <is>
          <t>Current Capital Lease Obligation</t>
        </is>
      </c>
      <c r="B44" s="3" t="n">
        <v>579169</v>
      </c>
      <c r="C44" s="3" t="n">
        <v>409518</v>
      </c>
      <c r="D44" s="3" t="n">
        <v>396784</v>
      </c>
      <c r="E44" s="3" t="n">
        <v>181900</v>
      </c>
      <c r="F44" s="3" t="n"/>
    </row>
    <row r="45">
      <c r="A45" t="inlineStr">
        <is>
          <t>Current Debt</t>
        </is>
      </c>
      <c r="B45" s="3" t="n">
        <v>11442948</v>
      </c>
      <c r="C45" s="3" t="n">
        <v>15444906</v>
      </c>
      <c r="D45" s="3" t="n">
        <v>6529115</v>
      </c>
      <c r="E45" s="3" t="n">
        <v>6243926</v>
      </c>
      <c r="F45" s="3" t="n"/>
    </row>
    <row r="46">
      <c r="A46" t="inlineStr">
        <is>
          <t>Other Current Borrowings</t>
        </is>
      </c>
      <c r="B46" s="3" t="n"/>
      <c r="C46" s="3" t="n"/>
      <c r="D46" s="3" t="n">
        <v>510189</v>
      </c>
      <c r="E46" s="3" t="n">
        <v>120880</v>
      </c>
      <c r="F46" s="3" t="n"/>
    </row>
    <row r="47">
      <c r="A47" t="inlineStr">
        <is>
          <t>Line Of Credit</t>
        </is>
      </c>
      <c r="B47" s="3" t="n">
        <v>11442948</v>
      </c>
      <c r="C47" s="3" t="n">
        <v>7994906</v>
      </c>
      <c r="D47" s="3" t="n">
        <v>6018926</v>
      </c>
      <c r="E47" s="3" t="n">
        <v>3123046</v>
      </c>
      <c r="F47" s="3" t="n"/>
    </row>
    <row r="48">
      <c r="A48" t="inlineStr">
        <is>
          <t>Current Notes Payable</t>
        </is>
      </c>
      <c r="B48" s="3" t="n">
        <v>0</v>
      </c>
      <c r="C48" s="3" t="n">
        <v>7450000</v>
      </c>
      <c r="D48" s="3" t="n">
        <v>0</v>
      </c>
      <c r="E48" s="3" t="n">
        <v>3000000</v>
      </c>
      <c r="F48" s="3" t="n"/>
    </row>
    <row r="49">
      <c r="A49" t="inlineStr">
        <is>
          <t>Pensionand Other Post Retirement Benefit Plans Current</t>
        </is>
      </c>
      <c r="B49" s="3" t="n"/>
      <c r="C49" s="3" t="n"/>
      <c r="D49" s="3" t="n"/>
      <c r="E49" s="3" t="n">
        <v>0</v>
      </c>
      <c r="F49" s="3" t="n">
        <v>0</v>
      </c>
    </row>
    <row r="50">
      <c r="A50" t="inlineStr">
        <is>
          <t>Payables And Accrued Expenses</t>
        </is>
      </c>
      <c r="B50" s="3" t="n">
        <v>10952895</v>
      </c>
      <c r="C50" s="3" t="n">
        <v>4197196</v>
      </c>
      <c r="D50" s="3" t="n">
        <v>1391491</v>
      </c>
      <c r="E50" s="3" t="n">
        <v>1338587</v>
      </c>
      <c r="F50" s="3" t="n"/>
    </row>
    <row r="51">
      <c r="A51" t="inlineStr">
        <is>
          <t>Current Accrued Expenses</t>
        </is>
      </c>
      <c r="B51" s="3" t="n">
        <v>5712761</v>
      </c>
      <c r="C51" s="3" t="n">
        <v>1737290</v>
      </c>
      <c r="D51" s="3" t="n">
        <v>357414</v>
      </c>
      <c r="E51" s="3" t="n">
        <v>498097</v>
      </c>
      <c r="F51" s="3" t="n"/>
    </row>
    <row r="52">
      <c r="A52" t="inlineStr">
        <is>
          <t>Interest Payable</t>
        </is>
      </c>
      <c r="B52" s="3" t="n"/>
      <c r="C52" s="3" t="n"/>
      <c r="D52" s="3" t="n"/>
      <c r="E52" s="3" t="n">
        <v>45529</v>
      </c>
      <c r="F52" s="3" t="n">
        <v>0</v>
      </c>
    </row>
    <row r="53">
      <c r="A53" t="inlineStr">
        <is>
          <t>Payables</t>
        </is>
      </c>
      <c r="B53" s="3" t="n">
        <v>5240134</v>
      </c>
      <c r="C53" s="3" t="n">
        <v>2459906</v>
      </c>
      <c r="D53" s="3" t="n">
        <v>1034077</v>
      </c>
      <c r="E53" s="3" t="n">
        <v>840490</v>
      </c>
      <c r="F53" s="3" t="n"/>
    </row>
    <row r="54">
      <c r="A54" t="inlineStr">
        <is>
          <t>Other Payable</t>
        </is>
      </c>
      <c r="B54" s="3" t="n">
        <v>112941</v>
      </c>
      <c r="C54" s="3" t="n">
        <v>147524</v>
      </c>
      <c r="D54" s="3" t="n">
        <v>83365</v>
      </c>
      <c r="E54" s="3" t="n"/>
      <c r="F54" s="3" t="n"/>
    </row>
    <row r="55">
      <c r="A55" t="inlineStr">
        <is>
          <t>Dueto Related Parties Current</t>
        </is>
      </c>
      <c r="B55" s="3" t="n"/>
      <c r="C55" s="3" t="n"/>
      <c r="D55" s="3" t="n">
        <v>0</v>
      </c>
      <c r="E55" s="3" t="n">
        <v>675013</v>
      </c>
      <c r="F55" s="3" t="n"/>
    </row>
    <row r="56">
      <c r="A56" t="inlineStr">
        <is>
          <t>Accounts Payable</t>
        </is>
      </c>
      <c r="B56" s="3" t="n">
        <v>5127193</v>
      </c>
      <c r="C56" s="3" t="n">
        <v>2312382</v>
      </c>
      <c r="D56" s="3" t="n">
        <v>950712</v>
      </c>
      <c r="E56" s="3" t="n">
        <v>165477</v>
      </c>
      <c r="F56" s="3" t="n"/>
    </row>
    <row r="57">
      <c r="A57" t="inlineStr">
        <is>
          <t>Total Assets</t>
        </is>
      </c>
      <c r="B57" s="3" t="n">
        <v>74226217</v>
      </c>
      <c r="C57" s="3" t="n">
        <v>42385213</v>
      </c>
      <c r="D57" s="3" t="n">
        <v>31515994</v>
      </c>
      <c r="E57" s="3" t="n">
        <v>6980533</v>
      </c>
      <c r="F57" s="3" t="n"/>
    </row>
    <row r="58">
      <c r="A58" t="inlineStr">
        <is>
          <t>Total Non Current Assets</t>
        </is>
      </c>
      <c r="B58" s="3" t="n">
        <v>25425558</v>
      </c>
      <c r="C58" s="3" t="n">
        <v>14968922</v>
      </c>
      <c r="D58" s="3" t="n">
        <v>10087335</v>
      </c>
      <c r="E58" s="3" t="n">
        <v>2885298</v>
      </c>
      <c r="F58" s="3" t="n"/>
    </row>
    <row r="59">
      <c r="A59" t="inlineStr">
        <is>
          <t>Other Non Current Assets</t>
        </is>
      </c>
      <c r="B59" s="3" t="n">
        <v>458964</v>
      </c>
      <c r="C59" s="3" t="n">
        <v>318527</v>
      </c>
      <c r="D59" s="3" t="n">
        <v>35919</v>
      </c>
      <c r="E59" s="3" t="n"/>
      <c r="F59" s="3" t="n"/>
    </row>
    <row r="60">
      <c r="A60" t="inlineStr">
        <is>
          <t>Non Current Prepaid Assets</t>
        </is>
      </c>
      <c r="B60" s="3" t="n">
        <v>2601058</v>
      </c>
      <c r="C60" s="3" t="n">
        <v>3341528</v>
      </c>
      <c r="D60" s="3" t="n">
        <v>4322444</v>
      </c>
      <c r="E60" s="3" t="n">
        <v>83912</v>
      </c>
      <c r="F60" s="3" t="n"/>
    </row>
    <row r="61">
      <c r="A61" t="inlineStr">
        <is>
          <t>Non Current Deferred Assets</t>
        </is>
      </c>
      <c r="B61" s="3" t="n">
        <v>533727</v>
      </c>
      <c r="C61" s="3" t="n">
        <v>0</v>
      </c>
      <c r="D61" s="3" t="n"/>
      <c r="E61" s="3" t="n"/>
      <c r="F61" s="3" t="n"/>
    </row>
    <row r="62">
      <c r="A62" t="inlineStr">
        <is>
          <t>Non Current Deferred Taxes Assets</t>
        </is>
      </c>
      <c r="B62" s="3" t="n">
        <v>533727</v>
      </c>
      <c r="C62" s="3" t="n">
        <v>0</v>
      </c>
      <c r="D62" s="3" t="n"/>
      <c r="E62" s="3" t="n"/>
      <c r="F62" s="3" t="n"/>
    </row>
    <row r="63">
      <c r="A63" t="inlineStr">
        <is>
          <t>Non Current Accounts Receivable</t>
        </is>
      </c>
      <c r="B63" s="3" t="n">
        <v>9977243</v>
      </c>
      <c r="C63" s="3" t="n">
        <v>3299032</v>
      </c>
      <c r="D63" s="3" t="n">
        <v>2365013</v>
      </c>
      <c r="E63" s="3" t="n">
        <v>886263</v>
      </c>
      <c r="F63" s="3" t="n"/>
    </row>
    <row r="64">
      <c r="A64" t="inlineStr">
        <is>
          <t>Investments And Advances</t>
        </is>
      </c>
      <c r="B64" s="3" t="n"/>
      <c r="C64" s="3" t="n"/>
      <c r="D64" s="3" t="n"/>
      <c r="E64" s="3" t="n"/>
      <c r="F64" s="3" t="n">
        <v>0</v>
      </c>
    </row>
    <row r="65">
      <c r="A65" t="inlineStr">
        <is>
          <t>Goodwill And Other Intangible Assets</t>
        </is>
      </c>
      <c r="B65" s="3" t="n"/>
      <c r="C65" s="3" t="n"/>
      <c r="D65" s="3" t="n">
        <v>36122</v>
      </c>
      <c r="E65" s="3" t="n">
        <v>36122</v>
      </c>
      <c r="F65" s="3" t="n">
        <v>0</v>
      </c>
    </row>
    <row r="66">
      <c r="A66" t="inlineStr">
        <is>
          <t>Other Intangible Assets</t>
        </is>
      </c>
      <c r="B66" s="3" t="n"/>
      <c r="C66" s="3" t="n"/>
      <c r="D66" s="3" t="n">
        <v>36122</v>
      </c>
      <c r="E66" s="3" t="n">
        <v>36122</v>
      </c>
      <c r="F66" s="3" t="n"/>
    </row>
    <row r="67">
      <c r="A67" t="inlineStr">
        <is>
          <t>Net PPE</t>
        </is>
      </c>
      <c r="B67" s="3" t="n">
        <v>11854566</v>
      </c>
      <c r="C67" s="3" t="n">
        <v>8009835</v>
      </c>
      <c r="D67" s="3" t="n">
        <v>3363959</v>
      </c>
      <c r="E67" s="3" t="n">
        <v>1915123</v>
      </c>
      <c r="F67" s="3" t="n"/>
    </row>
    <row r="68">
      <c r="A68" t="inlineStr">
        <is>
          <t>Accumulated Depreciation</t>
        </is>
      </c>
      <c r="B68" s="3" t="n">
        <v>-1545923</v>
      </c>
      <c r="C68" s="3" t="n">
        <v>-645487</v>
      </c>
      <c r="D68" s="3" t="n">
        <v>-331841</v>
      </c>
      <c r="E68" s="3" t="n">
        <v>-200812</v>
      </c>
      <c r="F68" s="3" t="n"/>
    </row>
    <row r="69">
      <c r="A69" t="inlineStr">
        <is>
          <t>Gross PPE</t>
        </is>
      </c>
      <c r="B69" s="3" t="n">
        <v>13400489</v>
      </c>
      <c r="C69" s="3" t="n">
        <v>8655322</v>
      </c>
      <c r="D69" s="3" t="n">
        <v>3695800</v>
      </c>
      <c r="E69" s="3" t="n">
        <v>2115935</v>
      </c>
      <c r="F69" s="3" t="n"/>
    </row>
    <row r="70">
      <c r="A70" t="inlineStr">
        <is>
          <t>Leases</t>
        </is>
      </c>
      <c r="B70" s="3" t="n">
        <v>738955</v>
      </c>
      <c r="C70" s="3" t="n">
        <v>254468</v>
      </c>
      <c r="D70" s="3" t="n">
        <v>154651</v>
      </c>
      <c r="E70" s="3" t="n">
        <v>0</v>
      </c>
      <c r="F70" s="3" t="n"/>
    </row>
    <row r="71">
      <c r="A71" t="inlineStr">
        <is>
          <t>Construction In Progress</t>
        </is>
      </c>
      <c r="B71" s="3" t="n">
        <v>0</v>
      </c>
      <c r="C71" s="3" t="n">
        <v>47592</v>
      </c>
      <c r="D71" s="3" t="n">
        <v>0</v>
      </c>
      <c r="E71" s="3" t="n">
        <v>48000</v>
      </c>
      <c r="F71" s="3" t="n"/>
    </row>
    <row r="72">
      <c r="A72" t="inlineStr">
        <is>
          <t>Other Properties</t>
        </is>
      </c>
      <c r="B72" s="3" t="n">
        <v>10162115</v>
      </c>
      <c r="C72" s="3" t="n">
        <v>7161339</v>
      </c>
      <c r="D72" s="3" t="n">
        <v>2769987</v>
      </c>
      <c r="E72" s="3" t="n">
        <v>1627350</v>
      </c>
      <c r="F72" s="3" t="n"/>
    </row>
    <row r="73">
      <c r="A73" t="inlineStr">
        <is>
          <t>Machinery Furniture Equipment</t>
        </is>
      </c>
      <c r="B73" s="3" t="n">
        <v>2499419</v>
      </c>
      <c r="C73" s="3" t="n">
        <v>1191923</v>
      </c>
      <c r="D73" s="3" t="n">
        <v>771162</v>
      </c>
      <c r="E73" s="3" t="n">
        <v>440585</v>
      </c>
      <c r="F73" s="3" t="n"/>
    </row>
    <row r="74">
      <c r="A74" t="inlineStr">
        <is>
          <t>Properties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/>
    </row>
    <row r="75">
      <c r="A75" t="inlineStr">
        <is>
          <t>Current Assets</t>
        </is>
      </c>
      <c r="B75" s="3" t="n">
        <v>48800659</v>
      </c>
      <c r="C75" s="3" t="n">
        <v>27416291</v>
      </c>
      <c r="D75" s="3" t="n">
        <v>21428659</v>
      </c>
      <c r="E75" s="3" t="n">
        <v>4095235</v>
      </c>
      <c r="F75" s="3" t="n"/>
    </row>
    <row r="76">
      <c r="A76" t="inlineStr">
        <is>
          <t>Other Current Assets</t>
        </is>
      </c>
      <c r="B76" s="3" t="n"/>
      <c r="C76" s="3" t="n"/>
      <c r="D76" s="3" t="n">
        <v>3375169</v>
      </c>
      <c r="E76" s="3" t="n">
        <v>700920</v>
      </c>
      <c r="F76" s="3" t="n">
        <v>2291</v>
      </c>
    </row>
    <row r="77">
      <c r="A77" t="inlineStr">
        <is>
          <t>Restricted Cash</t>
        </is>
      </c>
      <c r="B77" s="3" t="n">
        <v>5937650</v>
      </c>
      <c r="C77" s="3" t="n">
        <v>5838508</v>
      </c>
      <c r="D77" s="3" t="n">
        <v>5029650</v>
      </c>
      <c r="E77" s="3" t="n">
        <v>57448</v>
      </c>
      <c r="F77" s="3" t="n"/>
    </row>
    <row r="78">
      <c r="A78" t="inlineStr">
        <is>
          <t>Prepaid Assets</t>
        </is>
      </c>
      <c r="B78" s="3" t="n">
        <v>4361735</v>
      </c>
      <c r="C78" s="3" t="n">
        <v>3746538</v>
      </c>
      <c r="D78" s="3" t="n">
        <v>3552717</v>
      </c>
      <c r="E78" s="3" t="n">
        <v>423994</v>
      </c>
      <c r="F78" s="3" t="n"/>
    </row>
    <row r="79">
      <c r="A79" t="inlineStr">
        <is>
          <t>Inventory</t>
        </is>
      </c>
      <c r="B79" s="3" t="n">
        <v>17064002</v>
      </c>
      <c r="C79" s="3" t="n">
        <v>10206898</v>
      </c>
      <c r="D79" s="3" t="n">
        <v>7017913</v>
      </c>
      <c r="E79" s="3" t="n">
        <v>904103</v>
      </c>
      <c r="F79" s="3" t="n"/>
    </row>
    <row r="80">
      <c r="A80" t="inlineStr">
        <is>
          <t>Inventories Adjustments Allowances</t>
        </is>
      </c>
      <c r="B80" s="3" t="n">
        <v>-107708</v>
      </c>
      <c r="C80" s="3" t="n">
        <v>0</v>
      </c>
      <c r="D80" s="3" t="n"/>
      <c r="E80" s="3" t="n"/>
      <c r="F80" s="3" t="n"/>
    </row>
    <row r="81">
      <c r="A81" t="inlineStr">
        <is>
          <t>Finished Goods</t>
        </is>
      </c>
      <c r="B81" s="3" t="n">
        <v>8717761</v>
      </c>
      <c r="C81" s="3" t="n">
        <v>4308750</v>
      </c>
      <c r="D81" s="3" t="n">
        <v>4975670</v>
      </c>
      <c r="E81" s="3" t="n"/>
      <c r="F81" s="3" t="n"/>
    </row>
    <row r="82">
      <c r="A82" t="inlineStr">
        <is>
          <t>Work In Process</t>
        </is>
      </c>
      <c r="B82" s="3" t="n">
        <v>1426933</v>
      </c>
      <c r="C82" s="3" t="n">
        <v>1436250</v>
      </c>
      <c r="D82" s="3" t="n">
        <v>533108</v>
      </c>
      <c r="E82" s="3" t="n"/>
      <c r="F82" s="3" t="n"/>
    </row>
    <row r="83">
      <c r="A83" t="inlineStr">
        <is>
          <t>Raw Materials</t>
        </is>
      </c>
      <c r="B83" s="3" t="n">
        <v>7027016</v>
      </c>
      <c r="C83" s="3" t="n">
        <v>4461898</v>
      </c>
      <c r="D83" s="3" t="n">
        <v>1509135</v>
      </c>
      <c r="E83" s="3" t="n"/>
      <c r="F83" s="3" t="n"/>
    </row>
    <row r="84">
      <c r="A84" t="inlineStr">
        <is>
          <t>Receivables</t>
        </is>
      </c>
      <c r="B84" s="3" t="n">
        <v>18230866</v>
      </c>
      <c r="C84" s="3" t="n">
        <v>7157847</v>
      </c>
      <c r="D84" s="3" t="n">
        <v>3806103</v>
      </c>
      <c r="E84" s="3" t="n">
        <v>2492513</v>
      </c>
      <c r="F84" s="3" t="n"/>
    </row>
    <row r="85">
      <c r="A85" t="inlineStr">
        <is>
          <t>Other Receivables</t>
        </is>
      </c>
      <c r="B85" s="3" t="n">
        <v>5832324</v>
      </c>
      <c r="C85" s="3" t="n">
        <v>2691800</v>
      </c>
      <c r="D85" s="3" t="n">
        <v>1904859</v>
      </c>
      <c r="E85" s="3" t="n">
        <v>706817</v>
      </c>
      <c r="F85" s="3" t="n"/>
    </row>
    <row r="86">
      <c r="A86" t="inlineStr">
        <is>
          <t>Duefrom Related Parties Current</t>
        </is>
      </c>
      <c r="B86" s="3" t="n"/>
      <c r="C86" s="3" t="n"/>
      <c r="D86" s="3" t="n">
        <v>1567559</v>
      </c>
      <c r="E86" s="3" t="n">
        <v>1628839</v>
      </c>
      <c r="F86" s="3" t="n"/>
    </row>
    <row r="87">
      <c r="A87" t="inlineStr">
        <is>
          <t>Notes Receivable</t>
        </is>
      </c>
      <c r="B87" s="3" t="n"/>
      <c r="C87" s="3" t="n"/>
      <c r="D87" s="3" t="n">
        <v>0</v>
      </c>
      <c r="E87" s="3" t="n">
        <v>3000000</v>
      </c>
      <c r="F87" s="3" t="n">
        <v>0</v>
      </c>
    </row>
    <row r="88">
      <c r="A88" t="inlineStr">
        <is>
          <t>Accounts Receivable</t>
        </is>
      </c>
      <c r="B88" s="3" t="n">
        <v>12398542</v>
      </c>
      <c r="C88" s="3" t="n">
        <v>4466047</v>
      </c>
      <c r="D88" s="3" t="n">
        <v>1901244</v>
      </c>
      <c r="E88" s="3" t="n">
        <v>156857</v>
      </c>
      <c r="F88" s="3" t="n"/>
    </row>
    <row r="89">
      <c r="A89" t="inlineStr">
        <is>
          <t>Gross Accounts Receivable</t>
        </is>
      </c>
      <c r="B89" s="3" t="n"/>
      <c r="C89" s="3" t="n"/>
      <c r="D89" s="3" t="n">
        <v>1647274</v>
      </c>
      <c r="E89" s="3" t="n">
        <v>592313</v>
      </c>
      <c r="F89" s="3" t="n"/>
    </row>
    <row r="90">
      <c r="A90" t="inlineStr">
        <is>
          <t>Cash Cash Equivalents And Short Term Investments</t>
        </is>
      </c>
      <c r="B90" s="3" t="n">
        <v>3206406</v>
      </c>
      <c r="C90" s="3" t="n">
        <v>466500</v>
      </c>
      <c r="D90" s="3" t="n">
        <v>2022276</v>
      </c>
      <c r="E90" s="3" t="n">
        <v>217177</v>
      </c>
      <c r="F90" s="3" t="n"/>
    </row>
    <row r="91">
      <c r="A91" t="inlineStr">
        <is>
          <t>Cash And Cash Equivalents</t>
        </is>
      </c>
      <c r="B91" s="3" t="n">
        <v>3206406</v>
      </c>
      <c r="C91" s="3" t="n">
        <v>466500</v>
      </c>
      <c r="D91" s="3" t="n">
        <v>2022276</v>
      </c>
      <c r="E91" s="3" t="n">
        <v>217177</v>
      </c>
      <c r="F91" s="3" t="n"/>
    </row>
    <row r="92">
      <c r="A92" t="inlineStr">
        <is>
          <t>Cash Financial</t>
        </is>
      </c>
      <c r="B92" s="3" t="n">
        <v>3206406</v>
      </c>
      <c r="C92" s="3" t="n">
        <v>466500</v>
      </c>
      <c r="D92" s="3" t="n"/>
      <c r="E92" s="3" t="n"/>
      <c r="F9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200131535</v>
      </c>
      <c r="C2" s="3" t="n">
        <v>194165141</v>
      </c>
      <c r="D2" s="3" t="n">
        <v>193592410</v>
      </c>
      <c r="E2" s="3" t="n">
        <v>193588410</v>
      </c>
      <c r="F2" s="3" t="n">
        <v>193556177</v>
      </c>
      <c r="G2" s="3" t="n"/>
    </row>
    <row r="3">
      <c r="A3" t="inlineStr">
        <is>
          <t>Share Issued</t>
        </is>
      </c>
      <c r="B3" s="3" t="n">
        <v>200131535</v>
      </c>
      <c r="C3" s="3" t="n">
        <v>194165141</v>
      </c>
      <c r="D3" s="3" t="n">
        <v>193592410</v>
      </c>
      <c r="E3" s="3" t="n">
        <v>193588410</v>
      </c>
      <c r="F3" s="3" t="n">
        <v>193556177</v>
      </c>
      <c r="G3" s="3" t="n"/>
    </row>
    <row r="4">
      <c r="A4" t="inlineStr">
        <is>
          <t>Net Debt</t>
        </is>
      </c>
      <c r="B4" s="3" t="n"/>
      <c r="C4" s="3" t="n">
        <v>8236542</v>
      </c>
      <c r="D4" s="3" t="n">
        <v>4388126</v>
      </c>
      <c r="E4" s="3" t="n"/>
      <c r="F4" s="3" t="n"/>
      <c r="G4" s="3" t="n">
        <v>14978406</v>
      </c>
    </row>
    <row r="5">
      <c r="A5" t="inlineStr">
        <is>
          <t>Total Debt</t>
        </is>
      </c>
      <c r="B5" s="3" t="n">
        <v>13818918</v>
      </c>
      <c r="C5" s="3" t="n">
        <v>14359814</v>
      </c>
      <c r="D5" s="3" t="n">
        <v>12684265</v>
      </c>
      <c r="E5" s="3" t="n">
        <v>9787328</v>
      </c>
      <c r="F5" s="3" t="n">
        <v>10453373</v>
      </c>
      <c r="G5" s="3" t="n"/>
    </row>
    <row r="6">
      <c r="A6" t="inlineStr">
        <is>
          <t>Tangible Book Value</t>
        </is>
      </c>
      <c r="B6" s="3" t="n">
        <v>54523412</v>
      </c>
      <c r="C6" s="3" t="n">
        <v>38218250</v>
      </c>
      <c r="D6" s="3" t="n">
        <v>39649305</v>
      </c>
      <c r="E6" s="3" t="n">
        <v>42022868</v>
      </c>
      <c r="F6" s="3" t="n">
        <v>40554289</v>
      </c>
      <c r="G6" s="3" t="n"/>
    </row>
    <row r="7">
      <c r="A7" t="inlineStr">
        <is>
          <t>Invested Capital</t>
        </is>
      </c>
      <c r="B7" s="3" t="n">
        <v>65679559</v>
      </c>
      <c r="C7" s="3" t="n">
        <v>49661198</v>
      </c>
      <c r="D7" s="3" t="n">
        <v>49719088</v>
      </c>
      <c r="E7" s="3" t="n">
        <v>49003181</v>
      </c>
      <c r="F7" s="3" t="n">
        <v>48236700</v>
      </c>
      <c r="G7" s="3" t="n"/>
    </row>
    <row r="8">
      <c r="A8" t="inlineStr">
        <is>
          <t>Working Capital</t>
        </is>
      </c>
      <c r="B8" s="3" t="n">
        <v>40216514</v>
      </c>
      <c r="C8" s="3" t="n">
        <v>22558961</v>
      </c>
      <c r="D8" s="3" t="n">
        <v>27237289</v>
      </c>
      <c r="E8" s="3" t="n">
        <v>31175418</v>
      </c>
      <c r="F8" s="3" t="n">
        <v>32623230</v>
      </c>
      <c r="G8" s="3" t="n"/>
    </row>
    <row r="9">
      <c r="A9" t="inlineStr">
        <is>
          <t>Net Tangible Assets</t>
        </is>
      </c>
      <c r="B9" s="3" t="n">
        <v>54523413</v>
      </c>
      <c r="C9" s="3" t="n">
        <v>38218251</v>
      </c>
      <c r="D9" s="3" t="n">
        <v>39649306</v>
      </c>
      <c r="E9" s="3" t="n">
        <v>42022869</v>
      </c>
      <c r="F9" s="3" t="n">
        <v>40554290</v>
      </c>
      <c r="G9" s="3" t="n"/>
    </row>
    <row r="10">
      <c r="A10" t="inlineStr">
        <is>
          <t>Capital Lease Obligations</t>
        </is>
      </c>
      <c r="B10" s="3" t="n">
        <v>2662771</v>
      </c>
      <c r="C10" s="3" t="n">
        <v>2916866</v>
      </c>
      <c r="D10" s="3" t="n">
        <v>2614482</v>
      </c>
      <c r="E10" s="3" t="n">
        <v>2807015</v>
      </c>
      <c r="F10" s="3" t="n">
        <v>2770962</v>
      </c>
      <c r="G10" s="3" t="n"/>
    </row>
    <row r="11">
      <c r="A11" t="inlineStr">
        <is>
          <t>Common Stock Equity</t>
        </is>
      </c>
      <c r="B11" s="3" t="n">
        <v>54523412</v>
      </c>
      <c r="C11" s="3" t="n">
        <v>38218250</v>
      </c>
      <c r="D11" s="3" t="n">
        <v>39649305</v>
      </c>
      <c r="E11" s="3" t="n">
        <v>42022868</v>
      </c>
      <c r="F11" s="3" t="n">
        <v>40554289</v>
      </c>
      <c r="G11" s="3" t="n"/>
    </row>
    <row r="12">
      <c r="A12" t="inlineStr">
        <is>
          <t>Preferred Stock Equity</t>
        </is>
      </c>
      <c r="B12" s="3" t="n">
        <v>1</v>
      </c>
      <c r="C12" s="3" t="n">
        <v>1</v>
      </c>
      <c r="D12" s="3" t="n">
        <v>1</v>
      </c>
      <c r="E12" s="3" t="n">
        <v>1</v>
      </c>
      <c r="F12" s="3" t="n">
        <v>1</v>
      </c>
      <c r="G12" s="3" t="n"/>
    </row>
    <row r="13">
      <c r="A13" t="inlineStr">
        <is>
          <t>Total Capitalization</t>
        </is>
      </c>
      <c r="B13" s="3" t="n">
        <v>54523413</v>
      </c>
      <c r="C13" s="3" t="n">
        <v>38218251</v>
      </c>
      <c r="D13" s="3" t="n">
        <v>39649306</v>
      </c>
      <c r="E13" s="3" t="n">
        <v>42022869</v>
      </c>
      <c r="F13" s="3" t="n">
        <v>40554290</v>
      </c>
      <c r="G13" s="3" t="n"/>
    </row>
    <row r="14">
      <c r="A14" t="inlineStr">
        <is>
          <t>Total Equity Gross Minority Interest</t>
        </is>
      </c>
      <c r="B14" s="3" t="n">
        <v>54523413</v>
      </c>
      <c r="C14" s="3" t="n">
        <v>38218251</v>
      </c>
      <c r="D14" s="3" t="n">
        <v>39649306</v>
      </c>
      <c r="E14" s="3" t="n">
        <v>42022869</v>
      </c>
      <c r="F14" s="3" t="n">
        <v>40554290</v>
      </c>
      <c r="G14" s="3" t="n"/>
    </row>
    <row r="15">
      <c r="A15" t="inlineStr">
        <is>
          <t>Stockholders Equity</t>
        </is>
      </c>
      <c r="B15" s="3" t="n">
        <v>54523413</v>
      </c>
      <c r="C15" s="3" t="n">
        <v>38218251</v>
      </c>
      <c r="D15" s="3" t="n">
        <v>39649306</v>
      </c>
      <c r="E15" s="3" t="n">
        <v>42022869</v>
      </c>
      <c r="F15" s="3" t="n">
        <v>40554290</v>
      </c>
      <c r="G15" s="3" t="n"/>
    </row>
    <row r="16">
      <c r="A16" t="inlineStr">
        <is>
          <t>Gains Losses Not Affecting Retained Earnings</t>
        </is>
      </c>
      <c r="B16" s="3" t="n">
        <v>-2673220</v>
      </c>
      <c r="C16" s="3" t="n">
        <v>-1122743</v>
      </c>
      <c r="D16" s="3" t="n">
        <v>-404908</v>
      </c>
      <c r="E16" s="3" t="n">
        <v>77104</v>
      </c>
      <c r="F16" s="3" t="n">
        <v>173006</v>
      </c>
      <c r="G16" s="3" t="n"/>
    </row>
    <row r="17">
      <c r="A17" t="inlineStr">
        <is>
          <t>Other Equity Adjustments</t>
        </is>
      </c>
      <c r="B17" s="3" t="n">
        <v>-2673220</v>
      </c>
      <c r="C17" s="3" t="n">
        <v>-1122743</v>
      </c>
      <c r="D17" s="3" t="n">
        <v>-404908</v>
      </c>
      <c r="E17" s="3" t="n">
        <v>77104</v>
      </c>
      <c r="F17" s="3" t="n">
        <v>173006</v>
      </c>
      <c r="G17" s="3" t="n"/>
    </row>
    <row r="18">
      <c r="A18" t="inlineStr">
        <is>
          <t>Retained Earnings</t>
        </is>
      </c>
      <c r="B18" s="3" t="n">
        <v>-59372505</v>
      </c>
      <c r="C18" s="3" t="n">
        <v>-55789934</v>
      </c>
      <c r="D18" s="3" t="n">
        <v>-53318557</v>
      </c>
      <c r="E18" s="3" t="n">
        <v>-49600593</v>
      </c>
      <c r="F18" s="3" t="n">
        <v>-49343900</v>
      </c>
      <c r="G18" s="3" t="n"/>
    </row>
    <row r="19">
      <c r="A19" t="inlineStr">
        <is>
          <t>Additional Paid In Capital</t>
        </is>
      </c>
      <c r="B19" s="3" t="n">
        <v>116549124</v>
      </c>
      <c r="C19" s="3" t="n">
        <v>95111511</v>
      </c>
      <c r="D19" s="3" t="n">
        <v>93353412</v>
      </c>
      <c r="E19" s="3" t="n">
        <v>91526999</v>
      </c>
      <c r="F19" s="3" t="n">
        <v>89705829</v>
      </c>
      <c r="G19" s="3" t="n"/>
    </row>
    <row r="20">
      <c r="A20" t="inlineStr">
        <is>
          <t>Capital Stock</t>
        </is>
      </c>
      <c r="B20" s="3" t="n">
        <v>20014</v>
      </c>
      <c r="C20" s="3" t="n">
        <v>19417</v>
      </c>
      <c r="D20" s="3" t="n">
        <v>19359</v>
      </c>
      <c r="E20" s="3" t="n">
        <v>19359</v>
      </c>
      <c r="F20" s="3" t="n">
        <v>19355</v>
      </c>
      <c r="G20" s="3" t="n"/>
    </row>
    <row r="21">
      <c r="A21" t="inlineStr">
        <is>
          <t>Common Stock</t>
        </is>
      </c>
      <c r="B21" s="3" t="n">
        <v>20013</v>
      </c>
      <c r="C21" s="3" t="n">
        <v>19416</v>
      </c>
      <c r="D21" s="3" t="n">
        <v>19358</v>
      </c>
      <c r="E21" s="3" t="n">
        <v>19358</v>
      </c>
      <c r="F21" s="3" t="n">
        <v>19354</v>
      </c>
      <c r="G21" s="3" t="n"/>
    </row>
    <row r="22">
      <c r="A22" t="inlineStr">
        <is>
          <t>Preferred Stock</t>
        </is>
      </c>
      <c r="B22" s="3" t="n">
        <v>1</v>
      </c>
      <c r="C22" s="3" t="n">
        <v>1</v>
      </c>
      <c r="D22" s="3" t="n">
        <v>1</v>
      </c>
      <c r="E22" s="3" t="n">
        <v>1</v>
      </c>
      <c r="F22" s="3" t="n">
        <v>1</v>
      </c>
      <c r="G22" s="3" t="n"/>
    </row>
    <row r="23">
      <c r="A23" t="inlineStr">
        <is>
          <t>Total Liabilities Net Minority Interest</t>
        </is>
      </c>
      <c r="B23" s="3" t="n">
        <v>36023476</v>
      </c>
      <c r="C23" s="3" t="n">
        <v>36007966</v>
      </c>
      <c r="D23" s="3" t="n">
        <v>29927721</v>
      </c>
      <c r="E23" s="3" t="n">
        <v>27954902</v>
      </c>
      <c r="F23" s="3" t="n">
        <v>22902671</v>
      </c>
      <c r="G23" s="3" t="n"/>
    </row>
    <row r="24">
      <c r="A24" t="inlineStr">
        <is>
          <t>Total Non Current Liabilities Net Minority Interest</t>
        </is>
      </c>
      <c r="B24" s="3" t="n">
        <v>9978473</v>
      </c>
      <c r="C24" s="3" t="n">
        <v>9766268</v>
      </c>
      <c r="D24" s="3" t="n">
        <v>8740172</v>
      </c>
      <c r="E24" s="3" t="n">
        <v>8343794</v>
      </c>
      <c r="F24" s="3" t="n">
        <v>7905958</v>
      </c>
      <c r="G24" s="3" t="n"/>
    </row>
    <row r="25">
      <c r="A25" t="inlineStr">
        <is>
          <t>Employee Benefits</t>
        </is>
      </c>
      <c r="B25" s="3" t="n">
        <v>192847</v>
      </c>
      <c r="C25" s="3" t="n">
        <v>188622</v>
      </c>
      <c r="D25" s="3" t="n">
        <v>121903</v>
      </c>
      <c r="E25" s="3" t="n">
        <v>111880</v>
      </c>
      <c r="F25" s="3" t="n">
        <v>98078</v>
      </c>
      <c r="G25" s="3" t="n"/>
    </row>
    <row r="26">
      <c r="A26" t="inlineStr">
        <is>
          <t>Non Current Pension And Other Postretirement Benefit Plans</t>
        </is>
      </c>
      <c r="B26" s="3" t="n">
        <v>192847</v>
      </c>
      <c r="C26" s="3" t="n">
        <v>188622</v>
      </c>
      <c r="D26" s="3" t="n">
        <v>121903</v>
      </c>
      <c r="E26" s="3" t="n">
        <v>111880</v>
      </c>
      <c r="F26" s="3" t="n">
        <v>98078</v>
      </c>
      <c r="G26" s="3" t="n"/>
    </row>
    <row r="27">
      <c r="A27" t="inlineStr">
        <is>
          <t>Non Current Accrued Expenses</t>
        </is>
      </c>
      <c r="B27" s="3" t="n">
        <v>197809</v>
      </c>
      <c r="C27" s="3" t="n">
        <v>100142</v>
      </c>
      <c r="D27" s="3" t="n">
        <v>67499</v>
      </c>
      <c r="E27" s="3" t="n"/>
      <c r="F27" s="3" t="n"/>
      <c r="G27" s="3" t="n">
        <v>0</v>
      </c>
    </row>
    <row r="28">
      <c r="A28" t="inlineStr">
        <is>
          <t>Non Current Deferred Liabilities</t>
        </is>
      </c>
      <c r="B28" s="3" t="n">
        <v>7501283</v>
      </c>
      <c r="C28" s="3" t="n">
        <v>7139807</v>
      </c>
      <c r="D28" s="3" t="n">
        <v>6277659</v>
      </c>
      <c r="E28" s="3" t="n">
        <v>5779525</v>
      </c>
      <c r="F28" s="3" t="n">
        <v>5405227</v>
      </c>
      <c r="G28" s="3" t="n"/>
    </row>
    <row r="29">
      <c r="A29" t="inlineStr">
        <is>
          <t>Non Current Deferred Revenue</t>
        </is>
      </c>
      <c r="B29" s="3" t="n">
        <v>7501283</v>
      </c>
      <c r="C29" s="3" t="n">
        <v>7139807</v>
      </c>
      <c r="D29" s="3" t="n">
        <v>6277659</v>
      </c>
      <c r="E29" s="3" t="n">
        <v>5779525</v>
      </c>
      <c r="F29" s="3" t="n">
        <v>5405227</v>
      </c>
      <c r="G29" s="3" t="n"/>
    </row>
    <row r="30">
      <c r="A30" t="inlineStr">
        <is>
          <t>Long Term Debt And Capital Lease Obligation</t>
        </is>
      </c>
      <c r="B30" s="3" t="n">
        <v>2086534</v>
      </c>
      <c r="C30" s="3" t="n">
        <v>2337697</v>
      </c>
      <c r="D30" s="3" t="n">
        <v>2273111</v>
      </c>
      <c r="E30" s="3" t="n">
        <v>2452389</v>
      </c>
      <c r="F30" s="3" t="n">
        <v>2402653</v>
      </c>
      <c r="G30" s="3" t="n"/>
    </row>
    <row r="31">
      <c r="A31" t="inlineStr">
        <is>
          <t>Long Term Capital Lease Obligation</t>
        </is>
      </c>
      <c r="B31" s="3" t="n">
        <v>2086534</v>
      </c>
      <c r="C31" s="3" t="n">
        <v>2337697</v>
      </c>
      <c r="D31" s="3" t="n">
        <v>2273111</v>
      </c>
      <c r="E31" s="3" t="n">
        <v>2452389</v>
      </c>
      <c r="F31" s="3" t="n">
        <v>2402653</v>
      </c>
      <c r="G31" s="3" t="n"/>
    </row>
    <row r="32">
      <c r="A32" t="inlineStr">
        <is>
          <t>Current Liabilities</t>
        </is>
      </c>
      <c r="B32" s="3" t="n">
        <v>26045003</v>
      </c>
      <c r="C32" s="3" t="n">
        <v>26241698</v>
      </c>
      <c r="D32" s="3" t="n">
        <v>21187549</v>
      </c>
      <c r="E32" s="3" t="n">
        <v>19611108</v>
      </c>
      <c r="F32" s="3" t="n">
        <v>14996713</v>
      </c>
      <c r="G32" s="3" t="n"/>
    </row>
    <row r="33">
      <c r="A33" t="inlineStr">
        <is>
          <t>Current Deferred Liabilities</t>
        </is>
      </c>
      <c r="B33" s="3" t="n">
        <v>3582631</v>
      </c>
      <c r="C33" s="3" t="n">
        <v>3266686</v>
      </c>
      <c r="D33" s="3" t="n">
        <v>2512990</v>
      </c>
      <c r="E33" s="3" t="n">
        <v>2412682</v>
      </c>
      <c r="F33" s="3" t="n">
        <v>1871275</v>
      </c>
      <c r="G33" s="3" t="n"/>
    </row>
    <row r="34">
      <c r="A34" t="inlineStr">
        <is>
          <t>Current Deferred Revenue</t>
        </is>
      </c>
      <c r="B34" s="3" t="n">
        <v>3582631</v>
      </c>
      <c r="C34" s="3" t="n">
        <v>3266686</v>
      </c>
      <c r="D34" s="3" t="n">
        <v>2512990</v>
      </c>
      <c r="E34" s="3" t="n">
        <v>2412682</v>
      </c>
      <c r="F34" s="3" t="n">
        <v>1871275</v>
      </c>
      <c r="G34" s="3" t="n"/>
    </row>
    <row r="35">
      <c r="A35" t="inlineStr">
        <is>
          <t>Current Debt And Capital Lease Obligation</t>
        </is>
      </c>
      <c r="B35" s="3" t="n">
        <v>11732384</v>
      </c>
      <c r="C35" s="3" t="n">
        <v>12022117</v>
      </c>
      <c r="D35" s="3" t="n">
        <v>10411154</v>
      </c>
      <c r="E35" s="3" t="n">
        <v>7334939</v>
      </c>
      <c r="F35" s="3" t="n">
        <v>8050720</v>
      </c>
      <c r="G35" s="3" t="n"/>
    </row>
    <row r="36">
      <c r="A36" t="inlineStr">
        <is>
          <t>Current Capital Lease Obligation</t>
        </is>
      </c>
      <c r="B36" s="3" t="n">
        <v>576237</v>
      </c>
      <c r="C36" s="3" t="n">
        <v>579169</v>
      </c>
      <c r="D36" s="3" t="n">
        <v>341371</v>
      </c>
      <c r="E36" s="3" t="n">
        <v>354626</v>
      </c>
      <c r="F36" s="3" t="n">
        <v>368309</v>
      </c>
      <c r="G36" s="3" t="n"/>
    </row>
    <row r="37">
      <c r="A37" t="inlineStr">
        <is>
          <t>Current Debt</t>
        </is>
      </c>
      <c r="B37" s="3" t="n">
        <v>11156147</v>
      </c>
      <c r="C37" s="3" t="n">
        <v>11442948</v>
      </c>
      <c r="D37" s="3" t="n">
        <v>10069783</v>
      </c>
      <c r="E37" s="3" t="n">
        <v>6980313</v>
      </c>
      <c r="F37" s="3" t="n">
        <v>7682411</v>
      </c>
      <c r="G37" s="3" t="n"/>
    </row>
    <row r="38">
      <c r="A38" t="inlineStr">
        <is>
          <t>Line Of Credit</t>
        </is>
      </c>
      <c r="B38" s="3" t="n">
        <v>11156147</v>
      </c>
      <c r="C38" s="3" t="n">
        <v>11442948</v>
      </c>
      <c r="D38" s="3" t="n">
        <v>10069783</v>
      </c>
      <c r="E38" s="3" t="n">
        <v>6980313</v>
      </c>
      <c r="F38" s="3" t="n">
        <v>7682411</v>
      </c>
      <c r="G38" s="3" t="n"/>
    </row>
    <row r="39">
      <c r="A39" t="inlineStr">
        <is>
          <t>Current Notes Payable</t>
        </is>
      </c>
      <c r="B39" s="3" t="n"/>
      <c r="C39" s="3" t="n">
        <v>0</v>
      </c>
      <c r="D39" s="3" t="n">
        <v>0</v>
      </c>
      <c r="E39" s="3" t="n">
        <v>0</v>
      </c>
      <c r="F39" s="3" t="n">
        <v>0</v>
      </c>
      <c r="G39" s="3" t="n">
        <v>7450000</v>
      </c>
    </row>
    <row r="40">
      <c r="A40" t="inlineStr">
        <is>
          <t>Payables And Accrued Expenses</t>
        </is>
      </c>
      <c r="B40" s="3" t="n">
        <v>10729988</v>
      </c>
      <c r="C40" s="3" t="n">
        <v>10952895</v>
      </c>
      <c r="D40" s="3" t="n">
        <v>8263405</v>
      </c>
      <c r="E40" s="3" t="n">
        <v>9863487</v>
      </c>
      <c r="F40" s="3" t="n">
        <v>5074718</v>
      </c>
      <c r="G40" s="3" t="n"/>
    </row>
    <row r="41">
      <c r="A41" t="inlineStr">
        <is>
          <t>Current Accrued Expenses</t>
        </is>
      </c>
      <c r="B41" s="3" t="n">
        <v>6165534</v>
      </c>
      <c r="C41" s="3" t="n">
        <v>5712761</v>
      </c>
      <c r="D41" s="3" t="n">
        <v>3240125</v>
      </c>
      <c r="E41" s="3" t="n">
        <v>1055425</v>
      </c>
      <c r="F41" s="3" t="n">
        <v>1047691</v>
      </c>
      <c r="G41" s="3" t="n"/>
    </row>
    <row r="42">
      <c r="A42" t="inlineStr">
        <is>
          <t>Payables</t>
        </is>
      </c>
      <c r="B42" s="3" t="n">
        <v>4564454</v>
      </c>
      <c r="C42" s="3" t="n">
        <v>5240134</v>
      </c>
      <c r="D42" s="3" t="n">
        <v>5023280</v>
      </c>
      <c r="E42" s="3" t="n">
        <v>8808062</v>
      </c>
      <c r="F42" s="3" t="n">
        <v>4027027</v>
      </c>
      <c r="G42" s="3" t="n"/>
    </row>
    <row r="43">
      <c r="A43" t="inlineStr">
        <is>
          <t>Other Payable</t>
        </is>
      </c>
      <c r="B43" s="3" t="n">
        <v>161284</v>
      </c>
      <c r="C43" s="3" t="n">
        <v>112941</v>
      </c>
      <c r="D43" s="3" t="n">
        <v>127228</v>
      </c>
      <c r="E43" s="3" t="n">
        <v>1127419</v>
      </c>
      <c r="F43" s="3" t="n">
        <v>186907</v>
      </c>
      <c r="G43" s="3" t="n"/>
    </row>
    <row r="44">
      <c r="A44" t="inlineStr">
        <is>
          <t>Accounts Payable</t>
        </is>
      </c>
      <c r="B44" s="3" t="n">
        <v>4403170</v>
      </c>
      <c r="C44" s="3" t="n">
        <v>5127193</v>
      </c>
      <c r="D44" s="3" t="n">
        <v>4896052</v>
      </c>
      <c r="E44" s="3" t="n">
        <v>7680643</v>
      </c>
      <c r="F44" s="3" t="n">
        <v>3840120</v>
      </c>
      <c r="G44" s="3" t="n"/>
    </row>
    <row r="45">
      <c r="A45" t="inlineStr">
        <is>
          <t>Total Assets</t>
        </is>
      </c>
      <c r="B45" s="3" t="n">
        <v>90546889</v>
      </c>
      <c r="C45" s="3" t="n">
        <v>74226217</v>
      </c>
      <c r="D45" s="3" t="n">
        <v>69577027</v>
      </c>
      <c r="E45" s="3" t="n">
        <v>69977771</v>
      </c>
      <c r="F45" s="3" t="n">
        <v>63456961</v>
      </c>
      <c r="G45" s="3" t="n"/>
    </row>
    <row r="46">
      <c r="A46" t="inlineStr">
        <is>
          <t>Total Non Current Assets</t>
        </is>
      </c>
      <c r="B46" s="3" t="n">
        <v>24285372</v>
      </c>
      <c r="C46" s="3" t="n">
        <v>25425558</v>
      </c>
      <c r="D46" s="3" t="n">
        <v>21152189</v>
      </c>
      <c r="E46" s="3" t="n">
        <v>19191245</v>
      </c>
      <c r="F46" s="3" t="n">
        <v>15837018</v>
      </c>
      <c r="G46" s="3" t="n"/>
    </row>
    <row r="47">
      <c r="A47" t="inlineStr">
        <is>
          <t>Other Non Current Assets</t>
        </is>
      </c>
      <c r="B47" s="3" t="n">
        <v>394630</v>
      </c>
      <c r="C47" s="3" t="n">
        <v>458964</v>
      </c>
      <c r="D47" s="3" t="n">
        <v>333657</v>
      </c>
      <c r="E47" s="3" t="n">
        <v>345900</v>
      </c>
      <c r="F47" s="3" t="n">
        <v>318982</v>
      </c>
      <c r="G47" s="3" t="n"/>
    </row>
    <row r="48">
      <c r="A48" t="inlineStr">
        <is>
          <t>Non Current Prepaid Assets</t>
        </is>
      </c>
      <c r="B48" s="3" t="n">
        <v>2414767</v>
      </c>
      <c r="C48" s="3" t="n">
        <v>2601058</v>
      </c>
      <c r="D48" s="3" t="n">
        <v>3032478</v>
      </c>
      <c r="E48" s="3" t="n">
        <v>3103405</v>
      </c>
      <c r="F48" s="3" t="n">
        <v>3026461</v>
      </c>
      <c r="G48" s="3" t="n"/>
    </row>
    <row r="49">
      <c r="A49" t="inlineStr">
        <is>
          <t>Non Current Deferred Assets</t>
        </is>
      </c>
      <c r="B49" s="3" t="n">
        <v>805750</v>
      </c>
      <c r="C49" s="3" t="n">
        <v>533727</v>
      </c>
      <c r="D49" s="3" t="n">
        <v>155056</v>
      </c>
      <c r="E49" s="3" t="n">
        <v>365641</v>
      </c>
      <c r="F49" s="3" t="n"/>
      <c r="G49" s="3" t="n">
        <v>0</v>
      </c>
    </row>
    <row r="50">
      <c r="A50" t="inlineStr">
        <is>
          <t>Non Current Deferred Taxes Assets</t>
        </is>
      </c>
      <c r="B50" s="3" t="n">
        <v>805750</v>
      </c>
      <c r="C50" s="3" t="n">
        <v>533727</v>
      </c>
      <c r="D50" s="3" t="n">
        <v>155056</v>
      </c>
      <c r="E50" s="3" t="n">
        <v>365641</v>
      </c>
      <c r="F50" s="3" t="n"/>
      <c r="G50" s="3" t="n">
        <v>0</v>
      </c>
    </row>
    <row r="51">
      <c r="A51" t="inlineStr">
        <is>
          <t>Non Current Accounts Receivable</t>
        </is>
      </c>
      <c r="B51" s="3" t="n">
        <v>9339312</v>
      </c>
      <c r="C51" s="3" t="n">
        <v>9977243</v>
      </c>
      <c r="D51" s="3" t="n">
        <v>6922700</v>
      </c>
      <c r="E51" s="3" t="n">
        <v>4447389</v>
      </c>
      <c r="F51" s="3" t="n">
        <v>2818043</v>
      </c>
      <c r="G51" s="3" t="n"/>
    </row>
    <row r="52">
      <c r="A52" t="inlineStr">
        <is>
          <t>Net PPE</t>
        </is>
      </c>
      <c r="B52" s="3" t="n">
        <v>11330913</v>
      </c>
      <c r="C52" s="3" t="n">
        <v>11854566</v>
      </c>
      <c r="D52" s="3" t="n">
        <v>10708298</v>
      </c>
      <c r="E52" s="3" t="n">
        <v>10928910</v>
      </c>
      <c r="F52" s="3" t="n">
        <v>9673532</v>
      </c>
      <c r="G52" s="3" t="n"/>
    </row>
    <row r="53">
      <c r="A53" t="inlineStr">
        <is>
          <t>Accumulated Depreciation</t>
        </is>
      </c>
      <c r="B53" s="3" t="n">
        <v>-1797426</v>
      </c>
      <c r="C53" s="3" t="n">
        <v>-1545923</v>
      </c>
      <c r="D53" s="3" t="n">
        <v>-1317974</v>
      </c>
      <c r="E53" s="3" t="n">
        <v>-1094151</v>
      </c>
      <c r="F53" s="3" t="n">
        <v>-856574</v>
      </c>
      <c r="G53" s="3" t="n"/>
    </row>
    <row r="54">
      <c r="A54" t="inlineStr">
        <is>
          <t>Gross PPE</t>
        </is>
      </c>
      <c r="B54" s="3" t="n">
        <v>13128339</v>
      </c>
      <c r="C54" s="3" t="n">
        <v>13400489</v>
      </c>
      <c r="D54" s="3" t="n">
        <v>12026272</v>
      </c>
      <c r="E54" s="3" t="n">
        <v>12023061</v>
      </c>
      <c r="F54" s="3" t="n">
        <v>10530106</v>
      </c>
      <c r="G54" s="3" t="n"/>
    </row>
    <row r="55">
      <c r="A55" t="inlineStr">
        <is>
          <t>Leases</t>
        </is>
      </c>
      <c r="B55" s="3" t="n">
        <v>707461</v>
      </c>
      <c r="C55" s="3" t="n">
        <v>738955</v>
      </c>
      <c r="D55" s="3" t="n">
        <v>735402</v>
      </c>
      <c r="E55" s="3" t="n">
        <v>736753</v>
      </c>
      <c r="F55" s="3" t="n">
        <v>621828</v>
      </c>
      <c r="G55" s="3" t="n"/>
    </row>
    <row r="56">
      <c r="A56" t="inlineStr">
        <is>
          <t>Construction In Progress</t>
        </is>
      </c>
      <c r="B56" s="3" t="n">
        <v>0</v>
      </c>
      <c r="C56" s="3" t="n">
        <v>0</v>
      </c>
      <c r="D56" s="3" t="n">
        <v>0</v>
      </c>
      <c r="E56" s="3" t="n">
        <v>165277</v>
      </c>
      <c r="F56" s="3" t="n">
        <v>162624</v>
      </c>
      <c r="G56" s="3" t="n"/>
    </row>
    <row r="57">
      <c r="A57" t="inlineStr">
        <is>
          <t>Other Properties</t>
        </is>
      </c>
      <c r="B57" s="3" t="n">
        <v>9786368</v>
      </c>
      <c r="C57" s="3" t="n">
        <v>10162115</v>
      </c>
      <c r="D57" s="3" t="n">
        <v>8869240</v>
      </c>
      <c r="E57" s="3" t="n">
        <v>9339675</v>
      </c>
      <c r="F57" s="3" t="n">
        <v>8169184</v>
      </c>
      <c r="G57" s="3" t="n"/>
    </row>
    <row r="58">
      <c r="A58" t="inlineStr">
        <is>
          <t>Machinery Furniture Equipment</t>
        </is>
      </c>
      <c r="B58" s="3" t="n">
        <v>2634510</v>
      </c>
      <c r="C58" s="3" t="n">
        <v>2499419</v>
      </c>
      <c r="D58" s="3" t="n">
        <v>2421630</v>
      </c>
      <c r="E58" s="3" t="n">
        <v>1781356</v>
      </c>
      <c r="F58" s="3" t="n">
        <v>1576470</v>
      </c>
      <c r="G58" s="3" t="n"/>
    </row>
    <row r="59">
      <c r="A59" t="inlineStr">
        <is>
          <t>Properties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/>
    </row>
    <row r="60">
      <c r="A60" t="inlineStr">
        <is>
          <t>Current Assets</t>
        </is>
      </c>
      <c r="B60" s="3" t="n">
        <v>66261517</v>
      </c>
      <c r="C60" s="3" t="n">
        <v>48800659</v>
      </c>
      <c r="D60" s="3" t="n">
        <v>48424838</v>
      </c>
      <c r="E60" s="3" t="n">
        <v>50786526</v>
      </c>
      <c r="F60" s="3" t="n">
        <v>47619943</v>
      </c>
      <c r="G60" s="3" t="n"/>
    </row>
    <row r="61">
      <c r="A61" t="inlineStr">
        <is>
          <t>Restricted Cash</t>
        </is>
      </c>
      <c r="B61" s="3" t="n">
        <v>7631336</v>
      </c>
      <c r="C61" s="3" t="n">
        <v>5937650</v>
      </c>
      <c r="D61" s="3" t="n">
        <v>6023933</v>
      </c>
      <c r="E61" s="3" t="n">
        <v>5884513</v>
      </c>
      <c r="F61" s="3" t="n">
        <v>5886589</v>
      </c>
      <c r="G61" s="3" t="n"/>
    </row>
    <row r="62">
      <c r="A62" t="inlineStr">
        <is>
          <t>Prepaid Assets</t>
        </is>
      </c>
      <c r="B62" s="3" t="n">
        <v>5322631</v>
      </c>
      <c r="C62" s="3" t="n">
        <v>4361735</v>
      </c>
      <c r="D62" s="3" t="n">
        <v>9766203</v>
      </c>
      <c r="E62" s="3" t="n">
        <v>9292684</v>
      </c>
      <c r="F62" s="3" t="n">
        <v>3522072</v>
      </c>
      <c r="G62" s="3" t="n"/>
    </row>
    <row r="63">
      <c r="A63" t="inlineStr">
        <is>
          <t>Inventory</t>
        </is>
      </c>
      <c r="B63" s="3" t="n">
        <v>17066091</v>
      </c>
      <c r="C63" s="3" t="n">
        <v>17064002</v>
      </c>
      <c r="D63" s="3" t="n">
        <v>20036005</v>
      </c>
      <c r="E63" s="3" t="n">
        <v>18260141</v>
      </c>
      <c r="F63" s="3" t="n">
        <v>14295141</v>
      </c>
      <c r="G63" s="3" t="n"/>
    </row>
    <row r="64">
      <c r="A64" t="inlineStr">
        <is>
          <t>Inventories Adjustments Allowances</t>
        </is>
      </c>
      <c r="B64" s="3" t="n">
        <v>-101590</v>
      </c>
      <c r="C64" s="3" t="n">
        <v>-107708</v>
      </c>
      <c r="D64" s="3" t="n"/>
      <c r="E64" s="3" t="n"/>
      <c r="F64" s="3" t="n"/>
      <c r="G64" s="3" t="n">
        <v>0</v>
      </c>
    </row>
    <row r="65">
      <c r="A65" t="inlineStr">
        <is>
          <t>Finished Goods</t>
        </is>
      </c>
      <c r="B65" s="3" t="n">
        <v>9066107</v>
      </c>
      <c r="C65" s="3" t="n">
        <v>8717761</v>
      </c>
      <c r="D65" s="3" t="n">
        <v>10175289</v>
      </c>
      <c r="E65" s="3" t="n">
        <v>9236077</v>
      </c>
      <c r="F65" s="3" t="n">
        <v>5966582</v>
      </c>
      <c r="G65" s="3" t="n"/>
    </row>
    <row r="66">
      <c r="A66" t="inlineStr">
        <is>
          <t>Work In Process</t>
        </is>
      </c>
      <c r="B66" s="3" t="n">
        <v>1272956</v>
      </c>
      <c r="C66" s="3" t="n">
        <v>1426933</v>
      </c>
      <c r="D66" s="3" t="n">
        <v>1661914</v>
      </c>
      <c r="E66" s="3" t="n">
        <v>947290</v>
      </c>
      <c r="F66" s="3" t="n">
        <v>1491645</v>
      </c>
      <c r="G66" s="3" t="n"/>
    </row>
    <row r="67">
      <c r="A67" t="inlineStr">
        <is>
          <t>Raw Materials</t>
        </is>
      </c>
      <c r="B67" s="3" t="n">
        <v>6828618</v>
      </c>
      <c r="C67" s="3" t="n">
        <v>7027016</v>
      </c>
      <c r="D67" s="3" t="n">
        <v>8198802</v>
      </c>
      <c r="E67" s="3" t="n">
        <v>8076774</v>
      </c>
      <c r="F67" s="3" t="n">
        <v>6836914</v>
      </c>
      <c r="G67" s="3" t="n"/>
    </row>
    <row r="68">
      <c r="A68" t="inlineStr">
        <is>
          <t>Receivables</t>
        </is>
      </c>
      <c r="B68" s="3" t="n">
        <v>20261745</v>
      </c>
      <c r="C68" s="3" t="n">
        <v>18230866</v>
      </c>
      <c r="D68" s="3" t="n">
        <v>6917040</v>
      </c>
      <c r="E68" s="3" t="n">
        <v>5973923</v>
      </c>
      <c r="F68" s="3" t="n">
        <v>8042924</v>
      </c>
      <c r="G68" s="3" t="n"/>
    </row>
    <row r="69">
      <c r="A69" t="inlineStr">
        <is>
          <t>Other Receivables</t>
        </is>
      </c>
      <c r="B69" s="3" t="n">
        <v>6207369</v>
      </c>
      <c r="C69" s="3" t="n">
        <v>5832324</v>
      </c>
      <c r="D69" s="3" t="n"/>
      <c r="E69" s="3" t="n"/>
      <c r="F69" s="3" t="n">
        <v>4080722</v>
      </c>
      <c r="G69" s="3" t="n">
        <v>2691800</v>
      </c>
    </row>
    <row r="70">
      <c r="A70" t="inlineStr">
        <is>
          <t>Accounts Receivable</t>
        </is>
      </c>
      <c r="B70" s="3" t="n">
        <v>14054376</v>
      </c>
      <c r="C70" s="3" t="n">
        <v>12398542</v>
      </c>
      <c r="D70" s="3" t="n">
        <v>6917040</v>
      </c>
      <c r="E70" s="3" t="n">
        <v>5973923</v>
      </c>
      <c r="F70" s="3" t="n">
        <v>3962202</v>
      </c>
      <c r="G70" s="3" t="n"/>
    </row>
    <row r="71">
      <c r="A71" t="inlineStr">
        <is>
          <t>Cash Cash Equivalents And Short Term Investments</t>
        </is>
      </c>
      <c r="B71" s="3" t="n">
        <v>15979714</v>
      </c>
      <c r="C71" s="3" t="n">
        <v>3206406</v>
      </c>
      <c r="D71" s="3" t="n">
        <v>5681657</v>
      </c>
      <c r="E71" s="3" t="n">
        <v>11375265</v>
      </c>
      <c r="F71" s="3" t="n">
        <v>15873217</v>
      </c>
      <c r="G71" s="3" t="n"/>
    </row>
    <row r="72">
      <c r="A72" t="inlineStr">
        <is>
          <t>Cash And Cash Equivalents</t>
        </is>
      </c>
      <c r="B72" s="3" t="n">
        <v>15979714</v>
      </c>
      <c r="C72" s="3" t="n">
        <v>3206406</v>
      </c>
      <c r="D72" s="3" t="n">
        <v>5681657</v>
      </c>
      <c r="E72" s="3" t="n">
        <v>11375265</v>
      </c>
      <c r="F72" s="3" t="n">
        <v>15873217</v>
      </c>
      <c r="G72" s="3" t="n"/>
    </row>
    <row r="73">
      <c r="A73" t="inlineStr">
        <is>
          <t>Cash Financial</t>
        </is>
      </c>
      <c r="B73" s="3" t="n">
        <v>15979714</v>
      </c>
      <c r="C73" s="3" t="n">
        <v>3206406</v>
      </c>
      <c r="D73" s="3" t="n"/>
      <c r="E73" s="3" t="n"/>
      <c r="F73" s="3" t="n"/>
      <c r="G73" s="3" t="n">
        <v>466500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-22202045</v>
      </c>
      <c r="C2" s="3" t="n">
        <v>-10164509</v>
      </c>
      <c r="D2" s="3" t="n">
        <v>-15814972</v>
      </c>
      <c r="E2" s="3" t="n">
        <v>-5994475</v>
      </c>
      <c r="F2" s="3" t="n"/>
    </row>
    <row r="3">
      <c r="A3" t="inlineStr">
        <is>
          <t>Repurchase Of Capital Stock</t>
        </is>
      </c>
      <c r="B3" s="3" t="n"/>
      <c r="C3" s="3" t="n"/>
      <c r="D3" s="3" t="n"/>
      <c r="E3" s="3" t="n"/>
      <c r="F3" s="3" t="n">
        <v>-26000</v>
      </c>
    </row>
    <row r="4">
      <c r="A4" t="inlineStr">
        <is>
          <t>Repayment Of Debt</t>
        </is>
      </c>
      <c r="B4" s="3" t="n">
        <v>-5281486</v>
      </c>
      <c r="C4" s="3" t="n">
        <v>0</v>
      </c>
      <c r="D4" s="3" t="n">
        <v>-126505</v>
      </c>
      <c r="E4" s="3" t="n">
        <v>-145000</v>
      </c>
      <c r="F4" s="3" t="n"/>
    </row>
    <row r="5">
      <c r="A5" t="inlineStr">
        <is>
          <t>Issuance Of Debt</t>
        </is>
      </c>
      <c r="B5" s="3" t="n">
        <v>31448042</v>
      </c>
      <c r="C5" s="3" t="n">
        <v>9425980</v>
      </c>
      <c r="D5" s="3" t="n">
        <v>22460735</v>
      </c>
      <c r="E5" s="3" t="n">
        <v>5896161</v>
      </c>
      <c r="F5" s="3" t="n"/>
    </row>
    <row r="6">
      <c r="A6" t="inlineStr">
        <is>
          <t>Issuance Of Capital Stock</t>
        </is>
      </c>
      <c r="B6" s="3" t="n"/>
      <c r="C6" s="3" t="n">
        <v>0</v>
      </c>
      <c r="D6" s="3" t="n">
        <v>412056</v>
      </c>
      <c r="E6" s="3" t="n">
        <v>0</v>
      </c>
      <c r="F6" s="3" t="n">
        <v>583050</v>
      </c>
    </row>
    <row r="7">
      <c r="A7" t="inlineStr">
        <is>
          <t>Capital Expenditure</t>
        </is>
      </c>
      <c r="B7" s="3" t="n">
        <v>-3659058</v>
      </c>
      <c r="C7" s="3" t="n">
        <v>-661479</v>
      </c>
      <c r="D7" s="3" t="n">
        <v>-453327</v>
      </c>
      <c r="E7" s="3" t="n">
        <v>-220324</v>
      </c>
      <c r="F7" s="3" t="n"/>
    </row>
    <row r="8">
      <c r="A8" t="inlineStr">
        <is>
          <t>Interest Paid Supplemental Data</t>
        </is>
      </c>
      <c r="B8" s="3" t="n"/>
      <c r="C8" s="3" t="n"/>
      <c r="D8" s="3" t="n">
        <v>0</v>
      </c>
      <c r="E8" s="3" t="n">
        <v>0</v>
      </c>
      <c r="F8" s="3" t="n">
        <v>0</v>
      </c>
    </row>
    <row r="9">
      <c r="A9" t="inlineStr">
        <is>
          <t>Income Tax Paid Supplemental Data</t>
        </is>
      </c>
      <c r="B9" s="3" t="n"/>
      <c r="C9" s="3" t="n"/>
      <c r="D9" s="3" t="n">
        <v>0</v>
      </c>
      <c r="E9" s="3" t="n">
        <v>0</v>
      </c>
      <c r="F9" s="3" t="n"/>
    </row>
    <row r="10">
      <c r="A10" t="inlineStr">
        <is>
          <t>End Cash Position</t>
        </is>
      </c>
      <c r="B10" s="3" t="n">
        <v>9603020</v>
      </c>
      <c r="C10" s="3" t="n">
        <v>6623535</v>
      </c>
      <c r="D10" s="3" t="n">
        <v>7087845</v>
      </c>
      <c r="E10" s="3" t="n">
        <v>274625</v>
      </c>
      <c r="F10" s="3" t="n"/>
    </row>
    <row r="11">
      <c r="A11" t="inlineStr">
        <is>
          <t>Beginning Cash Position</t>
        </is>
      </c>
      <c r="B11" s="3" t="n">
        <v>6623535</v>
      </c>
      <c r="C11" s="3" t="n">
        <v>7087845</v>
      </c>
      <c r="D11" s="3" t="n">
        <v>274625</v>
      </c>
      <c r="E11" s="3" t="n">
        <v>87709</v>
      </c>
      <c r="F11" s="3" t="n"/>
    </row>
    <row r="12">
      <c r="A12" t="inlineStr">
        <is>
          <t>Effect Of Exchange Rate Changes</t>
        </is>
      </c>
      <c r="B12" s="3" t="n">
        <v>-985026</v>
      </c>
      <c r="C12" s="3" t="n">
        <v>274219</v>
      </c>
      <c r="D12" s="3" t="n">
        <v>-168094</v>
      </c>
      <c r="E12" s="3" t="n">
        <v>44412</v>
      </c>
      <c r="F12" s="3" t="n"/>
    </row>
    <row r="13">
      <c r="A13" t="inlineStr">
        <is>
          <t>Changes In Cash</t>
        </is>
      </c>
      <c r="B13" s="3" t="n">
        <v>3964511</v>
      </c>
      <c r="C13" s="3" t="n">
        <v>-738529</v>
      </c>
      <c r="D13" s="3" t="n">
        <v>6981314</v>
      </c>
      <c r="E13" s="3" t="n">
        <v>142504</v>
      </c>
      <c r="F13" s="3" t="n"/>
    </row>
    <row r="14">
      <c r="A14" t="inlineStr">
        <is>
          <t>Financing Cash Flow</t>
        </is>
      </c>
      <c r="B14" s="3" t="n">
        <v>26166556</v>
      </c>
      <c r="C14" s="3" t="n">
        <v>9425980</v>
      </c>
      <c r="D14" s="3" t="n">
        <v>22796286</v>
      </c>
      <c r="E14" s="3" t="n">
        <v>5896161</v>
      </c>
      <c r="F14" s="3" t="n"/>
    </row>
    <row r="15">
      <c r="A15" t="inlineStr">
        <is>
          <t>Cash Flow From Continuing Financing Activities</t>
        </is>
      </c>
      <c r="B15" s="3" t="n">
        <v>26166556</v>
      </c>
      <c r="C15" s="3" t="n">
        <v>9425980</v>
      </c>
      <c r="D15" s="3" t="n">
        <v>22796286</v>
      </c>
      <c r="E15" s="3" t="n">
        <v>5896161</v>
      </c>
      <c r="F15" s="3" t="n"/>
    </row>
    <row r="16">
      <c r="A16" t="inlineStr">
        <is>
          <t>Net Other Financing Charges</t>
        </is>
      </c>
      <c r="B16" s="3" t="n"/>
      <c r="C16" s="3" t="n"/>
      <c r="D16" s="3" t="n">
        <v>1910432</v>
      </c>
      <c r="E16" s="3" t="n"/>
      <c r="F16" s="3" t="n">
        <v>-1</v>
      </c>
    </row>
    <row r="17">
      <c r="A17" t="inlineStr">
        <is>
          <t>Proceeds From Stock Option Exercised</t>
        </is>
      </c>
      <c r="B17" s="3" t="n"/>
      <c r="C17" s="3" t="n">
        <v>0</v>
      </c>
      <c r="D17" s="3" t="n">
        <v>50000</v>
      </c>
      <c r="E17" s="3" t="n">
        <v>0</v>
      </c>
      <c r="F17" s="3" t="n">
        <v>12900</v>
      </c>
    </row>
    <row r="18">
      <c r="A18" t="inlineStr">
        <is>
          <t>Net Common Stock Issuance</t>
        </is>
      </c>
      <c r="B18" s="3" t="n"/>
      <c r="C18" s="3" t="n">
        <v>0</v>
      </c>
      <c r="D18" s="3" t="n">
        <v>412056</v>
      </c>
      <c r="E18" s="3" t="n">
        <v>0</v>
      </c>
      <c r="F18" s="3" t="n">
        <v>557050</v>
      </c>
    </row>
    <row r="19">
      <c r="A19" t="inlineStr">
        <is>
          <t>Common Stock Payments</t>
        </is>
      </c>
      <c r="B19" s="3" t="n"/>
      <c r="C19" s="3" t="n"/>
      <c r="D19" s="3" t="n"/>
      <c r="E19" s="3" t="n"/>
      <c r="F19" s="3" t="n">
        <v>-26000</v>
      </c>
    </row>
    <row r="20">
      <c r="A20" t="inlineStr">
        <is>
          <t>Common Stock Issuance</t>
        </is>
      </c>
      <c r="B20" s="3" t="n"/>
      <c r="C20" s="3" t="n">
        <v>0</v>
      </c>
      <c r="D20" s="3" t="n">
        <v>412056</v>
      </c>
      <c r="E20" s="3" t="n">
        <v>0</v>
      </c>
      <c r="F20" s="3" t="n">
        <v>583050</v>
      </c>
    </row>
    <row r="21">
      <c r="A21" t="inlineStr">
        <is>
          <t>Net Issuance Payments Of Debt</t>
        </is>
      </c>
      <c r="B21" s="3" t="n">
        <v>26166556</v>
      </c>
      <c r="C21" s="3" t="n">
        <v>9425980</v>
      </c>
      <c r="D21" s="3" t="n">
        <v>22334230</v>
      </c>
      <c r="E21" s="3" t="n">
        <v>5896161</v>
      </c>
      <c r="F21" s="3" t="n"/>
    </row>
    <row r="22">
      <c r="A22" t="inlineStr">
        <is>
          <t>Net Short Term Debt Issuance</t>
        </is>
      </c>
      <c r="B22" s="3" t="n">
        <v>3448042</v>
      </c>
      <c r="C22" s="3" t="n">
        <v>4975980</v>
      </c>
      <c r="D22" s="3" t="n">
        <v>2480735</v>
      </c>
      <c r="E22" s="3" t="n">
        <v>2896161</v>
      </c>
      <c r="F22" s="3" t="n"/>
    </row>
    <row r="23">
      <c r="A23" t="inlineStr">
        <is>
          <t>Short Term Debt Payments</t>
        </is>
      </c>
      <c r="B23" s="3" t="n"/>
      <c r="C23" s="3" t="n"/>
      <c r="D23" s="3" t="n">
        <v>-9051353</v>
      </c>
      <c r="E23" s="3" t="n">
        <v>-145000</v>
      </c>
      <c r="F23" s="3" t="n">
        <v>0</v>
      </c>
    </row>
    <row r="24">
      <c r="A24" t="inlineStr">
        <is>
          <t>Short Term Debt Issuance</t>
        </is>
      </c>
      <c r="B24" s="3" t="n">
        <v>3448042</v>
      </c>
      <c r="C24" s="3" t="n">
        <v>4975980</v>
      </c>
      <c r="D24" s="3" t="n">
        <v>2480735</v>
      </c>
      <c r="E24" s="3" t="n">
        <v>2896161</v>
      </c>
      <c r="F24" s="3" t="n"/>
    </row>
    <row r="25">
      <c r="A25" t="inlineStr">
        <is>
          <t>Net Long Term Debt Issuance</t>
        </is>
      </c>
      <c r="B25" s="3" t="n">
        <v>22718514</v>
      </c>
      <c r="C25" s="3" t="n">
        <v>4450000</v>
      </c>
      <c r="D25" s="3" t="n">
        <v>19853495</v>
      </c>
      <c r="E25" s="3" t="n">
        <v>3000000</v>
      </c>
      <c r="F25" s="3" t="n"/>
    </row>
    <row r="26">
      <c r="A26" t="inlineStr">
        <is>
          <t>Long Term Debt Payments</t>
        </is>
      </c>
      <c r="B26" s="3" t="n">
        <v>-5281486</v>
      </c>
      <c r="C26" s="3" t="n">
        <v>0</v>
      </c>
      <c r="D26" s="3" t="n">
        <v>-126505</v>
      </c>
      <c r="E26" s="3" t="n"/>
      <c r="F26" s="3" t="n"/>
    </row>
    <row r="27">
      <c r="A27" t="inlineStr">
        <is>
          <t>Long Term Debt Issuance</t>
        </is>
      </c>
      <c r="B27" s="3" t="n">
        <v>28000000</v>
      </c>
      <c r="C27" s="3" t="n">
        <v>4450000</v>
      </c>
      <c r="D27" s="3" t="n">
        <v>19980000</v>
      </c>
      <c r="E27" s="3" t="n">
        <v>3000000</v>
      </c>
      <c r="F27" s="3" t="n"/>
    </row>
    <row r="28">
      <c r="A28" t="inlineStr">
        <is>
          <t>Investing Cash Flow</t>
        </is>
      </c>
      <c r="B28" s="3" t="n">
        <v>-3659058</v>
      </c>
      <c r="C28" s="3" t="n">
        <v>-661479</v>
      </c>
      <c r="D28" s="3" t="n">
        <v>-453327</v>
      </c>
      <c r="E28" s="3" t="n">
        <v>240818</v>
      </c>
      <c r="F28" s="3" t="n"/>
    </row>
    <row r="29">
      <c r="A29" t="inlineStr">
        <is>
          <t>Cash Flow From Continuing Investing Activities</t>
        </is>
      </c>
      <c r="B29" s="3" t="n">
        <v>-3659058</v>
      </c>
      <c r="C29" s="3" t="n">
        <v>-661479</v>
      </c>
      <c r="D29" s="3" t="n">
        <v>-453327</v>
      </c>
      <c r="E29" s="3" t="n">
        <v>240818</v>
      </c>
      <c r="F29" s="3" t="n"/>
    </row>
    <row r="30">
      <c r="A30" t="inlineStr">
        <is>
          <t>Net Other Investing Changes</t>
        </is>
      </c>
      <c r="B30" s="3" t="n"/>
      <c r="C30" s="3" t="n"/>
      <c r="D30" s="3" t="n">
        <v>464029</v>
      </c>
      <c r="E30" s="3" t="n">
        <v>-3000000</v>
      </c>
      <c r="F30" s="3" t="n"/>
    </row>
    <row r="31">
      <c r="A31" t="inlineStr">
        <is>
          <t>Net Investment Purchase And Sale</t>
        </is>
      </c>
      <c r="B31" s="3" t="n"/>
      <c r="C31" s="3" t="n"/>
      <c r="D31" s="3" t="n"/>
      <c r="E31" s="3" t="n"/>
      <c r="F31" s="3" t="n">
        <v>0</v>
      </c>
    </row>
    <row r="32">
      <c r="A32" t="inlineStr">
        <is>
          <t>Purchase Of Investment</t>
        </is>
      </c>
      <c r="B32" s="3" t="n"/>
      <c r="C32" s="3" t="n"/>
      <c r="D32" s="3" t="n"/>
      <c r="E32" s="3" t="n"/>
      <c r="F32" s="3" t="n">
        <v>0</v>
      </c>
    </row>
    <row r="33">
      <c r="A33" t="inlineStr">
        <is>
          <t>Net Business Purchase And Sale</t>
        </is>
      </c>
      <c r="B33" s="3" t="n"/>
      <c r="C33" s="3" t="n"/>
      <c r="D33" s="3" t="n"/>
      <c r="E33" s="3" t="n">
        <v>0</v>
      </c>
      <c r="F33" s="3" t="n">
        <v>38150</v>
      </c>
    </row>
    <row r="34">
      <c r="A34" t="inlineStr">
        <is>
          <t>Sale Of Business</t>
        </is>
      </c>
      <c r="B34" s="3" t="n"/>
      <c r="C34" s="3" t="n"/>
      <c r="D34" s="3" t="n"/>
      <c r="E34" s="3" t="n">
        <v>0</v>
      </c>
      <c r="F34" s="3" t="n">
        <v>38150</v>
      </c>
    </row>
    <row r="35">
      <c r="A35" t="inlineStr">
        <is>
          <t>Net Intangibles Purchase And Sale</t>
        </is>
      </c>
      <c r="B35" s="3" t="n"/>
      <c r="C35" s="3" t="n"/>
      <c r="D35" s="3" t="n"/>
      <c r="E35" s="3" t="n"/>
      <c r="F35" s="3" t="n">
        <v>0</v>
      </c>
    </row>
    <row r="36">
      <c r="A36" t="inlineStr">
        <is>
          <t>Purchase Of Intangibles</t>
        </is>
      </c>
      <c r="B36" s="3" t="n"/>
      <c r="C36" s="3" t="n"/>
      <c r="D36" s="3" t="n"/>
      <c r="E36" s="3" t="n"/>
      <c r="F36" s="3" t="n">
        <v>0</v>
      </c>
    </row>
    <row r="37">
      <c r="A37" t="inlineStr">
        <is>
          <t>Net PPE Purchase And Sale</t>
        </is>
      </c>
      <c r="B37" s="3" t="n">
        <v>-3659058</v>
      </c>
      <c r="C37" s="3" t="n">
        <v>-661479</v>
      </c>
      <c r="D37" s="3" t="n">
        <v>-453327</v>
      </c>
      <c r="E37" s="3" t="n">
        <v>240818</v>
      </c>
      <c r="F37" s="3" t="n"/>
    </row>
    <row r="38">
      <c r="A38" t="inlineStr">
        <is>
          <t>Sale Of PPE</t>
        </is>
      </c>
      <c r="B38" s="3" t="n"/>
      <c r="C38" s="3" t="n"/>
      <c r="D38" s="3" t="n">
        <v>0</v>
      </c>
      <c r="E38" s="3" t="n">
        <v>484510</v>
      </c>
      <c r="F38" s="3" t="n"/>
    </row>
    <row r="39">
      <c r="A39" t="inlineStr">
        <is>
          <t>Purchase Of PPE</t>
        </is>
      </c>
      <c r="B39" s="3" t="n">
        <v>-3659058</v>
      </c>
      <c r="C39" s="3" t="n">
        <v>-661479</v>
      </c>
      <c r="D39" s="3" t="n">
        <v>-453327</v>
      </c>
      <c r="E39" s="3" t="n">
        <v>-220324</v>
      </c>
      <c r="F39" s="3" t="n"/>
    </row>
    <row r="40">
      <c r="A40" t="inlineStr">
        <is>
          <t>Operating Cash Flow</t>
        </is>
      </c>
      <c r="B40" s="3" t="n">
        <v>-18542987</v>
      </c>
      <c r="C40" s="3" t="n">
        <v>-9503030</v>
      </c>
      <c r="D40" s="3" t="n">
        <v>-15361645</v>
      </c>
      <c r="E40" s="3" t="n">
        <v>-5994475</v>
      </c>
      <c r="F40" s="3" t="n"/>
    </row>
    <row r="41">
      <c r="A41" t="inlineStr">
        <is>
          <t>Cash Flow From Continuing Operating Activities</t>
        </is>
      </c>
      <c r="B41" s="3" t="n">
        <v>-18542987</v>
      </c>
      <c r="C41" s="3" t="n">
        <v>-9503030</v>
      </c>
      <c r="D41" s="3" t="n">
        <v>-15361645</v>
      </c>
      <c r="E41" s="3" t="n">
        <v>-5994475</v>
      </c>
      <c r="F41" s="3" t="n"/>
    </row>
    <row r="42">
      <c r="A42" t="inlineStr">
        <is>
          <t>Change In Working Capital</t>
        </is>
      </c>
      <c r="B42" s="3" t="n">
        <v>-15001863</v>
      </c>
      <c r="C42" s="3" t="n">
        <v>-6081229</v>
      </c>
      <c r="D42" s="3" t="n">
        <v>-9657697</v>
      </c>
      <c r="E42" s="3" t="n">
        <v>-3163033</v>
      </c>
      <c r="F42" s="3" t="n"/>
    </row>
    <row r="43">
      <c r="A43" t="inlineStr">
        <is>
          <t>Change In Other Working Capital</t>
        </is>
      </c>
      <c r="B43" s="3" t="n">
        <v>3953938</v>
      </c>
      <c r="C43" s="3" t="n">
        <v>5357075</v>
      </c>
      <c r="D43" s="3" t="n">
        <v>1051563</v>
      </c>
      <c r="E43" s="3" t="n">
        <v>-1158491</v>
      </c>
      <c r="F43" s="3" t="n"/>
    </row>
    <row r="44">
      <c r="A44" t="inlineStr">
        <is>
          <t>Change In Payables And Accrued Expense</t>
        </is>
      </c>
      <c r="B44" s="3" t="n">
        <v>7254063</v>
      </c>
      <c r="C44" s="3" t="n">
        <v>2554867</v>
      </c>
      <c r="D44" s="3" t="n">
        <v>1166368</v>
      </c>
      <c r="E44" s="3" t="n">
        <v>336943</v>
      </c>
      <c r="F44" s="3" t="n"/>
    </row>
    <row r="45">
      <c r="A45" t="inlineStr">
        <is>
          <t>Change In Accrued Expense</t>
        </is>
      </c>
      <c r="B45" s="3" t="n">
        <v>161914</v>
      </c>
      <c r="C45" s="3" t="n">
        <v>1144037</v>
      </c>
      <c r="D45" s="3" t="n">
        <v>430293</v>
      </c>
      <c r="E45" s="3" t="n">
        <v>208108</v>
      </c>
      <c r="F45" s="3" t="n"/>
    </row>
    <row r="46">
      <c r="A46" t="inlineStr">
        <is>
          <t>Change In Payable</t>
        </is>
      </c>
      <c r="B46" s="3" t="n">
        <v>7092149</v>
      </c>
      <c r="C46" s="3" t="n">
        <v>1410830</v>
      </c>
      <c r="D46" s="3" t="n">
        <v>736075</v>
      </c>
      <c r="E46" s="3" t="n">
        <v>128835</v>
      </c>
      <c r="F46" s="3" t="n"/>
    </row>
    <row r="47">
      <c r="A47" t="inlineStr">
        <is>
          <t>Change In Account Payable</t>
        </is>
      </c>
      <c r="B47" s="3" t="n">
        <v>2877810</v>
      </c>
      <c r="C47" s="3" t="n">
        <v>1410830</v>
      </c>
      <c r="D47" s="3" t="n">
        <v>736075</v>
      </c>
      <c r="E47" s="3" t="n">
        <v>128835</v>
      </c>
      <c r="F47" s="3" t="n"/>
    </row>
    <row r="48">
      <c r="A48" t="inlineStr">
        <is>
          <t>Change In Tax Payable</t>
        </is>
      </c>
      <c r="B48" s="3" t="n">
        <v>4214339</v>
      </c>
      <c r="C48" s="3" t="n">
        <v>0</v>
      </c>
      <c r="D48" s="3" t="n"/>
      <c r="E48" s="3" t="n"/>
      <c r="F48" s="3" t="n"/>
    </row>
    <row r="49">
      <c r="A49" t="inlineStr">
        <is>
          <t>Change In Income Tax Payable</t>
        </is>
      </c>
      <c r="B49" s="3" t="n">
        <v>4214339</v>
      </c>
      <c r="C49" s="3" t="n">
        <v>0</v>
      </c>
      <c r="D49" s="3" t="n"/>
      <c r="E49" s="3" t="n"/>
      <c r="F49" s="3" t="n"/>
    </row>
    <row r="50">
      <c r="A50" t="inlineStr">
        <is>
          <t>Change In Prepaid Assets</t>
        </is>
      </c>
      <c r="B50" s="3" t="n">
        <v>-5101794</v>
      </c>
      <c r="C50" s="3" t="n">
        <v>-1411621</v>
      </c>
      <c r="D50" s="3" t="n">
        <v>-2690178</v>
      </c>
      <c r="E50" s="3" t="n">
        <v>-515890</v>
      </c>
      <c r="F50" s="3" t="n"/>
    </row>
    <row r="51">
      <c r="A51" t="inlineStr">
        <is>
          <t>Change In Inventory</t>
        </is>
      </c>
      <c r="B51" s="3" t="n">
        <v>-8070786</v>
      </c>
      <c r="C51" s="3" t="n">
        <v>-7691518</v>
      </c>
      <c r="D51" s="3" t="n">
        <v>-6113810</v>
      </c>
      <c r="E51" s="3" t="n">
        <v>-780683</v>
      </c>
      <c r="F51" s="3" t="n"/>
    </row>
    <row r="52">
      <c r="A52" t="inlineStr">
        <is>
          <t>Change In Receivables</t>
        </is>
      </c>
      <c r="B52" s="3" t="n">
        <v>-13037284</v>
      </c>
      <c r="C52" s="3" t="n">
        <v>-4890032</v>
      </c>
      <c r="D52" s="3" t="n">
        <v>-3071640</v>
      </c>
      <c r="E52" s="3" t="n">
        <v>-1044912</v>
      </c>
      <c r="F52" s="3" t="n"/>
    </row>
    <row r="53">
      <c r="A53" t="inlineStr">
        <is>
          <t>Changes In Account Receivables</t>
        </is>
      </c>
      <c r="B53" s="3" t="n">
        <v>-13037284</v>
      </c>
      <c r="C53" s="3" t="n">
        <v>-4890032</v>
      </c>
      <c r="D53" s="3" t="n">
        <v>-3071640</v>
      </c>
      <c r="E53" s="3" t="n">
        <v>-1044912</v>
      </c>
      <c r="F53" s="3" t="n"/>
    </row>
    <row r="54">
      <c r="A54" t="inlineStr">
        <is>
          <t>Other Non Cash Items</t>
        </is>
      </c>
      <c r="B54" s="3" t="n">
        <v>-318895</v>
      </c>
      <c r="C54" s="3" t="n">
        <v>-53611</v>
      </c>
      <c r="D54" s="3" t="n">
        <v>5288864</v>
      </c>
      <c r="E54" s="3" t="n">
        <v>285863</v>
      </c>
      <c r="F54" s="3" t="n"/>
    </row>
    <row r="55">
      <c r="A55" t="inlineStr">
        <is>
          <t>Stock Based Compensation</t>
        </is>
      </c>
      <c r="B55" s="3" t="n">
        <v>8128103</v>
      </c>
      <c r="C55" s="3" t="n">
        <v>14342784</v>
      </c>
      <c r="D55" s="3" t="n">
        <v>9723492</v>
      </c>
      <c r="E55" s="3" t="n">
        <v>0</v>
      </c>
      <c r="F55" s="3" t="n"/>
    </row>
    <row r="56">
      <c r="A56" t="inlineStr">
        <is>
          <t>Provisionand Write Offof Assets</t>
        </is>
      </c>
      <c r="B56" s="3" t="n">
        <v>214013</v>
      </c>
      <c r="C56" s="3" t="n">
        <v>955762</v>
      </c>
      <c r="D56" s="3" t="n">
        <v>0</v>
      </c>
      <c r="E56" s="3" t="n"/>
      <c r="F56" s="3" t="n"/>
    </row>
    <row r="57">
      <c r="A57" t="inlineStr">
        <is>
          <t>Asset Impairment Charge</t>
        </is>
      </c>
      <c r="B57" s="3" t="n">
        <v>0</v>
      </c>
      <c r="C57" s="3" t="n">
        <v>48456</v>
      </c>
      <c r="D57" s="3" t="n">
        <v>9250</v>
      </c>
      <c r="E57" s="3" t="n"/>
      <c r="F57" s="3" t="n">
        <v>77392</v>
      </c>
    </row>
    <row r="58">
      <c r="A58" t="inlineStr">
        <is>
          <t>Deferred Tax</t>
        </is>
      </c>
      <c r="B58" s="3" t="n">
        <v>-512865</v>
      </c>
      <c r="C58" s="3" t="n">
        <v>0</v>
      </c>
      <c r="D58" s="3" t="n"/>
      <c r="E58" s="3" t="n"/>
      <c r="F58" s="3" t="n"/>
    </row>
    <row r="59">
      <c r="A59" t="inlineStr">
        <is>
          <t>Deferred Income Tax</t>
        </is>
      </c>
      <c r="B59" s="3" t="n">
        <v>-512865</v>
      </c>
      <c r="C59" s="3" t="n">
        <v>0</v>
      </c>
      <c r="D59" s="3" t="n"/>
      <c r="E59" s="3" t="n"/>
      <c r="F59" s="3" t="n"/>
    </row>
    <row r="60">
      <c r="A60" t="inlineStr">
        <is>
          <t>Depreciation Amortization Depletion</t>
        </is>
      </c>
      <c r="B60" s="3" t="n">
        <v>1075907</v>
      </c>
      <c r="C60" s="3" t="n">
        <v>436005</v>
      </c>
      <c r="D60" s="3" t="n">
        <v>152738</v>
      </c>
      <c r="E60" s="3" t="n">
        <v>96577</v>
      </c>
      <c r="F60" s="3" t="n"/>
    </row>
    <row r="61">
      <c r="A61" t="inlineStr">
        <is>
          <t>Depreciation And Amortization</t>
        </is>
      </c>
      <c r="B61" s="3" t="n">
        <v>1075907</v>
      </c>
      <c r="C61" s="3" t="n">
        <v>436005</v>
      </c>
      <c r="D61" s="3" t="n">
        <v>152738</v>
      </c>
      <c r="E61" s="3" t="n">
        <v>96577</v>
      </c>
      <c r="F61" s="3" t="n"/>
    </row>
    <row r="62">
      <c r="A62" t="inlineStr">
        <is>
          <t>Depreciation</t>
        </is>
      </c>
      <c r="B62" s="3" t="n">
        <v>1075907</v>
      </c>
      <c r="C62" s="3" t="n">
        <v>436005</v>
      </c>
      <c r="D62" s="3" t="n">
        <v>152738</v>
      </c>
      <c r="E62" s="3" t="n">
        <v>96577</v>
      </c>
      <c r="F62" s="3" t="n"/>
    </row>
    <row r="63">
      <c r="A63" t="inlineStr">
        <is>
          <t>Operating Gains Losses</t>
        </is>
      </c>
      <c r="B63" s="3" t="n"/>
      <c r="C63" s="3" t="n"/>
      <c r="D63" s="3" t="n"/>
      <c r="E63" s="3" t="n"/>
      <c r="F63" s="3" t="n">
        <v>77392</v>
      </c>
    </row>
    <row r="64">
      <c r="A64" t="inlineStr">
        <is>
          <t>Gain Loss On Investment Securities</t>
        </is>
      </c>
      <c r="B64" s="3" t="n"/>
      <c r="C64" s="3" t="n"/>
      <c r="D64" s="3" t="n"/>
      <c r="E64" s="3" t="n"/>
      <c r="F64" s="3" t="n">
        <v>77392</v>
      </c>
    </row>
    <row r="65">
      <c r="A65" t="inlineStr">
        <is>
          <t>Net Income From Continuing Operations</t>
        </is>
      </c>
      <c r="B65" s="3" t="n">
        <v>-12127387</v>
      </c>
      <c r="C65" s="3" t="n">
        <v>-19151197</v>
      </c>
      <c r="D65" s="3" t="n">
        <v>-20878292</v>
      </c>
      <c r="E65" s="3" t="n">
        <v>-3213882</v>
      </c>
      <c r="F6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-2366125</v>
      </c>
      <c r="C2" s="3" t="n">
        <v>-3234101</v>
      </c>
      <c r="D2" s="3" t="n">
        <v>-8222789</v>
      </c>
      <c r="E2" s="3" t="n">
        <v>-3768977</v>
      </c>
      <c r="F2" s="3" t="n">
        <v>-6976178</v>
      </c>
      <c r="G2" s="3" t="n"/>
    </row>
    <row r="3">
      <c r="A3" t="inlineStr">
        <is>
          <t>Repayment Of Debt</t>
        </is>
      </c>
      <c r="B3" s="3" t="n">
        <v>-286801</v>
      </c>
      <c r="C3" s="3" t="n">
        <v>0</v>
      </c>
      <c r="D3" s="3" t="n">
        <v>1014593</v>
      </c>
      <c r="E3" s="3" t="n">
        <v>-702098</v>
      </c>
      <c r="F3" s="3" t="n">
        <v>-5593981</v>
      </c>
      <c r="G3" s="3" t="n"/>
    </row>
    <row r="4">
      <c r="A4" t="inlineStr">
        <is>
          <t>Issuance Of Debt</t>
        </is>
      </c>
      <c r="B4" s="3" t="n">
        <v>0</v>
      </c>
      <c r="C4" s="3" t="n">
        <v>1373165</v>
      </c>
      <c r="D4" s="3" t="n">
        <v>2074877</v>
      </c>
      <c r="E4" s="3" t="n">
        <v>0</v>
      </c>
      <c r="F4" s="3" t="n">
        <v>28000000</v>
      </c>
      <c r="G4" s="3" t="n"/>
    </row>
    <row r="5">
      <c r="A5" t="inlineStr">
        <is>
          <t>Issuance Of Capital Stock</t>
        </is>
      </c>
      <c r="B5" s="3" t="n">
        <v>18446498</v>
      </c>
      <c r="C5" s="3" t="n"/>
      <c r="D5" s="3" t="n"/>
      <c r="E5" s="3" t="n"/>
      <c r="F5" s="3" t="n">
        <v>0</v>
      </c>
      <c r="G5" s="3" t="n"/>
    </row>
    <row r="6">
      <c r="A6" t="inlineStr">
        <is>
          <t>Capital Expenditure</t>
        </is>
      </c>
      <c r="B6" s="3" t="n">
        <v>-54189</v>
      </c>
      <c r="C6" s="3" t="n">
        <v>-1714531</v>
      </c>
      <c r="D6" s="3" t="n">
        <v>-755075</v>
      </c>
      <c r="E6" s="3" t="n">
        <v>-316648</v>
      </c>
      <c r="F6" s="3" t="n">
        <v>-872804</v>
      </c>
      <c r="G6" s="3" t="n"/>
    </row>
    <row r="7">
      <c r="A7" t="inlineStr">
        <is>
          <t>End Cash Position</t>
        </is>
      </c>
      <c r="B7" s="3" t="n">
        <v>24005680</v>
      </c>
      <c r="C7" s="3" t="n">
        <v>9603020</v>
      </c>
      <c r="D7" s="3" t="n">
        <v>12039247</v>
      </c>
      <c r="E7" s="3" t="n">
        <v>17605678</v>
      </c>
      <c r="F7" s="3" t="n">
        <v>22078788</v>
      </c>
      <c r="G7" s="3" t="n"/>
    </row>
    <row r="8">
      <c r="A8" t="inlineStr">
        <is>
          <t>Beginning Cash Position</t>
        </is>
      </c>
      <c r="B8" s="3" t="n">
        <v>9603020</v>
      </c>
      <c r="C8" s="3" t="n">
        <v>12039247</v>
      </c>
      <c r="D8" s="3" t="n">
        <v>17605678</v>
      </c>
      <c r="E8" s="3" t="n">
        <v>22078788</v>
      </c>
      <c r="F8" s="3" t="n">
        <v>6623535</v>
      </c>
      <c r="G8" s="3" t="n"/>
    </row>
    <row r="9">
      <c r="A9" t="inlineStr">
        <is>
          <t>Effect Of Exchange Rate Changes</t>
        </is>
      </c>
      <c r="B9" s="3" t="n">
        <v>-1390912</v>
      </c>
      <c r="C9" s="3" t="n">
        <v>-575291</v>
      </c>
      <c r="D9" s="3" t="n">
        <v>-433112</v>
      </c>
      <c r="E9" s="3" t="n">
        <v>-2035</v>
      </c>
      <c r="F9" s="3" t="n">
        <v>25412</v>
      </c>
      <c r="G9" s="3" t="n"/>
    </row>
    <row r="10">
      <c r="A10" t="inlineStr">
        <is>
          <t>Changes In Cash</t>
        </is>
      </c>
      <c r="B10" s="3" t="n">
        <v>15793572</v>
      </c>
      <c r="C10" s="3" t="n">
        <v>-1860936</v>
      </c>
      <c r="D10" s="3" t="n">
        <v>-5133319</v>
      </c>
      <c r="E10" s="3" t="n">
        <v>-4471075</v>
      </c>
      <c r="F10" s="3" t="n">
        <v>15429841</v>
      </c>
      <c r="G10" s="3" t="n"/>
    </row>
    <row r="11">
      <c r="A11" t="inlineStr">
        <is>
          <t>Financing Cash Flow</t>
        </is>
      </c>
      <c r="B11" s="3" t="n">
        <v>18159697</v>
      </c>
      <c r="C11" s="3" t="n">
        <v>1373165</v>
      </c>
      <c r="D11" s="3" t="n">
        <v>3089470</v>
      </c>
      <c r="E11" s="3" t="n">
        <v>-702098</v>
      </c>
      <c r="F11" s="3" t="n">
        <v>22406019</v>
      </c>
      <c r="G11" s="3" t="n"/>
    </row>
    <row r="12">
      <c r="A12" t="inlineStr">
        <is>
          <t>Cash Flow From Continuing Financing Activities</t>
        </is>
      </c>
      <c r="B12" s="3" t="n">
        <v>18159697</v>
      </c>
      <c r="C12" s="3" t="n">
        <v>1373165</v>
      </c>
      <c r="D12" s="3" t="n">
        <v>3089470</v>
      </c>
      <c r="E12" s="3" t="n">
        <v>-702098</v>
      </c>
      <c r="F12" s="3" t="n">
        <v>22406019</v>
      </c>
      <c r="G12" s="3" t="n"/>
    </row>
    <row r="13">
      <c r="A13" t="inlineStr">
        <is>
          <t>Proceeds From Stock Option Exercised</t>
        </is>
      </c>
      <c r="B13" s="3" t="n"/>
      <c r="C13" s="3" t="n"/>
      <c r="D13" s="3" t="n"/>
      <c r="E13" s="3" t="n"/>
      <c r="F13" s="3" t="n"/>
      <c r="G13" s="3" t="n">
        <v>0</v>
      </c>
    </row>
    <row r="14">
      <c r="A14" t="inlineStr">
        <is>
          <t>Net Common Stock Issuance</t>
        </is>
      </c>
      <c r="B14" s="3" t="n">
        <v>18446498</v>
      </c>
      <c r="C14" s="3" t="n"/>
      <c r="D14" s="3" t="n"/>
      <c r="E14" s="3" t="n"/>
      <c r="F14" s="3" t="n">
        <v>0</v>
      </c>
      <c r="G14" s="3" t="n"/>
    </row>
    <row r="15">
      <c r="A15" t="inlineStr">
        <is>
          <t>Common Stock Issuance</t>
        </is>
      </c>
      <c r="B15" s="3" t="n">
        <v>18446498</v>
      </c>
      <c r="C15" s="3" t="n"/>
      <c r="D15" s="3" t="n"/>
      <c r="E15" s="3" t="n"/>
      <c r="F15" s="3" t="n">
        <v>0</v>
      </c>
      <c r="G15" s="3" t="n"/>
    </row>
    <row r="16">
      <c r="A16" t="inlineStr">
        <is>
          <t>Net Issuance Payments Of Debt</t>
        </is>
      </c>
      <c r="B16" s="3" t="n">
        <v>-286801</v>
      </c>
      <c r="C16" s="3" t="n">
        <v>1373165</v>
      </c>
      <c r="D16" s="3" t="n">
        <v>3089470</v>
      </c>
      <c r="E16" s="3" t="n">
        <v>-702098</v>
      </c>
      <c r="F16" s="3" t="n">
        <v>22406019</v>
      </c>
      <c r="G16" s="3" t="n"/>
    </row>
    <row r="17">
      <c r="A17" t="inlineStr">
        <is>
          <t>Net Short Term Debt Issuance</t>
        </is>
      </c>
      <c r="B17" s="3" t="n">
        <v>-286801</v>
      </c>
      <c r="C17" s="3" t="n">
        <v>-21345349</v>
      </c>
      <c r="D17" s="3" t="n">
        <v>31089470</v>
      </c>
      <c r="E17" s="3" t="n">
        <v>-702098</v>
      </c>
      <c r="F17" s="3" t="n">
        <v>-5593981</v>
      </c>
      <c r="G17" s="3" t="n"/>
    </row>
    <row r="18">
      <c r="A18" t="inlineStr">
        <is>
          <t>Short Term Debt Payments</t>
        </is>
      </c>
      <c r="B18" s="3" t="n">
        <v>-286801</v>
      </c>
      <c r="C18" s="3" t="n"/>
      <c r="D18" s="3" t="n">
        <v>1014593</v>
      </c>
      <c r="E18" s="3" t="n">
        <v>-702098</v>
      </c>
      <c r="F18" s="3" t="n">
        <v>-5593981</v>
      </c>
      <c r="G18" s="3" t="n"/>
    </row>
    <row r="19">
      <c r="A19" t="inlineStr">
        <is>
          <t>Short Term Debt Issuance</t>
        </is>
      </c>
      <c r="B19" s="3" t="n"/>
      <c r="C19" s="3" t="n">
        <v>-26626835</v>
      </c>
      <c r="D19" s="3" t="n">
        <v>2074877</v>
      </c>
      <c r="E19" s="3" t="n">
        <v>0</v>
      </c>
      <c r="F19" s="3" t="n">
        <v>28000000</v>
      </c>
      <c r="G19" s="3" t="n">
        <v>-1043401</v>
      </c>
    </row>
    <row r="20">
      <c r="A20" t="inlineStr">
        <is>
          <t>Net Long Term Debt Issuance</t>
        </is>
      </c>
      <c r="B20" s="3" t="n">
        <v>0</v>
      </c>
      <c r="C20" s="3" t="n">
        <v>22718514</v>
      </c>
      <c r="D20" s="3" t="n">
        <v>-28000000</v>
      </c>
      <c r="E20" s="3" t="n">
        <v>0</v>
      </c>
      <c r="F20" s="3" t="n">
        <v>28000000</v>
      </c>
      <c r="G20" s="3" t="n"/>
    </row>
    <row r="21">
      <c r="A21" t="inlineStr">
        <is>
          <t>Long Term Debt Issuance</t>
        </is>
      </c>
      <c r="B21" s="3" t="n">
        <v>0</v>
      </c>
      <c r="C21" s="3" t="n">
        <v>28000000</v>
      </c>
      <c r="D21" s="3" t="n">
        <v>-28000000</v>
      </c>
      <c r="E21" s="3" t="n">
        <v>0</v>
      </c>
      <c r="F21" s="3" t="n">
        <v>28000000</v>
      </c>
      <c r="G21" s="3" t="n"/>
    </row>
    <row r="22">
      <c r="A22" t="inlineStr">
        <is>
          <t>Investing Cash Flow</t>
        </is>
      </c>
      <c r="B22" s="3" t="n">
        <v>-54189</v>
      </c>
      <c r="C22" s="3" t="n">
        <v>-1714531</v>
      </c>
      <c r="D22" s="3" t="n">
        <v>-755075</v>
      </c>
      <c r="E22" s="3" t="n">
        <v>-316648</v>
      </c>
      <c r="F22" s="3" t="n">
        <v>-872804</v>
      </c>
      <c r="G22" s="3" t="n"/>
    </row>
    <row r="23">
      <c r="A23" t="inlineStr">
        <is>
          <t>Cash Flow From Continuing Investing Activities</t>
        </is>
      </c>
      <c r="B23" s="3" t="n">
        <v>-54189</v>
      </c>
      <c r="C23" s="3" t="n">
        <v>-1714531</v>
      </c>
      <c r="D23" s="3" t="n">
        <v>-755075</v>
      </c>
      <c r="E23" s="3" t="n">
        <v>-316648</v>
      </c>
      <c r="F23" s="3" t="n">
        <v>-872804</v>
      </c>
      <c r="G23" s="3" t="n"/>
    </row>
    <row r="24">
      <c r="A24" t="inlineStr">
        <is>
          <t>Net PPE Purchase And Sale</t>
        </is>
      </c>
      <c r="B24" s="3" t="n">
        <v>-54189</v>
      </c>
      <c r="C24" s="3" t="n">
        <v>-1714531</v>
      </c>
      <c r="D24" s="3" t="n">
        <v>-755075</v>
      </c>
      <c r="E24" s="3" t="n">
        <v>-316648</v>
      </c>
      <c r="F24" s="3" t="n">
        <v>-872804</v>
      </c>
      <c r="G24" s="3" t="n"/>
    </row>
    <row r="25">
      <c r="A25" t="inlineStr">
        <is>
          <t>Purchase Of PPE</t>
        </is>
      </c>
      <c r="B25" s="3" t="n">
        <v>-54189</v>
      </c>
      <c r="C25" s="3" t="n">
        <v>-1714531</v>
      </c>
      <c r="D25" s="3" t="n">
        <v>-755075</v>
      </c>
      <c r="E25" s="3" t="n">
        <v>-316648</v>
      </c>
      <c r="F25" s="3" t="n">
        <v>-872804</v>
      </c>
      <c r="G25" s="3" t="n"/>
    </row>
    <row r="26">
      <c r="A26" t="inlineStr">
        <is>
          <t>Operating Cash Flow</t>
        </is>
      </c>
      <c r="B26" s="3" t="n">
        <v>-2311936</v>
      </c>
      <c r="C26" s="3" t="n">
        <v>-1519570</v>
      </c>
      <c r="D26" s="3" t="n">
        <v>-7467714</v>
      </c>
      <c r="E26" s="3" t="n">
        <v>-3452329</v>
      </c>
      <c r="F26" s="3" t="n">
        <v>-6103374</v>
      </c>
      <c r="G26" s="3" t="n"/>
    </row>
    <row r="27">
      <c r="A27" t="inlineStr">
        <is>
          <t>Cash Flow From Continuing Operating Activities</t>
        </is>
      </c>
      <c r="B27" s="3" t="n">
        <v>-2311936</v>
      </c>
      <c r="C27" s="3" t="n">
        <v>-1519570</v>
      </c>
      <c r="D27" s="3" t="n">
        <v>-7467714</v>
      </c>
      <c r="E27" s="3" t="n">
        <v>-3452329</v>
      </c>
      <c r="F27" s="3" t="n">
        <v>-6103374</v>
      </c>
      <c r="G27" s="3" t="n"/>
    </row>
    <row r="28">
      <c r="A28" t="inlineStr">
        <is>
          <t>Change In Working Capital</t>
        </is>
      </c>
      <c r="B28" s="3" t="n">
        <v>-1755162</v>
      </c>
      <c r="C28" s="3" t="n">
        <v>-776375</v>
      </c>
      <c r="D28" s="3" t="n">
        <v>-6865897</v>
      </c>
      <c r="E28" s="3" t="n">
        <v>-4750370</v>
      </c>
      <c r="F28" s="3" t="n">
        <v>-2609221</v>
      </c>
      <c r="G28" s="3" t="n"/>
    </row>
    <row r="29">
      <c r="A29" t="inlineStr">
        <is>
          <t>Change In Other Working Capital</t>
        </is>
      </c>
      <c r="B29" s="3" t="n">
        <v>677421</v>
      </c>
      <c r="C29" s="3" t="n">
        <v>1615844</v>
      </c>
      <c r="D29" s="3" t="n">
        <v>598442</v>
      </c>
      <c r="E29" s="3" t="n">
        <v>915705</v>
      </c>
      <c r="F29" s="3" t="n">
        <v>823947</v>
      </c>
      <c r="G29" s="3" t="n"/>
    </row>
    <row r="30">
      <c r="A30" t="inlineStr">
        <is>
          <t>Change In Payables And Accrued Expense</t>
        </is>
      </c>
      <c r="B30" s="3" t="n">
        <v>-125309</v>
      </c>
      <c r="C30" s="3" t="n">
        <v>2765681</v>
      </c>
      <c r="D30" s="3" t="n">
        <v>-1543749</v>
      </c>
      <c r="E30" s="3" t="n">
        <v>4654772</v>
      </c>
      <c r="F30" s="3" t="n">
        <v>1377359</v>
      </c>
      <c r="G30" s="3" t="n"/>
    </row>
    <row r="31">
      <c r="A31" t="inlineStr">
        <is>
          <t>Change In Accrued Expense</t>
        </is>
      </c>
      <c r="B31" s="3" t="n">
        <v>256441</v>
      </c>
      <c r="C31" s="3" t="n">
        <v>210997</v>
      </c>
      <c r="D31" s="3" t="n">
        <v>-1678219</v>
      </c>
      <c r="E31" s="3" t="n">
        <v>1580805</v>
      </c>
      <c r="F31" s="3" t="n">
        <v>48331</v>
      </c>
      <c r="G31" s="3" t="n"/>
    </row>
    <row r="32">
      <c r="A32" t="inlineStr">
        <is>
          <t>Change In Payable</t>
        </is>
      </c>
      <c r="B32" s="3" t="n">
        <v>-381750</v>
      </c>
      <c r="C32" s="3" t="n">
        <v>2554684</v>
      </c>
      <c r="D32" s="3" t="n">
        <v>134470</v>
      </c>
      <c r="E32" s="3" t="n">
        <v>3073967</v>
      </c>
      <c r="F32" s="3" t="n">
        <v>1329028</v>
      </c>
      <c r="G32" s="3" t="n"/>
    </row>
    <row r="33">
      <c r="A33" t="inlineStr">
        <is>
          <t>Change In Account Payable</t>
        </is>
      </c>
      <c r="B33" s="3" t="n">
        <v>-704764</v>
      </c>
      <c r="C33" s="3" t="n">
        <v>533226</v>
      </c>
      <c r="D33" s="3" t="n">
        <v>-1437825</v>
      </c>
      <c r="E33" s="3" t="n">
        <v>2453381</v>
      </c>
      <c r="F33" s="3" t="n">
        <v>1329028</v>
      </c>
      <c r="G33" s="3" t="n"/>
    </row>
    <row r="34">
      <c r="A34" t="inlineStr">
        <is>
          <t>Change In Tax Payable</t>
        </is>
      </c>
      <c r="B34" s="3" t="n">
        <v>323014</v>
      </c>
      <c r="C34" s="3" t="n">
        <v>2021458</v>
      </c>
      <c r="D34" s="3" t="n">
        <v>1572295</v>
      </c>
      <c r="E34" s="3" t="n">
        <v>620586</v>
      </c>
      <c r="F34" s="3" t="n">
        <v>0</v>
      </c>
      <c r="G34" s="3" t="n"/>
    </row>
    <row r="35">
      <c r="A35" t="inlineStr">
        <is>
          <t>Change In Income Tax Payable</t>
        </is>
      </c>
      <c r="B35" s="3" t="n">
        <v>323014</v>
      </c>
      <c r="C35" s="3" t="n">
        <v>2021458</v>
      </c>
      <c r="D35" s="3" t="n">
        <v>1572295</v>
      </c>
      <c r="E35" s="3" t="n">
        <v>620586</v>
      </c>
      <c r="F35" s="3" t="n">
        <v>0</v>
      </c>
      <c r="G35" s="3" t="n"/>
    </row>
    <row r="36">
      <c r="A36" t="inlineStr">
        <is>
          <t>Change In Prepaid Assets</t>
        </is>
      </c>
      <c r="B36" s="3" t="n">
        <v>-2066322</v>
      </c>
      <c r="C36" s="3" t="n">
        <v>-1651467</v>
      </c>
      <c r="D36" s="3" t="n">
        <v>-877846</v>
      </c>
      <c r="E36" s="3" t="n">
        <v>-1568877</v>
      </c>
      <c r="F36" s="3" t="n">
        <v>-1003604</v>
      </c>
      <c r="G36" s="3" t="n"/>
    </row>
    <row r="37">
      <c r="A37" t="inlineStr">
        <is>
          <t>Change In Inventory</t>
        </is>
      </c>
      <c r="B37" s="3" t="n">
        <v>4159</v>
      </c>
      <c r="C37" s="3" t="n">
        <v>3443980</v>
      </c>
      <c r="D37" s="3" t="n">
        <v>-1293552</v>
      </c>
      <c r="E37" s="3" t="n">
        <v>-5138541</v>
      </c>
      <c r="F37" s="3" t="n">
        <v>-5082673</v>
      </c>
      <c r="G37" s="3" t="n"/>
    </row>
    <row r="38">
      <c r="A38" t="inlineStr">
        <is>
          <t>Change In Receivables</t>
        </is>
      </c>
      <c r="B38" s="3" t="n">
        <v>-245111</v>
      </c>
      <c r="C38" s="3" t="n">
        <v>-6950413</v>
      </c>
      <c r="D38" s="3" t="n">
        <v>-3749192</v>
      </c>
      <c r="E38" s="3" t="n">
        <v>-3613429</v>
      </c>
      <c r="F38" s="3" t="n">
        <v>1275750</v>
      </c>
      <c r="G38" s="3" t="n"/>
    </row>
    <row r="39">
      <c r="A39" t="inlineStr">
        <is>
          <t>Changes In Account Receivables</t>
        </is>
      </c>
      <c r="B39" s="3" t="n">
        <v>-245111</v>
      </c>
      <c r="C39" s="3" t="n">
        <v>-6950413</v>
      </c>
      <c r="D39" s="3" t="n">
        <v>-3749192</v>
      </c>
      <c r="E39" s="3" t="n">
        <v>-3613429</v>
      </c>
      <c r="F39" s="3" t="n">
        <v>1275750</v>
      </c>
      <c r="G39" s="3" t="n"/>
    </row>
    <row r="40">
      <c r="A40" t="inlineStr">
        <is>
          <t>Other Non Cash Items</t>
        </is>
      </c>
      <c r="B40" s="3" t="n">
        <v>-365597</v>
      </c>
      <c r="C40" s="3" t="n">
        <v>-219541</v>
      </c>
      <c r="D40" s="3" t="n">
        <v>42977</v>
      </c>
      <c r="E40" s="3" t="n">
        <v>-164148</v>
      </c>
      <c r="F40" s="3" t="n">
        <v>21817</v>
      </c>
      <c r="G40" s="3" t="n"/>
    </row>
    <row r="41">
      <c r="A41" t="inlineStr">
        <is>
          <t>Stock Based Compensation</t>
        </is>
      </c>
      <c r="B41" s="3" t="n">
        <v>3144315</v>
      </c>
      <c r="C41" s="3" t="n">
        <v>2023433</v>
      </c>
      <c r="D41" s="3" t="n">
        <v>2095163</v>
      </c>
      <c r="E41" s="3" t="n">
        <v>1630295</v>
      </c>
      <c r="F41" s="3" t="n">
        <v>2379212</v>
      </c>
      <c r="G41" s="3" t="n"/>
    </row>
    <row r="42">
      <c r="A42" t="inlineStr">
        <is>
          <t>Provisionand Write Offof Assets</t>
        </is>
      </c>
      <c r="B42" s="3" t="n">
        <v>224368</v>
      </c>
      <c r="C42" s="3" t="n">
        <v>-27390</v>
      </c>
      <c r="D42" s="3" t="n">
        <v>470249</v>
      </c>
      <c r="E42" s="3" t="n">
        <v>193865</v>
      </c>
      <c r="F42" s="3" t="n">
        <v>-422711</v>
      </c>
      <c r="G42" s="3" t="n"/>
    </row>
    <row r="43">
      <c r="A43" t="inlineStr">
        <is>
          <t>Deferred Tax</t>
        </is>
      </c>
      <c r="B43" s="3" t="n">
        <v>-301036</v>
      </c>
      <c r="C43" s="3" t="n">
        <v>-357809</v>
      </c>
      <c r="D43" s="3" t="n">
        <v>210585</v>
      </c>
      <c r="E43" s="3" t="n">
        <v>-365641</v>
      </c>
      <c r="F43" s="3" t="n">
        <v>0</v>
      </c>
      <c r="G43" s="3" t="n"/>
    </row>
    <row r="44">
      <c r="A44" t="inlineStr">
        <is>
          <t>Deferred Income Tax</t>
        </is>
      </c>
      <c r="B44" s="3" t="n">
        <v>-301036</v>
      </c>
      <c r="C44" s="3" t="n">
        <v>-357809</v>
      </c>
      <c r="D44" s="3" t="n">
        <v>210585</v>
      </c>
      <c r="E44" s="3" t="n">
        <v>-365641</v>
      </c>
      <c r="F44" s="3" t="n">
        <v>0</v>
      </c>
      <c r="G44" s="3" t="n"/>
    </row>
    <row r="45">
      <c r="A45" t="inlineStr">
        <is>
          <t>Depreciation Amortization Depletion</t>
        </is>
      </c>
      <c r="B45" s="3" t="n">
        <v>323747</v>
      </c>
      <c r="C45" s="3" t="n">
        <v>309491</v>
      </c>
      <c r="D45" s="3" t="n">
        <v>297173</v>
      </c>
      <c r="E45" s="3" t="n">
        <v>260361</v>
      </c>
      <c r="F45" s="3" t="n">
        <v>208882</v>
      </c>
      <c r="G45" s="3" t="n"/>
    </row>
    <row r="46">
      <c r="A46" t="inlineStr">
        <is>
          <t>Depreciation And Amortization</t>
        </is>
      </c>
      <c r="B46" s="3" t="n">
        <v>323747</v>
      </c>
      <c r="C46" s="3" t="n">
        <v>309491</v>
      </c>
      <c r="D46" s="3" t="n">
        <v>297173</v>
      </c>
      <c r="E46" s="3" t="n">
        <v>260361</v>
      </c>
      <c r="F46" s="3" t="n">
        <v>208882</v>
      </c>
      <c r="G46" s="3" t="n"/>
    </row>
    <row r="47">
      <c r="A47" t="inlineStr">
        <is>
          <t>Net Income From Continuing Operations</t>
        </is>
      </c>
      <c r="B47" s="3" t="n">
        <v>-3582571</v>
      </c>
      <c r="C47" s="3" t="n">
        <v>-2471379</v>
      </c>
      <c r="D47" s="3" t="n">
        <v>-3717964</v>
      </c>
      <c r="E47" s="3" t="n">
        <v>-256691</v>
      </c>
      <c r="F47" s="3" t="n">
        <v>-5681353</v>
      </c>
      <c r="G4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2026-08-02T23:43:44Z</dcterms:created>
  <dcterms:modified xsi:type="dcterms:W3CDTF">2026-08-02T23:43:45Z</dcterms:modified>
</cp:coreProperties>
</file>