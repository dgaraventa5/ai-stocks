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Y Summary" sheetId="2" state="visible" r:id="rId2"/>
    <sheet name="Income stmt (annual)" sheetId="3" state="visible" r:id="rId3"/>
    <sheet name="Income stmt (quarterly)" sheetId="4" state="visible" r:id="rId4"/>
    <sheet name="Balance sheet (annual)" sheetId="5" state="visible" r:id="rId5"/>
    <sheet name="Balance sheet (quarterly)" sheetId="6" state="visible" r:id="rId6"/>
    <sheet name="Cash flow (annual)" sheetId="7" state="visible" r:id="rId7"/>
    <sheet name="Cash flow (quarterly)" sheetId="8" state="visible" r:id="rId8"/>
    <sheet name="Data flag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&quot;x&quot;"/>
    <numFmt numFmtId="166" formatCode="#,##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10" fontId="0" fillId="0" borderId="0" pivotButton="0" quotePrefix="0" xfId="0"/>
    <xf numFmtId="3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36" customWidth="1" min="3" max="3"/>
  </cols>
  <sheetData>
    <row r="1">
      <c r="A1" s="1" t="inlineStr">
        <is>
          <t>Field</t>
        </is>
      </c>
      <c r="B1" s="1" t="inlineStr">
        <is>
          <t>Value</t>
        </is>
      </c>
      <c r="C1" s="1" t="inlineStr">
        <is>
          <t>Source / formula</t>
        </is>
      </c>
    </row>
    <row r="2">
      <c r="A2" t="inlineStr">
        <is>
          <t>Ticker</t>
        </is>
      </c>
      <c r="B2" t="inlineStr">
        <is>
          <t>PLUG</t>
        </is>
      </c>
      <c r="C2" t="inlineStr">
        <is>
          <t>input</t>
        </is>
      </c>
    </row>
    <row r="3">
      <c r="A3" t="inlineStr">
        <is>
          <t>Name</t>
        </is>
      </c>
      <c r="B3" t="inlineStr">
        <is>
          <t>Plug Power Inc.</t>
        </is>
      </c>
      <c r="C3" t="inlineStr">
        <is>
          <t>yfinance info.longName</t>
        </is>
      </c>
    </row>
    <row r="4">
      <c r="A4" t="inlineStr">
        <is>
          <t>Sector</t>
        </is>
      </c>
      <c r="B4" t="inlineStr">
        <is>
          <t>Industrials</t>
        </is>
      </c>
      <c r="C4" t="inlineStr">
        <is>
          <t>yfinance info.sector</t>
        </is>
      </c>
    </row>
    <row r="5">
      <c r="A5" t="inlineStr">
        <is>
          <t>Industry</t>
        </is>
      </c>
      <c r="B5" t="inlineStr">
        <is>
          <t>Electrical Equipment &amp; Parts</t>
        </is>
      </c>
      <c r="C5" t="inlineStr">
        <is>
          <t>yfinance info.industry</t>
        </is>
      </c>
    </row>
    <row r="6">
      <c r="A6" t="inlineStr">
        <is>
          <t>Market cap ($)</t>
        </is>
      </c>
      <c r="B6" t="n">
        <v>3975946752</v>
      </c>
      <c r="C6" t="inlineStr">
        <is>
          <t>yfinance info.marketCap</t>
        </is>
      </c>
    </row>
    <row r="7">
      <c r="A7" t="inlineStr">
        <is>
          <t>Enterprise value ($)</t>
        </is>
      </c>
      <c r="B7" t="n">
        <v>4773995520</v>
      </c>
      <c r="C7" t="inlineStr">
        <is>
          <t>yfinance info.enterpriseValue</t>
        </is>
      </c>
    </row>
    <row r="8">
      <c r="A8" t="inlineStr">
        <is>
          <t>Trailing P/E</t>
        </is>
      </c>
      <c r="B8" t="inlineStr">
        <is>
          <t>(missing — see Data flags)</t>
        </is>
      </c>
      <c r="C8" t="inlineStr">
        <is>
          <t>yfinance info.trailingPE</t>
        </is>
      </c>
    </row>
    <row r="9">
      <c r="A9" t="inlineStr">
        <is>
          <t>Forward P/E</t>
        </is>
      </c>
      <c r="B9" t="n">
        <v>-17.347374</v>
      </c>
      <c r="C9" t="inlineStr">
        <is>
          <t>yfinance info.forwardPE</t>
        </is>
      </c>
    </row>
    <row r="10">
      <c r="A10" t="inlineStr">
        <is>
          <t>P/S (TTM)</t>
        </is>
      </c>
      <c r="B10" t="n">
        <v>5.3746586</v>
      </c>
      <c r="C10" t="inlineStr">
        <is>
          <t>yfinance</t>
        </is>
      </c>
    </row>
    <row r="11">
      <c r="A11" t="inlineStr">
        <is>
          <t>Gross margin (TTM)</t>
        </is>
      </c>
      <c r="B11" t="n">
        <v>-0.31239</v>
      </c>
      <c r="C11" t="inlineStr">
        <is>
          <t>yfinance info.grossMargins</t>
        </is>
      </c>
    </row>
    <row r="12">
      <c r="A12" t="inlineStr">
        <is>
          <t>Operating margin (TTM)</t>
        </is>
      </c>
      <c r="B12" t="n">
        <v>-0.63558996</v>
      </c>
      <c r="C12" t="inlineStr">
        <is>
          <t>yfinance info.operatingMargins</t>
        </is>
      </c>
    </row>
    <row r="13">
      <c r="A13" t="inlineStr">
        <is>
          <t>Net margin (TTM)</t>
        </is>
      </c>
      <c r="B13" t="n">
        <v>-2.2713401</v>
      </c>
      <c r="C13" t="inlineStr">
        <is>
          <t>yfinance info.profitMargins</t>
        </is>
      </c>
    </row>
    <row r="14">
      <c r="A14" t="inlineStr">
        <is>
          <t>ROE</t>
        </is>
      </c>
      <c r="B14" t="n">
        <v>-1.28791</v>
      </c>
      <c r="C14" t="inlineStr">
        <is>
          <t>yfinance info.returnOnEquity</t>
        </is>
      </c>
    </row>
    <row r="15">
      <c r="A15" t="inlineStr">
        <is>
          <t>Revenue growth (YoY)</t>
        </is>
      </c>
      <c r="B15" t="n">
        <v>0.223</v>
      </c>
      <c r="C15" t="inlineStr">
        <is>
          <t>yfinance info.revenueGrowth</t>
        </is>
      </c>
    </row>
    <row r="16">
      <c r="A16" t="inlineStr">
        <is>
          <t>Total cash ($)</t>
        </is>
      </c>
      <c r="B16" t="n">
        <v>233388992</v>
      </c>
      <c r="C16" t="inlineStr">
        <is>
          <t>yfinance info.totalCash</t>
        </is>
      </c>
    </row>
    <row r="17">
      <c r="A17" t="inlineStr">
        <is>
          <t>Total debt ($)</t>
        </is>
      </c>
      <c r="B17" t="n">
        <v>1010172992</v>
      </c>
      <c r="C17" t="inlineStr">
        <is>
          <t>yfinance info.totalDebt</t>
        </is>
      </c>
    </row>
    <row r="18">
      <c r="A18" t="inlineStr">
        <is>
          <t>FCF (TTM, $)</t>
        </is>
      </c>
      <c r="B18" t="n">
        <v>-668003000</v>
      </c>
      <c r="C18" t="inlineStr">
        <is>
          <t>statement: TTM OCF - |capex| (yfinance quarterly_cashflow)</t>
        </is>
      </c>
    </row>
    <row r="19">
      <c r="A19" t="inlineStr">
        <is>
          <t>Shares outstanding</t>
        </is>
      </c>
      <c r="B19" t="n">
        <v>1395069082</v>
      </c>
      <c r="C19" t="inlineStr">
        <is>
          <t>yfinance info.sharesOutstanding</t>
        </is>
      </c>
    </row>
    <row r="20">
      <c r="A20" t="inlineStr">
        <is>
          <t>Current price ($)</t>
        </is>
      </c>
      <c r="B20" t="n">
        <v>2.85</v>
      </c>
      <c r="C20" t="inlineStr">
        <is>
          <t>yfinance info.currentPrice</t>
        </is>
      </c>
    </row>
    <row r="21">
      <c r="A21" t="inlineStr">
        <is>
          <t>FCF yield</t>
        </is>
      </c>
      <c r="B21" s="2">
        <f>IFERROR(B18/B6,"")</f>
        <v/>
      </c>
      <c r="C21">
        <f>B18/B6</f>
        <v/>
      </c>
    </row>
    <row r="22">
      <c r="A22" t="inlineStr">
        <is>
          <t>FCF / EV</t>
        </is>
      </c>
      <c r="B22" s="2">
        <f>IFERROR(B18/B7,"")</f>
        <v/>
      </c>
      <c r="C22">
        <f>B18/B7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  <col width="15" customWidth="1" min="3" max="3"/>
    <col width="15" customWidth="1" min="4" max="4"/>
    <col width="15" customWidth="1" min="5" max="5"/>
    <col width="52" customWidth="1" min="6" max="6"/>
  </cols>
  <sheetData>
    <row r="1">
      <c r="A1" s="1" t="inlineStr">
        <is>
          <t>Fiscal-year summary (GAAP, $ except where noted)</t>
        </is>
      </c>
      <c r="B1" s="1" t="inlineStr">
        <is>
          <t>FY-3</t>
        </is>
      </c>
      <c r="C1" s="1" t="inlineStr">
        <is>
          <t>FY-2</t>
        </is>
      </c>
      <c r="D1" s="1" t="inlineStr">
        <is>
          <t>FY-1</t>
        </is>
      </c>
      <c r="E1" s="1" t="inlineStr">
        <is>
          <t>TTM</t>
        </is>
      </c>
      <c r="F1" s="1" t="inlineStr">
        <is>
          <t>Source / formula</t>
        </is>
      </c>
    </row>
    <row r="2">
      <c r="A2" t="inlineStr">
        <is>
          <t>Fiscal period end</t>
        </is>
      </c>
      <c r="B2" t="inlineStr">
        <is>
          <t>2023-12-31</t>
        </is>
      </c>
      <c r="C2" t="inlineStr">
        <is>
          <t>2024-12-31</t>
        </is>
      </c>
      <c r="D2" t="inlineStr">
        <is>
          <t>2025-12-31</t>
        </is>
      </c>
      <c r="E2" t="inlineStr">
        <is>
          <t>TTM → 2026-03-31</t>
        </is>
      </c>
      <c r="F2" t="inlineStr">
        <is>
          <t>annual statement headers; TTM = Σ last 4 quarters</t>
        </is>
      </c>
    </row>
    <row r="3">
      <c r="A3" t="inlineStr">
        <is>
          <t>Revenue</t>
        </is>
      </c>
      <c r="B3" s="3">
        <f>'Income stmt (annual)'!D49</f>
        <v/>
      </c>
      <c r="C3" s="3">
        <f>'Income stmt (annual)'!C49</f>
        <v/>
      </c>
      <c r="D3" s="3">
        <f>'Income stmt (annual)'!B49</f>
        <v/>
      </c>
      <c r="E3" s="3">
        <f>SUM('Income stmt (quarterly)'!B49:E49)</f>
        <v/>
      </c>
      <c r="F3" t="inlineStr">
        <is>
          <t>Total Revenue</t>
        </is>
      </c>
    </row>
    <row r="4">
      <c r="A4" t="inlineStr">
        <is>
          <t>Gross profit</t>
        </is>
      </c>
      <c r="B4" s="3">
        <f>'Income stmt (annual)'!D47</f>
        <v/>
      </c>
      <c r="C4" s="3">
        <f>'Income stmt (annual)'!C47</f>
        <v/>
      </c>
      <c r="D4" s="3">
        <f>'Income stmt (annual)'!B47</f>
        <v/>
      </c>
      <c r="E4" s="3">
        <f>SUM('Income stmt (quarterly)'!B47:E47)</f>
        <v/>
      </c>
      <c r="F4" t="inlineStr">
        <is>
          <t>Gross Profit (GAAP)</t>
        </is>
      </c>
    </row>
    <row r="5">
      <c r="A5" t="inlineStr">
        <is>
          <t>Gross margin %</t>
        </is>
      </c>
      <c r="B5" s="4">
        <f>IFERROR(B4/B3,"")</f>
        <v/>
      </c>
      <c r="C5" s="4">
        <f>IFERROR(C4/C3,"")</f>
        <v/>
      </c>
      <c r="D5" s="4">
        <f>IFERROR(D4/D3,"")</f>
        <v/>
      </c>
      <c r="E5" s="4">
        <f>IFERROR(E4/E3,"")</f>
        <v/>
      </c>
      <c r="F5" t="inlineStr">
        <is>
          <t>GAAP = gross profit / revenue</t>
        </is>
      </c>
    </row>
    <row r="6">
      <c r="A6" t="inlineStr">
        <is>
          <t>Operating income</t>
        </is>
      </c>
      <c r="B6" s="3">
        <f>'Income stmt (annual)'!D43</f>
        <v/>
      </c>
      <c r="C6" s="3">
        <f>'Income stmt (annual)'!C43</f>
        <v/>
      </c>
      <c r="D6" s="3">
        <f>'Income stmt (annual)'!B43</f>
        <v/>
      </c>
      <c r="E6" s="3">
        <f>SUM('Income stmt (quarterly)'!B43:E43)</f>
        <v/>
      </c>
      <c r="F6" t="inlineStr">
        <is>
          <t>Operating Income</t>
        </is>
      </c>
    </row>
    <row r="7">
      <c r="A7" t="inlineStr">
        <is>
          <t>Operating margin %</t>
        </is>
      </c>
      <c r="B7" s="4">
        <f>IFERROR(B6/B3,"")</f>
        <v/>
      </c>
      <c r="C7" s="4">
        <f>IFERROR(C6/C3,"")</f>
        <v/>
      </c>
      <c r="D7" s="4">
        <f>IFERROR(D6/D3,"")</f>
        <v/>
      </c>
      <c r="E7" s="4">
        <f>IFERROR(E6/E3,"")</f>
        <v/>
      </c>
      <c r="F7">
        <f> operating income / revenue</f>
        <v/>
      </c>
    </row>
    <row r="8">
      <c r="A8" t="inlineStr">
        <is>
          <t>EBITDA</t>
        </is>
      </c>
      <c r="B8" s="3">
        <f>'Income stmt (annual)'!D10</f>
        <v/>
      </c>
      <c r="C8" s="3">
        <f>'Income stmt (annual)'!C10</f>
        <v/>
      </c>
      <c r="D8" s="3">
        <f>'Income stmt (annual)'!B10</f>
        <v/>
      </c>
      <c r="E8" s="3">
        <f>SUM('Income stmt (quarterly)'!B10:E10)</f>
        <v/>
      </c>
      <c r="F8" t="inlineStr">
        <is>
          <t>EBITDA</t>
        </is>
      </c>
    </row>
    <row r="9">
      <c r="A9" t="inlineStr">
        <is>
          <t>Free cash flow</t>
        </is>
      </c>
      <c r="B9" s="3">
        <f>'Cash flow (annual)'!D2</f>
        <v/>
      </c>
      <c r="C9" s="3">
        <f>'Cash flow (annual)'!C2</f>
        <v/>
      </c>
      <c r="D9" s="3">
        <f>'Cash flow (annual)'!B2</f>
        <v/>
      </c>
      <c r="E9" s="3">
        <f>SUM('Cash flow (quarterly)'!B2:E2)</f>
        <v/>
      </c>
      <c r="F9" t="inlineStr">
        <is>
          <t>FCF = OCF − capex</t>
        </is>
      </c>
    </row>
    <row r="10">
      <c r="A10" t="inlineStr">
        <is>
          <t>FCF margin %</t>
        </is>
      </c>
      <c r="B10" s="4">
        <f>IFERROR(B9/B3,"")</f>
        <v/>
      </c>
      <c r="C10" s="4">
        <f>IFERROR(C9/C3,"")</f>
        <v/>
      </c>
      <c r="D10" s="4">
        <f>IFERROR(D9/D3,"")</f>
        <v/>
      </c>
      <c r="E10" s="4">
        <f>IFERROR(E9/E3,"")</f>
        <v/>
      </c>
      <c r="F10">
        <f> FCF / revenue</f>
        <v/>
      </c>
    </row>
    <row r="11">
      <c r="A11" t="inlineStr">
        <is>
          <t>Capex</t>
        </is>
      </c>
      <c r="B11" s="3">
        <f>-'Cash flow (annual)'!D7</f>
        <v/>
      </c>
      <c r="C11" s="3">
        <f>-'Cash flow (annual)'!C7</f>
        <v/>
      </c>
      <c r="D11" s="3">
        <f>-'Cash flow (annual)'!B7</f>
        <v/>
      </c>
      <c r="E11" s="3">
        <f>-SUM('Cash flow (quarterly)'!B6:E6)</f>
        <v/>
      </c>
      <c r="F11" t="inlineStr">
        <is>
          <t>Capex (shown positive)</t>
        </is>
      </c>
    </row>
    <row r="12">
      <c r="A12" t="inlineStr">
        <is>
          <t>Capex / revenue %</t>
        </is>
      </c>
      <c r="B12" s="4">
        <f>IFERROR(B11/B3,"")</f>
        <v/>
      </c>
      <c r="C12" s="4">
        <f>IFERROR(C11/C3,"")</f>
        <v/>
      </c>
      <c r="D12" s="4">
        <f>IFERROR(D11/D3,"")</f>
        <v/>
      </c>
      <c r="E12" s="4">
        <f>IFERROR(E11/E3,"")</f>
        <v/>
      </c>
      <c r="F12">
        <f> capex / revenue</f>
        <v/>
      </c>
    </row>
    <row r="13">
      <c r="A13" t="inlineStr">
        <is>
          <t>Net debt</t>
        </is>
      </c>
      <c r="B13" s="3">
        <f>'Balance sheet (annual)'!D5</f>
        <v/>
      </c>
      <c r="C13" s="3">
        <f>'Balance sheet (annual)'!C5</f>
        <v/>
      </c>
      <c r="D13" s="3">
        <f>'Balance sheet (annual)'!B5</f>
        <v/>
      </c>
      <c r="E13" s="3">
        <f>'Balance sheet (quarterly)'!B5</f>
        <v/>
      </c>
      <c r="F13" t="inlineStr">
        <is>
          <t>Net debt; TTM = MRQ</t>
        </is>
      </c>
    </row>
    <row r="14">
      <c r="A14" t="inlineStr">
        <is>
          <t>Net debt / EBITDA</t>
        </is>
      </c>
      <c r="B14" s="5">
        <f>IFERROR(B13/B8,"")</f>
        <v/>
      </c>
      <c r="C14" s="5">
        <f>IFERROR(C13/C8,"")</f>
        <v/>
      </c>
      <c r="D14" s="5">
        <f>IFERROR(D13/D8,"")</f>
        <v/>
      </c>
      <c r="E14" s="5">
        <f>IFERROR(E13/E8,"")</f>
        <v/>
      </c>
      <c r="F14">
        <f> net debt / EBITDA</f>
        <v/>
      </c>
    </row>
    <row r="15">
      <c r="A15" t="inlineStr">
        <is>
          <t>Share count (period-end, M)</t>
        </is>
      </c>
      <c r="B15" s="6">
        <f>'Balance sheet (annual)'!D3/1e6</f>
        <v/>
      </c>
      <c r="C15" s="6">
        <f>'Balance sheet (annual)'!C3/1e6</f>
        <v/>
      </c>
      <c r="D15" s="6">
        <f>'Balance sheet (annual)'!B3/1e6</f>
        <v/>
      </c>
      <c r="E15" s="6">
        <f>'Balance sheet (quarterly)'!B3/1e6</f>
        <v/>
      </c>
      <c r="F15" t="inlineStr">
        <is>
          <t>shares ÷ 1e6; TTM = MRQ</t>
        </is>
      </c>
    </row>
    <row r="16">
      <c r="A16" t="inlineStr">
        <is>
          <t>Share count YoY %</t>
        </is>
      </c>
      <c r="B16" s="4" t="inlineStr"/>
      <c r="C16" s="4">
        <f>IFERROR(C15/B15-1,"")</f>
        <v/>
      </c>
      <c r="D16" s="4">
        <f>IFERROR(D15/C15-1,"")</f>
        <v/>
      </c>
      <c r="E16" s="4">
        <f>IFERROR(E15/D15-1,"")</f>
        <v/>
      </c>
      <c r="F16" t="inlineStr">
        <is>
          <t>vs prior period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Tax Effect Of Unusual Items</t>
        </is>
      </c>
      <c r="B2" s="3" t="n">
        <v>0</v>
      </c>
      <c r="C2" s="3" t="n">
        <v>-1220785.586008</v>
      </c>
      <c r="D2" s="3" t="n">
        <v>-1610125.361413</v>
      </c>
      <c r="E2" s="3" t="n">
        <v>-8867460</v>
      </c>
      <c r="F2" s="3" t="n"/>
    </row>
    <row r="3">
      <c r="A3" t="inlineStr">
        <is>
          <t>Tax Rate For Calcs</t>
        </is>
      </c>
      <c r="B3" s="3" t="n">
        <v>0</v>
      </c>
      <c r="C3" s="3" t="n">
        <v>0.001274</v>
      </c>
      <c r="D3" s="3" t="n">
        <v>0.005351</v>
      </c>
      <c r="E3" s="3" t="n">
        <v>0.21</v>
      </c>
      <c r="F3" s="3" t="n"/>
    </row>
    <row r="4">
      <c r="A4" t="inlineStr">
        <is>
          <t>Normalized EBITDA</t>
        </is>
      </c>
      <c r="B4" s="3" t="n">
        <v>-892410000</v>
      </c>
      <c r="C4" s="3" t="n">
        <v>-1018514000</v>
      </c>
      <c r="D4" s="3" t="n">
        <v>-959010000</v>
      </c>
      <c r="E4" s="3" t="n">
        <v>-590309000</v>
      </c>
      <c r="F4" s="3" t="n"/>
    </row>
    <row r="5">
      <c r="A5" t="inlineStr">
        <is>
          <t>Total Unusual Items</t>
        </is>
      </c>
      <c r="B5" s="3" t="n">
        <v>-691215000</v>
      </c>
      <c r="C5" s="3" t="n">
        <v>-957899000</v>
      </c>
      <c r="D5" s="3" t="n">
        <v>-300903000</v>
      </c>
      <c r="E5" s="3" t="n">
        <v>-42226000</v>
      </c>
      <c r="F5" s="3" t="n"/>
    </row>
    <row r="6">
      <c r="A6" t="inlineStr">
        <is>
          <t>Total Unusual Items Excluding Goodwill</t>
        </is>
      </c>
      <c r="B6" s="3" t="n">
        <v>-691215000</v>
      </c>
      <c r="C6" s="3" t="n">
        <v>-957899000</v>
      </c>
      <c r="D6" s="3" t="n">
        <v>-300903000</v>
      </c>
      <c r="E6" s="3" t="n">
        <v>-42226000</v>
      </c>
      <c r="F6" s="3" t="n"/>
    </row>
    <row r="7">
      <c r="A7" t="inlineStr">
        <is>
          <t>Net Income From Continuing Operation Net Minority Interest</t>
        </is>
      </c>
      <c r="B7" s="3" t="n">
        <v>-1631594000</v>
      </c>
      <c r="C7" s="3" t="n">
        <v>-2104701000</v>
      </c>
      <c r="D7" s="3" t="n">
        <v>-1368833000</v>
      </c>
      <c r="E7" s="3" t="n">
        <v>-724008000</v>
      </c>
      <c r="F7" s="3" t="n"/>
    </row>
    <row r="8">
      <c r="A8" t="inlineStr">
        <is>
          <t>Reconciled Depreciation</t>
        </is>
      </c>
      <c r="B8" s="3" t="n">
        <v>44560000</v>
      </c>
      <c r="C8" s="3" t="n">
        <v>84556000</v>
      </c>
      <c r="D8" s="3" t="n">
        <v>71083000</v>
      </c>
      <c r="E8" s="3" t="n">
        <v>51597000</v>
      </c>
      <c r="F8" s="3" t="n"/>
    </row>
    <row r="9">
      <c r="A9" t="inlineStr">
        <is>
          <t>Reconciled Cost Of Revenue</t>
        </is>
      </c>
      <c r="B9" s="3" t="n">
        <v>951959000</v>
      </c>
      <c r="C9" s="3" t="n">
        <v>1253701000</v>
      </c>
      <c r="D9" s="3" t="n">
        <v>1399131000</v>
      </c>
      <c r="E9" s="3" t="n">
        <v>895796000</v>
      </c>
      <c r="F9" s="3" t="n"/>
    </row>
    <row r="10">
      <c r="A10" t="inlineStr">
        <is>
          <t>EBITDA</t>
        </is>
      </c>
      <c r="B10" s="3" t="n">
        <v>-1583625000</v>
      </c>
      <c r="C10" s="3" t="n">
        <v>-1976413000</v>
      </c>
      <c r="D10" s="3" t="n">
        <v>-1259913000</v>
      </c>
      <c r="E10" s="3" t="n">
        <v>-632535000</v>
      </c>
      <c r="F10" s="3" t="n"/>
    </row>
    <row r="11">
      <c r="A11" t="inlineStr">
        <is>
          <t>EBIT</t>
        </is>
      </c>
      <c r="B11" s="3" t="n">
        <v>-1628185000</v>
      </c>
      <c r="C11" s="3" t="n">
        <v>-2060969000</v>
      </c>
      <c r="D11" s="3" t="n">
        <v>-1330996000</v>
      </c>
      <c r="E11" s="3" t="n">
        <v>-684132000</v>
      </c>
      <c r="F11" s="3" t="n"/>
    </row>
    <row r="12">
      <c r="A12" t="inlineStr">
        <is>
          <t>Net Interest Income</t>
        </is>
      </c>
      <c r="B12" s="3" t="n">
        <v>-45698000</v>
      </c>
      <c r="C12" s="3" t="n">
        <v>-15905000</v>
      </c>
      <c r="D12" s="3" t="n">
        <v>10628000</v>
      </c>
      <c r="E12" s="3" t="n">
        <v>-1778000</v>
      </c>
      <c r="F12" s="3" t="n"/>
    </row>
    <row r="13">
      <c r="A13" t="inlineStr">
        <is>
          <t>Interest Expense</t>
        </is>
      </c>
      <c r="B13" s="3" t="n">
        <v>65127000</v>
      </c>
      <c r="C13" s="3" t="n">
        <v>46622000</v>
      </c>
      <c r="D13" s="3" t="n">
        <v>45201000</v>
      </c>
      <c r="E13" s="3" t="n">
        <v>39037000</v>
      </c>
      <c r="F13" s="3" t="n"/>
    </row>
    <row r="14">
      <c r="A14" t="inlineStr">
        <is>
          <t>Interest Income</t>
        </is>
      </c>
      <c r="B14" s="3" t="n">
        <v>19429000</v>
      </c>
      <c r="C14" s="3" t="n">
        <v>30717000</v>
      </c>
      <c r="D14" s="3" t="n">
        <v>55829000</v>
      </c>
      <c r="E14" s="3" t="n">
        <v>37259000</v>
      </c>
      <c r="F14" s="3" t="n"/>
    </row>
    <row r="15">
      <c r="A15" t="inlineStr">
        <is>
          <t>Normalized Income</t>
        </is>
      </c>
      <c r="B15" s="3" t="n">
        <v>-940379000</v>
      </c>
      <c r="C15" s="3" t="n">
        <v>-1148022785.586008</v>
      </c>
      <c r="D15" s="3" t="n">
        <v>-1069540125.361413</v>
      </c>
      <c r="E15" s="3" t="n">
        <v>-690649460</v>
      </c>
      <c r="F15" s="3" t="n"/>
    </row>
    <row r="16">
      <c r="A16" t="inlineStr">
        <is>
          <t>Net Income From Continuing And Discontinued Operation</t>
        </is>
      </c>
      <c r="B16" s="3" t="n">
        <v>-1631594000</v>
      </c>
      <c r="C16" s="3" t="n">
        <v>-2104701000</v>
      </c>
      <c r="D16" s="3" t="n">
        <v>-1368833000</v>
      </c>
      <c r="E16" s="3" t="n">
        <v>-724008000</v>
      </c>
      <c r="F16" s="3" t="n"/>
    </row>
    <row r="17">
      <c r="A17" t="inlineStr">
        <is>
          <t>Total Expenses</t>
        </is>
      </c>
      <c r="B17" s="3" t="n">
        <v>1389489000</v>
      </c>
      <c r="C17" s="3" t="n">
        <v>1707037000</v>
      </c>
      <c r="D17" s="3" t="n">
        <v>1935345000</v>
      </c>
      <c r="E17" s="3" t="n">
        <v>1359304000</v>
      </c>
      <c r="F17" s="3" t="n"/>
    </row>
    <row r="18">
      <c r="A18" t="inlineStr">
        <is>
          <t>Total Operating Income As Reported</t>
        </is>
      </c>
      <c r="B18" s="3" t="n">
        <v>-1467385000</v>
      </c>
      <c r="C18" s="3" t="n">
        <v>-2019844000</v>
      </c>
      <c r="D18" s="3" t="n">
        <v>-1343523000</v>
      </c>
      <c r="E18" s="3" t="n">
        <v>-679550000</v>
      </c>
      <c r="F18" s="3" t="n"/>
    </row>
    <row r="19">
      <c r="A19" t="inlineStr">
        <is>
          <t>Diluted Average Shares</t>
        </is>
      </c>
      <c r="B19" s="3" t="n">
        <v>1146691189</v>
      </c>
      <c r="C19" s="3" t="n">
        <v>785024373</v>
      </c>
      <c r="D19" s="3" t="n">
        <v>595468419</v>
      </c>
      <c r="E19" s="3" t="n">
        <v>579716708</v>
      </c>
      <c r="F19" s="3" t="n"/>
    </row>
    <row r="20">
      <c r="A20" t="inlineStr">
        <is>
          <t>Basic Average Shares</t>
        </is>
      </c>
      <c r="B20" s="3" t="n">
        <v>1146691189</v>
      </c>
      <c r="C20" s="3" t="n">
        <v>785024373</v>
      </c>
      <c r="D20" s="3" t="n">
        <v>595468419</v>
      </c>
      <c r="E20" s="3" t="n">
        <v>579716708</v>
      </c>
      <c r="F20" s="3" t="n"/>
    </row>
    <row r="21">
      <c r="A21" t="inlineStr">
        <is>
          <t>Diluted EPS</t>
        </is>
      </c>
      <c r="B21" s="3" t="n">
        <v>-1.42</v>
      </c>
      <c r="C21" s="3" t="n">
        <v>-2.68</v>
      </c>
      <c r="D21" s="3" t="n">
        <v>-2.3</v>
      </c>
      <c r="E21" s="3" t="n">
        <v>-1.25</v>
      </c>
      <c r="F21" s="3" t="n"/>
    </row>
    <row r="22">
      <c r="A22" t="inlineStr">
        <is>
          <t>Basic EPS</t>
        </is>
      </c>
      <c r="B22" s="3" t="n">
        <v>-1.42</v>
      </c>
      <c r="C22" s="3" t="n">
        <v>-2.68</v>
      </c>
      <c r="D22" s="3" t="n">
        <v>-2.3</v>
      </c>
      <c r="E22" s="3" t="n">
        <v>-1.25</v>
      </c>
      <c r="F22" s="3" t="n"/>
    </row>
    <row r="23">
      <c r="A23" t="inlineStr">
        <is>
          <t>Diluted NI Availto Com Stockholders</t>
        </is>
      </c>
      <c r="B23" s="3" t="n">
        <v>-1631594000</v>
      </c>
      <c r="C23" s="3" t="n">
        <v>-2104701000</v>
      </c>
      <c r="D23" s="3" t="n">
        <v>-1368833000</v>
      </c>
      <c r="E23" s="3" t="n">
        <v>-724008000</v>
      </c>
      <c r="F23" s="3" t="n"/>
    </row>
    <row r="24">
      <c r="A24" t="inlineStr">
        <is>
          <t>Net Income Common Stockholders</t>
        </is>
      </c>
      <c r="B24" s="3" t="n">
        <v>-1631594000</v>
      </c>
      <c r="C24" s="3" t="n">
        <v>-2104701000</v>
      </c>
      <c r="D24" s="3" t="n">
        <v>-1368833000</v>
      </c>
      <c r="E24" s="3" t="n">
        <v>-724008000</v>
      </c>
      <c r="F24" s="3" t="n"/>
    </row>
    <row r="25">
      <c r="A25" t="inlineStr">
        <is>
          <t>Net Income</t>
        </is>
      </c>
      <c r="B25" s="3" t="n">
        <v>-1631594000</v>
      </c>
      <c r="C25" s="3" t="n">
        <v>-2104701000</v>
      </c>
      <c r="D25" s="3" t="n">
        <v>-1368833000</v>
      </c>
      <c r="E25" s="3" t="n">
        <v>-724008000</v>
      </c>
      <c r="F25" s="3" t="n"/>
    </row>
    <row r="26">
      <c r="A26" t="inlineStr">
        <is>
          <t>Minority Interests</t>
        </is>
      </c>
      <c r="B26" s="3" t="n">
        <v>62074000</v>
      </c>
      <c r="C26" s="3" t="n">
        <v>204000</v>
      </c>
      <c r="D26" s="3" t="n">
        <v>0</v>
      </c>
      <c r="E26" s="3" t="n">
        <v>0</v>
      </c>
      <c r="F26" s="3" t="n"/>
    </row>
    <row r="27">
      <c r="A27" t="inlineStr">
        <is>
          <t>Net Income Including Noncontrolling Interests</t>
        </is>
      </c>
      <c r="B27" s="3" t="n">
        <v>-1693668000</v>
      </c>
      <c r="C27" s="3" t="n">
        <v>-2104905000</v>
      </c>
      <c r="D27" s="3" t="n">
        <v>-1368833000</v>
      </c>
      <c r="E27" s="3" t="n">
        <v>-724008000</v>
      </c>
      <c r="F27" s="3" t="n"/>
    </row>
    <row r="28">
      <c r="A28" t="inlineStr">
        <is>
          <t>Net Income Continuous Operations</t>
        </is>
      </c>
      <c r="B28" s="3" t="n">
        <v>-1693668000</v>
      </c>
      <c r="C28" s="3" t="n">
        <v>-2104905000</v>
      </c>
      <c r="D28" s="3" t="n">
        <v>-1368833000</v>
      </c>
      <c r="E28" s="3" t="n">
        <v>-724008000</v>
      </c>
      <c r="F28" s="3" t="n"/>
    </row>
    <row r="29">
      <c r="A29" t="inlineStr">
        <is>
          <t>Tax Provision</t>
        </is>
      </c>
      <c r="B29" s="3" t="n">
        <v>356000</v>
      </c>
      <c r="C29" s="3" t="n">
        <v>-2686000</v>
      </c>
      <c r="D29" s="3" t="n">
        <v>-7364000</v>
      </c>
      <c r="E29" s="3" t="n">
        <v>839000</v>
      </c>
      <c r="F29" s="3" t="n"/>
    </row>
    <row r="30">
      <c r="A30" t="inlineStr">
        <is>
          <t>Pretax Income</t>
        </is>
      </c>
      <c r="B30" s="3" t="n">
        <v>-1693312000</v>
      </c>
      <c r="C30" s="3" t="n">
        <v>-2107591000</v>
      </c>
      <c r="D30" s="3" t="n">
        <v>-1376197000</v>
      </c>
      <c r="E30" s="3" t="n">
        <v>-723169000</v>
      </c>
      <c r="F30" s="3" t="n"/>
    </row>
    <row r="31">
      <c r="A31" t="inlineStr">
        <is>
          <t>Other Income Expense</t>
        </is>
      </c>
      <c r="B31" s="3" t="n">
        <v>-968044000</v>
      </c>
      <c r="C31" s="3" t="n">
        <v>-1013463000</v>
      </c>
      <c r="D31" s="3" t="n">
        <v>-342820000</v>
      </c>
      <c r="E31" s="3" t="n">
        <v>-63527000</v>
      </c>
      <c r="F31" s="3" t="n"/>
    </row>
    <row r="32">
      <c r="A32" t="inlineStr">
        <is>
          <t>Other Non Operating Income Expenses</t>
        </is>
      </c>
      <c r="B32" s="3" t="n">
        <v>-221768000</v>
      </c>
      <c r="C32" s="3" t="n">
        <v>-23387000</v>
      </c>
      <c r="D32" s="3" t="n">
        <v>-131000</v>
      </c>
      <c r="E32" s="3" t="n">
        <v>-1135000</v>
      </c>
      <c r="F32" s="3" t="n"/>
    </row>
    <row r="33">
      <c r="A33" t="inlineStr">
        <is>
          <t>Special Income Charges</t>
        </is>
      </c>
      <c r="B33" s="3" t="n">
        <v>-819316000</v>
      </c>
      <c r="C33" s="3" t="n">
        <v>-957899000</v>
      </c>
      <c r="D33" s="3" t="n">
        <v>-299518000</v>
      </c>
      <c r="E33" s="3" t="n">
        <v>-22672000</v>
      </c>
      <c r="F33" s="3" t="n"/>
    </row>
    <row r="34">
      <c r="A34" t="inlineStr">
        <is>
          <t>Other Special Charges</t>
        </is>
      </c>
      <c r="B34" s="3" t="n">
        <v>31501000</v>
      </c>
      <c r="C34" s="3" t="n">
        <v>16278000</v>
      </c>
      <c r="D34" s="3" t="n"/>
      <c r="E34" s="3" t="n">
        <v>986000</v>
      </c>
      <c r="F34" s="3" t="n"/>
    </row>
    <row r="35">
      <c r="A35" t="inlineStr">
        <is>
          <t>Write Off</t>
        </is>
      </c>
      <c r="B35" s="3" t="n">
        <v>785444000</v>
      </c>
      <c r="C35" s="3" t="n">
        <v>949315000</v>
      </c>
      <c r="D35" s="3" t="n">
        <v>269494000</v>
      </c>
      <c r="E35" s="3" t="n">
        <v>5218000</v>
      </c>
      <c r="F35" s="3" t="n"/>
    </row>
    <row r="36">
      <c r="A36" t="inlineStr">
        <is>
          <t>Impairment Of Capital Assets</t>
        </is>
      </c>
      <c r="B36" s="3" t="n"/>
      <c r="C36" s="3" t="n"/>
      <c r="D36" s="3" t="n">
        <v>269494000</v>
      </c>
      <c r="E36" s="3" t="n">
        <v>5218000</v>
      </c>
      <c r="F36" s="3" t="n">
        <v>10224000</v>
      </c>
    </row>
    <row r="37">
      <c r="A37" t="inlineStr">
        <is>
          <t>Restructuring And Mergern Acquisition</t>
        </is>
      </c>
      <c r="B37" s="3" t="n">
        <v>2371000</v>
      </c>
      <c r="C37" s="3" t="n">
        <v>-7694000</v>
      </c>
      <c r="D37" s="3" t="n">
        <v>30024000</v>
      </c>
      <c r="E37" s="3" t="n">
        <v>16468000</v>
      </c>
      <c r="F37" s="3" t="n"/>
    </row>
    <row r="38">
      <c r="A38" t="inlineStr">
        <is>
          <t>Earnings From Equity Interest</t>
        </is>
      </c>
      <c r="B38" s="3" t="n">
        <v>-55061000</v>
      </c>
      <c r="C38" s="3" t="n">
        <v>-32177000</v>
      </c>
      <c r="D38" s="3" t="n">
        <v>-41786000</v>
      </c>
      <c r="E38" s="3" t="n">
        <v>-20166000</v>
      </c>
      <c r="F38" s="3" t="n"/>
    </row>
    <row r="39">
      <c r="A39" t="inlineStr">
        <is>
          <t>Gain On Sale Of Security</t>
        </is>
      </c>
      <c r="B39" s="3" t="n">
        <v>128101000</v>
      </c>
      <c r="C39" s="3" t="n"/>
      <c r="D39" s="3" t="n">
        <v>-1385000</v>
      </c>
      <c r="E39" s="3" t="n">
        <v>-19554000</v>
      </c>
      <c r="F39" s="3" t="n">
        <v>6657000</v>
      </c>
    </row>
    <row r="40">
      <c r="A40" t="inlineStr">
        <is>
          <t>Net Non Operating Interest Income Expense</t>
        </is>
      </c>
      <c r="B40" s="3" t="n">
        <v>-45698000</v>
      </c>
      <c r="C40" s="3" t="n">
        <v>-15905000</v>
      </c>
      <c r="D40" s="3" t="n">
        <v>10628000</v>
      </c>
      <c r="E40" s="3" t="n">
        <v>-1778000</v>
      </c>
      <c r="F40" s="3" t="n"/>
    </row>
    <row r="41">
      <c r="A41" t="inlineStr">
        <is>
          <t>Interest Expense Non Operating</t>
        </is>
      </c>
      <c r="B41" s="3" t="n">
        <v>65127000</v>
      </c>
      <c r="C41" s="3" t="n">
        <v>46622000</v>
      </c>
      <c r="D41" s="3" t="n">
        <v>45201000</v>
      </c>
      <c r="E41" s="3" t="n">
        <v>39037000</v>
      </c>
      <c r="F41" s="3" t="n"/>
    </row>
    <row r="42">
      <c r="A42" t="inlineStr">
        <is>
          <t>Interest Income Non Operating</t>
        </is>
      </c>
      <c r="B42" s="3" t="n">
        <v>19429000</v>
      </c>
      <c r="C42" s="3" t="n">
        <v>30717000</v>
      </c>
      <c r="D42" s="3" t="n">
        <v>55829000</v>
      </c>
      <c r="E42" s="3" t="n">
        <v>37259000</v>
      </c>
      <c r="F42" s="3" t="n"/>
    </row>
    <row r="43">
      <c r="A43" t="inlineStr">
        <is>
          <t>Operating Income</t>
        </is>
      </c>
      <c r="B43" s="3" t="n">
        <v>-679570000</v>
      </c>
      <c r="C43" s="3" t="n">
        <v>-1078223000</v>
      </c>
      <c r="D43" s="3" t="n">
        <v>-1044005000</v>
      </c>
      <c r="E43" s="3" t="n">
        <v>-657864000</v>
      </c>
      <c r="F43" s="3" t="n"/>
    </row>
    <row r="44">
      <c r="A44" t="inlineStr">
        <is>
          <t>Operating Expense</t>
        </is>
      </c>
      <c r="B44" s="3" t="n">
        <v>437530000</v>
      </c>
      <c r="C44" s="3" t="n">
        <v>453336000</v>
      </c>
      <c r="D44" s="3" t="n">
        <v>536214000</v>
      </c>
      <c r="E44" s="3" t="n">
        <v>463508000</v>
      </c>
      <c r="F44" s="3" t="n"/>
    </row>
    <row r="45">
      <c r="A45" t="inlineStr">
        <is>
          <t>Research And Development</t>
        </is>
      </c>
      <c r="B45" s="3" t="n">
        <v>57960000</v>
      </c>
      <c r="C45" s="3" t="n">
        <v>77226000</v>
      </c>
      <c r="D45" s="3" t="n">
        <v>113745000</v>
      </c>
      <c r="E45" s="3" t="n">
        <v>99579000</v>
      </c>
      <c r="F45" s="3" t="n"/>
    </row>
    <row r="46">
      <c r="A46" t="inlineStr">
        <is>
          <t>Selling General And Administration</t>
        </is>
      </c>
      <c r="B46" s="3" t="n">
        <v>379570000</v>
      </c>
      <c r="C46" s="3" t="n">
        <v>376110000</v>
      </c>
      <c r="D46" s="3" t="n">
        <v>422469000</v>
      </c>
      <c r="E46" s="3" t="n">
        <v>363929000</v>
      </c>
      <c r="F46" s="3" t="n"/>
    </row>
    <row r="47">
      <c r="A47" t="inlineStr">
        <is>
          <t>Gross Profit</t>
        </is>
      </c>
      <c r="B47" s="3" t="n">
        <v>-242040000</v>
      </c>
      <c r="C47" s="3" t="n">
        <v>-624887000</v>
      </c>
      <c r="D47" s="3" t="n">
        <v>-507791000</v>
      </c>
      <c r="E47" s="3" t="n">
        <v>-194356000</v>
      </c>
      <c r="F47" s="3" t="n"/>
    </row>
    <row r="48">
      <c r="A48" t="inlineStr">
        <is>
          <t>Cost Of Revenue</t>
        </is>
      </c>
      <c r="B48" s="3" t="n">
        <v>951959000</v>
      </c>
      <c r="C48" s="3" t="n">
        <v>1253701000</v>
      </c>
      <c r="D48" s="3" t="n">
        <v>1399131000</v>
      </c>
      <c r="E48" s="3" t="n">
        <v>895796000</v>
      </c>
      <c r="F48" s="3" t="n"/>
    </row>
    <row r="49">
      <c r="A49" t="inlineStr">
        <is>
          <t>Total Revenue</t>
        </is>
      </c>
      <c r="B49" s="3" t="n">
        <v>709919000</v>
      </c>
      <c r="C49" s="3" t="n">
        <v>628814000</v>
      </c>
      <c r="D49" s="3" t="n">
        <v>891340000</v>
      </c>
      <c r="E49" s="3" t="n">
        <v>701440000</v>
      </c>
      <c r="F49" s="3" t="n"/>
    </row>
    <row r="50">
      <c r="A50" t="inlineStr">
        <is>
          <t>Operating Revenue</t>
        </is>
      </c>
      <c r="B50" s="3" t="n">
        <v>706526000</v>
      </c>
      <c r="C50" s="3" t="n">
        <v>618228000</v>
      </c>
      <c r="D50" s="3" t="n">
        <v>880503000</v>
      </c>
      <c r="E50" s="3" t="n">
        <v>698591000</v>
      </c>
      <c r="F50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Tax Effect Of Unusual Items</t>
        </is>
      </c>
      <c r="B2" s="3" t="n">
        <v>-23358400</v>
      </c>
      <c r="C2" s="3" t="n">
        <v>-115579800</v>
      </c>
      <c r="D2" s="3" t="n">
        <v>-21401940</v>
      </c>
      <c r="E2" s="3" t="n">
        <v>-6062700</v>
      </c>
      <c r="F2" s="3" t="n">
        <v>0</v>
      </c>
      <c r="G2" s="3" t="n"/>
      <c r="H2" s="3" t="n"/>
    </row>
    <row r="3">
      <c r="A3" t="inlineStr">
        <is>
          <t>Tax Rate For Calcs</t>
        </is>
      </c>
      <c r="B3" s="3" t="n">
        <v>0.4</v>
      </c>
      <c r="C3" s="3" t="n">
        <v>0.21</v>
      </c>
      <c r="D3" s="3" t="n">
        <v>0.21</v>
      </c>
      <c r="E3" s="3" t="n">
        <v>0.21</v>
      </c>
      <c r="F3" s="3" t="n">
        <v>0</v>
      </c>
      <c r="G3" s="3" t="n"/>
      <c r="H3" s="3" t="n"/>
    </row>
    <row r="4">
      <c r="A4" t="inlineStr">
        <is>
          <t>Normalized EBITDA</t>
        </is>
      </c>
      <c r="B4" s="3" t="n">
        <v>-163029000</v>
      </c>
      <c r="C4" s="3" t="n">
        <v>-327194000</v>
      </c>
      <c r="D4" s="3" t="n">
        <v>-234905000</v>
      </c>
      <c r="E4" s="3" t="n">
        <v>-169130000</v>
      </c>
      <c r="F4" s="3" t="n">
        <v>-161181000</v>
      </c>
      <c r="G4" s="3" t="n"/>
      <c r="H4" s="3" t="n"/>
    </row>
    <row r="5">
      <c r="A5" t="inlineStr">
        <is>
          <t>Total Unusual Items</t>
        </is>
      </c>
      <c r="B5" s="3" t="n">
        <v>-58396000</v>
      </c>
      <c r="C5" s="3" t="n">
        <v>-550380000</v>
      </c>
      <c r="D5" s="3" t="n">
        <v>-101914000</v>
      </c>
      <c r="E5" s="3" t="n">
        <v>-28870000</v>
      </c>
      <c r="F5" s="3" t="n">
        <v>-10051000</v>
      </c>
      <c r="G5" s="3" t="n"/>
      <c r="H5" s="3" t="n"/>
    </row>
    <row r="6">
      <c r="A6" t="inlineStr">
        <is>
          <t>Total Unusual Items Excluding Goodwill</t>
        </is>
      </c>
      <c r="B6" s="3" t="n">
        <v>-58396000</v>
      </c>
      <c r="C6" s="3" t="n">
        <v>-550380000</v>
      </c>
      <c r="D6" s="3" t="n">
        <v>-101914000</v>
      </c>
      <c r="E6" s="3" t="n">
        <v>-28870000</v>
      </c>
      <c r="F6" s="3" t="n">
        <v>-10051000</v>
      </c>
      <c r="G6" s="3" t="n"/>
      <c r="H6" s="3" t="n"/>
    </row>
    <row r="7">
      <c r="A7" t="inlineStr">
        <is>
          <t>Net Income From Continuing Operation Net Minority Interest</t>
        </is>
      </c>
      <c r="B7" s="3" t="n">
        <v>-245304000</v>
      </c>
      <c r="C7" s="3" t="n">
        <v>-845970000</v>
      </c>
      <c r="D7" s="3" t="n">
        <v>-361869000</v>
      </c>
      <c r="E7" s="3" t="n">
        <v>-227099000</v>
      </c>
      <c r="F7" s="3" t="n">
        <v>-196656000</v>
      </c>
      <c r="G7" s="3" t="n"/>
      <c r="H7" s="3" t="n"/>
    </row>
    <row r="8">
      <c r="A8" t="inlineStr">
        <is>
          <t>Reconciled Depreciation</t>
        </is>
      </c>
      <c r="B8" s="3" t="n">
        <v>7220000</v>
      </c>
      <c r="C8" s="3" t="n">
        <v>5509000</v>
      </c>
      <c r="D8" s="3" t="n">
        <v>10133000</v>
      </c>
      <c r="E8" s="3" t="n">
        <v>14777000</v>
      </c>
      <c r="F8" s="3" t="n">
        <v>14141000</v>
      </c>
      <c r="G8" s="3" t="n"/>
      <c r="H8" s="3" t="n"/>
    </row>
    <row r="9">
      <c r="A9" t="inlineStr">
        <is>
          <t>Reconciled Cost Of Revenue</t>
        </is>
      </c>
      <c r="B9" s="3" t="n">
        <v>185120000</v>
      </c>
      <c r="C9" s="3" t="n">
        <v>219769000</v>
      </c>
      <c r="D9" s="3" t="n">
        <v>297220000</v>
      </c>
      <c r="E9" s="3" t="n">
        <v>227435000</v>
      </c>
      <c r="F9" s="3" t="n">
        <v>207535000</v>
      </c>
      <c r="G9" s="3" t="n"/>
      <c r="H9" s="3" t="n"/>
    </row>
    <row r="10">
      <c r="A10" t="inlineStr">
        <is>
          <t>EBITDA</t>
        </is>
      </c>
      <c r="B10" s="3" t="n">
        <v>-221425000</v>
      </c>
      <c r="C10" s="3" t="n">
        <v>-877574000</v>
      </c>
      <c r="D10" s="3" t="n">
        <v>-336819000</v>
      </c>
      <c r="E10" s="3" t="n">
        <v>-198000000</v>
      </c>
      <c r="F10" s="3" t="n">
        <v>-171232000</v>
      </c>
      <c r="G10" s="3" t="n"/>
      <c r="H10" s="3" t="n"/>
    </row>
    <row r="11">
      <c r="A11" t="inlineStr">
        <is>
          <t>EBIT</t>
        </is>
      </c>
      <c r="B11" s="3" t="n">
        <v>-228645000</v>
      </c>
      <c r="C11" s="3" t="n">
        <v>-883083000</v>
      </c>
      <c r="D11" s="3" t="n">
        <v>-346952000</v>
      </c>
      <c r="E11" s="3" t="n">
        <v>-212777000</v>
      </c>
      <c r="F11" s="3" t="n">
        <v>-185373000</v>
      </c>
      <c r="G11" s="3" t="n"/>
      <c r="H11" s="3" t="n"/>
    </row>
    <row r="12">
      <c r="A12" t="inlineStr">
        <is>
          <t>Net Interest Income</t>
        </is>
      </c>
      <c r="B12" s="3" t="n">
        <v>-13506000</v>
      </c>
      <c r="C12" s="3" t="n">
        <v>-17127000</v>
      </c>
      <c r="D12" s="3" t="n">
        <v>-12145000</v>
      </c>
      <c r="E12" s="3" t="n">
        <v>-10093000</v>
      </c>
      <c r="F12" s="3" t="n">
        <v>-6333000</v>
      </c>
      <c r="G12" s="3" t="n"/>
      <c r="H12" s="3" t="n"/>
    </row>
    <row r="13">
      <c r="A13" t="inlineStr">
        <is>
          <t>Interest Expense</t>
        </is>
      </c>
      <c r="B13" s="3" t="n">
        <v>17351000</v>
      </c>
      <c r="C13" s="3" t="n">
        <v>21242000</v>
      </c>
      <c r="D13" s="3" t="n">
        <v>16461000</v>
      </c>
      <c r="E13" s="3" t="n">
        <v>15938000</v>
      </c>
      <c r="F13" s="3" t="n">
        <v>11486000</v>
      </c>
      <c r="G13" s="3" t="n"/>
      <c r="H13" s="3" t="n"/>
    </row>
    <row r="14">
      <c r="A14" t="inlineStr">
        <is>
          <t>Interest Income</t>
        </is>
      </c>
      <c r="B14" s="3" t="n">
        <v>3845000</v>
      </c>
      <c r="C14" s="3" t="n">
        <v>4115000</v>
      </c>
      <c r="D14" s="3" t="n">
        <v>4316000</v>
      </c>
      <c r="E14" s="3" t="n">
        <v>5845000</v>
      </c>
      <c r="F14" s="3" t="n">
        <v>5153000</v>
      </c>
      <c r="G14" s="3" t="n"/>
      <c r="H14" s="3" t="n"/>
    </row>
    <row r="15">
      <c r="A15" t="inlineStr">
        <is>
          <t>Normalized Income</t>
        </is>
      </c>
      <c r="B15" s="3" t="n">
        <v>-210266400</v>
      </c>
      <c r="C15" s="3" t="n">
        <v>-411169800</v>
      </c>
      <c r="D15" s="3" t="n">
        <v>-281356940</v>
      </c>
      <c r="E15" s="3" t="n">
        <v>-204291700</v>
      </c>
      <c r="F15" s="3" t="n">
        <v>-186605000</v>
      </c>
      <c r="G15" s="3" t="n"/>
      <c r="H15" s="3" t="n"/>
    </row>
    <row r="16">
      <c r="A16" t="inlineStr">
        <is>
          <t>Net Income From Continuing And Discontinued Operation</t>
        </is>
      </c>
      <c r="B16" s="3" t="n">
        <v>-245304000</v>
      </c>
      <c r="C16" s="3" t="n">
        <v>-845970000</v>
      </c>
      <c r="D16" s="3" t="n">
        <v>-361869000</v>
      </c>
      <c r="E16" s="3" t="n">
        <v>-227099000</v>
      </c>
      <c r="F16" s="3" t="n">
        <v>-196656000</v>
      </c>
      <c r="G16" s="3" t="n"/>
      <c r="H16" s="3" t="n"/>
    </row>
    <row r="17">
      <c r="A17" t="inlineStr">
        <is>
          <t>Total Expenses</t>
        </is>
      </c>
      <c r="B17" s="3" t="n">
        <v>267441000</v>
      </c>
      <c r="C17" s="3" t="n">
        <v>332307000</v>
      </c>
      <c r="D17" s="3" t="n">
        <v>423930000</v>
      </c>
      <c r="E17" s="3" t="n">
        <v>327521000</v>
      </c>
      <c r="F17" s="3" t="n">
        <v>305731000</v>
      </c>
      <c r="G17" s="3" t="n"/>
      <c r="H17" s="3" t="n"/>
    </row>
    <row r="18">
      <c r="A18" t="inlineStr">
        <is>
          <t>Total Operating Income As Reported</t>
        </is>
      </c>
      <c r="B18" s="3" t="n">
        <v>-109489000</v>
      </c>
      <c r="C18" s="3" t="n">
        <v>-763194000</v>
      </c>
      <c r="D18" s="3" t="n">
        <v>-348789000</v>
      </c>
      <c r="E18" s="3" t="n">
        <v>-176946000</v>
      </c>
      <c r="F18" s="3" t="n">
        <v>-178456000</v>
      </c>
      <c r="G18" s="3" t="n"/>
      <c r="H18" s="3" t="n"/>
    </row>
    <row r="19">
      <c r="A19" t="inlineStr">
        <is>
          <t>Diluted Average Shares</t>
        </is>
      </c>
      <c r="B19" s="3" t="n">
        <v>1389672378</v>
      </c>
      <c r="C19" s="3" t="n"/>
      <c r="D19" s="3" t="n">
        <v>1158516229</v>
      </c>
      <c r="E19" s="3" t="n">
        <v>1126627283</v>
      </c>
      <c r="F19" s="3" t="n">
        <v>945767987</v>
      </c>
      <c r="G19" s="3" t="n"/>
      <c r="H19" s="3" t="n">
        <v>858442951</v>
      </c>
    </row>
    <row r="20">
      <c r="A20" t="inlineStr">
        <is>
          <t>Basic Average Shares</t>
        </is>
      </c>
      <c r="B20" s="3" t="n">
        <v>1389672378</v>
      </c>
      <c r="C20" s="3" t="n"/>
      <c r="D20" s="3" t="n">
        <v>1158516229</v>
      </c>
      <c r="E20" s="3" t="n">
        <v>1126627283</v>
      </c>
      <c r="F20" s="3" t="n">
        <v>945767987</v>
      </c>
      <c r="G20" s="3" t="n"/>
      <c r="H20" s="3" t="n">
        <v>858442951</v>
      </c>
    </row>
    <row r="21">
      <c r="A21" t="inlineStr">
        <is>
          <t>Diluted EPS</t>
        </is>
      </c>
      <c r="B21" s="3" t="n">
        <v>-0.18</v>
      </c>
      <c r="C21" s="3" t="n"/>
      <c r="D21" s="3" t="n">
        <v>-0.31</v>
      </c>
      <c r="E21" s="3" t="n">
        <v>-0.2</v>
      </c>
      <c r="F21" s="3" t="n">
        <v>-0.21</v>
      </c>
      <c r="G21" s="3" t="n"/>
      <c r="H21" s="3" t="n">
        <v>-0.25</v>
      </c>
    </row>
    <row r="22">
      <c r="A22" t="inlineStr">
        <is>
          <t>Basic EPS</t>
        </is>
      </c>
      <c r="B22" s="3" t="n">
        <v>-0.18</v>
      </c>
      <c r="C22" s="3" t="n"/>
      <c r="D22" s="3" t="n">
        <v>-0.31</v>
      </c>
      <c r="E22" s="3" t="n">
        <v>-0.2</v>
      </c>
      <c r="F22" s="3" t="n">
        <v>-0.21</v>
      </c>
      <c r="G22" s="3" t="n"/>
      <c r="H22" s="3" t="n">
        <v>-0.25</v>
      </c>
    </row>
    <row r="23">
      <c r="A23" t="inlineStr">
        <is>
          <t>Diluted NI Availto Com Stockholders</t>
        </is>
      </c>
      <c r="B23" s="3" t="n">
        <v>-245304000</v>
      </c>
      <c r="C23" s="3" t="n">
        <v>-845970000</v>
      </c>
      <c r="D23" s="3" t="n">
        <v>-361869000</v>
      </c>
      <c r="E23" s="3" t="n">
        <v>-227099000</v>
      </c>
      <c r="F23" s="3" t="n">
        <v>-196656000</v>
      </c>
      <c r="G23" s="3" t="n"/>
      <c r="H23" s="3" t="n"/>
    </row>
    <row r="24">
      <c r="A24" t="inlineStr">
        <is>
          <t>Net Income Common Stockholders</t>
        </is>
      </c>
      <c r="B24" s="3" t="n">
        <v>-245304000</v>
      </c>
      <c r="C24" s="3" t="n">
        <v>-845970000</v>
      </c>
      <c r="D24" s="3" t="n">
        <v>-361869000</v>
      </c>
      <c r="E24" s="3" t="n">
        <v>-227099000</v>
      </c>
      <c r="F24" s="3" t="n">
        <v>-196656000</v>
      </c>
      <c r="G24" s="3" t="n"/>
      <c r="H24" s="3" t="n"/>
    </row>
    <row r="25">
      <c r="A25" t="inlineStr">
        <is>
          <t>Net Income</t>
        </is>
      </c>
      <c r="B25" s="3" t="n">
        <v>-245304000</v>
      </c>
      <c r="C25" s="3" t="n">
        <v>-845970000</v>
      </c>
      <c r="D25" s="3" t="n">
        <v>-361869000</v>
      </c>
      <c r="E25" s="3" t="n">
        <v>-227099000</v>
      </c>
      <c r="F25" s="3" t="n">
        <v>-196656000</v>
      </c>
      <c r="G25" s="3" t="n"/>
      <c r="H25" s="3" t="n"/>
    </row>
    <row r="26">
      <c r="A26" t="inlineStr">
        <is>
          <t>Minority Interests</t>
        </is>
      </c>
      <c r="B26" s="3" t="n">
        <v>733000</v>
      </c>
      <c r="C26" s="3" t="n">
        <v>58607000</v>
      </c>
      <c r="D26" s="3" t="n">
        <v>1636000</v>
      </c>
      <c r="E26" s="3" t="n">
        <v>1628000</v>
      </c>
      <c r="F26" s="3" t="n">
        <v>203000</v>
      </c>
      <c r="G26" s="3" t="n"/>
      <c r="H26" s="3" t="n"/>
    </row>
    <row r="27">
      <c r="A27" t="inlineStr">
        <is>
          <t>Net Income Including Noncontrolling Interests</t>
        </is>
      </c>
      <c r="B27" s="3" t="n">
        <v>-246037000</v>
      </c>
      <c r="C27" s="3" t="n">
        <v>-904577000</v>
      </c>
      <c r="D27" s="3" t="n">
        <v>-363505000</v>
      </c>
      <c r="E27" s="3" t="n">
        <v>-228727000</v>
      </c>
      <c r="F27" s="3" t="n">
        <v>-196859000</v>
      </c>
      <c r="G27" s="3" t="n"/>
      <c r="H27" s="3" t="n"/>
    </row>
    <row r="28">
      <c r="A28" t="inlineStr">
        <is>
          <t>Net Income Continuous Operations</t>
        </is>
      </c>
      <c r="B28" s="3" t="n">
        <v>-246037000</v>
      </c>
      <c r="C28" s="3" t="n">
        <v>-904577000</v>
      </c>
      <c r="D28" s="3" t="n">
        <v>-363505000</v>
      </c>
      <c r="E28" s="3" t="n">
        <v>-228727000</v>
      </c>
      <c r="F28" s="3" t="n">
        <v>-196859000</v>
      </c>
      <c r="G28" s="3" t="n"/>
      <c r="H28" s="3" t="n"/>
    </row>
    <row r="29">
      <c r="A29" t="inlineStr">
        <is>
          <t>Tax Provision</t>
        </is>
      </c>
      <c r="B29" s="3" t="n">
        <v>41000</v>
      </c>
      <c r="C29" s="3" t="n">
        <v>252000</v>
      </c>
      <c r="D29" s="3" t="n">
        <v>92000</v>
      </c>
      <c r="E29" s="3" t="n">
        <v>12000</v>
      </c>
      <c r="F29" s="3" t="n">
        <v>0</v>
      </c>
      <c r="G29" s="3" t="n"/>
      <c r="H29" s="3" t="n"/>
    </row>
    <row r="30">
      <c r="A30" t="inlineStr">
        <is>
          <t>Pretax Income</t>
        </is>
      </c>
      <c r="B30" s="3" t="n">
        <v>-245996000</v>
      </c>
      <c r="C30" s="3" t="n">
        <v>-904325000</v>
      </c>
      <c r="D30" s="3" t="n">
        <v>-363413000</v>
      </c>
      <c r="E30" s="3" t="n">
        <v>-228715000</v>
      </c>
      <c r="F30" s="3" t="n">
        <v>-196859000</v>
      </c>
      <c r="G30" s="3" t="n"/>
      <c r="H30" s="3" t="n"/>
    </row>
    <row r="31">
      <c r="A31" t="inlineStr">
        <is>
          <t>Other Income Expense</t>
        </is>
      </c>
      <c r="B31" s="3" t="n">
        <v>-128562000</v>
      </c>
      <c r="C31" s="3" t="n">
        <v>-780111000</v>
      </c>
      <c r="D31" s="3" t="n">
        <v>-104393000</v>
      </c>
      <c r="E31" s="3" t="n">
        <v>-65071000</v>
      </c>
      <c r="F31" s="3" t="n">
        <v>-18469000</v>
      </c>
      <c r="G31" s="3" t="n"/>
      <c r="H31" s="3" t="n"/>
    </row>
    <row r="32">
      <c r="A32" t="inlineStr">
        <is>
          <t>Other Non Operating Income Expenses</t>
        </is>
      </c>
      <c r="B32" s="3" t="n">
        <v>-69696000</v>
      </c>
      <c r="C32" s="3" t="n">
        <v>-226152000</v>
      </c>
      <c r="D32" s="3" t="n">
        <v>783000</v>
      </c>
      <c r="E32" s="3" t="n">
        <v>9649000</v>
      </c>
      <c r="F32" s="3" t="n">
        <v>-6048000</v>
      </c>
      <c r="G32" s="3" t="n"/>
      <c r="H32" s="3" t="n"/>
    </row>
    <row r="33">
      <c r="A33" t="inlineStr">
        <is>
          <t>Special Income Charges</t>
        </is>
      </c>
      <c r="B33" s="3" t="n">
        <v>-3756000</v>
      </c>
      <c r="C33" s="3" t="n">
        <v>-678481000</v>
      </c>
      <c r="D33" s="3" t="n">
        <v>-101914000</v>
      </c>
      <c r="E33" s="3" t="n">
        <v>-28870000</v>
      </c>
      <c r="F33" s="3" t="n">
        <v>-10051000</v>
      </c>
      <c r="G33" s="3" t="n"/>
      <c r="H33" s="3" t="n"/>
    </row>
    <row r="34">
      <c r="A34" t="inlineStr">
        <is>
          <t>Other Special Charges</t>
        </is>
      </c>
      <c r="B34" s="3" t="n">
        <v>-1805000</v>
      </c>
      <c r="C34" s="3" t="n">
        <v>22374000</v>
      </c>
      <c r="D34" s="3" t="n"/>
      <c r="E34" s="3" t="n">
        <v>5475000</v>
      </c>
      <c r="F34" s="3" t="n">
        <v>3652000</v>
      </c>
      <c r="G34" s="3" t="n">
        <v>2231000</v>
      </c>
      <c r="H34" s="3" t="n"/>
    </row>
    <row r="35">
      <c r="A35" t="inlineStr">
        <is>
          <t>Write Off</t>
        </is>
      </c>
      <c r="B35" s="3" t="n">
        <v>3856000</v>
      </c>
      <c r="C35" s="3" t="n"/>
      <c r="D35" s="3" t="n">
        <v>97524000</v>
      </c>
      <c r="E35" s="3" t="n">
        <v>20599000</v>
      </c>
      <c r="F35" s="3" t="n">
        <v>1064000</v>
      </c>
      <c r="G35" s="3" t="n">
        <v>940909000</v>
      </c>
      <c r="H35" s="3" t="n"/>
    </row>
    <row r="36">
      <c r="A36" t="inlineStr">
        <is>
          <t>Impairment Of Capital Assets</t>
        </is>
      </c>
      <c r="B36" s="3" t="n"/>
      <c r="C36" s="3" t="n"/>
      <c r="D36" s="3" t="n">
        <v>97524000</v>
      </c>
      <c r="E36" s="3" t="n"/>
      <c r="F36" s="3" t="n"/>
      <c r="G36" s="3" t="n"/>
      <c r="H36" s="3" t="n">
        <v>4185000</v>
      </c>
    </row>
    <row r="37">
      <c r="A37" t="inlineStr">
        <is>
          <t>Restructuring And Mergern Acquisition</t>
        </is>
      </c>
      <c r="B37" s="3" t="n">
        <v>1705000</v>
      </c>
      <c r="C37" s="3" t="n">
        <v>-10150000</v>
      </c>
      <c r="D37" s="3" t="n">
        <v>4390000</v>
      </c>
      <c r="E37" s="3" t="n">
        <v>2796000</v>
      </c>
      <c r="F37" s="3" t="n">
        <v>5335000</v>
      </c>
      <c r="G37" s="3" t="n"/>
      <c r="H37" s="3" t="n"/>
    </row>
    <row r="38">
      <c r="A38" t="inlineStr">
        <is>
          <t>Earnings From Equity Interest</t>
        </is>
      </c>
      <c r="B38" s="3" t="n">
        <v>-470000</v>
      </c>
      <c r="C38" s="3" t="n">
        <v>-3579000</v>
      </c>
      <c r="D38" s="3" t="n">
        <v>-3262000</v>
      </c>
      <c r="E38" s="3" t="n">
        <v>-45850000</v>
      </c>
      <c r="F38" s="3" t="n">
        <v>-2370000</v>
      </c>
      <c r="G38" s="3" t="n"/>
      <c r="H38" s="3" t="n"/>
    </row>
    <row r="39">
      <c r="A39" t="inlineStr">
        <is>
          <t>Gain On Sale Of Security</t>
        </is>
      </c>
      <c r="B39" s="3" t="n">
        <v>-54640000</v>
      </c>
      <c r="C39" s="3" t="n"/>
      <c r="D39" s="3" t="n"/>
      <c r="E39" s="3" t="n"/>
      <c r="F39" s="3" t="n">
        <v>-7338000</v>
      </c>
      <c r="G39" s="3" t="n"/>
      <c r="H39" s="3" t="n"/>
    </row>
    <row r="40">
      <c r="A40" t="inlineStr">
        <is>
          <t>Net Non Operating Interest Income Expense</t>
        </is>
      </c>
      <c r="B40" s="3" t="n">
        <v>-13506000</v>
      </c>
      <c r="C40" s="3" t="n">
        <v>-17127000</v>
      </c>
      <c r="D40" s="3" t="n">
        <v>-12145000</v>
      </c>
      <c r="E40" s="3" t="n">
        <v>-10093000</v>
      </c>
      <c r="F40" s="3" t="n">
        <v>-6333000</v>
      </c>
      <c r="G40" s="3" t="n"/>
      <c r="H40" s="3" t="n"/>
    </row>
    <row r="41">
      <c r="A41" t="inlineStr">
        <is>
          <t>Interest Expense Non Operating</t>
        </is>
      </c>
      <c r="B41" s="3" t="n">
        <v>17351000</v>
      </c>
      <c r="C41" s="3" t="n">
        <v>21242000</v>
      </c>
      <c r="D41" s="3" t="n">
        <v>16461000</v>
      </c>
      <c r="E41" s="3" t="n">
        <v>15938000</v>
      </c>
      <c r="F41" s="3" t="n">
        <v>11486000</v>
      </c>
      <c r="G41" s="3" t="n"/>
      <c r="H41" s="3" t="n"/>
    </row>
    <row r="42">
      <c r="A42" t="inlineStr">
        <is>
          <t>Interest Income Non Operating</t>
        </is>
      </c>
      <c r="B42" s="3" t="n">
        <v>3845000</v>
      </c>
      <c r="C42" s="3" t="n">
        <v>4115000</v>
      </c>
      <c r="D42" s="3" t="n">
        <v>4316000</v>
      </c>
      <c r="E42" s="3" t="n">
        <v>5845000</v>
      </c>
      <c r="F42" s="3" t="n">
        <v>5153000</v>
      </c>
      <c r="G42" s="3" t="n"/>
      <c r="H42" s="3" t="n"/>
    </row>
    <row r="43">
      <c r="A43" t="inlineStr">
        <is>
          <t>Operating Income</t>
        </is>
      </c>
      <c r="B43" s="3" t="n">
        <v>-103928000</v>
      </c>
      <c r="C43" s="3" t="n">
        <v>-107087000</v>
      </c>
      <c r="D43" s="3" t="n">
        <v>-246875000</v>
      </c>
      <c r="E43" s="3" t="n">
        <v>-153551000</v>
      </c>
      <c r="F43" s="3" t="n">
        <v>-172057000</v>
      </c>
      <c r="G43" s="3" t="n"/>
      <c r="H43" s="3" t="n"/>
    </row>
    <row r="44">
      <c r="A44" t="inlineStr">
        <is>
          <t>Operating Expense</t>
        </is>
      </c>
      <c r="B44" s="3" t="n">
        <v>82321000</v>
      </c>
      <c r="C44" s="3" t="n">
        <v>112538000</v>
      </c>
      <c r="D44" s="3" t="n">
        <v>126710000</v>
      </c>
      <c r="E44" s="3" t="n">
        <v>100086000</v>
      </c>
      <c r="F44" s="3" t="n">
        <v>98196000</v>
      </c>
      <c r="G44" s="3" t="n"/>
      <c r="H44" s="3" t="n"/>
    </row>
    <row r="45">
      <c r="A45" t="inlineStr">
        <is>
          <t>Research And Development</t>
        </is>
      </c>
      <c r="B45" s="3" t="n">
        <v>12113000</v>
      </c>
      <c r="C45" s="3" t="n">
        <v>12292000</v>
      </c>
      <c r="D45" s="3" t="n">
        <v>16118000</v>
      </c>
      <c r="E45" s="3" t="n">
        <v>12193000</v>
      </c>
      <c r="F45" s="3" t="n">
        <v>17357000</v>
      </c>
      <c r="G45" s="3" t="n"/>
      <c r="H45" s="3" t="n"/>
    </row>
    <row r="46">
      <c r="A46" t="inlineStr">
        <is>
          <t>Selling General And Administration</t>
        </is>
      </c>
      <c r="B46" s="3" t="n">
        <v>70208000</v>
      </c>
      <c r="C46" s="3" t="n">
        <v>100246000</v>
      </c>
      <c r="D46" s="3" t="n">
        <v>110592000</v>
      </c>
      <c r="E46" s="3" t="n">
        <v>87893000</v>
      </c>
      <c r="F46" s="3" t="n">
        <v>80839000</v>
      </c>
      <c r="G46" s="3" t="n"/>
      <c r="H46" s="3" t="n"/>
    </row>
    <row r="47">
      <c r="A47" t="inlineStr">
        <is>
          <t>Gross Profit</t>
        </is>
      </c>
      <c r="B47" s="3" t="n">
        <v>-21607000</v>
      </c>
      <c r="C47" s="3" t="n">
        <v>5451000</v>
      </c>
      <c r="D47" s="3" t="n">
        <v>-120165000</v>
      </c>
      <c r="E47" s="3" t="n">
        <v>-53465000</v>
      </c>
      <c r="F47" s="3" t="n">
        <v>-73861000</v>
      </c>
      <c r="G47" s="3" t="n"/>
      <c r="H47" s="3" t="n"/>
    </row>
    <row r="48">
      <c r="A48" t="inlineStr">
        <is>
          <t>Cost Of Revenue</t>
        </is>
      </c>
      <c r="B48" s="3" t="n">
        <v>185120000</v>
      </c>
      <c r="C48" s="3" t="n">
        <v>219769000</v>
      </c>
      <c r="D48" s="3" t="n">
        <v>297220000</v>
      </c>
      <c r="E48" s="3" t="n">
        <v>227435000</v>
      </c>
      <c r="F48" s="3" t="n">
        <v>207535000</v>
      </c>
      <c r="G48" s="3" t="n"/>
      <c r="H48" s="3" t="n"/>
    </row>
    <row r="49">
      <c r="A49" t="inlineStr">
        <is>
          <t>Total Revenue</t>
        </is>
      </c>
      <c r="B49" s="3" t="n">
        <v>163513000</v>
      </c>
      <c r="C49" s="3" t="n">
        <v>225220000</v>
      </c>
      <c r="D49" s="3" t="n">
        <v>177055000</v>
      </c>
      <c r="E49" s="3" t="n">
        <v>173970000</v>
      </c>
      <c r="F49" s="3" t="n">
        <v>133674000</v>
      </c>
      <c r="G49" s="3" t="n"/>
      <c r="H49" s="3" t="n"/>
    </row>
    <row r="50">
      <c r="A50" t="inlineStr">
        <is>
          <t>Operating Revenue</t>
        </is>
      </c>
      <c r="B50" s="3" t="n">
        <v>163077000</v>
      </c>
      <c r="C50" s="3" t="n">
        <v>222876000</v>
      </c>
      <c r="D50" s="3" t="n">
        <v>177031000</v>
      </c>
      <c r="E50" s="3" t="n">
        <v>173572000</v>
      </c>
      <c r="F50" s="3" t="n">
        <v>133047000</v>
      </c>
      <c r="G50" s="3" t="n"/>
      <c r="H50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2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Treasury Shares Number</t>
        </is>
      </c>
      <c r="B2" s="3" t="n">
        <v>970588</v>
      </c>
      <c r="C2" s="3" t="n">
        <v>20230043</v>
      </c>
      <c r="D2" s="3" t="n">
        <v>19169366</v>
      </c>
      <c r="E2" s="3" t="n">
        <v>18076127</v>
      </c>
      <c r="F2" s="3" t="n"/>
    </row>
    <row r="3">
      <c r="A3" t="inlineStr">
        <is>
          <t>Ordinary Shares Number</t>
        </is>
      </c>
      <c r="B3" s="3" t="n">
        <v>1393270950</v>
      </c>
      <c r="C3" s="3" t="n">
        <v>913896854</v>
      </c>
      <c r="D3" s="3" t="n">
        <v>606135659</v>
      </c>
      <c r="E3" s="3" t="n">
        <v>590345658</v>
      </c>
      <c r="F3" s="3" t="n"/>
    </row>
    <row r="4">
      <c r="A4" t="inlineStr">
        <is>
          <t>Share Issued</t>
        </is>
      </c>
      <c r="B4" s="3" t="n">
        <v>1394241538</v>
      </c>
      <c r="C4" s="3" t="n">
        <v>934126897</v>
      </c>
      <c r="D4" s="3" t="n">
        <v>625305025</v>
      </c>
      <c r="E4" s="3" t="n">
        <v>608421785</v>
      </c>
      <c r="F4" s="3" t="n"/>
    </row>
    <row r="5">
      <c r="A5" t="inlineStr">
        <is>
          <t>Net Debt</t>
        </is>
      </c>
      <c r="B5" s="3" t="n">
        <v>334955000</v>
      </c>
      <c r="C5" s="3" t="n">
        <v>523965000</v>
      </c>
      <c r="D5" s="3" t="n">
        <v>432550000</v>
      </c>
      <c r="E5" s="3" t="n"/>
      <c r="F5" s="3" t="n"/>
    </row>
    <row r="6">
      <c r="A6" t="inlineStr">
        <is>
          <t>Total Debt</t>
        </is>
      </c>
      <c r="B6" s="3" t="n">
        <v>997172000</v>
      </c>
      <c r="C6" s="3" t="n">
        <v>1078636000</v>
      </c>
      <c r="D6" s="3" t="n">
        <v>968850000</v>
      </c>
      <c r="E6" s="3" t="n">
        <v>898728000</v>
      </c>
      <c r="F6" s="3" t="n"/>
    </row>
    <row r="7">
      <c r="A7" t="inlineStr">
        <is>
          <t>Tangible Book Value</t>
        </is>
      </c>
      <c r="B7" s="3" t="n">
        <v>948841000</v>
      </c>
      <c r="C7" s="3" t="n">
        <v>1649477000</v>
      </c>
      <c r="D7" s="3" t="n">
        <v>2709239000</v>
      </c>
      <c r="E7" s="3" t="n">
        <v>3603882000</v>
      </c>
      <c r="F7" s="3" t="n"/>
    </row>
    <row r="8">
      <c r="A8" t="inlineStr">
        <is>
          <t>Invested Capital</t>
        </is>
      </c>
      <c r="B8" s="3" t="n">
        <v>1681564000</v>
      </c>
      <c r="C8" s="3" t="n">
        <v>2463795000</v>
      </c>
      <c r="D8" s="3" t="n">
        <v>3465708000</v>
      </c>
      <c r="E8" s="3" t="n">
        <v>4592440000</v>
      </c>
      <c r="F8" s="3" t="n"/>
    </row>
    <row r="9">
      <c r="A9" t="inlineStr">
        <is>
          <t>Working Capital</t>
        </is>
      </c>
      <c r="B9" s="3" t="n">
        <v>799680000</v>
      </c>
      <c r="C9" s="3" t="n">
        <v>728995000</v>
      </c>
      <c r="D9" s="3" t="n">
        <v>822165000</v>
      </c>
      <c r="E9" s="3" t="n">
        <v>2670023000</v>
      </c>
      <c r="F9" s="3" t="n"/>
    </row>
    <row r="10">
      <c r="A10" t="inlineStr">
        <is>
          <t>Net Tangible Assets</t>
        </is>
      </c>
      <c r="B10" s="3" t="n">
        <v>948841000</v>
      </c>
      <c r="C10" s="3" t="n">
        <v>1649477000</v>
      </c>
      <c r="D10" s="3" t="n">
        <v>2709239000</v>
      </c>
      <c r="E10" s="3" t="n">
        <v>3603882000</v>
      </c>
      <c r="F10" s="3" t="n"/>
    </row>
    <row r="11">
      <c r="A11" t="inlineStr">
        <is>
          <t>Capital Lease Obligations</t>
        </is>
      </c>
      <c r="B11" s="3" t="n">
        <v>293677000</v>
      </c>
      <c r="C11" s="3" t="n">
        <v>348978000</v>
      </c>
      <c r="D11" s="3" t="n">
        <v>401267000</v>
      </c>
      <c r="E11" s="3" t="n">
        <v>366502000</v>
      </c>
      <c r="F11" s="3" t="n"/>
    </row>
    <row r="12">
      <c r="A12" t="inlineStr">
        <is>
          <t>Common Stock Equity</t>
        </is>
      </c>
      <c r="B12" s="3" t="n">
        <v>978069000</v>
      </c>
      <c r="C12" s="3" t="n">
        <v>1734137000</v>
      </c>
      <c r="D12" s="3" t="n">
        <v>2898125000</v>
      </c>
      <c r="E12" s="3" t="n">
        <v>4060214000</v>
      </c>
      <c r="F12" s="3" t="n"/>
    </row>
    <row r="13">
      <c r="A13" t="inlineStr">
        <is>
          <t>Total Capitalization</t>
        </is>
      </c>
      <c r="B13" s="3" t="n">
        <v>1602195000</v>
      </c>
      <c r="C13" s="3" t="n">
        <v>2321447000</v>
      </c>
      <c r="D13" s="3" t="n">
        <v>3378961000</v>
      </c>
      <c r="E13" s="3" t="n">
        <v>4528373000</v>
      </c>
      <c r="F13" s="3" t="n"/>
    </row>
    <row r="14">
      <c r="A14" t="inlineStr">
        <is>
          <t>Total Equity Gross Minority Interest</t>
        </is>
      </c>
      <c r="B14" s="3" t="n">
        <v>1003314000</v>
      </c>
      <c r="C14" s="3" t="n">
        <v>1807756000</v>
      </c>
      <c r="D14" s="3" t="n">
        <v>2898125000</v>
      </c>
      <c r="E14" s="3" t="n">
        <v>4060214000</v>
      </c>
      <c r="F14" s="3" t="n"/>
    </row>
    <row r="15">
      <c r="A15" t="inlineStr">
        <is>
          <t>Minority Interest</t>
        </is>
      </c>
      <c r="B15" s="3" t="n">
        <v>25245000</v>
      </c>
      <c r="C15" s="3" t="n">
        <v>73619000</v>
      </c>
      <c r="D15" s="3" t="n">
        <v>0</v>
      </c>
      <c r="E15" s="3" t="n"/>
      <c r="F15" s="3" t="n"/>
    </row>
    <row r="16">
      <c r="A16" t="inlineStr">
        <is>
          <t>Stockholders Equity</t>
        </is>
      </c>
      <c r="B16" s="3" t="n">
        <v>978069000</v>
      </c>
      <c r="C16" s="3" t="n">
        <v>1734137000</v>
      </c>
      <c r="D16" s="3" t="n">
        <v>2898125000</v>
      </c>
      <c r="E16" s="3" t="n">
        <v>4060214000</v>
      </c>
      <c r="F16" s="3" t="n"/>
    </row>
    <row r="17">
      <c r="A17" t="inlineStr">
        <is>
          <t>Gains Losses Not Affecting Retained Earnings</t>
        </is>
      </c>
      <c r="B17" s="3" t="n">
        <v>6796000</v>
      </c>
      <c r="C17" s="3" t="n">
        <v>-2502000</v>
      </c>
      <c r="D17" s="3" t="n">
        <v>-6802000</v>
      </c>
      <c r="E17" s="3" t="n">
        <v>-26004000</v>
      </c>
      <c r="F17" s="3" t="n"/>
    </row>
    <row r="18">
      <c r="A18" t="inlineStr">
        <is>
          <t>Other Equity Adjustments</t>
        </is>
      </c>
      <c r="B18" s="3" t="n">
        <v>6796000</v>
      </c>
      <c r="C18" s="3" t="n">
        <v>-2502000</v>
      </c>
      <c r="D18" s="3" t="n">
        <v>-6802000</v>
      </c>
      <c r="E18" s="3" t="n">
        <v>-26004000</v>
      </c>
      <c r="F18" s="3" t="n"/>
    </row>
    <row r="19">
      <c r="A19" t="inlineStr">
        <is>
          <t>Treasury Stock</t>
        </is>
      </c>
      <c r="B19" s="3" t="n">
        <v>2945000</v>
      </c>
      <c r="C19" s="3" t="n">
        <v>108795000</v>
      </c>
      <c r="D19" s="3" t="n">
        <v>106268000</v>
      </c>
      <c r="E19" s="3" t="n">
        <v>96261000</v>
      </c>
      <c r="F19" s="3" t="n"/>
    </row>
    <row r="20">
      <c r="A20" t="inlineStr">
        <is>
          <t>Retained Earnings</t>
        </is>
      </c>
      <c r="B20" s="3" t="n">
        <v>-8226039000</v>
      </c>
      <c r="C20" s="3" t="n">
        <v>-6594445000</v>
      </c>
      <c r="D20" s="3" t="n">
        <v>-4489744000</v>
      </c>
      <c r="E20" s="3" t="n">
        <v>-3120911000</v>
      </c>
      <c r="F20" s="3" t="n"/>
    </row>
    <row r="21">
      <c r="A21" t="inlineStr">
        <is>
          <t>Additional Paid In Capital</t>
        </is>
      </c>
      <c r="B21" s="3" t="n">
        <v>9186314000</v>
      </c>
      <c r="C21" s="3" t="n">
        <v>8430537000</v>
      </c>
      <c r="D21" s="3" t="n">
        <v>7494685000</v>
      </c>
      <c r="E21" s="3" t="n">
        <v>7297306000</v>
      </c>
      <c r="F21" s="3" t="n"/>
    </row>
    <row r="22">
      <c r="A22" t="inlineStr">
        <is>
          <t>Capital Stock</t>
        </is>
      </c>
      <c r="B22" s="3" t="n">
        <v>13943000</v>
      </c>
      <c r="C22" s="3" t="n">
        <v>9342000</v>
      </c>
      <c r="D22" s="3" t="n">
        <v>6254000</v>
      </c>
      <c r="E22" s="3" t="n">
        <v>6084000</v>
      </c>
      <c r="F22" s="3" t="n"/>
    </row>
    <row r="23">
      <c r="A23" t="inlineStr">
        <is>
          <t>Common Stock</t>
        </is>
      </c>
      <c r="B23" s="3" t="n">
        <v>13943000</v>
      </c>
      <c r="C23" s="3" t="n">
        <v>9342000</v>
      </c>
      <c r="D23" s="3" t="n">
        <v>6254000</v>
      </c>
      <c r="E23" s="3" t="n">
        <v>6084000</v>
      </c>
      <c r="F23" s="3" t="n"/>
    </row>
    <row r="24">
      <c r="A24" t="inlineStr">
        <is>
          <t>Total Liabilities Net Minority Interest</t>
        </is>
      </c>
      <c r="B24" s="3" t="n">
        <v>1591254000</v>
      </c>
      <c r="C24" s="3" t="n">
        <v>1795090000</v>
      </c>
      <c r="D24" s="3" t="n">
        <v>2004613000</v>
      </c>
      <c r="E24" s="3" t="n">
        <v>1704062000</v>
      </c>
      <c r="F24" s="3" t="n"/>
    </row>
    <row r="25">
      <c r="A25" t="inlineStr">
        <is>
          <t>Total Non Current Liabilities Net Minority Interest</t>
        </is>
      </c>
      <c r="B25" s="3" t="n">
        <v>980666000</v>
      </c>
      <c r="C25" s="3" t="n">
        <v>1046601000</v>
      </c>
      <c r="D25" s="3" t="n">
        <v>1039813000</v>
      </c>
      <c r="E25" s="3" t="n">
        <v>1068787000</v>
      </c>
      <c r="F25" s="3" t="n"/>
    </row>
    <row r="26">
      <c r="A26" t="inlineStr">
        <is>
          <t>Other Non Current Liabilities</t>
        </is>
      </c>
      <c r="B26" s="3" t="n">
        <v>57678000</v>
      </c>
      <c r="C26" s="3" t="n">
        <v>135833000</v>
      </c>
      <c r="D26" s="3" t="n">
        <v>146679000</v>
      </c>
      <c r="E26" s="3" t="n">
        <v>193051000</v>
      </c>
      <c r="F26" s="3" t="n"/>
    </row>
    <row r="27">
      <c r="A27" t="inlineStr">
        <is>
          <t>Derivative Product Liabilities</t>
        </is>
      </c>
      <c r="B27" s="3" t="n">
        <v>52323000</v>
      </c>
      <c r="C27" s="3" t="n">
        <v>0</v>
      </c>
      <c r="D27" s="3" t="n"/>
      <c r="E27" s="3" t="n"/>
      <c r="F27" s="3" t="n"/>
    </row>
    <row r="28">
      <c r="A28" t="inlineStr">
        <is>
          <t>Non Current Accrued Expenses</t>
        </is>
      </c>
      <c r="B28" s="3" t="n"/>
      <c r="C28" s="3" t="n">
        <v>135833000</v>
      </c>
      <c r="D28" s="3" t="n">
        <v>146679000</v>
      </c>
      <c r="E28" s="3" t="n">
        <v>193051000</v>
      </c>
      <c r="F28" s="3" t="n">
        <v>139797000</v>
      </c>
    </row>
    <row r="29">
      <c r="A29" t="inlineStr">
        <is>
          <t>Non Current Deferred Liabilities</t>
        </is>
      </c>
      <c r="B29" s="3" t="n">
        <v>34203000</v>
      </c>
      <c r="C29" s="3" t="n">
        <v>58532000</v>
      </c>
      <c r="D29" s="3" t="n">
        <v>84163000</v>
      </c>
      <c r="E29" s="3" t="n">
        <v>98085000</v>
      </c>
      <c r="F29" s="3" t="n"/>
    </row>
    <row r="30">
      <c r="A30" t="inlineStr">
        <is>
          <t>Non Current Deferred Revenue</t>
        </is>
      </c>
      <c r="B30" s="3" t="n">
        <v>34203000</v>
      </c>
      <c r="C30" s="3" t="n">
        <v>58532000</v>
      </c>
      <c r="D30" s="3" t="n">
        <v>84163000</v>
      </c>
      <c r="E30" s="3" t="n">
        <v>98085000</v>
      </c>
      <c r="F30" s="3" t="n"/>
    </row>
    <row r="31">
      <c r="A31" t="inlineStr">
        <is>
          <t>Long Term Debt And Capital Lease Obligation</t>
        </is>
      </c>
      <c r="B31" s="3" t="n">
        <v>836462000</v>
      </c>
      <c r="C31" s="3" t="n">
        <v>852236000</v>
      </c>
      <c r="D31" s="3" t="n">
        <v>808971000</v>
      </c>
      <c r="E31" s="3" t="n">
        <v>777651000</v>
      </c>
      <c r="F31" s="3" t="n"/>
    </row>
    <row r="32">
      <c r="A32" t="inlineStr">
        <is>
          <t>Long Term Capital Lease Obligation</t>
        </is>
      </c>
      <c r="B32" s="3" t="n">
        <v>212336000</v>
      </c>
      <c r="C32" s="3" t="n">
        <v>264926000</v>
      </c>
      <c r="D32" s="3" t="n">
        <v>328135000</v>
      </c>
      <c r="E32" s="3" t="n">
        <v>309492000</v>
      </c>
      <c r="F32" s="3" t="n"/>
    </row>
    <row r="33">
      <c r="A33" t="inlineStr">
        <is>
          <t>Long Term Debt</t>
        </is>
      </c>
      <c r="B33" s="3" t="n">
        <v>624126000</v>
      </c>
      <c r="C33" s="3" t="n">
        <v>587310000</v>
      </c>
      <c r="D33" s="3" t="n">
        <v>480836000</v>
      </c>
      <c r="E33" s="3" t="n">
        <v>468159000</v>
      </c>
      <c r="F33" s="3" t="n"/>
    </row>
    <row r="34">
      <c r="A34" t="inlineStr">
        <is>
          <t>Current Liabilities</t>
        </is>
      </c>
      <c r="B34" s="3" t="n">
        <v>610588000</v>
      </c>
      <c r="C34" s="3" t="n">
        <v>748489000</v>
      </c>
      <c r="D34" s="3" t="n">
        <v>964800000</v>
      </c>
      <c r="E34" s="3" t="n">
        <v>635275000</v>
      </c>
      <c r="F34" s="3" t="n"/>
    </row>
    <row r="35">
      <c r="A35" t="inlineStr">
        <is>
          <t>Other Current Liabilities</t>
        </is>
      </c>
      <c r="B35" s="3" t="n">
        <v>86382000</v>
      </c>
      <c r="C35" s="3" t="n">
        <v>93885000</v>
      </c>
      <c r="D35" s="3" t="n">
        <v>142410000</v>
      </c>
      <c r="E35" s="3" t="n">
        <v>34060000</v>
      </c>
      <c r="F35" s="3" t="n"/>
    </row>
    <row r="36">
      <c r="A36" t="inlineStr">
        <is>
          <t>Current Deferred Liabilities</t>
        </is>
      </c>
      <c r="B36" s="3" t="n">
        <v>66742000</v>
      </c>
      <c r="C36" s="3" t="n">
        <v>144093000</v>
      </c>
      <c r="D36" s="3" t="n">
        <v>204139000</v>
      </c>
      <c r="E36" s="3" t="n">
        <v>131813000</v>
      </c>
      <c r="F36" s="3" t="n"/>
    </row>
    <row r="37">
      <c r="A37" t="inlineStr">
        <is>
          <t>Current Deferred Revenue</t>
        </is>
      </c>
      <c r="B37" s="3" t="n">
        <v>66742000</v>
      </c>
      <c r="C37" s="3" t="n">
        <v>144093000</v>
      </c>
      <c r="D37" s="3" t="n">
        <v>204139000</v>
      </c>
      <c r="E37" s="3" t="n">
        <v>131813000</v>
      </c>
      <c r="F37" s="3" t="n"/>
    </row>
    <row r="38">
      <c r="A38" t="inlineStr">
        <is>
          <t>Current Debt And Capital Lease Obligation</t>
        </is>
      </c>
      <c r="B38" s="3" t="n">
        <v>160710000</v>
      </c>
      <c r="C38" s="3" t="n">
        <v>226400000</v>
      </c>
      <c r="D38" s="3" t="n">
        <v>159879000</v>
      </c>
      <c r="E38" s="3" t="n">
        <v>121077000</v>
      </c>
      <c r="F38" s="3" t="n"/>
    </row>
    <row r="39">
      <c r="A39" t="inlineStr">
        <is>
          <t>Current Capital Lease Obligation</t>
        </is>
      </c>
      <c r="B39" s="3" t="n">
        <v>81341000</v>
      </c>
      <c r="C39" s="3" t="n">
        <v>84052000</v>
      </c>
      <c r="D39" s="3" t="n">
        <v>73132000</v>
      </c>
      <c r="E39" s="3" t="n">
        <v>57010000</v>
      </c>
      <c r="F39" s="3" t="n"/>
    </row>
    <row r="40">
      <c r="A40" t="inlineStr">
        <is>
          <t>Current Debt</t>
        </is>
      </c>
      <c r="B40" s="3" t="n">
        <v>79369000</v>
      </c>
      <c r="C40" s="3" t="n">
        <v>142348000</v>
      </c>
      <c r="D40" s="3" t="n">
        <v>86747000</v>
      </c>
      <c r="E40" s="3" t="n">
        <v>64067000</v>
      </c>
      <c r="F40" s="3" t="n"/>
    </row>
    <row r="41">
      <c r="A41" t="inlineStr">
        <is>
          <t>Other Current Borrowings</t>
        </is>
      </c>
      <c r="B41" s="3" t="n">
        <v>79369000</v>
      </c>
      <c r="C41" s="3" t="n">
        <v>142348000</v>
      </c>
      <c r="D41" s="3" t="n">
        <v>86747000</v>
      </c>
      <c r="E41" s="3" t="n">
        <v>64067000</v>
      </c>
      <c r="F41" s="3" t="n"/>
    </row>
    <row r="42">
      <c r="A42" t="inlineStr">
        <is>
          <t>Payables And Accrued Expenses</t>
        </is>
      </c>
      <c r="B42" s="3" t="n">
        <v>296754000</v>
      </c>
      <c r="C42" s="3" t="n">
        <v>284111000</v>
      </c>
      <c r="D42" s="3" t="n">
        <v>458372000</v>
      </c>
      <c r="E42" s="3" t="n">
        <v>348325000</v>
      </c>
      <c r="F42" s="3" t="n"/>
    </row>
    <row r="43">
      <c r="A43" t="inlineStr">
        <is>
          <t>Current Accrued Expenses</t>
        </is>
      </c>
      <c r="B43" s="3" t="n">
        <v>64013000</v>
      </c>
      <c r="C43" s="3" t="n">
        <v>39155000</v>
      </c>
      <c r="D43" s="3" t="n">
        <v>118570000</v>
      </c>
      <c r="E43" s="3" t="n">
        <v>87419000</v>
      </c>
      <c r="F43" s="3" t="n"/>
    </row>
    <row r="44">
      <c r="A44" t="inlineStr">
        <is>
          <t>Interest Payable</t>
        </is>
      </c>
      <c r="B44" s="3" t="n">
        <v>3125000</v>
      </c>
      <c r="C44" s="3" t="n">
        <v>2540000</v>
      </c>
      <c r="D44" s="3" t="n">
        <v>562000</v>
      </c>
      <c r="E44" s="3" t="n">
        <v>421000</v>
      </c>
      <c r="F44" s="3" t="n"/>
    </row>
    <row r="45">
      <c r="A45" t="inlineStr">
        <is>
          <t>Payables</t>
        </is>
      </c>
      <c r="B45" s="3" t="n">
        <v>232741000</v>
      </c>
      <c r="C45" s="3" t="n">
        <v>244956000</v>
      </c>
      <c r="D45" s="3" t="n">
        <v>339802000</v>
      </c>
      <c r="E45" s="3" t="n">
        <v>260906000</v>
      </c>
      <c r="F45" s="3" t="n"/>
    </row>
    <row r="46">
      <c r="A46" t="inlineStr">
        <is>
          <t>Total Tax Payable</t>
        </is>
      </c>
      <c r="B46" s="3" t="n">
        <v>24677000</v>
      </c>
      <c r="C46" s="3" t="n">
        <v>24182000</v>
      </c>
      <c r="D46" s="3" t="n">
        <v>17207000</v>
      </c>
      <c r="E46" s="3" t="n">
        <v>15112000</v>
      </c>
      <c r="F46" s="3" t="n"/>
    </row>
    <row r="47">
      <c r="A47" t="inlineStr">
        <is>
          <t>Accounts Payable</t>
        </is>
      </c>
      <c r="B47" s="3" t="n">
        <v>208064000</v>
      </c>
      <c r="C47" s="3" t="n">
        <v>220774000</v>
      </c>
      <c r="D47" s="3" t="n">
        <v>322595000</v>
      </c>
      <c r="E47" s="3" t="n">
        <v>245794000</v>
      </c>
      <c r="F47" s="3" t="n"/>
    </row>
    <row r="48">
      <c r="A48" t="inlineStr">
        <is>
          <t>Total Assets</t>
        </is>
      </c>
      <c r="B48" s="3" t="n">
        <v>2594568000</v>
      </c>
      <c r="C48" s="3" t="n">
        <v>3602846000</v>
      </c>
      <c r="D48" s="3" t="n">
        <v>4902738000</v>
      </c>
      <c r="E48" s="3" t="n">
        <v>5764276000</v>
      </c>
      <c r="F48" s="3" t="n"/>
    </row>
    <row r="49">
      <c r="A49" t="inlineStr">
        <is>
          <t>Total Non Current Assets</t>
        </is>
      </c>
      <c r="B49" s="3" t="n">
        <v>1184300000</v>
      </c>
      <c r="C49" s="3" t="n">
        <v>2125362000</v>
      </c>
      <c r="D49" s="3" t="n">
        <v>3115773000</v>
      </c>
      <c r="E49" s="3" t="n">
        <v>2458978000</v>
      </c>
      <c r="F49" s="3" t="n"/>
    </row>
    <row r="50">
      <c r="A50" t="inlineStr">
        <is>
          <t>Other Non Current Assets</t>
        </is>
      </c>
      <c r="B50" s="3" t="n">
        <v>453041000</v>
      </c>
      <c r="C50" s="3" t="n">
        <v>650941000</v>
      </c>
      <c r="D50" s="3" t="n">
        <v>828675000</v>
      </c>
      <c r="E50" s="3" t="n">
        <v>706450000</v>
      </c>
      <c r="F50" s="3" t="n"/>
    </row>
    <row r="51">
      <c r="A51" t="inlineStr">
        <is>
          <t>Non Current Accounts Receivable</t>
        </is>
      </c>
      <c r="B51" s="3" t="n">
        <v>24137000</v>
      </c>
      <c r="C51" s="3" t="n">
        <v>23963000</v>
      </c>
      <c r="D51" s="3" t="n">
        <v>29741000</v>
      </c>
      <c r="E51" s="3" t="n">
        <v>41831000</v>
      </c>
      <c r="F51" s="3" t="n"/>
    </row>
    <row r="52">
      <c r="A52" t="inlineStr">
        <is>
          <t>Investments And Advances</t>
        </is>
      </c>
      <c r="B52" s="3" t="n">
        <v>46909000</v>
      </c>
      <c r="C52" s="3" t="n">
        <v>85494000</v>
      </c>
      <c r="D52" s="3" t="n">
        <v>63783000</v>
      </c>
      <c r="E52" s="3" t="n">
        <v>31250000</v>
      </c>
      <c r="F52" s="3" t="n"/>
    </row>
    <row r="53">
      <c r="A53" t="inlineStr">
        <is>
          <t>Long Term Equity Investment</t>
        </is>
      </c>
      <c r="B53" s="3" t="n">
        <v>46909000</v>
      </c>
      <c r="C53" s="3" t="n">
        <v>85494000</v>
      </c>
      <c r="D53" s="3" t="n">
        <v>63783000</v>
      </c>
      <c r="E53" s="3" t="n">
        <v>31250000</v>
      </c>
      <c r="F53" s="3" t="n"/>
    </row>
    <row r="54">
      <c r="A54" t="inlineStr">
        <is>
          <t>Goodwill And Other Intangible Assets</t>
        </is>
      </c>
      <c r="B54" s="3" t="n">
        <v>29228000</v>
      </c>
      <c r="C54" s="3" t="n">
        <v>84660000</v>
      </c>
      <c r="D54" s="3" t="n">
        <v>188886000</v>
      </c>
      <c r="E54" s="3" t="n">
        <v>456332000</v>
      </c>
      <c r="F54" s="3" t="n"/>
    </row>
    <row r="55">
      <c r="A55" t="inlineStr">
        <is>
          <t>Other Intangible Assets</t>
        </is>
      </c>
      <c r="B55" s="3" t="n">
        <v>29228000</v>
      </c>
      <c r="C55" s="3" t="n">
        <v>84660000</v>
      </c>
      <c r="D55" s="3" t="n">
        <v>188886000</v>
      </c>
      <c r="E55" s="3" t="n">
        <v>207725000</v>
      </c>
      <c r="F55" s="3" t="n"/>
    </row>
    <row r="56">
      <c r="A56" t="inlineStr">
        <is>
          <t>Goodwill</t>
        </is>
      </c>
      <c r="B56" s="3" t="n"/>
      <c r="C56" s="3" t="n"/>
      <c r="D56" s="3" t="n">
        <v>0</v>
      </c>
      <c r="E56" s="3" t="n">
        <v>248607000</v>
      </c>
      <c r="F56" s="3" t="n">
        <v>220436000</v>
      </c>
    </row>
    <row r="57">
      <c r="A57" t="inlineStr">
        <is>
          <t>Net PPE</t>
        </is>
      </c>
      <c r="B57" s="3" t="n">
        <v>630985000</v>
      </c>
      <c r="C57" s="3" t="n">
        <v>1280304000</v>
      </c>
      <c r="D57" s="3" t="n">
        <v>2004688000</v>
      </c>
      <c r="E57" s="3" t="n">
        <v>1223115000</v>
      </c>
      <c r="F57" s="3" t="n"/>
    </row>
    <row r="58">
      <c r="A58" t="inlineStr">
        <is>
          <t>Accumulated Depreciation</t>
        </is>
      </c>
      <c r="B58" s="3" t="n">
        <v>-57182000</v>
      </c>
      <c r="C58" s="3" t="n">
        <v>-77322000</v>
      </c>
      <c r="D58" s="3" t="n">
        <v>-109846000</v>
      </c>
      <c r="E58" s="3" t="n">
        <v>-68506000</v>
      </c>
      <c r="F58" s="3" t="n"/>
    </row>
    <row r="59">
      <c r="A59" t="inlineStr">
        <is>
          <t>Gross PPE</t>
        </is>
      </c>
      <c r="B59" s="3" t="n">
        <v>688167000</v>
      </c>
      <c r="C59" s="3" t="n">
        <v>1357626000</v>
      </c>
      <c r="D59" s="3" t="n">
        <v>2114534000</v>
      </c>
      <c r="E59" s="3" t="n">
        <v>1291621000</v>
      </c>
      <c r="F59" s="3" t="n"/>
    </row>
    <row r="60">
      <c r="A60" t="inlineStr">
        <is>
          <t>Leases</t>
        </is>
      </c>
      <c r="B60" s="3" t="n">
        <v>8722000</v>
      </c>
      <c r="C60" s="3" t="n">
        <v>15633000</v>
      </c>
      <c r="D60" s="3" t="n">
        <v>95229000</v>
      </c>
      <c r="E60" s="3" t="n">
        <v>21363000</v>
      </c>
      <c r="F60" s="3" t="n"/>
    </row>
    <row r="61">
      <c r="A61" t="inlineStr">
        <is>
          <t>Construction In Progress</t>
        </is>
      </c>
      <c r="B61" s="3" t="n">
        <v>124727000</v>
      </c>
      <c r="C61" s="3" t="n">
        <v>502936000</v>
      </c>
      <c r="D61" s="3" t="n">
        <v>1109896000</v>
      </c>
      <c r="E61" s="3" t="n">
        <v>575141000</v>
      </c>
      <c r="F61" s="3" t="n"/>
    </row>
    <row r="62">
      <c r="A62" t="inlineStr">
        <is>
          <t>Other Properties</t>
        </is>
      </c>
      <c r="B62" s="3" t="n">
        <v>548568000</v>
      </c>
      <c r="C62" s="3" t="n">
        <v>833460000</v>
      </c>
      <c r="D62" s="3" t="n">
        <v>596901000</v>
      </c>
      <c r="E62" s="3" t="n">
        <v>523712000</v>
      </c>
      <c r="F62" s="3" t="n"/>
    </row>
    <row r="63">
      <c r="A63" t="inlineStr">
        <is>
          <t>Machinery Furniture Equipment</t>
        </is>
      </c>
      <c r="B63" s="3" t="n"/>
      <c r="C63" s="3" t="n">
        <v>383955000</v>
      </c>
      <c r="D63" s="3" t="n">
        <v>306459000</v>
      </c>
      <c r="E63" s="3" t="n">
        <v>169633000</v>
      </c>
      <c r="F63" s="3" t="n">
        <v>112068000</v>
      </c>
    </row>
    <row r="64">
      <c r="A64" t="inlineStr">
        <is>
          <t>Buildings And Improvements</t>
        </is>
      </c>
      <c r="B64" s="3" t="n"/>
      <c r="C64" s="3" t="n"/>
      <c r="D64" s="3" t="n">
        <v>95229000</v>
      </c>
      <c r="E64" s="3" t="n">
        <v>21363000</v>
      </c>
      <c r="F64" s="3" t="n"/>
    </row>
    <row r="65">
      <c r="A65" t="inlineStr">
        <is>
          <t>Land And Improvements</t>
        </is>
      </c>
      <c r="B65" s="3" t="n">
        <v>6150000</v>
      </c>
      <c r="C65" s="3" t="n">
        <v>5597000</v>
      </c>
      <c r="D65" s="3" t="n">
        <v>6049000</v>
      </c>
      <c r="E65" s="3" t="n">
        <v>1772000</v>
      </c>
      <c r="F65" s="3" t="n"/>
    </row>
    <row r="66">
      <c r="A66" t="inlineStr">
        <is>
          <t>Properties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/>
    </row>
    <row r="67">
      <c r="A67" t="inlineStr">
        <is>
          <t>Current Assets</t>
        </is>
      </c>
      <c r="B67" s="3" t="n">
        <v>1410268000</v>
      </c>
      <c r="C67" s="3" t="n">
        <v>1477484000</v>
      </c>
      <c r="D67" s="3" t="n">
        <v>1786965000</v>
      </c>
      <c r="E67" s="3" t="n">
        <v>3305298000</v>
      </c>
      <c r="F67" s="3" t="n"/>
    </row>
    <row r="68">
      <c r="A68" t="inlineStr">
        <is>
          <t>Other Current Assets</t>
        </is>
      </c>
      <c r="B68" s="3" t="n">
        <v>93988000</v>
      </c>
      <c r="C68" s="3" t="n">
        <v>139845000</v>
      </c>
      <c r="D68" s="3" t="n">
        <v>104068000</v>
      </c>
      <c r="E68" s="3" t="n">
        <v>150389000</v>
      </c>
      <c r="F68" s="3" t="n"/>
    </row>
    <row r="69">
      <c r="A69" t="inlineStr">
        <is>
          <t>Restricted Cash</t>
        </is>
      </c>
      <c r="B69" s="3" t="n">
        <v>186746000</v>
      </c>
      <c r="C69" s="3" t="n">
        <v>198008000</v>
      </c>
      <c r="D69" s="3" t="n">
        <v>216552000</v>
      </c>
      <c r="E69" s="3" t="n">
        <v>158958000</v>
      </c>
      <c r="F69" s="3" t="n"/>
    </row>
    <row r="70">
      <c r="A70" t="inlineStr">
        <is>
          <t>Prepaid Assets</t>
        </is>
      </c>
      <c r="B70" s="3" t="n"/>
      <c r="C70" s="3" t="n"/>
      <c r="D70" s="3" t="n"/>
      <c r="E70" s="3" t="n"/>
      <c r="F70" s="3" t="n">
        <v>59888000</v>
      </c>
    </row>
    <row r="71">
      <c r="A71" t="inlineStr">
        <is>
          <t>Inventory</t>
        </is>
      </c>
      <c r="B71" s="3" t="n">
        <v>520968000</v>
      </c>
      <c r="C71" s="3" t="n">
        <v>682642000</v>
      </c>
      <c r="D71" s="3" t="n">
        <v>961253000</v>
      </c>
      <c r="E71" s="3" t="n">
        <v>645636000</v>
      </c>
      <c r="F71" s="3" t="n"/>
    </row>
    <row r="72">
      <c r="A72" t="inlineStr">
        <is>
          <t>Finished Goods</t>
        </is>
      </c>
      <c r="B72" s="3" t="n">
        <v>85808000</v>
      </c>
      <c r="C72" s="3" t="n">
        <v>138380000</v>
      </c>
      <c r="D72" s="3" t="n">
        <v>226110000</v>
      </c>
      <c r="E72" s="3" t="n">
        <v>64113000</v>
      </c>
      <c r="F72" s="3" t="n"/>
    </row>
    <row r="73">
      <c r="A73" t="inlineStr">
        <is>
          <t>Work In Process</t>
        </is>
      </c>
      <c r="B73" s="3" t="n">
        <v>84250000</v>
      </c>
      <c r="C73" s="3" t="n">
        <v>129824000</v>
      </c>
      <c r="D73" s="3" t="n">
        <v>149574000</v>
      </c>
      <c r="E73" s="3" t="n">
        <v>112231000</v>
      </c>
      <c r="F73" s="3" t="n"/>
    </row>
    <row r="74">
      <c r="A74" t="inlineStr">
        <is>
          <t>Raw Materials</t>
        </is>
      </c>
      <c r="B74" s="3" t="n">
        <v>350910000</v>
      </c>
      <c r="C74" s="3" t="n">
        <v>414438000</v>
      </c>
      <c r="D74" s="3" t="n">
        <v>585569000</v>
      </c>
      <c r="E74" s="3" t="n">
        <v>469292000</v>
      </c>
      <c r="F74" s="3" t="n"/>
    </row>
    <row r="75">
      <c r="A75" t="inlineStr">
        <is>
          <t>Receivables</t>
        </is>
      </c>
      <c r="B75" s="3" t="n">
        <v>240026000</v>
      </c>
      <c r="C75" s="3" t="n">
        <v>251296000</v>
      </c>
      <c r="D75" s="3" t="n">
        <v>370059000</v>
      </c>
      <c r="E75" s="3" t="n">
        <v>191906000</v>
      </c>
      <c r="F75" s="3" t="n"/>
    </row>
    <row r="76">
      <c r="A76" t="inlineStr">
        <is>
          <t>Other Receivables</t>
        </is>
      </c>
      <c r="B76" s="3" t="n">
        <v>105268000</v>
      </c>
      <c r="C76" s="3" t="n">
        <v>94052000</v>
      </c>
      <c r="D76" s="3" t="n">
        <v>126248000</v>
      </c>
      <c r="E76" s="3" t="n">
        <v>62456000</v>
      </c>
      <c r="F76" s="3" t="n"/>
    </row>
    <row r="77">
      <c r="A77" t="inlineStr">
        <is>
          <t>Accounts Receivable</t>
        </is>
      </c>
      <c r="B77" s="3" t="n">
        <v>134758000</v>
      </c>
      <c r="C77" s="3" t="n">
        <v>157244000</v>
      </c>
      <c r="D77" s="3" t="n">
        <v>243811000</v>
      </c>
      <c r="E77" s="3" t="n">
        <v>129450000</v>
      </c>
      <c r="F77" s="3" t="n"/>
    </row>
    <row r="78">
      <c r="A78" t="inlineStr">
        <is>
          <t>Allowance For Doubtful Accounts Receivable</t>
        </is>
      </c>
      <c r="B78" s="3" t="n">
        <v>-46805000</v>
      </c>
      <c r="C78" s="3" t="n">
        <v>-37712000</v>
      </c>
      <c r="D78" s="3" t="n">
        <v>-8798000</v>
      </c>
      <c r="E78" s="3" t="n">
        <v>-43000</v>
      </c>
      <c r="F78" s="3" t="n"/>
    </row>
    <row r="79">
      <c r="A79" t="inlineStr">
        <is>
          <t>Gross Accounts Receivable</t>
        </is>
      </c>
      <c r="B79" s="3" t="n">
        <v>181563000</v>
      </c>
      <c r="C79" s="3" t="n">
        <v>194956000</v>
      </c>
      <c r="D79" s="3" t="n">
        <v>252609000</v>
      </c>
      <c r="E79" s="3" t="n">
        <v>129493000</v>
      </c>
      <c r="F79" s="3" t="n"/>
    </row>
    <row r="80">
      <c r="A80" t="inlineStr">
        <is>
          <t>Cash Cash Equivalents And Short Term Investments</t>
        </is>
      </c>
      <c r="B80" s="3" t="n">
        <v>368540000</v>
      </c>
      <c r="C80" s="3" t="n">
        <v>205693000</v>
      </c>
      <c r="D80" s="3" t="n">
        <v>135033000</v>
      </c>
      <c r="E80" s="3" t="n">
        <v>2158409000</v>
      </c>
      <c r="F80" s="3" t="n"/>
    </row>
    <row r="81">
      <c r="A81" t="inlineStr">
        <is>
          <t>Other Short Term Investments</t>
        </is>
      </c>
      <c r="B81" s="3" t="n"/>
      <c r="C81" s="3" t="n"/>
      <c r="D81" s="3" t="n">
        <v>0</v>
      </c>
      <c r="E81" s="3" t="n">
        <v>1467779000</v>
      </c>
      <c r="F81" s="3" t="n">
        <v>1388260000</v>
      </c>
    </row>
    <row r="82">
      <c r="A82" t="inlineStr">
        <is>
          <t>Cash And Cash Equivalents</t>
        </is>
      </c>
      <c r="B82" s="3" t="n">
        <v>368540000</v>
      </c>
      <c r="C82" s="3" t="n">
        <v>205693000</v>
      </c>
      <c r="D82" s="3" t="n">
        <v>135033000</v>
      </c>
      <c r="E82" s="3" t="n">
        <v>690630000</v>
      </c>
      <c r="F82" s="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Treasury Shares Number</t>
        </is>
      </c>
      <c r="B2" s="3" t="n">
        <v>987495</v>
      </c>
      <c r="C2" s="3" t="n">
        <v>970588</v>
      </c>
      <c r="D2" s="3" t="n">
        <v>18816602</v>
      </c>
      <c r="E2" s="3" t="n">
        <v>18494066</v>
      </c>
      <c r="F2" s="3" t="n">
        <v>20257070</v>
      </c>
      <c r="G2" s="3" t="n"/>
      <c r="H2" s="3" t="n"/>
    </row>
    <row r="3">
      <c r="A3" t="inlineStr">
        <is>
          <t>Ordinary Shares Number</t>
        </is>
      </c>
      <c r="B3" s="3" t="n">
        <v>1394655895</v>
      </c>
      <c r="C3" s="3" t="n">
        <v>1393270950</v>
      </c>
      <c r="D3" s="3" t="n">
        <v>1200511992</v>
      </c>
      <c r="E3" s="3" t="n">
        <v>1147219982</v>
      </c>
      <c r="F3" s="3" t="n">
        <v>977353668</v>
      </c>
      <c r="G3" s="3" t="n"/>
      <c r="H3" s="3" t="n"/>
    </row>
    <row r="4">
      <c r="A4" t="inlineStr">
        <is>
          <t>Share Issued</t>
        </is>
      </c>
      <c r="B4" s="3" t="n">
        <v>1395643390</v>
      </c>
      <c r="C4" s="3" t="n">
        <v>1394241538</v>
      </c>
      <c r="D4" s="3" t="n">
        <v>1219328594</v>
      </c>
      <c r="E4" s="3" t="n">
        <v>1165714048</v>
      </c>
      <c r="F4" s="3" t="n">
        <v>997610738</v>
      </c>
      <c r="G4" s="3" t="n"/>
      <c r="H4" s="3" t="n"/>
    </row>
    <row r="5">
      <c r="A5" t="inlineStr">
        <is>
          <t>Net Debt</t>
        </is>
      </c>
      <c r="B5" s="3" t="n">
        <v>523678000</v>
      </c>
      <c r="C5" s="3" t="n">
        <v>334955000</v>
      </c>
      <c r="D5" s="3" t="n">
        <v>511204000</v>
      </c>
      <c r="E5" s="3" t="n">
        <v>514820000</v>
      </c>
      <c r="F5" s="3" t="n">
        <v>351203000</v>
      </c>
      <c r="G5" s="3" t="n"/>
      <c r="H5" s="3" t="n"/>
    </row>
    <row r="6">
      <c r="A6" t="inlineStr">
        <is>
          <t>Total Debt</t>
        </is>
      </c>
      <c r="B6" s="3" t="n">
        <v>1010173000</v>
      </c>
      <c r="C6" s="3" t="n">
        <v>997172000</v>
      </c>
      <c r="D6" s="3" t="n">
        <v>991427000</v>
      </c>
      <c r="E6" s="3" t="n">
        <v>991971000</v>
      </c>
      <c r="F6" s="3" t="n">
        <v>986725000</v>
      </c>
      <c r="G6" s="3" t="n"/>
      <c r="H6" s="3" t="n"/>
    </row>
    <row r="7">
      <c r="A7" t="inlineStr">
        <is>
          <t>Tangible Book Value</t>
        </is>
      </c>
      <c r="B7" s="3" t="n">
        <v>721579000</v>
      </c>
      <c r="C7" s="3" t="n">
        <v>948841000</v>
      </c>
      <c r="D7" s="3" t="n">
        <v>1338681000</v>
      </c>
      <c r="E7" s="3" t="n">
        <v>1600023000</v>
      </c>
      <c r="F7" s="3" t="n">
        <v>1774423000</v>
      </c>
      <c r="G7" s="3" t="n"/>
      <c r="H7" s="3" t="n"/>
    </row>
    <row r="8">
      <c r="A8" t="inlineStr">
        <is>
          <t>Invested Capital</t>
        </is>
      </c>
      <c r="B8" s="3" t="n">
        <v>1496677000</v>
      </c>
      <c r="C8" s="3" t="n">
        <v>1681564000</v>
      </c>
      <c r="D8" s="3" t="n">
        <v>2093728000</v>
      </c>
      <c r="E8" s="3" t="n">
        <v>2336622000</v>
      </c>
      <c r="F8" s="3" t="n">
        <v>2504247000</v>
      </c>
      <c r="G8" s="3" t="n"/>
      <c r="H8" s="3" t="n"/>
    </row>
    <row r="9">
      <c r="A9" t="inlineStr">
        <is>
          <t>Working Capital</t>
        </is>
      </c>
      <c r="B9" s="3" t="n">
        <v>734079000</v>
      </c>
      <c r="C9" s="3" t="n">
        <v>799680000</v>
      </c>
      <c r="D9" s="3" t="n">
        <v>288372000</v>
      </c>
      <c r="E9" s="3" t="n">
        <v>494231000</v>
      </c>
      <c r="F9" s="3" t="n">
        <v>745529000</v>
      </c>
      <c r="G9" s="3" t="n"/>
      <c r="H9" s="3" t="n"/>
    </row>
    <row r="10">
      <c r="A10" t="inlineStr">
        <is>
          <t>Net Tangible Assets</t>
        </is>
      </c>
      <c r="B10" s="3" t="n">
        <v>721579000</v>
      </c>
      <c r="C10" s="3" t="n">
        <v>948841000</v>
      </c>
      <c r="D10" s="3" t="n">
        <v>1338681000</v>
      </c>
      <c r="E10" s="3" t="n">
        <v>1600023000</v>
      </c>
      <c r="F10" s="3" t="n">
        <v>1774423000</v>
      </c>
      <c r="G10" s="3" t="n"/>
      <c r="H10" s="3" t="n"/>
    </row>
    <row r="11">
      <c r="A11" t="inlineStr">
        <is>
          <t>Capital Lease Obligations</t>
        </is>
      </c>
      <c r="B11" s="3" t="n">
        <v>263306000</v>
      </c>
      <c r="C11" s="3" t="n">
        <v>293677000</v>
      </c>
      <c r="D11" s="3" t="n">
        <v>314328000</v>
      </c>
      <c r="E11" s="3" t="n">
        <v>336415000</v>
      </c>
      <c r="F11" s="3" t="n">
        <v>339678000</v>
      </c>
      <c r="G11" s="3" t="n"/>
      <c r="H11" s="3" t="n"/>
    </row>
    <row r="12">
      <c r="A12" t="inlineStr">
        <is>
          <t>Common Stock Equity</t>
        </is>
      </c>
      <c r="B12" s="3" t="n">
        <v>749810000</v>
      </c>
      <c r="C12" s="3" t="n">
        <v>978069000</v>
      </c>
      <c r="D12" s="3" t="n">
        <v>1416629000</v>
      </c>
      <c r="E12" s="3" t="n">
        <v>1681066000</v>
      </c>
      <c r="F12" s="3" t="n">
        <v>1857200000</v>
      </c>
      <c r="G12" s="3" t="n"/>
      <c r="H12" s="3" t="n"/>
    </row>
    <row r="13">
      <c r="A13" t="inlineStr">
        <is>
          <t>Total Capitalization</t>
        </is>
      </c>
      <c r="B13" s="3" t="n">
        <v>1427369000</v>
      </c>
      <c r="C13" s="3" t="n">
        <v>1602195000</v>
      </c>
      <c r="D13" s="3" t="n">
        <v>1749181000</v>
      </c>
      <c r="E13" s="3" t="n">
        <v>2045000000</v>
      </c>
      <c r="F13" s="3" t="n">
        <v>2361907000</v>
      </c>
      <c r="G13" s="3" t="n"/>
      <c r="H13" s="3" t="n"/>
    </row>
    <row r="14">
      <c r="A14" t="inlineStr">
        <is>
          <t>Total Equity Gross Minority Interest</t>
        </is>
      </c>
      <c r="B14" s="3" t="n">
        <v>773889000</v>
      </c>
      <c r="C14" s="3" t="n">
        <v>1003314000</v>
      </c>
      <c r="D14" s="3" t="n">
        <v>1498621000</v>
      </c>
      <c r="E14" s="3" t="n">
        <v>1763960000</v>
      </c>
      <c r="F14" s="3" t="n">
        <v>1932587000</v>
      </c>
      <c r="G14" s="3" t="n"/>
      <c r="H14" s="3" t="n"/>
    </row>
    <row r="15">
      <c r="A15" t="inlineStr">
        <is>
          <t>Minority Interest</t>
        </is>
      </c>
      <c r="B15" s="3" t="n">
        <v>24079000</v>
      </c>
      <c r="C15" s="3" t="n">
        <v>25245000</v>
      </c>
      <c r="D15" s="3" t="n">
        <v>81992000</v>
      </c>
      <c r="E15" s="3" t="n">
        <v>82894000</v>
      </c>
      <c r="F15" s="3" t="n">
        <v>75387000</v>
      </c>
      <c r="G15" s="3" t="n"/>
      <c r="H15" s="3" t="n"/>
    </row>
    <row r="16">
      <c r="A16" t="inlineStr">
        <is>
          <t>Stockholders Equity</t>
        </is>
      </c>
      <c r="B16" s="3" t="n">
        <v>749810000</v>
      </c>
      <c r="C16" s="3" t="n">
        <v>978069000</v>
      </c>
      <c r="D16" s="3" t="n">
        <v>1416629000</v>
      </c>
      <c r="E16" s="3" t="n">
        <v>1681066000</v>
      </c>
      <c r="F16" s="3" t="n">
        <v>1857200000</v>
      </c>
      <c r="G16" s="3" t="n"/>
      <c r="H16" s="3" t="n"/>
    </row>
    <row r="17">
      <c r="A17" t="inlineStr">
        <is>
          <t>Gains Losses Not Affecting Retained Earnings</t>
        </is>
      </c>
      <c r="B17" s="3" t="n">
        <v>3442000</v>
      </c>
      <c r="C17" s="3" t="n">
        <v>6796000</v>
      </c>
      <c r="D17" s="3" t="n">
        <v>3775000</v>
      </c>
      <c r="E17" s="3" t="n">
        <v>3478000</v>
      </c>
      <c r="F17" s="3" t="n">
        <v>-5231000</v>
      </c>
      <c r="G17" s="3" t="n"/>
      <c r="H17" s="3" t="n"/>
    </row>
    <row r="18">
      <c r="A18" t="inlineStr">
        <is>
          <t>Other Equity Adjustments</t>
        </is>
      </c>
      <c r="B18" s="3" t="n">
        <v>3442000</v>
      </c>
      <c r="C18" s="3" t="n">
        <v>6796000</v>
      </c>
      <c r="D18" s="3" t="n">
        <v>3775000</v>
      </c>
      <c r="E18" s="3" t="n">
        <v>3478000</v>
      </c>
      <c r="F18" s="3" t="n">
        <v>-5231000</v>
      </c>
      <c r="G18" s="3" t="n"/>
      <c r="H18" s="3" t="n"/>
    </row>
    <row r="19">
      <c r="A19" t="inlineStr">
        <is>
          <t>Treasury Stock</t>
        </is>
      </c>
      <c r="B19" s="3" t="n">
        <v>2982000</v>
      </c>
      <c r="C19" s="3" t="n">
        <v>2945000</v>
      </c>
      <c r="D19" s="3" t="n">
        <v>105802000</v>
      </c>
      <c r="E19" s="3" t="n">
        <v>105304000</v>
      </c>
      <c r="F19" s="3" t="n">
        <v>108844000</v>
      </c>
      <c r="G19" s="3" t="n"/>
      <c r="H19" s="3" t="n"/>
    </row>
    <row r="20">
      <c r="A20" t="inlineStr">
        <is>
          <t>Retained Earnings</t>
        </is>
      </c>
      <c r="B20" s="3" t="n">
        <v>-8471343000</v>
      </c>
      <c r="C20" s="3" t="n">
        <v>-8226039000</v>
      </c>
      <c r="D20" s="3" t="n">
        <v>-7380069000</v>
      </c>
      <c r="E20" s="3" t="n">
        <v>-7018200000</v>
      </c>
      <c r="F20" s="3" t="n">
        <v>-6791101000</v>
      </c>
      <c r="G20" s="3" t="n"/>
      <c r="H20" s="3" t="n"/>
    </row>
    <row r="21">
      <c r="A21" t="inlineStr">
        <is>
          <t>Additional Paid In Capital</t>
        </is>
      </c>
      <c r="B21" s="3" t="n">
        <v>9206736000</v>
      </c>
      <c r="C21" s="3" t="n">
        <v>9186314000</v>
      </c>
      <c r="D21" s="3" t="n">
        <v>8886531000</v>
      </c>
      <c r="E21" s="3" t="n">
        <v>8789434000</v>
      </c>
      <c r="F21" s="3" t="n">
        <v>8752399000</v>
      </c>
      <c r="G21" s="3" t="n"/>
      <c r="H21" s="3" t="n"/>
    </row>
    <row r="22">
      <c r="A22" t="inlineStr">
        <is>
          <t>Capital Stock</t>
        </is>
      </c>
      <c r="B22" s="3" t="n">
        <v>13957000</v>
      </c>
      <c r="C22" s="3" t="n">
        <v>13943000</v>
      </c>
      <c r="D22" s="3" t="n">
        <v>12194000</v>
      </c>
      <c r="E22" s="3" t="n">
        <v>11658000</v>
      </c>
      <c r="F22" s="3" t="n">
        <v>9977000</v>
      </c>
      <c r="G22" s="3" t="n"/>
      <c r="H22" s="3" t="n"/>
    </row>
    <row r="23">
      <c r="A23" t="inlineStr">
        <is>
          <t>Common Stock</t>
        </is>
      </c>
      <c r="B23" s="3" t="n">
        <v>13957000</v>
      </c>
      <c r="C23" s="3" t="n">
        <v>13943000</v>
      </c>
      <c r="D23" s="3" t="n">
        <v>12194000</v>
      </c>
      <c r="E23" s="3" t="n">
        <v>11658000</v>
      </c>
      <c r="F23" s="3" t="n">
        <v>9977000</v>
      </c>
      <c r="G23" s="3" t="n"/>
      <c r="H23" s="3" t="n"/>
    </row>
    <row r="24">
      <c r="A24" t="inlineStr">
        <is>
          <t>Total Liabilities Net Minority Interest</t>
        </is>
      </c>
      <c r="B24" s="3" t="n">
        <v>1594295000</v>
      </c>
      <c r="C24" s="3" t="n">
        <v>1591254000</v>
      </c>
      <c r="D24" s="3" t="n">
        <v>1606131000</v>
      </c>
      <c r="E24" s="3" t="n">
        <v>1589820000</v>
      </c>
      <c r="F24" s="3" t="n">
        <v>1700819000</v>
      </c>
      <c r="G24" s="3" t="n"/>
      <c r="H24" s="3" t="n"/>
    </row>
    <row r="25">
      <c r="A25" t="inlineStr">
        <is>
          <t>Total Non Current Liabilities Net Minority Interest</t>
        </is>
      </c>
      <c r="B25" s="3" t="n">
        <v>1053589000</v>
      </c>
      <c r="C25" s="3" t="n">
        <v>980666000</v>
      </c>
      <c r="D25" s="3" t="n">
        <v>703616000</v>
      </c>
      <c r="E25" s="3" t="n">
        <v>754054000</v>
      </c>
      <c r="F25" s="3" t="n">
        <v>912434000</v>
      </c>
      <c r="G25" s="3" t="n"/>
      <c r="H25" s="3" t="n"/>
    </row>
    <row r="26">
      <c r="A26" t="inlineStr">
        <is>
          <t>Other Non Current Liabilities</t>
        </is>
      </c>
      <c r="B26" s="3" t="n">
        <v>49425000</v>
      </c>
      <c r="C26" s="3" t="n">
        <v>57678000</v>
      </c>
      <c r="D26" s="3" t="n">
        <v>107492000</v>
      </c>
      <c r="E26" s="3" t="n">
        <v>99706000</v>
      </c>
      <c r="F26" s="3" t="n">
        <v>114256000</v>
      </c>
      <c r="G26" s="3" t="n"/>
      <c r="H26" s="3" t="n"/>
    </row>
    <row r="27">
      <c r="A27" t="inlineStr">
        <is>
          <t>Derivative Product Liabilities</t>
        </is>
      </c>
      <c r="B27" s="3" t="n">
        <v>106963000</v>
      </c>
      <c r="C27" s="3" t="n">
        <v>52323000</v>
      </c>
      <c r="D27" s="3" t="n"/>
      <c r="E27" s="3" t="n"/>
      <c r="F27" s="3" t="n"/>
      <c r="G27" s="3" t="n">
        <v>0</v>
      </c>
      <c r="H27" s="3" t="n"/>
    </row>
    <row r="28">
      <c r="A28" t="inlineStr">
        <is>
          <t>Non Current Accrued Expenses</t>
        </is>
      </c>
      <c r="B28" s="3" t="n"/>
      <c r="C28" s="3" t="n"/>
      <c r="D28" s="3" t="n">
        <v>107492000</v>
      </c>
      <c r="E28" s="3" t="n">
        <v>99706000</v>
      </c>
      <c r="F28" s="3" t="n">
        <v>114256000</v>
      </c>
      <c r="G28" s="3" t="n">
        <v>135833000</v>
      </c>
      <c r="H28" s="3" t="n">
        <v>142937000</v>
      </c>
    </row>
    <row r="29">
      <c r="A29" t="inlineStr">
        <is>
          <t>Non Current Deferred Liabilities</t>
        </is>
      </c>
      <c r="B29" s="3" t="n">
        <v>29615000</v>
      </c>
      <c r="C29" s="3" t="n">
        <v>34203000</v>
      </c>
      <c r="D29" s="3" t="n">
        <v>34092000</v>
      </c>
      <c r="E29" s="3" t="n">
        <v>40624000</v>
      </c>
      <c r="F29" s="3" t="n">
        <v>43362000</v>
      </c>
      <c r="G29" s="3" t="n"/>
      <c r="H29" s="3" t="n"/>
    </row>
    <row r="30">
      <c r="A30" t="inlineStr">
        <is>
          <t>Non Current Deferred Revenue</t>
        </is>
      </c>
      <c r="B30" s="3" t="n">
        <v>29615000</v>
      </c>
      <c r="C30" s="3" t="n">
        <v>34203000</v>
      </c>
      <c r="D30" s="3" t="n">
        <v>34092000</v>
      </c>
      <c r="E30" s="3" t="n">
        <v>40624000</v>
      </c>
      <c r="F30" s="3" t="n">
        <v>43362000</v>
      </c>
      <c r="G30" s="3" t="n"/>
      <c r="H30" s="3" t="n"/>
    </row>
    <row r="31">
      <c r="A31" t="inlineStr">
        <is>
          <t>Long Term Debt And Capital Lease Obligation</t>
        </is>
      </c>
      <c r="B31" s="3" t="n">
        <v>867586000</v>
      </c>
      <c r="C31" s="3" t="n">
        <v>836462000</v>
      </c>
      <c r="D31" s="3" t="n">
        <v>562032000</v>
      </c>
      <c r="E31" s="3" t="n">
        <v>613724000</v>
      </c>
      <c r="F31" s="3" t="n">
        <v>754816000</v>
      </c>
      <c r="G31" s="3" t="n"/>
      <c r="H31" s="3" t="n"/>
    </row>
    <row r="32">
      <c r="A32" t="inlineStr">
        <is>
          <t>Long Term Capital Lease Obligation</t>
        </is>
      </c>
      <c r="B32" s="3" t="n">
        <v>190027000</v>
      </c>
      <c r="C32" s="3" t="n">
        <v>212336000</v>
      </c>
      <c r="D32" s="3" t="n">
        <v>229480000</v>
      </c>
      <c r="E32" s="3" t="n">
        <v>249790000</v>
      </c>
      <c r="F32" s="3" t="n">
        <v>250109000</v>
      </c>
      <c r="G32" s="3" t="n"/>
      <c r="H32" s="3" t="n"/>
    </row>
    <row r="33">
      <c r="A33" t="inlineStr">
        <is>
          <t>Long Term Debt</t>
        </is>
      </c>
      <c r="B33" s="3" t="n">
        <v>677559000</v>
      </c>
      <c r="C33" s="3" t="n">
        <v>624126000</v>
      </c>
      <c r="D33" s="3" t="n">
        <v>332552000</v>
      </c>
      <c r="E33" s="3" t="n">
        <v>363934000</v>
      </c>
      <c r="F33" s="3" t="n">
        <v>504707000</v>
      </c>
      <c r="G33" s="3" t="n"/>
      <c r="H33" s="3" t="n"/>
    </row>
    <row r="34">
      <c r="A34" t="inlineStr">
        <is>
          <t>Current Liabilities</t>
        </is>
      </c>
      <c r="B34" s="3" t="n">
        <v>540706000</v>
      </c>
      <c r="C34" s="3" t="n">
        <v>610588000</v>
      </c>
      <c r="D34" s="3" t="n">
        <v>902515000</v>
      </c>
      <c r="E34" s="3" t="n">
        <v>835766000</v>
      </c>
      <c r="F34" s="3" t="n">
        <v>788385000</v>
      </c>
      <c r="G34" s="3" t="n"/>
      <c r="H34" s="3" t="n"/>
    </row>
    <row r="35">
      <c r="A35" t="inlineStr">
        <is>
          <t>Other Current Liabilities</t>
        </is>
      </c>
      <c r="B35" s="3" t="n">
        <v>72292000</v>
      </c>
      <c r="C35" s="3" t="n">
        <v>86382000</v>
      </c>
      <c r="D35" s="3" t="n">
        <v>100363000</v>
      </c>
      <c r="E35" s="3" t="n">
        <v>93223000</v>
      </c>
      <c r="F35" s="3" t="n">
        <v>98442000</v>
      </c>
      <c r="G35" s="3" t="n"/>
      <c r="H35" s="3" t="n"/>
    </row>
    <row r="36">
      <c r="A36" t="inlineStr">
        <is>
          <t>Current Deferred Liabilities</t>
        </is>
      </c>
      <c r="B36" s="3" t="n">
        <v>68508000</v>
      </c>
      <c r="C36" s="3" t="n">
        <v>66742000</v>
      </c>
      <c r="D36" s="3" t="n">
        <v>88174000</v>
      </c>
      <c r="E36" s="3" t="n">
        <v>107063000</v>
      </c>
      <c r="F36" s="3" t="n">
        <v>137566000</v>
      </c>
      <c r="G36" s="3" t="n"/>
      <c r="H36" s="3" t="n"/>
    </row>
    <row r="37">
      <c r="A37" t="inlineStr">
        <is>
          <t>Current Deferred Revenue</t>
        </is>
      </c>
      <c r="B37" s="3" t="n">
        <v>68508000</v>
      </c>
      <c r="C37" s="3" t="n">
        <v>66742000</v>
      </c>
      <c r="D37" s="3" t="n">
        <v>88174000</v>
      </c>
      <c r="E37" s="3" t="n">
        <v>107063000</v>
      </c>
      <c r="F37" s="3" t="n">
        <v>137566000</v>
      </c>
      <c r="G37" s="3" t="n"/>
      <c r="H37" s="3" t="n"/>
    </row>
    <row r="38">
      <c r="A38" t="inlineStr">
        <is>
          <t>Current Debt And Capital Lease Obligation</t>
        </is>
      </c>
      <c r="B38" s="3" t="n">
        <v>142587000</v>
      </c>
      <c r="C38" s="3" t="n">
        <v>160710000</v>
      </c>
      <c r="D38" s="3" t="n">
        <v>429395000</v>
      </c>
      <c r="E38" s="3" t="n">
        <v>378247000</v>
      </c>
      <c r="F38" s="3" t="n">
        <v>231909000</v>
      </c>
      <c r="G38" s="3" t="n"/>
      <c r="H38" s="3" t="n"/>
    </row>
    <row r="39">
      <c r="A39" t="inlineStr">
        <is>
          <t>Current Capital Lease Obligation</t>
        </is>
      </c>
      <c r="B39" s="3" t="n">
        <v>73279000</v>
      </c>
      <c r="C39" s="3" t="n">
        <v>81341000</v>
      </c>
      <c r="D39" s="3" t="n">
        <v>84848000</v>
      </c>
      <c r="E39" s="3" t="n">
        <v>86625000</v>
      </c>
      <c r="F39" s="3" t="n">
        <v>89569000</v>
      </c>
      <c r="G39" s="3" t="n"/>
      <c r="H39" s="3" t="n"/>
    </row>
    <row r="40">
      <c r="A40" t="inlineStr">
        <is>
          <t>Current Debt</t>
        </is>
      </c>
      <c r="B40" s="3" t="n">
        <v>69308000</v>
      </c>
      <c r="C40" s="3" t="n">
        <v>79369000</v>
      </c>
      <c r="D40" s="3" t="n">
        <v>344547000</v>
      </c>
      <c r="E40" s="3" t="n">
        <v>291622000</v>
      </c>
      <c r="F40" s="3" t="n">
        <v>142340000</v>
      </c>
      <c r="G40" s="3" t="n"/>
      <c r="H40" s="3" t="n"/>
    </row>
    <row r="41">
      <c r="A41" t="inlineStr">
        <is>
          <t>Other Current Borrowings</t>
        </is>
      </c>
      <c r="B41" s="3" t="n">
        <v>69308000</v>
      </c>
      <c r="C41" s="3" t="n">
        <v>79369000</v>
      </c>
      <c r="D41" s="3" t="n">
        <v>344547000</v>
      </c>
      <c r="E41" s="3" t="n">
        <v>291622000</v>
      </c>
      <c r="F41" s="3" t="n">
        <v>142340000</v>
      </c>
      <c r="G41" s="3" t="n"/>
      <c r="H41" s="3" t="n"/>
    </row>
    <row r="42">
      <c r="A42" t="inlineStr">
        <is>
          <t>Payables And Accrued Expenses</t>
        </is>
      </c>
      <c r="B42" s="3" t="n">
        <v>257319000</v>
      </c>
      <c r="C42" s="3" t="n">
        <v>296754000</v>
      </c>
      <c r="D42" s="3" t="n">
        <v>284583000</v>
      </c>
      <c r="E42" s="3" t="n">
        <v>257233000</v>
      </c>
      <c r="F42" s="3" t="n">
        <v>320468000</v>
      </c>
      <c r="G42" s="3" t="n"/>
      <c r="H42" s="3" t="n"/>
    </row>
    <row r="43">
      <c r="A43" t="inlineStr">
        <is>
          <t>Current Accrued Expenses</t>
        </is>
      </c>
      <c r="B43" s="3" t="n">
        <v>113068000</v>
      </c>
      <c r="C43" s="3" t="n">
        <v>64013000</v>
      </c>
      <c r="D43" s="3" t="n">
        <v>122360000</v>
      </c>
      <c r="E43" s="3" t="n">
        <v>105173000</v>
      </c>
      <c r="F43" s="3" t="n">
        <v>50985000</v>
      </c>
      <c r="G43" s="3" t="n"/>
      <c r="H43" s="3" t="n"/>
    </row>
    <row r="44">
      <c r="A44" t="inlineStr">
        <is>
          <t>Interest Payable</t>
        </is>
      </c>
      <c r="B44" s="3" t="n"/>
      <c r="C44" s="3" t="n">
        <v>3125000</v>
      </c>
      <c r="D44" s="3" t="n"/>
      <c r="E44" s="3" t="n"/>
      <c r="F44" s="3" t="n">
        <v>6613000</v>
      </c>
      <c r="G44" s="3" t="n">
        <v>2540000</v>
      </c>
      <c r="H44" s="3" t="n">
        <v>4107000</v>
      </c>
    </row>
    <row r="45">
      <c r="A45" t="inlineStr">
        <is>
          <t>Payables</t>
        </is>
      </c>
      <c r="B45" s="3" t="n">
        <v>144251000</v>
      </c>
      <c r="C45" s="3" t="n">
        <v>232741000</v>
      </c>
      <c r="D45" s="3" t="n">
        <v>162223000</v>
      </c>
      <c r="E45" s="3" t="n">
        <v>152060000</v>
      </c>
      <c r="F45" s="3" t="n">
        <v>269483000</v>
      </c>
      <c r="G45" s="3" t="n"/>
      <c r="H45" s="3" t="n"/>
    </row>
    <row r="46">
      <c r="A46" t="inlineStr">
        <is>
          <t>Total Tax Payable</t>
        </is>
      </c>
      <c r="B46" s="3" t="n"/>
      <c r="C46" s="3" t="n">
        <v>24677000</v>
      </c>
      <c r="D46" s="3" t="n"/>
      <c r="E46" s="3" t="n"/>
      <c r="F46" s="3" t="n">
        <v>26379000</v>
      </c>
      <c r="G46" s="3" t="n">
        <v>24182000</v>
      </c>
      <c r="H46" s="3" t="n">
        <v>22301000</v>
      </c>
    </row>
    <row r="47">
      <c r="A47" t="inlineStr">
        <is>
          <t>Accounts Payable</t>
        </is>
      </c>
      <c r="B47" s="3" t="n">
        <v>144251000</v>
      </c>
      <c r="C47" s="3" t="n">
        <v>208064000</v>
      </c>
      <c r="D47" s="3" t="n">
        <v>162223000</v>
      </c>
      <c r="E47" s="3" t="n">
        <v>152060000</v>
      </c>
      <c r="F47" s="3" t="n">
        <v>243104000</v>
      </c>
      <c r="G47" s="3" t="n"/>
      <c r="H47" s="3" t="n"/>
    </row>
    <row r="48">
      <c r="A48" t="inlineStr">
        <is>
          <t>Total Assets</t>
        </is>
      </c>
      <c r="B48" s="3" t="n">
        <v>2368184000</v>
      </c>
      <c r="C48" s="3" t="n">
        <v>2594568000</v>
      </c>
      <c r="D48" s="3" t="n">
        <v>3104752000</v>
      </c>
      <c r="E48" s="3" t="n">
        <v>3353780000</v>
      </c>
      <c r="F48" s="3" t="n">
        <v>3633406000</v>
      </c>
      <c r="G48" s="3" t="n"/>
      <c r="H48" s="3" t="n"/>
    </row>
    <row r="49">
      <c r="A49" t="inlineStr">
        <is>
          <t>Total Non Current Assets</t>
        </is>
      </c>
      <c r="B49" s="3" t="n">
        <v>1093399000</v>
      </c>
      <c r="C49" s="3" t="n">
        <v>1184300000</v>
      </c>
      <c r="D49" s="3" t="n">
        <v>1913865000</v>
      </c>
      <c r="E49" s="3" t="n">
        <v>2023783000</v>
      </c>
      <c r="F49" s="3" t="n">
        <v>2099492000</v>
      </c>
      <c r="G49" s="3" t="n"/>
      <c r="H49" s="3" t="n"/>
    </row>
    <row r="50">
      <c r="A50" t="inlineStr">
        <is>
          <t>Other Non Current Assets</t>
        </is>
      </c>
      <c r="B50" s="3" t="n">
        <v>411699000</v>
      </c>
      <c r="C50" s="3" t="n">
        <v>453041000</v>
      </c>
      <c r="D50" s="3" t="n">
        <v>516572000</v>
      </c>
      <c r="E50" s="3" t="n">
        <v>563492000</v>
      </c>
      <c r="F50" s="3" t="n">
        <v>609463000</v>
      </c>
      <c r="G50" s="3" t="n"/>
      <c r="H50" s="3" t="n"/>
    </row>
    <row r="51">
      <c r="A51" t="inlineStr">
        <is>
          <t>Non Current Accounts Receivable</t>
        </is>
      </c>
      <c r="B51" s="3" t="n">
        <v>24312000</v>
      </c>
      <c r="C51" s="3" t="n">
        <v>24137000</v>
      </c>
      <c r="D51" s="3" t="n">
        <v>22410000</v>
      </c>
      <c r="E51" s="3" t="n">
        <v>23125000</v>
      </c>
      <c r="F51" s="3" t="n">
        <v>23842000</v>
      </c>
      <c r="G51" s="3" t="n"/>
      <c r="H51" s="3" t="n"/>
    </row>
    <row r="52">
      <c r="A52" t="inlineStr">
        <is>
          <t>Investments And Advances</t>
        </is>
      </c>
      <c r="B52" s="3" t="n">
        <v>45612000</v>
      </c>
      <c r="C52" s="3" t="n">
        <v>46909000</v>
      </c>
      <c r="D52" s="3" t="n">
        <v>43257000</v>
      </c>
      <c r="E52" s="3" t="n">
        <v>46196000</v>
      </c>
      <c r="F52" s="3" t="n">
        <v>85095000</v>
      </c>
      <c r="G52" s="3" t="n"/>
      <c r="H52" s="3" t="n"/>
    </row>
    <row r="53">
      <c r="A53" t="inlineStr">
        <is>
          <t>Long Term Equity Investment</t>
        </is>
      </c>
      <c r="B53" s="3" t="n">
        <v>45612000</v>
      </c>
      <c r="C53" s="3" t="n">
        <v>46909000</v>
      </c>
      <c r="D53" s="3" t="n">
        <v>43257000</v>
      </c>
      <c r="E53" s="3" t="n">
        <v>46196000</v>
      </c>
      <c r="F53" s="3" t="n">
        <v>85095000</v>
      </c>
      <c r="G53" s="3" t="n"/>
      <c r="H53" s="3" t="n"/>
    </row>
    <row r="54">
      <c r="A54" t="inlineStr">
        <is>
          <t>Goodwill And Other Intangible Assets</t>
        </is>
      </c>
      <c r="B54" s="3" t="n">
        <v>28231000</v>
      </c>
      <c r="C54" s="3" t="n">
        <v>29228000</v>
      </c>
      <c r="D54" s="3" t="n">
        <v>77948000</v>
      </c>
      <c r="E54" s="3" t="n">
        <v>81043000</v>
      </c>
      <c r="F54" s="3" t="n">
        <v>82777000</v>
      </c>
      <c r="G54" s="3" t="n"/>
      <c r="H54" s="3" t="n"/>
    </row>
    <row r="55">
      <c r="A55" t="inlineStr">
        <is>
          <t>Other Intangible Assets</t>
        </is>
      </c>
      <c r="B55" s="3" t="n">
        <v>28231000</v>
      </c>
      <c r="C55" s="3" t="n">
        <v>29228000</v>
      </c>
      <c r="D55" s="3" t="n">
        <v>77948000</v>
      </c>
      <c r="E55" s="3" t="n">
        <v>81043000</v>
      </c>
      <c r="F55" s="3" t="n">
        <v>82777000</v>
      </c>
      <c r="G55" s="3" t="n"/>
      <c r="H55" s="3" t="n"/>
    </row>
    <row r="56">
      <c r="A56" t="inlineStr">
        <is>
          <t>Net PPE</t>
        </is>
      </c>
      <c r="B56" s="3" t="n">
        <v>583545000</v>
      </c>
      <c r="C56" s="3" t="n">
        <v>630985000</v>
      </c>
      <c r="D56" s="3" t="n">
        <v>1253678000</v>
      </c>
      <c r="E56" s="3" t="n">
        <v>1309927000</v>
      </c>
      <c r="F56" s="3" t="n">
        <v>1298315000</v>
      </c>
      <c r="G56" s="3" t="n"/>
      <c r="H56" s="3" t="n"/>
    </row>
    <row r="57">
      <c r="A57" t="inlineStr">
        <is>
          <t>Accumulated Depreciation</t>
        </is>
      </c>
      <c r="B57" s="3" t="n"/>
      <c r="C57" s="3" t="n">
        <v>-57182000</v>
      </c>
      <c r="D57" s="3" t="n"/>
      <c r="E57" s="3" t="n"/>
      <c r="F57" s="3" t="n"/>
      <c r="G57" s="3" t="n">
        <v>-77322000</v>
      </c>
      <c r="H57" s="3" t="n">
        <v>-118511000</v>
      </c>
    </row>
    <row r="58">
      <c r="A58" t="inlineStr">
        <is>
          <t>Gross PPE</t>
        </is>
      </c>
      <c r="B58" s="3" t="n">
        <v>583545000</v>
      </c>
      <c r="C58" s="3" t="n">
        <v>688167000</v>
      </c>
      <c r="D58" s="3" t="n">
        <v>1253678000</v>
      </c>
      <c r="E58" s="3" t="n">
        <v>1309927000</v>
      </c>
      <c r="F58" s="3" t="n">
        <v>1298315000</v>
      </c>
      <c r="G58" s="3" t="n"/>
      <c r="H58" s="3" t="n"/>
    </row>
    <row r="59">
      <c r="A59" t="inlineStr">
        <is>
          <t>Leases</t>
        </is>
      </c>
      <c r="B59" s="3" t="n"/>
      <c r="C59" s="3" t="n">
        <v>8722000</v>
      </c>
      <c r="D59" s="3" t="n"/>
      <c r="E59" s="3" t="n"/>
      <c r="F59" s="3" t="n"/>
      <c r="G59" s="3" t="n">
        <v>15633000</v>
      </c>
      <c r="H59" s="3" t="n">
        <v>97022000</v>
      </c>
    </row>
    <row r="60">
      <c r="A60" t="inlineStr">
        <is>
          <t>Construction In Progress</t>
        </is>
      </c>
      <c r="B60" s="3" t="n"/>
      <c r="C60" s="3" t="n">
        <v>124727000</v>
      </c>
      <c r="D60" s="3" t="n"/>
      <c r="E60" s="3" t="n"/>
      <c r="F60" s="3" t="n"/>
      <c r="G60" s="3" t="n">
        <v>502936000</v>
      </c>
      <c r="H60" s="3" t="n">
        <v>930505000</v>
      </c>
    </row>
    <row r="61">
      <c r="A61" t="inlineStr">
        <is>
          <t>Other Properties</t>
        </is>
      </c>
      <c r="B61" s="3" t="n">
        <v>583545000</v>
      </c>
      <c r="C61" s="3" t="n">
        <v>548568000</v>
      </c>
      <c r="D61" s="3" t="n">
        <v>1253678000</v>
      </c>
      <c r="E61" s="3" t="n">
        <v>1309927000</v>
      </c>
      <c r="F61" s="3" t="n">
        <v>1298315000</v>
      </c>
      <c r="G61" s="3" t="n"/>
      <c r="H61" s="3" t="n"/>
    </row>
    <row r="62">
      <c r="A62" t="inlineStr">
        <is>
          <t>Machinery Furniture Equipment</t>
        </is>
      </c>
      <c r="B62" s="3" t="n"/>
      <c r="C62" s="3" t="n"/>
      <c r="D62" s="3" t="n"/>
      <c r="E62" s="3" t="n"/>
      <c r="F62" s="3" t="n"/>
      <c r="G62" s="3" t="n">
        <v>383955000</v>
      </c>
      <c r="H62" s="3" t="n">
        <v>619195000</v>
      </c>
    </row>
    <row r="63">
      <c r="A63" t="inlineStr">
        <is>
          <t>Land And Improvements</t>
        </is>
      </c>
      <c r="B63" s="3" t="n"/>
      <c r="C63" s="3" t="n">
        <v>6150000</v>
      </c>
      <c r="D63" s="3" t="n"/>
      <c r="E63" s="3" t="n"/>
      <c r="F63" s="3" t="n"/>
      <c r="G63" s="3" t="n">
        <v>5597000</v>
      </c>
      <c r="H63" s="3" t="n">
        <v>5845000</v>
      </c>
    </row>
    <row r="64">
      <c r="A64" t="inlineStr">
        <is>
          <t>Properties</t>
        </is>
      </c>
      <c r="B64" s="3" t="n"/>
      <c r="C64" s="3" t="n">
        <v>0</v>
      </c>
      <c r="D64" s="3" t="n"/>
      <c r="E64" s="3" t="n"/>
      <c r="F64" s="3" t="n"/>
      <c r="G64" s="3" t="n">
        <v>0</v>
      </c>
      <c r="H64" s="3" t="n">
        <v>0</v>
      </c>
    </row>
    <row r="65">
      <c r="A65" t="inlineStr">
        <is>
          <t>Current Assets</t>
        </is>
      </c>
      <c r="B65" s="3" t="n">
        <v>1274785000</v>
      </c>
      <c r="C65" s="3" t="n">
        <v>1410268000</v>
      </c>
      <c r="D65" s="3" t="n">
        <v>1190887000</v>
      </c>
      <c r="E65" s="3" t="n">
        <v>1329997000</v>
      </c>
      <c r="F65" s="3" t="n">
        <v>1533914000</v>
      </c>
      <c r="G65" s="3" t="n"/>
      <c r="H65" s="3" t="n"/>
    </row>
    <row r="66">
      <c r="A66" t="inlineStr">
        <is>
          <t>Other Current Assets</t>
        </is>
      </c>
      <c r="B66" s="3" t="n">
        <v>140148000</v>
      </c>
      <c r="C66" s="3" t="n">
        <v>93988000</v>
      </c>
      <c r="D66" s="3" t="n">
        <v>87660000</v>
      </c>
      <c r="E66" s="3" t="n">
        <v>113435000</v>
      </c>
      <c r="F66" s="3" t="n">
        <v>112068000</v>
      </c>
      <c r="G66" s="3" t="n"/>
      <c r="H66" s="3" t="n"/>
    </row>
    <row r="67">
      <c r="A67" t="inlineStr">
        <is>
          <t>Restricted Cash</t>
        </is>
      </c>
      <c r="B67" s="3" t="n">
        <v>183685000</v>
      </c>
      <c r="C67" s="3" t="n">
        <v>186746000</v>
      </c>
      <c r="D67" s="3" t="n">
        <v>189256000</v>
      </c>
      <c r="E67" s="3" t="n">
        <v>195443000</v>
      </c>
      <c r="F67" s="3" t="n">
        <v>196059000</v>
      </c>
      <c r="G67" s="3" t="n"/>
      <c r="H67" s="3" t="n"/>
    </row>
    <row r="68">
      <c r="A68" t="inlineStr">
        <is>
          <t>Inventory</t>
        </is>
      </c>
      <c r="B68" s="3" t="n">
        <v>516153000</v>
      </c>
      <c r="C68" s="3" t="n">
        <v>520968000</v>
      </c>
      <c r="D68" s="3" t="n">
        <v>555092000</v>
      </c>
      <c r="E68" s="3" t="n">
        <v>643926000</v>
      </c>
      <c r="F68" s="3" t="n">
        <v>693472000</v>
      </c>
      <c r="G68" s="3" t="n"/>
      <c r="H68" s="3" t="n"/>
    </row>
    <row r="69">
      <c r="A69" t="inlineStr">
        <is>
          <t>Finished Goods</t>
        </is>
      </c>
      <c r="B69" s="3" t="n">
        <v>73537000</v>
      </c>
      <c r="C69" s="3" t="n">
        <v>85808000</v>
      </c>
      <c r="D69" s="3" t="n">
        <v>80292000</v>
      </c>
      <c r="E69" s="3" t="n">
        <v>103967000</v>
      </c>
      <c r="F69" s="3" t="n">
        <v>161574000</v>
      </c>
      <c r="G69" s="3" t="n"/>
      <c r="H69" s="3" t="n"/>
    </row>
    <row r="70">
      <c r="A70" t="inlineStr">
        <is>
          <t>Work In Process</t>
        </is>
      </c>
      <c r="B70" s="3" t="n">
        <v>95582000</v>
      </c>
      <c r="C70" s="3" t="n">
        <v>84250000</v>
      </c>
      <c r="D70" s="3" t="n">
        <v>90020000</v>
      </c>
      <c r="E70" s="3" t="n">
        <v>108419000</v>
      </c>
      <c r="F70" s="3" t="n">
        <v>123015000</v>
      </c>
      <c r="G70" s="3" t="n"/>
      <c r="H70" s="3" t="n"/>
    </row>
    <row r="71">
      <c r="A71" t="inlineStr">
        <is>
          <t>Raw Materials</t>
        </is>
      </c>
      <c r="B71" s="3" t="n">
        <v>347034000</v>
      </c>
      <c r="C71" s="3" t="n">
        <v>350910000</v>
      </c>
      <c r="D71" s="3" t="n">
        <v>384780000</v>
      </c>
      <c r="E71" s="3" t="n">
        <v>431540000</v>
      </c>
      <c r="F71" s="3" t="n">
        <v>408883000</v>
      </c>
      <c r="G71" s="3" t="n"/>
      <c r="H71" s="3" t="n"/>
    </row>
    <row r="72">
      <c r="A72" t="inlineStr">
        <is>
          <t>Receivables</t>
        </is>
      </c>
      <c r="B72" s="3" t="n">
        <v>211610000</v>
      </c>
      <c r="C72" s="3" t="n">
        <v>240026000</v>
      </c>
      <c r="D72" s="3" t="n">
        <v>192984000</v>
      </c>
      <c r="E72" s="3" t="n">
        <v>236457000</v>
      </c>
      <c r="F72" s="3" t="n">
        <v>236471000</v>
      </c>
      <c r="G72" s="3" t="n"/>
      <c r="H72" s="3" t="n"/>
    </row>
    <row r="73">
      <c r="A73" t="inlineStr">
        <is>
          <t>Other Receivables</t>
        </is>
      </c>
      <c r="B73" s="3" t="n">
        <v>105099000</v>
      </c>
      <c r="C73" s="3" t="n">
        <v>105268000</v>
      </c>
      <c r="D73" s="3" t="n">
        <v>68956000</v>
      </c>
      <c r="E73" s="3" t="n">
        <v>97714000</v>
      </c>
      <c r="F73" s="3" t="n">
        <v>91518000</v>
      </c>
      <c r="G73" s="3" t="n"/>
      <c r="H73" s="3" t="n"/>
    </row>
    <row r="74">
      <c r="A74" t="inlineStr">
        <is>
          <t>Accounts Receivable</t>
        </is>
      </c>
      <c r="B74" s="3" t="n">
        <v>106511000</v>
      </c>
      <c r="C74" s="3" t="n">
        <v>134758000</v>
      </c>
      <c r="D74" s="3" t="n">
        <v>124028000</v>
      </c>
      <c r="E74" s="3" t="n">
        <v>138743000</v>
      </c>
      <c r="F74" s="3" t="n">
        <v>144953000</v>
      </c>
      <c r="G74" s="3" t="n"/>
      <c r="H74" s="3" t="n"/>
    </row>
    <row r="75">
      <c r="A75" t="inlineStr">
        <is>
          <t>Allowance For Doubtful Accounts Receivable</t>
        </is>
      </c>
      <c r="B75" s="3" t="n">
        <v>-44980000</v>
      </c>
      <c r="C75" s="3" t="n">
        <v>-46805000</v>
      </c>
      <c r="D75" s="3" t="n">
        <v>-48676000</v>
      </c>
      <c r="E75" s="3" t="n">
        <v>-42384000</v>
      </c>
      <c r="F75" s="3" t="n">
        <v>-37753000</v>
      </c>
      <c r="G75" s="3" t="n"/>
      <c r="H75" s="3" t="n"/>
    </row>
    <row r="76">
      <c r="A76" t="inlineStr">
        <is>
          <t>Gross Accounts Receivable</t>
        </is>
      </c>
      <c r="B76" s="3" t="n">
        <v>151491000</v>
      </c>
      <c r="C76" s="3" t="n">
        <v>181563000</v>
      </c>
      <c r="D76" s="3" t="n">
        <v>172704000</v>
      </c>
      <c r="E76" s="3" t="n">
        <v>181127000</v>
      </c>
      <c r="F76" s="3" t="n">
        <v>182706000</v>
      </c>
      <c r="G76" s="3" t="n"/>
      <c r="H76" s="3" t="n"/>
    </row>
    <row r="77">
      <c r="A77" t="inlineStr">
        <is>
          <t>Cash Cash Equivalents And Short Term Investments</t>
        </is>
      </c>
      <c r="B77" s="3" t="n">
        <v>223189000</v>
      </c>
      <c r="C77" s="3" t="n">
        <v>368540000</v>
      </c>
      <c r="D77" s="3" t="n">
        <v>165895000</v>
      </c>
      <c r="E77" s="3" t="n">
        <v>140736000</v>
      </c>
      <c r="F77" s="3" t="n">
        <v>295844000</v>
      </c>
      <c r="G77" s="3" t="n"/>
      <c r="H77" s="3" t="n"/>
    </row>
    <row r="78">
      <c r="A78" t="inlineStr">
        <is>
          <t>Cash And Cash Equivalents</t>
        </is>
      </c>
      <c r="B78" s="3" t="n">
        <v>223189000</v>
      </c>
      <c r="C78" s="3" t="n">
        <v>368540000</v>
      </c>
      <c r="D78" s="3" t="n">
        <v>165895000</v>
      </c>
      <c r="E78" s="3" t="n">
        <v>140736000</v>
      </c>
      <c r="F78" s="3" t="n">
        <v>295844000</v>
      </c>
      <c r="G78" s="3" t="n"/>
      <c r="H78" s="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Line item</t>
        </is>
      </c>
      <c r="B1" s="1" t="inlineStr">
        <is>
          <t>2025-12-31</t>
        </is>
      </c>
      <c r="C1" s="1" t="inlineStr">
        <is>
          <t>2024-12-31</t>
        </is>
      </c>
      <c r="D1" s="1" t="inlineStr">
        <is>
          <t>2023-12-31</t>
        </is>
      </c>
      <c r="E1" s="1" t="inlineStr">
        <is>
          <t>2022-12-31</t>
        </is>
      </c>
      <c r="F1" s="1" t="inlineStr">
        <is>
          <t>2021-12-31</t>
        </is>
      </c>
    </row>
    <row r="2">
      <c r="A2" t="inlineStr">
        <is>
          <t>Free Cash Flow</t>
        </is>
      </c>
      <c r="B2" s="3" t="n">
        <v>-661475000</v>
      </c>
      <c r="C2" s="3" t="n">
        <v>-1062891000</v>
      </c>
      <c r="D2" s="3" t="n">
        <v>-1802696000</v>
      </c>
      <c r="E2" s="3" t="n">
        <v>-1292496000</v>
      </c>
      <c r="F2" s="3" t="n"/>
    </row>
    <row r="3">
      <c r="A3" t="inlineStr">
        <is>
          <t>Repurchase Of Capital Stock</t>
        </is>
      </c>
      <c r="B3" s="3" t="n"/>
      <c r="C3" s="3" t="n"/>
      <c r="D3" s="3" t="n"/>
      <c r="E3" s="3" t="n"/>
      <c r="F3" s="3" t="n">
        <v>0</v>
      </c>
    </row>
    <row r="4">
      <c r="A4" t="inlineStr">
        <is>
          <t>Repayment Of Debt</t>
        </is>
      </c>
      <c r="B4" s="3" t="n">
        <v>-713528000</v>
      </c>
      <c r="C4" s="3" t="n">
        <v>-113490000</v>
      </c>
      <c r="D4" s="3" t="n">
        <v>-79635000</v>
      </c>
      <c r="E4" s="3" t="n">
        <v>-176242000</v>
      </c>
      <c r="F4" s="3" t="n"/>
    </row>
    <row r="5">
      <c r="A5" t="inlineStr">
        <is>
          <t>Issuance Of Debt</t>
        </is>
      </c>
      <c r="B5" s="3" t="n">
        <v>643290000</v>
      </c>
      <c r="C5" s="3" t="n">
        <v>250287000</v>
      </c>
      <c r="D5" s="3" t="n">
        <v>104251000</v>
      </c>
      <c r="E5" s="3" t="n">
        <v>122886000</v>
      </c>
      <c r="F5" s="3" t="n"/>
    </row>
    <row r="6">
      <c r="A6" t="inlineStr">
        <is>
          <t>Issuance Of Capital Stock</t>
        </is>
      </c>
      <c r="B6" s="3" t="n">
        <v>328422000</v>
      </c>
      <c r="C6" s="3" t="n">
        <v>857872000</v>
      </c>
      <c r="D6" s="3" t="n">
        <v>0</v>
      </c>
      <c r="E6" s="3" t="n">
        <v>0</v>
      </c>
      <c r="F6" s="3" t="n"/>
    </row>
    <row r="7">
      <c r="A7" t="inlineStr">
        <is>
          <t>Capital Expenditure</t>
        </is>
      </c>
      <c r="B7" s="3" t="n">
        <v>-125640000</v>
      </c>
      <c r="C7" s="3" t="n">
        <v>-334248000</v>
      </c>
      <c r="D7" s="3" t="n">
        <v>-696126000</v>
      </c>
      <c r="E7" s="3" t="n">
        <v>-463873000</v>
      </c>
      <c r="F7" s="3" t="n"/>
    </row>
    <row r="8">
      <c r="A8" t="inlineStr">
        <is>
          <t>Interest Paid Supplemental Data</t>
        </is>
      </c>
      <c r="B8" s="3" t="n">
        <v>59673000</v>
      </c>
      <c r="C8" s="3" t="n">
        <v>44962000</v>
      </c>
      <c r="D8" s="3" t="n">
        <v>41811000</v>
      </c>
      <c r="E8" s="3" t="n">
        <v>35520000</v>
      </c>
      <c r="F8" s="3" t="n"/>
    </row>
    <row r="9">
      <c r="A9" t="inlineStr">
        <is>
          <t>End Cash Position</t>
        </is>
      </c>
      <c r="B9" s="3" t="n">
        <v>993984000</v>
      </c>
      <c r="C9" s="3" t="n">
        <v>1040709000</v>
      </c>
      <c r="D9" s="3" t="n">
        <v>1169144000</v>
      </c>
      <c r="E9" s="3" t="n">
        <v>1549344000</v>
      </c>
      <c r="F9" s="3" t="n"/>
    </row>
    <row r="10">
      <c r="A10" t="inlineStr">
        <is>
          <t>Other Cash Adjustment Outside Changein Cash</t>
        </is>
      </c>
      <c r="B10" s="3" t="n">
        <v>-209572000</v>
      </c>
      <c r="C10" s="3" t="n">
        <v>-199095000</v>
      </c>
      <c r="D10" s="3" t="n">
        <v>175397000</v>
      </c>
      <c r="E10" s="3" t="n">
        <v>207789000</v>
      </c>
      <c r="F10" s="3" t="n"/>
    </row>
    <row r="11">
      <c r="A11" t="inlineStr">
        <is>
          <t>Beginning Cash Position</t>
        </is>
      </c>
      <c r="B11" s="3" t="n">
        <v>1040709000</v>
      </c>
      <c r="C11" s="3" t="n">
        <v>1169144000</v>
      </c>
      <c r="D11" s="3" t="n">
        <v>1549344000</v>
      </c>
      <c r="E11" s="3" t="n">
        <v>3132194000</v>
      </c>
      <c r="F11" s="3" t="n"/>
    </row>
    <row r="12">
      <c r="A12" t="inlineStr">
        <is>
          <t>Effect Of Exchange Rate Changes</t>
        </is>
      </c>
      <c r="B12" s="3" t="n">
        <v>-1835000</v>
      </c>
      <c r="C12" s="3" t="n">
        <v>19402000</v>
      </c>
      <c r="D12" s="3" t="n">
        <v>-7799000</v>
      </c>
      <c r="E12" s="3" t="n">
        <v>2600000</v>
      </c>
      <c r="F12" s="3" t="n"/>
    </row>
    <row r="13">
      <c r="A13" t="inlineStr">
        <is>
          <t>Changes In Cash</t>
        </is>
      </c>
      <c r="B13" s="3" t="n">
        <v>164682000</v>
      </c>
      <c r="C13" s="3" t="n">
        <v>51258000</v>
      </c>
      <c r="D13" s="3" t="n">
        <v>-547798000</v>
      </c>
      <c r="E13" s="3" t="n">
        <v>-1793239000</v>
      </c>
      <c r="F13" s="3" t="n"/>
    </row>
    <row r="14">
      <c r="A14" t="inlineStr">
        <is>
          <t>Financing Cash Flow</t>
        </is>
      </c>
      <c r="B14" s="3" t="n">
        <v>629953000</v>
      </c>
      <c r="C14" s="3" t="n">
        <v>983170000</v>
      </c>
      <c r="D14" s="3" t="n">
        <v>6117000</v>
      </c>
      <c r="E14" s="3" t="n">
        <v>-77457000</v>
      </c>
      <c r="F14" s="3" t="n"/>
    </row>
    <row r="15">
      <c r="A15" t="inlineStr">
        <is>
          <t>Cash Flow From Continuing Financing Activities</t>
        </is>
      </c>
      <c r="B15" s="3" t="n">
        <v>629953000</v>
      </c>
      <c r="C15" s="3" t="n">
        <v>983170000</v>
      </c>
      <c r="D15" s="3" t="n">
        <v>6117000</v>
      </c>
      <c r="E15" s="3" t="n">
        <v>-77457000</v>
      </c>
      <c r="F15" s="3" t="n"/>
    </row>
    <row r="16">
      <c r="A16" t="inlineStr">
        <is>
          <t>Net Other Financing Charges</t>
        </is>
      </c>
      <c r="B16" s="3" t="n">
        <v>-20468000</v>
      </c>
      <c r="C16" s="3" t="n">
        <v>-11653000</v>
      </c>
      <c r="D16" s="3" t="n">
        <v>-20112000</v>
      </c>
      <c r="E16" s="3" t="n">
        <v>-26402000</v>
      </c>
      <c r="F16" s="3" t="n"/>
    </row>
    <row r="17">
      <c r="A17" t="inlineStr">
        <is>
          <t>Proceeds From Stock Option Exercised</t>
        </is>
      </c>
      <c r="B17" s="3" t="n">
        <v>392237000</v>
      </c>
      <c r="C17" s="3" t="n">
        <v>154000</v>
      </c>
      <c r="D17" s="3" t="n">
        <v>1613000</v>
      </c>
      <c r="E17" s="3" t="n">
        <v>2301000</v>
      </c>
      <c r="F17" s="3" t="n"/>
    </row>
    <row r="18">
      <c r="A18" t="inlineStr">
        <is>
          <t>Net Preferred Stock Issuance</t>
        </is>
      </c>
      <c r="B18" s="3" t="n"/>
      <c r="C18" s="3" t="n"/>
      <c r="D18" s="3" t="n"/>
      <c r="E18" s="3" t="n"/>
      <c r="F18" s="3" t="n">
        <v>0</v>
      </c>
    </row>
    <row r="19">
      <c r="A19" t="inlineStr">
        <is>
          <t>Preferred Stock Payments</t>
        </is>
      </c>
      <c r="B19" s="3" t="n"/>
      <c r="C19" s="3" t="n"/>
      <c r="D19" s="3" t="n"/>
      <c r="E19" s="3" t="n"/>
      <c r="F19" s="3" t="n">
        <v>0</v>
      </c>
    </row>
    <row r="20">
      <c r="A20" t="inlineStr">
        <is>
          <t>Net Common Stock Issuance</t>
        </is>
      </c>
      <c r="B20" s="3" t="n">
        <v>328422000</v>
      </c>
      <c r="C20" s="3" t="n">
        <v>857872000</v>
      </c>
      <c r="D20" s="3" t="n">
        <v>0</v>
      </c>
      <c r="E20" s="3" t="n">
        <v>0</v>
      </c>
      <c r="F20" s="3" t="n"/>
    </row>
    <row r="21">
      <c r="A21" t="inlineStr">
        <is>
          <t>Common Stock Issuance</t>
        </is>
      </c>
      <c r="B21" s="3" t="n">
        <v>328422000</v>
      </c>
      <c r="C21" s="3" t="n">
        <v>857872000</v>
      </c>
      <c r="D21" s="3" t="n">
        <v>0</v>
      </c>
      <c r="E21" s="3" t="n">
        <v>0</v>
      </c>
      <c r="F21" s="3" t="n"/>
    </row>
    <row r="22">
      <c r="A22" t="inlineStr">
        <is>
          <t>Net Issuance Payments Of Debt</t>
        </is>
      </c>
      <c r="B22" s="3" t="n">
        <v>-70238000</v>
      </c>
      <c r="C22" s="3" t="n">
        <v>136797000</v>
      </c>
      <c r="D22" s="3" t="n">
        <v>24616000</v>
      </c>
      <c r="E22" s="3" t="n">
        <v>-53356000</v>
      </c>
      <c r="F22" s="3" t="n"/>
    </row>
    <row r="23">
      <c r="A23" t="inlineStr">
        <is>
          <t>Net Long Term Debt Issuance</t>
        </is>
      </c>
      <c r="B23" s="3" t="n">
        <v>-70238000</v>
      </c>
      <c r="C23" s="3" t="n">
        <v>136797000</v>
      </c>
      <c r="D23" s="3" t="n">
        <v>24616000</v>
      </c>
      <c r="E23" s="3" t="n">
        <v>-53356000</v>
      </c>
      <c r="F23" s="3" t="n"/>
    </row>
    <row r="24">
      <c r="A24" t="inlineStr">
        <is>
          <t>Long Term Debt Payments</t>
        </is>
      </c>
      <c r="B24" s="3" t="n">
        <v>-713528000</v>
      </c>
      <c r="C24" s="3" t="n">
        <v>-113490000</v>
      </c>
      <c r="D24" s="3" t="n">
        <v>-79635000</v>
      </c>
      <c r="E24" s="3" t="n">
        <v>-176242000</v>
      </c>
      <c r="F24" s="3" t="n"/>
    </row>
    <row r="25">
      <c r="A25" t="inlineStr">
        <is>
          <t>Long Term Debt Issuance</t>
        </is>
      </c>
      <c r="B25" s="3" t="n">
        <v>643290000</v>
      </c>
      <c r="C25" s="3" t="n">
        <v>250287000</v>
      </c>
      <c r="D25" s="3" t="n">
        <v>104251000</v>
      </c>
      <c r="E25" s="3" t="n">
        <v>122886000</v>
      </c>
      <c r="F25" s="3" t="n"/>
    </row>
    <row r="26">
      <c r="A26" t="inlineStr">
        <is>
          <t>Investing Cash Flow</t>
        </is>
      </c>
      <c r="B26" s="3" t="n">
        <v>-139008000</v>
      </c>
      <c r="C26" s="3" t="n">
        <v>-402364000</v>
      </c>
      <c r="D26" s="3" t="n">
        <v>728052000</v>
      </c>
      <c r="E26" s="3" t="n">
        <v>-679370000</v>
      </c>
      <c r="F26" s="3" t="n"/>
    </row>
    <row r="27">
      <c r="A27" t="inlineStr">
        <is>
          <t>Cash Flow From Continuing Investing Activities</t>
        </is>
      </c>
      <c r="B27" s="3" t="n">
        <v>-139008000</v>
      </c>
      <c r="C27" s="3" t="n">
        <v>-402364000</v>
      </c>
      <c r="D27" s="3" t="n">
        <v>728052000</v>
      </c>
      <c r="E27" s="3" t="n">
        <v>-679370000</v>
      </c>
      <c r="F27" s="3" t="n"/>
    </row>
    <row r="28">
      <c r="A28" t="inlineStr">
        <is>
          <t>Interest Received Cfi</t>
        </is>
      </c>
      <c r="B28" s="3" t="n">
        <v>6500000</v>
      </c>
      <c r="C28" s="3" t="n">
        <v>0</v>
      </c>
      <c r="D28" s="3" t="n">
        <v>0</v>
      </c>
      <c r="E28" s="3" t="n"/>
      <c r="F28" s="3" t="n"/>
    </row>
    <row r="29">
      <c r="A29" t="inlineStr">
        <is>
          <t>Net Investment Purchase And Sale</t>
        </is>
      </c>
      <c r="B29" s="3" t="n">
        <v>0</v>
      </c>
      <c r="C29" s="3" t="n">
        <v>0</v>
      </c>
      <c r="D29" s="3" t="n">
        <v>1495675000</v>
      </c>
      <c r="E29" s="3" t="n">
        <v>-120067000</v>
      </c>
      <c r="F29" s="3" t="n"/>
    </row>
    <row r="30">
      <c r="A30" t="inlineStr">
        <is>
          <t>Sale Of Investment</t>
        </is>
      </c>
      <c r="B30" s="3" t="n">
        <v>0</v>
      </c>
      <c r="C30" s="3" t="n">
        <v>0</v>
      </c>
      <c r="D30" s="3" t="n">
        <v>1495675000</v>
      </c>
      <c r="E30" s="3" t="n">
        <v>723555000</v>
      </c>
      <c r="F30" s="3" t="n"/>
    </row>
    <row r="31">
      <c r="A31" t="inlineStr">
        <is>
          <t>Purchase Of Investment</t>
        </is>
      </c>
      <c r="B31" s="3" t="n"/>
      <c r="C31" s="3" t="n">
        <v>0</v>
      </c>
      <c r="D31" s="3" t="n">
        <v>0</v>
      </c>
      <c r="E31" s="3" t="n">
        <v>-843622000</v>
      </c>
      <c r="F31" s="3" t="n">
        <v>-3329165000</v>
      </c>
    </row>
    <row r="32">
      <c r="A32" t="inlineStr">
        <is>
          <t>Net Business Purchase And Sale</t>
        </is>
      </c>
      <c r="B32" s="3" t="n">
        <v>-19868000</v>
      </c>
      <c r="C32" s="3" t="n">
        <v>-68616000</v>
      </c>
      <c r="D32" s="3" t="n">
        <v>-72601000</v>
      </c>
      <c r="E32" s="3" t="n">
        <v>-95430000</v>
      </c>
      <c r="F32" s="3" t="n"/>
    </row>
    <row r="33">
      <c r="A33" t="inlineStr">
        <is>
          <t>Sale Of Business</t>
        </is>
      </c>
      <c r="B33" s="3" t="n"/>
      <c r="C33" s="3" t="n"/>
      <c r="D33" s="3" t="n"/>
      <c r="E33" s="3" t="n"/>
      <c r="F33" s="3" t="n">
        <v>28536000</v>
      </c>
    </row>
    <row r="34">
      <c r="A34" t="inlineStr">
        <is>
          <t>Purchase Of Business</t>
        </is>
      </c>
      <c r="B34" s="3" t="n">
        <v>-19868000</v>
      </c>
      <c r="C34" s="3" t="n">
        <v>-68616000</v>
      </c>
      <c r="D34" s="3" t="n">
        <v>-72601000</v>
      </c>
      <c r="E34" s="3" t="n">
        <v>-95430000</v>
      </c>
      <c r="F34" s="3" t="n"/>
    </row>
    <row r="35">
      <c r="A35" t="inlineStr">
        <is>
          <t>Net Intangibles Purchase And Sale</t>
        </is>
      </c>
      <c r="B35" s="3" t="n"/>
      <c r="C35" s="3" t="n"/>
      <c r="D35" s="3" t="n">
        <v>0</v>
      </c>
      <c r="E35" s="3" t="n">
        <v>0</v>
      </c>
      <c r="F35" s="3" t="n">
        <v>-928000</v>
      </c>
    </row>
    <row r="36">
      <c r="A36" t="inlineStr">
        <is>
          <t>Purchase Of Intangibles</t>
        </is>
      </c>
      <c r="B36" s="3" t="n"/>
      <c r="C36" s="3" t="n"/>
      <c r="D36" s="3" t="n">
        <v>0</v>
      </c>
      <c r="E36" s="3" t="n">
        <v>0</v>
      </c>
      <c r="F36" s="3" t="n">
        <v>-928000</v>
      </c>
    </row>
    <row r="37">
      <c r="A37" t="inlineStr">
        <is>
          <t>Net PPE Purchase And Sale</t>
        </is>
      </c>
      <c r="B37" s="3" t="n">
        <v>-125640000</v>
      </c>
      <c r="C37" s="3" t="n">
        <v>-333748000</v>
      </c>
      <c r="D37" s="3" t="n">
        <v>-695022000</v>
      </c>
      <c r="E37" s="3" t="n">
        <v>-463873000</v>
      </c>
      <c r="F37" s="3" t="n"/>
    </row>
    <row r="38">
      <c r="A38" t="inlineStr">
        <is>
          <t>Sale Of PPE</t>
        </is>
      </c>
      <c r="B38" s="3" t="n">
        <v>0</v>
      </c>
      <c r="C38" s="3" t="n">
        <v>500000</v>
      </c>
      <c r="D38" s="3" t="n">
        <v>1104000</v>
      </c>
      <c r="E38" s="3" t="n">
        <v>0</v>
      </c>
      <c r="F38" s="3" t="n"/>
    </row>
    <row r="39">
      <c r="A39" t="inlineStr">
        <is>
          <t>Purchase Of PPE</t>
        </is>
      </c>
      <c r="B39" s="3" t="n">
        <v>-125640000</v>
      </c>
      <c r="C39" s="3" t="n">
        <v>-334248000</v>
      </c>
      <c r="D39" s="3" t="n">
        <v>-696126000</v>
      </c>
      <c r="E39" s="3" t="n">
        <v>-463873000</v>
      </c>
      <c r="F39" s="3" t="n"/>
    </row>
    <row r="40">
      <c r="A40" t="inlineStr">
        <is>
          <t>Operating Cash Flow</t>
        </is>
      </c>
      <c r="B40" s="3" t="n">
        <v>-535835000</v>
      </c>
      <c r="C40" s="3" t="n">
        <v>-728643000</v>
      </c>
      <c r="D40" s="3" t="n">
        <v>-1106570000</v>
      </c>
      <c r="E40" s="3" t="n">
        <v>-828623000</v>
      </c>
      <c r="F40" s="3" t="n"/>
    </row>
    <row r="41">
      <c r="A41" t="inlineStr">
        <is>
          <t>Cash Flow From Continuing Operating Activities</t>
        </is>
      </c>
      <c r="B41" s="3" t="n">
        <v>-535835000</v>
      </c>
      <c r="C41" s="3" t="n">
        <v>-728643000</v>
      </c>
      <c r="D41" s="3" t="n">
        <v>-1106570000</v>
      </c>
      <c r="E41" s="3" t="n">
        <v>-828623000</v>
      </c>
      <c r="F41" s="3" t="n"/>
    </row>
    <row r="42">
      <c r="A42" t="inlineStr">
        <is>
          <t>Change In Working Capital</t>
        </is>
      </c>
      <c r="B42" s="3" t="n">
        <v>4230000</v>
      </c>
      <c r="C42" s="3" t="n">
        <v>8135000</v>
      </c>
      <c r="D42" s="3" t="n">
        <v>-458982000</v>
      </c>
      <c r="E42" s="3" t="n">
        <v>-399549000</v>
      </c>
      <c r="F42" s="3" t="n"/>
    </row>
    <row r="43">
      <c r="A43" t="inlineStr">
        <is>
          <t>Change In Other Working Capital</t>
        </is>
      </c>
      <c r="B43" s="3" t="n">
        <v>-108754000</v>
      </c>
      <c r="C43" s="3" t="n">
        <v>-85677000</v>
      </c>
      <c r="D43" s="3" t="n">
        <v>58404000</v>
      </c>
      <c r="E43" s="3" t="n">
        <v>40615000</v>
      </c>
      <c r="F43" s="3" t="n"/>
    </row>
    <row r="44">
      <c r="A44" t="inlineStr">
        <is>
          <t>Change In Other Current Liabilities</t>
        </is>
      </c>
      <c r="B44" s="3" t="n">
        <v>-23815000</v>
      </c>
      <c r="C44" s="3" t="n">
        <v>-5343000</v>
      </c>
      <c r="D44" s="3" t="n">
        <v>0</v>
      </c>
      <c r="E44" s="3" t="n">
        <v>0</v>
      </c>
      <c r="F44" s="3" t="n"/>
    </row>
    <row r="45">
      <c r="A45" t="inlineStr">
        <is>
          <t>Change In Payables And Accrued Expense</t>
        </is>
      </c>
      <c r="B45" s="3" t="n">
        <v>83678000</v>
      </c>
      <c r="C45" s="3" t="n">
        <v>-59464000</v>
      </c>
      <c r="D45" s="3" t="n">
        <v>21722000</v>
      </c>
      <c r="E45" s="3" t="n">
        <v>88458000</v>
      </c>
      <c r="F45" s="3" t="n"/>
    </row>
    <row r="46">
      <c r="A46" t="inlineStr">
        <is>
          <t>Change In Accrued Expense</t>
        </is>
      </c>
      <c r="B46" s="3" t="n"/>
      <c r="C46" s="3" t="n">
        <v>-85677000</v>
      </c>
      <c r="D46" s="3" t="n">
        <v>58404000</v>
      </c>
      <c r="E46" s="3" t="n">
        <v>40615000</v>
      </c>
      <c r="F46" s="3" t="n"/>
    </row>
    <row r="47">
      <c r="A47" t="inlineStr">
        <is>
          <t>Change In Payable</t>
        </is>
      </c>
      <c r="B47" s="3" t="n">
        <v>83678000</v>
      </c>
      <c r="C47" s="3" t="n">
        <v>-59464000</v>
      </c>
      <c r="D47" s="3" t="n">
        <v>21722000</v>
      </c>
      <c r="E47" s="3" t="n">
        <v>88458000</v>
      </c>
      <c r="F47" s="3" t="n"/>
    </row>
    <row r="48">
      <c r="A48" t="inlineStr">
        <is>
          <t>Change In Account Payable</t>
        </is>
      </c>
      <c r="B48" s="3" t="n">
        <v>83678000</v>
      </c>
      <c r="C48" s="3" t="n">
        <v>-59464000</v>
      </c>
      <c r="D48" s="3" t="n">
        <v>21722000</v>
      </c>
      <c r="E48" s="3" t="n">
        <v>88458000</v>
      </c>
      <c r="F48" s="3" t="n"/>
    </row>
    <row r="49">
      <c r="A49" t="inlineStr">
        <is>
          <t>Change In Prepaid Assets</t>
        </is>
      </c>
      <c r="B49" s="3" t="n">
        <v>24779000</v>
      </c>
      <c r="C49" s="3" t="n">
        <v>-31175000</v>
      </c>
      <c r="D49" s="3" t="n">
        <v>32549000</v>
      </c>
      <c r="E49" s="3" t="n">
        <v>-92521000</v>
      </c>
      <c r="F49" s="3" t="n"/>
    </row>
    <row r="50">
      <c r="A50" t="inlineStr">
        <is>
          <t>Change In Inventory</t>
        </is>
      </c>
      <c r="B50" s="3" t="n">
        <v>51894000</v>
      </c>
      <c r="C50" s="3" t="n">
        <v>129291000</v>
      </c>
      <c r="D50" s="3" t="n">
        <v>-408631000</v>
      </c>
      <c r="E50" s="3" t="n">
        <v>-365666000</v>
      </c>
      <c r="F50" s="3" t="n"/>
    </row>
    <row r="51">
      <c r="A51" t="inlineStr">
        <is>
          <t>Change In Receivables</t>
        </is>
      </c>
      <c r="B51" s="3" t="n">
        <v>-47367000</v>
      </c>
      <c r="C51" s="3" t="n">
        <v>55160000</v>
      </c>
      <c r="D51" s="3" t="n">
        <v>-163026000</v>
      </c>
      <c r="E51" s="3" t="n">
        <v>-70435000</v>
      </c>
      <c r="F51" s="3" t="n"/>
    </row>
    <row r="52">
      <c r="A52" t="inlineStr">
        <is>
          <t>Changes In Account Receivables</t>
        </is>
      </c>
      <c r="B52" s="3" t="n">
        <v>-5351000</v>
      </c>
      <c r="C52" s="3" t="n">
        <v>57653000</v>
      </c>
      <c r="D52" s="3" t="n">
        <v>-122768000</v>
      </c>
      <c r="E52" s="3" t="n">
        <v>-30920000</v>
      </c>
      <c r="F52" s="3" t="n"/>
    </row>
    <row r="53">
      <c r="A53" t="inlineStr">
        <is>
          <t>Other Non Cash Items</t>
        </is>
      </c>
      <c r="B53" s="3" t="n">
        <v>8025000</v>
      </c>
      <c r="C53" s="3" t="n">
        <v>134917000</v>
      </c>
      <c r="D53" s="3" t="n">
        <v>170117000</v>
      </c>
      <c r="E53" s="3" t="n">
        <v>3675000</v>
      </c>
      <c r="F53" s="3" t="n"/>
    </row>
    <row r="54">
      <c r="A54" t="inlineStr">
        <is>
          <t>Stock Based Compensation</t>
        </is>
      </c>
      <c r="B54" s="3" t="n">
        <v>50545000</v>
      </c>
      <c r="C54" s="3" t="n">
        <v>82203000</v>
      </c>
      <c r="D54" s="3" t="n">
        <v>162908000</v>
      </c>
      <c r="E54" s="3" t="n">
        <v>179627000</v>
      </c>
      <c r="F54" s="3" t="n"/>
    </row>
    <row r="55">
      <c r="A55" t="inlineStr">
        <is>
          <t>Unrealized Gain Loss On Investment Securities</t>
        </is>
      </c>
      <c r="B55" s="3" t="n">
        <v>196482000</v>
      </c>
      <c r="C55" s="3" t="n">
        <v>0</v>
      </c>
      <c r="D55" s="3" t="n">
        <v>-11421000</v>
      </c>
      <c r="E55" s="3" t="n">
        <v>18159000</v>
      </c>
      <c r="F55" s="3" t="n"/>
    </row>
    <row r="56">
      <c r="A56" t="inlineStr">
        <is>
          <t>Provisionand Write Offof Assets</t>
        </is>
      </c>
      <c r="B56" s="3" t="n">
        <v>47542000</v>
      </c>
      <c r="C56" s="3" t="n">
        <v>28914000</v>
      </c>
      <c r="D56" s="3" t="n">
        <v>8407000</v>
      </c>
      <c r="E56" s="3" t="n">
        <v>0</v>
      </c>
      <c r="F56" s="3" t="n"/>
    </row>
    <row r="57">
      <c r="A57" t="inlineStr">
        <is>
          <t>Asset Impairment Charge</t>
        </is>
      </c>
      <c r="B57" s="3" t="n">
        <v>798639000</v>
      </c>
      <c r="C57" s="3" t="n">
        <v>949315000</v>
      </c>
      <c r="D57" s="3" t="n">
        <v>269494000</v>
      </c>
      <c r="E57" s="3" t="n">
        <v>5218000</v>
      </c>
      <c r="F57" s="3" t="n"/>
    </row>
    <row r="58">
      <c r="A58" t="inlineStr">
        <is>
          <t>Amortization Of Securities</t>
        </is>
      </c>
      <c r="B58" s="3" t="n">
        <v>0</v>
      </c>
      <c r="C58" s="3" t="n">
        <v>0</v>
      </c>
      <c r="D58" s="3" t="n">
        <v>-6610000</v>
      </c>
      <c r="E58" s="3" t="n">
        <v>990000</v>
      </c>
      <c r="F58" s="3" t="n"/>
    </row>
    <row r="59">
      <c r="A59" t="inlineStr">
        <is>
          <t>Deferred Tax</t>
        </is>
      </c>
      <c r="B59" s="3" t="n">
        <v>10000</v>
      </c>
      <c r="C59" s="3" t="n">
        <v>-3155000</v>
      </c>
      <c r="D59" s="3" t="n">
        <v>-8534000</v>
      </c>
      <c r="E59" s="3" t="n">
        <v>170000</v>
      </c>
      <c r="F59" s="3" t="n"/>
    </row>
    <row r="60">
      <c r="A60" t="inlineStr">
        <is>
          <t>Deferred Income Tax</t>
        </is>
      </c>
      <c r="B60" s="3" t="n">
        <v>10000</v>
      </c>
      <c r="C60" s="3" t="n">
        <v>-3155000</v>
      </c>
      <c r="D60" s="3" t="n">
        <v>-8534000</v>
      </c>
      <c r="E60" s="3" t="n">
        <v>170000</v>
      </c>
      <c r="F60" s="3" t="n"/>
    </row>
    <row r="61">
      <c r="A61" t="inlineStr">
        <is>
          <t>Depreciation Amortization Depletion</t>
        </is>
      </c>
      <c r="B61" s="3" t="n">
        <v>44560000</v>
      </c>
      <c r="C61" s="3" t="n">
        <v>84556000</v>
      </c>
      <c r="D61" s="3" t="n">
        <v>71083000</v>
      </c>
      <c r="E61" s="3" t="n">
        <v>51597000</v>
      </c>
      <c r="F61" s="3" t="n"/>
    </row>
    <row r="62">
      <c r="A62" t="inlineStr">
        <is>
          <t>Depreciation And Amortization</t>
        </is>
      </c>
      <c r="B62" s="3" t="n">
        <v>44560000</v>
      </c>
      <c r="C62" s="3" t="n">
        <v>84556000</v>
      </c>
      <c r="D62" s="3" t="n">
        <v>71083000</v>
      </c>
      <c r="E62" s="3" t="n">
        <v>51597000</v>
      </c>
      <c r="F62" s="3" t="n"/>
    </row>
    <row r="63">
      <c r="A63" t="inlineStr">
        <is>
          <t>Amortization Cash Flow</t>
        </is>
      </c>
      <c r="B63" s="3" t="n">
        <v>6950000</v>
      </c>
      <c r="C63" s="3" t="n">
        <v>23441000</v>
      </c>
      <c r="D63" s="3" t="n">
        <v>19097000</v>
      </c>
      <c r="E63" s="3" t="n">
        <v>21195000</v>
      </c>
      <c r="F63" s="3" t="n"/>
    </row>
    <row r="64">
      <c r="A64" t="inlineStr">
        <is>
          <t>Amortization Of Intangibles</t>
        </is>
      </c>
      <c r="B64" s="3" t="n">
        <v>6950000</v>
      </c>
      <c r="C64" s="3" t="n">
        <v>23441000</v>
      </c>
      <c r="D64" s="3" t="n">
        <v>19097000</v>
      </c>
      <c r="E64" s="3" t="n">
        <v>21195000</v>
      </c>
      <c r="F64" s="3" t="n"/>
    </row>
    <row r="65">
      <c r="A65" t="inlineStr">
        <is>
          <t>Depreciation</t>
        </is>
      </c>
      <c r="B65" s="3" t="n">
        <v>37610000</v>
      </c>
      <c r="C65" s="3" t="n">
        <v>61115000</v>
      </c>
      <c r="D65" s="3" t="n">
        <v>51986000</v>
      </c>
      <c r="E65" s="3" t="n">
        <v>30402000</v>
      </c>
      <c r="F65" s="3" t="n"/>
    </row>
    <row r="66">
      <c r="A66" t="inlineStr">
        <is>
          <t>Operating Gains Losses</t>
        </is>
      </c>
      <c r="B66" s="3" t="n">
        <v>7800000</v>
      </c>
      <c r="C66" s="3" t="n">
        <v>91377000</v>
      </c>
      <c r="D66" s="3" t="n">
        <v>65801000</v>
      </c>
      <c r="E66" s="3" t="n">
        <v>35498000</v>
      </c>
      <c r="F66" s="3" t="n"/>
    </row>
    <row r="67">
      <c r="A67" t="inlineStr">
        <is>
          <t>Earnings Losses From Equity Investments</t>
        </is>
      </c>
      <c r="B67" s="3" t="n">
        <v>55061000</v>
      </c>
      <c r="C67" s="3" t="n">
        <v>32177000</v>
      </c>
      <c r="D67" s="3" t="n">
        <v>41786000</v>
      </c>
      <c r="E67" s="3" t="n">
        <v>20166000</v>
      </c>
      <c r="F67" s="3" t="n"/>
    </row>
    <row r="68">
      <c r="A68" t="inlineStr">
        <is>
          <t>Gain Loss On Investment Securities</t>
        </is>
      </c>
      <c r="B68" s="3" t="n">
        <v>-82698000</v>
      </c>
      <c r="C68" s="3" t="n">
        <v>40649000</v>
      </c>
      <c r="D68" s="3" t="n">
        <v>24015000</v>
      </c>
      <c r="E68" s="3" t="n">
        <v>14078000</v>
      </c>
      <c r="F68" s="3" t="n"/>
    </row>
    <row r="69">
      <c r="A69" t="inlineStr">
        <is>
          <t>Gain Loss On Sale Of PPE</t>
        </is>
      </c>
      <c r="B69" s="3" t="n">
        <v>3936000</v>
      </c>
      <c r="C69" s="3" t="n">
        <v>2885000</v>
      </c>
      <c r="D69" s="3" t="n">
        <v>0</v>
      </c>
      <c r="E69" s="3" t="n">
        <v>268000</v>
      </c>
      <c r="F69" s="3" t="n"/>
    </row>
    <row r="70">
      <c r="A70" t="inlineStr">
        <is>
          <t>Net Income From Continuing Operations</t>
        </is>
      </c>
      <c r="B70" s="3" t="n">
        <v>-1693668000</v>
      </c>
      <c r="C70" s="3" t="n">
        <v>-2104905000</v>
      </c>
      <c r="D70" s="3" t="n">
        <v>-1368833000</v>
      </c>
      <c r="E70" s="3" t="n">
        <v>-724008000</v>
      </c>
      <c r="F70" s="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Line item</t>
        </is>
      </c>
      <c r="B1" s="1" t="inlineStr">
        <is>
          <t>2026-03-31</t>
        </is>
      </c>
      <c r="C1" s="1" t="inlineStr">
        <is>
          <t>2025-12-31</t>
        </is>
      </c>
      <c r="D1" s="1" t="inlineStr">
        <is>
          <t>2025-09-30</t>
        </is>
      </c>
      <c r="E1" s="1" t="inlineStr">
        <is>
          <t>2025-06-30</t>
        </is>
      </c>
      <c r="F1" s="1" t="inlineStr">
        <is>
          <t>2025-03-31</t>
        </is>
      </c>
      <c r="G1" s="1" t="inlineStr">
        <is>
          <t>2024-12-31</t>
        </is>
      </c>
      <c r="H1" s="1" t="inlineStr">
        <is>
          <t>2024-09-30</t>
        </is>
      </c>
    </row>
    <row r="2">
      <c r="A2" t="inlineStr">
        <is>
          <t>Free Cash Flow</t>
        </is>
      </c>
      <c r="B2" s="3" t="n">
        <v>-158155000</v>
      </c>
      <c r="C2" s="3" t="n">
        <v>-157705000</v>
      </c>
      <c r="D2" s="3" t="n">
        <v>-119914000</v>
      </c>
      <c r="E2" s="3" t="n">
        <v>-232229000</v>
      </c>
      <c r="F2" s="3" t="n">
        <v>-151627000</v>
      </c>
      <c r="G2" s="3" t="n"/>
      <c r="H2" s="3" t="n"/>
    </row>
    <row r="3">
      <c r="A3" t="inlineStr">
        <is>
          <t>Repayment Of Debt</t>
        </is>
      </c>
      <c r="B3" s="3" t="n">
        <v>-29765000</v>
      </c>
      <c r="C3" s="3" t="n">
        <v>-446220000</v>
      </c>
      <c r="D3" s="3" t="n">
        <v>-76826000</v>
      </c>
      <c r="E3" s="3" t="n">
        <v>-121765000</v>
      </c>
      <c r="F3" s="3" t="n">
        <v>-68717000</v>
      </c>
      <c r="G3" s="3" t="n"/>
      <c r="H3" s="3" t="n"/>
    </row>
    <row r="4">
      <c r="A4" t="inlineStr">
        <is>
          <t>Issuance Of Debt</t>
        </is>
      </c>
      <c r="B4" s="3" t="n"/>
      <c r="C4" s="3" t="n">
        <v>393915000</v>
      </c>
      <c r="D4" s="3" t="n">
        <v>49875000</v>
      </c>
      <c r="E4" s="3" t="n"/>
      <c r="F4" s="3" t="n"/>
      <c r="G4" s="3" t="n">
        <v>195871000</v>
      </c>
      <c r="H4" s="3" t="n">
        <v>54416000</v>
      </c>
    </row>
    <row r="5">
      <c r="A5" t="inlineStr">
        <is>
          <t>Issuance Of Capital Stock</t>
        </is>
      </c>
      <c r="B5" s="3" t="n">
        <v>0</v>
      </c>
      <c r="C5" s="3" t="n">
        <v>-23526000</v>
      </c>
      <c r="D5" s="3" t="n">
        <v>75756000</v>
      </c>
      <c r="E5" s="3" t="n">
        <v>139000</v>
      </c>
      <c r="F5" s="3" t="n">
        <v>276053000</v>
      </c>
      <c r="G5" s="3" t="n"/>
      <c r="H5" s="3" t="n"/>
    </row>
    <row r="6">
      <c r="A6" t="inlineStr">
        <is>
          <t>Capital Expenditure</t>
        </is>
      </c>
      <c r="B6" s="3" t="n">
        <v>-8114000</v>
      </c>
      <c r="C6" s="3" t="n">
        <v>-9062000</v>
      </c>
      <c r="D6" s="3" t="n">
        <v>-30100000</v>
      </c>
      <c r="E6" s="3" t="n">
        <v>-40419000</v>
      </c>
      <c r="F6" s="3" t="n">
        <v>-46059000</v>
      </c>
      <c r="G6" s="3" t="n"/>
      <c r="H6" s="3" t="n"/>
    </row>
    <row r="7">
      <c r="A7" t="inlineStr">
        <is>
          <t>Interest Paid Supplemental Data</t>
        </is>
      </c>
      <c r="B7" s="3" t="n">
        <v>8992000</v>
      </c>
      <c r="C7" s="3" t="n">
        <v>22332000</v>
      </c>
      <c r="D7" s="3" t="n">
        <v>9307000</v>
      </c>
      <c r="E7" s="3" t="n">
        <v>21342000</v>
      </c>
      <c r="F7" s="3" t="n">
        <v>6692000</v>
      </c>
      <c r="G7" s="3" t="n"/>
      <c r="H7" s="3" t="n"/>
    </row>
    <row r="8">
      <c r="A8" t="inlineStr">
        <is>
          <t>End Cash Position</t>
        </is>
      </c>
      <c r="B8" s="3" t="n">
        <v>802014000</v>
      </c>
      <c r="C8" s="3" t="n">
        <v>993984000</v>
      </c>
      <c r="D8" s="3" t="n">
        <v>849022000</v>
      </c>
      <c r="E8" s="3" t="n">
        <v>876801000</v>
      </c>
      <c r="F8" s="3" t="n">
        <v>1076611000</v>
      </c>
      <c r="G8" s="3" t="n"/>
      <c r="H8" s="3" t="n"/>
    </row>
    <row r="9">
      <c r="A9" t="inlineStr">
        <is>
          <t>Other Cash Adjustment Outside Changein Cash</t>
        </is>
      </c>
      <c r="B9" s="3" t="n">
        <v>-46619000</v>
      </c>
      <c r="C9" s="3" t="n">
        <v>-209572000</v>
      </c>
      <c r="D9" s="3" t="n">
        <v>0</v>
      </c>
      <c r="E9" s="3" t="n">
        <v>54249000</v>
      </c>
      <c r="F9" s="3" t="n">
        <v>-54249000</v>
      </c>
      <c r="G9" s="3" t="n"/>
      <c r="H9" s="3" t="n"/>
    </row>
    <row r="10">
      <c r="A10" t="inlineStr">
        <is>
          <t>Beginning Cash Position</t>
        </is>
      </c>
      <c r="B10" s="3" t="n">
        <v>993984000</v>
      </c>
      <c r="C10" s="3" t="n">
        <v>849022000</v>
      </c>
      <c r="D10" s="3" t="n">
        <v>876801000</v>
      </c>
      <c r="E10" s="3" t="n">
        <v>1076611000</v>
      </c>
      <c r="F10" s="3" t="n">
        <v>1040709000</v>
      </c>
      <c r="G10" s="3" t="n"/>
      <c r="H10" s="3" t="n"/>
    </row>
    <row r="11">
      <c r="A11" t="inlineStr">
        <is>
          <t>Effect Of Exchange Rate Changes</t>
        </is>
      </c>
      <c r="B11" s="3" t="n">
        <v>-1706000</v>
      </c>
      <c r="C11" s="3" t="n">
        <v>-1964000</v>
      </c>
      <c r="D11" s="3" t="n">
        <v>5407000</v>
      </c>
      <c r="E11" s="3" t="n">
        <v>-89000</v>
      </c>
      <c r="F11" s="3" t="n">
        <v>-5189000</v>
      </c>
      <c r="G11" s="3" t="n"/>
      <c r="H11" s="3" t="n"/>
    </row>
    <row r="12">
      <c r="A12" t="inlineStr">
        <is>
          <t>Changes In Cash</t>
        </is>
      </c>
      <c r="B12" s="3" t="n">
        <v>-143645000</v>
      </c>
      <c r="C12" s="3" t="n">
        <v>356498000</v>
      </c>
      <c r="D12" s="3" t="n">
        <v>-33186000</v>
      </c>
      <c r="E12" s="3" t="n">
        <v>-253970000</v>
      </c>
      <c r="F12" s="3" t="n">
        <v>95340000</v>
      </c>
      <c r="G12" s="3" t="n"/>
      <c r="H12" s="3" t="n"/>
    </row>
    <row r="13">
      <c r="A13" t="inlineStr">
        <is>
          <t>Financing Cash Flow</t>
        </is>
      </c>
      <c r="B13" s="3" t="n">
        <v>-31742000</v>
      </c>
      <c r="C13" s="3" t="n">
        <v>316869000</v>
      </c>
      <c r="D13" s="3" t="n">
        <v>87020000</v>
      </c>
      <c r="E13" s="3" t="n">
        <v>32832000</v>
      </c>
      <c r="F13" s="3" t="n">
        <v>193232000</v>
      </c>
      <c r="G13" s="3" t="n"/>
      <c r="H13" s="3" t="n"/>
    </row>
    <row r="14">
      <c r="A14" t="inlineStr">
        <is>
          <t>Cash Flow From Continuing Financing Activities</t>
        </is>
      </c>
      <c r="B14" s="3" t="n">
        <v>-31742000</v>
      </c>
      <c r="C14" s="3" t="n">
        <v>316869000</v>
      </c>
      <c r="D14" s="3" t="n">
        <v>87020000</v>
      </c>
      <c r="E14" s="3" t="n">
        <v>32832000</v>
      </c>
      <c r="F14" s="3" t="n">
        <v>193232000</v>
      </c>
      <c r="G14" s="3" t="n"/>
      <c r="H14" s="3" t="n"/>
    </row>
    <row r="15">
      <c r="A15" t="inlineStr">
        <is>
          <t>Net Other Financing Charges</t>
        </is>
      </c>
      <c r="B15" s="3" t="n">
        <v>-2067000</v>
      </c>
      <c r="C15" s="3" t="n">
        <v>474000</v>
      </c>
      <c r="D15" s="3" t="n">
        <v>38204000</v>
      </c>
      <c r="E15" s="3" t="n">
        <v>-45042000</v>
      </c>
      <c r="F15" s="3" t="n">
        <v>-14104000</v>
      </c>
      <c r="G15" s="3" t="n"/>
      <c r="H15" s="3" t="n"/>
    </row>
    <row r="16">
      <c r="A16" t="inlineStr">
        <is>
          <t>Proceeds From Stock Option Exercised</t>
        </is>
      </c>
      <c r="B16" s="3" t="n">
        <v>90000</v>
      </c>
      <c r="C16" s="3" t="n">
        <v>392226000</v>
      </c>
      <c r="D16" s="3" t="n">
        <v>11000</v>
      </c>
      <c r="E16" s="3" t="n">
        <v>0</v>
      </c>
      <c r="F16" s="3" t="n">
        <v>0</v>
      </c>
      <c r="G16" s="3" t="n"/>
      <c r="H16" s="3" t="n"/>
    </row>
    <row r="17">
      <c r="A17" t="inlineStr">
        <is>
          <t>Net Common Stock Issuance</t>
        </is>
      </c>
      <c r="B17" s="3" t="n">
        <v>0</v>
      </c>
      <c r="C17" s="3" t="n">
        <v>-23526000</v>
      </c>
      <c r="D17" s="3" t="n">
        <v>75756000</v>
      </c>
      <c r="E17" s="3" t="n">
        <v>139000</v>
      </c>
      <c r="F17" s="3" t="n">
        <v>276053000</v>
      </c>
      <c r="G17" s="3" t="n"/>
      <c r="H17" s="3" t="n"/>
    </row>
    <row r="18">
      <c r="A18" t="inlineStr">
        <is>
          <t>Common Stock Issuance</t>
        </is>
      </c>
      <c r="B18" s="3" t="n">
        <v>0</v>
      </c>
      <c r="C18" s="3" t="n">
        <v>-23526000</v>
      </c>
      <c r="D18" s="3" t="n">
        <v>75756000</v>
      </c>
      <c r="E18" s="3" t="n">
        <v>139000</v>
      </c>
      <c r="F18" s="3" t="n">
        <v>276053000</v>
      </c>
      <c r="G18" s="3" t="n"/>
      <c r="H18" s="3" t="n"/>
    </row>
    <row r="19">
      <c r="A19" t="inlineStr">
        <is>
          <t>Net Issuance Payments Of Debt</t>
        </is>
      </c>
      <c r="B19" s="3" t="n">
        <v>-29765000</v>
      </c>
      <c r="C19" s="3" t="n">
        <v>-52305000</v>
      </c>
      <c r="D19" s="3" t="n">
        <v>-26951000</v>
      </c>
      <c r="E19" s="3" t="n">
        <v>77735000</v>
      </c>
      <c r="F19" s="3" t="n">
        <v>-68717000</v>
      </c>
      <c r="G19" s="3" t="n"/>
      <c r="H19" s="3" t="n"/>
    </row>
    <row r="20">
      <c r="A20" t="inlineStr">
        <is>
          <t>Net Long Term Debt Issuance</t>
        </is>
      </c>
      <c r="B20" s="3" t="n">
        <v>-29765000</v>
      </c>
      <c r="C20" s="3" t="n">
        <v>-52305000</v>
      </c>
      <c r="D20" s="3" t="n">
        <v>-26951000</v>
      </c>
      <c r="E20" s="3" t="n">
        <v>77735000</v>
      </c>
      <c r="F20" s="3" t="n">
        <v>-68717000</v>
      </c>
      <c r="G20" s="3" t="n"/>
      <c r="H20" s="3" t="n"/>
    </row>
    <row r="21">
      <c r="A21" t="inlineStr">
        <is>
          <t>Long Term Debt Payments</t>
        </is>
      </c>
      <c r="B21" s="3" t="n">
        <v>-29765000</v>
      </c>
      <c r="C21" s="3" t="n">
        <v>-446220000</v>
      </c>
      <c r="D21" s="3" t="n">
        <v>-76826000</v>
      </c>
      <c r="E21" s="3" t="n">
        <v>-121765000</v>
      </c>
      <c r="F21" s="3" t="n">
        <v>-68717000</v>
      </c>
      <c r="G21" s="3" t="n"/>
      <c r="H21" s="3" t="n"/>
    </row>
    <row r="22">
      <c r="A22" t="inlineStr">
        <is>
          <t>Long Term Debt Issuance</t>
        </is>
      </c>
      <c r="B22" s="3" t="n"/>
      <c r="C22" s="3" t="n">
        <v>393915000</v>
      </c>
      <c r="D22" s="3" t="n">
        <v>49875000</v>
      </c>
      <c r="E22" s="3" t="n"/>
      <c r="F22" s="3" t="n"/>
      <c r="G22" s="3" t="n">
        <v>195871000</v>
      </c>
      <c r="H22" s="3" t="n">
        <v>54416000</v>
      </c>
    </row>
    <row r="23">
      <c r="A23" t="inlineStr">
        <is>
          <t>Investing Cash Flow</t>
        </is>
      </c>
      <c r="B23" s="3" t="n">
        <v>-8481000</v>
      </c>
      <c r="C23" s="3" t="n">
        <v>-21300000</v>
      </c>
      <c r="D23" s="3" t="n">
        <v>-30392000</v>
      </c>
      <c r="E23" s="3" t="n">
        <v>-40743000</v>
      </c>
      <c r="F23" s="3" t="n">
        <v>-46573000</v>
      </c>
      <c r="G23" s="3" t="n"/>
      <c r="H23" s="3" t="n"/>
    </row>
    <row r="24">
      <c r="A24" t="inlineStr">
        <is>
          <t>Cash Flow From Continuing Investing Activities</t>
        </is>
      </c>
      <c r="B24" s="3" t="n">
        <v>-8481000</v>
      </c>
      <c r="C24" s="3" t="n">
        <v>-21300000</v>
      </c>
      <c r="D24" s="3" t="n">
        <v>-30392000</v>
      </c>
      <c r="E24" s="3" t="n">
        <v>-40743000</v>
      </c>
      <c r="F24" s="3" t="n">
        <v>-46573000</v>
      </c>
      <c r="G24" s="3" t="n"/>
      <c r="H24" s="3" t="n"/>
    </row>
    <row r="25">
      <c r="A25" t="inlineStr">
        <is>
          <t>Net Investment Purchase And Sale</t>
        </is>
      </c>
      <c r="B25" s="3" t="n"/>
      <c r="C25" s="3" t="n"/>
      <c r="D25" s="3" t="n"/>
      <c r="E25" s="3" t="n"/>
      <c r="F25" s="3" t="n"/>
      <c r="G25" s="3" t="n">
        <v>0</v>
      </c>
      <c r="H25" s="3" t="n">
        <v>0</v>
      </c>
    </row>
    <row r="26">
      <c r="A26" t="inlineStr">
        <is>
          <t>Sale Of Investment</t>
        </is>
      </c>
      <c r="B26" s="3" t="n"/>
      <c r="C26" s="3" t="n"/>
      <c r="D26" s="3" t="n"/>
      <c r="E26" s="3" t="n"/>
      <c r="F26" s="3" t="n"/>
      <c r="G26" s="3" t="n">
        <v>0</v>
      </c>
      <c r="H26" s="3" t="n">
        <v>0</v>
      </c>
    </row>
    <row r="27">
      <c r="A27" t="inlineStr">
        <is>
          <t>Net Business Purchase And Sale</t>
        </is>
      </c>
      <c r="B27" s="3" t="n">
        <v>-367000</v>
      </c>
      <c r="C27" s="3" t="n">
        <v>-18738000</v>
      </c>
      <c r="D27" s="3" t="n">
        <v>-292000</v>
      </c>
      <c r="E27" s="3" t="n">
        <v>-324000</v>
      </c>
      <c r="F27" s="3" t="n">
        <v>-514000</v>
      </c>
      <c r="G27" s="3" t="n"/>
      <c r="H27" s="3" t="n"/>
    </row>
    <row r="28">
      <c r="A28" t="inlineStr">
        <is>
          <t>Purchase Of Business</t>
        </is>
      </c>
      <c r="B28" s="3" t="n">
        <v>-367000</v>
      </c>
      <c r="C28" s="3" t="n">
        <v>-18738000</v>
      </c>
      <c r="D28" s="3" t="n">
        <v>-292000</v>
      </c>
      <c r="E28" s="3" t="n">
        <v>-324000</v>
      </c>
      <c r="F28" s="3" t="n">
        <v>-514000</v>
      </c>
      <c r="G28" s="3" t="n"/>
      <c r="H28" s="3" t="n"/>
    </row>
    <row r="29">
      <c r="A29" t="inlineStr">
        <is>
          <t>Net PPE Purchase And Sale</t>
        </is>
      </c>
      <c r="B29" s="3" t="n">
        <v>-8114000</v>
      </c>
      <c r="C29" s="3" t="n">
        <v>-9062000</v>
      </c>
      <c r="D29" s="3" t="n">
        <v>-30100000</v>
      </c>
      <c r="E29" s="3" t="n">
        <v>-40419000</v>
      </c>
      <c r="F29" s="3" t="n">
        <v>-46059000</v>
      </c>
      <c r="G29" s="3" t="n"/>
      <c r="H29" s="3" t="n"/>
    </row>
    <row r="30">
      <c r="A30" t="inlineStr">
        <is>
          <t>Sale Of PPE</t>
        </is>
      </c>
      <c r="B30" s="3" t="n"/>
      <c r="C30" s="3" t="n">
        <v>0</v>
      </c>
      <c r="D30" s="3" t="n"/>
      <c r="E30" s="3" t="n"/>
      <c r="F30" s="3" t="n"/>
      <c r="G30" s="3" t="n">
        <v>0</v>
      </c>
      <c r="H30" s="3" t="n"/>
    </row>
    <row r="31">
      <c r="A31" t="inlineStr">
        <is>
          <t>Purchase Of PPE</t>
        </is>
      </c>
      <c r="B31" s="3" t="n">
        <v>-8114000</v>
      </c>
      <c r="C31" s="3" t="n">
        <v>-9062000</v>
      </c>
      <c r="D31" s="3" t="n">
        <v>-30100000</v>
      </c>
      <c r="E31" s="3" t="n">
        <v>-40419000</v>
      </c>
      <c r="F31" s="3" t="n">
        <v>-46059000</v>
      </c>
      <c r="G31" s="3" t="n"/>
      <c r="H31" s="3" t="n"/>
    </row>
    <row r="32">
      <c r="A32" t="inlineStr">
        <is>
          <t>Operating Cash Flow</t>
        </is>
      </c>
      <c r="B32" s="3" t="n">
        <v>-150041000</v>
      </c>
      <c r="C32" s="3" t="n">
        <v>-148643000</v>
      </c>
      <c r="D32" s="3" t="n">
        <v>-89814000</v>
      </c>
      <c r="E32" s="3" t="n">
        <v>-191810000</v>
      </c>
      <c r="F32" s="3" t="n">
        <v>-105568000</v>
      </c>
      <c r="G32" s="3" t="n"/>
      <c r="H32" s="3" t="n"/>
    </row>
    <row r="33">
      <c r="A33" t="inlineStr">
        <is>
          <t>Cash Flow From Continuing Operating Activities</t>
        </is>
      </c>
      <c r="B33" s="3" t="n">
        <v>-150041000</v>
      </c>
      <c r="C33" s="3" t="n">
        <v>-148643000</v>
      </c>
      <c r="D33" s="3" t="n">
        <v>-89814000</v>
      </c>
      <c r="E33" s="3" t="n">
        <v>-191810000</v>
      </c>
      <c r="F33" s="3" t="n">
        <v>-105568000</v>
      </c>
      <c r="G33" s="3" t="n"/>
      <c r="H33" s="3" t="n"/>
    </row>
    <row r="34">
      <c r="A34" t="inlineStr">
        <is>
          <t>Change In Working Capital</t>
        </is>
      </c>
      <c r="B34" s="3" t="n">
        <v>-34482000</v>
      </c>
      <c r="C34" s="3" t="n">
        <v>-65441000</v>
      </c>
      <c r="D34" s="3" t="n">
        <v>62020000</v>
      </c>
      <c r="E34" s="3" t="n">
        <v>-53280000</v>
      </c>
      <c r="F34" s="3" t="n">
        <v>60931000</v>
      </c>
      <c r="G34" s="3" t="n"/>
      <c r="H34" s="3" t="n"/>
    </row>
    <row r="35">
      <c r="A35" t="inlineStr">
        <is>
          <t>Change In Other Working Capital</t>
        </is>
      </c>
      <c r="B35" s="3" t="n">
        <v>-2356000</v>
      </c>
      <c r="C35" s="3" t="n">
        <v>-21773000</v>
      </c>
      <c r="D35" s="3" t="n">
        <v>-32043000</v>
      </c>
      <c r="E35" s="3" t="n">
        <v>-33241000</v>
      </c>
      <c r="F35" s="3" t="n">
        <v>-21697000</v>
      </c>
      <c r="G35" s="3" t="n"/>
      <c r="H35" s="3" t="n"/>
    </row>
    <row r="36">
      <c r="A36" t="inlineStr">
        <is>
          <t>Change In Other Current Liabilities</t>
        </is>
      </c>
      <c r="B36" s="3" t="n"/>
      <c r="C36" s="3" t="n">
        <v>-6757000</v>
      </c>
      <c r="D36" s="3" t="n">
        <v>-5925000</v>
      </c>
      <c r="E36" s="3" t="n">
        <v>-5515000</v>
      </c>
      <c r="F36" s="3" t="n">
        <v>-5618000</v>
      </c>
      <c r="G36" s="3" t="n"/>
      <c r="H36" s="3" t="n">
        <v>0</v>
      </c>
    </row>
    <row r="37">
      <c r="A37" t="inlineStr">
        <is>
          <t>Change In Payables And Accrued Expense</t>
        </is>
      </c>
      <c r="B37" s="3" t="n">
        <v>-43343000</v>
      </c>
      <c r="C37" s="3" t="n">
        <v>3028000</v>
      </c>
      <c r="D37" s="3" t="n">
        <v>84727000</v>
      </c>
      <c r="E37" s="3" t="n">
        <v>-51655000</v>
      </c>
      <c r="F37" s="3" t="n">
        <v>47578000</v>
      </c>
      <c r="G37" s="3" t="n"/>
      <c r="H37" s="3" t="n"/>
    </row>
    <row r="38">
      <c r="A38" t="inlineStr">
        <is>
          <t>Change In Payable</t>
        </is>
      </c>
      <c r="B38" s="3" t="n">
        <v>-43343000</v>
      </c>
      <c r="C38" s="3" t="n">
        <v>3028000</v>
      </c>
      <c r="D38" s="3" t="n">
        <v>84727000</v>
      </c>
      <c r="E38" s="3" t="n">
        <v>-51655000</v>
      </c>
      <c r="F38" s="3" t="n">
        <v>47578000</v>
      </c>
      <c r="G38" s="3" t="n"/>
      <c r="H38" s="3" t="n"/>
    </row>
    <row r="39">
      <c r="A39" t="inlineStr">
        <is>
          <t>Change In Account Payable</t>
        </is>
      </c>
      <c r="B39" s="3" t="n">
        <v>-43343000</v>
      </c>
      <c r="C39" s="3" t="n">
        <v>3028000</v>
      </c>
      <c r="D39" s="3" t="n">
        <v>84727000</v>
      </c>
      <c r="E39" s="3" t="n">
        <v>-51655000</v>
      </c>
      <c r="F39" s="3" t="n">
        <v>47578000</v>
      </c>
      <c r="G39" s="3" t="n"/>
      <c r="H39" s="3" t="n"/>
    </row>
    <row r="40">
      <c r="A40" t="inlineStr">
        <is>
          <t>Change In Prepaid Assets</t>
        </is>
      </c>
      <c r="B40" s="3" t="n">
        <v>-9337000</v>
      </c>
      <c r="C40" s="3" t="n">
        <v>-6778000</v>
      </c>
      <c r="D40" s="3" t="n">
        <v>-10134000</v>
      </c>
      <c r="E40" s="3" t="n">
        <v>1115000</v>
      </c>
      <c r="F40" s="3" t="n">
        <v>40576000</v>
      </c>
      <c r="G40" s="3" t="n"/>
      <c r="H40" s="3" t="n"/>
    </row>
    <row r="41">
      <c r="A41" t="inlineStr">
        <is>
          <t>Change In Inventory</t>
        </is>
      </c>
      <c r="B41" s="3" t="n">
        <v>-6860000</v>
      </c>
      <c r="C41" s="3" t="n">
        <v>19373000</v>
      </c>
      <c r="D41" s="3" t="n">
        <v>16165000</v>
      </c>
      <c r="E41" s="3" t="n">
        <v>34713000</v>
      </c>
      <c r="F41" s="3" t="n">
        <v>-18357000</v>
      </c>
      <c r="G41" s="3" t="n"/>
      <c r="H41" s="3" t="n"/>
    </row>
    <row r="42">
      <c r="A42" t="inlineStr">
        <is>
          <t>Change In Receivables</t>
        </is>
      </c>
      <c r="B42" s="3" t="n">
        <v>27414000</v>
      </c>
      <c r="C42" s="3" t="n">
        <v>-59291000</v>
      </c>
      <c r="D42" s="3" t="n">
        <v>3305000</v>
      </c>
      <c r="E42" s="3" t="n">
        <v>-4212000</v>
      </c>
      <c r="F42" s="3" t="n">
        <v>12831000</v>
      </c>
      <c r="G42" s="3" t="n"/>
      <c r="H42" s="3" t="n"/>
    </row>
    <row r="43">
      <c r="A43" t="inlineStr">
        <is>
          <t>Changes In Account Receivables</t>
        </is>
      </c>
      <c r="B43" s="3" t="n">
        <v>25853000</v>
      </c>
      <c r="C43" s="3" t="n">
        <v>-21221000</v>
      </c>
      <c r="D43" s="3" t="n">
        <v>2041000</v>
      </c>
      <c r="E43" s="3" t="n">
        <v>1578000</v>
      </c>
      <c r="F43" s="3" t="n">
        <v>12251000</v>
      </c>
      <c r="G43" s="3" t="n"/>
      <c r="H43" s="3" t="n"/>
    </row>
    <row r="44">
      <c r="A44" t="inlineStr">
        <is>
          <t>Other Non Cash Items</t>
        </is>
      </c>
      <c r="B44" s="3" t="n">
        <v>-25578000</v>
      </c>
      <c r="C44" s="3" t="n">
        <v>-19489000</v>
      </c>
      <c r="D44" s="3" t="n">
        <v>60421000</v>
      </c>
      <c r="E44" s="3" t="n">
        <v>-14451000</v>
      </c>
      <c r="F44" s="3" t="n">
        <v>-18456000</v>
      </c>
      <c r="G44" s="3" t="n"/>
      <c r="H44" s="3" t="n"/>
    </row>
    <row r="45">
      <c r="A45" t="inlineStr">
        <is>
          <t>Stock Based Compensation</t>
        </is>
      </c>
      <c r="B45" s="3" t="n">
        <v>13938000</v>
      </c>
      <c r="C45" s="3" t="n">
        <v>14141000</v>
      </c>
      <c r="D45" s="3" t="n">
        <v>12237000</v>
      </c>
      <c r="E45" s="3" t="n">
        <v>13080000</v>
      </c>
      <c r="F45" s="3" t="n">
        <v>11087000</v>
      </c>
      <c r="G45" s="3" t="n"/>
      <c r="H45" s="3" t="n"/>
    </row>
    <row r="46">
      <c r="A46" t="inlineStr">
        <is>
          <t>Unrealized Gain Loss On Investment Securities</t>
        </is>
      </c>
      <c r="B46" s="3" t="n">
        <v>70782000</v>
      </c>
      <c r="C46" s="3" t="n">
        <v>198384000</v>
      </c>
      <c r="D46" s="3" t="n">
        <v>0</v>
      </c>
      <c r="E46" s="3" t="n">
        <v>-9240000</v>
      </c>
      <c r="F46" s="3" t="n">
        <v>7338000</v>
      </c>
      <c r="G46" s="3" t="n"/>
      <c r="H46" s="3" t="n"/>
    </row>
    <row r="47">
      <c r="A47" t="inlineStr">
        <is>
          <t>Provisionand Write Offof Assets</t>
        </is>
      </c>
      <c r="B47" s="3" t="n">
        <v>2394000</v>
      </c>
      <c r="C47" s="3" t="n">
        <v>29578000</v>
      </c>
      <c r="D47" s="3" t="n">
        <v>13292000</v>
      </c>
      <c r="E47" s="3" t="n">
        <v>4632000</v>
      </c>
      <c r="F47" s="3" t="n">
        <v>40000</v>
      </c>
      <c r="G47" s="3" t="n"/>
      <c r="H47" s="3" t="n"/>
    </row>
    <row r="48">
      <c r="A48" t="inlineStr">
        <is>
          <t>Asset Impairment Charge</t>
        </is>
      </c>
      <c r="B48" s="3" t="n">
        <v>3856000</v>
      </c>
      <c r="C48" s="3" t="n">
        <v>675516000</v>
      </c>
      <c r="D48" s="3" t="n">
        <v>101460000</v>
      </c>
      <c r="E48" s="3" t="n">
        <v>20599000</v>
      </c>
      <c r="F48" s="3" t="n">
        <v>1064000</v>
      </c>
      <c r="G48" s="3" t="n"/>
      <c r="H48" s="3" t="n"/>
    </row>
    <row r="49">
      <c r="A49" t="inlineStr">
        <is>
          <t>Amortization Of Securities</t>
        </is>
      </c>
      <c r="B49" s="3" t="n"/>
      <c r="C49" s="3" t="n"/>
      <c r="D49" s="3" t="n"/>
      <c r="E49" s="3" t="n"/>
      <c r="F49" s="3" t="n"/>
      <c r="G49" s="3" t="n">
        <v>0</v>
      </c>
      <c r="H49" s="3" t="n">
        <v>0</v>
      </c>
    </row>
    <row r="50">
      <c r="A50" t="inlineStr">
        <is>
          <t>Deferred Tax</t>
        </is>
      </c>
      <c r="B50" s="3" t="n"/>
      <c r="C50" s="3" t="n">
        <v>10000</v>
      </c>
      <c r="D50" s="3" t="n">
        <v>0</v>
      </c>
      <c r="E50" s="3" t="n">
        <v>0</v>
      </c>
      <c r="F50" s="3" t="n">
        <v>0</v>
      </c>
      <c r="G50" s="3" t="n">
        <v>-3037000</v>
      </c>
      <c r="H50" s="3" t="n"/>
    </row>
    <row r="51">
      <c r="A51" t="inlineStr">
        <is>
          <t>Deferred Income Tax</t>
        </is>
      </c>
      <c r="B51" s="3" t="n"/>
      <c r="C51" s="3" t="n">
        <v>10000</v>
      </c>
      <c r="D51" s="3" t="n">
        <v>0</v>
      </c>
      <c r="E51" s="3" t="n">
        <v>0</v>
      </c>
      <c r="F51" s="3" t="n">
        <v>0</v>
      </c>
      <c r="G51" s="3" t="n">
        <v>-3037000</v>
      </c>
      <c r="H51" s="3" t="n"/>
    </row>
    <row r="52">
      <c r="A52" t="inlineStr">
        <is>
          <t>Depreciation Amortization Depletion</t>
        </is>
      </c>
      <c r="B52" s="3" t="n">
        <v>7220000</v>
      </c>
      <c r="C52" s="3" t="n">
        <v>5509000</v>
      </c>
      <c r="D52" s="3" t="n">
        <v>10133000</v>
      </c>
      <c r="E52" s="3" t="n">
        <v>14777000</v>
      </c>
      <c r="F52" s="3" t="n">
        <v>14141000</v>
      </c>
      <c r="G52" s="3" t="n"/>
      <c r="H52" s="3" t="n"/>
    </row>
    <row r="53">
      <c r="A53" t="inlineStr">
        <is>
          <t>Depreciation And Amortization</t>
        </is>
      </c>
      <c r="B53" s="3" t="n">
        <v>7220000</v>
      </c>
      <c r="C53" s="3" t="n">
        <v>5509000</v>
      </c>
      <c r="D53" s="3" t="n">
        <v>10133000</v>
      </c>
      <c r="E53" s="3" t="n">
        <v>14777000</v>
      </c>
      <c r="F53" s="3" t="n">
        <v>14141000</v>
      </c>
      <c r="G53" s="3" t="n"/>
      <c r="H53" s="3" t="n"/>
    </row>
    <row r="54">
      <c r="A54" t="inlineStr">
        <is>
          <t>Amortization Cash Flow</t>
        </is>
      </c>
      <c r="B54" s="3" t="n">
        <v>908000</v>
      </c>
      <c r="C54" s="3" t="n">
        <v>931000</v>
      </c>
      <c r="D54" s="3" t="n">
        <v>2011000</v>
      </c>
      <c r="E54" s="3" t="n">
        <v>2001000</v>
      </c>
      <c r="F54" s="3" t="n">
        <v>2007000</v>
      </c>
      <c r="G54" s="3" t="n"/>
      <c r="H54" s="3" t="n"/>
    </row>
    <row r="55">
      <c r="A55" t="inlineStr">
        <is>
          <t>Amortization Of Intangibles</t>
        </is>
      </c>
      <c r="B55" s="3" t="n">
        <v>908000</v>
      </c>
      <c r="C55" s="3" t="n">
        <v>931000</v>
      </c>
      <c r="D55" s="3" t="n">
        <v>2011000</v>
      </c>
      <c r="E55" s="3" t="n">
        <v>2001000</v>
      </c>
      <c r="F55" s="3" t="n">
        <v>2007000</v>
      </c>
      <c r="G55" s="3" t="n"/>
      <c r="H55" s="3" t="n"/>
    </row>
    <row r="56">
      <c r="A56" t="inlineStr">
        <is>
          <t>Depreciation</t>
        </is>
      </c>
      <c r="B56" s="3" t="n">
        <v>6312000</v>
      </c>
      <c r="C56" s="3" t="n">
        <v>4578000</v>
      </c>
      <c r="D56" s="3" t="n">
        <v>8122000</v>
      </c>
      <c r="E56" s="3" t="n">
        <v>12776000</v>
      </c>
      <c r="F56" s="3" t="n">
        <v>12134000</v>
      </c>
      <c r="G56" s="3" t="n"/>
      <c r="H56" s="3" t="n"/>
    </row>
    <row r="57">
      <c r="A57" t="inlineStr">
        <is>
          <t>Operating Gains Losses</t>
        </is>
      </c>
      <c r="B57" s="3" t="n">
        <v>57866000</v>
      </c>
      <c r="C57" s="3" t="n">
        <v>-82274000</v>
      </c>
      <c r="D57" s="3" t="n">
        <v>14128000</v>
      </c>
      <c r="E57" s="3" t="n">
        <v>60800000</v>
      </c>
      <c r="F57" s="3" t="n">
        <v>15146000</v>
      </c>
      <c r="G57" s="3" t="n"/>
      <c r="H57" s="3" t="n"/>
    </row>
    <row r="58">
      <c r="A58" t="inlineStr">
        <is>
          <t>Earnings Losses From Equity Investments</t>
        </is>
      </c>
      <c r="B58" s="3" t="n">
        <v>470000</v>
      </c>
      <c r="C58" s="3" t="n">
        <v>3579000</v>
      </c>
      <c r="D58" s="3" t="n">
        <v>3262000</v>
      </c>
      <c r="E58" s="3" t="n">
        <v>45850000</v>
      </c>
      <c r="F58" s="3" t="n">
        <v>2370000</v>
      </c>
      <c r="G58" s="3" t="n"/>
      <c r="H58" s="3" t="n"/>
    </row>
    <row r="59">
      <c r="A59" t="inlineStr">
        <is>
          <t>Gain Loss On Investment Securities</t>
        </is>
      </c>
      <c r="B59" s="3" t="n">
        <v>59201000</v>
      </c>
      <c r="C59" s="3" t="n">
        <v>-112163000</v>
      </c>
      <c r="D59" s="3" t="n">
        <v>10866000</v>
      </c>
      <c r="E59" s="3" t="n">
        <v>9475000</v>
      </c>
      <c r="F59" s="3" t="n">
        <v>9124000</v>
      </c>
      <c r="G59" s="3" t="n"/>
      <c r="H59" s="3" t="n"/>
    </row>
    <row r="60">
      <c r="A60" t="inlineStr">
        <is>
          <t>Gain Loss On Sale Of PPE</t>
        </is>
      </c>
      <c r="B60" s="3" t="n"/>
      <c r="C60" s="3" t="n">
        <v>3936000</v>
      </c>
      <c r="D60" s="3" t="n"/>
      <c r="E60" s="3" t="n"/>
      <c r="F60" s="3" t="n"/>
      <c r="G60" s="3" t="n">
        <v>366000</v>
      </c>
      <c r="H60" s="3" t="n"/>
    </row>
    <row r="61">
      <c r="A61" t="inlineStr">
        <is>
          <t>Net Income From Continuing Operations</t>
        </is>
      </c>
      <c r="B61" s="3" t="n">
        <v>-246037000</v>
      </c>
      <c r="C61" s="3" t="n">
        <v>-904577000</v>
      </c>
      <c r="D61" s="3" t="n">
        <v>-363505000</v>
      </c>
      <c r="E61" s="3" t="n">
        <v>-228727000</v>
      </c>
      <c r="F61" s="3" t="n">
        <v>-196859000</v>
      </c>
      <c r="G61" s="3" t="n"/>
      <c r="H61" s="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Issue</t>
        </is>
      </c>
    </row>
    <row r="2">
      <c r="A2" t="inlineStr">
        <is>
          <t>Trailing P/E</t>
        </is>
      </c>
      <c r="B2" t="inlineStr">
        <is>
          <t>missing from yfinance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2026-06-20T19:57:20Z</dcterms:created>
  <dcterms:modified xsi:type="dcterms:W3CDTF">2026-06-20T19:57:21Z</dcterms:modified>
</cp:coreProperties>
</file>