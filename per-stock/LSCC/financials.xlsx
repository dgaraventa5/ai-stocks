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LSCC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Lattice Semiconductor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21060847616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20960792576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1098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66.51091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36.690796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0.6843900000000001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0.15606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0.03463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0.027460001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0.422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139956000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39900000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127816000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137007857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153.72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(annual)'!D47</f>
        <v/>
      </c>
      <c r="C3" s="3">
        <f>'Income stmt (annual)'!C47</f>
        <v/>
      </c>
      <c r="D3" s="3">
        <f>'Income stmt (annual)'!B47</f>
        <v/>
      </c>
      <c r="E3" s="3">
        <f>SUM('Income stmt (quarterly)'!B44:E44)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(annual)'!D45</f>
        <v/>
      </c>
      <c r="C4" s="3">
        <f>'Income stmt (annual)'!C45</f>
        <v/>
      </c>
      <c r="D4" s="3">
        <f>'Income stmt (annual)'!B45</f>
        <v/>
      </c>
      <c r="E4" s="3">
        <f>SUM('Income stmt (quarterly)'!B42:E42)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(annual)'!D37</f>
        <v/>
      </c>
      <c r="C6" s="3">
        <f>'Income stmt (annual)'!C37</f>
        <v/>
      </c>
      <c r="D6" s="3">
        <f>'Income stmt (annual)'!B37</f>
        <v/>
      </c>
      <c r="E6" s="3">
        <f>SUM('Income stmt (quarterly)'!B34:E34)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(annual)'!B4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-1617600</v>
      </c>
      <c r="C2" s="3" t="n">
        <v>-5506200</v>
      </c>
      <c r="D2" s="3" t="n">
        <v>-400680</v>
      </c>
      <c r="E2" s="3" t="n">
        <v>-61240</v>
      </c>
      <c r="F2" s="3" t="n"/>
    </row>
    <row r="3">
      <c r="A3" t="inlineStr">
        <is>
          <t>Tax Rate For Calcs</t>
        </is>
      </c>
      <c r="B3" s="3" t="n">
        <v>0.4</v>
      </c>
      <c r="C3" s="3" t="n">
        <v>0.21</v>
      </c>
      <c r="D3" s="3" t="n">
        <v>0.21</v>
      </c>
      <c r="E3" s="3" t="n">
        <v>0.02</v>
      </c>
      <c r="F3" s="3" t="n"/>
    </row>
    <row r="4">
      <c r="A4" t="inlineStr">
        <is>
          <t>Normalized EBITDA</t>
        </is>
      </c>
      <c r="B4" s="3" t="n">
        <v>61635000</v>
      </c>
      <c r="C4" s="3" t="n">
        <v>133164000</v>
      </c>
      <c r="D4" s="3" t="n">
        <v>257282000</v>
      </c>
      <c r="E4" s="3" t="n">
        <v>229326000</v>
      </c>
      <c r="F4" s="3" t="n"/>
    </row>
    <row r="5">
      <c r="A5" t="inlineStr">
        <is>
          <t>Total Unusual Items</t>
        </is>
      </c>
      <c r="B5" s="3" t="n">
        <v>-4044000</v>
      </c>
      <c r="C5" s="3" t="n">
        <v>-26220000</v>
      </c>
      <c r="D5" s="3" t="n">
        <v>-1908000</v>
      </c>
      <c r="E5" s="3" t="n">
        <v>-3062000</v>
      </c>
      <c r="F5" s="3" t="n"/>
    </row>
    <row r="6">
      <c r="A6" t="inlineStr">
        <is>
          <t>Total Unusual Items Excluding Goodwill</t>
        </is>
      </c>
      <c r="B6" s="3" t="n">
        <v>-4044000</v>
      </c>
      <c r="C6" s="3" t="n">
        <v>-26220000</v>
      </c>
      <c r="D6" s="3" t="n">
        <v>-1908000</v>
      </c>
      <c r="E6" s="3" t="n">
        <v>-3062000</v>
      </c>
      <c r="F6" s="3" t="n"/>
    </row>
    <row r="7">
      <c r="A7" t="inlineStr">
        <is>
          <t>Net Income From Continuing Operation Net Minority Interest</t>
        </is>
      </c>
      <c r="B7" s="3" t="n">
        <v>3084000</v>
      </c>
      <c r="C7" s="3" t="n">
        <v>61131000</v>
      </c>
      <c r="D7" s="3" t="n">
        <v>259061000</v>
      </c>
      <c r="E7" s="3" t="n">
        <v>178882000</v>
      </c>
      <c r="F7" s="3" t="n"/>
    </row>
    <row r="8">
      <c r="A8" t="inlineStr">
        <is>
          <t>Reconciled Depreciation</t>
        </is>
      </c>
      <c r="B8" s="3" t="n">
        <v>42315000</v>
      </c>
      <c r="C8" s="3" t="n">
        <v>46267000</v>
      </c>
      <c r="D8" s="3" t="n">
        <v>41196000</v>
      </c>
      <c r="E8" s="3" t="n">
        <v>35835000</v>
      </c>
      <c r="F8" s="3" t="n"/>
    </row>
    <row r="9">
      <c r="A9" t="inlineStr">
        <is>
          <t>Reconciled Cost Of Revenue</t>
        </is>
      </c>
      <c r="B9" s="3" t="n">
        <v>124056000</v>
      </c>
      <c r="C9" s="3" t="n">
        <v>126213000</v>
      </c>
      <c r="D9" s="3" t="n">
        <v>184766000</v>
      </c>
      <c r="E9" s="3" t="n">
        <v>176249000</v>
      </c>
      <c r="F9" s="3" t="n"/>
    </row>
    <row r="10">
      <c r="A10" t="inlineStr">
        <is>
          <t>EBITDA</t>
        </is>
      </c>
      <c r="B10" s="3" t="n">
        <v>57591000</v>
      </c>
      <c r="C10" s="3" t="n">
        <v>106944000</v>
      </c>
      <c r="D10" s="3" t="n">
        <v>255374000</v>
      </c>
      <c r="E10" s="3" t="n">
        <v>226264000</v>
      </c>
      <c r="F10" s="3" t="n"/>
    </row>
    <row r="11">
      <c r="A11" t="inlineStr">
        <is>
          <t>EBIT</t>
        </is>
      </c>
      <c r="B11" s="3" t="n">
        <v>15276000</v>
      </c>
      <c r="C11" s="3" t="n">
        <v>60677000</v>
      </c>
      <c r="D11" s="3" t="n">
        <v>214178000</v>
      </c>
      <c r="E11" s="3" t="n">
        <v>190429000</v>
      </c>
      <c r="F11" s="3" t="n"/>
    </row>
    <row r="12">
      <c r="A12" t="inlineStr">
        <is>
          <t>Net Interest Income</t>
        </is>
      </c>
      <c r="B12" s="3" t="n">
        <v>2896000</v>
      </c>
      <c r="C12" s="3" t="n">
        <v>3948000</v>
      </c>
      <c r="D12" s="3" t="n">
        <v>2041000</v>
      </c>
      <c r="E12" s="3" t="n">
        <v>-4146000</v>
      </c>
      <c r="F12" s="3" t="n"/>
    </row>
    <row r="13">
      <c r="A13" t="inlineStr">
        <is>
          <t>Interest Expense</t>
        </is>
      </c>
      <c r="B13" s="3" t="n"/>
      <c r="C13" s="3" t="n"/>
      <c r="D13" s="3" t="n"/>
      <c r="E13" s="3" t="n">
        <v>4146000</v>
      </c>
      <c r="F13" s="3" t="n">
        <v>2738000</v>
      </c>
    </row>
    <row r="14">
      <c r="A14" t="inlineStr">
        <is>
          <t>Normalized Income</t>
        </is>
      </c>
      <c r="B14" s="3" t="n">
        <v>5510400</v>
      </c>
      <c r="C14" s="3" t="n">
        <v>81844800</v>
      </c>
      <c r="D14" s="3" t="n">
        <v>260568320</v>
      </c>
      <c r="E14" s="3" t="n">
        <v>181882760</v>
      </c>
      <c r="F14" s="3" t="n"/>
    </row>
    <row r="15">
      <c r="A15" t="inlineStr">
        <is>
          <t>Net Income From Continuing And Discontinued Operation</t>
        </is>
      </c>
      <c r="B15" s="3" t="n">
        <v>3084000</v>
      </c>
      <c r="C15" s="3" t="n">
        <v>61131000</v>
      </c>
      <c r="D15" s="3" t="n">
        <v>259061000</v>
      </c>
      <c r="E15" s="3" t="n">
        <v>178882000</v>
      </c>
      <c r="F15" s="3" t="n"/>
    </row>
    <row r="16">
      <c r="A16" t="inlineStr">
        <is>
          <t>Total Expenses</t>
        </is>
      </c>
      <c r="B16" s="3" t="n">
        <v>507986000</v>
      </c>
      <c r="C16" s="3" t="n">
        <v>448724000</v>
      </c>
      <c r="D16" s="3" t="n">
        <v>522976000</v>
      </c>
      <c r="E16" s="3" t="n">
        <v>469927000</v>
      </c>
      <c r="F16" s="3" t="n"/>
    </row>
    <row r="17">
      <c r="A17" t="inlineStr">
        <is>
          <t>Total Operating Income As Reported</t>
        </is>
      </c>
      <c r="B17" s="3" t="n">
        <v>11232000</v>
      </c>
      <c r="C17" s="3" t="n">
        <v>34457000</v>
      </c>
      <c r="D17" s="3" t="n">
        <v>212270000</v>
      </c>
      <c r="E17" s="3" t="n">
        <v>187367000</v>
      </c>
      <c r="F17" s="3" t="n"/>
    </row>
    <row r="18">
      <c r="A18" t="inlineStr">
        <is>
          <t>Diluted Average Shares</t>
        </is>
      </c>
      <c r="B18" s="3" t="n">
        <v>138238000</v>
      </c>
      <c r="C18" s="3" t="n">
        <v>138322000</v>
      </c>
      <c r="D18" s="3" t="n">
        <v>139790000</v>
      </c>
      <c r="E18" s="3" t="n">
        <v>140667000</v>
      </c>
      <c r="F18" s="3" t="n"/>
    </row>
    <row r="19">
      <c r="A19" t="inlineStr">
        <is>
          <t>Basic Average Shares</t>
        </is>
      </c>
      <c r="B19" s="3" t="n">
        <v>137091000</v>
      </c>
      <c r="C19" s="3" t="n">
        <v>137623000</v>
      </c>
      <c r="D19" s="3" t="n">
        <v>137694000</v>
      </c>
      <c r="E19" s="3" t="n">
        <v>137321000</v>
      </c>
      <c r="F19" s="3" t="n"/>
    </row>
    <row r="20">
      <c r="A20" t="inlineStr">
        <is>
          <t>Diluted EPS</t>
        </is>
      </c>
      <c r="B20" s="3" t="n">
        <v>0.02</v>
      </c>
      <c r="C20" s="3" t="n">
        <v>0.44</v>
      </c>
      <c r="D20" s="3" t="n">
        <v>1.85</v>
      </c>
      <c r="E20" s="3" t="n">
        <v>1.27</v>
      </c>
      <c r="F20" s="3" t="n"/>
    </row>
    <row r="21">
      <c r="A21" t="inlineStr">
        <is>
          <t>Basic EPS</t>
        </is>
      </c>
      <c r="B21" s="3" t="n">
        <v>0.02</v>
      </c>
      <c r="C21" s="3" t="n">
        <v>0.44</v>
      </c>
      <c r="D21" s="3" t="n">
        <v>1.88</v>
      </c>
      <c r="E21" s="3" t="n">
        <v>1.3</v>
      </c>
      <c r="F21" s="3" t="n"/>
    </row>
    <row r="22">
      <c r="A22" t="inlineStr">
        <is>
          <t>Diluted NI Availto Com Stockholders</t>
        </is>
      </c>
      <c r="B22" s="3" t="n">
        <v>3084000</v>
      </c>
      <c r="C22" s="3" t="n">
        <v>61131000</v>
      </c>
      <c r="D22" s="3" t="n">
        <v>259061000</v>
      </c>
      <c r="E22" s="3" t="n">
        <v>178882000</v>
      </c>
      <c r="F22" s="3" t="n"/>
    </row>
    <row r="23">
      <c r="A23" t="inlineStr">
        <is>
          <t>Net Income Common Stockholders</t>
        </is>
      </c>
      <c r="B23" s="3" t="n">
        <v>3084000</v>
      </c>
      <c r="C23" s="3" t="n">
        <v>61131000</v>
      </c>
      <c r="D23" s="3" t="n">
        <v>259061000</v>
      </c>
      <c r="E23" s="3" t="n">
        <v>178882000</v>
      </c>
      <c r="F23" s="3" t="n"/>
    </row>
    <row r="24">
      <c r="A24" t="inlineStr">
        <is>
          <t>Net Income</t>
        </is>
      </c>
      <c r="B24" s="3" t="n">
        <v>3084000</v>
      </c>
      <c r="C24" s="3" t="n">
        <v>61131000</v>
      </c>
      <c r="D24" s="3" t="n">
        <v>259061000</v>
      </c>
      <c r="E24" s="3" t="n">
        <v>178882000</v>
      </c>
      <c r="F24" s="3" t="n"/>
    </row>
    <row r="25">
      <c r="A25" t="inlineStr">
        <is>
          <t>Net Income Including Noncontrolling Interests</t>
        </is>
      </c>
      <c r="B25" s="3" t="n">
        <v>3084000</v>
      </c>
      <c r="C25" s="3" t="n">
        <v>61131000</v>
      </c>
      <c r="D25" s="3" t="n">
        <v>259061000</v>
      </c>
      <c r="E25" s="3" t="n">
        <v>178882000</v>
      </c>
      <c r="F25" s="3" t="n"/>
    </row>
    <row r="26">
      <c r="A26" t="inlineStr">
        <is>
          <t>Net Income Continuous Operations</t>
        </is>
      </c>
      <c r="B26" s="3" t="n">
        <v>3084000</v>
      </c>
      <c r="C26" s="3" t="n">
        <v>61131000</v>
      </c>
      <c r="D26" s="3" t="n">
        <v>259061000</v>
      </c>
      <c r="E26" s="3" t="n">
        <v>178882000</v>
      </c>
      <c r="F26" s="3" t="n"/>
    </row>
    <row r="27">
      <c r="A27" t="inlineStr">
        <is>
          <t>Tax Provision</t>
        </is>
      </c>
      <c r="B27" s="3" t="n">
        <v>10293000</v>
      </c>
      <c r="C27" s="3" t="n">
        <v>-24902000</v>
      </c>
      <c r="D27" s="3" t="n">
        <v>-44205000</v>
      </c>
      <c r="E27" s="3" t="n">
        <v>3230000</v>
      </c>
      <c r="F27" s="3" t="n"/>
    </row>
    <row r="28">
      <c r="A28" t="inlineStr">
        <is>
          <t>Pretax Income</t>
        </is>
      </c>
      <c r="B28" s="3" t="n">
        <v>13377000</v>
      </c>
      <c r="C28" s="3" t="n">
        <v>36229000</v>
      </c>
      <c r="D28" s="3" t="n">
        <v>214856000</v>
      </c>
      <c r="E28" s="3" t="n">
        <v>182112000</v>
      </c>
      <c r="F28" s="3" t="n"/>
    </row>
    <row r="29">
      <c r="A29" t="inlineStr">
        <is>
          <t>Other Income Expense</t>
        </is>
      </c>
      <c r="B29" s="3" t="n">
        <v>-4795000</v>
      </c>
      <c r="C29" s="3" t="n">
        <v>-28396000</v>
      </c>
      <c r="D29" s="3" t="n">
        <v>-1363000</v>
      </c>
      <c r="E29" s="3" t="n">
        <v>-4171000</v>
      </c>
      <c r="F29" s="3" t="n"/>
    </row>
    <row r="30">
      <c r="A30" t="inlineStr">
        <is>
          <t>Other Non Operating Income Expenses</t>
        </is>
      </c>
      <c r="B30" s="3" t="n">
        <v>-751000</v>
      </c>
      <c r="C30" s="3" t="n">
        <v>-2176000</v>
      </c>
      <c r="D30" s="3" t="n">
        <v>545000</v>
      </c>
      <c r="E30" s="3" t="n">
        <v>-1109000</v>
      </c>
      <c r="F30" s="3" t="n"/>
    </row>
    <row r="31">
      <c r="A31" t="inlineStr">
        <is>
          <t>Special Income Charges</t>
        </is>
      </c>
      <c r="B31" s="3" t="n">
        <v>-4044000</v>
      </c>
      <c r="C31" s="3" t="n">
        <v>-26220000</v>
      </c>
      <c r="D31" s="3" t="n">
        <v>-1908000</v>
      </c>
      <c r="E31" s="3" t="n">
        <v>-3062000</v>
      </c>
      <c r="F31" s="3" t="n"/>
    </row>
    <row r="32">
      <c r="A32" t="inlineStr">
        <is>
          <t>Impairment Of Capital Assets</t>
        </is>
      </c>
      <c r="B32" s="3" t="n">
        <v>0</v>
      </c>
      <c r="C32" s="3" t="n">
        <v>13929000</v>
      </c>
      <c r="D32" s="3" t="n">
        <v>0</v>
      </c>
      <c r="E32" s="3" t="n">
        <v>0</v>
      </c>
      <c r="F32" s="3" t="n"/>
    </row>
    <row r="33">
      <c r="A33" t="inlineStr">
        <is>
          <t>Restructuring And Mergern Acquisition</t>
        </is>
      </c>
      <c r="B33" s="3" t="n">
        <v>4044000</v>
      </c>
      <c r="C33" s="3" t="n">
        <v>12291000</v>
      </c>
      <c r="D33" s="3" t="n">
        <v>1908000</v>
      </c>
      <c r="E33" s="3" t="n">
        <v>3062000</v>
      </c>
      <c r="F33" s="3" t="n"/>
    </row>
    <row r="34">
      <c r="A34" t="inlineStr">
        <is>
          <t>Net Non Operating Interest Income Expense</t>
        </is>
      </c>
      <c r="B34" s="3" t="n">
        <v>2896000</v>
      </c>
      <c r="C34" s="3" t="n">
        <v>3948000</v>
      </c>
      <c r="D34" s="3" t="n">
        <v>2041000</v>
      </c>
      <c r="E34" s="3" t="n">
        <v>-4146000</v>
      </c>
      <c r="F34" s="3" t="n"/>
    </row>
    <row r="35">
      <c r="A35" t="inlineStr">
        <is>
          <t>Total Other Finance Cost</t>
        </is>
      </c>
      <c r="B35" s="3" t="n">
        <v>-2896000</v>
      </c>
      <c r="C35" s="3" t="n">
        <v>-3948000</v>
      </c>
      <c r="D35" s="3" t="n">
        <v>-2041000</v>
      </c>
      <c r="E35" s="3" t="n">
        <v>4146000</v>
      </c>
      <c r="F35" s="3" t="n"/>
    </row>
    <row r="36">
      <c r="A36" t="inlineStr">
        <is>
          <t>Interest Expense Non Operating</t>
        </is>
      </c>
      <c r="B36" s="3" t="n"/>
      <c r="C36" s="3" t="n"/>
      <c r="D36" s="3" t="n"/>
      <c r="E36" s="3" t="n">
        <v>4146000</v>
      </c>
      <c r="F36" s="3" t="n">
        <v>2738000</v>
      </c>
    </row>
    <row r="37">
      <c r="A37" t="inlineStr">
        <is>
          <t>Operating Income</t>
        </is>
      </c>
      <c r="B37" s="3" t="n">
        <v>15276000</v>
      </c>
      <c r="C37" s="3" t="n">
        <v>60677000</v>
      </c>
      <c r="D37" s="3" t="n">
        <v>214178000</v>
      </c>
      <c r="E37" s="3" t="n">
        <v>190429000</v>
      </c>
      <c r="F37" s="3" t="n"/>
    </row>
    <row r="38">
      <c r="A38" t="inlineStr">
        <is>
          <t>Operating Expense</t>
        </is>
      </c>
      <c r="B38" s="3" t="n">
        <v>341667000</v>
      </c>
      <c r="C38" s="3" t="n">
        <v>279723000</v>
      </c>
      <c r="D38" s="3" t="n">
        <v>300492000</v>
      </c>
      <c r="E38" s="3" t="n">
        <v>261621000</v>
      </c>
      <c r="F38" s="3" t="n"/>
    </row>
    <row r="39">
      <c r="A39" t="inlineStr">
        <is>
          <t>Depreciation Amortization Depletion Income Statement</t>
        </is>
      </c>
      <c r="B39" s="3" t="n">
        <v>52000</v>
      </c>
      <c r="C39" s="3" t="n">
        <v>3479000</v>
      </c>
      <c r="D39" s="3" t="n">
        <v>3478000</v>
      </c>
      <c r="E39" s="3" t="n">
        <v>3778000</v>
      </c>
      <c r="F39" s="3" t="n"/>
    </row>
    <row r="40">
      <c r="A40" t="inlineStr">
        <is>
          <t>Depreciation And Amortization In Income Statement</t>
        </is>
      </c>
      <c r="B40" s="3" t="n">
        <v>52000</v>
      </c>
      <c r="C40" s="3" t="n">
        <v>3479000</v>
      </c>
      <c r="D40" s="3" t="n">
        <v>3478000</v>
      </c>
      <c r="E40" s="3" t="n">
        <v>3778000</v>
      </c>
      <c r="F40" s="3" t="n"/>
    </row>
    <row r="41">
      <c r="A41" t="inlineStr">
        <is>
          <t>Amortization</t>
        </is>
      </c>
      <c r="B41" s="3" t="n">
        <v>52000</v>
      </c>
      <c r="C41" s="3" t="n">
        <v>3479000</v>
      </c>
      <c r="D41" s="3" t="n">
        <v>3478000</v>
      </c>
      <c r="E41" s="3" t="n">
        <v>3778000</v>
      </c>
      <c r="F41" s="3" t="n"/>
    </row>
    <row r="42">
      <c r="A42" t="inlineStr">
        <is>
          <t>Amortization Of Intangibles Income Statement</t>
        </is>
      </c>
      <c r="B42" s="3" t="n">
        <v>52000</v>
      </c>
      <c r="C42" s="3" t="n">
        <v>3479000</v>
      </c>
      <c r="D42" s="3" t="n">
        <v>3478000</v>
      </c>
      <c r="E42" s="3" t="n">
        <v>3778000</v>
      </c>
      <c r="F42" s="3" t="n"/>
    </row>
    <row r="43">
      <c r="A43" t="inlineStr">
        <is>
          <t>Research And Development</t>
        </is>
      </c>
      <c r="B43" s="3" t="n">
        <v>187983000</v>
      </c>
      <c r="C43" s="3" t="n">
        <v>159302000</v>
      </c>
      <c r="D43" s="3" t="n">
        <v>159770000</v>
      </c>
      <c r="E43" s="3" t="n">
        <v>135767000</v>
      </c>
      <c r="F43" s="3" t="n"/>
    </row>
    <row r="44">
      <c r="A44" t="inlineStr">
        <is>
          <t>Selling General And Administration</t>
        </is>
      </c>
      <c r="B44" s="3" t="n">
        <v>153632000</v>
      </c>
      <c r="C44" s="3" t="n">
        <v>116942000</v>
      </c>
      <c r="D44" s="3" t="n">
        <v>137244000</v>
      </c>
      <c r="E44" s="3" t="n">
        <v>122076000</v>
      </c>
      <c r="F44" s="3" t="n"/>
    </row>
    <row r="45">
      <c r="A45" t="inlineStr">
        <is>
          <t>Gross Profit</t>
        </is>
      </c>
      <c r="B45" s="3" t="n">
        <v>356943000</v>
      </c>
      <c r="C45" s="3" t="n">
        <v>340400000</v>
      </c>
      <c r="D45" s="3" t="n">
        <v>514670000</v>
      </c>
      <c r="E45" s="3" t="n">
        <v>452050000</v>
      </c>
      <c r="F45" s="3" t="n"/>
    </row>
    <row r="46">
      <c r="A46" t="inlineStr">
        <is>
          <t>Cost Of Revenue</t>
        </is>
      </c>
      <c r="B46" s="3" t="n">
        <v>166319000</v>
      </c>
      <c r="C46" s="3" t="n">
        <v>169001000</v>
      </c>
      <c r="D46" s="3" t="n">
        <v>222484000</v>
      </c>
      <c r="E46" s="3" t="n">
        <v>208306000</v>
      </c>
      <c r="F46" s="3" t="n"/>
    </row>
    <row r="47">
      <c r="A47" t="inlineStr">
        <is>
          <t>Total Revenue</t>
        </is>
      </c>
      <c r="B47" s="3" t="n">
        <v>523262000</v>
      </c>
      <c r="C47" s="3" t="n">
        <v>509401000</v>
      </c>
      <c r="D47" s="3" t="n">
        <v>737154000</v>
      </c>
      <c r="E47" s="3" t="n">
        <v>660356000</v>
      </c>
      <c r="F47" s="3" t="n"/>
    </row>
    <row r="48">
      <c r="A48" t="inlineStr">
        <is>
          <t>Operating Revenue</t>
        </is>
      </c>
      <c r="B48" s="3" t="n">
        <v>523262000</v>
      </c>
      <c r="C48" s="3" t="n">
        <v>509401000</v>
      </c>
      <c r="D48" s="3" t="n">
        <v>737154000</v>
      </c>
      <c r="E48" s="3" t="n">
        <v>660356000</v>
      </c>
      <c r="F4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-120507.115088</v>
      </c>
      <c r="C2" s="3" t="n">
        <v>-442400</v>
      </c>
      <c r="D2" s="3" t="n">
        <v>-211260</v>
      </c>
      <c r="E2" s="3" t="n">
        <v>-355110</v>
      </c>
      <c r="F2" s="3" t="n">
        <v>-89352.086205</v>
      </c>
    </row>
    <row r="3">
      <c r="A3" t="inlineStr">
        <is>
          <t>Tax Rate For Calcs</t>
        </is>
      </c>
      <c r="B3" s="3" t="n">
        <v>0.199846</v>
      </c>
      <c r="C3" s="3" t="n">
        <v>0.4</v>
      </c>
      <c r="D3" s="3" t="n">
        <v>0.21</v>
      </c>
      <c r="E3" s="3" t="n">
        <v>0.21</v>
      </c>
      <c r="F3" s="3" t="n">
        <v>0.370756</v>
      </c>
    </row>
    <row r="4">
      <c r="A4" t="inlineStr">
        <is>
          <t>Normalized EBITDA</t>
        </is>
      </c>
      <c r="B4" s="3" t="n">
        <v>38498000</v>
      </c>
      <c r="C4" s="3" t="n">
        <v>13806000</v>
      </c>
      <c r="D4" s="3" t="n">
        <v>10906000</v>
      </c>
      <c r="E4" s="3" t="n">
        <v>18678000</v>
      </c>
      <c r="F4" s="3" t="n">
        <v>18245000</v>
      </c>
    </row>
    <row r="5">
      <c r="A5" t="inlineStr">
        <is>
          <t>Total Unusual Items</t>
        </is>
      </c>
      <c r="B5" s="3" t="n">
        <v>-603000</v>
      </c>
      <c r="C5" s="3" t="n">
        <v>-1106000</v>
      </c>
      <c r="D5" s="3" t="n">
        <v>-1006000</v>
      </c>
      <c r="E5" s="3" t="n">
        <v>-1691000</v>
      </c>
      <c r="F5" s="3" t="n">
        <v>-241000</v>
      </c>
    </row>
    <row r="6">
      <c r="A6" t="inlineStr">
        <is>
          <t>Total Unusual Items Excluding Goodwill</t>
        </is>
      </c>
      <c r="B6" s="3" t="n">
        <v>-603000</v>
      </c>
      <c r="C6" s="3" t="n">
        <v>-1106000</v>
      </c>
      <c r="D6" s="3" t="n">
        <v>-1006000</v>
      </c>
      <c r="E6" s="3" t="n">
        <v>-1691000</v>
      </c>
      <c r="F6" s="3" t="n">
        <v>-241000</v>
      </c>
    </row>
    <row r="7">
      <c r="A7" t="inlineStr">
        <is>
          <t>Net Income From Continuing Operation Net Minority Interest</t>
        </is>
      </c>
      <c r="B7" s="3" t="n">
        <v>21817000</v>
      </c>
      <c r="C7" s="3" t="n">
        <v>-7645000</v>
      </c>
      <c r="D7" s="3" t="n">
        <v>2794000</v>
      </c>
      <c r="E7" s="3" t="n">
        <v>2913000</v>
      </c>
      <c r="F7" s="3" t="n">
        <v>5022000</v>
      </c>
    </row>
    <row r="8">
      <c r="A8" t="inlineStr">
        <is>
          <t>Reconciled Depreciation</t>
        </is>
      </c>
      <c r="B8" s="3" t="n">
        <v>11224000</v>
      </c>
      <c r="C8" s="3" t="n">
        <v>10508000</v>
      </c>
      <c r="D8" s="3" t="n">
        <v>10428000</v>
      </c>
      <c r="E8" s="3" t="n">
        <v>10590000</v>
      </c>
      <c r="F8" s="3" t="n">
        <v>10789000</v>
      </c>
    </row>
    <row r="9">
      <c r="A9" t="inlineStr">
        <is>
          <t>Reconciled Cost Of Revenue</t>
        </is>
      </c>
      <c r="B9" s="3" t="n">
        <v>42061000</v>
      </c>
      <c r="C9" s="3" t="n">
        <v>35366000</v>
      </c>
      <c r="D9" s="3" t="n">
        <v>32414000</v>
      </c>
      <c r="E9" s="3" t="n">
        <v>28643000</v>
      </c>
      <c r="F9" s="3" t="n">
        <v>27633000</v>
      </c>
    </row>
    <row r="10">
      <c r="A10" t="inlineStr">
        <is>
          <t>EBITDA</t>
        </is>
      </c>
      <c r="B10" s="3" t="n">
        <v>37895000</v>
      </c>
      <c r="C10" s="3" t="n">
        <v>12700000</v>
      </c>
      <c r="D10" s="3" t="n">
        <v>9900000</v>
      </c>
      <c r="E10" s="3" t="n">
        <v>16987000</v>
      </c>
      <c r="F10" s="3" t="n">
        <v>18004000</v>
      </c>
    </row>
    <row r="11">
      <c r="A11" t="inlineStr">
        <is>
          <t>EBIT</t>
        </is>
      </c>
      <c r="B11" s="3" t="n">
        <v>26671000</v>
      </c>
      <c r="C11" s="3" t="n">
        <v>2192000</v>
      </c>
      <c r="D11" s="3" t="n">
        <v>-528000</v>
      </c>
      <c r="E11" s="3" t="n">
        <v>6397000</v>
      </c>
      <c r="F11" s="3" t="n">
        <v>7215000</v>
      </c>
    </row>
    <row r="12">
      <c r="A12" t="inlineStr">
        <is>
          <t>Net Interest Income</t>
        </is>
      </c>
      <c r="B12" s="3" t="n">
        <v>1269000</v>
      </c>
      <c r="C12" s="3" t="n">
        <v>628000</v>
      </c>
      <c r="D12" s="3" t="n">
        <v>602000</v>
      </c>
      <c r="E12" s="3" t="n">
        <v>614000</v>
      </c>
      <c r="F12" s="3" t="n">
        <v>1052000</v>
      </c>
    </row>
    <row r="13">
      <c r="A13" t="inlineStr">
        <is>
          <t>Normalized Income</t>
        </is>
      </c>
      <c r="B13" s="3" t="n">
        <v>22299492.884912</v>
      </c>
      <c r="C13" s="3" t="n">
        <v>-6981400</v>
      </c>
      <c r="D13" s="3" t="n">
        <v>3588740</v>
      </c>
      <c r="E13" s="3" t="n">
        <v>4248890</v>
      </c>
      <c r="F13" s="3" t="n">
        <v>5173647.913795</v>
      </c>
    </row>
    <row r="14">
      <c r="A14" t="inlineStr">
        <is>
          <t>Net Income From Continuing And Discontinued Operation</t>
        </is>
      </c>
      <c r="B14" s="3" t="n">
        <v>21817000</v>
      </c>
      <c r="C14" s="3" t="n">
        <v>-7645000</v>
      </c>
      <c r="D14" s="3" t="n">
        <v>2794000</v>
      </c>
      <c r="E14" s="3" t="n">
        <v>2913000</v>
      </c>
      <c r="F14" s="3" t="n">
        <v>5022000</v>
      </c>
    </row>
    <row r="15">
      <c r="A15" t="inlineStr">
        <is>
          <t>Total Expenses</t>
        </is>
      </c>
      <c r="B15" s="3" t="n">
        <v>144226000</v>
      </c>
      <c r="C15" s="3" t="n">
        <v>143600000</v>
      </c>
      <c r="D15" s="3" t="n">
        <v>133877000</v>
      </c>
      <c r="E15" s="3" t="n">
        <v>117574000</v>
      </c>
      <c r="F15" s="3" t="n">
        <v>112935000</v>
      </c>
    </row>
    <row r="16">
      <c r="A16" t="inlineStr">
        <is>
          <t>Total Operating Income As Reported</t>
        </is>
      </c>
      <c r="B16" s="3" t="n">
        <v>26068000</v>
      </c>
      <c r="C16" s="3" t="n">
        <v>1086000</v>
      </c>
      <c r="D16" s="3" t="n">
        <v>-1534000</v>
      </c>
      <c r="E16" s="3" t="n">
        <v>4706000</v>
      </c>
      <c r="F16" s="3" t="n">
        <v>6974000</v>
      </c>
    </row>
    <row r="17">
      <c r="A17" t="inlineStr">
        <is>
          <t>Diluted Average Shares</t>
        </is>
      </c>
      <c r="B17" s="3" t="n">
        <v>139390000</v>
      </c>
      <c r="C17" s="3" t="n">
        <v>136718000</v>
      </c>
      <c r="D17" s="3" t="n">
        <v>138103000</v>
      </c>
      <c r="E17" s="3" t="n">
        <v>137596000</v>
      </c>
      <c r="F17" s="3" t="n">
        <v>138317000</v>
      </c>
    </row>
    <row r="18">
      <c r="A18" t="inlineStr">
        <is>
          <t>Basic Average Shares</t>
        </is>
      </c>
      <c r="B18" s="3" t="n">
        <v>136814000</v>
      </c>
      <c r="C18" s="3" t="n">
        <v>136718000</v>
      </c>
      <c r="D18" s="3" t="n">
        <v>136877000</v>
      </c>
      <c r="E18" s="3" t="n">
        <v>137112000</v>
      </c>
      <c r="F18" s="3" t="n">
        <v>137686000</v>
      </c>
    </row>
    <row r="19">
      <c r="A19" t="inlineStr">
        <is>
          <t>Diluted EPS</t>
        </is>
      </c>
      <c r="B19" s="3" t="n">
        <v>0.16</v>
      </c>
      <c r="C19" s="3" t="n">
        <v>-0.06</v>
      </c>
      <c r="D19" s="3" t="n">
        <v>0.02</v>
      </c>
      <c r="E19" s="3" t="n">
        <v>0.02</v>
      </c>
      <c r="F19" s="3" t="n">
        <v>0.04</v>
      </c>
    </row>
    <row r="20">
      <c r="A20" t="inlineStr">
        <is>
          <t>Basic EPS</t>
        </is>
      </c>
      <c r="B20" s="3" t="n">
        <v>0.16</v>
      </c>
      <c r="C20" s="3" t="n">
        <v>-0.06</v>
      </c>
      <c r="D20" s="3" t="n">
        <v>0.02</v>
      </c>
      <c r="E20" s="3" t="n">
        <v>0.02</v>
      </c>
      <c r="F20" s="3" t="n">
        <v>0.04</v>
      </c>
    </row>
    <row r="21">
      <c r="A21" t="inlineStr">
        <is>
          <t>Diluted NI Availto Com Stockholders</t>
        </is>
      </c>
      <c r="B21" s="3" t="n">
        <v>21817000</v>
      </c>
      <c r="C21" s="3" t="n">
        <v>-7645000</v>
      </c>
      <c r="D21" s="3" t="n">
        <v>2794000</v>
      </c>
      <c r="E21" s="3" t="n">
        <v>2913000</v>
      </c>
      <c r="F21" s="3" t="n">
        <v>5022000</v>
      </c>
    </row>
    <row r="22">
      <c r="A22" t="inlineStr">
        <is>
          <t>Net Income Common Stockholders</t>
        </is>
      </c>
      <c r="B22" s="3" t="n">
        <v>21817000</v>
      </c>
      <c r="C22" s="3" t="n">
        <v>-7645000</v>
      </c>
      <c r="D22" s="3" t="n">
        <v>2794000</v>
      </c>
      <c r="E22" s="3" t="n">
        <v>2913000</v>
      </c>
      <c r="F22" s="3" t="n">
        <v>5022000</v>
      </c>
    </row>
    <row r="23">
      <c r="A23" t="inlineStr">
        <is>
          <t>Net Income</t>
        </is>
      </c>
      <c r="B23" s="3" t="n">
        <v>21817000</v>
      </c>
      <c r="C23" s="3" t="n">
        <v>-7645000</v>
      </c>
      <c r="D23" s="3" t="n">
        <v>2794000</v>
      </c>
      <c r="E23" s="3" t="n">
        <v>2913000</v>
      </c>
      <c r="F23" s="3" t="n">
        <v>5022000</v>
      </c>
    </row>
    <row r="24">
      <c r="A24" t="inlineStr">
        <is>
          <t>Net Income Including Noncontrolling Interests</t>
        </is>
      </c>
      <c r="B24" s="3" t="n">
        <v>21817000</v>
      </c>
      <c r="C24" s="3" t="n">
        <v>-7645000</v>
      </c>
      <c r="D24" s="3" t="n">
        <v>2794000</v>
      </c>
      <c r="E24" s="3" t="n">
        <v>2913000</v>
      </c>
      <c r="F24" s="3" t="n">
        <v>5022000</v>
      </c>
    </row>
    <row r="25">
      <c r="A25" t="inlineStr">
        <is>
          <t>Net Income Continuous Operations</t>
        </is>
      </c>
      <c r="B25" s="3" t="n">
        <v>21817000</v>
      </c>
      <c r="C25" s="3" t="n">
        <v>-7645000</v>
      </c>
      <c r="D25" s="3" t="n">
        <v>2794000</v>
      </c>
      <c r="E25" s="3" t="n">
        <v>2913000</v>
      </c>
      <c r="F25" s="3" t="n">
        <v>5022000</v>
      </c>
    </row>
    <row r="26">
      <c r="A26" t="inlineStr">
        <is>
          <t>Tax Provision</t>
        </is>
      </c>
      <c r="B26" s="3" t="n">
        <v>5449000</v>
      </c>
      <c r="C26" s="3" t="n">
        <v>8913000</v>
      </c>
      <c r="D26" s="3" t="n">
        <v>-3748000</v>
      </c>
      <c r="E26" s="3" t="n">
        <v>2169000</v>
      </c>
      <c r="F26" s="3" t="n">
        <v>2959000</v>
      </c>
    </row>
    <row r="27">
      <c r="A27" t="inlineStr">
        <is>
          <t>Pretax Income</t>
        </is>
      </c>
      <c r="B27" s="3" t="n">
        <v>27266000</v>
      </c>
      <c r="C27" s="3" t="n">
        <v>1268000</v>
      </c>
      <c r="D27" s="3" t="n">
        <v>-954000</v>
      </c>
      <c r="E27" s="3" t="n">
        <v>5082000</v>
      </c>
      <c r="F27" s="3" t="n">
        <v>7981000</v>
      </c>
    </row>
    <row r="28">
      <c r="A28" t="inlineStr">
        <is>
          <t>Other Income Expense</t>
        </is>
      </c>
      <c r="B28" s="3" t="n">
        <v>-674000</v>
      </c>
      <c r="C28" s="3" t="n">
        <v>-1552000</v>
      </c>
      <c r="D28" s="3" t="n">
        <v>-1028000</v>
      </c>
      <c r="E28" s="3" t="n">
        <v>-1929000</v>
      </c>
      <c r="F28" s="3" t="n">
        <v>-286000</v>
      </c>
    </row>
    <row r="29">
      <c r="A29" t="inlineStr">
        <is>
          <t>Other Non Operating Income Expenses</t>
        </is>
      </c>
      <c r="B29" s="3" t="n">
        <v>-71000</v>
      </c>
      <c r="C29" s="3" t="n">
        <v>-446000</v>
      </c>
      <c r="D29" s="3" t="n">
        <v>-22000</v>
      </c>
      <c r="E29" s="3" t="n">
        <v>-238000</v>
      </c>
      <c r="F29" s="3" t="n">
        <v>-45000</v>
      </c>
    </row>
    <row r="30">
      <c r="A30" t="inlineStr">
        <is>
          <t>Special Income Charges</t>
        </is>
      </c>
      <c r="B30" s="3" t="n">
        <v>-603000</v>
      </c>
      <c r="C30" s="3" t="n">
        <v>-1106000</v>
      </c>
      <c r="D30" s="3" t="n">
        <v>-1006000</v>
      </c>
      <c r="E30" s="3" t="n">
        <v>-1691000</v>
      </c>
      <c r="F30" s="3" t="n">
        <v>-241000</v>
      </c>
    </row>
    <row r="31">
      <c r="A31" t="inlineStr">
        <is>
          <t>Restructuring And Mergern Acquisition</t>
        </is>
      </c>
      <c r="B31" s="3" t="n">
        <v>603000</v>
      </c>
      <c r="C31" s="3" t="n">
        <v>1106000</v>
      </c>
      <c r="D31" s="3" t="n">
        <v>1006000</v>
      </c>
      <c r="E31" s="3" t="n">
        <v>1691000</v>
      </c>
      <c r="F31" s="3" t="n">
        <v>241000</v>
      </c>
    </row>
    <row r="32">
      <c r="A32" t="inlineStr">
        <is>
          <t>Net Non Operating Interest Income Expense</t>
        </is>
      </c>
      <c r="B32" s="3" t="n">
        <v>1269000</v>
      </c>
      <c r="C32" s="3" t="n">
        <v>628000</v>
      </c>
      <c r="D32" s="3" t="n">
        <v>602000</v>
      </c>
      <c r="E32" s="3" t="n">
        <v>614000</v>
      </c>
      <c r="F32" s="3" t="n">
        <v>1052000</v>
      </c>
    </row>
    <row r="33">
      <c r="A33" t="inlineStr">
        <is>
          <t>Total Other Finance Cost</t>
        </is>
      </c>
      <c r="B33" s="3" t="n">
        <v>-1269000</v>
      </c>
      <c r="C33" s="3" t="n">
        <v>-628000</v>
      </c>
      <c r="D33" s="3" t="n">
        <v>-602000</v>
      </c>
      <c r="E33" s="3" t="n">
        <v>-614000</v>
      </c>
      <c r="F33" s="3" t="n">
        <v>-1052000</v>
      </c>
    </row>
    <row r="34">
      <c r="A34" t="inlineStr">
        <is>
          <t>Operating Income</t>
        </is>
      </c>
      <c r="B34" s="3" t="n">
        <v>26671000</v>
      </c>
      <c r="C34" s="3" t="n">
        <v>2192000</v>
      </c>
      <c r="D34" s="3" t="n">
        <v>-528000</v>
      </c>
      <c r="E34" s="3" t="n">
        <v>6397000</v>
      </c>
      <c r="F34" s="3" t="n">
        <v>7215000</v>
      </c>
    </row>
    <row r="35">
      <c r="A35" t="inlineStr">
        <is>
          <t>Operating Expense</t>
        </is>
      </c>
      <c r="B35" s="3" t="n">
        <v>90961000</v>
      </c>
      <c r="C35" s="3" t="n">
        <v>97745000</v>
      </c>
      <c r="D35" s="3" t="n">
        <v>91055000</v>
      </c>
      <c r="E35" s="3" t="n">
        <v>78354000</v>
      </c>
      <c r="F35" s="3" t="n">
        <v>74513000</v>
      </c>
    </row>
    <row r="36">
      <c r="A36" t="inlineStr">
        <is>
          <t>Depreciation Amortization Depletion Income Statement</t>
        </is>
      </c>
      <c r="B36" s="3" t="n">
        <v>20000</v>
      </c>
      <c r="C36" s="3" t="n">
        <v>19000</v>
      </c>
      <c r="D36" s="3" t="n">
        <v>20000</v>
      </c>
      <c r="E36" s="3" t="n">
        <v>13000</v>
      </c>
      <c r="F36" s="3" t="n">
        <v>0</v>
      </c>
    </row>
    <row r="37">
      <c r="A37" t="inlineStr">
        <is>
          <t>Depreciation And Amortization In Income Statement</t>
        </is>
      </c>
      <c r="B37" s="3" t="n">
        <v>20000</v>
      </c>
      <c r="C37" s="3" t="n">
        <v>19000</v>
      </c>
      <c r="D37" s="3" t="n">
        <v>20000</v>
      </c>
      <c r="E37" s="3" t="n">
        <v>13000</v>
      </c>
      <c r="F37" s="3" t="n">
        <v>0</v>
      </c>
    </row>
    <row r="38">
      <c r="A38" t="inlineStr">
        <is>
          <t>Amortization</t>
        </is>
      </c>
      <c r="B38" s="3" t="n">
        <v>20000</v>
      </c>
      <c r="C38" s="3" t="n">
        <v>19000</v>
      </c>
      <c r="D38" s="3" t="n">
        <v>20000</v>
      </c>
      <c r="E38" s="3" t="n">
        <v>13000</v>
      </c>
      <c r="F38" s="3" t="n">
        <v>0</v>
      </c>
    </row>
    <row r="39">
      <c r="A39" t="inlineStr">
        <is>
          <t>Amortization Of Intangibles Income Statement</t>
        </is>
      </c>
      <c r="B39" s="3" t="n">
        <v>20000</v>
      </c>
      <c r="C39" s="3" t="n">
        <v>19000</v>
      </c>
      <c r="D39" s="3" t="n">
        <v>20000</v>
      </c>
      <c r="E39" s="3" t="n">
        <v>13000</v>
      </c>
      <c r="F39" s="3" t="n">
        <v>0</v>
      </c>
    </row>
    <row r="40">
      <c r="A40" t="inlineStr">
        <is>
          <t>Research And Development</t>
        </is>
      </c>
      <c r="B40" s="3" t="n">
        <v>50836000</v>
      </c>
      <c r="C40" s="3" t="n">
        <v>53433000</v>
      </c>
      <c r="D40" s="3" t="n">
        <v>49633000</v>
      </c>
      <c r="E40" s="3" t="n">
        <v>43530000</v>
      </c>
      <c r="F40" s="3" t="n">
        <v>41387000</v>
      </c>
    </row>
    <row r="41">
      <c r="A41" t="inlineStr">
        <is>
          <t>Selling General And Administration</t>
        </is>
      </c>
      <c r="B41" s="3" t="n">
        <v>40105000</v>
      </c>
      <c r="C41" s="3" t="n">
        <v>44293000</v>
      </c>
      <c r="D41" s="3" t="n">
        <v>41402000</v>
      </c>
      <c r="E41" s="3" t="n">
        <v>34811000</v>
      </c>
      <c r="F41" s="3" t="n">
        <v>33126000</v>
      </c>
    </row>
    <row r="42">
      <c r="A42" t="inlineStr">
        <is>
          <t>Gross Profit</t>
        </is>
      </c>
      <c r="B42" s="3" t="n">
        <v>117632000</v>
      </c>
      <c r="C42" s="3" t="n">
        <v>99937000</v>
      </c>
      <c r="D42" s="3" t="n">
        <v>90527000</v>
      </c>
      <c r="E42" s="3" t="n">
        <v>84751000</v>
      </c>
      <c r="F42" s="3" t="n">
        <v>81728000</v>
      </c>
    </row>
    <row r="43">
      <c r="A43" t="inlineStr">
        <is>
          <t>Cost Of Revenue</t>
        </is>
      </c>
      <c r="B43" s="3" t="n">
        <v>53265000</v>
      </c>
      <c r="C43" s="3" t="n">
        <v>45855000</v>
      </c>
      <c r="D43" s="3" t="n">
        <v>42822000</v>
      </c>
      <c r="E43" s="3" t="n">
        <v>39220000</v>
      </c>
      <c r="F43" s="3" t="n">
        <v>38422000</v>
      </c>
    </row>
    <row r="44">
      <c r="A44" t="inlineStr">
        <is>
          <t>Total Revenue</t>
        </is>
      </c>
      <c r="B44" s="3" t="n">
        <v>170897000</v>
      </c>
      <c r="C44" s="3" t="n">
        <v>145792000</v>
      </c>
      <c r="D44" s="3" t="n">
        <v>133349000</v>
      </c>
      <c r="E44" s="3" t="n">
        <v>123971000</v>
      </c>
      <c r="F44" s="3" t="n">
        <v>120150000</v>
      </c>
    </row>
    <row r="45">
      <c r="A45" t="inlineStr">
        <is>
          <t>Operating Revenue</t>
        </is>
      </c>
      <c r="B45" s="3" t="n">
        <v>170897000</v>
      </c>
      <c r="C45" s="3" t="n">
        <v>145792000</v>
      </c>
      <c r="D45" s="3" t="n">
        <v>133349000</v>
      </c>
      <c r="E45" s="3" t="n">
        <v>123971000</v>
      </c>
      <c r="F45" s="3" t="n">
        <v>120150000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136771000</v>
      </c>
      <c r="C2" s="3" t="n">
        <v>137704000</v>
      </c>
      <c r="D2" s="3" t="n">
        <v>137340000</v>
      </c>
      <c r="E2" s="3" t="n">
        <v>137099000</v>
      </c>
      <c r="F2" s="3" t="n"/>
    </row>
    <row r="3">
      <c r="A3" t="inlineStr">
        <is>
          <t>Share Issued</t>
        </is>
      </c>
      <c r="B3" s="3" t="n">
        <v>136771000</v>
      </c>
      <c r="C3" s="3" t="n">
        <v>137704000</v>
      </c>
      <c r="D3" s="3" t="n">
        <v>137340000</v>
      </c>
      <c r="E3" s="3" t="n">
        <v>137099000</v>
      </c>
      <c r="F3" s="3" t="n"/>
    </row>
    <row r="4">
      <c r="A4" t="inlineStr">
        <is>
          <t>Net Debt</t>
        </is>
      </c>
      <c r="B4" s="3" t="n"/>
      <c r="C4" s="3" t="n"/>
      <c r="D4" s="3" t="n"/>
      <c r="E4" s="3" t="n"/>
      <c r="F4" s="3" t="n">
        <v>26363000</v>
      </c>
    </row>
    <row r="5">
      <c r="A5" t="inlineStr">
        <is>
          <t>Total Debt</t>
        </is>
      </c>
      <c r="B5" s="3" t="n">
        <v>42107000</v>
      </c>
      <c r="C5" s="3" t="n">
        <v>15251000</v>
      </c>
      <c r="D5" s="3" t="n">
        <v>16310000</v>
      </c>
      <c r="E5" s="3" t="n">
        <v>148824000</v>
      </c>
      <c r="F5" s="3" t="n"/>
    </row>
    <row r="6">
      <c r="A6" t="inlineStr">
        <is>
          <t>Tangible Book Value</t>
        </is>
      </c>
      <c r="B6" s="3" t="n">
        <v>394553000</v>
      </c>
      <c r="C6" s="3" t="n">
        <v>390987000</v>
      </c>
      <c r="D6" s="3" t="n">
        <v>355688000</v>
      </c>
      <c r="E6" s="3" t="n">
        <v>146735000</v>
      </c>
      <c r="F6" s="3" t="n"/>
    </row>
    <row r="7">
      <c r="A7" t="inlineStr">
        <is>
          <t>Invested Capital</t>
        </is>
      </c>
      <c r="B7" s="3" t="n">
        <v>714054000</v>
      </c>
      <c r="C7" s="3" t="n">
        <v>710932000</v>
      </c>
      <c r="D7" s="3" t="n">
        <v>692020000</v>
      </c>
      <c r="E7" s="3" t="n">
        <v>615915000</v>
      </c>
      <c r="F7" s="3" t="n"/>
    </row>
    <row r="8">
      <c r="A8" t="inlineStr">
        <is>
          <t>Working Capital</t>
        </is>
      </c>
      <c r="B8" s="3" t="n">
        <v>246201000</v>
      </c>
      <c r="C8" s="3" t="n">
        <v>265212000</v>
      </c>
      <c r="D8" s="3" t="n">
        <v>270546000</v>
      </c>
      <c r="E8" s="3" t="n">
        <v>251794000</v>
      </c>
      <c r="F8" s="3" t="n"/>
    </row>
    <row r="9">
      <c r="A9" t="inlineStr">
        <is>
          <t>Net Tangible Assets</t>
        </is>
      </c>
      <c r="B9" s="3" t="n">
        <v>394553000</v>
      </c>
      <c r="C9" s="3" t="n">
        <v>390987000</v>
      </c>
      <c r="D9" s="3" t="n">
        <v>355688000</v>
      </c>
      <c r="E9" s="3" t="n">
        <v>146735000</v>
      </c>
      <c r="F9" s="3" t="n"/>
    </row>
    <row r="10">
      <c r="A10" t="inlineStr">
        <is>
          <t>Capital Lease Obligations</t>
        </is>
      </c>
      <c r="B10" s="3" t="n">
        <v>42107000</v>
      </c>
      <c r="C10" s="3" t="n">
        <v>15251000</v>
      </c>
      <c r="D10" s="3" t="n">
        <v>16310000</v>
      </c>
      <c r="E10" s="3" t="n">
        <v>20072000</v>
      </c>
      <c r="F10" s="3" t="n"/>
    </row>
    <row r="11">
      <c r="A11" t="inlineStr">
        <is>
          <t>Common Stock Equity</t>
        </is>
      </c>
      <c r="B11" s="3" t="n">
        <v>714054000</v>
      </c>
      <c r="C11" s="3" t="n">
        <v>710932000</v>
      </c>
      <c r="D11" s="3" t="n">
        <v>692020000</v>
      </c>
      <c r="E11" s="3" t="n">
        <v>487163000</v>
      </c>
      <c r="F11" s="3" t="n"/>
    </row>
    <row r="12">
      <c r="A12" t="inlineStr">
        <is>
          <t>Total Capitalization</t>
        </is>
      </c>
      <c r="B12" s="3" t="n">
        <v>714054000</v>
      </c>
      <c r="C12" s="3" t="n">
        <v>710932000</v>
      </c>
      <c r="D12" s="3" t="n">
        <v>692020000</v>
      </c>
      <c r="E12" s="3" t="n">
        <v>615915000</v>
      </c>
      <c r="F12" s="3" t="n"/>
    </row>
    <row r="13">
      <c r="A13" t="inlineStr">
        <is>
          <t>Total Equity Gross Minority Interest</t>
        </is>
      </c>
      <c r="B13" s="3" t="n">
        <v>714054000</v>
      </c>
      <c r="C13" s="3" t="n">
        <v>710932000</v>
      </c>
      <c r="D13" s="3" t="n">
        <v>692020000</v>
      </c>
      <c r="E13" s="3" t="n">
        <v>487163000</v>
      </c>
      <c r="F13" s="3" t="n"/>
    </row>
    <row r="14">
      <c r="A14" t="inlineStr">
        <is>
          <t>Stockholders Equity</t>
        </is>
      </c>
      <c r="B14" s="3" t="n">
        <v>714054000</v>
      </c>
      <c r="C14" s="3" t="n">
        <v>710932000</v>
      </c>
      <c r="D14" s="3" t="n">
        <v>692020000</v>
      </c>
      <c r="E14" s="3" t="n">
        <v>487163000</v>
      </c>
      <c r="F14" s="3" t="n"/>
    </row>
    <row r="15">
      <c r="A15" t="inlineStr">
        <is>
          <t>Gains Losses Not Affecting Retained Earnings</t>
        </is>
      </c>
      <c r="B15" s="3" t="n">
        <v>-3143000</v>
      </c>
      <c r="C15" s="3" t="n">
        <v>-3842000</v>
      </c>
      <c r="D15" s="3" t="n">
        <v>-2906000</v>
      </c>
      <c r="E15" s="3" t="n">
        <v>-2414000</v>
      </c>
      <c r="F15" s="3" t="n"/>
    </row>
    <row r="16">
      <c r="A16" t="inlineStr">
        <is>
          <t>Other Equity Adjustments</t>
        </is>
      </c>
      <c r="B16" s="3" t="n">
        <v>-3143000</v>
      </c>
      <c r="C16" s="3" t="n">
        <v>-3842000</v>
      </c>
      <c r="D16" s="3" t="n">
        <v>-2906000</v>
      </c>
      <c r="E16" s="3" t="n">
        <v>-2414000</v>
      </c>
      <c r="F16" s="3" t="n"/>
    </row>
    <row r="17">
      <c r="A17" t="inlineStr">
        <is>
          <t>Retained Earnings</t>
        </is>
      </c>
      <c r="B17" s="3" t="n">
        <v>212182000</v>
      </c>
      <c r="C17" s="3" t="n">
        <v>209098000</v>
      </c>
      <c r="D17" s="3" t="n">
        <v>147967000</v>
      </c>
      <c r="E17" s="3" t="n">
        <v>-111094000</v>
      </c>
      <c r="F17" s="3" t="n"/>
    </row>
    <row r="18">
      <c r="A18" t="inlineStr">
        <is>
          <t>Additional Paid In Capital</t>
        </is>
      </c>
      <c r="B18" s="3" t="n">
        <v>503647000</v>
      </c>
      <c r="C18" s="3" t="n">
        <v>504299000</v>
      </c>
      <c r="D18" s="3" t="n">
        <v>545586000</v>
      </c>
      <c r="E18" s="3" t="n">
        <v>599300000</v>
      </c>
      <c r="F18" s="3" t="n"/>
    </row>
    <row r="19">
      <c r="A19" t="inlineStr">
        <is>
          <t>Capital Stock</t>
        </is>
      </c>
      <c r="B19" s="3" t="n">
        <v>1368000</v>
      </c>
      <c r="C19" s="3" t="n">
        <v>1377000</v>
      </c>
      <c r="D19" s="3" t="n">
        <v>1373000</v>
      </c>
      <c r="E19" s="3" t="n">
        <v>1371000</v>
      </c>
      <c r="F19" s="3" t="n"/>
    </row>
    <row r="20">
      <c r="A20" t="inlineStr">
        <is>
          <t>Common Stock</t>
        </is>
      </c>
      <c r="B20" s="3" t="n">
        <v>1368000</v>
      </c>
      <c r="C20" s="3" t="n">
        <v>1377000</v>
      </c>
      <c r="D20" s="3" t="n">
        <v>1373000</v>
      </c>
      <c r="E20" s="3" t="n">
        <v>1371000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169066000</v>
      </c>
      <c r="C22" s="3" t="n">
        <v>132971000</v>
      </c>
      <c r="D22" s="3" t="n">
        <v>148874000</v>
      </c>
      <c r="E22" s="3" t="n">
        <v>311550000</v>
      </c>
      <c r="F22" s="3" t="n"/>
    </row>
    <row r="23">
      <c r="A23" t="inlineStr">
        <is>
          <t>Total Non Current Liabilities Net Minority Interest</t>
        </is>
      </c>
      <c r="B23" s="3" t="n">
        <v>51393000</v>
      </c>
      <c r="C23" s="3" t="n">
        <v>33349000</v>
      </c>
      <c r="D23" s="3" t="n">
        <v>51474000</v>
      </c>
      <c r="E23" s="3" t="n">
        <v>184177000</v>
      </c>
      <c r="F23" s="3" t="n"/>
    </row>
    <row r="24">
      <c r="A24" t="inlineStr">
        <is>
          <t>Other Non Current Liabilities</t>
        </is>
      </c>
      <c r="B24" s="3" t="n">
        <v>6304000</v>
      </c>
      <c r="C24" s="3" t="n">
        <v>7894000</v>
      </c>
      <c r="D24" s="3" t="n">
        <v>33067000</v>
      </c>
      <c r="E24" s="3" t="n">
        <v>41807000</v>
      </c>
      <c r="F24" s="3" t="n"/>
    </row>
    <row r="25">
      <c r="A25" t="inlineStr">
        <is>
          <t>Non Current Deferred Liabilities</t>
        </is>
      </c>
      <c r="B25" s="3" t="n">
        <v>8962000</v>
      </c>
      <c r="C25" s="3" t="n">
        <v>16022000</v>
      </c>
      <c r="D25" s="3" t="n">
        <v>7668000</v>
      </c>
      <c r="E25" s="3" t="n"/>
      <c r="F25" s="3" t="n"/>
    </row>
    <row r="26">
      <c r="A26" t="inlineStr">
        <is>
          <t>Non Current Deferred Revenue</t>
        </is>
      </c>
      <c r="B26" s="3" t="n">
        <v>8962000</v>
      </c>
      <c r="C26" s="3" t="n">
        <v>16022000</v>
      </c>
      <c r="D26" s="3" t="n">
        <v>7668000</v>
      </c>
      <c r="E26" s="3" t="n"/>
      <c r="F26" s="3" t="n"/>
    </row>
    <row r="27">
      <c r="A27" t="inlineStr">
        <is>
          <t>Long Term Debt And Capital Lease Obligation</t>
        </is>
      </c>
      <c r="B27" s="3" t="n">
        <v>36127000</v>
      </c>
      <c r="C27" s="3" t="n">
        <v>9433000</v>
      </c>
      <c r="D27" s="3" t="n">
        <v>10739000</v>
      </c>
      <c r="E27" s="3" t="n">
        <v>142370000</v>
      </c>
      <c r="F27" s="3" t="n"/>
    </row>
    <row r="28">
      <c r="A28" t="inlineStr">
        <is>
          <t>Long Term Capital Lease Obligation</t>
        </is>
      </c>
      <c r="B28" s="3" t="n">
        <v>36127000</v>
      </c>
      <c r="C28" s="3" t="n">
        <v>9433000</v>
      </c>
      <c r="D28" s="3" t="n">
        <v>10739000</v>
      </c>
      <c r="E28" s="3" t="n">
        <v>13618000</v>
      </c>
      <c r="F28" s="3" t="n"/>
    </row>
    <row r="29">
      <c r="A29" t="inlineStr">
        <is>
          <t>Long Term Debt</t>
        </is>
      </c>
      <c r="B29" s="3" t="n"/>
      <c r="C29" s="3" t="n"/>
      <c r="D29" s="3" t="n"/>
      <c r="E29" s="3" t="n">
        <v>128752000</v>
      </c>
      <c r="F29" s="3" t="n">
        <v>140760000</v>
      </c>
    </row>
    <row r="30">
      <c r="A30" t="inlineStr">
        <is>
          <t>Current Liabilities</t>
        </is>
      </c>
      <c r="B30" s="3" t="n">
        <v>117673000</v>
      </c>
      <c r="C30" s="3" t="n">
        <v>99622000</v>
      </c>
      <c r="D30" s="3" t="n">
        <v>97400000</v>
      </c>
      <c r="E30" s="3" t="n">
        <v>127373000</v>
      </c>
      <c r="F30" s="3" t="n"/>
    </row>
    <row r="31">
      <c r="A31" t="inlineStr">
        <is>
          <t>Current Deferred Liabilities</t>
        </is>
      </c>
      <c r="B31" s="3" t="n">
        <v>17302000</v>
      </c>
      <c r="C31" s="3" t="n">
        <v>24716000</v>
      </c>
      <c r="D31" s="3" t="n">
        <v>16722000</v>
      </c>
      <c r="E31" s="3" t="n">
        <v>28164000</v>
      </c>
      <c r="F31" s="3" t="n"/>
    </row>
    <row r="32">
      <c r="A32" t="inlineStr">
        <is>
          <t>Current Deferred Revenue</t>
        </is>
      </c>
      <c r="B32" s="3" t="n">
        <v>17302000</v>
      </c>
      <c r="C32" s="3" t="n">
        <v>24716000</v>
      </c>
      <c r="D32" s="3" t="n">
        <v>16722000</v>
      </c>
      <c r="E32" s="3" t="n">
        <v>28164000</v>
      </c>
      <c r="F32" s="3" t="n"/>
    </row>
    <row r="33">
      <c r="A33" t="inlineStr">
        <is>
          <t>Current Debt And Capital Lease Obligation</t>
        </is>
      </c>
      <c r="B33" s="3" t="n">
        <v>5980000</v>
      </c>
      <c r="C33" s="3" t="n">
        <v>5818000</v>
      </c>
      <c r="D33" s="3" t="n">
        <v>5571000</v>
      </c>
      <c r="E33" s="3" t="n">
        <v>6454000</v>
      </c>
      <c r="F33" s="3" t="n"/>
    </row>
    <row r="34">
      <c r="A34" t="inlineStr">
        <is>
          <t>Current Capital Lease Obligation</t>
        </is>
      </c>
      <c r="B34" s="3" t="n">
        <v>5980000</v>
      </c>
      <c r="C34" s="3" t="n">
        <v>5818000</v>
      </c>
      <c r="D34" s="3" t="n">
        <v>5571000</v>
      </c>
      <c r="E34" s="3" t="n">
        <v>6454000</v>
      </c>
      <c r="F34" s="3" t="n"/>
    </row>
    <row r="35">
      <c r="A35" t="inlineStr">
        <is>
          <t>Current Debt</t>
        </is>
      </c>
      <c r="B35" s="3" t="n"/>
      <c r="C35" s="3" t="n"/>
      <c r="D35" s="3" t="n"/>
      <c r="E35" s="3" t="n"/>
      <c r="F35" s="3" t="n">
        <v>17173000</v>
      </c>
    </row>
    <row r="36">
      <c r="A36" t="inlineStr">
        <is>
          <t>Other Current Borrowings</t>
        </is>
      </c>
      <c r="B36" s="3" t="n"/>
      <c r="C36" s="3" t="n"/>
      <c r="D36" s="3" t="n"/>
      <c r="E36" s="3" t="n"/>
      <c r="F36" s="3" t="n">
        <v>17173000</v>
      </c>
    </row>
    <row r="37">
      <c r="A37" t="inlineStr">
        <is>
          <t>Payables And Accrued Expenses</t>
        </is>
      </c>
      <c r="B37" s="3" t="n">
        <v>94391000</v>
      </c>
      <c r="C37" s="3" t="n">
        <v>69088000</v>
      </c>
      <c r="D37" s="3" t="n">
        <v>75107000</v>
      </c>
      <c r="E37" s="3" t="n">
        <v>92755000</v>
      </c>
      <c r="F37" s="3" t="n"/>
    </row>
    <row r="38">
      <c r="A38" t="inlineStr">
        <is>
          <t>Current Accrued Expenses</t>
        </is>
      </c>
      <c r="B38" s="3" t="n">
        <v>37873000</v>
      </c>
      <c r="C38" s="3" t="n">
        <v>32260000</v>
      </c>
      <c r="D38" s="3" t="n">
        <v>33862000</v>
      </c>
      <c r="E38" s="3" t="n">
        <v>46451000</v>
      </c>
      <c r="F38" s="3" t="n"/>
    </row>
    <row r="39">
      <c r="A39" t="inlineStr">
        <is>
          <t>Payables</t>
        </is>
      </c>
      <c r="B39" s="3" t="n">
        <v>56518000</v>
      </c>
      <c r="C39" s="3" t="n">
        <v>36828000</v>
      </c>
      <c r="D39" s="3" t="n">
        <v>41245000</v>
      </c>
      <c r="E39" s="3" t="n">
        <v>46304000</v>
      </c>
      <c r="F39" s="3" t="n"/>
    </row>
    <row r="40">
      <c r="A40" t="inlineStr">
        <is>
          <t>Total Tax Payable</t>
        </is>
      </c>
      <c r="B40" s="3" t="n"/>
      <c r="C40" s="3" t="n">
        <v>3375000</v>
      </c>
      <c r="D40" s="3" t="n">
        <v>6758000</v>
      </c>
      <c r="E40" s="3" t="n">
        <v>4268000</v>
      </c>
      <c r="F40" s="3" t="n"/>
    </row>
    <row r="41">
      <c r="A41" t="inlineStr">
        <is>
          <t>Accounts Payable</t>
        </is>
      </c>
      <c r="B41" s="3" t="n">
        <v>56518000</v>
      </c>
      <c r="C41" s="3" t="n">
        <v>36828000</v>
      </c>
      <c r="D41" s="3" t="n">
        <v>34487000</v>
      </c>
      <c r="E41" s="3" t="n">
        <v>42036000</v>
      </c>
      <c r="F41" s="3" t="n"/>
    </row>
    <row r="42">
      <c r="A42" t="inlineStr">
        <is>
          <t>Total Assets</t>
        </is>
      </c>
      <c r="B42" s="3" t="n">
        <v>883120000</v>
      </c>
      <c r="C42" s="3" t="n">
        <v>843903000</v>
      </c>
      <c r="D42" s="3" t="n">
        <v>840894000</v>
      </c>
      <c r="E42" s="3" t="n">
        <v>798713000</v>
      </c>
      <c r="F42" s="3" t="n"/>
    </row>
    <row r="43">
      <c r="A43" t="inlineStr">
        <is>
          <t>Total Non Current Assets</t>
        </is>
      </c>
      <c r="B43" s="3" t="n">
        <v>519246000</v>
      </c>
      <c r="C43" s="3" t="n">
        <v>479069000</v>
      </c>
      <c r="D43" s="3" t="n">
        <v>472948000</v>
      </c>
      <c r="E43" s="3" t="n">
        <v>419546000</v>
      </c>
      <c r="F43" s="3" t="n"/>
    </row>
    <row r="44">
      <c r="A44" t="inlineStr">
        <is>
          <t>Other Non Current Assets</t>
        </is>
      </c>
      <c r="B44" s="3" t="n">
        <v>20579000</v>
      </c>
      <c r="C44" s="3" t="n">
        <v>25286000</v>
      </c>
      <c r="D44" s="3" t="n">
        <v>14821000</v>
      </c>
      <c r="E44" s="3" t="n">
        <v>12892000</v>
      </c>
      <c r="F44" s="3" t="n"/>
    </row>
    <row r="45">
      <c r="A45" t="inlineStr">
        <is>
          <t>Non Current Deferred Assets</t>
        </is>
      </c>
      <c r="B45" s="3" t="n">
        <v>62675000</v>
      </c>
      <c r="C45" s="3" t="n">
        <v>66980000</v>
      </c>
      <c r="D45" s="3" t="n">
        <v>57762000</v>
      </c>
      <c r="E45" s="3" t="n">
        <v>1022000</v>
      </c>
      <c r="F45" s="3" t="n"/>
    </row>
    <row r="46">
      <c r="A46" t="inlineStr">
        <is>
          <t>Non Current Deferred Taxes Assets</t>
        </is>
      </c>
      <c r="B46" s="3" t="n">
        <v>62675000</v>
      </c>
      <c r="C46" s="3" t="n">
        <v>66980000</v>
      </c>
      <c r="D46" s="3" t="n">
        <v>57762000</v>
      </c>
      <c r="E46" s="3" t="n">
        <v>1022000</v>
      </c>
      <c r="F46" s="3" t="n"/>
    </row>
    <row r="47">
      <c r="A47" t="inlineStr">
        <is>
          <t>Goodwill And Other Intangible Assets</t>
        </is>
      </c>
      <c r="B47" s="3" t="n">
        <v>319501000</v>
      </c>
      <c r="C47" s="3" t="n">
        <v>319945000</v>
      </c>
      <c r="D47" s="3" t="n">
        <v>336332000</v>
      </c>
      <c r="E47" s="3" t="n">
        <v>340428000</v>
      </c>
      <c r="F47" s="3" t="n"/>
    </row>
    <row r="48">
      <c r="A48" t="inlineStr">
        <is>
          <t>Other Intangible Assets</t>
        </is>
      </c>
      <c r="B48" s="3" t="n">
        <v>4143000</v>
      </c>
      <c r="C48" s="3" t="n">
        <v>4587000</v>
      </c>
      <c r="D48" s="3" t="n">
        <v>20974000</v>
      </c>
      <c r="E48" s="3" t="n">
        <v>25070000</v>
      </c>
      <c r="F48" s="3" t="n"/>
    </row>
    <row r="49">
      <c r="A49" t="inlineStr">
        <is>
          <t>Goodwill</t>
        </is>
      </c>
      <c r="B49" s="3" t="n">
        <v>315358000</v>
      </c>
      <c r="C49" s="3" t="n">
        <v>315358000</v>
      </c>
      <c r="D49" s="3" t="n">
        <v>315358000</v>
      </c>
      <c r="E49" s="3" t="n">
        <v>315358000</v>
      </c>
      <c r="F49" s="3" t="n"/>
    </row>
    <row r="50">
      <c r="A50" t="inlineStr">
        <is>
          <t>Net PPE</t>
        </is>
      </c>
      <c r="B50" s="3" t="n">
        <v>116491000</v>
      </c>
      <c r="C50" s="3" t="n">
        <v>66858000</v>
      </c>
      <c r="D50" s="3" t="n">
        <v>64033000</v>
      </c>
      <c r="E50" s="3" t="n">
        <v>65204000</v>
      </c>
      <c r="F50" s="3" t="n"/>
    </row>
    <row r="51">
      <c r="A51" t="inlineStr">
        <is>
          <t>Accumulated Depreciation</t>
        </is>
      </c>
      <c r="B51" s="3" t="n">
        <v>-123654000</v>
      </c>
      <c r="C51" s="3" t="n">
        <v>-125901000</v>
      </c>
      <c r="D51" s="3" t="n">
        <v>-125856000</v>
      </c>
      <c r="E51" s="3" t="n">
        <v>-116349000</v>
      </c>
      <c r="F51" s="3" t="n"/>
    </row>
    <row r="52">
      <c r="A52" t="inlineStr">
        <is>
          <t>Gross PPE</t>
        </is>
      </c>
      <c r="B52" s="3" t="n">
        <v>240145000</v>
      </c>
      <c r="C52" s="3" t="n">
        <v>192759000</v>
      </c>
      <c r="D52" s="3" t="n">
        <v>189889000</v>
      </c>
      <c r="E52" s="3" t="n">
        <v>181553000</v>
      </c>
      <c r="F52" s="3" t="n"/>
    </row>
    <row r="53">
      <c r="A53" t="inlineStr">
        <is>
          <t>Leases</t>
        </is>
      </c>
      <c r="B53" s="3" t="n">
        <v>12190000</v>
      </c>
      <c r="C53" s="3" t="n">
        <v>15387000</v>
      </c>
      <c r="D53" s="3" t="n">
        <v>13519000</v>
      </c>
      <c r="E53" s="3" t="n">
        <v>12416000</v>
      </c>
      <c r="F53" s="3" t="n"/>
    </row>
    <row r="54">
      <c r="A54" t="inlineStr">
        <is>
          <t>Other Properties</t>
        </is>
      </c>
      <c r="B54" s="3" t="n">
        <v>39459000</v>
      </c>
      <c r="C54" s="3" t="n">
        <v>13870000</v>
      </c>
      <c r="D54" s="3" t="n">
        <v>14487000</v>
      </c>
      <c r="E54" s="3" t="n">
        <v>17590000</v>
      </c>
      <c r="F54" s="3" t="n"/>
    </row>
    <row r="55">
      <c r="A55" t="inlineStr">
        <is>
          <t>Machinery Furniture Equipment</t>
        </is>
      </c>
      <c r="B55" s="3" t="n">
        <v>188496000</v>
      </c>
      <c r="C55" s="3" t="n">
        <v>163502000</v>
      </c>
      <c r="D55" s="3" t="n">
        <v>161883000</v>
      </c>
      <c r="E55" s="3" t="n">
        <v>151547000</v>
      </c>
      <c r="F55" s="3" t="n"/>
    </row>
    <row r="56">
      <c r="A56" t="inlineStr">
        <is>
          <t>Properties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/>
    </row>
    <row r="57">
      <c r="A57" t="inlineStr">
        <is>
          <t>Current Assets</t>
        </is>
      </c>
      <c r="B57" s="3" t="n">
        <v>363874000</v>
      </c>
      <c r="C57" s="3" t="n">
        <v>364834000</v>
      </c>
      <c r="D57" s="3" t="n">
        <v>367946000</v>
      </c>
      <c r="E57" s="3" t="n">
        <v>379167000</v>
      </c>
      <c r="F57" s="3" t="n"/>
    </row>
    <row r="58">
      <c r="A58" t="inlineStr">
        <is>
          <t>Other Current Assets</t>
        </is>
      </c>
      <c r="B58" s="3" t="n">
        <v>38509000</v>
      </c>
      <c r="C58" s="3" t="n">
        <v>44073000</v>
      </c>
      <c r="D58" s="3" t="n">
        <v>36430000</v>
      </c>
      <c r="E58" s="3" t="n">
        <v>29052000</v>
      </c>
      <c r="F58" s="3" t="n"/>
    </row>
    <row r="59">
      <c r="A59" t="inlineStr">
        <is>
          <t>Prepaid Assets</t>
        </is>
      </c>
      <c r="B59" s="3" t="n"/>
      <c r="C59" s="3" t="n"/>
      <c r="D59" s="3" t="n"/>
      <c r="E59" s="3" t="n"/>
      <c r="F59" s="3" t="n">
        <v>22328000</v>
      </c>
    </row>
    <row r="60">
      <c r="A60" t="inlineStr">
        <is>
          <t>Inventory</t>
        </is>
      </c>
      <c r="B60" s="3" t="n">
        <v>89202000</v>
      </c>
      <c r="C60" s="3" t="n">
        <v>103410000</v>
      </c>
      <c r="D60" s="3" t="n">
        <v>98826000</v>
      </c>
      <c r="E60" s="3" t="n">
        <v>110375000</v>
      </c>
      <c r="F60" s="3" t="n"/>
    </row>
    <row r="61">
      <c r="A61" t="inlineStr">
        <is>
          <t>Finished Goods</t>
        </is>
      </c>
      <c r="B61" s="3" t="n">
        <v>20171000</v>
      </c>
      <c r="C61" s="3" t="n">
        <v>21137000</v>
      </c>
      <c r="D61" s="3" t="n">
        <v>33430000</v>
      </c>
      <c r="E61" s="3" t="n">
        <v>52106000</v>
      </c>
      <c r="F61" s="3" t="n"/>
    </row>
    <row r="62">
      <c r="A62" t="inlineStr">
        <is>
          <t>Work In Process</t>
        </is>
      </c>
      <c r="B62" s="3" t="n">
        <v>69031000</v>
      </c>
      <c r="C62" s="3" t="n">
        <v>82273000</v>
      </c>
      <c r="D62" s="3" t="n">
        <v>65396000</v>
      </c>
      <c r="E62" s="3" t="n">
        <v>58269000</v>
      </c>
      <c r="F62" s="3" t="n"/>
    </row>
    <row r="63">
      <c r="A63" t="inlineStr">
        <is>
          <t>Receivables</t>
        </is>
      </c>
      <c r="B63" s="3" t="n">
        <v>102277000</v>
      </c>
      <c r="C63" s="3" t="n">
        <v>81060000</v>
      </c>
      <c r="D63" s="3" t="n">
        <v>104373000</v>
      </c>
      <c r="E63" s="3" t="n">
        <v>94018000</v>
      </c>
      <c r="F63" s="3" t="n"/>
    </row>
    <row r="64">
      <c r="A64" t="inlineStr">
        <is>
          <t>Accounts Receivable</t>
        </is>
      </c>
      <c r="B64" s="3" t="n">
        <v>102277000</v>
      </c>
      <c r="C64" s="3" t="n">
        <v>81060000</v>
      </c>
      <c r="D64" s="3" t="n">
        <v>104373000</v>
      </c>
      <c r="E64" s="3" t="n">
        <v>94018000</v>
      </c>
      <c r="F64" s="3" t="n"/>
    </row>
    <row r="65">
      <c r="A65" t="inlineStr">
        <is>
          <t>Allowance For Doubtful Accounts Receivable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/>
    </row>
    <row r="66">
      <c r="A66" t="inlineStr">
        <is>
          <t>Gross Accounts Receivable</t>
        </is>
      </c>
      <c r="B66" s="3" t="n">
        <v>102277000</v>
      </c>
      <c r="C66" s="3" t="n">
        <v>81060000</v>
      </c>
      <c r="D66" s="3" t="n">
        <v>104373000</v>
      </c>
      <c r="E66" s="3" t="n">
        <v>94018000</v>
      </c>
      <c r="F66" s="3" t="n"/>
    </row>
    <row r="67">
      <c r="A67" t="inlineStr">
        <is>
          <t>Cash Cash Equivalents And Short Term Investments</t>
        </is>
      </c>
      <c r="B67" s="3" t="n">
        <v>133886000</v>
      </c>
      <c r="C67" s="3" t="n">
        <v>136291000</v>
      </c>
      <c r="D67" s="3" t="n">
        <v>128317000</v>
      </c>
      <c r="E67" s="3" t="n">
        <v>145722000</v>
      </c>
      <c r="F67" s="3" t="n"/>
    </row>
    <row r="68">
      <c r="A68" t="inlineStr">
        <is>
          <t>Cash And Cash Equivalents</t>
        </is>
      </c>
      <c r="B68" s="3" t="n">
        <v>133886000</v>
      </c>
      <c r="C68" s="3" t="n">
        <v>136291000</v>
      </c>
      <c r="D68" s="3" t="n">
        <v>128317000</v>
      </c>
      <c r="E68" s="3" t="n">
        <v>145722000</v>
      </c>
      <c r="F68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136828000</v>
      </c>
      <c r="C2" s="3" t="n">
        <v>136771000</v>
      </c>
      <c r="D2" s="3" t="n">
        <v>136752000</v>
      </c>
      <c r="E2" s="3" t="n">
        <v>136664000</v>
      </c>
      <c r="F2" s="3" t="n">
        <v>137504000</v>
      </c>
      <c r="G2" s="3" t="n"/>
      <c r="H2" s="3" t="n"/>
    </row>
    <row r="3">
      <c r="A3" t="inlineStr">
        <is>
          <t>Share Issued</t>
        </is>
      </c>
      <c r="B3" s="3" t="n">
        <v>136828000</v>
      </c>
      <c r="C3" s="3" t="n">
        <v>136771000</v>
      </c>
      <c r="D3" s="3" t="n">
        <v>136752000</v>
      </c>
      <c r="E3" s="3" t="n">
        <v>136664000</v>
      </c>
      <c r="F3" s="3" t="n">
        <v>137504000</v>
      </c>
      <c r="G3" s="3" t="n"/>
      <c r="H3" s="3" t="n"/>
    </row>
    <row r="4">
      <c r="A4" t="inlineStr">
        <is>
          <t>Total Debt</t>
        </is>
      </c>
      <c r="B4" s="3" t="n">
        <v>39900000</v>
      </c>
      <c r="C4" s="3" t="n">
        <v>42107000</v>
      </c>
      <c r="D4" s="3" t="n">
        <v>20382000</v>
      </c>
      <c r="E4" s="3" t="n">
        <v>21898000</v>
      </c>
      <c r="F4" s="3" t="n">
        <v>21794000</v>
      </c>
      <c r="G4" s="3" t="n"/>
      <c r="H4" s="3" t="n"/>
    </row>
    <row r="5">
      <c r="A5" t="inlineStr">
        <is>
          <t>Tangible Book Value</t>
        </is>
      </c>
      <c r="B5" s="3" t="n">
        <v>421227000</v>
      </c>
      <c r="C5" s="3" t="n">
        <v>394553000</v>
      </c>
      <c r="D5" s="3" t="n">
        <v>386313000</v>
      </c>
      <c r="E5" s="3" t="n">
        <v>366616000</v>
      </c>
      <c r="F5" s="3" t="n">
        <v>387446000</v>
      </c>
      <c r="G5" s="3" t="n"/>
      <c r="H5" s="3" t="n"/>
    </row>
    <row r="6">
      <c r="A6" t="inlineStr">
        <is>
          <t>Invested Capital</t>
        </is>
      </c>
      <c r="B6" s="3" t="n">
        <v>740159000</v>
      </c>
      <c r="C6" s="3" t="n">
        <v>714054000</v>
      </c>
      <c r="D6" s="3" t="n">
        <v>706400000</v>
      </c>
      <c r="E6" s="3" t="n">
        <v>687048000</v>
      </c>
      <c r="F6" s="3" t="n">
        <v>707911000</v>
      </c>
      <c r="G6" s="3" t="n"/>
      <c r="H6" s="3" t="n"/>
    </row>
    <row r="7">
      <c r="A7" t="inlineStr">
        <is>
          <t>Working Capital</t>
        </is>
      </c>
      <c r="B7" s="3" t="n">
        <v>275267000</v>
      </c>
      <c r="C7" s="3" t="n">
        <v>246201000</v>
      </c>
      <c r="D7" s="3" t="n">
        <v>236447000</v>
      </c>
      <c r="E7" s="3" t="n">
        <v>235544000</v>
      </c>
      <c r="F7" s="3" t="n">
        <v>259871000</v>
      </c>
      <c r="G7" s="3" t="n"/>
      <c r="H7" s="3" t="n"/>
    </row>
    <row r="8">
      <c r="A8" t="inlineStr">
        <is>
          <t>Net Tangible Assets</t>
        </is>
      </c>
      <c r="B8" s="3" t="n">
        <v>421227000</v>
      </c>
      <c r="C8" s="3" t="n">
        <v>394553000</v>
      </c>
      <c r="D8" s="3" t="n">
        <v>386313000</v>
      </c>
      <c r="E8" s="3" t="n">
        <v>366616000</v>
      </c>
      <c r="F8" s="3" t="n">
        <v>387446000</v>
      </c>
      <c r="G8" s="3" t="n"/>
      <c r="H8" s="3" t="n"/>
    </row>
    <row r="9">
      <c r="A9" t="inlineStr">
        <is>
          <t>Capital Lease Obligations</t>
        </is>
      </c>
      <c r="B9" s="3" t="n">
        <v>39900000</v>
      </c>
      <c r="C9" s="3" t="n">
        <v>42107000</v>
      </c>
      <c r="D9" s="3" t="n">
        <v>20382000</v>
      </c>
      <c r="E9" s="3" t="n">
        <v>21898000</v>
      </c>
      <c r="F9" s="3" t="n">
        <v>21794000</v>
      </c>
      <c r="G9" s="3" t="n"/>
      <c r="H9" s="3" t="n"/>
    </row>
    <row r="10">
      <c r="A10" t="inlineStr">
        <is>
          <t>Common Stock Equity</t>
        </is>
      </c>
      <c r="B10" s="3" t="n">
        <v>740159000</v>
      </c>
      <c r="C10" s="3" t="n">
        <v>714054000</v>
      </c>
      <c r="D10" s="3" t="n">
        <v>706400000</v>
      </c>
      <c r="E10" s="3" t="n">
        <v>687048000</v>
      </c>
      <c r="F10" s="3" t="n">
        <v>707911000</v>
      </c>
      <c r="G10" s="3" t="n"/>
      <c r="H10" s="3" t="n"/>
    </row>
    <row r="11">
      <c r="A11" t="inlineStr">
        <is>
          <t>Total Capitalization</t>
        </is>
      </c>
      <c r="B11" s="3" t="n">
        <v>740159000</v>
      </c>
      <c r="C11" s="3" t="n">
        <v>714054000</v>
      </c>
      <c r="D11" s="3" t="n">
        <v>706400000</v>
      </c>
      <c r="E11" s="3" t="n">
        <v>687048000</v>
      </c>
      <c r="F11" s="3" t="n">
        <v>707911000</v>
      </c>
      <c r="G11" s="3" t="n"/>
      <c r="H11" s="3" t="n"/>
    </row>
    <row r="12">
      <c r="A12" t="inlineStr">
        <is>
          <t>Total Equity Gross Minority Interest</t>
        </is>
      </c>
      <c r="B12" s="3" t="n">
        <v>740159000</v>
      </c>
      <c r="C12" s="3" t="n">
        <v>714054000</v>
      </c>
      <c r="D12" s="3" t="n">
        <v>706400000</v>
      </c>
      <c r="E12" s="3" t="n">
        <v>687048000</v>
      </c>
      <c r="F12" s="3" t="n">
        <v>707911000</v>
      </c>
      <c r="G12" s="3" t="n"/>
      <c r="H12" s="3" t="n"/>
    </row>
    <row r="13">
      <c r="A13" t="inlineStr">
        <is>
          <t>Stockholders Equity</t>
        </is>
      </c>
      <c r="B13" s="3" t="n">
        <v>740159000</v>
      </c>
      <c r="C13" s="3" t="n">
        <v>714054000</v>
      </c>
      <c r="D13" s="3" t="n">
        <v>706400000</v>
      </c>
      <c r="E13" s="3" t="n">
        <v>687048000</v>
      </c>
      <c r="F13" s="3" t="n">
        <v>707911000</v>
      </c>
      <c r="G13" s="3" t="n"/>
      <c r="H13" s="3" t="n"/>
    </row>
    <row r="14">
      <c r="A14" t="inlineStr">
        <is>
          <t>Gains Losses Not Affecting Retained Earnings</t>
        </is>
      </c>
      <c r="B14" s="3" t="n">
        <v>-3920000</v>
      </c>
      <c r="C14" s="3" t="n">
        <v>-3143000</v>
      </c>
      <c r="D14" s="3" t="n">
        <v>-3473000</v>
      </c>
      <c r="E14" s="3" t="n">
        <v>-2958000</v>
      </c>
      <c r="F14" s="3" t="n">
        <v>-3479000</v>
      </c>
      <c r="G14" s="3" t="n"/>
      <c r="H14" s="3" t="n"/>
    </row>
    <row r="15">
      <c r="A15" t="inlineStr">
        <is>
          <t>Other Equity Adjustments</t>
        </is>
      </c>
      <c r="B15" s="3" t="n">
        <v>-3920000</v>
      </c>
      <c r="C15" s="3" t="n">
        <v>-3143000</v>
      </c>
      <c r="D15" s="3" t="n">
        <v>-3473000</v>
      </c>
      <c r="E15" s="3" t="n">
        <v>-2958000</v>
      </c>
      <c r="F15" s="3" t="n">
        <v>-3479000</v>
      </c>
      <c r="G15" s="3" t="n"/>
      <c r="H15" s="3" t="n"/>
    </row>
    <row r="16">
      <c r="A16" t="inlineStr">
        <is>
          <t>Retained Earnings</t>
        </is>
      </c>
      <c r="B16" s="3" t="n">
        <v>233999000</v>
      </c>
      <c r="C16" s="3" t="n">
        <v>212182000</v>
      </c>
      <c r="D16" s="3" t="n">
        <v>219827000</v>
      </c>
      <c r="E16" s="3" t="n">
        <v>217033000</v>
      </c>
      <c r="F16" s="3" t="n">
        <v>214120000</v>
      </c>
      <c r="G16" s="3" t="n"/>
      <c r="H16" s="3" t="n"/>
    </row>
    <row r="17">
      <c r="A17" t="inlineStr">
        <is>
          <t>Additional Paid In Capital</t>
        </is>
      </c>
      <c r="B17" s="3" t="n">
        <v>508712000</v>
      </c>
      <c r="C17" s="3" t="n">
        <v>503647000</v>
      </c>
      <c r="D17" s="3" t="n">
        <v>488678000</v>
      </c>
      <c r="E17" s="3" t="n">
        <v>471606000</v>
      </c>
      <c r="F17" s="3" t="n">
        <v>495895000</v>
      </c>
      <c r="G17" s="3" t="n"/>
      <c r="H17" s="3" t="n"/>
    </row>
    <row r="18">
      <c r="A18" t="inlineStr">
        <is>
          <t>Capital Stock</t>
        </is>
      </c>
      <c r="B18" s="3" t="n">
        <v>1368000</v>
      </c>
      <c r="C18" s="3" t="n">
        <v>1368000</v>
      </c>
      <c r="D18" s="3" t="n">
        <v>1368000</v>
      </c>
      <c r="E18" s="3" t="n">
        <v>1367000</v>
      </c>
      <c r="F18" s="3" t="n">
        <v>1375000</v>
      </c>
      <c r="G18" s="3" t="n"/>
      <c r="H18" s="3" t="n"/>
    </row>
    <row r="19">
      <c r="A19" t="inlineStr">
        <is>
          <t>Common Stock</t>
        </is>
      </c>
      <c r="B19" s="3" t="n">
        <v>1368000</v>
      </c>
      <c r="C19" s="3" t="n">
        <v>1368000</v>
      </c>
      <c r="D19" s="3" t="n">
        <v>1368000</v>
      </c>
      <c r="E19" s="3" t="n">
        <v>1367000</v>
      </c>
      <c r="F19" s="3" t="n">
        <v>1375000</v>
      </c>
      <c r="G19" s="3" t="n"/>
      <c r="H19" s="3" t="n"/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/>
      <c r="H20" s="3" t="n"/>
    </row>
    <row r="21">
      <c r="A21" t="inlineStr">
        <is>
          <t>Total Liabilities Net Minority Interest</t>
        </is>
      </c>
      <c r="B21" s="3" t="n">
        <v>158820000</v>
      </c>
      <c r="C21" s="3" t="n">
        <v>169066000</v>
      </c>
      <c r="D21" s="3" t="n">
        <v>137956000</v>
      </c>
      <c r="E21" s="3" t="n">
        <v>121504000</v>
      </c>
      <c r="F21" s="3" t="n">
        <v>115739000</v>
      </c>
      <c r="G21" s="3" t="n"/>
      <c r="H21" s="3" t="n"/>
    </row>
    <row r="22">
      <c r="A22" t="inlineStr">
        <is>
          <t>Total Non Current Liabilities Net Minority Interest</t>
        </is>
      </c>
      <c r="B22" s="3" t="n">
        <v>47856000</v>
      </c>
      <c r="C22" s="3" t="n">
        <v>51393000</v>
      </c>
      <c r="D22" s="3" t="n">
        <v>32178000</v>
      </c>
      <c r="E22" s="3" t="n">
        <v>34622000</v>
      </c>
      <c r="F22" s="3" t="n">
        <v>37280000</v>
      </c>
      <c r="G22" s="3" t="n"/>
      <c r="H22" s="3" t="n"/>
    </row>
    <row r="23">
      <c r="A23" t="inlineStr">
        <is>
          <t>Other Non Current Liabilities</t>
        </is>
      </c>
      <c r="B23" s="3" t="n">
        <v>6535000</v>
      </c>
      <c r="C23" s="3" t="n">
        <v>6304000</v>
      </c>
      <c r="D23" s="3" t="n">
        <v>6191000</v>
      </c>
      <c r="E23" s="3" t="n">
        <v>6986000</v>
      </c>
      <c r="F23" s="3" t="n">
        <v>7274000</v>
      </c>
      <c r="G23" s="3" t="n"/>
      <c r="H23" s="3" t="n"/>
    </row>
    <row r="24">
      <c r="A24" t="inlineStr">
        <is>
          <t>Non Current Deferred Liabilities</t>
        </is>
      </c>
      <c r="B24" s="3" t="n">
        <v>7260000</v>
      </c>
      <c r="C24" s="3" t="n">
        <v>8962000</v>
      </c>
      <c r="D24" s="3" t="n">
        <v>11410000</v>
      </c>
      <c r="E24" s="3" t="n">
        <v>11661000</v>
      </c>
      <c r="F24" s="3" t="n">
        <v>13778000</v>
      </c>
      <c r="G24" s="3" t="n"/>
      <c r="H24" s="3" t="n"/>
    </row>
    <row r="25">
      <c r="A25" t="inlineStr">
        <is>
          <t>Non Current Deferred Revenue</t>
        </is>
      </c>
      <c r="B25" s="3" t="n">
        <v>7260000</v>
      </c>
      <c r="C25" s="3" t="n">
        <v>8962000</v>
      </c>
      <c r="D25" s="3" t="n">
        <v>11410000</v>
      </c>
      <c r="E25" s="3" t="n">
        <v>11661000</v>
      </c>
      <c r="F25" s="3" t="n">
        <v>13778000</v>
      </c>
      <c r="G25" s="3" t="n"/>
      <c r="H25" s="3" t="n"/>
    </row>
    <row r="26">
      <c r="A26" t="inlineStr">
        <is>
          <t>Long Term Debt And Capital Lease Obligation</t>
        </is>
      </c>
      <c r="B26" s="3" t="n">
        <v>34061000</v>
      </c>
      <c r="C26" s="3" t="n">
        <v>36127000</v>
      </c>
      <c r="D26" s="3" t="n">
        <v>14577000</v>
      </c>
      <c r="E26" s="3" t="n">
        <v>15975000</v>
      </c>
      <c r="F26" s="3" t="n">
        <v>16228000</v>
      </c>
      <c r="G26" s="3" t="n"/>
      <c r="H26" s="3" t="n"/>
    </row>
    <row r="27">
      <c r="A27" t="inlineStr">
        <is>
          <t>Long Term Capital Lease Obligation</t>
        </is>
      </c>
      <c r="B27" s="3" t="n">
        <v>34061000</v>
      </c>
      <c r="C27" s="3" t="n">
        <v>36127000</v>
      </c>
      <c r="D27" s="3" t="n">
        <v>14577000</v>
      </c>
      <c r="E27" s="3" t="n">
        <v>15975000</v>
      </c>
      <c r="F27" s="3" t="n">
        <v>16228000</v>
      </c>
      <c r="G27" s="3" t="n"/>
      <c r="H27" s="3" t="n"/>
    </row>
    <row r="28">
      <c r="A28" t="inlineStr">
        <is>
          <t>Current Liabilities</t>
        </is>
      </c>
      <c r="B28" s="3" t="n">
        <v>110964000</v>
      </c>
      <c r="C28" s="3" t="n">
        <v>117673000</v>
      </c>
      <c r="D28" s="3" t="n">
        <v>105778000</v>
      </c>
      <c r="E28" s="3" t="n">
        <v>86882000</v>
      </c>
      <c r="F28" s="3" t="n">
        <v>78459000</v>
      </c>
      <c r="G28" s="3" t="n"/>
      <c r="H28" s="3" t="n"/>
    </row>
    <row r="29">
      <c r="A29" t="inlineStr">
        <is>
          <t>Current Deferred Liabilities</t>
        </is>
      </c>
      <c r="B29" s="3" t="n">
        <v>18504000</v>
      </c>
      <c r="C29" s="3" t="n">
        <v>17302000</v>
      </c>
      <c r="D29" s="3" t="n">
        <v>18157000</v>
      </c>
      <c r="E29" s="3" t="n">
        <v>19223000</v>
      </c>
      <c r="F29" s="3" t="n">
        <v>16685000</v>
      </c>
      <c r="G29" s="3" t="n"/>
      <c r="H29" s="3" t="n"/>
    </row>
    <row r="30">
      <c r="A30" t="inlineStr">
        <is>
          <t>Current Deferred Revenue</t>
        </is>
      </c>
      <c r="B30" s="3" t="n">
        <v>18504000</v>
      </c>
      <c r="C30" s="3" t="n">
        <v>17302000</v>
      </c>
      <c r="D30" s="3" t="n">
        <v>18157000</v>
      </c>
      <c r="E30" s="3" t="n">
        <v>19223000</v>
      </c>
      <c r="F30" s="3" t="n">
        <v>16685000</v>
      </c>
      <c r="G30" s="3" t="n"/>
      <c r="H30" s="3" t="n"/>
    </row>
    <row r="31">
      <c r="A31" t="inlineStr">
        <is>
          <t>Current Debt And Capital Lease Obligation</t>
        </is>
      </c>
      <c r="B31" s="3" t="n">
        <v>5839000</v>
      </c>
      <c r="C31" s="3" t="n">
        <v>5980000</v>
      </c>
      <c r="D31" s="3" t="n">
        <v>5805000</v>
      </c>
      <c r="E31" s="3" t="n">
        <v>5923000</v>
      </c>
      <c r="F31" s="3" t="n">
        <v>5566000</v>
      </c>
      <c r="G31" s="3" t="n"/>
      <c r="H31" s="3" t="n"/>
    </row>
    <row r="32">
      <c r="A32" t="inlineStr">
        <is>
          <t>Current Capital Lease Obligation</t>
        </is>
      </c>
      <c r="B32" s="3" t="n">
        <v>5839000</v>
      </c>
      <c r="C32" s="3" t="n">
        <v>5980000</v>
      </c>
      <c r="D32" s="3" t="n">
        <v>5805000</v>
      </c>
      <c r="E32" s="3" t="n">
        <v>5923000</v>
      </c>
      <c r="F32" s="3" t="n">
        <v>5566000</v>
      </c>
      <c r="G32" s="3" t="n"/>
      <c r="H32" s="3" t="n"/>
    </row>
    <row r="33">
      <c r="A33" t="inlineStr">
        <is>
          <t>Payables And Accrued Expenses</t>
        </is>
      </c>
      <c r="B33" s="3" t="n">
        <v>86621000</v>
      </c>
      <c r="C33" s="3" t="n">
        <v>94391000</v>
      </c>
      <c r="D33" s="3" t="n">
        <v>81816000</v>
      </c>
      <c r="E33" s="3" t="n">
        <v>61736000</v>
      </c>
      <c r="F33" s="3" t="n">
        <v>56208000</v>
      </c>
      <c r="G33" s="3" t="n"/>
      <c r="H33" s="3" t="n"/>
    </row>
    <row r="34">
      <c r="A34" t="inlineStr">
        <is>
          <t>Current Accrued Expenses</t>
        </is>
      </c>
      <c r="B34" s="3" t="n">
        <v>27857000</v>
      </c>
      <c r="C34" s="3" t="n">
        <v>37873000</v>
      </c>
      <c r="D34" s="3" t="n">
        <v>34102000</v>
      </c>
      <c r="E34" s="3" t="n">
        <v>27931000</v>
      </c>
      <c r="F34" s="3" t="n">
        <v>23874000</v>
      </c>
      <c r="G34" s="3" t="n"/>
      <c r="H34" s="3" t="n"/>
    </row>
    <row r="35">
      <c r="A35" t="inlineStr">
        <is>
          <t>Payables</t>
        </is>
      </c>
      <c r="B35" s="3" t="n">
        <v>58764000</v>
      </c>
      <c r="C35" s="3" t="n">
        <v>56518000</v>
      </c>
      <c r="D35" s="3" t="n">
        <v>47714000</v>
      </c>
      <c r="E35" s="3" t="n">
        <v>33805000</v>
      </c>
      <c r="F35" s="3" t="n">
        <v>32334000</v>
      </c>
      <c r="G35" s="3" t="n"/>
      <c r="H35" s="3" t="n"/>
    </row>
    <row r="36">
      <c r="A36" t="inlineStr">
        <is>
          <t>Total Tax Payable</t>
        </is>
      </c>
      <c r="B36" s="3" t="n"/>
      <c r="C36" s="3" t="n"/>
      <c r="D36" s="3" t="n"/>
      <c r="E36" s="3" t="n"/>
      <c r="F36" s="3" t="n"/>
      <c r="G36" s="3" t="n">
        <v>3375000</v>
      </c>
      <c r="H36" s="3" t="n">
        <v>2663000</v>
      </c>
    </row>
    <row r="37">
      <c r="A37" t="inlineStr">
        <is>
          <t>Accounts Payable</t>
        </is>
      </c>
      <c r="B37" s="3" t="n">
        <v>58764000</v>
      </c>
      <c r="C37" s="3" t="n">
        <v>56518000</v>
      </c>
      <c r="D37" s="3" t="n">
        <v>47714000</v>
      </c>
      <c r="E37" s="3" t="n">
        <v>33805000</v>
      </c>
      <c r="F37" s="3" t="n">
        <v>32334000</v>
      </c>
      <c r="G37" s="3" t="n"/>
      <c r="H37" s="3" t="n"/>
    </row>
    <row r="38">
      <c r="A38" t="inlineStr">
        <is>
          <t>Total Assets</t>
        </is>
      </c>
      <c r="B38" s="3" t="n">
        <v>898979000</v>
      </c>
      <c r="C38" s="3" t="n">
        <v>883120000</v>
      </c>
      <c r="D38" s="3" t="n">
        <v>844356000</v>
      </c>
      <c r="E38" s="3" t="n">
        <v>808552000</v>
      </c>
      <c r="F38" s="3" t="n">
        <v>823650000</v>
      </c>
      <c r="G38" s="3" t="n"/>
      <c r="H38" s="3" t="n"/>
    </row>
    <row r="39">
      <c r="A39" t="inlineStr">
        <is>
          <t>Total Non Current Assets</t>
        </is>
      </c>
      <c r="B39" s="3" t="n">
        <v>512748000</v>
      </c>
      <c r="C39" s="3" t="n">
        <v>519246000</v>
      </c>
      <c r="D39" s="3" t="n">
        <v>502131000</v>
      </c>
      <c r="E39" s="3" t="n">
        <v>486126000</v>
      </c>
      <c r="F39" s="3" t="n">
        <v>485320000</v>
      </c>
      <c r="G39" s="3" t="n"/>
      <c r="H39" s="3" t="n"/>
    </row>
    <row r="40">
      <c r="A40" t="inlineStr">
        <is>
          <t>Other Non Current Assets</t>
        </is>
      </c>
      <c r="B40" s="3" t="n">
        <v>19345000</v>
      </c>
      <c r="C40" s="3" t="n">
        <v>20579000</v>
      </c>
      <c r="D40" s="3" t="n">
        <v>21962000</v>
      </c>
      <c r="E40" s="3" t="n">
        <v>16336000</v>
      </c>
      <c r="F40" s="3" t="n">
        <v>22145000</v>
      </c>
      <c r="G40" s="3" t="n"/>
      <c r="H40" s="3" t="n"/>
    </row>
    <row r="41">
      <c r="A41" t="inlineStr">
        <is>
          <t>Non Current Deferred Assets</t>
        </is>
      </c>
      <c r="B41" s="3" t="n">
        <v>59420000</v>
      </c>
      <c r="C41" s="3" t="n">
        <v>62675000</v>
      </c>
      <c r="D41" s="3" t="n">
        <v>68985000</v>
      </c>
      <c r="E41" s="3" t="n">
        <v>66060000</v>
      </c>
      <c r="F41" s="3" t="n">
        <v>66282000</v>
      </c>
      <c r="G41" s="3" t="n"/>
      <c r="H41" s="3" t="n"/>
    </row>
    <row r="42">
      <c r="A42" t="inlineStr">
        <is>
          <t>Non Current Deferred Taxes Assets</t>
        </is>
      </c>
      <c r="B42" s="3" t="n">
        <v>59420000</v>
      </c>
      <c r="C42" s="3" t="n">
        <v>62675000</v>
      </c>
      <c r="D42" s="3" t="n">
        <v>68985000</v>
      </c>
      <c r="E42" s="3" t="n">
        <v>66060000</v>
      </c>
      <c r="F42" s="3" t="n">
        <v>66282000</v>
      </c>
      <c r="G42" s="3" t="n"/>
      <c r="H42" s="3" t="n"/>
    </row>
    <row r="43">
      <c r="A43" t="inlineStr">
        <is>
          <t>Goodwill And Other Intangible Assets</t>
        </is>
      </c>
      <c r="B43" s="3" t="n">
        <v>318932000</v>
      </c>
      <c r="C43" s="3" t="n">
        <v>319501000</v>
      </c>
      <c r="D43" s="3" t="n">
        <v>320087000</v>
      </c>
      <c r="E43" s="3" t="n">
        <v>320432000</v>
      </c>
      <c r="F43" s="3" t="n">
        <v>320465000</v>
      </c>
      <c r="G43" s="3" t="n"/>
      <c r="H43" s="3" t="n"/>
    </row>
    <row r="44">
      <c r="A44" t="inlineStr">
        <is>
          <t>Other Intangible Assets</t>
        </is>
      </c>
      <c r="B44" s="3" t="n">
        <v>3574000</v>
      </c>
      <c r="C44" s="3" t="n">
        <v>4143000</v>
      </c>
      <c r="D44" s="3" t="n">
        <v>4729000</v>
      </c>
      <c r="E44" s="3" t="n">
        <v>5074000</v>
      </c>
      <c r="F44" s="3" t="n">
        <v>5107000</v>
      </c>
      <c r="G44" s="3" t="n"/>
      <c r="H44" s="3" t="n"/>
    </row>
    <row r="45">
      <c r="A45" t="inlineStr">
        <is>
          <t>Goodwill</t>
        </is>
      </c>
      <c r="B45" s="3" t="n">
        <v>315358000</v>
      </c>
      <c r="C45" s="3" t="n">
        <v>315358000</v>
      </c>
      <c r="D45" s="3" t="n">
        <v>315358000</v>
      </c>
      <c r="E45" s="3" t="n">
        <v>315358000</v>
      </c>
      <c r="F45" s="3" t="n">
        <v>315358000</v>
      </c>
      <c r="G45" s="3" t="n"/>
      <c r="H45" s="3" t="n"/>
    </row>
    <row r="46">
      <c r="A46" t="inlineStr">
        <is>
          <t>Net PPE</t>
        </is>
      </c>
      <c r="B46" s="3" t="n">
        <v>115051000</v>
      </c>
      <c r="C46" s="3" t="n">
        <v>116491000</v>
      </c>
      <c r="D46" s="3" t="n">
        <v>91097000</v>
      </c>
      <c r="E46" s="3" t="n">
        <v>83298000</v>
      </c>
      <c r="F46" s="3" t="n">
        <v>76428000</v>
      </c>
      <c r="G46" s="3" t="n"/>
      <c r="H46" s="3" t="n"/>
    </row>
    <row r="47">
      <c r="A47" t="inlineStr">
        <is>
          <t>Accumulated Depreciation</t>
        </is>
      </c>
      <c r="B47" s="3" t="n">
        <v>-119863000</v>
      </c>
      <c r="C47" s="3" t="n">
        <v>-123654000</v>
      </c>
      <c r="D47" s="3" t="n">
        <v>-132230000</v>
      </c>
      <c r="E47" s="3" t="n">
        <v>-131529000</v>
      </c>
      <c r="F47" s="3" t="n">
        <v>-128163000</v>
      </c>
      <c r="G47" s="3" t="n"/>
      <c r="H47" s="3" t="n"/>
    </row>
    <row r="48">
      <c r="A48" t="inlineStr">
        <is>
          <t>Gross PPE</t>
        </is>
      </c>
      <c r="B48" s="3" t="n">
        <v>234914000</v>
      </c>
      <c r="C48" s="3" t="n">
        <v>240145000</v>
      </c>
      <c r="D48" s="3" t="n">
        <v>223327000</v>
      </c>
      <c r="E48" s="3" t="n">
        <v>214827000</v>
      </c>
      <c r="F48" s="3" t="n">
        <v>204591000</v>
      </c>
      <c r="G48" s="3" t="n"/>
      <c r="H48" s="3" t="n"/>
    </row>
    <row r="49">
      <c r="A49" t="inlineStr">
        <is>
          <t>Leases</t>
        </is>
      </c>
      <c r="B49" s="3" t="n"/>
      <c r="C49" s="3" t="n">
        <v>12190000</v>
      </c>
      <c r="D49" s="3" t="n"/>
      <c r="E49" s="3" t="n"/>
      <c r="F49" s="3" t="n"/>
      <c r="G49" s="3" t="n">
        <v>15387000</v>
      </c>
      <c r="H49" s="3" t="n"/>
    </row>
    <row r="50">
      <c r="A50" t="inlineStr">
        <is>
          <t>Other Properties</t>
        </is>
      </c>
      <c r="B50" s="3" t="n">
        <v>234914000</v>
      </c>
      <c r="C50" s="3" t="n">
        <v>39459000</v>
      </c>
      <c r="D50" s="3" t="n">
        <v>223327000</v>
      </c>
      <c r="E50" s="3" t="n">
        <v>214827000</v>
      </c>
      <c r="F50" s="3" t="n">
        <v>204591000</v>
      </c>
      <c r="G50" s="3" t="n"/>
      <c r="H50" s="3" t="n"/>
    </row>
    <row r="51">
      <c r="A51" t="inlineStr">
        <is>
          <t>Machinery Furniture Equipment</t>
        </is>
      </c>
      <c r="B51" s="3" t="n"/>
      <c r="C51" s="3" t="n">
        <v>188496000</v>
      </c>
      <c r="D51" s="3" t="n"/>
      <c r="E51" s="3" t="n"/>
      <c r="F51" s="3" t="n"/>
      <c r="G51" s="3" t="n">
        <v>163502000</v>
      </c>
      <c r="H51" s="3" t="n"/>
    </row>
    <row r="52">
      <c r="A52" t="inlineStr">
        <is>
          <t>Properties</t>
        </is>
      </c>
      <c r="B52" s="3" t="n"/>
      <c r="C52" s="3" t="n">
        <v>0</v>
      </c>
      <c r="D52" s="3" t="n"/>
      <c r="E52" s="3" t="n"/>
      <c r="F52" s="3" t="n"/>
      <c r="G52" s="3" t="n">
        <v>0</v>
      </c>
      <c r="H52" s="3" t="n"/>
    </row>
    <row r="53">
      <c r="A53" t="inlineStr">
        <is>
          <t>Current Assets</t>
        </is>
      </c>
      <c r="B53" s="3" t="n">
        <v>386231000</v>
      </c>
      <c r="C53" s="3" t="n">
        <v>363874000</v>
      </c>
      <c r="D53" s="3" t="n">
        <v>342225000</v>
      </c>
      <c r="E53" s="3" t="n">
        <v>322426000</v>
      </c>
      <c r="F53" s="3" t="n">
        <v>338330000</v>
      </c>
      <c r="G53" s="3" t="n"/>
      <c r="H53" s="3" t="n"/>
    </row>
    <row r="54">
      <c r="A54" t="inlineStr">
        <is>
          <t>Other Current Assets</t>
        </is>
      </c>
      <c r="B54" s="3" t="n">
        <v>39938000</v>
      </c>
      <c r="C54" s="3" t="n">
        <v>38509000</v>
      </c>
      <c r="D54" s="3" t="n">
        <v>38107000</v>
      </c>
      <c r="E54" s="3" t="n">
        <v>35779000</v>
      </c>
      <c r="F54" s="3" t="n">
        <v>31331000</v>
      </c>
      <c r="G54" s="3" t="n"/>
      <c r="H54" s="3" t="n"/>
    </row>
    <row r="55">
      <c r="A55" t="inlineStr">
        <is>
          <t>Inventory</t>
        </is>
      </c>
      <c r="B55" s="3" t="n">
        <v>88231000</v>
      </c>
      <c r="C55" s="3" t="n">
        <v>89202000</v>
      </c>
      <c r="D55" s="3" t="n">
        <v>90716000</v>
      </c>
      <c r="E55" s="3" t="n">
        <v>93832000</v>
      </c>
      <c r="F55" s="3" t="n">
        <v>94890000</v>
      </c>
      <c r="G55" s="3" t="n"/>
      <c r="H55" s="3" t="n"/>
    </row>
    <row r="56">
      <c r="A56" t="inlineStr">
        <is>
          <t>Finished Goods</t>
        </is>
      </c>
      <c r="B56" s="3" t="n">
        <v>18751000</v>
      </c>
      <c r="C56" s="3" t="n">
        <v>20171000</v>
      </c>
      <c r="D56" s="3" t="n">
        <v>16324000</v>
      </c>
      <c r="E56" s="3" t="n">
        <v>16994000</v>
      </c>
      <c r="F56" s="3" t="n">
        <v>19546000</v>
      </c>
      <c r="G56" s="3" t="n"/>
      <c r="H56" s="3" t="n"/>
    </row>
    <row r="57">
      <c r="A57" t="inlineStr">
        <is>
          <t>Work In Process</t>
        </is>
      </c>
      <c r="B57" s="3" t="n">
        <v>69480000</v>
      </c>
      <c r="C57" s="3" t="n">
        <v>69031000</v>
      </c>
      <c r="D57" s="3" t="n">
        <v>74392000</v>
      </c>
      <c r="E57" s="3" t="n">
        <v>76838000</v>
      </c>
      <c r="F57" s="3" t="n">
        <v>75344000</v>
      </c>
      <c r="G57" s="3" t="n"/>
      <c r="H57" s="3" t="n"/>
    </row>
    <row r="58">
      <c r="A58" t="inlineStr">
        <is>
          <t>Receivables</t>
        </is>
      </c>
      <c r="B58" s="3" t="n">
        <v>118106000</v>
      </c>
      <c r="C58" s="3" t="n">
        <v>102277000</v>
      </c>
      <c r="D58" s="3" t="n">
        <v>95492000</v>
      </c>
      <c r="E58" s="3" t="n">
        <v>85659000</v>
      </c>
      <c r="F58" s="3" t="n">
        <v>84545000</v>
      </c>
      <c r="G58" s="3" t="n"/>
      <c r="H58" s="3" t="n"/>
    </row>
    <row r="59">
      <c r="A59" t="inlineStr">
        <is>
          <t>Accounts Receivable</t>
        </is>
      </c>
      <c r="B59" s="3" t="n">
        <v>118106000</v>
      </c>
      <c r="C59" s="3" t="n">
        <v>102277000</v>
      </c>
      <c r="D59" s="3" t="n">
        <v>95492000</v>
      </c>
      <c r="E59" s="3" t="n">
        <v>85659000</v>
      </c>
      <c r="F59" s="3" t="n">
        <v>84545000</v>
      </c>
      <c r="G59" s="3" t="n"/>
      <c r="H59" s="3" t="n"/>
    </row>
    <row r="60">
      <c r="A60" t="inlineStr">
        <is>
          <t>Allowance For Doubtful Accounts Receivable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/>
      <c r="H60" s="3" t="n"/>
    </row>
    <row r="61">
      <c r="A61" t="inlineStr">
        <is>
          <t>Gross Accounts Receivable</t>
        </is>
      </c>
      <c r="B61" s="3" t="n">
        <v>118106000</v>
      </c>
      <c r="C61" s="3" t="n">
        <v>102277000</v>
      </c>
      <c r="D61" s="3" t="n">
        <v>95492000</v>
      </c>
      <c r="E61" s="3" t="n">
        <v>85659000</v>
      </c>
      <c r="F61" s="3" t="n">
        <v>84545000</v>
      </c>
      <c r="G61" s="3" t="n"/>
      <c r="H61" s="3" t="n"/>
    </row>
    <row r="62">
      <c r="A62" t="inlineStr">
        <is>
          <t>Cash Cash Equivalents And Short Term Investments</t>
        </is>
      </c>
      <c r="B62" s="3" t="n">
        <v>139956000</v>
      </c>
      <c r="C62" s="3" t="n">
        <v>133886000</v>
      </c>
      <c r="D62" s="3" t="n">
        <v>117910000</v>
      </c>
      <c r="E62" s="3" t="n">
        <v>107156000</v>
      </c>
      <c r="F62" s="3" t="n">
        <v>127564000</v>
      </c>
      <c r="G62" s="3" t="n"/>
      <c r="H62" s="3" t="n"/>
    </row>
    <row r="63">
      <c r="A63" t="inlineStr">
        <is>
          <t>Cash And Cash Equivalents</t>
        </is>
      </c>
      <c r="B63" s="3" t="n">
        <v>139956000</v>
      </c>
      <c r="C63" s="3" t="n">
        <v>133886000</v>
      </c>
      <c r="D63" s="3" t="n">
        <v>117910000</v>
      </c>
      <c r="E63" s="3" t="n">
        <v>107156000</v>
      </c>
      <c r="F63" s="3" t="n">
        <v>127564000</v>
      </c>
      <c r="G63" s="3" t="n"/>
      <c r="H6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112799000</v>
      </c>
      <c r="C2" s="3" t="n">
        <v>103183000</v>
      </c>
      <c r="D2" s="3" t="n">
        <v>236338000</v>
      </c>
      <c r="E2" s="3" t="n">
        <v>215468000</v>
      </c>
      <c r="F2" s="3" t="n"/>
    </row>
    <row r="3">
      <c r="A3" t="inlineStr">
        <is>
          <t>Repurchase Of Capital Stock</t>
        </is>
      </c>
      <c r="B3" s="3" t="n">
        <v>-100000000</v>
      </c>
      <c r="C3" s="3" t="n">
        <v>-66998000</v>
      </c>
      <c r="D3" s="3" t="n">
        <v>-80004000</v>
      </c>
      <c r="E3" s="3" t="n">
        <v>-110132000</v>
      </c>
      <c r="F3" s="3" t="n"/>
    </row>
    <row r="4">
      <c r="A4" t="inlineStr">
        <is>
          <t>Repayment Of Debt</t>
        </is>
      </c>
      <c r="B4" s="3" t="n">
        <v>0</v>
      </c>
      <c r="C4" s="3" t="n">
        <v>0</v>
      </c>
      <c r="D4" s="3" t="n">
        <v>-130000000</v>
      </c>
      <c r="E4" s="3" t="n">
        <v>-178750000</v>
      </c>
      <c r="F4" s="3" t="n"/>
    </row>
    <row r="5">
      <c r="A5" t="inlineStr">
        <is>
          <t>Issuance Of Debt</t>
        </is>
      </c>
      <c r="B5" s="3" t="n"/>
      <c r="C5" s="3" t="n">
        <v>0</v>
      </c>
      <c r="D5" s="3" t="n">
        <v>0</v>
      </c>
      <c r="E5" s="3" t="n">
        <v>148597000</v>
      </c>
      <c r="F5" s="3" t="n">
        <v>0</v>
      </c>
    </row>
    <row r="6">
      <c r="A6" t="inlineStr">
        <is>
          <t>Issuance Of Capital Stock</t>
        </is>
      </c>
      <c r="B6" s="3" t="n">
        <v>7588000</v>
      </c>
      <c r="C6" s="3" t="n">
        <v>6184000</v>
      </c>
      <c r="D6" s="3" t="n">
        <v>8365000</v>
      </c>
      <c r="E6" s="3" t="n">
        <v>7159000</v>
      </c>
      <c r="F6" s="3" t="n"/>
    </row>
    <row r="7">
      <c r="A7" t="inlineStr">
        <is>
          <t>Capital Expenditure</t>
        </is>
      </c>
      <c r="B7" s="3" t="n">
        <v>-62308000</v>
      </c>
      <c r="C7" s="3" t="n">
        <v>-37693000</v>
      </c>
      <c r="D7" s="3" t="n">
        <v>-33250000</v>
      </c>
      <c r="E7" s="3" t="n">
        <v>-23338000</v>
      </c>
      <c r="F7" s="3" t="n"/>
    </row>
    <row r="8">
      <c r="A8" t="inlineStr">
        <is>
          <t>Interest Paid Supplemental Data</t>
        </is>
      </c>
      <c r="B8" s="3" t="n">
        <v>0</v>
      </c>
      <c r="C8" s="3" t="n">
        <v>0</v>
      </c>
      <c r="D8" s="3" t="n">
        <v>3240000</v>
      </c>
      <c r="E8" s="3" t="n">
        <v>3973000</v>
      </c>
      <c r="F8" s="3" t="n"/>
    </row>
    <row r="9">
      <c r="A9" t="inlineStr">
        <is>
          <t>Income Tax Paid Supplemental Data</t>
        </is>
      </c>
      <c r="B9" s="3" t="n">
        <v>7768000</v>
      </c>
      <c r="C9" s="3" t="n">
        <v>8587000</v>
      </c>
      <c r="D9" s="3" t="n">
        <v>15754000</v>
      </c>
      <c r="E9" s="3" t="n">
        <v>4621000</v>
      </c>
      <c r="F9" s="3" t="n"/>
    </row>
    <row r="10">
      <c r="A10" t="inlineStr">
        <is>
          <t>End Cash Position</t>
        </is>
      </c>
      <c r="B10" s="3" t="n">
        <v>133886000</v>
      </c>
      <c r="C10" s="3" t="n">
        <v>136291000</v>
      </c>
      <c r="D10" s="3" t="n">
        <v>128317000</v>
      </c>
      <c r="E10" s="3" t="n">
        <v>145722000</v>
      </c>
      <c r="F10" s="3" t="n"/>
    </row>
    <row r="11">
      <c r="A11" t="inlineStr">
        <is>
          <t>Beginning Cash Position</t>
        </is>
      </c>
      <c r="B11" s="3" t="n">
        <v>136291000</v>
      </c>
      <c r="C11" s="3" t="n">
        <v>128317000</v>
      </c>
      <c r="D11" s="3" t="n">
        <v>145722000</v>
      </c>
      <c r="E11" s="3" t="n">
        <v>131570000</v>
      </c>
      <c r="F11" s="3" t="n"/>
    </row>
    <row r="12">
      <c r="A12" t="inlineStr">
        <is>
          <t>Effect Of Exchange Rate Changes</t>
        </is>
      </c>
      <c r="B12" s="3" t="n">
        <v>493000</v>
      </c>
      <c r="C12" s="3" t="n">
        <v>-749000</v>
      </c>
      <c r="D12" s="3" t="n">
        <v>-26000</v>
      </c>
      <c r="E12" s="3" t="n">
        <v>-1650000</v>
      </c>
      <c r="F12" s="3" t="n"/>
    </row>
    <row r="13">
      <c r="A13" t="inlineStr">
        <is>
          <t>Changes In Cash</t>
        </is>
      </c>
      <c r="B13" s="3" t="n">
        <v>-2898000</v>
      </c>
      <c r="C13" s="3" t="n">
        <v>8723000</v>
      </c>
      <c r="D13" s="3" t="n">
        <v>-17379000</v>
      </c>
      <c r="E13" s="3" t="n">
        <v>15802000</v>
      </c>
      <c r="F13" s="3" t="n"/>
    </row>
    <row r="14">
      <c r="A14" t="inlineStr">
        <is>
          <t>Financing Cash Flow</t>
        </is>
      </c>
      <c r="B14" s="3" t="n">
        <v>-115697000</v>
      </c>
      <c r="C14" s="3" t="n">
        <v>-94460000</v>
      </c>
      <c r="D14" s="3" t="n">
        <v>-253717000</v>
      </c>
      <c r="E14" s="3" t="n">
        <v>-188072000</v>
      </c>
      <c r="F14" s="3" t="n"/>
    </row>
    <row r="15">
      <c r="A15" t="inlineStr">
        <is>
          <t>Cash Flow From Continuing Financing Activities</t>
        </is>
      </c>
      <c r="B15" s="3" t="n">
        <v>-115697000</v>
      </c>
      <c r="C15" s="3" t="n">
        <v>-94460000</v>
      </c>
      <c r="D15" s="3" t="n">
        <v>-253717000</v>
      </c>
      <c r="E15" s="3" t="n">
        <v>-188072000</v>
      </c>
      <c r="F15" s="3" t="n"/>
    </row>
    <row r="16">
      <c r="A16" t="inlineStr">
        <is>
          <t>Net Other Financing Charges</t>
        </is>
      </c>
      <c r="B16" s="3" t="n">
        <v>-23285000</v>
      </c>
      <c r="C16" s="3" t="n">
        <v>-33646000</v>
      </c>
      <c r="D16" s="3" t="n">
        <v>-52078000</v>
      </c>
      <c r="E16" s="3" t="n">
        <v>-54946000</v>
      </c>
      <c r="F16" s="3" t="n"/>
    </row>
    <row r="17">
      <c r="A17" t="inlineStr">
        <is>
          <t>Net Common Stock Issuance</t>
        </is>
      </c>
      <c r="B17" s="3" t="n">
        <v>-92412000</v>
      </c>
      <c r="C17" s="3" t="n">
        <v>-60814000</v>
      </c>
      <c r="D17" s="3" t="n">
        <v>-71639000</v>
      </c>
      <c r="E17" s="3" t="n">
        <v>-102973000</v>
      </c>
      <c r="F17" s="3" t="n"/>
    </row>
    <row r="18">
      <c r="A18" t="inlineStr">
        <is>
          <t>Common Stock Payments</t>
        </is>
      </c>
      <c r="B18" s="3" t="n">
        <v>-100000000</v>
      </c>
      <c r="C18" s="3" t="n">
        <v>-66998000</v>
      </c>
      <c r="D18" s="3" t="n">
        <v>-80004000</v>
      </c>
      <c r="E18" s="3" t="n">
        <v>-110132000</v>
      </c>
      <c r="F18" s="3" t="n"/>
    </row>
    <row r="19">
      <c r="A19" t="inlineStr">
        <is>
          <t>Common Stock Issuance</t>
        </is>
      </c>
      <c r="B19" s="3" t="n">
        <v>7588000</v>
      </c>
      <c r="C19" s="3" t="n">
        <v>6184000</v>
      </c>
      <c r="D19" s="3" t="n">
        <v>8365000</v>
      </c>
      <c r="E19" s="3" t="n">
        <v>7159000</v>
      </c>
      <c r="F19" s="3" t="n"/>
    </row>
    <row r="20">
      <c r="A20" t="inlineStr">
        <is>
          <t>Net Issuance Payments Of Debt</t>
        </is>
      </c>
      <c r="B20" s="3" t="n">
        <v>0</v>
      </c>
      <c r="C20" s="3" t="n">
        <v>0</v>
      </c>
      <c r="D20" s="3" t="n">
        <v>-130000000</v>
      </c>
      <c r="E20" s="3" t="n">
        <v>-30153000</v>
      </c>
      <c r="F20" s="3" t="n"/>
    </row>
    <row r="21">
      <c r="A21" t="inlineStr">
        <is>
          <t>Net Long Term Debt Issuance</t>
        </is>
      </c>
      <c r="B21" s="3" t="n">
        <v>0</v>
      </c>
      <c r="C21" s="3" t="n">
        <v>0</v>
      </c>
      <c r="D21" s="3" t="n">
        <v>-130000000</v>
      </c>
      <c r="E21" s="3" t="n">
        <v>-30153000</v>
      </c>
      <c r="F21" s="3" t="n"/>
    </row>
    <row r="22">
      <c r="A22" t="inlineStr">
        <is>
          <t>Long Term Debt Payments</t>
        </is>
      </c>
      <c r="B22" s="3" t="n">
        <v>0</v>
      </c>
      <c r="C22" s="3" t="n">
        <v>0</v>
      </c>
      <c r="D22" s="3" t="n">
        <v>-130000000</v>
      </c>
      <c r="E22" s="3" t="n">
        <v>-178750000</v>
      </c>
      <c r="F22" s="3" t="n"/>
    </row>
    <row r="23">
      <c r="A23" t="inlineStr">
        <is>
          <t>Long Term Debt Issuance</t>
        </is>
      </c>
      <c r="B23" s="3" t="n"/>
      <c r="C23" s="3" t="n">
        <v>0</v>
      </c>
      <c r="D23" s="3" t="n">
        <v>0</v>
      </c>
      <c r="E23" s="3" t="n">
        <v>148597000</v>
      </c>
      <c r="F23" s="3" t="n">
        <v>0</v>
      </c>
    </row>
    <row r="24">
      <c r="A24" t="inlineStr">
        <is>
          <t>Investing Cash Flow</t>
        </is>
      </c>
      <c r="B24" s="3" t="n">
        <v>-62308000</v>
      </c>
      <c r="C24" s="3" t="n">
        <v>-37693000</v>
      </c>
      <c r="D24" s="3" t="n">
        <v>-33250000</v>
      </c>
      <c r="E24" s="3" t="n">
        <v>-34932000</v>
      </c>
      <c r="F24" s="3" t="n"/>
    </row>
    <row r="25">
      <c r="A25" t="inlineStr">
        <is>
          <t>Cash Flow From Continuing Investing Activities</t>
        </is>
      </c>
      <c r="B25" s="3" t="n">
        <v>-62308000</v>
      </c>
      <c r="C25" s="3" t="n">
        <v>-37693000</v>
      </c>
      <c r="D25" s="3" t="n">
        <v>-33250000</v>
      </c>
      <c r="E25" s="3" t="n">
        <v>-34932000</v>
      </c>
      <c r="F25" s="3" t="n"/>
    </row>
    <row r="26">
      <c r="A26" t="inlineStr">
        <is>
          <t>Net Other Investing Changes</t>
        </is>
      </c>
      <c r="B26" s="3" t="n"/>
      <c r="C26" s="3" t="n">
        <v>-16708000</v>
      </c>
      <c r="D26" s="3" t="n">
        <v>-13152000</v>
      </c>
      <c r="E26" s="3" t="n">
        <v>-11594000</v>
      </c>
      <c r="F26" s="3" t="n"/>
    </row>
    <row r="27">
      <c r="A27" t="inlineStr">
        <is>
          <t>Net Investment Purchase And Sale</t>
        </is>
      </c>
      <c r="B27" s="3" t="n"/>
      <c r="C27" s="3" t="n"/>
      <c r="D27" s="3" t="n"/>
      <c r="E27" s="3" t="n"/>
      <c r="F27" s="3" t="n">
        <v>0</v>
      </c>
    </row>
    <row r="28">
      <c r="A28" t="inlineStr">
        <is>
          <t>Sale Of Investment</t>
        </is>
      </c>
      <c r="B28" s="3" t="n"/>
      <c r="C28" s="3" t="n"/>
      <c r="D28" s="3" t="n"/>
      <c r="E28" s="3" t="n"/>
      <c r="F28" s="3" t="n">
        <v>0</v>
      </c>
    </row>
    <row r="29">
      <c r="A29" t="inlineStr">
        <is>
          <t>Net Business Purchase And Sale</t>
        </is>
      </c>
      <c r="B29" s="3" t="n"/>
      <c r="C29" s="3" t="n"/>
      <c r="D29" s="3" t="n">
        <v>0</v>
      </c>
      <c r="E29" s="3" t="n">
        <v>0</v>
      </c>
      <c r="F29" s="3" t="n">
        <v>-68099000</v>
      </c>
    </row>
    <row r="30">
      <c r="A30" t="inlineStr">
        <is>
          <t>Purchase Of Business</t>
        </is>
      </c>
      <c r="B30" s="3" t="n"/>
      <c r="C30" s="3" t="n"/>
      <c r="D30" s="3" t="n">
        <v>0</v>
      </c>
      <c r="E30" s="3" t="n">
        <v>0</v>
      </c>
      <c r="F30" s="3" t="n">
        <v>-68099000</v>
      </c>
    </row>
    <row r="31">
      <c r="A31" t="inlineStr">
        <is>
          <t>Net Intangibles Purchase And Sale</t>
        </is>
      </c>
      <c r="B31" s="3" t="n">
        <v>-19781000</v>
      </c>
      <c r="C31" s="3" t="n">
        <v>-16708000</v>
      </c>
      <c r="D31" s="3" t="n">
        <v>-13152000</v>
      </c>
      <c r="E31" s="3" t="n">
        <v>-11594000</v>
      </c>
      <c r="F31" s="3" t="n"/>
    </row>
    <row r="32">
      <c r="A32" t="inlineStr">
        <is>
          <t>Purchase Of Intangibles</t>
        </is>
      </c>
      <c r="B32" s="3" t="n">
        <v>-19781000</v>
      </c>
      <c r="C32" s="3" t="n">
        <v>-16708000</v>
      </c>
      <c r="D32" s="3" t="n">
        <v>-13152000</v>
      </c>
      <c r="E32" s="3" t="n">
        <v>-11594000</v>
      </c>
      <c r="F32" s="3" t="n"/>
    </row>
    <row r="33">
      <c r="A33" t="inlineStr">
        <is>
          <t>Capital Expenditure Reported</t>
        </is>
      </c>
      <c r="B33" s="3" t="n">
        <v>-42527000</v>
      </c>
      <c r="C33" s="3" t="n">
        <v>-20985000</v>
      </c>
      <c r="D33" s="3" t="n">
        <v>-20098000</v>
      </c>
      <c r="E33" s="3" t="n">
        <v>-23338000</v>
      </c>
      <c r="F33" s="3" t="n"/>
    </row>
    <row r="34">
      <c r="A34" t="inlineStr">
        <is>
          <t>Operating Cash Flow</t>
        </is>
      </c>
      <c r="B34" s="3" t="n">
        <v>175107000</v>
      </c>
      <c r="C34" s="3" t="n">
        <v>140876000</v>
      </c>
      <c r="D34" s="3" t="n">
        <v>269588000</v>
      </c>
      <c r="E34" s="3" t="n">
        <v>238806000</v>
      </c>
      <c r="F34" s="3" t="n"/>
    </row>
    <row r="35">
      <c r="A35" t="inlineStr">
        <is>
          <t>Cash Flow From Continuing Operating Activities</t>
        </is>
      </c>
      <c r="B35" s="3" t="n">
        <v>175107000</v>
      </c>
      <c r="C35" s="3" t="n">
        <v>140876000</v>
      </c>
      <c r="D35" s="3" t="n">
        <v>269588000</v>
      </c>
      <c r="E35" s="3" t="n">
        <v>238806000</v>
      </c>
      <c r="F35" s="3" t="n"/>
    </row>
    <row r="36">
      <c r="A36" t="inlineStr">
        <is>
          <t>Change In Working Capital</t>
        </is>
      </c>
      <c r="B36" s="3" t="n">
        <v>4671000</v>
      </c>
      <c r="C36" s="3" t="n">
        <v>-11706000</v>
      </c>
      <c r="D36" s="3" t="n">
        <v>-42804000</v>
      </c>
      <c r="E36" s="3" t="n">
        <v>-37923000</v>
      </c>
      <c r="F36" s="3" t="n"/>
    </row>
    <row r="37">
      <c r="A37" t="inlineStr">
        <is>
          <t>Change In Other Current Liabilities</t>
        </is>
      </c>
      <c r="B37" s="3" t="n">
        <v>-7239000</v>
      </c>
      <c r="C37" s="3" t="n">
        <v>-8487000</v>
      </c>
      <c r="D37" s="3" t="n">
        <v>-7480000</v>
      </c>
      <c r="E37" s="3" t="n">
        <v>-6459000</v>
      </c>
      <c r="F37" s="3" t="n"/>
    </row>
    <row r="38">
      <c r="A38" t="inlineStr">
        <is>
          <t>Change In Payables And Accrued Expense</t>
        </is>
      </c>
      <c r="B38" s="3" t="n">
        <v>13555000</v>
      </c>
      <c r="C38" s="3" t="n">
        <v>-10883000</v>
      </c>
      <c r="D38" s="3" t="n">
        <v>-30517000</v>
      </c>
      <c r="E38" s="3" t="n">
        <v>31752000</v>
      </c>
      <c r="F38" s="3" t="n"/>
    </row>
    <row r="39">
      <c r="A39" t="inlineStr">
        <is>
          <t>Change In Accrued Expense</t>
        </is>
      </c>
      <c r="B39" s="3" t="n">
        <v>-6135000</v>
      </c>
      <c r="C39" s="3" t="n">
        <v>-13224000</v>
      </c>
      <c r="D39" s="3" t="n">
        <v>-22968000</v>
      </c>
      <c r="E39" s="3" t="n">
        <v>24313000</v>
      </c>
      <c r="F39" s="3" t="n"/>
    </row>
    <row r="40">
      <c r="A40" t="inlineStr">
        <is>
          <t>Change In Payable</t>
        </is>
      </c>
      <c r="B40" s="3" t="n">
        <v>19690000</v>
      </c>
      <c r="C40" s="3" t="n">
        <v>2341000</v>
      </c>
      <c r="D40" s="3" t="n">
        <v>-7549000</v>
      </c>
      <c r="E40" s="3" t="n">
        <v>7439000</v>
      </c>
      <c r="F40" s="3" t="n"/>
    </row>
    <row r="41">
      <c r="A41" t="inlineStr">
        <is>
          <t>Change In Account Payable</t>
        </is>
      </c>
      <c r="B41" s="3" t="n">
        <v>19690000</v>
      </c>
      <c r="C41" s="3" t="n">
        <v>2341000</v>
      </c>
      <c r="D41" s="3" t="n">
        <v>-7549000</v>
      </c>
      <c r="E41" s="3" t="n">
        <v>7439000</v>
      </c>
      <c r="F41" s="3" t="n"/>
    </row>
    <row r="42">
      <c r="A42" t="inlineStr">
        <is>
          <t>Change In Prepaid Assets</t>
        </is>
      </c>
      <c r="B42" s="3" t="n">
        <v>5364000</v>
      </c>
      <c r="C42" s="3" t="n">
        <v>-11065000</v>
      </c>
      <c r="D42" s="3" t="n">
        <v>-6001000</v>
      </c>
      <c r="E42" s="3" t="n">
        <v>-6276000</v>
      </c>
      <c r="F42" s="3" t="n"/>
    </row>
    <row r="43">
      <c r="A43" t="inlineStr">
        <is>
          <t>Change In Inventory</t>
        </is>
      </c>
      <c r="B43" s="3" t="n">
        <v>14208000</v>
      </c>
      <c r="C43" s="3" t="n">
        <v>-4584000</v>
      </c>
      <c r="D43" s="3" t="n">
        <v>11549000</v>
      </c>
      <c r="E43" s="3" t="n">
        <v>-42781000</v>
      </c>
      <c r="F43" s="3" t="n"/>
    </row>
    <row r="44">
      <c r="A44" t="inlineStr">
        <is>
          <t>Change In Receivables</t>
        </is>
      </c>
      <c r="B44" s="3" t="n">
        <v>-21217000</v>
      </c>
      <c r="C44" s="3" t="n">
        <v>23313000</v>
      </c>
      <c r="D44" s="3" t="n">
        <v>-10355000</v>
      </c>
      <c r="E44" s="3" t="n">
        <v>-14159000</v>
      </c>
      <c r="F44" s="3" t="n"/>
    </row>
    <row r="45">
      <c r="A45" t="inlineStr">
        <is>
          <t>Changes In Account Receivables</t>
        </is>
      </c>
      <c r="B45" s="3" t="n">
        <v>-21217000</v>
      </c>
      <c r="C45" s="3" t="n">
        <v>23313000</v>
      </c>
      <c r="D45" s="3" t="n">
        <v>-10355000</v>
      </c>
      <c r="E45" s="3" t="n">
        <v>-14159000</v>
      </c>
      <c r="F45" s="3" t="n"/>
    </row>
    <row r="46">
      <c r="A46" t="inlineStr">
        <is>
          <t>Other Non Cash Items</t>
        </is>
      </c>
      <c r="B46" s="3" t="n">
        <v>1124000</v>
      </c>
      <c r="C46" s="3" t="n">
        <v>9709000</v>
      </c>
      <c r="D46" s="3" t="n">
        <v>253000</v>
      </c>
      <c r="E46" s="3" t="n">
        <v>6756000</v>
      </c>
      <c r="F46" s="3" t="n"/>
    </row>
    <row r="47">
      <c r="A47" t="inlineStr">
        <is>
          <t>Stock Based Compensation</t>
        </is>
      </c>
      <c r="B47" s="3" t="n">
        <v>115613000</v>
      </c>
      <c r="C47" s="3" t="n">
        <v>52985000</v>
      </c>
      <c r="D47" s="3" t="n">
        <v>70197000</v>
      </c>
      <c r="E47" s="3" t="n">
        <v>55530000</v>
      </c>
      <c r="F47" s="3" t="n"/>
    </row>
    <row r="48">
      <c r="A48" t="inlineStr">
        <is>
          <t>Asset Impairment Charge</t>
        </is>
      </c>
      <c r="B48" s="3" t="n">
        <v>3497000</v>
      </c>
      <c r="C48" s="3" t="n">
        <v>13929000</v>
      </c>
      <c r="D48" s="3" t="n">
        <v>0</v>
      </c>
      <c r="E48" s="3" t="n">
        <v>1149000</v>
      </c>
      <c r="F48" s="3" t="n"/>
    </row>
    <row r="49">
      <c r="A49" t="inlineStr">
        <is>
          <t>Deferred Tax</t>
        </is>
      </c>
      <c r="B49" s="3" t="n">
        <v>4803000</v>
      </c>
      <c r="C49" s="3" t="n">
        <v>-31439000</v>
      </c>
      <c r="D49" s="3" t="n">
        <v>-58315000</v>
      </c>
      <c r="E49" s="3" t="n">
        <v>-1423000</v>
      </c>
      <c r="F49" s="3" t="n"/>
    </row>
    <row r="50">
      <c r="A50" t="inlineStr">
        <is>
          <t>Deferred Income Tax</t>
        </is>
      </c>
      <c r="B50" s="3" t="n">
        <v>4803000</v>
      </c>
      <c r="C50" s="3" t="n">
        <v>-31439000</v>
      </c>
      <c r="D50" s="3" t="n">
        <v>-58315000</v>
      </c>
      <c r="E50" s="3" t="n">
        <v>-1423000</v>
      </c>
      <c r="F50" s="3" t="n"/>
    </row>
    <row r="51">
      <c r="A51" t="inlineStr">
        <is>
          <t>Depreciation Amortization Depletion</t>
        </is>
      </c>
      <c r="B51" s="3" t="n">
        <v>42315000</v>
      </c>
      <c r="C51" s="3" t="n">
        <v>46267000</v>
      </c>
      <c r="D51" s="3" t="n">
        <v>41196000</v>
      </c>
      <c r="E51" s="3" t="n">
        <v>35835000</v>
      </c>
      <c r="F51" s="3" t="n"/>
    </row>
    <row r="52">
      <c r="A52" t="inlineStr">
        <is>
          <t>Depreciation And Amortization</t>
        </is>
      </c>
      <c r="B52" s="3" t="n">
        <v>42315000</v>
      </c>
      <c r="C52" s="3" t="n">
        <v>46267000</v>
      </c>
      <c r="D52" s="3" t="n">
        <v>41196000</v>
      </c>
      <c r="E52" s="3" t="n">
        <v>35835000</v>
      </c>
      <c r="F52" s="3" t="n"/>
    </row>
    <row r="53">
      <c r="A53" t="inlineStr">
        <is>
          <t>Depreciation</t>
        </is>
      </c>
      <c r="B53" s="3" t="n">
        <v>42315000</v>
      </c>
      <c r="C53" s="3" t="n">
        <v>46267000</v>
      </c>
      <c r="D53" s="3" t="n">
        <v>41196000</v>
      </c>
      <c r="E53" s="3" t="n">
        <v>35835000</v>
      </c>
      <c r="F53" s="3" t="n"/>
    </row>
    <row r="54">
      <c r="A54" t="inlineStr">
        <is>
          <t>Net Income From Continuing Operations</t>
        </is>
      </c>
      <c r="B54" s="3" t="n">
        <v>3084000</v>
      </c>
      <c r="C54" s="3" t="n">
        <v>61131000</v>
      </c>
      <c r="D54" s="3" t="n">
        <v>259061000</v>
      </c>
      <c r="E54" s="3" t="n">
        <v>178882000</v>
      </c>
      <c r="F54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34831000</v>
      </c>
      <c r="C2" s="3" t="n">
        <v>36409000</v>
      </c>
      <c r="D2" s="3" t="n">
        <v>29595000</v>
      </c>
      <c r="E2" s="3" t="n">
        <v>26981000</v>
      </c>
      <c r="F2" s="3" t="n">
        <v>19814000</v>
      </c>
      <c r="G2" s="3" t="n"/>
      <c r="H2" s="3" t="n"/>
    </row>
    <row r="3">
      <c r="A3" t="inlineStr">
        <is>
          <t>Repurchase Of Capital Stock</t>
        </is>
      </c>
      <c r="B3" s="3" t="n">
        <v>-15000000</v>
      </c>
      <c r="C3" s="3" t="n">
        <v>-14145000</v>
      </c>
      <c r="D3" s="3" t="n">
        <v>-15000000</v>
      </c>
      <c r="E3" s="3" t="n">
        <v>-45855000</v>
      </c>
      <c r="F3" s="3" t="n">
        <v>-25000000</v>
      </c>
      <c r="G3" s="3" t="n"/>
      <c r="H3" s="3" t="n"/>
    </row>
    <row r="4">
      <c r="A4" t="inlineStr">
        <is>
          <t>Repayment Of Debt</t>
        </is>
      </c>
      <c r="B4" s="3" t="n"/>
      <c r="C4" s="3" t="n"/>
      <c r="D4" s="3" t="n"/>
      <c r="E4" s="3" t="n"/>
      <c r="F4" s="3" t="n"/>
      <c r="G4" s="3" t="n">
        <v>0</v>
      </c>
      <c r="H4" s="3" t="n">
        <v>0</v>
      </c>
    </row>
    <row r="5">
      <c r="A5" t="inlineStr">
        <is>
          <t>Issuance Of Capital Stock</t>
        </is>
      </c>
      <c r="B5" s="3" t="n">
        <v>0</v>
      </c>
      <c r="C5" s="3" t="n">
        <v>2439000</v>
      </c>
      <c r="D5" s="3" t="n">
        <v>2917000</v>
      </c>
      <c r="E5" s="3" t="n">
        <v>0</v>
      </c>
      <c r="F5" s="3" t="n">
        <v>2232000</v>
      </c>
      <c r="G5" s="3" t="n"/>
      <c r="H5" s="3" t="n"/>
    </row>
    <row r="6">
      <c r="A6" t="inlineStr">
        <is>
          <t>Capital Expenditure</t>
        </is>
      </c>
      <c r="B6" s="3" t="n">
        <v>-15424000</v>
      </c>
      <c r="C6" s="3" t="n">
        <v>-21175000</v>
      </c>
      <c r="D6" s="3" t="n">
        <v>-17505000</v>
      </c>
      <c r="E6" s="3" t="n">
        <v>-11550000</v>
      </c>
      <c r="F6" s="3" t="n">
        <v>-12078000</v>
      </c>
      <c r="G6" s="3" t="n"/>
      <c r="H6" s="3" t="n"/>
    </row>
    <row r="7">
      <c r="A7" t="inlineStr">
        <is>
          <t>Interest Paid Supplemental Data</t>
        </is>
      </c>
      <c r="B7" s="3" t="n"/>
      <c r="C7" s="3" t="n"/>
      <c r="D7" s="3" t="n"/>
      <c r="E7" s="3" t="n"/>
      <c r="F7" s="3" t="n"/>
      <c r="G7" s="3" t="n">
        <v>0</v>
      </c>
      <c r="H7" s="3" t="n">
        <v>0</v>
      </c>
    </row>
    <row r="8">
      <c r="A8" t="inlineStr">
        <is>
          <t>Income Tax Paid Supplemental Data</t>
        </is>
      </c>
      <c r="B8" s="3" t="n">
        <v>1719000</v>
      </c>
      <c r="C8" s="3" t="n">
        <v>2474000</v>
      </c>
      <c r="D8" s="3" t="n">
        <v>1102000</v>
      </c>
      <c r="E8" s="3" t="n">
        <v>2752000</v>
      </c>
      <c r="F8" s="3" t="n">
        <v>1440000</v>
      </c>
      <c r="G8" s="3" t="n"/>
      <c r="H8" s="3" t="n"/>
    </row>
    <row r="9">
      <c r="A9" t="inlineStr">
        <is>
          <t>End Cash Position</t>
        </is>
      </c>
      <c r="B9" s="3" t="n">
        <v>139956000</v>
      </c>
      <c r="C9" s="3" t="n">
        <v>133886000</v>
      </c>
      <c r="D9" s="3" t="n">
        <v>117910000</v>
      </c>
      <c r="E9" s="3" t="n">
        <v>107156000</v>
      </c>
      <c r="F9" s="3" t="n">
        <v>127564000</v>
      </c>
      <c r="G9" s="3" t="n"/>
      <c r="H9" s="3" t="n"/>
    </row>
    <row r="10">
      <c r="A10" t="inlineStr">
        <is>
          <t>Beginning Cash Position</t>
        </is>
      </c>
      <c r="B10" s="3" t="n">
        <v>133886000</v>
      </c>
      <c r="C10" s="3" t="n">
        <v>117910000</v>
      </c>
      <c r="D10" s="3" t="n">
        <v>107156000</v>
      </c>
      <c r="E10" s="3" t="n">
        <v>127564000</v>
      </c>
      <c r="F10" s="3" t="n">
        <v>136291000</v>
      </c>
      <c r="G10" s="3" t="n"/>
      <c r="H10" s="3" t="n"/>
    </row>
    <row r="11">
      <c r="A11" t="inlineStr">
        <is>
          <t>Effect Of Exchange Rate Changes</t>
        </is>
      </c>
      <c r="B11" s="3" t="n">
        <v>15000</v>
      </c>
      <c r="C11" s="3" t="n">
        <v>-22000</v>
      </c>
      <c r="D11" s="3" t="n">
        <v>-139000</v>
      </c>
      <c r="E11" s="3" t="n">
        <v>416000</v>
      </c>
      <c r="F11" s="3" t="n">
        <v>238000</v>
      </c>
      <c r="G11" s="3" t="n"/>
      <c r="H11" s="3" t="n"/>
    </row>
    <row r="12">
      <c r="A12" t="inlineStr">
        <is>
          <t>Changes In Cash</t>
        </is>
      </c>
      <c r="B12" s="3" t="n">
        <v>6055000</v>
      </c>
      <c r="C12" s="3" t="n">
        <v>15998000</v>
      </c>
      <c r="D12" s="3" t="n">
        <v>10893000</v>
      </c>
      <c r="E12" s="3" t="n">
        <v>-20824000</v>
      </c>
      <c r="F12" s="3" t="n">
        <v>-8965000</v>
      </c>
      <c r="G12" s="3" t="n"/>
      <c r="H12" s="3" t="n"/>
    </row>
    <row r="13">
      <c r="A13" t="inlineStr">
        <is>
          <t>Financing Cash Flow</t>
        </is>
      </c>
      <c r="B13" s="3" t="n">
        <v>-28776000</v>
      </c>
      <c r="C13" s="3" t="n">
        <v>-20411000</v>
      </c>
      <c r="D13" s="3" t="n">
        <v>-18702000</v>
      </c>
      <c r="E13" s="3" t="n">
        <v>-47805000</v>
      </c>
      <c r="F13" s="3" t="n">
        <v>-28779000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-28776000</v>
      </c>
      <c r="C14" s="3" t="n">
        <v>-20411000</v>
      </c>
      <c r="D14" s="3" t="n">
        <v>-18702000</v>
      </c>
      <c r="E14" s="3" t="n">
        <v>-47805000</v>
      </c>
      <c r="F14" s="3" t="n">
        <v>-28779000</v>
      </c>
      <c r="G14" s="3" t="n"/>
      <c r="H14" s="3" t="n"/>
    </row>
    <row r="15">
      <c r="A15" t="inlineStr">
        <is>
          <t>Net Other Financing Charges</t>
        </is>
      </c>
      <c r="B15" s="3" t="n">
        <v>-13776000</v>
      </c>
      <c r="C15" s="3" t="n">
        <v>-8705000</v>
      </c>
      <c r="D15" s="3" t="n">
        <v>-6619000</v>
      </c>
      <c r="E15" s="3" t="n">
        <v>-1950000</v>
      </c>
      <c r="F15" s="3" t="n">
        <v>-6011000</v>
      </c>
      <c r="G15" s="3" t="n"/>
      <c r="H15" s="3" t="n"/>
    </row>
    <row r="16">
      <c r="A16" t="inlineStr">
        <is>
          <t>Net Common Stock Issuance</t>
        </is>
      </c>
      <c r="B16" s="3" t="n">
        <v>-15000000</v>
      </c>
      <c r="C16" s="3" t="n">
        <v>-11706000</v>
      </c>
      <c r="D16" s="3" t="n">
        <v>-12083000</v>
      </c>
      <c r="E16" s="3" t="n">
        <v>-45855000</v>
      </c>
      <c r="F16" s="3" t="n">
        <v>-22768000</v>
      </c>
      <c r="G16" s="3" t="n"/>
      <c r="H16" s="3" t="n"/>
    </row>
    <row r="17">
      <c r="A17" t="inlineStr">
        <is>
          <t>Common Stock Payments</t>
        </is>
      </c>
      <c r="B17" s="3" t="n">
        <v>-15000000</v>
      </c>
      <c r="C17" s="3" t="n">
        <v>-14145000</v>
      </c>
      <c r="D17" s="3" t="n">
        <v>-15000000</v>
      </c>
      <c r="E17" s="3" t="n">
        <v>-45855000</v>
      </c>
      <c r="F17" s="3" t="n">
        <v>-25000000</v>
      </c>
      <c r="G17" s="3" t="n"/>
      <c r="H17" s="3" t="n"/>
    </row>
    <row r="18">
      <c r="A18" t="inlineStr">
        <is>
          <t>Common Stock Issuance</t>
        </is>
      </c>
      <c r="B18" s="3" t="n">
        <v>0</v>
      </c>
      <c r="C18" s="3" t="n">
        <v>2439000</v>
      </c>
      <c r="D18" s="3" t="n">
        <v>2917000</v>
      </c>
      <c r="E18" s="3" t="n">
        <v>0</v>
      </c>
      <c r="F18" s="3" t="n">
        <v>2232000</v>
      </c>
      <c r="G18" s="3" t="n"/>
      <c r="H18" s="3" t="n"/>
    </row>
    <row r="19">
      <c r="A19" t="inlineStr">
        <is>
          <t>Net Issuance Payments Of Debt</t>
        </is>
      </c>
      <c r="B19" s="3" t="n"/>
      <c r="C19" s="3" t="n"/>
      <c r="D19" s="3" t="n"/>
      <c r="E19" s="3" t="n"/>
      <c r="F19" s="3" t="n"/>
      <c r="G19" s="3" t="n">
        <v>0</v>
      </c>
      <c r="H19" s="3" t="n">
        <v>0</v>
      </c>
    </row>
    <row r="20">
      <c r="A20" t="inlineStr">
        <is>
          <t>Net Long Term Debt Issuance</t>
        </is>
      </c>
      <c r="B20" s="3" t="n"/>
      <c r="C20" s="3" t="n"/>
      <c r="D20" s="3" t="n"/>
      <c r="E20" s="3" t="n"/>
      <c r="F20" s="3" t="n"/>
      <c r="G20" s="3" t="n">
        <v>0</v>
      </c>
      <c r="H20" s="3" t="n">
        <v>0</v>
      </c>
    </row>
    <row r="21">
      <c r="A21" t="inlineStr">
        <is>
          <t>Long Term Debt Payments</t>
        </is>
      </c>
      <c r="B21" s="3" t="n"/>
      <c r="C21" s="3" t="n"/>
      <c r="D21" s="3" t="n"/>
      <c r="E21" s="3" t="n"/>
      <c r="F21" s="3" t="n"/>
      <c r="G21" s="3" t="n">
        <v>0</v>
      </c>
      <c r="H21" s="3" t="n">
        <v>0</v>
      </c>
    </row>
    <row r="22">
      <c r="A22" t="inlineStr">
        <is>
          <t>Investing Cash Flow</t>
        </is>
      </c>
      <c r="B22" s="3" t="n">
        <v>-15424000</v>
      </c>
      <c r="C22" s="3" t="n">
        <v>-21175000</v>
      </c>
      <c r="D22" s="3" t="n">
        <v>-17505000</v>
      </c>
      <c r="E22" s="3" t="n">
        <v>-11550000</v>
      </c>
      <c r="F22" s="3" t="n">
        <v>-12078000</v>
      </c>
      <c r="G22" s="3" t="n"/>
      <c r="H22" s="3" t="n"/>
    </row>
    <row r="23">
      <c r="A23" t="inlineStr">
        <is>
          <t>Cash Flow From Continuing Investing Activities</t>
        </is>
      </c>
      <c r="B23" s="3" t="n">
        <v>-15424000</v>
      </c>
      <c r="C23" s="3" t="n">
        <v>-21175000</v>
      </c>
      <c r="D23" s="3" t="n">
        <v>-17505000</v>
      </c>
      <c r="E23" s="3" t="n">
        <v>-11550000</v>
      </c>
      <c r="F23" s="3" t="n">
        <v>-12078000</v>
      </c>
      <c r="G23" s="3" t="n"/>
      <c r="H23" s="3" t="n"/>
    </row>
    <row r="24">
      <c r="A24" t="inlineStr">
        <is>
          <t>Net Intangibles Purchase And Sale</t>
        </is>
      </c>
      <c r="B24" s="3" t="n">
        <v>-4891000</v>
      </c>
      <c r="C24" s="3" t="n">
        <v>-7568000</v>
      </c>
      <c r="D24" s="3" t="n">
        <v>-4431000</v>
      </c>
      <c r="E24" s="3" t="n">
        <v>-4320000</v>
      </c>
      <c r="F24" s="3" t="n">
        <v>-3462000</v>
      </c>
      <c r="G24" s="3" t="n"/>
      <c r="H24" s="3" t="n"/>
    </row>
    <row r="25">
      <c r="A25" t="inlineStr">
        <is>
          <t>Purchase Of Intangibles</t>
        </is>
      </c>
      <c r="B25" s="3" t="n">
        <v>-4891000</v>
      </c>
      <c r="C25" s="3" t="n">
        <v>-7568000</v>
      </c>
      <c r="D25" s="3" t="n">
        <v>-4431000</v>
      </c>
      <c r="E25" s="3" t="n">
        <v>-4320000</v>
      </c>
      <c r="F25" s="3" t="n">
        <v>-3462000</v>
      </c>
      <c r="G25" s="3" t="n"/>
      <c r="H25" s="3" t="n"/>
    </row>
    <row r="26">
      <c r="A26" t="inlineStr">
        <is>
          <t>Capital Expenditure Reported</t>
        </is>
      </c>
      <c r="B26" s="3" t="n">
        <v>-10533000</v>
      </c>
      <c r="C26" s="3" t="n">
        <v>-13607000</v>
      </c>
      <c r="D26" s="3" t="n">
        <v>-13074000</v>
      </c>
      <c r="E26" s="3" t="n">
        <v>-7230000</v>
      </c>
      <c r="F26" s="3" t="n">
        <v>-8616000</v>
      </c>
      <c r="G26" s="3" t="n"/>
      <c r="H26" s="3" t="n"/>
    </row>
    <row r="27">
      <c r="A27" t="inlineStr">
        <is>
          <t>Operating Cash Flow</t>
        </is>
      </c>
      <c r="B27" s="3" t="n">
        <v>50255000</v>
      </c>
      <c r="C27" s="3" t="n">
        <v>57584000</v>
      </c>
      <c r="D27" s="3" t="n">
        <v>47100000</v>
      </c>
      <c r="E27" s="3" t="n">
        <v>38531000</v>
      </c>
      <c r="F27" s="3" t="n">
        <v>31892000</v>
      </c>
      <c r="G27" s="3" t="n"/>
      <c r="H27" s="3" t="n"/>
    </row>
    <row r="28">
      <c r="A28" t="inlineStr">
        <is>
          <t>Cash Flow From Continuing Operating Activities</t>
        </is>
      </c>
      <c r="B28" s="3" t="n">
        <v>50255000</v>
      </c>
      <c r="C28" s="3" t="n">
        <v>57584000</v>
      </c>
      <c r="D28" s="3" t="n">
        <v>47100000</v>
      </c>
      <c r="E28" s="3" t="n">
        <v>38531000</v>
      </c>
      <c r="F28" s="3" t="n">
        <v>31892000</v>
      </c>
      <c r="G28" s="3" t="n"/>
      <c r="H28" s="3" t="n"/>
    </row>
    <row r="29">
      <c r="A29" t="inlineStr">
        <is>
          <t>Change In Working Capital</t>
        </is>
      </c>
      <c r="B29" s="3" t="n">
        <v>-14455000</v>
      </c>
      <c r="C29" s="3" t="n">
        <v>8928000</v>
      </c>
      <c r="D29" s="3" t="n">
        <v>553000</v>
      </c>
      <c r="E29" s="3" t="n">
        <v>407000</v>
      </c>
      <c r="F29" s="3" t="n">
        <v>-5217000</v>
      </c>
      <c r="G29" s="3" t="n"/>
      <c r="H29" s="3" t="n"/>
    </row>
    <row r="30">
      <c r="A30" t="inlineStr">
        <is>
          <t>Change In Other Current Liabilities</t>
        </is>
      </c>
      <c r="B30" s="3" t="n">
        <v>-2377000</v>
      </c>
      <c r="C30" s="3" t="n">
        <v>-2021000</v>
      </c>
      <c r="D30" s="3" t="n">
        <v>-1825000</v>
      </c>
      <c r="E30" s="3" t="n">
        <v>-1325000</v>
      </c>
      <c r="F30" s="3" t="n">
        <v>-2068000</v>
      </c>
      <c r="G30" s="3" t="n"/>
      <c r="H30" s="3" t="n"/>
    </row>
    <row r="31">
      <c r="A31" t="inlineStr">
        <is>
          <t>Change In Payables And Accrued Expense</t>
        </is>
      </c>
      <c r="B31" s="3" t="n">
        <v>3729000</v>
      </c>
      <c r="C31" s="3" t="n">
        <v>20117000</v>
      </c>
      <c r="D31" s="3" t="n">
        <v>13716000</v>
      </c>
      <c r="E31" s="3" t="n">
        <v>1102000</v>
      </c>
      <c r="F31" s="3" t="n">
        <v>-21380000</v>
      </c>
      <c r="G31" s="3" t="n"/>
      <c r="H31" s="3" t="n"/>
    </row>
    <row r="32">
      <c r="A32" t="inlineStr">
        <is>
          <t>Change In Accrued Expense</t>
        </is>
      </c>
      <c r="B32" s="3" t="n">
        <v>1483000</v>
      </c>
      <c r="C32" s="3" t="n">
        <v>11313000</v>
      </c>
      <c r="D32" s="3" t="n">
        <v>-193000</v>
      </c>
      <c r="E32" s="3" t="n">
        <v>-369000</v>
      </c>
      <c r="F32" s="3" t="n">
        <v>-16886000</v>
      </c>
      <c r="G32" s="3" t="n"/>
      <c r="H32" s="3" t="n"/>
    </row>
    <row r="33">
      <c r="A33" t="inlineStr">
        <is>
          <t>Change In Payable</t>
        </is>
      </c>
      <c r="B33" s="3" t="n">
        <v>2246000</v>
      </c>
      <c r="C33" s="3" t="n">
        <v>8804000</v>
      </c>
      <c r="D33" s="3" t="n">
        <v>13909000</v>
      </c>
      <c r="E33" s="3" t="n">
        <v>1471000</v>
      </c>
      <c r="F33" s="3" t="n">
        <v>-4494000</v>
      </c>
      <c r="G33" s="3" t="n"/>
      <c r="H33" s="3" t="n"/>
    </row>
    <row r="34">
      <c r="A34" t="inlineStr">
        <is>
          <t>Change In Account Payable</t>
        </is>
      </c>
      <c r="B34" s="3" t="n">
        <v>2246000</v>
      </c>
      <c r="C34" s="3" t="n">
        <v>8804000</v>
      </c>
      <c r="D34" s="3" t="n">
        <v>13909000</v>
      </c>
      <c r="E34" s="3" t="n">
        <v>1471000</v>
      </c>
      <c r="F34" s="3" t="n">
        <v>-4494000</v>
      </c>
      <c r="G34" s="3" t="n"/>
      <c r="H34" s="3" t="n"/>
    </row>
    <row r="35">
      <c r="A35" t="inlineStr">
        <is>
          <t>Change In Prepaid Assets</t>
        </is>
      </c>
      <c r="B35" s="3" t="n">
        <v>-949000</v>
      </c>
      <c r="C35" s="3" t="n">
        <v>-3897000</v>
      </c>
      <c r="D35" s="3" t="n">
        <v>-4621000</v>
      </c>
      <c r="E35" s="3" t="n">
        <v>686000</v>
      </c>
      <c r="F35" s="3" t="n">
        <v>13196000</v>
      </c>
      <c r="G35" s="3" t="n"/>
      <c r="H35" s="3" t="n"/>
    </row>
    <row r="36">
      <c r="A36" t="inlineStr">
        <is>
          <t>Change In Inventory</t>
        </is>
      </c>
      <c r="B36" s="3" t="n">
        <v>971000</v>
      </c>
      <c r="C36" s="3" t="n">
        <v>1514000</v>
      </c>
      <c r="D36" s="3" t="n">
        <v>3116000</v>
      </c>
      <c r="E36" s="3" t="n">
        <v>1058000</v>
      </c>
      <c r="F36" s="3" t="n">
        <v>8520000</v>
      </c>
      <c r="G36" s="3" t="n"/>
      <c r="H36" s="3" t="n"/>
    </row>
    <row r="37">
      <c r="A37" t="inlineStr">
        <is>
          <t>Change In Receivables</t>
        </is>
      </c>
      <c r="B37" s="3" t="n">
        <v>-15829000</v>
      </c>
      <c r="C37" s="3" t="n">
        <v>-6785000</v>
      </c>
      <c r="D37" s="3" t="n">
        <v>-9833000</v>
      </c>
      <c r="E37" s="3" t="n">
        <v>-1114000</v>
      </c>
      <c r="F37" s="3" t="n">
        <v>-3485000</v>
      </c>
      <c r="G37" s="3" t="n"/>
      <c r="H37" s="3" t="n"/>
    </row>
    <row r="38">
      <c r="A38" t="inlineStr">
        <is>
          <t>Changes In Account Receivables</t>
        </is>
      </c>
      <c r="B38" s="3" t="n">
        <v>-15829000</v>
      </c>
      <c r="C38" s="3" t="n">
        <v>-6785000</v>
      </c>
      <c r="D38" s="3" t="n">
        <v>-9833000</v>
      </c>
      <c r="E38" s="3" t="n">
        <v>-1114000</v>
      </c>
      <c r="F38" s="3" t="n">
        <v>-3485000</v>
      </c>
      <c r="G38" s="3" t="n"/>
      <c r="H38" s="3" t="n"/>
    </row>
    <row r="39">
      <c r="A39" t="inlineStr">
        <is>
          <t>Other Non Cash Items</t>
        </is>
      </c>
      <c r="B39" s="3" t="n">
        <v>89000</v>
      </c>
      <c r="C39" s="3" t="n">
        <v>382000</v>
      </c>
      <c r="D39" s="3" t="n">
        <v>418000</v>
      </c>
      <c r="E39" s="3" t="n">
        <v>221000</v>
      </c>
      <c r="F39" s="3" t="n">
        <v>103000</v>
      </c>
      <c r="G39" s="3" t="n"/>
      <c r="H39" s="3" t="n"/>
    </row>
    <row r="40">
      <c r="A40" t="inlineStr">
        <is>
          <t>Stock Based Compensation</t>
        </is>
      </c>
      <c r="B40" s="3" t="n">
        <v>28072000</v>
      </c>
      <c r="C40" s="3" t="n">
        <v>35380000</v>
      </c>
      <c r="D40" s="3" t="n">
        <v>35774000</v>
      </c>
      <c r="E40" s="3" t="n">
        <v>24086000</v>
      </c>
      <c r="F40" s="3" t="n">
        <v>20373000</v>
      </c>
      <c r="G40" s="3" t="n"/>
      <c r="H40" s="3" t="n"/>
    </row>
    <row r="41">
      <c r="A41" t="inlineStr">
        <is>
          <t>Asset Impairment Charge</t>
        </is>
      </c>
      <c r="B41" s="3" t="n"/>
      <c r="C41" s="3" t="n"/>
      <c r="D41" s="3" t="n"/>
      <c r="E41" s="3" t="n"/>
      <c r="F41" s="3" t="n"/>
      <c r="G41" s="3" t="n">
        <v>15952000</v>
      </c>
      <c r="H41" s="3" t="n">
        <v>0</v>
      </c>
    </row>
    <row r="42">
      <c r="A42" t="inlineStr">
        <is>
          <t>Deferred Tax</t>
        </is>
      </c>
      <c r="B42" s="3" t="n">
        <v>3508000</v>
      </c>
      <c r="C42" s="3" t="n">
        <v>6534000</v>
      </c>
      <c r="D42" s="3" t="n">
        <v>-2867000</v>
      </c>
      <c r="E42" s="3" t="n">
        <v>314000</v>
      </c>
      <c r="F42" s="3" t="n">
        <v>822000</v>
      </c>
      <c r="G42" s="3" t="n"/>
      <c r="H42" s="3" t="n"/>
    </row>
    <row r="43">
      <c r="A43" t="inlineStr">
        <is>
          <t>Deferred Income Tax</t>
        </is>
      </c>
      <c r="B43" s="3" t="n">
        <v>3508000</v>
      </c>
      <c r="C43" s="3" t="n">
        <v>6534000</v>
      </c>
      <c r="D43" s="3" t="n">
        <v>-2867000</v>
      </c>
      <c r="E43" s="3" t="n">
        <v>314000</v>
      </c>
      <c r="F43" s="3" t="n">
        <v>822000</v>
      </c>
      <c r="G43" s="3" t="n"/>
      <c r="H43" s="3" t="n"/>
    </row>
    <row r="44">
      <c r="A44" t="inlineStr">
        <is>
          <t>Depreciation Amortization Depletion</t>
        </is>
      </c>
      <c r="B44" s="3" t="n">
        <v>11224000</v>
      </c>
      <c r="C44" s="3" t="n">
        <v>10508000</v>
      </c>
      <c r="D44" s="3" t="n">
        <v>10428000</v>
      </c>
      <c r="E44" s="3" t="n">
        <v>10590000</v>
      </c>
      <c r="F44" s="3" t="n">
        <v>10789000</v>
      </c>
      <c r="G44" s="3" t="n"/>
      <c r="H44" s="3" t="n"/>
    </row>
    <row r="45">
      <c r="A45" t="inlineStr">
        <is>
          <t>Depreciation And Amortization</t>
        </is>
      </c>
      <c r="B45" s="3" t="n">
        <v>11224000</v>
      </c>
      <c r="C45" s="3" t="n">
        <v>10508000</v>
      </c>
      <c r="D45" s="3" t="n">
        <v>10428000</v>
      </c>
      <c r="E45" s="3" t="n">
        <v>10590000</v>
      </c>
      <c r="F45" s="3" t="n">
        <v>10789000</v>
      </c>
      <c r="G45" s="3" t="n"/>
      <c r="H45" s="3" t="n"/>
    </row>
    <row r="46">
      <c r="A46" t="inlineStr">
        <is>
          <t>Depreciation</t>
        </is>
      </c>
      <c r="B46" s="3" t="n">
        <v>11224000</v>
      </c>
      <c r="C46" s="3" t="n">
        <v>10508000</v>
      </c>
      <c r="D46" s="3" t="n">
        <v>10428000</v>
      </c>
      <c r="E46" s="3" t="n">
        <v>10590000</v>
      </c>
      <c r="F46" s="3" t="n">
        <v>10789000</v>
      </c>
      <c r="G46" s="3" t="n"/>
      <c r="H46" s="3" t="n"/>
    </row>
    <row r="47">
      <c r="A47" t="inlineStr">
        <is>
          <t>Net Income From Continuing Operations</t>
        </is>
      </c>
      <c r="B47" s="3" t="n">
        <v>21817000</v>
      </c>
      <c r="C47" s="3" t="n">
        <v>-7645000</v>
      </c>
      <c r="D47" s="3" t="n">
        <v>2794000</v>
      </c>
      <c r="E47" s="3" t="n">
        <v>2913000</v>
      </c>
      <c r="F47" s="3" t="n">
        <v>5022000</v>
      </c>
      <c r="G47" s="3" t="n"/>
      <c r="H47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2026-06-20T19:56:57Z</dcterms:created>
  <dcterms:modified xsi:type="dcterms:W3CDTF">2026-06-20T19:56:58Z</dcterms:modified>
</cp:coreProperties>
</file>