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Y Summary" sheetId="2" state="visible" r:id="rId2"/>
    <sheet xmlns:r="http://schemas.openxmlformats.org/officeDocument/2006/relationships" name="Income stmt (annual)" sheetId="3" state="visible" r:id="rId3"/>
    <sheet xmlns:r="http://schemas.openxmlformats.org/officeDocument/2006/relationships" name="Income stmt (quarterly)" sheetId="4" state="visible" r:id="rId4"/>
    <sheet xmlns:r="http://schemas.openxmlformats.org/officeDocument/2006/relationships" name="Balance sheet (annual)" sheetId="5" state="visible" r:id="rId5"/>
    <sheet xmlns:r="http://schemas.openxmlformats.org/officeDocument/2006/relationships" name="Balance sheet (quarterly)" sheetId="6" state="visible" r:id="rId6"/>
    <sheet xmlns:r="http://schemas.openxmlformats.org/officeDocument/2006/relationships" name="Cash flow (annual)" sheetId="7" state="visible" r:id="rId7"/>
    <sheet xmlns:r="http://schemas.openxmlformats.org/officeDocument/2006/relationships" name="Cash flow (quarterly)" sheetId="8" state="visible" r:id="rId8"/>
    <sheet xmlns:r="http://schemas.openxmlformats.org/officeDocument/2006/relationships"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LMND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Lemonade,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Financial Services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Insurance - Property &amp; Casualty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3379136256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3399008768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-50.183907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3.4657807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0.51651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-0.11821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-0.14195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-0.26962999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0.794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376800000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226400000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8100000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77396615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43.66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2026-06-30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(annual)'!D26</f>
        <v/>
      </c>
      <c r="C3" s="3">
        <f>'Income stmt (annual)'!C26</f>
        <v/>
      </c>
      <c r="D3" s="3">
        <f>'Income stmt (annual)'!B26</f>
        <v/>
      </c>
      <c r="E3" s="3">
        <f>SUM('Income stmt (quarterly)'!B26:E26)</f>
        <v/>
      </c>
      <c r="F3" t="inlineStr">
        <is>
          <t>Total Revenue</t>
        </is>
      </c>
    </row>
    <row r="4">
      <c r="A4" t="inlineStr">
        <is>
          <t>Gross profit</t>
        </is>
      </c>
      <c r="B4" s="3" t="inlineStr"/>
      <c r="C4" s="3" t="inlineStr"/>
      <c r="D4" s="3" t="inlineStr"/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 t="inlineStr"/>
      <c r="C6" s="3" t="inlineStr"/>
      <c r="D6" s="3" t="inlineStr"/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 t="inlineStr"/>
      <c r="C8" s="3" t="inlineStr"/>
      <c r="D8" s="3" t="inlineStr"/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0.21</v>
      </c>
      <c r="C3" s="3" t="n">
        <v>0.008</v>
      </c>
      <c r="D3" s="3" t="n">
        <v>0.21</v>
      </c>
      <c r="E3" s="3" t="n">
        <v>0.21</v>
      </c>
    </row>
    <row r="4">
      <c r="A4" t="inlineStr">
        <is>
          <t>Net Income From Continuing Operation Net Minority Interest</t>
        </is>
      </c>
      <c r="B4" s="3" t="n">
        <v>-165500000</v>
      </c>
      <c r="C4" s="3" t="n">
        <v>-202200000</v>
      </c>
      <c r="D4" s="3" t="n">
        <v>-236900000</v>
      </c>
      <c r="E4" s="3" t="n">
        <v>-297800000</v>
      </c>
    </row>
    <row r="5">
      <c r="A5" t="inlineStr">
        <is>
          <t>Reconciled Depreciation</t>
        </is>
      </c>
      <c r="B5" s="3" t="n">
        <v>15200000</v>
      </c>
      <c r="C5" s="3" t="n">
        <v>20000000</v>
      </c>
      <c r="D5" s="3" t="n">
        <v>20000000</v>
      </c>
      <c r="E5" s="3" t="n">
        <v>12200000</v>
      </c>
    </row>
    <row r="6">
      <c r="A6" t="inlineStr">
        <is>
          <t>Interest Income</t>
        </is>
      </c>
      <c r="B6" s="3" t="n">
        <v>8200000</v>
      </c>
      <c r="C6" s="3" t="n">
        <v>8300000</v>
      </c>
      <c r="D6" s="3" t="n">
        <v>4200000</v>
      </c>
      <c r="E6" s="3" t="n">
        <v>1200000</v>
      </c>
    </row>
    <row r="7">
      <c r="A7" t="inlineStr">
        <is>
          <t>Normalized Income</t>
        </is>
      </c>
      <c r="B7" s="3" t="n">
        <v>-165500000</v>
      </c>
      <c r="C7" s="3" t="n">
        <v>-202200000</v>
      </c>
      <c r="D7" s="3" t="n">
        <v>-236900000</v>
      </c>
      <c r="E7" s="3" t="n">
        <v>-297800000</v>
      </c>
    </row>
    <row r="8">
      <c r="A8" t="inlineStr">
        <is>
          <t>Net Income From Continuing And Discontinued Operation</t>
        </is>
      </c>
      <c r="B8" s="3" t="n">
        <v>-165500000</v>
      </c>
      <c r="C8" s="3" t="n">
        <v>-202200000</v>
      </c>
      <c r="D8" s="3" t="n">
        <v>-236900000</v>
      </c>
      <c r="E8" s="3" t="n">
        <v>-297800000</v>
      </c>
    </row>
    <row r="9">
      <c r="A9" t="inlineStr">
        <is>
          <t>Total Expenses</t>
        </is>
      </c>
      <c r="B9" s="3" t="n">
        <v>898800000</v>
      </c>
      <c r="C9" s="3" t="n">
        <v>730400000</v>
      </c>
      <c r="D9" s="3" t="n">
        <v>659600000</v>
      </c>
      <c r="E9" s="3" t="n">
        <v>551500000</v>
      </c>
    </row>
    <row r="10">
      <c r="A10" t="inlineStr">
        <is>
          <t>Diluted Average Shares</t>
        </is>
      </c>
      <c r="B10" s="3" t="n">
        <v>73943632</v>
      </c>
      <c r="C10" s="3" t="n">
        <v>71023115</v>
      </c>
      <c r="D10" s="3" t="n">
        <v>69658912</v>
      </c>
      <c r="E10" s="3" t="n">
        <v>64921524</v>
      </c>
    </row>
    <row r="11">
      <c r="A11" t="inlineStr">
        <is>
          <t>Basic Average Shares</t>
        </is>
      </c>
      <c r="B11" s="3" t="n">
        <v>73943632</v>
      </c>
      <c r="C11" s="3" t="n">
        <v>71023115</v>
      </c>
      <c r="D11" s="3" t="n">
        <v>69658912</v>
      </c>
      <c r="E11" s="3" t="n">
        <v>64921524</v>
      </c>
    </row>
    <row r="12">
      <c r="A12" t="inlineStr">
        <is>
          <t>Diluted EPS</t>
        </is>
      </c>
      <c r="B12" s="3" t="n">
        <v>-2.24</v>
      </c>
      <c r="C12" s="3" t="n">
        <v>-2.85</v>
      </c>
      <c r="D12" s="3" t="n">
        <v>-3.4</v>
      </c>
      <c r="E12" s="3" t="n">
        <v>-4.59</v>
      </c>
    </row>
    <row r="13">
      <c r="A13" t="inlineStr">
        <is>
          <t>Basic EPS</t>
        </is>
      </c>
      <c r="B13" s="3" t="n">
        <v>-2.24</v>
      </c>
      <c r="C13" s="3" t="n">
        <v>-2.85</v>
      </c>
      <c r="D13" s="3" t="n">
        <v>-3.4</v>
      </c>
      <c r="E13" s="3" t="n">
        <v>-4.59</v>
      </c>
    </row>
    <row r="14">
      <c r="A14" t="inlineStr">
        <is>
          <t>Diluted NI Availto Com Stockholders</t>
        </is>
      </c>
      <c r="B14" s="3" t="n">
        <v>-165500000</v>
      </c>
      <c r="C14" s="3" t="n">
        <v>-202200000</v>
      </c>
      <c r="D14" s="3" t="n">
        <v>-236900000</v>
      </c>
      <c r="E14" s="3" t="n">
        <v>-297800000</v>
      </c>
    </row>
    <row r="15">
      <c r="A15" t="inlineStr">
        <is>
          <t>Net Income Common Stockholders</t>
        </is>
      </c>
      <c r="B15" s="3" t="n">
        <v>-165500000</v>
      </c>
      <c r="C15" s="3" t="n">
        <v>-202200000</v>
      </c>
      <c r="D15" s="3" t="n">
        <v>-236900000</v>
      </c>
      <c r="E15" s="3" t="n">
        <v>-297800000</v>
      </c>
    </row>
    <row r="16">
      <c r="A16" t="inlineStr">
        <is>
          <t>Net Income</t>
        </is>
      </c>
      <c r="B16" s="3" t="n">
        <v>-165500000</v>
      </c>
      <c r="C16" s="3" t="n">
        <v>-202200000</v>
      </c>
      <c r="D16" s="3" t="n">
        <v>-236900000</v>
      </c>
      <c r="E16" s="3" t="n">
        <v>-297800000</v>
      </c>
    </row>
    <row r="17">
      <c r="A17" t="inlineStr">
        <is>
          <t>Net Income Including Noncontrolling Interests</t>
        </is>
      </c>
      <c r="B17" s="3" t="n">
        <v>-165500000</v>
      </c>
      <c r="C17" s="3" t="n">
        <v>-202200000</v>
      </c>
      <c r="D17" s="3" t="n">
        <v>-236900000</v>
      </c>
      <c r="E17" s="3" t="n">
        <v>-297800000</v>
      </c>
    </row>
    <row r="18">
      <c r="A18" t="inlineStr">
        <is>
          <t>Net Income Continuous Operations</t>
        </is>
      </c>
      <c r="B18" s="3" t="n">
        <v>-165500000</v>
      </c>
      <c r="C18" s="3" t="n">
        <v>-202200000</v>
      </c>
      <c r="D18" s="3" t="n">
        <v>-236900000</v>
      </c>
      <c r="E18" s="3" t="n">
        <v>-297800000</v>
      </c>
    </row>
    <row r="19">
      <c r="A19" t="inlineStr">
        <is>
          <t>Tax Provision</t>
        </is>
      </c>
      <c r="B19" s="3" t="n">
        <v>4600000</v>
      </c>
      <c r="C19" s="3" t="n">
        <v>-1700000</v>
      </c>
      <c r="D19" s="3" t="n">
        <v>7100000</v>
      </c>
      <c r="E19" s="3" t="n">
        <v>3000000</v>
      </c>
    </row>
    <row r="20">
      <c r="A20" t="inlineStr">
        <is>
          <t>Pretax Income</t>
        </is>
      </c>
      <c r="B20" s="3" t="n">
        <v>-160900000</v>
      </c>
      <c r="C20" s="3" t="n">
        <v>-203900000</v>
      </c>
      <c r="D20" s="3" t="n">
        <v>-229800000</v>
      </c>
      <c r="E20" s="3" t="n">
        <v>-294800000</v>
      </c>
    </row>
    <row r="21">
      <c r="A21" t="inlineStr">
        <is>
          <t>Other Operating Expenses</t>
        </is>
      </c>
      <c r="B21" s="3" t="n">
        <v>93900000</v>
      </c>
      <c r="C21" s="3" t="n">
        <v>85800000</v>
      </c>
      <c r="D21" s="3" t="n">
        <v>88800000</v>
      </c>
      <c r="E21" s="3" t="n">
        <v>79600000</v>
      </c>
    </row>
    <row r="22">
      <c r="A22" t="inlineStr">
        <is>
          <t>Selling General And Administration</t>
        </is>
      </c>
      <c r="B22" s="3" t="n">
        <v>364200000</v>
      </c>
      <c r="C22" s="3" t="n">
        <v>290800000</v>
      </c>
      <c r="D22" s="3" t="n">
        <v>231200000</v>
      </c>
      <c r="E22" s="3" t="n">
        <v>260600000</v>
      </c>
    </row>
    <row r="23">
      <c r="A23" t="inlineStr">
        <is>
          <t>Selling And Marketing Expense</t>
        </is>
      </c>
      <c r="B23" s="3" t="n">
        <v>224400000</v>
      </c>
      <c r="C23" s="3" t="n">
        <v>166300000</v>
      </c>
      <c r="D23" s="3" t="n">
        <v>101900000</v>
      </c>
      <c r="E23" s="3" t="n">
        <v>138300000</v>
      </c>
    </row>
    <row r="24">
      <c r="A24" t="inlineStr">
        <is>
          <t>General And Administrative Expense</t>
        </is>
      </c>
      <c r="B24" s="3" t="n">
        <v>139800000</v>
      </c>
      <c r="C24" s="3" t="n">
        <v>124500000</v>
      </c>
      <c r="D24" s="3" t="n">
        <v>129300000</v>
      </c>
      <c r="E24" s="3" t="n">
        <v>122300000</v>
      </c>
    </row>
    <row r="25">
      <c r="A25" t="inlineStr">
        <is>
          <t>Other Gand A</t>
        </is>
      </c>
      <c r="B25" s="3" t="n">
        <v>139800000</v>
      </c>
      <c r="C25" s="3" t="n">
        <v>124500000</v>
      </c>
      <c r="D25" s="3" t="n">
        <v>129300000</v>
      </c>
      <c r="E25" s="3" t="n">
        <v>122300000</v>
      </c>
    </row>
    <row r="26">
      <c r="A26" t="inlineStr">
        <is>
          <t>Total Revenue</t>
        </is>
      </c>
      <c r="B26" s="3" t="n">
        <v>737900000</v>
      </c>
      <c r="C26" s="3" t="n">
        <v>526500000</v>
      </c>
      <c r="D26" s="3" t="n">
        <v>429800000</v>
      </c>
      <c r="E26" s="3" t="n">
        <v>256700000</v>
      </c>
    </row>
    <row r="27">
      <c r="A27" t="inlineStr">
        <is>
          <t>Operating Revenue</t>
        </is>
      </c>
      <c r="B27" s="3" t="n">
        <v>737900000</v>
      </c>
      <c r="C27" s="3" t="n">
        <v>526500000</v>
      </c>
      <c r="D27" s="3" t="n">
        <v>429800000</v>
      </c>
      <c r="E27" s="3" t="n">
        <v>256700000</v>
      </c>
    </row>
    <row r="28">
      <c r="A28" t="inlineStr">
        <is>
          <t>Loss Adjustment Expense</t>
        </is>
      </c>
      <c r="B28" s="3" t="n">
        <v>408600000</v>
      </c>
      <c r="C28" s="3" t="n">
        <v>323300000</v>
      </c>
      <c r="D28" s="3" t="n">
        <v>339600000</v>
      </c>
      <c r="E28" s="3" t="n">
        <v>211300000</v>
      </c>
    </row>
    <row r="29">
      <c r="A29" t="inlineStr">
        <is>
          <t>Net Policyholder Benefits And Claims</t>
        </is>
      </c>
      <c r="B29" s="3" t="n">
        <v>408600000</v>
      </c>
      <c r="C29" s="3" t="n">
        <v>323300000</v>
      </c>
      <c r="D29" s="3" t="n">
        <v>339600000</v>
      </c>
      <c r="E29" s="3" t="n">
        <v>211300000</v>
      </c>
    </row>
    <row r="30">
      <c r="A30" t="inlineStr">
        <is>
          <t>Policyholder Benefits Gross</t>
        </is>
      </c>
      <c r="B30" s="3" t="n">
        <v>733600000</v>
      </c>
      <c r="C30" s="3" t="n">
        <v>651300000</v>
      </c>
      <c r="D30" s="3" t="n">
        <v>628600000</v>
      </c>
      <c r="E30" s="3" t="n">
        <v>485000000</v>
      </c>
    </row>
    <row r="31">
      <c r="A31" t="inlineStr">
        <is>
          <t>Policyholder Benefits Ceded</t>
        </is>
      </c>
      <c r="B31" s="3" t="n">
        <v>325000000</v>
      </c>
      <c r="C31" s="3" t="n">
        <v>328000000</v>
      </c>
      <c r="D31" s="3" t="n">
        <v>289000000</v>
      </c>
      <c r="E31" s="3" t="n">
        <v>273700000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  <c r="G1" s="1" t="inlineStr">
        <is>
          <t>2025-03-31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0.4</v>
      </c>
      <c r="C3" s="3" t="n">
        <v>0.4</v>
      </c>
      <c r="D3" s="3" t="n">
        <v>0.21</v>
      </c>
      <c r="E3" s="3" t="n">
        <v>0.21</v>
      </c>
      <c r="F3" s="3" t="n">
        <v>0.21</v>
      </c>
      <c r="G3" s="3" t="n"/>
    </row>
    <row r="4">
      <c r="A4" t="inlineStr">
        <is>
          <t>Net Income From Continuing Operation Net Minority Interest</t>
        </is>
      </c>
      <c r="B4" s="3" t="n">
        <v>-43400000</v>
      </c>
      <c r="C4" s="3" t="n">
        <v>-35800000</v>
      </c>
      <c r="D4" s="3" t="n">
        <v>-21700000</v>
      </c>
      <c r="E4" s="3" t="n">
        <v>-37500000</v>
      </c>
      <c r="F4" s="3" t="n">
        <v>-43900000</v>
      </c>
      <c r="G4" s="3" t="n"/>
    </row>
    <row r="5">
      <c r="A5" t="inlineStr">
        <is>
          <t>Reconciled Depreciation</t>
        </is>
      </c>
      <c r="B5" s="3" t="n">
        <v>2400000</v>
      </c>
      <c r="C5" s="3" t="n">
        <v>2700000</v>
      </c>
      <c r="D5" s="3" t="n">
        <v>2600000</v>
      </c>
      <c r="E5" s="3" t="n">
        <v>3400000</v>
      </c>
      <c r="F5" s="3" t="n">
        <v>4700000</v>
      </c>
      <c r="G5" s="3" t="n"/>
    </row>
    <row r="6">
      <c r="A6" t="inlineStr">
        <is>
          <t>Interest Income</t>
        </is>
      </c>
      <c r="B6" s="3" t="n">
        <v>1900000</v>
      </c>
      <c r="C6" s="3" t="n">
        <v>2100000</v>
      </c>
      <c r="D6" s="3" t="n">
        <v>1900000</v>
      </c>
      <c r="E6" s="3" t="n">
        <v>2100000</v>
      </c>
      <c r="F6" s="3" t="n">
        <v>2100000</v>
      </c>
      <c r="G6" s="3" t="n"/>
    </row>
    <row r="7">
      <c r="A7" t="inlineStr">
        <is>
          <t>Normalized Income</t>
        </is>
      </c>
      <c r="B7" s="3" t="n">
        <v>-43400000</v>
      </c>
      <c r="C7" s="3" t="n">
        <v>-35800000</v>
      </c>
      <c r="D7" s="3" t="n">
        <v>-21700000</v>
      </c>
      <c r="E7" s="3" t="n">
        <v>-37500000</v>
      </c>
      <c r="F7" s="3" t="n">
        <v>-43900000</v>
      </c>
      <c r="G7" s="3" t="n"/>
    </row>
    <row r="8">
      <c r="A8" t="inlineStr">
        <is>
          <t>Net Income From Continuing And Discontinued Operation</t>
        </is>
      </c>
      <c r="B8" s="3" t="n">
        <v>-43400000</v>
      </c>
      <c r="C8" s="3" t="n">
        <v>-35800000</v>
      </c>
      <c r="D8" s="3" t="n">
        <v>-21700000</v>
      </c>
      <c r="E8" s="3" t="n">
        <v>-37500000</v>
      </c>
      <c r="F8" s="3" t="n">
        <v>-43900000</v>
      </c>
      <c r="G8" s="3" t="n"/>
    </row>
    <row r="9">
      <c r="A9" t="inlineStr">
        <is>
          <t>Total Expenses</t>
        </is>
      </c>
      <c r="B9" s="3" t="n">
        <v>336200000</v>
      </c>
      <c r="C9" s="3" t="n">
        <v>292600000</v>
      </c>
      <c r="D9" s="3" t="n">
        <v>248700000</v>
      </c>
      <c r="E9" s="3" t="n">
        <v>230800000</v>
      </c>
      <c r="F9" s="3" t="n">
        <v>206700000</v>
      </c>
      <c r="G9" s="3" t="n"/>
    </row>
    <row r="10">
      <c r="A10" t="inlineStr">
        <is>
          <t>Diluted Average Shares</t>
        </is>
      </c>
      <c r="B10" s="3" t="n">
        <v>76983877</v>
      </c>
      <c r="C10" s="3" t="n">
        <v>76307698</v>
      </c>
      <c r="D10" s="3" t="n"/>
      <c r="E10" s="3" t="n">
        <v>74194138</v>
      </c>
      <c r="F10" s="3" t="n">
        <v>73433379</v>
      </c>
      <c r="G10" s="3" t="n">
        <v>72921318</v>
      </c>
    </row>
    <row r="11">
      <c r="A11" t="inlineStr">
        <is>
          <t>Basic Average Shares</t>
        </is>
      </c>
      <c r="B11" s="3" t="n">
        <v>76983877</v>
      </c>
      <c r="C11" s="3" t="n">
        <v>76307698</v>
      </c>
      <c r="D11" s="3" t="n"/>
      <c r="E11" s="3" t="n">
        <v>74194138</v>
      </c>
      <c r="F11" s="3" t="n">
        <v>73433379</v>
      </c>
      <c r="G11" s="3" t="n">
        <v>72921318</v>
      </c>
    </row>
    <row r="12">
      <c r="A12" t="inlineStr">
        <is>
          <t>Diluted EPS</t>
        </is>
      </c>
      <c r="B12" s="3" t="n">
        <v>-0.5600000000000001</v>
      </c>
      <c r="C12" s="3" t="n">
        <v>-0.47</v>
      </c>
      <c r="D12" s="3" t="n"/>
      <c r="E12" s="3" t="n">
        <v>-0.51</v>
      </c>
      <c r="F12" s="3" t="n">
        <v>-0.6</v>
      </c>
      <c r="G12" s="3" t="n">
        <v>-0.86</v>
      </c>
    </row>
    <row r="13">
      <c r="A13" t="inlineStr">
        <is>
          <t>Basic EPS</t>
        </is>
      </c>
      <c r="B13" s="3" t="n">
        <v>-0.5600000000000001</v>
      </c>
      <c r="C13" s="3" t="n">
        <v>-0.47</v>
      </c>
      <c r="D13" s="3" t="n"/>
      <c r="E13" s="3" t="n">
        <v>-0.51</v>
      </c>
      <c r="F13" s="3" t="n">
        <v>-0.6</v>
      </c>
      <c r="G13" s="3" t="n">
        <v>-0.86</v>
      </c>
    </row>
    <row r="14">
      <c r="A14" t="inlineStr">
        <is>
          <t>Diluted NI Availto Com Stockholders</t>
        </is>
      </c>
      <c r="B14" s="3" t="n">
        <v>-43400000</v>
      </c>
      <c r="C14" s="3" t="n">
        <v>-35800000</v>
      </c>
      <c r="D14" s="3" t="n">
        <v>-21700000</v>
      </c>
      <c r="E14" s="3" t="n">
        <v>-37500000</v>
      </c>
      <c r="F14" s="3" t="n">
        <v>-43900000</v>
      </c>
      <c r="G14" s="3" t="n"/>
    </row>
    <row r="15">
      <c r="A15" t="inlineStr">
        <is>
          <t>Net Income Common Stockholders</t>
        </is>
      </c>
      <c r="B15" s="3" t="n">
        <v>-43400000</v>
      </c>
      <c r="C15" s="3" t="n">
        <v>-35800000</v>
      </c>
      <c r="D15" s="3" t="n">
        <v>-21700000</v>
      </c>
      <c r="E15" s="3" t="n">
        <v>-37500000</v>
      </c>
      <c r="F15" s="3" t="n">
        <v>-43900000</v>
      </c>
      <c r="G15" s="3" t="n"/>
    </row>
    <row r="16">
      <c r="A16" t="inlineStr">
        <is>
          <t>Net Income</t>
        </is>
      </c>
      <c r="B16" s="3" t="n">
        <v>-43400000</v>
      </c>
      <c r="C16" s="3" t="n">
        <v>-35800000</v>
      </c>
      <c r="D16" s="3" t="n">
        <v>-21700000</v>
      </c>
      <c r="E16" s="3" t="n">
        <v>-37500000</v>
      </c>
      <c r="F16" s="3" t="n">
        <v>-43900000</v>
      </c>
      <c r="G16" s="3" t="n"/>
    </row>
    <row r="17">
      <c r="A17" t="inlineStr">
        <is>
          <t>Net Income Including Noncontrolling Interests</t>
        </is>
      </c>
      <c r="B17" s="3" t="n">
        <v>-43400000</v>
      </c>
      <c r="C17" s="3" t="n">
        <v>-35800000</v>
      </c>
      <c r="D17" s="3" t="n">
        <v>-21700000</v>
      </c>
      <c r="E17" s="3" t="n">
        <v>-37500000</v>
      </c>
      <c r="F17" s="3" t="n">
        <v>-43900000</v>
      </c>
      <c r="G17" s="3" t="n"/>
    </row>
    <row r="18">
      <c r="A18" t="inlineStr">
        <is>
          <t>Net Income Continuous Operations</t>
        </is>
      </c>
      <c r="B18" s="3" t="n">
        <v>-43400000</v>
      </c>
      <c r="C18" s="3" t="n">
        <v>-35800000</v>
      </c>
      <c r="D18" s="3" t="n">
        <v>-21700000</v>
      </c>
      <c r="E18" s="3" t="n">
        <v>-37500000</v>
      </c>
      <c r="F18" s="3" t="n">
        <v>-43900000</v>
      </c>
      <c r="G18" s="3" t="n"/>
    </row>
    <row r="19">
      <c r="A19" t="inlineStr">
        <is>
          <t>Tax Provision</t>
        </is>
      </c>
      <c r="B19" s="3" t="n">
        <v>1600000</v>
      </c>
      <c r="C19" s="3" t="n">
        <v>1200000</v>
      </c>
      <c r="D19" s="3" t="n">
        <v>1100000</v>
      </c>
      <c r="E19" s="3" t="n">
        <v>1200000</v>
      </c>
      <c r="F19" s="3" t="n">
        <v>1300000</v>
      </c>
      <c r="G19" s="3" t="n"/>
    </row>
    <row r="20">
      <c r="A20" t="inlineStr">
        <is>
          <t>Pretax Income</t>
        </is>
      </c>
      <c r="B20" s="3" t="n">
        <v>-41800000</v>
      </c>
      <c r="C20" s="3" t="n">
        <v>-34600000</v>
      </c>
      <c r="D20" s="3" t="n">
        <v>-20600000</v>
      </c>
      <c r="E20" s="3" t="n">
        <v>-36300000</v>
      </c>
      <c r="F20" s="3" t="n">
        <v>-42600000</v>
      </c>
      <c r="G20" s="3" t="n"/>
    </row>
    <row r="21">
      <c r="A21" t="inlineStr">
        <is>
          <t>Other Operating Expenses</t>
        </is>
      </c>
      <c r="B21" s="3" t="n">
        <v>30000000</v>
      </c>
      <c r="C21" s="3" t="n">
        <v>26900000</v>
      </c>
      <c r="D21" s="3" t="n">
        <v>24800000</v>
      </c>
      <c r="E21" s="3" t="n">
        <v>24700000</v>
      </c>
      <c r="F21" s="3" t="n">
        <v>22400000</v>
      </c>
      <c r="G21" s="3" t="n"/>
    </row>
    <row r="22">
      <c r="A22" t="inlineStr">
        <is>
          <t>Selling General And Administration</t>
        </is>
      </c>
      <c r="B22" s="3" t="n">
        <v>125500000</v>
      </c>
      <c r="C22" s="3" t="n">
        <v>108300000</v>
      </c>
      <c r="D22" s="3" t="n">
        <v>107300000</v>
      </c>
      <c r="E22" s="3" t="n">
        <v>92400000</v>
      </c>
      <c r="F22" s="3" t="n">
        <v>85400000</v>
      </c>
      <c r="G22" s="3" t="n"/>
    </row>
    <row r="23">
      <c r="A23" t="inlineStr">
        <is>
          <t>Selling And Marketing Expense</t>
        </is>
      </c>
      <c r="B23" s="3" t="n">
        <v>77700000</v>
      </c>
      <c r="C23" s="3" t="n">
        <v>66100000</v>
      </c>
      <c r="D23" s="3" t="n">
        <v>64200000</v>
      </c>
      <c r="E23" s="3" t="n">
        <v>57400000</v>
      </c>
      <c r="F23" s="3" t="n">
        <v>59600000</v>
      </c>
      <c r="G23" s="3" t="n"/>
    </row>
    <row r="24">
      <c r="A24" t="inlineStr">
        <is>
          <t>General And Administrative Expense</t>
        </is>
      </c>
      <c r="B24" s="3" t="n">
        <v>47800000</v>
      </c>
      <c r="C24" s="3" t="n">
        <v>42200000</v>
      </c>
      <c r="D24" s="3" t="n">
        <v>43100000</v>
      </c>
      <c r="E24" s="3" t="n">
        <v>35000000</v>
      </c>
      <c r="F24" s="3" t="n">
        <v>25800000</v>
      </c>
      <c r="G24" s="3" t="n"/>
    </row>
    <row r="25">
      <c r="A25" t="inlineStr">
        <is>
          <t>Other Gand A</t>
        </is>
      </c>
      <c r="B25" s="3" t="n">
        <v>47800000</v>
      </c>
      <c r="C25" s="3" t="n">
        <v>42200000</v>
      </c>
      <c r="D25" s="3" t="n">
        <v>43100000</v>
      </c>
      <c r="E25" s="3" t="n">
        <v>35000000</v>
      </c>
      <c r="F25" s="3" t="n">
        <v>25800000</v>
      </c>
      <c r="G25" s="3" t="n"/>
    </row>
    <row r="26">
      <c r="A26" t="inlineStr">
        <is>
          <t>Total Revenue</t>
        </is>
      </c>
      <c r="B26" s="3" t="n">
        <v>294400000</v>
      </c>
      <c r="C26" s="3" t="n">
        <v>258000000</v>
      </c>
      <c r="D26" s="3" t="n">
        <v>228100000</v>
      </c>
      <c r="E26" s="3" t="n">
        <v>194500000</v>
      </c>
      <c r="F26" s="3" t="n">
        <v>164100000</v>
      </c>
      <c r="G26" s="3" t="n"/>
    </row>
    <row r="27">
      <c r="A27" t="inlineStr">
        <is>
          <t>Operating Revenue</t>
        </is>
      </c>
      <c r="B27" s="3" t="n">
        <v>294400000</v>
      </c>
      <c r="C27" s="3" t="n">
        <v>258000000</v>
      </c>
      <c r="D27" s="3" t="n">
        <v>228100000</v>
      </c>
      <c r="E27" s="3" t="n">
        <v>194500000</v>
      </c>
      <c r="F27" s="3" t="n">
        <v>164100000</v>
      </c>
      <c r="G27" s="3" t="n"/>
    </row>
    <row r="28">
      <c r="A28" t="inlineStr">
        <is>
          <t>Loss Adjustment Expense</t>
        </is>
      </c>
      <c r="B28" s="3" t="n">
        <v>180700000</v>
      </c>
      <c r="C28" s="3" t="n">
        <v>157400000</v>
      </c>
      <c r="D28" s="3" t="n">
        <v>84500000</v>
      </c>
      <c r="E28" s="3" t="n">
        <v>113700000</v>
      </c>
      <c r="F28" s="3" t="n">
        <v>98900000</v>
      </c>
      <c r="G28" s="3" t="n"/>
    </row>
    <row r="29">
      <c r="A29" t="inlineStr">
        <is>
          <t>Net Policyholder Benefits And Claims</t>
        </is>
      </c>
      <c r="B29" s="3" t="n">
        <v>180700000</v>
      </c>
      <c r="C29" s="3" t="n">
        <v>157400000</v>
      </c>
      <c r="D29" s="3" t="n">
        <v>84500000</v>
      </c>
      <c r="E29" s="3" t="n">
        <v>113700000</v>
      </c>
      <c r="F29" s="3" t="n">
        <v>98900000</v>
      </c>
      <c r="G2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75907215</v>
      </c>
      <c r="C3" s="3" t="n">
        <v>72720866</v>
      </c>
      <c r="D3" s="3" t="n">
        <v>70163703</v>
      </c>
      <c r="E3" s="3" t="n">
        <v>69275030</v>
      </c>
      <c r="F3" s="3" t="n"/>
    </row>
    <row r="4">
      <c r="A4" t="inlineStr">
        <is>
          <t>Share Issued</t>
        </is>
      </c>
      <c r="B4" s="3" t="n">
        <v>75907215</v>
      </c>
      <c r="C4" s="3" t="n">
        <v>72720866</v>
      </c>
      <c r="D4" s="3" t="n">
        <v>70163703</v>
      </c>
      <c r="E4" s="3" t="n">
        <v>69275030</v>
      </c>
      <c r="F4" s="3" t="n"/>
    </row>
    <row r="5">
      <c r="A5" t="inlineStr">
        <is>
          <t>Total Debt</t>
        </is>
      </c>
      <c r="B5" s="3" t="n">
        <v>182100000</v>
      </c>
      <c r="C5" s="3" t="n">
        <v>107200000</v>
      </c>
      <c r="D5" s="3" t="n">
        <v>43100000</v>
      </c>
      <c r="E5" s="3" t="n">
        <v>35200000</v>
      </c>
      <c r="F5" s="3" t="n"/>
    </row>
    <row r="6">
      <c r="A6" t="inlineStr">
        <is>
          <t>Tangible Book Value</t>
        </is>
      </c>
      <c r="B6" s="3" t="n">
        <v>506500000</v>
      </c>
      <c r="C6" s="3" t="n">
        <v>560800000</v>
      </c>
      <c r="D6" s="3" t="n">
        <v>667000000</v>
      </c>
      <c r="E6" s="3" t="n">
        <v>815300000</v>
      </c>
      <c r="F6" s="3" t="n"/>
    </row>
    <row r="7">
      <c r="A7" t="inlineStr">
        <is>
          <t>Invested Capital</t>
        </is>
      </c>
      <c r="B7" s="3" t="n">
        <v>691700000</v>
      </c>
      <c r="C7" s="3" t="n">
        <v>676800000</v>
      </c>
      <c r="D7" s="3" t="n">
        <v>723800000</v>
      </c>
      <c r="E7" s="3" t="n">
        <v>866800000</v>
      </c>
      <c r="F7" s="3" t="n"/>
    </row>
    <row r="8">
      <c r="A8" t="inlineStr">
        <is>
          <t>Net Tangible Assets</t>
        </is>
      </c>
      <c r="B8" s="3" t="n">
        <v>506500000</v>
      </c>
      <c r="C8" s="3" t="n">
        <v>560800000</v>
      </c>
      <c r="D8" s="3" t="n">
        <v>667000000</v>
      </c>
      <c r="E8" s="3" t="n">
        <v>815300000</v>
      </c>
      <c r="F8" s="3" t="n"/>
    </row>
    <row r="9">
      <c r="A9" t="inlineStr">
        <is>
          <t>Capital Lease Obligations</t>
        </is>
      </c>
      <c r="B9" s="3" t="n">
        <v>24000000</v>
      </c>
      <c r="C9" s="3" t="n">
        <v>23800000</v>
      </c>
      <c r="D9" s="3" t="n">
        <v>28200000</v>
      </c>
      <c r="E9" s="3" t="n">
        <v>35200000</v>
      </c>
      <c r="F9" s="3" t="n"/>
    </row>
    <row r="10">
      <c r="A10" t="inlineStr">
        <is>
          <t>Common Stock Equity</t>
        </is>
      </c>
      <c r="B10" s="3" t="n">
        <v>533600000</v>
      </c>
      <c r="C10" s="3" t="n">
        <v>593400000</v>
      </c>
      <c r="D10" s="3" t="n">
        <v>708900000</v>
      </c>
      <c r="E10" s="3" t="n">
        <v>866800000</v>
      </c>
      <c r="F10" s="3" t="n"/>
    </row>
    <row r="11">
      <c r="A11" t="inlineStr">
        <is>
          <t>Total Capitalization</t>
        </is>
      </c>
      <c r="B11" s="3" t="n">
        <v>691700000</v>
      </c>
      <c r="C11" s="3" t="n">
        <v>676800000</v>
      </c>
      <c r="D11" s="3" t="n">
        <v>723800000</v>
      </c>
      <c r="E11" s="3" t="n">
        <v>866800000</v>
      </c>
      <c r="F11" s="3" t="n"/>
    </row>
    <row r="12">
      <c r="A12" t="inlineStr">
        <is>
          <t>Total Equity Gross Minority Interest</t>
        </is>
      </c>
      <c r="B12" s="3" t="n">
        <v>533600000</v>
      </c>
      <c r="C12" s="3" t="n">
        <v>593400000</v>
      </c>
      <c r="D12" s="3" t="n">
        <v>708900000</v>
      </c>
      <c r="E12" s="3" t="n">
        <v>866800000</v>
      </c>
      <c r="F12" s="3" t="n"/>
    </row>
    <row r="13">
      <c r="A13" t="inlineStr">
        <is>
          <t>Stockholders Equity</t>
        </is>
      </c>
      <c r="B13" s="3" t="n">
        <v>533600000</v>
      </c>
      <c r="C13" s="3" t="n">
        <v>593400000</v>
      </c>
      <c r="D13" s="3" t="n">
        <v>708900000</v>
      </c>
      <c r="E13" s="3" t="n">
        <v>866800000</v>
      </c>
      <c r="F13" s="3" t="n"/>
    </row>
    <row r="14">
      <c r="A14" t="inlineStr">
        <is>
          <t>Gains Losses Not Affecting Retained Earnings</t>
        </is>
      </c>
      <c r="B14" s="3" t="n">
        <v>6400000</v>
      </c>
      <c r="C14" s="3" t="n">
        <v>-6100000</v>
      </c>
      <c r="D14" s="3" t="n">
        <v>-9000000</v>
      </c>
      <c r="E14" s="3" t="n">
        <v>-27600000</v>
      </c>
      <c r="F14" s="3" t="n"/>
    </row>
    <row r="15">
      <c r="A15" t="inlineStr">
        <is>
          <t>Other Equity Adjustments</t>
        </is>
      </c>
      <c r="B15" s="3" t="n">
        <v>6400000</v>
      </c>
      <c r="C15" s="3" t="n">
        <v>-6100000</v>
      </c>
      <c r="D15" s="3" t="n">
        <v>-9000000</v>
      </c>
      <c r="E15" s="3" t="n">
        <v>-27600000</v>
      </c>
      <c r="F15" s="3" t="n"/>
    </row>
    <row r="16">
      <c r="A16" t="inlineStr">
        <is>
          <t>Retained Earnings</t>
        </is>
      </c>
      <c r="B16" s="3" t="n">
        <v>-1464300000</v>
      </c>
      <c r="C16" s="3" t="n">
        <v>-1298800000</v>
      </c>
      <c r="D16" s="3" t="n">
        <v>-1096600000</v>
      </c>
      <c r="E16" s="3" t="n">
        <v>-859700000</v>
      </c>
      <c r="F16" s="3" t="n"/>
    </row>
    <row r="17">
      <c r="A17" t="inlineStr">
        <is>
          <t>Additional Paid In Capital</t>
        </is>
      </c>
      <c r="B17" s="3" t="n">
        <v>1991500000</v>
      </c>
      <c r="C17" s="3" t="n">
        <v>1898300000</v>
      </c>
      <c r="D17" s="3" t="n">
        <v>1814500000</v>
      </c>
      <c r="E17" s="3" t="n">
        <v>1754100000</v>
      </c>
      <c r="F17" s="3" t="n"/>
    </row>
    <row r="18">
      <c r="A18" t="inlineStr">
        <is>
          <t>Capital Stock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/>
    </row>
    <row r="19">
      <c r="A19" t="inlineStr">
        <is>
          <t>Common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/>
    </row>
    <row r="20">
      <c r="A20" t="inlineStr">
        <is>
          <t>Total Liabilities Net Minority Interest</t>
        </is>
      </c>
      <c r="B20" s="3" t="n">
        <v>1392100000</v>
      </c>
      <c r="C20" s="3" t="n">
        <v>1255700000</v>
      </c>
      <c r="D20" s="3" t="n">
        <v>924400000</v>
      </c>
      <c r="E20" s="3" t="n">
        <v>823900000</v>
      </c>
      <c r="F20" s="3" t="n"/>
    </row>
    <row r="21">
      <c r="A21" t="inlineStr">
        <is>
          <t>Derivative Product Liabilities</t>
        </is>
      </c>
      <c r="B21" s="3" t="n"/>
      <c r="C21" s="3" t="n"/>
      <c r="D21" s="3" t="n">
        <v>0</v>
      </c>
      <c r="E21" s="3" t="n">
        <v>300000</v>
      </c>
      <c r="F21" s="3" t="n">
        <v>0</v>
      </c>
    </row>
    <row r="22">
      <c r="A22" t="inlineStr">
        <is>
          <t>Employee Benefits</t>
        </is>
      </c>
      <c r="B22" s="3" t="n">
        <v>14700000</v>
      </c>
      <c r="C22" s="3" t="n">
        <v>13200000</v>
      </c>
      <c r="D22" s="3" t="n">
        <v>8400000</v>
      </c>
      <c r="E22" s="3" t="n">
        <v>12800000</v>
      </c>
      <c r="F22" s="3" t="n"/>
    </row>
    <row r="23">
      <c r="A23" t="inlineStr">
        <is>
          <t>Non Current Deferred Liabilities</t>
        </is>
      </c>
      <c r="B23" s="3" t="n">
        <v>38200000</v>
      </c>
      <c r="C23" s="3" t="n">
        <v>65600000</v>
      </c>
      <c r="D23" s="3" t="n">
        <v>41400000</v>
      </c>
      <c r="E23" s="3" t="n">
        <v>39700000</v>
      </c>
      <c r="F23" s="3" t="n"/>
    </row>
    <row r="24">
      <c r="A24" t="inlineStr">
        <is>
          <t>Non Current Deferred Revenue</t>
        </is>
      </c>
      <c r="B24" s="3" t="n">
        <v>38200000</v>
      </c>
      <c r="C24" s="3" t="n">
        <v>65600000</v>
      </c>
      <c r="D24" s="3" t="n">
        <v>41400000</v>
      </c>
      <c r="E24" s="3" t="n">
        <v>39700000</v>
      </c>
      <c r="F24" s="3" t="n"/>
    </row>
    <row r="25">
      <c r="A25" t="inlineStr">
        <is>
          <t>Long Term Debt And Capital Lease Obligation</t>
        </is>
      </c>
      <c r="B25" s="3" t="n">
        <v>182100000</v>
      </c>
      <c r="C25" s="3" t="n">
        <v>107200000</v>
      </c>
      <c r="D25" s="3" t="n">
        <v>43100000</v>
      </c>
      <c r="E25" s="3" t="n">
        <v>35200000</v>
      </c>
      <c r="F25" s="3" t="n"/>
    </row>
    <row r="26">
      <c r="A26" t="inlineStr">
        <is>
          <t>Long Term Capital Lease Obligation</t>
        </is>
      </c>
      <c r="B26" s="3" t="n">
        <v>24000000</v>
      </c>
      <c r="C26" s="3" t="n">
        <v>23800000</v>
      </c>
      <c r="D26" s="3" t="n">
        <v>28200000</v>
      </c>
      <c r="E26" s="3" t="n">
        <v>35200000</v>
      </c>
      <c r="F26" s="3" t="n"/>
    </row>
    <row r="27">
      <c r="A27" t="inlineStr">
        <is>
          <t>Long Term Debt</t>
        </is>
      </c>
      <c r="B27" s="3" t="n">
        <v>158100000</v>
      </c>
      <c r="C27" s="3" t="n">
        <v>83400000</v>
      </c>
      <c r="D27" s="3" t="n">
        <v>14900000</v>
      </c>
      <c r="E27" s="3" t="n"/>
      <c r="F27" s="3" t="n"/>
    </row>
    <row r="28">
      <c r="A28" t="inlineStr">
        <is>
          <t>Payables And Accrued Expenses</t>
        </is>
      </c>
      <c r="B28" s="3" t="n">
        <v>103700000</v>
      </c>
      <c r="C28" s="3" t="n">
        <v>93900000</v>
      </c>
      <c r="D28" s="3" t="n">
        <v>83300000</v>
      </c>
      <c r="E28" s="3" t="n">
        <v>53600000</v>
      </c>
      <c r="F28" s="3" t="n"/>
    </row>
    <row r="29">
      <c r="A29" t="inlineStr">
        <is>
          <t>Current Accrued Expenses</t>
        </is>
      </c>
      <c r="B29" s="3" t="n">
        <v>33700000</v>
      </c>
      <c r="C29" s="3" t="n">
        <v>19800000</v>
      </c>
      <c r="D29" s="3" t="n">
        <v>11200000</v>
      </c>
      <c r="E29" s="3" t="n">
        <v>14300000</v>
      </c>
      <c r="F29" s="3" t="n"/>
    </row>
    <row r="30">
      <c r="A30" t="inlineStr">
        <is>
          <t>Interest Payable</t>
        </is>
      </c>
      <c r="B30" s="3" t="n">
        <v>2300000</v>
      </c>
      <c r="C30" s="3" t="n">
        <v>1300000</v>
      </c>
      <c r="D30" s="3" t="n"/>
      <c r="E30" s="3" t="n"/>
      <c r="F30" s="3" t="n"/>
    </row>
    <row r="31">
      <c r="A31" t="inlineStr">
        <is>
          <t>Payables</t>
        </is>
      </c>
      <c r="B31" s="3" t="n">
        <v>70000000</v>
      </c>
      <c r="C31" s="3" t="n">
        <v>74100000</v>
      </c>
      <c r="D31" s="3" t="n">
        <v>72100000</v>
      </c>
      <c r="E31" s="3" t="n">
        <v>39300000</v>
      </c>
      <c r="F31" s="3" t="n"/>
    </row>
    <row r="32">
      <c r="A32" t="inlineStr">
        <is>
          <t>Other Payable</t>
        </is>
      </c>
      <c r="B32" s="3" t="n">
        <v>20700000</v>
      </c>
      <c r="C32" s="3" t="n">
        <v>23700000</v>
      </c>
      <c r="D32" s="3" t="n">
        <v>27100000</v>
      </c>
      <c r="E32" s="3" t="n">
        <v>4900000</v>
      </c>
      <c r="F32" s="3" t="n"/>
    </row>
    <row r="33">
      <c r="A33" t="inlineStr">
        <is>
          <t>Total Tax Payable</t>
        </is>
      </c>
      <c r="B33" s="3" t="n">
        <v>22400000</v>
      </c>
      <c r="C33" s="3" t="n">
        <v>19300000</v>
      </c>
      <c r="D33" s="3" t="n">
        <v>20400000</v>
      </c>
      <c r="E33" s="3" t="n">
        <v>14900000</v>
      </c>
      <c r="F33" s="3" t="n"/>
    </row>
    <row r="34">
      <c r="A34" t="inlineStr">
        <is>
          <t>Income Tax Payable</t>
        </is>
      </c>
      <c r="B34" s="3" t="n">
        <v>22400000</v>
      </c>
      <c r="C34" s="3" t="n">
        <v>19300000</v>
      </c>
      <c r="D34" s="3" t="n">
        <v>20400000</v>
      </c>
      <c r="E34" s="3" t="n">
        <v>14900000</v>
      </c>
      <c r="F34" s="3" t="n"/>
    </row>
    <row r="35">
      <c r="A35" t="inlineStr">
        <is>
          <t>Accounts Payable</t>
        </is>
      </c>
      <c r="B35" s="3" t="n">
        <v>26900000</v>
      </c>
      <c r="C35" s="3" t="n">
        <v>31100000</v>
      </c>
      <c r="D35" s="3" t="n">
        <v>24600000</v>
      </c>
      <c r="E35" s="3" t="n">
        <v>19500000</v>
      </c>
      <c r="F35" s="3" t="n"/>
    </row>
    <row r="36">
      <c r="A36" t="inlineStr">
        <is>
          <t>Total Assets</t>
        </is>
      </c>
      <c r="B36" s="3" t="n">
        <v>1925700000</v>
      </c>
      <c r="C36" s="3" t="n">
        <v>1849100000</v>
      </c>
      <c r="D36" s="3" t="n">
        <v>1633300000</v>
      </c>
      <c r="E36" s="3" t="n">
        <v>1690700000</v>
      </c>
      <c r="F36" s="3" t="n"/>
    </row>
    <row r="37">
      <c r="A37" t="inlineStr">
        <is>
          <t>Investments And Advances</t>
        </is>
      </c>
      <c r="B37" s="3" t="n">
        <v>722900000</v>
      </c>
      <c r="C37" s="3" t="n">
        <v>634900000</v>
      </c>
      <c r="D37" s="3" t="n">
        <v>673200000</v>
      </c>
      <c r="E37" s="3" t="n">
        <v>750100000</v>
      </c>
      <c r="F37" s="3" t="n"/>
    </row>
    <row r="38">
      <c r="A38" t="inlineStr">
        <is>
          <t>Goodwill And Other Intangible Assets</t>
        </is>
      </c>
      <c r="B38" s="3" t="n">
        <v>27100000</v>
      </c>
      <c r="C38" s="3" t="n">
        <v>32600000</v>
      </c>
      <c r="D38" s="3" t="n">
        <v>41900000</v>
      </c>
      <c r="E38" s="3" t="n">
        <v>51500000</v>
      </c>
      <c r="F38" s="3" t="n"/>
    </row>
    <row r="39">
      <c r="A39" t="inlineStr">
        <is>
          <t>Other Intangible Assets</t>
        </is>
      </c>
      <c r="B39" s="3" t="n">
        <v>8100000</v>
      </c>
      <c r="C39" s="3" t="n">
        <v>13600000</v>
      </c>
      <c r="D39" s="3" t="n">
        <v>22900000</v>
      </c>
      <c r="E39" s="3" t="n">
        <v>32500000</v>
      </c>
      <c r="F39" s="3" t="n"/>
    </row>
    <row r="40">
      <c r="A40" t="inlineStr">
        <is>
          <t>Goodwill</t>
        </is>
      </c>
      <c r="B40" s="3" t="n">
        <v>19000000</v>
      </c>
      <c r="C40" s="3" t="n">
        <v>19000000</v>
      </c>
      <c r="D40" s="3" t="n">
        <v>19000000</v>
      </c>
      <c r="E40" s="3" t="n">
        <v>19000000</v>
      </c>
      <c r="F40" s="3" t="n"/>
    </row>
    <row r="41">
      <c r="A41" t="inlineStr">
        <is>
          <t>Net PPE</t>
        </is>
      </c>
      <c r="B41" s="3" t="n">
        <v>35600000</v>
      </c>
      <c r="C41" s="3" t="n">
        <v>31300000</v>
      </c>
      <c r="D41" s="3" t="n">
        <v>34800000</v>
      </c>
      <c r="E41" s="3" t="n">
        <v>46000000</v>
      </c>
      <c r="F41" s="3" t="n"/>
    </row>
    <row r="42">
      <c r="A42" t="inlineStr">
        <is>
          <t>Prepaid Assets</t>
        </is>
      </c>
      <c r="B42" s="3" t="n">
        <v>155700000</v>
      </c>
      <c r="C42" s="3" t="n">
        <v>262500000</v>
      </c>
      <c r="D42" s="3" t="n">
        <v>208300000</v>
      </c>
      <c r="E42" s="3" t="n">
        <v>178500000</v>
      </c>
      <c r="F42" s="3" t="n"/>
    </row>
    <row r="43">
      <c r="A43" t="inlineStr">
        <is>
          <t>Receivables</t>
        </is>
      </c>
      <c r="B43" s="3" t="n">
        <v>567900000</v>
      </c>
      <c r="C43" s="3" t="n">
        <v>479200000</v>
      </c>
      <c r="D43" s="3" t="n">
        <v>383000000</v>
      </c>
      <c r="E43" s="3" t="n">
        <v>362400000</v>
      </c>
      <c r="F43" s="3" t="n"/>
    </row>
    <row r="44">
      <c r="A44" t="inlineStr">
        <is>
          <t>Other Receivables</t>
        </is>
      </c>
      <c r="B44" s="3" t="n">
        <v>12200000</v>
      </c>
      <c r="C44" s="3" t="n">
        <v>7600000</v>
      </c>
      <c r="D44" s="3" t="n">
        <v>21100000</v>
      </c>
      <c r="E44" s="3" t="n">
        <v>21000000</v>
      </c>
      <c r="F44" s="3" t="n"/>
    </row>
    <row r="45">
      <c r="A45" t="inlineStr">
        <is>
          <t>Taxes Receivable</t>
        </is>
      </c>
      <c r="B45" s="3" t="n"/>
      <c r="C45" s="3" t="n">
        <v>0</v>
      </c>
      <c r="D45" s="3" t="n">
        <v>1500000</v>
      </c>
      <c r="E45" s="3" t="n">
        <v>5000000</v>
      </c>
      <c r="F45" s="3" t="n">
        <v>0</v>
      </c>
    </row>
    <row r="46">
      <c r="A46" t="inlineStr">
        <is>
          <t>Accounts Receivable</t>
        </is>
      </c>
      <c r="B46" s="3" t="n">
        <v>555700000</v>
      </c>
      <c r="C46" s="3" t="n">
        <v>471600000</v>
      </c>
      <c r="D46" s="3" t="n">
        <v>360400000</v>
      </c>
      <c r="E46" s="3" t="n">
        <v>336400000</v>
      </c>
      <c r="F46" s="3" t="n"/>
    </row>
    <row r="47">
      <c r="A47" t="inlineStr">
        <is>
          <t>Cash Cash Equivalents And Short Term Investments</t>
        </is>
      </c>
      <c r="B47" s="3" t="n">
        <v>1107900000</v>
      </c>
      <c r="C47" s="3" t="n">
        <v>1010900000</v>
      </c>
      <c r="D47" s="3" t="n">
        <v>937700000</v>
      </c>
      <c r="E47" s="3" t="n">
        <v>1032600000</v>
      </c>
      <c r="F47" s="3" t="n"/>
    </row>
    <row r="48">
      <c r="A48" t="inlineStr">
        <is>
          <t>Other Short Term Investments</t>
        </is>
      </c>
      <c r="B48" s="3" t="n">
        <v>722900000</v>
      </c>
      <c r="C48" s="3" t="n">
        <v>634900000</v>
      </c>
      <c r="D48" s="3" t="n">
        <v>673200000</v>
      </c>
      <c r="E48" s="3" t="n">
        <v>750100000</v>
      </c>
      <c r="F48" s="3" t="n"/>
    </row>
    <row r="49">
      <c r="A49" t="inlineStr">
        <is>
          <t>Cash And Cash Equivalents</t>
        </is>
      </c>
      <c r="B49" s="3" t="n">
        <v>385000000</v>
      </c>
      <c r="C49" s="3" t="n">
        <v>376000000</v>
      </c>
      <c r="D49" s="3" t="n">
        <v>264500000</v>
      </c>
      <c r="E49" s="3" t="n">
        <v>282500000</v>
      </c>
      <c r="F4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</row>
    <row r="2">
      <c r="A2" t="inlineStr">
        <is>
          <t>Ordinary Shares Number</t>
        </is>
      </c>
      <c r="B2" s="3" t="n">
        <v>77326718</v>
      </c>
      <c r="C2" s="3" t="n">
        <v>76786720</v>
      </c>
      <c r="D2" s="3" t="n">
        <v>75907215</v>
      </c>
      <c r="E2" s="3" t="n">
        <v>74665921</v>
      </c>
      <c r="F2" s="3" t="n">
        <v>73819710</v>
      </c>
    </row>
    <row r="3">
      <c r="A3" t="inlineStr">
        <is>
          <t>Share Issued</t>
        </is>
      </c>
      <c r="B3" s="3" t="n">
        <v>77326718</v>
      </c>
      <c r="C3" s="3" t="n">
        <v>76786720</v>
      </c>
      <c r="D3" s="3" t="n">
        <v>75907215</v>
      </c>
      <c r="E3" s="3" t="n">
        <v>74665921</v>
      </c>
      <c r="F3" s="3" t="n">
        <v>73819710</v>
      </c>
    </row>
    <row r="4">
      <c r="A4" t="inlineStr">
        <is>
          <t>Total Debt</t>
        </is>
      </c>
      <c r="B4" s="3" t="n">
        <v>226400000</v>
      </c>
      <c r="C4" s="3" t="n">
        <v>200400000</v>
      </c>
      <c r="D4" s="3" t="n">
        <v>182100000</v>
      </c>
      <c r="E4" s="3" t="n">
        <v>151700000</v>
      </c>
      <c r="F4" s="3" t="n">
        <v>143700000</v>
      </c>
    </row>
    <row r="5">
      <c r="A5" t="inlineStr">
        <is>
          <t>Tangible Book Value</t>
        </is>
      </c>
      <c r="B5" s="3" t="n">
        <v>472400000</v>
      </c>
      <c r="C5" s="3" t="n">
        <v>490900000</v>
      </c>
      <c r="D5" s="3" t="n">
        <v>506500000</v>
      </c>
      <c r="E5" s="3" t="n">
        <v>489100000</v>
      </c>
      <c r="F5" s="3" t="n">
        <v>499300000</v>
      </c>
    </row>
    <row r="6">
      <c r="A6" t="inlineStr">
        <is>
          <t>Invested Capital</t>
        </is>
      </c>
      <c r="B6" s="3" t="n">
        <v>705900000</v>
      </c>
      <c r="C6" s="3" t="n">
        <v>697600000</v>
      </c>
      <c r="D6" s="3" t="n">
        <v>691700000</v>
      </c>
      <c r="E6" s="3" t="n">
        <v>655200000</v>
      </c>
      <c r="F6" s="3" t="n">
        <v>650600000</v>
      </c>
    </row>
    <row r="7">
      <c r="A7" t="inlineStr">
        <is>
          <t>Net Tangible Assets</t>
        </is>
      </c>
      <c r="B7" s="3" t="n">
        <v>472400000</v>
      </c>
      <c r="C7" s="3" t="n">
        <v>490900000</v>
      </c>
      <c r="D7" s="3" t="n">
        <v>506500000</v>
      </c>
      <c r="E7" s="3" t="n">
        <v>489100000</v>
      </c>
      <c r="F7" s="3" t="n">
        <v>499300000</v>
      </c>
    </row>
    <row r="8">
      <c r="A8" t="inlineStr">
        <is>
          <t>Capital Lease Obligations</t>
        </is>
      </c>
      <c r="B8" s="3" t="n">
        <v>20000000</v>
      </c>
      <c r="C8" s="3" t="n">
        <v>20800000</v>
      </c>
      <c r="D8" s="3" t="n">
        <v>24000000</v>
      </c>
      <c r="E8" s="3" t="n">
        <v>12700000</v>
      </c>
      <c r="F8" s="3" t="n">
        <v>20200000</v>
      </c>
    </row>
    <row r="9">
      <c r="A9" t="inlineStr">
        <is>
          <t>Common Stock Equity</t>
        </is>
      </c>
      <c r="B9" s="3" t="n">
        <v>499500000</v>
      </c>
      <c r="C9" s="3" t="n">
        <v>518000000</v>
      </c>
      <c r="D9" s="3" t="n">
        <v>533600000</v>
      </c>
      <c r="E9" s="3" t="n">
        <v>516200000</v>
      </c>
      <c r="F9" s="3" t="n">
        <v>527100000</v>
      </c>
    </row>
    <row r="10">
      <c r="A10" t="inlineStr">
        <is>
          <t>Total Capitalization</t>
        </is>
      </c>
      <c r="B10" s="3" t="n">
        <v>705900000</v>
      </c>
      <c r="C10" s="3" t="n">
        <v>697600000</v>
      </c>
      <c r="D10" s="3" t="n">
        <v>691700000</v>
      </c>
      <c r="E10" s="3" t="n">
        <v>655200000</v>
      </c>
      <c r="F10" s="3" t="n">
        <v>650600000</v>
      </c>
    </row>
    <row r="11">
      <c r="A11" t="inlineStr">
        <is>
          <t>Total Equity Gross Minority Interest</t>
        </is>
      </c>
      <c r="B11" s="3" t="n">
        <v>499500000</v>
      </c>
      <c r="C11" s="3" t="n">
        <v>518000000</v>
      </c>
      <c r="D11" s="3" t="n">
        <v>533600000</v>
      </c>
      <c r="E11" s="3" t="n">
        <v>516200000</v>
      </c>
      <c r="F11" s="3" t="n">
        <v>527100000</v>
      </c>
    </row>
    <row r="12">
      <c r="A12" t="inlineStr">
        <is>
          <t>Stockholders Equity</t>
        </is>
      </c>
      <c r="B12" s="3" t="n">
        <v>499500000</v>
      </c>
      <c r="C12" s="3" t="n">
        <v>518000000</v>
      </c>
      <c r="D12" s="3" t="n">
        <v>533600000</v>
      </c>
      <c r="E12" s="3" t="n">
        <v>516200000</v>
      </c>
      <c r="F12" s="3" t="n">
        <v>527100000</v>
      </c>
    </row>
    <row r="13">
      <c r="A13" t="inlineStr">
        <is>
          <t>Gains Losses Not Affecting Retained Earnings</t>
        </is>
      </c>
      <c r="B13" s="3" t="n">
        <v>-300000</v>
      </c>
      <c r="C13" s="3" t="n">
        <v>700000</v>
      </c>
      <c r="D13" s="3" t="n">
        <v>6400000</v>
      </c>
      <c r="E13" s="3" t="n">
        <v>5200000</v>
      </c>
      <c r="F13" s="3" t="n">
        <v>4200000</v>
      </c>
    </row>
    <row r="14">
      <c r="A14" t="inlineStr">
        <is>
          <t>Other Equity Adjustments</t>
        </is>
      </c>
      <c r="B14" s="3" t="n">
        <v>-300000</v>
      </c>
      <c r="C14" s="3" t="n">
        <v>700000</v>
      </c>
      <c r="D14" s="3" t="n">
        <v>6400000</v>
      </c>
      <c r="E14" s="3" t="n">
        <v>5200000</v>
      </c>
      <c r="F14" s="3" t="n">
        <v>4200000</v>
      </c>
    </row>
    <row r="15">
      <c r="A15" t="inlineStr">
        <is>
          <t>Retained Earnings</t>
        </is>
      </c>
      <c r="B15" s="3" t="n">
        <v>-1543500000</v>
      </c>
      <c r="C15" s="3" t="n">
        <v>-1500100000</v>
      </c>
      <c r="D15" s="3" t="n">
        <v>-1464300000</v>
      </c>
      <c r="E15" s="3" t="n">
        <v>-1442600000</v>
      </c>
      <c r="F15" s="3" t="n">
        <v>-1405100000</v>
      </c>
    </row>
    <row r="16">
      <c r="A16" t="inlineStr">
        <is>
          <t>Additional Paid In Capital</t>
        </is>
      </c>
      <c r="B16" s="3" t="n">
        <v>2043300000</v>
      </c>
      <c r="C16" s="3" t="n">
        <v>2017400000</v>
      </c>
      <c r="D16" s="3" t="n">
        <v>1991500000</v>
      </c>
      <c r="E16" s="3" t="n">
        <v>1953600000</v>
      </c>
      <c r="F16" s="3" t="n">
        <v>1928000000</v>
      </c>
    </row>
    <row r="17">
      <c r="A17" t="inlineStr">
        <is>
          <t>Capital Stock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t="inlineStr">
        <is>
          <t>Common Stock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t="inlineStr">
        <is>
          <t>Total Liabilities Net Minority Interest</t>
        </is>
      </c>
      <c r="B19" s="3" t="n">
        <v>1512400000</v>
      </c>
      <c r="C19" s="3" t="n">
        <v>1439900000</v>
      </c>
      <c r="D19" s="3" t="n">
        <v>1392100000</v>
      </c>
      <c r="E19" s="3" t="n">
        <v>1402600000</v>
      </c>
      <c r="F19" s="3" t="n">
        <v>1407500000</v>
      </c>
    </row>
    <row r="20">
      <c r="A20" t="inlineStr">
        <is>
          <t>Employee Benefits</t>
        </is>
      </c>
      <c r="B20" s="3" t="n">
        <v>10100000</v>
      </c>
      <c r="C20" s="3" t="n">
        <v>19600000</v>
      </c>
      <c r="D20" s="3" t="n">
        <v>14700000</v>
      </c>
      <c r="E20" s="3" t="n">
        <v>11900000</v>
      </c>
      <c r="F20" s="3" t="n">
        <v>10900000</v>
      </c>
    </row>
    <row r="21">
      <c r="A21" t="inlineStr">
        <is>
          <t>Non Current Deferred Liabilities</t>
        </is>
      </c>
      <c r="B21" s="3" t="n">
        <v>34200000</v>
      </c>
      <c r="C21" s="3" t="n">
        <v>33300000</v>
      </c>
      <c r="D21" s="3" t="n">
        <v>38200000</v>
      </c>
      <c r="E21" s="3" t="n">
        <v>50000000</v>
      </c>
      <c r="F21" s="3" t="n">
        <v>68400000</v>
      </c>
    </row>
    <row r="22">
      <c r="A22" t="inlineStr">
        <is>
          <t>Non Current Deferred Revenue</t>
        </is>
      </c>
      <c r="B22" s="3" t="n">
        <v>34200000</v>
      </c>
      <c r="C22" s="3" t="n">
        <v>33300000</v>
      </c>
      <c r="D22" s="3" t="n">
        <v>38200000</v>
      </c>
      <c r="E22" s="3" t="n">
        <v>50000000</v>
      </c>
      <c r="F22" s="3" t="n">
        <v>68400000</v>
      </c>
    </row>
    <row r="23">
      <c r="A23" t="inlineStr">
        <is>
          <t>Long Term Debt And Capital Lease Obligation</t>
        </is>
      </c>
      <c r="B23" s="3" t="n">
        <v>226400000</v>
      </c>
      <c r="C23" s="3" t="n">
        <v>200400000</v>
      </c>
      <c r="D23" s="3" t="n">
        <v>182100000</v>
      </c>
      <c r="E23" s="3" t="n">
        <v>151700000</v>
      </c>
      <c r="F23" s="3" t="n">
        <v>143700000</v>
      </c>
    </row>
    <row r="24">
      <c r="A24" t="inlineStr">
        <is>
          <t>Long Term Capital Lease Obligation</t>
        </is>
      </c>
      <c r="B24" s="3" t="n">
        <v>20000000</v>
      </c>
      <c r="C24" s="3" t="n">
        <v>20800000</v>
      </c>
      <c r="D24" s="3" t="n">
        <v>24000000</v>
      </c>
      <c r="E24" s="3" t="n">
        <v>12700000</v>
      </c>
      <c r="F24" s="3" t="n">
        <v>20200000</v>
      </c>
    </row>
    <row r="25">
      <c r="A25" t="inlineStr">
        <is>
          <t>Long Term Debt</t>
        </is>
      </c>
      <c r="B25" s="3" t="n">
        <v>206400000</v>
      </c>
      <c r="C25" s="3" t="n">
        <v>179600000</v>
      </c>
      <c r="D25" s="3" t="n">
        <v>158100000</v>
      </c>
      <c r="E25" s="3" t="n">
        <v>139000000</v>
      </c>
      <c r="F25" s="3" t="n">
        <v>123500000</v>
      </c>
    </row>
    <row r="26">
      <c r="A26" t="inlineStr">
        <is>
          <t>Payables And Accrued Expenses</t>
        </is>
      </c>
      <c r="B26" s="3" t="n">
        <v>113300000</v>
      </c>
      <c r="C26" s="3" t="n">
        <v>106400000</v>
      </c>
      <c r="D26" s="3" t="n">
        <v>103700000</v>
      </c>
      <c r="E26" s="3" t="n">
        <v>100100000</v>
      </c>
      <c r="F26" s="3" t="n">
        <v>119300000</v>
      </c>
    </row>
    <row r="27">
      <c r="A27" t="inlineStr">
        <is>
          <t>Current Accrued Expenses</t>
        </is>
      </c>
      <c r="B27" s="3" t="n">
        <v>39300000</v>
      </c>
      <c r="C27" s="3" t="n">
        <v>30700000</v>
      </c>
      <c r="D27" s="3" t="n">
        <v>33700000</v>
      </c>
      <c r="E27" s="3" t="n">
        <v>24700000</v>
      </c>
      <c r="F27" s="3" t="n">
        <v>25300000</v>
      </c>
    </row>
    <row r="28">
      <c r="A28" t="inlineStr">
        <is>
          <t>Interest Payable</t>
        </is>
      </c>
      <c r="B28" s="3" t="n">
        <v>3000000</v>
      </c>
      <c r="C28" s="3" t="n">
        <v>2700000</v>
      </c>
      <c r="D28" s="3" t="n">
        <v>2300000</v>
      </c>
      <c r="E28" s="3" t="n">
        <v>2000000</v>
      </c>
      <c r="F28" s="3" t="n"/>
    </row>
    <row r="29">
      <c r="A29" t="inlineStr">
        <is>
          <t>Payables</t>
        </is>
      </c>
      <c r="B29" s="3" t="n">
        <v>74000000</v>
      </c>
      <c r="C29" s="3" t="n">
        <v>75700000</v>
      </c>
      <c r="D29" s="3" t="n">
        <v>70000000</v>
      </c>
      <c r="E29" s="3" t="n">
        <v>75400000</v>
      </c>
      <c r="F29" s="3" t="n">
        <v>94000000</v>
      </c>
    </row>
    <row r="30">
      <c r="A30" t="inlineStr">
        <is>
          <t>Other Payable</t>
        </is>
      </c>
      <c r="B30" s="3" t="n">
        <v>25200000</v>
      </c>
      <c r="C30" s="3" t="n">
        <v>24300000</v>
      </c>
      <c r="D30" s="3" t="n">
        <v>20700000</v>
      </c>
      <c r="E30" s="3" t="n">
        <v>30200000</v>
      </c>
      <c r="F30" s="3" t="n">
        <v>43100000</v>
      </c>
    </row>
    <row r="31">
      <c r="A31" t="inlineStr">
        <is>
          <t>Total Tax Payable</t>
        </is>
      </c>
      <c r="B31" s="3" t="n">
        <v>21000000</v>
      </c>
      <c r="C31" s="3" t="n">
        <v>19800000</v>
      </c>
      <c r="D31" s="3" t="n">
        <v>22400000</v>
      </c>
      <c r="E31" s="3" t="n">
        <v>18200000</v>
      </c>
      <c r="F31" s="3" t="n">
        <v>16300000</v>
      </c>
    </row>
    <row r="32">
      <c r="A32" t="inlineStr">
        <is>
          <t>Income Tax Payable</t>
        </is>
      </c>
      <c r="B32" s="3" t="n">
        <v>21000000</v>
      </c>
      <c r="C32" s="3" t="n">
        <v>19800000</v>
      </c>
      <c r="D32" s="3" t="n">
        <v>22400000</v>
      </c>
      <c r="E32" s="3" t="n">
        <v>18200000</v>
      </c>
      <c r="F32" s="3" t="n">
        <v>16300000</v>
      </c>
    </row>
    <row r="33">
      <c r="A33" t="inlineStr">
        <is>
          <t>Accounts Payable</t>
        </is>
      </c>
      <c r="B33" s="3" t="n">
        <v>27800000</v>
      </c>
      <c r="C33" s="3" t="n">
        <v>31600000</v>
      </c>
      <c r="D33" s="3" t="n">
        <v>26900000</v>
      </c>
      <c r="E33" s="3" t="n">
        <v>27000000</v>
      </c>
      <c r="F33" s="3" t="n">
        <v>34600000</v>
      </c>
    </row>
    <row r="34">
      <c r="A34" t="inlineStr">
        <is>
          <t>Total Assets</t>
        </is>
      </c>
      <c r="B34" s="3" t="n">
        <v>2011900000</v>
      </c>
      <c r="C34" s="3" t="n">
        <v>1957900000</v>
      </c>
      <c r="D34" s="3" t="n">
        <v>1925700000</v>
      </c>
      <c r="E34" s="3" t="n">
        <v>1918800000</v>
      </c>
      <c r="F34" s="3" t="n">
        <v>1934600000</v>
      </c>
    </row>
    <row r="35">
      <c r="A35" t="inlineStr">
        <is>
          <t>Investments And Advances</t>
        </is>
      </c>
      <c r="B35" s="3" t="n">
        <v>777700000</v>
      </c>
      <c r="C35" s="3" t="n">
        <v>751300000</v>
      </c>
      <c r="D35" s="3" t="n">
        <v>722900000</v>
      </c>
      <c r="E35" s="3" t="n">
        <v>705300000</v>
      </c>
      <c r="F35" s="3" t="n">
        <v>645800000</v>
      </c>
    </row>
    <row r="36">
      <c r="A36" t="inlineStr">
        <is>
          <t>Goodwill And Other Intangible Assets</t>
        </is>
      </c>
      <c r="B36" s="3" t="n">
        <v>27100000</v>
      </c>
      <c r="C36" s="3" t="n">
        <v>27100000</v>
      </c>
      <c r="D36" s="3" t="n">
        <v>27100000</v>
      </c>
      <c r="E36" s="3" t="n">
        <v>27100000</v>
      </c>
      <c r="F36" s="3" t="n">
        <v>27800000</v>
      </c>
    </row>
    <row r="37">
      <c r="A37" t="inlineStr">
        <is>
          <t>Other Intangible Assets</t>
        </is>
      </c>
      <c r="B37" s="3" t="n">
        <v>8100000</v>
      </c>
      <c r="C37" s="3" t="n">
        <v>8100000</v>
      </c>
      <c r="D37" s="3" t="n">
        <v>8100000</v>
      </c>
      <c r="E37" s="3" t="n">
        <v>8100000</v>
      </c>
      <c r="F37" s="3" t="n">
        <v>8800000</v>
      </c>
    </row>
    <row r="38">
      <c r="A38" t="inlineStr">
        <is>
          <t>Goodwill</t>
        </is>
      </c>
      <c r="B38" s="3" t="n">
        <v>19000000</v>
      </c>
      <c r="C38" s="3" t="n">
        <v>19000000</v>
      </c>
      <c r="D38" s="3" t="n">
        <v>19000000</v>
      </c>
      <c r="E38" s="3" t="n">
        <v>19000000</v>
      </c>
      <c r="F38" s="3" t="n">
        <v>19000000</v>
      </c>
    </row>
    <row r="39">
      <c r="A39" t="inlineStr">
        <is>
          <t>Net PPE</t>
        </is>
      </c>
      <c r="B39" s="3" t="n">
        <v>18900000</v>
      </c>
      <c r="C39" s="3" t="n">
        <v>16700000</v>
      </c>
      <c r="D39" s="3" t="n">
        <v>35600000</v>
      </c>
      <c r="E39" s="3" t="n">
        <v>15300000</v>
      </c>
      <c r="F39" s="3" t="n">
        <v>16000000</v>
      </c>
    </row>
    <row r="40">
      <c r="A40" t="inlineStr">
        <is>
          <t>Prepaid Assets</t>
        </is>
      </c>
      <c r="B40" s="3" t="n">
        <v>125300000</v>
      </c>
      <c r="C40" s="3" t="n">
        <v>123900000</v>
      </c>
      <c r="D40" s="3" t="n">
        <v>155700000</v>
      </c>
      <c r="E40" s="3" t="n">
        <v>203400000</v>
      </c>
      <c r="F40" s="3" t="n">
        <v>281600000</v>
      </c>
    </row>
    <row r="41">
      <c r="A41" t="inlineStr">
        <is>
          <t>Receivables</t>
        </is>
      </c>
      <c r="B41" s="3" t="n">
        <v>622500000</v>
      </c>
      <c r="C41" s="3" t="n">
        <v>594600000</v>
      </c>
      <c r="D41" s="3" t="n">
        <v>567900000</v>
      </c>
      <c r="E41" s="3" t="n">
        <v>563000000</v>
      </c>
      <c r="F41" s="3" t="n">
        <v>524500000</v>
      </c>
    </row>
    <row r="42">
      <c r="A42" t="inlineStr">
        <is>
          <t>Other Receivables</t>
        </is>
      </c>
      <c r="B42" s="3" t="n"/>
      <c r="C42" s="3" t="n"/>
      <c r="D42" s="3" t="n">
        <v>12200000</v>
      </c>
      <c r="E42" s="3" t="n"/>
      <c r="F42" s="3" t="n"/>
    </row>
    <row r="43">
      <c r="A43" t="inlineStr">
        <is>
          <t>Accounts Receivable</t>
        </is>
      </c>
      <c r="B43" s="3" t="n">
        <v>622500000</v>
      </c>
      <c r="C43" s="3" t="n">
        <v>594600000</v>
      </c>
      <c r="D43" s="3" t="n">
        <v>555700000</v>
      </c>
      <c r="E43" s="3" t="n">
        <v>563000000</v>
      </c>
      <c r="F43" s="3" t="n">
        <v>524500000</v>
      </c>
    </row>
    <row r="44">
      <c r="A44" t="inlineStr">
        <is>
          <t>Cash Cash Equivalents And Short Term Investments</t>
        </is>
      </c>
      <c r="B44" s="3" t="n">
        <v>559900000</v>
      </c>
      <c r="C44" s="3" t="n">
        <v>577800000</v>
      </c>
      <c r="D44" s="3" t="n">
        <v>1107900000</v>
      </c>
      <c r="E44" s="3" t="n">
        <v>586800000</v>
      </c>
      <c r="F44" s="3" t="n">
        <v>670300000</v>
      </c>
    </row>
    <row r="45">
      <c r="A45" t="inlineStr">
        <is>
          <t>Other Short Term Investments</t>
        </is>
      </c>
      <c r="B45" s="3" t="n">
        <v>192300000</v>
      </c>
      <c r="C45" s="3" t="n">
        <v>203500000</v>
      </c>
      <c r="D45" s="3" t="n">
        <v>722900000</v>
      </c>
      <c r="E45" s="3" t="n">
        <v>240900000</v>
      </c>
      <c r="F45" s="3" t="n">
        <v>292800000</v>
      </c>
    </row>
    <row r="46">
      <c r="A46" t="inlineStr">
        <is>
          <t>Cash And Cash Equivalents</t>
        </is>
      </c>
      <c r="B46" s="3" t="n">
        <v>367600000</v>
      </c>
      <c r="C46" s="3" t="n">
        <v>374300000</v>
      </c>
      <c r="D46" s="3" t="n">
        <v>385000000</v>
      </c>
      <c r="E46" s="3" t="n">
        <v>345900000</v>
      </c>
      <c r="F46" s="3" t="n">
        <v>377500000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-25900000</v>
      </c>
      <c r="C2" s="3" t="n">
        <v>-20800000</v>
      </c>
      <c r="D2" s="3" t="n">
        <v>-128300000</v>
      </c>
      <c r="E2" s="3" t="n">
        <v>-173100000</v>
      </c>
      <c r="F2" s="3" t="n"/>
    </row>
    <row r="3">
      <c r="A3" t="inlineStr">
        <is>
          <t>Repayment Of Debt</t>
        </is>
      </c>
      <c r="B3" s="3" t="n">
        <v>-58300000</v>
      </c>
      <c r="C3" s="3" t="n">
        <v>-27700000</v>
      </c>
      <c r="D3" s="3" t="n">
        <v>-4200000</v>
      </c>
      <c r="E3" s="3" t="n">
        <v>0</v>
      </c>
      <c r="F3" s="3" t="n"/>
    </row>
    <row r="4">
      <c r="A4" t="inlineStr">
        <is>
          <t>Issuance Of Debt</t>
        </is>
      </c>
      <c r="B4" s="3" t="n">
        <v>133000000</v>
      </c>
      <c r="C4" s="3" t="n">
        <v>96100000</v>
      </c>
      <c r="D4" s="3" t="n">
        <v>19100000</v>
      </c>
      <c r="E4" s="3" t="n">
        <v>0</v>
      </c>
      <c r="F4" s="3" t="n"/>
    </row>
    <row r="5">
      <c r="A5" t="inlineStr">
        <is>
          <t>Issuance Of Capital Stock</t>
        </is>
      </c>
      <c r="B5" s="3" t="n"/>
      <c r="C5" s="3" t="n"/>
      <c r="D5" s="3" t="n">
        <v>0</v>
      </c>
      <c r="E5" s="3" t="n">
        <v>0</v>
      </c>
      <c r="F5" s="3" t="n">
        <v>640300000</v>
      </c>
    </row>
    <row r="6">
      <c r="A6" t="inlineStr">
        <is>
          <t>Capital Expenditure</t>
        </is>
      </c>
      <c r="B6" s="3" t="n">
        <v>-9400000</v>
      </c>
      <c r="C6" s="3" t="n">
        <v>-9400000</v>
      </c>
      <c r="D6" s="3" t="n">
        <v>-9200000</v>
      </c>
      <c r="E6" s="3" t="n">
        <v>-10100000</v>
      </c>
      <c r="F6" s="3" t="n"/>
    </row>
    <row r="7">
      <c r="A7" t="inlineStr">
        <is>
          <t>Interest Paid Supplemental Data</t>
        </is>
      </c>
      <c r="B7" s="3" t="n">
        <v>16300000</v>
      </c>
      <c r="C7" s="3" t="n">
        <v>5000000</v>
      </c>
      <c r="D7" s="3" t="n">
        <v>300000</v>
      </c>
      <c r="E7" s="3" t="n">
        <v>0</v>
      </c>
      <c r="F7" s="3" t="n"/>
    </row>
    <row r="8">
      <c r="A8" t="inlineStr">
        <is>
          <t>Income Tax Paid Supplemental Data</t>
        </is>
      </c>
      <c r="B8" s="3" t="n">
        <v>2500000</v>
      </c>
      <c r="C8" s="3" t="n">
        <v>2500000</v>
      </c>
      <c r="D8" s="3" t="n">
        <v>700000</v>
      </c>
      <c r="E8" s="3" t="n">
        <v>3400000</v>
      </c>
      <c r="F8" s="3" t="n"/>
    </row>
    <row r="9">
      <c r="A9" t="inlineStr">
        <is>
          <t>End Cash Position</t>
        </is>
      </c>
      <c r="B9" s="3" t="n">
        <v>396800000</v>
      </c>
      <c r="C9" s="3" t="n">
        <v>385700000</v>
      </c>
      <c r="D9" s="3" t="n">
        <v>271500000</v>
      </c>
      <c r="E9" s="3" t="n">
        <v>286500000</v>
      </c>
      <c r="F9" s="3" t="n"/>
    </row>
    <row r="10">
      <c r="A10" t="inlineStr">
        <is>
          <t>Beginning Cash Position</t>
        </is>
      </c>
      <c r="B10" s="3" t="n">
        <v>385700000</v>
      </c>
      <c r="C10" s="3" t="n">
        <v>271500000</v>
      </c>
      <c r="D10" s="3" t="n">
        <v>286500000</v>
      </c>
      <c r="E10" s="3" t="n">
        <v>270600000</v>
      </c>
      <c r="F10" s="3" t="n"/>
    </row>
    <row r="11">
      <c r="A11" t="inlineStr">
        <is>
          <t>Effect Of Exchange Rate Changes</t>
        </is>
      </c>
      <c r="B11" s="3" t="n">
        <v>10100000</v>
      </c>
      <c r="C11" s="3" t="n">
        <v>-2700000</v>
      </c>
      <c r="D11" s="3" t="n">
        <v>0</v>
      </c>
      <c r="E11" s="3" t="n">
        <v>-5800000</v>
      </c>
      <c r="F11" s="3" t="n"/>
    </row>
    <row r="12">
      <c r="A12" t="inlineStr">
        <is>
          <t>Changes In Cash</t>
        </is>
      </c>
      <c r="B12" s="3" t="n">
        <v>1000000</v>
      </c>
      <c r="C12" s="3" t="n">
        <v>116900000</v>
      </c>
      <c r="D12" s="3" t="n">
        <v>-15000000</v>
      </c>
      <c r="E12" s="3" t="n">
        <v>21700000</v>
      </c>
      <c r="F12" s="3" t="n"/>
    </row>
    <row r="13">
      <c r="A13" t="inlineStr">
        <is>
          <t>Financing Cash Flow</t>
        </is>
      </c>
      <c r="B13" s="3" t="n">
        <v>106600000</v>
      </c>
      <c r="C13" s="3" t="n">
        <v>87700000</v>
      </c>
      <c r="D13" s="3" t="n">
        <v>15400000</v>
      </c>
      <c r="E13" s="3" t="n">
        <v>3600000</v>
      </c>
      <c r="F13" s="3" t="n"/>
    </row>
    <row r="14">
      <c r="A14" t="inlineStr">
        <is>
          <t>Cash Flow From Continuing Financing Activities</t>
        </is>
      </c>
      <c r="B14" s="3" t="n">
        <v>106600000</v>
      </c>
      <c r="C14" s="3" t="n">
        <v>87700000</v>
      </c>
      <c r="D14" s="3" t="n">
        <v>15400000</v>
      </c>
      <c r="E14" s="3" t="n">
        <v>3600000</v>
      </c>
      <c r="F14" s="3" t="n"/>
    </row>
    <row r="15">
      <c r="A15" t="inlineStr">
        <is>
          <t>Proceeds From Stock Option Exercised</t>
        </is>
      </c>
      <c r="B15" s="3" t="n">
        <v>31900000</v>
      </c>
      <c r="C15" s="3" t="n">
        <v>19300000</v>
      </c>
      <c r="D15" s="3" t="n">
        <v>500000</v>
      </c>
      <c r="E15" s="3" t="n">
        <v>3600000</v>
      </c>
      <c r="F15" s="3" t="n"/>
    </row>
    <row r="16">
      <c r="A16" t="inlineStr">
        <is>
          <t>Net Preferred Stock Issuance</t>
        </is>
      </c>
      <c r="B16" s="3" t="n"/>
      <c r="C16" s="3" t="n"/>
      <c r="D16" s="3" t="n"/>
      <c r="E16" s="3" t="n"/>
      <c r="F16" s="3" t="n">
        <v>0</v>
      </c>
    </row>
    <row r="17">
      <c r="A17" t="inlineStr">
        <is>
          <t>Preferred Stock Issuance</t>
        </is>
      </c>
      <c r="B17" s="3" t="n"/>
      <c r="C17" s="3" t="n"/>
      <c r="D17" s="3" t="n"/>
      <c r="E17" s="3" t="n"/>
      <c r="F17" s="3" t="n">
        <v>0</v>
      </c>
    </row>
    <row r="18">
      <c r="A18" t="inlineStr">
        <is>
          <t>Net Common Stock Issuance</t>
        </is>
      </c>
      <c r="B18" s="3" t="n"/>
      <c r="C18" s="3" t="n"/>
      <c r="D18" s="3" t="n">
        <v>0</v>
      </c>
      <c r="E18" s="3" t="n">
        <v>0</v>
      </c>
      <c r="F18" s="3" t="n">
        <v>640300000</v>
      </c>
    </row>
    <row r="19">
      <c r="A19" t="inlineStr">
        <is>
          <t>Common Stock Issuance</t>
        </is>
      </c>
      <c r="B19" s="3" t="n"/>
      <c r="C19" s="3" t="n"/>
      <c r="D19" s="3" t="n">
        <v>0</v>
      </c>
      <c r="E19" s="3" t="n">
        <v>0</v>
      </c>
      <c r="F19" s="3" t="n">
        <v>640300000</v>
      </c>
    </row>
    <row r="20">
      <c r="A20" t="inlineStr">
        <is>
          <t>Net Issuance Payments Of Debt</t>
        </is>
      </c>
      <c r="B20" s="3" t="n">
        <v>74700000</v>
      </c>
      <c r="C20" s="3" t="n">
        <v>68400000</v>
      </c>
      <c r="D20" s="3" t="n">
        <v>14900000</v>
      </c>
      <c r="E20" s="3" t="n">
        <v>0</v>
      </c>
      <c r="F20" s="3" t="n"/>
    </row>
    <row r="21">
      <c r="A21" t="inlineStr">
        <is>
          <t>Net Long Term Debt Issuance</t>
        </is>
      </c>
      <c r="B21" s="3" t="n">
        <v>74700000</v>
      </c>
      <c r="C21" s="3" t="n">
        <v>68400000</v>
      </c>
      <c r="D21" s="3" t="n">
        <v>14900000</v>
      </c>
      <c r="E21" s="3" t="n"/>
      <c r="F21" s="3" t="n"/>
    </row>
    <row r="22">
      <c r="A22" t="inlineStr">
        <is>
          <t>Long Term Debt Payments</t>
        </is>
      </c>
      <c r="B22" s="3" t="n">
        <v>-58300000</v>
      </c>
      <c r="C22" s="3" t="n">
        <v>-27700000</v>
      </c>
      <c r="D22" s="3" t="n">
        <v>-4200000</v>
      </c>
      <c r="E22" s="3" t="n">
        <v>0</v>
      </c>
      <c r="F22" s="3" t="n"/>
    </row>
    <row r="23">
      <c r="A23" t="inlineStr">
        <is>
          <t>Long Term Debt Issuance</t>
        </is>
      </c>
      <c r="B23" s="3" t="n">
        <v>133000000</v>
      </c>
      <c r="C23" s="3" t="n">
        <v>96100000</v>
      </c>
      <c r="D23" s="3" t="n">
        <v>19100000</v>
      </c>
      <c r="E23" s="3" t="n">
        <v>0</v>
      </c>
      <c r="F23" s="3" t="n"/>
    </row>
    <row r="24">
      <c r="A24" t="inlineStr">
        <is>
          <t>Investing Cash Flow</t>
        </is>
      </c>
      <c r="B24" s="3" t="n">
        <v>-89100000</v>
      </c>
      <c r="C24" s="3" t="n">
        <v>40600000</v>
      </c>
      <c r="D24" s="3" t="n">
        <v>88700000</v>
      </c>
      <c r="E24" s="3" t="n">
        <v>181100000</v>
      </c>
      <c r="F24" s="3" t="n"/>
    </row>
    <row r="25">
      <c r="A25" t="inlineStr">
        <is>
          <t>Cash Flow From Continuing Investing Activities</t>
        </is>
      </c>
      <c r="B25" s="3" t="n">
        <v>-89100000</v>
      </c>
      <c r="C25" s="3" t="n">
        <v>40600000</v>
      </c>
      <c r="D25" s="3" t="n">
        <v>88700000</v>
      </c>
      <c r="E25" s="3" t="n">
        <v>181100000</v>
      </c>
      <c r="F25" s="3" t="n"/>
    </row>
    <row r="26">
      <c r="A26" t="inlineStr">
        <is>
          <t>Net Investment Purchase And Sale</t>
        </is>
      </c>
      <c r="B26" s="3" t="n">
        <v>-79700000</v>
      </c>
      <c r="C26" s="3" t="n">
        <v>50000000</v>
      </c>
      <c r="D26" s="3" t="n">
        <v>97900000</v>
      </c>
      <c r="E26" s="3" t="n">
        <v>92400000</v>
      </c>
      <c r="F26" s="3" t="n"/>
    </row>
    <row r="27">
      <c r="A27" t="inlineStr">
        <is>
          <t>Sale Of Investment</t>
        </is>
      </c>
      <c r="B27" s="3" t="n">
        <v>424700000</v>
      </c>
      <c r="C27" s="3" t="n">
        <v>413800000</v>
      </c>
      <c r="D27" s="3" t="n">
        <v>493100000</v>
      </c>
      <c r="E27" s="3" t="n">
        <v>362500000</v>
      </c>
      <c r="F27" s="3" t="n"/>
    </row>
    <row r="28">
      <c r="A28" t="inlineStr">
        <is>
          <t>Purchase Of Investment</t>
        </is>
      </c>
      <c r="B28" s="3" t="n">
        <v>-504400000</v>
      </c>
      <c r="C28" s="3" t="n">
        <v>-363800000</v>
      </c>
      <c r="D28" s="3" t="n">
        <v>-395200000</v>
      </c>
      <c r="E28" s="3" t="n">
        <v>-270100000</v>
      </c>
      <c r="F28" s="3" t="n"/>
    </row>
    <row r="29">
      <c r="A29" t="inlineStr">
        <is>
          <t>Net Business Purchase And Sale</t>
        </is>
      </c>
      <c r="B29" s="3" t="n"/>
      <c r="C29" s="3" t="n">
        <v>0</v>
      </c>
      <c r="D29" s="3" t="n">
        <v>0</v>
      </c>
      <c r="E29" s="3" t="n">
        <v>98800000</v>
      </c>
      <c r="F29" s="3" t="n">
        <v>0</v>
      </c>
    </row>
    <row r="30">
      <c r="A30" t="inlineStr">
        <is>
          <t>Sale Of Business</t>
        </is>
      </c>
      <c r="B30" s="3" t="n"/>
      <c r="C30" s="3" t="n">
        <v>0</v>
      </c>
      <c r="D30" s="3" t="n">
        <v>0</v>
      </c>
      <c r="E30" s="3" t="n">
        <v>98800000</v>
      </c>
      <c r="F30" s="3" t="n">
        <v>0</v>
      </c>
    </row>
    <row r="31">
      <c r="A31" t="inlineStr">
        <is>
          <t>Net Intangibles Purchase And Sale</t>
        </is>
      </c>
      <c r="B31" s="3" t="n"/>
      <c r="C31" s="3" t="n"/>
      <c r="D31" s="3" t="n"/>
      <c r="E31" s="3" t="n"/>
      <c r="F31" s="3" t="n">
        <v>0</v>
      </c>
    </row>
    <row r="32">
      <c r="A32" t="inlineStr">
        <is>
          <t>Purchase Of Intangibles</t>
        </is>
      </c>
      <c r="B32" s="3" t="n"/>
      <c r="C32" s="3" t="n"/>
      <c r="D32" s="3" t="n"/>
      <c r="E32" s="3" t="n"/>
      <c r="F32" s="3" t="n">
        <v>0</v>
      </c>
    </row>
    <row r="33">
      <c r="A33" t="inlineStr">
        <is>
          <t>Net PPE Purchase And Sale</t>
        </is>
      </c>
      <c r="B33" s="3" t="n">
        <v>-9400000</v>
      </c>
      <c r="C33" s="3" t="n">
        <v>-9400000</v>
      </c>
      <c r="D33" s="3" t="n">
        <v>-9200000</v>
      </c>
      <c r="E33" s="3" t="n">
        <v>-10100000</v>
      </c>
      <c r="F33" s="3" t="n"/>
    </row>
    <row r="34">
      <c r="A34" t="inlineStr">
        <is>
          <t>Purchase Of PPE</t>
        </is>
      </c>
      <c r="B34" s="3" t="n">
        <v>-9400000</v>
      </c>
      <c r="C34" s="3" t="n">
        <v>-9400000</v>
      </c>
      <c r="D34" s="3" t="n">
        <v>-9200000</v>
      </c>
      <c r="E34" s="3" t="n">
        <v>-10100000</v>
      </c>
      <c r="F34" s="3" t="n"/>
    </row>
    <row r="35">
      <c r="A35" t="inlineStr">
        <is>
          <t>Operating Cash Flow</t>
        </is>
      </c>
      <c r="B35" s="3" t="n">
        <v>-16500000</v>
      </c>
      <c r="C35" s="3" t="n">
        <v>-11400000</v>
      </c>
      <c r="D35" s="3" t="n">
        <v>-119100000</v>
      </c>
      <c r="E35" s="3" t="n">
        <v>-163000000</v>
      </c>
      <c r="F35" s="3" t="n"/>
    </row>
    <row r="36">
      <c r="A36" t="inlineStr">
        <is>
          <t>Cash Flow From Continuing Operating Activities</t>
        </is>
      </c>
      <c r="B36" s="3" t="n">
        <v>-16500000</v>
      </c>
      <c r="C36" s="3" t="n">
        <v>-11400000</v>
      </c>
      <c r="D36" s="3" t="n">
        <v>-119100000</v>
      </c>
      <c r="E36" s="3" t="n">
        <v>-162700000</v>
      </c>
      <c r="F36" s="3" t="n"/>
    </row>
    <row r="37">
      <c r="A37" t="inlineStr">
        <is>
          <t>Change In Working Capital</t>
        </is>
      </c>
      <c r="B37" s="3" t="n">
        <v>58500000</v>
      </c>
      <c r="C37" s="3" t="n">
        <v>101100000</v>
      </c>
      <c r="D37" s="3" t="n">
        <v>28700000</v>
      </c>
      <c r="E37" s="3" t="n">
        <v>47900000</v>
      </c>
      <c r="F37" s="3" t="n"/>
    </row>
    <row r="38">
      <c r="A38" t="inlineStr">
        <is>
          <t>Change In Other Working Capital</t>
        </is>
      </c>
      <c r="B38" s="3" t="n">
        <v>-27400000</v>
      </c>
      <c r="C38" s="3" t="n">
        <v>24200000</v>
      </c>
      <c r="D38" s="3" t="n">
        <v>1700000</v>
      </c>
      <c r="E38" s="3" t="n">
        <v>3200000</v>
      </c>
      <c r="F38" s="3" t="n"/>
    </row>
    <row r="39">
      <c r="A39" t="inlineStr">
        <is>
          <t>Change In Other Current Liabilities</t>
        </is>
      </c>
      <c r="B39" s="3" t="n">
        <v>21500000</v>
      </c>
      <c r="C39" s="3" t="n">
        <v>6200000</v>
      </c>
      <c r="D39" s="3" t="n">
        <v>15000000</v>
      </c>
      <c r="E39" s="3" t="n">
        <v>4900000</v>
      </c>
      <c r="F39" s="3" t="n"/>
    </row>
    <row r="40">
      <c r="A40" t="inlineStr">
        <is>
          <t>Change In Other Current Assets</t>
        </is>
      </c>
      <c r="B40" s="3" t="n">
        <v>-8200000</v>
      </c>
      <c r="C40" s="3" t="n">
        <v>21200000</v>
      </c>
      <c r="D40" s="3" t="n">
        <v>8900000</v>
      </c>
      <c r="E40" s="3" t="n">
        <v>-7000000</v>
      </c>
      <c r="F40" s="3" t="n"/>
    </row>
    <row r="41">
      <c r="A41" t="inlineStr">
        <is>
          <t>Change In Payables And Accrued Expense</t>
        </is>
      </c>
      <c r="B41" s="3" t="n">
        <v>-3900000</v>
      </c>
      <c r="C41" s="3" t="n">
        <v>4500000</v>
      </c>
      <c r="D41" s="3" t="n">
        <v>4300000</v>
      </c>
      <c r="E41" s="3" t="n">
        <v>-13100000</v>
      </c>
      <c r="F41" s="3" t="n"/>
    </row>
    <row r="42">
      <c r="A42" t="inlineStr">
        <is>
          <t>Change In Payable</t>
        </is>
      </c>
      <c r="B42" s="3" t="n">
        <v>-3900000</v>
      </c>
      <c r="C42" s="3" t="n">
        <v>4500000</v>
      </c>
      <c r="D42" s="3" t="n">
        <v>4300000</v>
      </c>
      <c r="E42" s="3" t="n">
        <v>-13100000</v>
      </c>
      <c r="F42" s="3" t="n"/>
    </row>
    <row r="43">
      <c r="A43" t="inlineStr">
        <is>
          <t>Change In Account Payable</t>
        </is>
      </c>
      <c r="B43" s="3" t="n">
        <v>-3900000</v>
      </c>
      <c r="C43" s="3" t="n">
        <v>4500000</v>
      </c>
      <c r="D43" s="3" t="n">
        <v>4300000</v>
      </c>
      <c r="E43" s="3" t="n">
        <v>-13100000</v>
      </c>
      <c r="F43" s="3" t="n"/>
    </row>
    <row r="44">
      <c r="A44" t="inlineStr">
        <is>
          <t>Change In Prepaid Assets</t>
        </is>
      </c>
      <c r="B44" s="3" t="n">
        <v>105700000</v>
      </c>
      <c r="C44" s="3" t="n">
        <v>-57300000</v>
      </c>
      <c r="D44" s="3" t="n">
        <v>-31800000</v>
      </c>
      <c r="E44" s="3" t="n">
        <v>-14900000</v>
      </c>
      <c r="F44" s="3" t="n"/>
    </row>
    <row r="45">
      <c r="A45" t="inlineStr">
        <is>
          <t>Change In Receivables</t>
        </is>
      </c>
      <c r="B45" s="3" t="n">
        <v>-106200000</v>
      </c>
      <c r="C45" s="3" t="n">
        <v>-122200000</v>
      </c>
      <c r="D45" s="3" t="n">
        <v>-32100000</v>
      </c>
      <c r="E45" s="3" t="n">
        <v>-96400000</v>
      </c>
      <c r="F45" s="3" t="n"/>
    </row>
    <row r="46">
      <c r="A46" t="inlineStr">
        <is>
          <t>Changes In Account Receivables</t>
        </is>
      </c>
      <c r="B46" s="3" t="n">
        <v>-106200000</v>
      </c>
      <c r="C46" s="3" t="n">
        <v>-122200000</v>
      </c>
      <c r="D46" s="3" t="n">
        <v>-32100000</v>
      </c>
      <c r="E46" s="3" t="n">
        <v>-96400000</v>
      </c>
      <c r="F46" s="3" t="n"/>
    </row>
    <row r="47">
      <c r="A47" t="inlineStr">
        <is>
          <t>Other Non Cash Items</t>
        </is>
      </c>
      <c r="B47" s="3" t="n">
        <v>19800000</v>
      </c>
      <c r="C47" s="3" t="n">
        <v>11000000</v>
      </c>
      <c r="D47" s="3" t="n">
        <v>8100000</v>
      </c>
      <c r="E47" s="3" t="n">
        <v>8700000</v>
      </c>
      <c r="F47" s="3" t="n"/>
    </row>
    <row r="48">
      <c r="A48" t="inlineStr">
        <is>
          <t>Stock Based Compensation</t>
        </is>
      </c>
      <c r="B48" s="3" t="n">
        <v>61300000</v>
      </c>
      <c r="C48" s="3" t="n">
        <v>64500000</v>
      </c>
      <c r="D48" s="3" t="n">
        <v>59900000</v>
      </c>
      <c r="E48" s="3" t="n">
        <v>59300000</v>
      </c>
      <c r="F48" s="3" t="n"/>
    </row>
    <row r="49">
      <c r="A49" t="inlineStr">
        <is>
          <t>Unrealized Gain Loss On Investment Securities</t>
        </is>
      </c>
      <c r="B49" s="3" t="n"/>
      <c r="C49" s="3" t="n"/>
      <c r="D49" s="3" t="n"/>
      <c r="E49" s="3" t="n">
        <v>0</v>
      </c>
      <c r="F49" s="3" t="n">
        <v>0</v>
      </c>
    </row>
    <row r="50">
      <c r="A50" t="inlineStr">
        <is>
          <t>Asset Impairment Charge</t>
        </is>
      </c>
      <c r="B50" s="3" t="n">
        <v>0</v>
      </c>
      <c r="C50" s="3" t="n">
        <v>300000</v>
      </c>
      <c r="D50" s="3" t="n">
        <v>3700000</v>
      </c>
      <c r="E50" s="3" t="n">
        <v>0</v>
      </c>
      <c r="F50" s="3" t="n"/>
    </row>
    <row r="51">
      <c r="A51" t="inlineStr">
        <is>
          <t>Amortization Of Securities</t>
        </is>
      </c>
      <c r="B51" s="3" t="n">
        <v>-5800000</v>
      </c>
      <c r="C51" s="3" t="n">
        <v>-6100000</v>
      </c>
      <c r="D51" s="3" t="n">
        <v>-2600000</v>
      </c>
      <c r="E51" s="3" t="n">
        <v>6700000</v>
      </c>
      <c r="F51" s="3" t="n"/>
    </row>
    <row r="52">
      <c r="A52" t="inlineStr">
        <is>
          <t>Depreciation And Amortization</t>
        </is>
      </c>
      <c r="B52" s="3" t="n">
        <v>15200000</v>
      </c>
      <c r="C52" s="3" t="n">
        <v>20000000</v>
      </c>
      <c r="D52" s="3" t="n">
        <v>20000000</v>
      </c>
      <c r="E52" s="3" t="n">
        <v>12200000</v>
      </c>
      <c r="F52" s="3" t="n"/>
    </row>
    <row r="53">
      <c r="A53" t="inlineStr">
        <is>
          <t>Amortization Cash Flow</t>
        </is>
      </c>
      <c r="B53" s="3" t="n"/>
      <c r="C53" s="3" t="n">
        <v>9300000</v>
      </c>
      <c r="D53" s="3" t="n"/>
      <c r="E53" s="3" t="n"/>
      <c r="F53" s="3" t="n"/>
    </row>
    <row r="54">
      <c r="A54" t="inlineStr">
        <is>
          <t>Amortization Of Intangibles</t>
        </is>
      </c>
      <c r="B54" s="3" t="n"/>
      <c r="C54" s="3" t="n">
        <v>9300000</v>
      </c>
      <c r="D54" s="3" t="n"/>
      <c r="E54" s="3" t="n"/>
      <c r="F54" s="3" t="n"/>
    </row>
    <row r="55">
      <c r="A55" t="inlineStr">
        <is>
          <t>Depreciation</t>
        </is>
      </c>
      <c r="B55" s="3" t="n"/>
      <c r="C55" s="3" t="n">
        <v>10700000</v>
      </c>
      <c r="D55" s="3" t="n"/>
      <c r="E55" s="3" t="n"/>
      <c r="F55" s="3" t="n">
        <v>3700000</v>
      </c>
    </row>
    <row r="56">
      <c r="A56" t="inlineStr">
        <is>
          <t>Net Income From Continuing Operations</t>
        </is>
      </c>
      <c r="B56" s="3" t="n">
        <v>-165500000</v>
      </c>
      <c r="C56" s="3" t="n">
        <v>-202200000</v>
      </c>
      <c r="D56" s="3" t="n">
        <v>-236900000</v>
      </c>
      <c r="E56" s="3" t="n">
        <v>-297800000</v>
      </c>
      <c r="F5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</row>
    <row r="2">
      <c r="A2" t="inlineStr">
        <is>
          <t>Free Cash Flow</t>
        </is>
      </c>
      <c r="B2" s="3" t="n">
        <v>-8000000</v>
      </c>
      <c r="C2" s="3" t="n">
        <v>-4100000</v>
      </c>
      <c r="D2" s="3" t="n">
        <v>17600000</v>
      </c>
      <c r="E2" s="3" t="n">
        <v>2600000</v>
      </c>
      <c r="F2" s="3" t="n">
        <v>3400000</v>
      </c>
    </row>
    <row r="3">
      <c r="A3" t="inlineStr">
        <is>
          <t>Repayment Of Debt</t>
        </is>
      </c>
      <c r="B3" s="3" t="n">
        <v>-22700000</v>
      </c>
      <c r="C3" s="3" t="n">
        <v>-18900000</v>
      </c>
      <c r="D3" s="3" t="n">
        <v>-17600000</v>
      </c>
      <c r="E3" s="3" t="n">
        <v>-14700000</v>
      </c>
      <c r="F3" s="3" t="n">
        <v>-14500000</v>
      </c>
    </row>
    <row r="4">
      <c r="A4" t="inlineStr">
        <is>
          <t>Issuance Of Debt</t>
        </is>
      </c>
      <c r="B4" s="3" t="n">
        <v>49500000</v>
      </c>
      <c r="C4" s="3" t="n">
        <v>40400000</v>
      </c>
      <c r="D4" s="3" t="n">
        <v>36700000</v>
      </c>
      <c r="E4" s="3" t="n">
        <v>30200000</v>
      </c>
      <c r="F4" s="3" t="n">
        <v>36100000</v>
      </c>
    </row>
    <row r="5">
      <c r="A5" t="inlineStr">
        <is>
          <t>Capital Expenditure</t>
        </is>
      </c>
      <c r="B5" s="3" t="n">
        <v>-4600000</v>
      </c>
      <c r="C5" s="3" t="n">
        <v>-3500000</v>
      </c>
      <c r="D5" s="3" t="n">
        <v>-3100000</v>
      </c>
      <c r="E5" s="3" t="n">
        <v>-1900000</v>
      </c>
      <c r="F5" s="3" t="n">
        <v>-2100000</v>
      </c>
    </row>
    <row r="6">
      <c r="A6" t="inlineStr">
        <is>
          <t>Interest Paid Supplemental Data</t>
        </is>
      </c>
      <c r="B6" s="3" t="n">
        <v>6700000</v>
      </c>
      <c r="C6" s="3" t="n">
        <v>5800000</v>
      </c>
      <c r="D6" s="3" t="n">
        <v>5100000</v>
      </c>
      <c r="E6" s="3" t="n">
        <v>4500000</v>
      </c>
      <c r="F6" s="3" t="n">
        <v>3600000</v>
      </c>
    </row>
    <row r="7">
      <c r="A7" t="inlineStr">
        <is>
          <t>Income Tax Paid Supplemental Data</t>
        </is>
      </c>
      <c r="B7" s="3" t="n">
        <v>1100000</v>
      </c>
      <c r="C7" s="3" t="n">
        <v>200000</v>
      </c>
      <c r="D7" s="3" t="n">
        <v>300000</v>
      </c>
      <c r="E7" s="3" t="n">
        <v>1400000</v>
      </c>
      <c r="F7" s="3" t="n">
        <v>500000</v>
      </c>
    </row>
    <row r="8">
      <c r="A8" t="inlineStr">
        <is>
          <t>End Cash Position</t>
        </is>
      </c>
      <c r="B8" s="3" t="n">
        <v>380300000</v>
      </c>
      <c r="C8" s="3" t="n">
        <v>386500000</v>
      </c>
      <c r="D8" s="3" t="n">
        <v>396800000</v>
      </c>
      <c r="E8" s="3" t="n">
        <v>355500000</v>
      </c>
      <c r="F8" s="3" t="n">
        <v>386000000</v>
      </c>
    </row>
    <row r="9">
      <c r="A9" t="inlineStr">
        <is>
          <t>Beginning Cash Position</t>
        </is>
      </c>
      <c r="B9" s="3" t="n">
        <v>386500000</v>
      </c>
      <c r="C9" s="3" t="n">
        <v>396800000</v>
      </c>
      <c r="D9" s="3" t="n">
        <v>355500000</v>
      </c>
      <c r="E9" s="3" t="n">
        <v>386000000</v>
      </c>
      <c r="F9" s="3" t="n">
        <v>319700000</v>
      </c>
    </row>
    <row r="10">
      <c r="A10" t="inlineStr">
        <is>
          <t>Effect Of Exchange Rate Changes</t>
        </is>
      </c>
      <c r="B10" s="3" t="n">
        <v>1200000</v>
      </c>
      <c r="C10" s="3" t="n">
        <v>-1300000</v>
      </c>
      <c r="D10" s="3" t="n">
        <v>1000000</v>
      </c>
      <c r="E10" s="3" t="n">
        <v>400000</v>
      </c>
      <c r="F10" s="3" t="n">
        <v>7200000</v>
      </c>
    </row>
    <row r="11">
      <c r="A11" t="inlineStr">
        <is>
          <t>Changes In Cash</t>
        </is>
      </c>
      <c r="B11" s="3" t="n">
        <v>-7400000</v>
      </c>
      <c r="C11" s="3" t="n">
        <v>-9000000</v>
      </c>
      <c r="D11" s="3" t="n">
        <v>40300000</v>
      </c>
      <c r="E11" s="3" t="n">
        <v>-30900000</v>
      </c>
      <c r="F11" s="3" t="n">
        <v>59100000</v>
      </c>
    </row>
    <row r="12">
      <c r="A12" t="inlineStr">
        <is>
          <t>Financing Cash Flow</t>
        </is>
      </c>
      <c r="B12" s="3" t="n">
        <v>28200000</v>
      </c>
      <c r="C12" s="3" t="n">
        <v>26200000</v>
      </c>
      <c r="D12" s="3" t="n">
        <v>38500000</v>
      </c>
      <c r="E12" s="3" t="n">
        <v>24000000</v>
      </c>
      <c r="F12" s="3" t="n">
        <v>24100000</v>
      </c>
    </row>
    <row r="13">
      <c r="A13" t="inlineStr">
        <is>
          <t>Cash Flow From Continuing Financing Activities</t>
        </is>
      </c>
      <c r="B13" s="3" t="n">
        <v>28200000</v>
      </c>
      <c r="C13" s="3" t="n">
        <v>26200000</v>
      </c>
      <c r="D13" s="3" t="n">
        <v>38500000</v>
      </c>
      <c r="E13" s="3" t="n">
        <v>24000000</v>
      </c>
      <c r="F13" s="3" t="n">
        <v>24100000</v>
      </c>
    </row>
    <row r="14">
      <c r="A14" t="inlineStr">
        <is>
          <t>Proceeds From Stock Option Exercised</t>
        </is>
      </c>
      <c r="B14" s="3" t="n">
        <v>1400000</v>
      </c>
      <c r="C14" s="3" t="n">
        <v>4700000</v>
      </c>
      <c r="D14" s="3" t="n">
        <v>19400000</v>
      </c>
      <c r="E14" s="3" t="n">
        <v>8500000</v>
      </c>
      <c r="F14" s="3" t="n">
        <v>2500000</v>
      </c>
    </row>
    <row r="15">
      <c r="A15" t="inlineStr">
        <is>
          <t>Net Issuance Payments Of Debt</t>
        </is>
      </c>
      <c r="B15" s="3" t="n">
        <v>26800000</v>
      </c>
      <c r="C15" s="3" t="n">
        <v>21500000</v>
      </c>
      <c r="D15" s="3" t="n">
        <v>19100000</v>
      </c>
      <c r="E15" s="3" t="n">
        <v>15500000</v>
      </c>
      <c r="F15" s="3" t="n">
        <v>21600000</v>
      </c>
    </row>
    <row r="16">
      <c r="A16" t="inlineStr">
        <is>
          <t>Net Long Term Debt Issuance</t>
        </is>
      </c>
      <c r="B16" s="3" t="n">
        <v>26800000</v>
      </c>
      <c r="C16" s="3" t="n">
        <v>21500000</v>
      </c>
      <c r="D16" s="3" t="n">
        <v>19100000</v>
      </c>
      <c r="E16" s="3" t="n">
        <v>15500000</v>
      </c>
      <c r="F16" s="3" t="n">
        <v>21600000</v>
      </c>
    </row>
    <row r="17">
      <c r="A17" t="inlineStr">
        <is>
          <t>Long Term Debt Payments</t>
        </is>
      </c>
      <c r="B17" s="3" t="n">
        <v>-22700000</v>
      </c>
      <c r="C17" s="3" t="n">
        <v>-18900000</v>
      </c>
      <c r="D17" s="3" t="n">
        <v>-17600000</v>
      </c>
      <c r="E17" s="3" t="n">
        <v>-14700000</v>
      </c>
      <c r="F17" s="3" t="n">
        <v>-14500000</v>
      </c>
    </row>
    <row r="18">
      <c r="A18" t="inlineStr">
        <is>
          <t>Long Term Debt Issuance</t>
        </is>
      </c>
      <c r="B18" s="3" t="n">
        <v>49500000</v>
      </c>
      <c r="C18" s="3" t="n">
        <v>40400000</v>
      </c>
      <c r="D18" s="3" t="n">
        <v>36700000</v>
      </c>
      <c r="E18" s="3" t="n">
        <v>30200000</v>
      </c>
      <c r="F18" s="3" t="n">
        <v>36100000</v>
      </c>
    </row>
    <row r="19">
      <c r="A19" t="inlineStr">
        <is>
          <t>Investing Cash Flow</t>
        </is>
      </c>
      <c r="B19" s="3" t="n">
        <v>-32200000</v>
      </c>
      <c r="C19" s="3" t="n">
        <v>-34600000</v>
      </c>
      <c r="D19" s="3" t="n">
        <v>-18900000</v>
      </c>
      <c r="E19" s="3" t="n">
        <v>-59400000</v>
      </c>
      <c r="F19" s="3" t="n">
        <v>29500000</v>
      </c>
    </row>
    <row r="20">
      <c r="A20" t="inlineStr">
        <is>
          <t>Cash Flow From Continuing Investing Activities</t>
        </is>
      </c>
      <c r="B20" s="3" t="n">
        <v>-32200000</v>
      </c>
      <c r="C20" s="3" t="n">
        <v>-34600000</v>
      </c>
      <c r="D20" s="3" t="n">
        <v>-18900000</v>
      </c>
      <c r="E20" s="3" t="n">
        <v>-59400000</v>
      </c>
      <c r="F20" s="3" t="n">
        <v>29500000</v>
      </c>
    </row>
    <row r="21">
      <c r="A21" t="inlineStr">
        <is>
          <t>Net Investment Purchase And Sale</t>
        </is>
      </c>
      <c r="B21" s="3" t="n">
        <v>-27600000</v>
      </c>
      <c r="C21" s="3" t="n">
        <v>-31100000</v>
      </c>
      <c r="D21" s="3" t="n">
        <v>-15800000</v>
      </c>
      <c r="E21" s="3" t="n">
        <v>-57500000</v>
      </c>
      <c r="F21" s="3" t="n">
        <v>31600000</v>
      </c>
    </row>
    <row r="22">
      <c r="A22" t="inlineStr">
        <is>
          <t>Sale Of Investment</t>
        </is>
      </c>
      <c r="B22" s="3" t="n">
        <v>241200000</v>
      </c>
      <c r="C22" s="3" t="n">
        <v>130100000</v>
      </c>
      <c r="D22" s="3" t="n">
        <v>97100000</v>
      </c>
      <c r="E22" s="3" t="n">
        <v>148500000</v>
      </c>
      <c r="F22" s="3" t="n">
        <v>139500000</v>
      </c>
    </row>
    <row r="23">
      <c r="A23" t="inlineStr">
        <is>
          <t>Purchase Of Investment</t>
        </is>
      </c>
      <c r="B23" s="3" t="n">
        <v>-268800000</v>
      </c>
      <c r="C23" s="3" t="n">
        <v>-161200000</v>
      </c>
      <c r="D23" s="3" t="n">
        <v>-112900000</v>
      </c>
      <c r="E23" s="3" t="n">
        <v>-206000000</v>
      </c>
      <c r="F23" s="3" t="n">
        <v>-107900000</v>
      </c>
    </row>
    <row r="24">
      <c r="A24" t="inlineStr">
        <is>
          <t>Net PPE Purchase And Sale</t>
        </is>
      </c>
      <c r="B24" s="3" t="n">
        <v>-4600000</v>
      </c>
      <c r="C24" s="3" t="n">
        <v>-3500000</v>
      </c>
      <c r="D24" s="3" t="n">
        <v>-3100000</v>
      </c>
      <c r="E24" s="3" t="n">
        <v>-1900000</v>
      </c>
      <c r="F24" s="3" t="n">
        <v>-2100000</v>
      </c>
    </row>
    <row r="25">
      <c r="A25" t="inlineStr">
        <is>
          <t>Purchase Of PPE</t>
        </is>
      </c>
      <c r="B25" s="3" t="n">
        <v>-4600000</v>
      </c>
      <c r="C25" s="3" t="n">
        <v>-3500000</v>
      </c>
      <c r="D25" s="3" t="n">
        <v>-3100000</v>
      </c>
      <c r="E25" s="3" t="n">
        <v>-1900000</v>
      </c>
      <c r="F25" s="3" t="n">
        <v>-2100000</v>
      </c>
    </row>
    <row r="26">
      <c r="A26" t="inlineStr">
        <is>
          <t>Operating Cash Flow</t>
        </is>
      </c>
      <c r="B26" s="3" t="n">
        <v>-3400000</v>
      </c>
      <c r="C26" s="3" t="n">
        <v>-600000</v>
      </c>
      <c r="D26" s="3" t="n">
        <v>20700000</v>
      </c>
      <c r="E26" s="3" t="n">
        <v>4500000</v>
      </c>
      <c r="F26" s="3" t="n">
        <v>5500000</v>
      </c>
    </row>
    <row r="27">
      <c r="A27" t="inlineStr">
        <is>
          <t>Cash Flow From Continuing Operating Activities</t>
        </is>
      </c>
      <c r="B27" s="3" t="n">
        <v>-3400000</v>
      </c>
      <c r="C27" s="3" t="n">
        <v>-600000</v>
      </c>
      <c r="D27" s="3" t="n">
        <v>20700000</v>
      </c>
      <c r="E27" s="3" t="n">
        <v>4500000</v>
      </c>
      <c r="F27" s="3" t="n">
        <v>5500000</v>
      </c>
    </row>
    <row r="28">
      <c r="A28" t="inlineStr">
        <is>
          <t>Change In Working Capital</t>
        </is>
      </c>
      <c r="B28" s="3" t="n">
        <v>7900000</v>
      </c>
      <c r="C28" s="3" t="n">
        <v>6700000</v>
      </c>
      <c r="D28" s="3" t="n">
        <v>14700000</v>
      </c>
      <c r="E28" s="3" t="n">
        <v>20000000</v>
      </c>
      <c r="F28" s="3" t="n">
        <v>26400000</v>
      </c>
    </row>
    <row r="29">
      <c r="A29" t="inlineStr">
        <is>
          <t>Change In Other Working Capital</t>
        </is>
      </c>
      <c r="B29" s="3" t="n">
        <v>900000</v>
      </c>
      <c r="C29" s="3" t="n">
        <v>-4900000</v>
      </c>
      <c r="D29" s="3" t="n">
        <v>-11800000</v>
      </c>
      <c r="E29" s="3" t="n">
        <v>-18400000</v>
      </c>
      <c r="F29" s="3" t="n">
        <v>7400000</v>
      </c>
    </row>
    <row r="30">
      <c r="A30" t="inlineStr">
        <is>
          <t>Change In Other Current Liabilities</t>
        </is>
      </c>
      <c r="B30" s="3" t="n">
        <v>-2200000</v>
      </c>
      <c r="C30" s="3" t="n">
        <v>6800000</v>
      </c>
      <c r="D30" s="3" t="n">
        <v>14700000</v>
      </c>
      <c r="E30" s="3" t="n">
        <v>-11900000</v>
      </c>
      <c r="F30" s="3" t="n">
        <v>14600000</v>
      </c>
    </row>
    <row r="31">
      <c r="A31" t="inlineStr">
        <is>
          <t>Change In Other Current Assets</t>
        </is>
      </c>
      <c r="B31" s="3" t="n">
        <v>-400000</v>
      </c>
      <c r="C31" s="3" t="n">
        <v>3600000</v>
      </c>
      <c r="D31" s="3" t="n">
        <v>-11800000</v>
      </c>
      <c r="E31" s="3" t="n">
        <v>1400000</v>
      </c>
      <c r="F31" s="3" t="n">
        <v>-600000</v>
      </c>
    </row>
    <row r="32">
      <c r="A32" t="inlineStr">
        <is>
          <t>Change In Payables And Accrued Expense</t>
        </is>
      </c>
      <c r="B32" s="3" t="n">
        <v>-500000</v>
      </c>
      <c r="C32" s="3" t="n">
        <v>-900000</v>
      </c>
      <c r="D32" s="3" t="n">
        <v>300000</v>
      </c>
      <c r="E32" s="3" t="n">
        <v>-7800000</v>
      </c>
      <c r="F32" s="3" t="n">
        <v>2300000</v>
      </c>
    </row>
    <row r="33">
      <c r="A33" t="inlineStr">
        <is>
          <t>Change In Payable</t>
        </is>
      </c>
      <c r="B33" s="3" t="n">
        <v>-500000</v>
      </c>
      <c r="C33" s="3" t="n">
        <v>-900000</v>
      </c>
      <c r="D33" s="3" t="n">
        <v>300000</v>
      </c>
      <c r="E33" s="3" t="n">
        <v>-7800000</v>
      </c>
      <c r="F33" s="3" t="n">
        <v>2300000</v>
      </c>
    </row>
    <row r="34">
      <c r="A34" t="inlineStr">
        <is>
          <t>Change In Account Payable</t>
        </is>
      </c>
      <c r="B34" s="3" t="n">
        <v>-500000</v>
      </c>
      <c r="C34" s="3" t="n">
        <v>-900000</v>
      </c>
      <c r="D34" s="3" t="n">
        <v>300000</v>
      </c>
      <c r="E34" s="3" t="n">
        <v>-7800000</v>
      </c>
      <c r="F34" s="3" t="n">
        <v>2300000</v>
      </c>
    </row>
    <row r="35">
      <c r="A35" t="inlineStr">
        <is>
          <t>Change In Prepaid Assets</t>
        </is>
      </c>
      <c r="B35" s="3" t="n">
        <v>-1400000</v>
      </c>
      <c r="C35" s="3" t="n">
        <v>24000000</v>
      </c>
      <c r="D35" s="3" t="n">
        <v>55500000</v>
      </c>
      <c r="E35" s="3" t="n">
        <v>78200000</v>
      </c>
      <c r="F35" s="3" t="n">
        <v>-18100000</v>
      </c>
    </row>
    <row r="36">
      <c r="A36" t="inlineStr">
        <is>
          <t>Change In Receivables</t>
        </is>
      </c>
      <c r="B36" s="3" t="n">
        <v>-34200000</v>
      </c>
      <c r="C36" s="3" t="n">
        <v>-44800000</v>
      </c>
      <c r="D36" s="3" t="n">
        <v>-700000</v>
      </c>
      <c r="E36" s="3" t="n">
        <v>-43700000</v>
      </c>
      <c r="F36" s="3" t="n">
        <v>-28800000</v>
      </c>
    </row>
    <row r="37">
      <c r="A37" t="inlineStr">
        <is>
          <t>Changes In Account Receivables</t>
        </is>
      </c>
      <c r="B37" s="3" t="n">
        <v>-34200000</v>
      </c>
      <c r="C37" s="3" t="n">
        <v>-44800000</v>
      </c>
      <c r="D37" s="3" t="n">
        <v>-700000</v>
      </c>
      <c r="E37" s="3" t="n">
        <v>-43700000</v>
      </c>
      <c r="F37" s="3" t="n">
        <v>-28800000</v>
      </c>
    </row>
    <row r="38">
      <c r="A38" t="inlineStr">
        <is>
          <t>Other Non Cash Items</t>
        </is>
      </c>
      <c r="B38" s="3" t="n">
        <v>6300000</v>
      </c>
      <c r="C38" s="3" t="n">
        <v>5900000</v>
      </c>
      <c r="D38" s="3" t="n">
        <v>8000000</v>
      </c>
      <c r="E38" s="3" t="n">
        <v>2900000</v>
      </c>
      <c r="F38" s="3" t="n">
        <v>4400000</v>
      </c>
    </row>
    <row r="39">
      <c r="A39" t="inlineStr">
        <is>
          <t>Stock Based Compensation</t>
        </is>
      </c>
      <c r="B39" s="3" t="n">
        <v>24500000</v>
      </c>
      <c r="C39" s="3" t="n">
        <v>21200000</v>
      </c>
      <c r="D39" s="3" t="n">
        <v>18500000</v>
      </c>
      <c r="E39" s="3" t="n">
        <v>17100000</v>
      </c>
      <c r="F39" s="3" t="n">
        <v>15400000</v>
      </c>
    </row>
    <row r="40">
      <c r="A40" t="inlineStr">
        <is>
          <t>Asset Impairment Charge</t>
        </is>
      </c>
      <c r="B40" s="3" t="n"/>
      <c r="C40" s="3" t="n"/>
      <c r="D40" s="3" t="n">
        <v>0</v>
      </c>
      <c r="E40" s="3" t="n">
        <v>0</v>
      </c>
      <c r="F40" s="3" t="n"/>
    </row>
    <row r="41">
      <c r="A41" t="inlineStr">
        <is>
          <t>Amortization Of Securities</t>
        </is>
      </c>
      <c r="B41" s="3" t="n">
        <v>-1100000</v>
      </c>
      <c r="C41" s="3" t="n">
        <v>-1300000</v>
      </c>
      <c r="D41" s="3" t="n">
        <v>-1400000</v>
      </c>
      <c r="E41" s="3" t="n">
        <v>-1400000</v>
      </c>
      <c r="F41" s="3" t="n">
        <v>-1500000</v>
      </c>
    </row>
    <row r="42">
      <c r="A42" t="inlineStr">
        <is>
          <t>Depreciation And Amortization</t>
        </is>
      </c>
      <c r="B42" s="3" t="n">
        <v>2400000</v>
      </c>
      <c r="C42" s="3" t="n">
        <v>2700000</v>
      </c>
      <c r="D42" s="3" t="n">
        <v>2600000</v>
      </c>
      <c r="E42" s="3" t="n">
        <v>3400000</v>
      </c>
      <c r="F42" s="3" t="n">
        <v>4700000</v>
      </c>
    </row>
    <row r="43">
      <c r="A43" t="inlineStr">
        <is>
          <t>Net Income From Continuing Operations</t>
        </is>
      </c>
      <c r="B43" s="3" t="n">
        <v>-43400000</v>
      </c>
      <c r="C43" s="3" t="n">
        <v>-35800000</v>
      </c>
      <c r="D43" s="3" t="n">
        <v>-21700000</v>
      </c>
      <c r="E43" s="3" t="n">
        <v>-37500000</v>
      </c>
      <c r="F43" s="3" t="n">
        <v>-43900000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'Gross Profit' not found in statements — left blank</t>
        </is>
      </c>
    </row>
    <row r="4">
      <c r="A4" t="inlineStr">
        <is>
          <t>FY Summary</t>
        </is>
      </c>
      <c r="B4" t="inlineStr">
        <is>
          <t>'Operating Income' not found in statements — left blank</t>
        </is>
      </c>
    </row>
    <row r="5">
      <c r="A5" t="inlineStr">
        <is>
          <t>FY Summary</t>
        </is>
      </c>
      <c r="B5" t="inlineStr">
        <is>
          <t>'EBITDA' not found in statements — left blank</t>
        </is>
      </c>
    </row>
    <row r="6">
      <c r="A6" t="inlineStr">
        <is>
          <t>FY Summary</t>
        </is>
      </c>
      <c r="B6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2026-10-16T18:59:54Z</dcterms:created>
  <dcterms:modified xmlns:dcterms="http://purl.org/dc/terms/" xmlns:xsi="http://www.w3.org/2001/XMLSchema-instance" xsi:type="dcterms:W3CDTF">2026-10-16T18:59:54Z</dcterms:modified>
</cp:coreProperties>
</file>