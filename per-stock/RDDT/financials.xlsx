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RDDT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Reddit,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Communication Services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Internet Content &amp; Information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32811241472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30932037632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48.697144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18.803043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13.264807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0.91373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0.27571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0.28604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0.26221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0.6909999999999999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2770631936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21288000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868733000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141965642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170.44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(annual)'!D36</f>
        <v/>
      </c>
      <c r="C3" s="3">
        <f>'Income stmt (annual)'!C36</f>
        <v/>
      </c>
      <c r="D3" s="3">
        <f>'Income stmt (annual)'!B36</f>
        <v/>
      </c>
      <c r="E3" s="3">
        <f>SUM('Income stmt (quarterly)'!B36:E36)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(annual)'!D34</f>
        <v/>
      </c>
      <c r="C4" s="3">
        <f>'Income stmt (annual)'!C34</f>
        <v/>
      </c>
      <c r="D4" s="3">
        <f>'Income stmt (annual)'!B34</f>
        <v/>
      </c>
      <c r="E4" s="3">
        <f>SUM('Income stmt (quarterly)'!B34:E34)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(annual)'!D27</f>
        <v/>
      </c>
      <c r="C6" s="3">
        <f>'Income stmt (annual)'!C27</f>
        <v/>
      </c>
      <c r="D6" s="3">
        <f>'Income stmt (annual)'!B27</f>
        <v/>
      </c>
      <c r="E6" s="3">
        <f>SUM('Income stmt (quarterly)'!B27:E27)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(annual)'!D8</f>
        <v/>
      </c>
      <c r="C8" s="3">
        <f>'Income stmt (annual)'!C8</f>
        <v/>
      </c>
      <c r="D8" s="3">
        <f>'Income stmt (annual)'!B8</f>
        <v/>
      </c>
      <c r="E8" s="3">
        <f>SUM('Income stmt (quarterly)'!B8:E8)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(annual)'!D5</f>
        <v/>
      </c>
      <c r="C11" s="3">
        <f>-'Cash flow (annual)'!C5</f>
        <v/>
      </c>
      <c r="D11" s="3">
        <f>-'Cash flow (annual)'!B5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0.21</v>
      </c>
      <c r="C3" s="3" t="n">
        <v>0.001</v>
      </c>
      <c r="D3" s="3" t="n">
        <v>0.21</v>
      </c>
      <c r="E3" s="3" t="n">
        <v>0.21</v>
      </c>
    </row>
    <row r="4">
      <c r="A4" t="inlineStr">
        <is>
          <t>Normalized EBITDA</t>
        </is>
      </c>
      <c r="B4" s="3" t="n">
        <v>457932000</v>
      </c>
      <c r="C4" s="3" t="n">
        <v>-544925000</v>
      </c>
      <c r="D4" s="3" t="n">
        <v>-126459000</v>
      </c>
      <c r="E4" s="3" t="n">
        <v>-164162000</v>
      </c>
    </row>
    <row r="5">
      <c r="A5" t="inlineStr">
        <is>
          <t>Net Income From Continuing Operation Net Minority Interest</t>
        </is>
      </c>
      <c r="B5" s="3" t="n">
        <v>529721000</v>
      </c>
      <c r="C5" s="3" t="n">
        <v>-484276000</v>
      </c>
      <c r="D5" s="3" t="n">
        <v>-90824000</v>
      </c>
      <c r="E5" s="3" t="n">
        <v>-158550000</v>
      </c>
    </row>
    <row r="6">
      <c r="A6" t="inlineStr">
        <is>
          <t>Reconciled Depreciation</t>
        </is>
      </c>
      <c r="B6" s="3" t="n">
        <v>15948000</v>
      </c>
      <c r="C6" s="3" t="n">
        <v>15643000</v>
      </c>
      <c r="D6" s="3" t="n">
        <v>13702000</v>
      </c>
      <c r="E6" s="3" t="n">
        <v>8000000</v>
      </c>
    </row>
    <row r="7">
      <c r="A7" t="inlineStr">
        <is>
          <t>Reconciled Cost Of Revenue</t>
        </is>
      </c>
      <c r="B7" s="3" t="n">
        <v>194216000</v>
      </c>
      <c r="C7" s="3" t="n">
        <v>123595000</v>
      </c>
      <c r="D7" s="3" t="n">
        <v>111011000</v>
      </c>
      <c r="E7" s="3" t="n">
        <v>104799000</v>
      </c>
    </row>
    <row r="8">
      <c r="A8" t="inlineStr">
        <is>
          <t>EBITDA</t>
        </is>
      </c>
      <c r="B8" s="3" t="n">
        <v>457932000</v>
      </c>
      <c r="C8" s="3" t="n">
        <v>-544925000</v>
      </c>
      <c r="D8" s="3" t="n">
        <v>-126459000</v>
      </c>
      <c r="E8" s="3" t="n">
        <v>-164162000</v>
      </c>
    </row>
    <row r="9">
      <c r="A9" t="inlineStr">
        <is>
          <t>EBIT</t>
        </is>
      </c>
      <c r="B9" s="3" t="n">
        <v>441984000</v>
      </c>
      <c r="C9" s="3" t="n">
        <v>-560568000</v>
      </c>
      <c r="D9" s="3" t="n">
        <v>-140161000</v>
      </c>
      <c r="E9" s="3" t="n">
        <v>-172162000</v>
      </c>
    </row>
    <row r="10">
      <c r="A10" t="inlineStr">
        <is>
          <t>Normalized Income</t>
        </is>
      </c>
      <c r="B10" s="3" t="n">
        <v>529721000</v>
      </c>
      <c r="C10" s="3" t="n">
        <v>-484276000</v>
      </c>
      <c r="D10" s="3" t="n">
        <v>-90824000</v>
      </c>
      <c r="E10" s="3" t="n">
        <v>-158550000</v>
      </c>
    </row>
    <row r="11">
      <c r="A11" t="inlineStr">
        <is>
          <t>Net Income From Continuing And Discontinued Operation</t>
        </is>
      </c>
      <c r="B11" s="3" t="n">
        <v>529721000</v>
      </c>
      <c r="C11" s="3" t="n">
        <v>-484276000</v>
      </c>
      <c r="D11" s="3" t="n">
        <v>-90824000</v>
      </c>
      <c r="E11" s="3" t="n">
        <v>-158550000</v>
      </c>
    </row>
    <row r="12">
      <c r="A12" t="inlineStr">
        <is>
          <t>Total Expenses</t>
        </is>
      </c>
      <c r="B12" s="3" t="n">
        <v>1760522000</v>
      </c>
      <c r="C12" s="3" t="n">
        <v>1860773000</v>
      </c>
      <c r="D12" s="3" t="n">
        <v>944190000</v>
      </c>
      <c r="E12" s="3" t="n">
        <v>838863000</v>
      </c>
    </row>
    <row r="13">
      <c r="A13" t="inlineStr">
        <is>
          <t>Total Operating Income As Reported</t>
        </is>
      </c>
      <c r="B13" s="3" t="n">
        <v>441984000</v>
      </c>
      <c r="C13" s="3" t="n">
        <v>-560568000</v>
      </c>
      <c r="D13" s="3" t="n">
        <v>-140161000</v>
      </c>
      <c r="E13" s="3" t="n">
        <v>-172162000</v>
      </c>
    </row>
    <row r="14">
      <c r="A14" t="inlineStr">
        <is>
          <t>Diluted Average Shares</t>
        </is>
      </c>
      <c r="B14" s="3" t="n">
        <v>202107978</v>
      </c>
      <c r="C14" s="3" t="n">
        <v>145472389</v>
      </c>
      <c r="D14" s="3" t="n">
        <v>158993090</v>
      </c>
      <c r="E14" s="3" t="n">
        <v>147792102</v>
      </c>
    </row>
    <row r="15">
      <c r="A15" t="inlineStr">
        <is>
          <t>Basic Average Shares</t>
        </is>
      </c>
      <c r="B15" s="3" t="n">
        <v>186383271</v>
      </c>
      <c r="C15" s="3" t="n">
        <v>145472389</v>
      </c>
      <c r="D15" s="3" t="n">
        <v>158993090</v>
      </c>
      <c r="E15" s="3" t="n">
        <v>147792102</v>
      </c>
    </row>
    <row r="16">
      <c r="A16" t="inlineStr">
        <is>
          <t>Diluted EPS</t>
        </is>
      </c>
      <c r="B16" s="3" t="n">
        <v>2.62</v>
      </c>
      <c r="C16" s="3" t="n">
        <v>-3.33</v>
      </c>
      <c r="D16" s="3" t="n">
        <v>-0.571245</v>
      </c>
      <c r="E16" s="3" t="n">
        <v>-1.072791</v>
      </c>
    </row>
    <row r="17">
      <c r="A17" t="inlineStr">
        <is>
          <t>Basic EPS</t>
        </is>
      </c>
      <c r="B17" s="3" t="n">
        <v>2.84</v>
      </c>
      <c r="C17" s="3" t="n">
        <v>-3.33</v>
      </c>
      <c r="D17" s="3" t="n">
        <v>-0.571245</v>
      </c>
      <c r="E17" s="3" t="n">
        <v>-1.072791</v>
      </c>
    </row>
    <row r="18">
      <c r="A18" t="inlineStr">
        <is>
          <t>Diluted NI Availto Com Stockholders</t>
        </is>
      </c>
      <c r="B18" s="3" t="n">
        <v>529721000</v>
      </c>
      <c r="C18" s="3" t="n">
        <v>-484276000</v>
      </c>
      <c r="D18" s="3" t="n">
        <v>-90824000</v>
      </c>
      <c r="E18" s="3" t="n">
        <v>-158550000</v>
      </c>
    </row>
    <row r="19">
      <c r="A19" t="inlineStr">
        <is>
          <t>Net Income Common Stockholders</t>
        </is>
      </c>
      <c r="B19" s="3" t="n">
        <v>529721000</v>
      </c>
      <c r="C19" s="3" t="n">
        <v>-484276000</v>
      </c>
      <c r="D19" s="3" t="n">
        <v>-90824000</v>
      </c>
      <c r="E19" s="3" t="n">
        <v>-158550000</v>
      </c>
    </row>
    <row r="20">
      <c r="A20" t="inlineStr">
        <is>
          <t>Net Income</t>
        </is>
      </c>
      <c r="B20" s="3" t="n">
        <v>529721000</v>
      </c>
      <c r="C20" s="3" t="n">
        <v>-484276000</v>
      </c>
      <c r="D20" s="3" t="n">
        <v>-90824000</v>
      </c>
      <c r="E20" s="3" t="n">
        <v>-158550000</v>
      </c>
    </row>
    <row r="21">
      <c r="A21" t="inlineStr">
        <is>
          <t>Net Income Including Noncontrolling Interests</t>
        </is>
      </c>
      <c r="B21" s="3" t="n">
        <v>529721000</v>
      </c>
      <c r="C21" s="3" t="n">
        <v>-484276000</v>
      </c>
      <c r="D21" s="3" t="n">
        <v>-90824000</v>
      </c>
      <c r="E21" s="3" t="n">
        <v>-158550000</v>
      </c>
    </row>
    <row r="22">
      <c r="A22" t="inlineStr">
        <is>
          <t>Net Income Continuous Operations</t>
        </is>
      </c>
      <c r="B22" s="3" t="n">
        <v>529721000</v>
      </c>
      <c r="C22" s="3" t="n">
        <v>-484276000</v>
      </c>
      <c r="D22" s="3" t="n">
        <v>-90824000</v>
      </c>
      <c r="E22" s="3" t="n">
        <v>-158550000</v>
      </c>
    </row>
    <row r="23">
      <c r="A23" t="inlineStr">
        <is>
          <t>Tax Provision</t>
        </is>
      </c>
      <c r="B23" s="3" t="n">
        <v>-1031000</v>
      </c>
      <c r="C23" s="3" t="n">
        <v>-931000</v>
      </c>
      <c r="D23" s="3" t="n">
        <v>3801000</v>
      </c>
      <c r="E23" s="3" t="n">
        <v>622000</v>
      </c>
    </row>
    <row r="24">
      <c r="A24" t="inlineStr">
        <is>
          <t>Pretax Income</t>
        </is>
      </c>
      <c r="B24" s="3" t="n">
        <v>528690000</v>
      </c>
      <c r="C24" s="3" t="n">
        <v>-485207000</v>
      </c>
      <c r="D24" s="3" t="n">
        <v>-87023000</v>
      </c>
      <c r="E24" s="3" t="n">
        <v>-157928000</v>
      </c>
    </row>
    <row r="25">
      <c r="A25" t="inlineStr">
        <is>
          <t>Other Income Expense</t>
        </is>
      </c>
      <c r="B25" s="3" t="n">
        <v>86706000</v>
      </c>
      <c r="C25" s="3" t="n">
        <v>75361000</v>
      </c>
      <c r="D25" s="3" t="n">
        <v>53138000</v>
      </c>
      <c r="E25" s="3" t="n">
        <v>14234000</v>
      </c>
    </row>
    <row r="26">
      <c r="A26" t="inlineStr">
        <is>
          <t>Other Non Operating Income Expenses</t>
        </is>
      </c>
      <c r="B26" s="3" t="n">
        <v>86706000</v>
      </c>
      <c r="C26" s="3" t="n">
        <v>75361000</v>
      </c>
      <c r="D26" s="3" t="n">
        <v>53138000</v>
      </c>
      <c r="E26" s="3" t="n">
        <v>14234000</v>
      </c>
    </row>
    <row r="27">
      <c r="A27" t="inlineStr">
        <is>
          <t>Operating Income</t>
        </is>
      </c>
      <c r="B27" s="3" t="n">
        <v>441984000</v>
      </c>
      <c r="C27" s="3" t="n">
        <v>-560568000</v>
      </c>
      <c r="D27" s="3" t="n">
        <v>-140161000</v>
      </c>
      <c r="E27" s="3" t="n">
        <v>-172162000</v>
      </c>
    </row>
    <row r="28">
      <c r="A28" t="inlineStr">
        <is>
          <t>Operating Expense</t>
        </is>
      </c>
      <c r="B28" s="3" t="n">
        <v>1566306000</v>
      </c>
      <c r="C28" s="3" t="n">
        <v>1737178000</v>
      </c>
      <c r="D28" s="3" t="n">
        <v>833179000</v>
      </c>
      <c r="E28" s="3" t="n">
        <v>734064000</v>
      </c>
    </row>
    <row r="29">
      <c r="A29" t="inlineStr">
        <is>
          <t>Research And Development</t>
        </is>
      </c>
      <c r="B29" s="3" t="n">
        <v>783145000</v>
      </c>
      <c r="C29" s="3" t="n">
        <v>935152000</v>
      </c>
      <c r="D29" s="3" t="n">
        <v>438346000</v>
      </c>
      <c r="E29" s="3" t="n">
        <v>365164000</v>
      </c>
    </row>
    <row r="30">
      <c r="A30" t="inlineStr">
        <is>
          <t>Selling General And Administration</t>
        </is>
      </c>
      <c r="B30" s="3" t="n">
        <v>783161000</v>
      </c>
      <c r="C30" s="3" t="n">
        <v>802026000</v>
      </c>
      <c r="D30" s="3" t="n">
        <v>394833000</v>
      </c>
      <c r="E30" s="3" t="n">
        <v>368900000</v>
      </c>
    </row>
    <row r="31">
      <c r="A31" t="inlineStr">
        <is>
          <t>Selling And Marketing Expense</t>
        </is>
      </c>
      <c r="B31" s="3" t="n">
        <v>503863000</v>
      </c>
      <c r="C31" s="3" t="n">
        <v>350579000</v>
      </c>
      <c r="D31" s="3" t="n">
        <v>230175000</v>
      </c>
      <c r="E31" s="3" t="n">
        <v>225078000</v>
      </c>
    </row>
    <row r="32">
      <c r="A32" t="inlineStr">
        <is>
          <t>General And Administrative Expense</t>
        </is>
      </c>
      <c r="B32" s="3" t="n">
        <v>279298000</v>
      </c>
      <c r="C32" s="3" t="n">
        <v>451447000</v>
      </c>
      <c r="D32" s="3" t="n">
        <v>164658000</v>
      </c>
      <c r="E32" s="3" t="n">
        <v>143822000</v>
      </c>
    </row>
    <row r="33">
      <c r="A33" t="inlineStr">
        <is>
          <t>Other Gand A</t>
        </is>
      </c>
      <c r="B33" s="3" t="n">
        <v>279298000</v>
      </c>
      <c r="C33" s="3" t="n">
        <v>451447000</v>
      </c>
      <c r="D33" s="3" t="n">
        <v>164658000</v>
      </c>
      <c r="E33" s="3" t="n">
        <v>143822000</v>
      </c>
    </row>
    <row r="34">
      <c r="A34" t="inlineStr">
        <is>
          <t>Gross Profit</t>
        </is>
      </c>
      <c r="B34" s="3" t="n">
        <v>2008290000</v>
      </c>
      <c r="C34" s="3" t="n">
        <v>1176610000</v>
      </c>
      <c r="D34" s="3" t="n">
        <v>693018000</v>
      </c>
      <c r="E34" s="3" t="n">
        <v>561902000</v>
      </c>
    </row>
    <row r="35">
      <c r="A35" t="inlineStr">
        <is>
          <t>Cost Of Revenue</t>
        </is>
      </c>
      <c r="B35" s="3" t="n">
        <v>194216000</v>
      </c>
      <c r="C35" s="3" t="n">
        <v>123595000</v>
      </c>
      <c r="D35" s="3" t="n">
        <v>111011000</v>
      </c>
      <c r="E35" s="3" t="n">
        <v>104799000</v>
      </c>
    </row>
    <row r="36">
      <c r="A36" t="inlineStr">
        <is>
          <t>Total Revenue</t>
        </is>
      </c>
      <c r="B36" s="3" t="n">
        <v>2202506000</v>
      </c>
      <c r="C36" s="3" t="n">
        <v>1300205000</v>
      </c>
      <c r="D36" s="3" t="n">
        <v>804029000</v>
      </c>
      <c r="E36" s="3" t="n">
        <v>666701000</v>
      </c>
    </row>
    <row r="37">
      <c r="A37" t="inlineStr">
        <is>
          <t>Operating Revenue</t>
        </is>
      </c>
      <c r="B37" s="3" t="n">
        <v>2062480000</v>
      </c>
      <c r="C37" s="3" t="n">
        <v>1185456000</v>
      </c>
      <c r="D37" s="3" t="n">
        <v>788782000</v>
      </c>
      <c r="E37" s="3" t="n">
        <v>652562000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0.008492</v>
      </c>
      <c r="C3" s="3" t="n">
        <v>0.012617</v>
      </c>
      <c r="D3" s="3" t="n">
        <v>0.21</v>
      </c>
      <c r="E3" s="3" t="n">
        <v>0.21</v>
      </c>
      <c r="F3" s="3" t="n">
        <v>0.21</v>
      </c>
    </row>
    <row r="4">
      <c r="A4" t="inlineStr">
        <is>
          <t>Normalized EBITDA</t>
        </is>
      </c>
      <c r="B4" s="3" t="n">
        <v>187122000</v>
      </c>
      <c r="C4" s="3" t="n">
        <v>235979000</v>
      </c>
      <c r="D4" s="3" t="n">
        <v>142442000</v>
      </c>
      <c r="E4" s="3" t="n">
        <v>71645000</v>
      </c>
      <c r="F4" s="3" t="n">
        <v>7866000</v>
      </c>
    </row>
    <row r="5">
      <c r="A5" t="inlineStr">
        <is>
          <t>Net Income From Continuing Operation Net Minority Interest</t>
        </is>
      </c>
      <c r="B5" s="3" t="n">
        <v>203981000</v>
      </c>
      <c r="C5" s="3" t="n">
        <v>251603000</v>
      </c>
      <c r="D5" s="3" t="n">
        <v>162663000</v>
      </c>
      <c r="E5" s="3" t="n">
        <v>89297000</v>
      </c>
      <c r="F5" s="3" t="n">
        <v>26158000</v>
      </c>
    </row>
    <row r="6">
      <c r="A6" t="inlineStr">
        <is>
          <t>Reconciled Depreciation</t>
        </is>
      </c>
      <c r="B6" s="3" t="n">
        <v>4210000</v>
      </c>
      <c r="C6" s="3" t="n">
        <v>4151000</v>
      </c>
      <c r="D6" s="3" t="n">
        <v>3900000</v>
      </c>
      <c r="E6" s="3" t="n">
        <v>3934000</v>
      </c>
      <c r="F6" s="3" t="n">
        <v>3963000</v>
      </c>
    </row>
    <row r="7">
      <c r="A7" t="inlineStr">
        <is>
          <t>Reconciled Cost Of Revenue</t>
        </is>
      </c>
      <c r="B7" s="3" t="n">
        <v>56267000</v>
      </c>
      <c r="C7" s="3" t="n">
        <v>58718000</v>
      </c>
      <c r="D7" s="3" t="n">
        <v>52509000</v>
      </c>
      <c r="E7" s="3" t="n">
        <v>45900000</v>
      </c>
      <c r="F7" s="3" t="n">
        <v>37089000</v>
      </c>
    </row>
    <row r="8">
      <c r="A8" t="inlineStr">
        <is>
          <t>EBITDA</t>
        </is>
      </c>
      <c r="B8" s="3" t="n">
        <v>187122000</v>
      </c>
      <c r="C8" s="3" t="n">
        <v>235979000</v>
      </c>
      <c r="D8" s="3" t="n">
        <v>142442000</v>
      </c>
      <c r="E8" s="3" t="n">
        <v>71645000</v>
      </c>
      <c r="F8" s="3" t="n">
        <v>7866000</v>
      </c>
    </row>
    <row r="9">
      <c r="A9" t="inlineStr">
        <is>
          <t>EBIT</t>
        </is>
      </c>
      <c r="B9" s="3" t="n">
        <v>182912000</v>
      </c>
      <c r="C9" s="3" t="n">
        <v>231828000</v>
      </c>
      <c r="D9" s="3" t="n">
        <v>138542000</v>
      </c>
      <c r="E9" s="3" t="n">
        <v>67711000</v>
      </c>
      <c r="F9" s="3" t="n">
        <v>3903000</v>
      </c>
    </row>
    <row r="10">
      <c r="A10" t="inlineStr">
        <is>
          <t>Normalized Income</t>
        </is>
      </c>
      <c r="B10" s="3" t="n">
        <v>203981000</v>
      </c>
      <c r="C10" s="3" t="n">
        <v>251603000</v>
      </c>
      <c r="D10" s="3" t="n">
        <v>162663000</v>
      </c>
      <c r="E10" s="3" t="n">
        <v>89297000</v>
      </c>
      <c r="F10" s="3" t="n">
        <v>26158000</v>
      </c>
    </row>
    <row r="11">
      <c r="A11" t="inlineStr">
        <is>
          <t>Net Income From Continuing And Discontinued Operation</t>
        </is>
      </c>
      <c r="B11" s="3" t="n">
        <v>203981000</v>
      </c>
      <c r="C11" s="3" t="n">
        <v>251603000</v>
      </c>
      <c r="D11" s="3" t="n">
        <v>162663000</v>
      </c>
      <c r="E11" s="3" t="n">
        <v>89297000</v>
      </c>
      <c r="F11" s="3" t="n">
        <v>26158000</v>
      </c>
    </row>
    <row r="12">
      <c r="A12" t="inlineStr">
        <is>
          <t>Total Expenses</t>
        </is>
      </c>
      <c r="B12" s="3" t="n">
        <v>480499000</v>
      </c>
      <c r="C12" s="3" t="n">
        <v>493779000</v>
      </c>
      <c r="D12" s="3" t="n">
        <v>446369000</v>
      </c>
      <c r="E12" s="3" t="n">
        <v>431916000</v>
      </c>
      <c r="F12" s="3" t="n">
        <v>388458000</v>
      </c>
    </row>
    <row r="13">
      <c r="A13" t="inlineStr">
        <is>
          <t>Total Operating Income As Reported</t>
        </is>
      </c>
      <c r="B13" s="3" t="n">
        <v>182912000</v>
      </c>
      <c r="C13" s="3" t="n">
        <v>231828000</v>
      </c>
      <c r="D13" s="3" t="n">
        <v>138542000</v>
      </c>
      <c r="E13" s="3" t="n">
        <v>67711000</v>
      </c>
      <c r="F13" s="3" t="n">
        <v>3903000</v>
      </c>
    </row>
    <row r="14">
      <c r="A14" t="inlineStr">
        <is>
          <t>Diluted Average Shares</t>
        </is>
      </c>
      <c r="B14" s="3" t="n">
        <v>202524173</v>
      </c>
      <c r="C14" s="3" t="n">
        <v>202932334</v>
      </c>
      <c r="D14" s="3" t="n">
        <v>202727809</v>
      </c>
      <c r="E14" s="3" t="n">
        <v>199522433</v>
      </c>
      <c r="F14" s="3" t="n">
        <v>201275223</v>
      </c>
    </row>
    <row r="15">
      <c r="A15" t="inlineStr">
        <is>
          <t>Basic Average Shares</t>
        </is>
      </c>
      <c r="B15" s="3" t="n">
        <v>191518973</v>
      </c>
      <c r="C15" s="3" t="n">
        <v>189971813</v>
      </c>
      <c r="D15" s="3" t="n">
        <v>188041632</v>
      </c>
      <c r="E15" s="3" t="n">
        <v>185437777</v>
      </c>
      <c r="F15" s="3" t="n">
        <v>182024207</v>
      </c>
    </row>
    <row r="16">
      <c r="A16" t="inlineStr">
        <is>
          <t>Diluted EPS</t>
        </is>
      </c>
      <c r="B16" s="3" t="n">
        <v>1.01</v>
      </c>
      <c r="C16" s="3" t="n">
        <v>1.24</v>
      </c>
      <c r="D16" s="3" t="n">
        <v>0.8</v>
      </c>
      <c r="E16" s="3" t="n">
        <v>0.45</v>
      </c>
      <c r="F16" s="3" t="n">
        <v>0.13</v>
      </c>
    </row>
    <row r="17">
      <c r="A17" t="inlineStr">
        <is>
          <t>Basic EPS</t>
        </is>
      </c>
      <c r="B17" s="3" t="n">
        <v>1.07</v>
      </c>
      <c r="C17" s="3" t="n">
        <v>1.32</v>
      </c>
      <c r="D17" s="3" t="n">
        <v>0.87</v>
      </c>
      <c r="E17" s="3" t="n">
        <v>0.48</v>
      </c>
      <c r="F17" s="3" t="n">
        <v>0.14</v>
      </c>
    </row>
    <row r="18">
      <c r="A18" t="inlineStr">
        <is>
          <t>Diluted NI Availto Com Stockholders</t>
        </is>
      </c>
      <c r="B18" s="3" t="n">
        <v>203981000</v>
      </c>
      <c r="C18" s="3" t="n">
        <v>251603000</v>
      </c>
      <c r="D18" s="3" t="n">
        <v>162663000</v>
      </c>
      <c r="E18" s="3" t="n">
        <v>89297000</v>
      </c>
      <c r="F18" s="3" t="n">
        <v>26158000</v>
      </c>
    </row>
    <row r="19">
      <c r="A19" t="inlineStr">
        <is>
          <t>Net Income Common Stockholders</t>
        </is>
      </c>
      <c r="B19" s="3" t="n">
        <v>203981000</v>
      </c>
      <c r="C19" s="3" t="n">
        <v>251603000</v>
      </c>
      <c r="D19" s="3" t="n">
        <v>162663000</v>
      </c>
      <c r="E19" s="3" t="n">
        <v>89297000</v>
      </c>
      <c r="F19" s="3" t="n">
        <v>26158000</v>
      </c>
    </row>
    <row r="20">
      <c r="A20" t="inlineStr">
        <is>
          <t>Net Income</t>
        </is>
      </c>
      <c r="B20" s="3" t="n">
        <v>203981000</v>
      </c>
      <c r="C20" s="3" t="n">
        <v>251603000</v>
      </c>
      <c r="D20" s="3" t="n">
        <v>162663000</v>
      </c>
      <c r="E20" s="3" t="n">
        <v>89297000</v>
      </c>
      <c r="F20" s="3" t="n">
        <v>26158000</v>
      </c>
    </row>
    <row r="21">
      <c r="A21" t="inlineStr">
        <is>
          <t>Net Income Including Noncontrolling Interests</t>
        </is>
      </c>
      <c r="B21" s="3" t="n">
        <v>203981000</v>
      </c>
      <c r="C21" s="3" t="n">
        <v>251603000</v>
      </c>
      <c r="D21" s="3" t="n">
        <v>162663000</v>
      </c>
      <c r="E21" s="3" t="n">
        <v>89297000</v>
      </c>
      <c r="F21" s="3" t="n">
        <v>26158000</v>
      </c>
    </row>
    <row r="22">
      <c r="A22" t="inlineStr">
        <is>
          <t>Net Income Continuous Operations</t>
        </is>
      </c>
      <c r="B22" s="3" t="n">
        <v>203981000</v>
      </c>
      <c r="C22" s="3" t="n">
        <v>251603000</v>
      </c>
      <c r="D22" s="3" t="n">
        <v>162663000</v>
      </c>
      <c r="E22" s="3" t="n">
        <v>89297000</v>
      </c>
      <c r="F22" s="3" t="n">
        <v>26158000</v>
      </c>
    </row>
    <row r="23">
      <c r="A23" t="inlineStr">
        <is>
          <t>Tax Provision</t>
        </is>
      </c>
      <c r="B23" s="3" t="n">
        <v>1747000</v>
      </c>
      <c r="C23" s="3" t="n">
        <v>3215000</v>
      </c>
      <c r="D23" s="3" t="n">
        <v>-2086000</v>
      </c>
      <c r="E23" s="3" t="n">
        <v>-439000</v>
      </c>
      <c r="F23" s="3" t="n">
        <v>-1721000</v>
      </c>
    </row>
    <row r="24">
      <c r="A24" t="inlineStr">
        <is>
          <t>Pretax Income</t>
        </is>
      </c>
      <c r="B24" s="3" t="n">
        <v>205728000</v>
      </c>
      <c r="C24" s="3" t="n">
        <v>254818000</v>
      </c>
      <c r="D24" s="3" t="n">
        <v>160577000</v>
      </c>
      <c r="E24" s="3" t="n">
        <v>88858000</v>
      </c>
      <c r="F24" s="3" t="n">
        <v>24437000</v>
      </c>
    </row>
    <row r="25">
      <c r="A25" t="inlineStr">
        <is>
          <t>Other Income Expense</t>
        </is>
      </c>
      <c r="B25" s="3" t="n">
        <v>22816000</v>
      </c>
      <c r="C25" s="3" t="n">
        <v>22990000</v>
      </c>
      <c r="D25" s="3" t="n">
        <v>22035000</v>
      </c>
      <c r="E25" s="3" t="n">
        <v>21147000</v>
      </c>
      <c r="F25" s="3" t="n">
        <v>20534000</v>
      </c>
    </row>
    <row r="26">
      <c r="A26" t="inlineStr">
        <is>
          <t>Other Non Operating Income Expenses</t>
        </is>
      </c>
      <c r="B26" s="3" t="n">
        <v>22816000</v>
      </c>
      <c r="C26" s="3" t="n">
        <v>22990000</v>
      </c>
      <c r="D26" s="3" t="n">
        <v>22035000</v>
      </c>
      <c r="E26" s="3" t="n">
        <v>21147000</v>
      </c>
      <c r="F26" s="3" t="n">
        <v>20534000</v>
      </c>
    </row>
    <row r="27">
      <c r="A27" t="inlineStr">
        <is>
          <t>Operating Income</t>
        </is>
      </c>
      <c r="B27" s="3" t="n">
        <v>182912000</v>
      </c>
      <c r="C27" s="3" t="n">
        <v>231828000</v>
      </c>
      <c r="D27" s="3" t="n">
        <v>138542000</v>
      </c>
      <c r="E27" s="3" t="n">
        <v>67711000</v>
      </c>
      <c r="F27" s="3" t="n">
        <v>3903000</v>
      </c>
    </row>
    <row r="28">
      <c r="A28" t="inlineStr">
        <is>
          <t>Operating Expense</t>
        </is>
      </c>
      <c r="B28" s="3" t="n">
        <v>424232000</v>
      </c>
      <c r="C28" s="3" t="n">
        <v>435061000</v>
      </c>
      <c r="D28" s="3" t="n">
        <v>393860000</v>
      </c>
      <c r="E28" s="3" t="n">
        <v>386016000</v>
      </c>
      <c r="F28" s="3" t="n">
        <v>351369000</v>
      </c>
    </row>
    <row r="29">
      <c r="A29" t="inlineStr">
        <is>
          <t>Research And Development</t>
        </is>
      </c>
      <c r="B29" s="3" t="n">
        <v>207246000</v>
      </c>
      <c r="C29" s="3" t="n">
        <v>198885000</v>
      </c>
      <c r="D29" s="3" t="n">
        <v>196379000</v>
      </c>
      <c r="E29" s="3" t="n">
        <v>196610000</v>
      </c>
      <c r="F29" s="3" t="n">
        <v>191271000</v>
      </c>
    </row>
    <row r="30">
      <c r="A30" t="inlineStr">
        <is>
          <t>Selling General And Administration</t>
        </is>
      </c>
      <c r="B30" s="3" t="n">
        <v>216986000</v>
      </c>
      <c r="C30" s="3" t="n">
        <v>236176000</v>
      </c>
      <c r="D30" s="3" t="n">
        <v>197481000</v>
      </c>
      <c r="E30" s="3" t="n">
        <v>189406000</v>
      </c>
      <c r="F30" s="3" t="n">
        <v>160098000</v>
      </c>
    </row>
    <row r="31">
      <c r="A31" t="inlineStr">
        <is>
          <t>Selling And Marketing Expense</t>
        </is>
      </c>
      <c r="B31" s="3" t="n">
        <v>151472000</v>
      </c>
      <c r="C31" s="3" t="n">
        <v>163852000</v>
      </c>
      <c r="D31" s="3" t="n">
        <v>128707000</v>
      </c>
      <c r="E31" s="3" t="n">
        <v>120619000</v>
      </c>
      <c r="F31" s="3" t="n">
        <v>90685000</v>
      </c>
    </row>
    <row r="32">
      <c r="A32" t="inlineStr">
        <is>
          <t>General And Administrative Expense</t>
        </is>
      </c>
      <c r="B32" s="3" t="n">
        <v>65514000</v>
      </c>
      <c r="C32" s="3" t="n">
        <v>72324000</v>
      </c>
      <c r="D32" s="3" t="n">
        <v>68774000</v>
      </c>
      <c r="E32" s="3" t="n">
        <v>68787000</v>
      </c>
      <c r="F32" s="3" t="n">
        <v>69413000</v>
      </c>
    </row>
    <row r="33">
      <c r="A33" t="inlineStr">
        <is>
          <t>Other Gand A</t>
        </is>
      </c>
      <c r="B33" s="3" t="n">
        <v>65514000</v>
      </c>
      <c r="C33" s="3" t="n">
        <v>72324000</v>
      </c>
      <c r="D33" s="3" t="n">
        <v>68774000</v>
      </c>
      <c r="E33" s="3" t="n">
        <v>68787000</v>
      </c>
      <c r="F33" s="3" t="n">
        <v>69413000</v>
      </c>
    </row>
    <row r="34">
      <c r="A34" t="inlineStr">
        <is>
          <t>Gross Profit</t>
        </is>
      </c>
      <c r="B34" s="3" t="n">
        <v>607144000</v>
      </c>
      <c r="C34" s="3" t="n">
        <v>666889000</v>
      </c>
      <c r="D34" s="3" t="n">
        <v>532402000</v>
      </c>
      <c r="E34" s="3" t="n">
        <v>453727000</v>
      </c>
      <c r="F34" s="3" t="n">
        <v>355272000</v>
      </c>
    </row>
    <row r="35">
      <c r="A35" t="inlineStr">
        <is>
          <t>Cost Of Revenue</t>
        </is>
      </c>
      <c r="B35" s="3" t="n">
        <v>56267000</v>
      </c>
      <c r="C35" s="3" t="n">
        <v>58718000</v>
      </c>
      <c r="D35" s="3" t="n">
        <v>52509000</v>
      </c>
      <c r="E35" s="3" t="n">
        <v>45900000</v>
      </c>
      <c r="F35" s="3" t="n">
        <v>37089000</v>
      </c>
    </row>
    <row r="36">
      <c r="A36" t="inlineStr">
        <is>
          <t>Total Revenue</t>
        </is>
      </c>
      <c r="B36" s="3" t="n">
        <v>663411000</v>
      </c>
      <c r="C36" s="3" t="n">
        <v>725607000</v>
      </c>
      <c r="D36" s="3" t="n">
        <v>584911000</v>
      </c>
      <c r="E36" s="3" t="n">
        <v>499627000</v>
      </c>
      <c r="F36" s="3" t="n">
        <v>392361000</v>
      </c>
    </row>
    <row r="37">
      <c r="A37" t="inlineStr">
        <is>
          <t>Operating Revenue</t>
        </is>
      </c>
      <c r="B37" s="3" t="n">
        <v>624670000</v>
      </c>
      <c r="C37" s="3" t="n">
        <v>689723000</v>
      </c>
      <c r="D37" s="3" t="n">
        <v>549342000</v>
      </c>
      <c r="E37" s="3" t="n">
        <v>464785000</v>
      </c>
      <c r="F37" s="3" t="n">
        <v>358630000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190892108</v>
      </c>
      <c r="C2" s="3" t="n">
        <v>180315979</v>
      </c>
      <c r="D2" s="3" t="n">
        <v>158993090</v>
      </c>
      <c r="E2" s="3" t="n">
        <v>158993090</v>
      </c>
      <c r="F2" s="3" t="n"/>
    </row>
    <row r="3">
      <c r="A3" t="inlineStr">
        <is>
          <t>Share Issued</t>
        </is>
      </c>
      <c r="B3" s="3" t="n">
        <v>190892108</v>
      </c>
      <c r="C3" s="3" t="n">
        <v>180315979</v>
      </c>
      <c r="D3" s="3" t="n">
        <v>158993090</v>
      </c>
      <c r="E3" s="3" t="n">
        <v>158993090</v>
      </c>
      <c r="F3" s="3" t="n"/>
    </row>
    <row r="4">
      <c r="A4" t="inlineStr">
        <is>
          <t>Total Debt</t>
        </is>
      </c>
      <c r="B4" s="3" t="n">
        <v>23214000</v>
      </c>
      <c r="C4" s="3" t="n">
        <v>26702000</v>
      </c>
      <c r="D4" s="3" t="n">
        <v>25747000</v>
      </c>
      <c r="E4" s="3" t="n">
        <v>19492000</v>
      </c>
      <c r="F4" s="3" t="n"/>
    </row>
    <row r="5">
      <c r="A5" t="inlineStr">
        <is>
          <t>Tangible Book Value</t>
        </is>
      </c>
      <c r="B5" s="3" t="n">
        <v>2871368000</v>
      </c>
      <c r="C5" s="3" t="n">
        <v>2063166000</v>
      </c>
      <c r="D5" s="3" t="n">
        <v>-469541000</v>
      </c>
      <c r="E5" s="3" t="n">
        <v>-446600000</v>
      </c>
      <c r="F5" s="3" t="n"/>
    </row>
    <row r="6">
      <c r="A6" t="inlineStr">
        <is>
          <t>Invested Capital</t>
        </is>
      </c>
      <c r="B6" s="3" t="n">
        <v>2929038000</v>
      </c>
      <c r="C6" s="3" t="n">
        <v>2130749000</v>
      </c>
      <c r="D6" s="3" t="n">
        <v>-412922000</v>
      </c>
      <c r="E6" s="3" t="n">
        <v>-379064000</v>
      </c>
      <c r="F6" s="3" t="n"/>
    </row>
    <row r="7">
      <c r="A7" t="inlineStr">
        <is>
          <t>Working Capital</t>
        </is>
      </c>
      <c r="B7" s="3" t="n">
        <v>2864702000</v>
      </c>
      <c r="C7" s="3" t="n">
        <v>2047377000</v>
      </c>
      <c r="D7" s="3" t="n">
        <v>1346117000</v>
      </c>
      <c r="E7" s="3" t="n">
        <v>1377470000</v>
      </c>
      <c r="F7" s="3" t="n"/>
    </row>
    <row r="8">
      <c r="A8" t="inlineStr">
        <is>
          <t>Net Tangible Assets</t>
        </is>
      </c>
      <c r="B8" s="3" t="n">
        <v>2871368000</v>
      </c>
      <c r="C8" s="3" t="n">
        <v>2063166000</v>
      </c>
      <c r="D8" s="3" t="n">
        <v>-469541000</v>
      </c>
      <c r="E8" s="3" t="n">
        <v>-446600000</v>
      </c>
      <c r="F8" s="3" t="n"/>
    </row>
    <row r="9">
      <c r="A9" t="inlineStr">
        <is>
          <t>Capital Lease Obligations</t>
        </is>
      </c>
      <c r="B9" s="3" t="n">
        <v>23214000</v>
      </c>
      <c r="C9" s="3" t="n">
        <v>26702000</v>
      </c>
      <c r="D9" s="3" t="n">
        <v>25747000</v>
      </c>
      <c r="E9" s="3" t="n">
        <v>19492000</v>
      </c>
      <c r="F9" s="3" t="n"/>
    </row>
    <row r="10">
      <c r="A10" t="inlineStr">
        <is>
          <t>Common Stock Equity</t>
        </is>
      </c>
      <c r="B10" s="3" t="n">
        <v>2929038000</v>
      </c>
      <c r="C10" s="3" t="n">
        <v>2130749000</v>
      </c>
      <c r="D10" s="3" t="n">
        <v>-412922000</v>
      </c>
      <c r="E10" s="3" t="n">
        <v>-379064000</v>
      </c>
      <c r="F10" s="3" t="n"/>
    </row>
    <row r="11">
      <c r="A11" t="inlineStr">
        <is>
          <t>Total Capitalization</t>
        </is>
      </c>
      <c r="B11" s="3" t="n">
        <v>2929038000</v>
      </c>
      <c r="C11" s="3" t="n">
        <v>2130749000</v>
      </c>
      <c r="D11" s="3" t="n">
        <v>-412922000</v>
      </c>
      <c r="E11" s="3" t="n">
        <v>-379064000</v>
      </c>
      <c r="F11" s="3" t="n"/>
    </row>
    <row r="12">
      <c r="A12" t="inlineStr">
        <is>
          <t>Total Equity Gross Minority Interest</t>
        </is>
      </c>
      <c r="B12" s="3" t="n">
        <v>2929038000</v>
      </c>
      <c r="C12" s="3" t="n">
        <v>2130749000</v>
      </c>
      <c r="D12" s="3" t="n">
        <v>-412922000</v>
      </c>
      <c r="E12" s="3" t="n">
        <v>-379064000</v>
      </c>
      <c r="F12" s="3" t="n"/>
    </row>
    <row r="13">
      <c r="A13" t="inlineStr">
        <is>
          <t>Stockholders Equity</t>
        </is>
      </c>
      <c r="B13" s="3" t="n">
        <v>2929038000</v>
      </c>
      <c r="C13" s="3" t="n">
        <v>2130749000</v>
      </c>
      <c r="D13" s="3" t="n">
        <v>-412922000</v>
      </c>
      <c r="E13" s="3" t="n">
        <v>-379064000</v>
      </c>
      <c r="F13" s="3" t="n"/>
    </row>
    <row r="14">
      <c r="A14" t="inlineStr">
        <is>
          <t>Gains Losses Not Affecting Retained Earnings</t>
        </is>
      </c>
      <c r="B14" s="3" t="n">
        <v>4364000</v>
      </c>
      <c r="C14" s="3" t="n">
        <v>24000</v>
      </c>
      <c r="D14" s="3" t="n">
        <v>814000</v>
      </c>
      <c r="E14" s="3" t="n">
        <v>-3792000</v>
      </c>
      <c r="F14" s="3" t="n"/>
    </row>
    <row r="15">
      <c r="A15" t="inlineStr">
        <is>
          <t>Other Equity Adjustments</t>
        </is>
      </c>
      <c r="B15" s="3" t="n">
        <v>4364000</v>
      </c>
      <c r="C15" s="3" t="n">
        <v>24000</v>
      </c>
      <c r="D15" s="3" t="n">
        <v>814000</v>
      </c>
      <c r="E15" s="3" t="n">
        <v>-3792000</v>
      </c>
      <c r="F15" s="3" t="n"/>
    </row>
    <row r="16">
      <c r="A16" t="inlineStr">
        <is>
          <t>Treasury Stock</t>
        </is>
      </c>
      <c r="B16" s="3" t="n"/>
      <c r="C16" s="3" t="n"/>
      <c r="D16" s="3" t="n"/>
      <c r="E16" s="3" t="n"/>
      <c r="F16" s="3" t="n">
        <v>0</v>
      </c>
    </row>
    <row r="17">
      <c r="A17" t="inlineStr">
        <is>
          <t>Retained Earnings</t>
        </is>
      </c>
      <c r="B17" s="3" t="n">
        <v>-671117000</v>
      </c>
      <c r="C17" s="3" t="n">
        <v>-1200838000</v>
      </c>
      <c r="D17" s="3" t="n">
        <v>-716562000</v>
      </c>
      <c r="E17" s="3" t="n">
        <v>-625738000</v>
      </c>
      <c r="F17" s="3" t="n"/>
    </row>
    <row r="18">
      <c r="A18" t="inlineStr">
        <is>
          <t>Additional Paid In Capital</t>
        </is>
      </c>
      <c r="B18" s="3" t="n">
        <v>3595772000</v>
      </c>
      <c r="C18" s="3" t="n">
        <v>3331546000</v>
      </c>
      <c r="D18" s="3" t="n">
        <v>302820000</v>
      </c>
      <c r="E18" s="3" t="n">
        <v>250460000</v>
      </c>
      <c r="F18" s="3" t="n"/>
    </row>
    <row r="19">
      <c r="A19" t="inlineStr">
        <is>
          <t>Capital Stock</t>
        </is>
      </c>
      <c r="B19" s="3" t="n">
        <v>19000</v>
      </c>
      <c r="C19" s="3" t="n">
        <v>17000</v>
      </c>
      <c r="D19" s="3" t="n">
        <v>6000</v>
      </c>
      <c r="E19" s="3" t="n">
        <v>6000</v>
      </c>
      <c r="F19" s="3" t="n"/>
    </row>
    <row r="20">
      <c r="A20" t="inlineStr">
        <is>
          <t>Common Stock</t>
        </is>
      </c>
      <c r="B20" s="3" t="n">
        <v>19000</v>
      </c>
      <c r="C20" s="3" t="n">
        <v>17000</v>
      </c>
      <c r="D20" s="3" t="n">
        <v>6000</v>
      </c>
      <c r="E20" s="3" t="n">
        <v>6000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/>
      <c r="F21" s="3" t="n"/>
    </row>
    <row r="22">
      <c r="A22" t="inlineStr">
        <is>
          <t>Total Liabilities Net Minority Interest</t>
        </is>
      </c>
      <c r="B22" s="3" t="n">
        <v>310135000</v>
      </c>
      <c r="C22" s="3" t="n">
        <v>205846000</v>
      </c>
      <c r="D22" s="3" t="n">
        <v>2009389000</v>
      </c>
      <c r="E22" s="3" t="n">
        <v>1978775000</v>
      </c>
      <c r="F22" s="3" t="n"/>
    </row>
    <row r="23">
      <c r="A23" t="inlineStr">
        <is>
          <t>Total Non Current Liabilities Net Minority Interest</t>
        </is>
      </c>
      <c r="B23" s="3" t="n">
        <v>38852000</v>
      </c>
      <c r="C23" s="3" t="n">
        <v>29822000</v>
      </c>
      <c r="D23" s="3" t="n">
        <v>1875819000</v>
      </c>
      <c r="E23" s="3" t="n">
        <v>1872318000</v>
      </c>
      <c r="F23" s="3" t="n"/>
    </row>
    <row r="24">
      <c r="A24" t="inlineStr">
        <is>
          <t>Other Non Current Liabilities</t>
        </is>
      </c>
      <c r="B24" s="3" t="n">
        <v>106000</v>
      </c>
      <c r="C24" s="3" t="n">
        <v>157000</v>
      </c>
      <c r="D24" s="3" t="n">
        <v>287000</v>
      </c>
      <c r="E24" s="3" t="n">
        <v>7136000</v>
      </c>
      <c r="F24" s="3" t="n"/>
    </row>
    <row r="25">
      <c r="A25" t="inlineStr">
        <is>
          <t>Preferred Securities Outside Stock Equity</t>
        </is>
      </c>
      <c r="B25" s="3" t="n"/>
      <c r="C25" s="3" t="n">
        <v>0</v>
      </c>
      <c r="D25" s="3" t="n">
        <v>1853492000</v>
      </c>
      <c r="E25" s="3" t="n">
        <v>1853492000</v>
      </c>
      <c r="F25" s="3" t="n">
        <v>1853492000</v>
      </c>
    </row>
    <row r="26">
      <c r="A26" t="inlineStr">
        <is>
          <t>Non Current Accrued Expenses</t>
        </is>
      </c>
      <c r="B26" s="3" t="n">
        <v>22555000</v>
      </c>
      <c r="C26" s="3" t="n">
        <v>9100000</v>
      </c>
      <c r="D26" s="3" t="n"/>
      <c r="E26" s="3" t="n"/>
      <c r="F26" s="3" t="n"/>
    </row>
    <row r="27">
      <c r="A27" t="inlineStr">
        <is>
          <t>Tradeand Other Payables Non Current</t>
        </is>
      </c>
      <c r="B27" s="3" t="n"/>
      <c r="C27" s="3" t="n"/>
      <c r="D27" s="3" t="n"/>
      <c r="E27" s="3" t="n"/>
      <c r="F27" s="3" t="n">
        <v>0</v>
      </c>
    </row>
    <row r="28">
      <c r="A28" t="inlineStr">
        <is>
          <t>Long Term Debt And Capital Lease Obligation</t>
        </is>
      </c>
      <c r="B28" s="3" t="n">
        <v>16191000</v>
      </c>
      <c r="C28" s="3" t="n">
        <v>20565000</v>
      </c>
      <c r="D28" s="3" t="n">
        <v>22040000</v>
      </c>
      <c r="E28" s="3" t="n">
        <v>11690000</v>
      </c>
      <c r="F28" s="3" t="n"/>
    </row>
    <row r="29">
      <c r="A29" t="inlineStr">
        <is>
          <t>Long Term Capital Lease Obligation</t>
        </is>
      </c>
      <c r="B29" s="3" t="n">
        <v>16191000</v>
      </c>
      <c r="C29" s="3" t="n">
        <v>20565000</v>
      </c>
      <c r="D29" s="3" t="n">
        <v>22040000</v>
      </c>
      <c r="E29" s="3" t="n">
        <v>11690000</v>
      </c>
      <c r="F29" s="3" t="n"/>
    </row>
    <row r="30">
      <c r="A30" t="inlineStr">
        <is>
          <t>Current Liabilities</t>
        </is>
      </c>
      <c r="B30" s="3" t="n">
        <v>271283000</v>
      </c>
      <c r="C30" s="3" t="n">
        <v>176024000</v>
      </c>
      <c r="D30" s="3" t="n">
        <v>133570000</v>
      </c>
      <c r="E30" s="3" t="n">
        <v>106457000</v>
      </c>
      <c r="F30" s="3" t="n"/>
    </row>
    <row r="31">
      <c r="A31" t="inlineStr">
        <is>
          <t>Other Current Liabilities</t>
        </is>
      </c>
      <c r="B31" s="3" t="n">
        <v>16358000</v>
      </c>
      <c r="C31" s="3" t="n">
        <v>7462000</v>
      </c>
      <c r="D31" s="3" t="n">
        <v>8846000</v>
      </c>
      <c r="E31" s="3" t="n">
        <v>5260000</v>
      </c>
      <c r="F31" s="3" t="n"/>
    </row>
    <row r="32">
      <c r="A32" t="inlineStr">
        <is>
          <t>Current Deferred Liabilities</t>
        </is>
      </c>
      <c r="B32" s="3" t="n">
        <v>18039000</v>
      </c>
      <c r="C32" s="3" t="n">
        <v>14805000</v>
      </c>
      <c r="D32" s="3" t="n">
        <v>7250000</v>
      </c>
      <c r="E32" s="3" t="n">
        <v>8020000</v>
      </c>
      <c r="F32" s="3" t="n"/>
    </row>
    <row r="33">
      <c r="A33" t="inlineStr">
        <is>
          <t>Current Deferred Revenue</t>
        </is>
      </c>
      <c r="B33" s="3" t="n">
        <v>18039000</v>
      </c>
      <c r="C33" s="3" t="n">
        <v>14805000</v>
      </c>
      <c r="D33" s="3" t="n">
        <v>7250000</v>
      </c>
      <c r="E33" s="3" t="n">
        <v>8020000</v>
      </c>
      <c r="F33" s="3" t="n"/>
    </row>
    <row r="34">
      <c r="A34" t="inlineStr">
        <is>
          <t>Current Debt And Capital Lease Obligation</t>
        </is>
      </c>
      <c r="B34" s="3" t="n">
        <v>7023000</v>
      </c>
      <c r="C34" s="3" t="n">
        <v>6137000</v>
      </c>
      <c r="D34" s="3" t="n">
        <v>3707000</v>
      </c>
      <c r="E34" s="3" t="n">
        <v>7802000</v>
      </c>
      <c r="F34" s="3" t="n"/>
    </row>
    <row r="35">
      <c r="A35" t="inlineStr">
        <is>
          <t>Current Capital Lease Obligation</t>
        </is>
      </c>
      <c r="B35" s="3" t="n">
        <v>7023000</v>
      </c>
      <c r="C35" s="3" t="n">
        <v>6137000</v>
      </c>
      <c r="D35" s="3" t="n">
        <v>3707000</v>
      </c>
      <c r="E35" s="3" t="n">
        <v>7802000</v>
      </c>
      <c r="F35" s="3" t="n"/>
    </row>
    <row r="36">
      <c r="A36" t="inlineStr">
        <is>
          <t>Pensionand Other Post Retirement Benefit Plans Current</t>
        </is>
      </c>
      <c r="B36" s="3" t="n">
        <v>74750000</v>
      </c>
      <c r="C36" s="3" t="n">
        <v>63441000</v>
      </c>
      <c r="D36" s="3" t="n">
        <v>37964000</v>
      </c>
      <c r="E36" s="3" t="n">
        <v>31418000</v>
      </c>
      <c r="F36" s="3" t="n"/>
    </row>
    <row r="37">
      <c r="A37" t="inlineStr">
        <is>
          <t>Payables And Accrued Expenses</t>
        </is>
      </c>
      <c r="B37" s="3" t="n">
        <v>155113000</v>
      </c>
      <c r="C37" s="3" t="n">
        <v>84179000</v>
      </c>
      <c r="D37" s="3" t="n">
        <v>75803000</v>
      </c>
      <c r="E37" s="3" t="n">
        <v>53957000</v>
      </c>
      <c r="F37" s="3" t="n"/>
    </row>
    <row r="38">
      <c r="A38" t="inlineStr">
        <is>
          <t>Current Accrued Expenses</t>
        </is>
      </c>
      <c r="B38" s="3" t="n">
        <v>86200000</v>
      </c>
      <c r="C38" s="3" t="n">
        <v>31817000</v>
      </c>
      <c r="D38" s="3" t="n">
        <v>26740000</v>
      </c>
      <c r="E38" s="3" t="n">
        <v>21013000</v>
      </c>
      <c r="F38" s="3" t="n"/>
    </row>
    <row r="39">
      <c r="A39" t="inlineStr">
        <is>
          <t>Payables</t>
        </is>
      </c>
      <c r="B39" s="3" t="n">
        <v>68913000</v>
      </c>
      <c r="C39" s="3" t="n">
        <v>52362000</v>
      </c>
      <c r="D39" s="3" t="n">
        <v>49063000</v>
      </c>
      <c r="E39" s="3" t="n">
        <v>32944000</v>
      </c>
      <c r="F39" s="3" t="n"/>
    </row>
    <row r="40">
      <c r="A40" t="inlineStr">
        <is>
          <t>Other Payable</t>
        </is>
      </c>
      <c r="B40" s="3" t="n">
        <v>5984000</v>
      </c>
      <c r="C40" s="3" t="n">
        <v>6939000</v>
      </c>
      <c r="D40" s="3" t="n">
        <v>2549000</v>
      </c>
      <c r="E40" s="3" t="n"/>
      <c r="F40" s="3" t="n"/>
    </row>
    <row r="41">
      <c r="A41" t="inlineStr">
        <is>
          <t>Accounts Payable</t>
        </is>
      </c>
      <c r="B41" s="3" t="n">
        <v>62929000</v>
      </c>
      <c r="C41" s="3" t="n">
        <v>45423000</v>
      </c>
      <c r="D41" s="3" t="n">
        <v>46514000</v>
      </c>
      <c r="E41" s="3" t="n">
        <v>32944000</v>
      </c>
      <c r="F41" s="3" t="n"/>
    </row>
    <row r="42">
      <c r="A42" t="inlineStr">
        <is>
          <t>Total Assets</t>
        </is>
      </c>
      <c r="B42" s="3" t="n">
        <v>3239173000</v>
      </c>
      <c r="C42" s="3" t="n">
        <v>2336595000</v>
      </c>
      <c r="D42" s="3" t="n">
        <v>1596467000</v>
      </c>
      <c r="E42" s="3" t="n">
        <v>1599711000</v>
      </c>
      <c r="F42" s="3" t="n"/>
    </row>
    <row r="43">
      <c r="A43" t="inlineStr">
        <is>
          <t>Total Non Current Assets</t>
        </is>
      </c>
      <c r="B43" s="3" t="n">
        <v>103163000</v>
      </c>
      <c r="C43" s="3" t="n">
        <v>113179000</v>
      </c>
      <c r="D43" s="3" t="n">
        <v>114953000</v>
      </c>
      <c r="E43" s="3" t="n">
        <v>115784000</v>
      </c>
      <c r="F43" s="3" t="n"/>
    </row>
    <row r="44">
      <c r="A44" t="inlineStr">
        <is>
          <t>Other Non Current Assets</t>
        </is>
      </c>
      <c r="B44" s="3" t="n">
        <v>11995000</v>
      </c>
      <c r="C44" s="3" t="n">
        <v>9695000</v>
      </c>
      <c r="D44" s="3" t="n">
        <v>19380000</v>
      </c>
      <c r="E44" s="3" t="n">
        <v>2013000</v>
      </c>
      <c r="F44" s="3" t="n"/>
    </row>
    <row r="45">
      <c r="A45" t="inlineStr">
        <is>
          <t>Non Current Prepaid Assets</t>
        </is>
      </c>
      <c r="B45" s="3" t="n"/>
      <c r="C45" s="3" t="n"/>
      <c r="D45" s="3" t="n">
        <v>962000</v>
      </c>
      <c r="E45" s="3" t="n">
        <v>1329000</v>
      </c>
      <c r="F45" s="3" t="n">
        <v>659000</v>
      </c>
    </row>
    <row r="46">
      <c r="A46" t="inlineStr">
        <is>
          <t>Non Current Deferred Assets</t>
        </is>
      </c>
      <c r="B46" s="3" t="n"/>
      <c r="C46" s="3" t="n"/>
      <c r="D46" s="3" t="n">
        <v>16484000</v>
      </c>
      <c r="E46" s="3" t="n">
        <v>14362000</v>
      </c>
      <c r="F46" s="3" t="n">
        <v>6252000</v>
      </c>
    </row>
    <row r="47">
      <c r="A47" t="inlineStr">
        <is>
          <t>Investments And Advances</t>
        </is>
      </c>
      <c r="B47" s="3" t="n"/>
      <c r="C47" s="3" t="n"/>
      <c r="D47" s="3" t="n"/>
      <c r="E47" s="3" t="n"/>
      <c r="F47" s="3" t="n">
        <v>0</v>
      </c>
    </row>
    <row r="48">
      <c r="A48" t="inlineStr">
        <is>
          <t>Investmentin Financial Assets</t>
        </is>
      </c>
      <c r="B48" s="3" t="n"/>
      <c r="C48" s="3" t="n"/>
      <c r="D48" s="3" t="n"/>
      <c r="E48" s="3" t="n"/>
      <c r="F48" s="3" t="n">
        <v>0</v>
      </c>
    </row>
    <row r="49">
      <c r="A49" t="inlineStr">
        <is>
          <t>Held To Maturity Securities</t>
        </is>
      </c>
      <c r="B49" s="3" t="n"/>
      <c r="C49" s="3" t="n"/>
      <c r="D49" s="3" t="n"/>
      <c r="E49" s="3" t="n"/>
      <c r="F49" s="3" t="n">
        <v>0</v>
      </c>
    </row>
    <row r="50">
      <c r="A50" t="inlineStr">
        <is>
          <t>Goodwill And Other Intangible Assets</t>
        </is>
      </c>
      <c r="B50" s="3" t="n">
        <v>57670000</v>
      </c>
      <c r="C50" s="3" t="n">
        <v>67583000</v>
      </c>
      <c r="D50" s="3" t="n">
        <v>56619000</v>
      </c>
      <c r="E50" s="3" t="n">
        <v>67536000</v>
      </c>
      <c r="F50" s="3" t="n"/>
    </row>
    <row r="51">
      <c r="A51" t="inlineStr">
        <is>
          <t>Other Intangible Assets</t>
        </is>
      </c>
      <c r="B51" s="3" t="n">
        <v>15496000</v>
      </c>
      <c r="C51" s="3" t="n">
        <v>25409000</v>
      </c>
      <c r="D51" s="3" t="n">
        <v>30320000</v>
      </c>
      <c r="E51" s="3" t="n">
        <v>41237000</v>
      </c>
      <c r="F51" s="3" t="n"/>
    </row>
    <row r="52">
      <c r="A52" t="inlineStr">
        <is>
          <t>Goodwill</t>
        </is>
      </c>
      <c r="B52" s="3" t="n">
        <v>42174000</v>
      </c>
      <c r="C52" s="3" t="n">
        <v>42174000</v>
      </c>
      <c r="D52" s="3" t="n">
        <v>26299000</v>
      </c>
      <c r="E52" s="3" t="n">
        <v>26299000</v>
      </c>
      <c r="F52" s="3" t="n"/>
    </row>
    <row r="53">
      <c r="A53" t="inlineStr">
        <is>
          <t>Net PPE</t>
        </is>
      </c>
      <c r="B53" s="3" t="n">
        <v>33498000</v>
      </c>
      <c r="C53" s="3" t="n">
        <v>35901000</v>
      </c>
      <c r="D53" s="3" t="n">
        <v>38954000</v>
      </c>
      <c r="E53" s="3" t="n">
        <v>30544000</v>
      </c>
      <c r="F53" s="3" t="n"/>
    </row>
    <row r="54">
      <c r="A54" t="inlineStr">
        <is>
          <t>Accumulated Depreciation</t>
        </is>
      </c>
      <c r="B54" s="3" t="n">
        <v>-16265000</v>
      </c>
      <c r="C54" s="3" t="n">
        <v>-11197000</v>
      </c>
      <c r="D54" s="3" t="n">
        <v>-6787000</v>
      </c>
      <c r="E54" s="3" t="n">
        <v>-6381000</v>
      </c>
      <c r="F54" s="3" t="n"/>
    </row>
    <row r="55">
      <c r="A55" t="inlineStr">
        <is>
          <t>Gross PPE</t>
        </is>
      </c>
      <c r="B55" s="3" t="n">
        <v>49763000</v>
      </c>
      <c r="C55" s="3" t="n">
        <v>47098000</v>
      </c>
      <c r="D55" s="3" t="n">
        <v>45741000</v>
      </c>
      <c r="E55" s="3" t="n">
        <v>36925000</v>
      </c>
      <c r="F55" s="3" t="n"/>
    </row>
    <row r="56">
      <c r="A56" t="inlineStr">
        <is>
          <t>Leases</t>
        </is>
      </c>
      <c r="B56" s="3" t="n">
        <v>9361000</v>
      </c>
      <c r="C56" s="3" t="n">
        <v>8017000</v>
      </c>
      <c r="D56" s="3" t="n">
        <v>7597000</v>
      </c>
      <c r="E56" s="3" t="n">
        <v>3908000</v>
      </c>
      <c r="F56" s="3" t="n"/>
    </row>
    <row r="57">
      <c r="A57" t="inlineStr">
        <is>
          <t>Construction In Progress</t>
        </is>
      </c>
      <c r="B57" s="3" t="n"/>
      <c r="C57" s="3" t="n"/>
      <c r="D57" s="3" t="n">
        <v>0</v>
      </c>
      <c r="E57" s="3" t="n">
        <v>83000</v>
      </c>
      <c r="F57" s="3" t="n">
        <v>378000</v>
      </c>
    </row>
    <row r="58">
      <c r="A58" t="inlineStr">
        <is>
          <t>Other Properties</t>
        </is>
      </c>
      <c r="B58" s="3" t="n">
        <v>20788000</v>
      </c>
      <c r="C58" s="3" t="n">
        <v>23249000</v>
      </c>
      <c r="D58" s="3" t="n">
        <v>24008000</v>
      </c>
      <c r="E58" s="3" t="n">
        <v>23352000</v>
      </c>
      <c r="F58" s="3" t="n"/>
    </row>
    <row r="59">
      <c r="A59" t="inlineStr">
        <is>
          <t>Machinery Furniture Equipment</t>
        </is>
      </c>
      <c r="B59" s="3" t="n">
        <v>19614000</v>
      </c>
      <c r="C59" s="3" t="n">
        <v>15832000</v>
      </c>
      <c r="D59" s="3" t="n">
        <v>14136000</v>
      </c>
      <c r="E59" s="3" t="n">
        <v>9582000</v>
      </c>
      <c r="F59" s="3" t="n"/>
    </row>
    <row r="60">
      <c r="A60" t="inlineStr">
        <is>
          <t>Properties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/>
    </row>
    <row r="61">
      <c r="A61" t="inlineStr">
        <is>
          <t>Current Assets</t>
        </is>
      </c>
      <c r="B61" s="3" t="n">
        <v>3135985000</v>
      </c>
      <c r="C61" s="3" t="n">
        <v>2223401000</v>
      </c>
      <c r="D61" s="3" t="n">
        <v>1479687000</v>
      </c>
      <c r="E61" s="3" t="n">
        <v>1483927000</v>
      </c>
      <c r="F61" s="3" t="n"/>
    </row>
    <row r="62">
      <c r="A62" t="inlineStr">
        <is>
          <t>Other Current Assets</t>
        </is>
      </c>
      <c r="B62" s="3" t="n">
        <v>69012000</v>
      </c>
      <c r="C62" s="3" t="n">
        <v>33058000</v>
      </c>
      <c r="D62" s="3" t="n">
        <v>1590000</v>
      </c>
      <c r="E62" s="3" t="n">
        <v>1249000</v>
      </c>
      <c r="F62" s="3" t="n"/>
    </row>
    <row r="63">
      <c r="A63" t="inlineStr">
        <is>
          <t>Prepaid Assets</t>
        </is>
      </c>
      <c r="B63" s="3" t="n"/>
      <c r="C63" s="3" t="n">
        <v>14583000</v>
      </c>
      <c r="D63" s="3" t="n">
        <v>11930000</v>
      </c>
      <c r="E63" s="3" t="n">
        <v>17053000</v>
      </c>
      <c r="F63" s="3" t="n">
        <v>24658000</v>
      </c>
    </row>
    <row r="64">
      <c r="A64" t="inlineStr">
        <is>
          <t>Receivables</t>
        </is>
      </c>
      <c r="B64" s="3" t="n">
        <v>590162000</v>
      </c>
      <c r="C64" s="3" t="n">
        <v>349534000</v>
      </c>
      <c r="D64" s="3" t="n">
        <v>253045000</v>
      </c>
      <c r="E64" s="3" t="n">
        <v>199081000</v>
      </c>
      <c r="F64" s="3" t="n"/>
    </row>
    <row r="65">
      <c r="A65" t="inlineStr">
        <is>
          <t>Other Receivables</t>
        </is>
      </c>
      <c r="B65" s="3" t="n"/>
      <c r="C65" s="3" t="n">
        <v>11500000</v>
      </c>
      <c r="D65" s="3" t="n">
        <v>4695000</v>
      </c>
      <c r="E65" s="3" t="n">
        <v>4275000</v>
      </c>
      <c r="F65" s="3" t="n">
        <v>464000</v>
      </c>
    </row>
    <row r="66">
      <c r="A66" t="inlineStr">
        <is>
          <t>Accrued Interest Receivable</t>
        </is>
      </c>
      <c r="B66" s="3" t="n"/>
      <c r="C66" s="3" t="n">
        <v>4695000</v>
      </c>
      <c r="D66" s="3" t="n">
        <v>3071000</v>
      </c>
      <c r="E66" s="3" t="n">
        <v>2819000</v>
      </c>
      <c r="F66" s="3" t="n">
        <v>308000</v>
      </c>
    </row>
    <row r="67">
      <c r="A67" t="inlineStr">
        <is>
          <t>Accounts Receivable</t>
        </is>
      </c>
      <c r="B67" s="3" t="n">
        <v>590162000</v>
      </c>
      <c r="C67" s="3" t="n">
        <v>349534000</v>
      </c>
      <c r="D67" s="3" t="n">
        <v>245279000</v>
      </c>
      <c r="E67" s="3" t="n">
        <v>191987000</v>
      </c>
      <c r="F67" s="3" t="n"/>
    </row>
    <row r="68">
      <c r="A68" t="inlineStr">
        <is>
          <t>Cash Cash Equivalents And Short Term Investments</t>
        </is>
      </c>
      <c r="B68" s="3" t="n">
        <v>2476811000</v>
      </c>
      <c r="C68" s="3" t="n">
        <v>1840809000</v>
      </c>
      <c r="D68" s="3" t="n">
        <v>1213122000</v>
      </c>
      <c r="E68" s="3" t="n">
        <v>1266544000</v>
      </c>
      <c r="F68" s="3" t="n"/>
    </row>
    <row r="69">
      <c r="A69" t="inlineStr">
        <is>
          <t>Other Short Term Investments</t>
        </is>
      </c>
      <c r="B69" s="3" t="n">
        <v>1523242000</v>
      </c>
      <c r="C69" s="3" t="n">
        <v>1278717000</v>
      </c>
      <c r="D69" s="3" t="n">
        <v>811946000</v>
      </c>
      <c r="E69" s="3" t="n">
        <v>830734000</v>
      </c>
      <c r="F69" s="3" t="n"/>
    </row>
    <row r="70">
      <c r="A70" t="inlineStr">
        <is>
          <t>Cash And Cash Equivalents</t>
        </is>
      </c>
      <c r="B70" s="3" t="n">
        <v>953569000</v>
      </c>
      <c r="C70" s="3" t="n">
        <v>562092000</v>
      </c>
      <c r="D70" s="3" t="n">
        <v>401176000</v>
      </c>
      <c r="E70" s="3" t="n">
        <v>435810000</v>
      </c>
      <c r="F7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192411314</v>
      </c>
      <c r="C2" s="3" t="n">
        <v>190892108</v>
      </c>
      <c r="D2" s="3" t="n">
        <v>189381604</v>
      </c>
      <c r="E2" s="3" t="n">
        <v>187074655</v>
      </c>
      <c r="F2" s="3" t="n">
        <v>184267286</v>
      </c>
      <c r="G2" s="3" t="n"/>
      <c r="H2" s="3" t="n"/>
    </row>
    <row r="3">
      <c r="A3" t="inlineStr">
        <is>
          <t>Share Issued</t>
        </is>
      </c>
      <c r="B3" s="3" t="n">
        <v>192411314</v>
      </c>
      <c r="C3" s="3" t="n">
        <v>190892108</v>
      </c>
      <c r="D3" s="3" t="n">
        <v>189381604</v>
      </c>
      <c r="E3" s="3" t="n">
        <v>187074655</v>
      </c>
      <c r="F3" s="3" t="n">
        <v>184267286</v>
      </c>
      <c r="G3" s="3" t="n"/>
      <c r="H3" s="3" t="n"/>
    </row>
    <row r="4">
      <c r="A4" t="inlineStr">
        <is>
          <t>Total Debt</t>
        </is>
      </c>
      <c r="B4" s="3" t="n">
        <v>21288000</v>
      </c>
      <c r="C4" s="3" t="n">
        <v>23214000</v>
      </c>
      <c r="D4" s="3" t="n">
        <v>25034000</v>
      </c>
      <c r="E4" s="3" t="n">
        <v>25183000</v>
      </c>
      <c r="F4" s="3" t="n">
        <v>26550000</v>
      </c>
      <c r="G4" s="3" t="n"/>
      <c r="H4" s="3" t="n"/>
    </row>
    <row r="5">
      <c r="A5" t="inlineStr">
        <is>
          <t>Tangible Book Value</t>
        </is>
      </c>
      <c r="B5" s="3" t="n">
        <v>3124524000</v>
      </c>
      <c r="C5" s="3" t="n">
        <v>2871368000</v>
      </c>
      <c r="D5" s="3" t="n">
        <v>2550489000</v>
      </c>
      <c r="E5" s="3" t="n">
        <v>2324337000</v>
      </c>
      <c r="F5" s="3" t="n">
        <v>2152004000</v>
      </c>
      <c r="G5" s="3" t="n"/>
      <c r="H5" s="3" t="n"/>
    </row>
    <row r="6">
      <c r="A6" t="inlineStr">
        <is>
          <t>Invested Capital</t>
        </is>
      </c>
      <c r="B6" s="3" t="n">
        <v>3179716000</v>
      </c>
      <c r="C6" s="3" t="n">
        <v>2929038000</v>
      </c>
      <c r="D6" s="3" t="n">
        <v>2610663000</v>
      </c>
      <c r="E6" s="3" t="n">
        <v>2386980000</v>
      </c>
      <c r="F6" s="3" t="n">
        <v>2217121000</v>
      </c>
      <c r="G6" s="3" t="n"/>
      <c r="H6" s="3" t="n"/>
    </row>
    <row r="7">
      <c r="A7" t="inlineStr">
        <is>
          <t>Working Capital</t>
        </is>
      </c>
      <c r="B7" s="3" t="n">
        <v>3120051000</v>
      </c>
      <c r="C7" s="3" t="n">
        <v>2864702000</v>
      </c>
      <c r="D7" s="3" t="n">
        <v>2541254000</v>
      </c>
      <c r="E7" s="3" t="n">
        <v>2319099000</v>
      </c>
      <c r="F7" s="3" t="n">
        <v>2141849000</v>
      </c>
      <c r="G7" s="3" t="n"/>
      <c r="H7" s="3" t="n"/>
    </row>
    <row r="8">
      <c r="A8" t="inlineStr">
        <is>
          <t>Net Tangible Assets</t>
        </is>
      </c>
      <c r="B8" s="3" t="n">
        <v>3124524000</v>
      </c>
      <c r="C8" s="3" t="n">
        <v>2871368000</v>
      </c>
      <c r="D8" s="3" t="n">
        <v>2550489000</v>
      </c>
      <c r="E8" s="3" t="n">
        <v>2324337000</v>
      </c>
      <c r="F8" s="3" t="n">
        <v>2152004000</v>
      </c>
      <c r="G8" s="3" t="n"/>
      <c r="H8" s="3" t="n"/>
    </row>
    <row r="9">
      <c r="A9" t="inlineStr">
        <is>
          <t>Capital Lease Obligations</t>
        </is>
      </c>
      <c r="B9" s="3" t="n">
        <v>21288000</v>
      </c>
      <c r="C9" s="3" t="n">
        <v>23214000</v>
      </c>
      <c r="D9" s="3" t="n">
        <v>25034000</v>
      </c>
      <c r="E9" s="3" t="n">
        <v>25183000</v>
      </c>
      <c r="F9" s="3" t="n">
        <v>26550000</v>
      </c>
      <c r="G9" s="3" t="n"/>
      <c r="H9" s="3" t="n"/>
    </row>
    <row r="10">
      <c r="A10" t="inlineStr">
        <is>
          <t>Common Stock Equity</t>
        </is>
      </c>
      <c r="B10" s="3" t="n">
        <v>3179716000</v>
      </c>
      <c r="C10" s="3" t="n">
        <v>2929038000</v>
      </c>
      <c r="D10" s="3" t="n">
        <v>2610663000</v>
      </c>
      <c r="E10" s="3" t="n">
        <v>2386980000</v>
      </c>
      <c r="F10" s="3" t="n">
        <v>2217121000</v>
      </c>
      <c r="G10" s="3" t="n"/>
      <c r="H10" s="3" t="n"/>
    </row>
    <row r="11">
      <c r="A11" t="inlineStr">
        <is>
          <t>Total Capitalization</t>
        </is>
      </c>
      <c r="B11" s="3" t="n">
        <v>3179716000</v>
      </c>
      <c r="C11" s="3" t="n">
        <v>2929038000</v>
      </c>
      <c r="D11" s="3" t="n">
        <v>2610663000</v>
      </c>
      <c r="E11" s="3" t="n">
        <v>2386980000</v>
      </c>
      <c r="F11" s="3" t="n">
        <v>2217121000</v>
      </c>
      <c r="G11" s="3" t="n"/>
      <c r="H11" s="3" t="n"/>
    </row>
    <row r="12">
      <c r="A12" t="inlineStr">
        <is>
          <t>Total Equity Gross Minority Interest</t>
        </is>
      </c>
      <c r="B12" s="3" t="n">
        <v>3179716000</v>
      </c>
      <c r="C12" s="3" t="n">
        <v>2929038000</v>
      </c>
      <c r="D12" s="3" t="n">
        <v>2610663000</v>
      </c>
      <c r="E12" s="3" t="n">
        <v>2386980000</v>
      </c>
      <c r="F12" s="3" t="n">
        <v>2217121000</v>
      </c>
      <c r="G12" s="3" t="n"/>
      <c r="H12" s="3" t="n"/>
    </row>
    <row r="13">
      <c r="A13" t="inlineStr">
        <is>
          <t>Stockholders Equity</t>
        </is>
      </c>
      <c r="B13" s="3" t="n">
        <v>3179716000</v>
      </c>
      <c r="C13" s="3" t="n">
        <v>2929038000</v>
      </c>
      <c r="D13" s="3" t="n">
        <v>2610663000</v>
      </c>
      <c r="E13" s="3" t="n">
        <v>2386980000</v>
      </c>
      <c r="F13" s="3" t="n">
        <v>2217121000</v>
      </c>
      <c r="G13" s="3" t="n"/>
      <c r="H13" s="3" t="n"/>
    </row>
    <row r="14">
      <c r="A14" t="inlineStr">
        <is>
          <t>Gains Losses Not Affecting Retained Earnings</t>
        </is>
      </c>
      <c r="B14" s="3" t="n">
        <v>-979000</v>
      </c>
      <c r="C14" s="3" t="n">
        <v>4364000</v>
      </c>
      <c r="D14" s="3" t="n">
        <v>3812000</v>
      </c>
      <c r="E14" s="3" t="n">
        <v>3727000</v>
      </c>
      <c r="F14" s="3" t="n">
        <v>1314000</v>
      </c>
      <c r="G14" s="3" t="n"/>
      <c r="H14" s="3" t="n"/>
    </row>
    <row r="15">
      <c r="A15" t="inlineStr">
        <is>
          <t>Other Equity Adjustments</t>
        </is>
      </c>
      <c r="B15" s="3" t="n">
        <v>-979000</v>
      </c>
      <c r="C15" s="3" t="n">
        <v>4364000</v>
      </c>
      <c r="D15" s="3" t="n">
        <v>3812000</v>
      </c>
      <c r="E15" s="3" t="n">
        <v>3727000</v>
      </c>
      <c r="F15" s="3" t="n">
        <v>1314000</v>
      </c>
      <c r="G15" s="3" t="n"/>
      <c r="H15" s="3" t="n"/>
    </row>
    <row r="16">
      <c r="A16" t="inlineStr">
        <is>
          <t>Retained Earnings</t>
        </is>
      </c>
      <c r="B16" s="3" t="n">
        <v>-467136000</v>
      </c>
      <c r="C16" s="3" t="n">
        <v>-671117000</v>
      </c>
      <c r="D16" s="3" t="n">
        <v>-922720000</v>
      </c>
      <c r="E16" s="3" t="n">
        <v>-1085383000</v>
      </c>
      <c r="F16" s="3" t="n">
        <v>-1174680000</v>
      </c>
      <c r="G16" s="3" t="n"/>
      <c r="H16" s="3" t="n"/>
    </row>
    <row r="17">
      <c r="A17" t="inlineStr">
        <is>
          <t>Additional Paid In Capital</t>
        </is>
      </c>
      <c r="B17" s="3" t="n">
        <v>3647812000</v>
      </c>
      <c r="C17" s="3" t="n">
        <v>3595772000</v>
      </c>
      <c r="D17" s="3" t="n">
        <v>3529552000</v>
      </c>
      <c r="E17" s="3" t="n">
        <v>3468618000</v>
      </c>
      <c r="F17" s="3" t="n">
        <v>3390469000</v>
      </c>
      <c r="G17" s="3" t="n"/>
      <c r="H17" s="3" t="n"/>
    </row>
    <row r="18">
      <c r="A18" t="inlineStr">
        <is>
          <t>Capital Stock</t>
        </is>
      </c>
      <c r="B18" s="3" t="n">
        <v>19000</v>
      </c>
      <c r="C18" s="3" t="n">
        <v>19000</v>
      </c>
      <c r="D18" s="3" t="n">
        <v>19000</v>
      </c>
      <c r="E18" s="3" t="n">
        <v>18000</v>
      </c>
      <c r="F18" s="3" t="n">
        <v>18000</v>
      </c>
      <c r="G18" s="3" t="n"/>
      <c r="H18" s="3" t="n"/>
    </row>
    <row r="19">
      <c r="A19" t="inlineStr">
        <is>
          <t>Common Stock</t>
        </is>
      </c>
      <c r="B19" s="3" t="n">
        <v>19000</v>
      </c>
      <c r="C19" s="3" t="n">
        <v>19000</v>
      </c>
      <c r="D19" s="3" t="n">
        <v>19000</v>
      </c>
      <c r="E19" s="3" t="n">
        <v>18000</v>
      </c>
      <c r="F19" s="3" t="n">
        <v>18000</v>
      </c>
      <c r="G19" s="3" t="n"/>
      <c r="H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  <c r="H20" s="3" t="n"/>
    </row>
    <row r="21">
      <c r="A21" t="inlineStr">
        <is>
          <t>Total Liabilities Net Minority Interest</t>
        </is>
      </c>
      <c r="B21" s="3" t="n">
        <v>304567000</v>
      </c>
      <c r="C21" s="3" t="n">
        <v>310135000</v>
      </c>
      <c r="D21" s="3" t="n">
        <v>265713000</v>
      </c>
      <c r="E21" s="3" t="n">
        <v>245222000</v>
      </c>
      <c r="F21" s="3" t="n">
        <v>219903000</v>
      </c>
      <c r="G21" s="3" t="n"/>
      <c r="H21" s="3" t="n"/>
    </row>
    <row r="22">
      <c r="A22" t="inlineStr">
        <is>
          <t>Total Non Current Liabilities Net Minority Interest</t>
        </is>
      </c>
      <c r="B22" s="3" t="n">
        <v>38684000</v>
      </c>
      <c r="C22" s="3" t="n">
        <v>38852000</v>
      </c>
      <c r="D22" s="3" t="n">
        <v>37388000</v>
      </c>
      <c r="E22" s="3" t="n">
        <v>34391000</v>
      </c>
      <c r="F22" s="3" t="n">
        <v>33082000</v>
      </c>
      <c r="G22" s="3" t="n"/>
      <c r="H22" s="3" t="n"/>
    </row>
    <row r="23">
      <c r="A23" t="inlineStr">
        <is>
          <t>Other Non Current Liabilities</t>
        </is>
      </c>
      <c r="B23" s="3" t="n">
        <v>84000</v>
      </c>
      <c r="C23" s="3" t="n">
        <v>106000</v>
      </c>
      <c r="D23" s="3" t="n">
        <v>133000</v>
      </c>
      <c r="E23" s="3" t="n">
        <v>15780000</v>
      </c>
      <c r="F23" s="3" t="n">
        <v>12908000</v>
      </c>
      <c r="G23" s="3" t="n"/>
      <c r="H23" s="3" t="n"/>
    </row>
    <row r="24">
      <c r="A24" t="inlineStr">
        <is>
          <t>Preferred Securities Outside Stock Equity</t>
        </is>
      </c>
      <c r="B24" s="3" t="n"/>
      <c r="C24" s="3" t="n"/>
      <c r="D24" s="3" t="n"/>
      <c r="E24" s="3" t="n"/>
      <c r="F24" s="3" t="n"/>
      <c r="G24" s="3" t="n">
        <v>0</v>
      </c>
      <c r="H24" s="3" t="n">
        <v>0</v>
      </c>
    </row>
    <row r="25">
      <c r="A25" t="inlineStr">
        <is>
          <t>Non Current Accrued Expenses</t>
        </is>
      </c>
      <c r="B25" s="3" t="n">
        <v>24482000</v>
      </c>
      <c r="C25" s="3" t="n">
        <v>22555000</v>
      </c>
      <c r="D25" s="3" t="n">
        <v>19093000</v>
      </c>
      <c r="E25" s="3" t="n"/>
      <c r="F25" s="3" t="n"/>
      <c r="G25" s="3" t="n">
        <v>9100000</v>
      </c>
      <c r="H25" s="3" t="n"/>
    </row>
    <row r="26">
      <c r="A26" t="inlineStr">
        <is>
          <t>Long Term Debt And Capital Lease Obligation</t>
        </is>
      </c>
      <c r="B26" s="3" t="n">
        <v>14118000</v>
      </c>
      <c r="C26" s="3" t="n">
        <v>16191000</v>
      </c>
      <c r="D26" s="3" t="n">
        <v>18162000</v>
      </c>
      <c r="E26" s="3" t="n">
        <v>18611000</v>
      </c>
      <c r="F26" s="3" t="n">
        <v>20174000</v>
      </c>
      <c r="G26" s="3" t="n"/>
      <c r="H26" s="3" t="n"/>
    </row>
    <row r="27">
      <c r="A27" t="inlineStr">
        <is>
          <t>Long Term Capital Lease Obligation</t>
        </is>
      </c>
      <c r="B27" s="3" t="n">
        <v>14118000</v>
      </c>
      <c r="C27" s="3" t="n">
        <v>16191000</v>
      </c>
      <c r="D27" s="3" t="n">
        <v>18162000</v>
      </c>
      <c r="E27" s="3" t="n">
        <v>18611000</v>
      </c>
      <c r="F27" s="3" t="n">
        <v>20174000</v>
      </c>
      <c r="G27" s="3" t="n"/>
      <c r="H27" s="3" t="n"/>
    </row>
    <row r="28">
      <c r="A28" t="inlineStr">
        <is>
          <t>Current Liabilities</t>
        </is>
      </c>
      <c r="B28" s="3" t="n">
        <v>265883000</v>
      </c>
      <c r="C28" s="3" t="n">
        <v>271283000</v>
      </c>
      <c r="D28" s="3" t="n">
        <v>228325000</v>
      </c>
      <c r="E28" s="3" t="n">
        <v>210831000</v>
      </c>
      <c r="F28" s="3" t="n">
        <v>186821000</v>
      </c>
      <c r="G28" s="3" t="n"/>
      <c r="H28" s="3" t="n"/>
    </row>
    <row r="29">
      <c r="A29" t="inlineStr">
        <is>
          <t>Other Current Liabilities</t>
        </is>
      </c>
      <c r="B29" s="3" t="n">
        <v>16080000</v>
      </c>
      <c r="C29" s="3" t="n">
        <v>16358000</v>
      </c>
      <c r="D29" s="3" t="n">
        <v>11243000</v>
      </c>
      <c r="E29" s="3" t="n">
        <v>8848000</v>
      </c>
      <c r="F29" s="3" t="n">
        <v>11334000</v>
      </c>
      <c r="G29" s="3" t="n"/>
      <c r="H29" s="3" t="n"/>
    </row>
    <row r="30">
      <c r="A30" t="inlineStr">
        <is>
          <t>Current Deferred Liabilities</t>
        </is>
      </c>
      <c r="B30" s="3" t="n">
        <v>28296000</v>
      </c>
      <c r="C30" s="3" t="n">
        <v>18039000</v>
      </c>
      <c r="D30" s="3" t="n">
        <v>20319000</v>
      </c>
      <c r="E30" s="3" t="n">
        <v>18826000</v>
      </c>
      <c r="F30" s="3" t="n">
        <v>20718000</v>
      </c>
      <c r="G30" s="3" t="n"/>
      <c r="H30" s="3" t="n"/>
    </row>
    <row r="31">
      <c r="A31" t="inlineStr">
        <is>
          <t>Current Deferred Revenue</t>
        </is>
      </c>
      <c r="B31" s="3" t="n">
        <v>28296000</v>
      </c>
      <c r="C31" s="3" t="n">
        <v>18039000</v>
      </c>
      <c r="D31" s="3" t="n">
        <v>20319000</v>
      </c>
      <c r="E31" s="3" t="n">
        <v>18826000</v>
      </c>
      <c r="F31" s="3" t="n">
        <v>20718000</v>
      </c>
      <c r="G31" s="3" t="n"/>
      <c r="H31" s="3" t="n"/>
    </row>
    <row r="32">
      <c r="A32" t="inlineStr">
        <is>
          <t>Current Debt And Capital Lease Obligation</t>
        </is>
      </c>
      <c r="B32" s="3" t="n">
        <v>7170000</v>
      </c>
      <c r="C32" s="3" t="n">
        <v>7023000</v>
      </c>
      <c r="D32" s="3" t="n">
        <v>6872000</v>
      </c>
      <c r="E32" s="3" t="n">
        <v>6572000</v>
      </c>
      <c r="F32" s="3" t="n">
        <v>6376000</v>
      </c>
      <c r="G32" s="3" t="n"/>
      <c r="H32" s="3" t="n"/>
    </row>
    <row r="33">
      <c r="A33" t="inlineStr">
        <is>
          <t>Current Capital Lease Obligation</t>
        </is>
      </c>
      <c r="B33" s="3" t="n">
        <v>7170000</v>
      </c>
      <c r="C33" s="3" t="n">
        <v>7023000</v>
      </c>
      <c r="D33" s="3" t="n">
        <v>6872000</v>
      </c>
      <c r="E33" s="3" t="n">
        <v>6572000</v>
      </c>
      <c r="F33" s="3" t="n">
        <v>6376000</v>
      </c>
      <c r="G33" s="3" t="n"/>
      <c r="H33" s="3" t="n"/>
    </row>
    <row r="34">
      <c r="A34" t="inlineStr">
        <is>
          <t>Pensionand Other Post Retirement Benefit Plans Current</t>
        </is>
      </c>
      <c r="B34" s="3" t="n">
        <v>72480000</v>
      </c>
      <c r="C34" s="3" t="n">
        <v>74750000</v>
      </c>
      <c r="D34" s="3" t="n">
        <v>74390000</v>
      </c>
      <c r="E34" s="3" t="n">
        <v>56042000</v>
      </c>
      <c r="F34" s="3" t="n">
        <v>61844000</v>
      </c>
      <c r="G34" s="3" t="n"/>
      <c r="H34" s="3" t="n"/>
    </row>
    <row r="35">
      <c r="A35" t="inlineStr">
        <is>
          <t>Payables And Accrued Expenses</t>
        </is>
      </c>
      <c r="B35" s="3" t="n">
        <v>141857000</v>
      </c>
      <c r="C35" s="3" t="n">
        <v>155113000</v>
      </c>
      <c r="D35" s="3" t="n">
        <v>115501000</v>
      </c>
      <c r="E35" s="3" t="n">
        <v>120543000</v>
      </c>
      <c r="F35" s="3" t="n">
        <v>86549000</v>
      </c>
      <c r="G35" s="3" t="n"/>
      <c r="H35" s="3" t="n"/>
    </row>
    <row r="36">
      <c r="A36" t="inlineStr">
        <is>
          <t>Current Accrued Expenses</t>
        </is>
      </c>
      <c r="B36" s="3" t="n">
        <v>82177000</v>
      </c>
      <c r="C36" s="3" t="n">
        <v>86200000</v>
      </c>
      <c r="D36" s="3" t="n">
        <v>39360000</v>
      </c>
      <c r="E36" s="3" t="n">
        <v>49108000</v>
      </c>
      <c r="F36" s="3" t="n">
        <v>35285000</v>
      </c>
      <c r="G36" s="3" t="n"/>
      <c r="H36" s="3" t="n"/>
    </row>
    <row r="37">
      <c r="A37" t="inlineStr">
        <is>
          <t>Payables</t>
        </is>
      </c>
      <c r="B37" s="3" t="n">
        <v>59680000</v>
      </c>
      <c r="C37" s="3" t="n">
        <v>68913000</v>
      </c>
      <c r="D37" s="3" t="n">
        <v>76141000</v>
      </c>
      <c r="E37" s="3" t="n">
        <v>71435000</v>
      </c>
      <c r="F37" s="3" t="n">
        <v>51264000</v>
      </c>
      <c r="G37" s="3" t="n"/>
      <c r="H37" s="3" t="n"/>
    </row>
    <row r="38">
      <c r="A38" t="inlineStr">
        <is>
          <t>Other Payable</t>
        </is>
      </c>
      <c r="B38" s="3" t="n">
        <v>7937000</v>
      </c>
      <c r="C38" s="3" t="n">
        <v>5984000</v>
      </c>
      <c r="D38" s="3" t="n">
        <v>3088000</v>
      </c>
      <c r="E38" s="3" t="n">
        <v>7493000</v>
      </c>
      <c r="F38" s="3" t="n">
        <v>7394000</v>
      </c>
      <c r="G38" s="3" t="n"/>
      <c r="H38" s="3" t="n"/>
    </row>
    <row r="39">
      <c r="A39" t="inlineStr">
        <is>
          <t>Accounts Payable</t>
        </is>
      </c>
      <c r="B39" s="3" t="n">
        <v>51743000</v>
      </c>
      <c r="C39" s="3" t="n">
        <v>62929000</v>
      </c>
      <c r="D39" s="3" t="n">
        <v>73053000</v>
      </c>
      <c r="E39" s="3" t="n">
        <v>63942000</v>
      </c>
      <c r="F39" s="3" t="n">
        <v>43870000</v>
      </c>
      <c r="G39" s="3" t="n"/>
      <c r="H39" s="3" t="n"/>
    </row>
    <row r="40">
      <c r="A40" t="inlineStr">
        <is>
          <t>Total Assets</t>
        </is>
      </c>
      <c r="B40" s="3" t="n">
        <v>3484283000</v>
      </c>
      <c r="C40" s="3" t="n">
        <v>3239173000</v>
      </c>
      <c r="D40" s="3" t="n">
        <v>2876376000</v>
      </c>
      <c r="E40" s="3" t="n">
        <v>2632202000</v>
      </c>
      <c r="F40" s="3" t="n">
        <v>2437024000</v>
      </c>
      <c r="G40" s="3" t="n"/>
      <c r="H40" s="3" t="n"/>
    </row>
    <row r="41">
      <c r="A41" t="inlineStr">
        <is>
          <t>Total Non Current Assets</t>
        </is>
      </c>
      <c r="B41" s="3" t="n">
        <v>98324000</v>
      </c>
      <c r="C41" s="3" t="n">
        <v>103163000</v>
      </c>
      <c r="D41" s="3" t="n">
        <v>106797000</v>
      </c>
      <c r="E41" s="3" t="n">
        <v>102272000</v>
      </c>
      <c r="F41" s="3" t="n">
        <v>108354000</v>
      </c>
      <c r="G41" s="3" t="n"/>
      <c r="H41" s="3" t="n"/>
    </row>
    <row r="42">
      <c r="A42" t="inlineStr">
        <is>
          <t>Other Non Current Assets</t>
        </is>
      </c>
      <c r="B42" s="3" t="n">
        <v>12265000</v>
      </c>
      <c r="C42" s="3" t="n">
        <v>11995000</v>
      </c>
      <c r="D42" s="3" t="n">
        <v>11218000</v>
      </c>
      <c r="E42" s="3" t="n">
        <v>6117000</v>
      </c>
      <c r="F42" s="3" t="n">
        <v>8222000</v>
      </c>
      <c r="G42" s="3" t="n"/>
      <c r="H42" s="3" t="n"/>
    </row>
    <row r="43">
      <c r="A43" t="inlineStr">
        <is>
          <t>Goodwill And Other Intangible Assets</t>
        </is>
      </c>
      <c r="B43" s="3" t="n">
        <v>55192000</v>
      </c>
      <c r="C43" s="3" t="n">
        <v>57670000</v>
      </c>
      <c r="D43" s="3" t="n">
        <v>60174000</v>
      </c>
      <c r="E43" s="3" t="n">
        <v>62643000</v>
      </c>
      <c r="F43" s="3" t="n">
        <v>65117000</v>
      </c>
      <c r="G43" s="3" t="n"/>
      <c r="H43" s="3" t="n"/>
    </row>
    <row r="44">
      <c r="A44" t="inlineStr">
        <is>
          <t>Other Intangible Assets</t>
        </is>
      </c>
      <c r="B44" s="3" t="n">
        <v>13018000</v>
      </c>
      <c r="C44" s="3" t="n">
        <v>15496000</v>
      </c>
      <c r="D44" s="3" t="n">
        <v>18000000</v>
      </c>
      <c r="E44" s="3" t="n">
        <v>20469000</v>
      </c>
      <c r="F44" s="3" t="n">
        <v>22943000</v>
      </c>
      <c r="G44" s="3" t="n"/>
      <c r="H44" s="3" t="n"/>
    </row>
    <row r="45">
      <c r="A45" t="inlineStr">
        <is>
          <t>Goodwill</t>
        </is>
      </c>
      <c r="B45" s="3" t="n">
        <v>42174000</v>
      </c>
      <c r="C45" s="3" t="n">
        <v>42174000</v>
      </c>
      <c r="D45" s="3" t="n">
        <v>42174000</v>
      </c>
      <c r="E45" s="3" t="n">
        <v>42174000</v>
      </c>
      <c r="F45" s="3" t="n">
        <v>42174000</v>
      </c>
      <c r="G45" s="3" t="n"/>
      <c r="H45" s="3" t="n"/>
    </row>
    <row r="46">
      <c r="A46" t="inlineStr">
        <is>
          <t>Net PPE</t>
        </is>
      </c>
      <c r="B46" s="3" t="n">
        <v>30867000</v>
      </c>
      <c r="C46" s="3" t="n">
        <v>33498000</v>
      </c>
      <c r="D46" s="3" t="n">
        <v>35405000</v>
      </c>
      <c r="E46" s="3" t="n">
        <v>33512000</v>
      </c>
      <c r="F46" s="3" t="n">
        <v>35015000</v>
      </c>
      <c r="G46" s="3" t="n"/>
      <c r="H46" s="3" t="n"/>
    </row>
    <row r="47">
      <c r="A47" t="inlineStr">
        <is>
          <t>Accumulated Depreciation</t>
        </is>
      </c>
      <c r="B47" s="3" t="n"/>
      <c r="C47" s="3" t="n">
        <v>-16265000</v>
      </c>
      <c r="D47" s="3" t="n">
        <v>-14869000</v>
      </c>
      <c r="E47" s="3" t="n">
        <v>-13600000</v>
      </c>
      <c r="F47" s="3" t="n">
        <v>-12306000</v>
      </c>
      <c r="G47" s="3" t="n">
        <v>-11197000</v>
      </c>
      <c r="H47" s="3" t="n"/>
    </row>
    <row r="48">
      <c r="A48" t="inlineStr">
        <is>
          <t>Gross PPE</t>
        </is>
      </c>
      <c r="B48" s="3" t="n">
        <v>30867000</v>
      </c>
      <c r="C48" s="3" t="n">
        <v>49763000</v>
      </c>
      <c r="D48" s="3" t="n">
        <v>50274000</v>
      </c>
      <c r="E48" s="3" t="n">
        <v>47112000</v>
      </c>
      <c r="F48" s="3" t="n">
        <v>47321000</v>
      </c>
      <c r="G48" s="3" t="n"/>
      <c r="H48" s="3" t="n"/>
    </row>
    <row r="49">
      <c r="A49" t="inlineStr">
        <is>
          <t>Leases</t>
        </is>
      </c>
      <c r="B49" s="3" t="n"/>
      <c r="C49" s="3" t="n">
        <v>9361000</v>
      </c>
      <c r="D49" s="3" t="n">
        <v>8044000</v>
      </c>
      <c r="E49" s="3" t="n">
        <v>8051000</v>
      </c>
      <c r="F49" s="3" t="n">
        <v>8028000</v>
      </c>
      <c r="G49" s="3" t="n">
        <v>8017000</v>
      </c>
      <c r="H49" s="3" t="n"/>
    </row>
    <row r="50">
      <c r="A50" t="inlineStr">
        <is>
          <t>Construction In Progress</t>
        </is>
      </c>
      <c r="B50" s="3" t="n"/>
      <c r="C50" s="3" t="n"/>
      <c r="D50" s="3" t="n">
        <v>1175000</v>
      </c>
      <c r="E50" s="3" t="n">
        <v>63000</v>
      </c>
      <c r="F50" s="3" t="n"/>
      <c r="G50" s="3" t="n"/>
      <c r="H50" s="3" t="n">
        <v>439000</v>
      </c>
    </row>
    <row r="51">
      <c r="A51" t="inlineStr">
        <is>
          <t>Other Properties</t>
        </is>
      </c>
      <c r="B51" s="3" t="n">
        <v>30867000</v>
      </c>
      <c r="C51" s="3" t="n">
        <v>20788000</v>
      </c>
      <c r="D51" s="3" t="n">
        <v>22469000</v>
      </c>
      <c r="E51" s="3" t="n">
        <v>22118000</v>
      </c>
      <c r="F51" s="3" t="n">
        <v>23408000</v>
      </c>
      <c r="G51" s="3" t="n"/>
      <c r="H51" s="3" t="n"/>
    </row>
    <row r="52">
      <c r="A52" t="inlineStr">
        <is>
          <t>Machinery Furniture Equipment</t>
        </is>
      </c>
      <c r="B52" s="3" t="n"/>
      <c r="C52" s="3" t="n">
        <v>19614000</v>
      </c>
      <c r="D52" s="3" t="n">
        <v>18586000</v>
      </c>
      <c r="E52" s="3" t="n">
        <v>16880000</v>
      </c>
      <c r="F52" s="3" t="n">
        <v>15885000</v>
      </c>
      <c r="G52" s="3" t="n">
        <v>15832000</v>
      </c>
      <c r="H52" s="3" t="n"/>
    </row>
    <row r="53">
      <c r="A53" t="inlineStr">
        <is>
          <t>Properties</t>
        </is>
      </c>
      <c r="B53" s="3" t="n"/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/>
    </row>
    <row r="54">
      <c r="A54" t="inlineStr">
        <is>
          <t>Current Assets</t>
        </is>
      </c>
      <c r="B54" s="3" t="n">
        <v>3385934000</v>
      </c>
      <c r="C54" s="3" t="n">
        <v>3135985000</v>
      </c>
      <c r="D54" s="3" t="n">
        <v>2769579000</v>
      </c>
      <c r="E54" s="3" t="n">
        <v>2529930000</v>
      </c>
      <c r="F54" s="3" t="n">
        <v>2328670000</v>
      </c>
      <c r="G54" s="3" t="n"/>
      <c r="H54" s="3" t="n"/>
    </row>
    <row r="55">
      <c r="A55" t="inlineStr">
        <is>
          <t>Other Current Assets</t>
        </is>
      </c>
      <c r="B55" s="3" t="n">
        <v>92397000</v>
      </c>
      <c r="C55" s="3" t="n">
        <v>69012000</v>
      </c>
      <c r="D55" s="3" t="n">
        <v>3810000</v>
      </c>
      <c r="E55" s="3" t="n">
        <v>3506000</v>
      </c>
      <c r="F55" s="3" t="n">
        <v>1993000</v>
      </c>
      <c r="G55" s="3" t="n"/>
      <c r="H55" s="3" t="n"/>
    </row>
    <row r="56">
      <c r="A56" t="inlineStr">
        <is>
          <t>Prepaid Assets</t>
        </is>
      </c>
      <c r="B56" s="3" t="n"/>
      <c r="C56" s="3" t="n"/>
      <c r="D56" s="3" t="n">
        <v>20027000</v>
      </c>
      <c r="E56" s="3" t="n">
        <v>23290000</v>
      </c>
      <c r="F56" s="3" t="n">
        <v>24638000</v>
      </c>
      <c r="G56" s="3" t="n">
        <v>14583000</v>
      </c>
      <c r="H56" s="3" t="n">
        <v>19424000</v>
      </c>
    </row>
    <row r="57">
      <c r="A57" t="inlineStr">
        <is>
          <t>Receivables</t>
        </is>
      </c>
      <c r="B57" s="3" t="n">
        <v>522905000</v>
      </c>
      <c r="C57" s="3" t="n">
        <v>590162000</v>
      </c>
      <c r="D57" s="3" t="n">
        <v>519919000</v>
      </c>
      <c r="E57" s="3" t="n">
        <v>443193000</v>
      </c>
      <c r="F57" s="3" t="n">
        <v>350897000</v>
      </c>
      <c r="G57" s="3" t="n"/>
      <c r="H57" s="3" t="n"/>
    </row>
    <row r="58">
      <c r="A58" t="inlineStr">
        <is>
          <t>Other Receivables</t>
        </is>
      </c>
      <c r="B58" s="3" t="n"/>
      <c r="C58" s="3" t="n"/>
      <c r="D58" s="3" t="n">
        <v>24239000</v>
      </c>
      <c r="E58" s="3" t="n">
        <v>26876000</v>
      </c>
      <c r="F58" s="3" t="n">
        <v>18405000</v>
      </c>
      <c r="G58" s="3" t="n">
        <v>11500000</v>
      </c>
      <c r="H58" s="3" t="n">
        <v>6533000</v>
      </c>
    </row>
    <row r="59">
      <c r="A59" t="inlineStr">
        <is>
          <t>Accrued Interest Receivable</t>
        </is>
      </c>
      <c r="B59" s="3" t="n"/>
      <c r="C59" s="3" t="n"/>
      <c r="D59" s="3" t="n">
        <v>8046000</v>
      </c>
      <c r="E59" s="3" t="n">
        <v>9089000</v>
      </c>
      <c r="F59" s="3" t="n">
        <v>6361000</v>
      </c>
      <c r="G59" s="3" t="n">
        <v>4695000</v>
      </c>
      <c r="H59" s="3" t="n">
        <v>3495000</v>
      </c>
    </row>
    <row r="60">
      <c r="A60" t="inlineStr">
        <is>
          <t>Accounts Receivable</t>
        </is>
      </c>
      <c r="B60" s="3" t="n">
        <v>522905000</v>
      </c>
      <c r="C60" s="3" t="n">
        <v>590162000</v>
      </c>
      <c r="D60" s="3" t="n">
        <v>487634000</v>
      </c>
      <c r="E60" s="3" t="n">
        <v>407228000</v>
      </c>
      <c r="F60" s="3" t="n">
        <v>326131000</v>
      </c>
      <c r="G60" s="3" t="n"/>
      <c r="H60" s="3" t="n"/>
    </row>
    <row r="61">
      <c r="A61" t="inlineStr">
        <is>
          <t>Cash Cash Equivalents And Short Term Investments</t>
        </is>
      </c>
      <c r="B61" s="3" t="n">
        <v>2770632000</v>
      </c>
      <c r="C61" s="3" t="n">
        <v>2476811000</v>
      </c>
      <c r="D61" s="3" t="n">
        <v>2225823000</v>
      </c>
      <c r="E61" s="3" t="n">
        <v>2059941000</v>
      </c>
      <c r="F61" s="3" t="n">
        <v>1951142000</v>
      </c>
      <c r="G61" s="3" t="n"/>
      <c r="H61" s="3" t="n"/>
    </row>
    <row r="62">
      <c r="A62" t="inlineStr">
        <is>
          <t>Other Short Term Investments</t>
        </is>
      </c>
      <c r="B62" s="3" t="n">
        <v>1396284000</v>
      </c>
      <c r="C62" s="3" t="n">
        <v>1523242000</v>
      </c>
      <c r="D62" s="3" t="n">
        <v>1314170000</v>
      </c>
      <c r="E62" s="3" t="n">
        <v>1325881000</v>
      </c>
      <c r="F62" s="3" t="n">
        <v>1315415000</v>
      </c>
      <c r="G62" s="3" t="n"/>
      <c r="H62" s="3" t="n"/>
    </row>
    <row r="63">
      <c r="A63" t="inlineStr">
        <is>
          <t>Cash And Cash Equivalents</t>
        </is>
      </c>
      <c r="B63" s="3" t="n">
        <v>1374348000</v>
      </c>
      <c r="C63" s="3" t="n">
        <v>953569000</v>
      </c>
      <c r="D63" s="3" t="n">
        <v>911653000</v>
      </c>
      <c r="E63" s="3" t="n">
        <v>734060000</v>
      </c>
      <c r="F63" s="3" t="n">
        <v>635727000</v>
      </c>
      <c r="G63" s="3" t="n"/>
      <c r="H6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684169000</v>
      </c>
      <c r="C2" s="3" t="n">
        <v>215820000</v>
      </c>
      <c r="D2" s="3" t="n">
        <v>-84838000</v>
      </c>
      <c r="E2" s="3" t="n">
        <v>-100254000</v>
      </c>
      <c r="F2" s="3" t="n"/>
    </row>
    <row r="3">
      <c r="A3" t="inlineStr">
        <is>
          <t>Repurchase Of Capital Stock</t>
        </is>
      </c>
      <c r="B3" s="3" t="n"/>
      <c r="C3" s="3" t="n"/>
      <c r="D3" s="3" t="n"/>
      <c r="E3" s="3" t="n">
        <v>0</v>
      </c>
      <c r="F3" s="3" t="n">
        <v>-95186000</v>
      </c>
    </row>
    <row r="4">
      <c r="A4" t="inlineStr">
        <is>
          <t>Issuance Of Capital Stock</t>
        </is>
      </c>
      <c r="B4" s="3" t="n">
        <v>0</v>
      </c>
      <c r="C4" s="3" t="n">
        <v>600022000</v>
      </c>
      <c r="D4" s="3" t="n">
        <v>0</v>
      </c>
      <c r="E4" s="3" t="n">
        <v>0</v>
      </c>
      <c r="F4" s="3" t="n"/>
    </row>
    <row r="5">
      <c r="A5" t="inlineStr">
        <is>
          <t>Capital Expenditure</t>
        </is>
      </c>
      <c r="B5" s="3" t="n">
        <v>-6706000</v>
      </c>
      <c r="C5" s="3" t="n">
        <v>-6248000</v>
      </c>
      <c r="D5" s="3" t="n">
        <v>-9724000</v>
      </c>
      <c r="E5" s="3" t="n">
        <v>-6233000</v>
      </c>
      <c r="F5" s="3" t="n"/>
    </row>
    <row r="6">
      <c r="A6" t="inlineStr">
        <is>
          <t>Income Tax Paid Supplemental Data</t>
        </is>
      </c>
      <c r="B6" s="3" t="n"/>
      <c r="C6" s="3" t="n"/>
      <c r="D6" s="3" t="n"/>
      <c r="E6" s="3" t="n">
        <v>745000</v>
      </c>
      <c r="F6" s="3" t="n">
        <v>164000</v>
      </c>
    </row>
    <row r="7">
      <c r="A7" t="inlineStr">
        <is>
          <t>End Cash Position</t>
        </is>
      </c>
      <c r="B7" s="3" t="n">
        <v>953569000</v>
      </c>
      <c r="C7" s="3" t="n">
        <v>562142000</v>
      </c>
      <c r="D7" s="3" t="n">
        <v>401226000</v>
      </c>
      <c r="E7" s="3" t="n">
        <v>435860000</v>
      </c>
      <c r="F7" s="3" t="n"/>
    </row>
    <row r="8">
      <c r="A8" t="inlineStr">
        <is>
          <t>Beginning Cash Position</t>
        </is>
      </c>
      <c r="B8" s="3" t="n">
        <v>562142000</v>
      </c>
      <c r="C8" s="3" t="n">
        <v>401226000</v>
      </c>
      <c r="D8" s="3" t="n">
        <v>435860000</v>
      </c>
      <c r="E8" s="3" t="n">
        <v>1337848000</v>
      </c>
      <c r="F8" s="3" t="n"/>
    </row>
    <row r="9">
      <c r="A9" t="inlineStr">
        <is>
          <t>Changes In Cash</t>
        </is>
      </c>
      <c r="B9" s="3" t="n">
        <v>391427000</v>
      </c>
      <c r="C9" s="3" t="n">
        <v>160916000</v>
      </c>
      <c r="D9" s="3" t="n">
        <v>-34634000</v>
      </c>
      <c r="E9" s="3" t="n">
        <v>-901988000</v>
      </c>
      <c r="F9" s="3" t="n"/>
    </row>
    <row r="10">
      <c r="A10" t="inlineStr">
        <is>
          <t>Financing Cash Flow</t>
        </is>
      </c>
      <c r="B10" s="3" t="n">
        <v>-80559000</v>
      </c>
      <c r="C10" s="3" t="n">
        <v>379535000</v>
      </c>
      <c r="D10" s="3" t="n">
        <v>-811000</v>
      </c>
      <c r="E10" s="3" t="n">
        <v>-3784000</v>
      </c>
      <c r="F10" s="3" t="n"/>
    </row>
    <row r="11">
      <c r="A11" t="inlineStr">
        <is>
          <t>Cash Flow From Continuing Financing Activities</t>
        </is>
      </c>
      <c r="B11" s="3" t="n">
        <v>-80559000</v>
      </c>
      <c r="C11" s="3" t="n">
        <v>379535000</v>
      </c>
      <c r="D11" s="3" t="n">
        <v>-811000</v>
      </c>
      <c r="E11" s="3" t="n">
        <v>-3784000</v>
      </c>
      <c r="F11" s="3" t="n"/>
    </row>
    <row r="12">
      <c r="A12" t="inlineStr">
        <is>
          <t>Net Other Financing Charges</t>
        </is>
      </c>
      <c r="B12" s="3" t="n">
        <v>-105634000</v>
      </c>
      <c r="C12" s="3" t="n">
        <v>-309459000</v>
      </c>
      <c r="D12" s="3" t="n">
        <v>-9239000</v>
      </c>
      <c r="E12" s="3" t="n">
        <v>-10818000</v>
      </c>
      <c r="F12" s="3" t="n"/>
    </row>
    <row r="13">
      <c r="A13" t="inlineStr">
        <is>
          <t>Proceeds From Stock Option Exercised</t>
        </is>
      </c>
      <c r="B13" s="3" t="n">
        <v>25075000</v>
      </c>
      <c r="C13" s="3" t="n">
        <v>88972000</v>
      </c>
      <c r="D13" s="3" t="n">
        <v>8428000</v>
      </c>
      <c r="E13" s="3" t="n">
        <v>7034000</v>
      </c>
      <c r="F13" s="3" t="n"/>
    </row>
    <row r="14">
      <c r="A14" t="inlineStr">
        <is>
          <t>Net Preferred Stock Issuance</t>
        </is>
      </c>
      <c r="B14" s="3" t="n"/>
      <c r="C14" s="3" t="n"/>
      <c r="D14" s="3" t="n"/>
      <c r="E14" s="3" t="n">
        <v>0</v>
      </c>
      <c r="F14" s="3" t="n">
        <v>1242748000</v>
      </c>
    </row>
    <row r="15">
      <c r="A15" t="inlineStr">
        <is>
          <t>Preferred Stock Issuance</t>
        </is>
      </c>
      <c r="B15" s="3" t="n"/>
      <c r="C15" s="3" t="n"/>
      <c r="D15" s="3" t="n"/>
      <c r="E15" s="3" t="n">
        <v>0</v>
      </c>
      <c r="F15" s="3" t="n">
        <v>1242748000</v>
      </c>
    </row>
    <row r="16">
      <c r="A16" t="inlineStr">
        <is>
          <t>Net Common Stock Issuance</t>
        </is>
      </c>
      <c r="B16" s="3" t="n">
        <v>0</v>
      </c>
      <c r="C16" s="3" t="n">
        <v>600022000</v>
      </c>
      <c r="D16" s="3" t="n">
        <v>0</v>
      </c>
      <c r="E16" s="3" t="n">
        <v>0</v>
      </c>
      <c r="F16" s="3" t="n"/>
    </row>
    <row r="17">
      <c r="A17" t="inlineStr">
        <is>
          <t>Common Stock Payments</t>
        </is>
      </c>
      <c r="B17" s="3" t="n"/>
      <c r="C17" s="3" t="n"/>
      <c r="D17" s="3" t="n"/>
      <c r="E17" s="3" t="n">
        <v>0</v>
      </c>
      <c r="F17" s="3" t="n">
        <v>-95186000</v>
      </c>
    </row>
    <row r="18">
      <c r="A18" t="inlineStr">
        <is>
          <t>Common Stock Issuance</t>
        </is>
      </c>
      <c r="B18" s="3" t="n">
        <v>0</v>
      </c>
      <c r="C18" s="3" t="n">
        <v>600022000</v>
      </c>
      <c r="D18" s="3" t="n">
        <v>0</v>
      </c>
      <c r="E18" s="3" t="n">
        <v>0</v>
      </c>
      <c r="F18" s="3" t="n"/>
    </row>
    <row r="19">
      <c r="A19" t="inlineStr">
        <is>
          <t>Investing Cash Flow</t>
        </is>
      </c>
      <c r="B19" s="3" t="n">
        <v>-218889000</v>
      </c>
      <c r="C19" s="3" t="n">
        <v>-440687000</v>
      </c>
      <c r="D19" s="3" t="n">
        <v>41291000</v>
      </c>
      <c r="E19" s="3" t="n">
        <v>-804183000</v>
      </c>
      <c r="F19" s="3" t="n"/>
    </row>
    <row r="20">
      <c r="A20" t="inlineStr">
        <is>
          <t>Cash Flow From Continuing Investing Activities</t>
        </is>
      </c>
      <c r="B20" s="3" t="n">
        <v>-218889000</v>
      </c>
      <c r="C20" s="3" t="n">
        <v>-440687000</v>
      </c>
      <c r="D20" s="3" t="n">
        <v>41291000</v>
      </c>
      <c r="E20" s="3" t="n">
        <v>-804183000</v>
      </c>
      <c r="F20" s="3" t="n"/>
    </row>
    <row r="21">
      <c r="A21" t="inlineStr">
        <is>
          <t>Net Other Investing Changes</t>
        </is>
      </c>
      <c r="B21" s="3" t="n">
        <v>3009000</v>
      </c>
      <c r="C21" s="3" t="n">
        <v>5821000</v>
      </c>
      <c r="D21" s="3" t="n">
        <v>172000</v>
      </c>
      <c r="E21" s="3" t="n">
        <v>-64000</v>
      </c>
      <c r="F21" s="3" t="n"/>
    </row>
    <row r="22">
      <c r="A22" t="inlineStr">
        <is>
          <t>Net Investment Purchase And Sale</t>
        </is>
      </c>
      <c r="B22" s="3" t="n">
        <v>-215192000</v>
      </c>
      <c r="C22" s="3" t="n">
        <v>-423123000</v>
      </c>
      <c r="D22" s="3" t="n">
        <v>50843000</v>
      </c>
      <c r="E22" s="3" t="n">
        <v>-755690000</v>
      </c>
      <c r="F22" s="3" t="n"/>
    </row>
    <row r="23">
      <c r="A23" t="inlineStr">
        <is>
          <t>Sale Of Investment</t>
        </is>
      </c>
      <c r="B23" s="3" t="n">
        <v>2083205000</v>
      </c>
      <c r="C23" s="3" t="n">
        <v>1573602000</v>
      </c>
      <c r="D23" s="3" t="n">
        <v>1310697000</v>
      </c>
      <c r="E23" s="3" t="n">
        <v>674899000</v>
      </c>
      <c r="F23" s="3" t="n"/>
    </row>
    <row r="24">
      <c r="A24" t="inlineStr">
        <is>
          <t>Purchase Of Investment</t>
        </is>
      </c>
      <c r="B24" s="3" t="n">
        <v>-2298397000</v>
      </c>
      <c r="C24" s="3" t="n">
        <v>-1996725000</v>
      </c>
      <c r="D24" s="3" t="n">
        <v>-1259854000</v>
      </c>
      <c r="E24" s="3" t="n">
        <v>-1430589000</v>
      </c>
      <c r="F24" s="3" t="n"/>
    </row>
    <row r="25">
      <c r="A25" t="inlineStr">
        <is>
          <t>Net Business Purchase And Sale</t>
        </is>
      </c>
      <c r="B25" s="3" t="n">
        <v>0</v>
      </c>
      <c r="C25" s="3" t="n">
        <v>-17137000</v>
      </c>
      <c r="D25" s="3" t="n">
        <v>0</v>
      </c>
      <c r="E25" s="3" t="n">
        <v>-42196000</v>
      </c>
      <c r="F25" s="3" t="n"/>
    </row>
    <row r="26">
      <c r="A26" t="inlineStr">
        <is>
          <t>Purchase Of Business</t>
        </is>
      </c>
      <c r="B26" s="3" t="n">
        <v>0</v>
      </c>
      <c r="C26" s="3" t="n">
        <v>-17137000</v>
      </c>
      <c r="D26" s="3" t="n">
        <v>0</v>
      </c>
      <c r="E26" s="3" t="n">
        <v>-42196000</v>
      </c>
      <c r="F26" s="3" t="n"/>
    </row>
    <row r="27">
      <c r="A27" t="inlineStr">
        <is>
          <t>Net Intangibles Purchase And Sale</t>
        </is>
      </c>
      <c r="B27" s="3" t="n"/>
      <c r="C27" s="3" t="n">
        <v>6869000</v>
      </c>
      <c r="D27" s="3" t="n">
        <v>0</v>
      </c>
      <c r="E27" s="3" t="n">
        <v>0</v>
      </c>
      <c r="F27" s="3" t="n">
        <v>-4996000</v>
      </c>
    </row>
    <row r="28">
      <c r="A28" t="inlineStr">
        <is>
          <t>Sale Of Intangibles</t>
        </is>
      </c>
      <c r="B28" s="3" t="n"/>
      <c r="C28" s="3" t="n">
        <v>6869000</v>
      </c>
      <c r="D28" s="3" t="n">
        <v>0</v>
      </c>
      <c r="E28" s="3" t="n">
        <v>0</v>
      </c>
      <c r="F28" s="3" t="n"/>
    </row>
    <row r="29">
      <c r="A29" t="inlineStr">
        <is>
          <t>Purchase Of Intangibles</t>
        </is>
      </c>
      <c r="B29" s="3" t="n"/>
      <c r="C29" s="3" t="n"/>
      <c r="D29" s="3" t="n"/>
      <c r="E29" s="3" t="n">
        <v>-203000</v>
      </c>
      <c r="F29" s="3" t="n">
        <v>-4996000</v>
      </c>
    </row>
    <row r="30">
      <c r="A30" t="inlineStr">
        <is>
          <t>Net PPE Purchase And Sale</t>
        </is>
      </c>
      <c r="B30" s="3" t="n">
        <v>-6706000</v>
      </c>
      <c r="C30" s="3" t="n">
        <v>-6248000</v>
      </c>
      <c r="D30" s="3" t="n">
        <v>-9724000</v>
      </c>
      <c r="E30" s="3" t="n">
        <v>-6233000</v>
      </c>
      <c r="F30" s="3" t="n"/>
    </row>
    <row r="31">
      <c r="A31" t="inlineStr">
        <is>
          <t>Purchase Of PPE</t>
        </is>
      </c>
      <c r="B31" s="3" t="n">
        <v>-6706000</v>
      </c>
      <c r="C31" s="3" t="n">
        <v>-6248000</v>
      </c>
      <c r="D31" s="3" t="n">
        <v>-9724000</v>
      </c>
      <c r="E31" s="3" t="n">
        <v>-6233000</v>
      </c>
      <c r="F31" s="3" t="n"/>
    </row>
    <row r="32">
      <c r="A32" t="inlineStr">
        <is>
          <t>Operating Cash Flow</t>
        </is>
      </c>
      <c r="B32" s="3" t="n">
        <v>690875000</v>
      </c>
      <c r="C32" s="3" t="n">
        <v>222068000</v>
      </c>
      <c r="D32" s="3" t="n">
        <v>-75114000</v>
      </c>
      <c r="E32" s="3" t="n">
        <v>-94021000</v>
      </c>
      <c r="F32" s="3" t="n"/>
    </row>
    <row r="33">
      <c r="A33" t="inlineStr">
        <is>
          <t>Cash Flow From Continuing Operating Activities</t>
        </is>
      </c>
      <c r="B33" s="3" t="n">
        <v>690875000</v>
      </c>
      <c r="C33" s="3" t="n">
        <v>222068000</v>
      </c>
      <c r="D33" s="3" t="n">
        <v>-75114000</v>
      </c>
      <c r="E33" s="3" t="n">
        <v>-94021000</v>
      </c>
      <c r="F33" s="3" t="n"/>
    </row>
    <row r="34">
      <c r="A34" t="inlineStr">
        <is>
          <t>Change In Working Capital</t>
        </is>
      </c>
      <c r="B34" s="3" t="n">
        <v>-176805000</v>
      </c>
      <c r="C34" s="3" t="n">
        <v>-67468000</v>
      </c>
      <c r="D34" s="3" t="n">
        <v>-29991000</v>
      </c>
      <c r="E34" s="3" t="n">
        <v>-10080000</v>
      </c>
      <c r="F34" s="3" t="n"/>
    </row>
    <row r="35">
      <c r="A35" t="inlineStr">
        <is>
          <t>Change In Other Working Capital</t>
        </is>
      </c>
      <c r="B35" s="3" t="n">
        <v>-7224000</v>
      </c>
      <c r="C35" s="3" t="n">
        <v>-2397000</v>
      </c>
      <c r="D35" s="3" t="n">
        <v>-5758000</v>
      </c>
      <c r="E35" s="3" t="n">
        <v>-10325000</v>
      </c>
      <c r="F35" s="3" t="n"/>
    </row>
    <row r="36">
      <c r="A36" t="inlineStr">
        <is>
          <t>Change In Other Current Liabilities</t>
        </is>
      </c>
      <c r="B36" s="3" t="n"/>
      <c r="C36" s="3" t="n"/>
      <c r="D36" s="3" t="n"/>
      <c r="E36" s="3" t="n"/>
      <c r="F36" s="3" t="n">
        <v>-1232000</v>
      </c>
    </row>
    <row r="37">
      <c r="A37" t="inlineStr">
        <is>
          <t>Change In Payables And Accrued Expense</t>
        </is>
      </c>
      <c r="B37" s="3" t="n">
        <v>108857000</v>
      </c>
      <c r="C37" s="3" t="n">
        <v>58694000</v>
      </c>
      <c r="D37" s="3" t="n">
        <v>25207000</v>
      </c>
      <c r="E37" s="3" t="n">
        <v>32386000</v>
      </c>
      <c r="F37" s="3" t="n"/>
    </row>
    <row r="38">
      <c r="A38" t="inlineStr">
        <is>
          <t>Change In Accrued Expense</t>
        </is>
      </c>
      <c r="B38" s="3" t="n">
        <v>90691000</v>
      </c>
      <c r="C38" s="3" t="n">
        <v>59264000</v>
      </c>
      <c r="D38" s="3" t="n">
        <v>12737000</v>
      </c>
      <c r="E38" s="3" t="n">
        <v>21481000</v>
      </c>
      <c r="F38" s="3" t="n"/>
    </row>
    <row r="39">
      <c r="A39" t="inlineStr">
        <is>
          <t>Change In Payable</t>
        </is>
      </c>
      <c r="B39" s="3" t="n">
        <v>18166000</v>
      </c>
      <c r="C39" s="3" t="n">
        <v>-570000</v>
      </c>
      <c r="D39" s="3" t="n">
        <v>12470000</v>
      </c>
      <c r="E39" s="3" t="n">
        <v>10905000</v>
      </c>
      <c r="F39" s="3" t="n"/>
    </row>
    <row r="40">
      <c r="A40" t="inlineStr">
        <is>
          <t>Change In Account Payable</t>
        </is>
      </c>
      <c r="B40" s="3" t="n">
        <v>18166000</v>
      </c>
      <c r="C40" s="3" t="n">
        <v>-570000</v>
      </c>
      <c r="D40" s="3" t="n">
        <v>12470000</v>
      </c>
      <c r="E40" s="3" t="n">
        <v>10905000</v>
      </c>
      <c r="F40" s="3" t="n"/>
    </row>
    <row r="41">
      <c r="A41" t="inlineStr">
        <is>
          <t>Change In Prepaid Assets</t>
        </is>
      </c>
      <c r="B41" s="3" t="n">
        <v>-37082000</v>
      </c>
      <c r="C41" s="3" t="n">
        <v>-19485000</v>
      </c>
      <c r="D41" s="3" t="n">
        <v>3878000</v>
      </c>
      <c r="E41" s="3" t="n">
        <v>-1911000</v>
      </c>
      <c r="F41" s="3" t="n"/>
    </row>
    <row r="42">
      <c r="A42" t="inlineStr">
        <is>
          <t>Change In Receivables</t>
        </is>
      </c>
      <c r="B42" s="3" t="n">
        <v>-241356000</v>
      </c>
      <c r="C42" s="3" t="n">
        <v>-104280000</v>
      </c>
      <c r="D42" s="3" t="n">
        <v>-53318000</v>
      </c>
      <c r="E42" s="3" t="n">
        <v>-30230000</v>
      </c>
      <c r="F42" s="3" t="n"/>
    </row>
    <row r="43">
      <c r="A43" t="inlineStr">
        <is>
          <t>Changes In Account Receivables</t>
        </is>
      </c>
      <c r="B43" s="3" t="n">
        <v>-241356000</v>
      </c>
      <c r="C43" s="3" t="n">
        <v>-104280000</v>
      </c>
      <c r="D43" s="3" t="n">
        <v>-53318000</v>
      </c>
      <c r="E43" s="3" t="n">
        <v>-30230000</v>
      </c>
      <c r="F43" s="3" t="n"/>
    </row>
    <row r="44">
      <c r="A44" t="inlineStr">
        <is>
          <t>Other Non Cash Items</t>
        </is>
      </c>
      <c r="B44" s="3" t="n">
        <v>7045000</v>
      </c>
      <c r="C44" s="3" t="n">
        <v>-77000</v>
      </c>
      <c r="D44" s="3" t="n">
        <v>11843000</v>
      </c>
      <c r="E44" s="3" t="n">
        <v>14563000</v>
      </c>
      <c r="F44" s="3" t="n"/>
    </row>
    <row r="45">
      <c r="A45" t="inlineStr">
        <is>
          <t>Stock Based Compensation</t>
        </is>
      </c>
      <c r="B45" s="3" t="n">
        <v>343180000</v>
      </c>
      <c r="C45" s="3" t="n">
        <v>801646000</v>
      </c>
      <c r="D45" s="3" t="n">
        <v>47598000</v>
      </c>
      <c r="E45" s="3" t="n">
        <v>55310000</v>
      </c>
      <c r="F45" s="3" t="n"/>
    </row>
    <row r="46">
      <c r="A46" t="inlineStr">
        <is>
          <t>Provisionand Write Offof Assets</t>
        </is>
      </c>
      <c r="B46" s="3" t="n"/>
      <c r="C46" s="3" t="n"/>
      <c r="D46" s="3" t="n"/>
      <c r="E46" s="3" t="n">
        <v>24000</v>
      </c>
      <c r="F46" s="3" t="n">
        <v>-169000</v>
      </c>
    </row>
    <row r="47">
      <c r="A47" t="inlineStr">
        <is>
          <t>Asset Impairment Charge</t>
        </is>
      </c>
      <c r="B47" s="3" t="n"/>
      <c r="C47" s="3" t="n"/>
      <c r="D47" s="3" t="n"/>
      <c r="E47" s="3" t="n">
        <v>3385000</v>
      </c>
      <c r="F47" s="3" t="n">
        <v>879000</v>
      </c>
    </row>
    <row r="48">
      <c r="A48" t="inlineStr">
        <is>
          <t>Amortization Of Securities</t>
        </is>
      </c>
      <c r="B48" s="3" t="n">
        <v>-28214000</v>
      </c>
      <c r="C48" s="3" t="n">
        <v>-43400000</v>
      </c>
      <c r="D48" s="3" t="n">
        <v>-27442000</v>
      </c>
      <c r="E48" s="3" t="n">
        <v>-3264000</v>
      </c>
      <c r="F48" s="3" t="n"/>
    </row>
    <row r="49">
      <c r="A49" t="inlineStr">
        <is>
          <t>Depreciation Amortization Depletion</t>
        </is>
      </c>
      <c r="B49" s="3" t="n">
        <v>15948000</v>
      </c>
      <c r="C49" s="3" t="n">
        <v>15643000</v>
      </c>
      <c r="D49" s="3" t="n">
        <v>13702000</v>
      </c>
      <c r="E49" s="3" t="n">
        <v>8000000</v>
      </c>
      <c r="F49" s="3" t="n"/>
    </row>
    <row r="50">
      <c r="A50" t="inlineStr">
        <is>
          <t>Depreciation And Amortization</t>
        </is>
      </c>
      <c r="B50" s="3" t="n">
        <v>15948000</v>
      </c>
      <c r="C50" s="3" t="n">
        <v>15643000</v>
      </c>
      <c r="D50" s="3" t="n">
        <v>13702000</v>
      </c>
      <c r="E50" s="3" t="n">
        <v>8000000</v>
      </c>
      <c r="F50" s="3" t="n"/>
    </row>
    <row r="51">
      <c r="A51" t="inlineStr">
        <is>
          <t>Net Income From Continuing Operations</t>
        </is>
      </c>
      <c r="B51" s="3" t="n">
        <v>529721000</v>
      </c>
      <c r="C51" s="3" t="n">
        <v>-484276000</v>
      </c>
      <c r="D51" s="3" t="n">
        <v>-90824000</v>
      </c>
      <c r="E51" s="3" t="n">
        <v>-158550000</v>
      </c>
      <c r="F5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311163000</v>
      </c>
      <c r="C2" s="3" t="n">
        <v>263643000</v>
      </c>
      <c r="D2" s="3" t="n">
        <v>183101000</v>
      </c>
      <c r="E2" s="3" t="n">
        <v>110826000</v>
      </c>
      <c r="F2" s="3" t="n">
        <v>126599000</v>
      </c>
      <c r="G2" s="3" t="n"/>
      <c r="H2" s="3" t="n"/>
    </row>
    <row r="3">
      <c r="A3" t="inlineStr">
        <is>
          <t>Repurchase Of Capital Stock</t>
        </is>
      </c>
      <c r="B3" s="3" t="n">
        <v>-4999000</v>
      </c>
      <c r="C3" s="3" t="n"/>
      <c r="D3" s="3" t="n"/>
      <c r="E3" s="3" t="n"/>
      <c r="F3" s="3" t="n">
        <v>0</v>
      </c>
      <c r="G3" s="3" t="n"/>
      <c r="H3" s="3" t="n"/>
    </row>
    <row r="4">
      <c r="A4" t="inlineStr">
        <is>
          <t>Issuance Of Capital Stock</t>
        </is>
      </c>
      <c r="B4" s="3" t="n"/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/>
    </row>
    <row r="5">
      <c r="A5" t="inlineStr">
        <is>
          <t>Capital Expenditure</t>
        </is>
      </c>
      <c r="B5" s="3" t="n">
        <v>-1090000</v>
      </c>
      <c r="C5" s="3" t="n">
        <v>-3164000</v>
      </c>
      <c r="D5" s="3" t="n">
        <v>-2058000</v>
      </c>
      <c r="E5" s="3" t="n">
        <v>-505000</v>
      </c>
      <c r="F5" s="3" t="n">
        <v>-979000</v>
      </c>
      <c r="G5" s="3" t="n"/>
      <c r="H5" s="3" t="n"/>
    </row>
    <row r="6">
      <c r="A6" t="inlineStr">
        <is>
          <t>Income Tax Paid Supplemental Data</t>
        </is>
      </c>
      <c r="B6" s="3" t="n"/>
      <c r="C6" s="3" t="n"/>
      <c r="D6" s="3" t="n"/>
      <c r="E6" s="3" t="n"/>
      <c r="F6" s="3" t="n"/>
      <c r="G6" s="3" t="n"/>
      <c r="H6" s="3" t="n">
        <v>1427000</v>
      </c>
    </row>
    <row r="7">
      <c r="A7" t="inlineStr">
        <is>
          <t>End Cash Position</t>
        </is>
      </c>
      <c r="B7" s="3" t="n">
        <v>1374348000</v>
      </c>
      <c r="C7" s="3" t="n">
        <v>953569000</v>
      </c>
      <c r="D7" s="3" t="n">
        <v>911653000</v>
      </c>
      <c r="E7" s="3" t="n">
        <v>734060000</v>
      </c>
      <c r="F7" s="3" t="n">
        <v>635727000</v>
      </c>
      <c r="G7" s="3" t="n"/>
      <c r="H7" s="3" t="n"/>
    </row>
    <row r="8">
      <c r="A8" t="inlineStr">
        <is>
          <t>Beginning Cash Position</t>
        </is>
      </c>
      <c r="B8" s="3" t="n">
        <v>953569000</v>
      </c>
      <c r="C8" s="3" t="n">
        <v>911653000</v>
      </c>
      <c r="D8" s="3" t="n">
        <v>734060000</v>
      </c>
      <c r="E8" s="3" t="n">
        <v>635727000</v>
      </c>
      <c r="F8" s="3" t="n">
        <v>562142000</v>
      </c>
      <c r="G8" s="3" t="n"/>
      <c r="H8" s="3" t="n"/>
    </row>
    <row r="9">
      <c r="A9" t="inlineStr">
        <is>
          <t>Changes In Cash</t>
        </is>
      </c>
      <c r="B9" s="3" t="n">
        <v>420779000</v>
      </c>
      <c r="C9" s="3" t="n">
        <v>41916000</v>
      </c>
      <c r="D9" s="3" t="n">
        <v>177593000</v>
      </c>
      <c r="E9" s="3" t="n">
        <v>98333000</v>
      </c>
      <c r="F9" s="3" t="n">
        <v>73585000</v>
      </c>
      <c r="G9" s="3" t="n"/>
      <c r="H9" s="3" t="n"/>
    </row>
    <row r="10">
      <c r="A10" t="inlineStr">
        <is>
          <t>Financing Cash Flow</t>
        </is>
      </c>
      <c r="B10" s="3" t="n">
        <v>-16296000</v>
      </c>
      <c r="C10" s="3" t="n">
        <v>-19067000</v>
      </c>
      <c r="D10" s="3" t="n">
        <v>-24079000</v>
      </c>
      <c r="E10" s="3" t="n">
        <v>-10922000</v>
      </c>
      <c r="F10" s="3" t="n">
        <v>-26491000</v>
      </c>
      <c r="G10" s="3" t="n"/>
      <c r="H10" s="3" t="n"/>
    </row>
    <row r="11">
      <c r="A11" t="inlineStr">
        <is>
          <t>Cash Flow From Continuing Financing Activities</t>
        </is>
      </c>
      <c r="B11" s="3" t="n">
        <v>-16296000</v>
      </c>
      <c r="C11" s="3" t="n">
        <v>-19067000</v>
      </c>
      <c r="D11" s="3" t="n">
        <v>-24079000</v>
      </c>
      <c r="E11" s="3" t="n">
        <v>-10922000</v>
      </c>
      <c r="F11" s="3" t="n">
        <v>-26491000</v>
      </c>
      <c r="G11" s="3" t="n"/>
      <c r="H11" s="3" t="n"/>
    </row>
    <row r="12">
      <c r="A12" t="inlineStr">
        <is>
          <t>Net Other Financing Charges</t>
        </is>
      </c>
      <c r="B12" s="3" t="n">
        <v>-16196000</v>
      </c>
      <c r="C12" s="3" t="n">
        <v>-23642000</v>
      </c>
      <c r="D12" s="3" t="n">
        <v>-30092000</v>
      </c>
      <c r="E12" s="3" t="n">
        <v>-15225000</v>
      </c>
      <c r="F12" s="3" t="n">
        <v>-36675000</v>
      </c>
      <c r="G12" s="3" t="n"/>
      <c r="H12" s="3" t="n"/>
    </row>
    <row r="13">
      <c r="A13" t="inlineStr">
        <is>
          <t>Proceeds From Stock Option Exercised</t>
        </is>
      </c>
      <c r="B13" s="3" t="n">
        <v>4899000</v>
      </c>
      <c r="C13" s="3" t="n">
        <v>4575000</v>
      </c>
      <c r="D13" s="3" t="n">
        <v>6013000</v>
      </c>
      <c r="E13" s="3" t="n">
        <v>4303000</v>
      </c>
      <c r="F13" s="3" t="n">
        <v>10184000</v>
      </c>
      <c r="G13" s="3" t="n"/>
      <c r="H13" s="3" t="n"/>
    </row>
    <row r="14">
      <c r="A14" t="inlineStr">
        <is>
          <t>Net Common Stock Issuance</t>
        </is>
      </c>
      <c r="B14" s="3" t="n">
        <v>-4999000</v>
      </c>
      <c r="C14" s="3" t="n">
        <v>0</v>
      </c>
      <c r="D14" s="3" t="n">
        <v>0</v>
      </c>
      <c r="E14" s="3" t="n">
        <v>0</v>
      </c>
      <c r="F14" s="3" t="n">
        <v>0</v>
      </c>
      <c r="G14" s="3" t="n"/>
      <c r="H14" s="3" t="n"/>
    </row>
    <row r="15">
      <c r="A15" t="inlineStr">
        <is>
          <t>Common Stock Payments</t>
        </is>
      </c>
      <c r="B15" s="3" t="n">
        <v>-4999000</v>
      </c>
      <c r="C15" s="3" t="n"/>
      <c r="D15" s="3" t="n"/>
      <c r="E15" s="3" t="n"/>
      <c r="F15" s="3" t="n">
        <v>0</v>
      </c>
      <c r="G15" s="3" t="n"/>
      <c r="H15" s="3" t="n"/>
    </row>
    <row r="16">
      <c r="A16" t="inlineStr">
        <is>
          <t>Common Stock Issuance</t>
        </is>
      </c>
      <c r="B16" s="3" t="n"/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/>
    </row>
    <row r="17">
      <c r="A17" t="inlineStr">
        <is>
          <t>Investing Cash Flow</t>
        </is>
      </c>
      <c r="B17" s="3" t="n">
        <v>124822000</v>
      </c>
      <c r="C17" s="3" t="n">
        <v>-205824000</v>
      </c>
      <c r="D17" s="3" t="n">
        <v>16513000</v>
      </c>
      <c r="E17" s="3" t="n">
        <v>-2076000</v>
      </c>
      <c r="F17" s="3" t="n">
        <v>-27502000</v>
      </c>
      <c r="G17" s="3" t="n"/>
      <c r="H17" s="3" t="n"/>
    </row>
    <row r="18">
      <c r="A18" t="inlineStr">
        <is>
          <t>Cash Flow From Continuing Investing Activities</t>
        </is>
      </c>
      <c r="B18" s="3" t="n">
        <v>124822000</v>
      </c>
      <c r="C18" s="3" t="n">
        <v>-205824000</v>
      </c>
      <c r="D18" s="3" t="n">
        <v>16513000</v>
      </c>
      <c r="E18" s="3" t="n">
        <v>-2076000</v>
      </c>
      <c r="F18" s="3" t="n">
        <v>-27502000</v>
      </c>
      <c r="G18" s="3" t="n"/>
      <c r="H18" s="3" t="n"/>
    </row>
    <row r="19">
      <c r="A19" t="inlineStr">
        <is>
          <t>Net Other Investing Changes</t>
        </is>
      </c>
      <c r="B19" s="3" t="n">
        <v>-1616000</v>
      </c>
      <c r="C19" s="3" t="n">
        <v>554000</v>
      </c>
      <c r="D19" s="3" t="n">
        <v>-788000</v>
      </c>
      <c r="E19" s="3" t="n">
        <v>2354000</v>
      </c>
      <c r="F19" s="3" t="n">
        <v>889000</v>
      </c>
      <c r="G19" s="3" t="n"/>
      <c r="H19" s="3" t="n"/>
    </row>
    <row r="20">
      <c r="A20" t="inlineStr">
        <is>
          <t>Net Investment Purchase And Sale</t>
        </is>
      </c>
      <c r="B20" s="3" t="n">
        <v>127528000</v>
      </c>
      <c r="C20" s="3" t="n">
        <v>-203214000</v>
      </c>
      <c r="D20" s="3" t="n">
        <v>19359000</v>
      </c>
      <c r="E20" s="3" t="n">
        <v>-3925000</v>
      </c>
      <c r="F20" s="3" t="n">
        <v>-27412000</v>
      </c>
      <c r="G20" s="3" t="n"/>
      <c r="H20" s="3" t="n"/>
    </row>
    <row r="21">
      <c r="A21" t="inlineStr">
        <is>
          <t>Sale Of Investment</t>
        </is>
      </c>
      <c r="B21" s="3" t="n">
        <v>492457000</v>
      </c>
      <c r="C21" s="3" t="n">
        <v>489779000</v>
      </c>
      <c r="D21" s="3" t="n">
        <v>563460000</v>
      </c>
      <c r="E21" s="3" t="n">
        <v>552532000</v>
      </c>
      <c r="F21" s="3" t="n">
        <v>477434000</v>
      </c>
      <c r="G21" s="3" t="n"/>
      <c r="H21" s="3" t="n"/>
    </row>
    <row r="22">
      <c r="A22" t="inlineStr">
        <is>
          <t>Purchase Of Investment</t>
        </is>
      </c>
      <c r="B22" s="3" t="n">
        <v>-364929000</v>
      </c>
      <c r="C22" s="3" t="n">
        <v>-692993000</v>
      </c>
      <c r="D22" s="3" t="n">
        <v>-544101000</v>
      </c>
      <c r="E22" s="3" t="n">
        <v>-556457000</v>
      </c>
      <c r="F22" s="3" t="n">
        <v>-504846000</v>
      </c>
      <c r="G22" s="3" t="n"/>
      <c r="H22" s="3" t="n"/>
    </row>
    <row r="23">
      <c r="A23" t="inlineStr">
        <is>
          <t>Net Business Purchase And Sale</t>
        </is>
      </c>
      <c r="B23" s="3" t="n"/>
      <c r="C23" s="3" t="n">
        <v>0</v>
      </c>
      <c r="D23" s="3" t="n">
        <v>0</v>
      </c>
      <c r="E23" s="3" t="n"/>
      <c r="F23" s="3" t="n"/>
      <c r="G23" s="3" t="n">
        <v>0</v>
      </c>
      <c r="H23" s="3" t="n">
        <v>-17137000</v>
      </c>
    </row>
    <row r="24">
      <c r="A24" t="inlineStr">
        <is>
          <t>Purchase Of Business</t>
        </is>
      </c>
      <c r="B24" s="3" t="n"/>
      <c r="C24" s="3" t="n">
        <v>0</v>
      </c>
      <c r="D24" s="3" t="n">
        <v>0</v>
      </c>
      <c r="E24" s="3" t="n"/>
      <c r="F24" s="3" t="n"/>
      <c r="G24" s="3" t="n">
        <v>0</v>
      </c>
      <c r="H24" s="3" t="n">
        <v>-17137000</v>
      </c>
    </row>
    <row r="25">
      <c r="A25" t="inlineStr">
        <is>
          <t>Net Intangibles Purchase And Sale</t>
        </is>
      </c>
      <c r="B25" s="3" t="n"/>
      <c r="C25" s="3" t="n"/>
      <c r="D25" s="3" t="n"/>
      <c r="E25" s="3" t="n"/>
      <c r="F25" s="3" t="n"/>
      <c r="G25" s="3" t="n">
        <v>0</v>
      </c>
      <c r="H25" s="3" t="n">
        <v>6869000</v>
      </c>
    </row>
    <row r="26">
      <c r="A26" t="inlineStr">
        <is>
          <t>Sale Of Intangibles</t>
        </is>
      </c>
      <c r="B26" s="3" t="n"/>
      <c r="C26" s="3" t="n"/>
      <c r="D26" s="3" t="n"/>
      <c r="E26" s="3" t="n"/>
      <c r="F26" s="3" t="n"/>
      <c r="G26" s="3" t="n">
        <v>0</v>
      </c>
      <c r="H26" s="3" t="n">
        <v>6869000</v>
      </c>
    </row>
    <row r="27">
      <c r="A27" t="inlineStr">
        <is>
          <t>Net PPE Purchase And Sale</t>
        </is>
      </c>
      <c r="B27" s="3" t="n">
        <v>-1090000</v>
      </c>
      <c r="C27" s="3" t="n">
        <v>-3164000</v>
      </c>
      <c r="D27" s="3" t="n">
        <v>-2058000</v>
      </c>
      <c r="E27" s="3" t="n">
        <v>-505000</v>
      </c>
      <c r="F27" s="3" t="n">
        <v>-979000</v>
      </c>
      <c r="G27" s="3" t="n"/>
      <c r="H27" s="3" t="n"/>
    </row>
    <row r="28">
      <c r="A28" t="inlineStr">
        <is>
          <t>Purchase Of PPE</t>
        </is>
      </c>
      <c r="B28" s="3" t="n">
        <v>-1090000</v>
      </c>
      <c r="C28" s="3" t="n">
        <v>-3164000</v>
      </c>
      <c r="D28" s="3" t="n">
        <v>-2058000</v>
      </c>
      <c r="E28" s="3" t="n">
        <v>-505000</v>
      </c>
      <c r="F28" s="3" t="n">
        <v>-979000</v>
      </c>
      <c r="G28" s="3" t="n"/>
      <c r="H28" s="3" t="n"/>
    </row>
    <row r="29">
      <c r="A29" t="inlineStr">
        <is>
          <t>Operating Cash Flow</t>
        </is>
      </c>
      <c r="B29" s="3" t="n">
        <v>312253000</v>
      </c>
      <c r="C29" s="3" t="n">
        <v>266807000</v>
      </c>
      <c r="D29" s="3" t="n">
        <v>185159000</v>
      </c>
      <c r="E29" s="3" t="n">
        <v>111331000</v>
      </c>
      <c r="F29" s="3" t="n">
        <v>127578000</v>
      </c>
      <c r="G29" s="3" t="n"/>
      <c r="H29" s="3" t="n"/>
    </row>
    <row r="30">
      <c r="A30" t="inlineStr">
        <is>
          <t>Cash Flow From Continuing Operating Activities</t>
        </is>
      </c>
      <c r="B30" s="3" t="n">
        <v>312253000</v>
      </c>
      <c r="C30" s="3" t="n">
        <v>266807000</v>
      </c>
      <c r="D30" s="3" t="n">
        <v>185159000</v>
      </c>
      <c r="E30" s="3" t="n">
        <v>111331000</v>
      </c>
      <c r="F30" s="3" t="n">
        <v>127578000</v>
      </c>
      <c r="G30" s="3" t="n"/>
      <c r="H30" s="3" t="n"/>
    </row>
    <row r="31">
      <c r="A31" t="inlineStr">
        <is>
          <t>Change In Working Capital</t>
        </is>
      </c>
      <c r="B31" s="3" t="n">
        <v>39038000</v>
      </c>
      <c r="C31" s="3" t="n">
        <v>-70123000</v>
      </c>
      <c r="D31" s="3" t="n">
        <v>-60389000</v>
      </c>
      <c r="E31" s="3" t="n">
        <v>-65890000</v>
      </c>
      <c r="F31" s="3" t="n">
        <v>19597000</v>
      </c>
      <c r="G31" s="3" t="n"/>
      <c r="H31" s="3" t="n"/>
    </row>
    <row r="32">
      <c r="A32" t="inlineStr">
        <is>
          <t>Change In Other Working Capital</t>
        </is>
      </c>
      <c r="B32" s="3" t="n">
        <v>-1815000</v>
      </c>
      <c r="C32" s="3" t="n">
        <v>-1817000</v>
      </c>
      <c r="D32" s="3" t="n">
        <v>-2038000</v>
      </c>
      <c r="E32" s="3" t="n">
        <v>-1589000</v>
      </c>
      <c r="F32" s="3" t="n">
        <v>-1780000</v>
      </c>
      <c r="G32" s="3" t="n"/>
      <c r="H32" s="3" t="n"/>
    </row>
    <row r="33">
      <c r="A33" t="inlineStr">
        <is>
          <t>Change In Payables And Accrued Expense</t>
        </is>
      </c>
      <c r="B33" s="3" t="n">
        <v>-3352000</v>
      </c>
      <c r="C33" s="3" t="n">
        <v>47954000</v>
      </c>
      <c r="D33" s="3" t="n">
        <v>19712000</v>
      </c>
      <c r="E33" s="3" t="n">
        <v>26167000</v>
      </c>
      <c r="F33" s="3" t="n">
        <v>15024000</v>
      </c>
      <c r="G33" s="3" t="n"/>
      <c r="H33" s="3" t="n"/>
    </row>
    <row r="34">
      <c r="A34" t="inlineStr">
        <is>
          <t>Change In Accrued Expense</t>
        </is>
      </c>
      <c r="B34" s="3" t="n">
        <v>7631000</v>
      </c>
      <c r="C34" s="3" t="n">
        <v>56728000</v>
      </c>
      <c r="D34" s="3" t="n">
        <v>11717000</v>
      </c>
      <c r="E34" s="3" t="n">
        <v>6176000</v>
      </c>
      <c r="F34" s="3" t="n">
        <v>16070000</v>
      </c>
      <c r="G34" s="3" t="n"/>
      <c r="H34" s="3" t="n"/>
    </row>
    <row r="35">
      <c r="A35" t="inlineStr">
        <is>
          <t>Change In Payable</t>
        </is>
      </c>
      <c r="B35" s="3" t="n">
        <v>-10983000</v>
      </c>
      <c r="C35" s="3" t="n">
        <v>-8774000</v>
      </c>
      <c r="D35" s="3" t="n">
        <v>7995000</v>
      </c>
      <c r="E35" s="3" t="n">
        <v>19991000</v>
      </c>
      <c r="F35" s="3" t="n">
        <v>-1046000</v>
      </c>
      <c r="G35" s="3" t="n"/>
      <c r="H35" s="3" t="n"/>
    </row>
    <row r="36">
      <c r="A36" t="inlineStr">
        <is>
          <t>Change In Account Payable</t>
        </is>
      </c>
      <c r="B36" s="3" t="n">
        <v>-10983000</v>
      </c>
      <c r="C36" s="3" t="n">
        <v>-8774000</v>
      </c>
      <c r="D36" s="3" t="n">
        <v>7995000</v>
      </c>
      <c r="E36" s="3" t="n">
        <v>19991000</v>
      </c>
      <c r="F36" s="3" t="n">
        <v>-1046000</v>
      </c>
      <c r="G36" s="3" t="n"/>
      <c r="H36" s="3" t="n"/>
    </row>
    <row r="37">
      <c r="A37" t="inlineStr">
        <is>
          <t>Change In Prepaid Assets</t>
        </is>
      </c>
      <c r="B37" s="3" t="n">
        <v>-23752000</v>
      </c>
      <c r="C37" s="3" t="n">
        <v>-13658000</v>
      </c>
      <c r="D37" s="3" t="n">
        <v>2934000</v>
      </c>
      <c r="E37" s="3" t="n">
        <v>-9352000</v>
      </c>
      <c r="F37" s="3" t="n">
        <v>-17006000</v>
      </c>
      <c r="G37" s="3" t="n"/>
      <c r="H37" s="3" t="n"/>
    </row>
    <row r="38">
      <c r="A38" t="inlineStr">
        <is>
          <t>Change In Receivables</t>
        </is>
      </c>
      <c r="B38" s="3" t="n">
        <v>67957000</v>
      </c>
      <c r="C38" s="3" t="n">
        <v>-102602000</v>
      </c>
      <c r="D38" s="3" t="n">
        <v>-80997000</v>
      </c>
      <c r="E38" s="3" t="n">
        <v>-81116000</v>
      </c>
      <c r="F38" s="3" t="n">
        <v>23359000</v>
      </c>
      <c r="G38" s="3" t="n"/>
      <c r="H38" s="3" t="n"/>
    </row>
    <row r="39">
      <c r="A39" t="inlineStr">
        <is>
          <t>Changes In Account Receivables</t>
        </is>
      </c>
      <c r="B39" s="3" t="n">
        <v>67957000</v>
      </c>
      <c r="C39" s="3" t="n">
        <v>-102602000</v>
      </c>
      <c r="D39" s="3" t="n">
        <v>-80997000</v>
      </c>
      <c r="E39" s="3" t="n">
        <v>-81116000</v>
      </c>
      <c r="F39" s="3" t="n">
        <v>23359000</v>
      </c>
      <c r="G39" s="3" t="n"/>
      <c r="H39" s="3" t="n"/>
    </row>
    <row r="40">
      <c r="A40" t="inlineStr">
        <is>
          <t>Other Non Cash Items</t>
        </is>
      </c>
      <c r="B40" s="3" t="n">
        <v>985000</v>
      </c>
      <c r="C40" s="3" t="n">
        <v>1858000</v>
      </c>
      <c r="D40" s="3" t="n">
        <v>2246000</v>
      </c>
      <c r="E40" s="3" t="n">
        <v>1611000</v>
      </c>
      <c r="F40" s="3" t="n">
        <v>1330000</v>
      </c>
      <c r="G40" s="3" t="n"/>
      <c r="H40" s="3" t="n"/>
    </row>
    <row r="41">
      <c r="A41" t="inlineStr">
        <is>
          <t>Stock Based Compensation</t>
        </is>
      </c>
      <c r="B41" s="3" t="n">
        <v>68336000</v>
      </c>
      <c r="C41" s="3" t="n">
        <v>85178000</v>
      </c>
      <c r="D41" s="3" t="n">
        <v>83518000</v>
      </c>
      <c r="E41" s="3" t="n">
        <v>89070000</v>
      </c>
      <c r="F41" s="3" t="n">
        <v>85414000</v>
      </c>
      <c r="G41" s="3" t="n"/>
      <c r="H41" s="3" t="n"/>
    </row>
    <row r="42">
      <c r="A42" t="inlineStr">
        <is>
          <t>Amortization Of Securities</t>
        </is>
      </c>
      <c r="B42" s="3" t="n">
        <v>-4297000</v>
      </c>
      <c r="C42" s="3" t="n">
        <v>-5860000</v>
      </c>
      <c r="D42" s="3" t="n">
        <v>-6779000</v>
      </c>
      <c r="E42" s="3" t="n">
        <v>-6691000</v>
      </c>
      <c r="F42" s="3" t="n">
        <v>-8884000</v>
      </c>
      <c r="G42" s="3" t="n"/>
      <c r="H42" s="3" t="n"/>
    </row>
    <row r="43">
      <c r="A43" t="inlineStr">
        <is>
          <t>Depreciation Amortization Depletion</t>
        </is>
      </c>
      <c r="B43" s="3" t="n">
        <v>4210000</v>
      </c>
      <c r="C43" s="3" t="n">
        <v>4151000</v>
      </c>
      <c r="D43" s="3" t="n">
        <v>3900000</v>
      </c>
      <c r="E43" s="3" t="n">
        <v>3934000</v>
      </c>
      <c r="F43" s="3" t="n">
        <v>3963000</v>
      </c>
      <c r="G43" s="3" t="n"/>
      <c r="H43" s="3" t="n"/>
    </row>
    <row r="44">
      <c r="A44" t="inlineStr">
        <is>
          <t>Depreciation And Amortization</t>
        </is>
      </c>
      <c r="B44" s="3" t="n">
        <v>4210000</v>
      </c>
      <c r="C44" s="3" t="n">
        <v>4151000</v>
      </c>
      <c r="D44" s="3" t="n">
        <v>3900000</v>
      </c>
      <c r="E44" s="3" t="n">
        <v>3934000</v>
      </c>
      <c r="F44" s="3" t="n">
        <v>3963000</v>
      </c>
      <c r="G44" s="3" t="n"/>
      <c r="H44" s="3" t="n"/>
    </row>
    <row r="45">
      <c r="A45" t="inlineStr">
        <is>
          <t>Net Income From Continuing Operations</t>
        </is>
      </c>
      <c r="B45" s="3" t="n">
        <v>203981000</v>
      </c>
      <c r="C45" s="3" t="n">
        <v>251603000</v>
      </c>
      <c r="D45" s="3" t="n">
        <v>162663000</v>
      </c>
      <c r="E45" s="3" t="n">
        <v>89297000</v>
      </c>
      <c r="F45" s="3" t="n">
        <v>26158000</v>
      </c>
      <c r="G45" s="3" t="n"/>
      <c r="H45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2026-06-22T22:31:01Z</dcterms:created>
  <dcterms:modified xsi:type="dcterms:W3CDTF">2026-06-22T22:31:02Z</dcterms:modified>
</cp:coreProperties>
</file>