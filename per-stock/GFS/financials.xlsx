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GFS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GLOBALFOUNDRIES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Semiconductors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47094996992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45846581248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51.089287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34.082382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6.8852334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0.26111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0.11016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0.11374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0.06834999999999999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0.031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3003000064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1724000000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1074000000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548700833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85.83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2023-12-31</t>
        </is>
      </c>
      <c r="C2" t="inlineStr">
        <is>
          <t>2024-12-31</t>
        </is>
      </c>
      <c r="D2" t="inlineStr">
        <is>
          <t>2025-12-31</t>
        </is>
      </c>
      <c r="E2" t="inlineStr">
        <is>
          <t>TTM → 2026-03-31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(annual)'!D55</f>
        <v/>
      </c>
      <c r="C3" s="3">
        <f>'Income stmt (annual)'!C55</f>
        <v/>
      </c>
      <c r="D3" s="3">
        <f>'Income stmt (annual)'!B55</f>
        <v/>
      </c>
      <c r="E3" s="3">
        <f>SUM('Income stmt (quarterly)'!B41:E41)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(annual)'!D53</f>
        <v/>
      </c>
      <c r="C4" s="3">
        <f>'Income stmt (annual)'!C53</f>
        <v/>
      </c>
      <c r="D4" s="3">
        <f>'Income stmt (annual)'!B53</f>
        <v/>
      </c>
      <c r="E4" s="3">
        <f>SUM('Income stmt (quarterly)'!B39:E39)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(annual)'!D44</f>
        <v/>
      </c>
      <c r="C6" s="3">
        <f>'Income stmt (annual)'!C44</f>
        <v/>
      </c>
      <c r="D6" s="3">
        <f>'Income stmt (annual)'!B44</f>
        <v/>
      </c>
      <c r="E6" s="3">
        <f>SUM('Income stmt (quarterly)'!B35:E35)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(quarterly)'!B10:E10)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(annual)'!D7</f>
        <v/>
      </c>
      <c r="C11" s="3">
        <f>-'Cash flow (annual)'!C7</f>
        <v/>
      </c>
      <c r="D11" s="3">
        <f>-'Cash flow (annual)'!B7</f>
        <v/>
      </c>
      <c r="E11" s="3">
        <f>-SUM('Cash flow (quarterly)'!B7:E7)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>
        <f>'Balance sheet (annual)'!D4</f>
        <v/>
      </c>
      <c r="C13" s="3">
        <f>'Balance sheet (annual)'!C4</f>
        <v/>
      </c>
      <c r="D13" s="3">
        <f>'Balance sheet (annual)'!B4</f>
        <v/>
      </c>
      <c r="E13" s="3">
        <f>'Balance sheet (quarterly)'!B4</f>
        <v/>
      </c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(annual)'!D2/1e6</f>
        <v/>
      </c>
      <c r="C15" s="6">
        <f>'Balance sheet (annual)'!C2/1e6</f>
        <v/>
      </c>
      <c r="D15" s="6">
        <f>'Balance sheet (annual)'!B2/1e6</f>
        <v/>
      </c>
      <c r="E15" s="6">
        <f>'Balance sheet (quarterly)'!B2/1e6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1900000</v>
      </c>
      <c r="C2" s="3" t="n">
        <v>-215040000</v>
      </c>
      <c r="D2" s="3" t="n">
        <v>-9089000</v>
      </c>
      <c r="E2" s="3" t="n">
        <v>17304000</v>
      </c>
      <c r="F2" s="3" t="n"/>
    </row>
    <row r="3">
      <c r="A3" t="inlineStr">
        <is>
          <t>Tax Rate For Calcs</t>
        </is>
      </c>
      <c r="B3" s="3" t="n">
        <v>0.025</v>
      </c>
      <c r="C3" s="3" t="n">
        <v>0.21</v>
      </c>
      <c r="D3" s="3" t="n">
        <v>0.061</v>
      </c>
      <c r="E3" s="3" t="n">
        <v>0.056</v>
      </c>
      <c r="F3" s="3" t="n"/>
    </row>
    <row r="4">
      <c r="A4" t="inlineStr">
        <is>
          <t>Normalized EBITDA</t>
        </is>
      </c>
      <c r="B4" s="3" t="n">
        <v>2199000000</v>
      </c>
      <c r="C4" s="3" t="n">
        <v>2528000000</v>
      </c>
      <c r="D4" s="3" t="n">
        <v>2785000000</v>
      </c>
      <c r="E4" s="3" t="n">
        <v>2938000000</v>
      </c>
      <c r="F4" s="3" t="n"/>
    </row>
    <row r="5">
      <c r="A5" t="inlineStr">
        <is>
          <t>Total Unusual Items</t>
        </is>
      </c>
      <c r="B5" s="3" t="n">
        <v>76000000</v>
      </c>
      <c r="C5" s="3" t="n">
        <v>-1024000000</v>
      </c>
      <c r="D5" s="3" t="n">
        <v>-149000000</v>
      </c>
      <c r="E5" s="3" t="n">
        <v>309000000</v>
      </c>
      <c r="F5" s="3" t="n"/>
    </row>
    <row r="6">
      <c r="A6" t="inlineStr">
        <is>
          <t>Total Unusual Items Excluding Goodwill</t>
        </is>
      </c>
      <c r="B6" s="3" t="n">
        <v>76000000</v>
      </c>
      <c r="C6" s="3" t="n">
        <v>-1024000000</v>
      </c>
      <c r="D6" s="3" t="n">
        <v>-149000000</v>
      </c>
      <c r="E6" s="3" t="n">
        <v>309000000</v>
      </c>
      <c r="F6" s="3" t="n"/>
    </row>
    <row r="7">
      <c r="A7" t="inlineStr">
        <is>
          <t>Net Income From Continuing Operation Net Minority Interest</t>
        </is>
      </c>
      <c r="B7" s="3" t="n">
        <v>885000000</v>
      </c>
      <c r="C7" s="3" t="n">
        <v>-265000000</v>
      </c>
      <c r="D7" s="3" t="n">
        <v>1020000000</v>
      </c>
      <c r="E7" s="3" t="n">
        <v>1448000000</v>
      </c>
      <c r="F7" s="3" t="n"/>
    </row>
    <row r="8">
      <c r="A8" t="inlineStr">
        <is>
          <t>Reconciled Depreciation</t>
        </is>
      </c>
      <c r="B8" s="3" t="n">
        <v>1314000000</v>
      </c>
      <c r="C8" s="3" t="n">
        <v>1568000000</v>
      </c>
      <c r="D8" s="3" t="n">
        <v>1451000000</v>
      </c>
      <c r="E8" s="3" t="n">
        <v>1623000000</v>
      </c>
      <c r="F8" s="3" t="n"/>
    </row>
    <row r="9">
      <c r="A9" t="inlineStr">
        <is>
          <t>Reconciled Cost Of Revenue</t>
        </is>
      </c>
      <c r="B9" s="3" t="n">
        <v>3825000000</v>
      </c>
      <c r="C9" s="3" t="n">
        <v>3557000000</v>
      </c>
      <c r="D9" s="3" t="n">
        <v>3865000000</v>
      </c>
      <c r="E9" s="3" t="n">
        <v>4291000000</v>
      </c>
      <c r="F9" s="3" t="n"/>
    </row>
    <row r="10">
      <c r="A10" t="inlineStr">
        <is>
          <t>EBITDA</t>
        </is>
      </c>
      <c r="B10" s="3" t="n">
        <v>2275000000</v>
      </c>
      <c r="C10" s="3" t="n">
        <v>1504000000</v>
      </c>
      <c r="D10" s="3" t="n">
        <v>2636000000</v>
      </c>
      <c r="E10" s="3" t="n">
        <v>3247000000</v>
      </c>
      <c r="F10" s="3" t="n"/>
    </row>
    <row r="11">
      <c r="A11" t="inlineStr">
        <is>
          <t>EBIT</t>
        </is>
      </c>
      <c r="B11" s="3" t="n">
        <v>961000000</v>
      </c>
      <c r="C11" s="3" t="n">
        <v>-64000000</v>
      </c>
      <c r="D11" s="3" t="n">
        <v>1185000000</v>
      </c>
      <c r="E11" s="3" t="n">
        <v>1624000000</v>
      </c>
      <c r="F11" s="3" t="n"/>
    </row>
    <row r="12">
      <c r="A12" t="inlineStr">
        <is>
          <t>Net Interest Income</t>
        </is>
      </c>
      <c r="B12" s="3" t="n">
        <v>66000000</v>
      </c>
      <c r="C12" s="3" t="n">
        <v>56000000</v>
      </c>
      <c r="D12" s="3" t="n">
        <v>12000000</v>
      </c>
      <c r="E12" s="3" t="n">
        <v>-60000000</v>
      </c>
      <c r="F12" s="3" t="n"/>
    </row>
    <row r="13">
      <c r="A13" t="inlineStr">
        <is>
          <t>Interest Expense</t>
        </is>
      </c>
      <c r="B13" s="3" t="n">
        <v>50000000</v>
      </c>
      <c r="C13" s="3" t="n">
        <v>106000000</v>
      </c>
      <c r="D13" s="3" t="n">
        <v>101000000</v>
      </c>
      <c r="E13" s="3" t="n">
        <v>92000000</v>
      </c>
      <c r="F13" s="3" t="n"/>
    </row>
    <row r="14">
      <c r="A14" t="inlineStr">
        <is>
          <t>Interest Income</t>
        </is>
      </c>
      <c r="B14" s="3" t="n">
        <v>159000000</v>
      </c>
      <c r="C14" s="3" t="n">
        <v>201000000</v>
      </c>
      <c r="D14" s="3" t="n">
        <v>149000000</v>
      </c>
      <c r="E14" s="3" t="n">
        <v>51000000</v>
      </c>
      <c r="F14" s="3" t="n"/>
    </row>
    <row r="15">
      <c r="A15" t="inlineStr">
        <is>
          <t>Normalized Income</t>
        </is>
      </c>
      <c r="B15" s="3" t="n">
        <v>810900000</v>
      </c>
      <c r="C15" s="3" t="n">
        <v>543960000</v>
      </c>
      <c r="D15" s="3" t="n">
        <v>1159911000</v>
      </c>
      <c r="E15" s="3" t="n">
        <v>1156304000</v>
      </c>
      <c r="F15" s="3" t="n"/>
    </row>
    <row r="16">
      <c r="A16" t="inlineStr">
        <is>
          <t>Net Income From Continuing And Discontinued Operation</t>
        </is>
      </c>
      <c r="B16" s="3" t="n">
        <v>885000000</v>
      </c>
      <c r="C16" s="3" t="n">
        <v>-265000000</v>
      </c>
      <c r="D16" s="3" t="n">
        <v>1020000000</v>
      </c>
      <c r="E16" s="3" t="n">
        <v>1448000000</v>
      </c>
      <c r="F16" s="3" t="n"/>
    </row>
    <row r="17">
      <c r="A17" t="inlineStr">
        <is>
          <t>Total Expenses</t>
        </is>
      </c>
      <c r="B17" s="3" t="n">
        <v>5994000000</v>
      </c>
      <c r="C17" s="3" t="n">
        <v>6022000000</v>
      </c>
      <c r="D17" s="3" t="n">
        <v>6192000000</v>
      </c>
      <c r="E17" s="3" t="n">
        <v>6847000000</v>
      </c>
      <c r="F17" s="3" t="n"/>
    </row>
    <row r="18">
      <c r="A18" t="inlineStr">
        <is>
          <t>Total Operating Income As Reported</t>
        </is>
      </c>
      <c r="B18" s="3" t="n">
        <v>797000000</v>
      </c>
      <c r="C18" s="3" t="n">
        <v>-214000000</v>
      </c>
      <c r="D18" s="3" t="n">
        <v>1129000000</v>
      </c>
      <c r="E18" s="3" t="n">
        <v>1167000000</v>
      </c>
      <c r="F18" s="3" t="n"/>
    </row>
    <row r="19">
      <c r="A19" t="inlineStr">
        <is>
          <t>Diluted Average Shares</t>
        </is>
      </c>
      <c r="B19" s="3" t="n">
        <v>558000000</v>
      </c>
      <c r="C19" s="3" t="n">
        <v>553000000</v>
      </c>
      <c r="D19" s="3" t="n">
        <v>556000000</v>
      </c>
      <c r="E19" s="3" t="n">
        <v>552000000</v>
      </c>
      <c r="F19" s="3" t="n"/>
    </row>
    <row r="20">
      <c r="A20" t="inlineStr">
        <is>
          <t>Basic Average Shares</t>
        </is>
      </c>
      <c r="B20" s="3" t="n">
        <v>555000000</v>
      </c>
      <c r="C20" s="3" t="n">
        <v>553000000</v>
      </c>
      <c r="D20" s="3" t="n">
        <v>552000000</v>
      </c>
      <c r="E20" s="3" t="n">
        <v>539000000</v>
      </c>
      <c r="F20" s="3" t="n"/>
    </row>
    <row r="21">
      <c r="A21" t="inlineStr">
        <is>
          <t>Diluted EPS</t>
        </is>
      </c>
      <c r="B21" s="3" t="n">
        <v>1.59</v>
      </c>
      <c r="C21" s="3" t="n">
        <v>-0.48</v>
      </c>
      <c r="D21" s="3" t="n">
        <v>1.83</v>
      </c>
      <c r="E21" s="3" t="n">
        <v>2.62</v>
      </c>
      <c r="F21" s="3" t="n"/>
    </row>
    <row r="22">
      <c r="A22" t="inlineStr">
        <is>
          <t>Basic EPS</t>
        </is>
      </c>
      <c r="B22" s="3" t="n">
        <v>1.59</v>
      </c>
      <c r="C22" s="3" t="n">
        <v>-0.48</v>
      </c>
      <c r="D22" s="3" t="n">
        <v>1.85</v>
      </c>
      <c r="E22" s="3" t="n">
        <v>2.69</v>
      </c>
      <c r="F22" s="3" t="n"/>
    </row>
    <row r="23">
      <c r="A23" t="inlineStr">
        <is>
          <t>Diluted NI Availto Com Stockholders</t>
        </is>
      </c>
      <c r="B23" s="3" t="n">
        <v>885000000</v>
      </c>
      <c r="C23" s="3" t="n">
        <v>-265000000</v>
      </c>
      <c r="D23" s="3" t="n">
        <v>1020000000</v>
      </c>
      <c r="E23" s="3" t="n">
        <v>1448000000</v>
      </c>
      <c r="F23" s="3" t="n"/>
    </row>
    <row r="24">
      <c r="A24" t="inlineStr">
        <is>
          <t>Net Income Common Stockholders</t>
        </is>
      </c>
      <c r="B24" s="3" t="n">
        <v>885000000</v>
      </c>
      <c r="C24" s="3" t="n">
        <v>-265000000</v>
      </c>
      <c r="D24" s="3" t="n">
        <v>1020000000</v>
      </c>
      <c r="E24" s="3" t="n">
        <v>1448000000</v>
      </c>
      <c r="F24" s="3" t="n"/>
    </row>
    <row r="25">
      <c r="A25" t="inlineStr">
        <is>
          <t>Net Income</t>
        </is>
      </c>
      <c r="B25" s="3" t="n">
        <v>885000000</v>
      </c>
      <c r="C25" s="3" t="n">
        <v>-265000000</v>
      </c>
      <c r="D25" s="3" t="n">
        <v>1020000000</v>
      </c>
      <c r="E25" s="3" t="n">
        <v>1448000000</v>
      </c>
      <c r="F25" s="3" t="n"/>
    </row>
    <row r="26">
      <c r="A26" t="inlineStr">
        <is>
          <t>Minority Interests</t>
        </is>
      </c>
      <c r="B26" s="3" t="n">
        <v>-3000000</v>
      </c>
      <c r="C26" s="3" t="n">
        <v>-3000000</v>
      </c>
      <c r="D26" s="3" t="n">
        <v>2000000</v>
      </c>
      <c r="E26" s="3" t="n">
        <v>2000000</v>
      </c>
      <c r="F26" s="3" t="n"/>
    </row>
    <row r="27">
      <c r="A27" t="inlineStr">
        <is>
          <t>Net Income Including Noncontrolling Interests</t>
        </is>
      </c>
      <c r="B27" s="3" t="n">
        <v>888000000</v>
      </c>
      <c r="C27" s="3" t="n">
        <v>-262000000</v>
      </c>
      <c r="D27" s="3" t="n">
        <v>1018000000</v>
      </c>
      <c r="E27" s="3" t="n">
        <v>1446000000</v>
      </c>
      <c r="F27" s="3" t="n"/>
    </row>
    <row r="28">
      <c r="A28" t="inlineStr">
        <is>
          <t>Net Income Continuous Operations</t>
        </is>
      </c>
      <c r="B28" s="3" t="n">
        <v>888000000</v>
      </c>
      <c r="C28" s="3" t="n">
        <v>-262000000</v>
      </c>
      <c r="D28" s="3" t="n">
        <v>1018000000</v>
      </c>
      <c r="E28" s="3" t="n">
        <v>1446000000</v>
      </c>
      <c r="F28" s="3" t="n"/>
    </row>
    <row r="29">
      <c r="A29" t="inlineStr">
        <is>
          <t>Tax Provision</t>
        </is>
      </c>
      <c r="B29" s="3" t="n">
        <v>23000000</v>
      </c>
      <c r="C29" s="3" t="n">
        <v>92000000</v>
      </c>
      <c r="D29" s="3" t="n">
        <v>66000000</v>
      </c>
      <c r="E29" s="3" t="n">
        <v>86000000</v>
      </c>
      <c r="F29" s="3" t="n"/>
    </row>
    <row r="30">
      <c r="A30" t="inlineStr">
        <is>
          <t>Pretax Income</t>
        </is>
      </c>
      <c r="B30" s="3" t="n">
        <v>911000000</v>
      </c>
      <c r="C30" s="3" t="n">
        <v>-170000000</v>
      </c>
      <c r="D30" s="3" t="n">
        <v>1084000000</v>
      </c>
      <c r="E30" s="3" t="n">
        <v>1532000000</v>
      </c>
      <c r="F30" s="3" t="n"/>
    </row>
    <row r="31">
      <c r="A31" t="inlineStr">
        <is>
          <t>Other Income Expense</t>
        </is>
      </c>
      <c r="B31" s="3" t="n">
        <v>48000000</v>
      </c>
      <c r="C31" s="3" t="n">
        <v>-954000000</v>
      </c>
      <c r="D31" s="3" t="n">
        <v>-128000000</v>
      </c>
      <c r="E31" s="3" t="n">
        <v>331000000</v>
      </c>
      <c r="F31" s="3" t="n"/>
    </row>
    <row r="32">
      <c r="A32" t="inlineStr">
        <is>
          <t>Other Non Operating Income Expenses</t>
        </is>
      </c>
      <c r="B32" s="3" t="n">
        <v>-28000000</v>
      </c>
      <c r="C32" s="3" t="n">
        <v>70000000</v>
      </c>
      <c r="D32" s="3" t="n">
        <v>21000000</v>
      </c>
      <c r="E32" s="3" t="n">
        <v>22000000</v>
      </c>
      <c r="F32" s="3" t="n"/>
    </row>
    <row r="33">
      <c r="A33" t="inlineStr">
        <is>
          <t>Special Income Charges</t>
        </is>
      </c>
      <c r="B33" s="3" t="n">
        <v>0</v>
      </c>
      <c r="C33" s="3" t="n">
        <v>-942000000</v>
      </c>
      <c r="D33" s="3" t="n">
        <v>-71000000</v>
      </c>
      <c r="E33" s="3" t="n">
        <v>309000000</v>
      </c>
      <c r="F33" s="3" t="n"/>
    </row>
    <row r="34">
      <c r="A34" t="inlineStr">
        <is>
          <t>Gain On Sale Of Ppe</t>
        </is>
      </c>
      <c r="B34" s="3" t="n"/>
      <c r="C34" s="3" t="n"/>
      <c r="D34" s="3" t="n"/>
      <c r="E34" s="3" t="n"/>
      <c r="F34" s="3" t="n">
        <v>0</v>
      </c>
    </row>
    <row r="35">
      <c r="A35" t="inlineStr">
        <is>
          <t>Gain On Sale Of Business</t>
        </is>
      </c>
      <c r="B35" s="3" t="n"/>
      <c r="C35" s="3" t="n">
        <v>0</v>
      </c>
      <c r="D35" s="3" t="n">
        <v>0</v>
      </c>
      <c r="E35" s="3" t="n">
        <v>403000000</v>
      </c>
      <c r="F35" s="3" t="n">
        <v>0</v>
      </c>
    </row>
    <row r="36">
      <c r="A36" t="inlineStr">
        <is>
          <t>Impairment Of Capital Assets</t>
        </is>
      </c>
      <c r="B36" s="3" t="n">
        <v>0</v>
      </c>
      <c r="C36" s="3" t="n">
        <v>935000000</v>
      </c>
      <c r="D36" s="3" t="n">
        <v>0</v>
      </c>
      <c r="E36" s="3" t="n">
        <v>0</v>
      </c>
      <c r="F36" s="3" t="n"/>
    </row>
    <row r="37">
      <c r="A37" t="inlineStr">
        <is>
          <t>Restructuring And Mergern Acquisition</t>
        </is>
      </c>
      <c r="B37" s="3" t="n">
        <v>0</v>
      </c>
      <c r="C37" s="3" t="n">
        <v>7000000</v>
      </c>
      <c r="D37" s="3" t="n">
        <v>71000000</v>
      </c>
      <c r="E37" s="3" t="n">
        <v>94000000</v>
      </c>
      <c r="F37" s="3" t="n"/>
    </row>
    <row r="38">
      <c r="A38" t="inlineStr">
        <is>
          <t>Earnings From Equity Interest</t>
        </is>
      </c>
      <c r="B38" s="3" t="n"/>
      <c r="C38" s="3" t="n"/>
      <c r="D38" s="3" t="n"/>
      <c r="E38" s="3" t="n">
        <v>0</v>
      </c>
      <c r="F38" s="3" t="n">
        <v>3631000</v>
      </c>
    </row>
    <row r="39">
      <c r="A39" t="inlineStr">
        <is>
          <t>Gain On Sale Of Security</t>
        </is>
      </c>
      <c r="B39" s="3" t="n">
        <v>76000000</v>
      </c>
      <c r="C39" s="3" t="n">
        <v>-82000000</v>
      </c>
      <c r="D39" s="3" t="n">
        <v>-78000000</v>
      </c>
      <c r="E39" s="3" t="n"/>
      <c r="F39" s="3" t="n"/>
    </row>
    <row r="40">
      <c r="A40" t="inlineStr">
        <is>
          <t>Net Non Operating Interest Income Expense</t>
        </is>
      </c>
      <c r="B40" s="3" t="n">
        <v>66000000</v>
      </c>
      <c r="C40" s="3" t="n">
        <v>56000000</v>
      </c>
      <c r="D40" s="3" t="n">
        <v>12000000</v>
      </c>
      <c r="E40" s="3" t="n">
        <v>-60000000</v>
      </c>
      <c r="F40" s="3" t="n"/>
    </row>
    <row r="41">
      <c r="A41" t="inlineStr">
        <is>
          <t>Total Other Finance Cost</t>
        </is>
      </c>
      <c r="B41" s="3" t="n">
        <v>43000000</v>
      </c>
      <c r="C41" s="3" t="n">
        <v>39000000</v>
      </c>
      <c r="D41" s="3" t="n">
        <v>36000000</v>
      </c>
      <c r="E41" s="3" t="n">
        <v>19000000</v>
      </c>
      <c r="F41" s="3" t="n"/>
    </row>
    <row r="42">
      <c r="A42" t="inlineStr">
        <is>
          <t>Interest Expense Non Operating</t>
        </is>
      </c>
      <c r="B42" s="3" t="n">
        <v>50000000</v>
      </c>
      <c r="C42" s="3" t="n">
        <v>106000000</v>
      </c>
      <c r="D42" s="3" t="n">
        <v>101000000</v>
      </c>
      <c r="E42" s="3" t="n">
        <v>92000000</v>
      </c>
      <c r="F42" s="3" t="n"/>
    </row>
    <row r="43">
      <c r="A43" t="inlineStr">
        <is>
          <t>Interest Income Non Operating</t>
        </is>
      </c>
      <c r="B43" s="3" t="n">
        <v>159000000</v>
      </c>
      <c r="C43" s="3" t="n">
        <v>201000000</v>
      </c>
      <c r="D43" s="3" t="n">
        <v>149000000</v>
      </c>
      <c r="E43" s="3" t="n">
        <v>51000000</v>
      </c>
      <c r="F43" s="3" t="n"/>
    </row>
    <row r="44">
      <c r="A44" t="inlineStr">
        <is>
          <t>Operating Income</t>
        </is>
      </c>
      <c r="B44" s="3" t="n">
        <v>797000000</v>
      </c>
      <c r="C44" s="3" t="n">
        <v>728000000</v>
      </c>
      <c r="D44" s="3" t="n">
        <v>1200000000</v>
      </c>
      <c r="E44" s="3" t="n">
        <v>1261000000</v>
      </c>
      <c r="F44" s="3" t="n"/>
    </row>
    <row r="45">
      <c r="A45" t="inlineStr">
        <is>
          <t>Operating Expense</t>
        </is>
      </c>
      <c r="B45" s="3" t="n">
        <v>893000000</v>
      </c>
      <c r="C45" s="3" t="n">
        <v>923000000</v>
      </c>
      <c r="D45" s="3" t="n">
        <v>901000000</v>
      </c>
      <c r="E45" s="3" t="n">
        <v>978000000</v>
      </c>
      <c r="F45" s="3" t="n"/>
    </row>
    <row r="46">
      <c r="A46" t="inlineStr">
        <is>
          <t>Depreciation Amortization Depletion Income Statement</t>
        </is>
      </c>
      <c r="B46" s="3" t="n">
        <v>38000000</v>
      </c>
      <c r="C46" s="3" t="n">
        <v>26000000</v>
      </c>
      <c r="D46" s="3" t="n">
        <v>25000000</v>
      </c>
      <c r="E46" s="3" t="n">
        <v>45000000</v>
      </c>
      <c r="F46" s="3" t="n"/>
    </row>
    <row r="47">
      <c r="A47" t="inlineStr">
        <is>
          <t>Depreciation And Amortization In Income Statement</t>
        </is>
      </c>
      <c r="B47" s="3" t="n">
        <v>38000000</v>
      </c>
      <c r="C47" s="3" t="n">
        <v>26000000</v>
      </c>
      <c r="D47" s="3" t="n">
        <v>25000000</v>
      </c>
      <c r="E47" s="3" t="n">
        <v>45000000</v>
      </c>
      <c r="F47" s="3" t="n"/>
    </row>
    <row r="48">
      <c r="A48" t="inlineStr">
        <is>
          <t>Research And Development</t>
        </is>
      </c>
      <c r="B48" s="3" t="n">
        <v>518000000</v>
      </c>
      <c r="C48" s="3" t="n">
        <v>496000000</v>
      </c>
      <c r="D48" s="3" t="n">
        <v>428000000</v>
      </c>
      <c r="E48" s="3" t="n">
        <v>482000000</v>
      </c>
      <c r="F48" s="3" t="n"/>
    </row>
    <row r="49">
      <c r="A49" t="inlineStr">
        <is>
          <t>Selling General And Administration</t>
        </is>
      </c>
      <c r="B49" s="3" t="n">
        <v>337000000</v>
      </c>
      <c r="C49" s="3" t="n">
        <v>401000000</v>
      </c>
      <c r="D49" s="3" t="n">
        <v>448000000</v>
      </c>
      <c r="E49" s="3" t="n">
        <v>451000000</v>
      </c>
      <c r="F49" s="3" t="n"/>
    </row>
    <row r="50">
      <c r="A50" t="inlineStr">
        <is>
          <t>General And Administrative Expense</t>
        </is>
      </c>
      <c r="B50" s="3" t="n">
        <v>337000000</v>
      </c>
      <c r="C50" s="3" t="n">
        <v>401000000</v>
      </c>
      <c r="D50" s="3" t="n">
        <v>448000000</v>
      </c>
      <c r="E50" s="3" t="n">
        <v>451000000</v>
      </c>
      <c r="F50" s="3" t="n"/>
    </row>
    <row r="51">
      <c r="A51" t="inlineStr">
        <is>
          <t>Other Gand A</t>
        </is>
      </c>
      <c r="B51" s="3" t="n">
        <v>-89000000</v>
      </c>
      <c r="C51" s="3" t="n">
        <v>12000000</v>
      </c>
      <c r="D51" s="3" t="n">
        <v>106000000</v>
      </c>
      <c r="E51" s="3" t="n">
        <v>34000000</v>
      </c>
      <c r="F51" s="3" t="n"/>
    </row>
    <row r="52">
      <c r="A52" t="inlineStr">
        <is>
          <t>Salaries And Wages</t>
        </is>
      </c>
      <c r="B52" s="3" t="n">
        <v>426000000</v>
      </c>
      <c r="C52" s="3" t="n">
        <v>389000000</v>
      </c>
      <c r="D52" s="3" t="n">
        <v>342000000</v>
      </c>
      <c r="E52" s="3" t="n">
        <v>417000000</v>
      </c>
      <c r="F52" s="3" t="n"/>
    </row>
    <row r="53">
      <c r="A53" t="inlineStr">
        <is>
          <t>Gross Profit</t>
        </is>
      </c>
      <c r="B53" s="3" t="n">
        <v>1690000000</v>
      </c>
      <c r="C53" s="3" t="n">
        <v>1651000000</v>
      </c>
      <c r="D53" s="3" t="n">
        <v>2101000000</v>
      </c>
      <c r="E53" s="3" t="n">
        <v>2239000000</v>
      </c>
      <c r="F53" s="3" t="n"/>
    </row>
    <row r="54">
      <c r="A54" t="inlineStr">
        <is>
          <t>Cost Of Revenue</t>
        </is>
      </c>
      <c r="B54" s="3" t="n">
        <v>5101000000</v>
      </c>
      <c r="C54" s="3" t="n">
        <v>5099000000</v>
      </c>
      <c r="D54" s="3" t="n">
        <v>5291000000</v>
      </c>
      <c r="E54" s="3" t="n">
        <v>5869000000</v>
      </c>
      <c r="F54" s="3" t="n"/>
    </row>
    <row r="55">
      <c r="A55" t="inlineStr">
        <is>
          <t>Total Revenue</t>
        </is>
      </c>
      <c r="B55" s="3" t="n">
        <v>6791000000</v>
      </c>
      <c r="C55" s="3" t="n">
        <v>6750000000</v>
      </c>
      <c r="D55" s="3" t="n">
        <v>7392000000</v>
      </c>
      <c r="E55" s="3" t="n">
        <v>8108000000</v>
      </c>
      <c r="F55" s="3" t="n"/>
    </row>
    <row r="56">
      <c r="A56" t="inlineStr">
        <is>
          <t>Operating Revenue</t>
        </is>
      </c>
      <c r="B56" s="3" t="n">
        <v>6791000000</v>
      </c>
      <c r="C56" s="3" t="n">
        <v>6750000000</v>
      </c>
      <c r="D56" s="3" t="n">
        <v>7392000000</v>
      </c>
      <c r="E56" s="3" t="n">
        <v>8108000000</v>
      </c>
      <c r="F56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Tax Effect Of Unusual Items</t>
        </is>
      </c>
      <c r="B2" s="3" t="n">
        <v>0</v>
      </c>
      <c r="C2" s="3" t="n">
        <v>20525547.445255</v>
      </c>
      <c r="D2" s="3" t="n">
        <v>0</v>
      </c>
      <c r="E2" s="3" t="n">
        <v>0</v>
      </c>
      <c r="F2" s="3" t="n">
        <v>0</v>
      </c>
      <c r="G2" s="3" t="n"/>
      <c r="H2" s="3" t="n"/>
    </row>
    <row r="3">
      <c r="A3" t="inlineStr">
        <is>
          <t>Tax Rate For Calcs</t>
        </is>
      </c>
      <c r="B3" s="3" t="n">
        <v>0.4</v>
      </c>
      <c r="C3" s="3" t="n">
        <v>0.270073</v>
      </c>
      <c r="D3" s="3" t="n">
        <v>0.21</v>
      </c>
      <c r="E3" s="3" t="n">
        <v>0.21</v>
      </c>
      <c r="F3" s="3" t="n">
        <v>0.21</v>
      </c>
      <c r="G3" s="3" t="n"/>
      <c r="H3" s="3" t="n"/>
    </row>
    <row r="4">
      <c r="A4" t="inlineStr">
        <is>
          <t>Normalized EBITDA</t>
        </is>
      </c>
      <c r="B4" s="3" t="n">
        <v>491000000</v>
      </c>
      <c r="C4" s="3" t="n">
        <v>656000000</v>
      </c>
      <c r="D4" s="3" t="n">
        <v>509000000</v>
      </c>
      <c r="E4" s="3" t="n">
        <v>531000000</v>
      </c>
      <c r="F4" s="3" t="n">
        <v>503000000</v>
      </c>
      <c r="G4" s="3" t="n"/>
      <c r="H4" s="3" t="n"/>
    </row>
    <row r="5">
      <c r="A5" t="inlineStr">
        <is>
          <t>Total Unusual Items</t>
        </is>
      </c>
      <c r="B5" s="3" t="n"/>
      <c r="C5" s="3" t="n">
        <v>76000000</v>
      </c>
      <c r="D5" s="3" t="n">
        <v>0</v>
      </c>
      <c r="E5" s="3" t="n">
        <v>0</v>
      </c>
      <c r="F5" s="3" t="n"/>
      <c r="G5" s="3" t="n">
        <v>-1018000000</v>
      </c>
      <c r="H5" s="3" t="n">
        <v>-1000000</v>
      </c>
    </row>
    <row r="6">
      <c r="A6" t="inlineStr">
        <is>
          <t>Total Unusual Items Excluding Goodwill</t>
        </is>
      </c>
      <c r="B6" s="3" t="n"/>
      <c r="C6" s="3" t="n">
        <v>76000000</v>
      </c>
      <c r="D6" s="3" t="n">
        <v>0</v>
      </c>
      <c r="E6" s="3" t="n">
        <v>0</v>
      </c>
      <c r="F6" s="3" t="n"/>
      <c r="G6" s="3" t="n">
        <v>-1018000000</v>
      </c>
      <c r="H6" s="3" t="n">
        <v>-1000000</v>
      </c>
    </row>
    <row r="7">
      <c r="A7" t="inlineStr">
        <is>
          <t>Net Income From Continuing Operation Net Minority Interest</t>
        </is>
      </c>
      <c r="B7" s="3" t="n">
        <v>103000000</v>
      </c>
      <c r="C7" s="3" t="n">
        <v>199000000</v>
      </c>
      <c r="D7" s="3" t="n">
        <v>248000000</v>
      </c>
      <c r="E7" s="3" t="n">
        <v>228000000</v>
      </c>
      <c r="F7" s="3" t="n">
        <v>210000000</v>
      </c>
      <c r="G7" s="3" t="n"/>
      <c r="H7" s="3" t="n"/>
    </row>
    <row r="8">
      <c r="A8" t="inlineStr">
        <is>
          <t>Reconciled Depreciation</t>
        </is>
      </c>
      <c r="B8" s="3" t="n">
        <v>311000000</v>
      </c>
      <c r="C8" s="3" t="n">
        <v>313000000</v>
      </c>
      <c r="D8" s="3" t="n">
        <v>314000000</v>
      </c>
      <c r="E8" s="3" t="n">
        <v>335000000</v>
      </c>
      <c r="F8" s="3" t="n">
        <v>352000000</v>
      </c>
      <c r="G8" s="3" t="n"/>
      <c r="H8" s="3" t="n"/>
    </row>
    <row r="9">
      <c r="A9" t="inlineStr">
        <is>
          <t>Reconciled Cost Of Revenue</t>
        </is>
      </c>
      <c r="B9" s="3" t="n">
        <v>1183000000</v>
      </c>
      <c r="C9" s="3" t="n">
        <v>1322000000</v>
      </c>
      <c r="D9" s="3" t="n">
        <v>1269000000</v>
      </c>
      <c r="E9" s="3" t="n">
        <v>1280000000</v>
      </c>
      <c r="F9" s="3" t="n">
        <v>1230000000</v>
      </c>
      <c r="G9" s="3" t="n"/>
      <c r="H9" s="3" t="n"/>
    </row>
    <row r="10">
      <c r="A10" t="inlineStr">
        <is>
          <t>EBITDA</t>
        </is>
      </c>
      <c r="B10" s="3" t="n">
        <v>491000000</v>
      </c>
      <c r="C10" s="3" t="n">
        <v>732000000</v>
      </c>
      <c r="D10" s="3" t="n">
        <v>509000000</v>
      </c>
      <c r="E10" s="3" t="n">
        <v>531000000</v>
      </c>
      <c r="F10" s="3" t="n">
        <v>503000000</v>
      </c>
      <c r="G10" s="3" t="n"/>
      <c r="H10" s="3" t="n"/>
    </row>
    <row r="11">
      <c r="A11" t="inlineStr">
        <is>
          <t>EBIT</t>
        </is>
      </c>
      <c r="B11" s="3" t="n">
        <v>180000000</v>
      </c>
      <c r="C11" s="3" t="n">
        <v>419000000</v>
      </c>
      <c r="D11" s="3" t="n">
        <v>195000000</v>
      </c>
      <c r="E11" s="3" t="n">
        <v>196000000</v>
      </c>
      <c r="F11" s="3" t="n">
        <v>151000000</v>
      </c>
      <c r="G11" s="3" t="n"/>
      <c r="H11" s="3" t="n"/>
    </row>
    <row r="12">
      <c r="A12" t="inlineStr">
        <is>
          <t>Net Interest Income</t>
        </is>
      </c>
      <c r="B12" s="3" t="n">
        <v>15000000</v>
      </c>
      <c r="C12" s="3" t="n">
        <v>17000000</v>
      </c>
      <c r="D12" s="3" t="n">
        <v>18000000</v>
      </c>
      <c r="E12" s="3" t="n">
        <v>17000000</v>
      </c>
      <c r="F12" s="3" t="n">
        <v>14000000</v>
      </c>
      <c r="G12" s="3" t="n"/>
      <c r="H12" s="3" t="n"/>
    </row>
    <row r="13">
      <c r="A13" t="inlineStr">
        <is>
          <t>Normalized Income</t>
        </is>
      </c>
      <c r="B13" s="3" t="n">
        <v>103000000</v>
      </c>
      <c r="C13" s="3" t="n">
        <v>143525547.445255</v>
      </c>
      <c r="D13" s="3" t="n">
        <v>248000000</v>
      </c>
      <c r="E13" s="3" t="n">
        <v>228000000</v>
      </c>
      <c r="F13" s="3" t="n">
        <v>210000000</v>
      </c>
      <c r="G13" s="3" t="n"/>
      <c r="H13" s="3" t="n"/>
    </row>
    <row r="14">
      <c r="A14" t="inlineStr">
        <is>
          <t>Net Income From Continuing And Discontinued Operation</t>
        </is>
      </c>
      <c r="B14" s="3" t="n">
        <v>103000000</v>
      </c>
      <c r="C14" s="3" t="n">
        <v>199000000</v>
      </c>
      <c r="D14" s="3" t="n">
        <v>248000000</v>
      </c>
      <c r="E14" s="3" t="n">
        <v>228000000</v>
      </c>
      <c r="F14" s="3" t="n">
        <v>210000000</v>
      </c>
      <c r="G14" s="3" t="n"/>
      <c r="H14" s="3" t="n"/>
    </row>
    <row r="15">
      <c r="A15" t="inlineStr">
        <is>
          <t>Total Expenses</t>
        </is>
      </c>
      <c r="B15" s="3" t="n">
        <v>1454000000</v>
      </c>
      <c r="C15" s="3" t="n">
        <v>1575000000</v>
      </c>
      <c r="D15" s="3" t="n">
        <v>1493000000</v>
      </c>
      <c r="E15" s="3" t="n">
        <v>1492000000</v>
      </c>
      <c r="F15" s="3" t="n">
        <v>1434000000</v>
      </c>
      <c r="G15" s="3" t="n"/>
      <c r="H15" s="3" t="n"/>
    </row>
    <row r="16">
      <c r="A16" t="inlineStr">
        <is>
          <t>Total Operating Income As Reported</t>
        </is>
      </c>
      <c r="B16" s="3" t="n">
        <v>180000000</v>
      </c>
      <c r="C16" s="3" t="n">
        <v>255000000</v>
      </c>
      <c r="D16" s="3" t="n">
        <v>195000000</v>
      </c>
      <c r="E16" s="3" t="n">
        <v>196000000</v>
      </c>
      <c r="F16" s="3" t="n">
        <v>151000000</v>
      </c>
      <c r="G16" s="3" t="n"/>
      <c r="H16" s="3" t="n"/>
    </row>
    <row r="17">
      <c r="A17" t="inlineStr">
        <is>
          <t>Diluted Average Shares</t>
        </is>
      </c>
      <c r="B17" s="3" t="n">
        <v>561000000</v>
      </c>
      <c r="C17" s="3" t="n">
        <v>560000000</v>
      </c>
      <c r="D17" s="3" t="n">
        <v>559000000</v>
      </c>
      <c r="E17" s="3" t="n">
        <v>557000000</v>
      </c>
      <c r="F17" s="3" t="n">
        <v>557000000</v>
      </c>
      <c r="G17" s="3" t="n"/>
      <c r="H17" s="3" t="n"/>
    </row>
    <row r="18">
      <c r="A18" t="inlineStr">
        <is>
          <t>Basic Average Shares</t>
        </is>
      </c>
      <c r="B18" s="3" t="n">
        <v>555000000</v>
      </c>
      <c r="C18" s="3" t="n">
        <v>556000000</v>
      </c>
      <c r="D18" s="3" t="n">
        <v>555000000</v>
      </c>
      <c r="E18" s="3" t="n">
        <v>555000000</v>
      </c>
      <c r="F18" s="3" t="n">
        <v>554000000</v>
      </c>
      <c r="G18" s="3" t="n"/>
      <c r="H18" s="3" t="n"/>
    </row>
    <row r="19">
      <c r="A19" t="inlineStr">
        <is>
          <t>Diluted EPS</t>
        </is>
      </c>
      <c r="B19" s="3" t="n">
        <v>0.18</v>
      </c>
      <c r="C19" s="3" t="n">
        <v>0.36</v>
      </c>
      <c r="D19" s="3" t="n">
        <v>0.44</v>
      </c>
      <c r="E19" s="3" t="n">
        <v>0.41</v>
      </c>
      <c r="F19" s="3" t="n">
        <v>0.38</v>
      </c>
      <c r="G19" s="3" t="n"/>
      <c r="H19" s="3" t="n"/>
    </row>
    <row r="20">
      <c r="A20" t="inlineStr">
        <is>
          <t>Basic EPS</t>
        </is>
      </c>
      <c r="B20" s="3" t="n">
        <v>0.19</v>
      </c>
      <c r="C20" s="3" t="n">
        <v>0.36</v>
      </c>
      <c r="D20" s="3" t="n">
        <v>0.45</v>
      </c>
      <c r="E20" s="3" t="n">
        <v>0.41</v>
      </c>
      <c r="F20" s="3" t="n">
        <v>0.38</v>
      </c>
      <c r="G20" s="3" t="n"/>
      <c r="H20" s="3" t="n"/>
    </row>
    <row r="21">
      <c r="A21" t="inlineStr">
        <is>
          <t>Diluted NI Availto Com Stockholders</t>
        </is>
      </c>
      <c r="B21" s="3" t="n">
        <v>103000000</v>
      </c>
      <c r="C21" s="3" t="n">
        <v>199000000</v>
      </c>
      <c r="D21" s="3" t="n">
        <v>248000000</v>
      </c>
      <c r="E21" s="3" t="n">
        <v>228000000</v>
      </c>
      <c r="F21" s="3" t="n">
        <v>210000000</v>
      </c>
      <c r="G21" s="3" t="n"/>
      <c r="H21" s="3" t="n"/>
    </row>
    <row r="22">
      <c r="A22" t="inlineStr">
        <is>
          <t>Net Income Common Stockholders</t>
        </is>
      </c>
      <c r="B22" s="3" t="n">
        <v>103000000</v>
      </c>
      <c r="C22" s="3" t="n">
        <v>199000000</v>
      </c>
      <c r="D22" s="3" t="n">
        <v>248000000</v>
      </c>
      <c r="E22" s="3" t="n">
        <v>228000000</v>
      </c>
      <c r="F22" s="3" t="n">
        <v>210000000</v>
      </c>
      <c r="G22" s="3" t="n"/>
      <c r="H22" s="3" t="n"/>
    </row>
    <row r="23">
      <c r="A23" t="inlineStr">
        <is>
          <t>Net Income</t>
        </is>
      </c>
      <c r="B23" s="3" t="n">
        <v>103000000</v>
      </c>
      <c r="C23" s="3" t="n">
        <v>199000000</v>
      </c>
      <c r="D23" s="3" t="n">
        <v>248000000</v>
      </c>
      <c r="E23" s="3" t="n">
        <v>228000000</v>
      </c>
      <c r="F23" s="3" t="n">
        <v>210000000</v>
      </c>
      <c r="G23" s="3" t="n"/>
      <c r="H23" s="3" t="n"/>
    </row>
    <row r="24">
      <c r="A24" t="inlineStr">
        <is>
          <t>Minority Interests</t>
        </is>
      </c>
      <c r="B24" s="3" t="n">
        <v>-1000000</v>
      </c>
      <c r="C24" s="3" t="n">
        <v>-1000000</v>
      </c>
      <c r="D24" s="3" t="n">
        <v>-1000000</v>
      </c>
      <c r="E24" s="3" t="n">
        <v>0</v>
      </c>
      <c r="F24" s="3" t="n">
        <v>-1000000</v>
      </c>
      <c r="G24" s="3" t="n"/>
      <c r="H24" s="3" t="n"/>
    </row>
    <row r="25">
      <c r="A25" t="inlineStr">
        <is>
          <t>Net Income Including Noncontrolling Interests</t>
        </is>
      </c>
      <c r="B25" s="3" t="n">
        <v>104000000</v>
      </c>
      <c r="C25" s="3" t="n">
        <v>200000000</v>
      </c>
      <c r="D25" s="3" t="n">
        <v>249000000</v>
      </c>
      <c r="E25" s="3" t="n">
        <v>228000000</v>
      </c>
      <c r="F25" s="3" t="n">
        <v>211000000</v>
      </c>
      <c r="G25" s="3" t="n"/>
      <c r="H25" s="3" t="n"/>
    </row>
    <row r="26">
      <c r="A26" t="inlineStr">
        <is>
          <t>Net Income Continuous Operations</t>
        </is>
      </c>
      <c r="B26" s="3" t="n">
        <v>104000000</v>
      </c>
      <c r="C26" s="3" t="n">
        <v>200000000</v>
      </c>
      <c r="D26" s="3" t="n">
        <v>249000000</v>
      </c>
      <c r="E26" s="3" t="n">
        <v>228000000</v>
      </c>
      <c r="F26" s="3" t="n">
        <v>211000000</v>
      </c>
      <c r="G26" s="3" t="n"/>
      <c r="H26" s="3" t="n"/>
    </row>
    <row r="27">
      <c r="A27" t="inlineStr">
        <is>
          <t>Tax Provision</t>
        </is>
      </c>
      <c r="B27" s="3" t="n">
        <v>81000000</v>
      </c>
      <c r="C27" s="3" t="n">
        <v>74000000</v>
      </c>
      <c r="D27" s="3" t="n">
        <v>-28000000</v>
      </c>
      <c r="E27" s="3" t="n">
        <v>-7000000</v>
      </c>
      <c r="F27" s="3" t="n">
        <v>-16000000</v>
      </c>
      <c r="G27" s="3" t="n"/>
      <c r="H27" s="3" t="n"/>
    </row>
    <row r="28">
      <c r="A28" t="inlineStr">
        <is>
          <t>Pretax Income</t>
        </is>
      </c>
      <c r="B28" s="3" t="n">
        <v>185000000</v>
      </c>
      <c r="C28" s="3" t="n">
        <v>274000000</v>
      </c>
      <c r="D28" s="3" t="n">
        <v>221000000</v>
      </c>
      <c r="E28" s="3" t="n">
        <v>221000000</v>
      </c>
      <c r="F28" s="3" t="n">
        <v>195000000</v>
      </c>
      <c r="G28" s="3" t="n"/>
      <c r="H28" s="3" t="n"/>
    </row>
    <row r="29">
      <c r="A29" t="inlineStr">
        <is>
          <t>Other Income Expense</t>
        </is>
      </c>
      <c r="B29" s="3" t="n">
        <v>-10000000</v>
      </c>
      <c r="C29" s="3" t="n">
        <v>2000000</v>
      </c>
      <c r="D29" s="3" t="n">
        <v>8000000</v>
      </c>
      <c r="E29" s="3" t="n">
        <v>8000000</v>
      </c>
      <c r="F29" s="3" t="n">
        <v>30000000</v>
      </c>
      <c r="G29" s="3" t="n"/>
      <c r="H29" s="3" t="n"/>
    </row>
    <row r="30">
      <c r="A30" t="inlineStr">
        <is>
          <t>Other Non Operating Income Expenses</t>
        </is>
      </c>
      <c r="B30" s="3" t="n">
        <v>-10000000</v>
      </c>
      <c r="C30" s="3" t="n">
        <v>-74000000</v>
      </c>
      <c r="D30" s="3" t="n">
        <v>8000000</v>
      </c>
      <c r="E30" s="3" t="n">
        <v>8000000</v>
      </c>
      <c r="F30" s="3" t="n">
        <v>30000000</v>
      </c>
      <c r="G30" s="3" t="n"/>
      <c r="H30" s="3" t="n"/>
    </row>
    <row r="31">
      <c r="A31" t="inlineStr">
        <is>
          <t>Special Income Charges</t>
        </is>
      </c>
      <c r="B31" s="3" t="n"/>
      <c r="C31" s="3" t="n">
        <v>0</v>
      </c>
      <c r="D31" s="3" t="n">
        <v>0</v>
      </c>
      <c r="E31" s="3" t="n">
        <v>0</v>
      </c>
      <c r="F31" s="3" t="n"/>
      <c r="G31" s="3" t="n">
        <v>-936000000</v>
      </c>
      <c r="H31" s="3" t="n">
        <v>-1000000</v>
      </c>
    </row>
    <row r="32">
      <c r="A32" t="inlineStr">
        <is>
          <t>Restructuring And Mergern Acquisition</t>
        </is>
      </c>
      <c r="B32" s="3" t="n"/>
      <c r="C32" s="3" t="n">
        <v>0</v>
      </c>
      <c r="D32" s="3" t="n">
        <v>0</v>
      </c>
      <c r="E32" s="3" t="n">
        <v>0</v>
      </c>
      <c r="F32" s="3" t="n"/>
      <c r="G32" s="3" t="n">
        <v>1000000</v>
      </c>
      <c r="H32" s="3" t="n">
        <v>1000000</v>
      </c>
    </row>
    <row r="33">
      <c r="A33" t="inlineStr">
        <is>
          <t>Net Non Operating Interest Income Expense</t>
        </is>
      </c>
      <c r="B33" s="3" t="n">
        <v>15000000</v>
      </c>
      <c r="C33" s="3" t="n">
        <v>17000000</v>
      </c>
      <c r="D33" s="3" t="n">
        <v>18000000</v>
      </c>
      <c r="E33" s="3" t="n">
        <v>17000000</v>
      </c>
      <c r="F33" s="3" t="n">
        <v>14000000</v>
      </c>
      <c r="G33" s="3" t="n"/>
      <c r="H33" s="3" t="n"/>
    </row>
    <row r="34">
      <c r="A34" t="inlineStr">
        <is>
          <t>Total Other Finance Cost</t>
        </is>
      </c>
      <c r="B34" s="3" t="n">
        <v>-15000000</v>
      </c>
      <c r="C34" s="3" t="n">
        <v>92000000</v>
      </c>
      <c r="D34" s="3" t="n">
        <v>-18000000</v>
      </c>
      <c r="E34" s="3" t="n">
        <v>-17000000</v>
      </c>
      <c r="F34" s="3" t="n">
        <v>-14000000</v>
      </c>
      <c r="G34" s="3" t="n"/>
      <c r="H34" s="3" t="n"/>
    </row>
    <row r="35">
      <c r="A35" t="inlineStr">
        <is>
          <t>Operating Income</t>
        </is>
      </c>
      <c r="B35" s="3" t="n">
        <v>180000000</v>
      </c>
      <c r="C35" s="3" t="n">
        <v>255000000</v>
      </c>
      <c r="D35" s="3" t="n">
        <v>195000000</v>
      </c>
      <c r="E35" s="3" t="n">
        <v>196000000</v>
      </c>
      <c r="F35" s="3" t="n">
        <v>151000000</v>
      </c>
      <c r="G35" s="3" t="n"/>
      <c r="H35" s="3" t="n"/>
    </row>
    <row r="36">
      <c r="A36" t="inlineStr">
        <is>
          <t>Operating Expense</t>
        </is>
      </c>
      <c r="B36" s="3" t="n">
        <v>271000000</v>
      </c>
      <c r="C36" s="3" t="n">
        <v>253000000</v>
      </c>
      <c r="D36" s="3" t="n">
        <v>224000000</v>
      </c>
      <c r="E36" s="3" t="n">
        <v>212000000</v>
      </c>
      <c r="F36" s="3" t="n">
        <v>204000000</v>
      </c>
      <c r="G36" s="3" t="n"/>
      <c r="H36" s="3" t="n"/>
    </row>
    <row r="37">
      <c r="A37" t="inlineStr">
        <is>
          <t>Research And Development</t>
        </is>
      </c>
      <c r="B37" s="3" t="n">
        <v>132000000</v>
      </c>
      <c r="C37" s="3" t="n">
        <v>133000000</v>
      </c>
      <c r="D37" s="3" t="n">
        <v>124000000</v>
      </c>
      <c r="E37" s="3" t="n">
        <v>134000000</v>
      </c>
      <c r="F37" s="3" t="n">
        <v>127000000</v>
      </c>
      <c r="G37" s="3" t="n"/>
      <c r="H37" s="3" t="n"/>
    </row>
    <row r="38">
      <c r="A38" t="inlineStr">
        <is>
          <t>Selling General And Administration</t>
        </is>
      </c>
      <c r="B38" s="3" t="n">
        <v>139000000</v>
      </c>
      <c r="C38" s="3" t="n">
        <v>82000000</v>
      </c>
      <c r="D38" s="3" t="n">
        <v>100000000</v>
      </c>
      <c r="E38" s="3" t="n">
        <v>78000000</v>
      </c>
      <c r="F38" s="3" t="n">
        <v>77000000</v>
      </c>
      <c r="G38" s="3" t="n"/>
      <c r="H38" s="3" t="n"/>
    </row>
    <row r="39">
      <c r="A39" t="inlineStr">
        <is>
          <t>Gross Profit</t>
        </is>
      </c>
      <c r="B39" s="3" t="n">
        <v>451000000</v>
      </c>
      <c r="C39" s="3" t="n">
        <v>508000000</v>
      </c>
      <c r="D39" s="3" t="n">
        <v>419000000</v>
      </c>
      <c r="E39" s="3" t="n">
        <v>408000000</v>
      </c>
      <c r="F39" s="3" t="n">
        <v>355000000</v>
      </c>
      <c r="G39" s="3" t="n"/>
      <c r="H39" s="3" t="n"/>
    </row>
    <row r="40">
      <c r="A40" t="inlineStr">
        <is>
          <t>Cost Of Revenue</t>
        </is>
      </c>
      <c r="B40" s="3" t="n">
        <v>1183000000</v>
      </c>
      <c r="C40" s="3" t="n">
        <v>1322000000</v>
      </c>
      <c r="D40" s="3" t="n">
        <v>1269000000</v>
      </c>
      <c r="E40" s="3" t="n">
        <v>1280000000</v>
      </c>
      <c r="F40" s="3" t="n">
        <v>1230000000</v>
      </c>
      <c r="G40" s="3" t="n"/>
      <c r="H40" s="3" t="n"/>
    </row>
    <row r="41">
      <c r="A41" t="inlineStr">
        <is>
          <t>Total Revenue</t>
        </is>
      </c>
      <c r="B41" s="3" t="n">
        <v>1634000000</v>
      </c>
      <c r="C41" s="3" t="n">
        <v>1830000000</v>
      </c>
      <c r="D41" s="3" t="n">
        <v>1688000000</v>
      </c>
      <c r="E41" s="3" t="n">
        <v>1688000000</v>
      </c>
      <c r="F41" s="3" t="n">
        <v>1585000000</v>
      </c>
      <c r="G41" s="3" t="n"/>
      <c r="H41" s="3" t="n"/>
    </row>
    <row r="42">
      <c r="A42" t="inlineStr">
        <is>
          <t>Operating Revenue</t>
        </is>
      </c>
      <c r="B42" s="3" t="n">
        <v>1634000000</v>
      </c>
      <c r="C42" s="3" t="n">
        <v>1830000000</v>
      </c>
      <c r="D42" s="3" t="n">
        <v>1688000000</v>
      </c>
      <c r="E42" s="3" t="n">
        <v>1688000000</v>
      </c>
      <c r="F42" s="3" t="n">
        <v>1585000000</v>
      </c>
      <c r="G42" s="3" t="n"/>
      <c r="H42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Ordinary Shares Number</t>
        </is>
      </c>
      <c r="B2" s="3" t="n">
        <v>555888455</v>
      </c>
      <c r="C2" s="3" t="n">
        <v>552912823</v>
      </c>
      <c r="D2" s="3" t="n">
        <v>553548190</v>
      </c>
      <c r="E2" s="3" t="n">
        <v>547754986</v>
      </c>
      <c r="F2" s="3" t="n"/>
    </row>
    <row r="3">
      <c r="A3" t="inlineStr">
        <is>
          <t>Share Issued</t>
        </is>
      </c>
      <c r="B3" s="3" t="n">
        <v>555888455</v>
      </c>
      <c r="C3" s="3" t="n">
        <v>552912823</v>
      </c>
      <c r="D3" s="3" t="n">
        <v>553548190</v>
      </c>
      <c r="E3" s="3" t="n">
        <v>547754986</v>
      </c>
      <c r="F3" s="3" t="n"/>
    </row>
    <row r="4">
      <c r="A4" t="inlineStr">
        <is>
          <t>Net Debt</t>
        </is>
      </c>
      <c r="B4" s="3" t="n"/>
      <c r="C4" s="3" t="n"/>
      <c r="D4" s="3" t="n"/>
      <c r="E4" s="3" t="n">
        <v>159000000</v>
      </c>
      <c r="F4" s="3" t="n"/>
    </row>
    <row r="5">
      <c r="A5" t="inlineStr">
        <is>
          <t>Total Debt</t>
        </is>
      </c>
      <c r="B5" s="3" t="n">
        <v>1707000000</v>
      </c>
      <c r="C5" s="3" t="n">
        <v>2320000000</v>
      </c>
      <c r="D5" s="3" t="n">
        <v>2754000000</v>
      </c>
      <c r="E5" s="3" t="n">
        <v>2856000000</v>
      </c>
      <c r="F5" s="3" t="n"/>
    </row>
    <row r="6">
      <c r="A6" t="inlineStr">
        <is>
          <t>Tangible Book Value</t>
        </is>
      </c>
      <c r="B6" s="3" t="n">
        <v>10560000000</v>
      </c>
      <c r="C6" s="3" t="n">
        <v>10116000000</v>
      </c>
      <c r="D6" s="3" t="n">
        <v>10713000000</v>
      </c>
      <c r="E6" s="3" t="n">
        <v>9550000000</v>
      </c>
      <c r="F6" s="3" t="n"/>
    </row>
    <row r="7">
      <c r="A7" t="inlineStr">
        <is>
          <t>Invested Capital</t>
        </is>
      </c>
      <c r="B7" s="3" t="n">
        <v>13079000000</v>
      </c>
      <c r="C7" s="3" t="n">
        <v>12582000000</v>
      </c>
      <c r="D7" s="3" t="n">
        <v>13476000000</v>
      </c>
      <c r="E7" s="3" t="n">
        <v>12424000000</v>
      </c>
      <c r="F7" s="3" t="n"/>
    </row>
    <row r="8">
      <c r="A8" t="inlineStr">
        <is>
          <t>Working Capital</t>
        </is>
      </c>
      <c r="B8" s="3" t="n">
        <v>3837000000</v>
      </c>
      <c r="C8" s="3" t="n">
        <v>3372000000</v>
      </c>
      <c r="D8" s="3" t="n">
        <v>3228000000</v>
      </c>
      <c r="E8" s="3" t="n">
        <v>2441000000</v>
      </c>
      <c r="F8" s="3" t="n"/>
    </row>
    <row r="9">
      <c r="A9" t="inlineStr">
        <is>
          <t>Net Tangible Assets</t>
        </is>
      </c>
      <c r="B9" s="3" t="n">
        <v>10560000000</v>
      </c>
      <c r="C9" s="3" t="n">
        <v>10116000000</v>
      </c>
      <c r="D9" s="3" t="n">
        <v>10713000000</v>
      </c>
      <c r="E9" s="3" t="n">
        <v>9550000000</v>
      </c>
      <c r="F9" s="3" t="n"/>
    </row>
    <row r="10">
      <c r="A10" t="inlineStr">
        <is>
          <t>Capital Lease Obligations</t>
        </is>
      </c>
      <c r="B10" s="3" t="n">
        <v>556000000</v>
      </c>
      <c r="C10" s="3" t="n">
        <v>514000000</v>
      </c>
      <c r="D10" s="3" t="n">
        <v>382000000</v>
      </c>
      <c r="E10" s="3" t="n">
        <v>345000000</v>
      </c>
      <c r="F10" s="3" t="n"/>
    </row>
    <row r="11">
      <c r="A11" t="inlineStr">
        <is>
          <t>Common Stock Equity</t>
        </is>
      </c>
      <c r="B11" s="3" t="n">
        <v>11928000000</v>
      </c>
      <c r="C11" s="3" t="n">
        <v>10776000000</v>
      </c>
      <c r="D11" s="3" t="n">
        <v>11104000000</v>
      </c>
      <c r="E11" s="3" t="n">
        <v>9913000000</v>
      </c>
      <c r="F11" s="3" t="n"/>
    </row>
    <row r="12">
      <c r="A12" t="inlineStr">
        <is>
          <t>Total Capitalization</t>
        </is>
      </c>
      <c r="B12" s="3" t="n">
        <v>12993000000</v>
      </c>
      <c r="C12" s="3" t="n">
        <v>11829000000</v>
      </c>
      <c r="D12" s="3" t="n">
        <v>12905000000</v>
      </c>
      <c r="E12" s="3" t="n">
        <v>12201000000</v>
      </c>
      <c r="F12" s="3" t="n"/>
    </row>
    <row r="13">
      <c r="A13" t="inlineStr">
        <is>
          <t>Total Equity Gross Minority Interest</t>
        </is>
      </c>
      <c r="B13" s="3" t="n">
        <v>11983000000</v>
      </c>
      <c r="C13" s="3" t="n">
        <v>10824000000</v>
      </c>
      <c r="D13" s="3" t="n">
        <v>11151000000</v>
      </c>
      <c r="E13" s="3" t="n">
        <v>9960000000</v>
      </c>
      <c r="F13" s="3" t="n"/>
    </row>
    <row r="14">
      <c r="A14" t="inlineStr">
        <is>
          <t>Minority Interest</t>
        </is>
      </c>
      <c r="B14" s="3" t="n">
        <v>55000000</v>
      </c>
      <c r="C14" s="3" t="n">
        <v>48000000</v>
      </c>
      <c r="D14" s="3" t="n">
        <v>47000000</v>
      </c>
      <c r="E14" s="3" t="n">
        <v>47000000</v>
      </c>
      <c r="F14" s="3" t="n"/>
    </row>
    <row r="15">
      <c r="A15" t="inlineStr">
        <is>
          <t>Stockholders Equity</t>
        </is>
      </c>
      <c r="B15" s="3" t="n">
        <v>11928000000</v>
      </c>
      <c r="C15" s="3" t="n">
        <v>10776000000</v>
      </c>
      <c r="D15" s="3" t="n">
        <v>11104000000</v>
      </c>
      <c r="E15" s="3" t="n">
        <v>9913000000</v>
      </c>
      <c r="F15" s="3" t="n"/>
    </row>
    <row r="16">
      <c r="A16" t="inlineStr">
        <is>
          <t>Gains Losses Not Affecting Retained Earnings</t>
        </is>
      </c>
      <c r="B16" s="3" t="n">
        <v>78000000</v>
      </c>
      <c r="C16" s="3" t="n">
        <v>17000000</v>
      </c>
      <c r="D16" s="3" t="n">
        <v>67000000</v>
      </c>
      <c r="E16" s="3" t="n">
        <v>92000000</v>
      </c>
      <c r="F16" s="3" t="n"/>
    </row>
    <row r="17">
      <c r="A17" t="inlineStr">
        <is>
          <t>Other Equity Adjustments</t>
        </is>
      </c>
      <c r="B17" s="3" t="n">
        <v>78000000</v>
      </c>
      <c r="C17" s="3" t="n">
        <v>17000000</v>
      </c>
      <c r="D17" s="3" t="n">
        <v>67000000</v>
      </c>
      <c r="E17" s="3" t="n">
        <v>92000000</v>
      </c>
      <c r="F17" s="3" t="n"/>
    </row>
    <row r="18">
      <c r="A18" t="inlineStr">
        <is>
          <t>Retained Earnings</t>
        </is>
      </c>
      <c r="B18" s="3" t="n">
        <v>-12381000000</v>
      </c>
      <c r="C18" s="3" t="n">
        <v>-13266000000</v>
      </c>
      <c r="D18" s="3" t="n">
        <v>-13001000000</v>
      </c>
      <c r="E18" s="3" t="n">
        <v>-14021000000</v>
      </c>
      <c r="F18" s="3" t="n"/>
    </row>
    <row r="19">
      <c r="A19" t="inlineStr">
        <is>
          <t>Additional Paid In Capital</t>
        </is>
      </c>
      <c r="B19" s="3" t="n">
        <v>24220000000</v>
      </c>
      <c r="C19" s="3" t="n">
        <v>24014000000</v>
      </c>
      <c r="D19" s="3" t="n">
        <v>24027000000</v>
      </c>
      <c r="E19" s="3" t="n">
        <v>23831000000</v>
      </c>
      <c r="F19" s="3" t="n"/>
    </row>
    <row r="20">
      <c r="A20" t="inlineStr">
        <is>
          <t>Capital Stock</t>
        </is>
      </c>
      <c r="B20" s="3" t="n">
        <v>11000000</v>
      </c>
      <c r="C20" s="3" t="n">
        <v>11000000</v>
      </c>
      <c r="D20" s="3" t="n">
        <v>11000000</v>
      </c>
      <c r="E20" s="3" t="n">
        <v>11000000</v>
      </c>
      <c r="F20" s="3" t="n"/>
    </row>
    <row r="21">
      <c r="A21" t="inlineStr">
        <is>
          <t>Common Stock</t>
        </is>
      </c>
      <c r="B21" s="3" t="n">
        <v>11000000</v>
      </c>
      <c r="C21" s="3" t="n">
        <v>11000000</v>
      </c>
      <c r="D21" s="3" t="n">
        <v>11000000</v>
      </c>
      <c r="E21" s="3" t="n">
        <v>11000000</v>
      </c>
      <c r="F21" s="3" t="n"/>
    </row>
    <row r="22">
      <c r="A22" t="inlineStr">
        <is>
          <t>Total Liabilities Net Minority Interest</t>
        </is>
      </c>
      <c r="B22" s="3" t="n">
        <v>5158000000</v>
      </c>
      <c r="C22" s="3" t="n">
        <v>5975000000</v>
      </c>
      <c r="D22" s="3" t="n">
        <v>6893000000</v>
      </c>
      <c r="E22" s="3" t="n">
        <v>7881000000</v>
      </c>
      <c r="F22" s="3" t="n"/>
    </row>
    <row r="23">
      <c r="A23" t="inlineStr">
        <is>
          <t>Total Non Current Liabilities Net Minority Interest</t>
        </is>
      </c>
      <c r="B23" s="3" t="n">
        <v>2790000000</v>
      </c>
      <c r="C23" s="3" t="n">
        <v>2931000000</v>
      </c>
      <c r="D23" s="3" t="n">
        <v>3794000000</v>
      </c>
      <c r="E23" s="3" t="n">
        <v>4522000000</v>
      </c>
      <c r="F23" s="3" t="n"/>
    </row>
    <row r="24">
      <c r="A24" t="inlineStr">
        <is>
          <t>Other Non Current Liabilities</t>
        </is>
      </c>
      <c r="B24" s="3" t="n">
        <v>200000000</v>
      </c>
      <c r="C24" s="3" t="n">
        <v>85000000</v>
      </c>
      <c r="D24" s="3" t="n">
        <v>12000000</v>
      </c>
      <c r="E24" s="3" t="n">
        <v>56000000</v>
      </c>
      <c r="F24" s="3" t="n"/>
    </row>
    <row r="25">
      <c r="A25" t="inlineStr">
        <is>
          <t>Derivative Product Liabilities</t>
        </is>
      </c>
      <c r="B25" s="3" t="n"/>
      <c r="C25" s="3" t="n">
        <v>8000000</v>
      </c>
      <c r="D25" s="3" t="n">
        <v>14000000</v>
      </c>
      <c r="E25" s="3" t="n"/>
      <c r="F25" s="3" t="n"/>
    </row>
    <row r="26">
      <c r="A26" t="inlineStr">
        <is>
          <t>Tradeand Other Payables Non Current</t>
        </is>
      </c>
      <c r="B26" s="3" t="n">
        <v>150000000</v>
      </c>
      <c r="C26" s="3" t="n">
        <v>193000000</v>
      </c>
      <c r="D26" s="3" t="n">
        <v>76000000</v>
      </c>
      <c r="E26" s="3" t="n">
        <v>92000000</v>
      </c>
      <c r="F26" s="3" t="n"/>
    </row>
    <row r="27">
      <c r="A27" t="inlineStr">
        <is>
          <t>Non Current Deferred Liabilities</t>
        </is>
      </c>
      <c r="B27" s="3" t="n">
        <v>714000000</v>
      </c>
      <c r="C27" s="3" t="n">
        <v>979000000</v>
      </c>
      <c r="D27" s="3" t="n">
        <v>1355000000</v>
      </c>
      <c r="E27" s="3" t="n">
        <v>1620000000</v>
      </c>
      <c r="F27" s="3" t="n"/>
    </row>
    <row r="28">
      <c r="A28" t="inlineStr">
        <is>
          <t>Non Current Deferred Revenue</t>
        </is>
      </c>
      <c r="B28" s="3" t="n">
        <v>714000000</v>
      </c>
      <c r="C28" s="3" t="n">
        <v>979000000</v>
      </c>
      <c r="D28" s="3" t="n">
        <v>1355000000</v>
      </c>
      <c r="E28" s="3" t="n">
        <v>1620000000</v>
      </c>
      <c r="F28" s="3" t="n"/>
    </row>
    <row r="29">
      <c r="A29" t="inlineStr">
        <is>
          <t>Non Current Deferred Taxes Liabilities</t>
        </is>
      </c>
      <c r="B29" s="3" t="n"/>
      <c r="C29" s="3" t="n"/>
      <c r="D29" s="3" t="n"/>
      <c r="E29" s="3" t="n">
        <v>26000000</v>
      </c>
      <c r="F29" s="3" t="n">
        <v>2000000</v>
      </c>
    </row>
    <row r="30">
      <c r="A30" t="inlineStr">
        <is>
          <t>Long Term Debt And Capital Lease Obligation</t>
        </is>
      </c>
      <c r="B30" s="3" t="n">
        <v>1552000000</v>
      </c>
      <c r="C30" s="3" t="n">
        <v>1477000000</v>
      </c>
      <c r="D30" s="3" t="n">
        <v>2151000000</v>
      </c>
      <c r="E30" s="3" t="n">
        <v>2558000000</v>
      </c>
      <c r="F30" s="3" t="n"/>
    </row>
    <row r="31">
      <c r="A31" t="inlineStr">
        <is>
          <t>Long Term Capital Lease Obligation</t>
        </is>
      </c>
      <c r="B31" s="3" t="n">
        <v>487000000</v>
      </c>
      <c r="C31" s="3" t="n">
        <v>424000000</v>
      </c>
      <c r="D31" s="3" t="n">
        <v>350000000</v>
      </c>
      <c r="E31" s="3" t="n">
        <v>270000000</v>
      </c>
      <c r="F31" s="3" t="n"/>
    </row>
    <row r="32">
      <c r="A32" t="inlineStr">
        <is>
          <t>Long Term Debt</t>
        </is>
      </c>
      <c r="B32" s="3" t="n">
        <v>1065000000</v>
      </c>
      <c r="C32" s="3" t="n">
        <v>1053000000</v>
      </c>
      <c r="D32" s="3" t="n">
        <v>1801000000</v>
      </c>
      <c r="E32" s="3" t="n">
        <v>2288000000</v>
      </c>
      <c r="F32" s="3" t="n"/>
    </row>
    <row r="33">
      <c r="A33" t="inlineStr">
        <is>
          <t>Long Term Provisions</t>
        </is>
      </c>
      <c r="B33" s="3" t="n">
        <v>174000000</v>
      </c>
      <c r="C33" s="3" t="n">
        <v>197000000</v>
      </c>
      <c r="D33" s="3" t="n">
        <v>186000000</v>
      </c>
      <c r="E33" s="3" t="n">
        <v>196000000</v>
      </c>
      <c r="F33" s="3" t="n"/>
    </row>
    <row r="34">
      <c r="A34" t="inlineStr">
        <is>
          <t>Current Liabilities</t>
        </is>
      </c>
      <c r="B34" s="3" t="n">
        <v>2368000000</v>
      </c>
      <c r="C34" s="3" t="n">
        <v>3044000000</v>
      </c>
      <c r="D34" s="3" t="n">
        <v>3099000000</v>
      </c>
      <c r="E34" s="3" t="n">
        <v>3359000000</v>
      </c>
      <c r="F34" s="3" t="n"/>
    </row>
    <row r="35">
      <c r="A35" t="inlineStr">
        <is>
          <t>Other Current Liabilities</t>
        </is>
      </c>
      <c r="B35" s="3" t="n">
        <v>114000000</v>
      </c>
      <c r="C35" s="3" t="n">
        <v>114000000</v>
      </c>
      <c r="D35" s="3" t="n">
        <v>97000000</v>
      </c>
      <c r="E35" s="3" t="n">
        <v>98000000</v>
      </c>
      <c r="F35" s="3" t="n"/>
    </row>
    <row r="36">
      <c r="A36" t="inlineStr">
        <is>
          <t>Current Deferred Liabilities</t>
        </is>
      </c>
      <c r="B36" s="3" t="n">
        <v>777000000</v>
      </c>
      <c r="C36" s="3" t="n">
        <v>932000000</v>
      </c>
      <c r="D36" s="3" t="n">
        <v>1010000000</v>
      </c>
      <c r="E36" s="3" t="n">
        <v>702000000</v>
      </c>
      <c r="F36" s="3" t="n"/>
    </row>
    <row r="37">
      <c r="A37" t="inlineStr">
        <is>
          <t>Current Deferred Revenue</t>
        </is>
      </c>
      <c r="B37" s="3" t="n">
        <v>777000000</v>
      </c>
      <c r="C37" s="3" t="n">
        <v>932000000</v>
      </c>
      <c r="D37" s="3" t="n">
        <v>1010000000</v>
      </c>
      <c r="E37" s="3" t="n">
        <v>702000000</v>
      </c>
      <c r="F37" s="3" t="n"/>
    </row>
    <row r="38">
      <c r="A38" t="inlineStr">
        <is>
          <t>Current Debt And Capital Lease Obligation</t>
        </is>
      </c>
      <c r="B38" s="3" t="n">
        <v>155000000</v>
      </c>
      <c r="C38" s="3" t="n">
        <v>843000000</v>
      </c>
      <c r="D38" s="3" t="n">
        <v>603000000</v>
      </c>
      <c r="E38" s="3" t="n">
        <v>298000000</v>
      </c>
      <c r="F38" s="3" t="n"/>
    </row>
    <row r="39">
      <c r="A39" t="inlineStr">
        <is>
          <t>Current Capital Lease Obligation</t>
        </is>
      </c>
      <c r="B39" s="3" t="n">
        <v>69000000</v>
      </c>
      <c r="C39" s="3" t="n">
        <v>90000000</v>
      </c>
      <c r="D39" s="3" t="n">
        <v>32000000</v>
      </c>
      <c r="E39" s="3" t="n">
        <v>75000000</v>
      </c>
      <c r="F39" s="3" t="n"/>
    </row>
    <row r="40">
      <c r="A40" t="inlineStr">
        <is>
          <t>Current Debt</t>
        </is>
      </c>
      <c r="B40" s="3" t="n">
        <v>86000000</v>
      </c>
      <c r="C40" s="3" t="n">
        <v>753000000</v>
      </c>
      <c r="D40" s="3" t="n">
        <v>571000000</v>
      </c>
      <c r="E40" s="3" t="n">
        <v>223000000</v>
      </c>
      <c r="F40" s="3" t="n"/>
    </row>
    <row r="41">
      <c r="A41" t="inlineStr">
        <is>
          <t>Other Current Borrowings</t>
        </is>
      </c>
      <c r="B41" s="3" t="n">
        <v>86000000</v>
      </c>
      <c r="C41" s="3" t="n">
        <v>753000000</v>
      </c>
      <c r="D41" s="3" t="n">
        <v>571000000</v>
      </c>
      <c r="E41" s="3" t="n">
        <v>223000000</v>
      </c>
      <c r="F41" s="3" t="n"/>
    </row>
    <row r="42">
      <c r="A42" t="inlineStr">
        <is>
          <t>Current Provisions</t>
        </is>
      </c>
      <c r="B42" s="3" t="n"/>
      <c r="C42" s="3" t="n">
        <v>17000000</v>
      </c>
      <c r="D42" s="3" t="n">
        <v>54000000</v>
      </c>
      <c r="E42" s="3" t="n">
        <v>102000000</v>
      </c>
      <c r="F42" s="3" t="n">
        <v>116000000</v>
      </c>
    </row>
    <row r="43">
      <c r="A43" t="inlineStr">
        <is>
          <t>Payables And Accrued Expenses</t>
        </is>
      </c>
      <c r="B43" s="3" t="n">
        <v>1322000000</v>
      </c>
      <c r="C43" s="3" t="n">
        <v>1155000000</v>
      </c>
      <c r="D43" s="3" t="n">
        <v>1335000000</v>
      </c>
      <c r="E43" s="3" t="n">
        <v>2159000000</v>
      </c>
      <c r="F43" s="3" t="n"/>
    </row>
    <row r="44">
      <c r="A44" t="inlineStr">
        <is>
          <t>Current Accrued Expenses</t>
        </is>
      </c>
      <c r="B44" s="3" t="n">
        <v>452000000</v>
      </c>
      <c r="C44" s="3" t="n">
        <v>522000000</v>
      </c>
      <c r="D44" s="3" t="n">
        <v>496000000</v>
      </c>
      <c r="E44" s="3" t="n">
        <v>573000000</v>
      </c>
      <c r="F44" s="3" t="n"/>
    </row>
    <row r="45">
      <c r="A45" t="inlineStr">
        <is>
          <t>Payables</t>
        </is>
      </c>
      <c r="B45" s="3" t="n">
        <v>870000000</v>
      </c>
      <c r="C45" s="3" t="n">
        <v>633000000</v>
      </c>
      <c r="D45" s="3" t="n">
        <v>839000000</v>
      </c>
      <c r="E45" s="3" t="n">
        <v>1586000000</v>
      </c>
      <c r="F45" s="3" t="n"/>
    </row>
    <row r="46">
      <c r="A46" t="inlineStr">
        <is>
          <t>Other Payable</t>
        </is>
      </c>
      <c r="B46" s="3" t="n">
        <v>379000000</v>
      </c>
      <c r="C46" s="3" t="n">
        <v>227000000</v>
      </c>
      <c r="D46" s="3" t="n">
        <v>328000000</v>
      </c>
      <c r="E46" s="3" t="n">
        <v>1054000000</v>
      </c>
      <c r="F46" s="3" t="n"/>
    </row>
    <row r="47">
      <c r="A47" t="inlineStr">
        <is>
          <t>Accounts Payable</t>
        </is>
      </c>
      <c r="B47" s="3" t="n">
        <v>491000000</v>
      </c>
      <c r="C47" s="3" t="n">
        <v>406000000</v>
      </c>
      <c r="D47" s="3" t="n">
        <v>511000000</v>
      </c>
      <c r="E47" s="3" t="n">
        <v>532000000</v>
      </c>
      <c r="F47" s="3" t="n"/>
    </row>
    <row r="48">
      <c r="A48" t="inlineStr">
        <is>
          <t>Total Assets</t>
        </is>
      </c>
      <c r="B48" s="3" t="n">
        <v>17141000000</v>
      </c>
      <c r="C48" s="3" t="n">
        <v>16799000000</v>
      </c>
      <c r="D48" s="3" t="n">
        <v>18044000000</v>
      </c>
      <c r="E48" s="3" t="n">
        <v>17841000000</v>
      </c>
      <c r="F48" s="3" t="n"/>
    </row>
    <row r="49">
      <c r="A49" t="inlineStr">
        <is>
          <t>Total Non Current Assets</t>
        </is>
      </c>
      <c r="B49" s="3" t="n">
        <v>10936000000</v>
      </c>
      <c r="C49" s="3" t="n">
        <v>10383000000</v>
      </c>
      <c r="D49" s="3" t="n">
        <v>11717000000</v>
      </c>
      <c r="E49" s="3" t="n">
        <v>12041000000</v>
      </c>
      <c r="F49" s="3" t="n"/>
    </row>
    <row r="50">
      <c r="A50" t="inlineStr">
        <is>
          <t>Other Non Current Assets</t>
        </is>
      </c>
      <c r="B50" s="3" t="n">
        <v>106000000</v>
      </c>
      <c r="C50" s="3" t="n">
        <v>22000000</v>
      </c>
      <c r="D50" s="3" t="n">
        <v>24000000</v>
      </c>
      <c r="E50" s="3" t="n">
        <v>25000000</v>
      </c>
      <c r="F50" s="3" t="n"/>
    </row>
    <row r="51">
      <c r="A51" t="inlineStr">
        <is>
          <t>Non Current Prepaid Assets</t>
        </is>
      </c>
      <c r="B51" s="3" t="n">
        <v>173000000</v>
      </c>
      <c r="C51" s="3" t="n">
        <v>180000000</v>
      </c>
      <c r="D51" s="3" t="n">
        <v>213000000</v>
      </c>
      <c r="E51" s="3" t="n">
        <v>235000000</v>
      </c>
      <c r="F51" s="3" t="n"/>
    </row>
    <row r="52">
      <c r="A52" t="inlineStr">
        <is>
          <t>Non Current Deferred Assets</t>
        </is>
      </c>
      <c r="B52" s="3" t="n">
        <v>231000000</v>
      </c>
      <c r="C52" s="3" t="n">
        <v>188000000</v>
      </c>
      <c r="D52" s="3" t="n">
        <v>241000000</v>
      </c>
      <c r="E52" s="3" t="n">
        <v>292000000</v>
      </c>
      <c r="F52" s="3" t="n"/>
    </row>
    <row r="53">
      <c r="A53" t="inlineStr">
        <is>
          <t>Non Current Deferred Taxes Assets</t>
        </is>
      </c>
      <c r="B53" s="3" t="n">
        <v>231000000</v>
      </c>
      <c r="C53" s="3" t="n">
        <v>188000000</v>
      </c>
      <c r="D53" s="3" t="n">
        <v>241000000</v>
      </c>
      <c r="E53" s="3" t="n">
        <v>292000000</v>
      </c>
      <c r="F53" s="3" t="n"/>
    </row>
    <row r="54">
      <c r="A54" t="inlineStr">
        <is>
          <t>Non Current Note Receivables</t>
        </is>
      </c>
      <c r="B54" s="3" t="n"/>
      <c r="C54" s="3" t="n"/>
      <c r="D54" s="3" t="n">
        <v>0</v>
      </c>
      <c r="E54" s="3" t="n">
        <v>11000000</v>
      </c>
      <c r="F54" s="3" t="n">
        <v>8000000</v>
      </c>
    </row>
    <row r="55">
      <c r="A55" t="inlineStr">
        <is>
          <t>Non Current Accounts Receivable</t>
        </is>
      </c>
      <c r="B55" s="3" t="n">
        <v>118000000</v>
      </c>
      <c r="C55" s="3" t="n">
        <v>124000000</v>
      </c>
      <c r="D55" s="3" t="n">
        <v>106000000</v>
      </c>
      <c r="E55" s="3" t="n">
        <v>21000000</v>
      </c>
      <c r="F55" s="3" t="n"/>
    </row>
    <row r="56">
      <c r="A56" t="inlineStr">
        <is>
          <t>Financial Assets</t>
        </is>
      </c>
      <c r="B56" s="3" t="n"/>
      <c r="C56" s="3" t="n"/>
      <c r="D56" s="3" t="n"/>
      <c r="E56" s="3" t="n">
        <v>137000000</v>
      </c>
      <c r="F56" s="3" t="n">
        <v>40000000</v>
      </c>
    </row>
    <row r="57">
      <c r="A57" t="inlineStr">
        <is>
          <t>Investments And Advances</t>
        </is>
      </c>
      <c r="B57" s="3" t="n">
        <v>1148000000</v>
      </c>
      <c r="C57" s="3" t="n">
        <v>949000000</v>
      </c>
      <c r="D57" s="3" t="n">
        <v>578000000</v>
      </c>
      <c r="E57" s="3" t="n">
        <v>509000000</v>
      </c>
      <c r="F57" s="3" t="n"/>
    </row>
    <row r="58">
      <c r="A58" t="inlineStr">
        <is>
          <t>Investmentin Financial Assets</t>
        </is>
      </c>
      <c r="B58" s="3" t="n">
        <v>1148000000</v>
      </c>
      <c r="C58" s="3" t="n">
        <v>949000000</v>
      </c>
      <c r="D58" s="3" t="n">
        <v>578000000</v>
      </c>
      <c r="E58" s="3" t="n">
        <v>509000000</v>
      </c>
      <c r="F58" s="3" t="n"/>
    </row>
    <row r="59">
      <c r="A59" t="inlineStr">
        <is>
          <t>Available For Sale Securities</t>
        </is>
      </c>
      <c r="B59" s="3" t="n">
        <v>1148000000</v>
      </c>
      <c r="C59" s="3" t="n">
        <v>949000000</v>
      </c>
      <c r="D59" s="3" t="n">
        <v>578000000</v>
      </c>
      <c r="E59" s="3" t="n">
        <v>509000000</v>
      </c>
      <c r="F59" s="3" t="n"/>
    </row>
    <row r="60">
      <c r="A60" t="inlineStr">
        <is>
          <t>Long Term Equity Investment</t>
        </is>
      </c>
      <c r="B60" s="3" t="n"/>
      <c r="C60" s="3" t="n"/>
      <c r="D60" s="3" t="n"/>
      <c r="E60" s="3" t="n"/>
      <c r="F60" s="3" t="n">
        <v>37938000</v>
      </c>
    </row>
    <row r="61">
      <c r="A61" t="inlineStr">
        <is>
          <t>Investmentsin Joint Venturesat Cost</t>
        </is>
      </c>
      <c r="B61" s="3" t="n"/>
      <c r="C61" s="3" t="n"/>
      <c r="D61" s="3" t="n"/>
      <c r="E61" s="3" t="n"/>
      <c r="F61" s="3" t="n">
        <v>37938000</v>
      </c>
    </row>
    <row r="62">
      <c r="A62" t="inlineStr">
        <is>
          <t>Goodwill And Other Intangible Assets</t>
        </is>
      </c>
      <c r="B62" s="3" t="n">
        <v>1368000000</v>
      </c>
      <c r="C62" s="3" t="n">
        <v>660000000</v>
      </c>
      <c r="D62" s="3" t="n">
        <v>391000000</v>
      </c>
      <c r="E62" s="3" t="n">
        <v>363000000</v>
      </c>
      <c r="F62" s="3" t="n"/>
    </row>
    <row r="63">
      <c r="A63" t="inlineStr">
        <is>
          <t>Other Intangible Assets</t>
        </is>
      </c>
      <c r="B63" s="3" t="n">
        <v>961000000</v>
      </c>
      <c r="C63" s="3" t="n">
        <v>585000000</v>
      </c>
      <c r="D63" s="3" t="n">
        <v>373000000</v>
      </c>
      <c r="E63" s="3" t="n">
        <v>345000000</v>
      </c>
      <c r="F63" s="3" t="n"/>
    </row>
    <row r="64">
      <c r="A64" t="inlineStr">
        <is>
          <t>Goodwill</t>
        </is>
      </c>
      <c r="B64" s="3" t="n">
        <v>407000000</v>
      </c>
      <c r="C64" s="3" t="n">
        <v>75000000</v>
      </c>
      <c r="D64" s="3" t="n">
        <v>18000000</v>
      </c>
      <c r="E64" s="3" t="n">
        <v>18000000</v>
      </c>
      <c r="F64" s="3" t="n"/>
    </row>
    <row r="65">
      <c r="A65" t="inlineStr">
        <is>
          <t>Net PPE</t>
        </is>
      </c>
      <c r="B65" s="3" t="n">
        <v>7792000000</v>
      </c>
      <c r="C65" s="3" t="n">
        <v>8260000000</v>
      </c>
      <c r="D65" s="3" t="n">
        <v>10164000000</v>
      </c>
      <c r="E65" s="3" t="n">
        <v>10596000000</v>
      </c>
      <c r="F65" s="3" t="n"/>
    </row>
    <row r="66">
      <c r="A66" t="inlineStr">
        <is>
          <t>Accumulated Depreciation</t>
        </is>
      </c>
      <c r="B66" s="3" t="n">
        <v>-25998000000</v>
      </c>
      <c r="C66" s="3" t="n">
        <v>-26018000000</v>
      </c>
      <c r="D66" s="3" t="n">
        <v>-24135000000</v>
      </c>
      <c r="E66" s="3" t="n">
        <v>-23785000000</v>
      </c>
      <c r="F66" s="3" t="n"/>
    </row>
    <row r="67">
      <c r="A67" t="inlineStr">
        <is>
          <t>Gross PPE</t>
        </is>
      </c>
      <c r="B67" s="3" t="n">
        <v>33790000000</v>
      </c>
      <c r="C67" s="3" t="n">
        <v>34278000000</v>
      </c>
      <c r="D67" s="3" t="n">
        <v>34299000000</v>
      </c>
      <c r="E67" s="3" t="n">
        <v>34381000000</v>
      </c>
      <c r="F67" s="3" t="n"/>
    </row>
    <row r="68">
      <c r="A68" t="inlineStr">
        <is>
          <t>Construction In Progress</t>
        </is>
      </c>
      <c r="B68" s="3" t="n">
        <v>480000000</v>
      </c>
      <c r="C68" s="3" t="n">
        <v>214000000</v>
      </c>
      <c r="D68" s="3" t="n">
        <v>1512000000</v>
      </c>
      <c r="E68" s="3" t="n">
        <v>3384000000</v>
      </c>
      <c r="F68" s="3" t="n"/>
    </row>
    <row r="69">
      <c r="A69" t="inlineStr">
        <is>
          <t>Other Properties</t>
        </is>
      </c>
      <c r="B69" s="3" t="n">
        <v>24896000000</v>
      </c>
      <c r="C69" s="3" t="n">
        <v>25683000000</v>
      </c>
      <c r="D69" s="3" t="n">
        <v>24581000000</v>
      </c>
      <c r="E69" s="3" t="n">
        <v>22569000000</v>
      </c>
      <c r="F69" s="3" t="n"/>
    </row>
    <row r="70">
      <c r="A70" t="inlineStr">
        <is>
          <t>Machinery Furniture Equipment</t>
        </is>
      </c>
      <c r="B70" s="3" t="n">
        <v>465000000</v>
      </c>
      <c r="C70" s="3" t="n">
        <v>458000000</v>
      </c>
      <c r="D70" s="3" t="n">
        <v>448000000</v>
      </c>
      <c r="E70" s="3" t="n">
        <v>439000000</v>
      </c>
      <c r="F70" s="3" t="n"/>
    </row>
    <row r="71">
      <c r="A71" t="inlineStr">
        <is>
          <t>Buildings And Improvements</t>
        </is>
      </c>
      <c r="B71" s="3" t="n">
        <v>7797000000</v>
      </c>
      <c r="C71" s="3" t="n">
        <v>7769000000</v>
      </c>
      <c r="D71" s="3" t="n">
        <v>7635000000</v>
      </c>
      <c r="E71" s="3" t="n">
        <v>7867000000</v>
      </c>
      <c r="F71" s="3" t="n"/>
    </row>
    <row r="72">
      <c r="A72" t="inlineStr">
        <is>
          <t>Land And Improvements</t>
        </is>
      </c>
      <c r="B72" s="3" t="n">
        <v>152000000</v>
      </c>
      <c r="C72" s="3" t="n">
        <v>154000000</v>
      </c>
      <c r="D72" s="3" t="n">
        <v>123000000</v>
      </c>
      <c r="E72" s="3" t="n">
        <v>122000000</v>
      </c>
      <c r="F72" s="3" t="n"/>
    </row>
    <row r="73">
      <c r="A73" t="inlineStr">
        <is>
          <t>Properties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/>
    </row>
    <row r="74">
      <c r="A74" t="inlineStr">
        <is>
          <t>Current Assets</t>
        </is>
      </c>
      <c r="B74" s="3" t="n">
        <v>6205000000</v>
      </c>
      <c r="C74" s="3" t="n">
        <v>6416000000</v>
      </c>
      <c r="D74" s="3" t="n">
        <v>6327000000</v>
      </c>
      <c r="E74" s="3" t="n">
        <v>5800000000</v>
      </c>
      <c r="F74" s="3" t="n"/>
    </row>
    <row r="75">
      <c r="A75" t="inlineStr">
        <is>
          <t>Hedging Assets Current</t>
        </is>
      </c>
      <c r="B75" s="3" t="n"/>
      <c r="C75" s="3" t="n"/>
      <c r="D75" s="3" t="n"/>
      <c r="E75" s="3" t="n"/>
      <c r="F75" s="3" t="n">
        <v>23183000</v>
      </c>
    </row>
    <row r="76">
      <c r="A76" t="inlineStr">
        <is>
          <t>Inventory</t>
        </is>
      </c>
      <c r="B76" s="3" t="n">
        <v>1577000000</v>
      </c>
      <c r="C76" s="3" t="n">
        <v>1624000000</v>
      </c>
      <c r="D76" s="3" t="n">
        <v>1487000000</v>
      </c>
      <c r="E76" s="3" t="n">
        <v>1339000000</v>
      </c>
      <c r="F76" s="3" t="n"/>
    </row>
    <row r="77">
      <c r="A77" t="inlineStr">
        <is>
          <t>Inventories Adjustments Allowances</t>
        </is>
      </c>
      <c r="B77" s="3" t="n">
        <v>-90000000</v>
      </c>
      <c r="C77" s="3" t="n">
        <v>-129000000</v>
      </c>
      <c r="D77" s="3" t="n">
        <v>-143000000</v>
      </c>
      <c r="E77" s="3" t="n">
        <v>-115000000</v>
      </c>
      <c r="F77" s="3" t="n"/>
    </row>
    <row r="78">
      <c r="A78" t="inlineStr">
        <is>
          <t>Work In Process</t>
        </is>
      </c>
      <c r="B78" s="3" t="n">
        <v>1018000000</v>
      </c>
      <c r="C78" s="3" t="n">
        <v>1088000000</v>
      </c>
      <c r="D78" s="3" t="n">
        <v>1005000000</v>
      </c>
      <c r="E78" s="3" t="n">
        <v>1024000000</v>
      </c>
      <c r="F78" s="3" t="n"/>
    </row>
    <row r="79">
      <c r="A79" t="inlineStr">
        <is>
          <t>Raw Materials</t>
        </is>
      </c>
      <c r="B79" s="3" t="n">
        <v>649000000</v>
      </c>
      <c r="C79" s="3" t="n">
        <v>665000000</v>
      </c>
      <c r="D79" s="3" t="n">
        <v>625000000</v>
      </c>
      <c r="E79" s="3" t="n">
        <v>315000000</v>
      </c>
      <c r="F79" s="3" t="n"/>
    </row>
    <row r="80">
      <c r="A80" t="inlineStr">
        <is>
          <t>Receivables</t>
        </is>
      </c>
      <c r="B80" s="3" t="n">
        <v>1525000000</v>
      </c>
      <c r="C80" s="3" t="n">
        <v>1393000000</v>
      </c>
      <c r="D80" s="3" t="n">
        <v>1368000000</v>
      </c>
      <c r="E80" s="3" t="n">
        <v>1408000000</v>
      </c>
      <c r="F80" s="3" t="n"/>
    </row>
    <row r="81">
      <c r="A81" t="inlineStr">
        <is>
          <t>Other Receivables</t>
        </is>
      </c>
      <c r="B81" s="3" t="n">
        <v>484000000</v>
      </c>
      <c r="C81" s="3" t="n">
        <v>487000000</v>
      </c>
      <c r="D81" s="3" t="n">
        <v>354000000</v>
      </c>
      <c r="E81" s="3" t="n">
        <v>573000000</v>
      </c>
      <c r="F81" s="3" t="n"/>
    </row>
    <row r="82">
      <c r="A82" t="inlineStr">
        <is>
          <t>Duefrom Related Parties Current</t>
        </is>
      </c>
      <c r="B82" s="3" t="n"/>
      <c r="C82" s="3" t="n">
        <v>9000000</v>
      </c>
      <c r="D82" s="3" t="n">
        <v>12000000</v>
      </c>
      <c r="E82" s="3" t="n">
        <v>11000000</v>
      </c>
      <c r="F82" s="3" t="n">
        <v>8000000</v>
      </c>
    </row>
    <row r="83">
      <c r="A83" t="inlineStr">
        <is>
          <t>Accounts Receivable</t>
        </is>
      </c>
      <c r="B83" s="3" t="n">
        <v>1041000000</v>
      </c>
      <c r="C83" s="3" t="n">
        <v>906000000</v>
      </c>
      <c r="D83" s="3" t="n">
        <v>1002000000</v>
      </c>
      <c r="E83" s="3" t="n">
        <v>824000000</v>
      </c>
      <c r="F83" s="3" t="n"/>
    </row>
    <row r="84">
      <c r="A84" t="inlineStr">
        <is>
          <t>Cash Cash Equivalents And Short Term Investments</t>
        </is>
      </c>
      <c r="B84" s="3" t="n">
        <v>3103000000</v>
      </c>
      <c r="C84" s="3" t="n">
        <v>3399000000</v>
      </c>
      <c r="D84" s="3" t="n">
        <v>3472000000</v>
      </c>
      <c r="E84" s="3" t="n">
        <v>3053000000</v>
      </c>
      <c r="F84" s="3" t="n"/>
    </row>
    <row r="85">
      <c r="A85" t="inlineStr">
        <is>
          <t>Other Short Term Investments</t>
        </is>
      </c>
      <c r="B85" s="3" t="n">
        <v>1294000000</v>
      </c>
      <c r="C85" s="3" t="n">
        <v>1207000000</v>
      </c>
      <c r="D85" s="3" t="n">
        <v>1085000000</v>
      </c>
      <c r="E85" s="3" t="n">
        <v>701000000</v>
      </c>
      <c r="F85" s="3" t="n"/>
    </row>
    <row r="86">
      <c r="A86" t="inlineStr">
        <is>
          <t>Cash And Cash Equivalents</t>
        </is>
      </c>
      <c r="B86" s="3" t="n">
        <v>1809000000</v>
      </c>
      <c r="C86" s="3" t="n">
        <v>2192000000</v>
      </c>
      <c r="D86" s="3" t="n">
        <v>2387000000</v>
      </c>
      <c r="E86" s="3" t="n">
        <v>2352000000</v>
      </c>
      <c r="F86" s="3" t="n"/>
    </row>
    <row r="87">
      <c r="A87" t="inlineStr">
        <is>
          <t>Cash Equivalents</t>
        </is>
      </c>
      <c r="B87" s="3" t="n"/>
      <c r="C87" s="3" t="n"/>
      <c r="D87" s="3" t="n"/>
      <c r="E87" s="3" t="n">
        <v>1354000000</v>
      </c>
      <c r="F87" s="3" t="n">
        <v>2175000000</v>
      </c>
    </row>
    <row r="88">
      <c r="A88" t="inlineStr">
        <is>
          <t>Cash Financial</t>
        </is>
      </c>
      <c r="B88" s="3" t="n">
        <v>1809000000</v>
      </c>
      <c r="C88" s="3" t="n">
        <v>2192000000</v>
      </c>
      <c r="D88" s="3" t="n">
        <v>2387000000</v>
      </c>
      <c r="E88" s="3" t="n">
        <v>2352000000</v>
      </c>
      <c r="F88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Ordinary Shares Number</t>
        </is>
      </c>
      <c r="B2" s="3" t="n">
        <v>548416440</v>
      </c>
      <c r="C2" s="3" t="n">
        <v>555888455</v>
      </c>
      <c r="D2" s="3" t="n">
        <v>555681705</v>
      </c>
      <c r="E2" s="3" t="n">
        <v>554971650</v>
      </c>
      <c r="F2" s="3" t="n">
        <v>554733529</v>
      </c>
      <c r="G2" s="3" t="n"/>
      <c r="H2" s="3" t="n"/>
    </row>
    <row r="3">
      <c r="A3" t="inlineStr">
        <is>
          <t>Share Issued</t>
        </is>
      </c>
      <c r="B3" s="3" t="n">
        <v>548416440</v>
      </c>
      <c r="C3" s="3" t="n">
        <v>555888455</v>
      </c>
      <c r="D3" s="3" t="n">
        <v>555681705</v>
      </c>
      <c r="E3" s="3" t="n">
        <v>554971650</v>
      </c>
      <c r="F3" s="3" t="n">
        <v>554733529</v>
      </c>
      <c r="G3" s="3" t="n"/>
      <c r="H3" s="3" t="n"/>
    </row>
    <row r="4">
      <c r="A4" t="inlineStr">
        <is>
          <t>Net Debt</t>
        </is>
      </c>
      <c r="B4" s="3" t="n"/>
      <c r="C4" s="3" t="n"/>
      <c r="D4" s="3" t="n"/>
      <c r="E4" s="3" t="n"/>
      <c r="F4" s="3" t="n"/>
      <c r="G4" s="3" t="n"/>
      <c r="H4" s="3" t="n">
        <v>27000000</v>
      </c>
    </row>
    <row r="5">
      <c r="A5" t="inlineStr">
        <is>
          <t>Total Debt</t>
        </is>
      </c>
      <c r="B5" s="3" t="n">
        <v>1724000000</v>
      </c>
      <c r="C5" s="3" t="n">
        <v>1707000000</v>
      </c>
      <c r="D5" s="3" t="n">
        <v>1663000000</v>
      </c>
      <c r="E5" s="3" t="n">
        <v>1684000000</v>
      </c>
      <c r="F5" s="3" t="n">
        <v>1631000000</v>
      </c>
      <c r="G5" s="3" t="n"/>
      <c r="H5" s="3" t="n"/>
    </row>
    <row r="6">
      <c r="A6" t="inlineStr">
        <is>
          <t>Tangible Book Value</t>
        </is>
      </c>
      <c r="B6" s="3" t="n">
        <v>10327000000</v>
      </c>
      <c r="C6" s="3" t="n">
        <v>10560000000</v>
      </c>
      <c r="D6" s="3" t="n">
        <v>10772000000</v>
      </c>
      <c r="E6" s="3" t="n">
        <v>10693000000</v>
      </c>
      <c r="F6" s="3" t="n">
        <v>10315000000</v>
      </c>
      <c r="G6" s="3" t="n"/>
      <c r="H6" s="3" t="n"/>
    </row>
    <row r="7">
      <c r="A7" t="inlineStr">
        <is>
          <t>Invested Capital</t>
        </is>
      </c>
      <c r="B7" s="3" t="n">
        <v>12840000000</v>
      </c>
      <c r="C7" s="3" t="n">
        <v>13079000000</v>
      </c>
      <c r="D7" s="3" t="n">
        <v>12883000000</v>
      </c>
      <c r="E7" s="3" t="n">
        <v>12590000000</v>
      </c>
      <c r="F7" s="3" t="n">
        <v>12182000000</v>
      </c>
      <c r="G7" s="3" t="n"/>
      <c r="H7" s="3" t="n"/>
    </row>
    <row r="8">
      <c r="A8" t="inlineStr">
        <is>
          <t>Working Capital</t>
        </is>
      </c>
      <c r="B8" s="3" t="n">
        <v>3707000000</v>
      </c>
      <c r="C8" s="3" t="n">
        <v>3837000000</v>
      </c>
      <c r="D8" s="3" t="n">
        <v>4239000000</v>
      </c>
      <c r="E8" s="3" t="n">
        <v>3942000000</v>
      </c>
      <c r="F8" s="3" t="n">
        <v>3677000000</v>
      </c>
      <c r="G8" s="3" t="n"/>
      <c r="H8" s="3" t="n"/>
    </row>
    <row r="9">
      <c r="A9" t="inlineStr">
        <is>
          <t>Net Tangible Assets</t>
        </is>
      </c>
      <c r="B9" s="3" t="n">
        <v>10327000000</v>
      </c>
      <c r="C9" s="3" t="n">
        <v>10560000000</v>
      </c>
      <c r="D9" s="3" t="n">
        <v>10772000000</v>
      </c>
      <c r="E9" s="3" t="n">
        <v>10693000000</v>
      </c>
      <c r="F9" s="3" t="n">
        <v>10315000000</v>
      </c>
      <c r="G9" s="3" t="n"/>
      <c r="H9" s="3" t="n"/>
    </row>
    <row r="10">
      <c r="A10" t="inlineStr">
        <is>
          <t>Capital Lease Obligations</t>
        </is>
      </c>
      <c r="B10" s="3" t="n">
        <v>577000000</v>
      </c>
      <c r="C10" s="3" t="n">
        <v>556000000</v>
      </c>
      <c r="D10" s="3" t="n">
        <v>492000000</v>
      </c>
      <c r="E10" s="3" t="n">
        <v>509000000</v>
      </c>
      <c r="F10" s="3" t="n">
        <v>503000000</v>
      </c>
      <c r="G10" s="3" t="n"/>
      <c r="H10" s="3" t="n"/>
    </row>
    <row r="11">
      <c r="A11" t="inlineStr">
        <is>
          <t>Common Stock Equity</t>
        </is>
      </c>
      <c r="B11" s="3" t="n">
        <v>11693000000</v>
      </c>
      <c r="C11" s="3" t="n">
        <v>11928000000</v>
      </c>
      <c r="D11" s="3" t="n">
        <v>11712000000</v>
      </c>
      <c r="E11" s="3" t="n">
        <v>11415000000</v>
      </c>
      <c r="F11" s="3" t="n">
        <v>11054000000</v>
      </c>
      <c r="G11" s="3" t="n"/>
      <c r="H11" s="3" t="n"/>
    </row>
    <row r="12">
      <c r="A12" t="inlineStr">
        <is>
          <t>Total Capitalization</t>
        </is>
      </c>
      <c r="B12" s="3" t="n">
        <v>12756000000</v>
      </c>
      <c r="C12" s="3" t="n">
        <v>12993000000</v>
      </c>
      <c r="D12" s="3" t="n">
        <v>12821000000</v>
      </c>
      <c r="E12" s="3" t="n">
        <v>12530000000</v>
      </c>
      <c r="F12" s="3" t="n">
        <v>12125000000</v>
      </c>
      <c r="G12" s="3" t="n"/>
      <c r="H12" s="3" t="n"/>
    </row>
    <row r="13">
      <c r="A13" t="inlineStr">
        <is>
          <t>Total Equity Gross Minority Interest</t>
        </is>
      </c>
      <c r="B13" s="3" t="n">
        <v>11748000000</v>
      </c>
      <c r="C13" s="3" t="n">
        <v>11983000000</v>
      </c>
      <c r="D13" s="3" t="n">
        <v>11766000000</v>
      </c>
      <c r="E13" s="3" t="n">
        <v>11468000000</v>
      </c>
      <c r="F13" s="3" t="n">
        <v>11104000000</v>
      </c>
      <c r="G13" s="3" t="n"/>
      <c r="H13" s="3" t="n"/>
    </row>
    <row r="14">
      <c r="A14" t="inlineStr">
        <is>
          <t>Minority Interest</t>
        </is>
      </c>
      <c r="B14" s="3" t="n">
        <v>55000000</v>
      </c>
      <c r="C14" s="3" t="n">
        <v>55000000</v>
      </c>
      <c r="D14" s="3" t="n">
        <v>54000000</v>
      </c>
      <c r="E14" s="3" t="n">
        <v>53000000</v>
      </c>
      <c r="F14" s="3" t="n">
        <v>50000000</v>
      </c>
      <c r="G14" s="3" t="n"/>
      <c r="H14" s="3" t="n"/>
    </row>
    <row r="15">
      <c r="A15" t="inlineStr">
        <is>
          <t>Stockholders Equity</t>
        </is>
      </c>
      <c r="B15" s="3" t="n">
        <v>11693000000</v>
      </c>
      <c r="C15" s="3" t="n">
        <v>11928000000</v>
      </c>
      <c r="D15" s="3" t="n">
        <v>11712000000</v>
      </c>
      <c r="E15" s="3" t="n">
        <v>11415000000</v>
      </c>
      <c r="F15" s="3" t="n">
        <v>11054000000</v>
      </c>
      <c r="G15" s="3" t="n"/>
      <c r="H15" s="3" t="n"/>
    </row>
    <row r="16">
      <c r="A16" t="inlineStr">
        <is>
          <t>Gains Losses Not Affecting Retained Earnings</t>
        </is>
      </c>
      <c r="B16" s="3" t="n">
        <v>110000000</v>
      </c>
      <c r="C16" s="3" t="n">
        <v>78000000</v>
      </c>
      <c r="D16" s="3" t="n">
        <v>112000000</v>
      </c>
      <c r="E16" s="3" t="n">
        <v>136000000</v>
      </c>
      <c r="F16" s="3" t="n">
        <v>53000000</v>
      </c>
      <c r="G16" s="3" t="n"/>
      <c r="H16" s="3" t="n"/>
    </row>
    <row r="17">
      <c r="A17" t="inlineStr">
        <is>
          <t>Other Equity Adjustments</t>
        </is>
      </c>
      <c r="B17" s="3" t="n">
        <v>110000000</v>
      </c>
      <c r="C17" s="3" t="n">
        <v>78000000</v>
      </c>
      <c r="D17" s="3" t="n">
        <v>112000000</v>
      </c>
      <c r="E17" s="3" t="n">
        <v>136000000</v>
      </c>
      <c r="F17" s="3" t="n">
        <v>53000000</v>
      </c>
      <c r="G17" s="3" t="n"/>
      <c r="H17" s="3" t="n"/>
    </row>
    <row r="18">
      <c r="A18" t="inlineStr">
        <is>
          <t>Retained Earnings</t>
        </is>
      </c>
      <c r="B18" s="3" t="n">
        <v>-12278000000</v>
      </c>
      <c r="C18" s="3" t="n">
        <v>-12381000000</v>
      </c>
      <c r="D18" s="3" t="n">
        <v>-12580000000</v>
      </c>
      <c r="E18" s="3" t="n">
        <v>-12828000000</v>
      </c>
      <c r="F18" s="3" t="n">
        <v>-13056000000</v>
      </c>
      <c r="G18" s="3" t="n"/>
      <c r="H18" s="3" t="n"/>
    </row>
    <row r="19">
      <c r="A19" t="inlineStr">
        <is>
          <t>Additional Paid In Capital</t>
        </is>
      </c>
      <c r="B19" s="3" t="n">
        <v>23850000000</v>
      </c>
      <c r="C19" s="3" t="n">
        <v>24220000000</v>
      </c>
      <c r="D19" s="3" t="n">
        <v>24169000000</v>
      </c>
      <c r="E19" s="3" t="n">
        <v>24096000000</v>
      </c>
      <c r="F19" s="3" t="n">
        <v>24046000000</v>
      </c>
      <c r="G19" s="3" t="n"/>
      <c r="H19" s="3" t="n"/>
    </row>
    <row r="20">
      <c r="A20" t="inlineStr">
        <is>
          <t>Capital Stock</t>
        </is>
      </c>
      <c r="B20" s="3" t="n">
        <v>11000000</v>
      </c>
      <c r="C20" s="3" t="n">
        <v>11000000</v>
      </c>
      <c r="D20" s="3" t="n">
        <v>11000000</v>
      </c>
      <c r="E20" s="3" t="n">
        <v>11000000</v>
      </c>
      <c r="F20" s="3" t="n">
        <v>11000000</v>
      </c>
      <c r="G20" s="3" t="n"/>
      <c r="H20" s="3" t="n"/>
    </row>
    <row r="21">
      <c r="A21" t="inlineStr">
        <is>
          <t>Common Stock</t>
        </is>
      </c>
      <c r="B21" s="3" t="n">
        <v>11000000</v>
      </c>
      <c r="C21" s="3" t="n">
        <v>11000000</v>
      </c>
      <c r="D21" s="3" t="n">
        <v>11000000</v>
      </c>
      <c r="E21" s="3" t="n">
        <v>11000000</v>
      </c>
      <c r="F21" s="3" t="n">
        <v>11000000</v>
      </c>
      <c r="G21" s="3" t="n"/>
      <c r="H21" s="3" t="n"/>
    </row>
    <row r="22">
      <c r="A22" t="inlineStr">
        <is>
          <t>Total Liabilities Net Minority Interest</t>
        </is>
      </c>
      <c r="B22" s="3" t="n">
        <v>5149000000</v>
      </c>
      <c r="C22" s="3" t="n">
        <v>5158000000</v>
      </c>
      <c r="D22" s="3" t="n">
        <v>4942000000</v>
      </c>
      <c r="E22" s="3" t="n">
        <v>5335000000</v>
      </c>
      <c r="F22" s="3" t="n">
        <v>5375000000</v>
      </c>
      <c r="G22" s="3" t="n"/>
      <c r="H22" s="3" t="n"/>
    </row>
    <row r="23">
      <c r="A23" t="inlineStr">
        <is>
          <t>Total Non Current Liabilities Net Minority Interest</t>
        </is>
      </c>
      <c r="B23" s="3" t="n">
        <v>2820000000</v>
      </c>
      <c r="C23" s="3" t="n">
        <v>2790000000</v>
      </c>
      <c r="D23" s="3" t="n">
        <v>2855000000</v>
      </c>
      <c r="E23" s="3" t="n">
        <v>2921000000</v>
      </c>
      <c r="F23" s="3" t="n">
        <v>2947000000</v>
      </c>
      <c r="G23" s="3" t="n"/>
      <c r="H23" s="3" t="n"/>
    </row>
    <row r="24">
      <c r="A24" t="inlineStr">
        <is>
          <t>Other Non Current Liabilities</t>
        </is>
      </c>
      <c r="B24" s="3" t="n">
        <v>238000000</v>
      </c>
      <c r="C24" s="3" t="n">
        <v>200000000</v>
      </c>
      <c r="D24" s="3" t="n">
        <v>79000000</v>
      </c>
      <c r="E24" s="3" t="n">
        <v>136000000</v>
      </c>
      <c r="F24" s="3" t="n">
        <v>104000000</v>
      </c>
      <c r="G24" s="3" t="n"/>
      <c r="H24" s="3" t="n"/>
    </row>
    <row r="25">
      <c r="A25" t="inlineStr">
        <is>
          <t>Derivative Product Liabilities</t>
        </is>
      </c>
      <c r="B25" s="3" t="n"/>
      <c r="C25" s="3" t="n"/>
      <c r="D25" s="3" t="n"/>
      <c r="E25" s="3" t="n"/>
      <c r="F25" s="3" t="n"/>
      <c r="G25" s="3" t="n">
        <v>8000000</v>
      </c>
      <c r="H25" s="3" t="n"/>
    </row>
    <row r="26">
      <c r="A26" t="inlineStr">
        <is>
          <t>Tradeand Other Payables Non Current</t>
        </is>
      </c>
      <c r="B26" s="3" t="n">
        <v>147000000</v>
      </c>
      <c r="C26" s="3" t="n">
        <v>150000000</v>
      </c>
      <c r="D26" s="3" t="n">
        <v>175000000</v>
      </c>
      <c r="E26" s="3" t="n">
        <v>187000000</v>
      </c>
      <c r="F26" s="3" t="n">
        <v>201000000</v>
      </c>
      <c r="G26" s="3" t="n"/>
      <c r="H26" s="3" t="n"/>
    </row>
    <row r="27">
      <c r="A27" t="inlineStr">
        <is>
          <t>Non Current Deferred Liabilities</t>
        </is>
      </c>
      <c r="B27" s="3" t="n">
        <v>687000000</v>
      </c>
      <c r="C27" s="3" t="n">
        <v>714000000</v>
      </c>
      <c r="D27" s="3" t="n">
        <v>905000000</v>
      </c>
      <c r="E27" s="3" t="n">
        <v>886000000</v>
      </c>
      <c r="F27" s="3" t="n">
        <v>981000000</v>
      </c>
      <c r="G27" s="3" t="n"/>
      <c r="H27" s="3" t="n"/>
    </row>
    <row r="28">
      <c r="A28" t="inlineStr">
        <is>
          <t>Non Current Deferred Revenue</t>
        </is>
      </c>
      <c r="B28" s="3" t="n">
        <v>687000000</v>
      </c>
      <c r="C28" s="3" t="n">
        <v>714000000</v>
      </c>
      <c r="D28" s="3" t="n">
        <v>905000000</v>
      </c>
      <c r="E28" s="3" t="n">
        <v>886000000</v>
      </c>
      <c r="F28" s="3" t="n">
        <v>981000000</v>
      </c>
      <c r="G28" s="3" t="n"/>
      <c r="H28" s="3" t="n"/>
    </row>
    <row r="29">
      <c r="A29" t="inlineStr">
        <is>
          <t>Long Term Debt And Capital Lease Obligation</t>
        </is>
      </c>
      <c r="B29" s="3" t="n">
        <v>1574000000</v>
      </c>
      <c r="C29" s="3" t="n">
        <v>1552000000</v>
      </c>
      <c r="D29" s="3" t="n">
        <v>1530000000</v>
      </c>
      <c r="E29" s="3" t="n">
        <v>1547000000</v>
      </c>
      <c r="F29" s="3" t="n">
        <v>1497000000</v>
      </c>
      <c r="G29" s="3" t="n"/>
      <c r="H29" s="3" t="n"/>
    </row>
    <row r="30">
      <c r="A30" t="inlineStr">
        <is>
          <t>Long Term Capital Lease Obligation</t>
        </is>
      </c>
      <c r="B30" s="3" t="n">
        <v>511000000</v>
      </c>
      <c r="C30" s="3" t="n">
        <v>487000000</v>
      </c>
      <c r="D30" s="3" t="n">
        <v>421000000</v>
      </c>
      <c r="E30" s="3" t="n">
        <v>432000000</v>
      </c>
      <c r="F30" s="3" t="n">
        <v>426000000</v>
      </c>
      <c r="G30" s="3" t="n"/>
      <c r="H30" s="3" t="n"/>
    </row>
    <row r="31">
      <c r="A31" t="inlineStr">
        <is>
          <t>Long Term Debt</t>
        </is>
      </c>
      <c r="B31" s="3" t="n">
        <v>1063000000</v>
      </c>
      <c r="C31" s="3" t="n">
        <v>1065000000</v>
      </c>
      <c r="D31" s="3" t="n">
        <v>1109000000</v>
      </c>
      <c r="E31" s="3" t="n">
        <v>1115000000</v>
      </c>
      <c r="F31" s="3" t="n">
        <v>1071000000</v>
      </c>
      <c r="G31" s="3" t="n"/>
      <c r="H31" s="3" t="n"/>
    </row>
    <row r="32">
      <c r="A32" t="inlineStr">
        <is>
          <t>Long Term Provisions</t>
        </is>
      </c>
      <c r="B32" s="3" t="n">
        <v>174000000</v>
      </c>
      <c r="C32" s="3" t="n">
        <v>174000000</v>
      </c>
      <c r="D32" s="3" t="n">
        <v>166000000</v>
      </c>
      <c r="E32" s="3" t="n">
        <v>165000000</v>
      </c>
      <c r="F32" s="3" t="n">
        <v>164000000</v>
      </c>
      <c r="G32" s="3" t="n"/>
      <c r="H32" s="3" t="n"/>
    </row>
    <row r="33">
      <c r="A33" t="inlineStr">
        <is>
          <t>Current Liabilities</t>
        </is>
      </c>
      <c r="B33" s="3" t="n">
        <v>2329000000</v>
      </c>
      <c r="C33" s="3" t="n">
        <v>2368000000</v>
      </c>
      <c r="D33" s="3" t="n">
        <v>2087000000</v>
      </c>
      <c r="E33" s="3" t="n">
        <v>2414000000</v>
      </c>
      <c r="F33" s="3" t="n">
        <v>2428000000</v>
      </c>
      <c r="G33" s="3" t="n"/>
      <c r="H33" s="3" t="n"/>
    </row>
    <row r="34">
      <c r="A34" t="inlineStr">
        <is>
          <t>Other Current Liabilities</t>
        </is>
      </c>
      <c r="B34" s="3" t="n">
        <v>128000000</v>
      </c>
      <c r="C34" s="3" t="n">
        <v>114000000</v>
      </c>
      <c r="D34" s="3" t="n">
        <v>159000000</v>
      </c>
      <c r="E34" s="3" t="n">
        <v>123000000</v>
      </c>
      <c r="F34" s="3" t="n">
        <v>111000000</v>
      </c>
      <c r="G34" s="3" t="n"/>
      <c r="H34" s="3" t="n"/>
    </row>
    <row r="35">
      <c r="A35" t="inlineStr">
        <is>
          <t>Current Deferred Liabilities</t>
        </is>
      </c>
      <c r="B35" s="3" t="n">
        <v>633000000</v>
      </c>
      <c r="C35" s="3" t="n">
        <v>777000000</v>
      </c>
      <c r="D35" s="3" t="n">
        <v>627000000</v>
      </c>
      <c r="E35" s="3" t="n">
        <v>1003000000</v>
      </c>
      <c r="F35" s="3" t="n">
        <v>922000000</v>
      </c>
      <c r="G35" s="3" t="n"/>
      <c r="H35" s="3" t="n"/>
    </row>
    <row r="36">
      <c r="A36" t="inlineStr">
        <is>
          <t>Current Deferred Revenue</t>
        </is>
      </c>
      <c r="B36" s="3" t="n">
        <v>633000000</v>
      </c>
      <c r="C36" s="3" t="n">
        <v>777000000</v>
      </c>
      <c r="D36" s="3" t="n">
        <v>627000000</v>
      </c>
      <c r="E36" s="3" t="n">
        <v>1003000000</v>
      </c>
      <c r="F36" s="3" t="n">
        <v>922000000</v>
      </c>
      <c r="G36" s="3" t="n"/>
      <c r="H36" s="3" t="n"/>
    </row>
    <row r="37">
      <c r="A37" t="inlineStr">
        <is>
          <t>Current Debt And Capital Lease Obligation</t>
        </is>
      </c>
      <c r="B37" s="3" t="n">
        <v>150000000</v>
      </c>
      <c r="C37" s="3" t="n">
        <v>155000000</v>
      </c>
      <c r="D37" s="3" t="n">
        <v>133000000</v>
      </c>
      <c r="E37" s="3" t="n">
        <v>137000000</v>
      </c>
      <c r="F37" s="3" t="n">
        <v>134000000</v>
      </c>
      <c r="G37" s="3" t="n"/>
      <c r="H37" s="3" t="n"/>
    </row>
    <row r="38">
      <c r="A38" t="inlineStr">
        <is>
          <t>Current Capital Lease Obligation</t>
        </is>
      </c>
      <c r="B38" s="3" t="n">
        <v>66000000</v>
      </c>
      <c r="C38" s="3" t="n">
        <v>69000000</v>
      </c>
      <c r="D38" s="3" t="n">
        <v>71000000</v>
      </c>
      <c r="E38" s="3" t="n">
        <v>77000000</v>
      </c>
      <c r="F38" s="3" t="n">
        <v>77000000</v>
      </c>
      <c r="G38" s="3" t="n"/>
      <c r="H38" s="3" t="n"/>
    </row>
    <row r="39">
      <c r="A39" t="inlineStr">
        <is>
          <t>Current Debt</t>
        </is>
      </c>
      <c r="B39" s="3" t="n">
        <v>84000000</v>
      </c>
      <c r="C39" s="3" t="n">
        <v>86000000</v>
      </c>
      <c r="D39" s="3" t="n">
        <v>62000000</v>
      </c>
      <c r="E39" s="3" t="n">
        <v>60000000</v>
      </c>
      <c r="F39" s="3" t="n">
        <v>57000000</v>
      </c>
      <c r="G39" s="3" t="n"/>
      <c r="H39" s="3" t="n"/>
    </row>
    <row r="40">
      <c r="A40" t="inlineStr">
        <is>
          <t>Other Current Borrowings</t>
        </is>
      </c>
      <c r="B40" s="3" t="n">
        <v>84000000</v>
      </c>
      <c r="C40" s="3" t="n">
        <v>86000000</v>
      </c>
      <c r="D40" s="3" t="n">
        <v>62000000</v>
      </c>
      <c r="E40" s="3" t="n">
        <v>60000000</v>
      </c>
      <c r="F40" s="3" t="n">
        <v>57000000</v>
      </c>
      <c r="G40" s="3" t="n"/>
      <c r="H40" s="3" t="n"/>
    </row>
    <row r="41">
      <c r="A41" t="inlineStr">
        <is>
          <t>Line Of Credit</t>
        </is>
      </c>
      <c r="B41" s="3" t="n"/>
      <c r="C41" s="3" t="n"/>
      <c r="D41" s="3" t="n">
        <v>0</v>
      </c>
      <c r="E41" s="3" t="n"/>
      <c r="F41" s="3" t="n">
        <v>0</v>
      </c>
      <c r="G41" s="3" t="n"/>
      <c r="H41" s="3" t="n"/>
    </row>
    <row r="42">
      <c r="A42" t="inlineStr">
        <is>
          <t>Current Provisions</t>
        </is>
      </c>
      <c r="B42" s="3" t="n"/>
      <c r="C42" s="3" t="n"/>
      <c r="D42" s="3" t="n">
        <v>10000000</v>
      </c>
      <c r="E42" s="3" t="n">
        <v>11000000</v>
      </c>
      <c r="F42" s="3" t="n">
        <v>17000000</v>
      </c>
      <c r="G42" s="3" t="n">
        <v>17000000</v>
      </c>
      <c r="H42" s="3" t="n"/>
    </row>
    <row r="43">
      <c r="A43" t="inlineStr">
        <is>
          <t>Payables And Accrued Expenses</t>
        </is>
      </c>
      <c r="B43" s="3" t="n">
        <v>1418000000</v>
      </c>
      <c r="C43" s="3" t="n">
        <v>1322000000</v>
      </c>
      <c r="D43" s="3" t="n">
        <v>1158000000</v>
      </c>
      <c r="E43" s="3" t="n">
        <v>1140000000</v>
      </c>
      <c r="F43" s="3" t="n">
        <v>1244000000</v>
      </c>
      <c r="G43" s="3" t="n"/>
      <c r="H43" s="3" t="n"/>
    </row>
    <row r="44">
      <c r="A44" t="inlineStr">
        <is>
          <t>Current Accrued Expenses</t>
        </is>
      </c>
      <c r="B44" s="3" t="n">
        <v>539000000</v>
      </c>
      <c r="C44" s="3" t="n">
        <v>452000000</v>
      </c>
      <c r="D44" s="3" t="n">
        <v>412000000</v>
      </c>
      <c r="E44" s="3" t="n">
        <v>481000000</v>
      </c>
      <c r="F44" s="3" t="n">
        <v>591000000</v>
      </c>
      <c r="G44" s="3" t="n"/>
      <c r="H44" s="3" t="n"/>
    </row>
    <row r="45">
      <c r="A45" t="inlineStr">
        <is>
          <t>Payables</t>
        </is>
      </c>
      <c r="B45" s="3" t="n">
        <v>879000000</v>
      </c>
      <c r="C45" s="3" t="n">
        <v>870000000</v>
      </c>
      <c r="D45" s="3" t="n">
        <v>746000000</v>
      </c>
      <c r="E45" s="3" t="n">
        <v>659000000</v>
      </c>
      <c r="F45" s="3" t="n">
        <v>653000000</v>
      </c>
      <c r="G45" s="3" t="n"/>
      <c r="H45" s="3" t="n"/>
    </row>
    <row r="46">
      <c r="A46" t="inlineStr">
        <is>
          <t>Other Payable</t>
        </is>
      </c>
      <c r="B46" s="3" t="n">
        <v>460000000</v>
      </c>
      <c r="C46" s="3" t="n">
        <v>379000000</v>
      </c>
      <c r="D46" s="3" t="n">
        <v>233000000</v>
      </c>
      <c r="E46" s="3" t="n">
        <v>270000000</v>
      </c>
      <c r="F46" s="3" t="n">
        <v>223000000</v>
      </c>
      <c r="G46" s="3" t="n"/>
      <c r="H46" s="3" t="n"/>
    </row>
    <row r="47">
      <c r="A47" t="inlineStr">
        <is>
          <t>Accounts Payable</t>
        </is>
      </c>
      <c r="B47" s="3" t="n">
        <v>419000000</v>
      </c>
      <c r="C47" s="3" t="n">
        <v>491000000</v>
      </c>
      <c r="D47" s="3" t="n">
        <v>513000000</v>
      </c>
      <c r="E47" s="3" t="n">
        <v>389000000</v>
      </c>
      <c r="F47" s="3" t="n">
        <v>430000000</v>
      </c>
      <c r="G47" s="3" t="n"/>
      <c r="H47" s="3" t="n"/>
    </row>
    <row r="48">
      <c r="A48" t="inlineStr">
        <is>
          <t>Total Assets</t>
        </is>
      </c>
      <c r="B48" s="3" t="n">
        <v>16897000000</v>
      </c>
      <c r="C48" s="3" t="n">
        <v>17141000000</v>
      </c>
      <c r="D48" s="3" t="n">
        <v>16708000000</v>
      </c>
      <c r="E48" s="3" t="n">
        <v>16803000000</v>
      </c>
      <c r="F48" s="3" t="n">
        <v>16479000000</v>
      </c>
      <c r="G48" s="3" t="n"/>
      <c r="H48" s="3" t="n"/>
    </row>
    <row r="49">
      <c r="A49" t="inlineStr">
        <is>
          <t>Total Non Current Assets</t>
        </is>
      </c>
      <c r="B49" s="3" t="n">
        <v>10861000000</v>
      </c>
      <c r="C49" s="3" t="n">
        <v>10936000000</v>
      </c>
      <c r="D49" s="3" t="n">
        <v>10382000000</v>
      </c>
      <c r="E49" s="3" t="n">
        <v>10447000000</v>
      </c>
      <c r="F49" s="3" t="n">
        <v>10374000000</v>
      </c>
      <c r="G49" s="3" t="n"/>
      <c r="H49" s="3" t="n"/>
    </row>
    <row r="50">
      <c r="A50" t="inlineStr">
        <is>
          <t>Other Non Current Assets</t>
        </is>
      </c>
      <c r="B50" s="3" t="n">
        <v>111000000</v>
      </c>
      <c r="C50" s="3" t="n">
        <v>106000000</v>
      </c>
      <c r="D50" s="3" t="n">
        <v>21000000</v>
      </c>
      <c r="E50" s="3" t="n">
        <v>121000000</v>
      </c>
      <c r="F50" s="3" t="n">
        <v>53000000</v>
      </c>
      <c r="G50" s="3" t="n"/>
      <c r="H50" s="3" t="n"/>
    </row>
    <row r="51">
      <c r="A51" t="inlineStr">
        <is>
          <t>Non Current Prepaid Assets</t>
        </is>
      </c>
      <c r="B51" s="3" t="n">
        <v>164000000</v>
      </c>
      <c r="C51" s="3" t="n">
        <v>173000000</v>
      </c>
      <c r="D51" s="3" t="n">
        <v>181000000</v>
      </c>
      <c r="E51" s="3" t="n">
        <v>189000000</v>
      </c>
      <c r="F51" s="3" t="n">
        <v>171000000</v>
      </c>
      <c r="G51" s="3" t="n"/>
      <c r="H51" s="3" t="n"/>
    </row>
    <row r="52">
      <c r="A52" t="inlineStr">
        <is>
          <t>Non Current Deferred Assets</t>
        </is>
      </c>
      <c r="B52" s="3" t="n">
        <v>191000000</v>
      </c>
      <c r="C52" s="3" t="n">
        <v>231000000</v>
      </c>
      <c r="D52" s="3" t="n">
        <v>239000000</v>
      </c>
      <c r="E52" s="3" t="n">
        <v>270000000</v>
      </c>
      <c r="F52" s="3" t="n">
        <v>250000000</v>
      </c>
      <c r="G52" s="3" t="n"/>
      <c r="H52" s="3" t="n"/>
    </row>
    <row r="53">
      <c r="A53" t="inlineStr">
        <is>
          <t>Non Current Deferred Taxes Assets</t>
        </is>
      </c>
      <c r="B53" s="3" t="n">
        <v>191000000</v>
      </c>
      <c r="C53" s="3" t="n">
        <v>231000000</v>
      </c>
      <c r="D53" s="3" t="n">
        <v>239000000</v>
      </c>
      <c r="E53" s="3" t="n">
        <v>270000000</v>
      </c>
      <c r="F53" s="3" t="n">
        <v>250000000</v>
      </c>
      <c r="G53" s="3" t="n"/>
      <c r="H53" s="3" t="n"/>
    </row>
    <row r="54">
      <c r="A54" t="inlineStr">
        <is>
          <t>Non Current Accounts Receivable</t>
        </is>
      </c>
      <c r="B54" s="3" t="n">
        <v>226000000</v>
      </c>
      <c r="C54" s="3" t="n">
        <v>118000000</v>
      </c>
      <c r="D54" s="3" t="n">
        <v>76000000</v>
      </c>
      <c r="E54" s="3" t="n">
        <v>170000000</v>
      </c>
      <c r="F54" s="3" t="n">
        <v>148000000</v>
      </c>
      <c r="G54" s="3" t="n"/>
      <c r="H54" s="3" t="n"/>
    </row>
    <row r="55">
      <c r="A55" t="inlineStr">
        <is>
          <t>Financial Assets</t>
        </is>
      </c>
      <c r="B55" s="3" t="n"/>
      <c r="C55" s="3" t="n"/>
      <c r="D55" s="3" t="n"/>
      <c r="E55" s="3" t="n"/>
      <c r="F55" s="3" t="n">
        <v>68000000</v>
      </c>
      <c r="G55" s="3" t="n"/>
      <c r="H55" s="3" t="n"/>
    </row>
    <row r="56">
      <c r="A56" t="inlineStr">
        <is>
          <t>Investments And Advances</t>
        </is>
      </c>
      <c r="B56" s="3" t="n">
        <v>996000000</v>
      </c>
      <c r="C56" s="3" t="n">
        <v>1148000000</v>
      </c>
      <c r="D56" s="3" t="n">
        <v>1104000000</v>
      </c>
      <c r="E56" s="3" t="n">
        <v>975000000</v>
      </c>
      <c r="F56" s="3" t="n">
        <v>820000000</v>
      </c>
      <c r="G56" s="3" t="n"/>
      <c r="H56" s="3" t="n"/>
    </row>
    <row r="57">
      <c r="A57" t="inlineStr">
        <is>
          <t>Investmentin Financial Assets</t>
        </is>
      </c>
      <c r="B57" s="3" t="n">
        <v>996000000</v>
      </c>
      <c r="C57" s="3" t="n">
        <v>1148000000</v>
      </c>
      <c r="D57" s="3" t="n">
        <v>1104000000</v>
      </c>
      <c r="E57" s="3" t="n">
        <v>975000000</v>
      </c>
      <c r="F57" s="3" t="n">
        <v>820000000</v>
      </c>
      <c r="G57" s="3" t="n"/>
      <c r="H57" s="3" t="n"/>
    </row>
    <row r="58">
      <c r="A58" t="inlineStr">
        <is>
          <t>Available For Sale Securities</t>
        </is>
      </c>
      <c r="B58" s="3" t="n">
        <v>996000000</v>
      </c>
      <c r="C58" s="3" t="n">
        <v>1148000000</v>
      </c>
      <c r="D58" s="3" t="n">
        <v>1104000000</v>
      </c>
      <c r="E58" s="3" t="n">
        <v>975000000</v>
      </c>
      <c r="F58" s="3" t="n">
        <v>820000000</v>
      </c>
      <c r="G58" s="3" t="n"/>
      <c r="H58" s="3" t="n"/>
    </row>
    <row r="59">
      <c r="A59" t="inlineStr">
        <is>
          <t>Goodwill And Other Intangible Assets</t>
        </is>
      </c>
      <c r="B59" s="3" t="n">
        <v>1366000000</v>
      </c>
      <c r="C59" s="3" t="n">
        <v>1368000000</v>
      </c>
      <c r="D59" s="3" t="n">
        <v>940000000</v>
      </c>
      <c r="E59" s="3" t="n">
        <v>722000000</v>
      </c>
      <c r="F59" s="3" t="n">
        <v>739000000</v>
      </c>
      <c r="G59" s="3" t="n"/>
      <c r="H59" s="3" t="n"/>
    </row>
    <row r="60">
      <c r="A60" t="inlineStr">
        <is>
          <t>Other Intangible Assets</t>
        </is>
      </c>
      <c r="B60" s="3" t="n"/>
      <c r="C60" s="3" t="n">
        <v>961000000</v>
      </c>
      <c r="D60" s="3" t="n"/>
      <c r="E60" s="3" t="n"/>
      <c r="F60" s="3" t="n"/>
      <c r="G60" s="3" t="n">
        <v>585000000</v>
      </c>
      <c r="H60" s="3" t="n"/>
    </row>
    <row r="61">
      <c r="A61" t="inlineStr">
        <is>
          <t>Goodwill</t>
        </is>
      </c>
      <c r="B61" s="3" t="n"/>
      <c r="C61" s="3" t="n">
        <v>407000000</v>
      </c>
      <c r="D61" s="3" t="n"/>
      <c r="E61" s="3" t="n"/>
      <c r="F61" s="3" t="n"/>
      <c r="G61" s="3" t="n">
        <v>75000000</v>
      </c>
      <c r="H61" s="3" t="n"/>
    </row>
    <row r="62">
      <c r="A62" t="inlineStr">
        <is>
          <t>Net PPE</t>
        </is>
      </c>
      <c r="B62" s="3" t="n">
        <v>7807000000</v>
      </c>
      <c r="C62" s="3" t="n">
        <v>7792000000</v>
      </c>
      <c r="D62" s="3" t="n">
        <v>7821000000</v>
      </c>
      <c r="E62" s="3" t="n">
        <v>8000000000</v>
      </c>
      <c r="F62" s="3" t="n">
        <v>8125000000</v>
      </c>
      <c r="G62" s="3" t="n"/>
      <c r="H62" s="3" t="n"/>
    </row>
    <row r="63">
      <c r="A63" t="inlineStr">
        <is>
          <t>Accumulated Depreciation</t>
        </is>
      </c>
      <c r="B63" s="3" t="n">
        <v>-26175000000</v>
      </c>
      <c r="C63" s="3" t="n">
        <v>-25998000000</v>
      </c>
      <c r="D63" s="3" t="n">
        <v>-25901000000</v>
      </c>
      <c r="E63" s="3" t="n">
        <v>-26078000000</v>
      </c>
      <c r="F63" s="3" t="n">
        <v>-26141000000</v>
      </c>
      <c r="G63" s="3" t="n"/>
      <c r="H63" s="3" t="n"/>
    </row>
    <row r="64">
      <c r="A64" t="inlineStr">
        <is>
          <t>Gross PPE</t>
        </is>
      </c>
      <c r="B64" s="3" t="n">
        <v>33982000000</v>
      </c>
      <c r="C64" s="3" t="n">
        <v>33790000000</v>
      </c>
      <c r="D64" s="3" t="n">
        <v>33722000000</v>
      </c>
      <c r="E64" s="3" t="n">
        <v>34078000000</v>
      </c>
      <c r="F64" s="3" t="n">
        <v>34266000000</v>
      </c>
      <c r="G64" s="3" t="n"/>
      <c r="H64" s="3" t="n"/>
    </row>
    <row r="65">
      <c r="A65" t="inlineStr">
        <is>
          <t>Construction In Progress</t>
        </is>
      </c>
      <c r="B65" s="3" t="n">
        <v>648000000</v>
      </c>
      <c r="C65" s="3" t="n">
        <v>480000000</v>
      </c>
      <c r="D65" s="3" t="n">
        <v>463000000</v>
      </c>
      <c r="E65" s="3" t="n">
        <v>358000000</v>
      </c>
      <c r="F65" s="3" t="n">
        <v>291000000</v>
      </c>
      <c r="G65" s="3" t="n"/>
      <c r="H65" s="3" t="n"/>
    </row>
    <row r="66">
      <c r="A66" t="inlineStr">
        <is>
          <t>Other Properties</t>
        </is>
      </c>
      <c r="B66" s="3" t="n">
        <v>24920000000</v>
      </c>
      <c r="C66" s="3" t="n">
        <v>24896000000</v>
      </c>
      <c r="D66" s="3" t="n">
        <v>24893000000</v>
      </c>
      <c r="E66" s="3" t="n">
        <v>25307000000</v>
      </c>
      <c r="F66" s="3" t="n">
        <v>25578000000</v>
      </c>
      <c r="G66" s="3" t="n"/>
      <c r="H66" s="3" t="n"/>
    </row>
    <row r="67">
      <c r="A67" t="inlineStr">
        <is>
          <t>Machinery Furniture Equipment</t>
        </is>
      </c>
      <c r="B67" s="3" t="n">
        <v>467000000</v>
      </c>
      <c r="C67" s="3" t="n">
        <v>465000000</v>
      </c>
      <c r="D67" s="3" t="n">
        <v>458000000</v>
      </c>
      <c r="E67" s="3" t="n">
        <v>459000000</v>
      </c>
      <c r="F67" s="3" t="n">
        <v>460000000</v>
      </c>
      <c r="G67" s="3" t="n"/>
      <c r="H67" s="3" t="n"/>
    </row>
    <row r="68">
      <c r="A68" t="inlineStr">
        <is>
          <t>Buildings And Improvements</t>
        </is>
      </c>
      <c r="B68" s="3" t="n">
        <v>7795000000</v>
      </c>
      <c r="C68" s="3" t="n">
        <v>7797000000</v>
      </c>
      <c r="D68" s="3" t="n">
        <v>7754000000</v>
      </c>
      <c r="E68" s="3" t="n">
        <v>7800000000</v>
      </c>
      <c r="F68" s="3" t="n">
        <v>7783000000</v>
      </c>
      <c r="G68" s="3" t="n"/>
      <c r="H68" s="3" t="n"/>
    </row>
    <row r="69">
      <c r="A69" t="inlineStr">
        <is>
          <t>Land And Improvements</t>
        </is>
      </c>
      <c r="B69" s="3" t="n">
        <v>152000000</v>
      </c>
      <c r="C69" s="3" t="n">
        <v>152000000</v>
      </c>
      <c r="D69" s="3" t="n">
        <v>154000000</v>
      </c>
      <c r="E69" s="3" t="n">
        <v>154000000</v>
      </c>
      <c r="F69" s="3" t="n">
        <v>154000000</v>
      </c>
      <c r="G69" s="3" t="n"/>
      <c r="H69" s="3" t="n"/>
    </row>
    <row r="70">
      <c r="A70" t="inlineStr">
        <is>
          <t>Properties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/>
      <c r="H70" s="3" t="n"/>
    </row>
    <row r="71">
      <c r="A71" t="inlineStr">
        <is>
          <t>Current Assets</t>
        </is>
      </c>
      <c r="B71" s="3" t="n">
        <v>6036000000</v>
      </c>
      <c r="C71" s="3" t="n">
        <v>6205000000</v>
      </c>
      <c r="D71" s="3" t="n">
        <v>6326000000</v>
      </c>
      <c r="E71" s="3" t="n">
        <v>6356000000</v>
      </c>
      <c r="F71" s="3" t="n">
        <v>6105000000</v>
      </c>
      <c r="G71" s="3" t="n"/>
      <c r="H71" s="3" t="n"/>
    </row>
    <row r="72">
      <c r="A72" t="inlineStr">
        <is>
          <t>Inventory</t>
        </is>
      </c>
      <c r="B72" s="3" t="n">
        <v>1686000000</v>
      </c>
      <c r="C72" s="3" t="n">
        <v>1577000000</v>
      </c>
      <c r="D72" s="3" t="n">
        <v>1645000000</v>
      </c>
      <c r="E72" s="3" t="n">
        <v>1726000000</v>
      </c>
      <c r="F72" s="3" t="n">
        <v>1813000000</v>
      </c>
      <c r="G72" s="3" t="n"/>
      <c r="H72" s="3" t="n"/>
    </row>
    <row r="73">
      <c r="A73" t="inlineStr">
        <is>
          <t>Inventories Adjustments Allowances</t>
        </is>
      </c>
      <c r="B73" s="3" t="n">
        <v>-140000000</v>
      </c>
      <c r="C73" s="3" t="n">
        <v>-90000000</v>
      </c>
      <c r="D73" s="3" t="n">
        <v>-82000000</v>
      </c>
      <c r="E73" s="3" t="n">
        <v>-66000000</v>
      </c>
      <c r="F73" s="3" t="n">
        <v>-77000000</v>
      </c>
      <c r="G73" s="3" t="n"/>
      <c r="H73" s="3" t="n"/>
    </row>
    <row r="74">
      <c r="A74" t="inlineStr">
        <is>
          <t>Work In Process</t>
        </is>
      </c>
      <c r="B74" s="3" t="n">
        <v>1145000000</v>
      </c>
      <c r="C74" s="3" t="n">
        <v>1018000000</v>
      </c>
      <c r="D74" s="3" t="n">
        <v>1050000000</v>
      </c>
      <c r="E74" s="3" t="n">
        <v>1061000000</v>
      </c>
      <c r="F74" s="3" t="n">
        <v>1101000000</v>
      </c>
      <c r="G74" s="3" t="n"/>
      <c r="H74" s="3" t="n"/>
    </row>
    <row r="75">
      <c r="A75" t="inlineStr">
        <is>
          <t>Raw Materials</t>
        </is>
      </c>
      <c r="B75" s="3" t="n">
        <v>681000000</v>
      </c>
      <c r="C75" s="3" t="n">
        <v>649000000</v>
      </c>
      <c r="D75" s="3" t="n">
        <v>677000000</v>
      </c>
      <c r="E75" s="3" t="n">
        <v>731000000</v>
      </c>
      <c r="F75" s="3" t="n">
        <v>789000000</v>
      </c>
      <c r="G75" s="3" t="n"/>
      <c r="H75" s="3" t="n"/>
    </row>
    <row r="76">
      <c r="A76" t="inlineStr">
        <is>
          <t>Receivables</t>
        </is>
      </c>
      <c r="B76" s="3" t="n">
        <v>1279000000</v>
      </c>
      <c r="C76" s="3" t="n">
        <v>1525000000</v>
      </c>
      <c r="D76" s="3" t="n">
        <v>1332000000</v>
      </c>
      <c r="E76" s="3" t="n">
        <v>1439000000</v>
      </c>
      <c r="F76" s="3" t="n">
        <v>1397000000</v>
      </c>
      <c r="G76" s="3" t="n"/>
      <c r="H76" s="3" t="n"/>
    </row>
    <row r="77">
      <c r="A77" t="inlineStr">
        <is>
          <t>Other Receivables</t>
        </is>
      </c>
      <c r="B77" s="3" t="n">
        <v>560000000</v>
      </c>
      <c r="C77" s="3" t="n">
        <v>484000000</v>
      </c>
      <c r="D77" s="3" t="n">
        <v>607000000</v>
      </c>
      <c r="E77" s="3" t="n">
        <v>565000000</v>
      </c>
      <c r="F77" s="3" t="n">
        <v>583000000</v>
      </c>
      <c r="G77" s="3" t="n"/>
      <c r="H77" s="3" t="n"/>
    </row>
    <row r="78">
      <c r="A78" t="inlineStr">
        <is>
          <t>Duefrom Related Parties Current</t>
        </is>
      </c>
      <c r="B78" s="3" t="n"/>
      <c r="C78" s="3" t="n"/>
      <c r="D78" s="3" t="n"/>
      <c r="E78" s="3" t="n"/>
      <c r="F78" s="3" t="n"/>
      <c r="G78" s="3" t="n">
        <v>9000000</v>
      </c>
      <c r="H78" s="3" t="n">
        <v>11000000</v>
      </c>
    </row>
    <row r="79">
      <c r="A79" t="inlineStr">
        <is>
          <t>Accounts Receivable</t>
        </is>
      </c>
      <c r="B79" s="3" t="n">
        <v>719000000</v>
      </c>
      <c r="C79" s="3" t="n">
        <v>1041000000</v>
      </c>
      <c r="D79" s="3" t="n">
        <v>725000000</v>
      </c>
      <c r="E79" s="3" t="n">
        <v>874000000</v>
      </c>
      <c r="F79" s="3" t="n">
        <v>814000000</v>
      </c>
      <c r="G79" s="3" t="n"/>
      <c r="H79" s="3" t="n"/>
    </row>
    <row r="80">
      <c r="A80" t="inlineStr">
        <is>
          <t>Cash Cash Equivalents And Short Term Investments</t>
        </is>
      </c>
      <c r="B80" s="3" t="n">
        <v>3071000000</v>
      </c>
      <c r="C80" s="3" t="n">
        <v>3103000000</v>
      </c>
      <c r="D80" s="3" t="n">
        <v>3349000000</v>
      </c>
      <c r="E80" s="3" t="n">
        <v>3191000000</v>
      </c>
      <c r="F80" s="3" t="n">
        <v>2895000000</v>
      </c>
      <c r="G80" s="3" t="n"/>
      <c r="H80" s="3" t="n"/>
    </row>
    <row r="81">
      <c r="A81" t="inlineStr">
        <is>
          <t>Other Short Term Investments</t>
        </is>
      </c>
      <c r="B81" s="3" t="n">
        <v>1222000000</v>
      </c>
      <c r="C81" s="3" t="n">
        <v>1294000000</v>
      </c>
      <c r="D81" s="3" t="n">
        <v>1333000000</v>
      </c>
      <c r="E81" s="3" t="n">
        <v>1401000000</v>
      </c>
      <c r="F81" s="3" t="n">
        <v>1299000000</v>
      </c>
      <c r="G81" s="3" t="n"/>
      <c r="H81" s="3" t="n"/>
    </row>
    <row r="82">
      <c r="A82" t="inlineStr">
        <is>
          <t>Cash And Cash Equivalents</t>
        </is>
      </c>
      <c r="B82" s="3" t="n">
        <v>1849000000</v>
      </c>
      <c r="C82" s="3" t="n">
        <v>1809000000</v>
      </c>
      <c r="D82" s="3" t="n">
        <v>2016000000</v>
      </c>
      <c r="E82" s="3" t="n">
        <v>1790000000</v>
      </c>
      <c r="F82" s="3" t="n">
        <v>1596000000</v>
      </c>
      <c r="G82" s="3" t="n"/>
      <c r="H82" s="3" t="n"/>
    </row>
    <row r="83">
      <c r="A83" t="inlineStr">
        <is>
          <t>Cash Financial</t>
        </is>
      </c>
      <c r="B83" s="3" t="n"/>
      <c r="C83" s="3" t="n">
        <v>1809000000</v>
      </c>
      <c r="D83" s="3" t="n"/>
      <c r="E83" s="3" t="n"/>
      <c r="F83" s="3" t="n"/>
      <c r="G83" s="3" t="n">
        <v>2192000000</v>
      </c>
      <c r="H83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1009000000</v>
      </c>
      <c r="C2" s="3" t="n">
        <v>1097000000</v>
      </c>
      <c r="D2" s="3" t="n">
        <v>321000000</v>
      </c>
      <c r="E2" s="3" t="n">
        <v>-435000000</v>
      </c>
      <c r="F2" s="3" t="n"/>
    </row>
    <row r="3">
      <c r="A3" t="inlineStr">
        <is>
          <t>Repurchase Of Capital Stock</t>
        </is>
      </c>
      <c r="B3" s="3" t="n">
        <v>-5000000</v>
      </c>
      <c r="C3" s="3" t="n">
        <v>-200000000</v>
      </c>
      <c r="D3" s="3" t="n">
        <v>0</v>
      </c>
      <c r="E3" s="3" t="n">
        <v>0</v>
      </c>
      <c r="F3" s="3" t="n"/>
    </row>
    <row r="4">
      <c r="A4" t="inlineStr">
        <is>
          <t>Repayment Of Debt</t>
        </is>
      </c>
      <c r="B4" s="3" t="n">
        <v>-860000000</v>
      </c>
      <c r="C4" s="3" t="n">
        <v>-637000000</v>
      </c>
      <c r="D4" s="3" t="n">
        <v>-305000000</v>
      </c>
      <c r="E4" s="3" t="n">
        <v>-390000000</v>
      </c>
      <c r="F4" s="3" t="n"/>
    </row>
    <row r="5">
      <c r="A5" t="inlineStr">
        <is>
          <t>Issuance Of Debt</t>
        </is>
      </c>
      <c r="B5" s="3" t="n">
        <v>20000000</v>
      </c>
      <c r="C5" s="3" t="n">
        <v>31000000</v>
      </c>
      <c r="D5" s="3" t="n">
        <v>46000000</v>
      </c>
      <c r="E5" s="3" t="n">
        <v>971000000</v>
      </c>
      <c r="F5" s="3" t="n"/>
    </row>
    <row r="6">
      <c r="A6" t="inlineStr">
        <is>
          <t>Issuance Of Capital Stock</t>
        </is>
      </c>
      <c r="B6" s="3" t="n"/>
      <c r="C6" s="3" t="n">
        <v>23000000</v>
      </c>
      <c r="D6" s="3" t="n">
        <v>42000000</v>
      </c>
      <c r="E6" s="3" t="n">
        <v>168000000</v>
      </c>
      <c r="F6" s="3" t="n">
        <v>1444000000</v>
      </c>
    </row>
    <row r="7">
      <c r="A7" t="inlineStr">
        <is>
          <t>Capital Expenditure</t>
        </is>
      </c>
      <c r="B7" s="3" t="n">
        <v>-722000000</v>
      </c>
      <c r="C7" s="3" t="n">
        <v>-625000000</v>
      </c>
      <c r="D7" s="3" t="n">
        <v>-1804000000</v>
      </c>
      <c r="E7" s="3" t="n">
        <v>-3059000000</v>
      </c>
      <c r="F7" s="3" t="n"/>
    </row>
    <row r="8">
      <c r="A8" t="inlineStr">
        <is>
          <t>Income Tax Paid Supplemental Data</t>
        </is>
      </c>
      <c r="B8" s="3" t="n">
        <v>22000000</v>
      </c>
      <c r="C8" s="3" t="n">
        <v>24000000</v>
      </c>
      <c r="D8" s="3" t="n">
        <v>21000000</v>
      </c>
      <c r="E8" s="3" t="n"/>
      <c r="F8" s="3" t="n"/>
    </row>
    <row r="9">
      <c r="A9" t="inlineStr">
        <is>
          <t>End Cash Position</t>
        </is>
      </c>
      <c r="B9" s="3" t="n">
        <v>1809000000</v>
      </c>
      <c r="C9" s="3" t="n">
        <v>2192000000</v>
      </c>
      <c r="D9" s="3" t="n">
        <v>2387000000</v>
      </c>
      <c r="E9" s="3" t="n">
        <v>2352000000</v>
      </c>
      <c r="F9" s="3" t="n"/>
    </row>
    <row r="10">
      <c r="A10" t="inlineStr">
        <is>
          <t>Beginning Cash Position</t>
        </is>
      </c>
      <c r="B10" s="3" t="n">
        <v>2192000000</v>
      </c>
      <c r="C10" s="3" t="n">
        <v>2387000000</v>
      </c>
      <c r="D10" s="3" t="n">
        <v>2352000000</v>
      </c>
      <c r="E10" s="3" t="n">
        <v>2939000000</v>
      </c>
      <c r="F10" s="3" t="n"/>
    </row>
    <row r="11">
      <c r="A11" t="inlineStr">
        <is>
          <t>Effect Of Exchange Rate Changes</t>
        </is>
      </c>
      <c r="B11" s="3" t="n">
        <v>5000000</v>
      </c>
      <c r="C11" s="3" t="n">
        <v>-7000000</v>
      </c>
      <c r="D11" s="3" t="n">
        <v>4000000</v>
      </c>
      <c r="E11" s="3" t="n">
        <v>5000000</v>
      </c>
      <c r="F11" s="3" t="n"/>
    </row>
    <row r="12">
      <c r="A12" t="inlineStr">
        <is>
          <t>Changes In Cash</t>
        </is>
      </c>
      <c r="B12" s="3" t="n">
        <v>-388000000</v>
      </c>
      <c r="C12" s="3" t="n">
        <v>-188000000</v>
      </c>
      <c r="D12" s="3" t="n">
        <v>31000000</v>
      </c>
      <c r="E12" s="3" t="n">
        <v>-592000000</v>
      </c>
      <c r="F12" s="3" t="n"/>
    </row>
    <row r="13">
      <c r="A13" t="inlineStr">
        <is>
          <t>Financing Cash Flow</t>
        </is>
      </c>
      <c r="B13" s="3" t="n">
        <v>-845000000</v>
      </c>
      <c r="C13" s="3" t="n">
        <v>-785000000</v>
      </c>
      <c r="D13" s="3" t="n">
        <v>-212000000</v>
      </c>
      <c r="E13" s="3" t="n">
        <v>842000000</v>
      </c>
      <c r="F13" s="3" t="n"/>
    </row>
    <row r="14">
      <c r="A14" t="inlineStr">
        <is>
          <t>Cash Flow From Continuing Financing Activities</t>
        </is>
      </c>
      <c r="B14" s="3" t="n">
        <v>-845000000</v>
      </c>
      <c r="C14" s="3" t="n">
        <v>-785000000</v>
      </c>
      <c r="D14" s="3" t="n">
        <v>-212000000</v>
      </c>
      <c r="E14" s="3" t="n">
        <v>842000000</v>
      </c>
      <c r="F14" s="3" t="n"/>
    </row>
    <row r="15">
      <c r="A15" t="inlineStr">
        <is>
          <t>Net Other Financing Charges</t>
        </is>
      </c>
      <c r="B15" s="3" t="n"/>
      <c r="C15" s="3" t="n">
        <v>-2000000</v>
      </c>
      <c r="D15" s="3" t="n">
        <v>5000000</v>
      </c>
      <c r="E15" s="3" t="n">
        <v>93000000</v>
      </c>
      <c r="F15" s="3" t="n">
        <v>117000000</v>
      </c>
    </row>
    <row r="16">
      <c r="A16" t="inlineStr">
        <is>
          <t>Net Common Stock Issuance</t>
        </is>
      </c>
      <c r="B16" s="3" t="n">
        <v>-5000000</v>
      </c>
      <c r="C16" s="3" t="n">
        <v>-177000000</v>
      </c>
      <c r="D16" s="3" t="n">
        <v>42000000</v>
      </c>
      <c r="E16" s="3" t="n">
        <v>168000000</v>
      </c>
      <c r="F16" s="3" t="n"/>
    </row>
    <row r="17">
      <c r="A17" t="inlineStr">
        <is>
          <t>Common Stock Payments</t>
        </is>
      </c>
      <c r="B17" s="3" t="n">
        <v>-5000000</v>
      </c>
      <c r="C17" s="3" t="n">
        <v>-200000000</v>
      </c>
      <c r="D17" s="3" t="n">
        <v>0</v>
      </c>
      <c r="E17" s="3" t="n">
        <v>0</v>
      </c>
      <c r="F17" s="3" t="n"/>
    </row>
    <row r="18">
      <c r="A18" t="inlineStr">
        <is>
          <t>Common Stock Issuance</t>
        </is>
      </c>
      <c r="B18" s="3" t="n"/>
      <c r="C18" s="3" t="n">
        <v>23000000</v>
      </c>
      <c r="D18" s="3" t="n">
        <v>42000000</v>
      </c>
      <c r="E18" s="3" t="n">
        <v>168000000</v>
      </c>
      <c r="F18" s="3" t="n">
        <v>1444000000</v>
      </c>
    </row>
    <row r="19">
      <c r="A19" t="inlineStr">
        <is>
          <t>Net Issuance Payments Of Debt</t>
        </is>
      </c>
      <c r="B19" s="3" t="n">
        <v>-840000000</v>
      </c>
      <c r="C19" s="3" t="n">
        <v>-606000000</v>
      </c>
      <c r="D19" s="3" t="n">
        <v>-259000000</v>
      </c>
      <c r="E19" s="3" t="n">
        <v>581000000</v>
      </c>
      <c r="F19" s="3" t="n"/>
    </row>
    <row r="20">
      <c r="A20" t="inlineStr">
        <is>
          <t>Net Long Term Debt Issuance</t>
        </is>
      </c>
      <c r="B20" s="3" t="n">
        <v>-840000000</v>
      </c>
      <c r="C20" s="3" t="n">
        <v>-606000000</v>
      </c>
      <c r="D20" s="3" t="n">
        <v>-259000000</v>
      </c>
      <c r="E20" s="3" t="n">
        <v>581000000</v>
      </c>
      <c r="F20" s="3" t="n"/>
    </row>
    <row r="21">
      <c r="A21" t="inlineStr">
        <is>
          <t>Long Term Debt Payments</t>
        </is>
      </c>
      <c r="B21" s="3" t="n">
        <v>-860000000</v>
      </c>
      <c r="C21" s="3" t="n">
        <v>-637000000</v>
      </c>
      <c r="D21" s="3" t="n">
        <v>-305000000</v>
      </c>
      <c r="E21" s="3" t="n">
        <v>-390000000</v>
      </c>
      <c r="F21" s="3" t="n"/>
    </row>
    <row r="22">
      <c r="A22" t="inlineStr">
        <is>
          <t>Long Term Debt Issuance</t>
        </is>
      </c>
      <c r="B22" s="3" t="n">
        <v>20000000</v>
      </c>
      <c r="C22" s="3" t="n">
        <v>31000000</v>
      </c>
      <c r="D22" s="3" t="n">
        <v>46000000</v>
      </c>
      <c r="E22" s="3" t="n">
        <v>971000000</v>
      </c>
      <c r="F22" s="3" t="n"/>
    </row>
    <row r="23">
      <c r="A23" t="inlineStr">
        <is>
          <t>Investing Cash Flow</t>
        </is>
      </c>
      <c r="B23" s="3" t="n">
        <v>-1274000000</v>
      </c>
      <c r="C23" s="3" t="n">
        <v>-1125000000</v>
      </c>
      <c r="D23" s="3" t="n">
        <v>-1882000000</v>
      </c>
      <c r="E23" s="3" t="n">
        <v>-4058000000</v>
      </c>
      <c r="F23" s="3" t="n"/>
    </row>
    <row r="24">
      <c r="A24" t="inlineStr">
        <is>
          <t>Cash Flow From Continuing Investing Activities</t>
        </is>
      </c>
      <c r="B24" s="3" t="n">
        <v>-1274000000</v>
      </c>
      <c r="C24" s="3" t="n">
        <v>-1125000000</v>
      </c>
      <c r="D24" s="3" t="n">
        <v>-1882000000</v>
      </c>
      <c r="E24" s="3" t="n">
        <v>-4058000000</v>
      </c>
      <c r="F24" s="3" t="n"/>
    </row>
    <row r="25">
      <c r="A25" t="inlineStr">
        <is>
          <t>Net Other Investing Changes</t>
        </is>
      </c>
      <c r="B25" s="3" t="n">
        <v>147000000</v>
      </c>
      <c r="C25" s="3" t="n">
        <v>9000000</v>
      </c>
      <c r="D25" s="3" t="n">
        <v>136000000</v>
      </c>
      <c r="E25" s="3" t="n">
        <v>-44000000</v>
      </c>
      <c r="F25" s="3" t="n"/>
    </row>
    <row r="26">
      <c r="A26" t="inlineStr">
        <is>
          <t>Net Investment Purchase And Sale</t>
        </is>
      </c>
      <c r="B26" s="3" t="n">
        <v>-187000000</v>
      </c>
      <c r="C26" s="3" t="n">
        <v>-496000000</v>
      </c>
      <c r="D26" s="3" t="n">
        <v>-474000000</v>
      </c>
      <c r="E26" s="3" t="n">
        <v>-996000000</v>
      </c>
      <c r="F26" s="3" t="n"/>
    </row>
    <row r="27">
      <c r="A27" t="inlineStr">
        <is>
          <t>Sale Of Investment</t>
        </is>
      </c>
      <c r="B27" s="3" t="n">
        <v>1490000000</v>
      </c>
      <c r="C27" s="3" t="n">
        <v>1380000000</v>
      </c>
      <c r="D27" s="3" t="n">
        <v>945000000</v>
      </c>
      <c r="E27" s="3" t="n">
        <v>306000000</v>
      </c>
      <c r="F27" s="3" t="n"/>
    </row>
    <row r="28">
      <c r="A28" t="inlineStr">
        <is>
          <t>Purchase Of Investment</t>
        </is>
      </c>
      <c r="B28" s="3" t="n">
        <v>-1677000000</v>
      </c>
      <c r="C28" s="3" t="n">
        <v>-1876000000</v>
      </c>
      <c r="D28" s="3" t="n">
        <v>-1419000000</v>
      </c>
      <c r="E28" s="3" t="n">
        <v>-1302000000</v>
      </c>
      <c r="F28" s="3" t="n"/>
    </row>
    <row r="29">
      <c r="A29" t="inlineStr">
        <is>
          <t>Net Business Purchase And Sale</t>
        </is>
      </c>
      <c r="B29" s="3" t="n">
        <v>-682000000</v>
      </c>
      <c r="C29" s="3" t="n">
        <v>-69000000</v>
      </c>
      <c r="D29" s="3" t="n">
        <v>236000000</v>
      </c>
      <c r="E29" s="3" t="n">
        <v>0</v>
      </c>
      <c r="F29" s="3" t="n"/>
    </row>
    <row r="30">
      <c r="A30" t="inlineStr">
        <is>
          <t>Sale Of Business</t>
        </is>
      </c>
      <c r="B30" s="3" t="n">
        <v>0</v>
      </c>
      <c r="C30" s="3" t="n">
        <v>0</v>
      </c>
      <c r="D30" s="3" t="n">
        <v>236000000</v>
      </c>
      <c r="E30" s="3" t="n">
        <v>0</v>
      </c>
      <c r="F30" s="3" t="n"/>
    </row>
    <row r="31">
      <c r="A31" t="inlineStr">
        <is>
          <t>Purchase Of Business</t>
        </is>
      </c>
      <c r="B31" s="3" t="n">
        <v>-682000000</v>
      </c>
      <c r="C31" s="3" t="n">
        <v>-69000000</v>
      </c>
      <c r="D31" s="3" t="n">
        <v>0</v>
      </c>
      <c r="E31" s="3" t="n">
        <v>0</v>
      </c>
      <c r="F31" s="3" t="n"/>
    </row>
    <row r="32">
      <c r="A32" t="inlineStr">
        <is>
          <t>Net Intangibles Purchase And Sale</t>
        </is>
      </c>
      <c r="B32" s="3" t="n"/>
      <c r="C32" s="3" t="n"/>
      <c r="D32" s="3" t="n"/>
      <c r="E32" s="3" t="n"/>
      <c r="F32" s="3" t="n">
        <v>-104771000</v>
      </c>
    </row>
    <row r="33">
      <c r="A33" t="inlineStr">
        <is>
          <t>Purchase Of Intangibles</t>
        </is>
      </c>
      <c r="B33" s="3" t="n"/>
      <c r="C33" s="3" t="n"/>
      <c r="D33" s="3" t="n"/>
      <c r="E33" s="3" t="n"/>
      <c r="F33" s="3" t="n">
        <v>-104771000</v>
      </c>
    </row>
    <row r="34">
      <c r="A34" t="inlineStr">
        <is>
          <t>Net PPE Purchase And Sale</t>
        </is>
      </c>
      <c r="B34" s="3" t="n">
        <v>-552000000</v>
      </c>
      <c r="C34" s="3" t="n">
        <v>-569000000</v>
      </c>
      <c r="D34" s="3" t="n">
        <v>-1780000000</v>
      </c>
      <c r="E34" s="3" t="n">
        <v>-3018000000</v>
      </c>
      <c r="F34" s="3" t="n"/>
    </row>
    <row r="35">
      <c r="A35" t="inlineStr">
        <is>
          <t>Sale Of PPE</t>
        </is>
      </c>
      <c r="B35" s="3" t="n">
        <v>170000000</v>
      </c>
      <c r="C35" s="3" t="n">
        <v>56000000</v>
      </c>
      <c r="D35" s="3" t="n">
        <v>24000000</v>
      </c>
      <c r="E35" s="3" t="n">
        <v>41000000</v>
      </c>
      <c r="F35" s="3" t="n"/>
    </row>
    <row r="36">
      <c r="A36" t="inlineStr">
        <is>
          <t>Purchase Of PPE</t>
        </is>
      </c>
      <c r="B36" s="3" t="n">
        <v>-722000000</v>
      </c>
      <c r="C36" s="3" t="n">
        <v>-625000000</v>
      </c>
      <c r="D36" s="3" t="n">
        <v>-1804000000</v>
      </c>
      <c r="E36" s="3" t="n">
        <v>-3059000000</v>
      </c>
      <c r="F36" s="3" t="n"/>
    </row>
    <row r="37">
      <c r="A37" t="inlineStr">
        <is>
          <t>Operating Cash Flow</t>
        </is>
      </c>
      <c r="B37" s="3" t="n">
        <v>1731000000</v>
      </c>
      <c r="C37" s="3" t="n">
        <v>1722000000</v>
      </c>
      <c r="D37" s="3" t="n">
        <v>2125000000</v>
      </c>
      <c r="E37" s="3" t="n">
        <v>2624000000</v>
      </c>
      <c r="F37" s="3" t="n"/>
    </row>
    <row r="38">
      <c r="A38" t="inlineStr">
        <is>
          <t>Cash Flow From Continuing Operating Activities</t>
        </is>
      </c>
      <c r="B38" s="3" t="n">
        <v>1731000000</v>
      </c>
      <c r="C38" s="3" t="n">
        <v>1722000000</v>
      </c>
      <c r="D38" s="3" t="n">
        <v>2125000000</v>
      </c>
      <c r="E38" s="3" t="n">
        <v>2624000000</v>
      </c>
      <c r="F38" s="3" t="n"/>
    </row>
    <row r="39">
      <c r="A39" t="inlineStr">
        <is>
          <t>Taxes Refund Paid</t>
        </is>
      </c>
      <c r="B39" s="3" t="n">
        <v>-19000000</v>
      </c>
      <c r="C39" s="3" t="n">
        <v>-31000000</v>
      </c>
      <c r="D39" s="3" t="n">
        <v>-11000000</v>
      </c>
      <c r="E39" s="3" t="n">
        <v>-4000000</v>
      </c>
      <c r="F39" s="3" t="n"/>
    </row>
    <row r="40">
      <c r="A40" t="inlineStr">
        <is>
          <t>Interest Received Cfo</t>
        </is>
      </c>
      <c r="B40" s="3" t="n">
        <v>147000000</v>
      </c>
      <c r="C40" s="3" t="n">
        <v>167000000</v>
      </c>
      <c r="D40" s="3" t="n">
        <v>123000000</v>
      </c>
      <c r="E40" s="3" t="n">
        <v>32000000</v>
      </c>
      <c r="F40" s="3" t="n"/>
    </row>
    <row r="41">
      <c r="A41" t="inlineStr">
        <is>
          <t>Interest Paid Cfo</t>
        </is>
      </c>
      <c r="B41" s="3" t="n">
        <v>-59000000</v>
      </c>
      <c r="C41" s="3" t="n">
        <v>-118000000</v>
      </c>
      <c r="D41" s="3" t="n">
        <v>-121000000</v>
      </c>
      <c r="E41" s="3" t="n">
        <v>-96000000</v>
      </c>
      <c r="F41" s="3" t="n"/>
    </row>
    <row r="42">
      <c r="A42" t="inlineStr">
        <is>
          <t>Change In Working Capital</t>
        </is>
      </c>
      <c r="B42" s="3" t="n">
        <v>-538000000</v>
      </c>
      <c r="C42" s="3" t="n">
        <v>-619000000</v>
      </c>
      <c r="D42" s="3" t="n">
        <v>-507000000</v>
      </c>
      <c r="E42" s="3" t="n">
        <v>-166000000</v>
      </c>
      <c r="F42" s="3" t="n"/>
    </row>
    <row r="43">
      <c r="A43" t="inlineStr">
        <is>
          <t>Change In Payables And Accrued Expense</t>
        </is>
      </c>
      <c r="B43" s="3" t="n">
        <v>-339000000</v>
      </c>
      <c r="C43" s="3" t="n">
        <v>-411000000</v>
      </c>
      <c r="D43" s="3" t="n">
        <v>-190000000</v>
      </c>
      <c r="E43" s="3" t="n">
        <v>60000000</v>
      </c>
      <c r="F43" s="3" t="n"/>
    </row>
    <row r="44">
      <c r="A44" t="inlineStr">
        <is>
          <t>Change In Payable</t>
        </is>
      </c>
      <c r="B44" s="3" t="n">
        <v>-339000000</v>
      </c>
      <c r="C44" s="3" t="n">
        <v>-411000000</v>
      </c>
      <c r="D44" s="3" t="n">
        <v>-190000000</v>
      </c>
      <c r="E44" s="3" t="n">
        <v>60000000</v>
      </c>
      <c r="F44" s="3" t="n"/>
    </row>
    <row r="45">
      <c r="A45" t="inlineStr">
        <is>
          <t>Change In Account Payable</t>
        </is>
      </c>
      <c r="B45" s="3" t="n"/>
      <c r="C45" s="3" t="n"/>
      <c r="D45" s="3" t="n"/>
      <c r="E45" s="3" t="n"/>
      <c r="F45" s="3" t="n">
        <v>1828946000</v>
      </c>
    </row>
    <row r="46">
      <c r="A46" t="inlineStr">
        <is>
          <t>Change In Tax Payable</t>
        </is>
      </c>
      <c r="B46" s="3" t="n"/>
      <c r="C46" s="3" t="n"/>
      <c r="D46" s="3" t="n"/>
      <c r="E46" s="3" t="n"/>
      <c r="F46" s="3" t="n">
        <v>-9954000</v>
      </c>
    </row>
    <row r="47">
      <c r="A47" t="inlineStr">
        <is>
          <t>Change In Income Tax Payable</t>
        </is>
      </c>
      <c r="B47" s="3" t="n"/>
      <c r="C47" s="3" t="n"/>
      <c r="D47" s="3" t="n"/>
      <c r="E47" s="3" t="n"/>
      <c r="F47" s="3" t="n">
        <v>-9954000</v>
      </c>
    </row>
    <row r="48">
      <c r="A48" t="inlineStr">
        <is>
          <t>Change In Inventory</t>
        </is>
      </c>
      <c r="B48" s="3" t="n">
        <v>81000000</v>
      </c>
      <c r="C48" s="3" t="n">
        <v>-137000000</v>
      </c>
      <c r="D48" s="3" t="n">
        <v>-148000000</v>
      </c>
      <c r="E48" s="3" t="n">
        <v>-261000000</v>
      </c>
      <c r="F48" s="3" t="n"/>
    </row>
    <row r="49">
      <c r="A49" t="inlineStr">
        <is>
          <t>Change In Receivables</t>
        </is>
      </c>
      <c r="B49" s="3" t="n">
        <v>-280000000</v>
      </c>
      <c r="C49" s="3" t="n">
        <v>-71000000</v>
      </c>
      <c r="D49" s="3" t="n">
        <v>-169000000</v>
      </c>
      <c r="E49" s="3" t="n">
        <v>35000000</v>
      </c>
      <c r="F49" s="3" t="n"/>
    </row>
    <row r="50">
      <c r="A50" t="inlineStr">
        <is>
          <t>Changes In Account Receivables</t>
        </is>
      </c>
      <c r="B50" s="3" t="n"/>
      <c r="C50" s="3" t="n"/>
      <c r="D50" s="3" t="n"/>
      <c r="E50" s="3" t="n">
        <v>35000000</v>
      </c>
      <c r="F50" s="3" t="n">
        <v>-387000000</v>
      </c>
    </row>
    <row r="51">
      <c r="A51" t="inlineStr">
        <is>
          <t>Other Non Cash Items</t>
        </is>
      </c>
      <c r="B51" s="3" t="n">
        <v>-72000000</v>
      </c>
      <c r="C51" s="3" t="n">
        <v>-124000000</v>
      </c>
      <c r="D51" s="3" t="n">
        <v>-9000000</v>
      </c>
      <c r="E51" s="3" t="n">
        <v>32000000</v>
      </c>
      <c r="F51" s="3" t="n"/>
    </row>
    <row r="52">
      <c r="A52" t="inlineStr">
        <is>
          <t>Stock Based Compensation</t>
        </is>
      </c>
      <c r="B52" s="3" t="n">
        <v>200000000</v>
      </c>
      <c r="C52" s="3" t="n">
        <v>186000000</v>
      </c>
      <c r="D52" s="3" t="n">
        <v>150000000</v>
      </c>
      <c r="E52" s="3" t="n">
        <v>181000000</v>
      </c>
      <c r="F52" s="3" t="n"/>
    </row>
    <row r="53">
      <c r="A53" t="inlineStr">
        <is>
          <t>Asset Impairment Charge</t>
        </is>
      </c>
      <c r="B53" s="3" t="n">
        <v>0</v>
      </c>
      <c r="C53" s="3" t="n">
        <v>935000000</v>
      </c>
      <c r="D53" s="3" t="n">
        <v>0</v>
      </c>
      <c r="E53" s="3" t="n">
        <v>0</v>
      </c>
      <c r="F53" s="3" t="n"/>
    </row>
    <row r="54">
      <c r="A54" t="inlineStr">
        <is>
          <t>Deferred Tax</t>
        </is>
      </c>
      <c r="B54" s="3" t="n">
        <v>27000000</v>
      </c>
      <c r="C54" s="3" t="n">
        <v>72000000</v>
      </c>
      <c r="D54" s="3" t="n">
        <v>50000000</v>
      </c>
      <c r="E54" s="3" t="n">
        <v>82000000</v>
      </c>
      <c r="F54" s="3" t="n"/>
    </row>
    <row r="55">
      <c r="A55" t="inlineStr">
        <is>
          <t>Deferred Income Tax</t>
        </is>
      </c>
      <c r="B55" s="3" t="n">
        <v>27000000</v>
      </c>
      <c r="C55" s="3" t="n">
        <v>72000000</v>
      </c>
      <c r="D55" s="3" t="n">
        <v>50000000</v>
      </c>
      <c r="E55" s="3" t="n">
        <v>82000000</v>
      </c>
      <c r="F55" s="3" t="n"/>
    </row>
    <row r="56">
      <c r="A56" t="inlineStr">
        <is>
          <t>Depreciation Amortization Depletion</t>
        </is>
      </c>
      <c r="B56" s="3" t="n">
        <v>1314000000</v>
      </c>
      <c r="C56" s="3" t="n">
        <v>1568000000</v>
      </c>
      <c r="D56" s="3" t="n">
        <v>1451000000</v>
      </c>
      <c r="E56" s="3" t="n">
        <v>1623000000</v>
      </c>
      <c r="F56" s="3" t="n"/>
    </row>
    <row r="57">
      <c r="A57" t="inlineStr">
        <is>
          <t>Depreciation And Amortization</t>
        </is>
      </c>
      <c r="B57" s="3" t="n">
        <v>1314000000</v>
      </c>
      <c r="C57" s="3" t="n">
        <v>1568000000</v>
      </c>
      <c r="D57" s="3" t="n">
        <v>1451000000</v>
      </c>
      <c r="E57" s="3" t="n">
        <v>1623000000</v>
      </c>
      <c r="F57" s="3" t="n"/>
    </row>
    <row r="58">
      <c r="A58" t="inlineStr">
        <is>
          <t>Amortization Cash Flow</t>
        </is>
      </c>
      <c r="B58" s="3" t="n"/>
      <c r="C58" s="3" t="n"/>
      <c r="D58" s="3" t="n"/>
      <c r="E58" s="3" t="n"/>
      <c r="F58" s="3" t="n">
        <v>207426000</v>
      </c>
    </row>
    <row r="59">
      <c r="A59" t="inlineStr">
        <is>
          <t>Amortization Of Intangibles</t>
        </is>
      </c>
      <c r="B59" s="3" t="n"/>
      <c r="C59" s="3" t="n"/>
      <c r="D59" s="3" t="n"/>
      <c r="E59" s="3" t="n"/>
      <c r="F59" s="3" t="n">
        <v>207426000</v>
      </c>
    </row>
    <row r="60">
      <c r="A60" t="inlineStr">
        <is>
          <t>Depreciation</t>
        </is>
      </c>
      <c r="B60" s="3" t="n"/>
      <c r="C60" s="3" t="n"/>
      <c r="D60" s="3" t="n"/>
      <c r="E60" s="3" t="n"/>
      <c r="F60" s="3" t="n">
        <v>1411418000</v>
      </c>
    </row>
    <row r="61">
      <c r="A61" t="inlineStr">
        <is>
          <t>Operating Gains Losses</t>
        </is>
      </c>
      <c r="B61" s="3" t="n">
        <v>-157000000</v>
      </c>
      <c r="C61" s="3" t="n">
        <v>-52000000</v>
      </c>
      <c r="D61" s="3" t="n">
        <v>-19000000</v>
      </c>
      <c r="E61" s="3" t="n">
        <v>-506000000</v>
      </c>
      <c r="F61" s="3" t="n"/>
    </row>
    <row r="62">
      <c r="A62" t="inlineStr">
        <is>
          <t>Gain Loss On Sale Of PPE</t>
        </is>
      </c>
      <c r="B62" s="3" t="n">
        <v>-126000000</v>
      </c>
      <c r="C62" s="3" t="n">
        <v>-52000000</v>
      </c>
      <c r="D62" s="3" t="n">
        <v>-19000000</v>
      </c>
      <c r="E62" s="3" t="n">
        <v>-103000000</v>
      </c>
      <c r="F62" s="3" t="n"/>
    </row>
    <row r="63">
      <c r="A63" t="inlineStr">
        <is>
          <t>Gain Loss On Sale Of Business</t>
        </is>
      </c>
      <c r="B63" s="3" t="n">
        <v>-31000000</v>
      </c>
      <c r="C63" s="3" t="n">
        <v>0</v>
      </c>
      <c r="D63" s="3" t="n">
        <v>0</v>
      </c>
      <c r="E63" s="3" t="n">
        <v>-403000000</v>
      </c>
      <c r="F63" s="3" t="n"/>
    </row>
    <row r="64">
      <c r="A64" t="inlineStr">
        <is>
          <t>Net Income From Continuing Operations</t>
        </is>
      </c>
      <c r="B64" s="3" t="n">
        <v>888000000</v>
      </c>
      <c r="C64" s="3" t="n">
        <v>-262000000</v>
      </c>
      <c r="D64" s="3" t="n">
        <v>1018000000</v>
      </c>
      <c r="E64" s="3" t="n">
        <v>1446000000</v>
      </c>
      <c r="F64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Free Cash Flow</t>
        </is>
      </c>
      <c r="B2" s="3" t="n">
        <v>230000000</v>
      </c>
      <c r="C2" s="3" t="n">
        <v>166000000</v>
      </c>
      <c r="D2" s="3" t="n">
        <v>406000000</v>
      </c>
      <c r="E2" s="3" t="n">
        <v>272000000</v>
      </c>
      <c r="F2" s="3" t="n">
        <v>165000000</v>
      </c>
      <c r="G2" s="3" t="n"/>
      <c r="H2" s="3" t="n"/>
    </row>
    <row r="3">
      <c r="A3" t="inlineStr">
        <is>
          <t>Repurchase Of Capital Stock</t>
        </is>
      </c>
      <c r="B3" s="3" t="n">
        <v>-430000000</v>
      </c>
      <c r="C3" s="3" t="n">
        <v>-2000000</v>
      </c>
      <c r="D3" s="3" t="n">
        <v>-3000000</v>
      </c>
      <c r="E3" s="3" t="n">
        <v>0</v>
      </c>
      <c r="F3" s="3" t="n">
        <v>0</v>
      </c>
      <c r="G3" s="3" t="n"/>
      <c r="H3" s="3" t="n"/>
    </row>
    <row r="4">
      <c r="A4" t="inlineStr">
        <is>
          <t>Repayment Of Debt</t>
        </is>
      </c>
      <c r="B4" s="3" t="n">
        <v>-20000000</v>
      </c>
      <c r="C4" s="3" t="n">
        <v>-52000000</v>
      </c>
      <c r="D4" s="3" t="n">
        <v>-25000000</v>
      </c>
      <c r="E4" s="3" t="n">
        <v>-50000000</v>
      </c>
      <c r="F4" s="3" t="n">
        <v>-733000000</v>
      </c>
      <c r="G4" s="3" t="n"/>
      <c r="H4" s="3" t="n"/>
    </row>
    <row r="5">
      <c r="A5" t="inlineStr">
        <is>
          <t>Issuance Of Debt</t>
        </is>
      </c>
      <c r="B5" s="3" t="n"/>
      <c r="C5" s="3" t="n">
        <v>1000000</v>
      </c>
      <c r="D5" s="3" t="n">
        <v>5000000</v>
      </c>
      <c r="E5" s="3" t="n"/>
      <c r="F5" s="3" t="n"/>
      <c r="G5" s="3" t="n">
        <v>2000000</v>
      </c>
      <c r="H5" s="3" t="n">
        <v>29000000</v>
      </c>
    </row>
    <row r="6">
      <c r="A6" t="inlineStr">
        <is>
          <t>Issuance Of Capital Stock</t>
        </is>
      </c>
      <c r="B6" s="3" t="n"/>
      <c r="C6" s="3" t="n"/>
      <c r="D6" s="3" t="n"/>
      <c r="E6" s="3" t="n">
        <v>1000000</v>
      </c>
      <c r="F6" s="3" t="n">
        <v>16000000</v>
      </c>
      <c r="G6" s="3" t="n">
        <v>2000000</v>
      </c>
      <c r="H6" s="3" t="n">
        <v>-2000000</v>
      </c>
    </row>
    <row r="7">
      <c r="A7" t="inlineStr">
        <is>
          <t>Capital Expenditure</t>
        </is>
      </c>
      <c r="B7" s="3" t="n">
        <v>-312000000</v>
      </c>
      <c r="C7" s="3" t="n">
        <v>-208000000</v>
      </c>
      <c r="D7" s="3" t="n">
        <v>-189000000</v>
      </c>
      <c r="E7" s="3" t="n">
        <v>-159000000</v>
      </c>
      <c r="F7" s="3" t="n">
        <v>-166000000</v>
      </c>
      <c r="G7" s="3" t="n"/>
      <c r="H7" s="3" t="n"/>
    </row>
    <row r="8">
      <c r="A8" t="inlineStr">
        <is>
          <t>End Cash Position</t>
        </is>
      </c>
      <c r="B8" s="3" t="n">
        <v>1849000000</v>
      </c>
      <c r="C8" s="3" t="n">
        <v>1809000000</v>
      </c>
      <c r="D8" s="3" t="n">
        <v>2016000000</v>
      </c>
      <c r="E8" s="3" t="n">
        <v>1790000000</v>
      </c>
      <c r="F8" s="3" t="n">
        <v>1596000000</v>
      </c>
      <c r="G8" s="3" t="n"/>
      <c r="H8" s="3" t="n"/>
    </row>
    <row r="9">
      <c r="A9" t="inlineStr">
        <is>
          <t>Beginning Cash Position</t>
        </is>
      </c>
      <c r="B9" s="3" t="n">
        <v>1809000000</v>
      </c>
      <c r="C9" s="3" t="n">
        <v>2016000000</v>
      </c>
      <c r="D9" s="3" t="n">
        <v>1790000000</v>
      </c>
      <c r="E9" s="3" t="n">
        <v>1596000000</v>
      </c>
      <c r="F9" s="3" t="n">
        <v>2192000000</v>
      </c>
      <c r="G9" s="3" t="n"/>
      <c r="H9" s="3" t="n"/>
    </row>
    <row r="10">
      <c r="A10" t="inlineStr">
        <is>
          <t>Effect Of Exchange Rate Changes</t>
        </is>
      </c>
      <c r="B10" s="3" t="n">
        <v>-1000000</v>
      </c>
      <c r="C10" s="3" t="n">
        <v>-1000000</v>
      </c>
      <c r="D10" s="3" t="n">
        <v>0</v>
      </c>
      <c r="E10" s="3" t="n">
        <v>5000000</v>
      </c>
      <c r="F10" s="3" t="n">
        <v>1000000</v>
      </c>
      <c r="G10" s="3" t="n"/>
      <c r="H10" s="3" t="n"/>
    </row>
    <row r="11">
      <c r="A11" t="inlineStr">
        <is>
          <t>Changes In Cash</t>
        </is>
      </c>
      <c r="B11" s="3" t="n">
        <v>41000000</v>
      </c>
      <c r="C11" s="3" t="n">
        <v>-206000000</v>
      </c>
      <c r="D11" s="3" t="n">
        <v>226000000</v>
      </c>
      <c r="E11" s="3" t="n">
        <v>189000000</v>
      </c>
      <c r="F11" s="3" t="n">
        <v>-597000000</v>
      </c>
      <c r="G11" s="3" t="n"/>
      <c r="H11" s="3" t="n"/>
    </row>
    <row r="12">
      <c r="A12" t="inlineStr">
        <is>
          <t>Financing Cash Flow</t>
        </is>
      </c>
      <c r="B12" s="3" t="n">
        <v>-450000000</v>
      </c>
      <c r="C12" s="3" t="n">
        <v>-53000000</v>
      </c>
      <c r="D12" s="3" t="n">
        <v>-40000000</v>
      </c>
      <c r="E12" s="3" t="n">
        <v>-35000000</v>
      </c>
      <c r="F12" s="3" t="n">
        <v>-717000000</v>
      </c>
      <c r="G12" s="3" t="n"/>
      <c r="H12" s="3" t="n"/>
    </row>
    <row r="13">
      <c r="A13" t="inlineStr">
        <is>
          <t>Cash Flow From Continuing Financing Activities</t>
        </is>
      </c>
      <c r="B13" s="3" t="n">
        <v>-450000000</v>
      </c>
      <c r="C13" s="3" t="n">
        <v>-53000000</v>
      </c>
      <c r="D13" s="3" t="n">
        <v>-40000000</v>
      </c>
      <c r="E13" s="3" t="n">
        <v>-35000000</v>
      </c>
      <c r="F13" s="3" t="n">
        <v>-717000000</v>
      </c>
      <c r="G13" s="3" t="n"/>
      <c r="H13" s="3" t="n"/>
    </row>
    <row r="14">
      <c r="A14" t="inlineStr">
        <is>
          <t>Net Other Financing Charges</t>
        </is>
      </c>
      <c r="B14" s="3" t="n"/>
      <c r="C14" s="3" t="n"/>
      <c r="D14" s="3" t="n"/>
      <c r="E14" s="3" t="n"/>
      <c r="F14" s="3" t="n"/>
      <c r="G14" s="3" t="n"/>
      <c r="H14" s="3" t="n">
        <v>-2000000</v>
      </c>
    </row>
    <row r="15">
      <c r="A15" t="inlineStr">
        <is>
          <t>Net Common Stock Issuance</t>
        </is>
      </c>
      <c r="B15" s="3" t="n">
        <v>-430000000</v>
      </c>
      <c r="C15" s="3" t="n">
        <v>-2000000</v>
      </c>
      <c r="D15" s="3" t="n">
        <v>-20000000</v>
      </c>
      <c r="E15" s="3" t="n">
        <v>1000000</v>
      </c>
      <c r="F15" s="3" t="n">
        <v>16000000</v>
      </c>
      <c r="G15" s="3" t="n"/>
      <c r="H15" s="3" t="n"/>
    </row>
    <row r="16">
      <c r="A16" t="inlineStr">
        <is>
          <t>Common Stock Payments</t>
        </is>
      </c>
      <c r="B16" s="3" t="n">
        <v>-430000000</v>
      </c>
      <c r="C16" s="3" t="n">
        <v>-2000000</v>
      </c>
      <c r="D16" s="3" t="n">
        <v>-3000000</v>
      </c>
      <c r="E16" s="3" t="n">
        <v>0</v>
      </c>
      <c r="F16" s="3" t="n">
        <v>0</v>
      </c>
      <c r="G16" s="3" t="n"/>
      <c r="H16" s="3" t="n"/>
    </row>
    <row r="17">
      <c r="A17" t="inlineStr">
        <is>
          <t>Common Stock Issuance</t>
        </is>
      </c>
      <c r="B17" s="3" t="n"/>
      <c r="C17" s="3" t="n"/>
      <c r="D17" s="3" t="n"/>
      <c r="E17" s="3" t="n">
        <v>1000000</v>
      </c>
      <c r="F17" s="3" t="n">
        <v>16000000</v>
      </c>
      <c r="G17" s="3" t="n">
        <v>2000000</v>
      </c>
      <c r="H17" s="3" t="n">
        <v>-2000000</v>
      </c>
    </row>
    <row r="18">
      <c r="A18" t="inlineStr">
        <is>
          <t>Net Issuance Payments Of Debt</t>
        </is>
      </c>
      <c r="B18" s="3" t="n">
        <v>-20000000</v>
      </c>
      <c r="C18" s="3" t="n">
        <v>-51000000</v>
      </c>
      <c r="D18" s="3" t="n">
        <v>-20000000</v>
      </c>
      <c r="E18" s="3" t="n">
        <v>-36000000</v>
      </c>
      <c r="F18" s="3" t="n">
        <v>-733000000</v>
      </c>
      <c r="G18" s="3" t="n"/>
      <c r="H18" s="3" t="n"/>
    </row>
    <row r="19">
      <c r="A19" t="inlineStr">
        <is>
          <t>Net Long Term Debt Issuance</t>
        </is>
      </c>
      <c r="B19" s="3" t="n">
        <v>-20000000</v>
      </c>
      <c r="C19" s="3" t="n">
        <v>-51000000</v>
      </c>
      <c r="D19" s="3" t="n">
        <v>-20000000</v>
      </c>
      <c r="E19" s="3" t="n">
        <v>-36000000</v>
      </c>
      <c r="F19" s="3" t="n">
        <v>-733000000</v>
      </c>
      <c r="G19" s="3" t="n"/>
      <c r="H19" s="3" t="n"/>
    </row>
    <row r="20">
      <c r="A20" t="inlineStr">
        <is>
          <t>Long Term Debt Payments</t>
        </is>
      </c>
      <c r="B20" s="3" t="n">
        <v>-20000000</v>
      </c>
      <c r="C20" s="3" t="n">
        <v>-52000000</v>
      </c>
      <c r="D20" s="3" t="n">
        <v>-25000000</v>
      </c>
      <c r="E20" s="3" t="n">
        <v>-50000000</v>
      </c>
      <c r="F20" s="3" t="n">
        <v>-733000000</v>
      </c>
      <c r="G20" s="3" t="n"/>
      <c r="H20" s="3" t="n"/>
    </row>
    <row r="21">
      <c r="A21" t="inlineStr">
        <is>
          <t>Long Term Debt Issuance</t>
        </is>
      </c>
      <c r="B21" s="3" t="n"/>
      <c r="C21" s="3" t="n">
        <v>1000000</v>
      </c>
      <c r="D21" s="3" t="n">
        <v>5000000</v>
      </c>
      <c r="E21" s="3" t="n"/>
      <c r="F21" s="3" t="n"/>
      <c r="G21" s="3" t="n">
        <v>2000000</v>
      </c>
      <c r="H21" s="3" t="n">
        <v>29000000</v>
      </c>
    </row>
    <row r="22">
      <c r="A22" t="inlineStr">
        <is>
          <t>Investing Cash Flow</t>
        </is>
      </c>
      <c r="B22" s="3" t="n">
        <v>-51000000</v>
      </c>
      <c r="C22" s="3" t="n">
        <v>-527000000</v>
      </c>
      <c r="D22" s="3" t="n">
        <v>-329000000</v>
      </c>
      <c r="E22" s="3" t="n">
        <v>-207000000</v>
      </c>
      <c r="F22" s="3" t="n">
        <v>-211000000</v>
      </c>
      <c r="G22" s="3" t="n"/>
      <c r="H22" s="3" t="n"/>
    </row>
    <row r="23">
      <c r="A23" t="inlineStr">
        <is>
          <t>Cash Flow From Continuing Investing Activities</t>
        </is>
      </c>
      <c r="B23" s="3" t="n">
        <v>-51000000</v>
      </c>
      <c r="C23" s="3" t="n">
        <v>-527000000</v>
      </c>
      <c r="D23" s="3" t="n">
        <v>-329000000</v>
      </c>
      <c r="E23" s="3" t="n">
        <v>-207000000</v>
      </c>
      <c r="F23" s="3" t="n">
        <v>-211000000</v>
      </c>
      <c r="G23" s="3" t="n"/>
      <c r="H23" s="3" t="n"/>
    </row>
    <row r="24">
      <c r="A24" t="inlineStr">
        <is>
          <t>Net Other Investing Changes</t>
        </is>
      </c>
      <c r="B24" s="3" t="n">
        <v>9000000</v>
      </c>
      <c r="C24" s="3" t="n"/>
      <c r="D24" s="3" t="n"/>
      <c r="E24" s="3" t="n"/>
      <c r="F24" s="3" t="n">
        <v>35000000</v>
      </c>
      <c r="G24" s="3" t="n">
        <v>-27000000</v>
      </c>
      <c r="H24" s="3" t="n">
        <v>-32000000</v>
      </c>
    </row>
    <row r="25">
      <c r="A25" t="inlineStr">
        <is>
          <t>Net Investment Purchase And Sale</t>
        </is>
      </c>
      <c r="B25" s="3" t="n">
        <v>252000000</v>
      </c>
      <c r="C25" s="3" t="n">
        <v>-22000000</v>
      </c>
      <c r="D25" s="3" t="n">
        <v>-13000000</v>
      </c>
      <c r="E25" s="3" t="n">
        <v>-91000000</v>
      </c>
      <c r="F25" s="3" t="n">
        <v>-61000000</v>
      </c>
      <c r="G25" s="3" t="n"/>
      <c r="H25" s="3" t="n"/>
    </row>
    <row r="26">
      <c r="A26" t="inlineStr">
        <is>
          <t>Sale Of Investment</t>
        </is>
      </c>
      <c r="B26" s="3" t="n">
        <v>642000000</v>
      </c>
      <c r="C26" s="3" t="n">
        <v>345000000</v>
      </c>
      <c r="D26" s="3" t="n">
        <v>444000000</v>
      </c>
      <c r="E26" s="3" t="n">
        <v>365000000</v>
      </c>
      <c r="F26" s="3" t="n">
        <v>336000000</v>
      </c>
      <c r="G26" s="3" t="n"/>
      <c r="H26" s="3" t="n"/>
    </row>
    <row r="27">
      <c r="A27" t="inlineStr">
        <is>
          <t>Purchase Of Investment</t>
        </is>
      </c>
      <c r="B27" s="3" t="n">
        <v>-390000000</v>
      </c>
      <c r="C27" s="3" t="n">
        <v>-367000000</v>
      </c>
      <c r="D27" s="3" t="n">
        <v>-457000000</v>
      </c>
      <c r="E27" s="3" t="n">
        <v>-456000000</v>
      </c>
      <c r="F27" s="3" t="n">
        <v>-397000000</v>
      </c>
      <c r="G27" s="3" t="n"/>
      <c r="H27" s="3" t="n"/>
    </row>
    <row r="28">
      <c r="A28" t="inlineStr">
        <is>
          <t>Net Business Purchase And Sale</t>
        </is>
      </c>
      <c r="B28" s="3" t="n">
        <v>0</v>
      </c>
      <c r="C28" s="3" t="n">
        <v>-451000000</v>
      </c>
      <c r="D28" s="3" t="n">
        <v>-212000000</v>
      </c>
      <c r="E28" s="3" t="n">
        <v>0</v>
      </c>
      <c r="F28" s="3" t="n">
        <v>-19000000</v>
      </c>
      <c r="G28" s="3" t="n"/>
      <c r="H28" s="3" t="n"/>
    </row>
    <row r="29">
      <c r="A29" t="inlineStr">
        <is>
          <t>Sale Of Business</t>
        </is>
      </c>
      <c r="B29" s="3" t="n"/>
      <c r="C29" s="3" t="n"/>
      <c r="D29" s="3" t="n"/>
      <c r="E29" s="3" t="n"/>
      <c r="F29" s="3" t="n"/>
      <c r="G29" s="3" t="n">
        <v>0</v>
      </c>
      <c r="H29" s="3" t="n">
        <v>0</v>
      </c>
    </row>
    <row r="30">
      <c r="A30" t="inlineStr">
        <is>
          <t>Purchase Of Business</t>
        </is>
      </c>
      <c r="B30" s="3" t="n">
        <v>0</v>
      </c>
      <c r="C30" s="3" t="n">
        <v>-451000000</v>
      </c>
      <c r="D30" s="3" t="n">
        <v>-212000000</v>
      </c>
      <c r="E30" s="3" t="n">
        <v>0</v>
      </c>
      <c r="F30" s="3" t="n">
        <v>-19000000</v>
      </c>
      <c r="G30" s="3" t="n"/>
      <c r="H30" s="3" t="n"/>
    </row>
    <row r="31">
      <c r="A31" t="inlineStr">
        <is>
          <t>Net Intangibles Purchase And Sale</t>
        </is>
      </c>
      <c r="B31" s="3" t="n"/>
      <c r="C31" s="3" t="n"/>
      <c r="D31" s="3" t="n"/>
      <c r="E31" s="3" t="n"/>
      <c r="F31" s="3" t="n"/>
      <c r="G31" s="3" t="n"/>
      <c r="H31" s="3" t="n">
        <v>-53000000</v>
      </c>
    </row>
    <row r="32">
      <c r="A32" t="inlineStr">
        <is>
          <t>Purchase Of Intangibles</t>
        </is>
      </c>
      <c r="B32" s="3" t="n"/>
      <c r="C32" s="3" t="n"/>
      <c r="D32" s="3" t="n"/>
      <c r="E32" s="3" t="n"/>
      <c r="F32" s="3" t="n"/>
      <c r="G32" s="3" t="n"/>
      <c r="H32" s="3" t="n">
        <v>-53000000</v>
      </c>
    </row>
    <row r="33">
      <c r="A33" t="inlineStr">
        <is>
          <t>Net PPE Purchase And Sale</t>
        </is>
      </c>
      <c r="B33" s="3" t="n">
        <v>-312000000</v>
      </c>
      <c r="C33" s="3" t="n">
        <v>-201000000</v>
      </c>
      <c r="D33" s="3" t="n">
        <v>-104000000</v>
      </c>
      <c r="E33" s="3" t="n">
        <v>-81000000</v>
      </c>
      <c r="F33" s="3" t="n">
        <v>-166000000</v>
      </c>
      <c r="G33" s="3" t="n"/>
      <c r="H33" s="3" t="n"/>
    </row>
    <row r="34">
      <c r="A34" t="inlineStr">
        <is>
          <t>Sale Of PPE</t>
        </is>
      </c>
      <c r="B34" s="3" t="n"/>
      <c r="C34" s="3" t="n">
        <v>7000000</v>
      </c>
      <c r="D34" s="3" t="n">
        <v>85000000</v>
      </c>
      <c r="E34" s="3" t="n">
        <v>43000000</v>
      </c>
      <c r="F34" s="3" t="n">
        <v>35000000</v>
      </c>
      <c r="G34" s="3" t="n">
        <v>20000000</v>
      </c>
      <c r="H34" s="3" t="n"/>
    </row>
    <row r="35">
      <c r="A35" t="inlineStr">
        <is>
          <t>Purchase Of PPE</t>
        </is>
      </c>
      <c r="B35" s="3" t="n">
        <v>-312000000</v>
      </c>
      <c r="C35" s="3" t="n">
        <v>-208000000</v>
      </c>
      <c r="D35" s="3" t="n">
        <v>-189000000</v>
      </c>
      <c r="E35" s="3" t="n">
        <v>-159000000</v>
      </c>
      <c r="F35" s="3" t="n">
        <v>-166000000</v>
      </c>
      <c r="G35" s="3" t="n"/>
      <c r="H35" s="3" t="n"/>
    </row>
    <row r="36">
      <c r="A36" t="inlineStr">
        <is>
          <t>Operating Cash Flow</t>
        </is>
      </c>
      <c r="B36" s="3" t="n">
        <v>542000000</v>
      </c>
      <c r="C36" s="3" t="n">
        <v>374000000</v>
      </c>
      <c r="D36" s="3" t="n">
        <v>595000000</v>
      </c>
      <c r="E36" s="3" t="n">
        <v>431000000</v>
      </c>
      <c r="F36" s="3" t="n">
        <v>331000000</v>
      </c>
      <c r="G36" s="3" t="n"/>
      <c r="H36" s="3" t="n"/>
    </row>
    <row r="37">
      <c r="A37" t="inlineStr">
        <is>
          <t>Cash Flow From Continuing Operating Activities</t>
        </is>
      </c>
      <c r="B37" s="3" t="n">
        <v>542000000</v>
      </c>
      <c r="C37" s="3" t="n">
        <v>374000000</v>
      </c>
      <c r="D37" s="3" t="n">
        <v>595000000</v>
      </c>
      <c r="E37" s="3" t="n">
        <v>431000000</v>
      </c>
      <c r="F37" s="3" t="n">
        <v>331000000</v>
      </c>
      <c r="G37" s="3" t="n"/>
      <c r="H37" s="3" t="n"/>
    </row>
    <row r="38">
      <c r="A38" t="inlineStr">
        <is>
          <t>Taxes Refund Paid</t>
        </is>
      </c>
      <c r="B38" s="3" t="n">
        <v>-4000000</v>
      </c>
      <c r="C38" s="3" t="n">
        <v>-6000000</v>
      </c>
      <c r="D38" s="3" t="n">
        <v>-7000000</v>
      </c>
      <c r="E38" s="3" t="n">
        <v>-5000000</v>
      </c>
      <c r="F38" s="3" t="n">
        <v>-1000000</v>
      </c>
      <c r="G38" s="3" t="n"/>
      <c r="H38" s="3" t="n"/>
    </row>
    <row r="39">
      <c r="A39" t="inlineStr">
        <is>
          <t>Interest Received Cfo</t>
        </is>
      </c>
      <c r="B39" s="3" t="n">
        <v>34000000</v>
      </c>
      <c r="C39" s="3" t="n">
        <v>36000000</v>
      </c>
      <c r="D39" s="3" t="n">
        <v>45000000</v>
      </c>
      <c r="E39" s="3" t="n">
        <v>34000000</v>
      </c>
      <c r="F39" s="3" t="n">
        <v>32000000</v>
      </c>
      <c r="G39" s="3" t="n"/>
      <c r="H39" s="3" t="n"/>
    </row>
    <row r="40">
      <c r="A40" t="inlineStr">
        <is>
          <t>Interest Paid Cfo</t>
        </is>
      </c>
      <c r="B40" s="3" t="n">
        <v>-8000000</v>
      </c>
      <c r="C40" s="3" t="n">
        <v>-23000000</v>
      </c>
      <c r="D40" s="3" t="n">
        <v>-8000000</v>
      </c>
      <c r="E40" s="3" t="n">
        <v>-20000000</v>
      </c>
      <c r="F40" s="3" t="n">
        <v>-8000000</v>
      </c>
      <c r="G40" s="3" t="n"/>
      <c r="H40" s="3" t="n"/>
    </row>
    <row r="41">
      <c r="A41" t="inlineStr">
        <is>
          <t>Change In Working Capital</t>
        </is>
      </c>
      <c r="B41" s="3" t="n">
        <v>4000000</v>
      </c>
      <c r="C41" s="3" t="n">
        <v>-274000000</v>
      </c>
      <c r="D41" s="3" t="n">
        <v>16000000</v>
      </c>
      <c r="E41" s="3" t="n">
        <v>-136000000</v>
      </c>
      <c r="F41" s="3" t="n">
        <v>-144000000</v>
      </c>
      <c r="G41" s="3" t="n"/>
      <c r="H41" s="3" t="n"/>
    </row>
    <row r="42">
      <c r="A42" t="inlineStr">
        <is>
          <t>Change In Payables And Accrued Expense</t>
        </is>
      </c>
      <c r="B42" s="3" t="n">
        <v>-102000000</v>
      </c>
      <c r="C42" s="3" t="n">
        <v>-11000000</v>
      </c>
      <c r="D42" s="3" t="n">
        <v>-233000000</v>
      </c>
      <c r="E42" s="3" t="n">
        <v>-128000000</v>
      </c>
      <c r="F42" s="3" t="n">
        <v>33000000</v>
      </c>
      <c r="G42" s="3" t="n"/>
      <c r="H42" s="3" t="n"/>
    </row>
    <row r="43">
      <c r="A43" t="inlineStr">
        <is>
          <t>Change In Payable</t>
        </is>
      </c>
      <c r="B43" s="3" t="n">
        <v>-102000000</v>
      </c>
      <c r="C43" s="3" t="n">
        <v>-11000000</v>
      </c>
      <c r="D43" s="3" t="n">
        <v>-233000000</v>
      </c>
      <c r="E43" s="3" t="n">
        <v>-128000000</v>
      </c>
      <c r="F43" s="3" t="n">
        <v>33000000</v>
      </c>
      <c r="G43" s="3" t="n"/>
      <c r="H43" s="3" t="n"/>
    </row>
    <row r="44">
      <c r="A44" t="inlineStr">
        <is>
          <t>Change In Inventory</t>
        </is>
      </c>
      <c r="B44" s="3" t="n">
        <v>-109000000</v>
      </c>
      <c r="C44" s="3" t="n">
        <v>89000000</v>
      </c>
      <c r="D44" s="3" t="n">
        <v>81000000</v>
      </c>
      <c r="E44" s="3" t="n">
        <v>88000000</v>
      </c>
      <c r="F44" s="3" t="n">
        <v>-177000000</v>
      </c>
      <c r="G44" s="3" t="n"/>
      <c r="H44" s="3" t="n"/>
    </row>
    <row r="45">
      <c r="A45" t="inlineStr">
        <is>
          <t>Change In Receivables</t>
        </is>
      </c>
      <c r="B45" s="3" t="n">
        <v>215000000</v>
      </c>
      <c r="C45" s="3" t="n">
        <v>-352000000</v>
      </c>
      <c r="D45" s="3" t="n">
        <v>168000000</v>
      </c>
      <c r="E45" s="3" t="n">
        <v>-96000000</v>
      </c>
      <c r="F45" s="3" t="n">
        <v>0</v>
      </c>
      <c r="G45" s="3" t="n"/>
      <c r="H45" s="3" t="n"/>
    </row>
    <row r="46">
      <c r="A46" t="inlineStr">
        <is>
          <t>Other Non Cash Items</t>
        </is>
      </c>
      <c r="B46" s="3" t="n">
        <v>-17000000</v>
      </c>
      <c r="C46" s="3" t="n">
        <v>-24000000</v>
      </c>
      <c r="D46" s="3" t="n">
        <v>-24000000</v>
      </c>
      <c r="E46" s="3" t="n">
        <v>2000000</v>
      </c>
      <c r="F46" s="3" t="n">
        <v>-26000000</v>
      </c>
      <c r="G46" s="3" t="n"/>
      <c r="H46" s="3" t="n"/>
    </row>
    <row r="47">
      <c r="A47" t="inlineStr">
        <is>
          <t>Stock Based Compensation</t>
        </is>
      </c>
      <c r="B47" s="3" t="n">
        <v>60000000</v>
      </c>
      <c r="C47" s="3" t="n">
        <v>53000000</v>
      </c>
      <c r="D47" s="3" t="n">
        <v>53000000</v>
      </c>
      <c r="E47" s="3" t="n">
        <v>52000000</v>
      </c>
      <c r="F47" s="3" t="n">
        <v>42000000</v>
      </c>
      <c r="G47" s="3" t="n"/>
      <c r="H47" s="3" t="n"/>
    </row>
    <row r="48">
      <c r="A48" t="inlineStr">
        <is>
          <t>Deferred Tax</t>
        </is>
      </c>
      <c r="B48" s="3" t="n">
        <v>67000000</v>
      </c>
      <c r="C48" s="3" t="n">
        <v>117000000</v>
      </c>
      <c r="D48" s="3" t="n">
        <v>-6000000</v>
      </c>
      <c r="E48" s="3" t="n">
        <v>-20000000</v>
      </c>
      <c r="F48" s="3" t="n">
        <v>-64000000</v>
      </c>
      <c r="G48" s="3" t="n"/>
      <c r="H48" s="3" t="n"/>
    </row>
    <row r="49">
      <c r="A49" t="inlineStr">
        <is>
          <t>Deferred Income Tax</t>
        </is>
      </c>
      <c r="B49" s="3" t="n">
        <v>67000000</v>
      </c>
      <c r="C49" s="3" t="n">
        <v>117000000</v>
      </c>
      <c r="D49" s="3" t="n">
        <v>-6000000</v>
      </c>
      <c r="E49" s="3" t="n">
        <v>-20000000</v>
      </c>
      <c r="F49" s="3" t="n">
        <v>-64000000</v>
      </c>
      <c r="G49" s="3" t="n"/>
      <c r="H49" s="3" t="n"/>
    </row>
    <row r="50">
      <c r="A50" t="inlineStr">
        <is>
          <t>Depreciation Amortization Depletion</t>
        </is>
      </c>
      <c r="B50" s="3" t="n">
        <v>311000000</v>
      </c>
      <c r="C50" s="3" t="n">
        <v>313000000</v>
      </c>
      <c r="D50" s="3" t="n">
        <v>314000000</v>
      </c>
      <c r="E50" s="3" t="n">
        <v>335000000</v>
      </c>
      <c r="F50" s="3" t="n">
        <v>352000000</v>
      </c>
      <c r="G50" s="3" t="n"/>
      <c r="H50" s="3" t="n"/>
    </row>
    <row r="51">
      <c r="A51" t="inlineStr">
        <is>
          <t>Depreciation And Amortization</t>
        </is>
      </c>
      <c r="B51" s="3" t="n">
        <v>311000000</v>
      </c>
      <c r="C51" s="3" t="n">
        <v>313000000</v>
      </c>
      <c r="D51" s="3" t="n">
        <v>314000000</v>
      </c>
      <c r="E51" s="3" t="n">
        <v>335000000</v>
      </c>
      <c r="F51" s="3" t="n">
        <v>352000000</v>
      </c>
      <c r="G51" s="3" t="n"/>
      <c r="H51" s="3" t="n"/>
    </row>
    <row r="52">
      <c r="A52" t="inlineStr">
        <is>
          <t>Amortization Cash Flow</t>
        </is>
      </c>
      <c r="B52" s="3" t="n"/>
      <c r="C52" s="3" t="n"/>
      <c r="D52" s="3" t="n"/>
      <c r="E52" s="3" t="n"/>
      <c r="F52" s="3" t="n"/>
      <c r="G52" s="3" t="n"/>
      <c r="H52" s="3" t="n">
        <v>33000000</v>
      </c>
    </row>
    <row r="53">
      <c r="A53" t="inlineStr">
        <is>
          <t>Amortization Of Intangibles</t>
        </is>
      </c>
      <c r="B53" s="3" t="n"/>
      <c r="C53" s="3" t="n"/>
      <c r="D53" s="3" t="n"/>
      <c r="E53" s="3" t="n"/>
      <c r="F53" s="3" t="n"/>
      <c r="G53" s="3" t="n"/>
      <c r="H53" s="3" t="n">
        <v>33000000</v>
      </c>
    </row>
    <row r="54">
      <c r="A54" t="inlineStr">
        <is>
          <t>Depreciation</t>
        </is>
      </c>
      <c r="B54" s="3" t="n"/>
      <c r="C54" s="3" t="n"/>
      <c r="D54" s="3" t="n"/>
      <c r="E54" s="3" t="n"/>
      <c r="F54" s="3" t="n"/>
      <c r="G54" s="3" t="n"/>
      <c r="H54" s="3" t="n">
        <v>363000000</v>
      </c>
    </row>
    <row r="55">
      <c r="A55" t="inlineStr">
        <is>
          <t>Operating Gains Losses</t>
        </is>
      </c>
      <c r="B55" s="3" t="n">
        <v>-9000000</v>
      </c>
      <c r="C55" s="3" t="n">
        <v>-18000000</v>
      </c>
      <c r="D55" s="3" t="n">
        <v>-37000000</v>
      </c>
      <c r="E55" s="3" t="n">
        <v>-39000000</v>
      </c>
      <c r="F55" s="3" t="n">
        <v>-63000000</v>
      </c>
      <c r="G55" s="3" t="n"/>
      <c r="H55" s="3" t="n"/>
    </row>
    <row r="56">
      <c r="A56" t="inlineStr">
        <is>
          <t>Gain Loss On Sale Of PPE</t>
        </is>
      </c>
      <c r="B56" s="3" t="n">
        <v>-9000000</v>
      </c>
      <c r="C56" s="3" t="n">
        <v>-18000000</v>
      </c>
      <c r="D56" s="3" t="n">
        <v>-37000000</v>
      </c>
      <c r="E56" s="3" t="n">
        <v>-39000000</v>
      </c>
      <c r="F56" s="3" t="n">
        <v>-32000000</v>
      </c>
      <c r="G56" s="3" t="n"/>
      <c r="H56" s="3" t="n"/>
    </row>
    <row r="57">
      <c r="A57" t="inlineStr">
        <is>
          <t>Gain Loss On Sale Of Business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-31000000</v>
      </c>
      <c r="G57" s="3" t="n"/>
      <c r="H57" s="3" t="n"/>
    </row>
    <row r="58">
      <c r="A58" t="inlineStr">
        <is>
          <t>Net Income From Continuing Operations</t>
        </is>
      </c>
      <c r="B58" s="3" t="n">
        <v>104000000</v>
      </c>
      <c r="C58" s="3" t="n">
        <v>200000000</v>
      </c>
      <c r="D58" s="3" t="n">
        <v>249000000</v>
      </c>
      <c r="E58" s="3" t="n">
        <v>228000000</v>
      </c>
      <c r="F58" s="3" t="n">
        <v>211000000</v>
      </c>
      <c r="G58" s="3" t="n"/>
      <c r="H58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2026-06-20T19:56:36Z</dcterms:created>
  <dcterms:modified xsi:type="dcterms:W3CDTF">2026-06-20T19:56:37Z</dcterms:modified>
</cp:coreProperties>
</file>