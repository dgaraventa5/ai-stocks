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ALNT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Allient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1486514944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1642859904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61.16084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28.244884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2.6516972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0.32882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0.0733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0.042519998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0.08236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0.046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41723000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198068000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40823000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16996512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87.45999999999999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(annual)'!D35</f>
        <v/>
      </c>
      <c r="C6" s="3">
        <f>'Income stmt (annual)'!C35</f>
        <v/>
      </c>
      <c r="D6" s="3">
        <f>'Income stmt (annual)'!B35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-941320</v>
      </c>
      <c r="C2" s="3" t="n">
        <v>-529104</v>
      </c>
      <c r="D2" s="3" t="n">
        <v>-807975</v>
      </c>
      <c r="E2" s="3" t="n">
        <v>0</v>
      </c>
      <c r="F2" s="3" t="n"/>
    </row>
    <row r="3">
      <c r="A3" t="inlineStr">
        <is>
          <t>Tax Rate For Calcs</t>
        </is>
      </c>
      <c r="B3" s="3" t="n">
        <v>0.233</v>
      </c>
      <c r="C3" s="3" t="n">
        <v>0.219</v>
      </c>
      <c r="D3" s="3" t="n">
        <v>0.189</v>
      </c>
      <c r="E3" s="3" t="n">
        <v>0.266</v>
      </c>
      <c r="F3" s="3" t="n"/>
    </row>
    <row r="4">
      <c r="A4" t="inlineStr">
        <is>
          <t>Normalized EBITDA</t>
        </is>
      </c>
      <c r="B4" s="3" t="n">
        <v>71356000</v>
      </c>
      <c r="C4" s="3" t="n">
        <v>58461000</v>
      </c>
      <c r="D4" s="3" t="n">
        <v>71426000</v>
      </c>
      <c r="E4" s="3" t="n">
        <v>56859000</v>
      </c>
      <c r="F4" s="3" t="n"/>
    </row>
    <row r="5">
      <c r="A5" t="inlineStr">
        <is>
          <t>Total Unusual Items</t>
        </is>
      </c>
      <c r="B5" s="3" t="n">
        <v>-4040000</v>
      </c>
      <c r="C5" s="3" t="n">
        <v>-2416000</v>
      </c>
      <c r="D5" s="3" t="n">
        <v>-4275000</v>
      </c>
      <c r="E5" s="3" t="n"/>
      <c r="F5" s="3" t="n"/>
    </row>
    <row r="6">
      <c r="A6" t="inlineStr">
        <is>
          <t>Total Unusual Items Excluding Goodwill</t>
        </is>
      </c>
      <c r="B6" s="3" t="n">
        <v>-4040000</v>
      </c>
      <c r="C6" s="3" t="n">
        <v>-2416000</v>
      </c>
      <c r="D6" s="3" t="n">
        <v>-4275000</v>
      </c>
      <c r="E6" s="3" t="n"/>
      <c r="F6" s="3" t="n"/>
    </row>
    <row r="7">
      <c r="A7" t="inlineStr">
        <is>
          <t>Net Income From Continuing Operation Net Minority Interest</t>
        </is>
      </c>
      <c r="B7" s="3" t="n">
        <v>22034000</v>
      </c>
      <c r="C7" s="3" t="n">
        <v>13166000</v>
      </c>
      <c r="D7" s="3" t="n">
        <v>24097000</v>
      </c>
      <c r="E7" s="3" t="n">
        <v>17389000</v>
      </c>
      <c r="F7" s="3" t="n"/>
    </row>
    <row r="8">
      <c r="A8" t="inlineStr">
        <is>
          <t>Reconciled Depreciation</t>
        </is>
      </c>
      <c r="B8" s="3" t="n">
        <v>25407000</v>
      </c>
      <c r="C8" s="3" t="n">
        <v>25891000</v>
      </c>
      <c r="D8" s="3" t="n">
        <v>25068000</v>
      </c>
      <c r="E8" s="3" t="n">
        <v>25486000</v>
      </c>
      <c r="F8" s="3" t="n"/>
    </row>
    <row r="9">
      <c r="A9" t="inlineStr">
        <is>
          <t>Reconciled Cost Of Revenue</t>
        </is>
      </c>
      <c r="B9" s="3" t="n">
        <v>359833000</v>
      </c>
      <c r="C9" s="3" t="n">
        <v>350883000</v>
      </c>
      <c r="D9" s="3" t="n">
        <v>382196000</v>
      </c>
      <c r="E9" s="3" t="n">
        <v>331412000</v>
      </c>
      <c r="F9" s="3" t="n"/>
    </row>
    <row r="10">
      <c r="A10" t="inlineStr">
        <is>
          <t>EBITDA</t>
        </is>
      </c>
      <c r="B10" s="3" t="n">
        <v>67316000</v>
      </c>
      <c r="C10" s="3" t="n">
        <v>56045000</v>
      </c>
      <c r="D10" s="3" t="n">
        <v>67151000</v>
      </c>
      <c r="E10" s="3" t="n">
        <v>56859000</v>
      </c>
      <c r="F10" s="3" t="n"/>
    </row>
    <row r="11">
      <c r="A11" t="inlineStr">
        <is>
          <t>EBIT</t>
        </is>
      </c>
      <c r="B11" s="3" t="n">
        <v>41909000</v>
      </c>
      <c r="C11" s="3" t="n">
        <v>30154000</v>
      </c>
      <c r="D11" s="3" t="n">
        <v>42083000</v>
      </c>
      <c r="E11" s="3" t="n">
        <v>31373000</v>
      </c>
      <c r="F11" s="3" t="n"/>
    </row>
    <row r="12">
      <c r="A12" t="inlineStr">
        <is>
          <t>Net Interest Income</t>
        </is>
      </c>
      <c r="B12" s="3" t="n">
        <v>-13175000</v>
      </c>
      <c r="C12" s="3" t="n">
        <v>-13296000</v>
      </c>
      <c r="D12" s="3" t="n">
        <v>-12383000</v>
      </c>
      <c r="E12" s="3" t="n">
        <v>-7692000</v>
      </c>
      <c r="F12" s="3" t="n"/>
    </row>
    <row r="13">
      <c r="A13" t="inlineStr">
        <is>
          <t>Interest Expense</t>
        </is>
      </c>
      <c r="B13" s="3" t="n">
        <v>13175000</v>
      </c>
      <c r="C13" s="3" t="n">
        <v>13296000</v>
      </c>
      <c r="D13" s="3" t="n">
        <v>12383000</v>
      </c>
      <c r="E13" s="3" t="n">
        <v>7692000</v>
      </c>
      <c r="F13" s="3" t="n"/>
    </row>
    <row r="14">
      <c r="A14" t="inlineStr">
        <is>
          <t>Normalized Income</t>
        </is>
      </c>
      <c r="B14" s="3" t="n">
        <v>25132680</v>
      </c>
      <c r="C14" s="3" t="n">
        <v>15052896</v>
      </c>
      <c r="D14" s="3" t="n">
        <v>27564025</v>
      </c>
      <c r="E14" s="3" t="n">
        <v>17389000</v>
      </c>
      <c r="F14" s="3" t="n"/>
    </row>
    <row r="15">
      <c r="A15" t="inlineStr">
        <is>
          <t>Net Income From Continuing And Discontinued Operation</t>
        </is>
      </c>
      <c r="B15" s="3" t="n">
        <v>22034000</v>
      </c>
      <c r="C15" s="3" t="n">
        <v>13166000</v>
      </c>
      <c r="D15" s="3" t="n">
        <v>24097000</v>
      </c>
      <c r="E15" s="3" t="n">
        <v>17389000</v>
      </c>
      <c r="F15" s="3" t="n"/>
    </row>
    <row r="16">
      <c r="A16" t="inlineStr">
        <is>
          <t>Total Expenses</t>
        </is>
      </c>
      <c r="B16" s="3" t="n">
        <v>506453000</v>
      </c>
      <c r="C16" s="3" t="n">
        <v>497514000</v>
      </c>
      <c r="D16" s="3" t="n">
        <v>532045000</v>
      </c>
      <c r="E16" s="3" t="n">
        <v>471332000</v>
      </c>
      <c r="F16" s="3" t="n"/>
    </row>
    <row r="17">
      <c r="A17" t="inlineStr">
        <is>
          <t>Total Operating Income As Reported</t>
        </is>
      </c>
      <c r="B17" s="3" t="n">
        <v>43985000</v>
      </c>
      <c r="C17" s="3" t="n">
        <v>30038000</v>
      </c>
      <c r="D17" s="3" t="n">
        <v>42314000</v>
      </c>
      <c r="E17" s="3" t="n">
        <v>31656000</v>
      </c>
      <c r="F17" s="3" t="n"/>
    </row>
    <row r="18">
      <c r="A18" t="inlineStr">
        <is>
          <t>Diluted Average Shares</t>
        </is>
      </c>
      <c r="B18" s="3" t="n">
        <v>16732000</v>
      </c>
      <c r="C18" s="3" t="n">
        <v>16603000</v>
      </c>
      <c r="D18" s="3" t="n">
        <v>16272000</v>
      </c>
      <c r="E18" s="3" t="n">
        <v>15951000</v>
      </c>
      <c r="F18" s="3" t="n"/>
    </row>
    <row r="19">
      <c r="A19" t="inlineStr">
        <is>
          <t>Basic Average Shares</t>
        </is>
      </c>
      <c r="B19" s="3" t="n">
        <v>16669000</v>
      </c>
      <c r="C19" s="3" t="n">
        <v>16529000</v>
      </c>
      <c r="D19" s="3" t="n">
        <v>15963000</v>
      </c>
      <c r="E19" s="3" t="n">
        <v>15448000</v>
      </c>
      <c r="F19" s="3" t="n"/>
    </row>
    <row r="20">
      <c r="A20" t="inlineStr">
        <is>
          <t>Diluted EPS</t>
        </is>
      </c>
      <c r="B20" s="3" t="n">
        <v>1.32</v>
      </c>
      <c r="C20" s="3" t="n">
        <v>0.79</v>
      </c>
      <c r="D20" s="3" t="n">
        <v>1.48</v>
      </c>
      <c r="E20" s="3" t="n">
        <v>1.09</v>
      </c>
      <c r="F20" s="3" t="n"/>
    </row>
    <row r="21">
      <c r="A21" t="inlineStr">
        <is>
          <t>Basic EPS</t>
        </is>
      </c>
      <c r="B21" s="3" t="n">
        <v>1.32</v>
      </c>
      <c r="C21" s="3" t="n">
        <v>0.8</v>
      </c>
      <c r="D21" s="3" t="n">
        <v>1.51</v>
      </c>
      <c r="E21" s="3" t="n">
        <v>1.13</v>
      </c>
      <c r="F21" s="3" t="n"/>
    </row>
    <row r="22">
      <c r="A22" t="inlineStr">
        <is>
          <t>Diluted NI Availto Com Stockholders</t>
        </is>
      </c>
      <c r="B22" s="3" t="n">
        <v>22034000</v>
      </c>
      <c r="C22" s="3" t="n">
        <v>13166000</v>
      </c>
      <c r="D22" s="3" t="n">
        <v>24097000</v>
      </c>
      <c r="E22" s="3" t="n">
        <v>17389000</v>
      </c>
      <c r="F22" s="3" t="n"/>
    </row>
    <row r="23">
      <c r="A23" t="inlineStr">
        <is>
          <t>Net Income Common Stockholders</t>
        </is>
      </c>
      <c r="B23" s="3" t="n">
        <v>22034000</v>
      </c>
      <c r="C23" s="3" t="n">
        <v>13166000</v>
      </c>
      <c r="D23" s="3" t="n">
        <v>24097000</v>
      </c>
      <c r="E23" s="3" t="n">
        <v>17389000</v>
      </c>
      <c r="F23" s="3" t="n"/>
    </row>
    <row r="24">
      <c r="A24" t="inlineStr">
        <is>
          <t>Net Income</t>
        </is>
      </c>
      <c r="B24" s="3" t="n">
        <v>22034000</v>
      </c>
      <c r="C24" s="3" t="n">
        <v>13166000</v>
      </c>
      <c r="D24" s="3" t="n">
        <v>24097000</v>
      </c>
      <c r="E24" s="3" t="n">
        <v>17389000</v>
      </c>
      <c r="F24" s="3" t="n"/>
    </row>
    <row r="25">
      <c r="A25" t="inlineStr">
        <is>
          <t>Net Income Including Noncontrolling Interests</t>
        </is>
      </c>
      <c r="B25" s="3" t="n">
        <v>22034000</v>
      </c>
      <c r="C25" s="3" t="n">
        <v>13166000</v>
      </c>
      <c r="D25" s="3" t="n">
        <v>24097000</v>
      </c>
      <c r="E25" s="3" t="n">
        <v>17389000</v>
      </c>
      <c r="F25" s="3" t="n"/>
    </row>
    <row r="26">
      <c r="A26" t="inlineStr">
        <is>
          <t>Net Income Continuous Operations</t>
        </is>
      </c>
      <c r="B26" s="3" t="n">
        <v>22034000</v>
      </c>
      <c r="C26" s="3" t="n">
        <v>13166000</v>
      </c>
      <c r="D26" s="3" t="n">
        <v>24097000</v>
      </c>
      <c r="E26" s="3" t="n">
        <v>17389000</v>
      </c>
      <c r="F26" s="3" t="n"/>
    </row>
    <row r="27">
      <c r="A27" t="inlineStr">
        <is>
          <t>Tax Provision</t>
        </is>
      </c>
      <c r="B27" s="3" t="n">
        <v>6700000</v>
      </c>
      <c r="C27" s="3" t="n">
        <v>3692000</v>
      </c>
      <c r="D27" s="3" t="n">
        <v>5603000</v>
      </c>
      <c r="E27" s="3" t="n">
        <v>6292000</v>
      </c>
      <c r="F27" s="3" t="n"/>
    </row>
    <row r="28">
      <c r="A28" t="inlineStr">
        <is>
          <t>Pretax Income</t>
        </is>
      </c>
      <c r="B28" s="3" t="n">
        <v>28734000</v>
      </c>
      <c r="C28" s="3" t="n">
        <v>16858000</v>
      </c>
      <c r="D28" s="3" t="n">
        <v>29700000</v>
      </c>
      <c r="E28" s="3" t="n">
        <v>23681000</v>
      </c>
      <c r="F28" s="3" t="n"/>
    </row>
    <row r="29">
      <c r="A29" t="inlineStr">
        <is>
          <t>Other Income Expense</t>
        </is>
      </c>
      <c r="B29" s="3" t="n">
        <v>-6116000</v>
      </c>
      <c r="C29" s="3" t="n">
        <v>-2300000</v>
      </c>
      <c r="D29" s="3" t="n">
        <v>-4506000</v>
      </c>
      <c r="E29" s="3" t="n">
        <v>-283000</v>
      </c>
      <c r="F29" s="3" t="n"/>
    </row>
    <row r="30">
      <c r="A30" t="inlineStr">
        <is>
          <t>Other Non Operating Income Expenses</t>
        </is>
      </c>
      <c r="B30" s="3" t="n">
        <v>-2076000</v>
      </c>
      <c r="C30" s="3" t="n">
        <v>116000</v>
      </c>
      <c r="D30" s="3" t="n">
        <v>-231000</v>
      </c>
      <c r="E30" s="3" t="n">
        <v>-283000</v>
      </c>
      <c r="F30" s="3" t="n"/>
    </row>
    <row r="31">
      <c r="A31" t="inlineStr">
        <is>
          <t>Special Income Charges</t>
        </is>
      </c>
      <c r="B31" s="3" t="n">
        <v>-4040000</v>
      </c>
      <c r="C31" s="3" t="n">
        <v>-2416000</v>
      </c>
      <c r="D31" s="3" t="n">
        <v>-4275000</v>
      </c>
      <c r="E31" s="3" t="n"/>
      <c r="F31" s="3" t="n"/>
    </row>
    <row r="32">
      <c r="A32" t="inlineStr">
        <is>
          <t>Restructuring And Mergern Acquisition</t>
        </is>
      </c>
      <c r="B32" s="3" t="n">
        <v>4040000</v>
      </c>
      <c r="C32" s="3" t="n">
        <v>2416000</v>
      </c>
      <c r="D32" s="3" t="n">
        <v>4275000</v>
      </c>
      <c r="E32" s="3" t="n"/>
      <c r="F32" s="3" t="n"/>
    </row>
    <row r="33">
      <c r="A33" t="inlineStr">
        <is>
          <t>Net Non Operating Interest Income Expense</t>
        </is>
      </c>
      <c r="B33" s="3" t="n">
        <v>-13175000</v>
      </c>
      <c r="C33" s="3" t="n">
        <v>-13296000</v>
      </c>
      <c r="D33" s="3" t="n">
        <v>-12383000</v>
      </c>
      <c r="E33" s="3" t="n">
        <v>-7692000</v>
      </c>
      <c r="F33" s="3" t="n"/>
    </row>
    <row r="34">
      <c r="A34" t="inlineStr">
        <is>
          <t>Interest Expense Non Operating</t>
        </is>
      </c>
      <c r="B34" s="3" t="n">
        <v>13175000</v>
      </c>
      <c r="C34" s="3" t="n">
        <v>13296000</v>
      </c>
      <c r="D34" s="3" t="n">
        <v>12383000</v>
      </c>
      <c r="E34" s="3" t="n">
        <v>7692000</v>
      </c>
      <c r="F34" s="3" t="n"/>
    </row>
    <row r="35">
      <c r="A35" t="inlineStr">
        <is>
          <t>Operating Income</t>
        </is>
      </c>
      <c r="B35" s="3" t="n">
        <v>48025000</v>
      </c>
      <c r="C35" s="3" t="n">
        <v>32454000</v>
      </c>
      <c r="D35" s="3" t="n">
        <v>46589000</v>
      </c>
      <c r="E35" s="3" t="n">
        <v>31656000</v>
      </c>
      <c r="F35" s="3" t="n"/>
    </row>
    <row r="36">
      <c r="A36" t="inlineStr">
        <is>
          <t>Operating Expense</t>
        </is>
      </c>
      <c r="B36" s="3" t="n">
        <v>133684000</v>
      </c>
      <c r="C36" s="3" t="n">
        <v>133237000</v>
      </c>
      <c r="D36" s="3" t="n">
        <v>137094000</v>
      </c>
      <c r="E36" s="3" t="n">
        <v>125603000</v>
      </c>
      <c r="F36" s="3" t="n"/>
    </row>
    <row r="37">
      <c r="A37" t="inlineStr">
        <is>
          <t>Other Operating Expenses</t>
        </is>
      </c>
      <c r="B37" s="3" t="n"/>
      <c r="C37" s="3" t="n">
        <v>2416000</v>
      </c>
      <c r="D37" s="3" t="n">
        <v>4275000</v>
      </c>
      <c r="E37" s="3" t="n">
        <v>3319000</v>
      </c>
      <c r="F37" s="3" t="n">
        <v>1299000</v>
      </c>
    </row>
    <row r="38">
      <c r="A38" t="inlineStr">
        <is>
          <t>Depreciation Amortization Depletion Income Statement</t>
        </is>
      </c>
      <c r="B38" s="3" t="n">
        <v>12471000</v>
      </c>
      <c r="C38" s="3" t="n">
        <v>12497000</v>
      </c>
      <c r="D38" s="3" t="n">
        <v>12313000</v>
      </c>
      <c r="E38" s="3" t="n">
        <v>11169000</v>
      </c>
      <c r="F38" s="3" t="n"/>
    </row>
    <row r="39">
      <c r="A39" t="inlineStr">
        <is>
          <t>Depreciation And Amortization In Income Statement</t>
        </is>
      </c>
      <c r="B39" s="3" t="n">
        <v>12471000</v>
      </c>
      <c r="C39" s="3" t="n">
        <v>12497000</v>
      </c>
      <c r="D39" s="3" t="n">
        <v>12313000</v>
      </c>
      <c r="E39" s="3" t="n">
        <v>11169000</v>
      </c>
      <c r="F39" s="3" t="n"/>
    </row>
    <row r="40">
      <c r="A40" t="inlineStr">
        <is>
          <t>Amortization</t>
        </is>
      </c>
      <c r="B40" s="3" t="n">
        <v>12471000</v>
      </c>
      <c r="C40" s="3" t="n">
        <v>12497000</v>
      </c>
      <c r="D40" s="3" t="n">
        <v>12313000</v>
      </c>
      <c r="E40" s="3" t="n">
        <v>11169000</v>
      </c>
      <c r="F40" s="3" t="n"/>
    </row>
    <row r="41">
      <c r="A41" t="inlineStr">
        <is>
          <t>Amortization Of Intangibles Income Statement</t>
        </is>
      </c>
      <c r="B41" s="3" t="n">
        <v>12471000</v>
      </c>
      <c r="C41" s="3" t="n">
        <v>12497000</v>
      </c>
      <c r="D41" s="3" t="n">
        <v>12313000</v>
      </c>
      <c r="E41" s="3" t="n">
        <v>11169000</v>
      </c>
      <c r="F41" s="3" t="n"/>
    </row>
    <row r="42">
      <c r="A42" t="inlineStr">
        <is>
          <t>Research And Development</t>
        </is>
      </c>
      <c r="B42" s="3" t="n">
        <v>38836000</v>
      </c>
      <c r="C42" s="3" t="n">
        <v>39761000</v>
      </c>
      <c r="D42" s="3" t="n">
        <v>41665000</v>
      </c>
      <c r="E42" s="3" t="n">
        <v>38561000</v>
      </c>
      <c r="F42" s="3" t="n"/>
    </row>
    <row r="43">
      <c r="A43" t="inlineStr">
        <is>
          <t>Selling General And Administration</t>
        </is>
      </c>
      <c r="B43" s="3" t="n">
        <v>82377000</v>
      </c>
      <c r="C43" s="3" t="n">
        <v>80979000</v>
      </c>
      <c r="D43" s="3" t="n">
        <v>83116000</v>
      </c>
      <c r="E43" s="3" t="n">
        <v>72554000</v>
      </c>
      <c r="F43" s="3" t="n"/>
    </row>
    <row r="44">
      <c r="A44" t="inlineStr">
        <is>
          <t>Selling And Marketing Expense</t>
        </is>
      </c>
      <c r="B44" s="3" t="n">
        <v>24524000</v>
      </c>
      <c r="C44" s="3" t="n">
        <v>25310000</v>
      </c>
      <c r="D44" s="3" t="n">
        <v>24713000</v>
      </c>
      <c r="E44" s="3" t="n">
        <v>21877000</v>
      </c>
      <c r="F44" s="3" t="n"/>
    </row>
    <row r="45">
      <c r="A45" t="inlineStr">
        <is>
          <t>General And Administrative Expense</t>
        </is>
      </c>
      <c r="B45" s="3" t="n">
        <v>57853000</v>
      </c>
      <c r="C45" s="3" t="n">
        <v>55669000</v>
      </c>
      <c r="D45" s="3" t="n">
        <v>58403000</v>
      </c>
      <c r="E45" s="3" t="n">
        <v>50677000</v>
      </c>
      <c r="F45" s="3" t="n"/>
    </row>
    <row r="46">
      <c r="A46" t="inlineStr">
        <is>
          <t>Other Gand A</t>
        </is>
      </c>
      <c r="B46" s="3" t="n">
        <v>57853000</v>
      </c>
      <c r="C46" s="3" t="n">
        <v>55669000</v>
      </c>
      <c r="D46" s="3" t="n">
        <v>58403000</v>
      </c>
      <c r="E46" s="3" t="n">
        <v>50677000</v>
      </c>
      <c r="F46" s="3" t="n"/>
    </row>
    <row r="47">
      <c r="A47" t="inlineStr">
        <is>
          <t>Gross Profit</t>
        </is>
      </c>
      <c r="B47" s="3" t="n">
        <v>181709000</v>
      </c>
      <c r="C47" s="3" t="n">
        <v>165691000</v>
      </c>
      <c r="D47" s="3" t="n">
        <v>183683000</v>
      </c>
      <c r="E47" s="3" t="n">
        <v>157259000</v>
      </c>
      <c r="F47" s="3" t="n"/>
    </row>
    <row r="48">
      <c r="A48" t="inlineStr">
        <is>
          <t>Cost Of Revenue</t>
        </is>
      </c>
      <c r="B48" s="3" t="n">
        <v>372769000</v>
      </c>
      <c r="C48" s="3" t="n">
        <v>364277000</v>
      </c>
      <c r="D48" s="3" t="n">
        <v>394951000</v>
      </c>
      <c r="E48" s="3" t="n">
        <v>345729000</v>
      </c>
      <c r="F48" s="3" t="n"/>
    </row>
    <row r="49">
      <c r="A49" t="inlineStr">
        <is>
          <t>Total Revenue</t>
        </is>
      </c>
      <c r="B49" s="3" t="n">
        <v>554478000</v>
      </c>
      <c r="C49" s="3" t="n">
        <v>529968000</v>
      </c>
      <c r="D49" s="3" t="n">
        <v>578634000</v>
      </c>
      <c r="E49" s="3" t="n">
        <v>502988000</v>
      </c>
      <c r="F49" s="3" t="n"/>
    </row>
    <row r="50">
      <c r="A50" t="inlineStr">
        <is>
          <t>Operating Revenue</t>
        </is>
      </c>
      <c r="B50" s="3" t="n">
        <v>554478000</v>
      </c>
      <c r="C50" s="3" t="n">
        <v>529968000</v>
      </c>
      <c r="D50" s="3" t="n">
        <v>578634000</v>
      </c>
      <c r="E50" s="3" t="n">
        <v>502988000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-181020</v>
      </c>
      <c r="C2" s="3" t="n">
        <v>-142309.942197</v>
      </c>
      <c r="D2" s="3" t="n">
        <v>-189366</v>
      </c>
      <c r="E2" s="3" t="n">
        <v>-264218.707204</v>
      </c>
      <c r="F2" s="3" t="n">
        <v>-302798</v>
      </c>
      <c r="G2" s="3" t="n"/>
    </row>
    <row r="3">
      <c r="A3" t="inlineStr">
        <is>
          <t>Tax Rate For Calcs</t>
        </is>
      </c>
      <c r="B3" s="3" t="n">
        <v>0.21</v>
      </c>
      <c r="C3" s="3" t="n">
        <v>0.262081</v>
      </c>
      <c r="D3" s="3" t="n">
        <v>0.222</v>
      </c>
      <c r="E3" s="3" t="n">
        <v>0.230759</v>
      </c>
      <c r="F3" s="3" t="n">
        <v>0.202</v>
      </c>
      <c r="G3" s="3" t="n"/>
    </row>
    <row r="4">
      <c r="A4" t="inlineStr">
        <is>
          <t>Normalized EBITDA</t>
        </is>
      </c>
      <c r="B4" s="3" t="n">
        <v>16408000</v>
      </c>
      <c r="C4" s="3" t="n">
        <v>18082000</v>
      </c>
      <c r="D4" s="3" t="n">
        <v>18999000</v>
      </c>
      <c r="E4" s="3" t="n">
        <v>18400000</v>
      </c>
      <c r="F4" s="3" t="n">
        <v>15875000</v>
      </c>
      <c r="G4" s="3" t="n"/>
    </row>
    <row r="5">
      <c r="A5" t="inlineStr">
        <is>
          <t>Total Unusual Items</t>
        </is>
      </c>
      <c r="B5" s="3" t="n">
        <v>-862000</v>
      </c>
      <c r="C5" s="3" t="n">
        <v>-543000</v>
      </c>
      <c r="D5" s="3" t="n">
        <v>-853000</v>
      </c>
      <c r="E5" s="3" t="n">
        <v>-1145000</v>
      </c>
      <c r="F5" s="3" t="n">
        <v>-1499000</v>
      </c>
      <c r="G5" s="3" t="n"/>
    </row>
    <row r="6">
      <c r="A6" t="inlineStr">
        <is>
          <t>Total Unusual Items Excluding Goodwill</t>
        </is>
      </c>
      <c r="B6" s="3" t="n">
        <v>-862000</v>
      </c>
      <c r="C6" s="3" t="n">
        <v>-543000</v>
      </c>
      <c r="D6" s="3" t="n">
        <v>-853000</v>
      </c>
      <c r="E6" s="3" t="n">
        <v>-1145000</v>
      </c>
      <c r="F6" s="3" t="n">
        <v>-1499000</v>
      </c>
      <c r="G6" s="3" t="n"/>
    </row>
    <row r="7">
      <c r="A7" t="inlineStr">
        <is>
          <t>Net Income From Continuing Operation Net Minority Interest</t>
        </is>
      </c>
      <c r="B7" s="3" t="n">
        <v>5357000</v>
      </c>
      <c r="C7" s="3" t="n">
        <v>6383000</v>
      </c>
      <c r="D7" s="3" t="n">
        <v>6477000</v>
      </c>
      <c r="E7" s="3" t="n">
        <v>5617000</v>
      </c>
      <c r="F7" s="3" t="n">
        <v>3557000</v>
      </c>
      <c r="G7" s="3" t="n"/>
    </row>
    <row r="8">
      <c r="A8" t="inlineStr">
        <is>
          <t>Reconciled Depreciation</t>
        </is>
      </c>
      <c r="B8" s="3" t="n">
        <v>6210000</v>
      </c>
      <c r="C8" s="3" t="n">
        <v>6302000</v>
      </c>
      <c r="D8" s="3" t="n">
        <v>6423000</v>
      </c>
      <c r="E8" s="3" t="n">
        <v>6401000</v>
      </c>
      <c r="F8" s="3" t="n">
        <v>6281000</v>
      </c>
      <c r="G8" s="3" t="n"/>
    </row>
    <row r="9">
      <c r="A9" t="inlineStr">
        <is>
          <t>Reconciled Cost Of Revenue</t>
        </is>
      </c>
      <c r="B9" s="3" t="n">
        <v>90453000</v>
      </c>
      <c r="C9" s="3" t="n">
        <v>93753000</v>
      </c>
      <c r="D9" s="3" t="n">
        <v>89271000</v>
      </c>
      <c r="E9" s="3" t="n">
        <v>89946000</v>
      </c>
      <c r="F9" s="3" t="n">
        <v>86863000</v>
      </c>
      <c r="G9" s="3" t="n"/>
    </row>
    <row r="10">
      <c r="A10" t="inlineStr">
        <is>
          <t>EBITDA</t>
        </is>
      </c>
      <c r="B10" s="3" t="n">
        <v>15546000</v>
      </c>
      <c r="C10" s="3" t="n">
        <v>17539000</v>
      </c>
      <c r="D10" s="3" t="n">
        <v>18146000</v>
      </c>
      <c r="E10" s="3" t="n">
        <v>17255000</v>
      </c>
      <c r="F10" s="3" t="n">
        <v>14376000</v>
      </c>
      <c r="G10" s="3" t="n"/>
    </row>
    <row r="11">
      <c r="A11" t="inlineStr">
        <is>
          <t>EBIT</t>
        </is>
      </c>
      <c r="B11" s="3" t="n">
        <v>9336000</v>
      </c>
      <c r="C11" s="3" t="n">
        <v>11237000</v>
      </c>
      <c r="D11" s="3" t="n">
        <v>11723000</v>
      </c>
      <c r="E11" s="3" t="n">
        <v>10854000</v>
      </c>
      <c r="F11" s="3" t="n">
        <v>8095000</v>
      </c>
      <c r="G11" s="3" t="n"/>
    </row>
    <row r="12">
      <c r="A12" t="inlineStr">
        <is>
          <t>Net Interest Income</t>
        </is>
      </c>
      <c r="B12" s="3" t="n">
        <v>-2553000</v>
      </c>
      <c r="C12" s="3" t="n">
        <v>-2587000</v>
      </c>
      <c r="D12" s="3" t="n">
        <v>-3401000</v>
      </c>
      <c r="E12" s="3" t="n">
        <v>-3552000</v>
      </c>
      <c r="F12" s="3" t="n">
        <v>-3635000</v>
      </c>
      <c r="G12" s="3" t="n"/>
    </row>
    <row r="13">
      <c r="A13" t="inlineStr">
        <is>
          <t>Interest Expense</t>
        </is>
      </c>
      <c r="B13" s="3" t="n">
        <v>2553000</v>
      </c>
      <c r="C13" s="3" t="n">
        <v>2587000</v>
      </c>
      <c r="D13" s="3" t="n">
        <v>3401000</v>
      </c>
      <c r="E13" s="3" t="n">
        <v>3552000</v>
      </c>
      <c r="F13" s="3" t="n">
        <v>3635000</v>
      </c>
      <c r="G13" s="3" t="n"/>
    </row>
    <row r="14">
      <c r="A14" t="inlineStr">
        <is>
          <t>Normalized Income</t>
        </is>
      </c>
      <c r="B14" s="3" t="n">
        <v>6037980</v>
      </c>
      <c r="C14" s="3" t="n">
        <v>6783690.057803</v>
      </c>
      <c r="D14" s="3" t="n">
        <v>7140634</v>
      </c>
      <c r="E14" s="3" t="n">
        <v>6497781.292796</v>
      </c>
      <c r="F14" s="3" t="n">
        <v>4753202</v>
      </c>
      <c r="G14" s="3" t="n"/>
    </row>
    <row r="15">
      <c r="A15" t="inlineStr">
        <is>
          <t>Net Income From Continuing And Discontinued Operation</t>
        </is>
      </c>
      <c r="B15" s="3" t="n">
        <v>5357000</v>
      </c>
      <c r="C15" s="3" t="n">
        <v>6383000</v>
      </c>
      <c r="D15" s="3" t="n">
        <v>6477000</v>
      </c>
      <c r="E15" s="3" t="n">
        <v>5617000</v>
      </c>
      <c r="F15" s="3" t="n">
        <v>3557000</v>
      </c>
      <c r="G15" s="3" t="n"/>
    </row>
    <row r="16">
      <c r="A16" t="inlineStr">
        <is>
          <t>Total Expenses</t>
        </is>
      </c>
      <c r="B16" s="3" t="n">
        <v>128732000</v>
      </c>
      <c r="C16" s="3" t="n">
        <v>131462000</v>
      </c>
      <c r="D16" s="3" t="n">
        <v>125710000</v>
      </c>
      <c r="E16" s="3" t="n">
        <v>126756000</v>
      </c>
      <c r="F16" s="3" t="n">
        <v>122525000</v>
      </c>
      <c r="G16" s="3" t="n"/>
    </row>
    <row r="17">
      <c r="A17" t="inlineStr">
        <is>
          <t>Total Operating Income As Reported</t>
        </is>
      </c>
      <c r="B17" s="3" t="n">
        <v>9321000</v>
      </c>
      <c r="C17" s="3" t="n">
        <v>11349000</v>
      </c>
      <c r="D17" s="3" t="n">
        <v>12180000</v>
      </c>
      <c r="E17" s="3" t="n">
        <v>11677000</v>
      </c>
      <c r="F17" s="3" t="n">
        <v>8779000</v>
      </c>
      <c r="G17" s="3" t="n"/>
    </row>
    <row r="18">
      <c r="A18" t="inlineStr">
        <is>
          <t>Diluted Average Shares</t>
        </is>
      </c>
      <c r="B18" s="3" t="n">
        <v>16879000</v>
      </c>
      <c r="C18" s="3" t="n"/>
      <c r="D18" s="3" t="n">
        <v>16780000</v>
      </c>
      <c r="E18" s="3" t="n">
        <v>16713000</v>
      </c>
      <c r="F18" s="3" t="n">
        <v>16638000</v>
      </c>
      <c r="G18" s="3" t="n"/>
    </row>
    <row r="19">
      <c r="A19" t="inlineStr">
        <is>
          <t>Basic Average Shares</t>
        </is>
      </c>
      <c r="B19" s="3" t="n">
        <v>16714000</v>
      </c>
      <c r="C19" s="3" t="n"/>
      <c r="D19" s="3" t="n">
        <v>16695000</v>
      </c>
      <c r="E19" s="3" t="n">
        <v>16687000</v>
      </c>
      <c r="F19" s="3" t="n">
        <v>16599000</v>
      </c>
      <c r="G19" s="3" t="n"/>
    </row>
    <row r="20">
      <c r="A20" t="inlineStr">
        <is>
          <t>Diluted EPS</t>
        </is>
      </c>
      <c r="B20" s="3" t="n">
        <v>0.32</v>
      </c>
      <c r="C20" s="3" t="n"/>
      <c r="D20" s="3" t="n">
        <v>0.39</v>
      </c>
      <c r="E20" s="3" t="n">
        <v>0.34</v>
      </c>
      <c r="F20" s="3" t="n">
        <v>0.21</v>
      </c>
      <c r="G20" s="3" t="n"/>
    </row>
    <row r="21">
      <c r="A21" t="inlineStr">
        <is>
          <t>Basic EPS</t>
        </is>
      </c>
      <c r="B21" s="3" t="n">
        <v>0.32</v>
      </c>
      <c r="C21" s="3" t="n"/>
      <c r="D21" s="3" t="n">
        <v>0.39</v>
      </c>
      <c r="E21" s="3" t="n">
        <v>0.34</v>
      </c>
      <c r="F21" s="3" t="n">
        <v>0.21</v>
      </c>
      <c r="G21" s="3" t="n"/>
    </row>
    <row r="22">
      <c r="A22" t="inlineStr">
        <is>
          <t>Diluted NI Availto Com Stockholders</t>
        </is>
      </c>
      <c r="B22" s="3" t="n">
        <v>5357000</v>
      </c>
      <c r="C22" s="3" t="n">
        <v>6383000</v>
      </c>
      <c r="D22" s="3" t="n">
        <v>6477000</v>
      </c>
      <c r="E22" s="3" t="n">
        <v>5617000</v>
      </c>
      <c r="F22" s="3" t="n">
        <v>3557000</v>
      </c>
      <c r="G22" s="3" t="n"/>
    </row>
    <row r="23">
      <c r="A23" t="inlineStr">
        <is>
          <t>Net Income Common Stockholders</t>
        </is>
      </c>
      <c r="B23" s="3" t="n">
        <v>5357000</v>
      </c>
      <c r="C23" s="3" t="n">
        <v>6383000</v>
      </c>
      <c r="D23" s="3" t="n">
        <v>6477000</v>
      </c>
      <c r="E23" s="3" t="n">
        <v>5617000</v>
      </c>
      <c r="F23" s="3" t="n">
        <v>3557000</v>
      </c>
      <c r="G23" s="3" t="n"/>
    </row>
    <row r="24">
      <c r="A24" t="inlineStr">
        <is>
          <t>Net Income</t>
        </is>
      </c>
      <c r="B24" s="3" t="n">
        <v>5357000</v>
      </c>
      <c r="C24" s="3" t="n">
        <v>6383000</v>
      </c>
      <c r="D24" s="3" t="n">
        <v>6477000</v>
      </c>
      <c r="E24" s="3" t="n">
        <v>5617000</v>
      </c>
      <c r="F24" s="3" t="n">
        <v>3557000</v>
      </c>
      <c r="G24" s="3" t="n"/>
    </row>
    <row r="25">
      <c r="A25" t="inlineStr">
        <is>
          <t>Net Income Including Noncontrolling Interests</t>
        </is>
      </c>
      <c r="B25" s="3" t="n">
        <v>5357000</v>
      </c>
      <c r="C25" s="3" t="n">
        <v>6383000</v>
      </c>
      <c r="D25" s="3" t="n">
        <v>6477000</v>
      </c>
      <c r="E25" s="3" t="n">
        <v>5617000</v>
      </c>
      <c r="F25" s="3" t="n">
        <v>3557000</v>
      </c>
      <c r="G25" s="3" t="n"/>
    </row>
    <row r="26">
      <c r="A26" t="inlineStr">
        <is>
          <t>Net Income Continuous Operations</t>
        </is>
      </c>
      <c r="B26" s="3" t="n">
        <v>5357000</v>
      </c>
      <c r="C26" s="3" t="n">
        <v>6383000</v>
      </c>
      <c r="D26" s="3" t="n">
        <v>6477000</v>
      </c>
      <c r="E26" s="3" t="n">
        <v>5617000</v>
      </c>
      <c r="F26" s="3" t="n">
        <v>3557000</v>
      </c>
      <c r="G26" s="3" t="n"/>
    </row>
    <row r="27">
      <c r="A27" t="inlineStr">
        <is>
          <t>Tax Provision</t>
        </is>
      </c>
      <c r="B27" s="3" t="n">
        <v>1426000</v>
      </c>
      <c r="C27" s="3" t="n">
        <v>2267000</v>
      </c>
      <c r="D27" s="3" t="n">
        <v>1845000</v>
      </c>
      <c r="E27" s="3" t="n">
        <v>1685000</v>
      </c>
      <c r="F27" s="3" t="n">
        <v>903000</v>
      </c>
      <c r="G27" s="3" t="n"/>
    </row>
    <row r="28">
      <c r="A28" t="inlineStr">
        <is>
          <t>Pretax Income</t>
        </is>
      </c>
      <c r="B28" s="3" t="n">
        <v>6783000</v>
      </c>
      <c r="C28" s="3" t="n">
        <v>8650000</v>
      </c>
      <c r="D28" s="3" t="n">
        <v>8322000</v>
      </c>
      <c r="E28" s="3" t="n">
        <v>7302000</v>
      </c>
      <c r="F28" s="3" t="n">
        <v>4460000</v>
      </c>
      <c r="G28" s="3" t="n"/>
    </row>
    <row r="29">
      <c r="A29" t="inlineStr">
        <is>
          <t>Other Income Expense</t>
        </is>
      </c>
      <c r="B29" s="3" t="n">
        <v>-847000</v>
      </c>
      <c r="C29" s="3" t="n">
        <v>-655000</v>
      </c>
      <c r="D29" s="3" t="n">
        <v>-1310000</v>
      </c>
      <c r="E29" s="3" t="n">
        <v>-1968000</v>
      </c>
      <c r="F29" s="3" t="n">
        <v>-2183000</v>
      </c>
      <c r="G29" s="3" t="n"/>
    </row>
    <row r="30">
      <c r="A30" t="inlineStr">
        <is>
          <t>Other Non Operating Income Expenses</t>
        </is>
      </c>
      <c r="B30" s="3" t="n">
        <v>15000</v>
      </c>
      <c r="C30" s="3" t="n">
        <v>-112000</v>
      </c>
      <c r="D30" s="3" t="n">
        <v>-457000</v>
      </c>
      <c r="E30" s="3" t="n">
        <v>-823000</v>
      </c>
      <c r="F30" s="3" t="n">
        <v>-684000</v>
      </c>
      <c r="G30" s="3" t="n"/>
    </row>
    <row r="31">
      <c r="A31" t="inlineStr">
        <is>
          <t>Special Income Charges</t>
        </is>
      </c>
      <c r="B31" s="3" t="n">
        <v>-862000</v>
      </c>
      <c r="C31" s="3" t="n">
        <v>-543000</v>
      </c>
      <c r="D31" s="3" t="n">
        <v>-853000</v>
      </c>
      <c r="E31" s="3" t="n">
        <v>-1145000</v>
      </c>
      <c r="F31" s="3" t="n">
        <v>-1499000</v>
      </c>
      <c r="G31" s="3" t="n"/>
    </row>
    <row r="32">
      <c r="A32" t="inlineStr">
        <is>
          <t>Restructuring And Mergern Acquisition</t>
        </is>
      </c>
      <c r="B32" s="3" t="n">
        <v>862000</v>
      </c>
      <c r="C32" s="3" t="n">
        <v>543000</v>
      </c>
      <c r="D32" s="3" t="n">
        <v>853000</v>
      </c>
      <c r="E32" s="3" t="n">
        <v>1145000</v>
      </c>
      <c r="F32" s="3" t="n">
        <v>1499000</v>
      </c>
      <c r="G32" s="3" t="n"/>
    </row>
    <row r="33">
      <c r="A33" t="inlineStr">
        <is>
          <t>Net Non Operating Interest Income Expense</t>
        </is>
      </c>
      <c r="B33" s="3" t="n">
        <v>-2553000</v>
      </c>
      <c r="C33" s="3" t="n">
        <v>-2587000</v>
      </c>
      <c r="D33" s="3" t="n">
        <v>-3401000</v>
      </c>
      <c r="E33" s="3" t="n">
        <v>-3552000</v>
      </c>
      <c r="F33" s="3" t="n">
        <v>-3635000</v>
      </c>
      <c r="G33" s="3" t="n"/>
    </row>
    <row r="34">
      <c r="A34" t="inlineStr">
        <is>
          <t>Interest Expense Non Operating</t>
        </is>
      </c>
      <c r="B34" s="3" t="n">
        <v>2553000</v>
      </c>
      <c r="C34" s="3" t="n">
        <v>2587000</v>
      </c>
      <c r="D34" s="3" t="n">
        <v>3401000</v>
      </c>
      <c r="E34" s="3" t="n">
        <v>3552000</v>
      </c>
      <c r="F34" s="3" t="n">
        <v>3635000</v>
      </c>
      <c r="G34" s="3" t="n"/>
    </row>
    <row r="35">
      <c r="A35" t="inlineStr">
        <is>
          <t>Operating Income</t>
        </is>
      </c>
      <c r="B35" s="3" t="n">
        <v>10183000</v>
      </c>
      <c r="C35" s="3" t="n">
        <v>11892000</v>
      </c>
      <c r="D35" s="3" t="n">
        <v>13033000</v>
      </c>
      <c r="E35" s="3" t="n">
        <v>12822000</v>
      </c>
      <c r="F35" s="3" t="n">
        <v>10278000</v>
      </c>
      <c r="G35" s="3" t="n"/>
    </row>
    <row r="36">
      <c r="A36" t="inlineStr">
        <is>
          <t>Operating Expense</t>
        </is>
      </c>
      <c r="B36" s="3" t="n">
        <v>35192000</v>
      </c>
      <c r="C36" s="3" t="n">
        <v>34528000</v>
      </c>
      <c r="D36" s="3" t="n">
        <v>33148000</v>
      </c>
      <c r="E36" s="3" t="n">
        <v>33534000</v>
      </c>
      <c r="F36" s="3" t="n">
        <v>32474000</v>
      </c>
      <c r="G36" s="3" t="n"/>
    </row>
    <row r="37">
      <c r="A37" t="inlineStr">
        <is>
          <t>Other Operating Expenses</t>
        </is>
      </c>
      <c r="B37" s="3" t="n"/>
      <c r="C37" s="3" t="n"/>
      <c r="D37" s="3" t="n"/>
      <c r="E37" s="3" t="n"/>
      <c r="F37" s="3" t="n"/>
      <c r="G37" s="3" t="n">
        <v>212000</v>
      </c>
    </row>
    <row r="38">
      <c r="A38" t="inlineStr">
        <is>
          <t>Depreciation Amortization Depletion Income Statement</t>
        </is>
      </c>
      <c r="B38" s="3" t="n">
        <v>3123000</v>
      </c>
      <c r="C38" s="3" t="n">
        <v>3121000</v>
      </c>
      <c r="D38" s="3" t="n">
        <v>3132000</v>
      </c>
      <c r="E38" s="3" t="n">
        <v>3125000</v>
      </c>
      <c r="F38" s="3" t="n">
        <v>3093000</v>
      </c>
      <c r="G38" s="3" t="n"/>
    </row>
    <row r="39">
      <c r="A39" t="inlineStr">
        <is>
          <t>Depreciation And Amortization In Income Statement</t>
        </is>
      </c>
      <c r="B39" s="3" t="n">
        <v>3123000</v>
      </c>
      <c r="C39" s="3" t="n">
        <v>3121000</v>
      </c>
      <c r="D39" s="3" t="n">
        <v>3132000</v>
      </c>
      <c r="E39" s="3" t="n">
        <v>3125000</v>
      </c>
      <c r="F39" s="3" t="n">
        <v>3093000</v>
      </c>
      <c r="G39" s="3" t="n"/>
    </row>
    <row r="40">
      <c r="A40" t="inlineStr">
        <is>
          <t>Amortization</t>
        </is>
      </c>
      <c r="B40" s="3" t="n">
        <v>3123000</v>
      </c>
      <c r="C40" s="3" t="n">
        <v>3121000</v>
      </c>
      <c r="D40" s="3" t="n">
        <v>3132000</v>
      </c>
      <c r="E40" s="3" t="n">
        <v>3125000</v>
      </c>
      <c r="F40" s="3" t="n">
        <v>3093000</v>
      </c>
      <c r="G40" s="3" t="n"/>
    </row>
    <row r="41">
      <c r="A41" t="inlineStr">
        <is>
          <t>Amortization Of Intangibles Income Statement</t>
        </is>
      </c>
      <c r="B41" s="3" t="n">
        <v>3123000</v>
      </c>
      <c r="C41" s="3" t="n">
        <v>3121000</v>
      </c>
      <c r="D41" s="3" t="n">
        <v>3132000</v>
      </c>
      <c r="E41" s="3" t="n">
        <v>3125000</v>
      </c>
      <c r="F41" s="3" t="n">
        <v>3093000</v>
      </c>
      <c r="G41" s="3" t="n"/>
    </row>
    <row r="42">
      <c r="A42" t="inlineStr">
        <is>
          <t>Research And Development</t>
        </is>
      </c>
      <c r="B42" s="3" t="n">
        <v>9641000</v>
      </c>
      <c r="C42" s="3" t="n">
        <v>9651000</v>
      </c>
      <c r="D42" s="3" t="n">
        <v>9687000</v>
      </c>
      <c r="E42" s="3" t="n">
        <v>9944000</v>
      </c>
      <c r="F42" s="3" t="n">
        <v>9554000</v>
      </c>
      <c r="G42" s="3" t="n"/>
    </row>
    <row r="43">
      <c r="A43" t="inlineStr">
        <is>
          <t>Selling General And Administration</t>
        </is>
      </c>
      <c r="B43" s="3" t="n">
        <v>22428000</v>
      </c>
      <c r="C43" s="3" t="n">
        <v>21756000</v>
      </c>
      <c r="D43" s="3" t="n">
        <v>20329000</v>
      </c>
      <c r="E43" s="3" t="n">
        <v>20465000</v>
      </c>
      <c r="F43" s="3" t="n">
        <v>19827000</v>
      </c>
      <c r="G43" s="3" t="n"/>
    </row>
    <row r="44">
      <c r="A44" t="inlineStr">
        <is>
          <t>Selling And Marketing Expense</t>
        </is>
      </c>
      <c r="B44" s="3" t="n">
        <v>7026000</v>
      </c>
      <c r="C44" s="3" t="n">
        <v>6267000</v>
      </c>
      <c r="D44" s="3" t="n">
        <v>6217000</v>
      </c>
      <c r="E44" s="3" t="n">
        <v>6026000</v>
      </c>
      <c r="F44" s="3" t="n">
        <v>6014000</v>
      </c>
      <c r="G44" s="3" t="n"/>
    </row>
    <row r="45">
      <c r="A45" t="inlineStr">
        <is>
          <t>General And Administrative Expense</t>
        </is>
      </c>
      <c r="B45" s="3" t="n">
        <v>15402000</v>
      </c>
      <c r="C45" s="3" t="n">
        <v>15489000</v>
      </c>
      <c r="D45" s="3" t="n">
        <v>14112000</v>
      </c>
      <c r="E45" s="3" t="n">
        <v>14439000</v>
      </c>
      <c r="F45" s="3" t="n">
        <v>13813000</v>
      </c>
      <c r="G45" s="3" t="n"/>
    </row>
    <row r="46">
      <c r="A46" t="inlineStr">
        <is>
          <t>Other Gand A</t>
        </is>
      </c>
      <c r="B46" s="3" t="n">
        <v>15402000</v>
      </c>
      <c r="C46" s="3" t="n">
        <v>15489000</v>
      </c>
      <c r="D46" s="3" t="n">
        <v>14112000</v>
      </c>
      <c r="E46" s="3" t="n">
        <v>14439000</v>
      </c>
      <c r="F46" s="3" t="n">
        <v>13813000</v>
      </c>
      <c r="G46" s="3" t="n"/>
    </row>
    <row r="47">
      <c r="A47" t="inlineStr">
        <is>
          <t>Gross Profit</t>
        </is>
      </c>
      <c r="B47" s="3" t="n">
        <v>45375000</v>
      </c>
      <c r="C47" s="3" t="n">
        <v>46420000</v>
      </c>
      <c r="D47" s="3" t="n">
        <v>46181000</v>
      </c>
      <c r="E47" s="3" t="n">
        <v>46356000</v>
      </c>
      <c r="F47" s="3" t="n">
        <v>42752000</v>
      </c>
      <c r="G47" s="3" t="n"/>
    </row>
    <row r="48">
      <c r="A48" t="inlineStr">
        <is>
          <t>Cost Of Revenue</t>
        </is>
      </c>
      <c r="B48" s="3" t="n">
        <v>93540000</v>
      </c>
      <c r="C48" s="3" t="n">
        <v>96934000</v>
      </c>
      <c r="D48" s="3" t="n">
        <v>92562000</v>
      </c>
      <c r="E48" s="3" t="n">
        <v>93222000</v>
      </c>
      <c r="F48" s="3" t="n">
        <v>90051000</v>
      </c>
      <c r="G48" s="3" t="n"/>
    </row>
    <row r="49">
      <c r="A49" t="inlineStr">
        <is>
          <t>Total Revenue</t>
        </is>
      </c>
      <c r="B49" s="3" t="n">
        <v>138915000</v>
      </c>
      <c r="C49" s="3" t="n">
        <v>143354000</v>
      </c>
      <c r="D49" s="3" t="n">
        <v>138743000</v>
      </c>
      <c r="E49" s="3" t="n">
        <v>139578000</v>
      </c>
      <c r="F49" s="3" t="n">
        <v>132803000</v>
      </c>
      <c r="G49" s="3" t="n"/>
    </row>
    <row r="50">
      <c r="A50" t="inlineStr">
        <is>
          <t>Operating Revenue</t>
        </is>
      </c>
      <c r="B50" s="3" t="n">
        <v>138915000</v>
      </c>
      <c r="C50" s="3" t="n">
        <v>143354000</v>
      </c>
      <c r="D50" s="3" t="n">
        <v>138743000</v>
      </c>
      <c r="E50" s="3" t="n">
        <v>139578000</v>
      </c>
      <c r="F50" s="3" t="n">
        <v>132803000</v>
      </c>
      <c r="G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16936000</v>
      </c>
      <c r="C2" s="3" t="n">
        <v>16810000</v>
      </c>
      <c r="D2" s="3" t="n">
        <v>16308000</v>
      </c>
      <c r="E2" s="3" t="n">
        <v>15978000</v>
      </c>
      <c r="F2" s="3" t="n"/>
    </row>
    <row r="3">
      <c r="A3" t="inlineStr">
        <is>
          <t>Share Issued</t>
        </is>
      </c>
      <c r="B3" s="3" t="n">
        <v>16936000</v>
      </c>
      <c r="C3" s="3" t="n">
        <v>16810000</v>
      </c>
      <c r="D3" s="3" t="n">
        <v>16308000</v>
      </c>
      <c r="E3" s="3" t="n">
        <v>15978000</v>
      </c>
      <c r="F3" s="3" t="n"/>
    </row>
    <row r="4">
      <c r="A4" t="inlineStr">
        <is>
          <t>Net Debt</t>
        </is>
      </c>
      <c r="B4" s="3" t="n">
        <v>131918000</v>
      </c>
      <c r="C4" s="3" t="n">
        <v>179915000</v>
      </c>
      <c r="D4" s="3" t="n">
        <v>177894000</v>
      </c>
      <c r="E4" s="3" t="n">
        <v>195821000</v>
      </c>
      <c r="F4" s="3" t="n"/>
    </row>
    <row r="5">
      <c r="A5" t="inlineStr">
        <is>
          <t>Total Debt</t>
        </is>
      </c>
      <c r="B5" s="3" t="n">
        <v>202629000</v>
      </c>
      <c r="C5" s="3" t="n">
        <v>249130000</v>
      </c>
      <c r="D5" s="3" t="n">
        <v>243488000</v>
      </c>
      <c r="E5" s="3" t="n">
        <v>258850000</v>
      </c>
      <c r="F5" s="3" t="n"/>
    </row>
    <row r="6">
      <c r="A6" t="inlineStr">
        <is>
          <t>Tangible Book Value</t>
        </is>
      </c>
      <c r="B6" s="3" t="n">
        <v>78732000</v>
      </c>
      <c r="C6" s="3" t="n">
        <v>33394000</v>
      </c>
      <c r="D6" s="3" t="n">
        <v>8864000</v>
      </c>
      <c r="E6" s="3" t="n">
        <v>-29976000</v>
      </c>
      <c r="F6" s="3" t="n"/>
    </row>
    <row r="7">
      <c r="A7" t="inlineStr">
        <is>
          <t>Invested Capital</t>
        </is>
      </c>
      <c r="B7" s="3" t="n">
        <v>474078000</v>
      </c>
      <c r="C7" s="3" t="n">
        <v>480871000</v>
      </c>
      <c r="D7" s="3" t="n">
        <v>461370000</v>
      </c>
      <c r="E7" s="3" t="n">
        <v>441900000</v>
      </c>
      <c r="F7" s="3" t="n"/>
    </row>
    <row r="8">
      <c r="A8" t="inlineStr">
        <is>
          <t>Working Capital</t>
        </is>
      </c>
      <c r="B8" s="3" t="n">
        <v>184114000</v>
      </c>
      <c r="C8" s="3" t="n">
        <v>180203000</v>
      </c>
      <c r="D8" s="3" t="n">
        <v>152534000</v>
      </c>
      <c r="E8" s="3" t="n">
        <v>148419000</v>
      </c>
      <c r="F8" s="3" t="n"/>
    </row>
    <row r="9">
      <c r="A9" t="inlineStr">
        <is>
          <t>Net Tangible Assets</t>
        </is>
      </c>
      <c r="B9" s="3" t="n">
        <v>78732000</v>
      </c>
      <c r="C9" s="3" t="n">
        <v>33394000</v>
      </c>
      <c r="D9" s="3" t="n">
        <v>8864000</v>
      </c>
      <c r="E9" s="3" t="n">
        <v>-29976000</v>
      </c>
      <c r="F9" s="3" t="n"/>
    </row>
    <row r="10">
      <c r="A10" t="inlineStr">
        <is>
          <t>Capital Lease Obligations</t>
        </is>
      </c>
      <c r="B10" s="3" t="n">
        <v>30006000</v>
      </c>
      <c r="C10" s="3" t="n">
        <v>33113000</v>
      </c>
      <c r="D10" s="3" t="n">
        <v>33693000</v>
      </c>
      <c r="E10" s="3" t="n">
        <v>32415000</v>
      </c>
      <c r="F10" s="3" t="n"/>
    </row>
    <row r="11">
      <c r="A11" t="inlineStr">
        <is>
          <t>Common Stock Equity</t>
        </is>
      </c>
      <c r="B11" s="3" t="n">
        <v>301455000</v>
      </c>
      <c r="C11" s="3" t="n">
        <v>264854000</v>
      </c>
      <c r="D11" s="3" t="n">
        <v>251575000</v>
      </c>
      <c r="E11" s="3" t="n">
        <v>215465000</v>
      </c>
      <c r="F11" s="3" t="n"/>
    </row>
    <row r="12">
      <c r="A12" t="inlineStr">
        <is>
          <t>Total Capitalization</t>
        </is>
      </c>
      <c r="B12" s="3" t="n">
        <v>474078000</v>
      </c>
      <c r="C12" s="3" t="n">
        <v>480871000</v>
      </c>
      <c r="D12" s="3" t="n">
        <v>461370000</v>
      </c>
      <c r="E12" s="3" t="n">
        <v>441900000</v>
      </c>
      <c r="F12" s="3" t="n"/>
    </row>
    <row r="13">
      <c r="A13" t="inlineStr">
        <is>
          <t>Total Equity Gross Minority Interest</t>
        </is>
      </c>
      <c r="B13" s="3" t="n">
        <v>301455000</v>
      </c>
      <c r="C13" s="3" t="n">
        <v>264854000</v>
      </c>
      <c r="D13" s="3" t="n">
        <v>251575000</v>
      </c>
      <c r="E13" s="3" t="n">
        <v>215465000</v>
      </c>
      <c r="F13" s="3" t="n"/>
    </row>
    <row r="14">
      <c r="A14" t="inlineStr">
        <is>
          <t>Stockholders Equity</t>
        </is>
      </c>
      <c r="B14" s="3" t="n">
        <v>301455000</v>
      </c>
      <c r="C14" s="3" t="n">
        <v>264854000</v>
      </c>
      <c r="D14" s="3" t="n">
        <v>251575000</v>
      </c>
      <c r="E14" s="3" t="n">
        <v>215465000</v>
      </c>
      <c r="F14" s="3" t="n"/>
    </row>
    <row r="15">
      <c r="A15" t="inlineStr">
        <is>
          <t>Gains Losses Not Affecting Retained Earnings</t>
        </is>
      </c>
      <c r="B15" s="3" t="n">
        <v>-9527000</v>
      </c>
      <c r="C15" s="3" t="n">
        <v>-23183000</v>
      </c>
      <c r="D15" s="3" t="n">
        <v>-10175000</v>
      </c>
      <c r="E15" s="3" t="n">
        <v>-11963000</v>
      </c>
      <c r="F15" s="3" t="n"/>
    </row>
    <row r="16">
      <c r="A16" t="inlineStr">
        <is>
          <t>Other Equity Adjustments</t>
        </is>
      </c>
      <c r="B16" s="3" t="n">
        <v>-9527000</v>
      </c>
      <c r="C16" s="3" t="n">
        <v>-23183000</v>
      </c>
      <c r="D16" s="3" t="n">
        <v>-10175000</v>
      </c>
      <c r="E16" s="3" t="n">
        <v>-11963000</v>
      </c>
      <c r="F16" s="3" t="n"/>
    </row>
    <row r="17">
      <c r="A17" t="inlineStr">
        <is>
          <t>Retained Earnings</t>
        </is>
      </c>
      <c r="B17" s="3" t="n">
        <v>197046000</v>
      </c>
      <c r="C17" s="3" t="n">
        <v>177013000</v>
      </c>
      <c r="D17" s="3" t="n">
        <v>165813000</v>
      </c>
      <c r="E17" s="3" t="n">
        <v>143576000</v>
      </c>
      <c r="F17" s="3" t="n"/>
    </row>
    <row r="18">
      <c r="A18" t="inlineStr">
        <is>
          <t>Capital Stock</t>
        </is>
      </c>
      <c r="B18" s="3" t="n">
        <v>113936000</v>
      </c>
      <c r="C18" s="3" t="n">
        <v>111024000</v>
      </c>
      <c r="D18" s="3" t="n">
        <v>95937000</v>
      </c>
      <c r="E18" s="3" t="n">
        <v>83852000</v>
      </c>
      <c r="F18" s="3" t="n"/>
    </row>
    <row r="19">
      <c r="A19" t="inlineStr">
        <is>
          <t>Common Stock</t>
        </is>
      </c>
      <c r="B19" s="3" t="n">
        <v>113936000</v>
      </c>
      <c r="C19" s="3" t="n">
        <v>111024000</v>
      </c>
      <c r="D19" s="3" t="n">
        <v>95937000</v>
      </c>
      <c r="E19" s="3" t="n">
        <v>83852000</v>
      </c>
      <c r="F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276140000</v>
      </c>
      <c r="C21" s="3" t="n">
        <v>310927000</v>
      </c>
      <c r="D21" s="3" t="n">
        <v>345967000</v>
      </c>
      <c r="E21" s="3" t="n">
        <v>372882000</v>
      </c>
      <c r="F21" s="3" t="n"/>
    </row>
    <row r="22">
      <c r="A22" t="inlineStr">
        <is>
          <t>Total Non Current Liabilities Net Minority Interest</t>
        </is>
      </c>
      <c r="B22" s="3" t="n">
        <v>206817000</v>
      </c>
      <c r="C22" s="3" t="n">
        <v>253550000</v>
      </c>
      <c r="D22" s="3" t="n">
        <v>250350000</v>
      </c>
      <c r="E22" s="3" t="n">
        <v>285294000</v>
      </c>
      <c r="F22" s="3" t="n"/>
    </row>
    <row r="23">
      <c r="A23" t="inlineStr">
        <is>
          <t>Other Non Current Liabilities</t>
        </is>
      </c>
      <c r="B23" s="3" t="n">
        <v>5517000</v>
      </c>
      <c r="C23" s="3" t="n">
        <v>4647000</v>
      </c>
      <c r="D23" s="3" t="n">
        <v>5400000</v>
      </c>
      <c r="E23" s="3" t="n">
        <v>21774000</v>
      </c>
      <c r="F23" s="3" t="n"/>
    </row>
    <row r="24">
      <c r="A24" t="inlineStr">
        <is>
          <t>Employee Benefits</t>
        </is>
      </c>
      <c r="B24" s="3" t="n">
        <v>1239000</v>
      </c>
      <c r="C24" s="3" t="n">
        <v>1667000</v>
      </c>
      <c r="D24" s="3" t="n">
        <v>2679000</v>
      </c>
      <c r="E24" s="3" t="n">
        <v>3009000</v>
      </c>
      <c r="F24" s="3" t="n"/>
    </row>
    <row r="25">
      <c r="A25" t="inlineStr">
        <is>
          <t>Non Current Pension And Other Postretirement Benefit Plans</t>
        </is>
      </c>
      <c r="B25" s="3" t="n">
        <v>1239000</v>
      </c>
      <c r="C25" s="3" t="n">
        <v>1667000</v>
      </c>
      <c r="D25" s="3" t="n">
        <v>2679000</v>
      </c>
      <c r="E25" s="3" t="n">
        <v>3009000</v>
      </c>
      <c r="F25" s="3" t="n"/>
    </row>
    <row r="26">
      <c r="A26" t="inlineStr">
        <is>
          <t>Non Current Deferred Liabilities</t>
        </is>
      </c>
      <c r="B26" s="3" t="n">
        <v>3241000</v>
      </c>
      <c r="C26" s="3" t="n">
        <v>3642000</v>
      </c>
      <c r="D26" s="3" t="n">
        <v>4337000</v>
      </c>
      <c r="E26" s="3" t="n">
        <v>6262000</v>
      </c>
      <c r="F26" s="3" t="n"/>
    </row>
    <row r="27">
      <c r="A27" t="inlineStr">
        <is>
          <t>Non Current Deferred Taxes Liabilities</t>
        </is>
      </c>
      <c r="B27" s="3" t="n">
        <v>3241000</v>
      </c>
      <c r="C27" s="3" t="n">
        <v>3642000</v>
      </c>
      <c r="D27" s="3" t="n">
        <v>4337000</v>
      </c>
      <c r="E27" s="3" t="n">
        <v>6262000</v>
      </c>
      <c r="F27" s="3" t="n"/>
    </row>
    <row r="28">
      <c r="A28" t="inlineStr">
        <is>
          <t>Long Term Debt And Capital Lease Obligation</t>
        </is>
      </c>
      <c r="B28" s="3" t="n">
        <v>196820000</v>
      </c>
      <c r="C28" s="3" t="n">
        <v>243594000</v>
      </c>
      <c r="D28" s="3" t="n">
        <v>237934000</v>
      </c>
      <c r="E28" s="3" t="n">
        <v>254249000</v>
      </c>
      <c r="F28" s="3" t="n"/>
    </row>
    <row r="29">
      <c r="A29" t="inlineStr">
        <is>
          <t>Long Term Capital Lease Obligation</t>
        </is>
      </c>
      <c r="B29" s="3" t="n">
        <v>24197000</v>
      </c>
      <c r="C29" s="3" t="n">
        <v>27577000</v>
      </c>
      <c r="D29" s="3" t="n">
        <v>28139000</v>
      </c>
      <c r="E29" s="3" t="n">
        <v>27814000</v>
      </c>
      <c r="F29" s="3" t="n"/>
    </row>
    <row r="30">
      <c r="A30" t="inlineStr">
        <is>
          <t>Long Term Debt</t>
        </is>
      </c>
      <c r="B30" s="3" t="n">
        <v>172623000</v>
      </c>
      <c r="C30" s="3" t="n">
        <v>216017000</v>
      </c>
      <c r="D30" s="3" t="n">
        <v>209795000</v>
      </c>
      <c r="E30" s="3" t="n">
        <v>226435000</v>
      </c>
      <c r="F30" s="3" t="n"/>
    </row>
    <row r="31">
      <c r="A31" t="inlineStr">
        <is>
          <t>Current Liabilities</t>
        </is>
      </c>
      <c r="B31" s="3" t="n">
        <v>69323000</v>
      </c>
      <c r="C31" s="3" t="n">
        <v>57377000</v>
      </c>
      <c r="D31" s="3" t="n">
        <v>95617000</v>
      </c>
      <c r="E31" s="3" t="n">
        <v>87588000</v>
      </c>
      <c r="F31" s="3" t="n"/>
    </row>
    <row r="32">
      <c r="A32" t="inlineStr">
        <is>
          <t>Current Deferred Liabilities</t>
        </is>
      </c>
      <c r="B32" s="3" t="n">
        <v>3767000</v>
      </c>
      <c r="C32" s="3" t="n">
        <v>2292000</v>
      </c>
      <c r="D32" s="3" t="n">
        <v>2137000</v>
      </c>
      <c r="E32" s="3" t="n">
        <v>4807000</v>
      </c>
      <c r="F32" s="3" t="n"/>
    </row>
    <row r="33">
      <c r="A33" t="inlineStr">
        <is>
          <t>Current Deferred Revenue</t>
        </is>
      </c>
      <c r="B33" s="3" t="n">
        <v>3767000</v>
      </c>
      <c r="C33" s="3" t="n">
        <v>2292000</v>
      </c>
      <c r="D33" s="3" t="n">
        <v>2137000</v>
      </c>
      <c r="E33" s="3" t="n">
        <v>4807000</v>
      </c>
      <c r="F33" s="3" t="n"/>
    </row>
    <row r="34">
      <c r="A34" t="inlineStr">
        <is>
          <t>Current Debt And Capital Lease Obligation</t>
        </is>
      </c>
      <c r="B34" s="3" t="n">
        <v>5809000</v>
      </c>
      <c r="C34" s="3" t="n">
        <v>5536000</v>
      </c>
      <c r="D34" s="3" t="n">
        <v>5554000</v>
      </c>
      <c r="E34" s="3" t="n">
        <v>4601000</v>
      </c>
      <c r="F34" s="3" t="n"/>
    </row>
    <row r="35">
      <c r="A35" t="inlineStr">
        <is>
          <t>Current Capital Lease Obligation</t>
        </is>
      </c>
      <c r="B35" s="3" t="n">
        <v>5809000</v>
      </c>
      <c r="C35" s="3" t="n">
        <v>5536000</v>
      </c>
      <c r="D35" s="3" t="n">
        <v>5554000</v>
      </c>
      <c r="E35" s="3" t="n">
        <v>4601000</v>
      </c>
      <c r="F35" s="3" t="n"/>
    </row>
    <row r="36">
      <c r="A36" t="inlineStr">
        <is>
          <t>Pensionand Other Post Retirement Benefit Plans Current</t>
        </is>
      </c>
      <c r="B36" s="3" t="n">
        <v>20498000</v>
      </c>
      <c r="C36" s="3" t="n">
        <v>13134000</v>
      </c>
      <c r="D36" s="3" t="n">
        <v>17251000</v>
      </c>
      <c r="E36" s="3" t="n">
        <v>15818000</v>
      </c>
      <c r="F36" s="3" t="n"/>
    </row>
    <row r="37">
      <c r="A37" t="inlineStr">
        <is>
          <t>Current Provisions</t>
        </is>
      </c>
      <c r="B37" s="3" t="n">
        <v>1813000</v>
      </c>
      <c r="C37" s="3" t="n">
        <v>1966000</v>
      </c>
      <c r="D37" s="3" t="n">
        <v>2139000</v>
      </c>
      <c r="E37" s="3" t="n">
        <v>2160000</v>
      </c>
      <c r="F37" s="3" t="n"/>
    </row>
    <row r="38">
      <c r="A38" t="inlineStr">
        <is>
          <t>Payables And Accrued Expenses</t>
        </is>
      </c>
      <c r="B38" s="3" t="n">
        <v>37436000</v>
      </c>
      <c r="C38" s="3" t="n">
        <v>34449000</v>
      </c>
      <c r="D38" s="3" t="n">
        <v>68536000</v>
      </c>
      <c r="E38" s="3" t="n">
        <v>60202000</v>
      </c>
      <c r="F38" s="3" t="n"/>
    </row>
    <row r="39">
      <c r="A39" t="inlineStr">
        <is>
          <t>Current Accrued Expenses</t>
        </is>
      </c>
      <c r="B39" s="3" t="n">
        <v>7150000</v>
      </c>
      <c r="C39" s="3" t="n">
        <v>5821000</v>
      </c>
      <c r="D39" s="3" t="n">
        <v>26924000</v>
      </c>
      <c r="E39" s="3" t="n">
        <v>16801000</v>
      </c>
      <c r="F39" s="3" t="n"/>
    </row>
    <row r="40">
      <c r="A40" t="inlineStr">
        <is>
          <t>Payables</t>
        </is>
      </c>
      <c r="B40" s="3" t="n">
        <v>30286000</v>
      </c>
      <c r="C40" s="3" t="n">
        <v>28628000</v>
      </c>
      <c r="D40" s="3" t="n">
        <v>41612000</v>
      </c>
      <c r="E40" s="3" t="n">
        <v>43401000</v>
      </c>
      <c r="F40" s="3" t="n"/>
    </row>
    <row r="41">
      <c r="A41" t="inlineStr">
        <is>
          <t>Total Tax Payable</t>
        </is>
      </c>
      <c r="B41" s="3" t="n">
        <v>1853000</v>
      </c>
      <c r="C41" s="3" t="n">
        <v>1472000</v>
      </c>
      <c r="D41" s="3" t="n">
        <v>2483000</v>
      </c>
      <c r="E41" s="3" t="n">
        <v>3934000</v>
      </c>
      <c r="F41" s="3" t="n"/>
    </row>
    <row r="42">
      <c r="A42" t="inlineStr">
        <is>
          <t>Income Tax Payable</t>
        </is>
      </c>
      <c r="B42" s="3" t="n">
        <v>1853000</v>
      </c>
      <c r="C42" s="3" t="n">
        <v>1472000</v>
      </c>
      <c r="D42" s="3" t="n">
        <v>2483000</v>
      </c>
      <c r="E42" s="3" t="n">
        <v>3934000</v>
      </c>
      <c r="F42" s="3" t="n"/>
    </row>
    <row r="43">
      <c r="A43" t="inlineStr">
        <is>
          <t>Accounts Payable</t>
        </is>
      </c>
      <c r="B43" s="3" t="n">
        <v>28433000</v>
      </c>
      <c r="C43" s="3" t="n">
        <v>27156000</v>
      </c>
      <c r="D43" s="3" t="n">
        <v>39129000</v>
      </c>
      <c r="E43" s="3" t="n">
        <v>39467000</v>
      </c>
      <c r="F43" s="3" t="n"/>
    </row>
    <row r="44">
      <c r="A44" t="inlineStr">
        <is>
          <t>Total Assets</t>
        </is>
      </c>
      <c r="B44" s="3" t="n">
        <v>577595000</v>
      </c>
      <c r="C44" s="3" t="n">
        <v>575781000</v>
      </c>
      <c r="D44" s="3" t="n">
        <v>597542000</v>
      </c>
      <c r="E44" s="3" t="n">
        <v>588347000</v>
      </c>
      <c r="F44" s="3" t="n"/>
    </row>
    <row r="45">
      <c r="A45" t="inlineStr">
        <is>
          <t>Total Non Current Assets</t>
        </is>
      </c>
      <c r="B45" s="3" t="n">
        <v>324158000</v>
      </c>
      <c r="C45" s="3" t="n">
        <v>338201000</v>
      </c>
      <c r="D45" s="3" t="n">
        <v>349391000</v>
      </c>
      <c r="E45" s="3" t="n">
        <v>352340000</v>
      </c>
      <c r="F45" s="3" t="n"/>
    </row>
    <row r="46">
      <c r="A46" t="inlineStr">
        <is>
          <t>Other Non Current Assets</t>
        </is>
      </c>
      <c r="B46" s="3" t="n">
        <v>8125000</v>
      </c>
      <c r="C46" s="3" t="n">
        <v>8192000</v>
      </c>
      <c r="D46" s="3" t="n">
        <v>7425000</v>
      </c>
      <c r="E46" s="3" t="n">
        <v>11253000</v>
      </c>
      <c r="F46" s="3" t="n"/>
    </row>
    <row r="47">
      <c r="A47" t="inlineStr">
        <is>
          <t>Non Current Deferred Assets</t>
        </is>
      </c>
      <c r="B47" s="3" t="n">
        <v>10509000</v>
      </c>
      <c r="C47" s="3" t="n">
        <v>9116000</v>
      </c>
      <c r="D47" s="3" t="n">
        <v>7760000</v>
      </c>
      <c r="E47" s="3" t="n">
        <v>4199000</v>
      </c>
      <c r="F47" s="3" t="n"/>
    </row>
    <row r="48">
      <c r="A48" t="inlineStr">
        <is>
          <t>Non Current Deferred Taxes Assets</t>
        </is>
      </c>
      <c r="B48" s="3" t="n">
        <v>10509000</v>
      </c>
      <c r="C48" s="3" t="n">
        <v>9116000</v>
      </c>
      <c r="D48" s="3" t="n">
        <v>7760000</v>
      </c>
      <c r="E48" s="3" t="n">
        <v>4199000</v>
      </c>
      <c r="F48" s="3" t="n"/>
    </row>
    <row r="49">
      <c r="A49" t="inlineStr">
        <is>
          <t>Goodwill And Other Intangible Assets</t>
        </is>
      </c>
      <c r="B49" s="3" t="n">
        <v>222723000</v>
      </c>
      <c r="C49" s="3" t="n">
        <v>231460000</v>
      </c>
      <c r="D49" s="3" t="n">
        <v>242711000</v>
      </c>
      <c r="E49" s="3" t="n">
        <v>245441000</v>
      </c>
      <c r="F49" s="3" t="n"/>
    </row>
    <row r="50">
      <c r="A50" t="inlineStr">
        <is>
          <t>Other Intangible Assets</t>
        </is>
      </c>
      <c r="B50" s="3" t="n">
        <v>88391000</v>
      </c>
      <c r="C50" s="3" t="n">
        <v>99671000</v>
      </c>
      <c r="D50" s="3" t="n">
        <v>111373000</v>
      </c>
      <c r="E50" s="3" t="n">
        <v>119075000</v>
      </c>
      <c r="F50" s="3" t="n"/>
    </row>
    <row r="51">
      <c r="A51" t="inlineStr">
        <is>
          <t>Goodwill</t>
        </is>
      </c>
      <c r="B51" s="3" t="n">
        <v>134332000</v>
      </c>
      <c r="C51" s="3" t="n">
        <v>131789000</v>
      </c>
      <c r="D51" s="3" t="n">
        <v>131338000</v>
      </c>
      <c r="E51" s="3" t="n">
        <v>126366000</v>
      </c>
      <c r="F51" s="3" t="n"/>
    </row>
    <row r="52">
      <c r="A52" t="inlineStr">
        <is>
          <t>Net PPE</t>
        </is>
      </c>
      <c r="B52" s="3" t="n">
        <v>82801000</v>
      </c>
      <c r="C52" s="3" t="n">
        <v>89433000</v>
      </c>
      <c r="D52" s="3" t="n">
        <v>91495000</v>
      </c>
      <c r="E52" s="3" t="n">
        <v>91447000</v>
      </c>
      <c r="F52" s="3" t="n"/>
    </row>
    <row r="53">
      <c r="A53" t="inlineStr">
        <is>
          <t>Accumulated Depreciation</t>
        </is>
      </c>
      <c r="B53" s="3" t="n">
        <v>-120123000</v>
      </c>
      <c r="C53" s="3" t="n">
        <v>-103566000</v>
      </c>
      <c r="D53" s="3" t="n">
        <v>-93161000</v>
      </c>
      <c r="E53" s="3" t="n">
        <v>-83220000</v>
      </c>
      <c r="F53" s="3" t="n"/>
    </row>
    <row r="54">
      <c r="A54" t="inlineStr">
        <is>
          <t>Gross PPE</t>
        </is>
      </c>
      <c r="B54" s="3" t="n">
        <v>202924000</v>
      </c>
      <c r="C54" s="3" t="n">
        <v>192999000</v>
      </c>
      <c r="D54" s="3" t="n">
        <v>184656000</v>
      </c>
      <c r="E54" s="3" t="n">
        <v>174667000</v>
      </c>
      <c r="F54" s="3" t="n"/>
    </row>
    <row r="55">
      <c r="A55" t="inlineStr">
        <is>
          <t>Construction In Progress</t>
        </is>
      </c>
      <c r="B55" s="3" t="n">
        <v>1636000</v>
      </c>
      <c r="C55" s="3" t="n">
        <v>2856000</v>
      </c>
      <c r="D55" s="3" t="n">
        <v>9300000</v>
      </c>
      <c r="E55" s="3" t="n">
        <v>14197000</v>
      </c>
      <c r="F55" s="3" t="n"/>
    </row>
    <row r="56">
      <c r="A56" t="inlineStr">
        <is>
          <t>Other Properties</t>
        </is>
      </c>
      <c r="B56" s="3" t="n">
        <v>21030000</v>
      </c>
      <c r="C56" s="3" t="n">
        <v>23748000</v>
      </c>
      <c r="D56" s="3" t="n">
        <v>24032000</v>
      </c>
      <c r="E56" s="3" t="n">
        <v>22807000</v>
      </c>
      <c r="F56" s="3" t="n"/>
    </row>
    <row r="57">
      <c r="A57" t="inlineStr">
        <is>
          <t>Machinery Furniture Equipment</t>
        </is>
      </c>
      <c r="B57" s="3" t="n">
        <v>148245000</v>
      </c>
      <c r="C57" s="3" t="n">
        <v>135464000</v>
      </c>
      <c r="D57" s="3" t="n">
        <v>124150000</v>
      </c>
      <c r="E57" s="3" t="n">
        <v>111605000</v>
      </c>
      <c r="F57" s="3" t="n"/>
    </row>
    <row r="58">
      <c r="A58" t="inlineStr">
        <is>
          <t>Buildings And Improvements</t>
        </is>
      </c>
      <c r="B58" s="3" t="n">
        <v>30215000</v>
      </c>
      <c r="C58" s="3" t="n">
        <v>29161000</v>
      </c>
      <c r="D58" s="3" t="n">
        <v>26201000</v>
      </c>
      <c r="E58" s="3" t="n">
        <v>25093000</v>
      </c>
      <c r="F58" s="3" t="n"/>
    </row>
    <row r="59">
      <c r="A59" t="inlineStr">
        <is>
          <t>Land And Improvements</t>
        </is>
      </c>
      <c r="B59" s="3" t="n">
        <v>1798000</v>
      </c>
      <c r="C59" s="3" t="n">
        <v>1770000</v>
      </c>
      <c r="D59" s="3" t="n">
        <v>973000</v>
      </c>
      <c r="E59" s="3" t="n">
        <v>965000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253437000</v>
      </c>
      <c r="C61" s="3" t="n">
        <v>237580000</v>
      </c>
      <c r="D61" s="3" t="n">
        <v>248151000</v>
      </c>
      <c r="E61" s="3" t="n">
        <v>236007000</v>
      </c>
      <c r="F61" s="3" t="n"/>
    </row>
    <row r="62">
      <c r="A62" t="inlineStr">
        <is>
          <t>Other Current Assets</t>
        </is>
      </c>
      <c r="B62" s="3" t="n">
        <v>14759000</v>
      </c>
      <c r="C62" s="3" t="n">
        <v>11187000</v>
      </c>
      <c r="D62" s="3" t="n">
        <v>13437000</v>
      </c>
      <c r="E62" s="3" t="n">
        <v>12072000</v>
      </c>
      <c r="F62" s="3" t="n"/>
    </row>
    <row r="63">
      <c r="A63" t="inlineStr">
        <is>
          <t>Prepaid Assets</t>
        </is>
      </c>
      <c r="B63" s="3" t="n"/>
      <c r="C63" s="3" t="n"/>
      <c r="D63" s="3" t="n"/>
      <c r="E63" s="3" t="n"/>
      <c r="F63" s="3" t="n">
        <v>12522000</v>
      </c>
    </row>
    <row r="64">
      <c r="A64" t="inlineStr">
        <is>
          <t>Inventory</t>
        </is>
      </c>
      <c r="B64" s="3" t="n">
        <v>109198000</v>
      </c>
      <c r="C64" s="3" t="n">
        <v>111517000</v>
      </c>
      <c r="D64" s="3" t="n">
        <v>117686000</v>
      </c>
      <c r="E64" s="3" t="n">
        <v>117108000</v>
      </c>
      <c r="F64" s="3" t="n"/>
    </row>
    <row r="65">
      <c r="A65" t="inlineStr">
        <is>
          <t>Finished Goods</t>
        </is>
      </c>
      <c r="B65" s="3" t="n">
        <v>15721000</v>
      </c>
      <c r="C65" s="3" t="n">
        <v>20518000</v>
      </c>
      <c r="D65" s="3" t="n">
        <v>18849000</v>
      </c>
      <c r="E65" s="3" t="n">
        <v>16322000</v>
      </c>
      <c r="F65" s="3" t="n"/>
    </row>
    <row r="66">
      <c r="A66" t="inlineStr">
        <is>
          <t>Work In Process</t>
        </is>
      </c>
      <c r="B66" s="3" t="n">
        <v>10602000</v>
      </c>
      <c r="C66" s="3" t="n">
        <v>12274000</v>
      </c>
      <c r="D66" s="3" t="n">
        <v>11456000</v>
      </c>
      <c r="E66" s="3" t="n">
        <v>11686000</v>
      </c>
      <c r="F66" s="3" t="n"/>
    </row>
    <row r="67">
      <c r="A67" t="inlineStr">
        <is>
          <t>Raw Materials</t>
        </is>
      </c>
      <c r="B67" s="3" t="n">
        <v>82875000</v>
      </c>
      <c r="C67" s="3" t="n">
        <v>78725000</v>
      </c>
      <c r="D67" s="3" t="n">
        <v>87381000</v>
      </c>
      <c r="E67" s="3" t="n">
        <v>89100000</v>
      </c>
      <c r="F67" s="3" t="n"/>
    </row>
    <row r="68">
      <c r="A68" t="inlineStr">
        <is>
          <t>Receivables</t>
        </is>
      </c>
      <c r="B68" s="3" t="n">
        <v>88775000</v>
      </c>
      <c r="C68" s="3" t="n">
        <v>78774000</v>
      </c>
      <c r="D68" s="3" t="n">
        <v>85127000</v>
      </c>
      <c r="E68" s="3" t="n">
        <v>76213000</v>
      </c>
      <c r="F68" s="3" t="n"/>
    </row>
    <row r="69">
      <c r="A69" t="inlineStr">
        <is>
          <t>Accounts Receivable</t>
        </is>
      </c>
      <c r="B69" s="3" t="n">
        <v>88775000</v>
      </c>
      <c r="C69" s="3" t="n">
        <v>78774000</v>
      </c>
      <c r="D69" s="3" t="n">
        <v>85127000</v>
      </c>
      <c r="E69" s="3" t="n">
        <v>76213000</v>
      </c>
      <c r="F69" s="3" t="n"/>
    </row>
    <row r="70">
      <c r="A70" t="inlineStr">
        <is>
          <t>Allowance For Doubtful Accounts Receivable</t>
        </is>
      </c>
      <c r="B70" s="3" t="n">
        <v>-887000</v>
      </c>
      <c r="C70" s="3" t="n">
        <v>-1628000</v>
      </c>
      <c r="D70" s="3" t="n">
        <v>-1240000</v>
      </c>
      <c r="E70" s="3" t="n">
        <v>-1192000</v>
      </c>
      <c r="F70" s="3" t="n"/>
    </row>
    <row r="71">
      <c r="A71" t="inlineStr">
        <is>
          <t>Gross Accounts Receivable</t>
        </is>
      </c>
      <c r="B71" s="3" t="n">
        <v>89662000</v>
      </c>
      <c r="C71" s="3" t="n">
        <v>80402000</v>
      </c>
      <c r="D71" s="3" t="n">
        <v>86367000</v>
      </c>
      <c r="E71" s="3" t="n">
        <v>77405000</v>
      </c>
      <c r="F71" s="3" t="n"/>
    </row>
    <row r="72">
      <c r="A72" t="inlineStr">
        <is>
          <t>Cash Cash Equivalents And Short Term Investments</t>
        </is>
      </c>
      <c r="B72" s="3" t="n">
        <v>40705000</v>
      </c>
      <c r="C72" s="3" t="n">
        <v>36102000</v>
      </c>
      <c r="D72" s="3" t="n">
        <v>31901000</v>
      </c>
      <c r="E72" s="3" t="n">
        <v>30614000</v>
      </c>
      <c r="F72" s="3" t="n"/>
    </row>
    <row r="73">
      <c r="A73" t="inlineStr">
        <is>
          <t>Cash And Cash Equivalents</t>
        </is>
      </c>
      <c r="B73" s="3" t="n">
        <v>40705000</v>
      </c>
      <c r="C73" s="3" t="n">
        <v>36102000</v>
      </c>
      <c r="D73" s="3" t="n">
        <v>31901000</v>
      </c>
      <c r="E73" s="3" t="n">
        <v>30614000</v>
      </c>
      <c r="F7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17035000</v>
      </c>
      <c r="C2" s="3" t="n">
        <v>16936000</v>
      </c>
      <c r="D2" s="3" t="n">
        <v>16936000</v>
      </c>
      <c r="E2" s="3" t="n">
        <v>16938000</v>
      </c>
      <c r="F2" s="3" t="n">
        <v>16975000</v>
      </c>
      <c r="G2" s="3" t="n"/>
    </row>
    <row r="3">
      <c r="A3" t="inlineStr">
        <is>
          <t>Share Issued</t>
        </is>
      </c>
      <c r="B3" s="3" t="n">
        <v>17035000</v>
      </c>
      <c r="C3" s="3" t="n">
        <v>16936000</v>
      </c>
      <c r="D3" s="3" t="n">
        <v>16936000</v>
      </c>
      <c r="E3" s="3" t="n">
        <v>16938000</v>
      </c>
      <c r="F3" s="3" t="n">
        <v>16975000</v>
      </c>
      <c r="G3" s="3" t="n"/>
    </row>
    <row r="4">
      <c r="A4" t="inlineStr">
        <is>
          <t>Net Debt</t>
        </is>
      </c>
      <c r="B4" s="3" t="n">
        <v>128611000</v>
      </c>
      <c r="C4" s="3" t="n">
        <v>131918000</v>
      </c>
      <c r="D4" s="3" t="n">
        <v>142986000</v>
      </c>
      <c r="E4" s="3" t="n">
        <v>144384000</v>
      </c>
      <c r="F4" s="3" t="n">
        <v>166409000</v>
      </c>
      <c r="G4" s="3" t="n"/>
    </row>
    <row r="5">
      <c r="A5" t="inlineStr">
        <is>
          <t>Total Debt</t>
        </is>
      </c>
      <c r="B5" s="3" t="n">
        <v>198068000</v>
      </c>
      <c r="C5" s="3" t="n">
        <v>202629000</v>
      </c>
      <c r="D5" s="3" t="n">
        <v>213569000</v>
      </c>
      <c r="E5" s="3" t="n">
        <v>226737000</v>
      </c>
      <c r="F5" s="3" t="n">
        <v>246912000</v>
      </c>
      <c r="G5" s="3" t="n"/>
    </row>
    <row r="6">
      <c r="A6" t="inlineStr">
        <is>
          <t>Tangible Book Value</t>
        </is>
      </c>
      <c r="B6" s="3" t="n">
        <v>87292000</v>
      </c>
      <c r="C6" s="3" t="n">
        <v>78732000</v>
      </c>
      <c r="D6" s="3" t="n">
        <v>68734000</v>
      </c>
      <c r="E6" s="3" t="n">
        <v>59557000</v>
      </c>
      <c r="F6" s="3" t="n">
        <v>43728000</v>
      </c>
      <c r="G6" s="3" t="n"/>
    </row>
    <row r="7">
      <c r="A7" t="inlineStr">
        <is>
          <t>Invested Capital</t>
        </is>
      </c>
      <c r="B7" s="3" t="n">
        <v>475712000</v>
      </c>
      <c r="C7" s="3" t="n">
        <v>474078000</v>
      </c>
      <c r="D7" s="3" t="n">
        <v>476634000</v>
      </c>
      <c r="E7" s="3" t="n">
        <v>483361000</v>
      </c>
      <c r="F7" s="3" t="n">
        <v>486990000</v>
      </c>
      <c r="G7" s="3" t="n"/>
    </row>
    <row r="8">
      <c r="A8" t="inlineStr">
        <is>
          <t>Working Capital</t>
        </is>
      </c>
      <c r="B8" s="3" t="n">
        <v>189909000</v>
      </c>
      <c r="C8" s="3" t="n">
        <v>184114000</v>
      </c>
      <c r="D8" s="3" t="n">
        <v>185030000</v>
      </c>
      <c r="E8" s="3" t="n">
        <v>186122000</v>
      </c>
      <c r="F8" s="3" t="n">
        <v>190799000</v>
      </c>
      <c r="G8" s="3" t="n"/>
    </row>
    <row r="9">
      <c r="A9" t="inlineStr">
        <is>
          <t>Net Tangible Assets</t>
        </is>
      </c>
      <c r="B9" s="3" t="n">
        <v>87292000</v>
      </c>
      <c r="C9" s="3" t="n">
        <v>78732000</v>
      </c>
      <c r="D9" s="3" t="n">
        <v>68734000</v>
      </c>
      <c r="E9" s="3" t="n">
        <v>59557000</v>
      </c>
      <c r="F9" s="3" t="n">
        <v>43728000</v>
      </c>
      <c r="G9" s="3" t="n"/>
    </row>
    <row r="10">
      <c r="A10" t="inlineStr">
        <is>
          <t>Capital Lease Obligations</t>
        </is>
      </c>
      <c r="B10" s="3" t="n">
        <v>28282000</v>
      </c>
      <c r="C10" s="3" t="n">
        <v>30006000</v>
      </c>
      <c r="D10" s="3" t="n">
        <v>31107000</v>
      </c>
      <c r="E10" s="3" t="n">
        <v>32438000</v>
      </c>
      <c r="F10" s="3" t="n">
        <v>32750000</v>
      </c>
      <c r="G10" s="3" t="n"/>
    </row>
    <row r="11">
      <c r="A11" t="inlineStr">
        <is>
          <t>Common Stock Equity</t>
        </is>
      </c>
      <c r="B11" s="3" t="n">
        <v>305926000</v>
      </c>
      <c r="C11" s="3" t="n">
        <v>301455000</v>
      </c>
      <c r="D11" s="3" t="n">
        <v>294172000</v>
      </c>
      <c r="E11" s="3" t="n">
        <v>289062000</v>
      </c>
      <c r="F11" s="3" t="n">
        <v>272828000</v>
      </c>
      <c r="G11" s="3" t="n"/>
    </row>
    <row r="12">
      <c r="A12" t="inlineStr">
        <is>
          <t>Total Capitalization</t>
        </is>
      </c>
      <c r="B12" s="3" t="n">
        <v>475712000</v>
      </c>
      <c r="C12" s="3" t="n">
        <v>474078000</v>
      </c>
      <c r="D12" s="3" t="n">
        <v>476634000</v>
      </c>
      <c r="E12" s="3" t="n">
        <v>483361000</v>
      </c>
      <c r="F12" s="3" t="n">
        <v>486990000</v>
      </c>
      <c r="G12" s="3" t="n"/>
    </row>
    <row r="13">
      <c r="A13" t="inlineStr">
        <is>
          <t>Total Equity Gross Minority Interest</t>
        </is>
      </c>
      <c r="B13" s="3" t="n">
        <v>305926000</v>
      </c>
      <c r="C13" s="3" t="n">
        <v>301455000</v>
      </c>
      <c r="D13" s="3" t="n">
        <v>294172000</v>
      </c>
      <c r="E13" s="3" t="n">
        <v>289062000</v>
      </c>
      <c r="F13" s="3" t="n">
        <v>272828000</v>
      </c>
      <c r="G13" s="3" t="n"/>
    </row>
    <row r="14">
      <c r="A14" t="inlineStr">
        <is>
          <t>Stockholders Equity</t>
        </is>
      </c>
      <c r="B14" s="3" t="n">
        <v>305926000</v>
      </c>
      <c r="C14" s="3" t="n">
        <v>301455000</v>
      </c>
      <c r="D14" s="3" t="n">
        <v>294172000</v>
      </c>
      <c r="E14" s="3" t="n">
        <v>289062000</v>
      </c>
      <c r="F14" s="3" t="n">
        <v>272828000</v>
      </c>
      <c r="G14" s="3" t="n"/>
    </row>
    <row r="15">
      <c r="A15" t="inlineStr">
        <is>
          <t>Gains Losses Not Affecting Retained Earnings</t>
        </is>
      </c>
      <c r="B15" s="3" t="n">
        <v>-12207000</v>
      </c>
      <c r="C15" s="3" t="n">
        <v>-9527000</v>
      </c>
      <c r="D15" s="3" t="n">
        <v>-10316000</v>
      </c>
      <c r="E15" s="3" t="n">
        <v>-8712000</v>
      </c>
      <c r="F15" s="3" t="n">
        <v>-19946000</v>
      </c>
      <c r="G15" s="3" t="n"/>
    </row>
    <row r="16">
      <c r="A16" t="inlineStr">
        <is>
          <t>Other Equity Adjustments</t>
        </is>
      </c>
      <c r="B16" s="3" t="n">
        <v>-12207000</v>
      </c>
      <c r="C16" s="3" t="n">
        <v>-9527000</v>
      </c>
      <c r="D16" s="3" t="n">
        <v>-10316000</v>
      </c>
      <c r="E16" s="3" t="n">
        <v>-8712000</v>
      </c>
      <c r="F16" s="3" t="n">
        <v>-19946000</v>
      </c>
      <c r="G16" s="3" t="n"/>
    </row>
    <row r="17">
      <c r="A17" t="inlineStr">
        <is>
          <t>Retained Earnings</t>
        </is>
      </c>
      <c r="B17" s="3" t="n">
        <v>201901000</v>
      </c>
      <c r="C17" s="3" t="n">
        <v>197046000</v>
      </c>
      <c r="D17" s="3" t="n">
        <v>191163000</v>
      </c>
      <c r="E17" s="3" t="n">
        <v>185187000</v>
      </c>
      <c r="F17" s="3" t="n">
        <v>180052000</v>
      </c>
      <c r="G17" s="3" t="n"/>
    </row>
    <row r="18">
      <c r="A18" t="inlineStr">
        <is>
          <t>Capital Stock</t>
        </is>
      </c>
      <c r="B18" s="3" t="n">
        <v>116232000</v>
      </c>
      <c r="C18" s="3" t="n">
        <v>113936000</v>
      </c>
      <c r="D18" s="3" t="n">
        <v>113325000</v>
      </c>
      <c r="E18" s="3" t="n">
        <v>112587000</v>
      </c>
      <c r="F18" s="3" t="n">
        <v>112722000</v>
      </c>
      <c r="G18" s="3" t="n"/>
    </row>
    <row r="19">
      <c r="A19" t="inlineStr">
        <is>
          <t>Common Stock</t>
        </is>
      </c>
      <c r="B19" s="3" t="n">
        <v>116232000</v>
      </c>
      <c r="C19" s="3" t="n">
        <v>113936000</v>
      </c>
      <c r="D19" s="3" t="n">
        <v>113325000</v>
      </c>
      <c r="E19" s="3" t="n">
        <v>112587000</v>
      </c>
      <c r="F19" s="3" t="n">
        <v>112722000</v>
      </c>
      <c r="G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Total Liabilities Net Minority Interest</t>
        </is>
      </c>
      <c r="B21" s="3" t="n">
        <v>271737000</v>
      </c>
      <c r="C21" s="3" t="n">
        <v>276140000</v>
      </c>
      <c r="D21" s="3" t="n">
        <v>290911000</v>
      </c>
      <c r="E21" s="3" t="n">
        <v>299002000</v>
      </c>
      <c r="F21" s="3" t="n">
        <v>314071000</v>
      </c>
      <c r="G21" s="3" t="n"/>
    </row>
    <row r="22">
      <c r="A22" t="inlineStr">
        <is>
          <t>Total Non Current Liabilities Net Minority Interest</t>
        </is>
      </c>
      <c r="B22" s="3" t="n">
        <v>202116000</v>
      </c>
      <c r="C22" s="3" t="n">
        <v>206817000</v>
      </c>
      <c r="D22" s="3" t="n">
        <v>217885000</v>
      </c>
      <c r="E22" s="3" t="n">
        <v>231186000</v>
      </c>
      <c r="F22" s="3" t="n">
        <v>250997000</v>
      </c>
      <c r="G22" s="3" t="n"/>
    </row>
    <row r="23">
      <c r="A23" t="inlineStr">
        <is>
          <t>Other Non Current Liabilities</t>
        </is>
      </c>
      <c r="B23" s="3" t="n">
        <v>6561000</v>
      </c>
      <c r="C23" s="3" t="n">
        <v>5517000</v>
      </c>
      <c r="D23" s="3" t="n">
        <v>5265000</v>
      </c>
      <c r="E23" s="3" t="n">
        <v>5073000</v>
      </c>
      <c r="F23" s="3" t="n">
        <v>4720000</v>
      </c>
      <c r="G23" s="3" t="n"/>
    </row>
    <row r="24">
      <c r="A24" t="inlineStr">
        <is>
          <t>Employee Benefits</t>
        </is>
      </c>
      <c r="B24" s="3" t="n"/>
      <c r="C24" s="3" t="n">
        <v>1239000</v>
      </c>
      <c r="D24" s="3" t="n">
        <v>1549000</v>
      </c>
      <c r="E24" s="3" t="n">
        <v>1613000</v>
      </c>
      <c r="F24" s="3" t="n">
        <v>1597000</v>
      </c>
      <c r="G24" s="3" t="n">
        <v>1667000</v>
      </c>
    </row>
    <row r="25">
      <c r="A25" t="inlineStr">
        <is>
          <t>Non Current Pension And Other Postretirement Benefit Plans</t>
        </is>
      </c>
      <c r="B25" s="3" t="n"/>
      <c r="C25" s="3" t="n">
        <v>1239000</v>
      </c>
      <c r="D25" s="3" t="n">
        <v>1549000</v>
      </c>
      <c r="E25" s="3" t="n">
        <v>1613000</v>
      </c>
      <c r="F25" s="3" t="n">
        <v>1597000</v>
      </c>
      <c r="G25" s="3" t="n">
        <v>1667000</v>
      </c>
    </row>
    <row r="26">
      <c r="A26" t="inlineStr">
        <is>
          <t>Non Current Deferred Liabilities</t>
        </is>
      </c>
      <c r="B26" s="3" t="n">
        <v>3116000</v>
      </c>
      <c r="C26" s="3" t="n">
        <v>3241000</v>
      </c>
      <c r="D26" s="3" t="n">
        <v>3338000</v>
      </c>
      <c r="E26" s="3" t="n">
        <v>3599000</v>
      </c>
      <c r="F26" s="3" t="n">
        <v>3408000</v>
      </c>
      <c r="G26" s="3" t="n"/>
    </row>
    <row r="27">
      <c r="A27" t="inlineStr">
        <is>
          <t>Non Current Deferred Taxes Liabilities</t>
        </is>
      </c>
      <c r="B27" s="3" t="n">
        <v>3116000</v>
      </c>
      <c r="C27" s="3" t="n">
        <v>3241000</v>
      </c>
      <c r="D27" s="3" t="n">
        <v>3338000</v>
      </c>
      <c r="E27" s="3" t="n">
        <v>3599000</v>
      </c>
      <c r="F27" s="3" t="n">
        <v>3408000</v>
      </c>
      <c r="G27" s="3" t="n"/>
    </row>
    <row r="28">
      <c r="A28" t="inlineStr">
        <is>
          <t>Long Term Debt And Capital Lease Obligation</t>
        </is>
      </c>
      <c r="B28" s="3" t="n">
        <v>192439000</v>
      </c>
      <c r="C28" s="3" t="n">
        <v>196820000</v>
      </c>
      <c r="D28" s="3" t="n">
        <v>207733000</v>
      </c>
      <c r="E28" s="3" t="n">
        <v>220901000</v>
      </c>
      <c r="F28" s="3" t="n">
        <v>241272000</v>
      </c>
      <c r="G28" s="3" t="n"/>
    </row>
    <row r="29">
      <c r="A29" t="inlineStr">
        <is>
          <t>Long Term Capital Lease Obligation</t>
        </is>
      </c>
      <c r="B29" s="3" t="n">
        <v>22653000</v>
      </c>
      <c r="C29" s="3" t="n">
        <v>24197000</v>
      </c>
      <c r="D29" s="3" t="n">
        <v>25271000</v>
      </c>
      <c r="E29" s="3" t="n">
        <v>26602000</v>
      </c>
      <c r="F29" s="3" t="n">
        <v>27110000</v>
      </c>
      <c r="G29" s="3" t="n"/>
    </row>
    <row r="30">
      <c r="A30" t="inlineStr">
        <is>
          <t>Long Term Debt</t>
        </is>
      </c>
      <c r="B30" s="3" t="n">
        <v>169786000</v>
      </c>
      <c r="C30" s="3" t="n">
        <v>172623000</v>
      </c>
      <c r="D30" s="3" t="n">
        <v>182462000</v>
      </c>
      <c r="E30" s="3" t="n">
        <v>194299000</v>
      </c>
      <c r="F30" s="3" t="n">
        <v>214162000</v>
      </c>
      <c r="G30" s="3" t="n"/>
    </row>
    <row r="31">
      <c r="A31" t="inlineStr">
        <is>
          <t>Current Liabilities</t>
        </is>
      </c>
      <c r="B31" s="3" t="n">
        <v>69621000</v>
      </c>
      <c r="C31" s="3" t="n">
        <v>69323000</v>
      </c>
      <c r="D31" s="3" t="n">
        <v>73026000</v>
      </c>
      <c r="E31" s="3" t="n">
        <v>67816000</v>
      </c>
      <c r="F31" s="3" t="n">
        <v>63074000</v>
      </c>
      <c r="G31" s="3" t="n"/>
    </row>
    <row r="32">
      <c r="A32" t="inlineStr">
        <is>
          <t>Current Deferred Liabilities</t>
        </is>
      </c>
      <c r="B32" s="3" t="n">
        <v>3628000</v>
      </c>
      <c r="C32" s="3" t="n">
        <v>3767000</v>
      </c>
      <c r="D32" s="3" t="n">
        <v>3198000</v>
      </c>
      <c r="E32" s="3" t="n">
        <v>3094000</v>
      </c>
      <c r="F32" s="3" t="n">
        <v>2674000</v>
      </c>
      <c r="G32" s="3" t="n"/>
    </row>
    <row r="33">
      <c r="A33" t="inlineStr">
        <is>
          <t>Current Deferred Revenue</t>
        </is>
      </c>
      <c r="B33" s="3" t="n">
        <v>3628000</v>
      </c>
      <c r="C33" s="3" t="n">
        <v>3767000</v>
      </c>
      <c r="D33" s="3" t="n">
        <v>3198000</v>
      </c>
      <c r="E33" s="3" t="n">
        <v>3094000</v>
      </c>
      <c r="F33" s="3" t="n">
        <v>2674000</v>
      </c>
      <c r="G33" s="3" t="n"/>
    </row>
    <row r="34">
      <c r="A34" t="inlineStr">
        <is>
          <t>Current Debt And Capital Lease Obligation</t>
        </is>
      </c>
      <c r="B34" s="3" t="n">
        <v>5629000</v>
      </c>
      <c r="C34" s="3" t="n">
        <v>5809000</v>
      </c>
      <c r="D34" s="3" t="n">
        <v>5836000</v>
      </c>
      <c r="E34" s="3" t="n">
        <v>5836000</v>
      </c>
      <c r="F34" s="3" t="n">
        <v>5640000</v>
      </c>
      <c r="G34" s="3" t="n"/>
    </row>
    <row r="35">
      <c r="A35" t="inlineStr">
        <is>
          <t>Current Capital Lease Obligation</t>
        </is>
      </c>
      <c r="B35" s="3" t="n">
        <v>5629000</v>
      </c>
      <c r="C35" s="3" t="n">
        <v>5809000</v>
      </c>
      <c r="D35" s="3" t="n">
        <v>5836000</v>
      </c>
      <c r="E35" s="3" t="n">
        <v>5836000</v>
      </c>
      <c r="F35" s="3" t="n">
        <v>5640000</v>
      </c>
      <c r="G35" s="3" t="n"/>
    </row>
    <row r="36">
      <c r="A36" t="inlineStr">
        <is>
          <t>Pensionand Other Post Retirement Benefit Plans Current</t>
        </is>
      </c>
      <c r="B36" s="3" t="n">
        <v>13768000</v>
      </c>
      <c r="C36" s="3" t="n">
        <v>20498000</v>
      </c>
      <c r="D36" s="3" t="n">
        <v>17865000</v>
      </c>
      <c r="E36" s="3" t="n">
        <v>14850000</v>
      </c>
      <c r="F36" s="3" t="n">
        <v>12174000</v>
      </c>
      <c r="G36" s="3" t="n"/>
    </row>
    <row r="37">
      <c r="A37" t="inlineStr">
        <is>
          <t>Current Provisions</t>
        </is>
      </c>
      <c r="B37" s="3" t="n">
        <v>1938000</v>
      </c>
      <c r="C37" s="3" t="n">
        <v>1813000</v>
      </c>
      <c r="D37" s="3" t="n">
        <v>2286000</v>
      </c>
      <c r="E37" s="3" t="n">
        <v>2301000</v>
      </c>
      <c r="F37" s="3" t="n">
        <v>2050000</v>
      </c>
      <c r="G37" s="3" t="n"/>
    </row>
    <row r="38">
      <c r="A38" t="inlineStr">
        <is>
          <t>Payables And Accrued Expenses</t>
        </is>
      </c>
      <c r="B38" s="3" t="n">
        <v>44658000</v>
      </c>
      <c r="C38" s="3" t="n">
        <v>37436000</v>
      </c>
      <c r="D38" s="3" t="n">
        <v>43841000</v>
      </c>
      <c r="E38" s="3" t="n">
        <v>41735000</v>
      </c>
      <c r="F38" s="3" t="n">
        <v>40536000</v>
      </c>
      <c r="G38" s="3" t="n"/>
    </row>
    <row r="39">
      <c r="A39" t="inlineStr">
        <is>
          <t>Current Accrued Expenses</t>
        </is>
      </c>
      <c r="B39" s="3" t="n">
        <v>7644000</v>
      </c>
      <c r="C39" s="3" t="n">
        <v>7150000</v>
      </c>
      <c r="D39" s="3" t="n">
        <v>9236000</v>
      </c>
      <c r="E39" s="3" t="n">
        <v>8106000</v>
      </c>
      <c r="F39" s="3" t="n">
        <v>8784000</v>
      </c>
      <c r="G39" s="3" t="n"/>
    </row>
    <row r="40">
      <c r="A40" t="inlineStr">
        <is>
          <t>Payables</t>
        </is>
      </c>
      <c r="B40" s="3" t="n">
        <v>37014000</v>
      </c>
      <c r="C40" s="3" t="n">
        <v>30286000</v>
      </c>
      <c r="D40" s="3" t="n">
        <v>34605000</v>
      </c>
      <c r="E40" s="3" t="n">
        <v>33629000</v>
      </c>
      <c r="F40" s="3" t="n">
        <v>31752000</v>
      </c>
      <c r="G40" s="3" t="n"/>
    </row>
    <row r="41">
      <c r="A41" t="inlineStr">
        <is>
          <t>Total Tax Payable</t>
        </is>
      </c>
      <c r="B41" s="3" t="n">
        <v>3936000</v>
      </c>
      <c r="C41" s="3" t="n">
        <v>1853000</v>
      </c>
      <c r="D41" s="3" t="n">
        <v>881000</v>
      </c>
      <c r="E41" s="3" t="n">
        <v>387000</v>
      </c>
      <c r="F41" s="3" t="n">
        <v>1106000</v>
      </c>
      <c r="G41" s="3" t="n"/>
    </row>
    <row r="42">
      <c r="A42" t="inlineStr">
        <is>
          <t>Income Tax Payable</t>
        </is>
      </c>
      <c r="B42" s="3" t="n">
        <v>3936000</v>
      </c>
      <c r="C42" s="3" t="n">
        <v>1853000</v>
      </c>
      <c r="D42" s="3" t="n">
        <v>881000</v>
      </c>
      <c r="E42" s="3" t="n">
        <v>387000</v>
      </c>
      <c r="F42" s="3" t="n">
        <v>1106000</v>
      </c>
      <c r="G42" s="3" t="n"/>
    </row>
    <row r="43">
      <c r="A43" t="inlineStr">
        <is>
          <t>Accounts Payable</t>
        </is>
      </c>
      <c r="B43" s="3" t="n">
        <v>33078000</v>
      </c>
      <c r="C43" s="3" t="n">
        <v>28433000</v>
      </c>
      <c r="D43" s="3" t="n">
        <v>33724000</v>
      </c>
      <c r="E43" s="3" t="n">
        <v>33242000</v>
      </c>
      <c r="F43" s="3" t="n">
        <v>30646000</v>
      </c>
      <c r="G43" s="3" t="n"/>
    </row>
    <row r="44">
      <c r="A44" t="inlineStr">
        <is>
          <t>Total Assets</t>
        </is>
      </c>
      <c r="B44" s="3" t="n">
        <v>577663000</v>
      </c>
      <c r="C44" s="3" t="n">
        <v>577595000</v>
      </c>
      <c r="D44" s="3" t="n">
        <v>585083000</v>
      </c>
      <c r="E44" s="3" t="n">
        <v>588064000</v>
      </c>
      <c r="F44" s="3" t="n">
        <v>586899000</v>
      </c>
      <c r="G44" s="3" t="n"/>
    </row>
    <row r="45">
      <c r="A45" t="inlineStr">
        <is>
          <t>Total Non Current Assets</t>
        </is>
      </c>
      <c r="B45" s="3" t="n">
        <v>318133000</v>
      </c>
      <c r="C45" s="3" t="n">
        <v>324158000</v>
      </c>
      <c r="D45" s="3" t="n">
        <v>327027000</v>
      </c>
      <c r="E45" s="3" t="n">
        <v>334126000</v>
      </c>
      <c r="F45" s="3" t="n">
        <v>333026000</v>
      </c>
      <c r="G45" s="3" t="n"/>
    </row>
    <row r="46">
      <c r="A46" t="inlineStr">
        <is>
          <t>Other Non Current Assets</t>
        </is>
      </c>
      <c r="B46" s="3" t="n">
        <v>8304000</v>
      </c>
      <c r="C46" s="3" t="n">
        <v>8125000</v>
      </c>
      <c r="D46" s="3" t="n">
        <v>8717000</v>
      </c>
      <c r="E46" s="3" t="n">
        <v>8535000</v>
      </c>
      <c r="F46" s="3" t="n">
        <v>7243000</v>
      </c>
      <c r="G46" s="3" t="n"/>
    </row>
    <row r="47">
      <c r="A47" t="inlineStr">
        <is>
          <t>Non Current Deferred Assets</t>
        </is>
      </c>
      <c r="B47" s="3" t="n">
        <v>10545000</v>
      </c>
      <c r="C47" s="3" t="n">
        <v>10509000</v>
      </c>
      <c r="D47" s="3" t="n">
        <v>8277000</v>
      </c>
      <c r="E47" s="3" t="n">
        <v>8820000</v>
      </c>
      <c r="F47" s="3" t="n">
        <v>8771000</v>
      </c>
      <c r="G47" s="3" t="n"/>
    </row>
    <row r="48">
      <c r="A48" t="inlineStr">
        <is>
          <t>Non Current Deferred Taxes Assets</t>
        </is>
      </c>
      <c r="B48" s="3" t="n">
        <v>10545000</v>
      </c>
      <c r="C48" s="3" t="n">
        <v>10509000</v>
      </c>
      <c r="D48" s="3" t="n">
        <v>8277000</v>
      </c>
      <c r="E48" s="3" t="n">
        <v>8820000</v>
      </c>
      <c r="F48" s="3" t="n">
        <v>8771000</v>
      </c>
      <c r="G48" s="3" t="n"/>
    </row>
    <row r="49">
      <c r="A49" t="inlineStr">
        <is>
          <t>Goodwill And Other Intangible Assets</t>
        </is>
      </c>
      <c r="B49" s="3" t="n">
        <v>218634000</v>
      </c>
      <c r="C49" s="3" t="n">
        <v>222723000</v>
      </c>
      <c r="D49" s="3" t="n">
        <v>225438000</v>
      </c>
      <c r="E49" s="3" t="n">
        <v>229505000</v>
      </c>
      <c r="F49" s="3" t="n">
        <v>229100000</v>
      </c>
      <c r="G49" s="3" t="n"/>
    </row>
    <row r="50">
      <c r="A50" t="inlineStr">
        <is>
          <t>Other Intangible Assets</t>
        </is>
      </c>
      <c r="B50" s="3" t="n">
        <v>84947000</v>
      </c>
      <c r="C50" s="3" t="n">
        <v>88391000</v>
      </c>
      <c r="D50" s="3" t="n">
        <v>91296000</v>
      </c>
      <c r="E50" s="3" t="n">
        <v>94895000</v>
      </c>
      <c r="F50" s="3" t="n">
        <v>96741000</v>
      </c>
      <c r="G50" s="3" t="n"/>
    </row>
    <row r="51">
      <c r="A51" t="inlineStr">
        <is>
          <t>Goodwill</t>
        </is>
      </c>
      <c r="B51" s="3" t="n">
        <v>133687000</v>
      </c>
      <c r="C51" s="3" t="n">
        <v>134332000</v>
      </c>
      <c r="D51" s="3" t="n">
        <v>134142000</v>
      </c>
      <c r="E51" s="3" t="n">
        <v>134610000</v>
      </c>
      <c r="F51" s="3" t="n">
        <v>132359000</v>
      </c>
      <c r="G51" s="3" t="n"/>
    </row>
    <row r="52">
      <c r="A52" t="inlineStr">
        <is>
          <t>Net PPE</t>
        </is>
      </c>
      <c r="B52" s="3" t="n">
        <v>80650000</v>
      </c>
      <c r="C52" s="3" t="n">
        <v>82801000</v>
      </c>
      <c r="D52" s="3" t="n">
        <v>84595000</v>
      </c>
      <c r="E52" s="3" t="n">
        <v>87266000</v>
      </c>
      <c r="F52" s="3" t="n">
        <v>87912000</v>
      </c>
      <c r="G52" s="3" t="n"/>
    </row>
    <row r="53">
      <c r="A53" t="inlineStr">
        <is>
          <t>Accumulated Depreciation</t>
        </is>
      </c>
      <c r="B53" s="3" t="n">
        <v>-122204000</v>
      </c>
      <c r="C53" s="3" t="n">
        <v>-120123000</v>
      </c>
      <c r="D53" s="3" t="n">
        <v>-117613000</v>
      </c>
      <c r="E53" s="3" t="n">
        <v>-114329000</v>
      </c>
      <c r="F53" s="3" t="n">
        <v>-106785000</v>
      </c>
      <c r="G53" s="3" t="n"/>
    </row>
    <row r="54">
      <c r="A54" t="inlineStr">
        <is>
          <t>Gross PPE</t>
        </is>
      </c>
      <c r="B54" s="3" t="n">
        <v>202854000</v>
      </c>
      <c r="C54" s="3" t="n">
        <v>202924000</v>
      </c>
      <c r="D54" s="3" t="n">
        <v>202208000</v>
      </c>
      <c r="E54" s="3" t="n">
        <v>201595000</v>
      </c>
      <c r="F54" s="3" t="n">
        <v>194697000</v>
      </c>
      <c r="G54" s="3" t="n"/>
    </row>
    <row r="55">
      <c r="A55" t="inlineStr">
        <is>
          <t>Construction In Progress</t>
        </is>
      </c>
      <c r="B55" s="3" t="n">
        <v>3055000</v>
      </c>
      <c r="C55" s="3" t="n">
        <v>1636000</v>
      </c>
      <c r="D55" s="3" t="n">
        <v>2511000</v>
      </c>
      <c r="E55" s="3" t="n">
        <v>1918000</v>
      </c>
      <c r="F55" s="3" t="n">
        <v>1775000</v>
      </c>
      <c r="G55" s="3" t="n"/>
    </row>
    <row r="56">
      <c r="A56" t="inlineStr">
        <is>
          <t>Other Properties</t>
        </is>
      </c>
      <c r="B56" s="3" t="n">
        <v>19564000</v>
      </c>
      <c r="C56" s="3" t="n">
        <v>21030000</v>
      </c>
      <c r="D56" s="3" t="n">
        <v>21996000</v>
      </c>
      <c r="E56" s="3" t="n">
        <v>23319000</v>
      </c>
      <c r="F56" s="3" t="n">
        <v>23445000</v>
      </c>
      <c r="G56" s="3" t="n"/>
    </row>
    <row r="57">
      <c r="A57" t="inlineStr">
        <is>
          <t>Machinery Furniture Equipment</t>
        </is>
      </c>
      <c r="B57" s="3" t="n">
        <v>148221000</v>
      </c>
      <c r="C57" s="3" t="n">
        <v>148245000</v>
      </c>
      <c r="D57" s="3" t="n">
        <v>145980000</v>
      </c>
      <c r="E57" s="3" t="n">
        <v>144763000</v>
      </c>
      <c r="F57" s="3" t="n">
        <v>139388000</v>
      </c>
      <c r="G57" s="3" t="n"/>
    </row>
    <row r="58">
      <c r="A58" t="inlineStr">
        <is>
          <t>Buildings And Improvements</t>
        </is>
      </c>
      <c r="B58" s="3" t="n">
        <v>30222000</v>
      </c>
      <c r="C58" s="3" t="n">
        <v>30215000</v>
      </c>
      <c r="D58" s="3" t="n">
        <v>29923000</v>
      </c>
      <c r="E58" s="3" t="n">
        <v>29798000</v>
      </c>
      <c r="F58" s="3" t="n">
        <v>28311000</v>
      </c>
      <c r="G58" s="3" t="n"/>
    </row>
    <row r="59">
      <c r="A59" t="inlineStr">
        <is>
          <t>Land And Improvements</t>
        </is>
      </c>
      <c r="B59" s="3" t="n">
        <v>1792000</v>
      </c>
      <c r="C59" s="3" t="n">
        <v>1798000</v>
      </c>
      <c r="D59" s="3" t="n">
        <v>1798000</v>
      </c>
      <c r="E59" s="3" t="n">
        <v>1797000</v>
      </c>
      <c r="F59" s="3" t="n">
        <v>1778000</v>
      </c>
      <c r="G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/>
    </row>
    <row r="61">
      <c r="A61" t="inlineStr">
        <is>
          <t>Current Assets</t>
        </is>
      </c>
      <c r="B61" s="3" t="n">
        <v>259530000</v>
      </c>
      <c r="C61" s="3" t="n">
        <v>253437000</v>
      </c>
      <c r="D61" s="3" t="n">
        <v>258056000</v>
      </c>
      <c r="E61" s="3" t="n">
        <v>253938000</v>
      </c>
      <c r="F61" s="3" t="n">
        <v>253873000</v>
      </c>
      <c r="G61" s="3" t="n"/>
    </row>
    <row r="62">
      <c r="A62" t="inlineStr">
        <is>
          <t>Other Current Assets</t>
        </is>
      </c>
      <c r="B62" s="3" t="n">
        <v>16502000</v>
      </c>
      <c r="C62" s="3" t="n">
        <v>14759000</v>
      </c>
      <c r="D62" s="3" t="n">
        <v>15502000</v>
      </c>
      <c r="E62" s="3" t="n">
        <v>12564000</v>
      </c>
      <c r="F62" s="3" t="n">
        <v>12413000</v>
      </c>
      <c r="G62" s="3" t="n"/>
    </row>
    <row r="63">
      <c r="A63" t="inlineStr">
        <is>
          <t>Inventory</t>
        </is>
      </c>
      <c r="B63" s="3" t="n">
        <v>110131000</v>
      </c>
      <c r="C63" s="3" t="n">
        <v>109198000</v>
      </c>
      <c r="D63" s="3" t="n">
        <v>111360000</v>
      </c>
      <c r="E63" s="3" t="n">
        <v>106548000</v>
      </c>
      <c r="F63" s="3" t="n">
        <v>105571000</v>
      </c>
      <c r="G63" s="3" t="n"/>
    </row>
    <row r="64">
      <c r="A64" t="inlineStr">
        <is>
          <t>Finished Goods</t>
        </is>
      </c>
      <c r="B64" s="3" t="n">
        <v>16392000</v>
      </c>
      <c r="C64" s="3" t="n">
        <v>15721000</v>
      </c>
      <c r="D64" s="3" t="n">
        <v>16425000</v>
      </c>
      <c r="E64" s="3" t="n">
        <v>16168000</v>
      </c>
      <c r="F64" s="3" t="n">
        <v>16532000</v>
      </c>
      <c r="G64" s="3" t="n"/>
    </row>
    <row r="65">
      <c r="A65" t="inlineStr">
        <is>
          <t>Work In Process</t>
        </is>
      </c>
      <c r="B65" s="3" t="n">
        <v>12085000</v>
      </c>
      <c r="C65" s="3" t="n">
        <v>10602000</v>
      </c>
      <c r="D65" s="3" t="n">
        <v>12431000</v>
      </c>
      <c r="E65" s="3" t="n">
        <v>12161000</v>
      </c>
      <c r="F65" s="3" t="n">
        <v>11606000</v>
      </c>
      <c r="G65" s="3" t="n"/>
    </row>
    <row r="66">
      <c r="A66" t="inlineStr">
        <is>
          <t>Raw Materials</t>
        </is>
      </c>
      <c r="B66" s="3" t="n">
        <v>81654000</v>
      </c>
      <c r="C66" s="3" t="n">
        <v>82875000</v>
      </c>
      <c r="D66" s="3" t="n">
        <v>82504000</v>
      </c>
      <c r="E66" s="3" t="n">
        <v>78219000</v>
      </c>
      <c r="F66" s="3" t="n">
        <v>77433000</v>
      </c>
      <c r="G66" s="3" t="n"/>
    </row>
    <row r="67">
      <c r="A67" t="inlineStr">
        <is>
          <t>Receivables</t>
        </is>
      </c>
      <c r="B67" s="3" t="n">
        <v>91722000</v>
      </c>
      <c r="C67" s="3" t="n">
        <v>88775000</v>
      </c>
      <c r="D67" s="3" t="n">
        <v>91718000</v>
      </c>
      <c r="E67" s="3" t="n">
        <v>84911000</v>
      </c>
      <c r="F67" s="3" t="n">
        <v>88136000</v>
      </c>
      <c r="G67" s="3" t="n"/>
    </row>
    <row r="68">
      <c r="A68" t="inlineStr">
        <is>
          <t>Accounts Receivable</t>
        </is>
      </c>
      <c r="B68" s="3" t="n">
        <v>91722000</v>
      </c>
      <c r="C68" s="3" t="n">
        <v>88775000</v>
      </c>
      <c r="D68" s="3" t="n">
        <v>91718000</v>
      </c>
      <c r="E68" s="3" t="n">
        <v>84911000</v>
      </c>
      <c r="F68" s="3" t="n">
        <v>88136000</v>
      </c>
      <c r="G68" s="3" t="n"/>
    </row>
    <row r="69">
      <c r="A69" t="inlineStr">
        <is>
          <t>Allowance For Doubtful Accounts Receivable</t>
        </is>
      </c>
      <c r="B69" s="3" t="n">
        <v>-956000</v>
      </c>
      <c r="C69" s="3" t="n">
        <v>-887000</v>
      </c>
      <c r="D69" s="3" t="n">
        <v>-1177000</v>
      </c>
      <c r="E69" s="3" t="n">
        <v>-1072000</v>
      </c>
      <c r="F69" s="3" t="n">
        <v>-1362000</v>
      </c>
      <c r="G69" s="3" t="n"/>
    </row>
    <row r="70">
      <c r="A70" t="inlineStr">
        <is>
          <t>Gross Accounts Receivable</t>
        </is>
      </c>
      <c r="B70" s="3" t="n">
        <v>92678000</v>
      </c>
      <c r="C70" s="3" t="n">
        <v>89662000</v>
      </c>
      <c r="D70" s="3" t="n">
        <v>92895000</v>
      </c>
      <c r="E70" s="3" t="n">
        <v>85983000</v>
      </c>
      <c r="F70" s="3" t="n">
        <v>89498000</v>
      </c>
      <c r="G70" s="3" t="n"/>
    </row>
    <row r="71">
      <c r="A71" t="inlineStr">
        <is>
          <t>Cash Cash Equivalents And Short Term Investments</t>
        </is>
      </c>
      <c r="B71" s="3" t="n">
        <v>41175000</v>
      </c>
      <c r="C71" s="3" t="n">
        <v>40705000</v>
      </c>
      <c r="D71" s="3" t="n">
        <v>39476000</v>
      </c>
      <c r="E71" s="3" t="n">
        <v>49915000</v>
      </c>
      <c r="F71" s="3" t="n">
        <v>47753000</v>
      </c>
      <c r="G71" s="3" t="n"/>
    </row>
    <row r="72">
      <c r="A72" t="inlineStr">
        <is>
          <t>Cash And Cash Equivalents</t>
        </is>
      </c>
      <c r="B72" s="3" t="n">
        <v>41175000</v>
      </c>
      <c r="C72" s="3" t="n">
        <v>40705000</v>
      </c>
      <c r="D72" s="3" t="n">
        <v>39476000</v>
      </c>
      <c r="E72" s="3" t="n">
        <v>49915000</v>
      </c>
      <c r="F72" s="3" t="n">
        <v>47753000</v>
      </c>
      <c r="G7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49686000</v>
      </c>
      <c r="C2" s="3" t="n">
        <v>32167000</v>
      </c>
      <c r="D2" s="3" t="n">
        <v>33435000</v>
      </c>
      <c r="E2" s="3" t="n">
        <v>-10314000</v>
      </c>
      <c r="F2" s="3" t="n"/>
    </row>
    <row r="3">
      <c r="A3" t="inlineStr">
        <is>
          <t>Repayment Of Debt</t>
        </is>
      </c>
      <c r="B3" s="3" t="n">
        <v>-44448000</v>
      </c>
      <c r="C3" s="3" t="n">
        <v>-68433000</v>
      </c>
      <c r="D3" s="3" t="n">
        <v>-28395000</v>
      </c>
      <c r="E3" s="3" t="n">
        <v>-7585000</v>
      </c>
      <c r="F3" s="3" t="n"/>
    </row>
    <row r="4">
      <c r="A4" t="inlineStr">
        <is>
          <t>Issuance Of Debt</t>
        </is>
      </c>
      <c r="B4" s="3" t="n">
        <v>0</v>
      </c>
      <c r="C4" s="3" t="n">
        <v>76898000</v>
      </c>
      <c r="D4" s="3" t="n">
        <v>11000000</v>
      </c>
      <c r="E4" s="3" t="n">
        <v>74731000</v>
      </c>
      <c r="F4" s="3" t="n"/>
    </row>
    <row r="5">
      <c r="A5" t="inlineStr">
        <is>
          <t>Capital Expenditure</t>
        </is>
      </c>
      <c r="B5" s="3" t="n">
        <v>-6989000</v>
      </c>
      <c r="C5" s="3" t="n">
        <v>-9683000</v>
      </c>
      <c r="D5" s="3" t="n">
        <v>-11603000</v>
      </c>
      <c r="E5" s="3" t="n">
        <v>-15910000</v>
      </c>
      <c r="F5" s="3" t="n"/>
    </row>
    <row r="6">
      <c r="A6" t="inlineStr">
        <is>
          <t>Interest Paid Supplemental Data</t>
        </is>
      </c>
      <c r="B6" s="3" t="n">
        <v>12971000</v>
      </c>
      <c r="C6" s="3" t="n">
        <v>12059000</v>
      </c>
      <c r="D6" s="3" t="n">
        <v>12200000</v>
      </c>
      <c r="E6" s="3" t="n">
        <v>736000</v>
      </c>
      <c r="F6" s="3" t="n"/>
    </row>
    <row r="7">
      <c r="A7" t="inlineStr">
        <is>
          <t>Income Tax Paid Supplemental Data</t>
        </is>
      </c>
      <c r="B7" s="3" t="n">
        <v>8986000</v>
      </c>
      <c r="C7" s="3" t="n">
        <v>7804000</v>
      </c>
      <c r="D7" s="3" t="n">
        <v>12687000</v>
      </c>
      <c r="E7" s="3" t="n"/>
      <c r="F7" s="3" t="n">
        <v>3869000</v>
      </c>
    </row>
    <row r="8">
      <c r="A8" t="inlineStr">
        <is>
          <t>End Cash Position</t>
        </is>
      </c>
      <c r="B8" s="3" t="n">
        <v>40705000</v>
      </c>
      <c r="C8" s="3" t="n">
        <v>36102000</v>
      </c>
      <c r="D8" s="3" t="n">
        <v>31901000</v>
      </c>
      <c r="E8" s="3" t="n">
        <v>30614000</v>
      </c>
      <c r="F8" s="3" t="n"/>
    </row>
    <row r="9">
      <c r="A9" t="inlineStr">
        <is>
          <t>Beginning Cash Position</t>
        </is>
      </c>
      <c r="B9" s="3" t="n">
        <v>36102000</v>
      </c>
      <c r="C9" s="3" t="n">
        <v>31901000</v>
      </c>
      <c r="D9" s="3" t="n">
        <v>30614000</v>
      </c>
      <c r="E9" s="3" t="n">
        <v>22463000</v>
      </c>
      <c r="F9" s="3" t="n"/>
    </row>
    <row r="10">
      <c r="A10" t="inlineStr">
        <is>
          <t>Effect Of Exchange Rate Changes</t>
        </is>
      </c>
      <c r="B10" s="3" t="n">
        <v>2613000</v>
      </c>
      <c r="C10" s="3" t="n">
        <v>-1892000</v>
      </c>
      <c r="D10" s="3" t="n">
        <v>173000</v>
      </c>
      <c r="E10" s="3" t="n">
        <v>-1039000</v>
      </c>
      <c r="F10" s="3" t="n"/>
    </row>
    <row r="11">
      <c r="A11" t="inlineStr">
        <is>
          <t>Changes In Cash</t>
        </is>
      </c>
      <c r="B11" s="3" t="n">
        <v>1990000</v>
      </c>
      <c r="C11" s="3" t="n">
        <v>6093000</v>
      </c>
      <c r="D11" s="3" t="n">
        <v>1114000</v>
      </c>
      <c r="E11" s="3" t="n">
        <v>9190000</v>
      </c>
      <c r="F11" s="3" t="n"/>
    </row>
    <row r="12">
      <c r="A12" t="inlineStr">
        <is>
          <t>Financing Cash Flow</t>
        </is>
      </c>
      <c r="B12" s="3" t="n">
        <v>-47696000</v>
      </c>
      <c r="C12" s="3" t="n">
        <v>-843000</v>
      </c>
      <c r="D12" s="3" t="n">
        <v>-21317000</v>
      </c>
      <c r="E12" s="3" t="n">
        <v>63605000</v>
      </c>
      <c r="F12" s="3" t="n"/>
    </row>
    <row r="13">
      <c r="A13" t="inlineStr">
        <is>
          <t>Cash Flow From Continuing Financing Activities</t>
        </is>
      </c>
      <c r="B13" s="3" t="n">
        <v>-47696000</v>
      </c>
      <c r="C13" s="3" t="n">
        <v>-843000</v>
      </c>
      <c r="D13" s="3" t="n">
        <v>-21317000</v>
      </c>
      <c r="E13" s="3" t="n">
        <v>63605000</v>
      </c>
      <c r="F13" s="3" t="n"/>
    </row>
    <row r="14">
      <c r="A14" t="inlineStr">
        <is>
          <t>Net Other Financing Charges</t>
        </is>
      </c>
      <c r="B14" s="3" t="n">
        <v>-1247000</v>
      </c>
      <c r="C14" s="3" t="n">
        <v>-7327000</v>
      </c>
      <c r="D14" s="3" t="n">
        <v>-2096000</v>
      </c>
      <c r="E14" s="3" t="n">
        <v>-2005000</v>
      </c>
      <c r="F14" s="3" t="n"/>
    </row>
    <row r="15">
      <c r="A15" t="inlineStr">
        <is>
          <t>Cash Dividends Paid</t>
        </is>
      </c>
      <c r="B15" s="3" t="n">
        <v>-2001000</v>
      </c>
      <c r="C15" s="3" t="n">
        <v>-1981000</v>
      </c>
      <c r="D15" s="3" t="n">
        <v>-1826000</v>
      </c>
      <c r="E15" s="3" t="n">
        <v>-1536000</v>
      </c>
      <c r="F15" s="3" t="n"/>
    </row>
    <row r="16">
      <c r="A16" t="inlineStr">
        <is>
          <t>Common Stock Dividend Paid</t>
        </is>
      </c>
      <c r="B16" s="3" t="n"/>
      <c r="C16" s="3" t="n"/>
      <c r="D16" s="3" t="n"/>
      <c r="E16" s="3" t="n">
        <v>-1536000</v>
      </c>
      <c r="F16" s="3" t="n">
        <v>-1371000</v>
      </c>
    </row>
    <row r="17">
      <c r="A17" t="inlineStr">
        <is>
          <t>Net Issuance Payments Of Debt</t>
        </is>
      </c>
      <c r="B17" s="3" t="n">
        <v>-44448000</v>
      </c>
      <c r="C17" s="3" t="n">
        <v>8465000</v>
      </c>
      <c r="D17" s="3" t="n">
        <v>-17395000</v>
      </c>
      <c r="E17" s="3" t="n">
        <v>67146000</v>
      </c>
      <c r="F17" s="3" t="n"/>
    </row>
    <row r="18">
      <c r="A18" t="inlineStr">
        <is>
          <t>Net Long Term Debt Issuance</t>
        </is>
      </c>
      <c r="B18" s="3" t="n">
        <v>-44448000</v>
      </c>
      <c r="C18" s="3" t="n">
        <v>8465000</v>
      </c>
      <c r="D18" s="3" t="n">
        <v>-17395000</v>
      </c>
      <c r="E18" s="3" t="n">
        <v>67146000</v>
      </c>
      <c r="F18" s="3" t="n"/>
    </row>
    <row r="19">
      <c r="A19" t="inlineStr">
        <is>
          <t>Long Term Debt Payments</t>
        </is>
      </c>
      <c r="B19" s="3" t="n">
        <v>-44448000</v>
      </c>
      <c r="C19" s="3" t="n">
        <v>-68433000</v>
      </c>
      <c r="D19" s="3" t="n">
        <v>-28395000</v>
      </c>
      <c r="E19" s="3" t="n">
        <v>-7585000</v>
      </c>
      <c r="F19" s="3" t="n"/>
    </row>
    <row r="20">
      <c r="A20" t="inlineStr">
        <is>
          <t>Long Term Debt Issuance</t>
        </is>
      </c>
      <c r="B20" s="3" t="n">
        <v>0</v>
      </c>
      <c r="C20" s="3" t="n">
        <v>76898000</v>
      </c>
      <c r="D20" s="3" t="n">
        <v>11000000</v>
      </c>
      <c r="E20" s="3" t="n">
        <v>74731000</v>
      </c>
      <c r="F20" s="3" t="n"/>
    </row>
    <row r="21">
      <c r="A21" t="inlineStr">
        <is>
          <t>Investing Cash Flow</t>
        </is>
      </c>
      <c r="B21" s="3" t="n">
        <v>-6989000</v>
      </c>
      <c r="C21" s="3" t="n">
        <v>-34914000</v>
      </c>
      <c r="D21" s="3" t="n">
        <v>-22607000</v>
      </c>
      <c r="E21" s="3" t="n">
        <v>-60011000</v>
      </c>
      <c r="F21" s="3" t="n"/>
    </row>
    <row r="22">
      <c r="A22" t="inlineStr">
        <is>
          <t>Cash Flow From Continuing Investing Activities</t>
        </is>
      </c>
      <c r="B22" s="3" t="n">
        <v>-6989000</v>
      </c>
      <c r="C22" s="3" t="n">
        <v>-34914000</v>
      </c>
      <c r="D22" s="3" t="n">
        <v>-22607000</v>
      </c>
      <c r="E22" s="3" t="n">
        <v>-60011000</v>
      </c>
      <c r="F22" s="3" t="n"/>
    </row>
    <row r="23">
      <c r="A23" t="inlineStr">
        <is>
          <t>Net Business Purchase And Sale</t>
        </is>
      </c>
      <c r="B23" s="3" t="n">
        <v>0</v>
      </c>
      <c r="C23" s="3" t="n">
        <v>-25231000</v>
      </c>
      <c r="D23" s="3" t="n">
        <v>-11004000</v>
      </c>
      <c r="E23" s="3" t="n">
        <v>-44101000</v>
      </c>
      <c r="F23" s="3" t="n"/>
    </row>
    <row r="24">
      <c r="A24" t="inlineStr">
        <is>
          <t>Purchase Of Business</t>
        </is>
      </c>
      <c r="B24" s="3" t="n">
        <v>0</v>
      </c>
      <c r="C24" s="3" t="n">
        <v>-25231000</v>
      </c>
      <c r="D24" s="3" t="n">
        <v>-11004000</v>
      </c>
      <c r="E24" s="3" t="n">
        <v>-44101000</v>
      </c>
      <c r="F24" s="3" t="n"/>
    </row>
    <row r="25">
      <c r="A25" t="inlineStr">
        <is>
          <t>Net PPE Purchase And Sale</t>
        </is>
      </c>
      <c r="B25" s="3" t="n">
        <v>-6989000</v>
      </c>
      <c r="C25" s="3" t="n">
        <v>-9683000</v>
      </c>
      <c r="D25" s="3" t="n">
        <v>-11603000</v>
      </c>
      <c r="E25" s="3" t="n">
        <v>-15910000</v>
      </c>
      <c r="F25" s="3" t="n"/>
    </row>
    <row r="26">
      <c r="A26" t="inlineStr">
        <is>
          <t>Purchase Of PPE</t>
        </is>
      </c>
      <c r="B26" s="3" t="n">
        <v>-6989000</v>
      </c>
      <c r="C26" s="3" t="n">
        <v>-9683000</v>
      </c>
      <c r="D26" s="3" t="n">
        <v>-11603000</v>
      </c>
      <c r="E26" s="3" t="n">
        <v>-15910000</v>
      </c>
      <c r="F26" s="3" t="n"/>
    </row>
    <row r="27">
      <c r="A27" t="inlineStr">
        <is>
          <t>Operating Cash Flow</t>
        </is>
      </c>
      <c r="B27" s="3" t="n">
        <v>56675000</v>
      </c>
      <c r="C27" s="3" t="n">
        <v>41850000</v>
      </c>
      <c r="D27" s="3" t="n">
        <v>45038000</v>
      </c>
      <c r="E27" s="3" t="n">
        <v>5596000</v>
      </c>
      <c r="F27" s="3" t="n"/>
    </row>
    <row r="28">
      <c r="A28" t="inlineStr">
        <is>
          <t>Cash Flow From Continuing Operating Activities</t>
        </is>
      </c>
      <c r="B28" s="3" t="n">
        <v>56675000</v>
      </c>
      <c r="C28" s="3" t="n">
        <v>41850000</v>
      </c>
      <c r="D28" s="3" t="n">
        <v>45038000</v>
      </c>
      <c r="E28" s="3" t="n">
        <v>5596000</v>
      </c>
      <c r="F28" s="3" t="n"/>
    </row>
    <row r="29">
      <c r="A29" t="inlineStr">
        <is>
          <t>Change In Working Capital</t>
        </is>
      </c>
      <c r="B29" s="3" t="n">
        <v>2450000</v>
      </c>
      <c r="C29" s="3" t="n">
        <v>-4359000</v>
      </c>
      <c r="D29" s="3" t="n">
        <v>-8779000</v>
      </c>
      <c r="E29" s="3" t="n">
        <v>-40853000</v>
      </c>
      <c r="F29" s="3" t="n"/>
    </row>
    <row r="30">
      <c r="A30" t="inlineStr">
        <is>
          <t>Change In Payables And Accrued Expense</t>
        </is>
      </c>
      <c r="B30" s="3" t="n">
        <v>9734000</v>
      </c>
      <c r="C30" s="3" t="n">
        <v>-21584000</v>
      </c>
      <c r="D30" s="3" t="n">
        <v>-2754000</v>
      </c>
      <c r="E30" s="3" t="n">
        <v>8262000</v>
      </c>
      <c r="F30" s="3" t="n"/>
    </row>
    <row r="31">
      <c r="A31" t="inlineStr">
        <is>
          <t>Change In Accrued Expense</t>
        </is>
      </c>
      <c r="B31" s="3" t="n">
        <v>9559000</v>
      </c>
      <c r="C31" s="3" t="n">
        <v>-8829000</v>
      </c>
      <c r="D31" s="3" t="n">
        <v>-1819000</v>
      </c>
      <c r="E31" s="3" t="n">
        <v>5471000</v>
      </c>
      <c r="F31" s="3" t="n"/>
    </row>
    <row r="32">
      <c r="A32" t="inlineStr">
        <is>
          <t>Change In Payable</t>
        </is>
      </c>
      <c r="B32" s="3" t="n">
        <v>175000</v>
      </c>
      <c r="C32" s="3" t="n">
        <v>-12755000</v>
      </c>
      <c r="D32" s="3" t="n">
        <v>-935000</v>
      </c>
      <c r="E32" s="3" t="n">
        <v>2791000</v>
      </c>
      <c r="F32" s="3" t="n"/>
    </row>
    <row r="33">
      <c r="A33" t="inlineStr">
        <is>
          <t>Change In Account Payable</t>
        </is>
      </c>
      <c r="B33" s="3" t="n">
        <v>175000</v>
      </c>
      <c r="C33" s="3" t="n">
        <v>-12755000</v>
      </c>
      <c r="D33" s="3" t="n">
        <v>-935000</v>
      </c>
      <c r="E33" s="3" t="n">
        <v>2791000</v>
      </c>
      <c r="F33" s="3" t="n"/>
    </row>
    <row r="34">
      <c r="A34" t="inlineStr">
        <is>
          <t>Change In Prepaid Assets</t>
        </is>
      </c>
      <c r="B34" s="3" t="n">
        <v>-2709000</v>
      </c>
      <c r="C34" s="3" t="n">
        <v>2412000</v>
      </c>
      <c r="D34" s="3" t="n">
        <v>1324000</v>
      </c>
      <c r="E34" s="3" t="n">
        <v>887000</v>
      </c>
      <c r="F34" s="3" t="n"/>
    </row>
    <row r="35">
      <c r="A35" t="inlineStr">
        <is>
          <t>Change In Inventory</t>
        </is>
      </c>
      <c r="B35" s="3" t="n">
        <v>3318000</v>
      </c>
      <c r="C35" s="3" t="n">
        <v>7358000</v>
      </c>
      <c r="D35" s="3" t="n">
        <v>-1781000</v>
      </c>
      <c r="E35" s="3" t="n">
        <v>-27800000</v>
      </c>
      <c r="F35" s="3" t="n"/>
    </row>
    <row r="36">
      <c r="A36" t="inlineStr">
        <is>
          <t>Change In Receivables</t>
        </is>
      </c>
      <c r="B36" s="3" t="n">
        <v>-7893000</v>
      </c>
      <c r="C36" s="3" t="n">
        <v>7455000</v>
      </c>
      <c r="D36" s="3" t="n">
        <v>-5568000</v>
      </c>
      <c r="E36" s="3" t="n">
        <v>-22202000</v>
      </c>
      <c r="F36" s="3" t="n"/>
    </row>
    <row r="37">
      <c r="A37" t="inlineStr">
        <is>
          <t>Changes In Account Receivables</t>
        </is>
      </c>
      <c r="B37" s="3" t="n">
        <v>-7893000</v>
      </c>
      <c r="C37" s="3" t="n">
        <v>7455000</v>
      </c>
      <c r="D37" s="3" t="n">
        <v>-5568000</v>
      </c>
      <c r="E37" s="3" t="n">
        <v>-22202000</v>
      </c>
      <c r="F37" s="3" t="n"/>
    </row>
    <row r="38">
      <c r="A38" t="inlineStr">
        <is>
          <t>Other Non Cash Items</t>
        </is>
      </c>
      <c r="B38" s="3" t="n">
        <v>1258000</v>
      </c>
      <c r="C38" s="3" t="n">
        <v>415000</v>
      </c>
      <c r="D38" s="3" t="n">
        <v>1724000</v>
      </c>
      <c r="E38" s="3" t="n">
        <v>595000</v>
      </c>
      <c r="F38" s="3" t="n"/>
    </row>
    <row r="39">
      <c r="A39" t="inlineStr">
        <is>
          <t>Stock Based Compensation</t>
        </is>
      </c>
      <c r="B39" s="3" t="n">
        <v>3430000</v>
      </c>
      <c r="C39" s="3" t="n">
        <v>4147000</v>
      </c>
      <c r="D39" s="3" t="n">
        <v>5477000</v>
      </c>
      <c r="E39" s="3" t="n">
        <v>5073000</v>
      </c>
      <c r="F39" s="3" t="n"/>
    </row>
    <row r="40">
      <c r="A40" t="inlineStr">
        <is>
          <t>Provisionand Write Offof Assets</t>
        </is>
      </c>
      <c r="B40" s="3" t="n">
        <v>3891000</v>
      </c>
      <c r="C40" s="3" t="n">
        <v>4943000</v>
      </c>
      <c r="D40" s="3" t="n">
        <v>2487000</v>
      </c>
      <c r="E40" s="3" t="n">
        <v>1628000</v>
      </c>
      <c r="F40" s="3" t="n"/>
    </row>
    <row r="41">
      <c r="A41" t="inlineStr">
        <is>
          <t>Deferred Tax</t>
        </is>
      </c>
      <c r="B41" s="3" t="n">
        <v>-1795000</v>
      </c>
      <c r="C41" s="3" t="n">
        <v>-2353000</v>
      </c>
      <c r="D41" s="3" t="n">
        <v>-5036000</v>
      </c>
      <c r="E41" s="3" t="n">
        <v>-3722000</v>
      </c>
      <c r="F41" s="3" t="n"/>
    </row>
    <row r="42">
      <c r="A42" t="inlineStr">
        <is>
          <t>Deferred Income Tax</t>
        </is>
      </c>
      <c r="B42" s="3" t="n">
        <v>-1795000</v>
      </c>
      <c r="C42" s="3" t="n">
        <v>-2353000</v>
      </c>
      <c r="D42" s="3" t="n">
        <v>-5036000</v>
      </c>
      <c r="E42" s="3" t="n">
        <v>-3722000</v>
      </c>
      <c r="F42" s="3" t="n"/>
    </row>
    <row r="43">
      <c r="A43" t="inlineStr">
        <is>
          <t>Depreciation Amortization Depletion</t>
        </is>
      </c>
      <c r="B43" s="3" t="n">
        <v>25407000</v>
      </c>
      <c r="C43" s="3" t="n">
        <v>25891000</v>
      </c>
      <c r="D43" s="3" t="n">
        <v>25068000</v>
      </c>
      <c r="E43" s="3" t="n">
        <v>25486000</v>
      </c>
      <c r="F43" s="3" t="n"/>
    </row>
    <row r="44">
      <c r="A44" t="inlineStr">
        <is>
          <t>Depreciation And Amortization</t>
        </is>
      </c>
      <c r="B44" s="3" t="n">
        <v>25407000</v>
      </c>
      <c r="C44" s="3" t="n">
        <v>25891000</v>
      </c>
      <c r="D44" s="3" t="n">
        <v>25068000</v>
      </c>
      <c r="E44" s="3" t="n">
        <v>25486000</v>
      </c>
      <c r="F44" s="3" t="n"/>
    </row>
    <row r="45">
      <c r="A45" t="inlineStr">
        <is>
          <t>Amortization Cash Flow</t>
        </is>
      </c>
      <c r="B45" s="3" t="n">
        <v>12471000</v>
      </c>
      <c r="C45" s="3" t="n">
        <v>12697000</v>
      </c>
      <c r="D45" s="3" t="n">
        <v>12313000</v>
      </c>
      <c r="E45" s="3" t="n"/>
      <c r="F45" s="3" t="n"/>
    </row>
    <row r="46">
      <c r="A46" t="inlineStr">
        <is>
          <t>Amortization Of Intangibles</t>
        </is>
      </c>
      <c r="B46" s="3" t="n">
        <v>12471000</v>
      </c>
      <c r="C46" s="3" t="n">
        <v>12697000</v>
      </c>
      <c r="D46" s="3" t="n">
        <v>12313000</v>
      </c>
      <c r="E46" s="3" t="n"/>
      <c r="F46" s="3" t="n"/>
    </row>
    <row r="47">
      <c r="A47" t="inlineStr">
        <is>
          <t>Depreciation</t>
        </is>
      </c>
      <c r="B47" s="3" t="n">
        <v>12936000</v>
      </c>
      <c r="C47" s="3" t="n">
        <v>13194000</v>
      </c>
      <c r="D47" s="3" t="n">
        <v>12755000</v>
      </c>
      <c r="E47" s="3" t="n"/>
      <c r="F47" s="3" t="n"/>
    </row>
    <row r="48">
      <c r="A48" t="inlineStr">
        <is>
          <t>Net Income From Continuing Operations</t>
        </is>
      </c>
      <c r="B48" s="3" t="n">
        <v>22034000</v>
      </c>
      <c r="C48" s="3" t="n">
        <v>13166000</v>
      </c>
      <c r="D48" s="3" t="n">
        <v>24097000</v>
      </c>
      <c r="E48" s="3" t="n">
        <v>17389000</v>
      </c>
      <c r="F4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4005000</v>
      </c>
      <c r="C2" s="3" t="n">
        <v>11660000</v>
      </c>
      <c r="D2" s="3" t="n">
        <v>2780000</v>
      </c>
      <c r="E2" s="3" t="n">
        <v>22378000</v>
      </c>
      <c r="F2" s="3" t="n">
        <v>12868000</v>
      </c>
      <c r="G2" s="3" t="n"/>
    </row>
    <row r="3">
      <c r="A3" t="inlineStr">
        <is>
          <t>Repayment Of Debt</t>
        </is>
      </c>
      <c r="B3" s="3" t="n">
        <v>-3113000</v>
      </c>
      <c r="C3" s="3" t="n">
        <v>-10114000</v>
      </c>
      <c r="D3" s="3" t="n">
        <v>-12113000</v>
      </c>
      <c r="E3" s="3" t="n">
        <v>-20111000</v>
      </c>
      <c r="F3" s="3" t="n">
        <v>-2110000</v>
      </c>
      <c r="G3" s="3" t="n"/>
    </row>
    <row r="4">
      <c r="A4" t="inlineStr">
        <is>
          <t>Issuance Of Debt</t>
        </is>
      </c>
      <c r="B4" s="3" t="n"/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Capital Expenditure</t>
        </is>
      </c>
      <c r="B5" s="3" t="n">
        <v>-2168000</v>
      </c>
      <c r="C5" s="3" t="n">
        <v>-1899000</v>
      </c>
      <c r="D5" s="3" t="n">
        <v>-1901000</v>
      </c>
      <c r="E5" s="3" t="n">
        <v>-2129000</v>
      </c>
      <c r="F5" s="3" t="n">
        <v>-1060000</v>
      </c>
      <c r="G5" s="3" t="n"/>
    </row>
    <row r="6">
      <c r="A6" t="inlineStr">
        <is>
          <t>Interest Paid Supplemental Data</t>
        </is>
      </c>
      <c r="B6" s="3" t="n">
        <v>2476000</v>
      </c>
      <c r="C6" s="3" t="n">
        <v>2700000</v>
      </c>
      <c r="D6" s="3" t="n">
        <v>3223000</v>
      </c>
      <c r="E6" s="3" t="n">
        <v>3564000</v>
      </c>
      <c r="F6" s="3" t="n">
        <v>3484000</v>
      </c>
      <c r="G6" s="3" t="n"/>
    </row>
    <row r="7">
      <c r="A7" t="inlineStr">
        <is>
          <t>Income Tax Paid Supplemental Data</t>
        </is>
      </c>
      <c r="B7" s="3" t="n">
        <v>1227000</v>
      </c>
      <c r="C7" s="3" t="n">
        <v>1110000</v>
      </c>
      <c r="D7" s="3" t="n">
        <v>3822000</v>
      </c>
      <c r="E7" s="3" t="n">
        <v>3015000</v>
      </c>
      <c r="F7" s="3" t="n">
        <v>1039000</v>
      </c>
      <c r="G7" s="3" t="n"/>
    </row>
    <row r="8">
      <c r="A8" t="inlineStr">
        <is>
          <t>End Cash Position</t>
        </is>
      </c>
      <c r="B8" s="3" t="n">
        <v>41175000</v>
      </c>
      <c r="C8" s="3" t="n">
        <v>40705000</v>
      </c>
      <c r="D8" s="3" t="n">
        <v>39476000</v>
      </c>
      <c r="E8" s="3" t="n">
        <v>49915000</v>
      </c>
      <c r="F8" s="3" t="n">
        <v>47753000</v>
      </c>
      <c r="G8" s="3" t="n"/>
    </row>
    <row r="9">
      <c r="A9" t="inlineStr">
        <is>
          <t>Beginning Cash Position</t>
        </is>
      </c>
      <c r="B9" s="3" t="n">
        <v>40705000</v>
      </c>
      <c r="C9" s="3" t="n">
        <v>39476000</v>
      </c>
      <c r="D9" s="3" t="n">
        <v>49915000</v>
      </c>
      <c r="E9" s="3" t="n">
        <v>47753000</v>
      </c>
      <c r="F9" s="3" t="n">
        <v>36102000</v>
      </c>
      <c r="G9" s="3" t="n"/>
    </row>
    <row r="10">
      <c r="A10" t="inlineStr">
        <is>
          <t>Effect Of Exchange Rate Changes</t>
        </is>
      </c>
      <c r="B10" s="3" t="n">
        <v>-404000</v>
      </c>
      <c r="C10" s="3" t="n">
        <v>268000</v>
      </c>
      <c r="D10" s="3" t="n">
        <v>-508000</v>
      </c>
      <c r="E10" s="3" t="n">
        <v>1880000</v>
      </c>
      <c r="F10" s="3" t="n">
        <v>973000</v>
      </c>
      <c r="G10" s="3" t="n"/>
    </row>
    <row r="11">
      <c r="A11" t="inlineStr">
        <is>
          <t>Changes In Cash</t>
        </is>
      </c>
      <c r="B11" s="3" t="n">
        <v>874000</v>
      </c>
      <c r="C11" s="3" t="n">
        <v>961000</v>
      </c>
      <c r="D11" s="3" t="n">
        <v>-9931000</v>
      </c>
      <c r="E11" s="3" t="n">
        <v>282000</v>
      </c>
      <c r="F11" s="3" t="n">
        <v>10678000</v>
      </c>
      <c r="G11" s="3" t="n"/>
    </row>
    <row r="12">
      <c r="A12" t="inlineStr">
        <is>
          <t>Financing Cash Flow</t>
        </is>
      </c>
      <c r="B12" s="3" t="n">
        <v>-3131000</v>
      </c>
      <c r="C12" s="3" t="n">
        <v>-10699000</v>
      </c>
      <c r="D12" s="3" t="n">
        <v>-12711000</v>
      </c>
      <c r="E12" s="3" t="n">
        <v>-22096000</v>
      </c>
      <c r="F12" s="3" t="n">
        <v>-2190000</v>
      </c>
      <c r="G12" s="3" t="n"/>
    </row>
    <row r="13">
      <c r="A13" t="inlineStr">
        <is>
          <t>Cash Flow From Continuing Financing Activities</t>
        </is>
      </c>
      <c r="B13" s="3" t="n">
        <v>-3131000</v>
      </c>
      <c r="C13" s="3" t="n">
        <v>-10699000</v>
      </c>
      <c r="D13" s="3" t="n">
        <v>-12711000</v>
      </c>
      <c r="E13" s="3" t="n">
        <v>-22096000</v>
      </c>
      <c r="F13" s="3" t="n">
        <v>-2190000</v>
      </c>
      <c r="G13" s="3" t="n"/>
    </row>
    <row r="14">
      <c r="A14" t="inlineStr">
        <is>
          <t>Net Other Financing Charges</t>
        </is>
      </c>
      <c r="B14" s="3" t="n">
        <v>-18000</v>
      </c>
      <c r="C14" s="3" t="n">
        <v>-85000</v>
      </c>
      <c r="D14" s="3" t="n">
        <v>-97000</v>
      </c>
      <c r="E14" s="3" t="n">
        <v>-985000</v>
      </c>
      <c r="F14" s="3" t="n">
        <v>-80000</v>
      </c>
      <c r="G14" s="3" t="n"/>
    </row>
    <row r="15">
      <c r="A15" t="inlineStr">
        <is>
          <t>Cash Dividends Paid</t>
        </is>
      </c>
      <c r="B15" s="3" t="n"/>
      <c r="C15" s="3" t="n">
        <v>-500000</v>
      </c>
      <c r="D15" s="3" t="n">
        <v>-501000</v>
      </c>
      <c r="E15" s="3" t="n"/>
      <c r="F15" s="3" t="n"/>
      <c r="G15" s="3" t="n">
        <v>-476000</v>
      </c>
    </row>
    <row r="16">
      <c r="A16" t="inlineStr">
        <is>
          <t>Net Issuance Payments Of Debt</t>
        </is>
      </c>
      <c r="B16" s="3" t="n">
        <v>-3113000</v>
      </c>
      <c r="C16" s="3" t="n">
        <v>-10114000</v>
      </c>
      <c r="D16" s="3" t="n">
        <v>-12113000</v>
      </c>
      <c r="E16" s="3" t="n">
        <v>-20111000</v>
      </c>
      <c r="F16" s="3" t="n">
        <v>-2110000</v>
      </c>
      <c r="G16" s="3" t="n"/>
    </row>
    <row r="17">
      <c r="A17" t="inlineStr">
        <is>
          <t>Net Long Term Debt Issuance</t>
        </is>
      </c>
      <c r="B17" s="3" t="n">
        <v>-3113000</v>
      </c>
      <c r="C17" s="3" t="n">
        <v>-10114000</v>
      </c>
      <c r="D17" s="3" t="n">
        <v>-12113000</v>
      </c>
      <c r="E17" s="3" t="n">
        <v>-20111000</v>
      </c>
      <c r="F17" s="3" t="n">
        <v>-2110000</v>
      </c>
      <c r="G17" s="3" t="n"/>
    </row>
    <row r="18">
      <c r="A18" t="inlineStr">
        <is>
          <t>Long Term Debt Payments</t>
        </is>
      </c>
      <c r="B18" s="3" t="n">
        <v>-3113000</v>
      </c>
      <c r="C18" s="3" t="n">
        <v>-10114000</v>
      </c>
      <c r="D18" s="3" t="n">
        <v>-12113000</v>
      </c>
      <c r="E18" s="3" t="n">
        <v>-20111000</v>
      </c>
      <c r="F18" s="3" t="n">
        <v>-2110000</v>
      </c>
      <c r="G18" s="3" t="n"/>
    </row>
    <row r="19">
      <c r="A19" t="inlineStr">
        <is>
          <t>Long Term Debt Issuance</t>
        </is>
      </c>
      <c r="B19" s="3" t="n"/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t="inlineStr">
        <is>
          <t>Investing Cash Flow</t>
        </is>
      </c>
      <c r="B20" s="3" t="n">
        <v>-2168000</v>
      </c>
      <c r="C20" s="3" t="n">
        <v>-1899000</v>
      </c>
      <c r="D20" s="3" t="n">
        <v>-1901000</v>
      </c>
      <c r="E20" s="3" t="n">
        <v>-2129000</v>
      </c>
      <c r="F20" s="3" t="n">
        <v>-1060000</v>
      </c>
      <c r="G20" s="3" t="n"/>
    </row>
    <row r="21">
      <c r="A21" t="inlineStr">
        <is>
          <t>Cash Flow From Continuing Investing Activities</t>
        </is>
      </c>
      <c r="B21" s="3" t="n">
        <v>-2168000</v>
      </c>
      <c r="C21" s="3" t="n">
        <v>-1899000</v>
      </c>
      <c r="D21" s="3" t="n">
        <v>-1901000</v>
      </c>
      <c r="E21" s="3" t="n">
        <v>-2129000</v>
      </c>
      <c r="F21" s="3" t="n">
        <v>-1060000</v>
      </c>
      <c r="G21" s="3" t="n"/>
    </row>
    <row r="22">
      <c r="A22" t="inlineStr">
        <is>
          <t>Net Business Purchase And Sale</t>
        </is>
      </c>
      <c r="B22" s="3" t="n"/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t="inlineStr">
        <is>
          <t>Purchase Of Business</t>
        </is>
      </c>
      <c r="B23" s="3" t="n"/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</row>
    <row r="24">
      <c r="A24" t="inlineStr">
        <is>
          <t>Net PPE Purchase And Sale</t>
        </is>
      </c>
      <c r="B24" s="3" t="n">
        <v>-2168000</v>
      </c>
      <c r="C24" s="3" t="n">
        <v>-1899000</v>
      </c>
      <c r="D24" s="3" t="n">
        <v>-1901000</v>
      </c>
      <c r="E24" s="3" t="n">
        <v>-2129000</v>
      </c>
      <c r="F24" s="3" t="n">
        <v>-1060000</v>
      </c>
      <c r="G24" s="3" t="n"/>
    </row>
    <row r="25">
      <c r="A25" t="inlineStr">
        <is>
          <t>Purchase Of PPE</t>
        </is>
      </c>
      <c r="B25" s="3" t="n">
        <v>-2168000</v>
      </c>
      <c r="C25" s="3" t="n">
        <v>-1899000</v>
      </c>
      <c r="D25" s="3" t="n">
        <v>-1901000</v>
      </c>
      <c r="E25" s="3" t="n">
        <v>-2129000</v>
      </c>
      <c r="F25" s="3" t="n">
        <v>-1060000</v>
      </c>
      <c r="G25" s="3" t="n"/>
    </row>
    <row r="26">
      <c r="A26" t="inlineStr">
        <is>
          <t>Operating Cash Flow</t>
        </is>
      </c>
      <c r="B26" s="3" t="n">
        <v>6173000</v>
      </c>
      <c r="C26" s="3" t="n">
        <v>13559000</v>
      </c>
      <c r="D26" s="3" t="n">
        <v>4681000</v>
      </c>
      <c r="E26" s="3" t="n">
        <v>24507000</v>
      </c>
      <c r="F26" s="3" t="n">
        <v>13928000</v>
      </c>
      <c r="G26" s="3" t="n"/>
    </row>
    <row r="27">
      <c r="A27" t="inlineStr">
        <is>
          <t>Cash Flow From Continuing Operating Activities</t>
        </is>
      </c>
      <c r="B27" s="3" t="n">
        <v>6173000</v>
      </c>
      <c r="C27" s="3" t="n">
        <v>13559000</v>
      </c>
      <c r="D27" s="3" t="n">
        <v>4681000</v>
      </c>
      <c r="E27" s="3" t="n">
        <v>24507000</v>
      </c>
      <c r="F27" s="3" t="n">
        <v>13928000</v>
      </c>
      <c r="G27" s="3" t="n"/>
    </row>
    <row r="28">
      <c r="A28" t="inlineStr">
        <is>
          <t>Change In Working Capital</t>
        </is>
      </c>
      <c r="B28" s="3" t="n">
        <v>-6918000</v>
      </c>
      <c r="C28" s="3" t="n">
        <v>1181000</v>
      </c>
      <c r="D28" s="3" t="n">
        <v>-10311000</v>
      </c>
      <c r="E28" s="3" t="n">
        <v>9659000</v>
      </c>
      <c r="F28" s="3" t="n">
        <v>1921000</v>
      </c>
      <c r="G28" s="3" t="n"/>
    </row>
    <row r="29">
      <c r="A29" t="inlineStr">
        <is>
          <t>Change In Payables And Accrued Expense</t>
        </is>
      </c>
      <c r="B29" s="3" t="n">
        <v>679000</v>
      </c>
      <c r="C29" s="3" t="n">
        <v>-3723000</v>
      </c>
      <c r="D29" s="3" t="n">
        <v>4949000</v>
      </c>
      <c r="E29" s="3" t="n">
        <v>3659000</v>
      </c>
      <c r="F29" s="3" t="n">
        <v>4849000</v>
      </c>
      <c r="G29" s="3" t="n"/>
    </row>
    <row r="30">
      <c r="A30" t="inlineStr">
        <is>
          <t>Change In Accrued Expense</t>
        </is>
      </c>
      <c r="B30" s="3" t="n">
        <v>-3603000</v>
      </c>
      <c r="C30" s="3" t="n">
        <v>1685000</v>
      </c>
      <c r="D30" s="3" t="n">
        <v>4473000</v>
      </c>
      <c r="E30" s="3" t="n">
        <v>1415000</v>
      </c>
      <c r="F30" s="3" t="n">
        <v>1986000</v>
      </c>
      <c r="G30" s="3" t="n"/>
    </row>
    <row r="31">
      <c r="A31" t="inlineStr">
        <is>
          <t>Change In Payable</t>
        </is>
      </c>
      <c r="B31" s="3" t="n">
        <v>4282000</v>
      </c>
      <c r="C31" s="3" t="n">
        <v>-5408000</v>
      </c>
      <c r="D31" s="3" t="n">
        <v>476000</v>
      </c>
      <c r="E31" s="3" t="n">
        <v>2244000</v>
      </c>
      <c r="F31" s="3" t="n">
        <v>2863000</v>
      </c>
      <c r="G31" s="3" t="n"/>
    </row>
    <row r="32">
      <c r="A32" t="inlineStr">
        <is>
          <t>Change In Account Payable</t>
        </is>
      </c>
      <c r="B32" s="3" t="n">
        <v>4282000</v>
      </c>
      <c r="C32" s="3" t="n">
        <v>-5408000</v>
      </c>
      <c r="D32" s="3" t="n">
        <v>476000</v>
      </c>
      <c r="E32" s="3" t="n">
        <v>2244000</v>
      </c>
      <c r="F32" s="3" t="n">
        <v>2863000</v>
      </c>
      <c r="G32" s="3" t="n"/>
    </row>
    <row r="33">
      <c r="A33" t="inlineStr">
        <is>
          <t>Change In Prepaid Assets</t>
        </is>
      </c>
      <c r="B33" s="3" t="n">
        <v>-1870000</v>
      </c>
      <c r="C33" s="3" t="n">
        <v>663000</v>
      </c>
      <c r="D33" s="3" t="n">
        <v>-2913000</v>
      </c>
      <c r="E33" s="3" t="n">
        <v>565000</v>
      </c>
      <c r="F33" s="3" t="n">
        <v>-1024000</v>
      </c>
      <c r="G33" s="3" t="n"/>
    </row>
    <row r="34">
      <c r="A34" t="inlineStr">
        <is>
          <t>Change In Inventory</t>
        </is>
      </c>
      <c r="B34" s="3" t="n">
        <v>-2058000</v>
      </c>
      <c r="C34" s="3" t="n">
        <v>1455000</v>
      </c>
      <c r="D34" s="3" t="n">
        <v>-5262000</v>
      </c>
      <c r="E34" s="3" t="n">
        <v>614000</v>
      </c>
      <c r="F34" s="3" t="n">
        <v>6511000</v>
      </c>
      <c r="G34" s="3" t="n"/>
    </row>
    <row r="35">
      <c r="A35" t="inlineStr">
        <is>
          <t>Change In Receivables</t>
        </is>
      </c>
      <c r="B35" s="3" t="n">
        <v>-3669000</v>
      </c>
      <c r="C35" s="3" t="n">
        <v>2786000</v>
      </c>
      <c r="D35" s="3" t="n">
        <v>-7085000</v>
      </c>
      <c r="E35" s="3" t="n">
        <v>4821000</v>
      </c>
      <c r="F35" s="3" t="n">
        <v>-8415000</v>
      </c>
      <c r="G35" s="3" t="n"/>
    </row>
    <row r="36">
      <c r="A36" t="inlineStr">
        <is>
          <t>Changes In Account Receivables</t>
        </is>
      </c>
      <c r="B36" s="3" t="n">
        <v>-3669000</v>
      </c>
      <c r="C36" s="3" t="n">
        <v>2786000</v>
      </c>
      <c r="D36" s="3" t="n">
        <v>-7085000</v>
      </c>
      <c r="E36" s="3" t="n">
        <v>4821000</v>
      </c>
      <c r="F36" s="3" t="n">
        <v>-8415000</v>
      </c>
      <c r="G36" s="3" t="n"/>
    </row>
    <row r="37">
      <c r="A37" t="inlineStr">
        <is>
          <t>Other Non Cash Items</t>
        </is>
      </c>
      <c r="B37" s="3" t="n">
        <v>786000</v>
      </c>
      <c r="C37" s="3" t="n">
        <v>-2956000</v>
      </c>
      <c r="D37" s="3" t="n">
        <v>1031000</v>
      </c>
      <c r="E37" s="3" t="n">
        <v>1983000</v>
      </c>
      <c r="F37" s="3" t="n">
        <v>1200000</v>
      </c>
      <c r="G37" s="3" t="n"/>
    </row>
    <row r="38">
      <c r="A38" t="inlineStr">
        <is>
          <t>Stock Based Compensation</t>
        </is>
      </c>
      <c r="B38" s="3" t="n">
        <v>848000</v>
      </c>
      <c r="C38" s="3" t="n">
        <v>840000</v>
      </c>
      <c r="D38" s="3" t="n">
        <v>835000</v>
      </c>
      <c r="E38" s="3" t="n">
        <v>835000</v>
      </c>
      <c r="F38" s="3" t="n">
        <v>920000</v>
      </c>
      <c r="G38" s="3" t="n"/>
    </row>
    <row r="39">
      <c r="A39" t="inlineStr">
        <is>
          <t>Deferred Tax</t>
        </is>
      </c>
      <c r="B39" s="3" t="n">
        <v>-110000</v>
      </c>
      <c r="C39" s="3" t="n">
        <v>-2082000</v>
      </c>
      <c r="D39" s="3" t="n">
        <v>226000</v>
      </c>
      <c r="E39" s="3" t="n">
        <v>12000</v>
      </c>
      <c r="F39" s="3" t="n">
        <v>49000</v>
      </c>
      <c r="G39" s="3" t="n"/>
    </row>
    <row r="40">
      <c r="A40" t="inlineStr">
        <is>
          <t>Deferred Income Tax</t>
        </is>
      </c>
      <c r="B40" s="3" t="n">
        <v>-110000</v>
      </c>
      <c r="C40" s="3" t="n">
        <v>-2082000</v>
      </c>
      <c r="D40" s="3" t="n">
        <v>226000</v>
      </c>
      <c r="E40" s="3" t="n">
        <v>12000</v>
      </c>
      <c r="F40" s="3" t="n">
        <v>49000</v>
      </c>
      <c r="G40" s="3" t="n"/>
    </row>
    <row r="41">
      <c r="A41" t="inlineStr">
        <is>
          <t>Depreciation Amortization Depletion</t>
        </is>
      </c>
      <c r="B41" s="3" t="n">
        <v>6210000</v>
      </c>
      <c r="C41" s="3" t="n">
        <v>6302000</v>
      </c>
      <c r="D41" s="3" t="n">
        <v>6423000</v>
      </c>
      <c r="E41" s="3" t="n">
        <v>6401000</v>
      </c>
      <c r="F41" s="3" t="n">
        <v>6281000</v>
      </c>
      <c r="G41" s="3" t="n"/>
    </row>
    <row r="42">
      <c r="A42" t="inlineStr">
        <is>
          <t>Depreciation And Amortization</t>
        </is>
      </c>
      <c r="B42" s="3" t="n">
        <v>6210000</v>
      </c>
      <c r="C42" s="3" t="n">
        <v>6302000</v>
      </c>
      <c r="D42" s="3" t="n">
        <v>6423000</v>
      </c>
      <c r="E42" s="3" t="n">
        <v>6401000</v>
      </c>
      <c r="F42" s="3" t="n">
        <v>6281000</v>
      </c>
      <c r="G42" s="3" t="n"/>
    </row>
    <row r="43">
      <c r="A43" t="inlineStr">
        <is>
          <t>Amortization Cash Flow</t>
        </is>
      </c>
      <c r="B43" s="3" t="n">
        <v>3123000</v>
      </c>
      <c r="C43" s="3" t="n">
        <v>3121000</v>
      </c>
      <c r="D43" s="3" t="n">
        <v>3132000</v>
      </c>
      <c r="E43" s="3" t="n">
        <v>3125000</v>
      </c>
      <c r="F43" s="3" t="n">
        <v>3093000</v>
      </c>
      <c r="G43" s="3" t="n"/>
    </row>
    <row r="44">
      <c r="A44" t="inlineStr">
        <is>
          <t>Amortization Of Intangibles</t>
        </is>
      </c>
      <c r="B44" s="3" t="n">
        <v>3123000</v>
      </c>
      <c r="C44" s="3" t="n">
        <v>3121000</v>
      </c>
      <c r="D44" s="3" t="n">
        <v>3132000</v>
      </c>
      <c r="E44" s="3" t="n">
        <v>3125000</v>
      </c>
      <c r="F44" s="3" t="n">
        <v>3093000</v>
      </c>
      <c r="G44" s="3" t="n"/>
    </row>
    <row r="45">
      <c r="A45" t="inlineStr">
        <is>
          <t>Depreciation</t>
        </is>
      </c>
      <c r="B45" s="3" t="n">
        <v>3087000</v>
      </c>
      <c r="C45" s="3" t="n">
        <v>3181000</v>
      </c>
      <c r="D45" s="3" t="n">
        <v>3291000</v>
      </c>
      <c r="E45" s="3" t="n">
        <v>3276000</v>
      </c>
      <c r="F45" s="3" t="n">
        <v>3188000</v>
      </c>
      <c r="G45" s="3" t="n"/>
    </row>
    <row r="46">
      <c r="A46" t="inlineStr">
        <is>
          <t>Net Income From Continuing Operations</t>
        </is>
      </c>
      <c r="B46" s="3" t="n">
        <v>5357000</v>
      </c>
      <c r="C46" s="3" t="n">
        <v>6383000</v>
      </c>
      <c r="D46" s="3" t="n">
        <v>6477000</v>
      </c>
      <c r="E46" s="3" t="n">
        <v>5617000</v>
      </c>
      <c r="F46" s="3" t="n">
        <v>3557000</v>
      </c>
      <c r="G4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2026-08-02T23:44:01Z</dcterms:created>
  <dcterms:modified xsi:type="dcterms:W3CDTF">2026-08-02T23:44:02Z</dcterms:modified>
</cp:coreProperties>
</file>