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AR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Antero Resources Corporation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Energy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Oil &amp; Gas E&amp;P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10292752384</v>
      </c>
      <c r="C6" t="inlineStr">
        <is>
          <t>yfinance info.marketCap</t>
        </is>
      </c>
    </row>
    <row r="7">
      <c r="A7" t="inlineStr">
        <is>
          <t>Enterprise value ($)</t>
        </is>
      </c>
      <c r="B7" t="inlineStr">
        <is>
          <t>(missing — see Data flags)</t>
        </is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10.75081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7.1048946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1.8296046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0.67232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0.36523998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0.17094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0.12837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0.343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inlineStr">
        <is>
          <t>(missing — see Data flags)</t>
        </is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4750665216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1646297000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309836000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33.22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(annual)'!D53</f>
        <v/>
      </c>
      <c r="C3" s="3">
        <f>'Income stmt (annual)'!C53</f>
        <v/>
      </c>
      <c r="D3" s="3">
        <f>'Income stmt (annual)'!B53</f>
        <v/>
      </c>
      <c r="E3" s="3">
        <f>SUM('Income stmt (quarterly)'!B50:E50)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(annual)'!D51</f>
        <v/>
      </c>
      <c r="C4" s="3">
        <f>'Income stmt (annual)'!C51</f>
        <v/>
      </c>
      <c r="D4" s="3">
        <f>'Income stmt (annual)'!B51</f>
        <v/>
      </c>
      <c r="E4" s="3">
        <f>SUM('Income stmt (quarterly)'!B48:E48)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(annual)'!D44</f>
        <v/>
      </c>
      <c r="C6" s="3">
        <f>'Income stmt (annual)'!C44</f>
        <v/>
      </c>
      <c r="D6" s="3">
        <f>'Income stmt (annual)'!B44</f>
        <v/>
      </c>
      <c r="E6" s="3">
        <f>SUM('Income stmt (quarterly)'!B40:E40)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(annual)'!D6</f>
        <v/>
      </c>
      <c r="C11" s="3">
        <f>-'Cash flow (annual)'!C6</f>
        <v/>
      </c>
      <c r="D11" s="3">
        <f>-'Cash flow (annual)'!B6</f>
        <v/>
      </c>
      <c r="E11" s="3">
        <f>-SUM('Cash flow (quarterly)'!B6:E6)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(annual)'!D5</f>
        <v/>
      </c>
      <c r="C13" s="3">
        <f>'Balance sheet (annual)'!C5</f>
        <v/>
      </c>
      <c r="D13" s="3">
        <f>'Balance sheet (annual)'!B5</f>
        <v/>
      </c>
      <c r="E13" s="3">
        <f>'Balance sheet (quarterly)'!B4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(quarterly)'!B2/1e6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11115302</v>
      </c>
      <c r="C2" s="3" t="n">
        <v>-11037600</v>
      </c>
      <c r="D2" s="3" t="n">
        <v>11001025</v>
      </c>
      <c r="E2" s="3" t="n">
        <v>-332526684</v>
      </c>
      <c r="F2" s="3" t="n"/>
    </row>
    <row r="3">
      <c r="A3" t="inlineStr">
        <is>
          <t>Tax Rate For Calcs</t>
        </is>
      </c>
      <c r="B3" s="3" t="n">
        <v>0.242</v>
      </c>
      <c r="C3" s="3" t="n">
        <v>0.21</v>
      </c>
      <c r="D3" s="3" t="n">
        <v>0.175</v>
      </c>
      <c r="E3" s="3" t="n">
        <v>0.181</v>
      </c>
      <c r="F3" s="3" t="n"/>
    </row>
    <row r="4">
      <c r="A4" t="inlineStr">
        <is>
          <t>Normalized EBITDA</t>
        </is>
      </c>
      <c r="B4" s="3" t="n">
        <v>1681752000</v>
      </c>
      <c r="C4" s="3" t="n">
        <v>912106000</v>
      </c>
      <c r="D4" s="3" t="n">
        <v>1166055000</v>
      </c>
      <c r="E4" s="3" t="n">
        <v>5122427000</v>
      </c>
      <c r="F4" s="3" t="n"/>
    </row>
    <row r="5">
      <c r="A5" t="inlineStr">
        <is>
          <t>Total Unusual Items</t>
        </is>
      </c>
      <c r="B5" s="3" t="n">
        <v>45931000</v>
      </c>
      <c r="C5" s="3" t="n">
        <v>-52560000</v>
      </c>
      <c r="D5" s="3" t="n">
        <v>62863000</v>
      </c>
      <c r="E5" s="3" t="n">
        <v>-1837164000</v>
      </c>
      <c r="F5" s="3" t="n"/>
    </row>
    <row r="6">
      <c r="A6" t="inlineStr">
        <is>
          <t>Total Unusual Items Excluding Goodwill</t>
        </is>
      </c>
      <c r="B6" s="3" t="n">
        <v>45931000</v>
      </c>
      <c r="C6" s="3" t="n">
        <v>-52560000</v>
      </c>
      <c r="D6" s="3" t="n">
        <v>62863000</v>
      </c>
      <c r="E6" s="3" t="n">
        <v>-1837164000</v>
      </c>
      <c r="F6" s="3" t="n"/>
    </row>
    <row r="7">
      <c r="A7" t="inlineStr">
        <is>
          <t>Net Income From Continuing Operation Net Minority Interest</t>
        </is>
      </c>
      <c r="B7" s="3" t="n">
        <v>634418000</v>
      </c>
      <c r="C7" s="3" t="n">
        <v>57226000</v>
      </c>
      <c r="D7" s="3" t="n">
        <v>198404000</v>
      </c>
      <c r="E7" s="3" t="n">
        <v>1871636000</v>
      </c>
      <c r="F7" s="3" t="n"/>
    </row>
    <row r="8">
      <c r="A8" t="inlineStr">
        <is>
          <t>Reconciled Depreciation</t>
        </is>
      </c>
      <c r="B8" s="3" t="n">
        <v>753567000</v>
      </c>
      <c r="C8" s="3" t="n">
        <v>765827000</v>
      </c>
      <c r="D8" s="3" t="n">
        <v>750093000</v>
      </c>
      <c r="E8" s="3" t="n">
        <v>719790000</v>
      </c>
      <c r="F8" s="3" t="n"/>
    </row>
    <row r="9">
      <c r="A9" t="inlineStr">
        <is>
          <t>Reconciled Cost Of Revenue</t>
        </is>
      </c>
      <c r="B9" s="3" t="n">
        <v>3905360000</v>
      </c>
      <c r="C9" s="3" t="n">
        <v>3791362000</v>
      </c>
      <c r="D9" s="3" t="n">
        <v>3666503000</v>
      </c>
      <c r="E9" s="3" t="n">
        <v>3707544000</v>
      </c>
      <c r="F9" s="3" t="n"/>
    </row>
    <row r="10">
      <c r="A10" t="inlineStr">
        <is>
          <t>EBITDA</t>
        </is>
      </c>
      <c r="B10" s="3" t="n">
        <v>1727683000</v>
      </c>
      <c r="C10" s="3" t="n">
        <v>859546000</v>
      </c>
      <c r="D10" s="3" t="n">
        <v>1228918000</v>
      </c>
      <c r="E10" s="3" t="n">
        <v>3285263000</v>
      </c>
      <c r="F10" s="3" t="n"/>
    </row>
    <row r="11">
      <c r="A11" t="inlineStr">
        <is>
          <t>EBIT</t>
        </is>
      </c>
      <c r="B11" s="3" t="n">
        <v>974116000</v>
      </c>
      <c r="C11" s="3" t="n">
        <v>93719000</v>
      </c>
      <c r="D11" s="3" t="n">
        <v>478825000</v>
      </c>
      <c r="E11" s="3" t="n">
        <v>2565473000</v>
      </c>
      <c r="F11" s="3" t="n"/>
    </row>
    <row r="12">
      <c r="A12" t="inlineStr">
        <is>
          <t>Net Interest Income</t>
        </is>
      </c>
      <c r="B12" s="3" t="n">
        <v>-83682000</v>
      </c>
      <c r="C12" s="3" t="n">
        <v>-118207000</v>
      </c>
      <c r="D12" s="3" t="n">
        <v>-117870000</v>
      </c>
      <c r="E12" s="3" t="n">
        <v>-125372000</v>
      </c>
      <c r="F12" s="3" t="n"/>
    </row>
    <row r="13">
      <c r="A13" t="inlineStr">
        <is>
          <t>Interest Expense</t>
        </is>
      </c>
      <c r="B13" s="3" t="n">
        <v>83682000</v>
      </c>
      <c r="C13" s="3" t="n">
        <v>118207000</v>
      </c>
      <c r="D13" s="3" t="n">
        <v>117870000</v>
      </c>
      <c r="E13" s="3" t="n">
        <v>125372000</v>
      </c>
      <c r="F13" s="3" t="n"/>
    </row>
    <row r="14">
      <c r="A14" t="inlineStr">
        <is>
          <t>Normalized Income</t>
        </is>
      </c>
      <c r="B14" s="3" t="n">
        <v>599602302</v>
      </c>
      <c r="C14" s="3" t="n">
        <v>98748400</v>
      </c>
      <c r="D14" s="3" t="n">
        <v>146542025</v>
      </c>
      <c r="E14" s="3" t="n">
        <v>3376273316</v>
      </c>
      <c r="F14" s="3" t="n"/>
    </row>
    <row r="15">
      <c r="A15" t="inlineStr">
        <is>
          <t>Net Income From Continuing And Discontinued Operation</t>
        </is>
      </c>
      <c r="B15" s="3" t="n">
        <v>634418000</v>
      </c>
      <c r="C15" s="3" t="n">
        <v>57226000</v>
      </c>
      <c r="D15" s="3" t="n">
        <v>198404000</v>
      </c>
      <c r="E15" s="3" t="n">
        <v>1871636000</v>
      </c>
      <c r="F15" s="3" t="n"/>
    </row>
    <row r="16">
      <c r="A16" t="inlineStr">
        <is>
          <t>Total Expenses</t>
        </is>
      </c>
      <c r="B16" s="3" t="n">
        <v>4183909000</v>
      </c>
      <c r="C16" s="3" t="n">
        <v>4066203000</v>
      </c>
      <c r="D16" s="3" t="n">
        <v>3945590000</v>
      </c>
      <c r="E16" s="3" t="n">
        <v>3969432000</v>
      </c>
      <c r="F16" s="3" t="n"/>
    </row>
    <row r="17">
      <c r="A17" t="inlineStr">
        <is>
          <t>Total Operating Income As Reported</t>
        </is>
      </c>
      <c r="B17" s="3" t="n">
        <v>883646000</v>
      </c>
      <c r="C17" s="3" t="n">
        <v>460000</v>
      </c>
      <c r="D17" s="3" t="n">
        <v>396247000</v>
      </c>
      <c r="E17" s="3" t="n">
        <v>2539342000</v>
      </c>
      <c r="F17" s="3" t="n"/>
    </row>
    <row r="18">
      <c r="A18" t="inlineStr">
        <is>
          <t>Diluted Average Shares</t>
        </is>
      </c>
      <c r="B18" s="3" t="n">
        <v>312361000</v>
      </c>
      <c r="C18" s="3" t="n">
        <v>313414000</v>
      </c>
      <c r="D18" s="3" t="n">
        <v>311597000</v>
      </c>
      <c r="E18" s="3" t="n">
        <v>329223000</v>
      </c>
      <c r="F18" s="3" t="n"/>
    </row>
    <row r="19">
      <c r="A19" t="inlineStr">
        <is>
          <t>Basic Average Shares</t>
        </is>
      </c>
      <c r="B19" s="3" t="n">
        <v>309719000</v>
      </c>
      <c r="C19" s="3" t="n">
        <v>309489000</v>
      </c>
      <c r="D19" s="3" t="n">
        <v>299793000</v>
      </c>
      <c r="E19" s="3" t="n">
        <v>307202000</v>
      </c>
      <c r="F19" s="3" t="n"/>
    </row>
    <row r="20">
      <c r="A20" t="inlineStr">
        <is>
          <t>Diluted EPS</t>
        </is>
      </c>
      <c r="B20" s="3" t="n">
        <v>2.03</v>
      </c>
      <c r="C20" s="3" t="n">
        <v>0.18</v>
      </c>
      <c r="D20" s="3" t="n">
        <v>0.64</v>
      </c>
      <c r="E20" s="3" t="n">
        <v>5.77</v>
      </c>
      <c r="F20" s="3" t="n"/>
    </row>
    <row r="21">
      <c r="A21" t="inlineStr">
        <is>
          <t>Basic EPS</t>
        </is>
      </c>
      <c r="B21" s="3" t="n">
        <v>2.05</v>
      </c>
      <c r="C21" s="3" t="n">
        <v>0.18</v>
      </c>
      <c r="D21" s="3" t="n">
        <v>0.66</v>
      </c>
      <c r="E21" s="3" t="n">
        <v>6.18</v>
      </c>
      <c r="F21" s="3" t="n"/>
    </row>
    <row r="22">
      <c r="A22" t="inlineStr">
        <is>
          <t>Diluted NI Availto Com Stockholders</t>
        </is>
      </c>
      <c r="B22" s="3" t="n">
        <v>634418000</v>
      </c>
      <c r="C22" s="3" t="n">
        <v>57426000</v>
      </c>
      <c r="D22" s="3" t="n">
        <v>199934000</v>
      </c>
      <c r="E22" s="3" t="n">
        <v>1874281000</v>
      </c>
      <c r="F22" s="3" t="n"/>
    </row>
    <row r="23">
      <c r="A23" t="inlineStr">
        <is>
          <t>Net Income Common Stockholders</t>
        </is>
      </c>
      <c r="B23" s="3" t="n">
        <v>634418000</v>
      </c>
      <c r="C23" s="3" t="n">
        <v>57426000</v>
      </c>
      <c r="D23" s="3" t="n">
        <v>199934000</v>
      </c>
      <c r="E23" s="3" t="n">
        <v>1874281000</v>
      </c>
      <c r="F23" s="3" t="n"/>
    </row>
    <row r="24">
      <c r="A24" t="inlineStr">
        <is>
          <t>Otherunder Preferred Stock Dividend</t>
        </is>
      </c>
      <c r="B24" s="3" t="n">
        <v>0</v>
      </c>
      <c r="C24" s="3" t="n">
        <v>-200000</v>
      </c>
      <c r="D24" s="3" t="n">
        <v>-1530000</v>
      </c>
      <c r="E24" s="3" t="n">
        <v>-2645000</v>
      </c>
      <c r="F24" s="3" t="n"/>
    </row>
    <row r="25">
      <c r="A25" t="inlineStr">
        <is>
          <t>Net Income</t>
        </is>
      </c>
      <c r="B25" s="3" t="n">
        <v>634418000</v>
      </c>
      <c r="C25" s="3" t="n">
        <v>57226000</v>
      </c>
      <c r="D25" s="3" t="n">
        <v>198404000</v>
      </c>
      <c r="E25" s="3" t="n">
        <v>1871636000</v>
      </c>
      <c r="F25" s="3" t="n"/>
    </row>
    <row r="26">
      <c r="A26" t="inlineStr">
        <is>
          <t>Minority Interests</t>
        </is>
      </c>
      <c r="B26" s="3" t="n">
        <v>-40149000</v>
      </c>
      <c r="C26" s="3" t="n">
        <v>-36471000</v>
      </c>
      <c r="D26" s="3" t="n">
        <v>-98925000</v>
      </c>
      <c r="E26" s="3" t="n">
        <v>-127201000</v>
      </c>
      <c r="F26" s="3" t="n"/>
    </row>
    <row r="27">
      <c r="A27" t="inlineStr">
        <is>
          <t>Net Income Including Noncontrolling Interests</t>
        </is>
      </c>
      <c r="B27" s="3" t="n">
        <v>674567000</v>
      </c>
      <c r="C27" s="3" t="n">
        <v>93697000</v>
      </c>
      <c r="D27" s="3" t="n">
        <v>297329000</v>
      </c>
      <c r="E27" s="3" t="n">
        <v>1998837000</v>
      </c>
      <c r="F27" s="3" t="n"/>
    </row>
    <row r="28">
      <c r="A28" t="inlineStr">
        <is>
          <t>Net Income Continuous Operations</t>
        </is>
      </c>
      <c r="B28" s="3" t="n">
        <v>674567000</v>
      </c>
      <c r="C28" s="3" t="n">
        <v>93697000</v>
      </c>
      <c r="D28" s="3" t="n">
        <v>297329000</v>
      </c>
      <c r="E28" s="3" t="n">
        <v>1998837000</v>
      </c>
      <c r="F28" s="3" t="n"/>
    </row>
    <row r="29">
      <c r="A29" t="inlineStr">
        <is>
          <t>Tax Provision</t>
        </is>
      </c>
      <c r="B29" s="3" t="n">
        <v>215867000</v>
      </c>
      <c r="C29" s="3" t="n">
        <v>-118185000</v>
      </c>
      <c r="D29" s="3" t="n">
        <v>63626000</v>
      </c>
      <c r="E29" s="3" t="n">
        <v>441264000</v>
      </c>
      <c r="F29" s="3" t="n"/>
    </row>
    <row r="30">
      <c r="A30" t="inlineStr">
        <is>
          <t>Pretax Income</t>
        </is>
      </c>
      <c r="B30" s="3" t="n">
        <v>890434000</v>
      </c>
      <c r="C30" s="3" t="n">
        <v>-24488000</v>
      </c>
      <c r="D30" s="3" t="n">
        <v>360955000</v>
      </c>
      <c r="E30" s="3" t="n">
        <v>2440101000</v>
      </c>
      <c r="F30" s="3" t="n"/>
    </row>
    <row r="31">
      <c r="A31" t="inlineStr">
        <is>
          <t>Other Income Expense</t>
        </is>
      </c>
      <c r="B31" s="3" t="n">
        <v>144415000</v>
      </c>
      <c r="C31" s="3" t="n">
        <v>41227000</v>
      </c>
      <c r="D31" s="3" t="n">
        <v>145441000</v>
      </c>
      <c r="E31" s="3" t="n">
        <v>-1765006000</v>
      </c>
      <c r="F31" s="3" t="n"/>
    </row>
    <row r="32">
      <c r="A32" t="inlineStr">
        <is>
          <t>Other Non Operating Income Expenses</t>
        </is>
      </c>
      <c r="B32" s="3" t="n"/>
      <c r="C32" s="3" t="n"/>
      <c r="D32" s="3" t="n">
        <v>-374000</v>
      </c>
      <c r="E32" s="3" t="n">
        <v>-169000</v>
      </c>
      <c r="F32" s="3" t="n">
        <v>-50777000</v>
      </c>
    </row>
    <row r="33">
      <c r="A33" t="inlineStr">
        <is>
          <t>Special Income Charges</t>
        </is>
      </c>
      <c r="B33" s="3" t="n">
        <v>-65118000</v>
      </c>
      <c r="C33" s="3" t="n">
        <v>-53291000</v>
      </c>
      <c r="D33" s="3" t="n">
        <v>-103461000</v>
      </c>
      <c r="E33" s="3" t="n">
        <v>-221328000</v>
      </c>
      <c r="F33" s="3" t="n"/>
    </row>
    <row r="34">
      <c r="A34" t="inlineStr">
        <is>
          <t>Gain On Sale Of Ppe</t>
        </is>
      </c>
      <c r="B34" s="3" t="n">
        <v>266000</v>
      </c>
      <c r="C34" s="3" t="n">
        <v>-862000</v>
      </c>
      <c r="D34" s="3" t="n">
        <v>447000</v>
      </c>
      <c r="E34" s="3" t="n">
        <v>-471000</v>
      </c>
      <c r="F34" s="3" t="n"/>
    </row>
    <row r="35">
      <c r="A35" t="inlineStr">
        <is>
          <t>Gain On Sale Of Business</t>
        </is>
      </c>
      <c r="B35" s="3" t="n"/>
      <c r="C35" s="3" t="n"/>
      <c r="D35" s="3" t="n"/>
      <c r="E35" s="3" t="n"/>
      <c r="F35" s="3" t="n">
        <v>0</v>
      </c>
    </row>
    <row r="36">
      <c r="A36" t="inlineStr">
        <is>
          <t>Other Special Charges</t>
        </is>
      </c>
      <c r="B36" s="3" t="n">
        <v>31640000</v>
      </c>
      <c r="C36" s="3" t="n">
        <v>4996000</v>
      </c>
      <c r="D36" s="3" t="n">
        <v>52606000</v>
      </c>
      <c r="E36" s="3" t="n">
        <v>71126000</v>
      </c>
      <c r="F36" s="3" t="n"/>
    </row>
    <row r="37">
      <c r="A37" t="inlineStr">
        <is>
          <t>Write Off</t>
        </is>
      </c>
      <c r="B37" s="3" t="n"/>
      <c r="C37" s="3" t="n"/>
      <c r="D37" s="3" t="n"/>
      <c r="E37" s="3" t="n">
        <v>0</v>
      </c>
      <c r="F37" s="3" t="n">
        <v>0</v>
      </c>
    </row>
    <row r="38">
      <c r="A38" t="inlineStr">
        <is>
          <t>Impairment Of Capital Assets</t>
        </is>
      </c>
      <c r="B38" s="3" t="n">
        <v>29358000</v>
      </c>
      <c r="C38" s="3" t="n">
        <v>47433000</v>
      </c>
      <c r="D38" s="3" t="n">
        <v>51302000</v>
      </c>
      <c r="E38" s="3" t="n">
        <v>149731000</v>
      </c>
      <c r="F38" s="3" t="n"/>
    </row>
    <row r="39">
      <c r="A39" t="inlineStr">
        <is>
          <t>Restructuring And Mergern Acquisition</t>
        </is>
      </c>
      <c r="B39" s="3" t="n">
        <v>4386000</v>
      </c>
      <c r="C39" s="3" t="n">
        <v>0</v>
      </c>
      <c r="D39" s="3" t="n">
        <v>0</v>
      </c>
      <c r="E39" s="3" t="n">
        <v>0</v>
      </c>
      <c r="F39" s="3" t="n"/>
    </row>
    <row r="40">
      <c r="A40" t="inlineStr">
        <is>
          <t>Earnings From Equity Interest</t>
        </is>
      </c>
      <c r="B40" s="3" t="n">
        <v>98484000</v>
      </c>
      <c r="C40" s="3" t="n">
        <v>93787000</v>
      </c>
      <c r="D40" s="3" t="n">
        <v>82952000</v>
      </c>
      <c r="E40" s="3" t="n">
        <v>72327000</v>
      </c>
      <c r="F40" s="3" t="n"/>
    </row>
    <row r="41">
      <c r="A41" t="inlineStr">
        <is>
          <t>Gain On Sale Of Security</t>
        </is>
      </c>
      <c r="B41" s="3" t="n">
        <v>111049000</v>
      </c>
      <c r="C41" s="3" t="n">
        <v>731000</v>
      </c>
      <c r="D41" s="3" t="n">
        <v>166324000</v>
      </c>
      <c r="E41" s="3" t="n">
        <v>-1615836000</v>
      </c>
      <c r="F41" s="3" t="n"/>
    </row>
    <row r="42">
      <c r="A42" t="inlineStr">
        <is>
          <t>Net Non Operating Interest Income Expense</t>
        </is>
      </c>
      <c r="B42" s="3" t="n">
        <v>-83682000</v>
      </c>
      <c r="C42" s="3" t="n">
        <v>-118207000</v>
      </c>
      <c r="D42" s="3" t="n">
        <v>-117870000</v>
      </c>
      <c r="E42" s="3" t="n">
        <v>-125372000</v>
      </c>
      <c r="F42" s="3" t="n"/>
    </row>
    <row r="43">
      <c r="A43" t="inlineStr">
        <is>
          <t>Interest Expense Non Operating</t>
        </is>
      </c>
      <c r="B43" s="3" t="n">
        <v>83682000</v>
      </c>
      <c r="C43" s="3" t="n">
        <v>118207000</v>
      </c>
      <c r="D43" s="3" t="n">
        <v>117870000</v>
      </c>
      <c r="E43" s="3" t="n">
        <v>125372000</v>
      </c>
      <c r="F43" s="3" t="n"/>
    </row>
    <row r="44">
      <c r="A44" t="inlineStr">
        <is>
          <t>Operating Income</t>
        </is>
      </c>
      <c r="B44" s="3" t="n">
        <v>829701000</v>
      </c>
      <c r="C44" s="3" t="n">
        <v>52492000</v>
      </c>
      <c r="D44" s="3" t="n">
        <v>333384000</v>
      </c>
      <c r="E44" s="3" t="n">
        <v>4330479000</v>
      </c>
      <c r="F44" s="3" t="n"/>
    </row>
    <row r="45">
      <c r="A45" t="inlineStr">
        <is>
          <t>Operating Expense</t>
        </is>
      </c>
      <c r="B45" s="3" t="n">
        <v>278549000</v>
      </c>
      <c r="C45" s="3" t="n">
        <v>274841000</v>
      </c>
      <c r="D45" s="3" t="n">
        <v>279087000</v>
      </c>
      <c r="E45" s="3" t="n">
        <v>261888000</v>
      </c>
      <c r="F45" s="3" t="n"/>
    </row>
    <row r="46">
      <c r="A46" t="inlineStr">
        <is>
          <t>Other Operating Expenses</t>
        </is>
      </c>
      <c r="B46" s="3" t="n">
        <v>-144183000</v>
      </c>
      <c r="C46" s="3" t="n">
        <v>-199403000</v>
      </c>
      <c r="D46" s="3" t="n">
        <v>-230394000</v>
      </c>
      <c r="E46" s="3" t="n">
        <v>-442325000</v>
      </c>
      <c r="F46" s="3" t="n"/>
    </row>
    <row r="47">
      <c r="A47" t="inlineStr">
        <is>
          <t>Selling General And Administration</t>
        </is>
      </c>
      <c r="B47" s="3" t="n">
        <v>422732000</v>
      </c>
      <c r="C47" s="3" t="n">
        <v>474244000</v>
      </c>
      <c r="D47" s="3" t="n">
        <v>509481000</v>
      </c>
      <c r="E47" s="3" t="n">
        <v>704213000</v>
      </c>
      <c r="F47" s="3" t="n"/>
    </row>
    <row r="48">
      <c r="A48" t="inlineStr">
        <is>
          <t>Selling And Marketing Expense</t>
        </is>
      </c>
      <c r="B48" s="3" t="n">
        <v>190206000</v>
      </c>
      <c r="C48" s="3" t="n">
        <v>244906000</v>
      </c>
      <c r="D48" s="3" t="n">
        <v>284965000</v>
      </c>
      <c r="E48" s="3" t="n">
        <v>531304000</v>
      </c>
      <c r="F48" s="3" t="n"/>
    </row>
    <row r="49">
      <c r="A49" t="inlineStr">
        <is>
          <t>General And Administrative Expense</t>
        </is>
      </c>
      <c r="B49" s="3" t="n">
        <v>232526000</v>
      </c>
      <c r="C49" s="3" t="n">
        <v>229338000</v>
      </c>
      <c r="D49" s="3" t="n">
        <v>224516000</v>
      </c>
      <c r="E49" s="3" t="n">
        <v>172909000</v>
      </c>
      <c r="F49" s="3" t="n"/>
    </row>
    <row r="50">
      <c r="A50" t="inlineStr">
        <is>
          <t>Other Gand A</t>
        </is>
      </c>
      <c r="B50" s="3" t="n">
        <v>232526000</v>
      </c>
      <c r="C50" s="3" t="n">
        <v>229338000</v>
      </c>
      <c r="D50" s="3" t="n">
        <v>224516000</v>
      </c>
      <c r="E50" s="3" t="n">
        <v>172909000</v>
      </c>
      <c r="F50" s="3" t="n"/>
    </row>
    <row r="51">
      <c r="A51" t="inlineStr">
        <is>
          <t>Gross Profit</t>
        </is>
      </c>
      <c r="B51" s="3" t="n">
        <v>1108250000</v>
      </c>
      <c r="C51" s="3" t="n">
        <v>327333000</v>
      </c>
      <c r="D51" s="3" t="n">
        <v>612471000</v>
      </c>
      <c r="E51" s="3" t="n">
        <v>4592367000</v>
      </c>
      <c r="F51" s="3" t="n"/>
    </row>
    <row r="52">
      <c r="A52" t="inlineStr">
        <is>
          <t>Cost Of Revenue</t>
        </is>
      </c>
      <c r="B52" s="3" t="n">
        <v>3905360000</v>
      </c>
      <c r="C52" s="3" t="n">
        <v>3791362000</v>
      </c>
      <c r="D52" s="3" t="n">
        <v>3666503000</v>
      </c>
      <c r="E52" s="3" t="n">
        <v>3707544000</v>
      </c>
      <c r="F52" s="3" t="n"/>
    </row>
    <row r="53">
      <c r="A53" t="inlineStr">
        <is>
          <t>Total Revenue</t>
        </is>
      </c>
      <c r="B53" s="3" t="n">
        <v>5013610000</v>
      </c>
      <c r="C53" s="3" t="n">
        <v>4118695000</v>
      </c>
      <c r="D53" s="3" t="n">
        <v>4278974000</v>
      </c>
      <c r="E53" s="3" t="n">
        <v>8299911000</v>
      </c>
      <c r="F53" s="3" t="n"/>
    </row>
    <row r="54">
      <c r="A54" t="inlineStr">
        <is>
          <t>Operating Revenue</t>
        </is>
      </c>
      <c r="B54" s="3" t="n">
        <v>5010239000</v>
      </c>
      <c r="C54" s="3" t="n">
        <v>4115299000</v>
      </c>
      <c r="D54" s="3" t="n">
        <v>4276445000</v>
      </c>
      <c r="E54" s="3" t="n">
        <v>8294749000</v>
      </c>
      <c r="F54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</row>
    <row r="2">
      <c r="A2" t="inlineStr">
        <is>
          <t>Tax Effect Of Unusual Items</t>
        </is>
      </c>
      <c r="B2" s="3" t="n">
        <v>8211840</v>
      </c>
      <c r="C2" s="3" t="n">
        <v>19923481.33326</v>
      </c>
      <c r="D2" s="3" t="n">
        <v>4852820</v>
      </c>
      <c r="E2" s="3" t="n">
        <v>7093020</v>
      </c>
      <c r="F2" s="3" t="n">
        <v>-15554292.975397</v>
      </c>
    </row>
    <row r="3">
      <c r="A3" t="inlineStr">
        <is>
          <t>Tax Rate For Calcs</t>
        </is>
      </c>
      <c r="B3" s="3" t="n">
        <v>0.21</v>
      </c>
      <c r="C3" s="3" t="n">
        <v>0.256343</v>
      </c>
      <c r="D3" s="3" t="n">
        <v>0.34</v>
      </c>
      <c r="E3" s="3" t="n">
        <v>0.22</v>
      </c>
      <c r="F3" s="3" t="n">
        <v>0.198637</v>
      </c>
    </row>
    <row r="4">
      <c r="A4" t="inlineStr">
        <is>
          <t>Normalized EBITDA</t>
        </is>
      </c>
      <c r="B4" s="3" t="n">
        <v>898882000</v>
      </c>
      <c r="C4" s="3" t="n">
        <v>405292000</v>
      </c>
      <c r="D4" s="3" t="n">
        <v>322623000</v>
      </c>
      <c r="E4" s="3" t="n">
        <v>391007000</v>
      </c>
      <c r="F4" s="3" t="n">
        <v>562830000</v>
      </c>
    </row>
    <row r="5">
      <c r="A5" t="inlineStr">
        <is>
          <t>Total Unusual Items</t>
        </is>
      </c>
      <c r="B5" s="3" t="n">
        <v>39104000</v>
      </c>
      <c r="C5" s="3" t="n">
        <v>77722000</v>
      </c>
      <c r="D5" s="3" t="n">
        <v>14273000</v>
      </c>
      <c r="E5" s="3" t="n">
        <v>32241000</v>
      </c>
      <c r="F5" s="3" t="n">
        <v>-78305000</v>
      </c>
    </row>
    <row r="6">
      <c r="A6" t="inlineStr">
        <is>
          <t>Total Unusual Items Excluding Goodwill</t>
        </is>
      </c>
      <c r="B6" s="3" t="n">
        <v>39104000</v>
      </c>
      <c r="C6" s="3" t="n">
        <v>77722000</v>
      </c>
      <c r="D6" s="3" t="n">
        <v>14273000</v>
      </c>
      <c r="E6" s="3" t="n">
        <v>32241000</v>
      </c>
      <c r="F6" s="3" t="n">
        <v>-78305000</v>
      </c>
    </row>
    <row r="7">
      <c r="A7" t="inlineStr">
        <is>
          <t>Net Income From Continuing Operation Net Minority Interest</t>
        </is>
      </c>
      <c r="B7" s="3" t="n">
        <v>535216000</v>
      </c>
      <c r="C7" s="3" t="n">
        <v>193683000</v>
      </c>
      <c r="D7" s="3" t="n">
        <v>76179000</v>
      </c>
      <c r="E7" s="3" t="n">
        <v>156585000</v>
      </c>
      <c r="F7" s="3" t="n">
        <v>207971000</v>
      </c>
    </row>
    <row r="8">
      <c r="A8" t="inlineStr">
        <is>
          <t>Reconciled Depreciation</t>
        </is>
      </c>
      <c r="B8" s="3" t="n">
        <v>207302000</v>
      </c>
      <c r="C8" s="3" t="n">
        <v>188021000</v>
      </c>
      <c r="D8" s="3" t="n">
        <v>189724000</v>
      </c>
      <c r="E8" s="3" t="n">
        <v>188531000</v>
      </c>
      <c r="F8" s="3" t="n">
        <v>187291000</v>
      </c>
    </row>
    <row r="9">
      <c r="A9" t="inlineStr">
        <is>
          <t>Reconciled Cost Of Revenue</t>
        </is>
      </c>
      <c r="B9" s="3" t="n">
        <v>1120871000</v>
      </c>
      <c r="C9" s="3" t="n">
        <v>1012241000</v>
      </c>
      <c r="D9" s="3" t="n">
        <v>961080000</v>
      </c>
      <c r="E9" s="3" t="n">
        <v>961385000</v>
      </c>
      <c r="F9" s="3" t="n">
        <v>970654000</v>
      </c>
    </row>
    <row r="10">
      <c r="A10" t="inlineStr">
        <is>
          <t>EBITDA</t>
        </is>
      </c>
      <c r="B10" s="3" t="n">
        <v>937986000</v>
      </c>
      <c r="C10" s="3" t="n">
        <v>483014000</v>
      </c>
      <c r="D10" s="3" t="n">
        <v>336896000</v>
      </c>
      <c r="E10" s="3" t="n">
        <v>423248000</v>
      </c>
      <c r="F10" s="3" t="n">
        <v>484525000</v>
      </c>
    </row>
    <row r="11">
      <c r="A11" t="inlineStr">
        <is>
          <t>EBIT</t>
        </is>
      </c>
      <c r="B11" s="3" t="n">
        <v>730684000</v>
      </c>
      <c r="C11" s="3" t="n">
        <v>294993000</v>
      </c>
      <c r="D11" s="3" t="n">
        <v>147172000</v>
      </c>
      <c r="E11" s="3" t="n">
        <v>234717000</v>
      </c>
      <c r="F11" s="3" t="n">
        <v>297234000</v>
      </c>
    </row>
    <row r="12">
      <c r="A12" t="inlineStr">
        <is>
          <t>Net Interest Income</t>
        </is>
      </c>
      <c r="B12" s="3" t="n">
        <v>-36963000</v>
      </c>
      <c r="C12" s="3" t="n">
        <v>-22128000</v>
      </c>
      <c r="D12" s="3" t="n">
        <v>-18232000</v>
      </c>
      <c r="E12" s="3" t="n">
        <v>-19954000</v>
      </c>
      <c r="F12" s="3" t="n">
        <v>-23368000</v>
      </c>
    </row>
    <row r="13">
      <c r="A13" t="inlineStr">
        <is>
          <t>Interest Expense</t>
        </is>
      </c>
      <c r="B13" s="3" t="n">
        <v>36963000</v>
      </c>
      <c r="C13" s="3" t="n">
        <v>22128000</v>
      </c>
      <c r="D13" s="3" t="n">
        <v>18232000</v>
      </c>
      <c r="E13" s="3" t="n">
        <v>19954000</v>
      </c>
      <c r="F13" s="3" t="n">
        <v>23368000</v>
      </c>
    </row>
    <row r="14">
      <c r="A14" t="inlineStr">
        <is>
          <t>Normalized Income</t>
        </is>
      </c>
      <c r="B14" s="3" t="n">
        <v>504323840</v>
      </c>
      <c r="C14" s="3" t="n">
        <v>135884481.33326</v>
      </c>
      <c r="D14" s="3" t="n">
        <v>66758820</v>
      </c>
      <c r="E14" s="3" t="n">
        <v>131437020</v>
      </c>
      <c r="F14" s="3" t="n">
        <v>270721707.024603</v>
      </c>
    </row>
    <row r="15">
      <c r="A15" t="inlineStr">
        <is>
          <t>Net Income From Continuing And Discontinued Operation</t>
        </is>
      </c>
      <c r="B15" s="3" t="n">
        <v>535216000</v>
      </c>
      <c r="C15" s="3" t="n">
        <v>193683000</v>
      </c>
      <c r="D15" s="3" t="n">
        <v>76179000</v>
      </c>
      <c r="E15" s="3" t="n">
        <v>156585000</v>
      </c>
      <c r="F15" s="3" t="n">
        <v>207971000</v>
      </c>
    </row>
    <row r="16">
      <c r="A16" t="inlineStr">
        <is>
          <t>Total Expenses</t>
        </is>
      </c>
      <c r="B16" s="3" t="n">
        <v>1201185000</v>
      </c>
      <c r="C16" s="3" t="n">
        <v>1076430000</v>
      </c>
      <c r="D16" s="3" t="n">
        <v>1029637000</v>
      </c>
      <c r="E16" s="3" t="n">
        <v>1032130000</v>
      </c>
      <c r="F16" s="3" t="n">
        <v>1045712000</v>
      </c>
    </row>
    <row r="17">
      <c r="A17" t="inlineStr">
        <is>
          <t>Total Operating Income As Reported</t>
        </is>
      </c>
      <c r="B17" s="3" t="n">
        <v>729452000</v>
      </c>
      <c r="C17" s="3" t="n">
        <v>289174000</v>
      </c>
      <c r="D17" s="3" t="n">
        <v>118117000</v>
      </c>
      <c r="E17" s="3" t="n">
        <v>204883000</v>
      </c>
      <c r="F17" s="3" t="n">
        <v>271472000</v>
      </c>
    </row>
    <row r="18">
      <c r="A18" t="inlineStr">
        <is>
          <t>Diluted Average Shares</t>
        </is>
      </c>
      <c r="B18" s="3" t="n">
        <v>311426000</v>
      </c>
      <c r="C18" s="3" t="n">
        <v>311077000</v>
      </c>
      <c r="D18" s="3" t="n">
        <v>311034000</v>
      </c>
      <c r="E18" s="3" t="n">
        <v>313184000</v>
      </c>
      <c r="F18" s="3" t="n">
        <v>314798000</v>
      </c>
    </row>
    <row r="19">
      <c r="A19" t="inlineStr">
        <is>
          <t>Basic Average Shares</t>
        </is>
      </c>
      <c r="B19" s="3" t="n">
        <v>308933000</v>
      </c>
      <c r="C19" s="3" t="n">
        <v>308486000</v>
      </c>
      <c r="D19" s="3" t="n">
        <v>308763000</v>
      </c>
      <c r="E19" s="3" t="n">
        <v>310323000</v>
      </c>
      <c r="F19" s="3" t="n">
        <v>311328000</v>
      </c>
    </row>
    <row r="20">
      <c r="A20" t="inlineStr">
        <is>
          <t>Diluted EPS</t>
        </is>
      </c>
      <c r="B20" s="3" t="n">
        <v>1.72</v>
      </c>
      <c r="C20" s="3" t="n">
        <v>0.62</v>
      </c>
      <c r="D20" s="3" t="n">
        <v>0.24</v>
      </c>
      <c r="E20" s="3" t="n">
        <v>0.5</v>
      </c>
      <c r="F20" s="3" t="n">
        <v>0.66</v>
      </c>
    </row>
    <row r="21">
      <c r="A21" t="inlineStr">
        <is>
          <t>Basic EPS</t>
        </is>
      </c>
      <c r="B21" s="3" t="n">
        <v>1.73</v>
      </c>
      <c r="C21" s="3" t="n">
        <v>0.63</v>
      </c>
      <c r="D21" s="3" t="n">
        <v>0.25</v>
      </c>
      <c r="E21" s="3" t="n">
        <v>0.5</v>
      </c>
      <c r="F21" s="3" t="n">
        <v>0.67</v>
      </c>
    </row>
    <row r="22">
      <c r="A22" t="inlineStr">
        <is>
          <t>Diluted NI Availto Com Stockholders</t>
        </is>
      </c>
      <c r="B22" s="3" t="n">
        <v>535216000</v>
      </c>
      <c r="C22" s="3" t="n">
        <v>193683000</v>
      </c>
      <c r="D22" s="3" t="n">
        <v>76179000</v>
      </c>
      <c r="E22" s="3" t="n">
        <v>156585000</v>
      </c>
      <c r="F22" s="3" t="n">
        <v>207971000</v>
      </c>
    </row>
    <row r="23">
      <c r="A23" t="inlineStr">
        <is>
          <t>Net Income Common Stockholders</t>
        </is>
      </c>
      <c r="B23" s="3" t="n">
        <v>535216000</v>
      </c>
      <c r="C23" s="3" t="n">
        <v>193683000</v>
      </c>
      <c r="D23" s="3" t="n">
        <v>76179000</v>
      </c>
      <c r="E23" s="3" t="n">
        <v>156585000</v>
      </c>
      <c r="F23" s="3" t="n">
        <v>207971000</v>
      </c>
    </row>
    <row r="24">
      <c r="A24" t="inlineStr">
        <is>
          <t>Net Income</t>
        </is>
      </c>
      <c r="B24" s="3" t="n">
        <v>535216000</v>
      </c>
      <c r="C24" s="3" t="n">
        <v>193683000</v>
      </c>
      <c r="D24" s="3" t="n">
        <v>76179000</v>
      </c>
      <c r="E24" s="3" t="n">
        <v>156585000</v>
      </c>
      <c r="F24" s="3" t="n">
        <v>207971000</v>
      </c>
    </row>
    <row r="25">
      <c r="A25" t="inlineStr">
        <is>
          <t>Minority Interests</t>
        </is>
      </c>
      <c r="B25" s="3" t="n">
        <v>-12997000</v>
      </c>
      <c r="C25" s="3" t="n">
        <v>-9235000</v>
      </c>
      <c r="D25" s="3" t="n">
        <v>-9431000</v>
      </c>
      <c r="E25" s="3" t="n">
        <v>-9988000</v>
      </c>
      <c r="F25" s="3" t="n">
        <v>-11495000</v>
      </c>
    </row>
    <row r="26">
      <c r="A26" t="inlineStr">
        <is>
          <t>Net Income Including Noncontrolling Interests</t>
        </is>
      </c>
      <c r="B26" s="3" t="n">
        <v>548213000</v>
      </c>
      <c r="C26" s="3" t="n">
        <v>202918000</v>
      </c>
      <c r="D26" s="3" t="n">
        <v>85610000</v>
      </c>
      <c r="E26" s="3" t="n">
        <v>166573000</v>
      </c>
      <c r="F26" s="3" t="n">
        <v>219466000</v>
      </c>
    </row>
    <row r="27">
      <c r="A27" t="inlineStr">
        <is>
          <t>Net Income Continuous Operations</t>
        </is>
      </c>
      <c r="B27" s="3" t="n">
        <v>548213000</v>
      </c>
      <c r="C27" s="3" t="n">
        <v>202918000</v>
      </c>
      <c r="D27" s="3" t="n">
        <v>85610000</v>
      </c>
      <c r="E27" s="3" t="n">
        <v>166573000</v>
      </c>
      <c r="F27" s="3" t="n">
        <v>219466000</v>
      </c>
    </row>
    <row r="28">
      <c r="A28" t="inlineStr">
        <is>
          <t>Tax Provision</t>
        </is>
      </c>
      <c r="B28" s="3" t="n">
        <v>145508000</v>
      </c>
      <c r="C28" s="3" t="n">
        <v>69947000</v>
      </c>
      <c r="D28" s="3" t="n">
        <v>43330000</v>
      </c>
      <c r="E28" s="3" t="n">
        <v>48190000</v>
      </c>
      <c r="F28" s="3" t="n">
        <v>54400000</v>
      </c>
    </row>
    <row r="29">
      <c r="A29" t="inlineStr">
        <is>
          <t>Pretax Income</t>
        </is>
      </c>
      <c r="B29" s="3" t="n">
        <v>693721000</v>
      </c>
      <c r="C29" s="3" t="n">
        <v>272865000</v>
      </c>
      <c r="D29" s="3" t="n">
        <v>128940000</v>
      </c>
      <c r="E29" s="3" t="n">
        <v>214763000</v>
      </c>
      <c r="F29" s="3" t="n">
        <v>273866000</v>
      </c>
    </row>
    <row r="30">
      <c r="A30" t="inlineStr">
        <is>
          <t>Other Income Expense</t>
        </is>
      </c>
      <c r="B30" s="3" t="n">
        <v>69222000</v>
      </c>
      <c r="C30" s="3" t="n">
        <v>87927000</v>
      </c>
      <c r="D30" s="3" t="n">
        <v>43328000</v>
      </c>
      <c r="E30" s="3" t="n">
        <v>62804000</v>
      </c>
      <c r="F30" s="3" t="n">
        <v>-49644000</v>
      </c>
    </row>
    <row r="31">
      <c r="A31" t="inlineStr">
        <is>
          <t>Special Income Charges</t>
        </is>
      </c>
      <c r="B31" s="3" t="n">
        <v>4081000</v>
      </c>
      <c r="C31" s="3" t="n">
        <v>-12346000</v>
      </c>
      <c r="D31" s="3" t="n">
        <v>-24970000</v>
      </c>
      <c r="E31" s="3" t="n">
        <v>-21168000</v>
      </c>
      <c r="F31" s="3" t="n">
        <v>-6634000</v>
      </c>
    </row>
    <row r="32">
      <c r="A32" t="inlineStr">
        <is>
          <t>Gain On Sale Of Ppe</t>
        </is>
      </c>
      <c r="B32" s="3" t="n">
        <v>45950000</v>
      </c>
      <c r="C32" s="3" t="n">
        <v>408000</v>
      </c>
      <c r="D32" s="3" t="n">
        <v>-171000</v>
      </c>
      <c r="E32" s="3" t="n">
        <v>-546000</v>
      </c>
      <c r="F32" s="3" t="n">
        <v>575000</v>
      </c>
    </row>
    <row r="33">
      <c r="A33" t="inlineStr">
        <is>
          <t>Other Special Charges</t>
        </is>
      </c>
      <c r="B33" s="3" t="n">
        <v>18777000</v>
      </c>
      <c r="C33" s="3" t="n">
        <v>3153000</v>
      </c>
      <c r="D33" s="3" t="n">
        <v>12571000</v>
      </c>
      <c r="E33" s="3" t="n">
        <v>14325000</v>
      </c>
      <c r="F33" s="3" t="n">
        <v>1591000</v>
      </c>
    </row>
    <row r="34">
      <c r="A34" t="inlineStr">
        <is>
          <t>Impairment Of Capital Assets</t>
        </is>
      </c>
      <c r="B34" s="3" t="n">
        <v>948000</v>
      </c>
      <c r="C34" s="3" t="n">
        <v>5215000</v>
      </c>
      <c r="D34" s="3" t="n">
        <v>12228000</v>
      </c>
      <c r="E34" s="3" t="n">
        <v>6297000</v>
      </c>
      <c r="F34" s="3" t="n">
        <v>5618000</v>
      </c>
    </row>
    <row r="35">
      <c r="A35" t="inlineStr">
        <is>
          <t>Restructuring And Mergern Acquisition</t>
        </is>
      </c>
      <c r="B35" s="3" t="n">
        <v>22144000</v>
      </c>
      <c r="C35" s="3" t="n"/>
      <c r="D35" s="3" t="n"/>
      <c r="E35" s="3" t="n"/>
      <c r="F35" s="3" t="n">
        <v>0</v>
      </c>
    </row>
    <row r="36">
      <c r="A36" t="inlineStr">
        <is>
          <t>Earnings From Equity Interest</t>
        </is>
      </c>
      <c r="B36" s="3" t="n">
        <v>30118000</v>
      </c>
      <c r="C36" s="3" t="n">
        <v>10205000</v>
      </c>
      <c r="D36" s="3" t="n">
        <v>29055000</v>
      </c>
      <c r="E36" s="3" t="n">
        <v>30563000</v>
      </c>
      <c r="F36" s="3" t="n">
        <v>28661000</v>
      </c>
    </row>
    <row r="37">
      <c r="A37" t="inlineStr">
        <is>
          <t>Gain On Sale Of Security</t>
        </is>
      </c>
      <c r="B37" s="3" t="n">
        <v>35023000</v>
      </c>
      <c r="C37" s="3" t="n">
        <v>90068000</v>
      </c>
      <c r="D37" s="3" t="n">
        <v>39243000</v>
      </c>
      <c r="E37" s="3" t="n">
        <v>53409000</v>
      </c>
      <c r="F37" s="3" t="n">
        <v>-71671000</v>
      </c>
    </row>
    <row r="38">
      <c r="A38" t="inlineStr">
        <is>
          <t>Net Non Operating Interest Income Expense</t>
        </is>
      </c>
      <c r="B38" s="3" t="n">
        <v>-36963000</v>
      </c>
      <c r="C38" s="3" t="n">
        <v>-22128000</v>
      </c>
      <c r="D38" s="3" t="n">
        <v>-18232000</v>
      </c>
      <c r="E38" s="3" t="n">
        <v>-19954000</v>
      </c>
      <c r="F38" s="3" t="n">
        <v>-23368000</v>
      </c>
    </row>
    <row r="39">
      <c r="A39" t="inlineStr">
        <is>
          <t>Interest Expense Non Operating</t>
        </is>
      </c>
      <c r="B39" s="3" t="n">
        <v>36963000</v>
      </c>
      <c r="C39" s="3" t="n">
        <v>22128000</v>
      </c>
      <c r="D39" s="3" t="n">
        <v>18232000</v>
      </c>
      <c r="E39" s="3" t="n">
        <v>19954000</v>
      </c>
      <c r="F39" s="3" t="n">
        <v>23368000</v>
      </c>
    </row>
    <row r="40">
      <c r="A40" t="inlineStr">
        <is>
          <t>Operating Income</t>
        </is>
      </c>
      <c r="B40" s="3" t="n">
        <v>661462000</v>
      </c>
      <c r="C40" s="3" t="n">
        <v>207066000</v>
      </c>
      <c r="D40" s="3" t="n">
        <v>103844000</v>
      </c>
      <c r="E40" s="3" t="n">
        <v>171913000</v>
      </c>
      <c r="F40" s="3" t="n">
        <v>346878000</v>
      </c>
    </row>
    <row r="41">
      <c r="A41" t="inlineStr">
        <is>
          <t>Operating Expense</t>
        </is>
      </c>
      <c r="B41" s="3" t="n">
        <v>80314000</v>
      </c>
      <c r="C41" s="3" t="n">
        <v>64189000</v>
      </c>
      <c r="D41" s="3" t="n">
        <v>68557000</v>
      </c>
      <c r="E41" s="3" t="n">
        <v>70745000</v>
      </c>
      <c r="F41" s="3" t="n">
        <v>75058000</v>
      </c>
    </row>
    <row r="42">
      <c r="A42" t="inlineStr">
        <is>
          <t>Other Operating Expenses</t>
        </is>
      </c>
      <c r="B42" s="3" t="n">
        <v>-45579000</v>
      </c>
      <c r="C42" s="3" t="n">
        <v>-36145000</v>
      </c>
      <c r="D42" s="3" t="n">
        <v>-39455000</v>
      </c>
      <c r="E42" s="3" t="n">
        <v>-38426000</v>
      </c>
      <c r="F42" s="3" t="n">
        <v>-30157000</v>
      </c>
    </row>
    <row r="43">
      <c r="A43" t="inlineStr">
        <is>
          <t>Selling General And Administration</t>
        </is>
      </c>
      <c r="B43" s="3" t="n">
        <v>125893000</v>
      </c>
      <c r="C43" s="3" t="n">
        <v>100334000</v>
      </c>
      <c r="D43" s="3" t="n">
        <v>108012000</v>
      </c>
      <c r="E43" s="3" t="n">
        <v>109171000</v>
      </c>
      <c r="F43" s="3" t="n">
        <v>105215000</v>
      </c>
    </row>
    <row r="44">
      <c r="A44" t="inlineStr">
        <is>
          <t>Selling And Marketing Expense</t>
        </is>
      </c>
      <c r="B44" s="3" t="n">
        <v>62553000</v>
      </c>
      <c r="C44" s="3" t="n">
        <v>44380000</v>
      </c>
      <c r="D44" s="3" t="n">
        <v>51068000</v>
      </c>
      <c r="E44" s="3" t="n">
        <v>51988000</v>
      </c>
      <c r="F44" s="3" t="n">
        <v>42770000</v>
      </c>
    </row>
    <row r="45">
      <c r="A45" t="inlineStr">
        <is>
          <t>General And Administrative Expense</t>
        </is>
      </c>
      <c r="B45" s="3" t="n">
        <v>63340000</v>
      </c>
      <c r="C45" s="3" t="n">
        <v>55954000</v>
      </c>
      <c r="D45" s="3" t="n">
        <v>56944000</v>
      </c>
      <c r="E45" s="3" t="n">
        <v>57183000</v>
      </c>
      <c r="F45" s="3" t="n">
        <v>62445000</v>
      </c>
    </row>
    <row r="46">
      <c r="A46" t="inlineStr">
        <is>
          <t>Other Gand A</t>
        </is>
      </c>
      <c r="B46" s="3" t="n">
        <v>63340000</v>
      </c>
      <c r="C46" s="3" t="n">
        <v>102455000</v>
      </c>
      <c r="D46" s="3" t="n">
        <v>41443000</v>
      </c>
      <c r="E46" s="3" t="n">
        <v>41328000</v>
      </c>
      <c r="F46" s="3" t="n">
        <v>62445000</v>
      </c>
    </row>
    <row r="47">
      <c r="A47" t="inlineStr">
        <is>
          <t>Salaries And Wages</t>
        </is>
      </c>
      <c r="B47" s="3" t="n"/>
      <c r="C47" s="3" t="n"/>
      <c r="D47" s="3" t="n">
        <v>15501000</v>
      </c>
      <c r="E47" s="3" t="n">
        <v>15855000</v>
      </c>
      <c r="F47" s="3" t="n"/>
    </row>
    <row r="48">
      <c r="A48" t="inlineStr">
        <is>
          <t>Gross Profit</t>
        </is>
      </c>
      <c r="B48" s="3" t="n">
        <v>741776000</v>
      </c>
      <c r="C48" s="3" t="n">
        <v>271255000</v>
      </c>
      <c r="D48" s="3" t="n">
        <v>172401000</v>
      </c>
      <c r="E48" s="3" t="n">
        <v>242658000</v>
      </c>
      <c r="F48" s="3" t="n">
        <v>421936000</v>
      </c>
    </row>
    <row r="49">
      <c r="A49" t="inlineStr">
        <is>
          <t>Cost Of Revenue</t>
        </is>
      </c>
      <c r="B49" s="3" t="n">
        <v>1120871000</v>
      </c>
      <c r="C49" s="3" t="n">
        <v>1012241000</v>
      </c>
      <c r="D49" s="3" t="n">
        <v>961080000</v>
      </c>
      <c r="E49" s="3" t="n">
        <v>961385000</v>
      </c>
      <c r="F49" s="3" t="n">
        <v>970654000</v>
      </c>
    </row>
    <row r="50">
      <c r="A50" t="inlineStr">
        <is>
          <t>Total Revenue</t>
        </is>
      </c>
      <c r="B50" s="3" t="n">
        <v>1862647000</v>
      </c>
      <c r="C50" s="3" t="n">
        <v>1283496000</v>
      </c>
      <c r="D50" s="3" t="n">
        <v>1133481000</v>
      </c>
      <c r="E50" s="3" t="n">
        <v>1204043000</v>
      </c>
      <c r="F50" s="3" t="n">
        <v>1392590000</v>
      </c>
    </row>
    <row r="51">
      <c r="A51" t="inlineStr">
        <is>
          <t>Operating Revenue</t>
        </is>
      </c>
      <c r="B51" s="3" t="n">
        <v>1861820000</v>
      </c>
      <c r="C51" s="3" t="n">
        <v>1282627000</v>
      </c>
      <c r="D51" s="3" t="n">
        <v>1132630000</v>
      </c>
      <c r="E51" s="3" t="n">
        <v>1203210000</v>
      </c>
      <c r="F51" s="3" t="n">
        <v>1391772000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/>
      <c r="C2" s="3" t="n"/>
      <c r="D2" s="3" t="n">
        <v>0</v>
      </c>
      <c r="E2" s="3" t="n">
        <v>34000</v>
      </c>
      <c r="F2" s="3" t="n"/>
    </row>
    <row r="3">
      <c r="A3" t="inlineStr">
        <is>
          <t>Ordinary Shares Number</t>
        </is>
      </c>
      <c r="B3" s="3" t="n">
        <v>308510105</v>
      </c>
      <c r="C3" s="3" t="n">
        <v>311165000</v>
      </c>
      <c r="D3" s="3" t="n">
        <v>303544000</v>
      </c>
      <c r="E3" s="3" t="n">
        <v>297359000</v>
      </c>
      <c r="F3" s="3" t="n"/>
    </row>
    <row r="4">
      <c r="A4" t="inlineStr">
        <is>
          <t>Share Issued</t>
        </is>
      </c>
      <c r="B4" s="3" t="n">
        <v>308510105</v>
      </c>
      <c r="C4" s="3" t="n">
        <v>311165000</v>
      </c>
      <c r="D4" s="3" t="n">
        <v>303544000</v>
      </c>
      <c r="E4" s="3" t="n">
        <v>297393000</v>
      </c>
      <c r="F4" s="3" t="n"/>
    </row>
    <row r="5">
      <c r="A5" t="inlineStr">
        <is>
          <t>Net Debt</t>
        </is>
      </c>
      <c r="B5" s="3" t="n">
        <v>1397976000</v>
      </c>
      <c r="C5" s="3" t="n">
        <v>1489230000</v>
      </c>
      <c r="D5" s="3" t="n">
        <v>1537596000</v>
      </c>
      <c r="E5" s="3" t="n">
        <v>1183476000</v>
      </c>
      <c r="F5" s="3" t="n"/>
    </row>
    <row r="6">
      <c r="A6" t="inlineStr">
        <is>
          <t>Total Debt</t>
        </is>
      </c>
      <c r="B6" s="3" t="n">
        <v>3526520000</v>
      </c>
      <c r="C6" s="3" t="n">
        <v>4033461000</v>
      </c>
      <c r="D6" s="3" t="n">
        <v>4506106000</v>
      </c>
      <c r="E6" s="3" t="n">
        <v>4629966000</v>
      </c>
      <c r="F6" s="3" t="n"/>
    </row>
    <row r="7">
      <c r="A7" t="inlineStr">
        <is>
          <t>Tangible Book Value</t>
        </is>
      </c>
      <c r="B7" s="3" t="n">
        <v>7550827000</v>
      </c>
      <c r="C7" s="3" t="n">
        <v>7021650000</v>
      </c>
      <c r="D7" s="3" t="n">
        <v>6901516000</v>
      </c>
      <c r="E7" s="3" t="n">
        <v>6754558000</v>
      </c>
      <c r="F7" s="3" t="n"/>
    </row>
    <row r="8">
      <c r="A8" t="inlineStr">
        <is>
          <t>Invested Capital</t>
        </is>
      </c>
      <c r="B8" s="3" t="n">
        <v>8948803000</v>
      </c>
      <c r="C8" s="3" t="n">
        <v>8510880000</v>
      </c>
      <c r="D8" s="3" t="n">
        <v>8439112000</v>
      </c>
      <c r="E8" s="3" t="n">
        <v>7938034000</v>
      </c>
      <c r="F8" s="3" t="n"/>
    </row>
    <row r="9">
      <c r="A9" t="inlineStr">
        <is>
          <t>Working Capital</t>
        </is>
      </c>
      <c r="B9" s="3" t="n">
        <v>-671533000</v>
      </c>
      <c r="C9" s="3" t="n">
        <v>-938381000</v>
      </c>
      <c r="D9" s="3" t="n">
        <v>-976399000</v>
      </c>
      <c r="E9" s="3" t="n">
        <v>-987384000</v>
      </c>
      <c r="F9" s="3" t="n"/>
    </row>
    <row r="10">
      <c r="A10" t="inlineStr">
        <is>
          <t>Net Tangible Assets</t>
        </is>
      </c>
      <c r="B10" s="3" t="n">
        <v>7550827000</v>
      </c>
      <c r="C10" s="3" t="n">
        <v>7021650000</v>
      </c>
      <c r="D10" s="3" t="n">
        <v>6901516000</v>
      </c>
      <c r="E10" s="3" t="n">
        <v>6754558000</v>
      </c>
      <c r="F10" s="3" t="n"/>
    </row>
    <row r="11">
      <c r="A11" t="inlineStr">
        <is>
          <t>Capital Lease Obligations</t>
        </is>
      </c>
      <c r="B11" s="3" t="n">
        <v>2128544000</v>
      </c>
      <c r="C11" s="3" t="n">
        <v>2544231000</v>
      </c>
      <c r="D11" s="3" t="n">
        <v>2968510000</v>
      </c>
      <c r="E11" s="3" t="n">
        <v>3446490000</v>
      </c>
      <c r="F11" s="3" t="n"/>
    </row>
    <row r="12">
      <c r="A12" t="inlineStr">
        <is>
          <t>Common Stock Equity</t>
        </is>
      </c>
      <c r="B12" s="3" t="n">
        <v>7550827000</v>
      </c>
      <c r="C12" s="3" t="n">
        <v>7021650000</v>
      </c>
      <c r="D12" s="3" t="n">
        <v>6901516000</v>
      </c>
      <c r="E12" s="3" t="n">
        <v>6754558000</v>
      </c>
      <c r="F12" s="3" t="n"/>
    </row>
    <row r="13">
      <c r="A13" t="inlineStr">
        <is>
          <t>Total Capitalization</t>
        </is>
      </c>
      <c r="B13" s="3" t="n">
        <v>8948803000</v>
      </c>
      <c r="C13" s="3" t="n">
        <v>8510880000</v>
      </c>
      <c r="D13" s="3" t="n">
        <v>8439112000</v>
      </c>
      <c r="E13" s="3" t="n">
        <v>7938034000</v>
      </c>
      <c r="F13" s="3" t="n"/>
    </row>
    <row r="14">
      <c r="A14" t="inlineStr">
        <is>
          <t>Total Equity Gross Minority Interest</t>
        </is>
      </c>
      <c r="B14" s="3" t="n">
        <v>7715649000</v>
      </c>
      <c r="C14" s="3" t="n">
        <v>7216533000</v>
      </c>
      <c r="D14" s="3" t="n">
        <v>7134214000</v>
      </c>
      <c r="E14" s="3" t="n">
        <v>7017154000</v>
      </c>
      <c r="F14" s="3" t="n"/>
    </row>
    <row r="15">
      <c r="A15" t="inlineStr">
        <is>
          <t>Minority Interest</t>
        </is>
      </c>
      <c r="B15" s="3" t="n">
        <v>164822000</v>
      </c>
      <c r="C15" s="3" t="n">
        <v>194883000</v>
      </c>
      <c r="D15" s="3" t="n">
        <v>232698000</v>
      </c>
      <c r="E15" s="3" t="n">
        <v>262596000</v>
      </c>
      <c r="F15" s="3" t="n"/>
    </row>
    <row r="16">
      <c r="A16" t="inlineStr">
        <is>
          <t>Stockholders Equity</t>
        </is>
      </c>
      <c r="B16" s="3" t="n">
        <v>7550827000</v>
      </c>
      <c r="C16" s="3" t="n">
        <v>7021650000</v>
      </c>
      <c r="D16" s="3" t="n">
        <v>6901516000</v>
      </c>
      <c r="E16" s="3" t="n">
        <v>6754558000</v>
      </c>
      <c r="F16" s="3" t="n"/>
    </row>
    <row r="17">
      <c r="A17" t="inlineStr">
        <is>
          <t>Treasury Stock</t>
        </is>
      </c>
      <c r="B17" s="3" t="n"/>
      <c r="C17" s="3" t="n">
        <v>0</v>
      </c>
      <c r="D17" s="3" t="n">
        <v>0</v>
      </c>
      <c r="E17" s="3" t="n">
        <v>1160000</v>
      </c>
      <c r="F17" s="3" t="n">
        <v>0</v>
      </c>
    </row>
    <row r="18">
      <c r="A18" t="inlineStr">
        <is>
          <t>Retained Earnings</t>
        </is>
      </c>
      <c r="B18" s="3" t="n">
        <v>1682295000</v>
      </c>
      <c r="C18" s="3" t="n">
        <v>1109166000</v>
      </c>
      <c r="D18" s="3" t="n">
        <v>1051940000</v>
      </c>
      <c r="E18" s="3" t="n">
        <v>913896000</v>
      </c>
      <c r="F18" s="3" t="n"/>
    </row>
    <row r="19">
      <c r="A19" t="inlineStr">
        <is>
          <t>Additional Paid In Capital</t>
        </is>
      </c>
      <c r="B19" s="3" t="n">
        <v>5865447000</v>
      </c>
      <c r="C19" s="3" t="n">
        <v>5909373000</v>
      </c>
      <c r="D19" s="3" t="n">
        <v>5846541000</v>
      </c>
      <c r="E19" s="3" t="n">
        <v>5838848000</v>
      </c>
      <c r="F19" s="3" t="n"/>
    </row>
    <row r="20">
      <c r="A20" t="inlineStr">
        <is>
          <t>Capital Stock</t>
        </is>
      </c>
      <c r="B20" s="3" t="n">
        <v>3085000</v>
      </c>
      <c r="C20" s="3" t="n">
        <v>3111000</v>
      </c>
      <c r="D20" s="3" t="n">
        <v>3035000</v>
      </c>
      <c r="E20" s="3" t="n">
        <v>2974000</v>
      </c>
      <c r="F20" s="3" t="n"/>
    </row>
    <row r="21">
      <c r="A21" t="inlineStr">
        <is>
          <t>Common Stock</t>
        </is>
      </c>
      <c r="B21" s="3" t="n">
        <v>3085000</v>
      </c>
      <c r="C21" s="3" t="n">
        <v>3111000</v>
      </c>
      <c r="D21" s="3" t="n">
        <v>3035000</v>
      </c>
      <c r="E21" s="3" t="n">
        <v>2974000</v>
      </c>
      <c r="F21" s="3" t="n"/>
    </row>
    <row r="22">
      <c r="A22" t="inlineStr">
        <is>
          <t>Preferred Stock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/>
    </row>
    <row r="23">
      <c r="A23" t="inlineStr">
        <is>
          <t>Total Liabilities Net Minority Interest</t>
        </is>
      </c>
      <c r="B23" s="3" t="n">
        <v>5529758000</v>
      </c>
      <c r="C23" s="3" t="n">
        <v>5793517000</v>
      </c>
      <c r="D23" s="3" t="n">
        <v>6383025000</v>
      </c>
      <c r="E23" s="3" t="n">
        <v>7100885000</v>
      </c>
      <c r="F23" s="3" t="n"/>
    </row>
    <row r="24">
      <c r="A24" t="inlineStr">
        <is>
          <t>Total Non Current Liabilities Net Minority Interest</t>
        </is>
      </c>
      <c r="B24" s="3" t="n">
        <v>4026445000</v>
      </c>
      <c r="C24" s="3" t="n">
        <v>4347590000</v>
      </c>
      <c r="D24" s="3" t="n">
        <v>4930934000</v>
      </c>
      <c r="E24" s="3" t="n">
        <v>5325976000</v>
      </c>
      <c r="F24" s="3" t="n"/>
    </row>
    <row r="25">
      <c r="A25" t="inlineStr">
        <is>
          <t>Other Non Current Liabilities</t>
        </is>
      </c>
      <c r="B25" s="3" t="n">
        <v>57140000</v>
      </c>
      <c r="C25" s="3" t="n">
        <v>62001000</v>
      </c>
      <c r="D25" s="3" t="n">
        <v>59431000</v>
      </c>
      <c r="E25" s="3" t="n">
        <v>59692000</v>
      </c>
      <c r="F25" s="3" t="n"/>
    </row>
    <row r="26">
      <c r="A26" t="inlineStr">
        <is>
          <t>Liabilities Heldfor Sale Non Current</t>
        </is>
      </c>
      <c r="B26" s="3" t="n">
        <v>39789000</v>
      </c>
      <c r="C26" s="3" t="n">
        <v>0</v>
      </c>
      <c r="D26" s="3" t="n"/>
      <c r="E26" s="3" t="n"/>
      <c r="F26" s="3" t="n"/>
    </row>
    <row r="27">
      <c r="A27" t="inlineStr">
        <is>
          <t>Derivative Product Liabilities</t>
        </is>
      </c>
      <c r="B27" s="3" t="n">
        <v>0</v>
      </c>
      <c r="C27" s="3" t="n">
        <v>17233000</v>
      </c>
      <c r="D27" s="3" t="n">
        <v>32764000</v>
      </c>
      <c r="E27" s="3" t="n">
        <v>345280000</v>
      </c>
      <c r="F27" s="3" t="n"/>
    </row>
    <row r="28">
      <c r="A28" t="inlineStr">
        <is>
          <t>Non Current Deferred Liabilities</t>
        </is>
      </c>
      <c r="B28" s="3" t="n">
        <v>919252000</v>
      </c>
      <c r="C28" s="3" t="n">
        <v>728789000</v>
      </c>
      <c r="D28" s="3" t="n">
        <v>872693000</v>
      </c>
      <c r="E28" s="3" t="n">
        <v>847674000</v>
      </c>
      <c r="F28" s="3" t="n"/>
    </row>
    <row r="29">
      <c r="A29" t="inlineStr">
        <is>
          <t>Non Current Deferred Revenue</t>
        </is>
      </c>
      <c r="B29" s="3" t="n">
        <v>11946000</v>
      </c>
      <c r="C29" s="3" t="n">
        <v>35448000</v>
      </c>
      <c r="D29" s="3" t="n">
        <v>60712000</v>
      </c>
      <c r="E29" s="3" t="n">
        <v>87813000</v>
      </c>
      <c r="F29" s="3" t="n"/>
    </row>
    <row r="30">
      <c r="A30" t="inlineStr">
        <is>
          <t>Non Current Deferred Taxes Liabilities</t>
        </is>
      </c>
      <c r="B30" s="3" t="n">
        <v>907306000</v>
      </c>
      <c r="C30" s="3" t="n">
        <v>693341000</v>
      </c>
      <c r="D30" s="3" t="n">
        <v>811981000</v>
      </c>
      <c r="E30" s="3" t="n">
        <v>759861000</v>
      </c>
      <c r="F30" s="3" t="n"/>
    </row>
    <row r="31">
      <c r="A31" t="inlineStr">
        <is>
          <t>Long Term Debt And Capital Lease Obligation</t>
        </is>
      </c>
      <c r="B31" s="3" t="n">
        <v>3010264000</v>
      </c>
      <c r="C31" s="3" t="n">
        <v>3539567000</v>
      </c>
      <c r="D31" s="3" t="n">
        <v>3966046000</v>
      </c>
      <c r="E31" s="3" t="n">
        <v>4073330000</v>
      </c>
      <c r="F31" s="3" t="n"/>
    </row>
    <row r="32">
      <c r="A32" t="inlineStr">
        <is>
          <t>Long Term Capital Lease Obligation</t>
        </is>
      </c>
      <c r="B32" s="3" t="n">
        <v>1612288000</v>
      </c>
      <c r="C32" s="3" t="n">
        <v>2050337000</v>
      </c>
      <c r="D32" s="3" t="n">
        <v>2428450000</v>
      </c>
      <c r="E32" s="3" t="n">
        <v>2889854000</v>
      </c>
      <c r="F32" s="3" t="n"/>
    </row>
    <row r="33">
      <c r="A33" t="inlineStr">
        <is>
          <t>Long Term Debt</t>
        </is>
      </c>
      <c r="B33" s="3" t="n">
        <v>1397976000</v>
      </c>
      <c r="C33" s="3" t="n">
        <v>1489230000</v>
      </c>
      <c r="D33" s="3" t="n">
        <v>1537596000</v>
      </c>
      <c r="E33" s="3" t="n">
        <v>1183476000</v>
      </c>
      <c r="F33" s="3" t="n"/>
    </row>
    <row r="34">
      <c r="A34" t="inlineStr">
        <is>
          <t>Current Liabilities</t>
        </is>
      </c>
      <c r="B34" s="3" t="n">
        <v>1503313000</v>
      </c>
      <c r="C34" s="3" t="n">
        <v>1445927000</v>
      </c>
      <c r="D34" s="3" t="n">
        <v>1452091000</v>
      </c>
      <c r="E34" s="3" t="n">
        <v>1774909000</v>
      </c>
      <c r="F34" s="3" t="n"/>
    </row>
    <row r="35">
      <c r="A35" t="inlineStr">
        <is>
          <t>Other Current Liabilities</t>
        </is>
      </c>
      <c r="B35" s="3" t="n">
        <v>88963000</v>
      </c>
      <c r="C35" s="3" t="n">
        <v>34967000</v>
      </c>
      <c r="D35" s="3" t="n">
        <v>16531000</v>
      </c>
      <c r="E35" s="3" t="n">
        <v>99472000</v>
      </c>
      <c r="F35" s="3" t="n"/>
    </row>
    <row r="36">
      <c r="A36" t="inlineStr">
        <is>
          <t>Current Deferred Liabilities</t>
        </is>
      </c>
      <c r="B36" s="3" t="n">
        <v>23502000</v>
      </c>
      <c r="C36" s="3" t="n">
        <v>25264000</v>
      </c>
      <c r="D36" s="3" t="n">
        <v>27101000</v>
      </c>
      <c r="E36" s="3" t="n">
        <v>30552000</v>
      </c>
      <c r="F36" s="3" t="n"/>
    </row>
    <row r="37">
      <c r="A37" t="inlineStr">
        <is>
          <t>Current Deferred Revenue</t>
        </is>
      </c>
      <c r="B37" s="3" t="n">
        <v>23502000</v>
      </c>
      <c r="C37" s="3" t="n">
        <v>25264000</v>
      </c>
      <c r="D37" s="3" t="n">
        <v>27101000</v>
      </c>
      <c r="E37" s="3" t="n">
        <v>30552000</v>
      </c>
      <c r="F37" s="3" t="n"/>
    </row>
    <row r="38">
      <c r="A38" t="inlineStr">
        <is>
          <t>Current Debt And Capital Lease Obligation</t>
        </is>
      </c>
      <c r="B38" s="3" t="n">
        <v>516256000</v>
      </c>
      <c r="C38" s="3" t="n">
        <v>493894000</v>
      </c>
      <c r="D38" s="3" t="n">
        <v>540060000</v>
      </c>
      <c r="E38" s="3" t="n">
        <v>556636000</v>
      </c>
      <c r="F38" s="3" t="n"/>
    </row>
    <row r="39">
      <c r="A39" t="inlineStr">
        <is>
          <t>Current Capital Lease Obligation</t>
        </is>
      </c>
      <c r="B39" s="3" t="n">
        <v>516256000</v>
      </c>
      <c r="C39" s="3" t="n">
        <v>493894000</v>
      </c>
      <c r="D39" s="3" t="n">
        <v>540060000</v>
      </c>
      <c r="E39" s="3" t="n">
        <v>556636000</v>
      </c>
      <c r="F39" s="3" t="n"/>
    </row>
    <row r="40">
      <c r="A40" t="inlineStr">
        <is>
          <t>Payables And Accrued Expenses</t>
        </is>
      </c>
      <c r="B40" s="3" t="n">
        <v>874592000</v>
      </c>
      <c r="C40" s="3" t="n">
        <v>891802000</v>
      </c>
      <c r="D40" s="3" t="n">
        <v>868399000</v>
      </c>
      <c r="E40" s="3" t="n">
        <v>1088249000</v>
      </c>
      <c r="F40" s="3" t="n"/>
    </row>
    <row r="41">
      <c r="A41" t="inlineStr">
        <is>
          <t>Current Accrued Expenses</t>
        </is>
      </c>
      <c r="B41" s="3" t="n">
        <v>316077000</v>
      </c>
      <c r="C41" s="3" t="n">
        <v>323611000</v>
      </c>
      <c r="D41" s="3" t="n">
        <v>328787000</v>
      </c>
      <c r="E41" s="3" t="n">
        <v>375520000</v>
      </c>
      <c r="F41" s="3" t="n"/>
    </row>
    <row r="42">
      <c r="A42" t="inlineStr">
        <is>
          <t>Interest Payable</t>
        </is>
      </c>
      <c r="B42" s="3" t="n">
        <v>24256000</v>
      </c>
      <c r="C42" s="3" t="n">
        <v>29014000</v>
      </c>
      <c r="D42" s="3" t="n">
        <v>33066000</v>
      </c>
      <c r="E42" s="3" t="n">
        <v>31892000</v>
      </c>
      <c r="F42" s="3" t="n"/>
    </row>
    <row r="43">
      <c r="A43" t="inlineStr">
        <is>
          <t>Payables</t>
        </is>
      </c>
      <c r="B43" s="3" t="n">
        <v>558515000</v>
      </c>
      <c r="C43" s="3" t="n">
        <v>568191000</v>
      </c>
      <c r="D43" s="3" t="n">
        <v>539612000</v>
      </c>
      <c r="E43" s="3" t="n">
        <v>712729000</v>
      </c>
      <c r="F43" s="3" t="n"/>
    </row>
    <row r="44">
      <c r="A44" t="inlineStr">
        <is>
          <t>Other Payable</t>
        </is>
      </c>
      <c r="B44" s="3" t="n"/>
      <c r="C44" s="3" t="n">
        <v>1597000</v>
      </c>
      <c r="D44" s="3" t="n">
        <v>1037000</v>
      </c>
      <c r="E44" s="3" t="n">
        <v>53732000</v>
      </c>
      <c r="F44" s="3" t="n">
        <v>35202000</v>
      </c>
    </row>
    <row r="45">
      <c r="A45" t="inlineStr">
        <is>
          <t>Dueto Related Parties Current</t>
        </is>
      </c>
      <c r="B45" s="3" t="n">
        <v>101454000</v>
      </c>
      <c r="C45" s="3" t="n">
        <v>111066000</v>
      </c>
      <c r="D45" s="3" t="n">
        <v>86284000</v>
      </c>
      <c r="E45" s="3" t="n">
        <v>80708000</v>
      </c>
      <c r="F45" s="3" t="n"/>
    </row>
    <row r="46">
      <c r="A46" t="inlineStr">
        <is>
          <t>Dividends Payable</t>
        </is>
      </c>
      <c r="B46" s="3" t="n">
        <v>384777000</v>
      </c>
      <c r="C46" s="3" t="n">
        <v>315932000</v>
      </c>
      <c r="D46" s="3" t="n">
        <v>361782000</v>
      </c>
      <c r="E46" s="3" t="n">
        <v>468210000</v>
      </c>
      <c r="F46" s="3" t="n"/>
    </row>
    <row r="47">
      <c r="A47" t="inlineStr">
        <is>
          <t>Total Tax Payable</t>
        </is>
      </c>
      <c r="B47" s="3" t="n">
        <v>22770000</v>
      </c>
      <c r="C47" s="3" t="n">
        <v>78980000</v>
      </c>
      <c r="D47" s="3" t="n">
        <v>51516000</v>
      </c>
      <c r="E47" s="3" t="n">
        <v>32536000</v>
      </c>
      <c r="F47" s="3" t="n"/>
    </row>
    <row r="48">
      <c r="A48" t="inlineStr">
        <is>
          <t>Accounts Payable</t>
        </is>
      </c>
      <c r="B48" s="3" t="n">
        <v>49514000</v>
      </c>
      <c r="C48" s="3" t="n">
        <v>62213000</v>
      </c>
      <c r="D48" s="3" t="n">
        <v>38993000</v>
      </c>
      <c r="E48" s="3" t="n">
        <v>77543000</v>
      </c>
      <c r="F48" s="3" t="n"/>
    </row>
    <row r="49">
      <c r="A49" t="inlineStr">
        <is>
          <t>Total Assets</t>
        </is>
      </c>
      <c r="B49" s="3" t="n">
        <v>13245407000</v>
      </c>
      <c r="C49" s="3" t="n">
        <v>13010050000</v>
      </c>
      <c r="D49" s="3" t="n">
        <v>13517239000</v>
      </c>
      <c r="E49" s="3" t="n">
        <v>14118039000</v>
      </c>
      <c r="F49" s="3" t="n"/>
    </row>
    <row r="50">
      <c r="A50" t="inlineStr">
        <is>
          <t>Total Non Current Assets</t>
        </is>
      </c>
      <c r="B50" s="3" t="n">
        <v>12413627000</v>
      </c>
      <c r="C50" s="3" t="n">
        <v>12502504000</v>
      </c>
      <c r="D50" s="3" t="n">
        <v>13041547000</v>
      </c>
      <c r="E50" s="3" t="n">
        <v>13330514000</v>
      </c>
      <c r="F50" s="3" t="n"/>
    </row>
    <row r="51">
      <c r="A51" t="inlineStr">
        <is>
          <t>Other Non Current Assets</t>
        </is>
      </c>
      <c r="B51" s="3" t="n">
        <v>817629000</v>
      </c>
      <c r="C51" s="3" t="n">
        <v>33212000</v>
      </c>
      <c r="D51" s="3" t="n">
        <v>25375000</v>
      </c>
      <c r="E51" s="3" t="n">
        <v>17106000</v>
      </c>
      <c r="F51" s="3" t="n"/>
    </row>
    <row r="52">
      <c r="A52" t="inlineStr">
        <is>
          <t>Financial Assets</t>
        </is>
      </c>
      <c r="B52" s="3" t="n">
        <v>12524000</v>
      </c>
      <c r="C52" s="3" t="n">
        <v>1296000</v>
      </c>
      <c r="D52" s="3" t="n">
        <v>5570000</v>
      </c>
      <c r="E52" s="3" t="n">
        <v>9844000</v>
      </c>
      <c r="F52" s="3" t="n"/>
    </row>
    <row r="53">
      <c r="A53" t="inlineStr">
        <is>
          <t>Investments And Advances</t>
        </is>
      </c>
      <c r="B53" s="3" t="n">
        <v>245653000</v>
      </c>
      <c r="C53" s="3" t="n">
        <v>231048000</v>
      </c>
      <c r="D53" s="3" t="n">
        <v>222255000</v>
      </c>
      <c r="E53" s="3" t="n">
        <v>220429000</v>
      </c>
      <c r="F53" s="3" t="n"/>
    </row>
    <row r="54">
      <c r="A54" t="inlineStr">
        <is>
          <t>Long Term Equity Investment</t>
        </is>
      </c>
      <c r="B54" s="3" t="n">
        <v>245653000</v>
      </c>
      <c r="C54" s="3" t="n">
        <v>231048000</v>
      </c>
      <c r="D54" s="3" t="n">
        <v>222255000</v>
      </c>
      <c r="E54" s="3" t="n">
        <v>220429000</v>
      </c>
      <c r="F54" s="3" t="n"/>
    </row>
    <row r="55">
      <c r="A55" t="inlineStr">
        <is>
          <t>Investmentsin Associatesat Cost</t>
        </is>
      </c>
      <c r="B55" s="3" t="n"/>
      <c r="C55" s="3" t="n"/>
      <c r="D55" s="3" t="n"/>
      <c r="E55" s="3" t="n"/>
      <c r="F55" s="3" t="n">
        <v>232399000</v>
      </c>
    </row>
    <row r="56">
      <c r="A56" t="inlineStr">
        <is>
          <t>Net PPE</t>
        </is>
      </c>
      <c r="B56" s="3" t="n">
        <v>11337821000</v>
      </c>
      <c r="C56" s="3" t="n">
        <v>12236948000</v>
      </c>
      <c r="D56" s="3" t="n">
        <v>12788347000</v>
      </c>
      <c r="E56" s="3" t="n">
        <v>13083135000</v>
      </c>
      <c r="F56" s="3" t="n"/>
    </row>
    <row r="57">
      <c r="A57" t="inlineStr">
        <is>
          <t>Accumulated Depreciation</t>
        </is>
      </c>
      <c r="B57" s="3" t="n">
        <v>-5753416000</v>
      </c>
      <c r="C57" s="3" t="n">
        <v>-5699286000</v>
      </c>
      <c r="D57" s="3" t="n">
        <v>-5165449000</v>
      </c>
      <c r="E57" s="3" t="n">
        <v>-4683399000</v>
      </c>
      <c r="F57" s="3" t="n"/>
    </row>
    <row r="58">
      <c r="A58" t="inlineStr">
        <is>
          <t>Gross PPE</t>
        </is>
      </c>
      <c r="B58" s="3" t="n">
        <v>17091237000</v>
      </c>
      <c r="C58" s="3" t="n">
        <v>17936234000</v>
      </c>
      <c r="D58" s="3" t="n">
        <v>17953796000</v>
      </c>
      <c r="E58" s="3" t="n">
        <v>17766534000</v>
      </c>
      <c r="F58" s="3" t="n"/>
    </row>
    <row r="59">
      <c r="A59" t="inlineStr">
        <is>
          <t>Leases</t>
        </is>
      </c>
      <c r="B59" s="3" t="n"/>
      <c r="C59" s="3" t="n"/>
      <c r="D59" s="3" t="n"/>
      <c r="E59" s="3" t="n">
        <v>41822000</v>
      </c>
      <c r="F59" s="3" t="n">
        <v>33083000</v>
      </c>
    </row>
    <row r="60">
      <c r="A60" t="inlineStr">
        <is>
          <t>Other Properties</t>
        </is>
      </c>
      <c r="B60" s="3" t="n">
        <v>113020000</v>
      </c>
      <c r="C60" s="3" t="n">
        <v>105871000</v>
      </c>
      <c r="D60" s="3" t="n">
        <v>98668000</v>
      </c>
      <c r="E60" s="3" t="n">
        <v>83909000</v>
      </c>
      <c r="F60" s="3" t="n"/>
    </row>
    <row r="61">
      <c r="A61" t="inlineStr">
        <is>
          <t>Machinery Furniture Equipment</t>
        </is>
      </c>
      <c r="B61" s="3" t="n">
        <v>1137068000</v>
      </c>
      <c r="C61" s="3" t="n">
        <v>1366072000</v>
      </c>
      <c r="D61" s="3" t="n">
        <v>1612319000</v>
      </c>
      <c r="E61" s="3" t="n">
        <v>1853348000</v>
      </c>
      <c r="F61" s="3" t="n"/>
    </row>
    <row r="62">
      <c r="A62" t="inlineStr">
        <is>
          <t>Buildings And Improvements</t>
        </is>
      </c>
      <c r="B62" s="3" t="n">
        <v>28400000</v>
      </c>
      <c r="C62" s="3" t="n">
        <v>33345000</v>
      </c>
      <c r="D62" s="3" t="n">
        <v>37706000</v>
      </c>
      <c r="E62" s="3" t="n">
        <v>41822000</v>
      </c>
      <c r="F62" s="3" t="n"/>
    </row>
    <row r="63">
      <c r="A63" t="inlineStr">
        <is>
          <t>Current Assets</t>
        </is>
      </c>
      <c r="B63" s="3" t="n">
        <v>831780000</v>
      </c>
      <c r="C63" s="3" t="n">
        <v>507546000</v>
      </c>
      <c r="D63" s="3" t="n">
        <v>475692000</v>
      </c>
      <c r="E63" s="3" t="n">
        <v>787525000</v>
      </c>
      <c r="F63" s="3" t="n"/>
    </row>
    <row r="64">
      <c r="A64" t="inlineStr">
        <is>
          <t>Other Current Assets</t>
        </is>
      </c>
      <c r="B64" s="3" t="n">
        <v>10818000</v>
      </c>
      <c r="C64" s="3" t="n">
        <v>6047000</v>
      </c>
      <c r="D64" s="3" t="n">
        <v>14192000</v>
      </c>
      <c r="E64" s="3" t="n">
        <v>31872000</v>
      </c>
      <c r="F64" s="3" t="n"/>
    </row>
    <row r="65">
      <c r="A65" t="inlineStr">
        <is>
          <t>Hedging Assets Current</t>
        </is>
      </c>
      <c r="B65" s="3" t="n">
        <v>68913000</v>
      </c>
      <c r="C65" s="3" t="n">
        <v>1050000</v>
      </c>
      <c r="D65" s="3" t="n">
        <v>5175000</v>
      </c>
      <c r="E65" s="3" t="n">
        <v>1900000</v>
      </c>
      <c r="F65" s="3" t="n"/>
    </row>
    <row r="66">
      <c r="A66" t="inlineStr">
        <is>
          <t>Assets Held For Sale Current</t>
        </is>
      </c>
      <c r="B66" s="3" t="n">
        <v>20269000</v>
      </c>
      <c r="C66" s="3" t="n">
        <v>0</v>
      </c>
      <c r="D66" s="3" t="n"/>
      <c r="E66" s="3" t="n"/>
      <c r="F66" s="3" t="n"/>
    </row>
    <row r="67">
      <c r="A67" t="inlineStr">
        <is>
          <t>Restricted Cash</t>
        </is>
      </c>
      <c r="B67" s="3" t="n">
        <v>210000000</v>
      </c>
      <c r="C67" s="3" t="n">
        <v>0</v>
      </c>
      <c r="D67" s="3" t="n"/>
      <c r="E67" s="3" t="n"/>
      <c r="F67" s="3" t="n"/>
    </row>
    <row r="68">
      <c r="A68" t="inlineStr">
        <is>
          <t>Prepaid Assets</t>
        </is>
      </c>
      <c r="B68" s="3" t="n">
        <v>14554000</v>
      </c>
      <c r="C68" s="3" t="n">
        <v>12423000</v>
      </c>
      <c r="D68" s="3" t="n">
        <v>12901000</v>
      </c>
      <c r="E68" s="3" t="n">
        <v>10580000</v>
      </c>
      <c r="F68" s="3" t="n"/>
    </row>
    <row r="69">
      <c r="A69" t="inlineStr">
        <is>
          <t>Receivables</t>
        </is>
      </c>
      <c r="B69" s="3" t="n">
        <v>507226000</v>
      </c>
      <c r="C69" s="3" t="n">
        <v>488026000</v>
      </c>
      <c r="D69" s="3" t="n">
        <v>443424000</v>
      </c>
      <c r="E69" s="3" t="n">
        <v>743173000</v>
      </c>
      <c r="F69" s="3" t="n"/>
    </row>
    <row r="70">
      <c r="A70" t="inlineStr">
        <is>
          <t>Other Receivables</t>
        </is>
      </c>
      <c r="B70" s="3" t="n">
        <v>473453000</v>
      </c>
      <c r="C70" s="3" t="n">
        <v>453613000</v>
      </c>
      <c r="D70" s="3" t="n">
        <v>400805000</v>
      </c>
      <c r="E70" s="3" t="n">
        <v>707685000</v>
      </c>
      <c r="F70" s="3" t="n"/>
    </row>
    <row r="71">
      <c r="A71" t="inlineStr">
        <is>
          <t>Accounts Receivable</t>
        </is>
      </c>
      <c r="B71" s="3" t="n">
        <v>33773000</v>
      </c>
      <c r="C71" s="3" t="n">
        <v>34413000</v>
      </c>
      <c r="D71" s="3" t="n">
        <v>42619000</v>
      </c>
      <c r="E71" s="3" t="n">
        <v>35488000</v>
      </c>
      <c r="F71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Ordinary Shares Number</t>
        </is>
      </c>
      <c r="B2" s="3" t="n">
        <v>309825000</v>
      </c>
      <c r="C2" s="3" t="n">
        <v>308510105</v>
      </c>
      <c r="D2" s="3" t="n">
        <v>308385000</v>
      </c>
      <c r="E2" s="3" t="n">
        <v>309869000</v>
      </c>
      <c r="F2" s="3" t="n">
        <v>311584000</v>
      </c>
      <c r="G2" s="3" t="n"/>
      <c r="H2" s="3" t="n"/>
    </row>
    <row r="3">
      <c r="A3" t="inlineStr">
        <is>
          <t>Share Issued</t>
        </is>
      </c>
      <c r="B3" s="3" t="n">
        <v>309825000</v>
      </c>
      <c r="C3" s="3" t="n">
        <v>308510105</v>
      </c>
      <c r="D3" s="3" t="n">
        <v>308385000</v>
      </c>
      <c r="E3" s="3" t="n">
        <v>309869000</v>
      </c>
      <c r="F3" s="3" t="n">
        <v>311584000</v>
      </c>
      <c r="G3" s="3" t="n"/>
      <c r="H3" s="3" t="n"/>
    </row>
    <row r="4">
      <c r="A4" t="inlineStr">
        <is>
          <t>Net Debt</t>
        </is>
      </c>
      <c r="B4" s="3" t="n">
        <v>2664797000</v>
      </c>
      <c r="C4" s="3" t="n">
        <v>1397976000</v>
      </c>
      <c r="D4" s="3" t="n">
        <v>1307220000</v>
      </c>
      <c r="E4" s="3" t="n">
        <v>1098669000</v>
      </c>
      <c r="F4" s="3" t="n">
        <v>1285380000</v>
      </c>
      <c r="G4" s="3" t="n"/>
      <c r="H4" s="3" t="n"/>
    </row>
    <row r="5">
      <c r="A5" t="inlineStr">
        <is>
          <t>Total Debt</t>
        </is>
      </c>
      <c r="B5" s="3" t="n">
        <v>4750665000</v>
      </c>
      <c r="C5" s="3" t="n">
        <v>3526520000</v>
      </c>
      <c r="D5" s="3" t="n">
        <v>3570249000</v>
      </c>
      <c r="E5" s="3" t="n">
        <v>3491679000</v>
      </c>
      <c r="F5" s="3" t="n">
        <v>3807089000</v>
      </c>
      <c r="G5" s="3" t="n"/>
      <c r="H5" s="3" t="n"/>
    </row>
    <row r="6">
      <c r="A6" t="inlineStr">
        <is>
          <t>Tangible Book Value</t>
        </is>
      </c>
      <c r="B6" s="3" t="n">
        <v>8063044000</v>
      </c>
      <c r="C6" s="3" t="n">
        <v>7550827000</v>
      </c>
      <c r="D6" s="3" t="n">
        <v>7345816000</v>
      </c>
      <c r="E6" s="3" t="n">
        <v>7305622000</v>
      </c>
      <c r="F6" s="3" t="n">
        <v>7218374000</v>
      </c>
      <c r="G6" s="3" t="n"/>
      <c r="H6" s="3" t="n"/>
    </row>
    <row r="7">
      <c r="A7" t="inlineStr">
        <is>
          <t>Invested Capital</t>
        </is>
      </c>
      <c r="B7" s="3" t="n">
        <v>10727841000</v>
      </c>
      <c r="C7" s="3" t="n">
        <v>8948803000</v>
      </c>
      <c r="D7" s="3" t="n">
        <v>8653036000</v>
      </c>
      <c r="E7" s="3" t="n">
        <v>8404291000</v>
      </c>
      <c r="F7" s="3" t="n">
        <v>8503754000</v>
      </c>
      <c r="G7" s="3" t="n"/>
      <c r="H7" s="3" t="n"/>
    </row>
    <row r="8">
      <c r="A8" t="inlineStr">
        <is>
          <t>Working Capital</t>
        </is>
      </c>
      <c r="B8" s="3" t="n">
        <v>-1015254000</v>
      </c>
      <c r="C8" s="3" t="n">
        <v>-671533000</v>
      </c>
      <c r="D8" s="3" t="n">
        <v>-958246000</v>
      </c>
      <c r="E8" s="3" t="n">
        <v>-977195000</v>
      </c>
      <c r="F8" s="3" t="n">
        <v>-910561000</v>
      </c>
      <c r="G8" s="3" t="n"/>
      <c r="H8" s="3" t="n"/>
    </row>
    <row r="9">
      <c r="A9" t="inlineStr">
        <is>
          <t>Net Tangible Assets</t>
        </is>
      </c>
      <c r="B9" s="3" t="n">
        <v>8063044000</v>
      </c>
      <c r="C9" s="3" t="n">
        <v>7550827000</v>
      </c>
      <c r="D9" s="3" t="n">
        <v>7345816000</v>
      </c>
      <c r="E9" s="3" t="n">
        <v>7305622000</v>
      </c>
      <c r="F9" s="3" t="n">
        <v>7218374000</v>
      </c>
      <c r="G9" s="3" t="n"/>
      <c r="H9" s="3" t="n"/>
    </row>
    <row r="10">
      <c r="A10" t="inlineStr">
        <is>
          <t>Capital Lease Obligations</t>
        </is>
      </c>
      <c r="B10" s="3" t="n">
        <v>2085868000</v>
      </c>
      <c r="C10" s="3" t="n">
        <v>2128544000</v>
      </c>
      <c r="D10" s="3" t="n">
        <v>2263029000</v>
      </c>
      <c r="E10" s="3" t="n">
        <v>2393010000</v>
      </c>
      <c r="F10" s="3" t="n">
        <v>2521709000</v>
      </c>
      <c r="G10" s="3" t="n"/>
      <c r="H10" s="3" t="n"/>
    </row>
    <row r="11">
      <c r="A11" t="inlineStr">
        <is>
          <t>Common Stock Equity</t>
        </is>
      </c>
      <c r="B11" s="3" t="n">
        <v>8063044000</v>
      </c>
      <c r="C11" s="3" t="n">
        <v>7550827000</v>
      </c>
      <c r="D11" s="3" t="n">
        <v>7345816000</v>
      </c>
      <c r="E11" s="3" t="n">
        <v>7305622000</v>
      </c>
      <c r="F11" s="3" t="n">
        <v>7218374000</v>
      </c>
      <c r="G11" s="3" t="n"/>
      <c r="H11" s="3" t="n"/>
    </row>
    <row r="12">
      <c r="A12" t="inlineStr">
        <is>
          <t>Total Capitalization</t>
        </is>
      </c>
      <c r="B12" s="3" t="n">
        <v>10727841000</v>
      </c>
      <c r="C12" s="3" t="n">
        <v>8948803000</v>
      </c>
      <c r="D12" s="3" t="n">
        <v>8653036000</v>
      </c>
      <c r="E12" s="3" t="n">
        <v>8404291000</v>
      </c>
      <c r="F12" s="3" t="n">
        <v>8503754000</v>
      </c>
      <c r="G12" s="3" t="n"/>
      <c r="H12" s="3" t="n"/>
    </row>
    <row r="13">
      <c r="A13" t="inlineStr">
        <is>
          <t>Total Equity Gross Minority Interest</t>
        </is>
      </c>
      <c r="B13" s="3" t="n">
        <v>8223213000</v>
      </c>
      <c r="C13" s="3" t="n">
        <v>7715649000</v>
      </c>
      <c r="D13" s="3" t="n">
        <v>7517607000</v>
      </c>
      <c r="E13" s="3" t="n">
        <v>7484507000</v>
      </c>
      <c r="F13" s="3" t="n">
        <v>7408783000</v>
      </c>
      <c r="G13" s="3" t="n"/>
      <c r="H13" s="3" t="n"/>
    </row>
    <row r="14">
      <c r="A14" t="inlineStr">
        <is>
          <t>Minority Interest</t>
        </is>
      </c>
      <c r="B14" s="3" t="n">
        <v>160169000</v>
      </c>
      <c r="C14" s="3" t="n">
        <v>164822000</v>
      </c>
      <c r="D14" s="3" t="n">
        <v>171791000</v>
      </c>
      <c r="E14" s="3" t="n">
        <v>178885000</v>
      </c>
      <c r="F14" s="3" t="n">
        <v>190409000</v>
      </c>
      <c r="G14" s="3" t="n"/>
      <c r="H14" s="3" t="n"/>
    </row>
    <row r="15">
      <c r="A15" t="inlineStr">
        <is>
          <t>Stockholders Equity</t>
        </is>
      </c>
      <c r="B15" s="3" t="n">
        <v>8063044000</v>
      </c>
      <c r="C15" s="3" t="n">
        <v>7550827000</v>
      </c>
      <c r="D15" s="3" t="n">
        <v>7345816000</v>
      </c>
      <c r="E15" s="3" t="n">
        <v>7305622000</v>
      </c>
      <c r="F15" s="3" t="n">
        <v>7218374000</v>
      </c>
      <c r="G15" s="3" t="n"/>
      <c r="H15" s="3" t="n"/>
    </row>
    <row r="16">
      <c r="A16" t="inlineStr">
        <is>
          <t>Treasury Stock</t>
        </is>
      </c>
      <c r="B16" s="3" t="n"/>
      <c r="C16" s="3" t="n"/>
      <c r="D16" s="3" t="n"/>
      <c r="E16" s="3" t="n"/>
      <c r="F16" s="3" t="n"/>
      <c r="G16" s="3" t="n">
        <v>0</v>
      </c>
      <c r="H16" s="3" t="n"/>
    </row>
    <row r="17">
      <c r="A17" t="inlineStr">
        <is>
          <t>Retained Earnings</t>
        </is>
      </c>
      <c r="B17" s="3" t="n">
        <v>2217511000</v>
      </c>
      <c r="C17" s="3" t="n">
        <v>1682295000</v>
      </c>
      <c r="D17" s="3" t="n">
        <v>1488643000</v>
      </c>
      <c r="E17" s="3" t="n">
        <v>1435298000</v>
      </c>
      <c r="F17" s="3" t="n">
        <v>1312366000</v>
      </c>
      <c r="G17" s="3" t="n"/>
      <c r="H17" s="3" t="n"/>
    </row>
    <row r="18">
      <c r="A18" t="inlineStr">
        <is>
          <t>Additional Paid In Capital</t>
        </is>
      </c>
      <c r="B18" s="3" t="n">
        <v>5842435000</v>
      </c>
      <c r="C18" s="3" t="n">
        <v>5865447000</v>
      </c>
      <c r="D18" s="3" t="n">
        <v>5854090000</v>
      </c>
      <c r="E18" s="3" t="n">
        <v>5867226000</v>
      </c>
      <c r="F18" s="3" t="n">
        <v>5902893000</v>
      </c>
      <c r="G18" s="3" t="n"/>
      <c r="H18" s="3" t="n"/>
    </row>
    <row r="19">
      <c r="A19" t="inlineStr">
        <is>
          <t>Capital Stock</t>
        </is>
      </c>
      <c r="B19" s="3" t="n">
        <v>3098000</v>
      </c>
      <c r="C19" s="3" t="n">
        <v>3085000</v>
      </c>
      <c r="D19" s="3" t="n">
        <v>3083000</v>
      </c>
      <c r="E19" s="3" t="n">
        <v>3098000</v>
      </c>
      <c r="F19" s="3" t="n">
        <v>3115000</v>
      </c>
      <c r="G19" s="3" t="n"/>
      <c r="H19" s="3" t="n"/>
    </row>
    <row r="20">
      <c r="A20" t="inlineStr">
        <is>
          <t>Common Stock</t>
        </is>
      </c>
      <c r="B20" s="3" t="n">
        <v>3098000</v>
      </c>
      <c r="C20" s="3" t="n">
        <v>3085000</v>
      </c>
      <c r="D20" s="3" t="n">
        <v>3083000</v>
      </c>
      <c r="E20" s="3" t="n">
        <v>3098000</v>
      </c>
      <c r="F20" s="3" t="n">
        <v>3115000</v>
      </c>
      <c r="G20" s="3" t="n"/>
      <c r="H20" s="3" t="n"/>
    </row>
    <row r="21">
      <c r="A21" t="inlineStr">
        <is>
          <t>Preferred Stock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/>
      <c r="H21" s="3" t="n"/>
    </row>
    <row r="22">
      <c r="A22" t="inlineStr">
        <is>
          <t>Total Liabilities Net Minority Interest</t>
        </is>
      </c>
      <c r="B22" s="3" t="n">
        <v>7126233000</v>
      </c>
      <c r="C22" s="3" t="n">
        <v>5529758000</v>
      </c>
      <c r="D22" s="3" t="n">
        <v>5394450000</v>
      </c>
      <c r="E22" s="3" t="n">
        <v>5281566000</v>
      </c>
      <c r="F22" s="3" t="n">
        <v>5640538000</v>
      </c>
      <c r="G22" s="3" t="n"/>
      <c r="H22" s="3" t="n"/>
    </row>
    <row r="23">
      <c r="A23" t="inlineStr">
        <is>
          <t>Total Non Current Liabilities Net Minority Interest</t>
        </is>
      </c>
      <c r="B23" s="3" t="n">
        <v>5433051000</v>
      </c>
      <c r="C23" s="3" t="n">
        <v>4026445000</v>
      </c>
      <c r="D23" s="3" t="n">
        <v>4008410000</v>
      </c>
      <c r="E23" s="3" t="n">
        <v>3876837000</v>
      </c>
      <c r="F23" s="3" t="n">
        <v>4155192000</v>
      </c>
      <c r="G23" s="3" t="n"/>
      <c r="H23" s="3" t="n"/>
    </row>
    <row r="24">
      <c r="A24" t="inlineStr">
        <is>
          <t>Other Non Current Liabilities</t>
        </is>
      </c>
      <c r="B24" s="3" t="n">
        <v>63370000</v>
      </c>
      <c r="C24" s="3" t="n">
        <v>57140000</v>
      </c>
      <c r="D24" s="3" t="n">
        <v>65776000</v>
      </c>
      <c r="E24" s="3" t="n">
        <v>64205000</v>
      </c>
      <c r="F24" s="3" t="n">
        <v>63111000</v>
      </c>
      <c r="G24" s="3" t="n"/>
      <c r="H24" s="3" t="n"/>
    </row>
    <row r="25">
      <c r="A25" t="inlineStr">
        <is>
          <t>Liabilities Heldfor Sale Non Current</t>
        </is>
      </c>
      <c r="B25" s="3" t="n">
        <v>0</v>
      </c>
      <c r="C25" s="3" t="n">
        <v>39789000</v>
      </c>
      <c r="D25" s="3" t="n"/>
      <c r="E25" s="3" t="n"/>
      <c r="F25" s="3" t="n"/>
      <c r="G25" s="3" t="n">
        <v>0</v>
      </c>
      <c r="H25" s="3" t="n"/>
    </row>
    <row r="26">
      <c r="A26" t="inlineStr">
        <is>
          <t>Derivative Product Liabilities</t>
        </is>
      </c>
      <c r="B26" s="3" t="n">
        <v>7380000</v>
      </c>
      <c r="C26" s="3" t="n">
        <v>0</v>
      </c>
      <c r="D26" s="3" t="n">
        <v>24820000</v>
      </c>
      <c r="E26" s="3" t="n">
        <v>15635000</v>
      </c>
      <c r="F26" s="3" t="n">
        <v>24416000</v>
      </c>
      <c r="G26" s="3" t="n"/>
      <c r="H26" s="3" t="n"/>
    </row>
    <row r="27">
      <c r="A27" t="inlineStr">
        <is>
          <t>Non Current Deferred Liabilities</t>
        </is>
      </c>
      <c r="B27" s="3" t="n">
        <v>1147940000</v>
      </c>
      <c r="C27" s="3" t="n">
        <v>919252000</v>
      </c>
      <c r="D27" s="3" t="n">
        <v>856967000</v>
      </c>
      <c r="E27" s="3" t="n">
        <v>819610000</v>
      </c>
      <c r="F27" s="3" t="n">
        <v>776456000</v>
      </c>
      <c r="G27" s="3" t="n"/>
      <c r="H27" s="3" t="n"/>
    </row>
    <row r="28">
      <c r="A28" t="inlineStr">
        <is>
          <t>Non Current Deferred Revenue</t>
        </is>
      </c>
      <c r="B28" s="3" t="n">
        <v>6006000</v>
      </c>
      <c r="C28" s="3" t="n">
        <v>11946000</v>
      </c>
      <c r="D28" s="3" t="n">
        <v>17870000</v>
      </c>
      <c r="E28" s="3" t="n">
        <v>23794000</v>
      </c>
      <c r="F28" s="3" t="n">
        <v>29653000</v>
      </c>
      <c r="G28" s="3" t="n"/>
      <c r="H28" s="3" t="n"/>
    </row>
    <row r="29">
      <c r="A29" t="inlineStr">
        <is>
          <t>Non Current Deferred Taxes Liabilities</t>
        </is>
      </c>
      <c r="B29" s="3" t="n">
        <v>1141934000</v>
      </c>
      <c r="C29" s="3" t="n">
        <v>907306000</v>
      </c>
      <c r="D29" s="3" t="n">
        <v>839097000</v>
      </c>
      <c r="E29" s="3" t="n">
        <v>795816000</v>
      </c>
      <c r="F29" s="3" t="n">
        <v>746803000</v>
      </c>
      <c r="G29" s="3" t="n"/>
      <c r="H29" s="3" t="n"/>
    </row>
    <row r="30">
      <c r="A30" t="inlineStr">
        <is>
          <t>Long Term Debt And Capital Lease Obligation</t>
        </is>
      </c>
      <c r="B30" s="3" t="n">
        <v>4214361000</v>
      </c>
      <c r="C30" s="3" t="n">
        <v>3010264000</v>
      </c>
      <c r="D30" s="3" t="n">
        <v>3060847000</v>
      </c>
      <c r="E30" s="3" t="n">
        <v>2977387000</v>
      </c>
      <c r="F30" s="3" t="n">
        <v>3291209000</v>
      </c>
      <c r="G30" s="3" t="n"/>
      <c r="H30" s="3" t="n"/>
    </row>
    <row r="31">
      <c r="A31" t="inlineStr">
        <is>
          <t>Long Term Capital Lease Obligation</t>
        </is>
      </c>
      <c r="B31" s="3" t="n">
        <v>1549564000</v>
      </c>
      <c r="C31" s="3" t="n">
        <v>1612288000</v>
      </c>
      <c r="D31" s="3" t="n">
        <v>1753627000</v>
      </c>
      <c r="E31" s="3" t="n">
        <v>1878718000</v>
      </c>
      <c r="F31" s="3" t="n">
        <v>2005829000</v>
      </c>
      <c r="G31" s="3" t="n"/>
      <c r="H31" s="3" t="n"/>
    </row>
    <row r="32">
      <c r="A32" t="inlineStr">
        <is>
          <t>Long Term Debt</t>
        </is>
      </c>
      <c r="B32" s="3" t="n">
        <v>2664797000</v>
      </c>
      <c r="C32" s="3" t="n">
        <v>1397976000</v>
      </c>
      <c r="D32" s="3" t="n">
        <v>1307220000</v>
      </c>
      <c r="E32" s="3" t="n">
        <v>1098669000</v>
      </c>
      <c r="F32" s="3" t="n">
        <v>1285380000</v>
      </c>
      <c r="G32" s="3" t="n"/>
      <c r="H32" s="3" t="n"/>
    </row>
    <row r="33">
      <c r="A33" t="inlineStr">
        <is>
          <t>Current Liabilities</t>
        </is>
      </c>
      <c r="B33" s="3" t="n">
        <v>1693182000</v>
      </c>
      <c r="C33" s="3" t="n">
        <v>1503313000</v>
      </c>
      <c r="D33" s="3" t="n">
        <v>1386040000</v>
      </c>
      <c r="E33" s="3" t="n">
        <v>1404729000</v>
      </c>
      <c r="F33" s="3" t="n">
        <v>1485346000</v>
      </c>
      <c r="G33" s="3" t="n"/>
      <c r="H33" s="3" t="n"/>
    </row>
    <row r="34">
      <c r="A34" t="inlineStr">
        <is>
          <t>Other Current Liabilities</t>
        </is>
      </c>
      <c r="B34" s="3" t="n">
        <v>22405000</v>
      </c>
      <c r="C34" s="3" t="n">
        <v>88963000</v>
      </c>
      <c r="D34" s="3" t="n">
        <v>20902000</v>
      </c>
      <c r="E34" s="3" t="n">
        <v>41968000</v>
      </c>
      <c r="F34" s="3" t="n">
        <v>97756000</v>
      </c>
      <c r="G34" s="3" t="n"/>
      <c r="H34" s="3" t="n"/>
    </row>
    <row r="35">
      <c r="A35" t="inlineStr">
        <is>
          <t>Current Deferred Liabilities</t>
        </is>
      </c>
      <c r="B35" s="3" t="n">
        <v>23647000</v>
      </c>
      <c r="C35" s="3" t="n">
        <v>23502000</v>
      </c>
      <c r="D35" s="3" t="n">
        <v>23946000</v>
      </c>
      <c r="E35" s="3" t="n">
        <v>24390000</v>
      </c>
      <c r="F35" s="3" t="n">
        <v>24830000</v>
      </c>
      <c r="G35" s="3" t="n"/>
      <c r="H35" s="3" t="n"/>
    </row>
    <row r="36">
      <c r="A36" t="inlineStr">
        <is>
          <t>Current Deferred Revenue</t>
        </is>
      </c>
      <c r="B36" s="3" t="n">
        <v>23647000</v>
      </c>
      <c r="C36" s="3" t="n">
        <v>23502000</v>
      </c>
      <c r="D36" s="3" t="n">
        <v>23946000</v>
      </c>
      <c r="E36" s="3" t="n">
        <v>24390000</v>
      </c>
      <c r="F36" s="3" t="n">
        <v>24830000</v>
      </c>
      <c r="G36" s="3" t="n"/>
      <c r="H36" s="3" t="n"/>
    </row>
    <row r="37">
      <c r="A37" t="inlineStr">
        <is>
          <t>Current Debt And Capital Lease Obligation</t>
        </is>
      </c>
      <c r="B37" s="3" t="n">
        <v>536304000</v>
      </c>
      <c r="C37" s="3" t="n">
        <v>516256000</v>
      </c>
      <c r="D37" s="3" t="n">
        <v>509402000</v>
      </c>
      <c r="E37" s="3" t="n">
        <v>514292000</v>
      </c>
      <c r="F37" s="3" t="n">
        <v>515880000</v>
      </c>
      <c r="G37" s="3" t="n"/>
      <c r="H37" s="3" t="n"/>
    </row>
    <row r="38">
      <c r="A38" t="inlineStr">
        <is>
          <t>Current Capital Lease Obligation</t>
        </is>
      </c>
      <c r="B38" s="3" t="n">
        <v>536304000</v>
      </c>
      <c r="C38" s="3" t="n">
        <v>516256000</v>
      </c>
      <c r="D38" s="3" t="n">
        <v>509402000</v>
      </c>
      <c r="E38" s="3" t="n">
        <v>514292000</v>
      </c>
      <c r="F38" s="3" t="n">
        <v>515880000</v>
      </c>
      <c r="G38" s="3" t="n"/>
      <c r="H38" s="3" t="n"/>
    </row>
    <row r="39">
      <c r="A39" t="inlineStr">
        <is>
          <t>Payables And Accrued Expenses</t>
        </is>
      </c>
      <c r="B39" s="3" t="n">
        <v>1110826000</v>
      </c>
      <c r="C39" s="3" t="n">
        <v>874592000</v>
      </c>
      <c r="D39" s="3" t="n">
        <v>831790000</v>
      </c>
      <c r="E39" s="3" t="n">
        <v>824079000</v>
      </c>
      <c r="F39" s="3" t="n">
        <v>846880000</v>
      </c>
      <c r="G39" s="3" t="n"/>
      <c r="H39" s="3" t="n"/>
    </row>
    <row r="40">
      <c r="A40" t="inlineStr">
        <is>
          <t>Current Accrued Expenses</t>
        </is>
      </c>
      <c r="B40" s="3" t="n">
        <v>362105000</v>
      </c>
      <c r="C40" s="3" t="n">
        <v>316077000</v>
      </c>
      <c r="D40" s="3" t="n">
        <v>301590000</v>
      </c>
      <c r="E40" s="3" t="n">
        <v>295014000</v>
      </c>
      <c r="F40" s="3" t="n">
        <v>288987000</v>
      </c>
      <c r="G40" s="3" t="n"/>
      <c r="H40" s="3" t="n"/>
    </row>
    <row r="41">
      <c r="A41" t="inlineStr">
        <is>
          <t>Interest Payable</t>
        </is>
      </c>
      <c r="B41" s="3" t="n">
        <v>11208000</v>
      </c>
      <c r="C41" s="3" t="n">
        <v>24256000</v>
      </c>
      <c r="D41" s="3" t="n">
        <v>9054000</v>
      </c>
      <c r="E41" s="3" t="n">
        <v>23627000</v>
      </c>
      <c r="F41" s="3" t="n">
        <v>8896000</v>
      </c>
      <c r="G41" s="3" t="n"/>
      <c r="H41" s="3" t="n"/>
    </row>
    <row r="42">
      <c r="A42" t="inlineStr">
        <is>
          <t>Payables</t>
        </is>
      </c>
      <c r="B42" s="3" t="n">
        <v>748721000</v>
      </c>
      <c r="C42" s="3" t="n">
        <v>558515000</v>
      </c>
      <c r="D42" s="3" t="n">
        <v>530200000</v>
      </c>
      <c r="E42" s="3" t="n">
        <v>529065000</v>
      </c>
      <c r="F42" s="3" t="n">
        <v>557893000</v>
      </c>
      <c r="G42" s="3" t="n"/>
      <c r="H42" s="3" t="n"/>
    </row>
    <row r="43">
      <c r="A43" t="inlineStr">
        <is>
          <t>Other Payable</t>
        </is>
      </c>
      <c r="B43" s="3" t="n"/>
      <c r="C43" s="3" t="n"/>
      <c r="D43" s="3" t="n">
        <v>400000</v>
      </c>
      <c r="E43" s="3" t="n">
        <v>845000</v>
      </c>
      <c r="F43" s="3" t="n">
        <v>1857000</v>
      </c>
      <c r="G43" s="3" t="n">
        <v>1597000</v>
      </c>
      <c r="H43" s="3" t="n">
        <v>31000</v>
      </c>
    </row>
    <row r="44">
      <c r="A44" t="inlineStr">
        <is>
          <t>Dueto Related Parties Current</t>
        </is>
      </c>
      <c r="B44" s="3" t="n">
        <v>138084000</v>
      </c>
      <c r="C44" s="3" t="n">
        <v>101454000</v>
      </c>
      <c r="D44" s="3" t="n">
        <v>104448000</v>
      </c>
      <c r="E44" s="3" t="n">
        <v>107293000</v>
      </c>
      <c r="F44" s="3" t="n">
        <v>118262000</v>
      </c>
      <c r="G44" s="3" t="n"/>
      <c r="H44" s="3" t="n"/>
    </row>
    <row r="45">
      <c r="A45" t="inlineStr">
        <is>
          <t>Dividends Payable</t>
        </is>
      </c>
      <c r="B45" s="3" t="n">
        <v>521927000</v>
      </c>
      <c r="C45" s="3" t="n">
        <v>384777000</v>
      </c>
      <c r="D45" s="3" t="n">
        <v>361255000</v>
      </c>
      <c r="E45" s="3" t="n">
        <v>364053000</v>
      </c>
      <c r="F45" s="3" t="n">
        <v>364219000</v>
      </c>
      <c r="G45" s="3" t="n"/>
      <c r="H45" s="3" t="n"/>
    </row>
    <row r="46">
      <c r="A46" t="inlineStr">
        <is>
          <t>Total Tax Payable</t>
        </is>
      </c>
      <c r="B46" s="3" t="n">
        <v>10745000</v>
      </c>
      <c r="C46" s="3" t="n">
        <v>22770000</v>
      </c>
      <c r="D46" s="3" t="n">
        <v>3010000</v>
      </c>
      <c r="E46" s="3" t="n">
        <v>16973000</v>
      </c>
      <c r="F46" s="3" t="n">
        <v>18287000</v>
      </c>
      <c r="G46" s="3" t="n"/>
      <c r="H46" s="3" t="n"/>
    </row>
    <row r="47">
      <c r="A47" t="inlineStr">
        <is>
          <t>Accounts Payable</t>
        </is>
      </c>
      <c r="B47" s="3" t="n">
        <v>77965000</v>
      </c>
      <c r="C47" s="3" t="n">
        <v>49514000</v>
      </c>
      <c r="D47" s="3" t="n">
        <v>61087000</v>
      </c>
      <c r="E47" s="3" t="n">
        <v>39901000</v>
      </c>
      <c r="F47" s="3" t="n">
        <v>55268000</v>
      </c>
      <c r="G47" s="3" t="n"/>
      <c r="H47" s="3" t="n"/>
    </row>
    <row r="48">
      <c r="A48" t="inlineStr">
        <is>
          <t>Total Assets</t>
        </is>
      </c>
      <c r="B48" s="3" t="n">
        <v>15349446000</v>
      </c>
      <c r="C48" s="3" t="n">
        <v>13245407000</v>
      </c>
      <c r="D48" s="3" t="n">
        <v>12912057000</v>
      </c>
      <c r="E48" s="3" t="n">
        <v>12766073000</v>
      </c>
      <c r="F48" s="3" t="n">
        <v>13049321000</v>
      </c>
      <c r="G48" s="3" t="n"/>
      <c r="H48" s="3" t="n"/>
    </row>
    <row r="49">
      <c r="A49" t="inlineStr">
        <is>
          <t>Total Non Current Assets</t>
        </is>
      </c>
      <c r="B49" s="3" t="n">
        <v>14671518000</v>
      </c>
      <c r="C49" s="3" t="n">
        <v>12413627000</v>
      </c>
      <c r="D49" s="3" t="n">
        <v>12484263000</v>
      </c>
      <c r="E49" s="3" t="n">
        <v>12338539000</v>
      </c>
      <c r="F49" s="3" t="n">
        <v>12474536000</v>
      </c>
      <c r="G49" s="3" t="n"/>
      <c r="H49" s="3" t="n"/>
    </row>
    <row r="50">
      <c r="A50" t="inlineStr">
        <is>
          <t>Other Non Current Assets</t>
        </is>
      </c>
      <c r="B50" s="3" t="n">
        <v>68054000</v>
      </c>
      <c r="C50" s="3" t="n">
        <v>817629000</v>
      </c>
      <c r="D50" s="3" t="n">
        <v>46245000</v>
      </c>
      <c r="E50" s="3" t="n">
        <v>35495000</v>
      </c>
      <c r="F50" s="3" t="n">
        <v>35471000</v>
      </c>
      <c r="G50" s="3" t="n"/>
      <c r="H50" s="3" t="n"/>
    </row>
    <row r="51">
      <c r="A51" t="inlineStr">
        <is>
          <t>Financial Assets</t>
        </is>
      </c>
      <c r="B51" s="3" t="n">
        <v>50812000</v>
      </c>
      <c r="C51" s="3" t="n">
        <v>12524000</v>
      </c>
      <c r="D51" s="3" t="n">
        <v>638000</v>
      </c>
      <c r="E51" s="3" t="n">
        <v>947000</v>
      </c>
      <c r="F51" s="3" t="n">
        <v>778000</v>
      </c>
      <c r="G51" s="3" t="n"/>
      <c r="H51" s="3" t="n"/>
    </row>
    <row r="52">
      <c r="A52" t="inlineStr">
        <is>
          <t>Investments And Advances</t>
        </is>
      </c>
      <c r="B52" s="3" t="n">
        <v>253164000</v>
      </c>
      <c r="C52" s="3" t="n">
        <v>245653000</v>
      </c>
      <c r="D52" s="3" t="n">
        <v>256496000</v>
      </c>
      <c r="E52" s="3" t="n">
        <v>249163000</v>
      </c>
      <c r="F52" s="3" t="n">
        <v>239672000</v>
      </c>
      <c r="G52" s="3" t="n"/>
      <c r="H52" s="3" t="n"/>
    </row>
    <row r="53">
      <c r="A53" t="inlineStr">
        <is>
          <t>Long Term Equity Investment</t>
        </is>
      </c>
      <c r="B53" s="3" t="n">
        <v>253164000</v>
      </c>
      <c r="C53" s="3" t="n">
        <v>245653000</v>
      </c>
      <c r="D53" s="3" t="n">
        <v>256496000</v>
      </c>
      <c r="E53" s="3" t="n">
        <v>249163000</v>
      </c>
      <c r="F53" s="3" t="n">
        <v>239672000</v>
      </c>
      <c r="G53" s="3" t="n"/>
      <c r="H53" s="3" t="n"/>
    </row>
    <row r="54">
      <c r="A54" t="inlineStr">
        <is>
          <t>Investmentsin Associatesat Cost</t>
        </is>
      </c>
      <c r="B54" s="3" t="n"/>
      <c r="C54" s="3" t="n"/>
      <c r="D54" s="3" t="n">
        <v>256496000</v>
      </c>
      <c r="E54" s="3" t="n"/>
      <c r="F54" s="3" t="n">
        <v>239672000</v>
      </c>
      <c r="G54" s="3" t="n"/>
      <c r="H54" s="3" t="n">
        <v>226860000</v>
      </c>
    </row>
    <row r="55">
      <c r="A55" t="inlineStr">
        <is>
          <t>Net PPE</t>
        </is>
      </c>
      <c r="B55" s="3" t="n">
        <v>14299488000</v>
      </c>
      <c r="C55" s="3" t="n">
        <v>11337821000</v>
      </c>
      <c r="D55" s="3" t="n">
        <v>12180884000</v>
      </c>
      <c r="E55" s="3" t="n">
        <v>12052934000</v>
      </c>
      <c r="F55" s="3" t="n">
        <v>12198615000</v>
      </c>
      <c r="G55" s="3" t="n"/>
      <c r="H55" s="3" t="n"/>
    </row>
    <row r="56">
      <c r="A56" t="inlineStr">
        <is>
          <t>Accumulated Depreciation</t>
        </is>
      </c>
      <c r="B56" s="3" t="n">
        <v>-5956634000</v>
      </c>
      <c r="C56" s="3" t="n">
        <v>-5753416000</v>
      </c>
      <c r="D56" s="3" t="n">
        <v>-5979676000</v>
      </c>
      <c r="E56" s="3" t="n">
        <v>-5883318000</v>
      </c>
      <c r="F56" s="3" t="n">
        <v>-5768456000</v>
      </c>
      <c r="G56" s="3" t="n"/>
      <c r="H56" s="3" t="n"/>
    </row>
    <row r="57">
      <c r="A57" t="inlineStr">
        <is>
          <t>Gross PPE</t>
        </is>
      </c>
      <c r="B57" s="3" t="n">
        <v>20256122000</v>
      </c>
      <c r="C57" s="3" t="n">
        <v>17091237000</v>
      </c>
      <c r="D57" s="3" t="n">
        <v>18160560000</v>
      </c>
      <c r="E57" s="3" t="n">
        <v>17936252000</v>
      </c>
      <c r="F57" s="3" t="n">
        <v>17967071000</v>
      </c>
      <c r="G57" s="3" t="n"/>
      <c r="H57" s="3" t="n"/>
    </row>
    <row r="58">
      <c r="A58" t="inlineStr">
        <is>
          <t>Other Properties</t>
        </is>
      </c>
      <c r="B58" s="3" t="n">
        <v>118728000</v>
      </c>
      <c r="C58" s="3" t="n">
        <v>113020000</v>
      </c>
      <c r="D58" s="3" t="n">
        <v>111811000</v>
      </c>
      <c r="E58" s="3" t="n">
        <v>109318000</v>
      </c>
      <c r="F58" s="3" t="n">
        <v>107378000</v>
      </c>
      <c r="G58" s="3" t="n"/>
      <c r="H58" s="3" t="n"/>
    </row>
    <row r="59">
      <c r="A59" t="inlineStr">
        <is>
          <t>Machinery Furniture Equipment</t>
        </is>
      </c>
      <c r="B59" s="3" t="n">
        <v>1083259000</v>
      </c>
      <c r="C59" s="3" t="n">
        <v>1137068000</v>
      </c>
      <c r="D59" s="3" t="n">
        <v>1192814000</v>
      </c>
      <c r="E59" s="3" t="n">
        <v>1249986000</v>
      </c>
      <c r="F59" s="3" t="n">
        <v>1307425000</v>
      </c>
      <c r="G59" s="3" t="n"/>
      <c r="H59" s="3" t="n"/>
    </row>
    <row r="60">
      <c r="A60" t="inlineStr">
        <is>
          <t>Buildings And Improvements</t>
        </is>
      </c>
      <c r="B60" s="3" t="n">
        <v>27102000</v>
      </c>
      <c r="C60" s="3" t="n">
        <v>28400000</v>
      </c>
      <c r="D60" s="3" t="n">
        <v>29687000</v>
      </c>
      <c r="E60" s="3" t="n">
        <v>30955000</v>
      </c>
      <c r="F60" s="3" t="n">
        <v>32133000</v>
      </c>
      <c r="G60" s="3" t="n"/>
      <c r="H60" s="3" t="n"/>
    </row>
    <row r="61">
      <c r="A61" t="inlineStr">
        <is>
          <t>Current Assets</t>
        </is>
      </c>
      <c r="B61" s="3" t="n">
        <v>677928000</v>
      </c>
      <c r="C61" s="3" t="n">
        <v>831780000</v>
      </c>
      <c r="D61" s="3" t="n">
        <v>427794000</v>
      </c>
      <c r="E61" s="3" t="n">
        <v>427534000</v>
      </c>
      <c r="F61" s="3" t="n">
        <v>574785000</v>
      </c>
      <c r="G61" s="3" t="n"/>
      <c r="H61" s="3" t="n"/>
    </row>
    <row r="62">
      <c r="A62" t="inlineStr">
        <is>
          <t>Other Current Assets</t>
        </is>
      </c>
      <c r="B62" s="3" t="n">
        <v>14273000</v>
      </c>
      <c r="C62" s="3" t="n">
        <v>10818000</v>
      </c>
      <c r="D62" s="3" t="n">
        <v>7001000</v>
      </c>
      <c r="E62" s="3" t="n">
        <v>17261000</v>
      </c>
      <c r="F62" s="3" t="n">
        <v>7967000</v>
      </c>
      <c r="G62" s="3" t="n"/>
      <c r="H62" s="3" t="n"/>
    </row>
    <row r="63">
      <c r="A63" t="inlineStr">
        <is>
          <t>Hedging Assets Current</t>
        </is>
      </c>
      <c r="B63" s="3" t="n">
        <v>163386000</v>
      </c>
      <c r="C63" s="3" t="n">
        <v>68913000</v>
      </c>
      <c r="D63" s="3" t="n">
        <v>17423000</v>
      </c>
      <c r="E63" s="3" t="n">
        <v>1137000</v>
      </c>
      <c r="F63" s="3" t="n">
        <v>358000</v>
      </c>
      <c r="G63" s="3" t="n"/>
      <c r="H63" s="3" t="n"/>
    </row>
    <row r="64">
      <c r="A64" t="inlineStr">
        <is>
          <t>Assets Held For Sale Current</t>
        </is>
      </c>
      <c r="B64" s="3" t="n">
        <v>0</v>
      </c>
      <c r="C64" s="3" t="n">
        <v>20269000</v>
      </c>
      <c r="D64" s="3" t="n"/>
      <c r="E64" s="3" t="n"/>
      <c r="F64" s="3" t="n"/>
      <c r="G64" s="3" t="n">
        <v>0</v>
      </c>
      <c r="H64" s="3" t="n"/>
    </row>
    <row r="65">
      <c r="A65" t="inlineStr">
        <is>
          <t>Restricted Cash</t>
        </is>
      </c>
      <c r="B65" s="3" t="n">
        <v>0</v>
      </c>
      <c r="C65" s="3" t="n">
        <v>210000000</v>
      </c>
      <c r="D65" s="3" t="n"/>
      <c r="E65" s="3" t="n"/>
      <c r="F65" s="3" t="n"/>
      <c r="G65" s="3" t="n">
        <v>0</v>
      </c>
      <c r="H65" s="3" t="n"/>
    </row>
    <row r="66">
      <c r="A66" t="inlineStr">
        <is>
          <t>Prepaid Assets</t>
        </is>
      </c>
      <c r="B66" s="3" t="n">
        <v>13621000</v>
      </c>
      <c r="C66" s="3" t="n">
        <v>14554000</v>
      </c>
      <c r="D66" s="3" t="n">
        <v>9347000</v>
      </c>
      <c r="E66" s="3" t="n">
        <v>9591000</v>
      </c>
      <c r="F66" s="3" t="n">
        <v>12693000</v>
      </c>
      <c r="G66" s="3" t="n"/>
      <c r="H66" s="3" t="n"/>
    </row>
    <row r="67">
      <c r="A67" t="inlineStr">
        <is>
          <t>Receivables</t>
        </is>
      </c>
      <c r="B67" s="3" t="n">
        <v>486648000</v>
      </c>
      <c r="C67" s="3" t="n">
        <v>507226000</v>
      </c>
      <c r="D67" s="3" t="n">
        <v>394023000</v>
      </c>
      <c r="E67" s="3" t="n">
        <v>399545000</v>
      </c>
      <c r="F67" s="3" t="n">
        <v>553767000</v>
      </c>
      <c r="G67" s="3" t="n"/>
      <c r="H67" s="3" t="n"/>
    </row>
    <row r="68">
      <c r="A68" t="inlineStr">
        <is>
          <t>Other Receivables</t>
        </is>
      </c>
      <c r="B68" s="3" t="n">
        <v>454199000</v>
      </c>
      <c r="C68" s="3" t="n">
        <v>473453000</v>
      </c>
      <c r="D68" s="3" t="n">
        <v>356875000</v>
      </c>
      <c r="E68" s="3" t="n">
        <v>367895000</v>
      </c>
      <c r="F68" s="3" t="n">
        <v>513382000</v>
      </c>
      <c r="G68" s="3" t="n"/>
      <c r="H68" s="3" t="n"/>
    </row>
    <row r="69">
      <c r="A69" t="inlineStr">
        <is>
          <t>Accounts Receivable</t>
        </is>
      </c>
      <c r="B69" s="3" t="n">
        <v>32449000</v>
      </c>
      <c r="C69" s="3" t="n">
        <v>33773000</v>
      </c>
      <c r="D69" s="3" t="n">
        <v>37148000</v>
      </c>
      <c r="E69" s="3" t="n">
        <v>31650000</v>
      </c>
      <c r="F69" s="3" t="n">
        <v>40385000</v>
      </c>
      <c r="G69" s="3" t="n"/>
      <c r="H69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1243148000</v>
      </c>
      <c r="C2" s="3" t="n">
        <v>747364000</v>
      </c>
      <c r="D2" s="3" t="n">
        <v>827204000</v>
      </c>
      <c r="E2" s="3" t="n">
        <v>2888020000</v>
      </c>
      <c r="F2" s="3" t="n"/>
    </row>
    <row r="3">
      <c r="A3" t="inlineStr">
        <is>
          <t>Repurchase Of Capital Stock</t>
        </is>
      </c>
      <c r="B3" s="3" t="n">
        <v>-136404000</v>
      </c>
      <c r="C3" s="3" t="n">
        <v>0</v>
      </c>
      <c r="D3" s="3" t="n">
        <v>-75355000</v>
      </c>
      <c r="E3" s="3" t="n">
        <v>-873744000</v>
      </c>
      <c r="F3" s="3" t="n"/>
    </row>
    <row r="4">
      <c r="A4" t="inlineStr">
        <is>
          <t>Repayment Of Debt</t>
        </is>
      </c>
      <c r="B4" s="3" t="n">
        <v>-5005333000</v>
      </c>
      <c r="C4" s="3" t="n">
        <v>-4154900000</v>
      </c>
      <c r="D4" s="3" t="n">
        <v>-4119374000</v>
      </c>
      <c r="E4" s="3" t="n">
        <v>-7301828000</v>
      </c>
      <c r="F4" s="3" t="n"/>
    </row>
    <row r="5">
      <c r="A5" t="inlineStr">
        <is>
          <t>Issuance Of Debt</t>
        </is>
      </c>
      <c r="B5" s="3" t="n">
        <v>4909000000</v>
      </c>
      <c r="C5" s="3" t="n">
        <v>4130900000</v>
      </c>
      <c r="D5" s="3" t="n">
        <v>4501400000</v>
      </c>
      <c r="E5" s="3" t="n">
        <v>6308900000</v>
      </c>
      <c r="F5" s="3" t="n"/>
    </row>
    <row r="6">
      <c r="A6" t="inlineStr">
        <is>
          <t>Capital Expenditure</t>
        </is>
      </c>
      <c r="B6" s="3" t="n">
        <v>-387782000</v>
      </c>
      <c r="C6" s="3" t="n">
        <v>-101924000</v>
      </c>
      <c r="D6" s="3" t="n">
        <v>-167517000</v>
      </c>
      <c r="E6" s="3" t="n">
        <v>-163322000</v>
      </c>
      <c r="F6" s="3" t="n"/>
    </row>
    <row r="7">
      <c r="A7" t="inlineStr">
        <is>
          <t>Interest Paid Supplemental Data</t>
        </is>
      </c>
      <c r="B7" s="3" t="n">
        <v>88079000</v>
      </c>
      <c r="C7" s="3" t="n">
        <v>120058000</v>
      </c>
      <c r="D7" s="3" t="n">
        <v>113910000</v>
      </c>
      <c r="E7" s="3" t="n">
        <v>155006000</v>
      </c>
      <c r="F7" s="3" t="n"/>
    </row>
    <row r="8">
      <c r="A8" t="inlineStr">
        <is>
          <t>End Cash Position</t>
        </is>
      </c>
      <c r="B8" s="3" t="n">
        <v>210000000</v>
      </c>
      <c r="C8" s="3" t="n">
        <v>0</v>
      </c>
      <c r="D8" s="3" t="n">
        <v>0</v>
      </c>
      <c r="E8" s="3" t="n">
        <v>0</v>
      </c>
      <c r="F8" s="3" t="n"/>
    </row>
    <row r="9">
      <c r="A9" t="inlineStr">
        <is>
          <t>Other Cash Adjustment Outside Changein Cash</t>
        </is>
      </c>
      <c r="B9" s="3" t="n"/>
      <c r="C9" s="3" t="n"/>
      <c r="D9" s="3" t="n"/>
      <c r="E9" s="3" t="n"/>
      <c r="F9" s="3" t="n">
        <v>0</v>
      </c>
    </row>
    <row r="10">
      <c r="A10" t="inlineStr">
        <is>
          <t>Beginning Cash Position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/>
    </row>
    <row r="11">
      <c r="A11" t="inlineStr">
        <is>
          <t>Changes In Cash</t>
        </is>
      </c>
      <c r="B11" s="3" t="n">
        <v>210000000</v>
      </c>
      <c r="C11" s="3" t="n"/>
      <c r="D11" s="3" t="n"/>
      <c r="E11" s="3" t="n"/>
      <c r="F11" s="3" t="n"/>
    </row>
    <row r="12">
      <c r="A12" t="inlineStr">
        <is>
          <t>Financing Cash Flow</t>
        </is>
      </c>
      <c r="B12" s="3" t="n">
        <v>-343117000</v>
      </c>
      <c r="C12" s="3" t="n">
        <v>-135135000</v>
      </c>
      <c r="D12" s="3" t="n">
        <v>146046000</v>
      </c>
      <c r="E12" s="3" t="n">
        <v>-2107730000</v>
      </c>
      <c r="F12" s="3" t="n"/>
    </row>
    <row r="13">
      <c r="A13" t="inlineStr">
        <is>
          <t>Cash Flow From Continuing Financing Activities</t>
        </is>
      </c>
      <c r="B13" s="3" t="n">
        <v>-343117000</v>
      </c>
      <c r="C13" s="3" t="n">
        <v>-135135000</v>
      </c>
      <c r="D13" s="3" t="n">
        <v>146046000</v>
      </c>
      <c r="E13" s="3" t="n">
        <v>-2107730000</v>
      </c>
      <c r="F13" s="3" t="n"/>
    </row>
    <row r="14">
      <c r="A14" t="inlineStr">
        <is>
          <t>Net Other Financing Charges</t>
        </is>
      </c>
      <c r="B14" s="3" t="n">
        <v>-110380000</v>
      </c>
      <c r="C14" s="3" t="n">
        <v>-111135000</v>
      </c>
      <c r="D14" s="3" t="n">
        <v>-160625000</v>
      </c>
      <c r="E14" s="3" t="n">
        <v>-241058000</v>
      </c>
      <c r="F14" s="3" t="n"/>
    </row>
    <row r="15">
      <c r="A15" t="inlineStr">
        <is>
          <t>Net Common Stock Issuance</t>
        </is>
      </c>
      <c r="B15" s="3" t="n">
        <v>-136404000</v>
      </c>
      <c r="C15" s="3" t="n">
        <v>0</v>
      </c>
      <c r="D15" s="3" t="n">
        <v>-75355000</v>
      </c>
      <c r="E15" s="3" t="n">
        <v>-873744000</v>
      </c>
      <c r="F15" s="3" t="n"/>
    </row>
    <row r="16">
      <c r="A16" t="inlineStr">
        <is>
          <t>Common Stock Payments</t>
        </is>
      </c>
      <c r="B16" s="3" t="n">
        <v>-136404000</v>
      </c>
      <c r="C16" s="3" t="n">
        <v>0</v>
      </c>
      <c r="D16" s="3" t="n">
        <v>-75355000</v>
      </c>
      <c r="E16" s="3" t="n">
        <v>-873744000</v>
      </c>
      <c r="F16" s="3" t="n"/>
    </row>
    <row r="17">
      <c r="A17" t="inlineStr">
        <is>
          <t>Net Issuance Payments Of Debt</t>
        </is>
      </c>
      <c r="B17" s="3" t="n">
        <v>-96333000</v>
      </c>
      <c r="C17" s="3" t="n">
        <v>-24000000</v>
      </c>
      <c r="D17" s="3" t="n">
        <v>382026000</v>
      </c>
      <c r="E17" s="3" t="n">
        <v>-992928000</v>
      </c>
      <c r="F17" s="3" t="n"/>
    </row>
    <row r="18">
      <c r="A18" t="inlineStr">
        <is>
          <t>Net Short Term Debt Issuance</t>
        </is>
      </c>
      <c r="B18" s="3" t="n"/>
      <c r="C18" s="3" t="n"/>
      <c r="D18" s="3" t="n"/>
      <c r="E18" s="3" t="n">
        <v>34800000</v>
      </c>
      <c r="F18" s="3" t="n">
        <v>-1017000000</v>
      </c>
    </row>
    <row r="19">
      <c r="A19" t="inlineStr">
        <is>
          <t>Net Long Term Debt Issuance</t>
        </is>
      </c>
      <c r="B19" s="3" t="n">
        <v>-96333000</v>
      </c>
      <c r="C19" s="3" t="n">
        <v>-24000000</v>
      </c>
      <c r="D19" s="3" t="n">
        <v>382026000</v>
      </c>
      <c r="E19" s="3" t="n">
        <v>-992928000</v>
      </c>
      <c r="F19" s="3" t="n"/>
    </row>
    <row r="20">
      <c r="A20" t="inlineStr">
        <is>
          <t>Long Term Debt Payments</t>
        </is>
      </c>
      <c r="B20" s="3" t="n">
        <v>-5005333000</v>
      </c>
      <c r="C20" s="3" t="n">
        <v>-4154900000</v>
      </c>
      <c r="D20" s="3" t="n">
        <v>-4119374000</v>
      </c>
      <c r="E20" s="3" t="n">
        <v>-7301828000</v>
      </c>
      <c r="F20" s="3" t="n"/>
    </row>
    <row r="21">
      <c r="A21" t="inlineStr">
        <is>
          <t>Long Term Debt Issuance</t>
        </is>
      </c>
      <c r="B21" s="3" t="n">
        <v>4909000000</v>
      </c>
      <c r="C21" s="3" t="n">
        <v>4130900000</v>
      </c>
      <c r="D21" s="3" t="n">
        <v>4501400000</v>
      </c>
      <c r="E21" s="3" t="n">
        <v>6308900000</v>
      </c>
      <c r="F21" s="3" t="n"/>
    </row>
    <row r="22">
      <c r="A22" t="inlineStr">
        <is>
          <t>Investing Cash Flow</t>
        </is>
      </c>
      <c r="B22" s="3" t="n">
        <v>-1077813000</v>
      </c>
      <c r="C22" s="3" t="n">
        <v>-714153000</v>
      </c>
      <c r="D22" s="3" t="n">
        <v>-1140767000</v>
      </c>
      <c r="E22" s="3" t="n">
        <v>-943612000</v>
      </c>
      <c r="F22" s="3" t="n"/>
    </row>
    <row r="23">
      <c r="A23" t="inlineStr">
        <is>
          <t>Cash Flow From Continuing Investing Activities</t>
        </is>
      </c>
      <c r="B23" s="3" t="n">
        <v>-1077813000</v>
      </c>
      <c r="C23" s="3" t="n">
        <v>-714153000</v>
      </c>
      <c r="D23" s="3" t="n">
        <v>-1140767000</v>
      </c>
      <c r="E23" s="3" t="n">
        <v>-943612000</v>
      </c>
      <c r="F23" s="3" t="n"/>
    </row>
    <row r="24">
      <c r="A24" t="inlineStr">
        <is>
          <t>Net Other Investing Changes</t>
        </is>
      </c>
      <c r="B24" s="3" t="n">
        <v>-690031000</v>
      </c>
      <c r="C24" s="3" t="n">
        <v>-612229000</v>
      </c>
      <c r="D24" s="3" t="n">
        <v>-973250000</v>
      </c>
      <c r="E24" s="3" t="n">
        <v>-780290000</v>
      </c>
      <c r="F24" s="3" t="n"/>
    </row>
    <row r="25">
      <c r="A25" t="inlineStr">
        <is>
          <t>Net Business Purchase And Sale</t>
        </is>
      </c>
      <c r="B25" s="3" t="n"/>
      <c r="C25" s="3" t="n"/>
      <c r="D25" s="3" t="n"/>
      <c r="E25" s="3" t="n">
        <v>0</v>
      </c>
      <c r="F25" s="3" t="n">
        <v>0</v>
      </c>
    </row>
    <row r="26">
      <c r="A26" t="inlineStr">
        <is>
          <t>Sale Of Business</t>
        </is>
      </c>
      <c r="B26" s="3" t="n"/>
      <c r="C26" s="3" t="n"/>
      <c r="D26" s="3" t="n"/>
      <c r="E26" s="3" t="n">
        <v>0</v>
      </c>
      <c r="F26" s="3" t="n">
        <v>0</v>
      </c>
    </row>
    <row r="27">
      <c r="A27" t="inlineStr">
        <is>
          <t>Purchase Of Business</t>
        </is>
      </c>
      <c r="B27" s="3" t="n"/>
      <c r="C27" s="3" t="n"/>
      <c r="D27" s="3" t="n"/>
      <c r="E27" s="3" t="n"/>
      <c r="F27" s="3" t="n">
        <v>0</v>
      </c>
    </row>
    <row r="28">
      <c r="A28" t="inlineStr">
        <is>
          <t>Net PPE Purchase And Sale</t>
        </is>
      </c>
      <c r="B28" s="3" t="n">
        <v>-387782000</v>
      </c>
      <c r="C28" s="3" t="n">
        <v>-101924000</v>
      </c>
      <c r="D28" s="3" t="n">
        <v>-167517000</v>
      </c>
      <c r="E28" s="3" t="n">
        <v>-163322000</v>
      </c>
      <c r="F28" s="3" t="n"/>
    </row>
    <row r="29">
      <c r="A29" t="inlineStr">
        <is>
          <t>Purchase Of PPE</t>
        </is>
      </c>
      <c r="B29" s="3" t="n">
        <v>-387782000</v>
      </c>
      <c r="C29" s="3" t="n">
        <v>-101924000</v>
      </c>
      <c r="D29" s="3" t="n">
        <v>-167517000</v>
      </c>
      <c r="E29" s="3" t="n">
        <v>-163322000</v>
      </c>
      <c r="F29" s="3" t="n"/>
    </row>
    <row r="30">
      <c r="A30" t="inlineStr">
        <is>
          <t>Operating Cash Flow</t>
        </is>
      </c>
      <c r="B30" s="3" t="n">
        <v>1630930000</v>
      </c>
      <c r="C30" s="3" t="n">
        <v>849288000</v>
      </c>
      <c r="D30" s="3" t="n">
        <v>994721000</v>
      </c>
      <c r="E30" s="3" t="n">
        <v>3051342000</v>
      </c>
      <c r="F30" s="3" t="n"/>
    </row>
    <row r="31">
      <c r="A31" t="inlineStr">
        <is>
          <t>Cash Flow From Continuing Operating Activities</t>
        </is>
      </c>
      <c r="B31" s="3" t="n">
        <v>1630930000</v>
      </c>
      <c r="C31" s="3" t="n">
        <v>849288000</v>
      </c>
      <c r="D31" s="3" t="n">
        <v>994721000</v>
      </c>
      <c r="E31" s="3" t="n">
        <v>3051342000</v>
      </c>
      <c r="F31" s="3" t="n"/>
    </row>
    <row r="32">
      <c r="A32" t="inlineStr">
        <is>
          <t>Dividend Received Cfo</t>
        </is>
      </c>
      <c r="B32" s="3" t="n">
        <v>125255000</v>
      </c>
      <c r="C32" s="3" t="n">
        <v>125197000</v>
      </c>
      <c r="D32" s="3" t="n">
        <v>125138000</v>
      </c>
      <c r="E32" s="3" t="n">
        <v>125138000</v>
      </c>
      <c r="F32" s="3" t="n"/>
    </row>
    <row r="33">
      <c r="A33" t="inlineStr">
        <is>
          <t>Change In Working Capital</t>
        </is>
      </c>
      <c r="B33" s="3" t="n">
        <v>5872000</v>
      </c>
      <c r="C33" s="3" t="n">
        <v>-24806000</v>
      </c>
      <c r="D33" s="3" t="n">
        <v>143278000</v>
      </c>
      <c r="E33" s="3" t="n">
        <v>-62808000</v>
      </c>
      <c r="F33" s="3" t="n"/>
    </row>
    <row r="34">
      <c r="A34" t="inlineStr">
        <is>
          <t>Change In Other Current Liabilities</t>
        </is>
      </c>
      <c r="B34" s="3" t="n">
        <v>13597000</v>
      </c>
      <c r="C34" s="3" t="n">
        <v>3180000</v>
      </c>
      <c r="D34" s="3" t="n">
        <v>-357000</v>
      </c>
      <c r="E34" s="3" t="n">
        <v>-12636000</v>
      </c>
      <c r="F34" s="3" t="n"/>
    </row>
    <row r="35">
      <c r="A35" t="inlineStr">
        <is>
          <t>Change In Other Current Assets</t>
        </is>
      </c>
      <c r="B35" s="3" t="n"/>
      <c r="C35" s="3" t="n"/>
      <c r="D35" s="3" t="n"/>
      <c r="E35" s="3" t="n"/>
      <c r="F35" s="3" t="n">
        <v>316000</v>
      </c>
    </row>
    <row r="36">
      <c r="A36" t="inlineStr">
        <is>
          <t>Change In Payables And Accrued Expense</t>
        </is>
      </c>
      <c r="B36" s="3" t="n">
        <v>38646000</v>
      </c>
      <c r="C36" s="3" t="n">
        <v>-9268000</v>
      </c>
      <c r="D36" s="3" t="n">
        <v>-185685000</v>
      </c>
      <c r="E36" s="3" t="n">
        <v>50091000</v>
      </c>
      <c r="F36" s="3" t="n"/>
    </row>
    <row r="37">
      <c r="A37" t="inlineStr">
        <is>
          <t>Change In Accrued Expense</t>
        </is>
      </c>
      <c r="B37" s="3" t="n">
        <v>-44984000</v>
      </c>
      <c r="C37" s="3" t="n">
        <v>1280000</v>
      </c>
      <c r="D37" s="3" t="n">
        <v>-62419000</v>
      </c>
      <c r="E37" s="3" t="n">
        <v>-5620000</v>
      </c>
      <c r="F37" s="3" t="n"/>
    </row>
    <row r="38">
      <c r="A38" t="inlineStr">
        <is>
          <t>Change In Payable</t>
        </is>
      </c>
      <c r="B38" s="3" t="n">
        <v>83630000</v>
      </c>
      <c r="C38" s="3" t="n">
        <v>-10548000</v>
      </c>
      <c r="D38" s="3" t="n">
        <v>-123266000</v>
      </c>
      <c r="E38" s="3" t="n">
        <v>55711000</v>
      </c>
      <c r="F38" s="3" t="n"/>
    </row>
    <row r="39">
      <c r="A39" t="inlineStr">
        <is>
          <t>Change In Dividend Payable</t>
        </is>
      </c>
      <c r="B39" s="3" t="n">
        <v>85975000</v>
      </c>
      <c r="C39" s="3" t="n">
        <v>-45849000</v>
      </c>
      <c r="D39" s="3" t="n">
        <v>-106429000</v>
      </c>
      <c r="E39" s="3" t="n">
        <v>23337000</v>
      </c>
      <c r="F39" s="3" t="n"/>
    </row>
    <row r="40">
      <c r="A40" t="inlineStr">
        <is>
          <t>Change In Account Payable</t>
        </is>
      </c>
      <c r="B40" s="3" t="n">
        <v>-2345000</v>
      </c>
      <c r="C40" s="3" t="n">
        <v>35301000</v>
      </c>
      <c r="D40" s="3" t="n">
        <v>-16837000</v>
      </c>
      <c r="E40" s="3" t="n">
        <v>32374000</v>
      </c>
      <c r="F40" s="3" t="n"/>
    </row>
    <row r="41">
      <c r="A41" t="inlineStr">
        <is>
          <t>Change In Prepaid Assets</t>
        </is>
      </c>
      <c r="B41" s="3" t="n">
        <v>-6990000</v>
      </c>
      <c r="C41" s="3" t="n">
        <v>8680000</v>
      </c>
      <c r="D41" s="3" t="n">
        <v>14890000</v>
      </c>
      <c r="E41" s="3" t="n">
        <v>-27530000</v>
      </c>
      <c r="F41" s="3" t="n"/>
    </row>
    <row r="42">
      <c r="A42" t="inlineStr">
        <is>
          <t>Change In Receivables</t>
        </is>
      </c>
      <c r="B42" s="3" t="n">
        <v>-39381000</v>
      </c>
      <c r="C42" s="3" t="n">
        <v>-27398000</v>
      </c>
      <c r="D42" s="3" t="n">
        <v>314430000</v>
      </c>
      <c r="E42" s="3" t="n">
        <v>-72733000</v>
      </c>
      <c r="F42" s="3" t="n"/>
    </row>
    <row r="43">
      <c r="A43" t="inlineStr">
        <is>
          <t>Changes In Account Receivables</t>
        </is>
      </c>
      <c r="B43" s="3" t="n">
        <v>-142000</v>
      </c>
      <c r="C43" s="3" t="n">
        <v>25410000</v>
      </c>
      <c r="D43" s="3" t="n">
        <v>7550000</v>
      </c>
      <c r="E43" s="3" t="n">
        <v>43510000</v>
      </c>
      <c r="F43" s="3" t="n"/>
    </row>
    <row r="44">
      <c r="A44" t="inlineStr">
        <is>
          <t>Other Non Cash Items</t>
        </is>
      </c>
      <c r="B44" s="3" t="n">
        <v>-9227000</v>
      </c>
      <c r="C44" s="3" t="n">
        <v>-22908000</v>
      </c>
      <c r="D44" s="3" t="n">
        <v>-218871000</v>
      </c>
      <c r="E44" s="3" t="n">
        <v>-34148000</v>
      </c>
      <c r="F44" s="3" t="n"/>
    </row>
    <row r="45">
      <c r="A45" t="inlineStr">
        <is>
          <t>Stock Based Compensation</t>
        </is>
      </c>
      <c r="B45" s="3" t="n">
        <v>60812000</v>
      </c>
      <c r="C45" s="3" t="n">
        <v>66462000</v>
      </c>
      <c r="D45" s="3" t="n">
        <v>59519000</v>
      </c>
      <c r="E45" s="3" t="n">
        <v>35443000</v>
      </c>
      <c r="F45" s="3" t="n"/>
    </row>
    <row r="46">
      <c r="A46" t="inlineStr">
        <is>
          <t>Asset Impairment Charge</t>
        </is>
      </c>
      <c r="B46" s="3" t="n">
        <v>29358000</v>
      </c>
      <c r="C46" s="3" t="n">
        <v>47433000</v>
      </c>
      <c r="D46" s="3" t="n">
        <v>51302000</v>
      </c>
      <c r="E46" s="3" t="n">
        <v>149731000</v>
      </c>
      <c r="F46" s="3" t="n"/>
    </row>
    <row r="47">
      <c r="A47" t="inlineStr">
        <is>
          <t>Deferred Tax</t>
        </is>
      </c>
      <c r="B47" s="3" t="n">
        <v>213965000</v>
      </c>
      <c r="C47" s="3" t="n">
        <v>-118640000</v>
      </c>
      <c r="D47" s="3" t="n">
        <v>62039000</v>
      </c>
      <c r="E47" s="3" t="n">
        <v>440417000</v>
      </c>
      <c r="F47" s="3" t="n"/>
    </row>
    <row r="48">
      <c r="A48" t="inlineStr">
        <is>
          <t>Deferred Income Tax</t>
        </is>
      </c>
      <c r="B48" s="3" t="n">
        <v>213965000</v>
      </c>
      <c r="C48" s="3" t="n">
        <v>-118640000</v>
      </c>
      <c r="D48" s="3" t="n">
        <v>62039000</v>
      </c>
      <c r="E48" s="3" t="n">
        <v>440417000</v>
      </c>
      <c r="F48" s="3" t="n"/>
    </row>
    <row r="49">
      <c r="A49" t="inlineStr">
        <is>
          <t>Depreciation Amortization Depletion</t>
        </is>
      </c>
      <c r="B49" s="3" t="n">
        <v>753567000</v>
      </c>
      <c r="C49" s="3" t="n">
        <v>765827000</v>
      </c>
      <c r="D49" s="3" t="n">
        <v>750093000</v>
      </c>
      <c r="E49" s="3" t="n">
        <v>719790000</v>
      </c>
      <c r="F49" s="3" t="n"/>
    </row>
    <row r="50">
      <c r="A50" t="inlineStr">
        <is>
          <t>Depletion</t>
        </is>
      </c>
      <c r="B50" s="3" t="n">
        <v>753567000</v>
      </c>
      <c r="C50" s="3" t="n">
        <v>765827000</v>
      </c>
      <c r="D50" s="3" t="n">
        <v>750093000</v>
      </c>
      <c r="E50" s="3" t="n">
        <v>719790000</v>
      </c>
      <c r="F50" s="3" t="n"/>
    </row>
    <row r="51">
      <c r="A51" t="inlineStr">
        <is>
          <t>Operating Gains Losses</t>
        </is>
      </c>
      <c r="B51" s="3" t="n">
        <v>-223239000</v>
      </c>
      <c r="C51" s="3" t="n">
        <v>-82974000</v>
      </c>
      <c r="D51" s="3" t="n">
        <v>-275106000</v>
      </c>
      <c r="E51" s="3" t="n">
        <v>-321058000</v>
      </c>
      <c r="F51" s="3" t="n"/>
    </row>
    <row r="52">
      <c r="A52" t="inlineStr">
        <is>
          <t>Earnings Losses From Equity Investments</t>
        </is>
      </c>
      <c r="B52" s="3" t="n">
        <v>-98484000</v>
      </c>
      <c r="C52" s="3" t="n">
        <v>-93787000</v>
      </c>
      <c r="D52" s="3" t="n">
        <v>-82952000</v>
      </c>
      <c r="E52" s="3" t="n">
        <v>-72327000</v>
      </c>
      <c r="F52" s="3" t="n"/>
    </row>
    <row r="53">
      <c r="A53" t="inlineStr">
        <is>
          <t>Gain Loss On Investment Securities</t>
        </is>
      </c>
      <c r="B53" s="3" t="n">
        <v>-128117000</v>
      </c>
      <c r="C53" s="3" t="n">
        <v>9423000</v>
      </c>
      <c r="D53" s="3" t="n">
        <v>-191707000</v>
      </c>
      <c r="E53" s="3" t="n">
        <v>-295229000</v>
      </c>
      <c r="F53" s="3" t="n"/>
    </row>
    <row r="54">
      <c r="A54" t="inlineStr">
        <is>
          <t>Gain Loss On Sale Of Business</t>
        </is>
      </c>
      <c r="B54" s="3" t="n"/>
      <c r="C54" s="3" t="n"/>
      <c r="D54" s="3" t="n"/>
      <c r="E54" s="3" t="n"/>
      <c r="F54" s="3" t="n">
        <v>0</v>
      </c>
    </row>
    <row r="55">
      <c r="A55" t="inlineStr">
        <is>
          <t>Net Income From Continuing Operations</t>
        </is>
      </c>
      <c r="B55" s="3" t="n">
        <v>674567000</v>
      </c>
      <c r="C55" s="3" t="n">
        <v>93697000</v>
      </c>
      <c r="D55" s="3" t="n">
        <v>297329000</v>
      </c>
      <c r="E55" s="3" t="n">
        <v>1998837000</v>
      </c>
      <c r="F55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</row>
    <row r="2">
      <c r="A2" t="inlineStr">
        <is>
          <t>Free Cash Flow</t>
        </is>
      </c>
      <c r="B2" s="3" t="n">
        <v>829877000</v>
      </c>
      <c r="C2" s="3" t="n">
        <v>318034000</v>
      </c>
      <c r="D2" s="3" t="n">
        <v>33237000</v>
      </c>
      <c r="E2" s="3" t="n">
        <v>465149000</v>
      </c>
      <c r="F2" s="3" t="n">
        <v>426728000</v>
      </c>
    </row>
    <row r="3">
      <c r="A3" t="inlineStr">
        <is>
          <t>Repurchase Of Capital Stock</t>
        </is>
      </c>
      <c r="B3" s="3" t="n">
        <v>0</v>
      </c>
      <c r="C3" s="3" t="n">
        <v>-83000</v>
      </c>
      <c r="D3" s="3" t="n">
        <v>-51355000</v>
      </c>
      <c r="E3" s="3" t="n">
        <v>-74872000</v>
      </c>
      <c r="F3" s="3" t="n">
        <v>-10094000</v>
      </c>
    </row>
    <row r="4">
      <c r="A4" t="inlineStr">
        <is>
          <t>Repayment Of Debt</t>
        </is>
      </c>
      <c r="B4" s="3" t="n">
        <v>-3051897000</v>
      </c>
      <c r="C4" s="3" t="n">
        <v>-1176800000</v>
      </c>
      <c r="D4" s="3" t="n">
        <v>-1141800000</v>
      </c>
      <c r="E4" s="3" t="n">
        <v>-1171187000</v>
      </c>
      <c r="F4" s="3" t="n">
        <v>-1515546000</v>
      </c>
    </row>
    <row r="5">
      <c r="A5" t="inlineStr">
        <is>
          <t>Issuance Of Debt</t>
        </is>
      </c>
      <c r="B5" s="3" t="n">
        <v>4329800000</v>
      </c>
      <c r="C5" s="3" t="n">
        <v>1267200000</v>
      </c>
      <c r="D5" s="3" t="n">
        <v>1350000000</v>
      </c>
      <c r="E5" s="3" t="n">
        <v>983400000</v>
      </c>
      <c r="F5" s="3" t="n">
        <v>1308400000</v>
      </c>
    </row>
    <row r="6">
      <c r="A6" t="inlineStr">
        <is>
          <t>Capital Expenditure</t>
        </is>
      </c>
      <c r="B6" s="3" t="n">
        <v>-29181000</v>
      </c>
      <c r="C6" s="3" t="n">
        <v>-52709000</v>
      </c>
      <c r="D6" s="3" t="n">
        <v>-276853000</v>
      </c>
      <c r="E6" s="3" t="n">
        <v>-27209000</v>
      </c>
      <c r="F6" s="3" t="n">
        <v>-31011000</v>
      </c>
    </row>
    <row r="7">
      <c r="A7" t="inlineStr">
        <is>
          <t>Interest Paid Supplemental Data</t>
        </is>
      </c>
      <c r="B7" s="3" t="n">
        <v>50616000</v>
      </c>
      <c r="C7" s="3" t="n">
        <v>7170000</v>
      </c>
      <c r="D7" s="3" t="n">
        <v>32866000</v>
      </c>
      <c r="E7" s="3" t="n">
        <v>4965000</v>
      </c>
      <c r="F7" s="3" t="n">
        <v>43078000</v>
      </c>
    </row>
    <row r="8">
      <c r="A8" t="inlineStr">
        <is>
          <t>End Cash Position</t>
        </is>
      </c>
      <c r="B8" s="3" t="n">
        <v>0</v>
      </c>
      <c r="C8" s="3" t="n">
        <v>210000000</v>
      </c>
      <c r="D8" s="3" t="n">
        <v>0</v>
      </c>
      <c r="E8" s="3" t="n">
        <v>0</v>
      </c>
      <c r="F8" s="3" t="n">
        <v>0</v>
      </c>
    </row>
    <row r="9">
      <c r="A9" t="inlineStr">
        <is>
          <t>Beginning Cash Position</t>
        </is>
      </c>
      <c r="B9" s="3" t="n">
        <v>210000000</v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t="inlineStr">
        <is>
          <t>Changes In Cash</t>
        </is>
      </c>
      <c r="B10" s="3" t="n">
        <v>-210000000</v>
      </c>
      <c r="C10" s="3" t="n"/>
      <c r="D10" s="3" t="n"/>
      <c r="E10" s="3" t="n"/>
      <c r="F10" s="3" t="n"/>
    </row>
    <row r="11">
      <c r="A11" t="inlineStr">
        <is>
          <t>Financing Cash Flow</t>
        </is>
      </c>
      <c r="B11" s="3" t="n">
        <v>1214428000</v>
      </c>
      <c r="C11" s="3" t="n">
        <v>62881000</v>
      </c>
      <c r="D11" s="3" t="n">
        <v>138719000</v>
      </c>
      <c r="E11" s="3" t="n">
        <v>-294869000</v>
      </c>
      <c r="F11" s="3" t="n">
        <v>-249848000</v>
      </c>
    </row>
    <row r="12">
      <c r="A12" t="inlineStr">
        <is>
          <t>Cash Flow From Continuing Financing Activities</t>
        </is>
      </c>
      <c r="B12" s="3" t="n">
        <v>1214428000</v>
      </c>
      <c r="C12" s="3" t="n">
        <v>62881000</v>
      </c>
      <c r="D12" s="3" t="n">
        <v>138719000</v>
      </c>
      <c r="E12" s="3" t="n">
        <v>-294869000</v>
      </c>
      <c r="F12" s="3" t="n">
        <v>-249848000</v>
      </c>
    </row>
    <row r="13">
      <c r="A13" t="inlineStr">
        <is>
          <t>Net Other Financing Charges</t>
        </is>
      </c>
      <c r="B13" s="3" t="n">
        <v>-63475000</v>
      </c>
      <c r="C13" s="3" t="n">
        <v>-27436000</v>
      </c>
      <c r="D13" s="3" t="n">
        <v>-18126000</v>
      </c>
      <c r="E13" s="3" t="n">
        <v>-32210000</v>
      </c>
      <c r="F13" s="3" t="n">
        <v>-32608000</v>
      </c>
    </row>
    <row r="14">
      <c r="A14" t="inlineStr">
        <is>
          <t>Net Common Stock Issuance</t>
        </is>
      </c>
      <c r="B14" s="3" t="n">
        <v>0</v>
      </c>
      <c r="C14" s="3" t="n">
        <v>-83000</v>
      </c>
      <c r="D14" s="3" t="n">
        <v>-51355000</v>
      </c>
      <c r="E14" s="3" t="n">
        <v>-74872000</v>
      </c>
      <c r="F14" s="3" t="n">
        <v>-10094000</v>
      </c>
    </row>
    <row r="15">
      <c r="A15" t="inlineStr">
        <is>
          <t>Common Stock Payments</t>
        </is>
      </c>
      <c r="B15" s="3" t="n">
        <v>0</v>
      </c>
      <c r="C15" s="3" t="n">
        <v>-83000</v>
      </c>
      <c r="D15" s="3" t="n">
        <v>-51355000</v>
      </c>
      <c r="E15" s="3" t="n">
        <v>-74872000</v>
      </c>
      <c r="F15" s="3" t="n">
        <v>-10094000</v>
      </c>
    </row>
    <row r="16">
      <c r="A16" t="inlineStr">
        <is>
          <t>Net Issuance Payments Of Debt</t>
        </is>
      </c>
      <c r="B16" s="3" t="n">
        <v>1277903000</v>
      </c>
      <c r="C16" s="3" t="n">
        <v>90400000</v>
      </c>
      <c r="D16" s="3" t="n">
        <v>208200000</v>
      </c>
      <c r="E16" s="3" t="n">
        <v>-187787000</v>
      </c>
      <c r="F16" s="3" t="n">
        <v>-207146000</v>
      </c>
    </row>
    <row r="17">
      <c r="A17" t="inlineStr">
        <is>
          <t>Net Short Term Debt Issuance</t>
        </is>
      </c>
      <c r="B17" s="3" t="n"/>
      <c r="C17" s="3" t="n"/>
      <c r="D17" s="3" t="n"/>
      <c r="E17" s="3" t="n"/>
      <c r="F17" s="3" t="n">
        <v>-89100000</v>
      </c>
    </row>
    <row r="18">
      <c r="A18" t="inlineStr">
        <is>
          <t>Short Term Debt Payments</t>
        </is>
      </c>
      <c r="B18" s="3" t="n"/>
      <c r="C18" s="3" t="n"/>
      <c r="D18" s="3" t="n"/>
      <c r="E18" s="3" t="n"/>
      <c r="F18" s="3" t="n">
        <v>-1397500000</v>
      </c>
    </row>
    <row r="19">
      <c r="A19" t="inlineStr">
        <is>
          <t>Short Term Debt Issuance</t>
        </is>
      </c>
      <c r="B19" s="3" t="n"/>
      <c r="C19" s="3" t="n"/>
      <c r="D19" s="3" t="n"/>
      <c r="E19" s="3" t="n"/>
      <c r="F19" s="3" t="n">
        <v>1308400000</v>
      </c>
    </row>
    <row r="20">
      <c r="A20" t="inlineStr">
        <is>
          <t>Net Long Term Debt Issuance</t>
        </is>
      </c>
      <c r="B20" s="3" t="n">
        <v>1277903000</v>
      </c>
      <c r="C20" s="3" t="n">
        <v>90400000</v>
      </c>
      <c r="D20" s="3" t="n">
        <v>208200000</v>
      </c>
      <c r="E20" s="3" t="n">
        <v>-187787000</v>
      </c>
      <c r="F20" s="3" t="n">
        <v>-207146000</v>
      </c>
    </row>
    <row r="21">
      <c r="A21" t="inlineStr">
        <is>
          <t>Long Term Debt Payments</t>
        </is>
      </c>
      <c r="B21" s="3" t="n">
        <v>-3051897000</v>
      </c>
      <c r="C21" s="3" t="n">
        <v>-1176800000</v>
      </c>
      <c r="D21" s="3" t="n">
        <v>-1141800000</v>
      </c>
      <c r="E21" s="3" t="n">
        <v>-1171187000</v>
      </c>
      <c r="F21" s="3" t="n">
        <v>-1515546000</v>
      </c>
    </row>
    <row r="22">
      <c r="A22" t="inlineStr">
        <is>
          <t>Long Term Debt Issuance</t>
        </is>
      </c>
      <c r="B22" s="3" t="n">
        <v>4329800000</v>
      </c>
      <c r="C22" s="3" t="n">
        <v>1267200000</v>
      </c>
      <c r="D22" s="3" t="n">
        <v>1350000000</v>
      </c>
      <c r="E22" s="3" t="n">
        <v>983400000</v>
      </c>
      <c r="F22" s="3" t="n">
        <v>1308400000</v>
      </c>
    </row>
    <row r="23">
      <c r="A23" t="inlineStr">
        <is>
          <t>Investing Cash Flow</t>
        </is>
      </c>
      <c r="B23" s="3" t="n">
        <v>-2283486000</v>
      </c>
      <c r="C23" s="3" t="n">
        <v>-223624000</v>
      </c>
      <c r="D23" s="3" t="n">
        <v>-448809000</v>
      </c>
      <c r="E23" s="3" t="n">
        <v>-197489000</v>
      </c>
      <c r="F23" s="3" t="n">
        <v>-207891000</v>
      </c>
    </row>
    <row r="24">
      <c r="A24" t="inlineStr">
        <is>
          <t>Cash Flow From Continuing Investing Activities</t>
        </is>
      </c>
      <c r="B24" s="3" t="n">
        <v>-2283486000</v>
      </c>
      <c r="C24" s="3" t="n">
        <v>-223624000</v>
      </c>
      <c r="D24" s="3" t="n">
        <v>-448809000</v>
      </c>
      <c r="E24" s="3" t="n">
        <v>-197489000</v>
      </c>
      <c r="F24" s="3" t="n">
        <v>-207891000</v>
      </c>
    </row>
    <row r="25">
      <c r="A25" t="inlineStr">
        <is>
          <t>Net Other Investing Changes</t>
        </is>
      </c>
      <c r="B25" s="3" t="n">
        <v>540003000</v>
      </c>
      <c r="C25" s="3" t="n">
        <v>-170915000</v>
      </c>
      <c r="D25" s="3" t="n">
        <v>-171956000</v>
      </c>
      <c r="E25" s="3" t="n">
        <v>-170280000</v>
      </c>
      <c r="F25" s="3" t="n">
        <v>-176880000</v>
      </c>
    </row>
    <row r="26">
      <c r="A26" t="inlineStr">
        <is>
          <t>Net Business Purchase And Sale</t>
        </is>
      </c>
      <c r="B26" s="3" t="n">
        <v>-2794308000</v>
      </c>
      <c r="C26" s="3" t="n"/>
      <c r="D26" s="3" t="n"/>
      <c r="E26" s="3" t="n"/>
      <c r="F26" s="3" t="n">
        <v>0</v>
      </c>
    </row>
    <row r="27">
      <c r="A27" t="inlineStr">
        <is>
          <t>Purchase Of Business</t>
        </is>
      </c>
      <c r="B27" s="3" t="n">
        <v>-2794308000</v>
      </c>
      <c r="C27" s="3" t="n"/>
      <c r="D27" s="3" t="n"/>
      <c r="E27" s="3" t="n"/>
      <c r="F27" s="3" t="n">
        <v>0</v>
      </c>
    </row>
    <row r="28">
      <c r="A28" t="inlineStr">
        <is>
          <t>Net PPE Purchase And Sale</t>
        </is>
      </c>
      <c r="B28" s="3" t="n">
        <v>-29181000</v>
      </c>
      <c r="C28" s="3" t="n">
        <v>-52709000</v>
      </c>
      <c r="D28" s="3" t="n">
        <v>-276853000</v>
      </c>
      <c r="E28" s="3" t="n">
        <v>-27209000</v>
      </c>
      <c r="F28" s="3" t="n">
        <v>-31011000</v>
      </c>
    </row>
    <row r="29">
      <c r="A29" t="inlineStr">
        <is>
          <t>Purchase Of PPE</t>
        </is>
      </c>
      <c r="B29" s="3" t="n">
        <v>-29181000</v>
      </c>
      <c r="C29" s="3" t="n">
        <v>-52709000</v>
      </c>
      <c r="D29" s="3" t="n">
        <v>-276853000</v>
      </c>
      <c r="E29" s="3" t="n">
        <v>-27209000</v>
      </c>
      <c r="F29" s="3" t="n">
        <v>-31011000</v>
      </c>
    </row>
    <row r="30">
      <c r="A30" t="inlineStr">
        <is>
          <t>Operating Cash Flow</t>
        </is>
      </c>
      <c r="B30" s="3" t="n">
        <v>859058000</v>
      </c>
      <c r="C30" s="3" t="n">
        <v>370743000</v>
      </c>
      <c r="D30" s="3" t="n">
        <v>310090000</v>
      </c>
      <c r="E30" s="3" t="n">
        <v>492358000</v>
      </c>
      <c r="F30" s="3" t="n">
        <v>457739000</v>
      </c>
    </row>
    <row r="31">
      <c r="A31" t="inlineStr">
        <is>
          <t>Cash Flow From Continuing Operating Activities</t>
        </is>
      </c>
      <c r="B31" s="3" t="n">
        <v>859058000</v>
      </c>
      <c r="C31" s="3" t="n">
        <v>370743000</v>
      </c>
      <c r="D31" s="3" t="n">
        <v>310090000</v>
      </c>
      <c r="E31" s="3" t="n">
        <v>492358000</v>
      </c>
      <c r="F31" s="3" t="n">
        <v>457739000</v>
      </c>
    </row>
    <row r="32">
      <c r="A32" t="inlineStr">
        <is>
          <t>Dividend Received Cfo</t>
        </is>
      </c>
      <c r="B32" s="3" t="n">
        <v>31314000</v>
      </c>
      <c r="C32" s="3" t="n">
        <v>31314000</v>
      </c>
      <c r="D32" s="3" t="n">
        <v>31313000</v>
      </c>
      <c r="E32" s="3" t="n">
        <v>31314000</v>
      </c>
      <c r="F32" s="3" t="n">
        <v>31314000</v>
      </c>
    </row>
    <row r="33">
      <c r="A33" t="inlineStr">
        <is>
          <t>Change In Working Capital</t>
        </is>
      </c>
      <c r="B33" s="3" t="n">
        <v>179857000</v>
      </c>
      <c r="C33" s="3" t="n">
        <v>-37833000</v>
      </c>
      <c r="D33" s="3" t="n">
        <v>8978000</v>
      </c>
      <c r="E33" s="3" t="n">
        <v>116475000</v>
      </c>
      <c r="F33" s="3" t="n">
        <v>-81748000</v>
      </c>
    </row>
    <row r="34">
      <c r="A34" t="inlineStr">
        <is>
          <t>Change In Other Current Liabilities</t>
        </is>
      </c>
      <c r="B34" s="3" t="n">
        <v>-9360000</v>
      </c>
      <c r="C34" s="3" t="n">
        <v>14126000</v>
      </c>
      <c r="D34" s="3" t="n">
        <v>-7703000</v>
      </c>
      <c r="E34" s="3" t="n">
        <v>-5280000</v>
      </c>
      <c r="F34" s="3" t="n">
        <v>12454000</v>
      </c>
    </row>
    <row r="35">
      <c r="A35" t="inlineStr">
        <is>
          <t>Change In Payables And Accrued Expense</t>
        </is>
      </c>
      <c r="B35" s="3" t="n">
        <v>134170000</v>
      </c>
      <c r="C35" s="3" t="n">
        <v>90537000</v>
      </c>
      <c r="D35" s="3" t="n">
        <v>655000</v>
      </c>
      <c r="E35" s="3" t="n">
        <v>-26275000</v>
      </c>
      <c r="F35" s="3" t="n">
        <v>-26271000</v>
      </c>
    </row>
    <row r="36">
      <c r="A36" t="inlineStr">
        <is>
          <t>Change In Accrued Expense</t>
        </is>
      </c>
      <c r="B36" s="3" t="n">
        <v>-46571000</v>
      </c>
      <c r="C36" s="3" t="n">
        <v>49551000</v>
      </c>
      <c r="D36" s="3" t="n">
        <v>-9007000</v>
      </c>
      <c r="E36" s="3" t="n">
        <v>1024000</v>
      </c>
      <c r="F36" s="3" t="n">
        <v>-86552000</v>
      </c>
    </row>
    <row r="37">
      <c r="A37" t="inlineStr">
        <is>
          <t>Change In Payable</t>
        </is>
      </c>
      <c r="B37" s="3" t="n">
        <v>180741000</v>
      </c>
      <c r="C37" s="3" t="n">
        <v>40986000</v>
      </c>
      <c r="D37" s="3" t="n">
        <v>9662000</v>
      </c>
      <c r="E37" s="3" t="n">
        <v>-27299000</v>
      </c>
      <c r="F37" s="3" t="n">
        <v>60281000</v>
      </c>
    </row>
    <row r="38">
      <c r="A38" t="inlineStr">
        <is>
          <t>Change In Dividend Payable</t>
        </is>
      </c>
      <c r="B38" s="3" t="n">
        <v>120021000</v>
      </c>
      <c r="C38" s="3" t="n">
        <v>40652000</v>
      </c>
      <c r="D38" s="3" t="n">
        <v>-2798000</v>
      </c>
      <c r="E38" s="3" t="n">
        <v>-165000</v>
      </c>
      <c r="F38" s="3" t="n">
        <v>48286000</v>
      </c>
    </row>
    <row r="39">
      <c r="A39" t="inlineStr">
        <is>
          <t>Change In Account Payable</t>
        </is>
      </c>
      <c r="B39" s="3" t="n">
        <v>60720000</v>
      </c>
      <c r="C39" s="3" t="n">
        <v>334000</v>
      </c>
      <c r="D39" s="3" t="n">
        <v>12460000</v>
      </c>
      <c r="E39" s="3" t="n">
        <v>-27134000</v>
      </c>
      <c r="F39" s="3" t="n">
        <v>11995000</v>
      </c>
    </row>
    <row r="40">
      <c r="A40" t="inlineStr">
        <is>
          <t>Change In Prepaid Assets</t>
        </is>
      </c>
      <c r="B40" s="3" t="n">
        <v>4596000</v>
      </c>
      <c r="C40" s="3" t="n">
        <v>-9112000</v>
      </c>
      <c r="D40" s="3" t="n">
        <v>10504000</v>
      </c>
      <c r="E40" s="3" t="n">
        <v>-6192000</v>
      </c>
      <c r="F40" s="3" t="n">
        <v>-2190000</v>
      </c>
    </row>
    <row r="41">
      <c r="A41" t="inlineStr">
        <is>
          <t>Change In Receivables</t>
        </is>
      </c>
      <c r="B41" s="3" t="n">
        <v>50451000</v>
      </c>
      <c r="C41" s="3" t="n">
        <v>-133384000</v>
      </c>
      <c r="D41" s="3" t="n">
        <v>5522000</v>
      </c>
      <c r="E41" s="3" t="n">
        <v>154222000</v>
      </c>
      <c r="F41" s="3" t="n">
        <v>-65741000</v>
      </c>
    </row>
    <row r="42">
      <c r="A42" t="inlineStr">
        <is>
          <t>Changes In Account Receivables</t>
        </is>
      </c>
      <c r="B42" s="3" t="n">
        <v>1302000</v>
      </c>
      <c r="C42" s="3" t="n">
        <v>2593000</v>
      </c>
      <c r="D42" s="3" t="n">
        <v>-5498000</v>
      </c>
      <c r="E42" s="3" t="n">
        <v>8735000</v>
      </c>
      <c r="F42" s="3" t="n">
        <v>-5972000</v>
      </c>
    </row>
    <row r="43">
      <c r="A43" t="inlineStr">
        <is>
          <t>Other Non Cash Items</t>
        </is>
      </c>
      <c r="B43" s="3" t="n">
        <v>5355000</v>
      </c>
      <c r="C43" s="3" t="n">
        <v>-2602000</v>
      </c>
      <c r="D43" s="3" t="n">
        <v>-6850000</v>
      </c>
      <c r="E43" s="3" t="n">
        <v>7351000</v>
      </c>
      <c r="F43" s="3" t="n">
        <v>-7126000</v>
      </c>
    </row>
    <row r="44">
      <c r="A44" t="inlineStr">
        <is>
          <t>Stock Based Compensation</t>
        </is>
      </c>
      <c r="B44" s="3" t="n">
        <v>11733000</v>
      </c>
      <c r="C44" s="3" t="n">
        <v>14311000</v>
      </c>
      <c r="D44" s="3" t="n">
        <v>15501000</v>
      </c>
      <c r="E44" s="3" t="n">
        <v>15855000</v>
      </c>
      <c r="F44" s="3" t="n">
        <v>15145000</v>
      </c>
    </row>
    <row r="45">
      <c r="A45" t="inlineStr">
        <is>
          <t>Asset Impairment Charge</t>
        </is>
      </c>
      <c r="B45" s="3" t="n">
        <v>948000</v>
      </c>
      <c r="C45" s="3" t="n">
        <v>5215000</v>
      </c>
      <c r="D45" s="3" t="n">
        <v>12228000</v>
      </c>
      <c r="E45" s="3" t="n">
        <v>6297000</v>
      </c>
      <c r="F45" s="3" t="n">
        <v>5618000</v>
      </c>
    </row>
    <row r="46">
      <c r="A46" t="inlineStr">
        <is>
          <t>Deferred Tax</t>
        </is>
      </c>
      <c r="B46" s="3" t="n">
        <v>143820000</v>
      </c>
      <c r="C46" s="3" t="n">
        <v>68208000</v>
      </c>
      <c r="D46" s="3" t="n">
        <v>43282000</v>
      </c>
      <c r="E46" s="3" t="n">
        <v>49013000</v>
      </c>
      <c r="F46" s="3" t="n">
        <v>53462000</v>
      </c>
    </row>
    <row r="47">
      <c r="A47" t="inlineStr">
        <is>
          <t>Deferred Income Tax</t>
        </is>
      </c>
      <c r="B47" s="3" t="n">
        <v>143820000</v>
      </c>
      <c r="C47" s="3" t="n">
        <v>68208000</v>
      </c>
      <c r="D47" s="3" t="n">
        <v>43282000</v>
      </c>
      <c r="E47" s="3" t="n">
        <v>49013000</v>
      </c>
      <c r="F47" s="3" t="n">
        <v>53462000</v>
      </c>
    </row>
    <row r="48">
      <c r="A48" t="inlineStr">
        <is>
          <t>Depreciation Amortization Depletion</t>
        </is>
      </c>
      <c r="B48" s="3" t="n">
        <v>207302000</v>
      </c>
      <c r="C48" s="3" t="n">
        <v>188021000</v>
      </c>
      <c r="D48" s="3" t="n">
        <v>189724000</v>
      </c>
      <c r="E48" s="3" t="n">
        <v>188531000</v>
      </c>
      <c r="F48" s="3" t="n">
        <v>187291000</v>
      </c>
    </row>
    <row r="49">
      <c r="A49" t="inlineStr">
        <is>
          <t>Depletion</t>
        </is>
      </c>
      <c r="B49" s="3" t="n">
        <v>207302000</v>
      </c>
      <c r="C49" s="3" t="n">
        <v>188021000</v>
      </c>
      <c r="D49" s="3" t="n">
        <v>189724000</v>
      </c>
      <c r="E49" s="3" t="n">
        <v>188531000</v>
      </c>
      <c r="F49" s="3" t="n">
        <v>187291000</v>
      </c>
    </row>
    <row r="50">
      <c r="A50" t="inlineStr">
        <is>
          <t>Operating Gains Losses</t>
        </is>
      </c>
      <c r="B50" s="3" t="n">
        <v>-269484000</v>
      </c>
      <c r="C50" s="3" t="n">
        <v>-98809000</v>
      </c>
      <c r="D50" s="3" t="n">
        <v>-69696000</v>
      </c>
      <c r="E50" s="3" t="n">
        <v>-89051000</v>
      </c>
      <c r="F50" s="3" t="n">
        <v>34317000</v>
      </c>
    </row>
    <row r="51">
      <c r="A51" t="inlineStr">
        <is>
          <t>Earnings Losses From Equity Investments</t>
        </is>
      </c>
      <c r="B51" s="3" t="n">
        <v>-30118000</v>
      </c>
      <c r="C51" s="3" t="n">
        <v>-10205000</v>
      </c>
      <c r="D51" s="3" t="n">
        <v>-29055000</v>
      </c>
      <c r="E51" s="3" t="n">
        <v>-30563000</v>
      </c>
      <c r="F51" s="3" t="n">
        <v>-28661000</v>
      </c>
    </row>
    <row r="52">
      <c r="A52" t="inlineStr">
        <is>
          <t>Gain Loss On Investment Securities</t>
        </is>
      </c>
      <c r="B52" s="3" t="n">
        <v>-200158000</v>
      </c>
      <c r="C52" s="3" t="n">
        <v>-88196000</v>
      </c>
      <c r="D52" s="3" t="n">
        <v>-40812000</v>
      </c>
      <c r="E52" s="3" t="n">
        <v>-59763000</v>
      </c>
      <c r="F52" s="3" t="n">
        <v>60654000</v>
      </c>
    </row>
    <row r="53">
      <c r="A53" t="inlineStr">
        <is>
          <t>Net Income From Continuing Operations</t>
        </is>
      </c>
      <c r="B53" s="3" t="n">
        <v>548213000</v>
      </c>
      <c r="C53" s="3" t="n">
        <v>202918000</v>
      </c>
      <c r="D53" s="3" t="n">
        <v>85610000</v>
      </c>
      <c r="E53" s="3" t="n">
        <v>166573000</v>
      </c>
      <c r="F53" s="3" t="n">
        <v>219466000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Enterprise value ($)</t>
        </is>
      </c>
      <c r="B2" t="inlineStr">
        <is>
          <t>missing from yfinance</t>
        </is>
      </c>
    </row>
    <row r="3">
      <c r="A3" t="inlineStr">
        <is>
          <t>Total cash ($)</t>
        </is>
      </c>
      <c r="B3" t="inlineStr">
        <is>
          <t>missing from yfinance</t>
        </is>
      </c>
    </row>
    <row r="4">
      <c r="A4" t="inlineStr">
        <is>
          <t>Gross margin</t>
        </is>
      </c>
      <c r="B4" t="inlineStr">
        <is>
          <t>GAAP (statement) ~26% vs yfinance info.grossMargins 67% — info is a non-GAAP basis; FY Summary uses GAAP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2026-06-20T19:55:47Z</dcterms:created>
  <dcterms:modified xsi:type="dcterms:W3CDTF">2026-06-20T19:55:49Z</dcterms:modified>
</cp:coreProperties>
</file>