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RMBS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Rambus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Semiconductors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15265695744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14502960128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67.22381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38.676712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21.168398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0.80411005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0.34273997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0.31895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0.18018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0.081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786139008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23404000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335209000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108136967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141.17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(annual)'!D50</f>
        <v/>
      </c>
      <c r="C3" s="3">
        <f>'Income stmt (annual)'!C50</f>
        <v/>
      </c>
      <c r="D3" s="3">
        <f>'Income stmt (annual)'!B50</f>
        <v/>
      </c>
      <c r="E3" s="3">
        <f>SUM('Income stmt (quarterly)'!B51:E51)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(annual)'!D48</f>
        <v/>
      </c>
      <c r="C4" s="3">
        <f>'Income stmt (annual)'!C48</f>
        <v/>
      </c>
      <c r="D4" s="3">
        <f>'Income stmt (annual)'!B48</f>
        <v/>
      </c>
      <c r="E4" s="3">
        <f>SUM('Income stmt (quarterly)'!B49:E49)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(annual)'!D40</f>
        <v/>
      </c>
      <c r="C6" s="3">
        <f>'Income stmt (annual)'!C40</f>
        <v/>
      </c>
      <c r="D6" s="3">
        <f>'Income stmt (annual)'!B40</f>
        <v/>
      </c>
      <c r="E6" s="3">
        <f>SUM('Income stmt (quarterly)'!B38:E38)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>
        <f>-SUM('Cash flow (quarterly)'!B5:E5)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(annual)'!D4</f>
        <v/>
      </c>
      <c r="C13" s="3">
        <f>'Balance sheet (annual)'!C4</f>
        <v/>
      </c>
      <c r="D13" s="3">
        <f>'Balance sheet (annual)'!B4</f>
        <v/>
      </c>
      <c r="E13" s="3">
        <f>'Balance sheet (annual)'!B4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(annual)'!D2/1e6</f>
        <v/>
      </c>
      <c r="C15" s="6">
        <f>'Balance sheet (annual)'!C2/1e6</f>
        <v/>
      </c>
      <c r="D15" s="6">
        <f>'Balance sheet (annual)'!B2/1e6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0</v>
      </c>
      <c r="C2" s="3" t="n">
        <v>401273</v>
      </c>
      <c r="D2" s="3" t="n">
        <v>18022410</v>
      </c>
      <c r="E2" s="3" t="n">
        <v>-19692750</v>
      </c>
      <c r="F2" s="3" t="n"/>
    </row>
    <row r="3">
      <c r="A3" t="inlineStr">
        <is>
          <t>Tax Rate For Calcs</t>
        </is>
      </c>
      <c r="B3" s="3" t="n">
        <v>0.183</v>
      </c>
      <c r="C3" s="3" t="n">
        <v>0.101</v>
      </c>
      <c r="D3" s="3" t="n">
        <v>0.21</v>
      </c>
      <c r="E3" s="3" t="n">
        <v>0.21</v>
      </c>
      <c r="F3" s="3" t="n"/>
    </row>
    <row r="4">
      <c r="A4" t="inlineStr">
        <is>
          <t>Normalized EBITDA</t>
        </is>
      </c>
      <c r="B4" s="3" t="n">
        <v>325318000</v>
      </c>
      <c r="C4" s="3" t="n">
        <v>240176000</v>
      </c>
      <c r="D4" s="3" t="n">
        <v>151257000</v>
      </c>
      <c r="E4" s="3" t="n">
        <v>134951000</v>
      </c>
      <c r="F4" s="3" t="n"/>
    </row>
    <row r="5">
      <c r="A5" t="inlineStr">
        <is>
          <t>Total Unusual Items</t>
        </is>
      </c>
      <c r="B5" s="3" t="n">
        <v>0</v>
      </c>
      <c r="C5" s="3" t="n">
        <v>3973000</v>
      </c>
      <c r="D5" s="3" t="n">
        <v>85821000</v>
      </c>
      <c r="E5" s="3" t="n">
        <v>-93775000</v>
      </c>
      <c r="F5" s="3" t="n"/>
    </row>
    <row r="6">
      <c r="A6" t="inlineStr">
        <is>
          <t>Total Unusual Items Excluding Goodwill</t>
        </is>
      </c>
      <c r="B6" s="3" t="n">
        <v>0</v>
      </c>
      <c r="C6" s="3" t="n">
        <v>3973000</v>
      </c>
      <c r="D6" s="3" t="n">
        <v>85821000</v>
      </c>
      <c r="E6" s="3" t="n">
        <v>-93775000</v>
      </c>
      <c r="F6" s="3" t="n"/>
    </row>
    <row r="7">
      <c r="A7" t="inlineStr">
        <is>
          <t>Net Income From Continuing Operation Net Minority Interest</t>
        </is>
      </c>
      <c r="B7" s="3" t="n">
        <v>230455000</v>
      </c>
      <c r="C7" s="3" t="n">
        <v>179821000</v>
      </c>
      <c r="D7" s="3" t="n">
        <v>333904000</v>
      </c>
      <c r="E7" s="3" t="n">
        <v>-14310000</v>
      </c>
      <c r="F7" s="3" t="n"/>
    </row>
    <row r="8">
      <c r="A8" t="inlineStr">
        <is>
          <t>Reconciled Depreciation</t>
        </is>
      </c>
      <c r="B8" s="3" t="n">
        <v>41989000</v>
      </c>
      <c r="C8" s="3" t="n">
        <v>42690000</v>
      </c>
      <c r="D8" s="3" t="n">
        <v>48428000</v>
      </c>
      <c r="E8" s="3" t="n">
        <v>47127000</v>
      </c>
      <c r="F8" s="3" t="n"/>
    </row>
    <row r="9">
      <c r="A9" t="inlineStr">
        <is>
          <t>Reconciled Cost Of Revenue</t>
        </is>
      </c>
      <c r="B9" s="3" t="n">
        <v>102426000</v>
      </c>
      <c r="C9" s="3" t="n">
        <v>67923000</v>
      </c>
      <c r="D9" s="3" t="n">
        <v>56211000</v>
      </c>
      <c r="E9" s="3" t="n">
        <v>62126000</v>
      </c>
      <c r="F9" s="3" t="n"/>
    </row>
    <row r="10">
      <c r="A10" t="inlineStr">
        <is>
          <t>EBITDA</t>
        </is>
      </c>
      <c r="B10" s="3" t="n">
        <v>325318000</v>
      </c>
      <c r="C10" s="3" t="n">
        <v>244149000</v>
      </c>
      <c r="D10" s="3" t="n">
        <v>237078000</v>
      </c>
      <c r="E10" s="3" t="n">
        <v>41176000</v>
      </c>
      <c r="F10" s="3" t="n"/>
    </row>
    <row r="11">
      <c r="A11" t="inlineStr">
        <is>
          <t>EBIT</t>
        </is>
      </c>
      <c r="B11" s="3" t="n">
        <v>283329000</v>
      </c>
      <c r="C11" s="3" t="n">
        <v>201459000</v>
      </c>
      <c r="D11" s="3" t="n">
        <v>188650000</v>
      </c>
      <c r="E11" s="3" t="n">
        <v>-5951000</v>
      </c>
      <c r="F11" s="3" t="n"/>
    </row>
    <row r="12">
      <c r="A12" t="inlineStr">
        <is>
          <t>Net Interest Income</t>
        </is>
      </c>
      <c r="B12" s="3" t="n">
        <v>21738000</v>
      </c>
      <c r="C12" s="3" t="n">
        <v>17034000</v>
      </c>
      <c r="D12" s="3" t="n">
        <v>9837000</v>
      </c>
      <c r="E12" s="3" t="n">
        <v>5897000</v>
      </c>
      <c r="F12" s="3" t="n"/>
    </row>
    <row r="13">
      <c r="A13" t="inlineStr">
        <is>
          <t>Interest Expense</t>
        </is>
      </c>
      <c r="B13" s="3" t="n">
        <v>1373000</v>
      </c>
      <c r="C13" s="3" t="n">
        <v>1416000</v>
      </c>
      <c r="D13" s="3" t="n">
        <v>1490000</v>
      </c>
      <c r="E13" s="3" t="n">
        <v>1874000</v>
      </c>
      <c r="F13" s="3" t="n"/>
    </row>
    <row r="14">
      <c r="A14" t="inlineStr">
        <is>
          <t>Interest Income</t>
        </is>
      </c>
      <c r="B14" s="3" t="n">
        <v>23111000</v>
      </c>
      <c r="C14" s="3" t="n">
        <v>18450000</v>
      </c>
      <c r="D14" s="3" t="n">
        <v>11327000</v>
      </c>
      <c r="E14" s="3" t="n">
        <v>7771000</v>
      </c>
      <c r="F14" s="3" t="n"/>
    </row>
    <row r="15">
      <c r="A15" t="inlineStr">
        <is>
          <t>Normalized Income</t>
        </is>
      </c>
      <c r="B15" s="3" t="n">
        <v>230455000</v>
      </c>
      <c r="C15" s="3" t="n">
        <v>176249273</v>
      </c>
      <c r="D15" s="3" t="n">
        <v>266105410</v>
      </c>
      <c r="E15" s="3" t="n">
        <v>59772250</v>
      </c>
      <c r="F15" s="3" t="n"/>
    </row>
    <row r="16">
      <c r="A16" t="inlineStr">
        <is>
          <t>Net Income From Continuing And Discontinued Operation</t>
        </is>
      </c>
      <c r="B16" s="3" t="n"/>
      <c r="C16" s="3" t="n">
        <v>179821000</v>
      </c>
      <c r="D16" s="3" t="n">
        <v>333904000</v>
      </c>
      <c r="E16" s="3" t="n">
        <v>-14310000</v>
      </c>
      <c r="F16" s="3" t="n">
        <v>18334000</v>
      </c>
    </row>
    <row r="17">
      <c r="A17" t="inlineStr">
        <is>
          <t>Total Expenses</t>
        </is>
      </c>
      <c r="B17" s="3" t="n">
        <v>447412000</v>
      </c>
      <c r="C17" s="3" t="n">
        <v>377588000</v>
      </c>
      <c r="D17" s="3" t="n">
        <v>369615000</v>
      </c>
      <c r="E17" s="3" t="n">
        <v>374740000</v>
      </c>
      <c r="F17" s="3" t="n"/>
    </row>
    <row r="18">
      <c r="A18" t="inlineStr">
        <is>
          <t>Total Operating Income As Reported</t>
        </is>
      </c>
      <c r="B18" s="3" t="n">
        <v>260218000</v>
      </c>
      <c r="C18" s="3" t="n">
        <v>183009000</v>
      </c>
      <c r="D18" s="3" t="n">
        <v>153639000</v>
      </c>
      <c r="E18" s="3" t="n">
        <v>76942000</v>
      </c>
      <c r="F18" s="3" t="n"/>
    </row>
    <row r="19">
      <c r="A19" t="inlineStr">
        <is>
          <t>Diluted Average Shares</t>
        </is>
      </c>
      <c r="B19" s="3" t="n">
        <v>109235000</v>
      </c>
      <c r="C19" s="3" t="n">
        <v>109041000</v>
      </c>
      <c r="D19" s="3" t="n">
        <v>110889000</v>
      </c>
      <c r="E19" s="3" t="n">
        <v>109472000</v>
      </c>
      <c r="F19" s="3" t="n"/>
    </row>
    <row r="20">
      <c r="A20" t="inlineStr">
        <is>
          <t>Basic Average Shares</t>
        </is>
      </c>
      <c r="B20" s="3" t="n">
        <v>107548000</v>
      </c>
      <c r="C20" s="3" t="n">
        <v>107438000</v>
      </c>
      <c r="D20" s="3" t="n">
        <v>108183000</v>
      </c>
      <c r="E20" s="3" t="n">
        <v>109472000</v>
      </c>
      <c r="F20" s="3" t="n"/>
    </row>
    <row r="21">
      <c r="A21" t="inlineStr">
        <is>
          <t>Diluted EPS</t>
        </is>
      </c>
      <c r="B21" s="3" t="n">
        <v>2.11</v>
      </c>
      <c r="C21" s="3" t="n">
        <v>1.65</v>
      </c>
      <c r="D21" s="3" t="n">
        <v>3.01</v>
      </c>
      <c r="E21" s="3" t="n">
        <v>-0.13</v>
      </c>
      <c r="F21" s="3" t="n"/>
    </row>
    <row r="22">
      <c r="A22" t="inlineStr">
        <is>
          <t>Basic EPS</t>
        </is>
      </c>
      <c r="B22" s="3" t="n">
        <v>2.14</v>
      </c>
      <c r="C22" s="3" t="n">
        <v>1.67</v>
      </c>
      <c r="D22" s="3" t="n">
        <v>3.09</v>
      </c>
      <c r="E22" s="3" t="n">
        <v>-0.13</v>
      </c>
      <c r="F22" s="3" t="n"/>
    </row>
    <row r="23">
      <c r="A23" t="inlineStr">
        <is>
          <t>Diluted NI Availto Com Stockholders</t>
        </is>
      </c>
      <c r="B23" s="3" t="n">
        <v>230455000</v>
      </c>
      <c r="C23" s="3" t="n">
        <v>179821000</v>
      </c>
      <c r="D23" s="3" t="n">
        <v>333904000</v>
      </c>
      <c r="E23" s="3" t="n">
        <v>-14310000</v>
      </c>
      <c r="F23" s="3" t="n"/>
    </row>
    <row r="24">
      <c r="A24" t="inlineStr">
        <is>
          <t>Net Income Common Stockholders</t>
        </is>
      </c>
      <c r="B24" s="3" t="n"/>
      <c r="C24" s="3" t="n">
        <v>179821000</v>
      </c>
      <c r="D24" s="3" t="n">
        <v>333904000</v>
      </c>
      <c r="E24" s="3" t="n">
        <v>-14310000</v>
      </c>
      <c r="F24" s="3" t="n">
        <v>18334000</v>
      </c>
    </row>
    <row r="25">
      <c r="A25" t="inlineStr">
        <is>
          <t>Net Income</t>
        </is>
      </c>
      <c r="B25" s="3" t="n">
        <v>230455000</v>
      </c>
      <c r="C25" s="3" t="n">
        <v>179821000</v>
      </c>
      <c r="D25" s="3" t="n">
        <v>333904000</v>
      </c>
      <c r="E25" s="3" t="n">
        <v>-14310000</v>
      </c>
      <c r="F25" s="3" t="n"/>
    </row>
    <row r="26">
      <c r="A26" t="inlineStr">
        <is>
          <t>Net Income Including Noncontrolling Interests</t>
        </is>
      </c>
      <c r="B26" s="3" t="n">
        <v>230455000</v>
      </c>
      <c r="C26" s="3" t="n">
        <v>179821000</v>
      </c>
      <c r="D26" s="3" t="n">
        <v>333904000</v>
      </c>
      <c r="E26" s="3" t="n">
        <v>-14310000</v>
      </c>
      <c r="F26" s="3" t="n"/>
    </row>
    <row r="27">
      <c r="A27" t="inlineStr">
        <is>
          <t>Net Income Continuous Operations</t>
        </is>
      </c>
      <c r="B27" s="3" t="n">
        <v>230455000</v>
      </c>
      <c r="C27" s="3" t="n">
        <v>179821000</v>
      </c>
      <c r="D27" s="3" t="n">
        <v>333904000</v>
      </c>
      <c r="E27" s="3" t="n">
        <v>-14310000</v>
      </c>
      <c r="F27" s="3" t="n"/>
    </row>
    <row r="28">
      <c r="A28" t="inlineStr">
        <is>
          <t>Tax Provision</t>
        </is>
      </c>
      <c r="B28" s="3" t="n">
        <v>51501000</v>
      </c>
      <c r="C28" s="3" t="n">
        <v>20222000</v>
      </c>
      <c r="D28" s="3" t="n">
        <v>-146744000</v>
      </c>
      <c r="E28" s="3" t="n">
        <v>6485000</v>
      </c>
      <c r="F28" s="3" t="n"/>
    </row>
    <row r="29">
      <c r="A29" t="inlineStr">
        <is>
          <t>Pretax Income</t>
        </is>
      </c>
      <c r="B29" s="3" t="n">
        <v>281956000</v>
      </c>
      <c r="C29" s="3" t="n">
        <v>200043000</v>
      </c>
      <c r="D29" s="3" t="n">
        <v>187160000</v>
      </c>
      <c r="E29" s="3" t="n">
        <v>-7825000</v>
      </c>
      <c r="F29" s="3" t="n"/>
    </row>
    <row r="30">
      <c r="A30" t="inlineStr">
        <is>
          <t>Other Income Expense</t>
        </is>
      </c>
      <c r="B30" s="3" t="n"/>
      <c r="C30" s="3" t="n">
        <v>3973000</v>
      </c>
      <c r="D30" s="3" t="n">
        <v>85821000</v>
      </c>
      <c r="E30" s="3" t="n">
        <v>-93775000</v>
      </c>
      <c r="F30" s="3" t="n">
        <v>-5668000</v>
      </c>
    </row>
    <row r="31">
      <c r="A31" t="inlineStr">
        <is>
          <t>Special Income Charges</t>
        </is>
      </c>
      <c r="B31" s="3" t="n">
        <v>0</v>
      </c>
      <c r="C31" s="3" t="n">
        <v>3973000</v>
      </c>
      <c r="D31" s="3" t="n">
        <v>62137000</v>
      </c>
      <c r="E31" s="3" t="n">
        <v>-86737000</v>
      </c>
      <c r="F31" s="3" t="n"/>
    </row>
    <row r="32">
      <c r="A32" t="inlineStr">
        <is>
          <t>Gain On Sale Of Business</t>
        </is>
      </c>
      <c r="B32" s="3" t="n">
        <v>0</v>
      </c>
      <c r="C32" s="3" t="n">
        <v>0</v>
      </c>
      <c r="D32" s="3" t="n">
        <v>90784000</v>
      </c>
      <c r="E32" s="3" t="n">
        <v>0</v>
      </c>
      <c r="F32" s="3" t="n"/>
    </row>
    <row r="33">
      <c r="A33" t="inlineStr">
        <is>
          <t>Other Special Charges</t>
        </is>
      </c>
      <c r="B33" s="3" t="n"/>
      <c r="C33" s="3" t="n"/>
      <c r="D33" s="3" t="n"/>
      <c r="E33" s="3" t="n">
        <v>83626000</v>
      </c>
      <c r="F33" s="3" t="n"/>
    </row>
    <row r="34">
      <c r="A34" t="inlineStr">
        <is>
          <t>Write Off</t>
        </is>
      </c>
      <c r="B34" s="3" t="n">
        <v>0</v>
      </c>
      <c r="C34" s="3" t="n">
        <v>1071000</v>
      </c>
      <c r="D34" s="3" t="n">
        <v>10045000</v>
      </c>
      <c r="E34" s="3" t="n">
        <v>0</v>
      </c>
      <c r="F34" s="3" t="n"/>
    </row>
    <row r="35">
      <c r="A35" t="inlineStr">
        <is>
          <t>Restructuring And Mergern Acquisition</t>
        </is>
      </c>
      <c r="B35" s="3" t="n">
        <v>0</v>
      </c>
      <c r="C35" s="3" t="n">
        <v>-5044000</v>
      </c>
      <c r="D35" s="3" t="n">
        <v>18602000</v>
      </c>
      <c r="E35" s="3" t="n">
        <v>3111000</v>
      </c>
      <c r="F35" s="3" t="n"/>
    </row>
    <row r="36">
      <c r="A36" t="inlineStr">
        <is>
          <t>Gain On Sale Of Security</t>
        </is>
      </c>
      <c r="B36" s="3" t="n"/>
      <c r="C36" s="3" t="n"/>
      <c r="D36" s="3" t="n">
        <v>23684000</v>
      </c>
      <c r="E36" s="3" t="n">
        <v>-7038000</v>
      </c>
      <c r="F36" s="3" t="n"/>
    </row>
    <row r="37">
      <c r="A37" t="inlineStr">
        <is>
          <t>Net Non Operating Interest Income Expense</t>
        </is>
      </c>
      <c r="B37" s="3" t="n">
        <v>21738000</v>
      </c>
      <c r="C37" s="3" t="n">
        <v>17034000</v>
      </c>
      <c r="D37" s="3" t="n">
        <v>9837000</v>
      </c>
      <c r="E37" s="3" t="n">
        <v>5897000</v>
      </c>
      <c r="F37" s="3" t="n"/>
    </row>
    <row r="38">
      <c r="A38" t="inlineStr">
        <is>
          <t>Interest Expense Non Operating</t>
        </is>
      </c>
      <c r="B38" s="3" t="n">
        <v>1373000</v>
      </c>
      <c r="C38" s="3" t="n">
        <v>1416000</v>
      </c>
      <c r="D38" s="3" t="n">
        <v>1490000</v>
      </c>
      <c r="E38" s="3" t="n">
        <v>1874000</v>
      </c>
      <c r="F38" s="3" t="n"/>
    </row>
    <row r="39">
      <c r="A39" t="inlineStr">
        <is>
          <t>Interest Income Non Operating</t>
        </is>
      </c>
      <c r="B39" s="3" t="n">
        <v>23111000</v>
      </c>
      <c r="C39" s="3" t="n">
        <v>18450000</v>
      </c>
      <c r="D39" s="3" t="n">
        <v>11327000</v>
      </c>
      <c r="E39" s="3" t="n">
        <v>7771000</v>
      </c>
      <c r="F39" s="3" t="n"/>
    </row>
    <row r="40">
      <c r="A40" t="inlineStr">
        <is>
          <t>Operating Income</t>
        </is>
      </c>
      <c r="B40" s="3" t="n">
        <v>260218000</v>
      </c>
      <c r="C40" s="3" t="n">
        <v>179036000</v>
      </c>
      <c r="D40" s="3" t="n">
        <v>91502000</v>
      </c>
      <c r="E40" s="3" t="n">
        <v>80053000</v>
      </c>
      <c r="F40" s="3" t="n"/>
    </row>
    <row r="41">
      <c r="A41" t="inlineStr">
        <is>
          <t>Operating Expense</t>
        </is>
      </c>
      <c r="B41" s="3" t="n"/>
      <c r="C41" s="3" t="n">
        <v>267481000</v>
      </c>
      <c r="D41" s="3" t="n">
        <v>266193000</v>
      </c>
      <c r="E41" s="3" t="n">
        <v>267161000</v>
      </c>
      <c r="F41" s="3" t="n">
        <v>227961000</v>
      </c>
    </row>
    <row r="42">
      <c r="A42" t="inlineStr">
        <is>
          <t>Depreciation Amortization Depletion Income Statement</t>
        </is>
      </c>
      <c r="B42" s="3" t="n">
        <v>0</v>
      </c>
      <c r="C42" s="3" t="n">
        <v>506000</v>
      </c>
      <c r="D42" s="3" t="n">
        <v>1217000</v>
      </c>
      <c r="E42" s="3" t="n">
        <v>1674000</v>
      </c>
      <c r="F42" s="3" t="n"/>
    </row>
    <row r="43">
      <c r="A43" t="inlineStr">
        <is>
          <t>Depreciation And Amortization In Income Statement</t>
        </is>
      </c>
      <c r="B43" s="3" t="n">
        <v>0</v>
      </c>
      <c r="C43" s="3" t="n">
        <v>506000</v>
      </c>
      <c r="D43" s="3" t="n">
        <v>1217000</v>
      </c>
      <c r="E43" s="3" t="n">
        <v>1674000</v>
      </c>
      <c r="F43" s="3" t="n"/>
    </row>
    <row r="44">
      <c r="A44" t="inlineStr">
        <is>
          <t>Amortization</t>
        </is>
      </c>
      <c r="B44" s="3" t="n">
        <v>0</v>
      </c>
      <c r="C44" s="3" t="n">
        <v>506000</v>
      </c>
      <c r="D44" s="3" t="n">
        <v>1217000</v>
      </c>
      <c r="E44" s="3" t="n">
        <v>1674000</v>
      </c>
      <c r="F44" s="3" t="n"/>
    </row>
    <row r="45">
      <c r="A45" t="inlineStr">
        <is>
          <t>Amortization Of Intangibles Income Statement</t>
        </is>
      </c>
      <c r="B45" s="3" t="n">
        <v>0</v>
      </c>
      <c r="C45" s="3" t="n">
        <v>506000</v>
      </c>
      <c r="D45" s="3" t="n">
        <v>1217000</v>
      </c>
      <c r="E45" s="3" t="n">
        <v>1674000</v>
      </c>
      <c r="F45" s="3" t="n"/>
    </row>
    <row r="46">
      <c r="A46" t="inlineStr">
        <is>
          <t>Research And Development</t>
        </is>
      </c>
      <c r="B46" s="3" t="n">
        <v>187708000</v>
      </c>
      <c r="C46" s="3" t="n">
        <v>162881000</v>
      </c>
      <c r="D46" s="3" t="n">
        <v>156827000</v>
      </c>
      <c r="E46" s="3" t="n">
        <v>158769000</v>
      </c>
      <c r="F46" s="3" t="n"/>
    </row>
    <row r="47">
      <c r="A47" t="inlineStr">
        <is>
          <t>Selling General And Administration</t>
        </is>
      </c>
      <c r="B47" s="3" t="n">
        <v>115289000</v>
      </c>
      <c r="C47" s="3" t="n">
        <v>104094000</v>
      </c>
      <c r="D47" s="3" t="n">
        <v>108149000</v>
      </c>
      <c r="E47" s="3" t="n">
        <v>106718000</v>
      </c>
      <c r="F47" s="3" t="n"/>
    </row>
    <row r="48">
      <c r="A48" t="inlineStr">
        <is>
          <t>Gross Profit</t>
        </is>
      </c>
      <c r="B48" s="3" t="n">
        <v>563215000</v>
      </c>
      <c r="C48" s="3" t="n">
        <v>446517000</v>
      </c>
      <c r="D48" s="3" t="n">
        <v>357695000</v>
      </c>
      <c r="E48" s="3" t="n">
        <v>347214000</v>
      </c>
      <c r="F48" s="3" t="n"/>
    </row>
    <row r="49">
      <c r="A49" t="inlineStr">
        <is>
          <t>Cost Of Revenue</t>
        </is>
      </c>
      <c r="B49" s="3" t="n">
        <v>144415000</v>
      </c>
      <c r="C49" s="3" t="n">
        <v>110107000</v>
      </c>
      <c r="D49" s="3" t="n">
        <v>103422000</v>
      </c>
      <c r="E49" s="3" t="n">
        <v>107579000</v>
      </c>
      <c r="F49" s="3" t="n"/>
    </row>
    <row r="50">
      <c r="A50" t="inlineStr">
        <is>
          <t>Total Revenue</t>
        </is>
      </c>
      <c r="B50" s="3" t="n">
        <v>707630000</v>
      </c>
      <c r="C50" s="3" t="n">
        <v>556624000</v>
      </c>
      <c r="D50" s="3" t="n">
        <v>461117000</v>
      </c>
      <c r="E50" s="3" t="n">
        <v>454793000</v>
      </c>
      <c r="F50" s="3" t="n"/>
    </row>
    <row r="51">
      <c r="A51" t="inlineStr">
        <is>
          <t>Operating Revenue</t>
        </is>
      </c>
      <c r="B51" s="3" t="n">
        <v>707630000</v>
      </c>
      <c r="C51" s="3" t="n">
        <v>556624000</v>
      </c>
      <c r="D51" s="3" t="n">
        <v>461117000</v>
      </c>
      <c r="E51" s="3" t="n">
        <v>454793000</v>
      </c>
      <c r="F5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/>
      <c r="H2" s="3" t="n"/>
    </row>
    <row r="3">
      <c r="A3" t="inlineStr">
        <is>
          <t>Tax Rate For Calcs</t>
        </is>
      </c>
      <c r="B3" s="3" t="n">
        <v>0.128</v>
      </c>
      <c r="C3" s="3" t="n">
        <v>0.173121</v>
      </c>
      <c r="D3" s="3" t="n">
        <v>0.302</v>
      </c>
      <c r="E3" s="3" t="n">
        <v>0.146</v>
      </c>
      <c r="F3" s="3" t="n">
        <v>0.108</v>
      </c>
      <c r="G3" s="3" t="n"/>
      <c r="H3" s="3" t="n"/>
    </row>
    <row r="4">
      <c r="A4" t="inlineStr">
        <is>
          <t>Normalized EBITDA</t>
        </is>
      </c>
      <c r="B4" s="3" t="n">
        <v>80185000</v>
      </c>
      <c r="C4" s="3" t="n">
        <v>88703000</v>
      </c>
      <c r="D4" s="3" t="n">
        <v>80355000</v>
      </c>
      <c r="E4" s="3" t="n">
        <v>78425000</v>
      </c>
      <c r="F4" s="3" t="n">
        <v>77835000</v>
      </c>
      <c r="G4" s="3" t="n"/>
      <c r="H4" s="3" t="n"/>
    </row>
    <row r="5">
      <c r="A5" t="inlineStr">
        <is>
          <t>Total Unusual Items</t>
        </is>
      </c>
      <c r="B5" s="3" t="n"/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/>
    </row>
    <row r="6">
      <c r="A6" t="inlineStr">
        <is>
          <t>Total Unusual Items Excluding Goodwill</t>
        </is>
      </c>
      <c r="B6" s="3" t="n"/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/>
    </row>
    <row r="7">
      <c r="A7" t="inlineStr">
        <is>
          <t>Net Income From Continuing Operation Net Minority Interest</t>
        </is>
      </c>
      <c r="B7" s="3" t="n">
        <v>59858000</v>
      </c>
      <c r="C7" s="3" t="n">
        <v>63840000</v>
      </c>
      <c r="D7" s="3" t="n">
        <v>48377000</v>
      </c>
      <c r="E7" s="3" t="n">
        <v>57935000</v>
      </c>
      <c r="F7" s="3" t="n">
        <v>60303000</v>
      </c>
      <c r="G7" s="3" t="n"/>
      <c r="H7" s="3" t="n"/>
    </row>
    <row r="8">
      <c r="A8" t="inlineStr">
        <is>
          <t>Reconciled Depreciation</t>
        </is>
      </c>
      <c r="B8" s="3" t="n">
        <v>11276000</v>
      </c>
      <c r="C8" s="3" t="n">
        <v>11177000</v>
      </c>
      <c r="D8" s="3" t="n">
        <v>10773000</v>
      </c>
      <c r="E8" s="3" t="n">
        <v>10204000</v>
      </c>
      <c r="F8" s="3" t="n">
        <v>9835000</v>
      </c>
      <c r="G8" s="3" t="n"/>
      <c r="H8" s="3" t="n"/>
    </row>
    <row r="9">
      <c r="A9" t="inlineStr">
        <is>
          <t>Reconciled Cost Of Revenue</t>
        </is>
      </c>
      <c r="B9" s="3" t="n">
        <v>36532000</v>
      </c>
      <c r="C9" s="3" t="n">
        <v>29034000</v>
      </c>
      <c r="D9" s="3" t="n">
        <v>25819000</v>
      </c>
      <c r="E9" s="3" t="n">
        <v>24566000</v>
      </c>
      <c r="F9" s="3" t="n">
        <v>32842000</v>
      </c>
      <c r="G9" s="3" t="n"/>
      <c r="H9" s="3" t="n"/>
    </row>
    <row r="10">
      <c r="A10" t="inlineStr">
        <is>
          <t>EBITDA</t>
        </is>
      </c>
      <c r="B10" s="3" t="n">
        <v>80185000</v>
      </c>
      <c r="C10" s="3" t="n">
        <v>88703000</v>
      </c>
      <c r="D10" s="3" t="n">
        <v>80355000</v>
      </c>
      <c r="E10" s="3" t="n">
        <v>78425000</v>
      </c>
      <c r="F10" s="3" t="n">
        <v>77835000</v>
      </c>
      <c r="G10" s="3" t="n"/>
      <c r="H10" s="3" t="n"/>
    </row>
    <row r="11">
      <c r="A11" t="inlineStr">
        <is>
          <t>EBIT</t>
        </is>
      </c>
      <c r="B11" s="3" t="n">
        <v>68909000</v>
      </c>
      <c r="C11" s="3" t="n">
        <v>77526000</v>
      </c>
      <c r="D11" s="3" t="n">
        <v>69582000</v>
      </c>
      <c r="E11" s="3" t="n">
        <v>68221000</v>
      </c>
      <c r="F11" s="3" t="n">
        <v>68000000</v>
      </c>
      <c r="G11" s="3" t="n"/>
      <c r="H11" s="3" t="n"/>
    </row>
    <row r="12">
      <c r="A12" t="inlineStr">
        <is>
          <t>Net Interest Income</t>
        </is>
      </c>
      <c r="B12" s="3" t="n">
        <v>6872000</v>
      </c>
      <c r="C12" s="3" t="n">
        <v>6380000</v>
      </c>
      <c r="D12" s="3" t="n">
        <v>6033000</v>
      </c>
      <c r="E12" s="3" t="n">
        <v>4846000</v>
      </c>
      <c r="F12" s="3" t="n">
        <v>4479000</v>
      </c>
      <c r="G12" s="3" t="n"/>
      <c r="H12" s="3" t="n"/>
    </row>
    <row r="13">
      <c r="A13" t="inlineStr">
        <is>
          <t>Interest Expense</t>
        </is>
      </c>
      <c r="B13" s="3" t="n">
        <v>279000</v>
      </c>
      <c r="C13" s="3" t="n">
        <v>320000</v>
      </c>
      <c r="D13" s="3" t="n">
        <v>294000</v>
      </c>
      <c r="E13" s="3" t="n">
        <v>382000</v>
      </c>
      <c r="F13" s="3" t="n">
        <v>377000</v>
      </c>
      <c r="G13" s="3" t="n"/>
      <c r="H13" s="3" t="n"/>
    </row>
    <row r="14">
      <c r="A14" t="inlineStr">
        <is>
          <t>Interest Income</t>
        </is>
      </c>
      <c r="B14" s="3" t="n">
        <v>7151000</v>
      </c>
      <c r="C14" s="3" t="n">
        <v>6700000</v>
      </c>
      <c r="D14" s="3" t="n">
        <v>6327000</v>
      </c>
      <c r="E14" s="3" t="n">
        <v>5228000</v>
      </c>
      <c r="F14" s="3" t="n">
        <v>4856000</v>
      </c>
      <c r="G14" s="3" t="n"/>
      <c r="H14" s="3" t="n"/>
    </row>
    <row r="15">
      <c r="A15" t="inlineStr">
        <is>
          <t>Normalized Income</t>
        </is>
      </c>
      <c r="B15" s="3" t="n">
        <v>59858000</v>
      </c>
      <c r="C15" s="3" t="n">
        <v>63840000</v>
      </c>
      <c r="D15" s="3" t="n">
        <v>48377000</v>
      </c>
      <c r="E15" s="3" t="n">
        <v>57935000</v>
      </c>
      <c r="F15" s="3" t="n">
        <v>60303000</v>
      </c>
      <c r="G15" s="3" t="n"/>
      <c r="H15" s="3" t="n"/>
    </row>
    <row r="16">
      <c r="A16" t="inlineStr">
        <is>
          <t>Net Income From Continuing And Discontinued Operation</t>
        </is>
      </c>
      <c r="B16" s="3" t="n">
        <v>59858000</v>
      </c>
      <c r="C16" s="3" t="n">
        <v>63840000</v>
      </c>
      <c r="D16" s="3" t="n">
        <v>48377000</v>
      </c>
      <c r="E16" s="3" t="n">
        <v>57935000</v>
      </c>
      <c r="F16" s="3" t="n">
        <v>60303000</v>
      </c>
      <c r="G16" s="3" t="n"/>
      <c r="H16" s="3" t="n"/>
    </row>
    <row r="17">
      <c r="A17" t="inlineStr">
        <is>
          <t>Total Expenses</t>
        </is>
      </c>
      <c r="B17" s="3" t="n">
        <v>118461000</v>
      </c>
      <c r="C17" s="3" t="n">
        <v>119418000</v>
      </c>
      <c r="D17" s="3" t="n">
        <v>115258000</v>
      </c>
      <c r="E17" s="3" t="n">
        <v>109216000</v>
      </c>
      <c r="F17" s="3" t="n">
        <v>103462000</v>
      </c>
      <c r="G17" s="3" t="n"/>
      <c r="H17" s="3" t="n"/>
    </row>
    <row r="18">
      <c r="A18" t="inlineStr">
        <is>
          <t>Total Operating Income As Reported</t>
        </is>
      </c>
      <c r="B18" s="3" t="n">
        <v>61758000</v>
      </c>
      <c r="C18" s="3" t="n">
        <v>70826000</v>
      </c>
      <c r="D18" s="3" t="n">
        <v>63255000</v>
      </c>
      <c r="E18" s="3" t="n">
        <v>62993000</v>
      </c>
      <c r="F18" s="3" t="n">
        <v>63144000</v>
      </c>
      <c r="G18" s="3" t="n"/>
      <c r="H18" s="3" t="n"/>
    </row>
    <row r="19">
      <c r="A19" t="inlineStr">
        <is>
          <t>Diluted Average Shares</t>
        </is>
      </c>
      <c r="B19" s="3" t="n">
        <v>109716000</v>
      </c>
      <c r="C19" s="3" t="n">
        <v>109724000</v>
      </c>
      <c r="D19" s="3" t="n">
        <v>109304000</v>
      </c>
      <c r="E19" s="3" t="n">
        <v>108520000</v>
      </c>
      <c r="F19" s="3" t="n">
        <v>108628000</v>
      </c>
      <c r="G19" s="3" t="n"/>
      <c r="H19" s="3" t="n"/>
    </row>
    <row r="20">
      <c r="A20" t="inlineStr">
        <is>
          <t>Basic Average Shares</t>
        </is>
      </c>
      <c r="B20" s="3" t="n">
        <v>108030000</v>
      </c>
      <c r="C20" s="3" t="n">
        <v>107742000</v>
      </c>
      <c r="D20" s="3" t="n">
        <v>107622000</v>
      </c>
      <c r="E20" s="3" t="n">
        <v>107586000</v>
      </c>
      <c r="F20" s="3" t="n">
        <v>107236000</v>
      </c>
      <c r="G20" s="3" t="n"/>
      <c r="H20" s="3" t="n"/>
    </row>
    <row r="21">
      <c r="A21" t="inlineStr">
        <is>
          <t>Diluted EPS</t>
        </is>
      </c>
      <c r="B21" s="3" t="n">
        <v>0.55</v>
      </c>
      <c r="C21" s="3" t="n">
        <v>0.58</v>
      </c>
      <c r="D21" s="3" t="n">
        <v>0.44</v>
      </c>
      <c r="E21" s="3" t="n">
        <v>0.53</v>
      </c>
      <c r="F21" s="3" t="n">
        <v>0.5600000000000001</v>
      </c>
      <c r="G21" s="3" t="n"/>
      <c r="H21" s="3" t="n"/>
    </row>
    <row r="22">
      <c r="A22" t="inlineStr">
        <is>
          <t>Basic EPS</t>
        </is>
      </c>
      <c r="B22" s="3" t="n">
        <v>0.55</v>
      </c>
      <c r="C22" s="3" t="n">
        <v>0.59</v>
      </c>
      <c r="D22" s="3" t="n">
        <v>0.45</v>
      </c>
      <c r="E22" s="3" t="n">
        <v>0.54</v>
      </c>
      <c r="F22" s="3" t="n">
        <v>0.5600000000000001</v>
      </c>
      <c r="G22" s="3" t="n"/>
      <c r="H22" s="3" t="n"/>
    </row>
    <row r="23">
      <c r="A23" t="inlineStr">
        <is>
          <t>Diluted NI Availto Com Stockholders</t>
        </is>
      </c>
      <c r="B23" s="3" t="n">
        <v>59858000</v>
      </c>
      <c r="C23" s="3" t="n">
        <v>63840000</v>
      </c>
      <c r="D23" s="3" t="n">
        <v>48377000</v>
      </c>
      <c r="E23" s="3" t="n">
        <v>57935000</v>
      </c>
      <c r="F23" s="3" t="n">
        <v>60303000</v>
      </c>
      <c r="G23" s="3" t="n"/>
      <c r="H23" s="3" t="n"/>
    </row>
    <row r="24">
      <c r="A24" t="inlineStr">
        <is>
          <t>Net Income Common Stockholders</t>
        </is>
      </c>
      <c r="B24" s="3" t="n">
        <v>59858000</v>
      </c>
      <c r="C24" s="3" t="n">
        <v>63840000</v>
      </c>
      <c r="D24" s="3" t="n">
        <v>48377000</v>
      </c>
      <c r="E24" s="3" t="n">
        <v>57935000</v>
      </c>
      <c r="F24" s="3" t="n">
        <v>60303000</v>
      </c>
      <c r="G24" s="3" t="n"/>
      <c r="H24" s="3" t="n"/>
    </row>
    <row r="25">
      <c r="A25" t="inlineStr">
        <is>
          <t>Net Income</t>
        </is>
      </c>
      <c r="B25" s="3" t="n">
        <v>59858000</v>
      </c>
      <c r="C25" s="3" t="n">
        <v>63840000</v>
      </c>
      <c r="D25" s="3" t="n">
        <v>48377000</v>
      </c>
      <c r="E25" s="3" t="n">
        <v>57935000</v>
      </c>
      <c r="F25" s="3" t="n">
        <v>60303000</v>
      </c>
      <c r="G25" s="3" t="n"/>
      <c r="H25" s="3" t="n"/>
    </row>
    <row r="26">
      <c r="A26" t="inlineStr">
        <is>
          <t>Net Income Including Noncontrolling Interests</t>
        </is>
      </c>
      <c r="B26" s="3" t="n">
        <v>59858000</v>
      </c>
      <c r="C26" s="3" t="n">
        <v>63840000</v>
      </c>
      <c r="D26" s="3" t="n">
        <v>48377000</v>
      </c>
      <c r="E26" s="3" t="n">
        <v>57935000</v>
      </c>
      <c r="F26" s="3" t="n">
        <v>60303000</v>
      </c>
      <c r="G26" s="3" t="n"/>
      <c r="H26" s="3" t="n"/>
    </row>
    <row r="27">
      <c r="A27" t="inlineStr">
        <is>
          <t>Net Income Continuous Operations</t>
        </is>
      </c>
      <c r="B27" s="3" t="n">
        <v>59858000</v>
      </c>
      <c r="C27" s="3" t="n">
        <v>63840000</v>
      </c>
      <c r="D27" s="3" t="n">
        <v>48377000</v>
      </c>
      <c r="E27" s="3" t="n">
        <v>57935000</v>
      </c>
      <c r="F27" s="3" t="n">
        <v>60303000</v>
      </c>
      <c r="G27" s="3" t="n"/>
      <c r="H27" s="3" t="n"/>
    </row>
    <row r="28">
      <c r="A28" t="inlineStr">
        <is>
          <t>Tax Provision</t>
        </is>
      </c>
      <c r="B28" s="3" t="n">
        <v>8772000</v>
      </c>
      <c r="C28" s="3" t="n">
        <v>13366000</v>
      </c>
      <c r="D28" s="3" t="n">
        <v>20911000</v>
      </c>
      <c r="E28" s="3" t="n">
        <v>9904000</v>
      </c>
      <c r="F28" s="3" t="n">
        <v>7320000</v>
      </c>
      <c r="G28" s="3" t="n"/>
      <c r="H28" s="3" t="n"/>
    </row>
    <row r="29">
      <c r="A29" t="inlineStr">
        <is>
          <t>Pretax Income</t>
        </is>
      </c>
      <c r="B29" s="3" t="n">
        <v>68630000</v>
      </c>
      <c r="C29" s="3" t="n">
        <v>77206000</v>
      </c>
      <c r="D29" s="3" t="n">
        <v>69288000</v>
      </c>
      <c r="E29" s="3" t="n">
        <v>67839000</v>
      </c>
      <c r="F29" s="3" t="n">
        <v>67623000</v>
      </c>
      <c r="G29" s="3" t="n"/>
      <c r="H29" s="3" t="n"/>
    </row>
    <row r="30">
      <c r="A30" t="inlineStr">
        <is>
          <t>Other Income Expense</t>
        </is>
      </c>
      <c r="B30" s="3" t="n"/>
      <c r="C30" s="3" t="n"/>
      <c r="D30" s="3" t="n"/>
      <c r="E30" s="3" t="n"/>
      <c r="F30" s="3" t="n"/>
      <c r="G30" s="3" t="n">
        <v>0</v>
      </c>
      <c r="H30" s="3" t="n">
        <v>4544000</v>
      </c>
    </row>
    <row r="31">
      <c r="A31" t="inlineStr">
        <is>
          <t>Special Income Charges</t>
        </is>
      </c>
      <c r="B31" s="3" t="n"/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/>
    </row>
    <row r="32">
      <c r="A32" t="inlineStr">
        <is>
          <t>Gain On Sale Of Business</t>
        </is>
      </c>
      <c r="B32" s="3" t="n"/>
      <c r="C32" s="3" t="n"/>
      <c r="D32" s="3" t="n"/>
      <c r="E32" s="3" t="n"/>
      <c r="F32" s="3" t="n"/>
      <c r="G32" s="3" t="n">
        <v>0</v>
      </c>
      <c r="H32" s="3" t="n">
        <v>0</v>
      </c>
    </row>
    <row r="33">
      <c r="A33" t="inlineStr">
        <is>
          <t>Write Off</t>
        </is>
      </c>
      <c r="B33" s="3" t="n"/>
      <c r="C33" s="3" t="n">
        <v>0</v>
      </c>
      <c r="D33" s="3" t="n">
        <v>0</v>
      </c>
      <c r="E33" s="3" t="n">
        <v>0</v>
      </c>
      <c r="F33" s="3" t="n"/>
      <c r="G33" s="3" t="n">
        <v>0</v>
      </c>
      <c r="H33" s="3" t="n">
        <v>0</v>
      </c>
    </row>
    <row r="34">
      <c r="A34" t="inlineStr">
        <is>
          <t>Restructuring And Mergern Acquisition</t>
        </is>
      </c>
      <c r="B34" s="3" t="n"/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/>
    </row>
    <row r="35">
      <c r="A35" t="inlineStr">
        <is>
          <t>Net Non Operating Interest Income Expense</t>
        </is>
      </c>
      <c r="B35" s="3" t="n">
        <v>6872000</v>
      </c>
      <c r="C35" s="3" t="n">
        <v>6380000</v>
      </c>
      <c r="D35" s="3" t="n">
        <v>6033000</v>
      </c>
      <c r="E35" s="3" t="n">
        <v>4846000</v>
      </c>
      <c r="F35" s="3" t="n">
        <v>4479000</v>
      </c>
      <c r="G35" s="3" t="n"/>
      <c r="H35" s="3" t="n"/>
    </row>
    <row r="36">
      <c r="A36" t="inlineStr">
        <is>
          <t>Interest Expense Non Operating</t>
        </is>
      </c>
      <c r="B36" s="3" t="n">
        <v>279000</v>
      </c>
      <c r="C36" s="3" t="n">
        <v>320000</v>
      </c>
      <c r="D36" s="3" t="n">
        <v>294000</v>
      </c>
      <c r="E36" s="3" t="n">
        <v>382000</v>
      </c>
      <c r="F36" s="3" t="n">
        <v>377000</v>
      </c>
      <c r="G36" s="3" t="n"/>
      <c r="H36" s="3" t="n"/>
    </row>
    <row r="37">
      <c r="A37" t="inlineStr">
        <is>
          <t>Interest Income Non Operating</t>
        </is>
      </c>
      <c r="B37" s="3" t="n">
        <v>7151000</v>
      </c>
      <c r="C37" s="3" t="n">
        <v>6700000</v>
      </c>
      <c r="D37" s="3" t="n">
        <v>6327000</v>
      </c>
      <c r="E37" s="3" t="n">
        <v>5228000</v>
      </c>
      <c r="F37" s="3" t="n">
        <v>4856000</v>
      </c>
      <c r="G37" s="3" t="n"/>
      <c r="H37" s="3" t="n"/>
    </row>
    <row r="38">
      <c r="A38" t="inlineStr">
        <is>
          <t>Operating Income</t>
        </is>
      </c>
      <c r="B38" s="3" t="n">
        <v>61728000</v>
      </c>
      <c r="C38" s="3" t="n">
        <v>70826000</v>
      </c>
      <c r="D38" s="3" t="n">
        <v>63255000</v>
      </c>
      <c r="E38" s="3" t="n">
        <v>62993000</v>
      </c>
      <c r="F38" s="3" t="n">
        <v>63202000</v>
      </c>
      <c r="G38" s="3" t="n"/>
      <c r="H38" s="3" t="n"/>
    </row>
    <row r="39">
      <c r="A39" t="inlineStr">
        <is>
          <t>Operating Expense</t>
        </is>
      </c>
      <c r="B39" s="3" t="n">
        <v>81929000</v>
      </c>
      <c r="C39" s="3" t="n">
        <v>79207000</v>
      </c>
      <c r="D39" s="3" t="n">
        <v>78666000</v>
      </c>
      <c r="E39" s="3" t="n">
        <v>74446000</v>
      </c>
      <c r="F39" s="3" t="n">
        <v>70620000</v>
      </c>
      <c r="G39" s="3" t="n"/>
      <c r="H39" s="3" t="n"/>
    </row>
    <row r="40">
      <c r="A40" t="inlineStr">
        <is>
          <t>Depreciation Amortization Depletion Income Statement</t>
        </is>
      </c>
      <c r="B40" s="3" t="n"/>
      <c r="C40" s="3" t="n">
        <v>0</v>
      </c>
      <c r="D40" s="3" t="n">
        <v>0</v>
      </c>
      <c r="E40" s="3" t="n">
        <v>0</v>
      </c>
      <c r="F40" s="3" t="n">
        <v>0</v>
      </c>
      <c r="G40" s="3" t="n">
        <v>30000</v>
      </c>
      <c r="H40" s="3" t="n"/>
    </row>
    <row r="41">
      <c r="A41" t="inlineStr">
        <is>
          <t>Depreciation And Amortization In Income Statement</t>
        </is>
      </c>
      <c r="B41" s="3" t="n"/>
      <c r="C41" s="3" t="n">
        <v>0</v>
      </c>
      <c r="D41" s="3" t="n">
        <v>0</v>
      </c>
      <c r="E41" s="3" t="n">
        <v>0</v>
      </c>
      <c r="F41" s="3" t="n">
        <v>0</v>
      </c>
      <c r="G41" s="3" t="n">
        <v>30000</v>
      </c>
      <c r="H41" s="3" t="n"/>
    </row>
    <row r="42">
      <c r="A42" t="inlineStr">
        <is>
          <t>Amortization</t>
        </is>
      </c>
      <c r="B42" s="3" t="n"/>
      <c r="C42" s="3" t="n">
        <v>0</v>
      </c>
      <c r="D42" s="3" t="n">
        <v>0</v>
      </c>
      <c r="E42" s="3" t="n">
        <v>0</v>
      </c>
      <c r="F42" s="3" t="n">
        <v>0</v>
      </c>
      <c r="G42" s="3" t="n">
        <v>30000</v>
      </c>
      <c r="H42" s="3" t="n"/>
    </row>
    <row r="43">
      <c r="A43" t="inlineStr">
        <is>
          <t>Amortization Of Intangibles Income Statement</t>
        </is>
      </c>
      <c r="B43" s="3" t="n"/>
      <c r="C43" s="3" t="n">
        <v>0</v>
      </c>
      <c r="D43" s="3" t="n">
        <v>0</v>
      </c>
      <c r="E43" s="3" t="n">
        <v>0</v>
      </c>
      <c r="F43" s="3" t="n">
        <v>0</v>
      </c>
      <c r="G43" s="3" t="n">
        <v>30000</v>
      </c>
      <c r="H43" s="3" t="n"/>
    </row>
    <row r="44">
      <c r="A44" t="inlineStr">
        <is>
          <t>Research And Development</t>
        </is>
      </c>
      <c r="B44" s="3" t="n">
        <v>50229000</v>
      </c>
      <c r="C44" s="3" t="n">
        <v>49246000</v>
      </c>
      <c r="D44" s="3" t="n">
        <v>49511000</v>
      </c>
      <c r="E44" s="3" t="n">
        <v>46331000</v>
      </c>
      <c r="F44" s="3" t="n">
        <v>42620000</v>
      </c>
      <c r="G44" s="3" t="n"/>
      <c r="H44" s="3" t="n"/>
    </row>
    <row r="45">
      <c r="A45" t="inlineStr">
        <is>
          <t>Selling General And Administration</t>
        </is>
      </c>
      <c r="B45" s="3" t="n">
        <v>31700000</v>
      </c>
      <c r="C45" s="3" t="n">
        <v>29961000</v>
      </c>
      <c r="D45" s="3" t="n">
        <v>29155000</v>
      </c>
      <c r="E45" s="3" t="n">
        <v>28115000</v>
      </c>
      <c r="F45" s="3" t="n">
        <v>28000000</v>
      </c>
      <c r="G45" s="3" t="n"/>
      <c r="H45" s="3" t="n"/>
    </row>
    <row r="46">
      <c r="A46" t="inlineStr">
        <is>
          <t>General And Administrative Expense</t>
        </is>
      </c>
      <c r="B46" s="3" t="n">
        <v>31700000</v>
      </c>
      <c r="C46" s="3" t="n"/>
      <c r="D46" s="3" t="n"/>
      <c r="E46" s="3" t="n">
        <v>28115000</v>
      </c>
      <c r="F46" s="3" t="n">
        <v>28000000</v>
      </c>
      <c r="G46" s="3" t="n"/>
      <c r="H46" s="3" t="n">
        <v>25900000</v>
      </c>
    </row>
    <row r="47">
      <c r="A47" t="inlineStr">
        <is>
          <t>Other Gand A</t>
        </is>
      </c>
      <c r="B47" s="3" t="n">
        <v>25600000</v>
      </c>
      <c r="C47" s="3" t="n"/>
      <c r="D47" s="3" t="n"/>
      <c r="E47" s="3" t="n">
        <v>19506000</v>
      </c>
      <c r="F47" s="3" t="n">
        <v>21300000</v>
      </c>
      <c r="G47" s="3" t="n"/>
      <c r="H47" s="3" t="n">
        <v>18200000</v>
      </c>
    </row>
    <row r="48">
      <c r="A48" t="inlineStr">
        <is>
          <t>Salaries And Wages</t>
        </is>
      </c>
      <c r="B48" s="3" t="n">
        <v>6100000</v>
      </c>
      <c r="C48" s="3" t="n"/>
      <c r="D48" s="3" t="n"/>
      <c r="E48" s="3" t="n">
        <v>8609000</v>
      </c>
      <c r="F48" s="3" t="n">
        <v>6700000</v>
      </c>
      <c r="G48" s="3" t="n"/>
      <c r="H48" s="3" t="n">
        <v>7700000</v>
      </c>
    </row>
    <row r="49">
      <c r="A49" t="inlineStr">
        <is>
          <t>Gross Profit</t>
        </is>
      </c>
      <c r="B49" s="3" t="n">
        <v>143657000</v>
      </c>
      <c r="C49" s="3" t="n">
        <v>150033000</v>
      </c>
      <c r="D49" s="3" t="n">
        <v>141921000</v>
      </c>
      <c r="E49" s="3" t="n">
        <v>137439000</v>
      </c>
      <c r="F49" s="3" t="n">
        <v>133822000</v>
      </c>
      <c r="G49" s="3" t="n"/>
      <c r="H49" s="3" t="n"/>
    </row>
    <row r="50">
      <c r="A50" t="inlineStr">
        <is>
          <t>Cost Of Revenue</t>
        </is>
      </c>
      <c r="B50" s="3" t="n">
        <v>36532000</v>
      </c>
      <c r="C50" s="3" t="n">
        <v>40211000</v>
      </c>
      <c r="D50" s="3" t="n">
        <v>36592000</v>
      </c>
      <c r="E50" s="3" t="n">
        <v>34770000</v>
      </c>
      <c r="F50" s="3" t="n">
        <v>32842000</v>
      </c>
      <c r="G50" s="3" t="n"/>
      <c r="H50" s="3" t="n"/>
    </row>
    <row r="51">
      <c r="A51" t="inlineStr">
        <is>
          <t>Total Revenue</t>
        </is>
      </c>
      <c r="B51" s="3" t="n">
        <v>180189000</v>
      </c>
      <c r="C51" s="3" t="n">
        <v>190244000</v>
      </c>
      <c r="D51" s="3" t="n">
        <v>178513000</v>
      </c>
      <c r="E51" s="3" t="n">
        <v>172209000</v>
      </c>
      <c r="F51" s="3" t="n">
        <v>166664000</v>
      </c>
      <c r="G51" s="3" t="n"/>
      <c r="H51" s="3" t="n"/>
    </row>
    <row r="52">
      <c r="A52" t="inlineStr">
        <is>
          <t>Operating Revenue</t>
        </is>
      </c>
      <c r="B52" s="3" t="n">
        <v>180189000</v>
      </c>
      <c r="C52" s="3" t="n">
        <v>190244000</v>
      </c>
      <c r="D52" s="3" t="n">
        <v>178513000</v>
      </c>
      <c r="E52" s="3" t="n">
        <v>172209000</v>
      </c>
      <c r="F52" s="3" t="n">
        <v>166664000</v>
      </c>
      <c r="G52" s="3" t="n"/>
      <c r="H52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Ordinary Shares Number</t>
        </is>
      </c>
      <c r="B2" s="3" t="n">
        <v>107781863</v>
      </c>
      <c r="C2" s="3" t="n">
        <v>106843112</v>
      </c>
      <c r="D2" s="3" t="n">
        <v>107853778</v>
      </c>
      <c r="E2" s="3" t="n">
        <v>107610356</v>
      </c>
      <c r="F2" s="3" t="n"/>
    </row>
    <row r="3">
      <c r="A3" t="inlineStr">
        <is>
          <t>Share Issued</t>
        </is>
      </c>
      <c r="B3" s="3" t="n">
        <v>107781863</v>
      </c>
      <c r="C3" s="3" t="n">
        <v>106843112</v>
      </c>
      <c r="D3" s="3" t="n">
        <v>107853778</v>
      </c>
      <c r="E3" s="3" t="n">
        <v>107610356</v>
      </c>
      <c r="F3" s="3" t="n"/>
    </row>
    <row r="4">
      <c r="A4" t="inlineStr">
        <is>
          <t>Net Debt</t>
        </is>
      </c>
      <c r="B4" s="3" t="n"/>
      <c r="C4" s="3" t="n"/>
      <c r="D4" s="3" t="n"/>
      <c r="E4" s="3" t="n"/>
      <c r="F4" s="3" t="n">
        <v>55796000</v>
      </c>
    </row>
    <row r="5">
      <c r="A5" t="inlineStr">
        <is>
          <t>Total Debt</t>
        </is>
      </c>
      <c r="B5" s="3" t="n">
        <v>24981000</v>
      </c>
      <c r="C5" s="3" t="n">
        <v>30151000</v>
      </c>
      <c r="D5" s="3" t="n">
        <v>30708000</v>
      </c>
      <c r="E5" s="3" t="n">
        <v>44481000</v>
      </c>
      <c r="F5" s="3" t="n"/>
    </row>
    <row r="6">
      <c r="A6" t="inlineStr">
        <is>
          <t>Tangible Book Value</t>
        </is>
      </c>
      <c r="B6" s="3" t="n">
        <v>1067442000</v>
      </c>
      <c r="C6" s="3" t="n">
        <v>816821000</v>
      </c>
      <c r="D6" s="3" t="n">
        <v>722520000</v>
      </c>
      <c r="E6" s="3" t="n">
        <v>436377000</v>
      </c>
      <c r="F6" s="3" t="n"/>
    </row>
    <row r="7">
      <c r="A7" t="inlineStr">
        <is>
          <t>Invested Capital</t>
        </is>
      </c>
      <c r="B7" s="3" t="n">
        <v>1364425000</v>
      </c>
      <c r="C7" s="3" t="n">
        <v>1120692000</v>
      </c>
      <c r="D7" s="3" t="n">
        <v>1038101000</v>
      </c>
      <c r="E7" s="3" t="n">
        <v>789675000</v>
      </c>
      <c r="F7" s="3" t="n"/>
    </row>
    <row r="8">
      <c r="A8" t="inlineStr">
        <is>
          <t>Working Capital</t>
        </is>
      </c>
      <c r="B8" s="3" t="n">
        <v>868242000</v>
      </c>
      <c r="C8" s="3" t="n">
        <v>608445000</v>
      </c>
      <c r="D8" s="3" t="n">
        <v>541524000</v>
      </c>
      <c r="E8" s="3" t="n">
        <v>400505000</v>
      </c>
      <c r="F8" s="3" t="n"/>
    </row>
    <row r="9">
      <c r="A9" t="inlineStr">
        <is>
          <t>Net Tangible Assets</t>
        </is>
      </c>
      <c r="B9" s="3" t="n">
        <v>1067442000</v>
      </c>
      <c r="C9" s="3" t="n">
        <v>816821000</v>
      </c>
      <c r="D9" s="3" t="n">
        <v>722520000</v>
      </c>
      <c r="E9" s="3" t="n">
        <v>436377000</v>
      </c>
      <c r="F9" s="3" t="n"/>
    </row>
    <row r="10">
      <c r="A10" t="inlineStr">
        <is>
          <t>Capital Lease Obligations</t>
        </is>
      </c>
      <c r="B10" s="3" t="n">
        <v>24981000</v>
      </c>
      <c r="C10" s="3" t="n">
        <v>30151000</v>
      </c>
      <c r="D10" s="3" t="n">
        <v>30708000</v>
      </c>
      <c r="E10" s="3" t="n">
        <v>34103000</v>
      </c>
      <c r="F10" s="3" t="n"/>
    </row>
    <row r="11">
      <c r="A11" t="inlineStr">
        <is>
          <t>Common Stock Equity</t>
        </is>
      </c>
      <c r="B11" s="3" t="n">
        <v>1364425000</v>
      </c>
      <c r="C11" s="3" t="n">
        <v>1120692000</v>
      </c>
      <c r="D11" s="3" t="n">
        <v>1038101000</v>
      </c>
      <c r="E11" s="3" t="n">
        <v>779297000</v>
      </c>
      <c r="F11" s="3" t="n"/>
    </row>
    <row r="12">
      <c r="A12" t="inlineStr">
        <is>
          <t>Total Capitalization</t>
        </is>
      </c>
      <c r="B12" s="3" t="n">
        <v>1364425000</v>
      </c>
      <c r="C12" s="3" t="n">
        <v>1120692000</v>
      </c>
      <c r="D12" s="3" t="n">
        <v>1038101000</v>
      </c>
      <c r="E12" s="3" t="n">
        <v>779297000</v>
      </c>
      <c r="F12" s="3" t="n"/>
    </row>
    <row r="13">
      <c r="A13" t="inlineStr">
        <is>
          <t>Total Equity Gross Minority Interest</t>
        </is>
      </c>
      <c r="B13" s="3" t="n">
        <v>1364425000</v>
      </c>
      <c r="C13" s="3" t="n">
        <v>1120692000</v>
      </c>
      <c r="D13" s="3" t="n">
        <v>1038101000</v>
      </c>
      <c r="E13" s="3" t="n">
        <v>779297000</v>
      </c>
      <c r="F13" s="3" t="n"/>
    </row>
    <row r="14">
      <c r="A14" t="inlineStr">
        <is>
          <t>Stockholders Equity</t>
        </is>
      </c>
      <c r="B14" s="3" t="n">
        <v>1364425000</v>
      </c>
      <c r="C14" s="3" t="n">
        <v>1120692000</v>
      </c>
      <c r="D14" s="3" t="n">
        <v>1038101000</v>
      </c>
      <c r="E14" s="3" t="n">
        <v>779297000</v>
      </c>
      <c r="F14" s="3" t="n"/>
    </row>
    <row r="15">
      <c r="A15" t="inlineStr">
        <is>
          <t>Gains Losses Not Affecting Retained Earnings</t>
        </is>
      </c>
      <c r="B15" s="3" t="n">
        <v>-124000</v>
      </c>
      <c r="C15" s="3" t="n">
        <v>-1260000</v>
      </c>
      <c r="D15" s="3" t="n">
        <v>-1269000</v>
      </c>
      <c r="E15" s="3" t="n">
        <v>-4963000</v>
      </c>
      <c r="F15" s="3" t="n"/>
    </row>
    <row r="16">
      <c r="A16" t="inlineStr">
        <is>
          <t>Other Equity Adjustments</t>
        </is>
      </c>
      <c r="B16" s="3" t="n">
        <v>-124000</v>
      </c>
      <c r="C16" s="3" t="n">
        <v>-1260000</v>
      </c>
      <c r="D16" s="3" t="n">
        <v>-1269000</v>
      </c>
      <c r="E16" s="3" t="n">
        <v>-4963000</v>
      </c>
      <c r="F16" s="3" t="n"/>
    </row>
    <row r="17">
      <c r="A17" t="inlineStr">
        <is>
          <t>Retained Earnings</t>
        </is>
      </c>
      <c r="B17" s="3" t="n">
        <v>76795000</v>
      </c>
      <c r="C17" s="3" t="n">
        <v>-153660000</v>
      </c>
      <c r="D17" s="3" t="n">
        <v>-285534000</v>
      </c>
      <c r="E17" s="3" t="n">
        <v>-513256000</v>
      </c>
      <c r="F17" s="3" t="n"/>
    </row>
    <row r="18">
      <c r="A18" t="inlineStr">
        <is>
          <t>Additional Paid In Capital</t>
        </is>
      </c>
      <c r="B18" s="3" t="n">
        <v>1287646000</v>
      </c>
      <c r="C18" s="3" t="n">
        <v>1275505000</v>
      </c>
      <c r="D18" s="3" t="n">
        <v>1324796000</v>
      </c>
      <c r="E18" s="3" t="n">
        <v>1297408000</v>
      </c>
      <c r="F18" s="3" t="n"/>
    </row>
    <row r="19">
      <c r="A19" t="inlineStr">
        <is>
          <t>Capital Stock</t>
        </is>
      </c>
      <c r="B19" s="3" t="n">
        <v>108000</v>
      </c>
      <c r="C19" s="3" t="n">
        <v>107000</v>
      </c>
      <c r="D19" s="3" t="n">
        <v>108000</v>
      </c>
      <c r="E19" s="3" t="n">
        <v>108000</v>
      </c>
      <c r="F19" s="3" t="n"/>
    </row>
    <row r="20">
      <c r="A20" t="inlineStr">
        <is>
          <t>Common Stock</t>
        </is>
      </c>
      <c r="B20" s="3" t="n">
        <v>108000</v>
      </c>
      <c r="C20" s="3" t="n">
        <v>107000</v>
      </c>
      <c r="D20" s="3" t="n">
        <v>108000</v>
      </c>
      <c r="E20" s="3" t="n">
        <v>108000</v>
      </c>
      <c r="F20" s="3" t="n"/>
    </row>
    <row r="21">
      <c r="A21" t="inlineStr">
        <is>
          <t>Preferred Stock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/>
    </row>
    <row r="22">
      <c r="A22" t="inlineStr">
        <is>
          <t>Total Liabilities Net Minority Interest</t>
        </is>
      </c>
      <c r="B22" s="3" t="n">
        <v>165120000</v>
      </c>
      <c r="C22" s="3" t="n">
        <v>222444000</v>
      </c>
      <c r="D22" s="3" t="n">
        <v>220126000</v>
      </c>
      <c r="E22" s="3" t="n">
        <v>233297000</v>
      </c>
      <c r="F22" s="3" t="n"/>
    </row>
    <row r="23">
      <c r="A23" t="inlineStr">
        <is>
          <t>Total Non Current Liabilities Net Minority Interest</t>
        </is>
      </c>
      <c r="B23" s="3" t="n">
        <v>44546000</v>
      </c>
      <c r="C23" s="3" t="n">
        <v>140632000</v>
      </c>
      <c r="D23" s="3" t="n">
        <v>131005000</v>
      </c>
      <c r="E23" s="3" t="n">
        <v>106588000</v>
      </c>
      <c r="F23" s="3" t="n"/>
    </row>
    <row r="24">
      <c r="A24" t="inlineStr">
        <is>
          <t>Other Non Current Liabilities</t>
        </is>
      </c>
      <c r="B24" s="3" t="n">
        <v>24482000</v>
      </c>
      <c r="C24" s="3" t="n">
        <v>6715000</v>
      </c>
      <c r="D24" s="3" t="n">
        <v>25803000</v>
      </c>
      <c r="E24" s="3" t="n">
        <v>46653000</v>
      </c>
      <c r="F24" s="3" t="n"/>
    </row>
    <row r="25">
      <c r="A25" t="inlineStr">
        <is>
          <t>Tradeand Other Payables Non Current</t>
        </is>
      </c>
      <c r="B25" s="3" t="n">
        <v>1393000</v>
      </c>
      <c r="C25" s="3" t="n">
        <v>109383000</v>
      </c>
      <c r="D25" s="3" t="n">
        <v>78947000</v>
      </c>
      <c r="E25" s="3" t="n">
        <v>5892000</v>
      </c>
      <c r="F25" s="3" t="n"/>
    </row>
    <row r="26">
      <c r="A26" t="inlineStr">
        <is>
          <t>Non Current Deferred Liabilities</t>
        </is>
      </c>
      <c r="B26" s="3" t="n"/>
      <c r="C26" s="3" t="n"/>
      <c r="D26" s="3" t="n">
        <v>4462000</v>
      </c>
      <c r="E26" s="3" t="n">
        <v>24964000</v>
      </c>
      <c r="F26" s="3" t="n">
        <v>23985000</v>
      </c>
    </row>
    <row r="27">
      <c r="A27" t="inlineStr">
        <is>
          <t>Non Current Deferred Taxes Liabilities</t>
        </is>
      </c>
      <c r="B27" s="3" t="n"/>
      <c r="C27" s="3" t="n"/>
      <c r="D27" s="3" t="n">
        <v>4462000</v>
      </c>
      <c r="E27" s="3" t="n">
        <v>24964000</v>
      </c>
      <c r="F27" s="3" t="n">
        <v>23985000</v>
      </c>
    </row>
    <row r="28">
      <c r="A28" t="inlineStr">
        <is>
          <t>Long Term Debt And Capital Lease Obligation</t>
        </is>
      </c>
      <c r="B28" s="3" t="n">
        <v>18671000</v>
      </c>
      <c r="C28" s="3" t="n">
        <v>24534000</v>
      </c>
      <c r="D28" s="3" t="n">
        <v>26255000</v>
      </c>
      <c r="E28" s="3" t="n">
        <v>29079000</v>
      </c>
      <c r="F28" s="3" t="n"/>
    </row>
    <row r="29">
      <c r="A29" t="inlineStr">
        <is>
          <t>Long Term Capital Lease Obligation</t>
        </is>
      </c>
      <c r="B29" s="3" t="n">
        <v>18671000</v>
      </c>
      <c r="C29" s="3" t="n">
        <v>24534000</v>
      </c>
      <c r="D29" s="3" t="n">
        <v>26255000</v>
      </c>
      <c r="E29" s="3" t="n">
        <v>29079000</v>
      </c>
      <c r="F29" s="3" t="n"/>
    </row>
    <row r="30">
      <c r="A30" t="inlineStr">
        <is>
          <t>Current Liabilities</t>
        </is>
      </c>
      <c r="B30" s="3" t="n">
        <v>120574000</v>
      </c>
      <c r="C30" s="3" t="n">
        <v>81812000</v>
      </c>
      <c r="D30" s="3" t="n">
        <v>89121000</v>
      </c>
      <c r="E30" s="3" t="n">
        <v>126709000</v>
      </c>
      <c r="F30" s="3" t="n"/>
    </row>
    <row r="31">
      <c r="A31" t="inlineStr">
        <is>
          <t>Other Current Liabilities</t>
        </is>
      </c>
      <c r="B31" s="3" t="n">
        <v>26325000</v>
      </c>
      <c r="C31" s="3" t="n">
        <v>18577000</v>
      </c>
      <c r="D31" s="3" t="n">
        <v>26598000</v>
      </c>
      <c r="E31" s="3" t="n">
        <v>23992000</v>
      </c>
      <c r="F31" s="3" t="n"/>
    </row>
    <row r="32">
      <c r="A32" t="inlineStr">
        <is>
          <t>Current Deferred Liabilities</t>
        </is>
      </c>
      <c r="B32" s="3" t="n">
        <v>29980000</v>
      </c>
      <c r="C32" s="3" t="n">
        <v>19903000</v>
      </c>
      <c r="D32" s="3" t="n">
        <v>17393000</v>
      </c>
      <c r="E32" s="3" t="n">
        <v>23861000</v>
      </c>
      <c r="F32" s="3" t="n"/>
    </row>
    <row r="33">
      <c r="A33" t="inlineStr">
        <is>
          <t>Current Deferred Revenue</t>
        </is>
      </c>
      <c r="B33" s="3" t="n">
        <v>29980000</v>
      </c>
      <c r="C33" s="3" t="n">
        <v>19903000</v>
      </c>
      <c r="D33" s="3" t="n">
        <v>17393000</v>
      </c>
      <c r="E33" s="3" t="n">
        <v>23861000</v>
      </c>
      <c r="F33" s="3" t="n"/>
    </row>
    <row r="34">
      <c r="A34" t="inlineStr">
        <is>
          <t>Current Debt And Capital Lease Obligation</t>
        </is>
      </c>
      <c r="B34" s="3" t="n">
        <v>6310000</v>
      </c>
      <c r="C34" s="3" t="n">
        <v>5617000</v>
      </c>
      <c r="D34" s="3" t="n">
        <v>4453000</v>
      </c>
      <c r="E34" s="3" t="n">
        <v>15402000</v>
      </c>
      <c r="F34" s="3" t="n"/>
    </row>
    <row r="35">
      <c r="A35" t="inlineStr">
        <is>
          <t>Current Capital Lease Obligation</t>
        </is>
      </c>
      <c r="B35" s="3" t="n">
        <v>6310000</v>
      </c>
      <c r="C35" s="3" t="n">
        <v>5617000</v>
      </c>
      <c r="D35" s="3" t="n">
        <v>4453000</v>
      </c>
      <c r="E35" s="3" t="n">
        <v>5024000</v>
      </c>
      <c r="F35" s="3" t="n"/>
    </row>
    <row r="36">
      <c r="A36" t="inlineStr">
        <is>
          <t>Current Debt</t>
        </is>
      </c>
      <c r="B36" s="3" t="n"/>
      <c r="C36" s="3" t="n"/>
      <c r="D36" s="3" t="n"/>
      <c r="E36" s="3" t="n">
        <v>10378000</v>
      </c>
      <c r="F36" s="3" t="n">
        <v>163687000</v>
      </c>
    </row>
    <row r="37">
      <c r="A37" t="inlineStr">
        <is>
          <t>Other Current Borrowings</t>
        </is>
      </c>
      <c r="B37" s="3" t="n"/>
      <c r="C37" s="3" t="n"/>
      <c r="D37" s="3" t="n"/>
      <c r="E37" s="3" t="n">
        <v>10378000</v>
      </c>
      <c r="F37" s="3" t="n">
        <v>163687000</v>
      </c>
    </row>
    <row r="38">
      <c r="A38" t="inlineStr">
        <is>
          <t>Payables And Accrued Expenses</t>
        </is>
      </c>
      <c r="B38" s="3" t="n">
        <v>57959000</v>
      </c>
      <c r="C38" s="3" t="n">
        <v>37715000</v>
      </c>
      <c r="D38" s="3" t="n">
        <v>40677000</v>
      </c>
      <c r="E38" s="3" t="n">
        <v>63454000</v>
      </c>
      <c r="F38" s="3" t="n"/>
    </row>
    <row r="39">
      <c r="A39" t="inlineStr">
        <is>
          <t>Current Accrued Expenses</t>
        </is>
      </c>
      <c r="B39" s="3" t="n">
        <v>22044000</v>
      </c>
      <c r="C39" s="3" t="n">
        <v>19193000</v>
      </c>
      <c r="D39" s="3" t="n">
        <v>17504000</v>
      </c>
      <c r="E39" s="3" t="n">
        <v>20502000</v>
      </c>
      <c r="F39" s="3" t="n"/>
    </row>
    <row r="40">
      <c r="A40" t="inlineStr">
        <is>
          <t>Payables</t>
        </is>
      </c>
      <c r="B40" s="3" t="n">
        <v>35915000</v>
      </c>
      <c r="C40" s="3" t="n">
        <v>18522000</v>
      </c>
      <c r="D40" s="3" t="n">
        <v>23173000</v>
      </c>
      <c r="E40" s="3" t="n">
        <v>42952000</v>
      </c>
      <c r="F40" s="3" t="n"/>
    </row>
    <row r="41">
      <c r="A41" t="inlineStr">
        <is>
          <t>Total Tax Payable</t>
        </is>
      </c>
      <c r="B41" s="3" t="n"/>
      <c r="C41" s="3" t="n">
        <v>1264000</v>
      </c>
      <c r="D41" s="3" t="n">
        <v>5099000</v>
      </c>
      <c r="E41" s="3" t="n">
        <v>18137000</v>
      </c>
      <c r="F41" s="3" t="n">
        <v>20607000</v>
      </c>
    </row>
    <row r="42">
      <c r="A42" t="inlineStr">
        <is>
          <t>Income Tax Payable</t>
        </is>
      </c>
      <c r="B42" s="3" t="n"/>
      <c r="C42" s="3" t="n">
        <v>1264000</v>
      </c>
      <c r="D42" s="3" t="n">
        <v>5099000</v>
      </c>
      <c r="E42" s="3" t="n">
        <v>18137000</v>
      </c>
      <c r="F42" s="3" t="n">
        <v>20607000</v>
      </c>
    </row>
    <row r="43">
      <c r="A43" t="inlineStr">
        <is>
          <t>Accounts Payable</t>
        </is>
      </c>
      <c r="B43" s="3" t="n">
        <v>35915000</v>
      </c>
      <c r="C43" s="3" t="n">
        <v>18522000</v>
      </c>
      <c r="D43" s="3" t="n">
        <v>18074000</v>
      </c>
      <c r="E43" s="3" t="n">
        <v>24815000</v>
      </c>
      <c r="F43" s="3" t="n"/>
    </row>
    <row r="44">
      <c r="A44" t="inlineStr">
        <is>
          <t>Total Assets</t>
        </is>
      </c>
      <c r="B44" s="3" t="n">
        <v>1529545000</v>
      </c>
      <c r="C44" s="3" t="n">
        <v>1343136000</v>
      </c>
      <c r="D44" s="3" t="n">
        <v>1258227000</v>
      </c>
      <c r="E44" s="3" t="n">
        <v>1012594000</v>
      </c>
      <c r="F44" s="3" t="n"/>
    </row>
    <row r="45">
      <c r="A45" t="inlineStr">
        <is>
          <t>Total Non Current Assets</t>
        </is>
      </c>
      <c r="B45" s="3" t="n">
        <v>540729000</v>
      </c>
      <c r="C45" s="3" t="n">
        <v>652879000</v>
      </c>
      <c r="D45" s="3" t="n">
        <v>627582000</v>
      </c>
      <c r="E45" s="3" t="n">
        <v>485380000</v>
      </c>
      <c r="F45" s="3" t="n"/>
    </row>
    <row r="46">
      <c r="A46" t="inlineStr">
        <is>
          <t>Other Non Current Assets</t>
        </is>
      </c>
      <c r="B46" s="3" t="n">
        <v>4759000</v>
      </c>
      <c r="C46" s="3" t="n">
        <v>5632000</v>
      </c>
      <c r="D46" s="3" t="n">
        <v>6036000</v>
      </c>
      <c r="E46" s="3" t="n">
        <v>2745000</v>
      </c>
      <c r="F46" s="3" t="n"/>
    </row>
    <row r="47">
      <c r="A47" t="inlineStr">
        <is>
          <t>Non Current Deferred Assets</t>
        </is>
      </c>
      <c r="B47" s="3" t="n">
        <v>105542000</v>
      </c>
      <c r="C47" s="3" t="n">
        <v>136466000</v>
      </c>
      <c r="D47" s="3" t="n">
        <v>127892000</v>
      </c>
      <c r="E47" s="3" t="n">
        <v>3031000</v>
      </c>
      <c r="F47" s="3" t="n"/>
    </row>
    <row r="48">
      <c r="A48" t="inlineStr">
        <is>
          <t>Non Current Deferred Taxes Assets</t>
        </is>
      </c>
      <c r="B48" s="3" t="n">
        <v>105542000</v>
      </c>
      <c r="C48" s="3" t="n">
        <v>136466000</v>
      </c>
      <c r="D48" s="3" t="n">
        <v>127892000</v>
      </c>
      <c r="E48" s="3" t="n">
        <v>3031000</v>
      </c>
      <c r="F48" s="3" t="n"/>
    </row>
    <row r="49">
      <c r="A49" t="inlineStr">
        <is>
          <t>Non Current Accounts Receivable</t>
        </is>
      </c>
      <c r="B49" s="3" t="n">
        <v>3282000</v>
      </c>
      <c r="C49" s="3" t="n">
        <v>109947000</v>
      </c>
      <c r="D49" s="3" t="n">
        <v>88768000</v>
      </c>
      <c r="E49" s="3" t="n">
        <v>26286000</v>
      </c>
      <c r="F49" s="3" t="n"/>
    </row>
    <row r="50">
      <c r="A50" t="inlineStr">
        <is>
          <t>Goodwill And Other Intangible Assets</t>
        </is>
      </c>
      <c r="B50" s="3" t="n">
        <v>296983000</v>
      </c>
      <c r="C50" s="3" t="n">
        <v>303871000</v>
      </c>
      <c r="D50" s="3" t="n">
        <v>315581000</v>
      </c>
      <c r="E50" s="3" t="n">
        <v>342920000</v>
      </c>
      <c r="F50" s="3" t="n"/>
    </row>
    <row r="51">
      <c r="A51" t="inlineStr">
        <is>
          <t>Other Intangible Assets</t>
        </is>
      </c>
      <c r="B51" s="3" t="n">
        <v>10171000</v>
      </c>
      <c r="C51" s="3" t="n">
        <v>17059000</v>
      </c>
      <c r="D51" s="3" t="n">
        <v>28769000</v>
      </c>
      <c r="E51" s="3" t="n">
        <v>50880000</v>
      </c>
      <c r="F51" s="3" t="n"/>
    </row>
    <row r="52">
      <c r="A52" t="inlineStr">
        <is>
          <t>Goodwill</t>
        </is>
      </c>
      <c r="B52" s="3" t="n">
        <v>286812000</v>
      </c>
      <c r="C52" s="3" t="n">
        <v>286812000</v>
      </c>
      <c r="D52" s="3" t="n">
        <v>286812000</v>
      </c>
      <c r="E52" s="3" t="n">
        <v>292040000</v>
      </c>
      <c r="F52" s="3" t="n"/>
    </row>
    <row r="53">
      <c r="A53" t="inlineStr">
        <is>
          <t>Net PPE</t>
        </is>
      </c>
      <c r="B53" s="3" t="n">
        <v>130163000</v>
      </c>
      <c r="C53" s="3" t="n">
        <v>96963000</v>
      </c>
      <c r="D53" s="3" t="n">
        <v>89305000</v>
      </c>
      <c r="E53" s="3" t="n">
        <v>110398000</v>
      </c>
      <c r="F53" s="3" t="n"/>
    </row>
    <row r="54">
      <c r="A54" t="inlineStr">
        <is>
          <t>Accumulated Depreciation</t>
        </is>
      </c>
      <c r="B54" s="3" t="n">
        <v>-110478000</v>
      </c>
      <c r="C54" s="3" t="n">
        <v>-110648000</v>
      </c>
      <c r="D54" s="3" t="n">
        <v>-89093000</v>
      </c>
      <c r="E54" s="3" t="n">
        <v>-81694000</v>
      </c>
      <c r="F54" s="3" t="n"/>
    </row>
    <row r="55">
      <c r="A55" t="inlineStr">
        <is>
          <t>Gross PPE</t>
        </is>
      </c>
      <c r="B55" s="3" t="n">
        <v>240641000</v>
      </c>
      <c r="C55" s="3" t="n">
        <v>207611000</v>
      </c>
      <c r="D55" s="3" t="n">
        <v>178398000</v>
      </c>
      <c r="E55" s="3" t="n">
        <v>192092000</v>
      </c>
      <c r="F55" s="3" t="n"/>
    </row>
    <row r="56">
      <c r="A56" t="inlineStr">
        <is>
          <t>Leases</t>
        </is>
      </c>
      <c r="B56" s="3" t="n">
        <v>36343000</v>
      </c>
      <c r="C56" s="3" t="n">
        <v>31973000</v>
      </c>
      <c r="D56" s="3" t="n">
        <v>27810000</v>
      </c>
      <c r="E56" s="3" t="n">
        <v>32384000</v>
      </c>
      <c r="F56" s="3" t="n"/>
    </row>
    <row r="57">
      <c r="A57" t="inlineStr">
        <is>
          <t>Construction In Progress</t>
        </is>
      </c>
      <c r="B57" s="3" t="n">
        <v>7413000</v>
      </c>
      <c r="C57" s="3" t="n">
        <v>7789000</v>
      </c>
      <c r="D57" s="3" t="n">
        <v>5660000</v>
      </c>
      <c r="E57" s="3" t="n">
        <v>6949000</v>
      </c>
      <c r="F57" s="3" t="n"/>
    </row>
    <row r="58">
      <c r="A58" t="inlineStr">
        <is>
          <t>Other Properties</t>
        </is>
      </c>
      <c r="B58" s="3" t="n">
        <v>17112000</v>
      </c>
      <c r="C58" s="3" t="n">
        <v>21454000</v>
      </c>
      <c r="D58" s="3" t="n">
        <v>21497000</v>
      </c>
      <c r="E58" s="3" t="n">
        <v>24143000</v>
      </c>
      <c r="F58" s="3" t="n"/>
    </row>
    <row r="59">
      <c r="A59" t="inlineStr">
        <is>
          <t>Machinery Furniture Equipment</t>
        </is>
      </c>
      <c r="B59" s="3" t="n">
        <v>179773000</v>
      </c>
      <c r="C59" s="3" t="n">
        <v>146395000</v>
      </c>
      <c r="D59" s="3" t="n">
        <v>123431000</v>
      </c>
      <c r="E59" s="3" t="n">
        <v>128616000</v>
      </c>
      <c r="F59" s="3" t="n"/>
    </row>
    <row r="60">
      <c r="A60" t="inlineStr">
        <is>
          <t>Properties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/>
    </row>
    <row r="61">
      <c r="A61" t="inlineStr">
        <is>
          <t>Current Assets</t>
        </is>
      </c>
      <c r="B61" s="3" t="n">
        <v>988816000</v>
      </c>
      <c r="C61" s="3" t="n">
        <v>690257000</v>
      </c>
      <c r="D61" s="3" t="n">
        <v>630645000</v>
      </c>
      <c r="E61" s="3" t="n">
        <v>527214000</v>
      </c>
      <c r="F61" s="3" t="n"/>
    </row>
    <row r="62">
      <c r="A62" t="inlineStr">
        <is>
          <t>Other Current Assets</t>
        </is>
      </c>
      <c r="B62" s="3" t="n">
        <v>20202000</v>
      </c>
      <c r="C62" s="3" t="n">
        <v>15942000</v>
      </c>
      <c r="D62" s="3" t="n">
        <v>34850000</v>
      </c>
      <c r="E62" s="3" t="n">
        <v>12022000</v>
      </c>
      <c r="F62" s="3" t="n"/>
    </row>
    <row r="63">
      <c r="A63" t="inlineStr">
        <is>
          <t>Prepaid Assets</t>
        </is>
      </c>
      <c r="B63" s="3" t="n"/>
      <c r="C63" s="3" t="n"/>
      <c r="D63" s="3" t="n"/>
      <c r="E63" s="3" t="n"/>
      <c r="F63" s="3" t="n">
        <v>10600000</v>
      </c>
    </row>
    <row r="64">
      <c r="A64" t="inlineStr">
        <is>
          <t>Inventory</t>
        </is>
      </c>
      <c r="B64" s="3" t="n">
        <v>44098000</v>
      </c>
      <c r="C64" s="3" t="n">
        <v>44634000</v>
      </c>
      <c r="D64" s="3" t="n">
        <v>36154000</v>
      </c>
      <c r="E64" s="3" t="n">
        <v>20900000</v>
      </c>
      <c r="F64" s="3" t="n"/>
    </row>
    <row r="65">
      <c r="A65" t="inlineStr">
        <is>
          <t>Finished Goods</t>
        </is>
      </c>
      <c r="B65" s="3" t="n">
        <v>9804000</v>
      </c>
      <c r="C65" s="3" t="n">
        <v>20211000</v>
      </c>
      <c r="D65" s="3" t="n">
        <v>13372000</v>
      </c>
      <c r="E65" s="3" t="n">
        <v>7876000</v>
      </c>
      <c r="F65" s="3" t="n"/>
    </row>
    <row r="66">
      <c r="A66" t="inlineStr">
        <is>
          <t>Work In Process</t>
        </is>
      </c>
      <c r="B66" s="3" t="n">
        <v>17039000</v>
      </c>
      <c r="C66" s="3" t="n">
        <v>9646000</v>
      </c>
      <c r="D66" s="3" t="n">
        <v>5299000</v>
      </c>
      <c r="E66" s="3" t="n">
        <v>8341000</v>
      </c>
      <c r="F66" s="3" t="n"/>
    </row>
    <row r="67">
      <c r="A67" t="inlineStr">
        <is>
          <t>Raw Materials</t>
        </is>
      </c>
      <c r="B67" s="3" t="n">
        <v>17255000</v>
      </c>
      <c r="C67" s="3" t="n">
        <v>14777000</v>
      </c>
      <c r="D67" s="3" t="n">
        <v>17483000</v>
      </c>
      <c r="E67" s="3" t="n">
        <v>4683000</v>
      </c>
      <c r="F67" s="3" t="n"/>
    </row>
    <row r="68">
      <c r="A68" t="inlineStr">
        <is>
          <t>Receivables</t>
        </is>
      </c>
      <c r="B68" s="3" t="n">
        <v>162685000</v>
      </c>
      <c r="C68" s="3" t="n">
        <v>147883000</v>
      </c>
      <c r="D68" s="3" t="n">
        <v>133797000</v>
      </c>
      <c r="E68" s="3" t="n">
        <v>181066000</v>
      </c>
      <c r="F68" s="3" t="n"/>
    </row>
    <row r="69">
      <c r="A69" t="inlineStr">
        <is>
          <t>Other Receivables</t>
        </is>
      </c>
      <c r="B69" s="3" t="n">
        <v>25209000</v>
      </c>
      <c r="C69" s="3" t="n">
        <v>25070000</v>
      </c>
      <c r="D69" s="3" t="n">
        <v>50872000</v>
      </c>
      <c r="E69" s="3" t="n">
        <v>125698000</v>
      </c>
      <c r="F69" s="3" t="n"/>
    </row>
    <row r="70">
      <c r="A70" t="inlineStr">
        <is>
          <t>Accounts Receivable</t>
        </is>
      </c>
      <c r="B70" s="3" t="n">
        <v>137476000</v>
      </c>
      <c r="C70" s="3" t="n">
        <v>122813000</v>
      </c>
      <c r="D70" s="3" t="n">
        <v>82925000</v>
      </c>
      <c r="E70" s="3" t="n">
        <v>55368000</v>
      </c>
      <c r="F70" s="3" t="n"/>
    </row>
    <row r="71">
      <c r="A71" t="inlineStr">
        <is>
          <t>Cash Cash Equivalents And Short Term Investments</t>
        </is>
      </c>
      <c r="B71" s="3" t="n">
        <v>761831000</v>
      </c>
      <c r="C71" s="3" t="n">
        <v>481798000</v>
      </c>
      <c r="D71" s="3" t="n">
        <v>425844000</v>
      </c>
      <c r="E71" s="3" t="n">
        <v>313226000</v>
      </c>
      <c r="F71" s="3" t="n"/>
    </row>
    <row r="72">
      <c r="A72" t="inlineStr">
        <is>
          <t>Other Short Term Investments</t>
        </is>
      </c>
      <c r="B72" s="3" t="n">
        <v>579005000</v>
      </c>
      <c r="C72" s="3" t="n">
        <v>382023000</v>
      </c>
      <c r="D72" s="3" t="n">
        <v>331077000</v>
      </c>
      <c r="E72" s="3" t="n">
        <v>187892000</v>
      </c>
      <c r="F72" s="3" t="n"/>
    </row>
    <row r="73">
      <c r="A73" t="inlineStr">
        <is>
          <t>Cash And Cash Equivalents</t>
        </is>
      </c>
      <c r="B73" s="3" t="n"/>
      <c r="C73" s="3" t="n">
        <v>99775000</v>
      </c>
      <c r="D73" s="3" t="n">
        <v>94767000</v>
      </c>
      <c r="E73" s="3" t="n">
        <v>125334000</v>
      </c>
      <c r="F73" s="3" t="n">
        <v>107891000</v>
      </c>
    </row>
    <row r="74">
      <c r="A74" t="inlineStr">
        <is>
          <t>Cash Equivalents</t>
        </is>
      </c>
      <c r="B74" s="3" t="n">
        <v>114993000</v>
      </c>
      <c r="C74" s="3" t="n">
        <v>12360000</v>
      </c>
      <c r="D74" s="3" t="n">
        <v>6281000</v>
      </c>
      <c r="E74" s="3" t="n">
        <v>30597000</v>
      </c>
      <c r="F74" s="3" t="n"/>
    </row>
    <row r="75">
      <c r="A75" t="inlineStr">
        <is>
          <t>Cash Financial</t>
        </is>
      </c>
      <c r="B75" s="3" t="n">
        <v>67833000</v>
      </c>
      <c r="C75" s="3" t="n">
        <v>87415000</v>
      </c>
      <c r="D75" s="3" t="n">
        <v>88486000</v>
      </c>
      <c r="E75" s="3" t="n">
        <v>94737000</v>
      </c>
      <c r="F75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Ordinary Shares Number</t>
        </is>
      </c>
      <c r="B2" s="3" t="n">
        <v>108136967</v>
      </c>
      <c r="C2" s="3" t="n">
        <v>107781863</v>
      </c>
      <c r="D2" s="3" t="n">
        <v>107650133</v>
      </c>
      <c r="E2" s="3" t="n">
        <v>107593820</v>
      </c>
      <c r="F2" s="3" t="n">
        <v>107411916</v>
      </c>
      <c r="G2" s="3" t="n"/>
      <c r="H2" s="3" t="n"/>
    </row>
    <row r="3">
      <c r="A3" t="inlineStr">
        <is>
          <t>Share Issued</t>
        </is>
      </c>
      <c r="B3" s="3" t="n">
        <v>108136967</v>
      </c>
      <c r="C3" s="3" t="n">
        <v>107781863</v>
      </c>
      <c r="D3" s="3" t="n">
        <v>107650133</v>
      </c>
      <c r="E3" s="3" t="n">
        <v>107593820</v>
      </c>
      <c r="F3" s="3" t="n">
        <v>107411916</v>
      </c>
      <c r="G3" s="3" t="n"/>
      <c r="H3" s="3" t="n"/>
    </row>
    <row r="4">
      <c r="A4" t="inlineStr">
        <is>
          <t>Total Debt</t>
        </is>
      </c>
      <c r="B4" s="3" t="n">
        <v>23404000</v>
      </c>
      <c r="C4" s="3" t="n">
        <v>24981000</v>
      </c>
      <c r="D4" s="3" t="n">
        <v>26436000</v>
      </c>
      <c r="E4" s="3" t="n">
        <v>27936000</v>
      </c>
      <c r="F4" s="3" t="n">
        <v>29194000</v>
      </c>
      <c r="G4" s="3" t="n"/>
      <c r="H4" s="3" t="n"/>
    </row>
    <row r="5">
      <c r="A5" t="inlineStr">
        <is>
          <t>Tangible Book Value</t>
        </is>
      </c>
      <c r="B5" s="3" t="n">
        <v>1097933000</v>
      </c>
      <c r="C5" s="3" t="n">
        <v>1067442000</v>
      </c>
      <c r="D5" s="3" t="n">
        <v>989795000</v>
      </c>
      <c r="E5" s="3" t="n">
        <v>927553000</v>
      </c>
      <c r="F5" s="3" t="n">
        <v>857678000</v>
      </c>
      <c r="G5" s="3" t="n"/>
      <c r="H5" s="3" t="n"/>
    </row>
    <row r="6">
      <c r="A6" t="inlineStr">
        <is>
          <t>Invested Capital</t>
        </is>
      </c>
      <c r="B6" s="3" t="n">
        <v>1393240000</v>
      </c>
      <c r="C6" s="3" t="n">
        <v>1364425000</v>
      </c>
      <c r="D6" s="3" t="n">
        <v>1288498000</v>
      </c>
      <c r="E6" s="3" t="n">
        <v>1227980000</v>
      </c>
      <c r="F6" s="3" t="n">
        <v>1159837000</v>
      </c>
      <c r="G6" s="3" t="n"/>
      <c r="H6" s="3" t="n"/>
    </row>
    <row r="7">
      <c r="A7" t="inlineStr">
        <is>
          <t>Working Capital</t>
        </is>
      </c>
      <c r="B7" s="3" t="n">
        <v>898053000</v>
      </c>
      <c r="C7" s="3" t="n">
        <v>868242000</v>
      </c>
      <c r="D7" s="3" t="n">
        <v>793901000</v>
      </c>
      <c r="E7" s="3" t="n">
        <v>711529000</v>
      </c>
      <c r="F7" s="3" t="n">
        <v>648594000</v>
      </c>
      <c r="G7" s="3" t="n"/>
      <c r="H7" s="3" t="n"/>
    </row>
    <row r="8">
      <c r="A8" t="inlineStr">
        <is>
          <t>Net Tangible Assets</t>
        </is>
      </c>
      <c r="B8" s="3" t="n">
        <v>1097933000</v>
      </c>
      <c r="C8" s="3" t="n">
        <v>1067442000</v>
      </c>
      <c r="D8" s="3" t="n">
        <v>989795000</v>
      </c>
      <c r="E8" s="3" t="n">
        <v>927553000</v>
      </c>
      <c r="F8" s="3" t="n">
        <v>857678000</v>
      </c>
      <c r="G8" s="3" t="n"/>
      <c r="H8" s="3" t="n"/>
    </row>
    <row r="9">
      <c r="A9" t="inlineStr">
        <is>
          <t>Capital Lease Obligations</t>
        </is>
      </c>
      <c r="B9" s="3" t="n">
        <v>23404000</v>
      </c>
      <c r="C9" s="3" t="n">
        <v>24981000</v>
      </c>
      <c r="D9" s="3" t="n">
        <v>26436000</v>
      </c>
      <c r="E9" s="3" t="n">
        <v>27936000</v>
      </c>
      <c r="F9" s="3" t="n">
        <v>29194000</v>
      </c>
      <c r="G9" s="3" t="n"/>
      <c r="H9" s="3" t="n"/>
    </row>
    <row r="10">
      <c r="A10" t="inlineStr">
        <is>
          <t>Common Stock Equity</t>
        </is>
      </c>
      <c r="B10" s="3" t="n">
        <v>1393240000</v>
      </c>
      <c r="C10" s="3" t="n">
        <v>1364425000</v>
      </c>
      <c r="D10" s="3" t="n">
        <v>1288498000</v>
      </c>
      <c r="E10" s="3" t="n">
        <v>1227980000</v>
      </c>
      <c r="F10" s="3" t="n">
        <v>1159837000</v>
      </c>
      <c r="G10" s="3" t="n"/>
      <c r="H10" s="3" t="n"/>
    </row>
    <row r="11">
      <c r="A11" t="inlineStr">
        <is>
          <t>Total Capitalization</t>
        </is>
      </c>
      <c r="B11" s="3" t="n">
        <v>1393240000</v>
      </c>
      <c r="C11" s="3" t="n">
        <v>1364425000</v>
      </c>
      <c r="D11" s="3" t="n">
        <v>1288498000</v>
      </c>
      <c r="E11" s="3" t="n">
        <v>1227980000</v>
      </c>
      <c r="F11" s="3" t="n">
        <v>1159837000</v>
      </c>
      <c r="G11" s="3" t="n"/>
      <c r="H11" s="3" t="n"/>
    </row>
    <row r="12">
      <c r="A12" t="inlineStr">
        <is>
          <t>Total Equity Gross Minority Interest</t>
        </is>
      </c>
      <c r="B12" s="3" t="n">
        <v>1393240000</v>
      </c>
      <c r="C12" s="3" t="n">
        <v>1364425000</v>
      </c>
      <c r="D12" s="3" t="n">
        <v>1288498000</v>
      </c>
      <c r="E12" s="3" t="n">
        <v>1227980000</v>
      </c>
      <c r="F12" s="3" t="n">
        <v>1159837000</v>
      </c>
      <c r="G12" s="3" t="n"/>
      <c r="H12" s="3" t="n"/>
    </row>
    <row r="13">
      <c r="A13" t="inlineStr">
        <is>
          <t>Stockholders Equity</t>
        </is>
      </c>
      <c r="B13" s="3" t="n">
        <v>1393240000</v>
      </c>
      <c r="C13" s="3" t="n">
        <v>1364425000</v>
      </c>
      <c r="D13" s="3" t="n">
        <v>1288498000</v>
      </c>
      <c r="E13" s="3" t="n">
        <v>1227980000</v>
      </c>
      <c r="F13" s="3" t="n">
        <v>1159837000</v>
      </c>
      <c r="G13" s="3" t="n"/>
      <c r="H13" s="3" t="n"/>
    </row>
    <row r="14">
      <c r="A14" t="inlineStr">
        <is>
          <t>Gains Losses Not Affecting Retained Earnings</t>
        </is>
      </c>
      <c r="B14" s="3" t="n">
        <v>-1674000</v>
      </c>
      <c r="C14" s="3" t="n">
        <v>-124000</v>
      </c>
      <c r="D14" s="3" t="n">
        <v>-184000</v>
      </c>
      <c r="E14" s="3" t="n">
        <v>-762000</v>
      </c>
      <c r="F14" s="3" t="n">
        <v>-837000</v>
      </c>
      <c r="G14" s="3" t="n"/>
      <c r="H14" s="3" t="n"/>
    </row>
    <row r="15">
      <c r="A15" t="inlineStr">
        <is>
          <t>Other Equity Adjustments</t>
        </is>
      </c>
      <c r="B15" s="3" t="n">
        <v>-1674000</v>
      </c>
      <c r="C15" s="3" t="n">
        <v>-124000</v>
      </c>
      <c r="D15" s="3" t="n">
        <v>-184000</v>
      </c>
      <c r="E15" s="3" t="n">
        <v>-762000</v>
      </c>
      <c r="F15" s="3" t="n">
        <v>-837000</v>
      </c>
      <c r="G15" s="3" t="n"/>
      <c r="H15" s="3" t="n"/>
    </row>
    <row r="16">
      <c r="A16" t="inlineStr">
        <is>
          <t>Retained Earnings</t>
        </is>
      </c>
      <c r="B16" s="3" t="n">
        <v>136653000</v>
      </c>
      <c r="C16" s="3" t="n">
        <v>76795000</v>
      </c>
      <c r="D16" s="3" t="n">
        <v>12955000</v>
      </c>
      <c r="E16" s="3" t="n">
        <v>-35422000</v>
      </c>
      <c r="F16" s="3" t="n">
        <v>-93357000</v>
      </c>
      <c r="G16" s="3" t="n"/>
      <c r="H16" s="3" t="n"/>
    </row>
    <row r="17">
      <c r="A17" t="inlineStr">
        <is>
          <t>Additional Paid In Capital</t>
        </is>
      </c>
      <c r="B17" s="3" t="n">
        <v>1258153000</v>
      </c>
      <c r="C17" s="3" t="n">
        <v>1287646000</v>
      </c>
      <c r="D17" s="3" t="n">
        <v>1275619000</v>
      </c>
      <c r="E17" s="3" t="n">
        <v>1264056000</v>
      </c>
      <c r="F17" s="3" t="n">
        <v>1253924000</v>
      </c>
      <c r="G17" s="3" t="n"/>
      <c r="H17" s="3" t="n"/>
    </row>
    <row r="18">
      <c r="A18" t="inlineStr">
        <is>
          <t>Capital Stock</t>
        </is>
      </c>
      <c r="B18" s="3" t="n">
        <v>108000</v>
      </c>
      <c r="C18" s="3" t="n">
        <v>108000</v>
      </c>
      <c r="D18" s="3" t="n">
        <v>108000</v>
      </c>
      <c r="E18" s="3" t="n">
        <v>108000</v>
      </c>
      <c r="F18" s="3" t="n">
        <v>107000</v>
      </c>
      <c r="G18" s="3" t="n"/>
      <c r="H18" s="3" t="n"/>
    </row>
    <row r="19">
      <c r="A19" t="inlineStr">
        <is>
          <t>Common Stock</t>
        </is>
      </c>
      <c r="B19" s="3" t="n">
        <v>108000</v>
      </c>
      <c r="C19" s="3" t="n">
        <v>108000</v>
      </c>
      <c r="D19" s="3" t="n">
        <v>108000</v>
      </c>
      <c r="E19" s="3" t="n">
        <v>108000</v>
      </c>
      <c r="F19" s="3" t="n">
        <v>107000</v>
      </c>
      <c r="G19" s="3" t="n"/>
      <c r="H19" s="3" t="n"/>
    </row>
    <row r="20">
      <c r="A20" t="inlineStr">
        <is>
          <t>Preferred Stock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/>
      <c r="H20" s="3" t="n"/>
    </row>
    <row r="21">
      <c r="A21" t="inlineStr">
        <is>
          <t>Total Liabilities Net Minority Interest</t>
        </is>
      </c>
      <c r="B21" s="3" t="n">
        <v>139906000</v>
      </c>
      <c r="C21" s="3" t="n">
        <v>165120000</v>
      </c>
      <c r="D21" s="3" t="n">
        <v>117874000</v>
      </c>
      <c r="E21" s="3" t="n">
        <v>239831000</v>
      </c>
      <c r="F21" s="3" t="n">
        <v>219528000</v>
      </c>
      <c r="G21" s="3" t="n"/>
      <c r="H21" s="3" t="n"/>
    </row>
    <row r="22">
      <c r="A22" t="inlineStr">
        <is>
          <t>Total Non Current Liabilities Net Minority Interest</t>
        </is>
      </c>
      <c r="B22" s="3" t="n">
        <v>38079000</v>
      </c>
      <c r="C22" s="3" t="n">
        <v>44546000</v>
      </c>
      <c r="D22" s="3" t="n">
        <v>43044000</v>
      </c>
      <c r="E22" s="3" t="n">
        <v>167603000</v>
      </c>
      <c r="F22" s="3" t="n">
        <v>148666000</v>
      </c>
      <c r="G22" s="3" t="n"/>
      <c r="H22" s="3" t="n"/>
    </row>
    <row r="23">
      <c r="A23" t="inlineStr">
        <is>
          <t>Other Non Current Liabilities</t>
        </is>
      </c>
      <c r="B23" s="3" t="n">
        <v>21037000</v>
      </c>
      <c r="C23" s="3" t="n">
        <v>24482000</v>
      </c>
      <c r="D23" s="3" t="n">
        <v>21414000</v>
      </c>
      <c r="E23" s="3" t="n">
        <v>25418000</v>
      </c>
      <c r="F23" s="3" t="n">
        <v>10075000</v>
      </c>
      <c r="G23" s="3" t="n"/>
      <c r="H23" s="3" t="n"/>
    </row>
    <row r="24">
      <c r="A24" t="inlineStr">
        <is>
          <t>Tradeand Other Payables Non Current</t>
        </is>
      </c>
      <c r="B24" s="3" t="n"/>
      <c r="C24" s="3" t="n">
        <v>1393000</v>
      </c>
      <c r="D24" s="3" t="n">
        <v>1329000</v>
      </c>
      <c r="E24" s="3" t="n">
        <v>120224000</v>
      </c>
      <c r="F24" s="3" t="n">
        <v>115124000</v>
      </c>
      <c r="G24" s="3" t="n">
        <v>109383000</v>
      </c>
      <c r="H24" s="3" t="n"/>
    </row>
    <row r="25">
      <c r="A25" t="inlineStr">
        <is>
          <t>Long Term Debt And Capital Lease Obligation</t>
        </is>
      </c>
      <c r="B25" s="3" t="n">
        <v>17042000</v>
      </c>
      <c r="C25" s="3" t="n">
        <v>18671000</v>
      </c>
      <c r="D25" s="3" t="n">
        <v>20301000</v>
      </c>
      <c r="E25" s="3" t="n">
        <v>21961000</v>
      </c>
      <c r="F25" s="3" t="n">
        <v>23467000</v>
      </c>
      <c r="G25" s="3" t="n"/>
      <c r="H25" s="3" t="n"/>
    </row>
    <row r="26">
      <c r="A26" t="inlineStr">
        <is>
          <t>Long Term Capital Lease Obligation</t>
        </is>
      </c>
      <c r="B26" s="3" t="n">
        <v>17042000</v>
      </c>
      <c r="C26" s="3" t="n">
        <v>18671000</v>
      </c>
      <c r="D26" s="3" t="n">
        <v>20301000</v>
      </c>
      <c r="E26" s="3" t="n">
        <v>21961000</v>
      </c>
      <c r="F26" s="3" t="n">
        <v>23467000</v>
      </c>
      <c r="G26" s="3" t="n"/>
      <c r="H26" s="3" t="n"/>
    </row>
    <row r="27">
      <c r="A27" t="inlineStr">
        <is>
          <t>Current Liabilities</t>
        </is>
      </c>
      <c r="B27" s="3" t="n">
        <v>101827000</v>
      </c>
      <c r="C27" s="3" t="n">
        <v>120574000</v>
      </c>
      <c r="D27" s="3" t="n">
        <v>74830000</v>
      </c>
      <c r="E27" s="3" t="n">
        <v>72228000</v>
      </c>
      <c r="F27" s="3" t="n">
        <v>70862000</v>
      </c>
      <c r="G27" s="3" t="n"/>
      <c r="H27" s="3" t="n"/>
    </row>
    <row r="28">
      <c r="A28" t="inlineStr">
        <is>
          <t>Other Current Liabilities</t>
        </is>
      </c>
      <c r="B28" s="3" t="n">
        <v>19603000</v>
      </c>
      <c r="C28" s="3" t="n">
        <v>26325000</v>
      </c>
      <c r="D28" s="3" t="n">
        <v>15738000</v>
      </c>
      <c r="E28" s="3" t="n">
        <v>17813000</v>
      </c>
      <c r="F28" s="3" t="n">
        <v>14286000</v>
      </c>
      <c r="G28" s="3" t="n"/>
      <c r="H28" s="3" t="n"/>
    </row>
    <row r="29">
      <c r="A29" t="inlineStr">
        <is>
          <t>Current Deferred Liabilities</t>
        </is>
      </c>
      <c r="B29" s="3" t="n">
        <v>23719000</v>
      </c>
      <c r="C29" s="3" t="n">
        <v>29980000</v>
      </c>
      <c r="D29" s="3" t="n">
        <v>23809000</v>
      </c>
      <c r="E29" s="3" t="n">
        <v>18845000</v>
      </c>
      <c r="F29" s="3" t="n">
        <v>20336000</v>
      </c>
      <c r="G29" s="3" t="n"/>
      <c r="H29" s="3" t="n"/>
    </row>
    <row r="30">
      <c r="A30" t="inlineStr">
        <is>
          <t>Current Deferred Revenue</t>
        </is>
      </c>
      <c r="B30" s="3" t="n">
        <v>23719000</v>
      </c>
      <c r="C30" s="3" t="n">
        <v>29980000</v>
      </c>
      <c r="D30" s="3" t="n">
        <v>23809000</v>
      </c>
      <c r="E30" s="3" t="n">
        <v>18845000</v>
      </c>
      <c r="F30" s="3" t="n">
        <v>20336000</v>
      </c>
      <c r="G30" s="3" t="n"/>
      <c r="H30" s="3" t="n"/>
    </row>
    <row r="31">
      <c r="A31" t="inlineStr">
        <is>
          <t>Current Debt And Capital Lease Obligation</t>
        </is>
      </c>
      <c r="B31" s="3" t="n">
        <v>6362000</v>
      </c>
      <c r="C31" s="3" t="n">
        <v>6310000</v>
      </c>
      <c r="D31" s="3" t="n">
        <v>6135000</v>
      </c>
      <c r="E31" s="3" t="n">
        <v>5975000</v>
      </c>
      <c r="F31" s="3" t="n">
        <v>5727000</v>
      </c>
      <c r="G31" s="3" t="n"/>
      <c r="H31" s="3" t="n"/>
    </row>
    <row r="32">
      <c r="A32" t="inlineStr">
        <is>
          <t>Current Capital Lease Obligation</t>
        </is>
      </c>
      <c r="B32" s="3" t="n">
        <v>6362000</v>
      </c>
      <c r="C32" s="3" t="n">
        <v>6310000</v>
      </c>
      <c r="D32" s="3" t="n">
        <v>6135000</v>
      </c>
      <c r="E32" s="3" t="n">
        <v>5975000</v>
      </c>
      <c r="F32" s="3" t="n">
        <v>5727000</v>
      </c>
      <c r="G32" s="3" t="n"/>
      <c r="H32" s="3" t="n"/>
    </row>
    <row r="33">
      <c r="A33" t="inlineStr">
        <is>
          <t>Payables And Accrued Expenses</t>
        </is>
      </c>
      <c r="B33" s="3" t="n">
        <v>52143000</v>
      </c>
      <c r="C33" s="3" t="n">
        <v>57959000</v>
      </c>
      <c r="D33" s="3" t="n">
        <v>29148000</v>
      </c>
      <c r="E33" s="3" t="n">
        <v>29595000</v>
      </c>
      <c r="F33" s="3" t="n">
        <v>30513000</v>
      </c>
      <c r="G33" s="3" t="n"/>
      <c r="H33" s="3" t="n"/>
    </row>
    <row r="34">
      <c r="A34" t="inlineStr">
        <is>
          <t>Current Accrued Expenses</t>
        </is>
      </c>
      <c r="B34" s="3" t="n">
        <v>16853000</v>
      </c>
      <c r="C34" s="3" t="n">
        <v>22044000</v>
      </c>
      <c r="D34" s="3" t="n">
        <v>16372000</v>
      </c>
      <c r="E34" s="3" t="n">
        <v>18438000</v>
      </c>
      <c r="F34" s="3" t="n">
        <v>14157000</v>
      </c>
      <c r="G34" s="3" t="n"/>
      <c r="H34" s="3" t="n"/>
    </row>
    <row r="35">
      <c r="A35" t="inlineStr">
        <is>
          <t>Payables</t>
        </is>
      </c>
      <c r="B35" s="3" t="n">
        <v>35290000</v>
      </c>
      <c r="C35" s="3" t="n">
        <v>35915000</v>
      </c>
      <c r="D35" s="3" t="n">
        <v>12776000</v>
      </c>
      <c r="E35" s="3" t="n">
        <v>11157000</v>
      </c>
      <c r="F35" s="3" t="n">
        <v>16356000</v>
      </c>
      <c r="G35" s="3" t="n"/>
      <c r="H35" s="3" t="n"/>
    </row>
    <row r="36">
      <c r="A36" t="inlineStr">
        <is>
          <t>Total Tax Payable</t>
        </is>
      </c>
      <c r="B36" s="3" t="n"/>
      <c r="C36" s="3" t="n"/>
      <c r="D36" s="3" t="n"/>
      <c r="E36" s="3" t="n"/>
      <c r="F36" s="3" t="n"/>
      <c r="G36" s="3" t="n">
        <v>1264000</v>
      </c>
      <c r="H36" s="3" t="n">
        <v>1114000</v>
      </c>
    </row>
    <row r="37">
      <c r="A37" t="inlineStr">
        <is>
          <t>Income Tax Payable</t>
        </is>
      </c>
      <c r="B37" s="3" t="n"/>
      <c r="C37" s="3" t="n"/>
      <c r="D37" s="3" t="n"/>
      <c r="E37" s="3" t="n"/>
      <c r="F37" s="3" t="n"/>
      <c r="G37" s="3" t="n">
        <v>1264000</v>
      </c>
      <c r="H37" s="3" t="n">
        <v>1114000</v>
      </c>
    </row>
    <row r="38">
      <c r="A38" t="inlineStr">
        <is>
          <t>Accounts Payable</t>
        </is>
      </c>
      <c r="B38" s="3" t="n">
        <v>35290000</v>
      </c>
      <c r="C38" s="3" t="n">
        <v>35915000</v>
      </c>
      <c r="D38" s="3" t="n">
        <v>12776000</v>
      </c>
      <c r="E38" s="3" t="n">
        <v>11157000</v>
      </c>
      <c r="F38" s="3" t="n">
        <v>16356000</v>
      </c>
      <c r="G38" s="3" t="n"/>
      <c r="H38" s="3" t="n"/>
    </row>
    <row r="39">
      <c r="A39" t="inlineStr">
        <is>
          <t>Total Assets</t>
        </is>
      </c>
      <c r="B39" s="3" t="n">
        <v>1533146000</v>
      </c>
      <c r="C39" s="3" t="n">
        <v>1529545000</v>
      </c>
      <c r="D39" s="3" t="n">
        <v>1406372000</v>
      </c>
      <c r="E39" s="3" t="n">
        <v>1467811000</v>
      </c>
      <c r="F39" s="3" t="n">
        <v>1379365000</v>
      </c>
      <c r="G39" s="3" t="n"/>
      <c r="H39" s="3" t="n"/>
    </row>
    <row r="40">
      <c r="A40" t="inlineStr">
        <is>
          <t>Total Non Current Assets</t>
        </is>
      </c>
      <c r="B40" s="3" t="n">
        <v>533266000</v>
      </c>
      <c r="C40" s="3" t="n">
        <v>540729000</v>
      </c>
      <c r="D40" s="3" t="n">
        <v>537641000</v>
      </c>
      <c r="E40" s="3" t="n">
        <v>684054000</v>
      </c>
      <c r="F40" s="3" t="n">
        <v>659909000</v>
      </c>
      <c r="G40" s="3" t="n"/>
      <c r="H40" s="3" t="n"/>
    </row>
    <row r="41">
      <c r="A41" t="inlineStr">
        <is>
          <t>Other Non Current Assets</t>
        </is>
      </c>
      <c r="B41" s="3" t="n">
        <v>7208000</v>
      </c>
      <c r="C41" s="3" t="n">
        <v>4759000</v>
      </c>
      <c r="D41" s="3" t="n">
        <v>4710000</v>
      </c>
      <c r="E41" s="3" t="n">
        <v>5649000</v>
      </c>
      <c r="F41" s="3" t="n">
        <v>5265000</v>
      </c>
      <c r="G41" s="3" t="n"/>
      <c r="H41" s="3" t="n"/>
    </row>
    <row r="42">
      <c r="A42" t="inlineStr">
        <is>
          <t>Non Current Deferred Assets</t>
        </is>
      </c>
      <c r="B42" s="3" t="n">
        <v>101484000</v>
      </c>
      <c r="C42" s="3" t="n">
        <v>105542000</v>
      </c>
      <c r="D42" s="3" t="n">
        <v>112643000</v>
      </c>
      <c r="E42" s="3" t="n">
        <v>131224000</v>
      </c>
      <c r="F42" s="3" t="n">
        <v>134230000</v>
      </c>
      <c r="G42" s="3" t="n"/>
      <c r="H42" s="3" t="n"/>
    </row>
    <row r="43">
      <c r="A43" t="inlineStr">
        <is>
          <t>Non Current Deferred Taxes Assets</t>
        </is>
      </c>
      <c r="B43" s="3" t="n">
        <v>101484000</v>
      </c>
      <c r="C43" s="3" t="n">
        <v>105542000</v>
      </c>
      <c r="D43" s="3" t="n">
        <v>112643000</v>
      </c>
      <c r="E43" s="3" t="n">
        <v>131224000</v>
      </c>
      <c r="F43" s="3" t="n">
        <v>134230000</v>
      </c>
      <c r="G43" s="3" t="n"/>
      <c r="H43" s="3" t="n"/>
    </row>
    <row r="44">
      <c r="A44" t="inlineStr">
        <is>
          <t>Non Current Accounts Receivable</t>
        </is>
      </c>
      <c r="B44" s="3" t="n"/>
      <c r="C44" s="3" t="n">
        <v>3282000</v>
      </c>
      <c r="D44" s="3" t="n">
        <v>2946000</v>
      </c>
      <c r="E44" s="3" t="n">
        <v>121297000</v>
      </c>
      <c r="F44" s="3" t="n">
        <v>115898000</v>
      </c>
      <c r="G44" s="3" t="n">
        <v>109947000</v>
      </c>
      <c r="H44" s="3" t="n"/>
    </row>
    <row r="45">
      <c r="A45" t="inlineStr">
        <is>
          <t>Goodwill And Other Intangible Assets</t>
        </is>
      </c>
      <c r="B45" s="3" t="n">
        <v>295307000</v>
      </c>
      <c r="C45" s="3" t="n">
        <v>296983000</v>
      </c>
      <c r="D45" s="3" t="n">
        <v>298703000</v>
      </c>
      <c r="E45" s="3" t="n">
        <v>300427000</v>
      </c>
      <c r="F45" s="3" t="n">
        <v>302159000</v>
      </c>
      <c r="G45" s="3" t="n"/>
      <c r="H45" s="3" t="n"/>
    </row>
    <row r="46">
      <c r="A46" t="inlineStr">
        <is>
          <t>Other Intangible Assets</t>
        </is>
      </c>
      <c r="B46" s="3" t="n">
        <v>8495000</v>
      </c>
      <c r="C46" s="3" t="n">
        <v>10171000</v>
      </c>
      <c r="D46" s="3" t="n">
        <v>11891000</v>
      </c>
      <c r="E46" s="3" t="n">
        <v>13615000</v>
      </c>
      <c r="F46" s="3" t="n">
        <v>15347000</v>
      </c>
      <c r="G46" s="3" t="n"/>
      <c r="H46" s="3" t="n"/>
    </row>
    <row r="47">
      <c r="A47" t="inlineStr">
        <is>
          <t>Goodwill</t>
        </is>
      </c>
      <c r="B47" s="3" t="n">
        <v>286812000</v>
      </c>
      <c r="C47" s="3" t="n">
        <v>286812000</v>
      </c>
      <c r="D47" s="3" t="n">
        <v>286812000</v>
      </c>
      <c r="E47" s="3" t="n">
        <v>286812000</v>
      </c>
      <c r="F47" s="3" t="n">
        <v>286812000</v>
      </c>
      <c r="G47" s="3" t="n"/>
      <c r="H47" s="3" t="n"/>
    </row>
    <row r="48">
      <c r="A48" t="inlineStr">
        <is>
          <t>Net PPE</t>
        </is>
      </c>
      <c r="B48" s="3" t="n">
        <v>129267000</v>
      </c>
      <c r="C48" s="3" t="n">
        <v>130163000</v>
      </c>
      <c r="D48" s="3" t="n">
        <v>118639000</v>
      </c>
      <c r="E48" s="3" t="n">
        <v>125457000</v>
      </c>
      <c r="F48" s="3" t="n">
        <v>102357000</v>
      </c>
      <c r="G48" s="3" t="n"/>
      <c r="H48" s="3" t="n"/>
    </row>
    <row r="49">
      <c r="A49" t="inlineStr">
        <is>
          <t>Accumulated Depreciation</t>
        </is>
      </c>
      <c r="B49" s="3" t="n"/>
      <c r="C49" s="3" t="n">
        <v>-110478000</v>
      </c>
      <c r="D49" s="3" t="n"/>
      <c r="E49" s="3" t="n"/>
      <c r="F49" s="3" t="n"/>
      <c r="G49" s="3" t="n">
        <v>-110648000</v>
      </c>
      <c r="H49" s="3" t="n"/>
    </row>
    <row r="50">
      <c r="A50" t="inlineStr">
        <is>
          <t>Gross PPE</t>
        </is>
      </c>
      <c r="B50" s="3" t="n">
        <v>129267000</v>
      </c>
      <c r="C50" s="3" t="n">
        <v>240641000</v>
      </c>
      <c r="D50" s="3" t="n">
        <v>118639000</v>
      </c>
      <c r="E50" s="3" t="n">
        <v>125457000</v>
      </c>
      <c r="F50" s="3" t="n">
        <v>102357000</v>
      </c>
      <c r="G50" s="3" t="n"/>
      <c r="H50" s="3" t="n"/>
    </row>
    <row r="51">
      <c r="A51" t="inlineStr">
        <is>
          <t>Leases</t>
        </is>
      </c>
      <c r="B51" s="3" t="n"/>
      <c r="C51" s="3" t="n">
        <v>36343000</v>
      </c>
      <c r="D51" s="3" t="n"/>
      <c r="E51" s="3" t="n"/>
      <c r="F51" s="3" t="n"/>
      <c r="G51" s="3" t="n">
        <v>31973000</v>
      </c>
      <c r="H51" s="3" t="n"/>
    </row>
    <row r="52">
      <c r="A52" t="inlineStr">
        <is>
          <t>Construction In Progress</t>
        </is>
      </c>
      <c r="B52" s="3" t="n"/>
      <c r="C52" s="3" t="n">
        <v>7413000</v>
      </c>
      <c r="D52" s="3" t="n"/>
      <c r="E52" s="3" t="n"/>
      <c r="F52" s="3" t="n"/>
      <c r="G52" s="3" t="n">
        <v>7789000</v>
      </c>
      <c r="H52" s="3" t="n"/>
    </row>
    <row r="53">
      <c r="A53" t="inlineStr">
        <is>
          <t>Other Properties</t>
        </is>
      </c>
      <c r="B53" s="3" t="n">
        <v>129267000</v>
      </c>
      <c r="C53" s="3" t="n">
        <v>17112000</v>
      </c>
      <c r="D53" s="3" t="n">
        <v>118639000</v>
      </c>
      <c r="E53" s="3" t="n">
        <v>125457000</v>
      </c>
      <c r="F53" s="3" t="n">
        <v>102357000</v>
      </c>
      <c r="G53" s="3" t="n"/>
      <c r="H53" s="3" t="n"/>
    </row>
    <row r="54">
      <c r="A54" t="inlineStr">
        <is>
          <t>Machinery Furniture Equipment</t>
        </is>
      </c>
      <c r="B54" s="3" t="n"/>
      <c r="C54" s="3" t="n">
        <v>179773000</v>
      </c>
      <c r="D54" s="3" t="n"/>
      <c r="E54" s="3" t="n"/>
      <c r="F54" s="3" t="n"/>
      <c r="G54" s="3" t="n">
        <v>146395000</v>
      </c>
      <c r="H54" s="3" t="n"/>
    </row>
    <row r="55">
      <c r="A55" t="inlineStr">
        <is>
          <t>Properties</t>
        </is>
      </c>
      <c r="B55" s="3" t="n"/>
      <c r="C55" s="3" t="n">
        <v>0</v>
      </c>
      <c r="D55" s="3" t="n"/>
      <c r="E55" s="3" t="n"/>
      <c r="F55" s="3" t="n"/>
      <c r="G55" s="3" t="n">
        <v>0</v>
      </c>
      <c r="H55" s="3" t="n"/>
    </row>
    <row r="56">
      <c r="A56" t="inlineStr">
        <is>
          <t>Current Assets</t>
        </is>
      </c>
      <c r="B56" s="3" t="n">
        <v>999880000</v>
      </c>
      <c r="C56" s="3" t="n">
        <v>988816000</v>
      </c>
      <c r="D56" s="3" t="n">
        <v>868731000</v>
      </c>
      <c r="E56" s="3" t="n">
        <v>783757000</v>
      </c>
      <c r="F56" s="3" t="n">
        <v>719456000</v>
      </c>
      <c r="G56" s="3" t="n"/>
      <c r="H56" s="3" t="n"/>
    </row>
    <row r="57">
      <c r="A57" t="inlineStr">
        <is>
          <t>Other Current Assets</t>
        </is>
      </c>
      <c r="B57" s="3" t="n">
        <v>21151000</v>
      </c>
      <c r="C57" s="3" t="n">
        <v>20202000</v>
      </c>
      <c r="D57" s="3" t="n">
        <v>19563000</v>
      </c>
      <c r="E57" s="3" t="n">
        <v>17191000</v>
      </c>
      <c r="F57" s="3" t="n">
        <v>17600000</v>
      </c>
      <c r="G57" s="3" t="n"/>
      <c r="H57" s="3" t="n"/>
    </row>
    <row r="58">
      <c r="A58" t="inlineStr">
        <is>
          <t>Inventory</t>
        </is>
      </c>
      <c r="B58" s="3" t="n">
        <v>58424000</v>
      </c>
      <c r="C58" s="3" t="n">
        <v>44098000</v>
      </c>
      <c r="D58" s="3" t="n">
        <v>44606000</v>
      </c>
      <c r="E58" s="3" t="n">
        <v>38603000</v>
      </c>
      <c r="F58" s="3" t="n">
        <v>44701000</v>
      </c>
      <c r="G58" s="3" t="n"/>
      <c r="H58" s="3" t="n"/>
    </row>
    <row r="59">
      <c r="A59" t="inlineStr">
        <is>
          <t>Finished Goods</t>
        </is>
      </c>
      <c r="B59" s="3" t="n"/>
      <c r="C59" s="3" t="n">
        <v>9804000</v>
      </c>
      <c r="D59" s="3" t="n"/>
      <c r="E59" s="3" t="n"/>
      <c r="F59" s="3" t="n"/>
      <c r="G59" s="3" t="n">
        <v>20211000</v>
      </c>
      <c r="H59" s="3" t="n"/>
    </row>
    <row r="60">
      <c r="A60" t="inlineStr">
        <is>
          <t>Work In Process</t>
        </is>
      </c>
      <c r="B60" s="3" t="n"/>
      <c r="C60" s="3" t="n">
        <v>17039000</v>
      </c>
      <c r="D60" s="3" t="n"/>
      <c r="E60" s="3" t="n"/>
      <c r="F60" s="3" t="n"/>
      <c r="G60" s="3" t="n">
        <v>9646000</v>
      </c>
      <c r="H60" s="3" t="n"/>
    </row>
    <row r="61">
      <c r="A61" t="inlineStr">
        <is>
          <t>Raw Materials</t>
        </is>
      </c>
      <c r="B61" s="3" t="n"/>
      <c r="C61" s="3" t="n">
        <v>17255000</v>
      </c>
      <c r="D61" s="3" t="n"/>
      <c r="E61" s="3" t="n"/>
      <c r="F61" s="3" t="n"/>
      <c r="G61" s="3" t="n">
        <v>14777000</v>
      </c>
      <c r="H61" s="3" t="n"/>
    </row>
    <row r="62">
      <c r="A62" t="inlineStr">
        <is>
          <t>Receivables</t>
        </is>
      </c>
      <c r="B62" s="3" t="n">
        <v>134166000</v>
      </c>
      <c r="C62" s="3" t="n">
        <v>162685000</v>
      </c>
      <c r="D62" s="3" t="n">
        <v>131259000</v>
      </c>
      <c r="E62" s="3" t="n">
        <v>133138000</v>
      </c>
      <c r="F62" s="3" t="n">
        <v>142766000</v>
      </c>
      <c r="G62" s="3" t="n"/>
      <c r="H62" s="3" t="n"/>
    </row>
    <row r="63">
      <c r="A63" t="inlineStr">
        <is>
          <t>Other Receivables</t>
        </is>
      </c>
      <c r="B63" s="3" t="n">
        <v>24869000</v>
      </c>
      <c r="C63" s="3" t="n">
        <v>25209000</v>
      </c>
      <c r="D63" s="3" t="n">
        <v>25882000</v>
      </c>
      <c r="E63" s="3" t="n">
        <v>26061000</v>
      </c>
      <c r="F63" s="3" t="n">
        <v>23624000</v>
      </c>
      <c r="G63" s="3" t="n"/>
      <c r="H63" s="3" t="n"/>
    </row>
    <row r="64">
      <c r="A64" t="inlineStr">
        <is>
          <t>Accounts Receivable</t>
        </is>
      </c>
      <c r="B64" s="3" t="n">
        <v>109297000</v>
      </c>
      <c r="C64" s="3" t="n">
        <v>137476000</v>
      </c>
      <c r="D64" s="3" t="n">
        <v>105377000</v>
      </c>
      <c r="E64" s="3" t="n">
        <v>107077000</v>
      </c>
      <c r="F64" s="3" t="n">
        <v>119142000</v>
      </c>
      <c r="G64" s="3" t="n"/>
      <c r="H64" s="3" t="n"/>
    </row>
    <row r="65">
      <c r="A65" t="inlineStr">
        <is>
          <t>Cash Cash Equivalents And Short Term Investments</t>
        </is>
      </c>
      <c r="B65" s="3" t="n">
        <v>786139000</v>
      </c>
      <c r="C65" s="3" t="n">
        <v>761831000</v>
      </c>
      <c r="D65" s="3" t="n">
        <v>673303000</v>
      </c>
      <c r="E65" s="3" t="n">
        <v>594825000</v>
      </c>
      <c r="F65" s="3" t="n">
        <v>514389000</v>
      </c>
      <c r="G65" s="3" t="n"/>
      <c r="H65" s="3" t="n"/>
    </row>
    <row r="66">
      <c r="A66" t="inlineStr">
        <is>
          <t>Other Short Term Investments</t>
        </is>
      </c>
      <c r="B66" s="3" t="n">
        <v>651815000</v>
      </c>
      <c r="C66" s="3" t="n">
        <v>579005000</v>
      </c>
      <c r="D66" s="3" t="n">
        <v>594103000</v>
      </c>
      <c r="E66" s="3" t="n">
        <v>507066000</v>
      </c>
      <c r="F66" s="3" t="n">
        <v>382204000</v>
      </c>
      <c r="G66" s="3" t="n"/>
      <c r="H66" s="3" t="n"/>
    </row>
    <row r="67">
      <c r="A67" t="inlineStr">
        <is>
          <t>Cash And Cash Equivalents</t>
        </is>
      </c>
      <c r="B67" s="3" t="n">
        <v>134324000</v>
      </c>
      <c r="C67" s="3" t="n">
        <v>182826000</v>
      </c>
      <c r="D67" s="3" t="n">
        <v>79200000</v>
      </c>
      <c r="E67" s="3" t="n">
        <v>87759000</v>
      </c>
      <c r="F67" s="3" t="n">
        <v>132185000</v>
      </c>
      <c r="G67" s="3" t="n"/>
      <c r="H67" s="3" t="n"/>
    </row>
    <row r="68">
      <c r="A68" t="inlineStr">
        <is>
          <t>Cash Equivalents</t>
        </is>
      </c>
      <c r="B68" s="3" t="n">
        <v>35106000</v>
      </c>
      <c r="C68" s="3" t="n">
        <v>114993000</v>
      </c>
      <c r="D68" s="3" t="n">
        <v>15197000</v>
      </c>
      <c r="E68" s="3" t="n">
        <v>28730000</v>
      </c>
      <c r="F68" s="3" t="n">
        <v>26252000</v>
      </c>
      <c r="G68" s="3" t="n"/>
      <c r="H68" s="3" t="n"/>
    </row>
    <row r="69">
      <c r="A69" t="inlineStr">
        <is>
          <t>Cash Financial</t>
        </is>
      </c>
      <c r="B69" s="3" t="n">
        <v>99218000</v>
      </c>
      <c r="C69" s="3" t="n">
        <v>67833000</v>
      </c>
      <c r="D69" s="3" t="n">
        <v>64003000</v>
      </c>
      <c r="E69" s="3" t="n">
        <v>59029000</v>
      </c>
      <c r="F69" s="3" t="n">
        <v>105933000</v>
      </c>
      <c r="G69" s="3" t="n"/>
      <c r="H69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333177000</v>
      </c>
      <c r="C2" s="3" t="n">
        <v>199902000</v>
      </c>
      <c r="D2" s="3" t="n">
        <v>172546000</v>
      </c>
      <c r="E2" s="3" t="n">
        <v>209915000</v>
      </c>
      <c r="F2" s="3" t="n"/>
    </row>
    <row r="3">
      <c r="A3" t="inlineStr">
        <is>
          <t>Repurchase Of Capital Stock</t>
        </is>
      </c>
      <c r="B3" s="3" t="n">
        <v>-7114000</v>
      </c>
      <c r="C3" s="3" t="n">
        <v>-113312000</v>
      </c>
      <c r="D3" s="3" t="n">
        <v>-100525000</v>
      </c>
      <c r="E3" s="3" t="n">
        <v>-100421000</v>
      </c>
      <c r="F3" s="3" t="n"/>
    </row>
    <row r="4">
      <c r="A4" t="inlineStr">
        <is>
          <t>Repayment Of Debt</t>
        </is>
      </c>
      <c r="B4" s="3" t="n">
        <v>0</v>
      </c>
      <c r="C4" s="3" t="n">
        <v>0</v>
      </c>
      <c r="D4" s="3" t="n">
        <v>-10381000</v>
      </c>
      <c r="E4" s="3" t="n">
        <v>-258060000</v>
      </c>
      <c r="F4" s="3" t="n"/>
    </row>
    <row r="5">
      <c r="A5" t="inlineStr">
        <is>
          <t>Issuance Of Debt</t>
        </is>
      </c>
      <c r="B5" s="3" t="n"/>
      <c r="C5" s="3" t="n">
        <v>0</v>
      </c>
      <c r="D5" s="3" t="n">
        <v>0</v>
      </c>
      <c r="E5" s="3" t="n">
        <v>91729000</v>
      </c>
      <c r="F5" s="3" t="n">
        <v>0</v>
      </c>
    </row>
    <row r="6">
      <c r="A6" t="inlineStr">
        <is>
          <t>Capital Expenditure</t>
        </is>
      </c>
      <c r="B6" s="3" t="n">
        <v>-26842000</v>
      </c>
      <c r="C6" s="3" t="n">
        <v>-30697000</v>
      </c>
      <c r="D6" s="3" t="n">
        <v>-23240000</v>
      </c>
      <c r="E6" s="3" t="n">
        <v>-20478000</v>
      </c>
      <c r="F6" s="3" t="n"/>
    </row>
    <row r="7">
      <c r="A7" t="inlineStr">
        <is>
          <t>Interest Paid Supplemental Data</t>
        </is>
      </c>
      <c r="B7" s="3" t="n">
        <v>0</v>
      </c>
      <c r="C7" s="3" t="n">
        <v>0</v>
      </c>
      <c r="D7" s="3" t="n">
        <v>73000</v>
      </c>
      <c r="E7" s="3" t="n">
        <v>1525000</v>
      </c>
      <c r="F7" s="3" t="n"/>
    </row>
    <row r="8">
      <c r="A8" t="inlineStr">
        <is>
          <t>Income Tax Paid Supplemental Data</t>
        </is>
      </c>
      <c r="B8" s="3" t="n">
        <v>24992000</v>
      </c>
      <c r="C8" s="3" t="n">
        <v>27132000</v>
      </c>
      <c r="D8" s="3" t="n">
        <v>25932000</v>
      </c>
      <c r="E8" s="3" t="n">
        <v>25275000</v>
      </c>
      <c r="F8" s="3" t="n"/>
    </row>
    <row r="9">
      <c r="A9" t="inlineStr">
        <is>
          <t>End Cash Position</t>
        </is>
      </c>
      <c r="B9" s="3" t="n">
        <v>182826000</v>
      </c>
      <c r="C9" s="3" t="n">
        <v>99775000</v>
      </c>
      <c r="D9" s="3" t="n">
        <v>94767000</v>
      </c>
      <c r="E9" s="3" t="n">
        <v>125694000</v>
      </c>
      <c r="F9" s="3" t="n"/>
    </row>
    <row r="10">
      <c r="A10" t="inlineStr">
        <is>
          <t>Beginning Cash Position</t>
        </is>
      </c>
      <c r="B10" s="3" t="n">
        <v>99775000</v>
      </c>
      <c r="C10" s="3" t="n">
        <v>94767000</v>
      </c>
      <c r="D10" s="3" t="n">
        <v>125694000</v>
      </c>
      <c r="E10" s="3" t="n">
        <v>108264000</v>
      </c>
      <c r="F10" s="3" t="n"/>
    </row>
    <row r="11">
      <c r="A11" t="inlineStr">
        <is>
          <t>Effect Of Exchange Rate Changes</t>
        </is>
      </c>
      <c r="B11" s="3" t="n">
        <v>556000</v>
      </c>
      <c r="C11" s="3" t="n">
        <v>-880000</v>
      </c>
      <c r="D11" s="3" t="n">
        <v>306000</v>
      </c>
      <c r="E11" s="3" t="n">
        <v>-2007000</v>
      </c>
      <c r="F11" s="3" t="n"/>
    </row>
    <row r="12">
      <c r="A12" t="inlineStr">
        <is>
          <t>Changes In Cash</t>
        </is>
      </c>
      <c r="B12" s="3" t="n">
        <v>82495000</v>
      </c>
      <c r="C12" s="3" t="n">
        <v>5888000</v>
      </c>
      <c r="D12" s="3" t="n">
        <v>-31233000</v>
      </c>
      <c r="E12" s="3" t="n">
        <v>19437000</v>
      </c>
      <c r="F12" s="3" t="n"/>
    </row>
    <row r="13">
      <c r="A13" t="inlineStr">
        <is>
          <t>Financing Cash Flow</t>
        </is>
      </c>
      <c r="B13" s="3" t="n">
        <v>-54414000</v>
      </c>
      <c r="C13" s="3" t="n">
        <v>-167987000</v>
      </c>
      <c r="D13" s="3" t="n">
        <v>-169623000</v>
      </c>
      <c r="E13" s="3" t="n">
        <v>-362935000</v>
      </c>
      <c r="F13" s="3" t="n"/>
    </row>
    <row r="14">
      <c r="A14" t="inlineStr">
        <is>
          <t>Cash Flow From Continuing Financing Activities</t>
        </is>
      </c>
      <c r="B14" s="3" t="n">
        <v>-54414000</v>
      </c>
      <c r="C14" s="3" t="n">
        <v>-167987000</v>
      </c>
      <c r="D14" s="3" t="n">
        <v>-169623000</v>
      </c>
      <c r="E14" s="3" t="n">
        <v>-362935000</v>
      </c>
      <c r="F14" s="3" t="n"/>
    </row>
    <row r="15">
      <c r="A15" t="inlineStr">
        <is>
          <t>Net Other Financing Charges</t>
        </is>
      </c>
      <c r="B15" s="3" t="n">
        <v>-54159000</v>
      </c>
      <c r="C15" s="3" t="n">
        <v>-60140000</v>
      </c>
      <c r="D15" s="3" t="n">
        <v>-56970000</v>
      </c>
      <c r="E15" s="3" t="n">
        <v>-32791000</v>
      </c>
      <c r="F15" s="3" t="n"/>
    </row>
    <row r="16">
      <c r="A16" t="inlineStr">
        <is>
          <t>Proceeds From Stock Option Exercised</t>
        </is>
      </c>
      <c r="B16" s="3" t="n">
        <v>6859000</v>
      </c>
      <c r="C16" s="3" t="n">
        <v>5465000</v>
      </c>
      <c r="D16" s="3" t="n">
        <v>-1747000</v>
      </c>
      <c r="E16" s="3" t="n">
        <v>-63392000</v>
      </c>
      <c r="F16" s="3" t="n"/>
    </row>
    <row r="17">
      <c r="A17" t="inlineStr">
        <is>
          <t>Net Common Stock Issuance</t>
        </is>
      </c>
      <c r="B17" s="3" t="n">
        <v>-7114000</v>
      </c>
      <c r="C17" s="3" t="n">
        <v>-113312000</v>
      </c>
      <c r="D17" s="3" t="n">
        <v>-100525000</v>
      </c>
      <c r="E17" s="3" t="n">
        <v>-100421000</v>
      </c>
      <c r="F17" s="3" t="n"/>
    </row>
    <row r="18">
      <c r="A18" t="inlineStr">
        <is>
          <t>Common Stock Payments</t>
        </is>
      </c>
      <c r="B18" s="3" t="n">
        <v>-7114000</v>
      </c>
      <c r="C18" s="3" t="n">
        <v>-113312000</v>
      </c>
      <c r="D18" s="3" t="n">
        <v>-100525000</v>
      </c>
      <c r="E18" s="3" t="n">
        <v>-100421000</v>
      </c>
      <c r="F18" s="3" t="n"/>
    </row>
    <row r="19">
      <c r="A19" t="inlineStr">
        <is>
          <t>Net Issuance Payments Of Debt</t>
        </is>
      </c>
      <c r="B19" s="3" t="n">
        <v>0</v>
      </c>
      <c r="C19" s="3" t="n">
        <v>0</v>
      </c>
      <c r="D19" s="3" t="n">
        <v>-10381000</v>
      </c>
      <c r="E19" s="3" t="n">
        <v>-166331000</v>
      </c>
      <c r="F19" s="3" t="n"/>
    </row>
    <row r="20">
      <c r="A20" t="inlineStr">
        <is>
          <t>Net Short Term Debt Issuance</t>
        </is>
      </c>
      <c r="B20" s="3" t="n"/>
      <c r="C20" s="3" t="n"/>
      <c r="D20" s="3" t="n">
        <v>-10381000</v>
      </c>
      <c r="E20" s="3" t="n">
        <v>-166331000</v>
      </c>
      <c r="F20" s="3" t="n">
        <v>0</v>
      </c>
    </row>
    <row r="21">
      <c r="A21" t="inlineStr">
        <is>
          <t>Short Term Debt Payments</t>
        </is>
      </c>
      <c r="B21" s="3" t="n"/>
      <c r="C21" s="3" t="n"/>
      <c r="D21" s="3" t="n">
        <v>-10381000</v>
      </c>
      <c r="E21" s="3" t="n">
        <v>-258060000</v>
      </c>
      <c r="F21" s="3" t="n">
        <v>0</v>
      </c>
    </row>
    <row r="22">
      <c r="A22" t="inlineStr">
        <is>
          <t>Short Term Debt Issuance</t>
        </is>
      </c>
      <c r="B22" s="3" t="n"/>
      <c r="C22" s="3" t="n"/>
      <c r="D22" s="3" t="n">
        <v>0</v>
      </c>
      <c r="E22" s="3" t="n">
        <v>91729000</v>
      </c>
      <c r="F22" s="3" t="n">
        <v>0</v>
      </c>
    </row>
    <row r="23">
      <c r="A23" t="inlineStr">
        <is>
          <t>Net Long Term Debt Issuance</t>
        </is>
      </c>
      <c r="B23" s="3" t="n">
        <v>0</v>
      </c>
      <c r="C23" s="3" t="n">
        <v>0</v>
      </c>
      <c r="D23" s="3" t="n">
        <v>-10381000</v>
      </c>
      <c r="E23" s="3" t="n">
        <v>-166331000</v>
      </c>
      <c r="F23" s="3" t="n"/>
    </row>
    <row r="24">
      <c r="A24" t="inlineStr">
        <is>
          <t>Long Term Debt Payments</t>
        </is>
      </c>
      <c r="B24" s="3" t="n">
        <v>0</v>
      </c>
      <c r="C24" s="3" t="n">
        <v>0</v>
      </c>
      <c r="D24" s="3" t="n">
        <v>-10381000</v>
      </c>
      <c r="E24" s="3" t="n">
        <v>-258060000</v>
      </c>
      <c r="F24" s="3" t="n"/>
    </row>
    <row r="25">
      <c r="A25" t="inlineStr">
        <is>
          <t>Long Term Debt Issuance</t>
        </is>
      </c>
      <c r="B25" s="3" t="n"/>
      <c r="C25" s="3" t="n">
        <v>0</v>
      </c>
      <c r="D25" s="3" t="n">
        <v>0</v>
      </c>
      <c r="E25" s="3" t="n">
        <v>91729000</v>
      </c>
      <c r="F25" s="3" t="n">
        <v>0</v>
      </c>
    </row>
    <row r="26">
      <c r="A26" t="inlineStr">
        <is>
          <t>Investing Cash Flow</t>
        </is>
      </c>
      <c r="B26" s="3" t="n">
        <v>-223110000</v>
      </c>
      <c r="C26" s="3" t="n">
        <v>-56724000</v>
      </c>
      <c r="D26" s="3" t="n">
        <v>-57396000</v>
      </c>
      <c r="E26" s="3" t="n">
        <v>151979000</v>
      </c>
      <c r="F26" s="3" t="n"/>
    </row>
    <row r="27">
      <c r="A27" t="inlineStr">
        <is>
          <t>Cash Flow From Continuing Investing Activities</t>
        </is>
      </c>
      <c r="B27" s="3" t="n">
        <v>-223110000</v>
      </c>
      <c r="C27" s="3" t="n">
        <v>-56724000</v>
      </c>
      <c r="D27" s="3" t="n">
        <v>-57396000</v>
      </c>
      <c r="E27" s="3" t="n">
        <v>151979000</v>
      </c>
      <c r="F27" s="3" t="n"/>
    </row>
    <row r="28">
      <c r="A28" t="inlineStr">
        <is>
          <t>Net Investment Purchase And Sale</t>
        </is>
      </c>
      <c r="B28" s="3" t="n">
        <v>-196268000</v>
      </c>
      <c r="C28" s="3" t="n">
        <v>-26027000</v>
      </c>
      <c r="D28" s="3" t="n">
        <v>-140503000</v>
      </c>
      <c r="E28" s="3" t="n">
        <v>188389000</v>
      </c>
      <c r="F28" s="3" t="n"/>
    </row>
    <row r="29">
      <c r="A29" t="inlineStr">
        <is>
          <t>Sale Of Investment</t>
        </is>
      </c>
      <c r="B29" s="3" t="n">
        <v>470026000</v>
      </c>
      <c r="C29" s="3" t="n">
        <v>389347000</v>
      </c>
      <c r="D29" s="3" t="n">
        <v>293652000</v>
      </c>
      <c r="E29" s="3" t="n">
        <v>339338000</v>
      </c>
      <c r="F29" s="3" t="n"/>
    </row>
    <row r="30">
      <c r="A30" t="inlineStr">
        <is>
          <t>Purchase Of Investment</t>
        </is>
      </c>
      <c r="B30" s="3" t="n">
        <v>-666294000</v>
      </c>
      <c r="C30" s="3" t="n">
        <v>-415374000</v>
      </c>
      <c r="D30" s="3" t="n">
        <v>-434155000</v>
      </c>
      <c r="E30" s="3" t="n">
        <v>-150949000</v>
      </c>
      <c r="F30" s="3" t="n"/>
    </row>
    <row r="31">
      <c r="A31" t="inlineStr">
        <is>
          <t>Net Business Purchase And Sale</t>
        </is>
      </c>
      <c r="B31" s="3" t="n">
        <v>0</v>
      </c>
      <c r="C31" s="3" t="n">
        <v>0</v>
      </c>
      <c r="D31" s="3" t="n">
        <v>106347000</v>
      </c>
      <c r="E31" s="3" t="n">
        <v>-15932000</v>
      </c>
      <c r="F31" s="3" t="n"/>
    </row>
    <row r="32">
      <c r="A32" t="inlineStr">
        <is>
          <t>Sale Of Business</t>
        </is>
      </c>
      <c r="B32" s="3" t="n">
        <v>0</v>
      </c>
      <c r="C32" s="3" t="n">
        <v>0</v>
      </c>
      <c r="D32" s="3" t="n">
        <v>106347000</v>
      </c>
      <c r="E32" s="3" t="n">
        <v>0</v>
      </c>
      <c r="F32" s="3" t="n"/>
    </row>
    <row r="33">
      <c r="A33" t="inlineStr">
        <is>
          <t>Purchase Of Business</t>
        </is>
      </c>
      <c r="B33" s="3" t="n"/>
      <c r="C33" s="3" t="n">
        <v>0</v>
      </c>
      <c r="D33" s="3" t="n">
        <v>0</v>
      </c>
      <c r="E33" s="3" t="n">
        <v>-15932000</v>
      </c>
      <c r="F33" s="3" t="n">
        <v>-97115000</v>
      </c>
    </row>
    <row r="34">
      <c r="A34" t="inlineStr">
        <is>
          <t>Net Intangibles Purchase And Sale</t>
        </is>
      </c>
      <c r="B34" s="3" t="n"/>
      <c r="C34" s="3" t="n">
        <v>0</v>
      </c>
      <c r="D34" s="3" t="n">
        <v>0</v>
      </c>
      <c r="E34" s="3" t="n">
        <v>-3000000</v>
      </c>
      <c r="F34" s="3" t="n">
        <v>0</v>
      </c>
    </row>
    <row r="35">
      <c r="A35" t="inlineStr">
        <is>
          <t>Purchase Of Intangibles</t>
        </is>
      </c>
      <c r="B35" s="3" t="n"/>
      <c r="C35" s="3" t="n">
        <v>0</v>
      </c>
      <c r="D35" s="3" t="n">
        <v>0</v>
      </c>
      <c r="E35" s="3" t="n">
        <v>-3000000</v>
      </c>
      <c r="F35" s="3" t="n">
        <v>0</v>
      </c>
    </row>
    <row r="36">
      <c r="A36" t="inlineStr">
        <is>
          <t>Net PPE Purchase And Sale</t>
        </is>
      </c>
      <c r="B36" s="3" t="n">
        <v>-26842000</v>
      </c>
      <c r="C36" s="3" t="n">
        <v>-30697000</v>
      </c>
      <c r="D36" s="3" t="n">
        <v>-23240000</v>
      </c>
      <c r="E36" s="3" t="n">
        <v>-17478000</v>
      </c>
      <c r="F36" s="3" t="n"/>
    </row>
    <row r="37">
      <c r="A37" t="inlineStr">
        <is>
          <t>Sale Of PPE</t>
        </is>
      </c>
      <c r="B37" s="3" t="n"/>
      <c r="C37" s="3" t="n"/>
      <c r="D37" s="3" t="n"/>
      <c r="E37" s="3" t="n"/>
      <c r="F37" s="3" t="n">
        <v>0</v>
      </c>
    </row>
    <row r="38">
      <c r="A38" t="inlineStr">
        <is>
          <t>Purchase Of PPE</t>
        </is>
      </c>
      <c r="B38" s="3" t="n">
        <v>-26842000</v>
      </c>
      <c r="C38" s="3" t="n">
        <v>-30697000</v>
      </c>
      <c r="D38" s="3" t="n">
        <v>-23240000</v>
      </c>
      <c r="E38" s="3" t="n">
        <v>-17478000</v>
      </c>
      <c r="F38" s="3" t="n"/>
    </row>
    <row r="39">
      <c r="A39" t="inlineStr">
        <is>
          <t>Operating Cash Flow</t>
        </is>
      </c>
      <c r="B39" s="3" t="n">
        <v>360019000</v>
      </c>
      <c r="C39" s="3" t="n">
        <v>230599000</v>
      </c>
      <c r="D39" s="3" t="n">
        <v>195786000</v>
      </c>
      <c r="E39" s="3" t="n">
        <v>230393000</v>
      </c>
      <c r="F39" s="3" t="n"/>
    </row>
    <row r="40">
      <c r="A40" t="inlineStr">
        <is>
          <t>Cash Flow From Continuing Operating Activities</t>
        </is>
      </c>
      <c r="B40" s="3" t="n">
        <v>360019000</v>
      </c>
      <c r="C40" s="3" t="n">
        <v>230599000</v>
      </c>
      <c r="D40" s="3" t="n">
        <v>195786000</v>
      </c>
      <c r="E40" s="3" t="n">
        <v>230393000</v>
      </c>
      <c r="F40" s="3" t="n"/>
    </row>
    <row r="41">
      <c r="A41" t="inlineStr">
        <is>
          <t>Change In Working Capital</t>
        </is>
      </c>
      <c r="B41" s="3" t="n">
        <v>3645000</v>
      </c>
      <c r="C41" s="3" t="n">
        <v>-22959000</v>
      </c>
      <c r="D41" s="3" t="n">
        <v>8334000</v>
      </c>
      <c r="E41" s="3" t="n">
        <v>64940000</v>
      </c>
      <c r="F41" s="3" t="n"/>
    </row>
    <row r="42">
      <c r="A42" t="inlineStr">
        <is>
          <t>Change In Other Working Capital</t>
        </is>
      </c>
      <c r="B42" s="3" t="n">
        <v>9743000</v>
      </c>
      <c r="C42" s="3" t="n">
        <v>3774000</v>
      </c>
      <c r="D42" s="3" t="n">
        <v>-5048000</v>
      </c>
      <c r="E42" s="3" t="n">
        <v>-1354000</v>
      </c>
      <c r="F42" s="3" t="n"/>
    </row>
    <row r="43">
      <c r="A43" t="inlineStr">
        <is>
          <t>Change In Other Current Liabilities</t>
        </is>
      </c>
      <c r="B43" s="3" t="n">
        <v>-5553000</v>
      </c>
      <c r="C43" s="3" t="n">
        <v>-5356000</v>
      </c>
      <c r="D43" s="3" t="n">
        <v>-5204000</v>
      </c>
      <c r="E43" s="3" t="n">
        <v>-6919000</v>
      </c>
      <c r="F43" s="3" t="n"/>
    </row>
    <row r="44">
      <c r="A44" t="inlineStr">
        <is>
          <t>Change In Payables And Accrued Expense</t>
        </is>
      </c>
      <c r="B44" s="3" t="n">
        <v>29178000</v>
      </c>
      <c r="C44" s="3" t="n">
        <v>27426000</v>
      </c>
      <c r="D44" s="3" t="n">
        <v>53916000</v>
      </c>
      <c r="E44" s="3" t="n">
        <v>-12049000</v>
      </c>
      <c r="F44" s="3" t="n"/>
    </row>
    <row r="45">
      <c r="A45" t="inlineStr">
        <is>
          <t>Change In Accrued Expense</t>
        </is>
      </c>
      <c r="B45" s="3" t="n">
        <v>6548000</v>
      </c>
      <c r="C45" s="3" t="n">
        <v>571000</v>
      </c>
      <c r="D45" s="3" t="n">
        <v>41000</v>
      </c>
      <c r="E45" s="3" t="n">
        <v>-4745000</v>
      </c>
      <c r="F45" s="3" t="n"/>
    </row>
    <row r="46">
      <c r="A46" t="inlineStr">
        <is>
          <t>Change In Payable</t>
        </is>
      </c>
      <c r="B46" s="3" t="n">
        <v>22630000</v>
      </c>
      <c r="C46" s="3" t="n">
        <v>26855000</v>
      </c>
      <c r="D46" s="3" t="n">
        <v>53875000</v>
      </c>
      <c r="E46" s="3" t="n">
        <v>-7304000</v>
      </c>
      <c r="F46" s="3" t="n"/>
    </row>
    <row r="47">
      <c r="A47" t="inlineStr">
        <is>
          <t>Change In Account Payable</t>
        </is>
      </c>
      <c r="B47" s="3" t="n">
        <v>11397000</v>
      </c>
      <c r="C47" s="3" t="n">
        <v>580000</v>
      </c>
      <c r="D47" s="3" t="n">
        <v>-5768000</v>
      </c>
      <c r="E47" s="3" t="n">
        <v>11975000</v>
      </c>
      <c r="F47" s="3" t="n"/>
    </row>
    <row r="48">
      <c r="A48" t="inlineStr">
        <is>
          <t>Change In Tax Payable</t>
        </is>
      </c>
      <c r="B48" s="3" t="n">
        <v>11233000</v>
      </c>
      <c r="C48" s="3" t="n">
        <v>26275000</v>
      </c>
      <c r="D48" s="3" t="n">
        <v>59643000</v>
      </c>
      <c r="E48" s="3" t="n">
        <v>-19279000</v>
      </c>
      <c r="F48" s="3" t="n"/>
    </row>
    <row r="49">
      <c r="A49" t="inlineStr">
        <is>
          <t>Change In Income Tax Payable</t>
        </is>
      </c>
      <c r="B49" s="3" t="n">
        <v>11233000</v>
      </c>
      <c r="C49" s="3" t="n">
        <v>26275000</v>
      </c>
      <c r="D49" s="3" t="n">
        <v>59643000</v>
      </c>
      <c r="E49" s="3" t="n">
        <v>-19279000</v>
      </c>
      <c r="F49" s="3" t="n"/>
    </row>
    <row r="50">
      <c r="A50" t="inlineStr">
        <is>
          <t>Change In Prepaid Assets</t>
        </is>
      </c>
      <c r="B50" s="3" t="n">
        <v>-3992000</v>
      </c>
      <c r="C50" s="3" t="n">
        <v>-5500000</v>
      </c>
      <c r="D50" s="3" t="n">
        <v>2763000</v>
      </c>
      <c r="E50" s="3" t="n">
        <v>-89000</v>
      </c>
      <c r="F50" s="3" t="n"/>
    </row>
    <row r="51">
      <c r="A51" t="inlineStr">
        <is>
          <t>Change In Inventory</t>
        </is>
      </c>
      <c r="B51" s="3" t="n">
        <v>536000</v>
      </c>
      <c r="C51" s="3" t="n">
        <v>-8480000</v>
      </c>
      <c r="D51" s="3" t="n">
        <v>-15254000</v>
      </c>
      <c r="E51" s="3" t="n">
        <v>-12702000</v>
      </c>
      <c r="F51" s="3" t="n"/>
    </row>
    <row r="52">
      <c r="A52" t="inlineStr">
        <is>
          <t>Change In Receivables</t>
        </is>
      </c>
      <c r="B52" s="3" t="n">
        <v>-26267000</v>
      </c>
      <c r="C52" s="3" t="n">
        <v>-34823000</v>
      </c>
      <c r="D52" s="3" t="n">
        <v>-22839000</v>
      </c>
      <c r="E52" s="3" t="n">
        <v>98053000</v>
      </c>
      <c r="F52" s="3" t="n"/>
    </row>
    <row r="53">
      <c r="A53" t="inlineStr">
        <is>
          <t>Changes In Account Receivables</t>
        </is>
      </c>
      <c r="B53" s="3" t="n">
        <v>-14653000</v>
      </c>
      <c r="C53" s="3" t="n">
        <v>-39835000</v>
      </c>
      <c r="D53" s="3" t="n">
        <v>-28931000</v>
      </c>
      <c r="E53" s="3" t="n">
        <v>-9274000</v>
      </c>
      <c r="F53" s="3" t="n"/>
    </row>
    <row r="54">
      <c r="A54" t="inlineStr">
        <is>
          <t>Other Non Cash Items</t>
        </is>
      </c>
      <c r="B54" s="3" t="n">
        <v>73000</v>
      </c>
      <c r="C54" s="3" t="n">
        <v>-5029000</v>
      </c>
      <c r="D54" s="3" t="n">
        <v>9882000</v>
      </c>
      <c r="E54" s="3" t="n">
        <v>5731000</v>
      </c>
      <c r="F54" s="3" t="n"/>
    </row>
    <row r="55">
      <c r="A55" t="inlineStr">
        <is>
          <t>Stock Based Compensation</t>
        </is>
      </c>
      <c r="B55" s="3" t="n">
        <v>54267000</v>
      </c>
      <c r="C55" s="3" t="n">
        <v>44880000</v>
      </c>
      <c r="D55" s="3" t="n">
        <v>45011000</v>
      </c>
      <c r="E55" s="3" t="n">
        <v>35552000</v>
      </c>
      <c r="F55" s="3" t="n"/>
    </row>
    <row r="56">
      <c r="A56" t="inlineStr">
        <is>
          <t>Asset Impairment Charge</t>
        </is>
      </c>
      <c r="B56" s="3" t="n">
        <v>0</v>
      </c>
      <c r="C56" s="3" t="n">
        <v>1071000</v>
      </c>
      <c r="D56" s="3" t="n">
        <v>10045000</v>
      </c>
      <c r="E56" s="3" t="n">
        <v>0</v>
      </c>
      <c r="F56" s="3" t="n"/>
    </row>
    <row r="57">
      <c r="A57" t="inlineStr">
        <is>
          <t>Deferred Tax</t>
        </is>
      </c>
      <c r="B57" s="3" t="n">
        <v>29590000</v>
      </c>
      <c r="C57" s="3" t="n">
        <v>-9875000</v>
      </c>
      <c r="D57" s="3" t="n">
        <v>-145350000</v>
      </c>
      <c r="E57" s="3" t="n">
        <v>689000</v>
      </c>
      <c r="F57" s="3" t="n"/>
    </row>
    <row r="58">
      <c r="A58" t="inlineStr">
        <is>
          <t>Deferred Income Tax</t>
        </is>
      </c>
      <c r="B58" s="3" t="n">
        <v>29590000</v>
      </c>
      <c r="C58" s="3" t="n">
        <v>-9875000</v>
      </c>
      <c r="D58" s="3" t="n">
        <v>-145350000</v>
      </c>
      <c r="E58" s="3" t="n">
        <v>689000</v>
      </c>
      <c r="F58" s="3" t="n"/>
    </row>
    <row r="59">
      <c r="A59" t="inlineStr">
        <is>
          <t>Depreciation Amortization Depletion</t>
        </is>
      </c>
      <c r="B59" s="3" t="n">
        <v>41989000</v>
      </c>
      <c r="C59" s="3" t="n">
        <v>42690000</v>
      </c>
      <c r="D59" s="3" t="n">
        <v>48428000</v>
      </c>
      <c r="E59" s="3" t="n">
        <v>47127000</v>
      </c>
      <c r="F59" s="3" t="n"/>
    </row>
    <row r="60">
      <c r="A60" t="inlineStr">
        <is>
          <t>Depreciation And Amortization</t>
        </is>
      </c>
      <c r="B60" s="3" t="n">
        <v>41989000</v>
      </c>
      <c r="C60" s="3" t="n">
        <v>42690000</v>
      </c>
      <c r="D60" s="3" t="n">
        <v>48428000</v>
      </c>
      <c r="E60" s="3" t="n">
        <v>47127000</v>
      </c>
      <c r="F60" s="3" t="n"/>
    </row>
    <row r="61">
      <c r="A61" t="inlineStr">
        <is>
          <t>Amortization Cash Flow</t>
        </is>
      </c>
      <c r="B61" s="3" t="n">
        <v>6878000</v>
      </c>
      <c r="C61" s="3" t="n">
        <v>11710000</v>
      </c>
      <c r="D61" s="3" t="n">
        <v>14741000</v>
      </c>
      <c r="E61" s="3" t="n">
        <v>15610000</v>
      </c>
      <c r="F61" s="3" t="n"/>
    </row>
    <row r="62">
      <c r="A62" t="inlineStr">
        <is>
          <t>Amortization Of Intangibles</t>
        </is>
      </c>
      <c r="B62" s="3" t="n">
        <v>6878000</v>
      </c>
      <c r="C62" s="3" t="n">
        <v>11710000</v>
      </c>
      <c r="D62" s="3" t="n">
        <v>14741000</v>
      </c>
      <c r="E62" s="3" t="n">
        <v>15610000</v>
      </c>
      <c r="F62" s="3" t="n"/>
    </row>
    <row r="63">
      <c r="A63" t="inlineStr">
        <is>
          <t>Depreciation</t>
        </is>
      </c>
      <c r="B63" s="3" t="n">
        <v>35111000</v>
      </c>
      <c r="C63" s="3" t="n">
        <v>30980000</v>
      </c>
      <c r="D63" s="3" t="n">
        <v>33687000</v>
      </c>
      <c r="E63" s="3" t="n">
        <v>31517000</v>
      </c>
      <c r="F63" s="3" t="n"/>
    </row>
    <row r="64">
      <c r="A64" t="inlineStr">
        <is>
          <t>Operating Gains Losses</t>
        </is>
      </c>
      <c r="B64" s="3" t="n"/>
      <c r="C64" s="3" t="n"/>
      <c r="D64" s="3" t="n">
        <v>-114468000</v>
      </c>
      <c r="E64" s="3" t="n">
        <v>90664000</v>
      </c>
      <c r="F64" s="3" t="n">
        <v>989000</v>
      </c>
    </row>
    <row r="65">
      <c r="A65" t="inlineStr">
        <is>
          <t>Earnings Losses From Equity Investments</t>
        </is>
      </c>
      <c r="B65" s="3" t="n"/>
      <c r="C65" s="3" t="n">
        <v>0</v>
      </c>
      <c r="D65" s="3" t="n">
        <v>-23924000</v>
      </c>
      <c r="E65" s="3" t="n">
        <v>0</v>
      </c>
      <c r="F65" s="3" t="n">
        <v>0</v>
      </c>
    </row>
    <row r="66">
      <c r="A66" t="inlineStr">
        <is>
          <t>Gain Loss On Investment Securities</t>
        </is>
      </c>
      <c r="B66" s="3" t="n"/>
      <c r="C66" s="3" t="n"/>
      <c r="D66" s="3" t="n">
        <v>-23684000</v>
      </c>
      <c r="E66" s="3" t="n">
        <v>7038000</v>
      </c>
      <c r="F66" s="3" t="n"/>
    </row>
    <row r="67">
      <c r="A67" t="inlineStr">
        <is>
          <t>Gain Loss On Sale Of PPE</t>
        </is>
      </c>
      <c r="B67" s="3" t="n"/>
      <c r="C67" s="3" t="n"/>
      <c r="D67" s="3" t="n"/>
      <c r="E67" s="3" t="n">
        <v>-1000</v>
      </c>
      <c r="F67" s="3" t="n">
        <v>-82000</v>
      </c>
    </row>
    <row r="68">
      <c r="A68" t="inlineStr">
        <is>
          <t>Gain Loss On Sale Of Business</t>
        </is>
      </c>
      <c r="B68" s="3" t="n">
        <v>0</v>
      </c>
      <c r="C68" s="3" t="n">
        <v>0</v>
      </c>
      <c r="D68" s="3" t="n">
        <v>-90784000</v>
      </c>
      <c r="E68" s="3" t="n">
        <v>0</v>
      </c>
      <c r="F68" s="3" t="n"/>
    </row>
    <row r="69">
      <c r="A69" t="inlineStr">
        <is>
          <t>Net Income From Continuing Operations</t>
        </is>
      </c>
      <c r="B69" s="3" t="n">
        <v>230455000</v>
      </c>
      <c r="C69" s="3" t="n">
        <v>179821000</v>
      </c>
      <c r="D69" s="3" t="n">
        <v>333904000</v>
      </c>
      <c r="E69" s="3" t="n">
        <v>-14310000</v>
      </c>
      <c r="F69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71574000</v>
      </c>
      <c r="C2" s="3" t="n">
        <v>93300000</v>
      </c>
      <c r="D2" s="3" t="n">
        <v>82483000</v>
      </c>
      <c r="E2" s="3" t="n">
        <v>87852000</v>
      </c>
      <c r="F2" s="3" t="n">
        <v>69542000</v>
      </c>
      <c r="G2" s="3" t="n"/>
      <c r="H2" s="3" t="n"/>
    </row>
    <row r="3">
      <c r="A3" t="inlineStr">
        <is>
          <t>Repurchase Of Capital Stock</t>
        </is>
      </c>
      <c r="B3" s="3" t="n">
        <v>-2569000</v>
      </c>
      <c r="C3" s="3" t="n">
        <v>-1304000</v>
      </c>
      <c r="D3" s="3" t="n">
        <v>0</v>
      </c>
      <c r="E3" s="3" t="n">
        <v>-3653000</v>
      </c>
      <c r="F3" s="3" t="n">
        <v>-2157000</v>
      </c>
      <c r="G3" s="3" t="n"/>
      <c r="H3" s="3" t="n"/>
    </row>
    <row r="4">
      <c r="A4" t="inlineStr">
        <is>
          <t>Repayment Of Debt</t>
        </is>
      </c>
      <c r="B4" s="3" t="n"/>
      <c r="C4" s="3" t="n"/>
      <c r="D4" s="3" t="n"/>
      <c r="E4" s="3" t="n"/>
      <c r="F4" s="3" t="n"/>
      <c r="G4" s="3" t="n">
        <v>0</v>
      </c>
      <c r="H4" s="3" t="n">
        <v>0</v>
      </c>
    </row>
    <row r="5">
      <c r="A5" t="inlineStr">
        <is>
          <t>Capital Expenditure</t>
        </is>
      </c>
      <c r="B5" s="3" t="n">
        <v>-11635000</v>
      </c>
      <c r="C5" s="3" t="n">
        <v>-6517000</v>
      </c>
      <c r="D5" s="3" t="n">
        <v>-5946000</v>
      </c>
      <c r="E5" s="3" t="n">
        <v>-6507000</v>
      </c>
      <c r="F5" s="3" t="n">
        <v>-7872000</v>
      </c>
      <c r="G5" s="3" t="n"/>
      <c r="H5" s="3" t="n"/>
    </row>
    <row r="6">
      <c r="A6" t="inlineStr">
        <is>
          <t>End Cash Position</t>
        </is>
      </c>
      <c r="B6" s="3" t="n">
        <v>134324000</v>
      </c>
      <c r="C6" s="3" t="n">
        <v>182826000</v>
      </c>
      <c r="D6" s="3" t="n">
        <v>79200000</v>
      </c>
      <c r="E6" s="3" t="n">
        <v>87759000</v>
      </c>
      <c r="F6" s="3" t="n">
        <v>132185000</v>
      </c>
      <c r="G6" s="3" t="n"/>
      <c r="H6" s="3" t="n"/>
    </row>
    <row r="7">
      <c r="A7" t="inlineStr">
        <is>
          <t>Beginning Cash Position</t>
        </is>
      </c>
      <c r="B7" s="3" t="n">
        <v>182826000</v>
      </c>
      <c r="C7" s="3" t="n">
        <v>79200000</v>
      </c>
      <c r="D7" s="3" t="n">
        <v>87759000</v>
      </c>
      <c r="E7" s="3" t="n">
        <v>132185000</v>
      </c>
      <c r="F7" s="3" t="n">
        <v>99775000</v>
      </c>
      <c r="G7" s="3" t="n"/>
      <c r="H7" s="3" t="n"/>
    </row>
    <row r="8">
      <c r="A8" t="inlineStr">
        <is>
          <t>Effect Of Exchange Rate Changes</t>
        </is>
      </c>
      <c r="B8" s="3" t="n">
        <v>-140000</v>
      </c>
      <c r="C8" s="3" t="n">
        <v>22000</v>
      </c>
      <c r="D8" s="3" t="n">
        <v>-14000</v>
      </c>
      <c r="E8" s="3" t="n">
        <v>424000</v>
      </c>
      <c r="F8" s="3" t="n">
        <v>124000</v>
      </c>
      <c r="G8" s="3" t="n"/>
      <c r="H8" s="3" t="n"/>
    </row>
    <row r="9">
      <c r="A9" t="inlineStr">
        <is>
          <t>Changes In Cash</t>
        </is>
      </c>
      <c r="B9" s="3" t="n">
        <v>-48362000</v>
      </c>
      <c r="C9" s="3" t="n">
        <v>103604000</v>
      </c>
      <c r="D9" s="3" t="n">
        <v>-8545000</v>
      </c>
      <c r="E9" s="3" t="n">
        <v>-44850000</v>
      </c>
      <c r="F9" s="3" t="n">
        <v>32286000</v>
      </c>
      <c r="G9" s="3" t="n"/>
      <c r="H9" s="3" t="n"/>
    </row>
    <row r="10">
      <c r="A10" t="inlineStr">
        <is>
          <t>Financing Cash Flow</t>
        </is>
      </c>
      <c r="B10" s="3" t="n">
        <v>-46263000</v>
      </c>
      <c r="C10" s="3" t="n">
        <v>-4544000</v>
      </c>
      <c r="D10" s="3" t="n">
        <v>-5120000</v>
      </c>
      <c r="E10" s="3" t="n">
        <v>-7987000</v>
      </c>
      <c r="F10" s="3" t="n">
        <v>-36763000</v>
      </c>
      <c r="G10" s="3" t="n"/>
      <c r="H10" s="3" t="n"/>
    </row>
    <row r="11">
      <c r="A11" t="inlineStr">
        <is>
          <t>Cash Flow From Continuing Financing Activities</t>
        </is>
      </c>
      <c r="B11" s="3" t="n">
        <v>-46263000</v>
      </c>
      <c r="C11" s="3" t="n">
        <v>-4544000</v>
      </c>
      <c r="D11" s="3" t="n">
        <v>-5120000</v>
      </c>
      <c r="E11" s="3" t="n">
        <v>-7987000</v>
      </c>
      <c r="F11" s="3" t="n">
        <v>-36763000</v>
      </c>
      <c r="G11" s="3" t="n"/>
      <c r="H11" s="3" t="n"/>
    </row>
    <row r="12">
      <c r="A12" t="inlineStr">
        <is>
          <t>Net Other Financing Charges</t>
        </is>
      </c>
      <c r="B12" s="3" t="n">
        <v>-43694000</v>
      </c>
      <c r="C12" s="3" t="n">
        <v>-6356000</v>
      </c>
      <c r="D12" s="3" t="n">
        <v>-5120000</v>
      </c>
      <c r="E12" s="3" t="n">
        <v>-8077000</v>
      </c>
      <c r="F12" s="3" t="n">
        <v>-34606000</v>
      </c>
      <c r="G12" s="3" t="n"/>
      <c r="H12" s="3" t="n"/>
    </row>
    <row r="13">
      <c r="A13" t="inlineStr">
        <is>
          <t>Proceeds From Stock Option Exercised</t>
        </is>
      </c>
      <c r="B13" s="3" t="n"/>
      <c r="C13" s="3" t="n"/>
      <c r="D13" s="3" t="n"/>
      <c r="E13" s="3" t="n">
        <v>3743000</v>
      </c>
      <c r="F13" s="3" t="n">
        <v>0</v>
      </c>
      <c r="G13" s="3" t="n">
        <v>5465000</v>
      </c>
      <c r="H13" s="3" t="n">
        <v>-3351000</v>
      </c>
    </row>
    <row r="14">
      <c r="A14" t="inlineStr">
        <is>
          <t>Net Common Stock Issuance</t>
        </is>
      </c>
      <c r="B14" s="3" t="n">
        <v>-2569000</v>
      </c>
      <c r="C14" s="3" t="n">
        <v>-5047000</v>
      </c>
      <c r="D14" s="3" t="n">
        <v>3743000</v>
      </c>
      <c r="E14" s="3" t="n">
        <v>-3653000</v>
      </c>
      <c r="F14" s="3" t="n">
        <v>-2157000</v>
      </c>
      <c r="G14" s="3" t="n"/>
      <c r="H14" s="3" t="n"/>
    </row>
    <row r="15">
      <c r="A15" t="inlineStr">
        <is>
          <t>Common Stock Payments</t>
        </is>
      </c>
      <c r="B15" s="3" t="n">
        <v>-2569000</v>
      </c>
      <c r="C15" s="3" t="n">
        <v>-1304000</v>
      </c>
      <c r="D15" s="3" t="n">
        <v>0</v>
      </c>
      <c r="E15" s="3" t="n">
        <v>-3653000</v>
      </c>
      <c r="F15" s="3" t="n">
        <v>-2157000</v>
      </c>
      <c r="G15" s="3" t="n"/>
      <c r="H15" s="3" t="n"/>
    </row>
    <row r="16">
      <c r="A16" t="inlineStr">
        <is>
          <t>Net Issuance Payments Of Debt</t>
        </is>
      </c>
      <c r="B16" s="3" t="n"/>
      <c r="C16" s="3" t="n"/>
      <c r="D16" s="3" t="n"/>
      <c r="E16" s="3" t="n"/>
      <c r="F16" s="3" t="n"/>
      <c r="G16" s="3" t="n">
        <v>0</v>
      </c>
      <c r="H16" s="3" t="n">
        <v>0</v>
      </c>
    </row>
    <row r="17">
      <c r="A17" t="inlineStr">
        <is>
          <t>Net Long Term Debt Issuance</t>
        </is>
      </c>
      <c r="B17" s="3" t="n"/>
      <c r="C17" s="3" t="n"/>
      <c r="D17" s="3" t="n"/>
      <c r="E17" s="3" t="n"/>
      <c r="F17" s="3" t="n"/>
      <c r="G17" s="3" t="n">
        <v>0</v>
      </c>
      <c r="H17" s="3" t="n">
        <v>0</v>
      </c>
    </row>
    <row r="18">
      <c r="A18" t="inlineStr">
        <is>
          <t>Long Term Debt Payments</t>
        </is>
      </c>
      <c r="B18" s="3" t="n"/>
      <c r="C18" s="3" t="n"/>
      <c r="D18" s="3" t="n"/>
      <c r="E18" s="3" t="n"/>
      <c r="F18" s="3" t="n"/>
      <c r="G18" s="3" t="n">
        <v>0</v>
      </c>
      <c r="H18" s="3" t="n">
        <v>0</v>
      </c>
    </row>
    <row r="19">
      <c r="A19" t="inlineStr">
        <is>
          <t>Investing Cash Flow</t>
        </is>
      </c>
      <c r="B19" s="3" t="n">
        <v>-85308000</v>
      </c>
      <c r="C19" s="3" t="n">
        <v>8331000</v>
      </c>
      <c r="D19" s="3" t="n">
        <v>-91854000</v>
      </c>
      <c r="E19" s="3" t="n">
        <v>-131222000</v>
      </c>
      <c r="F19" s="3" t="n">
        <v>-8365000</v>
      </c>
      <c r="G19" s="3" t="n"/>
      <c r="H19" s="3" t="n"/>
    </row>
    <row r="20">
      <c r="A20" t="inlineStr">
        <is>
          <t>Cash Flow From Continuing Investing Activities</t>
        </is>
      </c>
      <c r="B20" s="3" t="n">
        <v>-85308000</v>
      </c>
      <c r="C20" s="3" t="n">
        <v>8331000</v>
      </c>
      <c r="D20" s="3" t="n">
        <v>-91854000</v>
      </c>
      <c r="E20" s="3" t="n">
        <v>-131222000</v>
      </c>
      <c r="F20" s="3" t="n">
        <v>-8365000</v>
      </c>
      <c r="G20" s="3" t="n"/>
      <c r="H20" s="3" t="n"/>
    </row>
    <row r="21">
      <c r="A21" t="inlineStr">
        <is>
          <t>Net Investment Purchase And Sale</t>
        </is>
      </c>
      <c r="B21" s="3" t="n">
        <v>-73673000</v>
      </c>
      <c r="C21" s="3" t="n">
        <v>14848000</v>
      </c>
      <c r="D21" s="3" t="n">
        <v>-85908000</v>
      </c>
      <c r="E21" s="3" t="n">
        <v>-124715000</v>
      </c>
      <c r="F21" s="3" t="n">
        <v>-493000</v>
      </c>
      <c r="G21" s="3" t="n"/>
      <c r="H21" s="3" t="n"/>
    </row>
    <row r="22">
      <c r="A22" t="inlineStr">
        <is>
          <t>Sale Of Investment</t>
        </is>
      </c>
      <c r="B22" s="3" t="n">
        <v>182139000</v>
      </c>
      <c r="C22" s="3" t="n">
        <v>182971000</v>
      </c>
      <c r="D22" s="3" t="n">
        <v>108427000</v>
      </c>
      <c r="E22" s="3" t="n">
        <v>87953000</v>
      </c>
      <c r="F22" s="3" t="n">
        <v>90675000</v>
      </c>
      <c r="G22" s="3" t="n"/>
      <c r="H22" s="3" t="n"/>
    </row>
    <row r="23">
      <c r="A23" t="inlineStr">
        <is>
          <t>Purchase Of Investment</t>
        </is>
      </c>
      <c r="B23" s="3" t="n">
        <v>-255812000</v>
      </c>
      <c r="C23" s="3" t="n">
        <v>-168123000</v>
      </c>
      <c r="D23" s="3" t="n">
        <v>-194335000</v>
      </c>
      <c r="E23" s="3" t="n">
        <v>-212668000</v>
      </c>
      <c r="F23" s="3" t="n">
        <v>-91168000</v>
      </c>
      <c r="G23" s="3" t="n"/>
      <c r="H23" s="3" t="n"/>
    </row>
    <row r="24">
      <c r="A24" t="inlineStr">
        <is>
          <t>Net Business Purchase And Sale</t>
        </is>
      </c>
      <c r="B24" s="3" t="n"/>
      <c r="C24" s="3" t="n"/>
      <c r="D24" s="3" t="n"/>
      <c r="E24" s="3" t="n"/>
      <c r="F24" s="3" t="n"/>
      <c r="G24" s="3" t="n">
        <v>0</v>
      </c>
      <c r="H24" s="3" t="n"/>
    </row>
    <row r="25">
      <c r="A25" t="inlineStr">
        <is>
          <t>Sale Of Business</t>
        </is>
      </c>
      <c r="B25" s="3" t="n"/>
      <c r="C25" s="3" t="n"/>
      <c r="D25" s="3" t="n"/>
      <c r="E25" s="3" t="n"/>
      <c r="F25" s="3" t="n"/>
      <c r="G25" s="3" t="n">
        <v>0</v>
      </c>
      <c r="H25" s="3" t="n"/>
    </row>
    <row r="26">
      <c r="A26" t="inlineStr">
        <is>
          <t>Net PPE Purchase And Sale</t>
        </is>
      </c>
      <c r="B26" s="3" t="n">
        <v>-11635000</v>
      </c>
      <c r="C26" s="3" t="n">
        <v>-6517000</v>
      </c>
      <c r="D26" s="3" t="n">
        <v>-5946000</v>
      </c>
      <c r="E26" s="3" t="n">
        <v>-6507000</v>
      </c>
      <c r="F26" s="3" t="n">
        <v>-7872000</v>
      </c>
      <c r="G26" s="3" t="n"/>
      <c r="H26" s="3" t="n"/>
    </row>
    <row r="27">
      <c r="A27" t="inlineStr">
        <is>
          <t>Purchase Of PPE</t>
        </is>
      </c>
      <c r="B27" s="3" t="n">
        <v>-11635000</v>
      </c>
      <c r="C27" s="3" t="n">
        <v>-6517000</v>
      </c>
      <c r="D27" s="3" t="n">
        <v>-5946000</v>
      </c>
      <c r="E27" s="3" t="n">
        <v>-6507000</v>
      </c>
      <c r="F27" s="3" t="n">
        <v>-7872000</v>
      </c>
      <c r="G27" s="3" t="n"/>
      <c r="H27" s="3" t="n"/>
    </row>
    <row r="28">
      <c r="A28" t="inlineStr">
        <is>
          <t>Operating Cash Flow</t>
        </is>
      </c>
      <c r="B28" s="3" t="n">
        <v>83209000</v>
      </c>
      <c r="C28" s="3" t="n">
        <v>99817000</v>
      </c>
      <c r="D28" s="3" t="n">
        <v>88429000</v>
      </c>
      <c r="E28" s="3" t="n">
        <v>94359000</v>
      </c>
      <c r="F28" s="3" t="n">
        <v>77414000</v>
      </c>
      <c r="G28" s="3" t="n"/>
      <c r="H28" s="3" t="n"/>
    </row>
    <row r="29">
      <c r="A29" t="inlineStr">
        <is>
          <t>Cash Flow From Continuing Operating Activities</t>
        </is>
      </c>
      <c r="B29" s="3" t="n">
        <v>83209000</v>
      </c>
      <c r="C29" s="3" t="n">
        <v>99817000</v>
      </c>
      <c r="D29" s="3" t="n">
        <v>88429000</v>
      </c>
      <c r="E29" s="3" t="n">
        <v>94359000</v>
      </c>
      <c r="F29" s="3" t="n">
        <v>77414000</v>
      </c>
      <c r="G29" s="3" t="n"/>
      <c r="H29" s="3" t="n"/>
    </row>
    <row r="30">
      <c r="A30" t="inlineStr">
        <is>
          <t>Change In Working Capital</t>
        </is>
      </c>
      <c r="B30" s="3" t="n">
        <v>-3838000</v>
      </c>
      <c r="C30" s="3" t="n">
        <v>3581000</v>
      </c>
      <c r="D30" s="3" t="n">
        <v>-3197000</v>
      </c>
      <c r="E30" s="3" t="n">
        <v>9294000</v>
      </c>
      <c r="F30" s="3" t="n">
        <v>-6033000</v>
      </c>
      <c r="G30" s="3" t="n"/>
      <c r="H30" s="3" t="n"/>
    </row>
    <row r="31">
      <c r="A31" t="inlineStr">
        <is>
          <t>Change In Other Working Capital</t>
        </is>
      </c>
      <c r="B31" s="3" t="n">
        <v>-5971000</v>
      </c>
      <c r="C31" s="3" t="n">
        <v>6160000</v>
      </c>
      <c r="D31" s="3" t="n">
        <v>4855000</v>
      </c>
      <c r="E31" s="3" t="n">
        <v>-1425000</v>
      </c>
      <c r="F31" s="3" t="n">
        <v>153000</v>
      </c>
      <c r="G31" s="3" t="n"/>
      <c r="H31" s="3" t="n"/>
    </row>
    <row r="32">
      <c r="A32" t="inlineStr">
        <is>
          <t>Change In Other Current Liabilities</t>
        </is>
      </c>
      <c r="B32" s="3" t="n">
        <v>-1577000</v>
      </c>
      <c r="C32" s="3" t="n">
        <v>-1455000</v>
      </c>
      <c r="D32" s="3" t="n">
        <v>-1500000</v>
      </c>
      <c r="E32" s="3" t="n">
        <v>-1258000</v>
      </c>
      <c r="F32" s="3" t="n">
        <v>-1340000</v>
      </c>
      <c r="G32" s="3" t="n"/>
      <c r="H32" s="3" t="n"/>
    </row>
    <row r="33">
      <c r="A33" t="inlineStr">
        <is>
          <t>Change In Payables And Accrued Expense</t>
        </is>
      </c>
      <c r="B33" s="3" t="n">
        <v>-9740000</v>
      </c>
      <c r="C33" s="3" t="n">
        <v>30620000</v>
      </c>
      <c r="D33" s="3" t="n">
        <v>136000</v>
      </c>
      <c r="E33" s="3" t="n">
        <v>2035000</v>
      </c>
      <c r="F33" s="3" t="n">
        <v>-3613000</v>
      </c>
      <c r="G33" s="3" t="n"/>
      <c r="H33" s="3" t="n"/>
    </row>
    <row r="34">
      <c r="A34" t="inlineStr">
        <is>
          <t>Change In Accrued Expense</t>
        </is>
      </c>
      <c r="B34" s="3" t="n">
        <v>-11335000</v>
      </c>
      <c r="C34" s="3" t="n">
        <v>13050000</v>
      </c>
      <c r="D34" s="3" t="n">
        <v>-3624000</v>
      </c>
      <c r="E34" s="3" t="n">
        <v>3944000</v>
      </c>
      <c r="F34" s="3" t="n">
        <v>-6822000</v>
      </c>
      <c r="G34" s="3" t="n"/>
      <c r="H34" s="3" t="n"/>
    </row>
    <row r="35">
      <c r="A35" t="inlineStr">
        <is>
          <t>Change In Payable</t>
        </is>
      </c>
      <c r="B35" s="3" t="n">
        <v>1595000</v>
      </c>
      <c r="C35" s="3" t="n">
        <v>17570000</v>
      </c>
      <c r="D35" s="3" t="n">
        <v>3760000</v>
      </c>
      <c r="E35" s="3" t="n">
        <v>-1909000</v>
      </c>
      <c r="F35" s="3" t="n">
        <v>3209000</v>
      </c>
      <c r="G35" s="3" t="n"/>
      <c r="H35" s="3" t="n"/>
    </row>
    <row r="36">
      <c r="A36" t="inlineStr">
        <is>
          <t>Change In Account Payable</t>
        </is>
      </c>
      <c r="B36" s="3" t="n">
        <v>2291000</v>
      </c>
      <c r="C36" s="3" t="n">
        <v>16550000</v>
      </c>
      <c r="D36" s="3" t="n">
        <v>3392000</v>
      </c>
      <c r="E36" s="3" t="n">
        <v>-6632000</v>
      </c>
      <c r="F36" s="3" t="n">
        <v>-1913000</v>
      </c>
      <c r="G36" s="3" t="n"/>
      <c r="H36" s="3" t="n"/>
    </row>
    <row r="37">
      <c r="A37" t="inlineStr">
        <is>
          <t>Change In Tax Payable</t>
        </is>
      </c>
      <c r="B37" s="3" t="n">
        <v>-696000</v>
      </c>
      <c r="C37" s="3" t="n">
        <v>1020000</v>
      </c>
      <c r="D37" s="3" t="n">
        <v>368000</v>
      </c>
      <c r="E37" s="3" t="n">
        <v>4723000</v>
      </c>
      <c r="F37" s="3" t="n">
        <v>5122000</v>
      </c>
      <c r="G37" s="3" t="n"/>
      <c r="H37" s="3" t="n"/>
    </row>
    <row r="38">
      <c r="A38" t="inlineStr">
        <is>
          <t>Change In Income Tax Payable</t>
        </is>
      </c>
      <c r="B38" s="3" t="n">
        <v>-696000</v>
      </c>
      <c r="C38" s="3" t="n">
        <v>1020000</v>
      </c>
      <c r="D38" s="3" t="n">
        <v>368000</v>
      </c>
      <c r="E38" s="3" t="n">
        <v>4723000</v>
      </c>
      <c r="F38" s="3" t="n">
        <v>5122000</v>
      </c>
      <c r="G38" s="3" t="n"/>
      <c r="H38" s="3" t="n"/>
    </row>
    <row r="39">
      <c r="A39" t="inlineStr">
        <is>
          <t>Change In Prepaid Assets</t>
        </is>
      </c>
      <c r="B39" s="3" t="n">
        <v>-1498000</v>
      </c>
      <c r="C39" s="3" t="n">
        <v>-397000</v>
      </c>
      <c r="D39" s="3" t="n">
        <v>-2934000</v>
      </c>
      <c r="E39" s="3" t="n">
        <v>195000</v>
      </c>
      <c r="F39" s="3" t="n">
        <v>-856000</v>
      </c>
      <c r="G39" s="3" t="n"/>
      <c r="H39" s="3" t="n"/>
    </row>
    <row r="40">
      <c r="A40" t="inlineStr">
        <is>
          <t>Change In Inventory</t>
        </is>
      </c>
      <c r="B40" s="3" t="n">
        <v>-14326000</v>
      </c>
      <c r="C40" s="3" t="n">
        <v>508000</v>
      </c>
      <c r="D40" s="3" t="n">
        <v>-6003000</v>
      </c>
      <c r="E40" s="3" t="n">
        <v>6098000</v>
      </c>
      <c r="F40" s="3" t="n">
        <v>-67000</v>
      </c>
      <c r="G40" s="3" t="n"/>
      <c r="H40" s="3" t="n"/>
    </row>
    <row r="41">
      <c r="A41" t="inlineStr">
        <is>
          <t>Change In Receivables</t>
        </is>
      </c>
      <c r="B41" s="3" t="n">
        <v>29274000</v>
      </c>
      <c r="C41" s="3" t="n">
        <v>-31855000</v>
      </c>
      <c r="D41" s="3" t="n">
        <v>2249000</v>
      </c>
      <c r="E41" s="3" t="n">
        <v>3649000</v>
      </c>
      <c r="F41" s="3" t="n">
        <v>-310000</v>
      </c>
      <c r="G41" s="3" t="n"/>
      <c r="H41" s="3" t="n"/>
    </row>
    <row r="42">
      <c r="A42" t="inlineStr">
        <is>
          <t>Changes In Account Receivables</t>
        </is>
      </c>
      <c r="B42" s="3" t="n">
        <v>28134000</v>
      </c>
      <c r="C42" s="3" t="n">
        <v>-32119000</v>
      </c>
      <c r="D42" s="3" t="n">
        <v>1771000</v>
      </c>
      <c r="E42" s="3" t="n">
        <v>11977000</v>
      </c>
      <c r="F42" s="3" t="n">
        <v>3718000</v>
      </c>
      <c r="G42" s="3" t="n"/>
      <c r="H42" s="3" t="n"/>
    </row>
    <row r="43">
      <c r="A43" t="inlineStr">
        <is>
          <t>Other Non Cash Items</t>
        </is>
      </c>
      <c r="B43" s="3" t="n">
        <v>518000</v>
      </c>
      <c r="C43" s="3" t="n">
        <v>72000</v>
      </c>
      <c r="D43" s="3" t="n">
        <v>0</v>
      </c>
      <c r="E43" s="3" t="n">
        <v>-3000</v>
      </c>
      <c r="F43" s="3" t="n">
        <v>4000</v>
      </c>
      <c r="G43" s="3" t="n"/>
      <c r="H43" s="3" t="n"/>
    </row>
    <row r="44">
      <c r="A44" t="inlineStr">
        <is>
          <t>Stock Based Compensation</t>
        </is>
      </c>
      <c r="B44" s="3" t="n">
        <v>11453000</v>
      </c>
      <c r="C44" s="3" t="n">
        <v>14445000</v>
      </c>
      <c r="D44" s="3" t="n">
        <v>14206000</v>
      </c>
      <c r="E44" s="3" t="n">
        <v>14233000</v>
      </c>
      <c r="F44" s="3" t="n">
        <v>11383000</v>
      </c>
      <c r="G44" s="3" t="n"/>
      <c r="H44" s="3" t="n"/>
    </row>
    <row r="45">
      <c r="A45" t="inlineStr">
        <is>
          <t>Asset Impairment Charge</t>
        </is>
      </c>
      <c r="B45" s="3" t="n"/>
      <c r="C45" s="3" t="n">
        <v>0</v>
      </c>
      <c r="D45" s="3" t="n">
        <v>0</v>
      </c>
      <c r="E45" s="3" t="n"/>
      <c r="F45" s="3" t="n"/>
      <c r="G45" s="3" t="n">
        <v>0</v>
      </c>
      <c r="H45" s="3" t="n">
        <v>0</v>
      </c>
    </row>
    <row r="46">
      <c r="A46" t="inlineStr">
        <is>
          <t>Deferred Tax</t>
        </is>
      </c>
      <c r="B46" s="3" t="n">
        <v>3942000</v>
      </c>
      <c r="C46" s="3" t="n">
        <v>6702000</v>
      </c>
      <c r="D46" s="3" t="n">
        <v>18270000</v>
      </c>
      <c r="E46" s="3" t="n">
        <v>2696000</v>
      </c>
      <c r="F46" s="3" t="n">
        <v>1922000</v>
      </c>
      <c r="G46" s="3" t="n"/>
      <c r="H46" s="3" t="n"/>
    </row>
    <row r="47">
      <c r="A47" t="inlineStr">
        <is>
          <t>Deferred Income Tax</t>
        </is>
      </c>
      <c r="B47" s="3" t="n">
        <v>3942000</v>
      </c>
      <c r="C47" s="3" t="n">
        <v>6702000</v>
      </c>
      <c r="D47" s="3" t="n">
        <v>18270000</v>
      </c>
      <c r="E47" s="3" t="n">
        <v>2696000</v>
      </c>
      <c r="F47" s="3" t="n">
        <v>1922000</v>
      </c>
      <c r="G47" s="3" t="n"/>
      <c r="H47" s="3" t="n"/>
    </row>
    <row r="48">
      <c r="A48" t="inlineStr">
        <is>
          <t>Depreciation Amortization Depletion</t>
        </is>
      </c>
      <c r="B48" s="3" t="n">
        <v>11276000</v>
      </c>
      <c r="C48" s="3" t="n">
        <v>11177000</v>
      </c>
      <c r="D48" s="3" t="n">
        <v>10773000</v>
      </c>
      <c r="E48" s="3" t="n">
        <v>10204000</v>
      </c>
      <c r="F48" s="3" t="n">
        <v>9835000</v>
      </c>
      <c r="G48" s="3" t="n"/>
      <c r="H48" s="3" t="n"/>
    </row>
    <row r="49">
      <c r="A49" t="inlineStr">
        <is>
          <t>Depreciation And Amortization</t>
        </is>
      </c>
      <c r="B49" s="3" t="n">
        <v>11276000</v>
      </c>
      <c r="C49" s="3" t="n">
        <v>11177000</v>
      </c>
      <c r="D49" s="3" t="n">
        <v>10773000</v>
      </c>
      <c r="E49" s="3" t="n">
        <v>10204000</v>
      </c>
      <c r="F49" s="3" t="n">
        <v>9835000</v>
      </c>
      <c r="G49" s="3" t="n"/>
      <c r="H49" s="3" t="n"/>
    </row>
    <row r="50">
      <c r="A50" t="inlineStr">
        <is>
          <t>Amortization Cash Flow</t>
        </is>
      </c>
      <c r="B50" s="3" t="n">
        <v>1675000</v>
      </c>
      <c r="C50" s="3" t="n">
        <v>1720000</v>
      </c>
      <c r="D50" s="3" t="n">
        <v>1724000</v>
      </c>
      <c r="E50" s="3" t="n">
        <v>1721000</v>
      </c>
      <c r="F50" s="3" t="n">
        <v>1713000</v>
      </c>
      <c r="G50" s="3" t="n"/>
      <c r="H50" s="3" t="n"/>
    </row>
    <row r="51">
      <c r="A51" t="inlineStr">
        <is>
          <t>Amortization Of Intangibles</t>
        </is>
      </c>
      <c r="B51" s="3" t="n">
        <v>1675000</v>
      </c>
      <c r="C51" s="3" t="n">
        <v>1720000</v>
      </c>
      <c r="D51" s="3" t="n">
        <v>1724000</v>
      </c>
      <c r="E51" s="3" t="n">
        <v>1721000</v>
      </c>
      <c r="F51" s="3" t="n">
        <v>1713000</v>
      </c>
      <c r="G51" s="3" t="n"/>
      <c r="H51" s="3" t="n"/>
    </row>
    <row r="52">
      <c r="A52" t="inlineStr">
        <is>
          <t>Depreciation</t>
        </is>
      </c>
      <c r="B52" s="3" t="n">
        <v>9601000</v>
      </c>
      <c r="C52" s="3" t="n">
        <v>9457000</v>
      </c>
      <c r="D52" s="3" t="n">
        <v>9049000</v>
      </c>
      <c r="E52" s="3" t="n">
        <v>8483000</v>
      </c>
      <c r="F52" s="3" t="n">
        <v>8122000</v>
      </c>
      <c r="G52" s="3" t="n"/>
      <c r="H52" s="3" t="n"/>
    </row>
    <row r="53">
      <c r="A53" t="inlineStr">
        <is>
          <t>Gain Loss On Sale Of Business</t>
        </is>
      </c>
      <c r="B53" s="3" t="n"/>
      <c r="C53" s="3" t="n"/>
      <c r="D53" s="3" t="n"/>
      <c r="E53" s="3" t="n"/>
      <c r="F53" s="3" t="n"/>
      <c r="G53" s="3" t="n">
        <v>0</v>
      </c>
      <c r="H53" s="3" t="n"/>
    </row>
    <row r="54">
      <c r="A54" t="inlineStr">
        <is>
          <t>Net Income From Continuing Operations</t>
        </is>
      </c>
      <c r="B54" s="3" t="n">
        <v>59858000</v>
      </c>
      <c r="C54" s="3" t="n">
        <v>63840000</v>
      </c>
      <c r="D54" s="3" t="n">
        <v>48377000</v>
      </c>
      <c r="E54" s="3" t="n">
        <v>57935000</v>
      </c>
      <c r="F54" s="3" t="n">
        <v>60303000</v>
      </c>
      <c r="G54" s="3" t="n"/>
      <c r="H54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2026-06-20T19:57:24Z</dcterms:created>
  <dcterms:modified xsi:type="dcterms:W3CDTF">2026-06-20T19:57:25Z</dcterms:modified>
</cp:coreProperties>
</file>