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come stmt (annual)" sheetId="2" state="visible" r:id="rId2"/>
    <sheet xmlns:r="http://schemas.openxmlformats.org/officeDocument/2006/relationships" name="Income stmt (quarterly)" sheetId="3" state="visible" r:id="rId3"/>
    <sheet xmlns:r="http://schemas.openxmlformats.org/officeDocument/2006/relationships" name="Balance sheet (annual)" sheetId="4" state="visible" r:id="rId4"/>
    <sheet xmlns:r="http://schemas.openxmlformats.org/officeDocument/2006/relationships" name="Cash flow (annual)" sheetId="5" state="visible" r:id="rId5"/>
    <sheet xmlns:r="http://schemas.openxmlformats.org/officeDocument/2006/relationships" name="Cash flow (quarterly)" sheetId="6" state="visible" r:id="rId6"/>
    <sheet xmlns:r="http://schemas.openxmlformats.org/officeDocument/2006/relationships" name="Data flag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6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Source / formula</t>
        </is>
      </c>
    </row>
    <row r="2">
      <c r="A2" t="inlineStr">
        <is>
          <t>Ticker</t>
        </is>
      </c>
      <c r="B2" t="inlineStr">
        <is>
          <t>HUT</t>
        </is>
      </c>
      <c r="C2" t="inlineStr">
        <is>
          <t>input</t>
        </is>
      </c>
    </row>
    <row r="3">
      <c r="A3" t="inlineStr">
        <is>
          <t>Name</t>
        </is>
      </c>
      <c r="B3" t="inlineStr">
        <is>
          <t>Hut 8 Corp.</t>
        </is>
      </c>
      <c r="C3" t="inlineStr">
        <is>
          <t>yfinance info.longName</t>
        </is>
      </c>
    </row>
    <row r="4">
      <c r="A4" t="inlineStr">
        <is>
          <t>Sector</t>
        </is>
      </c>
      <c r="B4" t="inlineStr">
        <is>
          <t>Financial Services</t>
        </is>
      </c>
      <c r="C4" t="inlineStr">
        <is>
          <t>yfinance info.sector</t>
        </is>
      </c>
    </row>
    <row r="5">
      <c r="A5" t="inlineStr">
        <is>
          <t>Industry</t>
        </is>
      </c>
      <c r="B5" t="inlineStr">
        <is>
          <t>Capital Markets</t>
        </is>
      </c>
      <c r="C5" t="inlineStr">
        <is>
          <t>yfinance info.industry</t>
        </is>
      </c>
    </row>
    <row r="6">
      <c r="A6" t="inlineStr">
        <is>
          <t>Market cap ($)</t>
        </is>
      </c>
      <c r="B6" t="n">
        <v>11537518592</v>
      </c>
      <c r="C6" t="inlineStr">
        <is>
          <t>yfinance info.marketCap</t>
        </is>
      </c>
    </row>
    <row r="7">
      <c r="A7" t="inlineStr">
        <is>
          <t>Enterprise value ($)</t>
        </is>
      </c>
      <c r="B7" t="n">
        <v>12110750720</v>
      </c>
      <c r="C7" t="inlineStr">
        <is>
          <t>yfinance info.enterpriseValue</t>
        </is>
      </c>
    </row>
    <row r="8">
      <c r="A8" t="inlineStr">
        <is>
          <t>Trailing P/E</t>
        </is>
      </c>
      <c r="B8" t="inlineStr">
        <is>
          <t>(missing — see Data flags)</t>
        </is>
      </c>
      <c r="C8" t="inlineStr">
        <is>
          <t>yfinance info.trailingPE</t>
        </is>
      </c>
    </row>
    <row r="9">
      <c r="A9" t="inlineStr">
        <is>
          <t>Forward P/E</t>
        </is>
      </c>
      <c r="B9" t="n">
        <v>-55.165546</v>
      </c>
      <c r="C9" t="inlineStr">
        <is>
          <t>yfinance info.forwardPE</t>
        </is>
      </c>
    </row>
    <row r="10">
      <c r="A10" t="inlineStr">
        <is>
          <t>P/S (TTM)</t>
        </is>
      </c>
      <c r="B10" t="n">
        <v>40.57934</v>
      </c>
      <c r="C10" t="inlineStr">
        <is>
          <t>yfinance</t>
        </is>
      </c>
    </row>
    <row r="11">
      <c r="A11" t="inlineStr">
        <is>
          <t>Gross margin (TTM)</t>
        </is>
      </c>
      <c r="B11" t="n">
        <v>0.59671</v>
      </c>
      <c r="C11" t="inlineStr">
        <is>
          <t>yfinance info.grossMargins</t>
        </is>
      </c>
    </row>
    <row r="12">
      <c r="A12" t="inlineStr">
        <is>
          <t>Operating margin (TTM)</t>
        </is>
      </c>
      <c r="B12" t="n">
        <v>-5.21523</v>
      </c>
      <c r="C12" t="inlineStr">
        <is>
          <t>yfinance info.operatingMargins</t>
        </is>
      </c>
    </row>
    <row r="13">
      <c r="A13" t="inlineStr">
        <is>
          <t>Net margin (TTM)</t>
        </is>
      </c>
      <c r="B13" t="n">
        <v>-1.09774</v>
      </c>
      <c r="C13" t="inlineStr">
        <is>
          <t>yfinance info.profitMargins</t>
        </is>
      </c>
    </row>
    <row r="14">
      <c r="A14" t="inlineStr">
        <is>
          <t>ROE</t>
        </is>
      </c>
      <c r="B14" t="n">
        <v>-0.27396</v>
      </c>
      <c r="C14" t="inlineStr">
        <is>
          <t>yfinance info.returnOnEquity</t>
        </is>
      </c>
    </row>
    <row r="15">
      <c r="A15" t="inlineStr">
        <is>
          <t>Revenue growth (YoY)</t>
        </is>
      </c>
      <c r="B15" t="n">
        <v>2.255</v>
      </c>
      <c r="C15" t="inlineStr">
        <is>
          <t>yfinance info.revenueGrowth</t>
        </is>
      </c>
    </row>
    <row r="16">
      <c r="A16" t="inlineStr">
        <is>
          <t>Total cash ($)</t>
        </is>
      </c>
      <c r="B16" t="n">
        <v>160016000</v>
      </c>
      <c r="C16" t="inlineStr">
        <is>
          <t>yfinance info.totalCash</t>
        </is>
      </c>
    </row>
    <row r="17">
      <c r="A17" t="inlineStr">
        <is>
          <t>Total debt ($)</t>
        </is>
      </c>
      <c r="B17" t="n">
        <v>422911008</v>
      </c>
      <c r="C17" t="inlineStr">
        <is>
          <t>yfinance info.totalDebt</t>
        </is>
      </c>
    </row>
    <row r="18">
      <c r="A18" t="inlineStr">
        <is>
          <t>FCF (TTM, $)</t>
        </is>
      </c>
      <c r="B18" t="n">
        <v>-300598368</v>
      </c>
      <c r="C18" t="inlineStr">
        <is>
          <t>yfinance info.freeCashflow</t>
        </is>
      </c>
    </row>
    <row r="19">
      <c r="A19" t="inlineStr">
        <is>
          <t>Shares outstanding</t>
        </is>
      </c>
      <c r="B19" t="n">
        <v>112594112</v>
      </c>
      <c r="C19" t="inlineStr">
        <is>
          <t>yfinance info.sharesOutstanding</t>
        </is>
      </c>
    </row>
    <row r="20">
      <c r="A20" t="inlineStr">
        <is>
          <t>Current price ($)</t>
        </is>
      </c>
      <c r="B20" t="n">
        <v>102.47</v>
      </c>
      <c r="C20" t="inlineStr">
        <is>
          <t>yfinance info.currentPrice</t>
        </is>
      </c>
    </row>
    <row r="21">
      <c r="A21" t="inlineStr">
        <is>
          <t>FCF yield</t>
        </is>
      </c>
      <c r="B21" s="2">
        <f>IFERROR(B18/B6,"")</f>
        <v/>
      </c>
      <c r="C21">
        <f>B18/B6</f>
        <v/>
      </c>
    </row>
    <row r="22">
      <c r="A22" t="inlineStr">
        <is>
          <t>FCF / EV</t>
        </is>
      </c>
      <c r="B22" s="2">
        <f>IFERROR(B18/B7,"")</f>
        <v/>
      </c>
      <c r="C22">
        <f>B18/B7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2023-06-30</t>
        </is>
      </c>
      <c r="E1" s="1" t="inlineStr">
        <is>
          <t>2022-06-30</t>
        </is>
      </c>
    </row>
    <row r="2">
      <c r="A2" t="inlineStr">
        <is>
          <t>Tax Effect Of Unusual Items</t>
        </is>
      </c>
      <c r="B2" s="3" t="n">
        <v>-27558900</v>
      </c>
      <c r="C2" s="3" t="n">
        <v>125462115</v>
      </c>
      <c r="D2" s="3" t="n">
        <v>-762241.374665</v>
      </c>
      <c r="E2" s="3" t="n">
        <v>-5635986</v>
      </c>
    </row>
    <row r="3">
      <c r="A3" t="inlineStr">
        <is>
          <t>Tax Rate For Calcs</t>
        </is>
      </c>
      <c r="B3" s="3" t="n">
        <v>0.173</v>
      </c>
      <c r="C3" s="3" t="n">
        <v>0.243</v>
      </c>
      <c r="D3" s="3" t="n">
        <v>0.017932</v>
      </c>
      <c r="E3" s="3" t="n">
        <v>0.186</v>
      </c>
    </row>
    <row r="4">
      <c r="A4" t="inlineStr">
        <is>
          <t>Normalized EBITDA</t>
        </is>
      </c>
      <c r="B4" s="3" t="n">
        <v>-5948000</v>
      </c>
      <c r="C4" s="3" t="n">
        <v>14808000</v>
      </c>
      <c r="D4" s="3" t="n">
        <v>22709000</v>
      </c>
      <c r="E4" s="3" t="n">
        <v>22479000</v>
      </c>
    </row>
    <row r="5">
      <c r="A5" t="inlineStr">
        <is>
          <t>Total Unusual Items</t>
        </is>
      </c>
      <c r="B5" s="3" t="n">
        <v>-159300000</v>
      </c>
      <c r="C5" s="3" t="n">
        <v>516305000</v>
      </c>
      <c r="D5" s="3" t="n">
        <v>-42508000</v>
      </c>
      <c r="E5" s="3" t="n">
        <v>-30301000</v>
      </c>
    </row>
    <row r="6">
      <c r="A6" t="inlineStr">
        <is>
          <t>Total Unusual Items Excluding Goodwill</t>
        </is>
      </c>
      <c r="B6" s="3" t="n">
        <v>-159300000</v>
      </c>
      <c r="C6" s="3" t="n">
        <v>516305000</v>
      </c>
      <c r="D6" s="3" t="n">
        <v>-42508000</v>
      </c>
      <c r="E6" s="3" t="n">
        <v>-30301000</v>
      </c>
    </row>
    <row r="7">
      <c r="A7" t="inlineStr">
        <is>
          <t>Net Income From Continuing Operation Net Minority Interest</t>
        </is>
      </c>
      <c r="B7" s="3" t="n">
        <v>-226149000</v>
      </c>
      <c r="C7" s="3" t="n">
        <v>338926000</v>
      </c>
      <c r="D7" s="3" t="n">
        <v>-65611000</v>
      </c>
      <c r="E7" s="3" t="n">
        <v>-31803000</v>
      </c>
    </row>
    <row r="8">
      <c r="A8" t="inlineStr">
        <is>
          <t>Reconciled Depreciation</t>
        </is>
      </c>
      <c r="B8" s="3" t="n">
        <v>104513000</v>
      </c>
      <c r="C8" s="3" t="n">
        <v>49409000</v>
      </c>
      <c r="D8" s="3" t="n">
        <v>19075000</v>
      </c>
      <c r="E8" s="3" t="n">
        <v>11993000</v>
      </c>
    </row>
    <row r="9">
      <c r="A9" t="inlineStr">
        <is>
          <t>Reconciled Cost Of Revenue</t>
        </is>
      </c>
      <c r="B9" s="3" t="n">
        <v>105162000</v>
      </c>
      <c r="C9" s="3" t="n">
        <v>85019000</v>
      </c>
      <c r="D9" s="3" t="n">
        <v>42816000</v>
      </c>
      <c r="E9" s="3" t="n">
        <v>25381000</v>
      </c>
    </row>
    <row r="10">
      <c r="A10" t="inlineStr">
        <is>
          <t>EBITDA</t>
        </is>
      </c>
      <c r="B10" s="3" t="n">
        <v>-165248000</v>
      </c>
      <c r="C10" s="3" t="n">
        <v>531113000</v>
      </c>
      <c r="D10" s="3" t="n">
        <v>-19799000</v>
      </c>
      <c r="E10" s="3" t="n">
        <v>-7822000</v>
      </c>
    </row>
    <row r="11">
      <c r="A11" t="inlineStr">
        <is>
          <t>EBIT</t>
        </is>
      </c>
      <c r="B11" s="3" t="n">
        <v>-269761000</v>
      </c>
      <c r="C11" s="3" t="n">
        <v>481704000</v>
      </c>
      <c r="D11" s="3" t="n">
        <v>-38874000</v>
      </c>
      <c r="E11" s="3" t="n">
        <v>-19815000</v>
      </c>
    </row>
    <row r="12">
      <c r="A12" t="inlineStr">
        <is>
          <t>Net Interest Income</t>
        </is>
      </c>
      <c r="B12" s="3" t="n">
        <v>-30073000</v>
      </c>
      <c r="C12" s="3" t="n">
        <v>-29794000</v>
      </c>
      <c r="D12" s="3" t="n">
        <v>-27935000</v>
      </c>
      <c r="E12" s="3" t="n">
        <v>-6919000</v>
      </c>
    </row>
    <row r="13">
      <c r="A13" t="inlineStr">
        <is>
          <t>Interest Expense</t>
        </is>
      </c>
      <c r="B13" s="3" t="n">
        <v>30073000</v>
      </c>
      <c r="C13" s="3" t="n">
        <v>29794000</v>
      </c>
      <c r="D13" s="3" t="n">
        <v>27935000</v>
      </c>
      <c r="E13" s="3" t="n">
        <v>6919000</v>
      </c>
    </row>
    <row r="14">
      <c r="A14" t="inlineStr">
        <is>
          <t>Normalized Income</t>
        </is>
      </c>
      <c r="B14" s="3" t="n">
        <v>-94407900</v>
      </c>
      <c r="C14" s="3" t="n">
        <v>-51916885</v>
      </c>
      <c r="D14" s="3" t="n">
        <v>-23865241.374665</v>
      </c>
      <c r="E14" s="3" t="n">
        <v>-7137986</v>
      </c>
    </row>
    <row r="15">
      <c r="A15" t="inlineStr">
        <is>
          <t>Net Income From Continuing And Discontinued Operation</t>
        </is>
      </c>
      <c r="B15" s="3" t="n">
        <v>-226149000</v>
      </c>
      <c r="C15" s="3" t="n">
        <v>331882000</v>
      </c>
      <c r="D15" s="3" t="n">
        <v>-65611000</v>
      </c>
      <c r="E15" s="3" t="n">
        <v>-31803000</v>
      </c>
    </row>
    <row r="16">
      <c r="A16" t="inlineStr">
        <is>
          <t>Total Expenses</t>
        </is>
      </c>
      <c r="B16" s="3" t="n">
        <v>332482000</v>
      </c>
      <c r="C16" s="3" t="n">
        <v>207345000</v>
      </c>
      <c r="D16" s="3" t="n">
        <v>89235000</v>
      </c>
      <c r="E16" s="3" t="n">
        <v>68699000</v>
      </c>
    </row>
    <row r="17">
      <c r="A17" t="inlineStr">
        <is>
          <t>Total Operating Income As Reported</t>
        </is>
      </c>
      <c r="B17" s="3" t="n">
        <v>-321994000</v>
      </c>
      <c r="C17" s="3" t="n">
        <v>460539000</v>
      </c>
      <c r="D17" s="3" t="n">
        <v>-68689000</v>
      </c>
      <c r="E17" s="3" t="n">
        <v>-19815000</v>
      </c>
    </row>
    <row r="18">
      <c r="A18" t="inlineStr">
        <is>
          <t>Diluted Average Shares</t>
        </is>
      </c>
      <c r="B18" s="3" t="n">
        <v>105328890</v>
      </c>
      <c r="C18" s="3" t="n">
        <v>101047739</v>
      </c>
      <c r="D18" s="3" t="n">
        <v>88550105</v>
      </c>
      <c r="E18" s="3" t="n">
        <v>88550105</v>
      </c>
    </row>
    <row r="19">
      <c r="A19" t="inlineStr">
        <is>
          <t>Basic Average Shares</t>
        </is>
      </c>
      <c r="B19" s="3" t="n">
        <v>105328890</v>
      </c>
      <c r="C19" s="3" t="n">
        <v>91320744</v>
      </c>
      <c r="D19" s="3" t="n">
        <v>88550105</v>
      </c>
      <c r="E19" s="3" t="n">
        <v>88550105</v>
      </c>
    </row>
    <row r="20">
      <c r="A20" t="inlineStr">
        <is>
          <t>Diluted EPS</t>
        </is>
      </c>
      <c r="B20" s="3" t="n">
        <v>-2.14</v>
      </c>
      <c r="C20" s="3" t="n">
        <v>3.33</v>
      </c>
      <c r="D20" s="3" t="n">
        <v>-0.7409480000000001</v>
      </c>
      <c r="E20" s="3" t="n">
        <v>-0.359153</v>
      </c>
    </row>
    <row r="21">
      <c r="A21" t="inlineStr">
        <is>
          <t>Basic EPS</t>
        </is>
      </c>
      <c r="B21" s="3" t="n">
        <v>-2.14</v>
      </c>
      <c r="C21" s="3" t="n">
        <v>3.63</v>
      </c>
      <c r="D21" s="3" t="n">
        <v>-0.7409480000000001</v>
      </c>
      <c r="E21" s="3" t="n">
        <v>-0.359153</v>
      </c>
    </row>
    <row r="22">
      <c r="A22" t="inlineStr">
        <is>
          <t>Diluted NI Availto Com Stockholders</t>
        </is>
      </c>
      <c r="B22" s="3" t="n">
        <v>-226149000</v>
      </c>
      <c r="C22" s="3" t="n">
        <v>331882000</v>
      </c>
      <c r="D22" s="3" t="n">
        <v>-65611000</v>
      </c>
      <c r="E22" s="3" t="n">
        <v>-31803000</v>
      </c>
    </row>
    <row r="23">
      <c r="A23" t="inlineStr">
        <is>
          <t>Net Income Common Stockholders</t>
        </is>
      </c>
      <c r="B23" s="3" t="n">
        <v>-226149000</v>
      </c>
      <c r="C23" s="3" t="n">
        <v>331882000</v>
      </c>
      <c r="D23" s="3" t="n">
        <v>-65611000</v>
      </c>
      <c r="E23" s="3" t="n">
        <v>-31803000</v>
      </c>
    </row>
    <row r="24">
      <c r="A24" t="inlineStr">
        <is>
          <t>Net Income</t>
        </is>
      </c>
      <c r="B24" s="3" t="n">
        <v>-226149000</v>
      </c>
      <c r="C24" s="3" t="n">
        <v>331882000</v>
      </c>
      <c r="D24" s="3" t="n">
        <v>-65611000</v>
      </c>
      <c r="E24" s="3" t="n">
        <v>-31803000</v>
      </c>
    </row>
    <row r="25">
      <c r="A25" t="inlineStr">
        <is>
          <t>Minority Interests</t>
        </is>
      </c>
      <c r="B25" s="3" t="n">
        <v>21849000</v>
      </c>
      <c r="C25" s="3" t="n">
        <v>473000</v>
      </c>
      <c r="D25" s="3" t="n"/>
      <c r="E25" s="3" t="n"/>
    </row>
    <row r="26">
      <c r="A26" t="inlineStr">
        <is>
          <t>Net Income Including Noncontrolling Interests</t>
        </is>
      </c>
      <c r="B26" s="3" t="n">
        <v>-247998000</v>
      </c>
      <c r="C26" s="3" t="n">
        <v>331409000</v>
      </c>
      <c r="D26" s="3" t="n">
        <v>-65611000</v>
      </c>
      <c r="E26" s="3" t="n">
        <v>-31803000</v>
      </c>
    </row>
    <row r="27">
      <c r="A27" t="inlineStr">
        <is>
          <t>Net Income Discontinuous Operations</t>
        </is>
      </c>
      <c r="B27" s="3" t="n">
        <v>0</v>
      </c>
      <c r="C27" s="3" t="n">
        <v>-7044000</v>
      </c>
      <c r="D27" s="3" t="n"/>
      <c r="E27" s="3" t="n"/>
    </row>
    <row r="28">
      <c r="A28" t="inlineStr">
        <is>
          <t>Net Income Continuous Operations</t>
        </is>
      </c>
      <c r="B28" s="3" t="n">
        <v>-247998000</v>
      </c>
      <c r="C28" s="3" t="n">
        <v>338453000</v>
      </c>
      <c r="D28" s="3" t="n">
        <v>-65611000</v>
      </c>
      <c r="E28" s="3" t="n">
        <v>-31803000</v>
      </c>
    </row>
    <row r="29">
      <c r="A29" t="inlineStr">
        <is>
          <t>Tax Provision</t>
        </is>
      </c>
      <c r="B29" s="3" t="n">
        <v>-51836000</v>
      </c>
      <c r="C29" s="3" t="n">
        <v>113457000</v>
      </c>
      <c r="D29" s="3" t="n">
        <v>-1198000</v>
      </c>
      <c r="E29" s="3" t="n">
        <v>5069000</v>
      </c>
    </row>
    <row r="30">
      <c r="A30" t="inlineStr">
        <is>
          <t>Pretax Income</t>
        </is>
      </c>
      <c r="B30" s="3" t="n">
        <v>-299834000</v>
      </c>
      <c r="C30" s="3" t="n">
        <v>451910000</v>
      </c>
      <c r="D30" s="3" t="n">
        <v>-66809000</v>
      </c>
      <c r="E30" s="3" t="n">
        <v>-26734000</v>
      </c>
    </row>
    <row r="31">
      <c r="A31" t="inlineStr">
        <is>
          <t>Other Income Expense</t>
        </is>
      </c>
      <c r="B31" s="3" t="n">
        <v>-172397000</v>
      </c>
      <c r="C31" s="3" t="n">
        <v>526664000</v>
      </c>
      <c r="D31" s="3" t="n">
        <v>-36376000</v>
      </c>
      <c r="E31" s="3" t="n">
        <v>-30301000</v>
      </c>
    </row>
    <row r="32">
      <c r="A32" t="inlineStr">
        <is>
          <t>Other Non Operating Income Expenses</t>
        </is>
      </c>
      <c r="B32" s="3" t="n">
        <v>-21824000</v>
      </c>
      <c r="C32" s="3" t="n"/>
      <c r="D32" s="3" t="n"/>
      <c r="E32" s="3" t="n"/>
    </row>
    <row r="33">
      <c r="A33" t="inlineStr">
        <is>
          <t>Special Income Charges</t>
        </is>
      </c>
      <c r="B33" s="3" t="n">
        <v>-224630000</v>
      </c>
      <c r="C33" s="3" t="n">
        <v>514525000</v>
      </c>
      <c r="D33" s="3" t="n">
        <v>-42508000</v>
      </c>
      <c r="E33" s="3" t="n">
        <v>-30301000</v>
      </c>
    </row>
    <row r="34">
      <c r="A34" t="inlineStr">
        <is>
          <t>Gain On Sale Of Ppe</t>
        </is>
      </c>
      <c r="B34" s="3" t="n">
        <v>-224630000</v>
      </c>
      <c r="C34" s="3" t="n">
        <v>509971000</v>
      </c>
      <c r="D34" s="3" t="n">
        <v>-445000</v>
      </c>
      <c r="E34" s="3" t="n">
        <v>0</v>
      </c>
    </row>
    <row r="35">
      <c r="A35" t="inlineStr">
        <is>
          <t>Other Special Charges</t>
        </is>
      </c>
      <c r="B35" s="3" t="n"/>
      <c r="C35" s="3" t="n">
        <v>-5966000</v>
      </c>
      <c r="D35" s="3" t="n">
        <v>-25214000</v>
      </c>
      <c r="E35" s="3" t="n"/>
    </row>
    <row r="36">
      <c r="A36" t="inlineStr">
        <is>
          <t>Write Off</t>
        </is>
      </c>
      <c r="B36" s="3" t="n">
        <v>0</v>
      </c>
      <c r="C36" s="3" t="n">
        <v>4472000</v>
      </c>
      <c r="D36" s="3" t="n">
        <v>3703000</v>
      </c>
      <c r="E36" s="3" t="n">
        <v>30301000</v>
      </c>
    </row>
    <row r="37">
      <c r="A37" t="inlineStr">
        <is>
          <t>Impairment Of Capital Assets</t>
        </is>
      </c>
      <c r="B37" s="3" t="n"/>
      <c r="C37" s="3" t="n"/>
      <c r="D37" s="3" t="n">
        <v>63574000</v>
      </c>
      <c r="E37" s="3" t="n">
        <v>0</v>
      </c>
    </row>
    <row r="38">
      <c r="A38" t="inlineStr">
        <is>
          <t>Restructuring And Mergern Acquisition</t>
        </is>
      </c>
      <c r="B38" s="3" t="n">
        <v>0</v>
      </c>
      <c r="C38" s="3" t="n">
        <v>-3060000</v>
      </c>
      <c r="D38" s="3" t="n"/>
      <c r="E38" s="3" t="n"/>
    </row>
    <row r="39">
      <c r="A39" t="inlineStr">
        <is>
          <t>Earnings From Equity Interest</t>
        </is>
      </c>
      <c r="B39" s="3" t="n">
        <v>8727000</v>
      </c>
      <c r="C39" s="3" t="n">
        <v>10359000</v>
      </c>
      <c r="D39" s="3" t="n">
        <v>6132000</v>
      </c>
      <c r="E39" s="3" t="n">
        <v>0</v>
      </c>
    </row>
    <row r="40">
      <c r="A40" t="inlineStr">
        <is>
          <t>Gain On Sale Of Security</t>
        </is>
      </c>
      <c r="B40" s="3" t="n">
        <v>65330000</v>
      </c>
      <c r="C40" s="3" t="n">
        <v>1780000</v>
      </c>
      <c r="D40" s="3" t="n">
        <v>4577000</v>
      </c>
      <c r="E40" s="3" t="n">
        <v>5455000</v>
      </c>
    </row>
    <row r="41">
      <c r="A41" t="inlineStr">
        <is>
          <t>Net Non Operating Interest Income Expense</t>
        </is>
      </c>
      <c r="B41" s="3" t="n">
        <v>-30073000</v>
      </c>
      <c r="C41" s="3" t="n">
        <v>-29794000</v>
      </c>
      <c r="D41" s="3" t="n">
        <v>-27935000</v>
      </c>
      <c r="E41" s="3" t="n">
        <v>-6919000</v>
      </c>
    </row>
    <row r="42">
      <c r="A42" t="inlineStr">
        <is>
          <t>Interest Expense Non Operating</t>
        </is>
      </c>
      <c r="B42" s="3" t="n">
        <v>30073000</v>
      </c>
      <c r="C42" s="3" t="n">
        <v>29794000</v>
      </c>
      <c r="D42" s="3" t="n">
        <v>27935000</v>
      </c>
      <c r="E42" s="3" t="n">
        <v>6919000</v>
      </c>
    </row>
    <row r="43">
      <c r="A43" t="inlineStr">
        <is>
          <t>Operating Income</t>
        </is>
      </c>
      <c r="B43" s="3" t="n">
        <v>-97364000</v>
      </c>
      <c r="C43" s="3" t="n">
        <v>-44960000</v>
      </c>
      <c r="D43" s="3" t="n">
        <v>-2498000</v>
      </c>
      <c r="E43" s="3" t="n">
        <v>10486000</v>
      </c>
    </row>
    <row r="44">
      <c r="A44" t="inlineStr">
        <is>
          <t>Operating Expense</t>
        </is>
      </c>
      <c r="B44" s="3" t="n">
        <v>224708000</v>
      </c>
      <c r="C44" s="3" t="n">
        <v>120690000</v>
      </c>
      <c r="D44" s="3" t="n">
        <v>46123000</v>
      </c>
      <c r="E44" s="3" t="n">
        <v>42916000</v>
      </c>
    </row>
    <row r="45">
      <c r="A45" t="inlineStr">
        <is>
          <t>Depreciation Amortization Depletion Income Statement</t>
        </is>
      </c>
      <c r="B45" s="3" t="n">
        <v>101901000</v>
      </c>
      <c r="C45" s="3" t="n">
        <v>47773000</v>
      </c>
      <c r="D45" s="3" t="n">
        <v>18779000</v>
      </c>
      <c r="E45" s="3" t="n">
        <v>11591000</v>
      </c>
    </row>
    <row r="46">
      <c r="A46" t="inlineStr">
        <is>
          <t>Depreciation And Amortization In Income Statement</t>
        </is>
      </c>
      <c r="B46" s="3" t="n">
        <v>101901000</v>
      </c>
      <c r="C46" s="3" t="n">
        <v>47773000</v>
      </c>
      <c r="D46" s="3" t="n">
        <v>18779000</v>
      </c>
      <c r="E46" s="3" t="n">
        <v>11591000</v>
      </c>
    </row>
    <row r="47">
      <c r="A47" t="inlineStr">
        <is>
          <t>Selling General And Administration</t>
        </is>
      </c>
      <c r="B47" s="3" t="n">
        <v>122807000</v>
      </c>
      <c r="C47" s="3" t="n">
        <v>72917000</v>
      </c>
      <c r="D47" s="3" t="n">
        <v>27344000</v>
      </c>
      <c r="E47" s="3" t="n">
        <v>31325000</v>
      </c>
    </row>
    <row r="48">
      <c r="A48" t="inlineStr">
        <is>
          <t>General And Administrative Expense</t>
        </is>
      </c>
      <c r="B48" s="3" t="n">
        <v>122807000</v>
      </c>
      <c r="C48" s="3" t="n">
        <v>72917000</v>
      </c>
      <c r="D48" s="3" t="n">
        <v>27344000</v>
      </c>
      <c r="E48" s="3" t="n">
        <v>31325000</v>
      </c>
    </row>
    <row r="49">
      <c r="A49" t="inlineStr">
        <is>
          <t>Other Gand A</t>
        </is>
      </c>
      <c r="B49" s="3" t="n">
        <v>122807000</v>
      </c>
      <c r="C49" s="3" t="n">
        <v>72917000</v>
      </c>
      <c r="D49" s="3" t="n">
        <v>27344000</v>
      </c>
      <c r="E49" s="3" t="n">
        <v>31325000</v>
      </c>
    </row>
    <row r="50">
      <c r="A50" t="inlineStr">
        <is>
          <t>Gross Profit</t>
        </is>
      </c>
      <c r="B50" s="3" t="n">
        <v>127344000</v>
      </c>
      <c r="C50" s="3" t="n">
        <v>75730000</v>
      </c>
      <c r="D50" s="3" t="n">
        <v>43625000</v>
      </c>
      <c r="E50" s="3" t="n">
        <v>53402000</v>
      </c>
    </row>
    <row r="51">
      <c r="A51" t="inlineStr">
        <is>
          <t>Cost Of Revenue</t>
        </is>
      </c>
      <c r="B51" s="3" t="n">
        <v>107774000</v>
      </c>
      <c r="C51" s="3" t="n">
        <v>86655000</v>
      </c>
      <c r="D51" s="3" t="n">
        <v>43112000</v>
      </c>
      <c r="E51" s="3" t="n">
        <v>25783000</v>
      </c>
    </row>
    <row r="52">
      <c r="A52" t="inlineStr">
        <is>
          <t>Total Revenue</t>
        </is>
      </c>
      <c r="B52" s="3" t="n">
        <v>235118000</v>
      </c>
      <c r="C52" s="3" t="n">
        <v>162385000</v>
      </c>
      <c r="D52" s="3" t="n">
        <v>86737000</v>
      </c>
      <c r="E52" s="3" t="n">
        <v>79185000</v>
      </c>
    </row>
    <row r="53">
      <c r="A53" t="inlineStr">
        <is>
          <t>Operating Revenue</t>
        </is>
      </c>
      <c r="B53" s="3" t="n">
        <v>235118000</v>
      </c>
      <c r="C53" s="3" t="n">
        <v>154785000</v>
      </c>
      <c r="D53" s="3" t="n">
        <v>66622000</v>
      </c>
      <c r="E53" s="3" t="n">
        <v>73619000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  <c r="H1" s="1" t="inlineStr">
        <is>
          <t>2024-09-30</t>
        </is>
      </c>
    </row>
    <row r="2">
      <c r="A2" t="inlineStr">
        <is>
          <t>Tax Effect Of Unusual Items</t>
        </is>
      </c>
      <c r="B2" s="3" t="n">
        <v>-36274275.697918</v>
      </c>
      <c r="C2" s="3" t="n">
        <v>-71379981.536745</v>
      </c>
      <c r="D2" s="3" t="n">
        <v>21502845</v>
      </c>
      <c r="E2" s="3" t="n">
        <v>33844721</v>
      </c>
      <c r="F2" s="3" t="n">
        <v>-12288093.014677</v>
      </c>
      <c r="G2" s="3" t="n"/>
      <c r="H2" s="3" t="n"/>
    </row>
    <row r="3">
      <c r="A3" t="inlineStr">
        <is>
          <t>Tax Rate For Calcs</t>
        </is>
      </c>
      <c r="B3" s="3" t="n">
        <v>0.162018</v>
      </c>
      <c r="C3" s="3" t="n">
        <v>0.205854</v>
      </c>
      <c r="D3" s="3" t="n">
        <v>0.273</v>
      </c>
      <c r="E3" s="3" t="n">
        <v>0.167</v>
      </c>
      <c r="F3" s="3" t="n">
        <v>0.130756</v>
      </c>
      <c r="G3" s="3" t="n"/>
      <c r="H3" s="3" t="n"/>
    </row>
    <row r="4">
      <c r="A4" t="inlineStr">
        <is>
          <t>Normalized EBITDA</t>
        </is>
      </c>
      <c r="B4" s="3" t="n">
        <v>-29823000</v>
      </c>
      <c r="C4" s="3" t="n">
        <v>12773000</v>
      </c>
      <c r="D4" s="3" t="n">
        <v>27949000</v>
      </c>
      <c r="E4" s="3" t="n">
        <v>-9100000</v>
      </c>
      <c r="F4" s="3" t="n">
        <v>-37570000</v>
      </c>
      <c r="G4" s="3" t="n"/>
      <c r="H4" s="3" t="n"/>
    </row>
    <row r="5">
      <c r="A5" t="inlineStr">
        <is>
          <t>Total Unusual Items</t>
        </is>
      </c>
      <c r="B5" s="3" t="n">
        <v>-223890000</v>
      </c>
      <c r="C5" s="3" t="n">
        <v>-346751000</v>
      </c>
      <c r="D5" s="3" t="n">
        <v>78765000</v>
      </c>
      <c r="E5" s="3" t="n">
        <v>202663000</v>
      </c>
      <c r="F5" s="3" t="n">
        <v>-93977000</v>
      </c>
      <c r="G5" s="3" t="n"/>
      <c r="H5" s="3" t="n"/>
    </row>
    <row r="6">
      <c r="A6" t="inlineStr">
        <is>
          <t>Total Unusual Items Excluding Goodwill</t>
        </is>
      </c>
      <c r="B6" s="3" t="n">
        <v>-223890000</v>
      </c>
      <c r="C6" s="3" t="n">
        <v>-346751000</v>
      </c>
      <c r="D6" s="3" t="n">
        <v>78765000</v>
      </c>
      <c r="E6" s="3" t="n">
        <v>202663000</v>
      </c>
      <c r="F6" s="3" t="n">
        <v>-93977000</v>
      </c>
      <c r="G6" s="3" t="n"/>
      <c r="H6" s="3" t="n"/>
    </row>
    <row r="7">
      <c r="A7" t="inlineStr">
        <is>
          <t>Net Income From Continuing Operation Net Minority Interest</t>
        </is>
      </c>
      <c r="B7" s="3" t="n">
        <v>-219849000</v>
      </c>
      <c r="C7" s="3" t="n">
        <v>-279681000</v>
      </c>
      <c r="D7" s="3" t="n">
        <v>50109000</v>
      </c>
      <c r="E7" s="3" t="n">
        <v>137312000</v>
      </c>
      <c r="F7" s="3" t="n">
        <v>-133889000</v>
      </c>
      <c r="G7" s="3" t="n"/>
      <c r="H7" s="3" t="n"/>
    </row>
    <row r="8">
      <c r="A8" t="inlineStr">
        <is>
          <t>Reconciled Depreciation</t>
        </is>
      </c>
      <c r="B8" s="3" t="n">
        <v>39121000</v>
      </c>
      <c r="C8" s="3" t="n">
        <v>40428000</v>
      </c>
      <c r="D8" s="3" t="n">
        <v>28467000</v>
      </c>
      <c r="E8" s="3" t="n">
        <v>20110000</v>
      </c>
      <c r="F8" s="3" t="n">
        <v>15508000</v>
      </c>
      <c r="G8" s="3" t="n"/>
      <c r="H8" s="3" t="n"/>
    </row>
    <row r="9">
      <c r="A9" t="inlineStr">
        <is>
          <t>Reconciled Cost Of Revenue</t>
        </is>
      </c>
      <c r="B9" s="3" t="n">
        <v>24869000</v>
      </c>
      <c r="C9" s="3" t="n">
        <v>34330000</v>
      </c>
      <c r="D9" s="3" t="n">
        <v>31658000</v>
      </c>
      <c r="E9" s="3" t="n">
        <v>21124000</v>
      </c>
      <c r="F9" s="3" t="n">
        <v>18050000</v>
      </c>
      <c r="G9" s="3" t="n"/>
      <c r="H9" s="3" t="n"/>
    </row>
    <row r="10">
      <c r="A10" t="inlineStr">
        <is>
          <t>EBITDA</t>
        </is>
      </c>
      <c r="B10" s="3" t="n">
        <v>-253713000</v>
      </c>
      <c r="C10" s="3" t="n">
        <v>-333978000</v>
      </c>
      <c r="D10" s="3" t="n">
        <v>106714000</v>
      </c>
      <c r="E10" s="3" t="n">
        <v>193563000</v>
      </c>
      <c r="F10" s="3" t="n">
        <v>-131547000</v>
      </c>
      <c r="G10" s="3" t="n"/>
      <c r="H10" s="3" t="n"/>
    </row>
    <row r="11">
      <c r="A11" t="inlineStr">
        <is>
          <t>EBIT</t>
        </is>
      </c>
      <c r="B11" s="3" t="n">
        <v>-292834000</v>
      </c>
      <c r="C11" s="3" t="n">
        <v>-374406000</v>
      </c>
      <c r="D11" s="3" t="n">
        <v>78247000</v>
      </c>
      <c r="E11" s="3" t="n">
        <v>173453000</v>
      </c>
      <c r="F11" s="3" t="n">
        <v>-147055000</v>
      </c>
      <c r="G11" s="3" t="n"/>
      <c r="H11" s="3" t="n"/>
    </row>
    <row r="12">
      <c r="A12" t="inlineStr">
        <is>
          <t>Net Interest Income</t>
        </is>
      </c>
      <c r="B12" s="3" t="n">
        <v>-9243000</v>
      </c>
      <c r="C12" s="3" t="n">
        <v>-5592000</v>
      </c>
      <c r="D12" s="3" t="n">
        <v>-8616000</v>
      </c>
      <c r="E12" s="3" t="n">
        <v>-8396000</v>
      </c>
      <c r="F12" s="3" t="n">
        <v>-7469000</v>
      </c>
      <c r="G12" s="3" t="n"/>
      <c r="H12" s="3" t="n"/>
    </row>
    <row r="13">
      <c r="A13" t="inlineStr">
        <is>
          <t>Interest Expense</t>
        </is>
      </c>
      <c r="B13" s="3" t="n">
        <v>9243000</v>
      </c>
      <c r="C13" s="3" t="n">
        <v>5592000</v>
      </c>
      <c r="D13" s="3" t="n">
        <v>8616000</v>
      </c>
      <c r="E13" s="3" t="n">
        <v>8396000</v>
      </c>
      <c r="F13" s="3" t="n">
        <v>7469000</v>
      </c>
      <c r="G13" s="3" t="n"/>
      <c r="H13" s="3" t="n"/>
    </row>
    <row r="14">
      <c r="A14" t="inlineStr">
        <is>
          <t>Normalized Income</t>
        </is>
      </c>
      <c r="B14" s="3" t="n">
        <v>-32233275.697918</v>
      </c>
      <c r="C14" s="3" t="n">
        <v>-4309981.536745</v>
      </c>
      <c r="D14" s="3" t="n">
        <v>-7153155</v>
      </c>
      <c r="E14" s="3" t="n">
        <v>-31506279</v>
      </c>
      <c r="F14" s="3" t="n">
        <v>-52200093.014677</v>
      </c>
      <c r="G14" s="3" t="n"/>
      <c r="H14" s="3" t="n"/>
    </row>
    <row r="15">
      <c r="A15" t="inlineStr">
        <is>
          <t>Net Income From Continuing And Discontinued Operation</t>
        </is>
      </c>
      <c r="B15" s="3" t="n">
        <v>-219849000</v>
      </c>
      <c r="C15" s="3" t="n">
        <v>-279681000</v>
      </c>
      <c r="D15" s="3" t="n">
        <v>50109000</v>
      </c>
      <c r="E15" s="3" t="n">
        <v>137312000</v>
      </c>
      <c r="F15" s="3" t="n">
        <v>-133889000</v>
      </c>
      <c r="G15" s="3" t="n"/>
      <c r="H15" s="3" t="n"/>
    </row>
    <row r="16">
      <c r="A16" t="inlineStr">
        <is>
          <t>Total Expenses</t>
        </is>
      </c>
      <c r="B16" s="3" t="n">
        <v>145730000</v>
      </c>
      <c r="C16" s="3" t="n">
        <v>120490000</v>
      </c>
      <c r="D16" s="3" t="n">
        <v>85983000</v>
      </c>
      <c r="E16" s="3" t="n">
        <v>71392000</v>
      </c>
      <c r="F16" s="3" t="n">
        <v>54617000</v>
      </c>
      <c r="G16" s="3" t="n"/>
      <c r="H16" s="3" t="n"/>
    </row>
    <row r="17">
      <c r="A17" t="inlineStr">
        <is>
          <t>Total Operating Income As Reported</t>
        </is>
      </c>
      <c r="B17" s="3" t="n">
        <v>-370370000</v>
      </c>
      <c r="C17" s="3" t="n">
        <v>-434858000</v>
      </c>
      <c r="D17" s="3" t="n">
        <v>72655000</v>
      </c>
      <c r="E17" s="3" t="n">
        <v>187859000</v>
      </c>
      <c r="F17" s="3" t="n">
        <v>-147650000</v>
      </c>
      <c r="G17" s="3" t="n"/>
      <c r="H17" s="3" t="n"/>
    </row>
    <row r="18">
      <c r="A18" t="inlineStr">
        <is>
          <t>Diluted Average Shares</t>
        </is>
      </c>
      <c r="B18" s="3" t="n">
        <v>111064728</v>
      </c>
      <c r="C18" s="3" t="n">
        <v>110091358</v>
      </c>
      <c r="D18" s="3" t="n">
        <v>121761796</v>
      </c>
      <c r="E18" s="3" t="n">
        <v>119018761</v>
      </c>
      <c r="F18" s="3" t="n">
        <v>102854747</v>
      </c>
      <c r="G18" s="3" t="n"/>
      <c r="H18" s="3" t="n"/>
    </row>
    <row r="19">
      <c r="A19" t="inlineStr">
        <is>
          <t>Basic Average Shares</t>
        </is>
      </c>
      <c r="B19" s="3" t="n">
        <v>111064728</v>
      </c>
      <c r="C19" s="3" t="n">
        <v>110091358</v>
      </c>
      <c r="D19" s="3" t="n">
        <v>105565856</v>
      </c>
      <c r="E19" s="3" t="n">
        <v>104246041</v>
      </c>
      <c r="F19" s="3" t="n">
        <v>102854747</v>
      </c>
      <c r="G19" s="3" t="n"/>
      <c r="H19" s="3" t="n"/>
    </row>
    <row r="20">
      <c r="A20" t="inlineStr">
        <is>
          <t>Diluted EPS</t>
        </is>
      </c>
      <c r="B20" s="3" t="n">
        <v>-1.98</v>
      </c>
      <c r="C20" s="3" t="n">
        <v>-2.540445</v>
      </c>
      <c r="D20" s="3" t="n">
        <v>0.43</v>
      </c>
      <c r="E20" s="3" t="n">
        <v>1.18</v>
      </c>
      <c r="F20" s="3" t="n">
        <v>-1.3</v>
      </c>
      <c r="G20" s="3" t="n"/>
      <c r="H20" s="3" t="n"/>
    </row>
    <row r="21">
      <c r="A21" t="inlineStr">
        <is>
          <t>Basic EPS</t>
        </is>
      </c>
      <c r="B21" s="3" t="n">
        <v>-1.98</v>
      </c>
      <c r="C21" s="3" t="n">
        <v>-2.540445</v>
      </c>
      <c r="D21" s="3" t="n">
        <v>0.48</v>
      </c>
      <c r="E21" s="3" t="n">
        <v>1.32</v>
      </c>
      <c r="F21" s="3" t="n">
        <v>-1.3</v>
      </c>
      <c r="G21" s="3" t="n"/>
      <c r="H21" s="3" t="n"/>
    </row>
    <row r="22">
      <c r="A22" t="inlineStr">
        <is>
          <t>Diluted NI Availto Com Stockholders</t>
        </is>
      </c>
      <c r="B22" s="3" t="n">
        <v>-219849000</v>
      </c>
      <c r="C22" s="3" t="n">
        <v>-279681000</v>
      </c>
      <c r="D22" s="3" t="n">
        <v>50109000</v>
      </c>
      <c r="E22" s="3" t="n">
        <v>139873000</v>
      </c>
      <c r="F22" s="3" t="n">
        <v>-133889000</v>
      </c>
      <c r="G22" s="3" t="n"/>
      <c r="H22" s="3" t="n"/>
    </row>
    <row r="23">
      <c r="A23" t="inlineStr">
        <is>
          <t>Average Dilution Earnings</t>
        </is>
      </c>
      <c r="B23" s="3" t="n"/>
      <c r="C23" s="3" t="n"/>
      <c r="D23" s="3" t="n"/>
      <c r="E23" s="3" t="n">
        <v>2366000</v>
      </c>
      <c r="F23" s="3" t="n"/>
      <c r="G23" s="3" t="n"/>
      <c r="H23" s="3" t="n"/>
    </row>
    <row r="24">
      <c r="A24" t="inlineStr">
        <is>
          <t>Net Income Common Stockholders</t>
        </is>
      </c>
      <c r="B24" s="3" t="n">
        <v>-219849000</v>
      </c>
      <c r="C24" s="3" t="n">
        <v>-279681000</v>
      </c>
      <c r="D24" s="3" t="n">
        <v>50109000</v>
      </c>
      <c r="E24" s="3" t="n">
        <v>137507000</v>
      </c>
      <c r="F24" s="3" t="n">
        <v>-133889000</v>
      </c>
      <c r="G24" s="3" t="n"/>
      <c r="H24" s="3" t="n"/>
    </row>
    <row r="25">
      <c r="A25" t="inlineStr">
        <is>
          <t>Otherunder Preferred Stock Dividend</t>
        </is>
      </c>
      <c r="B25" s="3" t="n"/>
      <c r="C25" s="3" t="n"/>
      <c r="D25" s="3" t="n"/>
      <c r="E25" s="3" t="n">
        <v>-195000</v>
      </c>
      <c r="F25" s="3" t="n"/>
      <c r="G25" s="3" t="n"/>
      <c r="H25" s="3" t="n"/>
    </row>
    <row r="26">
      <c r="A26" t="inlineStr">
        <is>
          <t>Net Income</t>
        </is>
      </c>
      <c r="B26" s="3" t="n">
        <v>-219849000</v>
      </c>
      <c r="C26" s="3" t="n">
        <v>-279681000</v>
      </c>
      <c r="D26" s="3" t="n">
        <v>50109000</v>
      </c>
      <c r="E26" s="3" t="n">
        <v>137312000</v>
      </c>
      <c r="F26" s="3" t="n">
        <v>-133889000</v>
      </c>
      <c r="G26" s="3" t="n"/>
      <c r="H26" s="3" t="n"/>
    </row>
    <row r="27">
      <c r="A27" t="inlineStr">
        <is>
          <t>Minority Interests</t>
        </is>
      </c>
      <c r="B27" s="3" t="n">
        <v>33286000</v>
      </c>
      <c r="C27" s="3" t="n">
        <v>22093000</v>
      </c>
      <c r="D27" s="3" t="n">
        <v>-503000</v>
      </c>
      <c r="E27" s="3" t="n">
        <v>-171000</v>
      </c>
      <c r="F27" s="3" t="n">
        <v>430000</v>
      </c>
      <c r="G27" s="3" t="n"/>
      <c r="H27" s="3" t="n"/>
    </row>
    <row r="28">
      <c r="A28" t="inlineStr">
        <is>
          <t>Net Income Including Noncontrolling Interests</t>
        </is>
      </c>
      <c r="B28" s="3" t="n">
        <v>-253135000</v>
      </c>
      <c r="C28" s="3" t="n">
        <v>-301774000</v>
      </c>
      <c r="D28" s="3" t="n">
        <v>50612000</v>
      </c>
      <c r="E28" s="3" t="n">
        <v>137483000</v>
      </c>
      <c r="F28" s="3" t="n">
        <v>-134319000</v>
      </c>
      <c r="G28" s="3" t="n"/>
      <c r="H28" s="3" t="n"/>
    </row>
    <row r="29">
      <c r="A29" t="inlineStr">
        <is>
          <t>Net Income Discontinuous Operations</t>
        </is>
      </c>
      <c r="B29" s="3" t="n"/>
      <c r="C29" s="3" t="n">
        <v>0</v>
      </c>
      <c r="D29" s="3" t="n">
        <v>0</v>
      </c>
      <c r="E29" s="3" t="n">
        <v>0</v>
      </c>
      <c r="F29" s="3" t="n">
        <v>0</v>
      </c>
      <c r="G29" s="3" t="n">
        <v>2320000</v>
      </c>
      <c r="H29" s="3" t="n"/>
    </row>
    <row r="30">
      <c r="A30" t="inlineStr">
        <is>
          <t>Net Income Continuous Operations</t>
        </is>
      </c>
      <c r="B30" s="3" t="n">
        <v>-253135000</v>
      </c>
      <c r="C30" s="3" t="n">
        <v>-301774000</v>
      </c>
      <c r="D30" s="3" t="n">
        <v>50612000</v>
      </c>
      <c r="E30" s="3" t="n">
        <v>137483000</v>
      </c>
      <c r="F30" s="3" t="n">
        <v>-134319000</v>
      </c>
      <c r="G30" s="3" t="n"/>
      <c r="H30" s="3" t="n"/>
    </row>
    <row r="31">
      <c r="A31" t="inlineStr">
        <is>
          <t>Tax Provision</t>
        </is>
      </c>
      <c r="B31" s="3" t="n">
        <v>-48942000</v>
      </c>
      <c r="C31" s="3" t="n">
        <v>-78224000</v>
      </c>
      <c r="D31" s="3" t="n">
        <v>19019000</v>
      </c>
      <c r="E31" s="3" t="n">
        <v>27574000</v>
      </c>
      <c r="F31" s="3" t="n">
        <v>-20205000</v>
      </c>
      <c r="G31" s="3" t="n"/>
      <c r="H31" s="3" t="n"/>
    </row>
    <row r="32">
      <c r="A32" t="inlineStr">
        <is>
          <t>Pretax Income</t>
        </is>
      </c>
      <c r="B32" s="3" t="n">
        <v>-302077000</v>
      </c>
      <c r="C32" s="3" t="n">
        <v>-379998000</v>
      </c>
      <c r="D32" s="3" t="n">
        <v>69631000</v>
      </c>
      <c r="E32" s="3" t="n">
        <v>165057000</v>
      </c>
      <c r="F32" s="3" t="n">
        <v>-154524000</v>
      </c>
      <c r="G32" s="3" t="n"/>
      <c r="H32" s="3" t="n"/>
    </row>
    <row r="33">
      <c r="A33" t="inlineStr">
        <is>
          <t>Other Income Expense</t>
        </is>
      </c>
      <c r="B33" s="3" t="n">
        <v>-218121000</v>
      </c>
      <c r="C33" s="3" t="n">
        <v>-342410000</v>
      </c>
      <c r="D33" s="3" t="n">
        <v>80720000</v>
      </c>
      <c r="E33" s="3" t="n">
        <v>203546000</v>
      </c>
      <c r="F33" s="3" t="n">
        <v>-114253000</v>
      </c>
      <c r="G33" s="3" t="n"/>
      <c r="H33" s="3" t="n"/>
    </row>
    <row r="34">
      <c r="A34" t="inlineStr">
        <is>
          <t>Other Non Operating Income Expenses</t>
        </is>
      </c>
      <c r="B34" s="3" t="n">
        <v>-661000</v>
      </c>
      <c r="C34" s="3" t="n">
        <v>235000</v>
      </c>
      <c r="D34" s="3" t="n">
        <v>-237000</v>
      </c>
      <c r="E34" s="3" t="n">
        <v>-181000</v>
      </c>
      <c r="F34" s="3" t="n">
        <v>-21641000</v>
      </c>
      <c r="G34" s="3" t="n"/>
      <c r="H34" s="3" t="n"/>
    </row>
    <row r="35">
      <c r="A35" t="inlineStr">
        <is>
          <t>Special Income Charges</t>
        </is>
      </c>
      <c r="B35" s="3" t="n">
        <v>-262056000</v>
      </c>
      <c r="C35" s="3" t="n">
        <v>-402862000</v>
      </c>
      <c r="D35" s="3" t="n">
        <v>75128000</v>
      </c>
      <c r="E35" s="3" t="n">
        <v>217952000</v>
      </c>
      <c r="F35" s="3" t="n">
        <v>-114848000</v>
      </c>
      <c r="G35" s="3" t="n"/>
      <c r="H35" s="3" t="n"/>
    </row>
    <row r="36">
      <c r="A36" t="inlineStr">
        <is>
          <t>Gain On Sale Of Ppe</t>
        </is>
      </c>
      <c r="B36" s="3" t="n">
        <v>-295657000</v>
      </c>
      <c r="C36" s="3" t="n">
        <v>-402862000</v>
      </c>
      <c r="D36" s="3" t="n">
        <v>75128000</v>
      </c>
      <c r="E36" s="3" t="n">
        <v>217952000</v>
      </c>
      <c r="F36" s="3" t="n">
        <v>-114848000</v>
      </c>
      <c r="G36" s="3" t="n"/>
      <c r="H36" s="3" t="n"/>
    </row>
    <row r="37">
      <c r="A37" t="inlineStr">
        <is>
          <t>Other Special Charges</t>
        </is>
      </c>
      <c r="B37" s="3" t="n"/>
      <c r="C37" s="3" t="n"/>
      <c r="D37" s="3" t="n"/>
      <c r="E37" s="3" t="n"/>
      <c r="F37" s="3" t="n"/>
      <c r="G37" s="3" t="n">
        <v>0</v>
      </c>
      <c r="H37" s="3" t="n">
        <v>-5966000</v>
      </c>
    </row>
    <row r="38">
      <c r="A38" t="inlineStr">
        <is>
          <t>Write Off</t>
        </is>
      </c>
      <c r="B38" s="3" t="n"/>
      <c r="C38" s="3" t="n"/>
      <c r="D38" s="3" t="n"/>
      <c r="E38" s="3" t="n"/>
      <c r="F38" s="3" t="n"/>
      <c r="G38" s="3" t="n">
        <v>4472000</v>
      </c>
      <c r="H38" s="3" t="n">
        <v>0</v>
      </c>
    </row>
    <row r="39">
      <c r="A39" t="inlineStr">
        <is>
          <t>Restructuring And Mergern Acquisition</t>
        </is>
      </c>
      <c r="B39" s="3" t="n">
        <v>-33601000</v>
      </c>
      <c r="C39" s="3" t="n"/>
      <c r="D39" s="3" t="n"/>
      <c r="E39" s="3" t="n"/>
      <c r="F39" s="3" t="n">
        <v>0</v>
      </c>
      <c r="G39" s="3" t="n"/>
      <c r="H39" s="3" t="n"/>
    </row>
    <row r="40">
      <c r="A40" t="inlineStr">
        <is>
          <t>Earnings From Equity Interest</t>
        </is>
      </c>
      <c r="B40" s="3" t="n">
        <v>6430000</v>
      </c>
      <c r="C40" s="3" t="n">
        <v>4106000</v>
      </c>
      <c r="D40" s="3" t="n">
        <v>2192000</v>
      </c>
      <c r="E40" s="3" t="n">
        <v>1064000</v>
      </c>
      <c r="F40" s="3" t="n">
        <v>1365000</v>
      </c>
      <c r="G40" s="3" t="n"/>
      <c r="H40" s="3" t="n"/>
    </row>
    <row r="41">
      <c r="A41" t="inlineStr">
        <is>
          <t>Gain On Sale Of Security</t>
        </is>
      </c>
      <c r="B41" s="3" t="n">
        <v>38166000</v>
      </c>
      <c r="C41" s="3" t="n">
        <v>56111000</v>
      </c>
      <c r="D41" s="3" t="n">
        <v>3637000</v>
      </c>
      <c r="E41" s="3" t="n">
        <v>-15289000</v>
      </c>
      <c r="F41" s="3" t="n">
        <v>20871000</v>
      </c>
      <c r="G41" s="3" t="n"/>
      <c r="H41" s="3" t="n"/>
    </row>
    <row r="42">
      <c r="A42" t="inlineStr">
        <is>
          <t>Net Non Operating Interest Income Expense</t>
        </is>
      </c>
      <c r="B42" s="3" t="n">
        <v>-9243000</v>
      </c>
      <c r="C42" s="3" t="n">
        <v>-5592000</v>
      </c>
      <c r="D42" s="3" t="n">
        <v>-8616000</v>
      </c>
      <c r="E42" s="3" t="n">
        <v>-8396000</v>
      </c>
      <c r="F42" s="3" t="n">
        <v>-7469000</v>
      </c>
      <c r="G42" s="3" t="n"/>
      <c r="H42" s="3" t="n"/>
    </row>
    <row r="43">
      <c r="A43" t="inlineStr">
        <is>
          <t>Interest Expense Non Operating</t>
        </is>
      </c>
      <c r="B43" s="3" t="n">
        <v>9243000</v>
      </c>
      <c r="C43" s="3" t="n">
        <v>5592000</v>
      </c>
      <c r="D43" s="3" t="n">
        <v>8616000</v>
      </c>
      <c r="E43" s="3" t="n">
        <v>8396000</v>
      </c>
      <c r="F43" s="3" t="n">
        <v>7469000</v>
      </c>
      <c r="G43" s="3" t="n"/>
      <c r="H43" s="3" t="n"/>
    </row>
    <row r="44">
      <c r="A44" t="inlineStr">
        <is>
          <t>Operating Income</t>
        </is>
      </c>
      <c r="B44" s="3" t="n">
        <v>-74713000</v>
      </c>
      <c r="C44" s="3" t="n">
        <v>-31996000</v>
      </c>
      <c r="D44" s="3" t="n">
        <v>-2473000</v>
      </c>
      <c r="E44" s="3" t="n">
        <v>-30093000</v>
      </c>
      <c r="F44" s="3" t="n">
        <v>-32802000</v>
      </c>
      <c r="G44" s="3" t="n"/>
      <c r="H44" s="3" t="n"/>
    </row>
    <row r="45">
      <c r="A45" t="inlineStr">
        <is>
          <t>Operating Expense</t>
        </is>
      </c>
      <c r="B45" s="3" t="n">
        <v>120182000</v>
      </c>
      <c r="C45" s="3" t="n">
        <v>85481000</v>
      </c>
      <c r="D45" s="3" t="n">
        <v>53653000</v>
      </c>
      <c r="E45" s="3" t="n">
        <v>49616000</v>
      </c>
      <c r="F45" s="3" t="n">
        <v>35958000</v>
      </c>
      <c r="G45" s="3" t="n"/>
      <c r="H45" s="3" t="n"/>
    </row>
    <row r="46">
      <c r="A46" t="inlineStr">
        <is>
          <t>Depreciation Amortization Depletion Income Statement</t>
        </is>
      </c>
      <c r="B46" s="3" t="n">
        <v>38442000</v>
      </c>
      <c r="C46" s="3" t="n">
        <v>39749000</v>
      </c>
      <c r="D46" s="3" t="n">
        <v>27795000</v>
      </c>
      <c r="E46" s="3" t="n">
        <v>19458000</v>
      </c>
      <c r="F46" s="3" t="n">
        <v>14899000</v>
      </c>
      <c r="G46" s="3" t="n"/>
      <c r="H46" s="3" t="n"/>
    </row>
    <row r="47">
      <c r="A47" t="inlineStr">
        <is>
          <t>Depreciation And Amortization In Income Statement</t>
        </is>
      </c>
      <c r="B47" s="3" t="n">
        <v>38442000</v>
      </c>
      <c r="C47" s="3" t="n">
        <v>39749000</v>
      </c>
      <c r="D47" s="3" t="n">
        <v>27795000</v>
      </c>
      <c r="E47" s="3" t="n">
        <v>19458000</v>
      </c>
      <c r="F47" s="3" t="n">
        <v>14899000</v>
      </c>
      <c r="G47" s="3" t="n"/>
      <c r="H47" s="3" t="n"/>
    </row>
    <row r="48">
      <c r="A48" t="inlineStr">
        <is>
          <t>Selling General And Administration</t>
        </is>
      </c>
      <c r="B48" s="3" t="n">
        <v>81740000</v>
      </c>
      <c r="C48" s="3" t="n">
        <v>45732000</v>
      </c>
      <c r="D48" s="3" t="n">
        <v>25858000</v>
      </c>
      <c r="E48" s="3" t="n">
        <v>30158000</v>
      </c>
      <c r="F48" s="3" t="n">
        <v>21059000</v>
      </c>
      <c r="G48" s="3" t="n"/>
      <c r="H48" s="3" t="n"/>
    </row>
    <row r="49">
      <c r="A49" t="inlineStr">
        <is>
          <t>General And Administrative Expense</t>
        </is>
      </c>
      <c r="B49" s="3" t="n">
        <v>81740000</v>
      </c>
      <c r="C49" s="3" t="n">
        <v>45732000</v>
      </c>
      <c r="D49" s="3" t="n">
        <v>25858000</v>
      </c>
      <c r="E49" s="3" t="n">
        <v>30158000</v>
      </c>
      <c r="F49" s="3" t="n">
        <v>21059000</v>
      </c>
      <c r="G49" s="3" t="n"/>
      <c r="H49" s="3" t="n"/>
    </row>
    <row r="50">
      <c r="A50" t="inlineStr">
        <is>
          <t>Other Gand A</t>
        </is>
      </c>
      <c r="B50" s="3" t="n">
        <v>81740000</v>
      </c>
      <c r="C50" s="3" t="n">
        <v>45732000</v>
      </c>
      <c r="D50" s="3" t="n">
        <v>25858000</v>
      </c>
      <c r="E50" s="3" t="n">
        <v>30158000</v>
      </c>
      <c r="F50" s="3" t="n">
        <v>21059000</v>
      </c>
      <c r="G50" s="3" t="n"/>
      <c r="H50" s="3" t="n"/>
    </row>
    <row r="51">
      <c r="A51" t="inlineStr">
        <is>
          <t>Gross Profit</t>
        </is>
      </c>
      <c r="B51" s="3" t="n">
        <v>45469000</v>
      </c>
      <c r="C51" s="3" t="n">
        <v>53485000</v>
      </c>
      <c r="D51" s="3" t="n">
        <v>51180000</v>
      </c>
      <c r="E51" s="3" t="n">
        <v>19523000</v>
      </c>
      <c r="F51" s="3" t="n">
        <v>3156000</v>
      </c>
      <c r="G51" s="3" t="n"/>
      <c r="H51" s="3" t="n"/>
    </row>
    <row r="52">
      <c r="A52" t="inlineStr">
        <is>
          <t>Cost Of Revenue</t>
        </is>
      </c>
      <c r="B52" s="3" t="n">
        <v>25548000</v>
      </c>
      <c r="C52" s="3" t="n">
        <v>35009000</v>
      </c>
      <c r="D52" s="3" t="n">
        <v>32330000</v>
      </c>
      <c r="E52" s="3" t="n">
        <v>21776000</v>
      </c>
      <c r="F52" s="3" t="n">
        <v>18659000</v>
      </c>
      <c r="G52" s="3" t="n"/>
      <c r="H52" s="3" t="n"/>
    </row>
    <row r="53">
      <c r="A53" t="inlineStr">
        <is>
          <t>Total Revenue</t>
        </is>
      </c>
      <c r="B53" s="3" t="n">
        <v>71017000</v>
      </c>
      <c r="C53" s="3" t="n">
        <v>88494000</v>
      </c>
      <c r="D53" s="3" t="n">
        <v>83510000</v>
      </c>
      <c r="E53" s="3" t="n">
        <v>41299000</v>
      </c>
      <c r="F53" s="3" t="n">
        <v>21815000</v>
      </c>
      <c r="G53" s="3" t="n"/>
      <c r="H53" s="3" t="n"/>
    </row>
    <row r="54">
      <c r="A54" t="inlineStr">
        <is>
          <t>Operating Revenue</t>
        </is>
      </c>
      <c r="B54" s="3" t="n">
        <v>71017000</v>
      </c>
      <c r="C54" s="3" t="n">
        <v>88494000</v>
      </c>
      <c r="D54" s="3" t="n">
        <v>83510000</v>
      </c>
      <c r="E54" s="3" t="n">
        <v>41299000</v>
      </c>
      <c r="F54" s="3" t="n">
        <v>21815000</v>
      </c>
      <c r="G54" s="3" t="n"/>
      <c r="H54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2023-06-30</t>
        </is>
      </c>
      <c r="E1" s="1" t="inlineStr">
        <is>
          <t>2022-06-30</t>
        </is>
      </c>
      <c r="F1" s="1" t="inlineStr">
        <is>
          <t>2021-06-30</t>
        </is>
      </c>
    </row>
    <row r="2">
      <c r="A2" t="inlineStr">
        <is>
          <t>Ordinary Shares Number</t>
        </is>
      </c>
      <c r="B2" s="3" t="n">
        <v>110091358</v>
      </c>
      <c r="C2" s="3" t="n">
        <v>99478012</v>
      </c>
      <c r="D2" s="3" t="n">
        <v>88550105</v>
      </c>
      <c r="E2" s="3" t="n">
        <v>88550105</v>
      </c>
      <c r="F2" s="3" t="n"/>
    </row>
    <row r="3">
      <c r="A3" t="inlineStr">
        <is>
          <t>Share Issued</t>
        </is>
      </c>
      <c r="B3" s="3" t="n">
        <v>110091358</v>
      </c>
      <c r="C3" s="3" t="n">
        <v>99478012</v>
      </c>
      <c r="D3" s="3" t="n">
        <v>88550105</v>
      </c>
      <c r="E3" s="3" t="n">
        <v>88550105</v>
      </c>
      <c r="F3" s="3" t="n"/>
    </row>
    <row r="4">
      <c r="A4" t="inlineStr">
        <is>
          <t>Net Debt</t>
        </is>
      </c>
      <c r="B4" s="3" t="n">
        <v>365247000</v>
      </c>
      <c r="C4" s="3" t="n">
        <v>215541000</v>
      </c>
      <c r="D4" s="3" t="n">
        <v>140811000</v>
      </c>
      <c r="E4" s="3" t="n">
        <v>107209000</v>
      </c>
      <c r="F4" s="3" t="n"/>
    </row>
    <row r="5">
      <c r="A5" t="inlineStr">
        <is>
          <t>Total Debt</t>
        </is>
      </c>
      <c r="B5" s="3" t="n">
        <v>429331000</v>
      </c>
      <c r="C5" s="3" t="n">
        <v>345649000</v>
      </c>
      <c r="D5" s="3" t="n">
        <v>152528000</v>
      </c>
      <c r="E5" s="3" t="n">
        <v>130679000</v>
      </c>
      <c r="F5" s="3" t="n"/>
    </row>
    <row r="6">
      <c r="A6" t="inlineStr">
        <is>
          <t>Tangible Book Value</t>
        </is>
      </c>
      <c r="B6" s="3" t="n">
        <v>1200697000</v>
      </c>
      <c r="C6" s="3" t="n">
        <v>910314000</v>
      </c>
      <c r="D6" s="3" t="n">
        <v>21838000</v>
      </c>
      <c r="E6" s="3" t="n">
        <v>87603000</v>
      </c>
      <c r="F6" s="3" t="n"/>
    </row>
    <row r="7">
      <c r="A7" t="inlineStr">
        <is>
          <t>Invested Capital</t>
        </is>
      </c>
      <c r="B7" s="3" t="n">
        <v>1832086000</v>
      </c>
      <c r="C7" s="3" t="n">
        <v>1277254000</v>
      </c>
      <c r="D7" s="3" t="n">
        <v>178563000</v>
      </c>
      <c r="E7" s="3" t="n">
        <v>215879000</v>
      </c>
      <c r="F7" s="3" t="n"/>
    </row>
    <row r="8">
      <c r="A8" t="inlineStr">
        <is>
          <t>Working Capital</t>
        </is>
      </c>
      <c r="B8" s="3" t="n">
        <v>32600000</v>
      </c>
      <c r="C8" s="3" t="n">
        <v>102886000</v>
      </c>
      <c r="D8" s="3" t="n">
        <v>9034000</v>
      </c>
      <c r="E8" s="3" t="n">
        <v>-63080000</v>
      </c>
      <c r="F8" s="3" t="n"/>
    </row>
    <row r="9">
      <c r="A9" t="inlineStr">
        <is>
          <t>Net Tangible Assets</t>
        </is>
      </c>
      <c r="B9" s="3" t="n">
        <v>1200697000</v>
      </c>
      <c r="C9" s="3" t="n">
        <v>910314000</v>
      </c>
      <c r="D9" s="3" t="n">
        <v>21838000</v>
      </c>
      <c r="E9" s="3" t="n">
        <v>87603000</v>
      </c>
      <c r="F9" s="3" t="n"/>
    </row>
    <row r="10">
      <c r="A10" t="inlineStr">
        <is>
          <t>Capital Lease Obligations</t>
        </is>
      </c>
      <c r="B10" s="3" t="n">
        <v>19170000</v>
      </c>
      <c r="C10" s="3" t="n">
        <v>45064000</v>
      </c>
      <c r="D10" s="3" t="n">
        <v>1338000</v>
      </c>
      <c r="E10" s="3" t="n">
        <v>2403000</v>
      </c>
      <c r="F10" s="3" t="n"/>
    </row>
    <row r="11">
      <c r="A11" t="inlineStr">
        <is>
          <t>Common Stock Equity</t>
        </is>
      </c>
      <c r="B11" s="3" t="n">
        <v>1421925000</v>
      </c>
      <c r="C11" s="3" t="n">
        <v>976669000</v>
      </c>
      <c r="D11" s="3" t="n">
        <v>27373000</v>
      </c>
      <c r="E11" s="3" t="n">
        <v>87603000</v>
      </c>
      <c r="F11" s="3" t="n"/>
    </row>
    <row r="12">
      <c r="A12" t="inlineStr">
        <is>
          <t>Preferred Stock Equity</t>
        </is>
      </c>
      <c r="B12" s="3" t="n"/>
      <c r="C12" s="3" t="n"/>
      <c r="D12" s="3" t="n">
        <v>98503000</v>
      </c>
      <c r="E12" s="3" t="n">
        <v>98503000</v>
      </c>
      <c r="F12" s="3" t="n">
        <v>24648000</v>
      </c>
    </row>
    <row r="13">
      <c r="A13" t="inlineStr">
        <is>
          <t>Total Capitalization</t>
        </is>
      </c>
      <c r="B13" s="3" t="n">
        <v>1632160000</v>
      </c>
      <c r="C13" s="3" t="n">
        <v>1212289000</v>
      </c>
      <c r="D13" s="3" t="n">
        <v>177264000</v>
      </c>
      <c r="E13" s="3" t="n">
        <v>138664000</v>
      </c>
      <c r="F13" s="3" t="n"/>
    </row>
    <row r="14">
      <c r="A14" t="inlineStr">
        <is>
          <t>Total Equity Gross Minority Interest</t>
        </is>
      </c>
      <c r="B14" s="3" t="n">
        <v>1689470000</v>
      </c>
      <c r="C14" s="3" t="n">
        <v>980579000</v>
      </c>
      <c r="D14" s="3" t="n">
        <v>27373000</v>
      </c>
      <c r="E14" s="3" t="n">
        <v>87603000</v>
      </c>
      <c r="F14" s="3" t="n"/>
    </row>
    <row r="15">
      <c r="A15" t="inlineStr">
        <is>
          <t>Minority Interest</t>
        </is>
      </c>
      <c r="B15" s="3" t="n">
        <v>267545000</v>
      </c>
      <c r="C15" s="3" t="n">
        <v>3910000</v>
      </c>
      <c r="D15" s="3" t="n"/>
      <c r="E15" s="3" t="n"/>
      <c r="F15" s="3" t="n"/>
    </row>
    <row r="16">
      <c r="A16" t="inlineStr">
        <is>
          <t>Stockholders Equity</t>
        </is>
      </c>
      <c r="B16" s="3" t="n">
        <v>1421925000</v>
      </c>
      <c r="C16" s="3" t="n">
        <v>976669000</v>
      </c>
      <c r="D16" s="3" t="n">
        <v>27373000</v>
      </c>
      <c r="E16" s="3" t="n">
        <v>87603000</v>
      </c>
      <c r="F16" s="3" t="n"/>
    </row>
    <row r="17">
      <c r="A17" t="inlineStr">
        <is>
          <t>Other Equity Interest</t>
        </is>
      </c>
      <c r="B17" s="3" t="n"/>
      <c r="C17" s="3" t="n"/>
      <c r="D17" s="3" t="n"/>
      <c r="E17" s="3" t="n"/>
      <c r="F17" s="3" t="n">
        <v>855000</v>
      </c>
    </row>
    <row r="18">
      <c r="A18" t="inlineStr">
        <is>
          <t>Gains Losses Not Affecting Retained Earnings</t>
        </is>
      </c>
      <c r="B18" s="3" t="n">
        <v>-10432000</v>
      </c>
      <c r="C18" s="3" t="n">
        <v>-45553000</v>
      </c>
      <c r="D18" s="3" t="n">
        <v>0</v>
      </c>
      <c r="E18" s="3" t="n">
        <v>0</v>
      </c>
      <c r="F18" s="3" t="n"/>
    </row>
    <row r="19">
      <c r="A19" t="inlineStr">
        <is>
          <t>Other Equity Adjustments</t>
        </is>
      </c>
      <c r="B19" s="3" t="n">
        <v>-10432000</v>
      </c>
      <c r="C19" s="3" t="n">
        <v>-45553000</v>
      </c>
      <c r="D19" s="3" t="n"/>
      <c r="E19" s="3" t="n"/>
      <c r="F19" s="3" t="n"/>
    </row>
    <row r="20">
      <c r="A20" t="inlineStr">
        <is>
          <t>Retained Earnings</t>
        </is>
      </c>
      <c r="B20" s="3" t="n">
        <v>5481000</v>
      </c>
      <c r="C20" s="3" t="n">
        <v>231630000</v>
      </c>
      <c r="D20" s="3" t="n">
        <v>-106498000</v>
      </c>
      <c r="E20" s="3" t="n">
        <v>-40887000</v>
      </c>
      <c r="F20" s="3" t="n"/>
    </row>
    <row r="21">
      <c r="A21" t="inlineStr">
        <is>
          <t>Additional Paid In Capital</t>
        </is>
      </c>
      <c r="B21" s="3" t="n">
        <v>1425775000</v>
      </c>
      <c r="C21" s="3" t="n">
        <v>789597000</v>
      </c>
      <c r="D21" s="3" t="n">
        <v>133439000</v>
      </c>
      <c r="E21" s="3" t="n">
        <v>128075000</v>
      </c>
      <c r="F21" s="3" t="n"/>
    </row>
    <row r="22">
      <c r="A22" t="inlineStr">
        <is>
          <t>Capital Stock</t>
        </is>
      </c>
      <c r="B22" s="3" t="n">
        <v>1101000</v>
      </c>
      <c r="C22" s="3" t="n">
        <v>995000</v>
      </c>
      <c r="D22" s="3" t="n">
        <v>432000</v>
      </c>
      <c r="E22" s="3" t="n">
        <v>415000</v>
      </c>
      <c r="F22" s="3" t="n"/>
    </row>
    <row r="23">
      <c r="A23" t="inlineStr">
        <is>
          <t>Common Stock</t>
        </is>
      </c>
      <c r="B23" s="3" t="n">
        <v>1101000</v>
      </c>
      <c r="C23" s="3" t="n">
        <v>995000</v>
      </c>
      <c r="D23" s="3" t="n">
        <v>432000</v>
      </c>
      <c r="E23" s="3" t="n">
        <v>415000</v>
      </c>
      <c r="F23" s="3" t="n"/>
    </row>
    <row r="24">
      <c r="A24" t="inlineStr">
        <is>
          <t>Preferred Stock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/>
    </row>
    <row r="25">
      <c r="A25" t="inlineStr">
        <is>
          <t>Total Liabilities Net Minority Interest</t>
        </is>
      </c>
      <c r="B25" s="3" t="n">
        <v>1064250000</v>
      </c>
      <c r="C25" s="3" t="n">
        <v>538281000</v>
      </c>
      <c r="D25" s="3" t="n">
        <v>162624000</v>
      </c>
      <c r="E25" s="3" t="n">
        <v>157422000</v>
      </c>
      <c r="F25" s="3" t="n"/>
    </row>
    <row r="26">
      <c r="A26" t="inlineStr">
        <is>
          <t>Total Non Current Liabilities Net Minority Interest</t>
        </is>
      </c>
      <c r="B26" s="3" t="n">
        <v>688667000</v>
      </c>
      <c r="C26" s="3" t="n">
        <v>384326000</v>
      </c>
      <c r="D26" s="3" t="n">
        <v>152288000</v>
      </c>
      <c r="E26" s="3" t="n">
        <v>57262000</v>
      </c>
      <c r="F26" s="3" t="n"/>
    </row>
    <row r="27">
      <c r="A27" t="inlineStr">
        <is>
          <t>Other Non Current Liabilities</t>
        </is>
      </c>
      <c r="B27" s="3" t="n">
        <v>332153000</v>
      </c>
      <c r="C27" s="3" t="n"/>
      <c r="D27" s="3" t="n"/>
      <c r="E27" s="3" t="n">
        <v>1322000</v>
      </c>
      <c r="F27" s="3" t="n"/>
    </row>
    <row r="28">
      <c r="A28" t="inlineStr">
        <is>
          <t>Derivative Product Liabilities</t>
        </is>
      </c>
      <c r="B28" s="3" t="n">
        <v>146000</v>
      </c>
      <c r="C28" s="3" t="n">
        <v>0</v>
      </c>
      <c r="D28" s="3" t="n"/>
      <c r="E28" s="3" t="n"/>
      <c r="F28" s="3" t="n"/>
    </row>
    <row r="29">
      <c r="A29" t="inlineStr">
        <is>
          <t>Non Current Deferred Liabilities</t>
        </is>
      </c>
      <c r="B29" s="3" t="n">
        <v>129854000</v>
      </c>
      <c r="C29" s="3" t="n">
        <v>111114000</v>
      </c>
      <c r="D29" s="3" t="n">
        <v>1454000</v>
      </c>
      <c r="E29" s="3" t="n">
        <v>2972000</v>
      </c>
      <c r="F29" s="3" t="n"/>
    </row>
    <row r="30">
      <c r="A30" t="inlineStr">
        <is>
          <t>Non Current Deferred Taxes Liabilities</t>
        </is>
      </c>
      <c r="B30" s="3" t="n">
        <v>129854000</v>
      </c>
      <c r="C30" s="3" t="n">
        <v>111114000</v>
      </c>
      <c r="D30" s="3" t="n">
        <v>1454000</v>
      </c>
      <c r="E30" s="3" t="n">
        <v>2972000</v>
      </c>
      <c r="F30" s="3" t="n"/>
    </row>
    <row r="31">
      <c r="A31" t="inlineStr">
        <is>
          <t>Long Term Debt And Capital Lease Obligation</t>
        </is>
      </c>
      <c r="B31" s="3" t="n">
        <v>226514000</v>
      </c>
      <c r="C31" s="3" t="n">
        <v>273212000</v>
      </c>
      <c r="D31" s="3" t="n">
        <v>150834000</v>
      </c>
      <c r="E31" s="3" t="n">
        <v>52968000</v>
      </c>
      <c r="F31" s="3" t="n"/>
    </row>
    <row r="32">
      <c r="A32" t="inlineStr">
        <is>
          <t>Long Term Capital Lease Obligation</t>
        </is>
      </c>
      <c r="B32" s="3" t="n">
        <v>16279000</v>
      </c>
      <c r="C32" s="3" t="n">
        <v>37592000</v>
      </c>
      <c r="D32" s="3" t="n">
        <v>943000</v>
      </c>
      <c r="E32" s="3" t="n">
        <v>1907000</v>
      </c>
      <c r="F32" s="3" t="n"/>
    </row>
    <row r="33">
      <c r="A33" t="inlineStr">
        <is>
          <t>Long Term Debt</t>
        </is>
      </c>
      <c r="B33" s="3" t="n">
        <v>210235000</v>
      </c>
      <c r="C33" s="3" t="n">
        <v>235620000</v>
      </c>
      <c r="D33" s="3" t="n">
        <v>149891000</v>
      </c>
      <c r="E33" s="3" t="n">
        <v>51061000</v>
      </c>
      <c r="F33" s="3" t="n"/>
    </row>
    <row r="34">
      <c r="A34" t="inlineStr">
        <is>
          <t>Current Liabilities</t>
        </is>
      </c>
      <c r="B34" s="3" t="n">
        <v>375583000</v>
      </c>
      <c r="C34" s="3" t="n">
        <v>153955000</v>
      </c>
      <c r="D34" s="3" t="n">
        <v>10336000</v>
      </c>
      <c r="E34" s="3" t="n">
        <v>100160000</v>
      </c>
      <c r="F34" s="3" t="n"/>
    </row>
    <row r="35">
      <c r="A35" t="inlineStr">
        <is>
          <t>Other Current Liabilities</t>
        </is>
      </c>
      <c r="B35" s="3" t="n">
        <v>126674000</v>
      </c>
      <c r="C35" s="3" t="n">
        <v>33533000</v>
      </c>
      <c r="D35" s="3" t="n">
        <v>591000</v>
      </c>
      <c r="E35" s="3" t="n">
        <v>478000</v>
      </c>
      <c r="F35" s="3" t="n"/>
    </row>
    <row r="36">
      <c r="A36" t="inlineStr">
        <is>
          <t>Current Deferred Liabilities</t>
        </is>
      </c>
      <c r="B36" s="3" t="n">
        <v>1458000</v>
      </c>
      <c r="C36" s="3" t="n">
        <v>6199000</v>
      </c>
      <c r="D36" s="3" t="n">
        <v>1031000</v>
      </c>
      <c r="E36" s="3" t="n">
        <v>14839000</v>
      </c>
      <c r="F36" s="3" t="n"/>
    </row>
    <row r="37">
      <c r="A37" t="inlineStr">
        <is>
          <t>Current Deferred Revenue</t>
        </is>
      </c>
      <c r="B37" s="3" t="n">
        <v>1458000</v>
      </c>
      <c r="C37" s="3" t="n">
        <v>6199000</v>
      </c>
      <c r="D37" s="3" t="n">
        <v>1031000</v>
      </c>
      <c r="E37" s="3" t="n">
        <v>14839000</v>
      </c>
      <c r="F37" s="3" t="n"/>
    </row>
    <row r="38">
      <c r="A38" t="inlineStr">
        <is>
          <t>Current Debt And Capital Lease Obligation</t>
        </is>
      </c>
      <c r="B38" s="3" t="n">
        <v>202817000</v>
      </c>
      <c r="C38" s="3" t="n">
        <v>72437000</v>
      </c>
      <c r="D38" s="3" t="n">
        <v>1694000</v>
      </c>
      <c r="E38" s="3" t="n">
        <v>77711000</v>
      </c>
      <c r="F38" s="3" t="n"/>
    </row>
    <row r="39">
      <c r="A39" t="inlineStr">
        <is>
          <t>Current Capital Lease Obligation</t>
        </is>
      </c>
      <c r="B39" s="3" t="n">
        <v>2891000</v>
      </c>
      <c r="C39" s="3" t="n">
        <v>7472000</v>
      </c>
      <c r="D39" s="3" t="n">
        <v>395000</v>
      </c>
      <c r="E39" s="3" t="n">
        <v>496000</v>
      </c>
      <c r="F39" s="3" t="n"/>
    </row>
    <row r="40">
      <c r="A40" t="inlineStr">
        <is>
          <t>Current Debt</t>
        </is>
      </c>
      <c r="B40" s="3" t="n">
        <v>199926000</v>
      </c>
      <c r="C40" s="3" t="n">
        <v>64965000</v>
      </c>
      <c r="D40" s="3" t="n">
        <v>1299000</v>
      </c>
      <c r="E40" s="3" t="n">
        <v>77215000</v>
      </c>
      <c r="F40" s="3" t="n"/>
    </row>
    <row r="41">
      <c r="A41" t="inlineStr">
        <is>
          <t>Other Current Borrowings</t>
        </is>
      </c>
      <c r="B41" s="3" t="n">
        <v>199926000</v>
      </c>
      <c r="C41" s="3" t="n">
        <v>64965000</v>
      </c>
      <c r="D41" s="3" t="n">
        <v>1299000</v>
      </c>
      <c r="E41" s="3" t="n">
        <v>77215000</v>
      </c>
      <c r="F41" s="3" t="n"/>
    </row>
    <row r="42">
      <c r="A42" t="inlineStr">
        <is>
          <t>Current Notes Payable</t>
        </is>
      </c>
      <c r="B42" s="3" t="n"/>
      <c r="C42" s="3" t="n"/>
      <c r="D42" s="3" t="n"/>
      <c r="E42" s="3" t="n">
        <v>0</v>
      </c>
      <c r="F42" s="3" t="n">
        <v>1250000</v>
      </c>
    </row>
    <row r="43">
      <c r="A43" t="inlineStr">
        <is>
          <t>Pensionand Other Post Retirement Benefit Plans Current</t>
        </is>
      </c>
      <c r="B43" s="3" t="n">
        <v>8341000</v>
      </c>
      <c r="C43" s="3" t="n">
        <v>7714000</v>
      </c>
      <c r="D43" s="3" t="n">
        <v>117000</v>
      </c>
      <c r="E43" s="3" t="n">
        <v>236000</v>
      </c>
      <c r="F43" s="3" t="n"/>
    </row>
    <row r="44">
      <c r="A44" t="inlineStr">
        <is>
          <t>Payables And Accrued Expenses</t>
        </is>
      </c>
      <c r="B44" s="3" t="n">
        <v>36293000</v>
      </c>
      <c r="C44" s="3" t="n">
        <v>34072000</v>
      </c>
      <c r="D44" s="3" t="n">
        <v>7494000</v>
      </c>
      <c r="E44" s="3" t="n">
        <v>7374000</v>
      </c>
      <c r="F44" s="3" t="n"/>
    </row>
    <row r="45">
      <c r="A45" t="inlineStr">
        <is>
          <t>Current Accrued Expenses</t>
        </is>
      </c>
      <c r="B45" s="3" t="n">
        <v>10669000</v>
      </c>
      <c r="C45" s="3" t="n">
        <v>12228000</v>
      </c>
      <c r="D45" s="3" t="n">
        <v>3889000</v>
      </c>
      <c r="E45" s="3" t="n">
        <v>1100000</v>
      </c>
      <c r="F45" s="3" t="n"/>
    </row>
    <row r="46">
      <c r="A46" t="inlineStr">
        <is>
          <t>Payables</t>
        </is>
      </c>
      <c r="B46" s="3" t="n">
        <v>25624000</v>
      </c>
      <c r="C46" s="3" t="n">
        <v>21844000</v>
      </c>
      <c r="D46" s="3" t="n">
        <v>3605000</v>
      </c>
      <c r="E46" s="3" t="n">
        <v>6274000</v>
      </c>
      <c r="F46" s="3" t="n"/>
    </row>
    <row r="47">
      <c r="A47" t="inlineStr">
        <is>
          <t>Total Tax Payable</t>
        </is>
      </c>
      <c r="B47" s="3" t="n">
        <v>9868000</v>
      </c>
      <c r="C47" s="3" t="n">
        <v>10554000</v>
      </c>
      <c r="D47" s="3" t="n">
        <v>0</v>
      </c>
      <c r="E47" s="3" t="n">
        <v>0</v>
      </c>
      <c r="F47" s="3" t="n"/>
    </row>
    <row r="48">
      <c r="A48" t="inlineStr">
        <is>
          <t>Income Tax Payable</t>
        </is>
      </c>
      <c r="B48" s="3" t="n">
        <v>115000</v>
      </c>
      <c r="C48" s="3" t="n">
        <v>0</v>
      </c>
      <c r="D48" s="3" t="n"/>
      <c r="E48" s="3" t="n"/>
      <c r="F48" s="3" t="n"/>
    </row>
    <row r="49">
      <c r="A49" t="inlineStr">
        <is>
          <t>Accounts Payable</t>
        </is>
      </c>
      <c r="B49" s="3" t="n">
        <v>15756000</v>
      </c>
      <c r="C49" s="3" t="n">
        <v>11290000</v>
      </c>
      <c r="D49" s="3" t="n">
        <v>3605000</v>
      </c>
      <c r="E49" s="3" t="n">
        <v>6274000</v>
      </c>
      <c r="F49" s="3" t="n"/>
    </row>
    <row r="50">
      <c r="A50" t="inlineStr">
        <is>
          <t>Total Assets</t>
        </is>
      </c>
      <c r="B50" s="3" t="n">
        <v>2753720000</v>
      </c>
      <c r="C50" s="3" t="n">
        <v>1518860000</v>
      </c>
      <c r="D50" s="3" t="n">
        <v>189997000</v>
      </c>
      <c r="E50" s="3" t="n">
        <v>245025000</v>
      </c>
      <c r="F50" s="3" t="n"/>
    </row>
    <row r="51">
      <c r="A51" t="inlineStr">
        <is>
          <t>Total Non Current Assets</t>
        </is>
      </c>
      <c r="B51" s="3" t="n">
        <v>2345537000</v>
      </c>
      <c r="C51" s="3" t="n">
        <v>1262019000</v>
      </c>
      <c r="D51" s="3" t="n">
        <v>170627000</v>
      </c>
      <c r="E51" s="3" t="n">
        <v>207945000</v>
      </c>
      <c r="F51" s="3" t="n"/>
    </row>
    <row r="52">
      <c r="A52" t="inlineStr">
        <is>
          <t>Other Non Current Assets</t>
        </is>
      </c>
      <c r="B52" s="3" t="n">
        <v>1301540000</v>
      </c>
      <c r="C52" s="3" t="n">
        <v>857111000</v>
      </c>
      <c r="D52" s="3" t="n"/>
      <c r="E52" s="3" t="n"/>
      <c r="F52" s="3" t="n"/>
    </row>
    <row r="53">
      <c r="A53" t="inlineStr">
        <is>
          <t>Non Current Prepaid Assets</t>
        </is>
      </c>
      <c r="B53" s="3" t="n">
        <v>6217000</v>
      </c>
      <c r="C53" s="3" t="n">
        <v>7886000</v>
      </c>
      <c r="D53" s="3" t="n">
        <v>254000</v>
      </c>
      <c r="E53" s="3" t="n">
        <v>88337000</v>
      </c>
      <c r="F53" s="3" t="n"/>
    </row>
    <row r="54">
      <c r="A54" t="inlineStr">
        <is>
          <t>Non Current Deferred Assets</t>
        </is>
      </c>
      <c r="B54" s="3" t="n"/>
      <c r="C54" s="3" t="n"/>
      <c r="D54" s="3" t="n"/>
      <c r="E54" s="3" t="n">
        <v>0</v>
      </c>
      <c r="F54" s="3" t="n">
        <v>2097000</v>
      </c>
    </row>
    <row r="55">
      <c r="A55" t="inlineStr">
        <is>
          <t>Non Current Deferred Taxes Assets</t>
        </is>
      </c>
      <c r="B55" s="3" t="n"/>
      <c r="C55" s="3" t="n"/>
      <c r="D55" s="3" t="n"/>
      <c r="E55" s="3" t="n">
        <v>0</v>
      </c>
      <c r="F55" s="3" t="n">
        <v>2097000</v>
      </c>
    </row>
    <row r="56">
      <c r="A56" t="inlineStr">
        <is>
          <t>Financial Assets</t>
        </is>
      </c>
      <c r="B56" s="3" t="n">
        <v>101179000</v>
      </c>
      <c r="C56" s="3" t="n">
        <v>0</v>
      </c>
      <c r="D56" s="3" t="n"/>
      <c r="E56" s="3" t="n"/>
      <c r="F56" s="3" t="n"/>
    </row>
    <row r="57">
      <c r="A57" t="inlineStr">
        <is>
          <t>Investments And Advances</t>
        </is>
      </c>
      <c r="B57" s="3" t="n">
        <v>51536000</v>
      </c>
      <c r="C57" s="3" t="n">
        <v>88393000</v>
      </c>
      <c r="D57" s="3" t="n">
        <v>93583000</v>
      </c>
      <c r="E57" s="3" t="n">
        <v>0</v>
      </c>
      <c r="F57" s="3" t="n"/>
    </row>
    <row r="58">
      <c r="A58" t="inlineStr">
        <is>
          <t>Other Investments</t>
        </is>
      </c>
      <c r="B58" s="3" t="n">
        <v>6378000</v>
      </c>
      <c r="C58" s="3" t="n">
        <v>6378000</v>
      </c>
      <c r="D58" s="3" t="n"/>
      <c r="E58" s="3" t="n"/>
      <c r="F58" s="3" t="n"/>
    </row>
    <row r="59">
      <c r="A59" t="inlineStr">
        <is>
          <t>Long Term Equity Investment</t>
        </is>
      </c>
      <c r="B59" s="3" t="n">
        <v>45158000</v>
      </c>
      <c r="C59" s="3" t="n">
        <v>82015000</v>
      </c>
      <c r="D59" s="3" t="n">
        <v>93583000</v>
      </c>
      <c r="E59" s="3" t="n">
        <v>0</v>
      </c>
      <c r="F59" s="3" t="n"/>
    </row>
    <row r="60">
      <c r="A60" t="inlineStr">
        <is>
          <t>Investmentsin Joint Venturesat Cost</t>
        </is>
      </c>
      <c r="B60" s="3" t="n">
        <v>45158000</v>
      </c>
      <c r="C60" s="3" t="n">
        <v>82015000</v>
      </c>
      <c r="D60" s="3" t="n">
        <v>93583000</v>
      </c>
      <c r="E60" s="3" t="n">
        <v>0</v>
      </c>
      <c r="F60" s="3" t="n"/>
    </row>
    <row r="61">
      <c r="A61" t="inlineStr">
        <is>
          <t>Goodwill And Other Intangible Assets</t>
        </is>
      </c>
      <c r="B61" s="3" t="n">
        <v>221228000</v>
      </c>
      <c r="C61" s="3" t="n">
        <v>66355000</v>
      </c>
      <c r="D61" s="3" t="n">
        <v>5535000</v>
      </c>
      <c r="E61" s="3" t="n">
        <v>0</v>
      </c>
      <c r="F61" s="3" t="n"/>
    </row>
    <row r="62">
      <c r="A62" t="inlineStr">
        <is>
          <t>Other Intangible Assets</t>
        </is>
      </c>
      <c r="B62" s="3" t="n">
        <v>11141000</v>
      </c>
      <c r="C62" s="3" t="n">
        <v>13273000</v>
      </c>
      <c r="D62" s="3" t="n">
        <v>5535000</v>
      </c>
      <c r="E62" s="3" t="n"/>
      <c r="F62" s="3" t="n"/>
    </row>
    <row r="63">
      <c r="A63" t="inlineStr">
        <is>
          <t>Goodwill</t>
        </is>
      </c>
      <c r="B63" s="3" t="n">
        <v>210087000</v>
      </c>
      <c r="C63" s="3" t="n">
        <v>53082000</v>
      </c>
      <c r="D63" s="3" t="n">
        <v>0</v>
      </c>
      <c r="E63" s="3" t="n">
        <v>0</v>
      </c>
      <c r="F63" s="3" t="n"/>
    </row>
    <row r="64">
      <c r="A64" t="inlineStr">
        <is>
          <t>Net PPE</t>
        </is>
      </c>
      <c r="B64" s="3" t="n">
        <v>663837000</v>
      </c>
      <c r="C64" s="3" t="n">
        <v>242274000</v>
      </c>
      <c r="D64" s="3" t="n">
        <v>71255000</v>
      </c>
      <c r="E64" s="3" t="n">
        <v>119608000</v>
      </c>
      <c r="F64" s="3" t="n"/>
    </row>
    <row r="65">
      <c r="A65" t="inlineStr">
        <is>
          <t>Accumulated Depreciation</t>
        </is>
      </c>
      <c r="B65" s="3" t="n">
        <v>-89671000</v>
      </c>
      <c r="C65" s="3" t="n">
        <v>-51863000</v>
      </c>
      <c r="D65" s="3" t="n">
        <v>-14695000</v>
      </c>
      <c r="E65" s="3" t="n">
        <v>-11948000</v>
      </c>
      <c r="F65" s="3" t="n"/>
    </row>
    <row r="66">
      <c r="A66" t="inlineStr">
        <is>
          <t>Gross PPE</t>
        </is>
      </c>
      <c r="B66" s="3" t="n">
        <v>753508000</v>
      </c>
      <c r="C66" s="3" t="n">
        <v>294137000</v>
      </c>
      <c r="D66" s="3" t="n">
        <v>85950000</v>
      </c>
      <c r="E66" s="3" t="n">
        <v>131556000</v>
      </c>
      <c r="F66" s="3" t="n"/>
    </row>
    <row r="67">
      <c r="A67" t="inlineStr">
        <is>
          <t>Leases</t>
        </is>
      </c>
      <c r="B67" s="3" t="n">
        <v>1836000</v>
      </c>
      <c r="C67" s="3" t="n">
        <v>680000</v>
      </c>
      <c r="D67" s="3" t="n">
        <v>59000</v>
      </c>
      <c r="E67" s="3" t="n">
        <v>59000</v>
      </c>
      <c r="F67" s="3" t="n"/>
    </row>
    <row r="68">
      <c r="A68" t="inlineStr">
        <is>
          <t>Construction In Progress</t>
        </is>
      </c>
      <c r="B68" s="3" t="n">
        <v>79500000</v>
      </c>
      <c r="C68" s="3" t="n">
        <v>55918000</v>
      </c>
      <c r="D68" s="3" t="n">
        <v>10929000</v>
      </c>
      <c r="E68" s="3" t="n">
        <v>32175000</v>
      </c>
      <c r="F68" s="3" t="n"/>
    </row>
    <row r="69">
      <c r="A69" t="inlineStr">
        <is>
          <t>Other Properties</t>
        </is>
      </c>
      <c r="B69" s="3" t="n">
        <v>574093000</v>
      </c>
      <c r="C69" s="3" t="n">
        <v>176857000</v>
      </c>
      <c r="D69" s="3" t="n">
        <v>74962000</v>
      </c>
      <c r="E69" s="3" t="n">
        <v>97583000</v>
      </c>
      <c r="F69" s="3" t="n"/>
    </row>
    <row r="70">
      <c r="A70" t="inlineStr">
        <is>
          <t>Machinery Furniture Equipment</t>
        </is>
      </c>
      <c r="B70" s="3" t="n">
        <v>51984000</v>
      </c>
      <c r="C70" s="3" t="n">
        <v>60419000</v>
      </c>
      <c r="D70" s="3" t="n">
        <v>0</v>
      </c>
      <c r="E70" s="3" t="n">
        <v>0</v>
      </c>
      <c r="F70" s="3" t="n"/>
    </row>
    <row r="71">
      <c r="A71" t="inlineStr">
        <is>
          <t>Land And Improvements</t>
        </is>
      </c>
      <c r="B71" s="3" t="n">
        <v>46095000</v>
      </c>
      <c r="C71" s="3" t="n">
        <v>263000</v>
      </c>
      <c r="D71" s="3" t="n">
        <v>0</v>
      </c>
      <c r="E71" s="3" t="n">
        <v>1739000</v>
      </c>
      <c r="F71" s="3" t="n"/>
    </row>
    <row r="72">
      <c r="A72" t="inlineStr">
        <is>
          <t>Properties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/>
    </row>
    <row r="73">
      <c r="A73" t="inlineStr">
        <is>
          <t>Current Assets</t>
        </is>
      </c>
      <c r="B73" s="3" t="n">
        <v>408183000</v>
      </c>
      <c r="C73" s="3" t="n">
        <v>256841000</v>
      </c>
      <c r="D73" s="3" t="n">
        <v>19370000</v>
      </c>
      <c r="E73" s="3" t="n">
        <v>37080000</v>
      </c>
      <c r="F73" s="3" t="n"/>
    </row>
    <row r="74">
      <c r="A74" t="inlineStr">
        <is>
          <t>Hedging Assets Current</t>
        </is>
      </c>
      <c r="B74" s="3" t="n">
        <v>16223000</v>
      </c>
      <c r="C74" s="3" t="n">
        <v>18076000</v>
      </c>
      <c r="D74" s="3" t="n"/>
      <c r="E74" s="3" t="n"/>
      <c r="F74" s="3" t="n"/>
    </row>
    <row r="75">
      <c r="A75" t="inlineStr">
        <is>
          <t>Assets Held For Sale Current</t>
        </is>
      </c>
      <c r="B75" s="3" t="n">
        <v>38719000</v>
      </c>
      <c r="C75" s="3" t="n">
        <v>0</v>
      </c>
      <c r="D75" s="3" t="n">
        <v>0</v>
      </c>
      <c r="E75" s="3" t="n">
        <v>0</v>
      </c>
      <c r="F75" s="3" t="n"/>
    </row>
    <row r="76">
      <c r="A76" t="inlineStr">
        <is>
          <t>Restricted Cash</t>
        </is>
      </c>
      <c r="B76" s="3" t="n">
        <v>87061000</v>
      </c>
      <c r="C76" s="3" t="n">
        <v>92980000</v>
      </c>
      <c r="D76" s="3" t="n">
        <v>851000</v>
      </c>
      <c r="E76" s="3" t="n">
        <v>847000</v>
      </c>
      <c r="F76" s="3" t="n"/>
    </row>
    <row r="77">
      <c r="A77" t="inlineStr">
        <is>
          <t>Prepaid Assets</t>
        </is>
      </c>
      <c r="B77" s="3" t="n">
        <v>189332000</v>
      </c>
      <c r="C77" s="3" t="n">
        <v>52679000</v>
      </c>
      <c r="D77" s="3" t="n">
        <v>7504000</v>
      </c>
      <c r="E77" s="3" t="n">
        <v>8513000</v>
      </c>
      <c r="F77" s="3" t="n"/>
    </row>
    <row r="78">
      <c r="A78" t="inlineStr">
        <is>
          <t>Receivables</t>
        </is>
      </c>
      <c r="B78" s="3" t="n">
        <v>31934000</v>
      </c>
      <c r="C78" s="3" t="n">
        <v>8062000</v>
      </c>
      <c r="D78" s="3" t="n">
        <v>636000</v>
      </c>
      <c r="E78" s="3" t="n">
        <v>6653000</v>
      </c>
      <c r="F78" s="3" t="n"/>
    </row>
    <row r="79">
      <c r="A79" t="inlineStr">
        <is>
          <t>Other Receivables</t>
        </is>
      </c>
      <c r="B79" s="3" t="n">
        <v>812000</v>
      </c>
      <c r="C79" s="3" t="n"/>
      <c r="D79" s="3" t="n"/>
      <c r="E79" s="3" t="n">
        <v>5485000</v>
      </c>
      <c r="F79" s="3" t="n"/>
    </row>
    <row r="80">
      <c r="A80" t="inlineStr">
        <is>
          <t>Taxes Receivable</t>
        </is>
      </c>
      <c r="B80" s="3" t="n">
        <v>0</v>
      </c>
      <c r="C80" s="3" t="n">
        <v>1073000</v>
      </c>
      <c r="D80" s="3" t="n"/>
      <c r="E80" s="3" t="n"/>
      <c r="F80" s="3" t="n"/>
    </row>
    <row r="81">
      <c r="A81" t="inlineStr">
        <is>
          <t>Accounts Receivable</t>
        </is>
      </c>
      <c r="B81" s="3" t="n">
        <v>31122000</v>
      </c>
      <c r="C81" s="3" t="n">
        <v>6989000</v>
      </c>
      <c r="D81" s="3" t="n">
        <v>636000</v>
      </c>
      <c r="E81" s="3" t="n">
        <v>1168000</v>
      </c>
      <c r="F81" s="3" t="n"/>
    </row>
    <row r="82">
      <c r="A82" t="inlineStr">
        <is>
          <t>Allowance For Doubtful Accounts Receivable</t>
        </is>
      </c>
      <c r="B82" s="3" t="n">
        <v>-200000</v>
      </c>
      <c r="C82" s="3" t="n">
        <v>-200000</v>
      </c>
      <c r="D82" s="3" t="n"/>
      <c r="E82" s="3" t="n"/>
      <c r="F82" s="3" t="n"/>
    </row>
    <row r="83">
      <c r="A83" t="inlineStr">
        <is>
          <t>Gross Accounts Receivable</t>
        </is>
      </c>
      <c r="B83" s="3" t="n">
        <v>31322000</v>
      </c>
      <c r="C83" s="3" t="n">
        <v>7189000</v>
      </c>
      <c r="D83" s="3" t="n"/>
      <c r="E83" s="3" t="n"/>
      <c r="F83" s="3" t="n"/>
    </row>
    <row r="84">
      <c r="A84" t="inlineStr">
        <is>
          <t>Cash Cash Equivalents And Short Term Investments</t>
        </is>
      </c>
      <c r="B84" s="3" t="n">
        <v>44914000</v>
      </c>
      <c r="C84" s="3" t="n">
        <v>85044000</v>
      </c>
      <c r="D84" s="3" t="n">
        <v>10379000</v>
      </c>
      <c r="E84" s="3" t="n">
        <v>21067000</v>
      </c>
      <c r="F84" s="3" t="n"/>
    </row>
    <row r="85">
      <c r="A85" t="inlineStr">
        <is>
          <t>Other Short Term Investments</t>
        </is>
      </c>
      <c r="B85" s="3" t="n"/>
      <c r="C85" s="3" t="n"/>
      <c r="D85" s="3" t="n">
        <v>851000</v>
      </c>
      <c r="E85" s="3" t="n">
        <v>847000</v>
      </c>
      <c r="F85" s="3" t="n">
        <v>3018000</v>
      </c>
    </row>
    <row r="86">
      <c r="A86" t="inlineStr">
        <is>
          <t>Cash And Cash Equivalents</t>
        </is>
      </c>
      <c r="B86" s="3" t="n">
        <v>44914000</v>
      </c>
      <c r="C86" s="3" t="n">
        <v>85044000</v>
      </c>
      <c r="D86" s="3" t="n">
        <v>10379000</v>
      </c>
      <c r="E86" s="3" t="n">
        <v>21067000</v>
      </c>
      <c r="F86" s="3" t="n"/>
    </row>
    <row r="87">
      <c r="A87" t="inlineStr">
        <is>
          <t>Cash Financial</t>
        </is>
      </c>
      <c r="B87" s="3" t="n">
        <v>44914000</v>
      </c>
      <c r="C87" s="3" t="n">
        <v>85044000</v>
      </c>
      <c r="D87" s="3" t="n">
        <v>10379000</v>
      </c>
      <c r="E87" s="3" t="n">
        <v>21067000</v>
      </c>
      <c r="F87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2023-06-30</t>
        </is>
      </c>
      <c r="E1" s="1" t="inlineStr">
        <is>
          <t>2022-06-30</t>
        </is>
      </c>
    </row>
    <row r="2">
      <c r="A2" t="inlineStr">
        <is>
          <t>Free Cash Flow</t>
        </is>
      </c>
      <c r="B2" s="3" t="n">
        <v>-787312000</v>
      </c>
      <c r="C2" s="3" t="n">
        <v>-333131000</v>
      </c>
      <c r="D2" s="3" t="n">
        <v>-32476000</v>
      </c>
      <c r="E2" s="3" t="n">
        <v>-80186000</v>
      </c>
    </row>
    <row r="3">
      <c r="A3" t="inlineStr">
        <is>
          <t>Repayment Of Debt</t>
        </is>
      </c>
      <c r="B3" s="3" t="n">
        <v>-49549000</v>
      </c>
      <c r="C3" s="3" t="n">
        <v>-36766000</v>
      </c>
      <c r="D3" s="3" t="n">
        <v>-19606000</v>
      </c>
      <c r="E3" s="3" t="n">
        <v>-10525000</v>
      </c>
    </row>
    <row r="4">
      <c r="A4" t="inlineStr">
        <is>
          <t>Issuance Of Debt</t>
        </is>
      </c>
      <c r="B4" s="3" t="n">
        <v>135000000</v>
      </c>
      <c r="C4" s="3" t="n">
        <v>164849000</v>
      </c>
      <c r="D4" s="3" t="n">
        <v>14240000</v>
      </c>
      <c r="E4" s="3" t="n">
        <v>130708000</v>
      </c>
    </row>
    <row r="5">
      <c r="A5" t="inlineStr">
        <is>
          <t>Issuance Of Capital Stock</t>
        </is>
      </c>
      <c r="B5" s="3" t="n">
        <v>757698000</v>
      </c>
      <c r="C5" s="3" t="n">
        <v>162534000</v>
      </c>
      <c r="D5" s="3" t="n">
        <v>0</v>
      </c>
      <c r="E5" s="3" t="n">
        <v>73787000</v>
      </c>
    </row>
    <row r="6">
      <c r="A6" t="inlineStr">
        <is>
          <t>Capital Expenditure</t>
        </is>
      </c>
      <c r="B6" s="3" t="n">
        <v>-648086000</v>
      </c>
      <c r="C6" s="3" t="n">
        <v>-264596000</v>
      </c>
      <c r="D6" s="3" t="n">
        <v>-3139000</v>
      </c>
      <c r="E6" s="3" t="n">
        <v>-37271000</v>
      </c>
    </row>
    <row r="7">
      <c r="A7" t="inlineStr">
        <is>
          <t>Interest Paid Supplemental Data</t>
        </is>
      </c>
      <c r="B7" s="3" t="n">
        <v>13556000</v>
      </c>
      <c r="C7" s="3" t="n">
        <v>11159000</v>
      </c>
      <c r="D7" s="3" t="n">
        <v>5542000</v>
      </c>
      <c r="E7" s="3" t="n">
        <v>6837000</v>
      </c>
    </row>
    <row r="8">
      <c r="A8" t="inlineStr">
        <is>
          <t>Income Tax Paid Supplemental Data</t>
        </is>
      </c>
      <c r="B8" s="3" t="n">
        <v>1188000</v>
      </c>
      <c r="C8" s="3" t="n">
        <v>2816000</v>
      </c>
      <c r="D8" s="3" t="n">
        <v>0</v>
      </c>
      <c r="E8" s="3" t="n">
        <v>0</v>
      </c>
    </row>
    <row r="9">
      <c r="A9" t="inlineStr">
        <is>
          <t>End Cash Position</t>
        </is>
      </c>
      <c r="B9" s="3" t="n">
        <v>48614000</v>
      </c>
      <c r="C9" s="3" t="n">
        <v>85635000</v>
      </c>
      <c r="D9" s="3" t="n">
        <v>10379000</v>
      </c>
      <c r="E9" s="3" t="n">
        <v>21067000</v>
      </c>
    </row>
    <row r="10">
      <c r="A10" t="inlineStr">
        <is>
          <t>Beginning Cash Position</t>
        </is>
      </c>
      <c r="B10" s="3" t="n">
        <v>85635000</v>
      </c>
      <c r="C10" s="3" t="n">
        <v>30957000</v>
      </c>
      <c r="D10" s="3" t="n">
        <v>21067000</v>
      </c>
      <c r="E10" s="3" t="n">
        <v>6718000</v>
      </c>
    </row>
    <row r="11">
      <c r="A11" t="inlineStr">
        <is>
          <t>Effect Of Exchange Rate Changes</t>
        </is>
      </c>
      <c r="B11" s="3" t="n">
        <v>285000</v>
      </c>
      <c r="C11" s="3" t="n">
        <v>-261000</v>
      </c>
      <c r="D11" s="3" t="n">
        <v>0</v>
      </c>
      <c r="E11" s="3" t="n">
        <v>0</v>
      </c>
    </row>
    <row r="12">
      <c r="A12" t="inlineStr">
        <is>
          <t>Changes In Cash</t>
        </is>
      </c>
      <c r="B12" s="3" t="n">
        <v>-37306000</v>
      </c>
      <c r="C12" s="3" t="n">
        <v>54939000</v>
      </c>
      <c r="D12" s="3" t="n">
        <v>-10688000</v>
      </c>
      <c r="E12" s="3" t="n">
        <v>14349000</v>
      </c>
    </row>
    <row r="13">
      <c r="A13" t="inlineStr">
        <is>
          <t>Financing Cash Flow</t>
        </is>
      </c>
      <c r="B13" s="3" t="n">
        <v>856127000</v>
      </c>
      <c r="C13" s="3" t="n">
        <v>311946000</v>
      </c>
      <c r="D13" s="3" t="n">
        <v>-6599000</v>
      </c>
      <c r="E13" s="3" t="n">
        <v>191629000</v>
      </c>
    </row>
    <row r="14">
      <c r="A14" t="inlineStr">
        <is>
          <t>Cash Flow From Continuing Financing Activities</t>
        </is>
      </c>
      <c r="B14" s="3" t="n">
        <v>856127000</v>
      </c>
      <c r="C14" s="3" t="n">
        <v>311946000</v>
      </c>
      <c r="D14" s="3" t="n">
        <v>-6599000</v>
      </c>
      <c r="E14" s="3" t="n">
        <v>191629000</v>
      </c>
    </row>
    <row r="15">
      <c r="A15" t="inlineStr">
        <is>
          <t>Net Other Financing Charges</t>
        </is>
      </c>
      <c r="B15" s="3" t="n">
        <v>12972000</v>
      </c>
      <c r="C15" s="3" t="n">
        <v>21329000</v>
      </c>
      <c r="D15" s="3" t="n">
        <v>-1233000</v>
      </c>
      <c r="E15" s="3" t="n">
        <v>-2341000</v>
      </c>
    </row>
    <row r="16">
      <c r="A16" t="inlineStr">
        <is>
          <t>Proceeds From Stock Option Exercised</t>
        </is>
      </c>
      <c r="B16" s="3" t="n">
        <v>6000</v>
      </c>
      <c r="C16" s="3" t="n">
        <v>0</v>
      </c>
      <c r="D16" s="3" t="n"/>
      <c r="E16" s="3" t="n"/>
    </row>
    <row r="17">
      <c r="A17" t="inlineStr">
        <is>
          <t>Net Preferred Stock Issuance</t>
        </is>
      </c>
      <c r="B17" s="3" t="n"/>
      <c r="C17" s="3" t="n"/>
      <c r="D17" s="3" t="n">
        <v>0</v>
      </c>
      <c r="E17" s="3" t="n">
        <v>73787000</v>
      </c>
    </row>
    <row r="18">
      <c r="A18" t="inlineStr">
        <is>
          <t>Preferred Stock Issuance</t>
        </is>
      </c>
      <c r="B18" s="3" t="n"/>
      <c r="C18" s="3" t="n"/>
      <c r="D18" s="3" t="n">
        <v>0</v>
      </c>
      <c r="E18" s="3" t="n">
        <v>73787000</v>
      </c>
    </row>
    <row r="19">
      <c r="A19" t="inlineStr">
        <is>
          <t>Net Common Stock Issuance</t>
        </is>
      </c>
      <c r="B19" s="3" t="n">
        <v>757698000</v>
      </c>
      <c r="C19" s="3" t="n">
        <v>162534000</v>
      </c>
      <c r="D19" s="3" t="n">
        <v>0</v>
      </c>
      <c r="E19" s="3" t="n">
        <v>0</v>
      </c>
    </row>
    <row r="20">
      <c r="A20" t="inlineStr">
        <is>
          <t>Common Stock Issuance</t>
        </is>
      </c>
      <c r="B20" s="3" t="n">
        <v>757698000</v>
      </c>
      <c r="C20" s="3" t="n">
        <v>162534000</v>
      </c>
      <c r="D20" s="3" t="n">
        <v>0</v>
      </c>
      <c r="E20" s="3" t="n">
        <v>0</v>
      </c>
    </row>
    <row r="21">
      <c r="A21" t="inlineStr">
        <is>
          <t>Net Issuance Payments Of Debt</t>
        </is>
      </c>
      <c r="B21" s="3" t="n">
        <v>85451000</v>
      </c>
      <c r="C21" s="3" t="n">
        <v>128083000</v>
      </c>
      <c r="D21" s="3" t="n">
        <v>-5366000</v>
      </c>
      <c r="E21" s="3" t="n">
        <v>120183000</v>
      </c>
    </row>
    <row r="22">
      <c r="A22" t="inlineStr">
        <is>
          <t>Net Long Term Debt Issuance</t>
        </is>
      </c>
      <c r="B22" s="3" t="n">
        <v>85451000</v>
      </c>
      <c r="C22" s="3" t="n">
        <v>128083000</v>
      </c>
      <c r="D22" s="3" t="n">
        <v>-5366000</v>
      </c>
      <c r="E22" s="3" t="n">
        <v>120183000</v>
      </c>
    </row>
    <row r="23">
      <c r="A23" t="inlineStr">
        <is>
          <t>Long Term Debt Payments</t>
        </is>
      </c>
      <c r="B23" s="3" t="n">
        <v>-49549000</v>
      </c>
      <c r="C23" s="3" t="n">
        <v>-36766000</v>
      </c>
      <c r="D23" s="3" t="n">
        <v>-19606000</v>
      </c>
      <c r="E23" s="3" t="n">
        <v>-10525000</v>
      </c>
    </row>
    <row r="24">
      <c r="A24" t="inlineStr">
        <is>
          <t>Long Term Debt Issuance</t>
        </is>
      </c>
      <c r="B24" s="3" t="n">
        <v>135000000</v>
      </c>
      <c r="C24" s="3" t="n">
        <v>164849000</v>
      </c>
      <c r="D24" s="3" t="n">
        <v>14240000</v>
      </c>
      <c r="E24" s="3" t="n">
        <v>130708000</v>
      </c>
    </row>
    <row r="25">
      <c r="A25" t="inlineStr">
        <is>
          <t>Investing Cash Flow</t>
        </is>
      </c>
      <c r="B25" s="3" t="n">
        <v>-754207000</v>
      </c>
      <c r="C25" s="3" t="n">
        <v>-188472000</v>
      </c>
      <c r="D25" s="3" t="n">
        <v>25248000</v>
      </c>
      <c r="E25" s="3" t="n">
        <v>-134365000</v>
      </c>
    </row>
    <row r="26">
      <c r="A26" t="inlineStr">
        <is>
          <t>Cash Flow From Continuing Investing Activities</t>
        </is>
      </c>
      <c r="B26" s="3" t="n">
        <v>-754207000</v>
      </c>
      <c r="C26" s="3" t="n">
        <v>-188472000</v>
      </c>
      <c r="D26" s="3" t="n">
        <v>25248000</v>
      </c>
      <c r="E26" s="3" t="n">
        <v>-134365000</v>
      </c>
    </row>
    <row r="27">
      <c r="A27" t="inlineStr">
        <is>
          <t>Net Other Investing Changes</t>
        </is>
      </c>
      <c r="B27" s="3" t="n">
        <v>3737000</v>
      </c>
      <c r="C27" s="3" t="n">
        <v>74476000</v>
      </c>
      <c r="D27" s="3" t="n">
        <v>-11900000</v>
      </c>
      <c r="E27" s="3" t="n">
        <v>-141445000</v>
      </c>
    </row>
    <row r="28">
      <c r="A28" t="inlineStr">
        <is>
          <t>Net Investment Purchase And Sale</t>
        </is>
      </c>
      <c r="B28" s="3" t="n">
        <v>-162691000</v>
      </c>
      <c r="C28" s="3" t="n">
        <v>0</v>
      </c>
      <c r="D28" s="3" t="n">
        <v>50030000</v>
      </c>
      <c r="E28" s="3" t="n">
        <v>44351000</v>
      </c>
    </row>
    <row r="29">
      <c r="A29" t="inlineStr">
        <is>
          <t>Sale Of Investment</t>
        </is>
      </c>
      <c r="B29" s="3" t="n"/>
      <c r="C29" s="3" t="n"/>
      <c r="D29" s="3" t="n">
        <v>50030000</v>
      </c>
      <c r="E29" s="3" t="n">
        <v>44351000</v>
      </c>
    </row>
    <row r="30">
      <c r="A30" t="inlineStr">
        <is>
          <t>Purchase Of Investment</t>
        </is>
      </c>
      <c r="B30" s="3" t="n">
        <v>-162691000</v>
      </c>
      <c r="C30" s="3" t="n">
        <v>0</v>
      </c>
      <c r="D30" s="3" t="n"/>
      <c r="E30" s="3" t="n"/>
    </row>
    <row r="31">
      <c r="A31" t="inlineStr">
        <is>
          <t>Net Business Purchase And Sale</t>
        </is>
      </c>
      <c r="B31" s="3" t="n">
        <v>46962000</v>
      </c>
      <c r="C31" s="3" t="n">
        <v>-3203000</v>
      </c>
      <c r="D31" s="3" t="n">
        <v>-10000000</v>
      </c>
      <c r="E31" s="3" t="n">
        <v>0</v>
      </c>
    </row>
    <row r="32">
      <c r="A32" t="inlineStr">
        <is>
          <t>Sale Of Business</t>
        </is>
      </c>
      <c r="B32" s="3" t="n">
        <v>46962000</v>
      </c>
      <c r="C32" s="3" t="n">
        <v>3175000</v>
      </c>
      <c r="D32" s="3" t="n">
        <v>0</v>
      </c>
      <c r="E32" s="3" t="n">
        <v>0</v>
      </c>
    </row>
    <row r="33">
      <c r="A33" t="inlineStr">
        <is>
          <t>Purchase Of Business</t>
        </is>
      </c>
      <c r="B33" s="3" t="n">
        <v>0</v>
      </c>
      <c r="C33" s="3" t="n">
        <v>-6378000</v>
      </c>
      <c r="D33" s="3" t="n">
        <v>-10000000</v>
      </c>
      <c r="E33" s="3" t="n">
        <v>0</v>
      </c>
    </row>
    <row r="34">
      <c r="A34" t="inlineStr">
        <is>
          <t>Net Intangibles Purchase And Sale</t>
        </is>
      </c>
      <c r="B34" s="3" t="n">
        <v>-26011000</v>
      </c>
      <c r="C34" s="3" t="n">
        <v>-286000</v>
      </c>
      <c r="D34" s="3" t="n"/>
      <c r="E34" s="3" t="n"/>
    </row>
    <row r="35">
      <c r="A35" t="inlineStr">
        <is>
          <t>Purchase Of Intangibles</t>
        </is>
      </c>
      <c r="B35" s="3" t="n">
        <v>-26011000</v>
      </c>
      <c r="C35" s="3" t="n">
        <v>-286000</v>
      </c>
      <c r="D35" s="3" t="n"/>
      <c r="E35" s="3" t="n"/>
    </row>
    <row r="36">
      <c r="A36" t="inlineStr">
        <is>
          <t>Net PPE Purchase And Sale</t>
        </is>
      </c>
      <c r="B36" s="3" t="n">
        <v>-211057000</v>
      </c>
      <c r="C36" s="3" t="n">
        <v>-158751000</v>
      </c>
      <c r="D36" s="3" t="n">
        <v>-2882000</v>
      </c>
      <c r="E36" s="3" t="n">
        <v>-37271000</v>
      </c>
    </row>
    <row r="37">
      <c r="A37" t="inlineStr">
        <is>
          <t>Sale Of PPE</t>
        </is>
      </c>
      <c r="B37" s="3" t="n">
        <v>5871000</v>
      </c>
      <c r="C37" s="3" t="n">
        <v>4851000</v>
      </c>
      <c r="D37" s="3" t="n">
        <v>257000</v>
      </c>
      <c r="E37" s="3" t="n">
        <v>0</v>
      </c>
    </row>
    <row r="38">
      <c r="A38" t="inlineStr">
        <is>
          <t>Purchase Of PPE</t>
        </is>
      </c>
      <c r="B38" s="3" t="n">
        <v>-216928000</v>
      </c>
      <c r="C38" s="3" t="n">
        <v>-163602000</v>
      </c>
      <c r="D38" s="3" t="n">
        <v>-3139000</v>
      </c>
      <c r="E38" s="3" t="n">
        <v>-37271000</v>
      </c>
    </row>
    <row r="39">
      <c r="A39" t="inlineStr">
        <is>
          <t>Capital Expenditure Reported</t>
        </is>
      </c>
      <c r="B39" s="3" t="n">
        <v>-405147000</v>
      </c>
      <c r="C39" s="3" t="n">
        <v>-100708000</v>
      </c>
      <c r="D39" s="3" t="n"/>
      <c r="E39" s="3" t="n"/>
    </row>
    <row r="40">
      <c r="A40" t="inlineStr">
        <is>
          <t>Operating Cash Flow</t>
        </is>
      </c>
      <c r="B40" s="3" t="n">
        <v>-139226000</v>
      </c>
      <c r="C40" s="3" t="n">
        <v>-68535000</v>
      </c>
      <c r="D40" s="3" t="n">
        <v>-29337000</v>
      </c>
      <c r="E40" s="3" t="n">
        <v>-42915000</v>
      </c>
    </row>
    <row r="41">
      <c r="A41" t="inlineStr">
        <is>
          <t>Cash Flow From Continuing Operating Activities</t>
        </is>
      </c>
      <c r="B41" s="3" t="n">
        <v>-139226000</v>
      </c>
      <c r="C41" s="3" t="n">
        <v>-68535000</v>
      </c>
      <c r="D41" s="3" t="n">
        <v>-29337000</v>
      </c>
      <c r="E41" s="3" t="n">
        <v>-42915000</v>
      </c>
    </row>
    <row r="42">
      <c r="A42" t="inlineStr">
        <is>
          <t>Change In Working Capital</t>
        </is>
      </c>
      <c r="B42" s="3" t="n">
        <v>-50841000</v>
      </c>
      <c r="C42" s="3" t="n">
        <v>-14403000</v>
      </c>
      <c r="D42" s="3" t="n">
        <v>-5166000</v>
      </c>
      <c r="E42" s="3" t="n">
        <v>5241000</v>
      </c>
    </row>
    <row r="43">
      <c r="A43" t="inlineStr">
        <is>
          <t>Change In Other Working Capital</t>
        </is>
      </c>
      <c r="B43" s="3" t="n">
        <v>-4741000</v>
      </c>
      <c r="C43" s="3" t="n">
        <v>3499000</v>
      </c>
      <c r="D43" s="3" t="n">
        <v>-13808000</v>
      </c>
      <c r="E43" s="3" t="n">
        <v>14839000</v>
      </c>
    </row>
    <row r="44">
      <c r="A44" t="inlineStr">
        <is>
          <t>Change In Other Current Liabilities</t>
        </is>
      </c>
      <c r="B44" s="3" t="n">
        <v>-5108000</v>
      </c>
      <c r="C44" s="3" t="n">
        <v>-6084000</v>
      </c>
      <c r="D44" s="3" t="n">
        <v>-1866000</v>
      </c>
      <c r="E44" s="3" t="n">
        <v>804000</v>
      </c>
    </row>
    <row r="45">
      <c r="A45" t="inlineStr">
        <is>
          <t>Change In Other Current Assets</t>
        </is>
      </c>
      <c r="B45" s="3" t="n">
        <v>0</v>
      </c>
      <c r="C45" s="3" t="n">
        <v>3907000</v>
      </c>
      <c r="D45" s="3" t="n"/>
      <c r="E45" s="3" t="n"/>
    </row>
    <row r="46">
      <c r="A46" t="inlineStr">
        <is>
          <t>Change In Payables And Accrued Expense</t>
        </is>
      </c>
      <c r="B46" s="3" t="n">
        <v>-5474000</v>
      </c>
      <c r="C46" s="3" t="n">
        <v>-8349000</v>
      </c>
      <c r="D46" s="3" t="n">
        <v>1531000</v>
      </c>
      <c r="E46" s="3" t="n">
        <v>420000</v>
      </c>
    </row>
    <row r="47">
      <c r="A47" t="inlineStr">
        <is>
          <t>Change In Accrued Expense</t>
        </is>
      </c>
      <c r="B47" s="3" t="n"/>
      <c r="C47" s="3" t="n"/>
      <c r="D47" s="3" t="n">
        <v>2171000</v>
      </c>
      <c r="E47" s="3" t="n">
        <v>480000</v>
      </c>
    </row>
    <row r="48">
      <c r="A48" t="inlineStr">
        <is>
          <t>Change In Payable</t>
        </is>
      </c>
      <c r="B48" s="3" t="n">
        <v>-5474000</v>
      </c>
      <c r="C48" s="3" t="n">
        <v>-8349000</v>
      </c>
      <c r="D48" s="3" t="n">
        <v>-308000</v>
      </c>
      <c r="E48" s="3" t="n">
        <v>-538000</v>
      </c>
    </row>
    <row r="49">
      <c r="A49" t="inlineStr">
        <is>
          <t>Change In Account Payable</t>
        </is>
      </c>
      <c r="B49" s="3" t="n">
        <v>-5589000</v>
      </c>
      <c r="C49" s="3" t="n">
        <v>-8349000</v>
      </c>
      <c r="D49" s="3" t="n">
        <v>-308000</v>
      </c>
      <c r="E49" s="3" t="n">
        <v>-538000</v>
      </c>
    </row>
    <row r="50">
      <c r="A50" t="inlineStr">
        <is>
          <t>Change In Tax Payable</t>
        </is>
      </c>
      <c r="B50" s="3" t="n">
        <v>115000</v>
      </c>
      <c r="C50" s="3" t="n">
        <v>0</v>
      </c>
      <c r="D50" s="3" t="n"/>
      <c r="E50" s="3" t="n"/>
    </row>
    <row r="51">
      <c r="A51" t="inlineStr">
        <is>
          <t>Change In Income Tax Payable</t>
        </is>
      </c>
      <c r="B51" s="3" t="n">
        <v>115000</v>
      </c>
      <c r="C51" s="3" t="n">
        <v>0</v>
      </c>
      <c r="D51" s="3" t="n"/>
      <c r="E51" s="3" t="n"/>
    </row>
    <row r="52">
      <c r="A52" t="inlineStr">
        <is>
          <t>Change In Prepaid Assets</t>
        </is>
      </c>
      <c r="B52" s="3" t="n">
        <v>-9876000</v>
      </c>
      <c r="C52" s="3" t="n">
        <v>-5584000</v>
      </c>
      <c r="D52" s="3" t="n">
        <v>8445000</v>
      </c>
      <c r="E52" s="3" t="n">
        <v>-10667000</v>
      </c>
    </row>
    <row r="53">
      <c r="A53" t="inlineStr">
        <is>
          <t>Change In Receivables</t>
        </is>
      </c>
      <c r="B53" s="3" t="n">
        <v>-25642000</v>
      </c>
      <c r="C53" s="3" t="n">
        <v>-1792000</v>
      </c>
      <c r="D53" s="3" t="n">
        <v>532000</v>
      </c>
      <c r="E53" s="3" t="n">
        <v>-155000</v>
      </c>
    </row>
    <row r="54">
      <c r="A54" t="inlineStr">
        <is>
          <t>Changes In Account Receivables</t>
        </is>
      </c>
      <c r="B54" s="3" t="n">
        <v>-26374000</v>
      </c>
      <c r="C54" s="3" t="n">
        <v>-719000</v>
      </c>
      <c r="D54" s="3" t="n">
        <v>532000</v>
      </c>
      <c r="E54" s="3" t="n">
        <v>-155000</v>
      </c>
    </row>
    <row r="55">
      <c r="A55" t="inlineStr">
        <is>
          <t>Other Non Cash Items</t>
        </is>
      </c>
      <c r="B55" s="3" t="n">
        <v>43680000</v>
      </c>
      <c r="C55" s="3" t="n">
        <v>16649000</v>
      </c>
      <c r="D55" s="3" t="n">
        <v>23439000</v>
      </c>
      <c r="E55" s="3" t="n">
        <v>727000</v>
      </c>
    </row>
    <row r="56">
      <c r="A56" t="inlineStr">
        <is>
          <t>Stock Based Compensation</t>
        </is>
      </c>
      <c r="B56" s="3" t="n">
        <v>57802000</v>
      </c>
      <c r="C56" s="3" t="n">
        <v>20783000</v>
      </c>
      <c r="D56" s="3" t="n">
        <v>4611000</v>
      </c>
      <c r="E56" s="3" t="n">
        <v>9176000</v>
      </c>
    </row>
    <row r="57">
      <c r="A57" t="inlineStr">
        <is>
          <t>Asset Impairment Charge</t>
        </is>
      </c>
      <c r="B57" s="3" t="n">
        <v>0</v>
      </c>
      <c r="C57" s="3" t="n">
        <v>4472000</v>
      </c>
      <c r="D57" s="3" t="n">
        <v>67277000</v>
      </c>
      <c r="E57" s="3" t="n">
        <v>30301000</v>
      </c>
    </row>
    <row r="58">
      <c r="A58" t="inlineStr">
        <is>
          <t>Deferred Tax</t>
        </is>
      </c>
      <c r="B58" s="3" t="n">
        <v>-54648000</v>
      </c>
      <c r="C58" s="3" t="n">
        <v>111758000</v>
      </c>
      <c r="D58" s="3" t="n">
        <v>-1518000</v>
      </c>
      <c r="E58" s="3" t="n">
        <v>5069000</v>
      </c>
    </row>
    <row r="59">
      <c r="A59" t="inlineStr">
        <is>
          <t>Deferred Income Tax</t>
        </is>
      </c>
      <c r="B59" s="3" t="n">
        <v>-54648000</v>
      </c>
      <c r="C59" s="3" t="n">
        <v>111758000</v>
      </c>
      <c r="D59" s="3" t="n">
        <v>-1518000</v>
      </c>
      <c r="E59" s="3" t="n">
        <v>5069000</v>
      </c>
    </row>
    <row r="60">
      <c r="A60" t="inlineStr">
        <is>
          <t>Depreciation Amortization Depletion</t>
        </is>
      </c>
      <c r="B60" s="3" t="n">
        <v>104513000</v>
      </c>
      <c r="C60" s="3" t="n">
        <v>49409000</v>
      </c>
      <c r="D60" s="3" t="n">
        <v>19075000</v>
      </c>
      <c r="E60" s="3" t="n">
        <v>11993000</v>
      </c>
    </row>
    <row r="61">
      <c r="A61" t="inlineStr">
        <is>
          <t>Depreciation And Amortization</t>
        </is>
      </c>
      <c r="B61" s="3" t="n">
        <v>104513000</v>
      </c>
      <c r="C61" s="3" t="n">
        <v>49409000</v>
      </c>
      <c r="D61" s="3" t="n">
        <v>19075000</v>
      </c>
      <c r="E61" s="3" t="n">
        <v>11993000</v>
      </c>
    </row>
    <row r="62">
      <c r="A62" t="inlineStr">
        <is>
          <t>Depreciation</t>
        </is>
      </c>
      <c r="B62" s="3" t="n">
        <v>104513000</v>
      </c>
      <c r="C62" s="3" t="n">
        <v>49409000</v>
      </c>
      <c r="D62" s="3" t="n">
        <v>19075000</v>
      </c>
      <c r="E62" s="3" t="n">
        <v>11993000</v>
      </c>
    </row>
    <row r="63">
      <c r="A63" t="inlineStr">
        <is>
          <t>Operating Gains Losses</t>
        </is>
      </c>
      <c r="B63" s="3" t="n">
        <v>8266000</v>
      </c>
      <c r="C63" s="3" t="n">
        <v>-588612000</v>
      </c>
      <c r="D63" s="3" t="n">
        <v>-71444000</v>
      </c>
      <c r="E63" s="3" t="n">
        <v>-73619000</v>
      </c>
    </row>
    <row r="64">
      <c r="A64" t="inlineStr">
        <is>
          <t>Earnings Losses From Equity Investments</t>
        </is>
      </c>
      <c r="B64" s="3" t="n">
        <v>36857000</v>
      </c>
      <c r="C64" s="3" t="n">
        <v>641000</v>
      </c>
      <c r="D64" s="3" t="n">
        <v>5618000</v>
      </c>
      <c r="E64" s="3" t="n">
        <v>0</v>
      </c>
    </row>
    <row r="65">
      <c r="A65" t="inlineStr">
        <is>
          <t>Gain Loss On Investment Securities</t>
        </is>
      </c>
      <c r="B65" s="3" t="n">
        <v>-62890000</v>
      </c>
      <c r="C65" s="3" t="n">
        <v>-6780000</v>
      </c>
      <c r="D65" s="3" t="n">
        <v>-4577000</v>
      </c>
      <c r="E65" s="3" t="n">
        <v>-5455000</v>
      </c>
    </row>
    <row r="66">
      <c r="A66" t="inlineStr">
        <is>
          <t>Net Foreign Currency Exchange Gain Loss</t>
        </is>
      </c>
      <c r="B66" s="3" t="n">
        <v>-3396000</v>
      </c>
      <c r="C66" s="3" t="n">
        <v>5000000</v>
      </c>
      <c r="D66" s="3" t="n">
        <v>0</v>
      </c>
      <c r="E66" s="3" t="n">
        <v>0</v>
      </c>
    </row>
    <row r="67">
      <c r="A67" t="inlineStr">
        <is>
          <t>Gain Loss On Sale Of PPE</t>
        </is>
      </c>
      <c r="B67" s="3" t="n">
        <v>4593000</v>
      </c>
      <c r="C67" s="3" t="n">
        <v>-634000</v>
      </c>
      <c r="D67" s="3" t="n">
        <v>445000</v>
      </c>
      <c r="E67" s="3" t="n">
        <v>0</v>
      </c>
    </row>
    <row r="68">
      <c r="A68" t="inlineStr">
        <is>
          <t>Net Income From Continuing Operations</t>
        </is>
      </c>
      <c r="B68" s="3" t="n">
        <v>-247998000</v>
      </c>
      <c r="C68" s="3" t="n">
        <v>331409000</v>
      </c>
      <c r="D68" s="3" t="n">
        <v>-65611000</v>
      </c>
      <c r="E68" s="3" t="n">
        <v>-31803000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  <c r="H1" s="1" t="inlineStr">
        <is>
          <t>2024-09-30</t>
        </is>
      </c>
    </row>
    <row r="2">
      <c r="A2" t="inlineStr">
        <is>
          <t>Free Cash Flow</t>
        </is>
      </c>
      <c r="B2" s="3" t="n">
        <v>-125156000</v>
      </c>
      <c r="C2" s="3" t="n">
        <v>-243757000</v>
      </c>
      <c r="D2" s="3" t="n">
        <v>-351324000</v>
      </c>
      <c r="E2" s="3" t="n">
        <v>-94150000</v>
      </c>
      <c r="F2" s="3" t="n">
        <v>-98081000</v>
      </c>
      <c r="G2" s="3" t="n"/>
      <c r="H2" s="3" t="n"/>
    </row>
    <row r="3">
      <c r="A3" t="inlineStr">
        <is>
          <t>Repayment Of Debt</t>
        </is>
      </c>
      <c r="B3" s="3" t="n">
        <v>-29713000</v>
      </c>
      <c r="C3" s="3" t="n">
        <v>-10865000</v>
      </c>
      <c r="D3" s="3" t="n">
        <v>-37714000</v>
      </c>
      <c r="E3" s="3" t="n">
        <v>-851000</v>
      </c>
      <c r="F3" s="3" t="n">
        <v>-119000</v>
      </c>
      <c r="G3" s="3" t="n"/>
      <c r="H3" s="3" t="n"/>
    </row>
    <row r="4">
      <c r="A4" t="inlineStr">
        <is>
          <t>Issuance Of Debt</t>
        </is>
      </c>
      <c r="B4" s="3" t="n"/>
      <c r="C4" s="3" t="n">
        <v>70000000</v>
      </c>
      <c r="D4" s="3" t="n">
        <v>65000000</v>
      </c>
      <c r="E4" s="3" t="n">
        <v>0</v>
      </c>
      <c r="F4" s="3" t="n">
        <v>0</v>
      </c>
      <c r="G4" s="3" t="n">
        <v>0</v>
      </c>
      <c r="H4" s="3" t="n"/>
    </row>
    <row r="5">
      <c r="A5" t="inlineStr">
        <is>
          <t>Issuance Of Capital Stock</t>
        </is>
      </c>
      <c r="B5" s="3" t="n">
        <v>230670000</v>
      </c>
      <c r="C5" s="3" t="n">
        <v>309414000</v>
      </c>
      <c r="D5" s="3" t="n">
        <v>130860000</v>
      </c>
      <c r="E5" s="3" t="n">
        <v>205286000</v>
      </c>
      <c r="F5" s="3" t="n">
        <v>112138000</v>
      </c>
      <c r="G5" s="3" t="n"/>
      <c r="H5" s="3" t="n"/>
    </row>
    <row r="6">
      <c r="A6" t="inlineStr">
        <is>
          <t>Capital Expenditure</t>
        </is>
      </c>
      <c r="B6" s="3" t="n">
        <v>-97934000</v>
      </c>
      <c r="C6" s="3" t="n">
        <v>-186397000</v>
      </c>
      <c r="D6" s="3" t="n">
        <v>-352094000</v>
      </c>
      <c r="E6" s="3" t="n">
        <v>-45363000</v>
      </c>
      <c r="F6" s="3" t="n">
        <v>-64232000</v>
      </c>
      <c r="G6" s="3" t="n"/>
      <c r="H6" s="3" t="n"/>
    </row>
    <row r="7">
      <c r="A7" t="inlineStr">
        <is>
          <t>Interest Paid Supplemental Data</t>
        </is>
      </c>
      <c r="B7" s="3" t="n">
        <v>7566000</v>
      </c>
      <c r="C7" s="3" t="n">
        <v>6942000</v>
      </c>
      <c r="D7" s="3" t="n">
        <v>2846000</v>
      </c>
      <c r="E7" s="3" t="n">
        <v>1992000</v>
      </c>
      <c r="F7" s="3" t="n">
        <v>1776000</v>
      </c>
      <c r="G7" s="3" t="n"/>
      <c r="H7" s="3" t="n"/>
    </row>
    <row r="8">
      <c r="A8" t="inlineStr">
        <is>
          <t>Income Tax Paid Supplemental Data</t>
        </is>
      </c>
      <c r="B8" s="3" t="n">
        <v>43000</v>
      </c>
      <c r="C8" s="3" t="n">
        <v>-481000</v>
      </c>
      <c r="D8" s="3" t="n">
        <v>1563000</v>
      </c>
      <c r="E8" s="3" t="n">
        <v>106000</v>
      </c>
      <c r="F8" s="3" t="n">
        <v>0</v>
      </c>
      <c r="G8" s="3" t="n"/>
      <c r="H8" s="3" t="n"/>
    </row>
    <row r="9">
      <c r="A9" t="inlineStr">
        <is>
          <t>End Cash Position</t>
        </is>
      </c>
      <c r="B9" s="3" t="n">
        <v>160626000</v>
      </c>
      <c r="C9" s="3" t="n">
        <v>48614000</v>
      </c>
      <c r="D9" s="3" t="n">
        <v>39629000</v>
      </c>
      <c r="E9" s="3" t="n">
        <v>222352000</v>
      </c>
      <c r="F9" s="3" t="n">
        <v>108974000</v>
      </c>
      <c r="G9" s="3" t="n"/>
      <c r="H9" s="3" t="n"/>
    </row>
    <row r="10">
      <c r="A10" t="inlineStr">
        <is>
          <t>Beginning Cash Position</t>
        </is>
      </c>
      <c r="B10" s="3" t="n">
        <v>48614000</v>
      </c>
      <c r="C10" s="3" t="n">
        <v>39629000</v>
      </c>
      <c r="D10" s="3" t="n">
        <v>222352000</v>
      </c>
      <c r="E10" s="3" t="n">
        <v>108974000</v>
      </c>
      <c r="F10" s="3" t="n">
        <v>85635000</v>
      </c>
      <c r="G10" s="3" t="n"/>
      <c r="H10" s="3" t="n"/>
    </row>
    <row r="11">
      <c r="A11" t="inlineStr">
        <is>
          <t>Effect Of Exchange Rate Changes</t>
        </is>
      </c>
      <c r="B11" s="3" t="n">
        <v>-591000</v>
      </c>
      <c r="C11" s="3" t="n">
        <v>201000</v>
      </c>
      <c r="D11" s="3" t="n">
        <v>15000</v>
      </c>
      <c r="E11" s="3" t="n">
        <v>164000</v>
      </c>
      <c r="F11" s="3" t="n">
        <v>-95000</v>
      </c>
      <c r="G11" s="3" t="n"/>
      <c r="H11" s="3" t="n"/>
    </row>
    <row r="12">
      <c r="A12" t="inlineStr">
        <is>
          <t>Changes In Cash</t>
        </is>
      </c>
      <c r="B12" s="3" t="n">
        <v>112603000</v>
      </c>
      <c r="C12" s="3" t="n">
        <v>8784000</v>
      </c>
      <c r="D12" s="3" t="n">
        <v>-182738000</v>
      </c>
      <c r="E12" s="3" t="n">
        <v>113214000</v>
      </c>
      <c r="F12" s="3" t="n">
        <v>23434000</v>
      </c>
      <c r="G12" s="3" t="n"/>
      <c r="H12" s="3" t="n"/>
    </row>
    <row r="13">
      <c r="A13" t="inlineStr">
        <is>
          <t>Financing Cash Flow</t>
        </is>
      </c>
      <c r="B13" s="3" t="n">
        <v>190997000</v>
      </c>
      <c r="C13" s="3" t="n">
        <v>368511000</v>
      </c>
      <c r="D13" s="3" t="n">
        <v>166852000</v>
      </c>
      <c r="E13" s="3" t="n">
        <v>205245000</v>
      </c>
      <c r="F13" s="3" t="n">
        <v>115519000</v>
      </c>
      <c r="G13" s="3" t="n"/>
      <c r="H13" s="3" t="n"/>
    </row>
    <row r="14">
      <c r="A14" t="inlineStr">
        <is>
          <t>Cash Flow From Continuing Financing Activities</t>
        </is>
      </c>
      <c r="B14" s="3" t="n">
        <v>190997000</v>
      </c>
      <c r="C14" s="3" t="n">
        <v>368511000</v>
      </c>
      <c r="D14" s="3" t="n">
        <v>166852000</v>
      </c>
      <c r="E14" s="3" t="n">
        <v>205245000</v>
      </c>
      <c r="F14" s="3" t="n">
        <v>115519000</v>
      </c>
      <c r="G14" s="3" t="n"/>
      <c r="H14" s="3" t="n"/>
    </row>
    <row r="15">
      <c r="A15" t="inlineStr">
        <is>
          <t>Net Other Financing Charges</t>
        </is>
      </c>
      <c r="B15" s="3" t="n">
        <v>-9960000</v>
      </c>
      <c r="C15" s="3" t="n">
        <v>-38000</v>
      </c>
      <c r="D15" s="3" t="n">
        <v>8700000</v>
      </c>
      <c r="E15" s="3" t="n">
        <v>810000</v>
      </c>
      <c r="F15" s="3" t="n">
        <v>3500000</v>
      </c>
      <c r="G15" s="3" t="n"/>
      <c r="H15" s="3" t="n"/>
    </row>
    <row r="16">
      <c r="A16" t="inlineStr">
        <is>
          <t>Proceeds From Stock Option Exercised</t>
        </is>
      </c>
      <c r="B16" s="3" t="n"/>
      <c r="C16" s="3" t="n">
        <v>0</v>
      </c>
      <c r="D16" s="3" t="n"/>
      <c r="E16" s="3" t="n"/>
      <c r="F16" s="3" t="n"/>
      <c r="G16" s="3" t="n"/>
      <c r="H16" s="3" t="n"/>
    </row>
    <row r="17">
      <c r="A17" t="inlineStr">
        <is>
          <t>Net Common Stock Issuance</t>
        </is>
      </c>
      <c r="B17" s="3" t="n">
        <v>230670000</v>
      </c>
      <c r="C17" s="3" t="n">
        <v>309414000</v>
      </c>
      <c r="D17" s="3" t="n">
        <v>130860000</v>
      </c>
      <c r="E17" s="3" t="n">
        <v>205286000</v>
      </c>
      <c r="F17" s="3" t="n">
        <v>112138000</v>
      </c>
      <c r="G17" s="3" t="n"/>
      <c r="H17" s="3" t="n"/>
    </row>
    <row r="18">
      <c r="A18" t="inlineStr">
        <is>
          <t>Common Stock Issuance</t>
        </is>
      </c>
      <c r="B18" s="3" t="n">
        <v>230670000</v>
      </c>
      <c r="C18" s="3" t="n">
        <v>309414000</v>
      </c>
      <c r="D18" s="3" t="n">
        <v>130860000</v>
      </c>
      <c r="E18" s="3" t="n">
        <v>205286000</v>
      </c>
      <c r="F18" s="3" t="n">
        <v>112138000</v>
      </c>
      <c r="G18" s="3" t="n"/>
      <c r="H18" s="3" t="n"/>
    </row>
    <row r="19">
      <c r="A19" t="inlineStr">
        <is>
          <t>Net Issuance Payments Of Debt</t>
        </is>
      </c>
      <c r="B19" s="3" t="n">
        <v>-29713000</v>
      </c>
      <c r="C19" s="3" t="n">
        <v>59135000</v>
      </c>
      <c r="D19" s="3" t="n">
        <v>27286000</v>
      </c>
      <c r="E19" s="3" t="n">
        <v>-851000</v>
      </c>
      <c r="F19" s="3" t="n">
        <v>-119000</v>
      </c>
      <c r="G19" s="3" t="n"/>
      <c r="H19" s="3" t="n"/>
    </row>
    <row r="20">
      <c r="A20" t="inlineStr">
        <is>
          <t>Net Long Term Debt Issuance</t>
        </is>
      </c>
      <c r="B20" s="3" t="n">
        <v>-29713000</v>
      </c>
      <c r="C20" s="3" t="n">
        <v>59135000</v>
      </c>
      <c r="D20" s="3" t="n">
        <v>27286000</v>
      </c>
      <c r="E20" s="3" t="n">
        <v>-851000</v>
      </c>
      <c r="F20" s="3" t="n">
        <v>-119000</v>
      </c>
      <c r="G20" s="3" t="n"/>
      <c r="H20" s="3" t="n"/>
    </row>
    <row r="21">
      <c r="A21" t="inlineStr">
        <is>
          <t>Long Term Debt Payments</t>
        </is>
      </c>
      <c r="B21" s="3" t="n">
        <v>-29713000</v>
      </c>
      <c r="C21" s="3" t="n">
        <v>-10865000</v>
      </c>
      <c r="D21" s="3" t="n">
        <v>-37714000</v>
      </c>
      <c r="E21" s="3" t="n">
        <v>-851000</v>
      </c>
      <c r="F21" s="3" t="n">
        <v>-119000</v>
      </c>
      <c r="G21" s="3" t="n"/>
      <c r="H21" s="3" t="n"/>
    </row>
    <row r="22">
      <c r="A22" t="inlineStr">
        <is>
          <t>Long Term Debt Issuance</t>
        </is>
      </c>
      <c r="B22" s="3" t="n"/>
      <c r="C22" s="3" t="n">
        <v>70000000</v>
      </c>
      <c r="D22" s="3" t="n">
        <v>65000000</v>
      </c>
      <c r="E22" s="3" t="n">
        <v>0</v>
      </c>
      <c r="F22" s="3" t="n">
        <v>0</v>
      </c>
      <c r="G22" s="3" t="n">
        <v>0</v>
      </c>
      <c r="H22" s="3" t="n"/>
    </row>
    <row r="23">
      <c r="A23" t="inlineStr">
        <is>
          <t>Investing Cash Flow</t>
        </is>
      </c>
      <c r="B23" s="3" t="n">
        <v>-51172000</v>
      </c>
      <c r="C23" s="3" t="n">
        <v>-302367000</v>
      </c>
      <c r="D23" s="3" t="n">
        <v>-350360000</v>
      </c>
      <c r="E23" s="3" t="n">
        <v>-43244000</v>
      </c>
      <c r="F23" s="3" t="n">
        <v>-58236000</v>
      </c>
      <c r="G23" s="3" t="n"/>
      <c r="H23" s="3" t="n"/>
    </row>
    <row r="24">
      <c r="A24" t="inlineStr">
        <is>
          <t>Cash Flow From Continuing Investing Activities</t>
        </is>
      </c>
      <c r="B24" s="3" t="n">
        <v>-51172000</v>
      </c>
      <c r="C24" s="3" t="n">
        <v>-302367000</v>
      </c>
      <c r="D24" s="3" t="n">
        <v>-350360000</v>
      </c>
      <c r="E24" s="3" t="n">
        <v>-43244000</v>
      </c>
      <c r="F24" s="3" t="n">
        <v>-58236000</v>
      </c>
      <c r="G24" s="3" t="n"/>
      <c r="H24" s="3" t="n"/>
    </row>
    <row r="25">
      <c r="A25" t="inlineStr">
        <is>
          <t>Net Other Investing Changes</t>
        </is>
      </c>
      <c r="B25" s="3" t="n"/>
      <c r="C25" s="3" t="n">
        <v>0</v>
      </c>
      <c r="D25" s="3" t="n">
        <v>5000</v>
      </c>
      <c r="E25" s="3" t="n">
        <v>299000</v>
      </c>
      <c r="F25" s="3" t="n">
        <v>3433000</v>
      </c>
      <c r="G25" s="3" t="n">
        <v>57371000</v>
      </c>
      <c r="H25" s="3" t="n"/>
    </row>
    <row r="26">
      <c r="A26" t="inlineStr">
        <is>
          <t>Net Investment Purchase And Sale</t>
        </is>
      </c>
      <c r="B26" s="3" t="n">
        <v>-16839000</v>
      </c>
      <c r="C26" s="3" t="n"/>
      <c r="D26" s="3" t="n"/>
      <c r="E26" s="3" t="n"/>
      <c r="F26" s="3" t="n">
        <v>0</v>
      </c>
      <c r="G26" s="3" t="n"/>
      <c r="H26" s="3" t="n"/>
    </row>
    <row r="27">
      <c r="A27" t="inlineStr">
        <is>
          <t>Purchase Of Investment</t>
        </is>
      </c>
      <c r="B27" s="3" t="n">
        <v>-16839000</v>
      </c>
      <c r="C27" s="3" t="n"/>
      <c r="D27" s="3" t="n"/>
      <c r="E27" s="3" t="n"/>
      <c r="F27" s="3" t="n">
        <v>0</v>
      </c>
      <c r="G27" s="3" t="n"/>
      <c r="H27" s="3" t="n"/>
    </row>
    <row r="28">
      <c r="A28" t="inlineStr">
        <is>
          <t>Net Business Purchase And Sale</t>
        </is>
      </c>
      <c r="B28" s="3" t="n">
        <v>63601000</v>
      </c>
      <c r="C28" s="3" t="n">
        <v>46068000</v>
      </c>
      <c r="D28" s="3" t="n">
        <v>894000</v>
      </c>
      <c r="E28" s="3" t="n">
        <v>0</v>
      </c>
      <c r="F28" s="3" t="n">
        <v>0</v>
      </c>
      <c r="G28" s="3" t="n"/>
      <c r="H28" s="3" t="n"/>
    </row>
    <row r="29">
      <c r="A29" t="inlineStr">
        <is>
          <t>Sale Of Business</t>
        </is>
      </c>
      <c r="B29" s="3" t="n">
        <v>63601000</v>
      </c>
      <c r="C29" s="3" t="n">
        <v>46068000</v>
      </c>
      <c r="D29" s="3" t="n">
        <v>894000</v>
      </c>
      <c r="E29" s="3" t="n">
        <v>0</v>
      </c>
      <c r="F29" s="3" t="n">
        <v>0</v>
      </c>
      <c r="G29" s="3" t="n"/>
      <c r="H29" s="3" t="n"/>
    </row>
    <row r="30">
      <c r="A30" t="inlineStr">
        <is>
          <t>Purchase Of Business</t>
        </is>
      </c>
      <c r="B30" s="3" t="n"/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/>
    </row>
    <row r="31">
      <c r="A31" t="inlineStr">
        <is>
          <t>Net Intangibles Purchase And Sale</t>
        </is>
      </c>
      <c r="B31" s="3" t="n">
        <v>0</v>
      </c>
      <c r="C31" s="3" t="n">
        <v>0</v>
      </c>
      <c r="D31" s="3" t="n">
        <v>-25115000</v>
      </c>
      <c r="E31" s="3" t="n">
        <v>0</v>
      </c>
      <c r="F31" s="3" t="n">
        <v>-896000</v>
      </c>
      <c r="G31" s="3" t="n"/>
      <c r="H31" s="3" t="n"/>
    </row>
    <row r="32">
      <c r="A32" t="inlineStr">
        <is>
          <t>Purchase Of Intangibles</t>
        </is>
      </c>
      <c r="B32" s="3" t="n">
        <v>0</v>
      </c>
      <c r="C32" s="3" t="n">
        <v>0</v>
      </c>
      <c r="D32" s="3" t="n">
        <v>-25115000</v>
      </c>
      <c r="E32" s="3" t="n">
        <v>0</v>
      </c>
      <c r="F32" s="3" t="n">
        <v>-896000</v>
      </c>
      <c r="G32" s="3" t="n"/>
      <c r="H32" s="3" t="n"/>
    </row>
    <row r="33">
      <c r="A33" t="inlineStr">
        <is>
          <t>Net PPE Purchase And Sale</t>
        </is>
      </c>
      <c r="B33" s="3" t="n">
        <v>-36617000</v>
      </c>
      <c r="C33" s="3" t="n">
        <v>-68377000</v>
      </c>
      <c r="D33" s="3" t="n">
        <v>-38364000</v>
      </c>
      <c r="E33" s="3" t="n">
        <v>-43543000</v>
      </c>
      <c r="F33" s="3" t="n">
        <v>-60773000</v>
      </c>
      <c r="G33" s="3" t="n"/>
      <c r="H33" s="3" t="n"/>
    </row>
    <row r="34">
      <c r="A34" t="inlineStr">
        <is>
          <t>Sale Of PPE</t>
        </is>
      </c>
      <c r="B34" s="3" t="n">
        <v>0</v>
      </c>
      <c r="C34" s="3" t="n">
        <v>653000</v>
      </c>
      <c r="D34" s="3" t="n">
        <v>835000</v>
      </c>
      <c r="E34" s="3" t="n">
        <v>1820000</v>
      </c>
      <c r="F34" s="3" t="n">
        <v>2563000</v>
      </c>
      <c r="G34" s="3" t="n"/>
      <c r="H34" s="3" t="n"/>
    </row>
    <row r="35">
      <c r="A35" t="inlineStr">
        <is>
          <t>Purchase Of PPE</t>
        </is>
      </c>
      <c r="B35" s="3" t="n">
        <v>-36617000</v>
      </c>
      <c r="C35" s="3" t="n">
        <v>-69030000</v>
      </c>
      <c r="D35" s="3" t="n">
        <v>-39199000</v>
      </c>
      <c r="E35" s="3" t="n">
        <v>-45363000</v>
      </c>
      <c r="F35" s="3" t="n">
        <v>-63336000</v>
      </c>
      <c r="G35" s="3" t="n"/>
      <c r="H35" s="3" t="n"/>
    </row>
    <row r="36">
      <c r="A36" t="inlineStr">
        <is>
          <t>Capital Expenditure Reported</t>
        </is>
      </c>
      <c r="B36" s="3" t="n">
        <v>-61317000</v>
      </c>
      <c r="C36" s="3" t="n">
        <v>-117367000</v>
      </c>
      <c r="D36" s="3" t="n"/>
      <c r="E36" s="3" t="n"/>
      <c r="F36" s="3" t="n">
        <v>0</v>
      </c>
      <c r="G36" s="3" t="n"/>
      <c r="H36" s="3" t="n"/>
    </row>
    <row r="37">
      <c r="A37" t="inlineStr">
        <is>
          <t>Operating Cash Flow</t>
        </is>
      </c>
      <c r="B37" s="3" t="n">
        <v>-27222000</v>
      </c>
      <c r="C37" s="3" t="n">
        <v>-57360000</v>
      </c>
      <c r="D37" s="3" t="n">
        <v>770000</v>
      </c>
      <c r="E37" s="3" t="n">
        <v>-48787000</v>
      </c>
      <c r="F37" s="3" t="n">
        <v>-33849000</v>
      </c>
      <c r="G37" s="3" t="n"/>
      <c r="H37" s="3" t="n"/>
    </row>
    <row r="38">
      <c r="A38" t="inlineStr">
        <is>
          <t>Cash Flow From Continuing Operating Activities</t>
        </is>
      </c>
      <c r="B38" s="3" t="n">
        <v>-27222000</v>
      </c>
      <c r="C38" s="3" t="n">
        <v>-57360000</v>
      </c>
      <c r="D38" s="3" t="n">
        <v>770000</v>
      </c>
      <c r="E38" s="3" t="n">
        <v>-48787000</v>
      </c>
      <c r="F38" s="3" t="n">
        <v>-33849000</v>
      </c>
      <c r="G38" s="3" t="n"/>
      <c r="H38" s="3" t="n"/>
    </row>
    <row r="39">
      <c r="A39" t="inlineStr">
        <is>
          <t>Change In Working Capital</t>
        </is>
      </c>
      <c r="B39" s="3" t="n">
        <v>21698000</v>
      </c>
      <c r="C39" s="3" t="n">
        <v>-31059000</v>
      </c>
      <c r="D39" s="3" t="n">
        <v>3270000</v>
      </c>
      <c r="E39" s="3" t="n">
        <v>-15726000</v>
      </c>
      <c r="F39" s="3" t="n">
        <v>-7326000</v>
      </c>
      <c r="G39" s="3" t="n"/>
      <c r="H39" s="3" t="n"/>
    </row>
    <row r="40">
      <c r="A40" t="inlineStr">
        <is>
          <t>Change In Other Working Capital</t>
        </is>
      </c>
      <c r="B40" s="3" t="n">
        <v>512000</v>
      </c>
      <c r="C40" s="3" t="n">
        <v>-503000</v>
      </c>
      <c r="D40" s="3" t="n">
        <v>-4186000</v>
      </c>
      <c r="E40" s="3" t="n">
        <v>1584000</v>
      </c>
      <c r="F40" s="3" t="n">
        <v>-1636000</v>
      </c>
      <c r="G40" s="3" t="n"/>
      <c r="H40" s="3" t="n"/>
    </row>
    <row r="41">
      <c r="A41" t="inlineStr">
        <is>
          <t>Change In Other Current Liabilities</t>
        </is>
      </c>
      <c r="B41" s="3" t="n">
        <v>-1289000</v>
      </c>
      <c r="C41" s="3" t="n">
        <v>-1297000</v>
      </c>
      <c r="D41" s="3" t="n">
        <v>-1302000</v>
      </c>
      <c r="E41" s="3" t="n">
        <v>-1251000</v>
      </c>
      <c r="F41" s="3" t="n">
        <v>-1258000</v>
      </c>
      <c r="G41" s="3" t="n"/>
      <c r="H41" s="3" t="n"/>
    </row>
    <row r="42">
      <c r="A42" t="inlineStr">
        <is>
          <t>Change In Other Current Assets</t>
        </is>
      </c>
      <c r="B42" s="3" t="n"/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/>
    </row>
    <row r="43">
      <c r="A43" t="inlineStr">
        <is>
          <t>Change In Payables And Accrued Expense</t>
        </is>
      </c>
      <c r="B43" s="3" t="n">
        <v>-1924000</v>
      </c>
      <c r="C43" s="3" t="n">
        <v>-12182000</v>
      </c>
      <c r="D43" s="3" t="n">
        <v>5096000</v>
      </c>
      <c r="E43" s="3" t="n">
        <v>10152000</v>
      </c>
      <c r="F43" s="3" t="n">
        <v>-8540000</v>
      </c>
      <c r="G43" s="3" t="n"/>
      <c r="H43" s="3" t="n"/>
    </row>
    <row r="44">
      <c r="A44" t="inlineStr">
        <is>
          <t>Change In Payable</t>
        </is>
      </c>
      <c r="B44" s="3" t="n">
        <v>-1924000</v>
      </c>
      <c r="C44" s="3" t="n"/>
      <c r="D44" s="3" t="n"/>
      <c r="E44" s="3" t="n"/>
      <c r="F44" s="3" t="n">
        <v>-8540000</v>
      </c>
      <c r="G44" s="3" t="n"/>
      <c r="H44" s="3" t="n"/>
    </row>
    <row r="45">
      <c r="A45" t="inlineStr">
        <is>
          <t>Change In Account Payable</t>
        </is>
      </c>
      <c r="B45" s="3" t="n">
        <v>-5521000</v>
      </c>
      <c r="C45" s="3" t="n"/>
      <c r="D45" s="3" t="n"/>
      <c r="E45" s="3" t="n"/>
      <c r="F45" s="3" t="n">
        <v>-8540000</v>
      </c>
      <c r="G45" s="3" t="n"/>
      <c r="H45" s="3" t="n"/>
    </row>
    <row r="46">
      <c r="A46" t="inlineStr">
        <is>
          <t>Change In Tax Payable</t>
        </is>
      </c>
      <c r="B46" s="3" t="n">
        <v>3597000</v>
      </c>
      <c r="C46" s="3" t="n"/>
      <c r="D46" s="3" t="n"/>
      <c r="E46" s="3" t="n"/>
      <c r="F46" s="3" t="n">
        <v>0</v>
      </c>
      <c r="G46" s="3" t="n"/>
      <c r="H46" s="3" t="n"/>
    </row>
    <row r="47">
      <c r="A47" t="inlineStr">
        <is>
          <t>Change In Income Tax Payable</t>
        </is>
      </c>
      <c r="B47" s="3" t="n">
        <v>3597000</v>
      </c>
      <c r="C47" s="3" t="n"/>
      <c r="D47" s="3" t="n"/>
      <c r="E47" s="3" t="n"/>
      <c r="F47" s="3" t="n">
        <v>0</v>
      </c>
      <c r="G47" s="3" t="n"/>
      <c r="H47" s="3" t="n"/>
    </row>
    <row r="48">
      <c r="A48" t="inlineStr">
        <is>
          <t>Change In Prepaid Assets</t>
        </is>
      </c>
      <c r="B48" s="3" t="n">
        <v>758000</v>
      </c>
      <c r="C48" s="3" t="n">
        <v>7675000</v>
      </c>
      <c r="D48" s="3" t="n">
        <v>2029000</v>
      </c>
      <c r="E48" s="3" t="n">
        <v>-20823000</v>
      </c>
      <c r="F48" s="3" t="n">
        <v>1243000</v>
      </c>
      <c r="G48" s="3" t="n"/>
      <c r="H48" s="3" t="n"/>
    </row>
    <row r="49">
      <c r="A49" t="inlineStr">
        <is>
          <t>Change In Receivables</t>
        </is>
      </c>
      <c r="B49" s="3" t="n">
        <v>23641000</v>
      </c>
      <c r="C49" s="3" t="n">
        <v>-24752000</v>
      </c>
      <c r="D49" s="3" t="n">
        <v>1633000</v>
      </c>
      <c r="E49" s="3" t="n">
        <v>-5388000</v>
      </c>
      <c r="F49" s="3" t="n">
        <v>2865000</v>
      </c>
      <c r="G49" s="3" t="n"/>
      <c r="H49" s="3" t="n"/>
    </row>
    <row r="50">
      <c r="A50" t="inlineStr">
        <is>
          <t>Changes In Account Receivables</t>
        </is>
      </c>
      <c r="B50" s="3" t="n">
        <v>23300000</v>
      </c>
      <c r="C50" s="3" t="n">
        <v>-26916000</v>
      </c>
      <c r="D50" s="3" t="n">
        <v>1711000</v>
      </c>
      <c r="E50" s="3" t="n">
        <v>-3794000</v>
      </c>
      <c r="F50" s="3" t="n">
        <v>2625000</v>
      </c>
      <c r="G50" s="3" t="n"/>
      <c r="H50" s="3" t="n"/>
    </row>
    <row r="51">
      <c r="A51" t="inlineStr">
        <is>
          <t>Other Non Cash Items</t>
        </is>
      </c>
      <c r="B51" s="3" t="n">
        <v>3142000</v>
      </c>
      <c r="C51" s="3" t="n">
        <v>2604000</v>
      </c>
      <c r="D51" s="3" t="n">
        <v>3232000</v>
      </c>
      <c r="E51" s="3" t="n">
        <v>9180000</v>
      </c>
      <c r="F51" s="3" t="n">
        <v>28664000</v>
      </c>
      <c r="G51" s="3" t="n"/>
      <c r="H51" s="3" t="n"/>
    </row>
    <row r="52">
      <c r="A52" t="inlineStr">
        <is>
          <t>Stock Based Compensation</t>
        </is>
      </c>
      <c r="B52" s="3" t="n">
        <v>50874000</v>
      </c>
      <c r="C52" s="3" t="n">
        <v>40051000</v>
      </c>
      <c r="D52" s="3" t="n">
        <v>6318000</v>
      </c>
      <c r="E52" s="3" t="n">
        <v>7640000</v>
      </c>
      <c r="F52" s="3" t="n">
        <v>3793000</v>
      </c>
      <c r="G52" s="3" t="n"/>
      <c r="H52" s="3" t="n"/>
    </row>
    <row r="53">
      <c r="A53" t="inlineStr">
        <is>
          <t>Asset Impairment Charge</t>
        </is>
      </c>
      <c r="B53" s="3" t="n"/>
      <c r="C53" s="3" t="n"/>
      <c r="D53" s="3" t="n"/>
      <c r="E53" s="3" t="n"/>
      <c r="F53" s="3" t="n"/>
      <c r="G53" s="3" t="n">
        <v>4472000</v>
      </c>
      <c r="H53" s="3" t="n">
        <v>0</v>
      </c>
    </row>
    <row r="54">
      <c r="A54" t="inlineStr">
        <is>
          <t>Deferred Tax</t>
        </is>
      </c>
      <c r="B54" s="3" t="n">
        <v>-52265000</v>
      </c>
      <c r="C54" s="3" t="n">
        <v>-80823000</v>
      </c>
      <c r="D54" s="3" t="n">
        <v>19089000</v>
      </c>
      <c r="E54" s="3" t="n">
        <v>27529000</v>
      </c>
      <c r="F54" s="3" t="n">
        <v>-20443000</v>
      </c>
      <c r="G54" s="3" t="n"/>
      <c r="H54" s="3" t="n"/>
    </row>
    <row r="55">
      <c r="A55" t="inlineStr">
        <is>
          <t>Deferred Income Tax</t>
        </is>
      </c>
      <c r="B55" s="3" t="n">
        <v>-52265000</v>
      </c>
      <c r="C55" s="3" t="n">
        <v>-80823000</v>
      </c>
      <c r="D55" s="3" t="n">
        <v>19089000</v>
      </c>
      <c r="E55" s="3" t="n">
        <v>27529000</v>
      </c>
      <c r="F55" s="3" t="n">
        <v>-20443000</v>
      </c>
      <c r="G55" s="3" t="n"/>
      <c r="H55" s="3" t="n"/>
    </row>
    <row r="56">
      <c r="A56" t="inlineStr">
        <is>
          <t>Depreciation Amortization Depletion</t>
        </is>
      </c>
      <c r="B56" s="3" t="n">
        <v>39121000</v>
      </c>
      <c r="C56" s="3" t="n">
        <v>40428000</v>
      </c>
      <c r="D56" s="3" t="n">
        <v>28467000</v>
      </c>
      <c r="E56" s="3" t="n">
        <v>20110000</v>
      </c>
      <c r="F56" s="3" t="n">
        <v>15508000</v>
      </c>
      <c r="G56" s="3" t="n"/>
      <c r="H56" s="3" t="n"/>
    </row>
    <row r="57">
      <c r="A57" t="inlineStr">
        <is>
          <t>Depreciation And Amortization</t>
        </is>
      </c>
      <c r="B57" s="3" t="n">
        <v>39121000</v>
      </c>
      <c r="C57" s="3" t="n">
        <v>40428000</v>
      </c>
      <c r="D57" s="3" t="n">
        <v>28467000</v>
      </c>
      <c r="E57" s="3" t="n">
        <v>20110000</v>
      </c>
      <c r="F57" s="3" t="n">
        <v>15508000</v>
      </c>
      <c r="G57" s="3" t="n"/>
      <c r="H57" s="3" t="n"/>
    </row>
    <row r="58">
      <c r="A58" t="inlineStr">
        <is>
          <t>Depreciation</t>
        </is>
      </c>
      <c r="B58" s="3" t="n">
        <v>39121000</v>
      </c>
      <c r="C58" s="3" t="n">
        <v>40428000</v>
      </c>
      <c r="D58" s="3" t="n">
        <v>28467000</v>
      </c>
      <c r="E58" s="3" t="n">
        <v>20110000</v>
      </c>
      <c r="F58" s="3" t="n">
        <v>15508000</v>
      </c>
      <c r="G58" s="3" t="n"/>
      <c r="H58" s="3" t="n"/>
    </row>
    <row r="59">
      <c r="A59" t="inlineStr">
        <is>
          <t>Operating Gains Losses</t>
        </is>
      </c>
      <c r="B59" s="3" t="n">
        <v>163343000</v>
      </c>
      <c r="C59" s="3" t="n">
        <v>273213000</v>
      </c>
      <c r="D59" s="3" t="n">
        <v>-110218000</v>
      </c>
      <c r="E59" s="3" t="n">
        <v>-235003000</v>
      </c>
      <c r="F59" s="3" t="n">
        <v>80274000</v>
      </c>
      <c r="G59" s="3" t="n"/>
      <c r="H59" s="3" t="n"/>
    </row>
    <row r="60">
      <c r="A60" t="inlineStr">
        <is>
          <t>Earnings Losses From Equity Investments</t>
        </is>
      </c>
      <c r="B60" s="3" t="n">
        <v>1570000</v>
      </c>
      <c r="C60" s="3" t="n">
        <v>5019000</v>
      </c>
      <c r="D60" s="3" t="n">
        <v>34267000</v>
      </c>
      <c r="E60" s="3" t="n">
        <v>-1064000</v>
      </c>
      <c r="F60" s="3" t="n">
        <v>-1365000</v>
      </c>
      <c r="G60" s="3" t="n"/>
      <c r="H60" s="3" t="n"/>
    </row>
    <row r="61">
      <c r="A61" t="inlineStr">
        <is>
          <t>Gain Loss On Investment Securities</t>
        </is>
      </c>
      <c r="B61" s="3" t="n">
        <v>-40886000</v>
      </c>
      <c r="C61" s="3" t="n">
        <v>-54543000</v>
      </c>
      <c r="D61" s="3" t="n">
        <v>-4930000</v>
      </c>
      <c r="E61" s="3" t="n">
        <v>17445000</v>
      </c>
      <c r="F61" s="3" t="n">
        <v>-20862000</v>
      </c>
      <c r="G61" s="3" t="n"/>
      <c r="H61" s="3" t="n"/>
    </row>
    <row r="62">
      <c r="A62" t="inlineStr">
        <is>
          <t>Net Foreign Currency Exchange Gain Loss</t>
        </is>
      </c>
      <c r="B62" s="3" t="n">
        <v>2720000</v>
      </c>
      <c r="C62" s="3" t="n">
        <v>-1803000</v>
      </c>
      <c r="D62" s="3" t="n">
        <v>1530000</v>
      </c>
      <c r="E62" s="3" t="n">
        <v>-3114000</v>
      </c>
      <c r="F62" s="3" t="n">
        <v>-9000</v>
      </c>
      <c r="G62" s="3" t="n"/>
      <c r="H62" s="3" t="n"/>
    </row>
    <row r="63">
      <c r="A63" t="inlineStr">
        <is>
          <t>Gain Loss On Sale Of PPE</t>
        </is>
      </c>
      <c r="B63" s="3" t="n">
        <v>0</v>
      </c>
      <c r="C63" s="3" t="n">
        <v>984000</v>
      </c>
      <c r="D63" s="3" t="n">
        <v>1467000</v>
      </c>
      <c r="E63" s="3" t="n">
        <v>-312000</v>
      </c>
      <c r="F63" s="3" t="n">
        <v>2454000</v>
      </c>
      <c r="G63" s="3" t="n"/>
      <c r="H63" s="3" t="n"/>
    </row>
    <row r="64">
      <c r="A64" t="inlineStr">
        <is>
          <t>Gain Loss On Sale Of Business</t>
        </is>
      </c>
      <c r="B64" s="3" t="n">
        <v>-33601000</v>
      </c>
      <c r="C64" s="3" t="n"/>
      <c r="D64" s="3" t="n"/>
      <c r="E64" s="3" t="n"/>
      <c r="F64" s="3" t="n">
        <v>0</v>
      </c>
      <c r="G64" s="3" t="n"/>
      <c r="H64" s="3" t="n"/>
    </row>
    <row r="65">
      <c r="A65" t="inlineStr">
        <is>
          <t>Net Income From Continuing Operations</t>
        </is>
      </c>
      <c r="B65" s="3" t="n">
        <v>-253135000</v>
      </c>
      <c r="C65" s="3" t="n">
        <v>-301774000</v>
      </c>
      <c r="D65" s="3" t="n">
        <v>50612000</v>
      </c>
      <c r="E65" s="3" t="n">
        <v>137483000</v>
      </c>
      <c r="F65" s="3" t="n">
        <v>-134319000</v>
      </c>
      <c r="G65" s="3" t="n"/>
      <c r="H65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Issue</t>
        </is>
      </c>
    </row>
    <row r="2">
      <c r="A2" t="inlineStr">
        <is>
          <t>Trailing P/E</t>
        </is>
      </c>
      <c r="B2" t="inlineStr">
        <is>
          <t>missing from yfinance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2026-05-18T06:04:27Z</dcterms:created>
  <dcterms:modified xmlns:dcterms="http://purl.org/dc/terms/" xmlns:xsi="http://www.w3.org/2001/XMLSchema-instance" xsi:type="dcterms:W3CDTF">2026-05-18T06:04:28Z</dcterms:modified>
</cp:coreProperties>
</file>