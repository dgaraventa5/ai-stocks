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DRO.AX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DroneShield Limited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Aerospace &amp; Defense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1566333824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1353008000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Infinity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27.163464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7.224387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0.60931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-0.03497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0.016239999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0.01086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3.168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209490000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14255000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756125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924090778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1.695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None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(annual)'!D30</f>
        <v/>
      </c>
      <c r="C6" s="3">
        <f>'Income stmt (annual)'!C30</f>
        <v/>
      </c>
      <c r="D6" s="3">
        <f>'Income stmt (annual)'!B30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0.3</v>
      </c>
      <c r="C3" s="3" t="n">
        <v>0.3</v>
      </c>
      <c r="D3" s="3" t="n">
        <v>0.3</v>
      </c>
      <c r="E3" s="3" t="n">
        <v>0.3</v>
      </c>
    </row>
    <row r="4">
      <c r="A4" t="inlineStr">
        <is>
          <t>Normalized EBITDA</t>
        </is>
      </c>
      <c r="B4" s="3" t="n">
        <v>12463000</v>
      </c>
      <c r="C4" s="3" t="n">
        <v>-2710000</v>
      </c>
      <c r="D4" s="3" t="n">
        <v>2564272</v>
      </c>
      <c r="E4" s="3" t="n">
        <v>-3280444</v>
      </c>
    </row>
    <row r="5">
      <c r="A5" t="inlineStr">
        <is>
          <t>Net Income From Continuing Operation Net Minority Interest</t>
        </is>
      </c>
      <c r="B5" s="3" t="n">
        <v>3521000</v>
      </c>
      <c r="C5" s="3" t="n">
        <v>-1320000</v>
      </c>
      <c r="D5" s="3" t="n">
        <v>9334387</v>
      </c>
      <c r="E5" s="3" t="n">
        <v>-949301</v>
      </c>
    </row>
    <row r="6">
      <c r="A6" t="inlineStr">
        <is>
          <t>Reconciled Depreciation</t>
        </is>
      </c>
      <c r="B6" s="3" t="n">
        <v>10579000</v>
      </c>
      <c r="C6" s="3" t="n">
        <v>3617000</v>
      </c>
      <c r="D6" s="3" t="n">
        <v>1522845</v>
      </c>
      <c r="E6" s="3" t="n">
        <v>930157</v>
      </c>
    </row>
    <row r="7">
      <c r="A7" t="inlineStr">
        <is>
          <t>Reconciled Cost Of Revenue</t>
        </is>
      </c>
      <c r="B7" s="3" t="n">
        <v>84706000</v>
      </c>
      <c r="C7" s="3" t="n">
        <v>16284000</v>
      </c>
      <c r="D7" s="3" t="n">
        <v>15137250</v>
      </c>
      <c r="E7" s="3" t="n">
        <v>4976034</v>
      </c>
    </row>
    <row r="8">
      <c r="A8" t="inlineStr">
        <is>
          <t>EBITDA</t>
        </is>
      </c>
      <c r="B8" s="3" t="n">
        <v>12463000</v>
      </c>
      <c r="C8" s="3" t="n">
        <v>-2710000</v>
      </c>
      <c r="D8" s="3" t="n">
        <v>2564272</v>
      </c>
      <c r="E8" s="3" t="n">
        <v>-3280444</v>
      </c>
    </row>
    <row r="9">
      <c r="A9" t="inlineStr">
        <is>
          <t>EBIT</t>
        </is>
      </c>
      <c r="B9" s="3" t="n">
        <v>1884000</v>
      </c>
      <c r="C9" s="3" t="n">
        <v>-6327000</v>
      </c>
      <c r="D9" s="3" t="n">
        <v>1041427</v>
      </c>
      <c r="E9" s="3" t="n">
        <v>-4210601</v>
      </c>
    </row>
    <row r="10">
      <c r="A10" t="inlineStr">
        <is>
          <t>Net Interest Income</t>
        </is>
      </c>
      <c r="B10" s="3" t="n">
        <v>7333000</v>
      </c>
      <c r="C10" s="3" t="n">
        <v>5454000</v>
      </c>
      <c r="D10" s="3" t="n">
        <v>974330</v>
      </c>
      <c r="E10" s="3" t="n">
        <v>19098</v>
      </c>
    </row>
    <row r="11">
      <c r="A11" t="inlineStr">
        <is>
          <t>Interest Expense</t>
        </is>
      </c>
      <c r="B11" s="3" t="n">
        <v>633000</v>
      </c>
      <c r="C11" s="3" t="n">
        <v>459000</v>
      </c>
      <c r="D11" s="3" t="n"/>
      <c r="E11" s="3" t="n"/>
    </row>
    <row r="12">
      <c r="A12" t="inlineStr">
        <is>
          <t>Interest Income</t>
        </is>
      </c>
      <c r="B12" s="3" t="n">
        <v>7966000</v>
      </c>
      <c r="C12" s="3" t="n">
        <v>5913000</v>
      </c>
      <c r="D12" s="3" t="n">
        <v>974330</v>
      </c>
      <c r="E12" s="3" t="n">
        <v>19098</v>
      </c>
    </row>
    <row r="13">
      <c r="A13" t="inlineStr">
        <is>
          <t>Normalized Income</t>
        </is>
      </c>
      <c r="B13" s="3" t="n">
        <v>3521000</v>
      </c>
      <c r="C13" s="3" t="n">
        <v>-1320000</v>
      </c>
      <c r="D13" s="3" t="n">
        <v>9334387</v>
      </c>
      <c r="E13" s="3" t="n">
        <v>-949301</v>
      </c>
    </row>
    <row r="14">
      <c r="A14" t="inlineStr">
        <is>
          <t>Net Income From Continuing And Discontinued Operation</t>
        </is>
      </c>
      <c r="B14" s="3" t="n">
        <v>3521000</v>
      </c>
      <c r="C14" s="3" t="n">
        <v>-1320000</v>
      </c>
      <c r="D14" s="3" t="n">
        <v>9334387</v>
      </c>
      <c r="E14" s="3" t="n">
        <v>-949301</v>
      </c>
    </row>
    <row r="15">
      <c r="A15" t="inlineStr">
        <is>
          <t>Diluted Average Shares</t>
        </is>
      </c>
      <c r="B15" s="3" t="n">
        <v>921668710</v>
      </c>
      <c r="C15" s="3" t="n">
        <v>624993012</v>
      </c>
      <c r="D15" s="3" t="n">
        <v>464029449</v>
      </c>
      <c r="E15" s="3" t="n">
        <v>429980471</v>
      </c>
    </row>
    <row r="16">
      <c r="A16" t="inlineStr">
        <is>
          <t>Basic Average Shares</t>
        </is>
      </c>
      <c r="B16" s="3" t="n">
        <v>921668710</v>
      </c>
      <c r="C16" s="3" t="n">
        <v>624993012</v>
      </c>
      <c r="D16" s="3" t="n">
        <v>464029449</v>
      </c>
      <c r="E16" s="3" t="n">
        <v>429980471</v>
      </c>
    </row>
    <row r="17">
      <c r="A17" t="inlineStr">
        <is>
          <t>Diluted EPS</t>
        </is>
      </c>
      <c r="B17" s="3" t="n">
        <v>0.0038</v>
      </c>
      <c r="C17" s="3" t="n">
        <v>-0.0021</v>
      </c>
      <c r="D17" s="3" t="n">
        <v>0.0201</v>
      </c>
      <c r="E17" s="3" t="n">
        <v>-0.0022</v>
      </c>
    </row>
    <row r="18">
      <c r="A18" t="inlineStr">
        <is>
          <t>Basic EPS</t>
        </is>
      </c>
      <c r="B18" s="3" t="n">
        <v>0.0038</v>
      </c>
      <c r="C18" s="3" t="n">
        <v>-0.0021</v>
      </c>
      <c r="D18" s="3" t="n">
        <v>0.0201</v>
      </c>
      <c r="E18" s="3" t="n">
        <v>-0.0022</v>
      </c>
    </row>
    <row r="19">
      <c r="A19" t="inlineStr">
        <is>
          <t>Net Income Common Stockholders</t>
        </is>
      </c>
      <c r="B19" s="3" t="n">
        <v>3521000</v>
      </c>
      <c r="C19" s="3" t="n">
        <v>-1320000</v>
      </c>
      <c r="D19" s="3" t="n">
        <v>9334387</v>
      </c>
      <c r="E19" s="3" t="n">
        <v>-949301</v>
      </c>
    </row>
    <row r="20">
      <c r="A20" t="inlineStr">
        <is>
          <t>Net Income</t>
        </is>
      </c>
      <c r="B20" s="3" t="n">
        <v>3521000</v>
      </c>
      <c r="C20" s="3" t="n">
        <v>-1320000</v>
      </c>
      <c r="D20" s="3" t="n">
        <v>9334387</v>
      </c>
      <c r="E20" s="3" t="n">
        <v>-949301</v>
      </c>
    </row>
    <row r="21">
      <c r="A21" t="inlineStr">
        <is>
          <t>Net Income Including Noncontrolling Interests</t>
        </is>
      </c>
      <c r="B21" s="3" t="n">
        <v>3521000</v>
      </c>
      <c r="C21" s="3" t="n">
        <v>-1320000</v>
      </c>
      <c r="D21" s="3" t="n">
        <v>9334387</v>
      </c>
      <c r="E21" s="3" t="n">
        <v>-949301</v>
      </c>
    </row>
    <row r="22">
      <c r="A22" t="inlineStr">
        <is>
          <t>Net Income Continuous Operations</t>
        </is>
      </c>
      <c r="B22" s="3" t="n">
        <v>3521000</v>
      </c>
      <c r="C22" s="3" t="n">
        <v>-1320000</v>
      </c>
      <c r="D22" s="3" t="n">
        <v>9334387</v>
      </c>
      <c r="E22" s="3" t="n">
        <v>-949301</v>
      </c>
    </row>
    <row r="23">
      <c r="A23" t="inlineStr">
        <is>
          <t>Tax Provision</t>
        </is>
      </c>
      <c r="B23" s="3" t="n">
        <v>-2270000</v>
      </c>
      <c r="C23" s="3" t="n">
        <v>-5466000</v>
      </c>
      <c r="D23" s="3" t="n">
        <v>-6168129</v>
      </c>
      <c r="E23" s="3" t="n">
        <v>-1979531</v>
      </c>
    </row>
    <row r="24">
      <c r="A24" t="inlineStr">
        <is>
          <t>Pretax Income</t>
        </is>
      </c>
      <c r="B24" s="3" t="n">
        <v>1251000</v>
      </c>
      <c r="C24" s="3" t="n">
        <v>-6786000</v>
      </c>
      <c r="D24" s="3" t="n">
        <v>3166258</v>
      </c>
      <c r="E24" s="3" t="n">
        <v>-2928832</v>
      </c>
    </row>
    <row r="25">
      <c r="A25" t="inlineStr">
        <is>
          <t>Other Income Expense</t>
        </is>
      </c>
      <c r="B25" s="3" t="n">
        <v>-2039000</v>
      </c>
      <c r="C25" s="3" t="n">
        <v>1262000</v>
      </c>
      <c r="D25" s="3" t="n">
        <v>-372344</v>
      </c>
      <c r="E25" s="3" t="n">
        <v>332514</v>
      </c>
    </row>
    <row r="26">
      <c r="A26" t="inlineStr">
        <is>
          <t>Other Non Operating Income Expenses</t>
        </is>
      </c>
      <c r="B26" s="3" t="n">
        <v>-2039000</v>
      </c>
      <c r="C26" s="3" t="n">
        <v>1262000</v>
      </c>
      <c r="D26" s="3" t="n">
        <v>-372344</v>
      </c>
      <c r="E26" s="3" t="n">
        <v>332514</v>
      </c>
    </row>
    <row r="27">
      <c r="A27" t="inlineStr">
        <is>
          <t>Net Non Operating Interest Income Expense</t>
        </is>
      </c>
      <c r="B27" s="3" t="n">
        <v>7333000</v>
      </c>
      <c r="C27" s="3" t="n">
        <v>5454000</v>
      </c>
      <c r="D27" s="3" t="n">
        <v>974330</v>
      </c>
      <c r="E27" s="3" t="n">
        <v>19098</v>
      </c>
    </row>
    <row r="28">
      <c r="A28" t="inlineStr">
        <is>
          <t>Interest Expense Non Operating</t>
        </is>
      </c>
      <c r="B28" s="3" t="n">
        <v>633000</v>
      </c>
      <c r="C28" s="3" t="n">
        <v>459000</v>
      </c>
      <c r="D28" s="3" t="n"/>
      <c r="E28" s="3" t="n"/>
    </row>
    <row r="29">
      <c r="A29" t="inlineStr">
        <is>
          <t>Interest Income Non Operating</t>
        </is>
      </c>
      <c r="B29" s="3" t="n">
        <v>7966000</v>
      </c>
      <c r="C29" s="3" t="n">
        <v>5913000</v>
      </c>
      <c r="D29" s="3" t="n">
        <v>974330</v>
      </c>
      <c r="E29" s="3" t="n">
        <v>19098</v>
      </c>
    </row>
    <row r="30">
      <c r="A30" t="inlineStr">
        <is>
          <t>Operating Income</t>
        </is>
      </c>
      <c r="B30" s="3" t="n">
        <v>-14622000</v>
      </c>
      <c r="C30" s="3" t="n">
        <v>-17119000</v>
      </c>
      <c r="D30" s="3" t="n">
        <v>1041427</v>
      </c>
      <c r="E30" s="3" t="n">
        <v>-4210601</v>
      </c>
    </row>
    <row r="31">
      <c r="A31" t="inlineStr">
        <is>
          <t>Operating Expense</t>
        </is>
      </c>
      <c r="B31" s="3" t="n">
        <v>146463000</v>
      </c>
      <c r="C31" s="3" t="n">
        <v>58364000</v>
      </c>
      <c r="D31" s="3" t="n">
        <v>37910251</v>
      </c>
      <c r="E31" s="3" t="n">
        <v>16041290</v>
      </c>
    </row>
    <row r="32">
      <c r="A32" t="inlineStr">
        <is>
          <t>Other Operating Expenses</t>
        </is>
      </c>
      <c r="B32" s="3" t="n">
        <v>45374000</v>
      </c>
      <c r="C32" s="3" t="n">
        <v>21815000</v>
      </c>
      <c r="D32" s="3" t="n">
        <v>3123367</v>
      </c>
      <c r="E32" s="3" t="n">
        <v>4793504</v>
      </c>
    </row>
    <row r="33">
      <c r="A33" t="inlineStr">
        <is>
          <t>Depreciation Amortization Depletion Income Statement</t>
        </is>
      </c>
      <c r="B33" s="3" t="n">
        <v>10579000</v>
      </c>
      <c r="C33" s="3" t="n">
        <v>3617000</v>
      </c>
      <c r="D33" s="3" t="n">
        <v>1522845</v>
      </c>
      <c r="E33" s="3" t="n">
        <v>930157</v>
      </c>
    </row>
    <row r="34">
      <c r="A34" t="inlineStr">
        <is>
          <t>Depreciation And Amortization In Income Statement</t>
        </is>
      </c>
      <c r="B34" s="3" t="n">
        <v>10579000</v>
      </c>
      <c r="C34" s="3" t="n">
        <v>3617000</v>
      </c>
      <c r="D34" s="3" t="n">
        <v>1522845</v>
      </c>
      <c r="E34" s="3" t="n">
        <v>930157</v>
      </c>
    </row>
    <row r="35">
      <c r="A35" t="inlineStr">
        <is>
          <t>Amortization</t>
        </is>
      </c>
      <c r="B35" s="3" t="n">
        <v>2272000</v>
      </c>
      <c r="C35" s="3" t="n">
        <v>268000</v>
      </c>
      <c r="D35" s="3" t="n">
        <v>14579</v>
      </c>
      <c r="E35" s="3" t="n">
        <v>13674</v>
      </c>
    </row>
    <row r="36">
      <c r="A36" t="inlineStr">
        <is>
          <t>Amortization Of Intangibles Income Statement</t>
        </is>
      </c>
      <c r="B36" s="3" t="n">
        <v>2272000</v>
      </c>
      <c r="C36" s="3" t="n">
        <v>268000</v>
      </c>
      <c r="D36" s="3" t="n">
        <v>14579</v>
      </c>
      <c r="E36" s="3" t="n">
        <v>13674</v>
      </c>
    </row>
    <row r="37">
      <c r="A37" t="inlineStr">
        <is>
          <t>Depreciation Income Statement</t>
        </is>
      </c>
      <c r="B37" s="3" t="n">
        <v>8307000</v>
      </c>
      <c r="C37" s="3" t="n">
        <v>3349000</v>
      </c>
      <c r="D37" s="3" t="n">
        <v>1508266</v>
      </c>
      <c r="E37" s="3" t="n">
        <v>916483</v>
      </c>
    </row>
    <row r="38">
      <c r="A38" t="inlineStr">
        <is>
          <t>Research And Development</t>
        </is>
      </c>
      <c r="B38" s="3" t="n">
        <v>45374000</v>
      </c>
      <c r="C38" s="3" t="n">
        <v>21815000</v>
      </c>
      <c r="D38" s="3" t="n">
        <v>11061821</v>
      </c>
      <c r="E38" s="3" t="n">
        <v>6616104</v>
      </c>
    </row>
    <row r="39">
      <c r="A39" t="inlineStr">
        <is>
          <t>Selling General And Administration</t>
        </is>
      </c>
      <c r="B39" s="3" t="n">
        <v>90510000</v>
      </c>
      <c r="C39" s="3" t="n">
        <v>32932000</v>
      </c>
      <c r="D39" s="3" t="n">
        <v>22202218</v>
      </c>
      <c r="E39" s="3" t="n">
        <v>3701525</v>
      </c>
    </row>
    <row r="40">
      <c r="A40" t="inlineStr">
        <is>
          <t>Selling And Marketing Expense</t>
        </is>
      </c>
      <c r="B40" s="3" t="n">
        <v>27535000</v>
      </c>
      <c r="C40" s="3" t="n">
        <v>11131000</v>
      </c>
      <c r="D40" s="3" t="n">
        <v>11662611</v>
      </c>
      <c r="E40" s="3" t="n"/>
    </row>
    <row r="41">
      <c r="A41" t="inlineStr">
        <is>
          <t>General And Administrative Expense</t>
        </is>
      </c>
      <c r="B41" s="3" t="n">
        <v>62975000</v>
      </c>
      <c r="C41" s="3" t="n">
        <v>21801000</v>
      </c>
      <c r="D41" s="3" t="n">
        <v>10539607</v>
      </c>
      <c r="E41" s="3" t="n">
        <v>3701525</v>
      </c>
    </row>
    <row r="42">
      <c r="A42" t="inlineStr">
        <is>
          <t>Other Gand A</t>
        </is>
      </c>
      <c r="B42" s="3" t="n">
        <v>39464000</v>
      </c>
      <c r="C42" s="3" t="n">
        <v>17154000</v>
      </c>
      <c r="D42" s="3" t="n">
        <v>2145807</v>
      </c>
      <c r="E42" s="3" t="n">
        <v>1550890</v>
      </c>
    </row>
    <row r="43">
      <c r="A43" t="inlineStr">
        <is>
          <t>Salaries And Wages</t>
        </is>
      </c>
      <c r="B43" s="3" t="n">
        <v>23511000</v>
      </c>
      <c r="C43" s="3" t="n">
        <v>4647000</v>
      </c>
      <c r="D43" s="3" t="n">
        <v>8393800</v>
      </c>
      <c r="E43" s="3" t="n">
        <v>2150635</v>
      </c>
    </row>
    <row r="44">
      <c r="A44" t="inlineStr">
        <is>
          <t>Gross Profit</t>
        </is>
      </c>
      <c r="B44" s="3" t="n">
        <v>131841000</v>
      </c>
      <c r="C44" s="3" t="n">
        <v>41245000</v>
      </c>
      <c r="D44" s="3" t="n">
        <v>38951678</v>
      </c>
      <c r="E44" s="3" t="n">
        <v>11830689</v>
      </c>
    </row>
    <row r="45">
      <c r="A45" t="inlineStr">
        <is>
          <t>Cost Of Revenue</t>
        </is>
      </c>
      <c r="B45" s="3" t="n">
        <v>84706000</v>
      </c>
      <c r="C45" s="3" t="n">
        <v>16284000</v>
      </c>
      <c r="D45" s="3" t="n">
        <v>15137250</v>
      </c>
      <c r="E45" s="3" t="n">
        <v>4976034</v>
      </c>
    </row>
    <row r="46">
      <c r="A46" t="inlineStr">
        <is>
          <t>Total Revenue</t>
        </is>
      </c>
      <c r="B46" s="3" t="n">
        <v>216547000</v>
      </c>
      <c r="C46" s="3" t="n">
        <v>57529000</v>
      </c>
      <c r="D46" s="3" t="n">
        <v>54088928</v>
      </c>
      <c r="E46" s="3" t="n">
        <v>16806723</v>
      </c>
    </row>
    <row r="47">
      <c r="A47" t="inlineStr">
        <is>
          <t>Operating Revenue</t>
        </is>
      </c>
      <c r="B47" s="3" t="n">
        <v>216547000</v>
      </c>
      <c r="C47" s="3" t="n">
        <v>57529000</v>
      </c>
      <c r="D47" s="3" t="n">
        <v>54088928</v>
      </c>
      <c r="E47" s="3" t="n">
        <v>16806723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913417667</v>
      </c>
      <c r="C2" s="3" t="n">
        <v>872115159</v>
      </c>
      <c r="D2" s="3" t="n">
        <v>611453611</v>
      </c>
      <c r="E2" s="3" t="n">
        <v>429980471</v>
      </c>
      <c r="F2" s="3" t="n"/>
    </row>
    <row r="3">
      <c r="A3" t="inlineStr">
        <is>
          <t>Share Issued</t>
        </is>
      </c>
      <c r="B3" s="3" t="n">
        <v>913417667</v>
      </c>
      <c r="C3" s="3" t="n">
        <v>872115159</v>
      </c>
      <c r="D3" s="3" t="n">
        <v>611453611</v>
      </c>
      <c r="E3" s="3" t="n">
        <v>429980471</v>
      </c>
      <c r="F3" s="3" t="n"/>
    </row>
    <row r="4">
      <c r="A4" t="inlineStr">
        <is>
          <t>Total Debt</t>
        </is>
      </c>
      <c r="B4" s="3" t="n">
        <v>14255000</v>
      </c>
      <c r="C4" s="3" t="n">
        <v>9107000</v>
      </c>
      <c r="D4" s="3" t="n">
        <v>2625404</v>
      </c>
      <c r="E4" s="3" t="n">
        <v>596097</v>
      </c>
      <c r="F4" s="3" t="n"/>
    </row>
    <row r="5">
      <c r="A5" t="inlineStr">
        <is>
          <t>Tangible Book Value</t>
        </is>
      </c>
      <c r="B5" s="3" t="n">
        <v>316470000</v>
      </c>
      <c r="C5" s="3" t="n">
        <v>305168000</v>
      </c>
      <c r="D5" s="3" t="n">
        <v>74477420</v>
      </c>
      <c r="E5" s="3" t="n">
        <v>18999403</v>
      </c>
      <c r="F5" s="3" t="n"/>
    </row>
    <row r="6">
      <c r="A6" t="inlineStr">
        <is>
          <t>Invested Capital</t>
        </is>
      </c>
      <c r="B6" s="3" t="n">
        <v>336616000</v>
      </c>
      <c r="C6" s="3" t="n">
        <v>311587000</v>
      </c>
      <c r="D6" s="3" t="n">
        <v>74511293</v>
      </c>
      <c r="E6" s="3" t="n">
        <v>19069455</v>
      </c>
      <c r="F6" s="3" t="n"/>
    </row>
    <row r="7">
      <c r="A7" t="inlineStr">
        <is>
          <t>Working Capital</t>
        </is>
      </c>
      <c r="B7" s="3" t="n">
        <v>276933000</v>
      </c>
      <c r="C7" s="3" t="n">
        <v>290068000</v>
      </c>
      <c r="D7" s="3" t="n">
        <v>64418630</v>
      </c>
      <c r="E7" s="3" t="n">
        <v>16126036</v>
      </c>
      <c r="F7" s="3" t="n"/>
    </row>
    <row r="8">
      <c r="A8" t="inlineStr">
        <is>
          <t>Net Tangible Assets</t>
        </is>
      </c>
      <c r="B8" s="3" t="n">
        <v>316470000</v>
      </c>
      <c r="C8" s="3" t="n">
        <v>305168000</v>
      </c>
      <c r="D8" s="3" t="n">
        <v>74477420</v>
      </c>
      <c r="E8" s="3" t="n">
        <v>18999403</v>
      </c>
      <c r="F8" s="3" t="n"/>
    </row>
    <row r="9">
      <c r="A9" t="inlineStr">
        <is>
          <t>Capital Lease Obligations</t>
        </is>
      </c>
      <c r="B9" s="3" t="n">
        <v>14255000</v>
      </c>
      <c r="C9" s="3" t="n">
        <v>9107000</v>
      </c>
      <c r="D9" s="3" t="n">
        <v>2625404</v>
      </c>
      <c r="E9" s="3" t="n">
        <v>526045</v>
      </c>
      <c r="F9" s="3" t="n"/>
    </row>
    <row r="10">
      <c r="A10" t="inlineStr">
        <is>
          <t>Common Stock Equity</t>
        </is>
      </c>
      <c r="B10" s="3" t="n">
        <v>336616000</v>
      </c>
      <c r="C10" s="3" t="n">
        <v>311587000</v>
      </c>
      <c r="D10" s="3" t="n">
        <v>74511293</v>
      </c>
      <c r="E10" s="3" t="n">
        <v>18999403</v>
      </c>
      <c r="F10" s="3" t="n"/>
    </row>
    <row r="11">
      <c r="A11" t="inlineStr">
        <is>
          <t>Total Capitalization</t>
        </is>
      </c>
      <c r="B11" s="3" t="n">
        <v>336616000</v>
      </c>
      <c r="C11" s="3" t="n">
        <v>311587000</v>
      </c>
      <c r="D11" s="3" t="n">
        <v>74511293</v>
      </c>
      <c r="E11" s="3" t="n">
        <v>18999403</v>
      </c>
      <c r="F11" s="3" t="n"/>
    </row>
    <row r="12">
      <c r="A12" t="inlineStr">
        <is>
          <t>Total Equity Gross Minority Interest</t>
        </is>
      </c>
      <c r="B12" s="3" t="n">
        <v>336616000</v>
      </c>
      <c r="C12" s="3" t="n">
        <v>311587000</v>
      </c>
      <c r="D12" s="3" t="n">
        <v>74511293</v>
      </c>
      <c r="E12" s="3" t="n">
        <v>18999403</v>
      </c>
      <c r="F12" s="3" t="n"/>
    </row>
    <row r="13">
      <c r="A13" t="inlineStr">
        <is>
          <t>Stockholders Equity</t>
        </is>
      </c>
      <c r="B13" s="3" t="n">
        <v>336616000</v>
      </c>
      <c r="C13" s="3" t="n">
        <v>311587000</v>
      </c>
      <c r="D13" s="3" t="n">
        <v>74511293</v>
      </c>
      <c r="E13" s="3" t="n">
        <v>18999403</v>
      </c>
      <c r="F13" s="3" t="n"/>
    </row>
    <row r="14">
      <c r="A14" t="inlineStr">
        <is>
          <t>Gains Losses Not Affecting Retained Earnings</t>
        </is>
      </c>
      <c r="B14" s="3" t="n">
        <v>11610000</v>
      </c>
      <c r="C14" s="3" t="n">
        <v>10088000</v>
      </c>
      <c r="D14" s="3" t="n">
        <v>5473844</v>
      </c>
      <c r="E14" s="3" t="n">
        <v>5088141</v>
      </c>
      <c r="F14" s="3" t="n"/>
    </row>
    <row r="15">
      <c r="A15" t="inlineStr">
        <is>
          <t>Other Equity Adjustments</t>
        </is>
      </c>
      <c r="B15" s="3" t="n">
        <v>11952000</v>
      </c>
      <c r="C15" s="3" t="n">
        <v>7829000</v>
      </c>
      <c r="D15" s="3" t="n">
        <v>5473844</v>
      </c>
      <c r="E15" s="3" t="n">
        <v>5088141</v>
      </c>
      <c r="F15" s="3" t="n"/>
    </row>
    <row r="16">
      <c r="A16" t="inlineStr">
        <is>
          <t>Foreign Currency Translation Adjustments</t>
        </is>
      </c>
      <c r="B16" s="3" t="n">
        <v>-342000</v>
      </c>
      <c r="C16" s="3" t="n">
        <v>2259000</v>
      </c>
      <c r="D16" s="3" t="n"/>
      <c r="E16" s="3" t="n"/>
      <c r="F16" s="3" t="n">
        <v>124208</v>
      </c>
    </row>
    <row r="17">
      <c r="A17" t="inlineStr">
        <is>
          <t>Retained Earnings</t>
        </is>
      </c>
      <c r="B17" s="3" t="n">
        <v>11259000</v>
      </c>
      <c r="C17" s="3" t="n">
        <v>-11650000</v>
      </c>
      <c r="D17" s="3" t="n">
        <v>-11340189</v>
      </c>
      <c r="E17" s="3" t="n">
        <v>-26623894</v>
      </c>
      <c r="F17" s="3" t="n"/>
    </row>
    <row r="18">
      <c r="A18" t="inlineStr">
        <is>
          <t>Capital Stock</t>
        </is>
      </c>
      <c r="B18" s="3" t="n">
        <v>313747000</v>
      </c>
      <c r="C18" s="3" t="n">
        <v>313149000</v>
      </c>
      <c r="D18" s="3" t="n">
        <v>80377638</v>
      </c>
      <c r="E18" s="3" t="n">
        <v>40535156</v>
      </c>
      <c r="F18" s="3" t="n"/>
    </row>
    <row r="19">
      <c r="A19" t="inlineStr">
        <is>
          <t>Common Stock</t>
        </is>
      </c>
      <c r="B19" s="3" t="n">
        <v>313747000</v>
      </c>
      <c r="C19" s="3" t="n">
        <v>313149000</v>
      </c>
      <c r="D19" s="3" t="n">
        <v>80377638</v>
      </c>
      <c r="E19" s="3" t="n">
        <v>40535156</v>
      </c>
      <c r="F19" s="3" t="n"/>
    </row>
    <row r="20">
      <c r="A20" t="inlineStr">
        <is>
          <t>Total Liabilities Net Minority Interest</t>
        </is>
      </c>
      <c r="B20" s="3" t="n">
        <v>75569000</v>
      </c>
      <c r="C20" s="3" t="n">
        <v>44292000</v>
      </c>
      <c r="D20" s="3" t="n">
        <v>22540612</v>
      </c>
      <c r="E20" s="3" t="n">
        <v>6207649</v>
      </c>
      <c r="F20" s="3" t="n"/>
    </row>
    <row r="21">
      <c r="A21" t="inlineStr">
        <is>
          <t>Total Non Current Liabilities Net Minority Interest</t>
        </is>
      </c>
      <c r="B21" s="3" t="n">
        <v>17616000</v>
      </c>
      <c r="C21" s="3" t="n">
        <v>16459000</v>
      </c>
      <c r="D21" s="3" t="n">
        <v>2314680</v>
      </c>
      <c r="E21" s="3" t="n">
        <v>64760</v>
      </c>
      <c r="F21" s="3" t="n"/>
    </row>
    <row r="22">
      <c r="A22" t="inlineStr">
        <is>
          <t>Other Non Current Liabilities</t>
        </is>
      </c>
      <c r="B22" s="3" t="n">
        <v>4083000</v>
      </c>
      <c r="C22" s="3" t="n">
        <v>6073000</v>
      </c>
      <c r="D22" s="3" t="n"/>
      <c r="E22" s="3" t="n"/>
      <c r="F22" s="3" t="n"/>
    </row>
    <row r="23">
      <c r="A23" t="inlineStr">
        <is>
          <t>Employee Benefits</t>
        </is>
      </c>
      <c r="B23" s="3" t="n">
        <v>730000</v>
      </c>
      <c r="C23" s="3" t="n">
        <v>326000</v>
      </c>
      <c r="D23" s="3" t="n">
        <v>140711</v>
      </c>
      <c r="E23" s="3" t="n">
        <v>64760</v>
      </c>
      <c r="F23" s="3" t="n"/>
    </row>
    <row r="24">
      <c r="A24" t="inlineStr">
        <is>
          <t>Non Current Pension And Other Postretirement Benefit Plans</t>
        </is>
      </c>
      <c r="B24" s="3" t="n">
        <v>730000</v>
      </c>
      <c r="C24" s="3" t="n">
        <v>326000</v>
      </c>
      <c r="D24" s="3" t="n">
        <v>140711</v>
      </c>
      <c r="E24" s="3" t="n">
        <v>64760</v>
      </c>
      <c r="F24" s="3" t="n"/>
    </row>
    <row r="25">
      <c r="A25" t="inlineStr">
        <is>
          <t>Long Term Debt And Capital Lease Obligation</t>
        </is>
      </c>
      <c r="B25" s="3" t="n">
        <v>10995000</v>
      </c>
      <c r="C25" s="3" t="n">
        <v>8734000</v>
      </c>
      <c r="D25" s="3" t="n">
        <v>2173969</v>
      </c>
      <c r="E25" s="3" t="n"/>
      <c r="F25" s="3" t="n">
        <v>38802</v>
      </c>
    </row>
    <row r="26">
      <c r="A26" t="inlineStr">
        <is>
          <t>Long Term Capital Lease Obligation</t>
        </is>
      </c>
      <c r="B26" s="3" t="n">
        <v>10995000</v>
      </c>
      <c r="C26" s="3" t="n">
        <v>8734000</v>
      </c>
      <c r="D26" s="3" t="n">
        <v>2173969</v>
      </c>
      <c r="E26" s="3" t="n"/>
      <c r="F26" s="3" t="n">
        <v>38802</v>
      </c>
    </row>
    <row r="27">
      <c r="A27" t="inlineStr">
        <is>
          <t>Long Term Provisions</t>
        </is>
      </c>
      <c r="B27" s="3" t="n">
        <v>1808000</v>
      </c>
      <c r="C27" s="3" t="n">
        <v>1326000</v>
      </c>
      <c r="D27" s="3" t="n"/>
      <c r="E27" s="3" t="n"/>
      <c r="F27" s="3" t="n"/>
    </row>
    <row r="28">
      <c r="A28" t="inlineStr">
        <is>
          <t>Current Liabilities</t>
        </is>
      </c>
      <c r="B28" s="3" t="n">
        <v>57953000</v>
      </c>
      <c r="C28" s="3" t="n">
        <v>27833000</v>
      </c>
      <c r="D28" s="3" t="n">
        <v>20225932</v>
      </c>
      <c r="E28" s="3" t="n">
        <v>6142889</v>
      </c>
      <c r="F28" s="3" t="n"/>
    </row>
    <row r="29">
      <c r="A29" t="inlineStr">
        <is>
          <t>Other Current Liabilities</t>
        </is>
      </c>
      <c r="B29" s="3" t="n">
        <v>23583000</v>
      </c>
      <c r="C29" s="3" t="n">
        <v>20649000</v>
      </c>
      <c r="D29" s="3" t="n"/>
      <c r="E29" s="3" t="n"/>
      <c r="F29" s="3" t="n"/>
    </row>
    <row r="30">
      <c r="A30" t="inlineStr">
        <is>
          <t>Current Deferred Liabilities</t>
        </is>
      </c>
      <c r="B30" s="3" t="n">
        <v>400000</v>
      </c>
      <c r="C30" s="3" t="n">
        <v>799000</v>
      </c>
      <c r="D30" s="3" t="n">
        <v>15694674</v>
      </c>
      <c r="E30" s="3" t="n">
        <v>4555326</v>
      </c>
      <c r="F30" s="3" t="n"/>
    </row>
    <row r="31">
      <c r="A31" t="inlineStr">
        <is>
          <t>Current Deferred Revenue</t>
        </is>
      </c>
      <c r="B31" s="3" t="n"/>
      <c r="C31" s="3" t="n"/>
      <c r="D31" s="3" t="n">
        <v>15324244</v>
      </c>
      <c r="E31" s="3" t="n">
        <v>4555326</v>
      </c>
      <c r="F31" s="3" t="n">
        <v>1566894</v>
      </c>
    </row>
    <row r="32">
      <c r="A32" t="inlineStr">
        <is>
          <t>Current Deferred Taxes Liabilities</t>
        </is>
      </c>
      <c r="B32" s="3" t="n">
        <v>400000</v>
      </c>
      <c r="C32" s="3" t="n">
        <v>799000</v>
      </c>
      <c r="D32" s="3" t="n">
        <v>370430</v>
      </c>
      <c r="E32" s="3" t="n"/>
      <c r="F32" s="3" t="n"/>
    </row>
    <row r="33">
      <c r="A33" t="inlineStr">
        <is>
          <t>Current Debt And Capital Lease Obligation</t>
        </is>
      </c>
      <c r="B33" s="3" t="n">
        <v>3260000</v>
      </c>
      <c r="C33" s="3" t="n">
        <v>373000</v>
      </c>
      <c r="D33" s="3" t="n">
        <v>451435</v>
      </c>
      <c r="E33" s="3" t="n">
        <v>596097</v>
      </c>
      <c r="F33" s="3" t="n"/>
    </row>
    <row r="34">
      <c r="A34" t="inlineStr">
        <is>
          <t>Current Capital Lease Obligation</t>
        </is>
      </c>
      <c r="B34" s="3" t="n">
        <v>3260000</v>
      </c>
      <c r="C34" s="3" t="n">
        <v>373000</v>
      </c>
      <c r="D34" s="3" t="n">
        <v>451435</v>
      </c>
      <c r="E34" s="3" t="n">
        <v>526045</v>
      </c>
      <c r="F34" s="3" t="n"/>
    </row>
    <row r="35">
      <c r="A35" t="inlineStr">
        <is>
          <t>Current Debt</t>
        </is>
      </c>
      <c r="B35" s="3" t="n"/>
      <c r="C35" s="3" t="n"/>
      <c r="D35" s="3" t="n"/>
      <c r="E35" s="3" t="n">
        <v>70052</v>
      </c>
      <c r="F35" s="3" t="n">
        <v>56584</v>
      </c>
    </row>
    <row r="36">
      <c r="A36" t="inlineStr">
        <is>
          <t>Other Current Borrowings</t>
        </is>
      </c>
      <c r="B36" s="3" t="n"/>
      <c r="C36" s="3" t="n"/>
      <c r="D36" s="3" t="n"/>
      <c r="E36" s="3" t="n">
        <v>70052</v>
      </c>
      <c r="F36" s="3" t="n">
        <v>56584</v>
      </c>
    </row>
    <row r="37">
      <c r="A37" t="inlineStr">
        <is>
          <t>Pensionand Other Post Retirement Benefit Plans Current</t>
        </is>
      </c>
      <c r="B37" s="3" t="n">
        <v>2422000</v>
      </c>
      <c r="C37" s="3" t="n">
        <v>1071000</v>
      </c>
      <c r="D37" s="3" t="n">
        <v>591580</v>
      </c>
      <c r="E37" s="3" t="n">
        <v>427235</v>
      </c>
      <c r="F37" s="3" t="n"/>
    </row>
    <row r="38">
      <c r="A38" t="inlineStr">
        <is>
          <t>Current Provisions</t>
        </is>
      </c>
      <c r="B38" s="3" t="n">
        <v>802000</v>
      </c>
      <c r="C38" s="3" t="n">
        <v>224000</v>
      </c>
      <c r="D38" s="3" t="n"/>
      <c r="E38" s="3" t="n"/>
      <c r="F38" s="3" t="n"/>
    </row>
    <row r="39">
      <c r="A39" t="inlineStr">
        <is>
          <t>Payables And Accrued Expenses</t>
        </is>
      </c>
      <c r="B39" s="3" t="n">
        <v>27486000</v>
      </c>
      <c r="C39" s="3" t="n">
        <v>4717000</v>
      </c>
      <c r="D39" s="3" t="n">
        <v>3488243</v>
      </c>
      <c r="E39" s="3" t="n">
        <v>564231</v>
      </c>
      <c r="F39" s="3" t="n"/>
    </row>
    <row r="40">
      <c r="A40" t="inlineStr">
        <is>
          <t>Payables</t>
        </is>
      </c>
      <c r="B40" s="3" t="n">
        <v>27486000</v>
      </c>
      <c r="C40" s="3" t="n">
        <v>4717000</v>
      </c>
      <c r="D40" s="3" t="n">
        <v>3488243</v>
      </c>
      <c r="E40" s="3" t="n">
        <v>564231</v>
      </c>
      <c r="F40" s="3" t="n"/>
    </row>
    <row r="41">
      <c r="A41" t="inlineStr">
        <is>
          <t>Other Payable</t>
        </is>
      </c>
      <c r="B41" s="3" t="n">
        <v>5814000</v>
      </c>
      <c r="C41" s="3" t="n">
        <v>2550000</v>
      </c>
      <c r="D41" s="3" t="n"/>
      <c r="E41" s="3" t="n"/>
      <c r="F41" s="3" t="n"/>
    </row>
    <row r="42">
      <c r="A42" t="inlineStr">
        <is>
          <t>Accounts Payable</t>
        </is>
      </c>
      <c r="B42" s="3" t="n">
        <v>21672000</v>
      </c>
      <c r="C42" s="3" t="n">
        <v>2167000</v>
      </c>
      <c r="D42" s="3" t="n">
        <v>3488243</v>
      </c>
      <c r="E42" s="3" t="n">
        <v>564231</v>
      </c>
      <c r="F42" s="3" t="n"/>
    </row>
    <row r="43">
      <c r="A43" t="inlineStr">
        <is>
          <t>Total Assets</t>
        </is>
      </c>
      <c r="B43" s="3" t="n">
        <v>412185000</v>
      </c>
      <c r="C43" s="3" t="n">
        <v>355879000</v>
      </c>
      <c r="D43" s="3" t="n">
        <v>97051905</v>
      </c>
      <c r="E43" s="3" t="n">
        <v>25207052</v>
      </c>
      <c r="F43" s="3" t="n"/>
    </row>
    <row r="44">
      <c r="A44" t="inlineStr">
        <is>
          <t>Total Non Current Assets</t>
        </is>
      </c>
      <c r="B44" s="3" t="n">
        <v>77299000</v>
      </c>
      <c r="C44" s="3" t="n">
        <v>37978000</v>
      </c>
      <c r="D44" s="3" t="n">
        <v>12407343</v>
      </c>
      <c r="E44" s="3" t="n">
        <v>2938127</v>
      </c>
      <c r="F44" s="3" t="n"/>
    </row>
    <row r="45">
      <c r="A45" t="inlineStr">
        <is>
          <t>Non Current Deferred Assets</t>
        </is>
      </c>
      <c r="B45" s="3" t="n">
        <v>16107000</v>
      </c>
      <c r="C45" s="3" t="n">
        <v>13739000</v>
      </c>
      <c r="D45" s="3" t="n">
        <v>5362337</v>
      </c>
      <c r="E45" s="3" t="n"/>
      <c r="F45" s="3" t="n"/>
    </row>
    <row r="46">
      <c r="A46" t="inlineStr">
        <is>
          <t>Non Current Deferred Taxes Assets</t>
        </is>
      </c>
      <c r="B46" s="3" t="n">
        <v>16107000</v>
      </c>
      <c r="C46" s="3" t="n">
        <v>13739000</v>
      </c>
      <c r="D46" s="3" t="n">
        <v>5362337</v>
      </c>
      <c r="E46" s="3" t="n"/>
      <c r="F46" s="3" t="n"/>
    </row>
    <row r="47">
      <c r="A47" t="inlineStr">
        <is>
          <t>Investments And Advances</t>
        </is>
      </c>
      <c r="B47" s="3" t="n">
        <v>1067000</v>
      </c>
      <c r="C47" s="3" t="n">
        <v>1166000</v>
      </c>
      <c r="D47" s="3" t="n">
        <v>1117696</v>
      </c>
      <c r="E47" s="3" t="n">
        <v>42900</v>
      </c>
      <c r="F47" s="3" t="n"/>
    </row>
    <row r="48">
      <c r="A48" t="inlineStr">
        <is>
          <t>Other Investments</t>
        </is>
      </c>
      <c r="B48" s="3" t="n">
        <v>1067000</v>
      </c>
      <c r="C48" s="3" t="n">
        <v>1166000</v>
      </c>
      <c r="D48" s="3" t="n">
        <v>1117696</v>
      </c>
      <c r="E48" s="3" t="n">
        <v>42900</v>
      </c>
      <c r="F48" s="3" t="n"/>
    </row>
    <row r="49">
      <c r="A49" t="inlineStr">
        <is>
          <t>Goodwill And Other Intangible Assets</t>
        </is>
      </c>
      <c r="B49" s="3" t="n">
        <v>20146000</v>
      </c>
      <c r="C49" s="3" t="n">
        <v>6419000</v>
      </c>
      <c r="D49" s="3" t="n">
        <v>33873</v>
      </c>
      <c r="E49" s="3" t="n"/>
      <c r="F49" s="3" t="n">
        <v>38222</v>
      </c>
    </row>
    <row r="50">
      <c r="A50" t="inlineStr">
        <is>
          <t>Other Intangible Assets</t>
        </is>
      </c>
      <c r="B50" s="3" t="n">
        <v>20146000</v>
      </c>
      <c r="C50" s="3" t="n">
        <v>6419000</v>
      </c>
      <c r="D50" s="3" t="n">
        <v>33873</v>
      </c>
      <c r="E50" s="3" t="n"/>
      <c r="F50" s="3" t="n">
        <v>38222</v>
      </c>
    </row>
    <row r="51">
      <c r="A51" t="inlineStr">
        <is>
          <t>Net PPE</t>
        </is>
      </c>
      <c r="B51" s="3" t="n">
        <v>39979000</v>
      </c>
      <c r="C51" s="3" t="n">
        <v>16654000</v>
      </c>
      <c r="D51" s="3" t="n">
        <v>5893437</v>
      </c>
      <c r="E51" s="3" t="n">
        <v>2895227</v>
      </c>
      <c r="F51" s="3" t="n"/>
    </row>
    <row r="52">
      <c r="A52" t="inlineStr">
        <is>
          <t>Accumulated Depreciation</t>
        </is>
      </c>
      <c r="B52" s="3" t="n">
        <v>-12156000</v>
      </c>
      <c r="C52" s="3" t="n">
        <v>-4961000</v>
      </c>
      <c r="D52" s="3" t="n">
        <v>-1866704</v>
      </c>
      <c r="E52" s="3" t="n">
        <v>-1283284</v>
      </c>
      <c r="F52" s="3" t="n"/>
    </row>
    <row r="53">
      <c r="A53" t="inlineStr">
        <is>
          <t>Gross PPE</t>
        </is>
      </c>
      <c r="B53" s="3" t="n">
        <v>52135000</v>
      </c>
      <c r="C53" s="3" t="n">
        <v>21615000</v>
      </c>
      <c r="D53" s="3" t="n">
        <v>7760141</v>
      </c>
      <c r="E53" s="3" t="n">
        <v>4178511</v>
      </c>
      <c r="F53" s="3" t="n"/>
    </row>
    <row r="54">
      <c r="A54" t="inlineStr">
        <is>
          <t>Leases</t>
        </is>
      </c>
      <c r="B54" s="3" t="n">
        <v>7527000</v>
      </c>
      <c r="C54" s="3" t="n">
        <v>2741000</v>
      </c>
      <c r="D54" s="3" t="n">
        <v>913852</v>
      </c>
      <c r="E54" s="3" t="n"/>
      <c r="F54" s="3" t="n"/>
    </row>
    <row r="55">
      <c r="A55" t="inlineStr">
        <is>
          <t>Construction In Progress</t>
        </is>
      </c>
      <c r="B55" s="3" t="n">
        <v>4383000</v>
      </c>
      <c r="C55" s="3" t="n">
        <v>889000</v>
      </c>
      <c r="D55" s="3" t="n"/>
      <c r="E55" s="3" t="n"/>
      <c r="F55" s="3" t="n"/>
    </row>
    <row r="56">
      <c r="A56" t="inlineStr">
        <is>
          <t>Other Properties</t>
        </is>
      </c>
      <c r="B56" s="3" t="n">
        <v>14405000</v>
      </c>
      <c r="C56" s="3" t="n">
        <v>8665000</v>
      </c>
      <c r="D56" s="3" t="n">
        <v>2458497</v>
      </c>
      <c r="E56" s="3" t="n">
        <v>534611</v>
      </c>
      <c r="F56" s="3" t="n"/>
    </row>
    <row r="57">
      <c r="A57" t="inlineStr">
        <is>
          <t>Machinery Furniture Equipment</t>
        </is>
      </c>
      <c r="B57" s="3" t="n">
        <v>25820000</v>
      </c>
      <c r="C57" s="3" t="n">
        <v>9320000</v>
      </c>
      <c r="D57" s="3" t="n">
        <v>4387792</v>
      </c>
      <c r="E57" s="3" t="n">
        <v>3643900</v>
      </c>
      <c r="F57" s="3" t="n"/>
    </row>
    <row r="58">
      <c r="A58" t="inlineStr">
        <is>
          <t>Current Assets</t>
        </is>
      </c>
      <c r="B58" s="3" t="n">
        <v>334886000</v>
      </c>
      <c r="C58" s="3" t="n">
        <v>317901000</v>
      </c>
      <c r="D58" s="3" t="n">
        <v>84644562</v>
      </c>
      <c r="E58" s="3" t="n">
        <v>22268925</v>
      </c>
      <c r="F58" s="3" t="n"/>
    </row>
    <row r="59">
      <c r="A59" t="inlineStr">
        <is>
          <t>Current Deferred Assets</t>
        </is>
      </c>
      <c r="B59" s="3" t="n">
        <v>2177000</v>
      </c>
      <c r="C59" s="3" t="n">
        <v>382000</v>
      </c>
      <c r="D59" s="3" t="n">
        <v>348994</v>
      </c>
      <c r="E59" s="3" t="n"/>
      <c r="F59" s="3" t="n"/>
    </row>
    <row r="60">
      <c r="A60" t="inlineStr">
        <is>
          <t>Current Deferred Taxes Assets</t>
        </is>
      </c>
      <c r="B60" s="3" t="n">
        <v>2177000</v>
      </c>
      <c r="C60" s="3" t="n">
        <v>382000</v>
      </c>
      <c r="D60" s="3" t="n">
        <v>348994</v>
      </c>
      <c r="E60" s="3" t="n"/>
      <c r="F60" s="3" t="n"/>
    </row>
    <row r="61">
      <c r="A61" t="inlineStr">
        <is>
          <t>Prepaid Assets</t>
        </is>
      </c>
      <c r="B61" s="3" t="n">
        <v>7068000</v>
      </c>
      <c r="C61" s="3" t="n">
        <v>12187000</v>
      </c>
      <c r="D61" s="3" t="n">
        <v>6619496</v>
      </c>
      <c r="E61" s="3" t="n">
        <v>1437465</v>
      </c>
      <c r="F61" s="3" t="n"/>
    </row>
    <row r="62">
      <c r="A62" t="inlineStr">
        <is>
          <t>Inventory</t>
        </is>
      </c>
      <c r="B62" s="3" t="n">
        <v>78944000</v>
      </c>
      <c r="C62" s="3" t="n">
        <v>66678000</v>
      </c>
      <c r="D62" s="3" t="n">
        <v>18579718</v>
      </c>
      <c r="E62" s="3" t="n">
        <v>3733416</v>
      </c>
      <c r="F62" s="3" t="n"/>
    </row>
    <row r="63">
      <c r="A63" t="inlineStr">
        <is>
          <t>Finished Goods</t>
        </is>
      </c>
      <c r="B63" s="3" t="n">
        <v>25630000</v>
      </c>
      <c r="C63" s="3" t="n">
        <v>17697000</v>
      </c>
      <c r="D63" s="3" t="n">
        <v>8047022</v>
      </c>
      <c r="E63" s="3" t="n">
        <v>1329682</v>
      </c>
      <c r="F63" s="3" t="n"/>
    </row>
    <row r="64">
      <c r="A64" t="inlineStr">
        <is>
          <t>Work In Process</t>
        </is>
      </c>
      <c r="B64" s="3" t="n"/>
      <c r="C64" s="3" t="n"/>
      <c r="D64" s="3" t="n"/>
      <c r="E64" s="3" t="n"/>
      <c r="F64" s="3" t="n">
        <v>4792511</v>
      </c>
    </row>
    <row r="65">
      <c r="A65" t="inlineStr">
        <is>
          <t>Raw Materials</t>
        </is>
      </c>
      <c r="B65" s="3" t="n">
        <v>53314000</v>
      </c>
      <c r="C65" s="3" t="n">
        <v>48981000</v>
      </c>
      <c r="D65" s="3" t="n">
        <v>10532696</v>
      </c>
      <c r="E65" s="3" t="n">
        <v>2403734</v>
      </c>
      <c r="F65" s="3" t="n"/>
    </row>
    <row r="66">
      <c r="A66" t="inlineStr">
        <is>
          <t>Receivables</t>
        </is>
      </c>
      <c r="B66" s="3" t="n">
        <v>37207000</v>
      </c>
      <c r="C66" s="3" t="n">
        <v>19165000</v>
      </c>
      <c r="D66" s="3" t="n">
        <v>2325008</v>
      </c>
      <c r="E66" s="3" t="n">
        <v>6879183</v>
      </c>
      <c r="F66" s="3" t="n"/>
    </row>
    <row r="67">
      <c r="A67" t="inlineStr">
        <is>
          <t>Other Receivables</t>
        </is>
      </c>
      <c r="B67" s="3" t="n">
        <v>3769000</v>
      </c>
      <c r="C67" s="3" t="n">
        <v>1837000</v>
      </c>
      <c r="D67" s="3" t="n">
        <v>86070</v>
      </c>
      <c r="E67" s="3" t="n">
        <v>31478</v>
      </c>
      <c r="F67" s="3" t="n"/>
    </row>
    <row r="68">
      <c r="A68" t="inlineStr">
        <is>
          <t>Accounts Receivable</t>
        </is>
      </c>
      <c r="B68" s="3" t="n">
        <v>33438000</v>
      </c>
      <c r="C68" s="3" t="n">
        <v>17328000</v>
      </c>
      <c r="D68" s="3" t="n">
        <v>2238938</v>
      </c>
      <c r="E68" s="3" t="n">
        <v>6847705</v>
      </c>
      <c r="F68" s="3" t="n"/>
    </row>
    <row r="69">
      <c r="A69" t="inlineStr">
        <is>
          <t>Cash Cash Equivalents And Short Term Investments</t>
        </is>
      </c>
      <c r="B69" s="3" t="n">
        <v>209490000</v>
      </c>
      <c r="C69" s="3" t="n">
        <v>219489000</v>
      </c>
      <c r="D69" s="3" t="n">
        <v>56771346</v>
      </c>
      <c r="E69" s="3" t="n">
        <v>10218861</v>
      </c>
      <c r="F69" s="3" t="n"/>
    </row>
    <row r="70">
      <c r="A70" t="inlineStr">
        <is>
          <t>Other Short Term Investments</t>
        </is>
      </c>
      <c r="B70" s="3" t="n"/>
      <c r="C70" s="3" t="n">
        <v>156869000</v>
      </c>
      <c r="D70" s="3" t="n">
        <v>75000</v>
      </c>
      <c r="E70" s="3" t="n">
        <v>75000</v>
      </c>
      <c r="F70" s="3" t="n">
        <v>75000</v>
      </c>
    </row>
    <row r="71">
      <c r="A71" t="inlineStr">
        <is>
          <t>Cash And Cash Equivalents</t>
        </is>
      </c>
      <c r="B71" s="3" t="n">
        <v>209490000</v>
      </c>
      <c r="C71" s="3" t="n">
        <v>62620000</v>
      </c>
      <c r="D71" s="3" t="n">
        <v>56696346</v>
      </c>
      <c r="E71" s="3" t="n">
        <v>10143861</v>
      </c>
      <c r="F71" s="3" t="n"/>
    </row>
    <row r="72">
      <c r="A72" t="inlineStr">
        <is>
          <t>Cash Equivalents</t>
        </is>
      </c>
      <c r="B72" s="3" t="n">
        <v>156240000</v>
      </c>
      <c r="C72" s="3" t="n">
        <v>15000000</v>
      </c>
      <c r="D72" s="3" t="n">
        <v>20829391</v>
      </c>
      <c r="E72" s="3" t="n">
        <v>853032</v>
      </c>
      <c r="F72" s="3" t="n"/>
    </row>
    <row r="73">
      <c r="A73" t="inlineStr">
        <is>
          <t>Cash Financial</t>
        </is>
      </c>
      <c r="B73" s="3" t="n">
        <v>53250000</v>
      </c>
      <c r="C73" s="3" t="n">
        <v>47620000</v>
      </c>
      <c r="D73" s="3" t="n">
        <v>35866955</v>
      </c>
      <c r="E73" s="3" t="n">
        <v>9290829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</row>
    <row r="2">
      <c r="A2" t="inlineStr">
        <is>
          <t>Ordinary Shares Number</t>
        </is>
      </c>
      <c r="B2" s="3" t="n">
        <v>913417667</v>
      </c>
      <c r="C2" s="3" t="n">
        <v>872115159</v>
      </c>
    </row>
    <row r="3">
      <c r="A3" t="inlineStr">
        <is>
          <t>Share Issued</t>
        </is>
      </c>
      <c r="B3" s="3" t="n">
        <v>913417667</v>
      </c>
      <c r="C3" s="3" t="n">
        <v>872115159</v>
      </c>
    </row>
    <row r="4">
      <c r="A4" t="inlineStr">
        <is>
          <t>Total Debt</t>
        </is>
      </c>
      <c r="B4" s="3" t="n">
        <v>14255000</v>
      </c>
      <c r="C4" s="3" t="n">
        <v>9107000</v>
      </c>
    </row>
    <row r="5">
      <c r="A5" t="inlineStr">
        <is>
          <t>Tangible Book Value</t>
        </is>
      </c>
      <c r="B5" s="3" t="n">
        <v>316470000</v>
      </c>
      <c r="C5" s="3" t="n">
        <v>305168000</v>
      </c>
    </row>
    <row r="6">
      <c r="A6" t="inlineStr">
        <is>
          <t>Invested Capital</t>
        </is>
      </c>
      <c r="B6" s="3" t="n">
        <v>336616000</v>
      </c>
      <c r="C6" s="3" t="n">
        <v>311587000</v>
      </c>
    </row>
    <row r="7">
      <c r="A7" t="inlineStr">
        <is>
          <t>Working Capital</t>
        </is>
      </c>
      <c r="B7" s="3" t="n">
        <v>276933000</v>
      </c>
      <c r="C7" s="3" t="n">
        <v>290068000</v>
      </c>
    </row>
    <row r="8">
      <c r="A8" t="inlineStr">
        <is>
          <t>Net Tangible Assets</t>
        </is>
      </c>
      <c r="B8" s="3" t="n">
        <v>316470000</v>
      </c>
      <c r="C8" s="3" t="n">
        <v>305168000</v>
      </c>
    </row>
    <row r="9">
      <c r="A9" t="inlineStr">
        <is>
          <t>Capital Lease Obligations</t>
        </is>
      </c>
      <c r="B9" s="3" t="n">
        <v>14255000</v>
      </c>
      <c r="C9" s="3" t="n">
        <v>9107000</v>
      </c>
    </row>
    <row r="10">
      <c r="A10" t="inlineStr">
        <is>
          <t>Common Stock Equity</t>
        </is>
      </c>
      <c r="B10" s="3" t="n">
        <v>336616000</v>
      </c>
      <c r="C10" s="3" t="n">
        <v>311587000</v>
      </c>
    </row>
    <row r="11">
      <c r="A11" t="inlineStr">
        <is>
          <t>Total Capitalization</t>
        </is>
      </c>
      <c r="B11" s="3" t="n">
        <v>336616000</v>
      </c>
      <c r="C11" s="3" t="n">
        <v>311587000</v>
      </c>
    </row>
    <row r="12">
      <c r="A12" t="inlineStr">
        <is>
          <t>Total Equity Gross Minority Interest</t>
        </is>
      </c>
      <c r="B12" s="3" t="n">
        <v>336616000</v>
      </c>
      <c r="C12" s="3" t="n">
        <v>311587000</v>
      </c>
    </row>
    <row r="13">
      <c r="A13" t="inlineStr">
        <is>
          <t>Stockholders Equity</t>
        </is>
      </c>
      <c r="B13" s="3" t="n">
        <v>336616000</v>
      </c>
      <c r="C13" s="3" t="n">
        <v>311587000</v>
      </c>
    </row>
    <row r="14">
      <c r="A14" t="inlineStr">
        <is>
          <t>Gains Losses Not Affecting Retained Earnings</t>
        </is>
      </c>
      <c r="B14" s="3" t="n">
        <v>11610000</v>
      </c>
      <c r="C14" s="3" t="n">
        <v>10088000</v>
      </c>
    </row>
    <row r="15">
      <c r="A15" t="inlineStr">
        <is>
          <t>Other Equity Adjustments</t>
        </is>
      </c>
      <c r="B15" s="3" t="n">
        <v>11952000</v>
      </c>
      <c r="C15" s="3" t="n">
        <v>7829000</v>
      </c>
    </row>
    <row r="16">
      <c r="A16" t="inlineStr">
        <is>
          <t>Foreign Currency Translation Adjustments</t>
        </is>
      </c>
      <c r="B16" s="3" t="n">
        <v>-342000</v>
      </c>
      <c r="C16" s="3" t="n">
        <v>2259000</v>
      </c>
    </row>
    <row r="17">
      <c r="A17" t="inlineStr">
        <is>
          <t>Retained Earnings</t>
        </is>
      </c>
      <c r="B17" s="3" t="n">
        <v>11259000</v>
      </c>
      <c r="C17" s="3" t="n">
        <v>-11650000</v>
      </c>
    </row>
    <row r="18">
      <c r="A18" t="inlineStr">
        <is>
          <t>Capital Stock</t>
        </is>
      </c>
      <c r="B18" s="3" t="n">
        <v>313747000</v>
      </c>
      <c r="C18" s="3" t="n">
        <v>313149000</v>
      </c>
    </row>
    <row r="19">
      <c r="A19" t="inlineStr">
        <is>
          <t>Common Stock</t>
        </is>
      </c>
      <c r="B19" s="3" t="n">
        <v>313747000</v>
      </c>
      <c r="C19" s="3" t="n">
        <v>313149000</v>
      </c>
    </row>
    <row r="20">
      <c r="A20" t="inlineStr">
        <is>
          <t>Total Liabilities Net Minority Interest</t>
        </is>
      </c>
      <c r="B20" s="3" t="n">
        <v>75569000</v>
      </c>
      <c r="C20" s="3" t="n">
        <v>44292000</v>
      </c>
    </row>
    <row r="21">
      <c r="A21" t="inlineStr">
        <is>
          <t>Total Non Current Liabilities Net Minority Interest</t>
        </is>
      </c>
      <c r="B21" s="3" t="n">
        <v>17616000</v>
      </c>
      <c r="C21" s="3" t="n">
        <v>16459000</v>
      </c>
    </row>
    <row r="22">
      <c r="A22" t="inlineStr">
        <is>
          <t>Other Non Current Liabilities</t>
        </is>
      </c>
      <c r="B22" s="3" t="n">
        <v>4083000</v>
      </c>
      <c r="C22" s="3" t="n">
        <v>6073000</v>
      </c>
    </row>
    <row r="23">
      <c r="A23" t="inlineStr">
        <is>
          <t>Employee Benefits</t>
        </is>
      </c>
      <c r="B23" s="3" t="n">
        <v>730000</v>
      </c>
      <c r="C23" s="3" t="n">
        <v>326000</v>
      </c>
    </row>
    <row r="24">
      <c r="A24" t="inlineStr">
        <is>
          <t>Non Current Pension And Other Postretirement Benefit Plans</t>
        </is>
      </c>
      <c r="B24" s="3" t="n">
        <v>730000</v>
      </c>
      <c r="C24" s="3" t="n">
        <v>326000</v>
      </c>
    </row>
    <row r="25">
      <c r="A25" t="inlineStr">
        <is>
          <t>Long Term Debt And Capital Lease Obligation</t>
        </is>
      </c>
      <c r="B25" s="3" t="n">
        <v>10995000</v>
      </c>
      <c r="C25" s="3" t="n">
        <v>8734000</v>
      </c>
    </row>
    <row r="26">
      <c r="A26" t="inlineStr">
        <is>
          <t>Long Term Capital Lease Obligation</t>
        </is>
      </c>
      <c r="B26" s="3" t="n">
        <v>10995000</v>
      </c>
      <c r="C26" s="3" t="n">
        <v>8734000</v>
      </c>
    </row>
    <row r="27">
      <c r="A27" t="inlineStr">
        <is>
          <t>Long Term Provisions</t>
        </is>
      </c>
      <c r="B27" s="3" t="n">
        <v>1808000</v>
      </c>
      <c r="C27" s="3" t="n">
        <v>1326000</v>
      </c>
    </row>
    <row r="28">
      <c r="A28" t="inlineStr">
        <is>
          <t>Current Liabilities</t>
        </is>
      </c>
      <c r="B28" s="3" t="n">
        <v>57953000</v>
      </c>
      <c r="C28" s="3" t="n">
        <v>27833000</v>
      </c>
    </row>
    <row r="29">
      <c r="A29" t="inlineStr">
        <is>
          <t>Other Current Liabilities</t>
        </is>
      </c>
      <c r="B29" s="3" t="n">
        <v>23583000</v>
      </c>
      <c r="C29" s="3" t="n">
        <v>20649000</v>
      </c>
    </row>
    <row r="30">
      <c r="A30" t="inlineStr">
        <is>
          <t>Current Deferred Liabilities</t>
        </is>
      </c>
      <c r="B30" s="3" t="n">
        <v>400000</v>
      </c>
      <c r="C30" s="3" t="n">
        <v>799000</v>
      </c>
    </row>
    <row r="31">
      <c r="A31" t="inlineStr">
        <is>
          <t>Current Deferred Taxes Liabilities</t>
        </is>
      </c>
      <c r="B31" s="3" t="n">
        <v>400000</v>
      </c>
      <c r="C31" s="3" t="n">
        <v>799000</v>
      </c>
    </row>
    <row r="32">
      <c r="A32" t="inlineStr">
        <is>
          <t>Current Debt And Capital Lease Obligation</t>
        </is>
      </c>
      <c r="B32" s="3" t="n">
        <v>3260000</v>
      </c>
      <c r="C32" s="3" t="n">
        <v>373000</v>
      </c>
    </row>
    <row r="33">
      <c r="A33" t="inlineStr">
        <is>
          <t>Current Capital Lease Obligation</t>
        </is>
      </c>
      <c r="B33" s="3" t="n">
        <v>3260000</v>
      </c>
      <c r="C33" s="3" t="n">
        <v>373000</v>
      </c>
    </row>
    <row r="34">
      <c r="A34" t="inlineStr">
        <is>
          <t>Pensionand Other Post Retirement Benefit Plans Current</t>
        </is>
      </c>
      <c r="B34" s="3" t="n">
        <v>2422000</v>
      </c>
      <c r="C34" s="3" t="n">
        <v>1071000</v>
      </c>
    </row>
    <row r="35">
      <c r="A35" t="inlineStr">
        <is>
          <t>Current Provisions</t>
        </is>
      </c>
      <c r="B35" s="3" t="n">
        <v>802000</v>
      </c>
      <c r="C35" s="3" t="n">
        <v>224000</v>
      </c>
    </row>
    <row r="36">
      <c r="A36" t="inlineStr">
        <is>
          <t>Payables And Accrued Expenses</t>
        </is>
      </c>
      <c r="B36" s="3" t="n">
        <v>27486000</v>
      </c>
      <c r="C36" s="3" t="n">
        <v>4717000</v>
      </c>
    </row>
    <row r="37">
      <c r="A37" t="inlineStr">
        <is>
          <t>Payables</t>
        </is>
      </c>
      <c r="B37" s="3" t="n">
        <v>27486000</v>
      </c>
      <c r="C37" s="3" t="n">
        <v>4717000</v>
      </c>
    </row>
    <row r="38">
      <c r="A38" t="inlineStr">
        <is>
          <t>Other Payable</t>
        </is>
      </c>
      <c r="B38" s="3" t="n">
        <v>5814000</v>
      </c>
      <c r="C38" s="3" t="n">
        <v>2550000</v>
      </c>
    </row>
    <row r="39">
      <c r="A39" t="inlineStr">
        <is>
          <t>Accounts Payable</t>
        </is>
      </c>
      <c r="B39" s="3" t="n">
        <v>21672000</v>
      </c>
      <c r="C39" s="3" t="n">
        <v>2167000</v>
      </c>
    </row>
    <row r="40">
      <c r="A40" t="inlineStr">
        <is>
          <t>Total Assets</t>
        </is>
      </c>
      <c r="B40" s="3" t="n">
        <v>412185000</v>
      </c>
      <c r="C40" s="3" t="n">
        <v>355879000</v>
      </c>
    </row>
    <row r="41">
      <c r="A41" t="inlineStr">
        <is>
          <t>Total Non Current Assets</t>
        </is>
      </c>
      <c r="B41" s="3" t="n">
        <v>77299000</v>
      </c>
      <c r="C41" s="3" t="n">
        <v>37978000</v>
      </c>
    </row>
    <row r="42">
      <c r="A42" t="inlineStr">
        <is>
          <t>Non Current Deferred Assets</t>
        </is>
      </c>
      <c r="B42" s="3" t="n">
        <v>16107000</v>
      </c>
      <c r="C42" s="3" t="n">
        <v>13739000</v>
      </c>
    </row>
    <row r="43">
      <c r="A43" t="inlineStr">
        <is>
          <t>Non Current Deferred Taxes Assets</t>
        </is>
      </c>
      <c r="B43" s="3" t="n">
        <v>16107000</v>
      </c>
      <c r="C43" s="3" t="n">
        <v>13739000</v>
      </c>
    </row>
    <row r="44">
      <c r="A44" t="inlineStr">
        <is>
          <t>Investments And Advances</t>
        </is>
      </c>
      <c r="B44" s="3" t="n">
        <v>1067000</v>
      </c>
      <c r="C44" s="3" t="n">
        <v>1166000</v>
      </c>
    </row>
    <row r="45">
      <c r="A45" t="inlineStr">
        <is>
          <t>Other Investments</t>
        </is>
      </c>
      <c r="B45" s="3" t="n">
        <v>1067000</v>
      </c>
      <c r="C45" s="3" t="n">
        <v>1166000</v>
      </c>
    </row>
    <row r="46">
      <c r="A46" t="inlineStr">
        <is>
          <t>Goodwill And Other Intangible Assets</t>
        </is>
      </c>
      <c r="B46" s="3" t="n">
        <v>20146000</v>
      </c>
      <c r="C46" s="3" t="n">
        <v>6419000</v>
      </c>
    </row>
    <row r="47">
      <c r="A47" t="inlineStr">
        <is>
          <t>Other Intangible Assets</t>
        </is>
      </c>
      <c r="B47" s="3" t="n">
        <v>20146000</v>
      </c>
      <c r="C47" s="3" t="n">
        <v>6419000</v>
      </c>
    </row>
    <row r="48">
      <c r="A48" t="inlineStr">
        <is>
          <t>Net PPE</t>
        </is>
      </c>
      <c r="B48" s="3" t="n">
        <v>39979000</v>
      </c>
      <c r="C48" s="3" t="n">
        <v>16654000</v>
      </c>
    </row>
    <row r="49">
      <c r="A49" t="inlineStr">
        <is>
          <t>Accumulated Depreciation</t>
        </is>
      </c>
      <c r="B49" s="3" t="n">
        <v>-12156000</v>
      </c>
      <c r="C49" s="3" t="n">
        <v>-4961000</v>
      </c>
    </row>
    <row r="50">
      <c r="A50" t="inlineStr">
        <is>
          <t>Gross PPE</t>
        </is>
      </c>
      <c r="B50" s="3" t="n">
        <v>52135000</v>
      </c>
      <c r="C50" s="3" t="n">
        <v>21615000</v>
      </c>
    </row>
    <row r="51">
      <c r="A51" t="inlineStr">
        <is>
          <t>Leases</t>
        </is>
      </c>
      <c r="B51" s="3" t="n">
        <v>7527000</v>
      </c>
      <c r="C51" s="3" t="n">
        <v>2741000</v>
      </c>
    </row>
    <row r="52">
      <c r="A52" t="inlineStr">
        <is>
          <t>Construction In Progress</t>
        </is>
      </c>
      <c r="B52" s="3" t="n">
        <v>4383000</v>
      </c>
      <c r="C52" s="3" t="n">
        <v>889000</v>
      </c>
    </row>
    <row r="53">
      <c r="A53" t="inlineStr">
        <is>
          <t>Other Properties</t>
        </is>
      </c>
      <c r="B53" s="3" t="n">
        <v>14405000</v>
      </c>
      <c r="C53" s="3" t="n">
        <v>8665000</v>
      </c>
    </row>
    <row r="54">
      <c r="A54" t="inlineStr">
        <is>
          <t>Machinery Furniture Equipment</t>
        </is>
      </c>
      <c r="B54" s="3" t="n">
        <v>25820000</v>
      </c>
      <c r="C54" s="3" t="n">
        <v>9320000</v>
      </c>
    </row>
    <row r="55">
      <c r="A55" t="inlineStr">
        <is>
          <t>Current Assets</t>
        </is>
      </c>
      <c r="B55" s="3" t="n">
        <v>334886000</v>
      </c>
      <c r="C55" s="3" t="n">
        <v>317901000</v>
      </c>
    </row>
    <row r="56">
      <c r="A56" t="inlineStr">
        <is>
          <t>Current Deferred Assets</t>
        </is>
      </c>
      <c r="B56" s="3" t="n">
        <v>2177000</v>
      </c>
      <c r="C56" s="3" t="n">
        <v>382000</v>
      </c>
    </row>
    <row r="57">
      <c r="A57" t="inlineStr">
        <is>
          <t>Current Deferred Taxes Assets</t>
        </is>
      </c>
      <c r="B57" s="3" t="n">
        <v>2177000</v>
      </c>
      <c r="C57" s="3" t="n">
        <v>382000</v>
      </c>
    </row>
    <row r="58">
      <c r="A58" t="inlineStr">
        <is>
          <t>Prepaid Assets</t>
        </is>
      </c>
      <c r="B58" s="3" t="n">
        <v>7068000</v>
      </c>
      <c r="C58" s="3" t="n">
        <v>12187000</v>
      </c>
    </row>
    <row r="59">
      <c r="A59" t="inlineStr">
        <is>
          <t>Inventory</t>
        </is>
      </c>
      <c r="B59" s="3" t="n">
        <v>78944000</v>
      </c>
      <c r="C59" s="3" t="n">
        <v>66678000</v>
      </c>
    </row>
    <row r="60">
      <c r="A60" t="inlineStr">
        <is>
          <t>Finished Goods</t>
        </is>
      </c>
      <c r="B60" s="3" t="n">
        <v>25630000</v>
      </c>
      <c r="C60" s="3" t="n">
        <v>17697000</v>
      </c>
    </row>
    <row r="61">
      <c r="A61" t="inlineStr">
        <is>
          <t>Raw Materials</t>
        </is>
      </c>
      <c r="B61" s="3" t="n">
        <v>53314000</v>
      </c>
      <c r="C61" s="3" t="n">
        <v>48981000</v>
      </c>
    </row>
    <row r="62">
      <c r="A62" t="inlineStr">
        <is>
          <t>Receivables</t>
        </is>
      </c>
      <c r="B62" s="3" t="n">
        <v>37207000</v>
      </c>
      <c r="C62" s="3" t="n">
        <v>19165000</v>
      </c>
    </row>
    <row r="63">
      <c r="A63" t="inlineStr">
        <is>
          <t>Other Receivables</t>
        </is>
      </c>
      <c r="B63" s="3" t="n">
        <v>3769000</v>
      </c>
      <c r="C63" s="3" t="n">
        <v>1837000</v>
      </c>
    </row>
    <row r="64">
      <c r="A64" t="inlineStr">
        <is>
          <t>Accounts Receivable</t>
        </is>
      </c>
      <c r="B64" s="3" t="n">
        <v>33438000</v>
      </c>
      <c r="C64" s="3" t="n">
        <v>17328000</v>
      </c>
    </row>
    <row r="65">
      <c r="A65" t="inlineStr">
        <is>
          <t>Cash Cash Equivalents And Short Term Investments</t>
        </is>
      </c>
      <c r="B65" s="3" t="n">
        <v>209490000</v>
      </c>
      <c r="C65" s="3" t="n">
        <v>219489000</v>
      </c>
    </row>
    <row r="66">
      <c r="A66" t="inlineStr">
        <is>
          <t>Other Short Term Investments</t>
        </is>
      </c>
      <c r="B66" s="3" t="n"/>
      <c r="C66" s="3" t="n">
        <v>156869000</v>
      </c>
    </row>
    <row r="67">
      <c r="A67" t="inlineStr">
        <is>
          <t>Cash And Cash Equivalents</t>
        </is>
      </c>
      <c r="B67" s="3" t="n">
        <v>209490000</v>
      </c>
      <c r="C67" s="3" t="n">
        <v>62620000</v>
      </c>
    </row>
    <row r="68">
      <c r="A68" t="inlineStr">
        <is>
          <t>Cash Equivalents</t>
        </is>
      </c>
      <c r="B68" s="3" t="n">
        <v>156240000</v>
      </c>
      <c r="C68" s="3" t="n">
        <v>15000000</v>
      </c>
    </row>
    <row r="69">
      <c r="A69" t="inlineStr">
        <is>
          <t>Cash Financial</t>
        </is>
      </c>
      <c r="B69" s="3" t="n">
        <v>53250000</v>
      </c>
      <c r="C69" s="3" t="n">
        <v>47620000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-14882000</v>
      </c>
      <c r="C2" s="3" t="n">
        <v>-75208000</v>
      </c>
      <c r="D2" s="3" t="n">
        <v>6556462</v>
      </c>
      <c r="E2" s="3" t="n">
        <v>-2598120</v>
      </c>
      <c r="F2" s="3" t="n"/>
    </row>
    <row r="3">
      <c r="A3" t="inlineStr">
        <is>
          <t>Repurchase Of Capital Stock</t>
        </is>
      </c>
      <c r="B3" s="3" t="n"/>
      <c r="C3" s="3" t="n">
        <v>-12115000</v>
      </c>
      <c r="D3" s="3" t="n">
        <v>-2247081</v>
      </c>
      <c r="E3" s="3" t="n"/>
      <c r="F3" s="3" t="n"/>
    </row>
    <row r="4">
      <c r="A4" t="inlineStr">
        <is>
          <t>Issuance Of Capital Stock</t>
        </is>
      </c>
      <c r="B4" s="3" t="n">
        <v>598000</v>
      </c>
      <c r="C4" s="3" t="n">
        <v>244872000</v>
      </c>
      <c r="D4" s="3" t="n">
        <v>41941563</v>
      </c>
      <c r="E4" s="3" t="n">
        <v>3700000</v>
      </c>
      <c r="F4" s="3" t="n"/>
    </row>
    <row r="5">
      <c r="A5" t="inlineStr">
        <is>
          <t>Capital Expenditure</t>
        </is>
      </c>
      <c r="B5" s="3" t="n">
        <v>-30826000</v>
      </c>
      <c r="C5" s="3" t="n">
        <v>-13011000</v>
      </c>
      <c r="D5" s="3" t="n">
        <v>-2926014</v>
      </c>
      <c r="E5" s="3" t="n">
        <v>-832175</v>
      </c>
      <c r="F5" s="3" t="n"/>
    </row>
    <row r="6">
      <c r="A6" t="inlineStr">
        <is>
          <t>Income Tax Paid Supplemental Data</t>
        </is>
      </c>
      <c r="B6" s="3" t="n">
        <v>-1761000</v>
      </c>
      <c r="C6" s="3" t="n">
        <v>2003000</v>
      </c>
      <c r="D6" s="3" t="n">
        <v>1699563</v>
      </c>
      <c r="E6" s="3" t="n"/>
      <c r="F6" s="3" t="n"/>
    </row>
    <row r="7">
      <c r="A7" t="inlineStr">
        <is>
          <t>End Cash Position</t>
        </is>
      </c>
      <c r="B7" s="3" t="n">
        <v>103388000</v>
      </c>
      <c r="C7" s="3" t="n">
        <v>62620000</v>
      </c>
      <c r="D7" s="3" t="n">
        <v>56696346</v>
      </c>
      <c r="E7" s="3" t="n">
        <v>10143861</v>
      </c>
      <c r="F7" s="3" t="n"/>
    </row>
    <row r="8">
      <c r="A8" t="inlineStr">
        <is>
          <t>Beginning Cash Position</t>
        </is>
      </c>
      <c r="B8" s="3" t="n">
        <v>62620000</v>
      </c>
      <c r="C8" s="3" t="n">
        <v>56696000</v>
      </c>
      <c r="D8" s="3" t="n">
        <v>10143861</v>
      </c>
      <c r="E8" s="3" t="n">
        <v>9419235</v>
      </c>
      <c r="F8" s="3" t="n"/>
    </row>
    <row r="9">
      <c r="A9" t="inlineStr">
        <is>
          <t>Effect Of Exchange Rate Changes</t>
        </is>
      </c>
      <c r="B9" s="3" t="n">
        <v>-3037000</v>
      </c>
      <c r="C9" s="3" t="n">
        <v>1496000</v>
      </c>
      <c r="D9" s="3" t="n">
        <v>-88064</v>
      </c>
      <c r="E9" s="3" t="n">
        <v>244880</v>
      </c>
      <c r="F9" s="3" t="n"/>
    </row>
    <row r="10">
      <c r="A10" t="inlineStr">
        <is>
          <t>Changes In Cash</t>
        </is>
      </c>
      <c r="B10" s="3" t="n">
        <v>43805000</v>
      </c>
      <c r="C10" s="3" t="n">
        <v>4428000</v>
      </c>
      <c r="D10" s="3" t="n">
        <v>46640549</v>
      </c>
      <c r="E10" s="3" t="n">
        <v>479746</v>
      </c>
      <c r="F10" s="3" t="n"/>
    </row>
    <row r="11">
      <c r="A11" t="inlineStr">
        <is>
          <t>Financing Cash Flow</t>
        </is>
      </c>
      <c r="B11" s="3" t="n">
        <v>-477000</v>
      </c>
      <c r="C11" s="3" t="n">
        <v>231889000</v>
      </c>
      <c r="D11" s="3" t="n">
        <v>39109757</v>
      </c>
      <c r="E11" s="3" t="n">
        <v>3077866</v>
      </c>
      <c r="F11" s="3" t="n"/>
    </row>
    <row r="12">
      <c r="A12" t="inlineStr">
        <is>
          <t>Cash Flow From Continuing Financing Activities</t>
        </is>
      </c>
      <c r="B12" s="3" t="n">
        <v>-477000</v>
      </c>
      <c r="C12" s="3" t="n">
        <v>231889000</v>
      </c>
      <c r="D12" s="3" t="n">
        <v>39109757</v>
      </c>
      <c r="E12" s="3" t="n">
        <v>3077866</v>
      </c>
      <c r="F12" s="3" t="n"/>
    </row>
    <row r="13">
      <c r="A13" t="inlineStr">
        <is>
          <t>Net Other Financing Charges</t>
        </is>
      </c>
      <c r="B13" s="3" t="n">
        <v>-536000</v>
      </c>
      <c r="C13" s="3" t="n">
        <v>-432000</v>
      </c>
      <c r="D13" s="3" t="n">
        <v>-1137302</v>
      </c>
      <c r="E13" s="3" t="n">
        <v>-1263365</v>
      </c>
      <c r="F13" s="3" t="n"/>
    </row>
    <row r="14">
      <c r="A14" t="inlineStr">
        <is>
          <t>Interest Paid Cff</t>
        </is>
      </c>
      <c r="B14" s="3" t="n">
        <v>-539000</v>
      </c>
      <c r="C14" s="3" t="n">
        <v>-436000</v>
      </c>
      <c r="D14" s="3" t="n"/>
      <c r="E14" s="3" t="n"/>
      <c r="F14" s="3" t="n">
        <v>35827</v>
      </c>
    </row>
    <row r="15">
      <c r="A15" t="inlineStr">
        <is>
          <t>Net Common Stock Issuance</t>
        </is>
      </c>
      <c r="B15" s="3" t="n">
        <v>598000</v>
      </c>
      <c r="C15" s="3" t="n">
        <v>232757000</v>
      </c>
      <c r="D15" s="3" t="n">
        <v>39694482</v>
      </c>
      <c r="E15" s="3" t="n">
        <v>3700000</v>
      </c>
      <c r="F15" s="3" t="n"/>
    </row>
    <row r="16">
      <c r="A16" t="inlineStr">
        <is>
          <t>Common Stock Payments</t>
        </is>
      </c>
      <c r="B16" s="3" t="n"/>
      <c r="C16" s="3" t="n">
        <v>-12115000</v>
      </c>
      <c r="D16" s="3" t="n">
        <v>-2247081</v>
      </c>
      <c r="E16" s="3" t="n"/>
      <c r="F16" s="3" t="n"/>
    </row>
    <row r="17">
      <c r="A17" t="inlineStr">
        <is>
          <t>Common Stock Issuance</t>
        </is>
      </c>
      <c r="B17" s="3" t="n">
        <v>598000</v>
      </c>
      <c r="C17" s="3" t="n">
        <v>244872000</v>
      </c>
      <c r="D17" s="3" t="n">
        <v>41941563</v>
      </c>
      <c r="E17" s="3" t="n">
        <v>3700000</v>
      </c>
      <c r="F17" s="3" t="n"/>
    </row>
    <row r="18">
      <c r="A18" t="inlineStr">
        <is>
          <t>Investing Cash Flow</t>
        </is>
      </c>
      <c r="B18" s="3" t="n">
        <v>28338000</v>
      </c>
      <c r="C18" s="3" t="n">
        <v>-165264000</v>
      </c>
      <c r="D18" s="3" t="n">
        <v>-1951684</v>
      </c>
      <c r="E18" s="3" t="n">
        <v>-832175</v>
      </c>
      <c r="F18" s="3" t="n"/>
    </row>
    <row r="19">
      <c r="A19" t="inlineStr">
        <is>
          <t>Cash Flow From Continuing Investing Activities</t>
        </is>
      </c>
      <c r="B19" s="3" t="n">
        <v>28338000</v>
      </c>
      <c r="C19" s="3" t="n">
        <v>-165264000</v>
      </c>
      <c r="D19" s="3" t="n">
        <v>-1951684</v>
      </c>
      <c r="E19" s="3" t="n">
        <v>-832175</v>
      </c>
      <c r="F19" s="3" t="n"/>
    </row>
    <row r="20">
      <c r="A20" t="inlineStr">
        <is>
          <t>Interest Received Cfi</t>
        </is>
      </c>
      <c r="B20" s="3" t="n">
        <v>8123000</v>
      </c>
      <c r="C20" s="3" t="n">
        <v>4589000</v>
      </c>
      <c r="D20" s="3" t="n">
        <v>974330</v>
      </c>
      <c r="E20" s="3" t="n"/>
      <c r="F20" s="3" t="n"/>
    </row>
    <row r="21">
      <c r="A21" t="inlineStr">
        <is>
          <t>Net Investment Purchase And Sale</t>
        </is>
      </c>
      <c r="B21" s="3" t="n">
        <v>51041000</v>
      </c>
      <c r="C21" s="3" t="n">
        <v>-156842000</v>
      </c>
      <c r="D21" s="3" t="n"/>
      <c r="E21" s="3" t="n"/>
      <c r="F21" s="3" t="n"/>
    </row>
    <row r="22">
      <c r="A22" t="inlineStr">
        <is>
          <t>Sale Of Investment</t>
        </is>
      </c>
      <c r="B22" s="3" t="n">
        <v>506394000</v>
      </c>
      <c r="C22" s="3" t="n">
        <v>265442000</v>
      </c>
      <c r="D22" s="3" t="n"/>
      <c r="E22" s="3" t="n"/>
      <c r="F22" s="3" t="n"/>
    </row>
    <row r="23">
      <c r="A23" t="inlineStr">
        <is>
          <t>Purchase Of Investment</t>
        </is>
      </c>
      <c r="B23" s="3" t="n">
        <v>-455353000</v>
      </c>
      <c r="C23" s="3" t="n">
        <v>-422284000</v>
      </c>
      <c r="D23" s="3" t="n"/>
      <c r="E23" s="3" t="n"/>
      <c r="F23" s="3" t="n"/>
    </row>
    <row r="24">
      <c r="A24" t="inlineStr">
        <is>
          <t>Net Intangibles Purchase And Sale</t>
        </is>
      </c>
      <c r="B24" s="3" t="n">
        <v>-15999000</v>
      </c>
      <c r="C24" s="3" t="n">
        <v>-6652000</v>
      </c>
      <c r="D24" s="3" t="n">
        <v>-1192696</v>
      </c>
      <c r="E24" s="3" t="n"/>
      <c r="F24" s="3" t="n"/>
    </row>
    <row r="25">
      <c r="A25" t="inlineStr">
        <is>
          <t>Purchase Of Intangibles</t>
        </is>
      </c>
      <c r="B25" s="3" t="n">
        <v>-15999000</v>
      </c>
      <c r="C25" s="3" t="n">
        <v>-6652000</v>
      </c>
      <c r="D25" s="3" t="n">
        <v>-1192696</v>
      </c>
      <c r="E25" s="3" t="n"/>
      <c r="F25" s="3" t="n"/>
    </row>
    <row r="26">
      <c r="A26" t="inlineStr">
        <is>
          <t>Net PPE Purchase And Sale</t>
        </is>
      </c>
      <c r="B26" s="3" t="n">
        <v>-14827000</v>
      </c>
      <c r="C26" s="3" t="n">
        <v>-6359000</v>
      </c>
      <c r="D26" s="3" t="n">
        <v>-1733318</v>
      </c>
      <c r="E26" s="3" t="n">
        <v>-832175</v>
      </c>
      <c r="F26" s="3" t="n"/>
    </row>
    <row r="27">
      <c r="A27" t="inlineStr">
        <is>
          <t>Purchase Of PPE</t>
        </is>
      </c>
      <c r="B27" s="3" t="n">
        <v>-14827000</v>
      </c>
      <c r="C27" s="3" t="n">
        <v>-6359000</v>
      </c>
      <c r="D27" s="3" t="n">
        <v>-1733318</v>
      </c>
      <c r="E27" s="3" t="n">
        <v>-832175</v>
      </c>
      <c r="F27" s="3" t="n"/>
    </row>
    <row r="28">
      <c r="A28" t="inlineStr">
        <is>
          <t>Cash Flowsfromusedin Operating Activities Direct</t>
        </is>
      </c>
      <c r="B28" s="3" t="n">
        <v>15944000</v>
      </c>
      <c r="C28" s="3" t="n">
        <v>-62197000</v>
      </c>
      <c r="D28" s="3" t="n">
        <v>9482476</v>
      </c>
      <c r="E28" s="3" t="n">
        <v>-1765945</v>
      </c>
      <c r="F28" s="3" t="n"/>
    </row>
    <row r="29">
      <c r="A29" t="inlineStr">
        <is>
          <t>Taxes Refund Paid Direct</t>
        </is>
      </c>
      <c r="B29" s="3" t="n">
        <v>1761000</v>
      </c>
      <c r="C29" s="3" t="n">
        <v>-2003000</v>
      </c>
      <c r="D29" s="3" t="n">
        <v>-1699563</v>
      </c>
      <c r="E29" s="3" t="n"/>
      <c r="F29" s="3" t="n"/>
    </row>
    <row r="30">
      <c r="A30" t="inlineStr">
        <is>
          <t>Classesof Cash Payments</t>
        </is>
      </c>
      <c r="B30" s="3" t="n">
        <v>-187432000</v>
      </c>
      <c r="C30" s="3" t="n">
        <v>-116813000</v>
      </c>
      <c r="D30" s="3" t="n">
        <v>-59739020</v>
      </c>
      <c r="E30" s="3" t="n">
        <v>-15374532</v>
      </c>
      <c r="F30" s="3" t="n"/>
    </row>
    <row r="31">
      <c r="A31" t="inlineStr">
        <is>
          <t>Other Cash Paymentsfrom Operating Activities</t>
        </is>
      </c>
      <c r="B31" s="3" t="n">
        <v>165000</v>
      </c>
      <c r="C31" s="3" t="n">
        <v>271000</v>
      </c>
      <c r="D31" s="3" t="n">
        <v>2545818</v>
      </c>
      <c r="E31" s="3" t="n">
        <v>2090914</v>
      </c>
      <c r="F31" s="3" t="n"/>
    </row>
    <row r="32">
      <c r="A32" t="inlineStr">
        <is>
          <t>Paymentsto Suppliersfor Goodsand Services</t>
        </is>
      </c>
      <c r="B32" s="3" t="n">
        <v>-187597000</v>
      </c>
      <c r="C32" s="3" t="n">
        <v>-117084000</v>
      </c>
      <c r="D32" s="3" t="n">
        <v>-62284838</v>
      </c>
      <c r="E32" s="3" t="n">
        <v>-17465446</v>
      </c>
      <c r="F32" s="3" t="n"/>
    </row>
    <row r="33">
      <c r="A33" t="inlineStr">
        <is>
          <t>Classesof Cash Receiptsfrom Operating Activities</t>
        </is>
      </c>
      <c r="B33" s="3" t="n">
        <v>201615000</v>
      </c>
      <c r="C33" s="3" t="n">
        <v>56619000</v>
      </c>
      <c r="D33" s="3" t="n">
        <v>70921059</v>
      </c>
      <c r="E33" s="3" t="n">
        <v>13608587</v>
      </c>
      <c r="F33" s="3" t="n"/>
    </row>
    <row r="34">
      <c r="A34" t="inlineStr">
        <is>
          <t>Other Cash Receiptsfrom Operating Activities</t>
        </is>
      </c>
      <c r="B34" s="3" t="n">
        <v>55000</v>
      </c>
      <c r="C34" s="3" t="n">
        <v>15000</v>
      </c>
      <c r="D34" s="3" t="n">
        <v>15000</v>
      </c>
      <c r="E34" s="3" t="n">
        <v>75548</v>
      </c>
      <c r="F34" s="3" t="n"/>
    </row>
    <row r="35">
      <c r="A35" t="inlineStr">
        <is>
          <t>Receiptsfrom Customers</t>
        </is>
      </c>
      <c r="B35" s="3" t="n">
        <v>201560000</v>
      </c>
      <c r="C35" s="3" t="n">
        <v>56604000</v>
      </c>
      <c r="D35" s="3" t="n">
        <v>70906059</v>
      </c>
      <c r="E35" s="3" t="n">
        <v>13533039</v>
      </c>
      <c r="F3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TTM uses only 0 quarters (&lt;4 available)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2026-08-02T23:44:35Z</dcterms:created>
  <dcterms:modified xsi:type="dcterms:W3CDTF">2026-08-02T23:44:35Z</dcterms:modified>
</cp:coreProperties>
</file>