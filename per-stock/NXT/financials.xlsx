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Y Summary" sheetId="2" state="visible" r:id="rId2"/>
    <sheet name="Income stmt (annual)" sheetId="3" state="visible" r:id="rId3"/>
    <sheet name="Income stmt (quarterly)" sheetId="4" state="visible" r:id="rId4"/>
    <sheet name="Balance sheet (annual)" sheetId="5" state="visible" r:id="rId5"/>
    <sheet name="Balance sheet (quarterly)" sheetId="6" state="visible" r:id="rId6"/>
    <sheet name="Cash flow (annual)" sheetId="7" state="visible" r:id="rId7"/>
    <sheet name="Cash flow (quarterly)" sheetId="8" state="visible" r:id="rId8"/>
    <sheet name="Data flag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&quot;x&quot;"/>
    <numFmt numFmtId="166" formatCode="#,##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36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Source / formula</t>
        </is>
      </c>
    </row>
    <row r="2">
      <c r="A2" t="inlineStr">
        <is>
          <t>Ticker</t>
        </is>
      </c>
      <c r="B2" t="inlineStr">
        <is>
          <t>NXT</t>
        </is>
      </c>
      <c r="C2" t="inlineStr">
        <is>
          <t>input</t>
        </is>
      </c>
    </row>
    <row r="3">
      <c r="A3" t="inlineStr">
        <is>
          <t>Name</t>
        </is>
      </c>
      <c r="B3" t="inlineStr">
        <is>
          <t>Nextpower Inc.</t>
        </is>
      </c>
      <c r="C3" t="inlineStr">
        <is>
          <t>yfinance info.longName</t>
        </is>
      </c>
    </row>
    <row r="4">
      <c r="A4" t="inlineStr">
        <is>
          <t>Sector</t>
        </is>
      </c>
      <c r="B4" t="inlineStr">
        <is>
          <t>Technology</t>
        </is>
      </c>
      <c r="C4" t="inlineStr">
        <is>
          <t>yfinance info.sector</t>
        </is>
      </c>
    </row>
    <row r="5">
      <c r="A5" t="inlineStr">
        <is>
          <t>Industry</t>
        </is>
      </c>
      <c r="B5" t="inlineStr">
        <is>
          <t>Solar</t>
        </is>
      </c>
      <c r="C5" t="inlineStr">
        <is>
          <t>yfinance info.industry</t>
        </is>
      </c>
    </row>
    <row r="6">
      <c r="A6" t="inlineStr">
        <is>
          <t>Market cap ($)</t>
        </is>
      </c>
      <c r="B6" t="n">
        <v>19159877632</v>
      </c>
      <c r="C6" t="inlineStr">
        <is>
          <t>yfinance info.marketCap</t>
        </is>
      </c>
    </row>
    <row r="7">
      <c r="A7" t="inlineStr">
        <is>
          <t>Enterprise value ($)</t>
        </is>
      </c>
      <c r="B7" t="n">
        <v>17826179072</v>
      </c>
      <c r="C7" t="inlineStr">
        <is>
          <t>yfinance info.enterpriseValue</t>
        </is>
      </c>
    </row>
    <row r="8">
      <c r="A8" t="inlineStr">
        <is>
          <t>Trailing P/E</t>
        </is>
      </c>
      <c r="B8" t="n">
        <v>32.78646</v>
      </c>
      <c r="C8" t="inlineStr">
        <is>
          <t>yfinance info.trailingPE</t>
        </is>
      </c>
    </row>
    <row r="9">
      <c r="A9" t="inlineStr">
        <is>
          <t>Forward P/E</t>
        </is>
      </c>
      <c r="B9" t="n">
        <v>21.56956</v>
      </c>
      <c r="C9" t="inlineStr">
        <is>
          <t>yfinance info.forwardPE</t>
        </is>
      </c>
    </row>
    <row r="10">
      <c r="A10" t="inlineStr">
        <is>
          <t>P/S (TTM)</t>
        </is>
      </c>
      <c r="B10" t="n">
        <v>5.3829107</v>
      </c>
      <c r="C10" t="inlineStr">
        <is>
          <t>yfinance</t>
        </is>
      </c>
    </row>
    <row r="11">
      <c r="A11" t="inlineStr">
        <is>
          <t>Gross margin (TTM)</t>
        </is>
      </c>
      <c r="B11" t="n">
        <v>0.2192</v>
      </c>
      <c r="C11" t="inlineStr">
        <is>
          <t>yfinance info.grossMargins</t>
        </is>
      </c>
    </row>
    <row r="12">
      <c r="A12" t="inlineStr">
        <is>
          <t>Operating margin (TTM)</t>
        </is>
      </c>
      <c r="B12" t="n">
        <v>0.18155001</v>
      </c>
      <c r="C12" t="inlineStr">
        <is>
          <t>yfinance info.operatingMargins</t>
        </is>
      </c>
    </row>
    <row r="13">
      <c r="A13" t="inlineStr">
        <is>
          <t>Net margin (TTM)</t>
        </is>
      </c>
      <c r="B13" t="n">
        <v>0.16459998</v>
      </c>
      <c r="C13" t="inlineStr">
        <is>
          <t>yfinance info.profitMargins</t>
        </is>
      </c>
    </row>
    <row r="14">
      <c r="A14" t="inlineStr">
        <is>
          <t>ROE</t>
        </is>
      </c>
      <c r="B14" t="n">
        <v>0.29571</v>
      </c>
      <c r="C14" t="inlineStr">
        <is>
          <t>yfinance info.returnOnEquity</t>
        </is>
      </c>
    </row>
    <row r="15">
      <c r="A15" t="inlineStr">
        <is>
          <t>Revenue growth (YoY)</t>
        </is>
      </c>
      <c r="B15" t="n">
        <v>-0.047</v>
      </c>
      <c r="C15" t="inlineStr">
        <is>
          <t>yfinance info.revenueGrowth</t>
        </is>
      </c>
    </row>
    <row r="16">
      <c r="A16" t="inlineStr">
        <is>
          <t>Total cash ($)</t>
        </is>
      </c>
      <c r="B16" t="n">
        <v>1146275968</v>
      </c>
      <c r="C16" t="inlineStr">
        <is>
          <t>yfinance info.totalCash</t>
        </is>
      </c>
    </row>
    <row r="17">
      <c r="A17" t="inlineStr">
        <is>
          <t>Total debt ($)</t>
        </is>
      </c>
      <c r="B17" t="n">
        <v>52900000</v>
      </c>
      <c r="C17" t="inlineStr">
        <is>
          <t>yfinance info.totalDebt</t>
        </is>
      </c>
    </row>
    <row r="18">
      <c r="A18" t="inlineStr">
        <is>
          <t>FCF (TTM, $)</t>
        </is>
      </c>
      <c r="B18" t="n">
        <v>513634000</v>
      </c>
      <c r="C18" t="inlineStr">
        <is>
          <t>statement: TTM OCF - |capex| (yfinance quarterly_cashflow)</t>
        </is>
      </c>
    </row>
    <row r="19">
      <c r="A19" t="inlineStr">
        <is>
          <t>Shares outstanding</t>
        </is>
      </c>
      <c r="B19" t="n">
        <v>150274472</v>
      </c>
      <c r="C19" t="inlineStr">
        <is>
          <t>yfinance info.sharesOutstanding</t>
        </is>
      </c>
    </row>
    <row r="20">
      <c r="A20" t="inlineStr">
        <is>
          <t>Current price ($)</t>
        </is>
      </c>
      <c r="B20" t="n">
        <v>125.9</v>
      </c>
      <c r="C20" t="inlineStr">
        <is>
          <t>yfinance info.currentPrice</t>
        </is>
      </c>
    </row>
    <row r="21">
      <c r="A21" t="inlineStr">
        <is>
          <t>FCF yield</t>
        </is>
      </c>
      <c r="B21" s="2">
        <f>IFERROR(B18/B6,"")</f>
        <v/>
      </c>
      <c r="C21">
        <f>B18/B6</f>
        <v/>
      </c>
    </row>
    <row r="22">
      <c r="A22" t="inlineStr">
        <is>
          <t>FCF / EV</t>
        </is>
      </c>
      <c r="B22" s="2">
        <f>IFERROR(B18/B7,"")</f>
        <v/>
      </c>
      <c r="C22">
        <f>B18/B7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  <col width="15" customWidth="1" min="4" max="4"/>
    <col width="15" customWidth="1" min="5" max="5"/>
    <col width="52" customWidth="1" min="6" max="6"/>
  </cols>
  <sheetData>
    <row r="1">
      <c r="A1" s="1" t="inlineStr">
        <is>
          <t>Fiscal-year summary (GAAP, $ except where noted)</t>
        </is>
      </c>
      <c r="B1" s="1" t="inlineStr">
        <is>
          <t>FY-3</t>
        </is>
      </c>
      <c r="C1" s="1" t="inlineStr">
        <is>
          <t>FY-2</t>
        </is>
      </c>
      <c r="D1" s="1" t="inlineStr">
        <is>
          <t>FY-1</t>
        </is>
      </c>
      <c r="E1" s="1" t="inlineStr">
        <is>
          <t>TTM</t>
        </is>
      </c>
      <c r="F1" s="1" t="inlineStr">
        <is>
          <t>Source / formula</t>
        </is>
      </c>
    </row>
    <row r="2">
      <c r="A2" t="inlineStr">
        <is>
          <t>Fiscal period end</t>
        </is>
      </c>
      <c r="B2" t="inlineStr">
        <is>
          <t>2024-03-31</t>
        </is>
      </c>
      <c r="C2" t="inlineStr">
        <is>
          <t>2025-03-31</t>
        </is>
      </c>
      <c r="D2" t="inlineStr">
        <is>
          <t>2026-03-31</t>
        </is>
      </c>
      <c r="E2" t="inlineStr">
        <is>
          <t>TTM → 2026-03-31</t>
        </is>
      </c>
      <c r="F2" t="inlineStr">
        <is>
          <t>annual statement headers; TTM = Σ last 4 quarters</t>
        </is>
      </c>
    </row>
    <row r="3">
      <c r="A3" t="inlineStr">
        <is>
          <t>Revenue</t>
        </is>
      </c>
      <c r="B3" s="3">
        <f>'Income stmt (annual)'!D41</f>
        <v/>
      </c>
      <c r="C3" s="3">
        <f>'Income stmt (annual)'!C41</f>
        <v/>
      </c>
      <c r="D3" s="3">
        <f>'Income stmt (annual)'!B41</f>
        <v/>
      </c>
      <c r="E3" s="3">
        <f>SUM('Income stmt (quarterly)'!B47:E47)</f>
        <v/>
      </c>
      <c r="F3" t="inlineStr">
        <is>
          <t>Total Revenue</t>
        </is>
      </c>
    </row>
    <row r="4">
      <c r="A4" t="inlineStr">
        <is>
          <t>Gross profit</t>
        </is>
      </c>
      <c r="B4" s="3">
        <f>'Income stmt (annual)'!D39</f>
        <v/>
      </c>
      <c r="C4" s="3">
        <f>'Income stmt (annual)'!C39</f>
        <v/>
      </c>
      <c r="D4" s="3">
        <f>'Income stmt (annual)'!B39</f>
        <v/>
      </c>
      <c r="E4" s="3">
        <f>SUM('Income stmt (quarterly)'!B45:E45)</f>
        <v/>
      </c>
      <c r="F4" t="inlineStr">
        <is>
          <t>Gross Profit (GAAP)</t>
        </is>
      </c>
    </row>
    <row r="5">
      <c r="A5" t="inlineStr">
        <is>
          <t>Gross margin %</t>
        </is>
      </c>
      <c r="B5" s="4">
        <f>IFERROR(B4/B3,"")</f>
        <v/>
      </c>
      <c r="C5" s="4">
        <f>IFERROR(C4/C3,"")</f>
        <v/>
      </c>
      <c r="D5" s="4">
        <f>IFERROR(D4/D3,"")</f>
        <v/>
      </c>
      <c r="E5" s="4">
        <f>IFERROR(E4/E3,"")</f>
        <v/>
      </c>
      <c r="F5" t="inlineStr">
        <is>
          <t>GAAP = gross profit / revenue</t>
        </is>
      </c>
    </row>
    <row r="6">
      <c r="A6" t="inlineStr">
        <is>
          <t>Operating income</t>
        </is>
      </c>
      <c r="B6" s="3">
        <f>'Income stmt (annual)'!D35</f>
        <v/>
      </c>
      <c r="C6" s="3">
        <f>'Income stmt (annual)'!C35</f>
        <v/>
      </c>
      <c r="D6" s="3">
        <f>'Income stmt (annual)'!B35</f>
        <v/>
      </c>
      <c r="E6" s="3">
        <f>SUM('Income stmt (quarterly)'!B40:E40)</f>
        <v/>
      </c>
      <c r="F6" t="inlineStr">
        <is>
          <t>Operating Income</t>
        </is>
      </c>
    </row>
    <row r="7">
      <c r="A7" t="inlineStr">
        <is>
          <t>Operating margin %</t>
        </is>
      </c>
      <c r="B7" s="4">
        <f>IFERROR(B6/B3,"")</f>
        <v/>
      </c>
      <c r="C7" s="4">
        <f>IFERROR(C6/C3,"")</f>
        <v/>
      </c>
      <c r="D7" s="4">
        <f>IFERROR(D6/D3,"")</f>
        <v/>
      </c>
      <c r="E7" s="4">
        <f>IFERROR(E6/E3,"")</f>
        <v/>
      </c>
      <c r="F7">
        <f> operating income / revenue</f>
        <v/>
      </c>
    </row>
    <row r="8">
      <c r="A8" t="inlineStr">
        <is>
          <t>EBITDA</t>
        </is>
      </c>
      <c r="B8" s="3">
        <f>'Income stmt (annual)'!D8</f>
        <v/>
      </c>
      <c r="C8" s="3">
        <f>'Income stmt (annual)'!C8</f>
        <v/>
      </c>
      <c r="D8" s="3">
        <f>'Income stmt (annual)'!B8</f>
        <v/>
      </c>
      <c r="E8" s="3">
        <f>SUM('Income stmt (quarterly)'!B10:E10)</f>
        <v/>
      </c>
      <c r="F8" t="inlineStr">
        <is>
          <t>EBITDA</t>
        </is>
      </c>
    </row>
    <row r="9">
      <c r="A9" t="inlineStr">
        <is>
          <t>Free cash flow</t>
        </is>
      </c>
      <c r="B9" s="3">
        <f>'Cash flow (annual)'!D2</f>
        <v/>
      </c>
      <c r="C9" s="3">
        <f>'Cash flow (annual)'!C2</f>
        <v/>
      </c>
      <c r="D9" s="3">
        <f>'Cash flow (annual)'!B2</f>
        <v/>
      </c>
      <c r="E9" s="3">
        <f>SUM('Cash flow (quarterly)'!B2:E2)</f>
        <v/>
      </c>
      <c r="F9" t="inlineStr">
        <is>
          <t>FCF = OCF − capex</t>
        </is>
      </c>
    </row>
    <row r="10">
      <c r="A10" t="inlineStr">
        <is>
          <t>FCF margin %</t>
        </is>
      </c>
      <c r="B10" s="4">
        <f>IFERROR(B9/B3,"")</f>
        <v/>
      </c>
      <c r="C10" s="4">
        <f>IFERROR(C9/C3,"")</f>
        <v/>
      </c>
      <c r="D10" s="4">
        <f>IFERROR(D9/D3,"")</f>
        <v/>
      </c>
      <c r="E10" s="4">
        <f>IFERROR(E9/E3,"")</f>
        <v/>
      </c>
      <c r="F10">
        <f> FCF / revenue</f>
        <v/>
      </c>
    </row>
    <row r="11">
      <c r="A11" t="inlineStr">
        <is>
          <t>Capex</t>
        </is>
      </c>
      <c r="B11" s="3">
        <f>-'Cash flow (annual)'!D7</f>
        <v/>
      </c>
      <c r="C11" s="3">
        <f>-'Cash flow (annual)'!C7</f>
        <v/>
      </c>
      <c r="D11" s="3">
        <f>-'Cash flow (annual)'!B7</f>
        <v/>
      </c>
      <c r="E11" s="3">
        <f>-SUM('Cash flow (quarterly)'!B6:E6)</f>
        <v/>
      </c>
      <c r="F11" t="inlineStr">
        <is>
          <t>Capex (shown positive)</t>
        </is>
      </c>
    </row>
    <row r="12">
      <c r="A12" t="inlineStr">
        <is>
          <t>Capex / revenue %</t>
        </is>
      </c>
      <c r="B12" s="4">
        <f>IFERROR(B11/B3,"")</f>
        <v/>
      </c>
      <c r="C12" s="4">
        <f>IFERROR(C11/C3,"")</f>
        <v/>
      </c>
      <c r="D12" s="4">
        <f>IFERROR(D11/D3,"")</f>
        <v/>
      </c>
      <c r="E12" s="4">
        <f>IFERROR(E11/E3,"")</f>
        <v/>
      </c>
      <c r="F12">
        <f> capex / revenue</f>
        <v/>
      </c>
    </row>
    <row r="13">
      <c r="A13" t="inlineStr">
        <is>
          <t>Net debt</t>
        </is>
      </c>
      <c r="B13" s="3">
        <f>'Balance sheet (annual)'!D4</f>
        <v/>
      </c>
      <c r="C13" s="3">
        <f>'Balance sheet (annual)'!C4</f>
        <v/>
      </c>
      <c r="D13" s="3">
        <f>'Balance sheet (annual)'!B4</f>
        <v/>
      </c>
      <c r="E13" s="3">
        <f>'Balance sheet (annual)'!B4</f>
        <v/>
      </c>
      <c r="F13" t="inlineStr">
        <is>
          <t>Net debt; TTM = MRQ</t>
        </is>
      </c>
    </row>
    <row r="14">
      <c r="A14" t="inlineStr">
        <is>
          <t>Net debt / EBITDA</t>
        </is>
      </c>
      <c r="B14" s="5">
        <f>IFERROR(B13/B8,"")</f>
        <v/>
      </c>
      <c r="C14" s="5">
        <f>IFERROR(C13/C8,"")</f>
        <v/>
      </c>
      <c r="D14" s="5">
        <f>IFERROR(D13/D8,"")</f>
        <v/>
      </c>
      <c r="E14" s="5">
        <f>IFERROR(E13/E8,"")</f>
        <v/>
      </c>
      <c r="F14">
        <f> net debt / EBITDA</f>
        <v/>
      </c>
    </row>
    <row r="15">
      <c r="A15" t="inlineStr">
        <is>
          <t>Share count (period-end, M)</t>
        </is>
      </c>
      <c r="B15" s="6">
        <f>'Balance sheet (annual)'!D2/1e6</f>
        <v/>
      </c>
      <c r="C15" s="6">
        <f>'Balance sheet (annual)'!C2/1e6</f>
        <v/>
      </c>
      <c r="D15" s="6">
        <f>'Balance sheet (annual)'!B2/1e6</f>
        <v/>
      </c>
      <c r="E15" s="6">
        <f>'Balance sheet (quarterly)'!B2/1e6</f>
        <v/>
      </c>
      <c r="F15" t="inlineStr">
        <is>
          <t>shares ÷ 1e6; TTM = MRQ</t>
        </is>
      </c>
    </row>
    <row r="16">
      <c r="A16" t="inlineStr">
        <is>
          <t>Share count YoY %</t>
        </is>
      </c>
      <c r="B16" s="4" t="inlineStr"/>
      <c r="C16" s="4">
        <f>IFERROR(C15/B15-1,"")</f>
        <v/>
      </c>
      <c r="D16" s="4">
        <f>IFERROR(D15/C15-1,"")</f>
        <v/>
      </c>
      <c r="E16" s="4">
        <f>IFERROR(E15/D15-1,"")</f>
        <v/>
      </c>
      <c r="F16" t="inlineStr">
        <is>
          <t>vs prior 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2025-03-31</t>
        </is>
      </c>
      <c r="D1" s="1" t="inlineStr">
        <is>
          <t>2024-03-31</t>
        </is>
      </c>
      <c r="E1" s="1" t="inlineStr">
        <is>
          <t>2023-03-31</t>
        </is>
      </c>
      <c r="F1" s="1" t="inlineStr">
        <is>
          <t>2022-03-31</t>
        </is>
      </c>
    </row>
    <row r="2">
      <c r="A2" t="inlineStr">
        <is>
          <t>Tax Effect Of Unusual Items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/>
    </row>
    <row r="3">
      <c r="A3" t="inlineStr">
        <is>
          <t>Tax Rate For Calcs</t>
        </is>
      </c>
      <c r="B3" s="3" t="n">
        <v>0.179</v>
      </c>
      <c r="C3" s="3" t="n">
        <v>0.201801</v>
      </c>
      <c r="D3" s="3" t="n">
        <v>0.183853</v>
      </c>
      <c r="E3" s="3" t="n">
        <v>0.282</v>
      </c>
      <c r="F3" s="3" t="n"/>
    </row>
    <row r="4">
      <c r="A4" t="inlineStr">
        <is>
          <t>Normalized EBITDA</t>
        </is>
      </c>
      <c r="B4" s="3" t="n">
        <v>747051000</v>
      </c>
      <c r="C4" s="3" t="n">
        <v>674519000</v>
      </c>
      <c r="D4" s="3" t="n">
        <v>626180000</v>
      </c>
      <c r="E4" s="3" t="n">
        <v>175542000</v>
      </c>
      <c r="F4" s="3" t="n"/>
    </row>
    <row r="5">
      <c r="A5" t="inlineStr">
        <is>
          <t>Net Income From Continuing Operation Net Minority Interest</t>
        </is>
      </c>
      <c r="B5" s="3" t="n">
        <v>585883000</v>
      </c>
      <c r="C5" s="3" t="n">
        <v>509168000</v>
      </c>
      <c r="D5" s="3" t="n">
        <v>306241000</v>
      </c>
      <c r="E5" s="3" t="n">
        <v>118887000</v>
      </c>
      <c r="F5" s="3" t="n"/>
    </row>
    <row r="6">
      <c r="A6" t="inlineStr">
        <is>
          <t>Reconciled Depreciation</t>
        </is>
      </c>
      <c r="B6" s="3" t="n">
        <v>30602000</v>
      </c>
      <c r="C6" s="3" t="n">
        <v>13407000</v>
      </c>
      <c r="D6" s="3" t="n">
        <v>4363000</v>
      </c>
      <c r="E6" s="3" t="n">
        <v>4626000</v>
      </c>
      <c r="F6" s="3" t="n"/>
    </row>
    <row r="7">
      <c r="A7" t="inlineStr">
        <is>
          <t>Reconciled Cost Of Revenue</t>
        </is>
      </c>
      <c r="B7" s="3" t="n">
        <v>2399295000</v>
      </c>
      <c r="C7" s="3" t="n">
        <v>1950372000</v>
      </c>
      <c r="D7" s="3" t="n">
        <v>1686792000</v>
      </c>
      <c r="E7" s="3" t="n">
        <v>1615164000</v>
      </c>
      <c r="F7" s="3" t="n"/>
    </row>
    <row r="8">
      <c r="A8" t="inlineStr">
        <is>
          <t>EBITDA</t>
        </is>
      </c>
      <c r="B8" s="3" t="n">
        <v>747051000</v>
      </c>
      <c r="C8" s="3" t="n">
        <v>674519000</v>
      </c>
      <c r="D8" s="3" t="n">
        <v>626180000</v>
      </c>
      <c r="E8" s="3" t="n">
        <v>175542000</v>
      </c>
      <c r="F8" s="3" t="n"/>
    </row>
    <row r="9">
      <c r="A9" t="inlineStr">
        <is>
          <t>EBIT</t>
        </is>
      </c>
      <c r="B9" s="3" t="n">
        <v>716449000</v>
      </c>
      <c r="C9" s="3" t="n">
        <v>661112000</v>
      </c>
      <c r="D9" s="3" t="n">
        <v>621817000</v>
      </c>
      <c r="E9" s="3" t="n">
        <v>170916000</v>
      </c>
      <c r="F9" s="3" t="n"/>
    </row>
    <row r="10">
      <c r="A10" t="inlineStr">
        <is>
          <t>Net Interest Income</t>
        </is>
      </c>
      <c r="B10" s="3" t="n">
        <v>-2623000</v>
      </c>
      <c r="C10" s="3" t="n">
        <v>-13096000</v>
      </c>
      <c r="D10" s="3" t="n">
        <v>-13820000</v>
      </c>
      <c r="E10" s="3" t="n">
        <v>-1833000</v>
      </c>
      <c r="F10" s="3" t="n"/>
    </row>
    <row r="11">
      <c r="A11" t="inlineStr">
        <is>
          <t>Interest Expense</t>
        </is>
      </c>
      <c r="B11" s="3" t="n">
        <v>2623000</v>
      </c>
      <c r="C11" s="3" t="n">
        <v>13096000</v>
      </c>
      <c r="D11" s="3" t="n">
        <v>13820000</v>
      </c>
      <c r="E11" s="3" t="n">
        <v>1833000</v>
      </c>
      <c r="F11" s="3" t="n"/>
    </row>
    <row r="12">
      <c r="A12" t="inlineStr">
        <is>
          <t>Normalized Income</t>
        </is>
      </c>
      <c r="B12" s="3" t="n">
        <v>585883000</v>
      </c>
      <c r="C12" s="3" t="n">
        <v>509168000</v>
      </c>
      <c r="D12" s="3" t="n">
        <v>306241000</v>
      </c>
      <c r="E12" s="3" t="n">
        <v>118887000</v>
      </c>
      <c r="F12" s="3" t="n"/>
    </row>
    <row r="13">
      <c r="A13" t="inlineStr">
        <is>
          <t>Net Income From Continuing And Discontinued Operation</t>
        </is>
      </c>
      <c r="B13" s="3" t="n">
        <v>585883000</v>
      </c>
      <c r="C13" s="3" t="n">
        <v>509168000</v>
      </c>
      <c r="D13" s="3" t="n">
        <v>306241000</v>
      </c>
      <c r="E13" s="3" t="n">
        <v>118887000</v>
      </c>
      <c r="F13" s="3" t="n"/>
    </row>
    <row r="14">
      <c r="A14" t="inlineStr">
        <is>
          <t>Total Expenses</t>
        </is>
      </c>
      <c r="B14" s="3" t="n">
        <v>2862124000</v>
      </c>
      <c r="C14" s="3" t="n">
        <v>2320085000</v>
      </c>
      <c r="D14" s="3" t="n">
        <v>1912723000</v>
      </c>
      <c r="E14" s="3" t="n">
        <v>1733652000</v>
      </c>
      <c r="F14" s="3" t="n"/>
    </row>
    <row r="15">
      <c r="A15" t="inlineStr">
        <is>
          <t>Total Operating Income As Reported</t>
        </is>
      </c>
      <c r="B15" s="3" t="n">
        <v>697266000</v>
      </c>
      <c r="C15" s="3" t="n">
        <v>639112000</v>
      </c>
      <c r="D15" s="3" t="n">
        <v>587118000</v>
      </c>
      <c r="E15" s="3" t="n">
        <v>168485000</v>
      </c>
      <c r="F15" s="3" t="n"/>
    </row>
    <row r="16">
      <c r="A16" t="inlineStr">
        <is>
          <t>Diluted Average Shares</t>
        </is>
      </c>
      <c r="B16" s="3" t="n"/>
      <c r="C16" s="3" t="n">
        <v>149276000</v>
      </c>
      <c r="D16" s="3" t="n">
        <v>147284330</v>
      </c>
      <c r="E16" s="3" t="n">
        <v>145834762</v>
      </c>
      <c r="F16" s="3" t="n">
        <v>41879190</v>
      </c>
    </row>
    <row r="17">
      <c r="A17" t="inlineStr">
        <is>
          <t>Basic Average Shares</t>
        </is>
      </c>
      <c r="B17" s="3" t="n"/>
      <c r="C17" s="3" t="n">
        <v>143539000</v>
      </c>
      <c r="D17" s="3" t="n">
        <v>77067639</v>
      </c>
      <c r="E17" s="3" t="n">
        <v>45869190</v>
      </c>
      <c r="F17" s="3" t="n">
        <v>41879190</v>
      </c>
    </row>
    <row r="18">
      <c r="A18" t="inlineStr">
        <is>
          <t>Diluted EPS</t>
        </is>
      </c>
      <c r="B18" s="3" t="n"/>
      <c r="C18" s="3" t="n">
        <v>3.47</v>
      </c>
      <c r="D18" s="3" t="n">
        <v>3.37</v>
      </c>
      <c r="E18" s="3" t="n">
        <v>0.02</v>
      </c>
      <c r="F18" s="3" t="n">
        <v>0</v>
      </c>
    </row>
    <row r="19">
      <c r="A19" t="inlineStr">
        <is>
          <t>Basic EPS</t>
        </is>
      </c>
      <c r="B19" s="3" t="n"/>
      <c r="C19" s="3" t="n">
        <v>3.55</v>
      </c>
      <c r="D19" s="3" t="n">
        <v>3.97</v>
      </c>
      <c r="E19" s="3" t="n">
        <v>0.02</v>
      </c>
      <c r="F19" s="3" t="n">
        <v>0</v>
      </c>
    </row>
    <row r="20">
      <c r="A20" t="inlineStr">
        <is>
          <t>Diluted NI Availto Com Stockholders</t>
        </is>
      </c>
      <c r="B20" s="3" t="n">
        <v>585883000</v>
      </c>
      <c r="C20" s="3" t="n">
        <v>509168000</v>
      </c>
      <c r="D20" s="3" t="n">
        <v>306241000</v>
      </c>
      <c r="E20" s="3" t="n">
        <v>1143000</v>
      </c>
      <c r="F20" s="3" t="n"/>
    </row>
    <row r="21">
      <c r="A21" t="inlineStr">
        <is>
          <t>Net Income Common Stockholders</t>
        </is>
      </c>
      <c r="B21" s="3" t="n">
        <v>585883000</v>
      </c>
      <c r="C21" s="3" t="n">
        <v>509168000</v>
      </c>
      <c r="D21" s="3" t="n">
        <v>306241000</v>
      </c>
      <c r="E21" s="3" t="n">
        <v>1143000</v>
      </c>
      <c r="F21" s="3" t="n"/>
    </row>
    <row r="22">
      <c r="A22" t="inlineStr">
        <is>
          <t>Otherunder Preferred Stock Dividend</t>
        </is>
      </c>
      <c r="B22" s="3" t="n"/>
      <c r="C22" s="3" t="n">
        <v>0</v>
      </c>
      <c r="D22" s="3" t="n">
        <v>0</v>
      </c>
      <c r="E22" s="3" t="n">
        <v>117744000</v>
      </c>
      <c r="F22" s="3" t="n">
        <v>50913000</v>
      </c>
    </row>
    <row r="23">
      <c r="A23" t="inlineStr">
        <is>
          <t>Net Income</t>
        </is>
      </c>
      <c r="B23" s="3" t="n">
        <v>585883000</v>
      </c>
      <c r="C23" s="3" t="n">
        <v>509168000</v>
      </c>
      <c r="D23" s="3" t="n">
        <v>306241000</v>
      </c>
      <c r="E23" s="3" t="n">
        <v>118887000</v>
      </c>
      <c r="F23" s="3" t="n"/>
    </row>
    <row r="24">
      <c r="A24" t="inlineStr">
        <is>
          <t>Minority Interests</t>
        </is>
      </c>
      <c r="B24" s="3" t="n">
        <v>0</v>
      </c>
      <c r="C24" s="3" t="n">
        <v>-8078000</v>
      </c>
      <c r="D24" s="3" t="n">
        <v>-189974000</v>
      </c>
      <c r="E24" s="3" t="n">
        <v>-2446000</v>
      </c>
      <c r="F24" s="3" t="n"/>
    </row>
    <row r="25">
      <c r="A25" t="inlineStr">
        <is>
          <t>Net Income Including Noncontrolling Interests</t>
        </is>
      </c>
      <c r="B25" s="3" t="n">
        <v>585883000</v>
      </c>
      <c r="C25" s="3" t="n">
        <v>517246000</v>
      </c>
      <c r="D25" s="3" t="n">
        <v>496215000</v>
      </c>
      <c r="E25" s="3" t="n">
        <v>121333000</v>
      </c>
      <c r="F25" s="3" t="n"/>
    </row>
    <row r="26">
      <c r="A26" t="inlineStr">
        <is>
          <t>Net Income From Tax Loss Carryforward</t>
        </is>
      </c>
      <c r="B26" s="3" t="n"/>
      <c r="C26" s="3" t="n"/>
      <c r="D26" s="3" t="n"/>
      <c r="E26" s="3" t="n">
        <v>-117744000</v>
      </c>
      <c r="F26" s="3" t="n">
        <v>-50913000</v>
      </c>
    </row>
    <row r="27">
      <c r="A27" t="inlineStr">
        <is>
          <t>Net Income Continuous Operations</t>
        </is>
      </c>
      <c r="B27" s="3" t="n">
        <v>585883000</v>
      </c>
      <c r="C27" s="3" t="n">
        <v>517246000</v>
      </c>
      <c r="D27" s="3" t="n">
        <v>496215000</v>
      </c>
      <c r="E27" s="3" t="n">
        <v>121333000</v>
      </c>
      <c r="F27" s="3" t="n"/>
    </row>
    <row r="28">
      <c r="A28" t="inlineStr">
        <is>
          <t>Tax Provision</t>
        </is>
      </c>
      <c r="B28" s="3" t="n">
        <v>127943000</v>
      </c>
      <c r="C28" s="3" t="n">
        <v>130770000</v>
      </c>
      <c r="D28" s="3" t="n">
        <v>111782000</v>
      </c>
      <c r="E28" s="3" t="n">
        <v>47750000</v>
      </c>
      <c r="F28" s="3" t="n"/>
    </row>
    <row r="29">
      <c r="A29" t="inlineStr">
        <is>
          <t>Pretax Income</t>
        </is>
      </c>
      <c r="B29" s="3" t="n">
        <v>713826000</v>
      </c>
      <c r="C29" s="3" t="n">
        <v>648016000</v>
      </c>
      <c r="D29" s="3" t="n">
        <v>607997000</v>
      </c>
      <c r="E29" s="3" t="n">
        <v>169083000</v>
      </c>
      <c r="F29" s="3" t="n"/>
    </row>
    <row r="30">
      <c r="A30" t="inlineStr">
        <is>
          <t>Other Income Expense</t>
        </is>
      </c>
      <c r="B30" s="3" t="n">
        <v>19183000</v>
      </c>
      <c r="C30" s="3" t="n">
        <v>22000000</v>
      </c>
      <c r="D30" s="3" t="n">
        <v>34699000</v>
      </c>
      <c r="E30" s="3" t="n">
        <v>2431000</v>
      </c>
      <c r="F30" s="3" t="n"/>
    </row>
    <row r="31">
      <c r="A31" t="inlineStr">
        <is>
          <t>Other Non Operating Income Expenses</t>
        </is>
      </c>
      <c r="B31" s="3" t="n">
        <v>19183000</v>
      </c>
      <c r="C31" s="3" t="n">
        <v>22000000</v>
      </c>
      <c r="D31" s="3" t="n">
        <v>34699000</v>
      </c>
      <c r="E31" s="3" t="n">
        <v>2431000</v>
      </c>
      <c r="F31" s="3" t="n"/>
    </row>
    <row r="32">
      <c r="A32" t="inlineStr">
        <is>
          <t>Net Non Operating Interest Income Expense</t>
        </is>
      </c>
      <c r="B32" s="3" t="n">
        <v>-2623000</v>
      </c>
      <c r="C32" s="3" t="n">
        <v>-13096000</v>
      </c>
      <c r="D32" s="3" t="n">
        <v>-13820000</v>
      </c>
      <c r="E32" s="3" t="n">
        <v>-1833000</v>
      </c>
      <c r="F32" s="3" t="n"/>
    </row>
    <row r="33">
      <c r="A33" t="inlineStr">
        <is>
          <t>Total Other Finance Cost</t>
        </is>
      </c>
      <c r="B33" s="3" t="n"/>
      <c r="C33" s="3" t="n"/>
      <c r="D33" s="3" t="n"/>
      <c r="E33" s="3" t="n">
        <v>-598000</v>
      </c>
      <c r="F33" s="3" t="n">
        <v>799000</v>
      </c>
    </row>
    <row r="34">
      <c r="A34" t="inlineStr">
        <is>
          <t>Interest Expense Non Operating</t>
        </is>
      </c>
      <c r="B34" s="3" t="n">
        <v>2623000</v>
      </c>
      <c r="C34" s="3" t="n">
        <v>13096000</v>
      </c>
      <c r="D34" s="3" t="n">
        <v>13820000</v>
      </c>
      <c r="E34" s="3" t="n">
        <v>1833000</v>
      </c>
      <c r="F34" s="3" t="n"/>
    </row>
    <row r="35">
      <c r="A35" t="inlineStr">
        <is>
          <t>Operating Income</t>
        </is>
      </c>
      <c r="B35" s="3" t="n">
        <v>697266000</v>
      </c>
      <c r="C35" s="3" t="n">
        <v>639112000</v>
      </c>
      <c r="D35" s="3" t="n">
        <v>587118000</v>
      </c>
      <c r="E35" s="3" t="n">
        <v>168485000</v>
      </c>
      <c r="F35" s="3" t="n"/>
    </row>
    <row r="36">
      <c r="A36" t="inlineStr">
        <is>
          <t>Operating Expense</t>
        </is>
      </c>
      <c r="B36" s="3" t="n">
        <v>462829000</v>
      </c>
      <c r="C36" s="3" t="n">
        <v>369713000</v>
      </c>
      <c r="D36" s="3" t="n">
        <v>225931000</v>
      </c>
      <c r="E36" s="3" t="n">
        <v>118488000</v>
      </c>
      <c r="F36" s="3" t="n"/>
    </row>
    <row r="37">
      <c r="A37" t="inlineStr">
        <is>
          <t>Research And Development</t>
        </is>
      </c>
      <c r="B37" s="3" t="n">
        <v>120909000</v>
      </c>
      <c r="C37" s="3" t="n">
        <v>79392000</v>
      </c>
      <c r="D37" s="3" t="n">
        <v>42360000</v>
      </c>
      <c r="E37" s="3" t="n">
        <v>21619000</v>
      </c>
      <c r="F37" s="3" t="n"/>
    </row>
    <row r="38">
      <c r="A38" t="inlineStr">
        <is>
          <t>Selling General And Administration</t>
        </is>
      </c>
      <c r="B38" s="3" t="n">
        <v>341920000</v>
      </c>
      <c r="C38" s="3" t="n">
        <v>290321000</v>
      </c>
      <c r="D38" s="3" t="n">
        <v>183571000</v>
      </c>
      <c r="E38" s="3" t="n">
        <v>96869000</v>
      </c>
      <c r="F38" s="3" t="n"/>
    </row>
    <row r="39">
      <c r="A39" t="inlineStr">
        <is>
          <t>Gross Profit</t>
        </is>
      </c>
      <c r="B39" s="3" t="n">
        <v>1160095000</v>
      </c>
      <c r="C39" s="3" t="n">
        <v>1008825000</v>
      </c>
      <c r="D39" s="3" t="n">
        <v>813049000</v>
      </c>
      <c r="E39" s="3" t="n">
        <v>286973000</v>
      </c>
      <c r="F39" s="3" t="n"/>
    </row>
    <row r="40">
      <c r="A40" t="inlineStr">
        <is>
          <t>Cost Of Revenue</t>
        </is>
      </c>
      <c r="B40" s="3" t="n">
        <v>2399295000</v>
      </c>
      <c r="C40" s="3" t="n">
        <v>1950372000</v>
      </c>
      <c r="D40" s="3" t="n">
        <v>1686792000</v>
      </c>
      <c r="E40" s="3" t="n">
        <v>1615164000</v>
      </c>
      <c r="F40" s="3" t="n"/>
    </row>
    <row r="41">
      <c r="A41" t="inlineStr">
        <is>
          <t>Total Revenue</t>
        </is>
      </c>
      <c r="B41" s="3" t="n">
        <v>3559390000</v>
      </c>
      <c r="C41" s="3" t="n">
        <v>2959197000</v>
      </c>
      <c r="D41" s="3" t="n">
        <v>2499841000</v>
      </c>
      <c r="E41" s="3" t="n">
        <v>1902137000</v>
      </c>
      <c r="F41" s="3" t="n"/>
    </row>
    <row r="42">
      <c r="A42" t="inlineStr">
        <is>
          <t>Operating Revenue</t>
        </is>
      </c>
      <c r="B42" s="3" t="n">
        <v>3559390000</v>
      </c>
      <c r="C42" s="3" t="n">
        <v>2959197000</v>
      </c>
      <c r="D42" s="3" t="n">
        <v>2499841000</v>
      </c>
      <c r="E42" s="3" t="n">
        <v>1902137000</v>
      </c>
      <c r="F42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  <c r="H1" s="1" t="inlineStr">
        <is>
          <t>2024-09-30</t>
        </is>
      </c>
    </row>
    <row r="2">
      <c r="A2" t="inlineStr">
        <is>
          <t>Tax Effect Of Unusual Items</t>
        </is>
      </c>
      <c r="B2" s="3" t="n">
        <v>0</v>
      </c>
      <c r="C2" s="3" t="n">
        <v>-1446900</v>
      </c>
      <c r="D2" s="3" t="n">
        <v>-764400</v>
      </c>
      <c r="E2" s="3" t="n">
        <v>-53100</v>
      </c>
      <c r="F2" s="3" t="n">
        <v>0</v>
      </c>
      <c r="G2" s="3" t="n"/>
      <c r="H2" s="3" t="n"/>
    </row>
    <row r="3">
      <c r="A3" t="inlineStr">
        <is>
          <t>Tax Rate For Calcs</t>
        </is>
      </c>
      <c r="B3" s="3" t="n">
        <v>0.056579</v>
      </c>
      <c r="C3" s="3" t="n">
        <v>0.273</v>
      </c>
      <c r="D3" s="3" t="n">
        <v>0.196</v>
      </c>
      <c r="E3" s="3" t="n">
        <v>0.177</v>
      </c>
      <c r="F3" s="3" t="n">
        <v>0.205616</v>
      </c>
      <c r="G3" s="3" t="n"/>
      <c r="H3" s="3" t="n"/>
    </row>
    <row r="4">
      <c r="A4" t="inlineStr">
        <is>
          <t>Normalized EBITDA</t>
        </is>
      </c>
      <c r="B4" s="3" t="n">
        <v>168989000</v>
      </c>
      <c r="C4" s="3" t="n">
        <v>194574000</v>
      </c>
      <c r="D4" s="3" t="n">
        <v>194716000</v>
      </c>
      <c r="E4" s="3" t="n">
        <v>198272000</v>
      </c>
      <c r="F4" s="3" t="n">
        <v>206123000</v>
      </c>
      <c r="G4" s="3" t="n"/>
      <c r="H4" s="3" t="n"/>
    </row>
    <row r="5">
      <c r="A5" t="inlineStr">
        <is>
          <t>Total Unusual Items</t>
        </is>
      </c>
      <c r="B5" s="3" t="n"/>
      <c r="C5" s="3" t="n">
        <v>-5300000</v>
      </c>
      <c r="D5" s="3" t="n">
        <v>-3900000</v>
      </c>
      <c r="E5" s="3" t="n">
        <v>-300000</v>
      </c>
      <c r="F5" s="3" t="n"/>
      <c r="G5" s="3" t="n">
        <v>3600000</v>
      </c>
      <c r="H5" s="3" t="n">
        <v>2400000</v>
      </c>
    </row>
    <row r="6">
      <c r="A6" t="inlineStr">
        <is>
          <t>Total Unusual Items Excluding Goodwill</t>
        </is>
      </c>
      <c r="B6" s="3" t="n"/>
      <c r="C6" s="3" t="n">
        <v>-5300000</v>
      </c>
      <c r="D6" s="3" t="n">
        <v>-3900000</v>
      </c>
      <c r="E6" s="3" t="n">
        <v>-300000</v>
      </c>
      <c r="F6" s="3" t="n"/>
      <c r="G6" s="3" t="n">
        <v>3600000</v>
      </c>
      <c r="H6" s="3" t="n">
        <v>2400000</v>
      </c>
    </row>
    <row r="7">
      <c r="A7" t="inlineStr">
        <is>
          <t>Net Income From Continuing Operation Net Minority Interest</t>
        </is>
      </c>
      <c r="B7" s="3" t="n">
        <v>150603000</v>
      </c>
      <c r="C7" s="3" t="n">
        <v>131236000</v>
      </c>
      <c r="D7" s="3" t="n">
        <v>146861000</v>
      </c>
      <c r="E7" s="3" t="n">
        <v>157183000</v>
      </c>
      <c r="F7" s="3" t="n">
        <v>156794000</v>
      </c>
      <c r="G7" s="3" t="n"/>
      <c r="H7" s="3" t="n"/>
    </row>
    <row r="8">
      <c r="A8" t="inlineStr">
        <is>
          <t>Reconciled Depreciation</t>
        </is>
      </c>
      <c r="B8" s="3" t="n">
        <v>9016000</v>
      </c>
      <c r="C8" s="3" t="n">
        <v>8436000</v>
      </c>
      <c r="D8" s="3" t="n">
        <v>7361000</v>
      </c>
      <c r="E8" s="3" t="n">
        <v>5789000</v>
      </c>
      <c r="F8" s="3" t="n">
        <v>5108000</v>
      </c>
      <c r="G8" s="3" t="n"/>
      <c r="H8" s="3" t="n"/>
    </row>
    <row r="9">
      <c r="A9" t="inlineStr">
        <is>
          <t>Reconciled Cost Of Revenue</t>
        </is>
      </c>
      <c r="B9" s="3" t="n">
        <v>583140000</v>
      </c>
      <c r="C9" s="3" t="n">
        <v>621220000</v>
      </c>
      <c r="D9" s="3" t="n">
        <v>612408000</v>
      </c>
      <c r="E9" s="3" t="n">
        <v>582527000</v>
      </c>
      <c r="F9" s="3" t="n">
        <v>618655000</v>
      </c>
      <c r="G9" s="3" t="n"/>
      <c r="H9" s="3" t="n"/>
    </row>
    <row r="10">
      <c r="A10" t="inlineStr">
        <is>
          <t>EBITDA</t>
        </is>
      </c>
      <c r="B10" s="3" t="n">
        <v>168989000</v>
      </c>
      <c r="C10" s="3" t="n">
        <v>189274000</v>
      </c>
      <c r="D10" s="3" t="n">
        <v>190816000</v>
      </c>
      <c r="E10" s="3" t="n">
        <v>197972000</v>
      </c>
      <c r="F10" s="3" t="n">
        <v>206123000</v>
      </c>
      <c r="G10" s="3" t="n"/>
      <c r="H10" s="3" t="n"/>
    </row>
    <row r="11">
      <c r="A11" t="inlineStr">
        <is>
          <t>EBIT</t>
        </is>
      </c>
      <c r="B11" s="3" t="n">
        <v>159973000</v>
      </c>
      <c r="C11" s="3" t="n">
        <v>180838000</v>
      </c>
      <c r="D11" s="3" t="n">
        <v>183455000</v>
      </c>
      <c r="E11" s="3" t="n">
        <v>192183000</v>
      </c>
      <c r="F11" s="3" t="n">
        <v>201015000</v>
      </c>
      <c r="G11" s="3" t="n"/>
      <c r="H11" s="3" t="n"/>
    </row>
    <row r="12">
      <c r="A12" t="inlineStr">
        <is>
          <t>Net Interest Income</t>
        </is>
      </c>
      <c r="B12" s="3" t="n">
        <v>-338000</v>
      </c>
      <c r="C12" s="3" t="n">
        <v>9261000</v>
      </c>
      <c r="D12" s="3" t="n">
        <v>5670000</v>
      </c>
      <c r="E12" s="3" t="n">
        <v>5084000</v>
      </c>
      <c r="F12" s="3" t="n">
        <v>-16053000</v>
      </c>
      <c r="G12" s="3" t="n"/>
      <c r="H12" s="3" t="n"/>
    </row>
    <row r="13">
      <c r="A13" t="inlineStr">
        <is>
          <t>Interest Expense</t>
        </is>
      </c>
      <c r="B13" s="3" t="n">
        <v>338000</v>
      </c>
      <c r="C13" s="3" t="n">
        <v>339000</v>
      </c>
      <c r="D13" s="3" t="n">
        <v>730000</v>
      </c>
      <c r="E13" s="3" t="n">
        <v>1216000</v>
      </c>
      <c r="F13" s="3" t="n">
        <v>2353000</v>
      </c>
      <c r="G13" s="3" t="n"/>
      <c r="H13" s="3" t="n"/>
    </row>
    <row r="14">
      <c r="A14" t="inlineStr">
        <is>
          <t>Interest Income</t>
        </is>
      </c>
      <c r="B14" s="3" t="n"/>
      <c r="C14" s="3" t="n">
        <v>9600000</v>
      </c>
      <c r="D14" s="3" t="n">
        <v>6400000</v>
      </c>
      <c r="E14" s="3" t="n">
        <v>6300000</v>
      </c>
      <c r="F14" s="3" t="n"/>
      <c r="G14" s="3" t="n">
        <v>5800000</v>
      </c>
      <c r="H14" s="3" t="n">
        <v>3300000</v>
      </c>
    </row>
    <row r="15">
      <c r="A15" t="inlineStr">
        <is>
          <t>Normalized Income</t>
        </is>
      </c>
      <c r="B15" s="3" t="n">
        <v>150603000</v>
      </c>
      <c r="C15" s="3" t="n">
        <v>135089100</v>
      </c>
      <c r="D15" s="3" t="n">
        <v>149996600</v>
      </c>
      <c r="E15" s="3" t="n">
        <v>157429900</v>
      </c>
      <c r="F15" s="3" t="n">
        <v>156794000</v>
      </c>
      <c r="G15" s="3" t="n"/>
      <c r="H15" s="3" t="n"/>
    </row>
    <row r="16">
      <c r="A16" t="inlineStr">
        <is>
          <t>Net Income From Continuing And Discontinued Operation</t>
        </is>
      </c>
      <c r="B16" s="3" t="n">
        <v>150603000</v>
      </c>
      <c r="C16" s="3" t="n">
        <v>131236000</v>
      </c>
      <c r="D16" s="3" t="n">
        <v>146861000</v>
      </c>
      <c r="E16" s="3" t="n">
        <v>157183000</v>
      </c>
      <c r="F16" s="3" t="n">
        <v>156794000</v>
      </c>
      <c r="G16" s="3" t="n"/>
      <c r="H16" s="3" t="n"/>
    </row>
    <row r="17">
      <c r="A17" t="inlineStr">
        <is>
          <t>Total Expenses</t>
        </is>
      </c>
      <c r="B17" s="3" t="n">
        <v>726931000</v>
      </c>
      <c r="C17" s="3" t="n">
        <v>733247000</v>
      </c>
      <c r="D17" s="3" t="n">
        <v>723923000</v>
      </c>
      <c r="E17" s="3" t="n">
        <v>678023000</v>
      </c>
      <c r="F17" s="3" t="n">
        <v>733435000</v>
      </c>
      <c r="G17" s="3" t="n"/>
      <c r="H17" s="3" t="n"/>
    </row>
    <row r="18">
      <c r="A18" t="inlineStr">
        <is>
          <t>Total Operating Income As Reported</t>
        </is>
      </c>
      <c r="B18" s="3" t="n">
        <v>153586000</v>
      </c>
      <c r="C18" s="3" t="n">
        <v>176105000</v>
      </c>
      <c r="D18" s="3" t="n">
        <v>181345000</v>
      </c>
      <c r="E18" s="3" t="n">
        <v>186230000</v>
      </c>
      <c r="F18" s="3" t="n">
        <v>195307000</v>
      </c>
      <c r="G18" s="3" t="n"/>
      <c r="H18" s="3" t="n"/>
    </row>
    <row r="19">
      <c r="A19" t="inlineStr">
        <is>
          <t>Diluted Average Shares</t>
        </is>
      </c>
      <c r="B19" s="3" t="n">
        <v>154664000</v>
      </c>
      <c r="C19" s="3" t="n">
        <v>153921000</v>
      </c>
      <c r="D19" s="3" t="n">
        <v>152018000</v>
      </c>
      <c r="E19" s="3" t="n">
        <v>150901000</v>
      </c>
      <c r="F19" s="3" t="n">
        <v>149740000</v>
      </c>
      <c r="G19" s="3" t="n"/>
      <c r="H19" s="3" t="n"/>
    </row>
    <row r="20">
      <c r="A20" t="inlineStr">
        <is>
          <t>Basic Average Shares</t>
        </is>
      </c>
      <c r="B20" s="3" t="n">
        <v>148496000</v>
      </c>
      <c r="C20" s="3" t="n">
        <v>148414000</v>
      </c>
      <c r="D20" s="3" t="n">
        <v>148028000</v>
      </c>
      <c r="E20" s="3" t="n">
        <v>147631000</v>
      </c>
      <c r="F20" s="3" t="n">
        <v>144888000</v>
      </c>
      <c r="G20" s="3" t="n"/>
      <c r="H20" s="3" t="n"/>
    </row>
    <row r="21">
      <c r="A21" t="inlineStr">
        <is>
          <t>Diluted EPS</t>
        </is>
      </c>
      <c r="B21" s="3" t="n">
        <v>0.97</v>
      </c>
      <c r="C21" s="3" t="n">
        <v>0.85</v>
      </c>
      <c r="D21" s="3" t="n">
        <v>0.97</v>
      </c>
      <c r="E21" s="3" t="n">
        <v>1.04</v>
      </c>
      <c r="F21" s="3" t="n">
        <v>1.05</v>
      </c>
      <c r="G21" s="3" t="n"/>
      <c r="H21" s="3" t="n"/>
    </row>
    <row r="22">
      <c r="A22" t="inlineStr">
        <is>
          <t>Basic EPS</t>
        </is>
      </c>
      <c r="B22" s="3" t="n">
        <v>1.01</v>
      </c>
      <c r="C22" s="3" t="n">
        <v>0.88</v>
      </c>
      <c r="D22" s="3" t="n">
        <v>0.99</v>
      </c>
      <c r="E22" s="3" t="n">
        <v>1.06</v>
      </c>
      <c r="F22" s="3" t="n">
        <v>1.08</v>
      </c>
      <c r="G22" s="3" t="n"/>
      <c r="H22" s="3" t="n"/>
    </row>
    <row r="23">
      <c r="A23" t="inlineStr">
        <is>
          <t>Diluted NI Availto Com Stockholders</t>
        </is>
      </c>
      <c r="B23" s="3" t="n">
        <v>150603000</v>
      </c>
      <c r="C23" s="3" t="n">
        <v>131236000</v>
      </c>
      <c r="D23" s="3" t="n">
        <v>146861000</v>
      </c>
      <c r="E23" s="3" t="n">
        <v>157183000</v>
      </c>
      <c r="F23" s="3" t="n">
        <v>149736000</v>
      </c>
      <c r="G23" s="3" t="n"/>
      <c r="H23" s="3" t="n"/>
    </row>
    <row r="24">
      <c r="A24" t="inlineStr">
        <is>
          <t>Average Dilution Earnings</t>
        </is>
      </c>
      <c r="B24" s="3" t="n"/>
      <c r="C24" s="3" t="n">
        <v>0</v>
      </c>
      <c r="D24" s="3" t="n"/>
      <c r="E24" s="3" t="n"/>
      <c r="F24" s="3" t="n"/>
      <c r="G24" s="3" t="n">
        <v>2091000</v>
      </c>
      <c r="H24" s="3" t="n">
        <v>1873000</v>
      </c>
    </row>
    <row r="25">
      <c r="A25" t="inlineStr">
        <is>
          <t>Net Income Common Stockholders</t>
        </is>
      </c>
      <c r="B25" s="3" t="n">
        <v>150603000</v>
      </c>
      <c r="C25" s="3" t="n">
        <v>131236000</v>
      </c>
      <c r="D25" s="3" t="n">
        <v>146861000</v>
      </c>
      <c r="E25" s="3" t="n">
        <v>157183000</v>
      </c>
      <c r="F25" s="3" t="n">
        <v>156794000</v>
      </c>
      <c r="G25" s="3" t="n"/>
      <c r="H25" s="3" t="n"/>
    </row>
    <row r="26">
      <c r="A26" t="inlineStr">
        <is>
          <t>Net Income</t>
        </is>
      </c>
      <c r="B26" s="3" t="n">
        <v>150603000</v>
      </c>
      <c r="C26" s="3" t="n">
        <v>131236000</v>
      </c>
      <c r="D26" s="3" t="n">
        <v>146861000</v>
      </c>
      <c r="E26" s="3" t="n">
        <v>157183000</v>
      </c>
      <c r="F26" s="3" t="n">
        <v>156794000</v>
      </c>
      <c r="G26" s="3" t="n"/>
      <c r="H26" s="3" t="n"/>
    </row>
    <row r="27">
      <c r="A27" t="inlineStr">
        <is>
          <t>Minority Interests</t>
        </is>
      </c>
      <c r="B27" s="3" t="n">
        <v>0</v>
      </c>
      <c r="C27" s="3" t="n">
        <v>0</v>
      </c>
      <c r="D27" s="3" t="n">
        <v>0</v>
      </c>
      <c r="E27" s="3" t="n">
        <v>0</v>
      </c>
      <c r="F27" s="3" t="n">
        <v>-1020000</v>
      </c>
      <c r="G27" s="3" t="n"/>
      <c r="H27" s="3" t="n"/>
    </row>
    <row r="28">
      <c r="A28" t="inlineStr">
        <is>
          <t>Net Income Including Noncontrolling Interests</t>
        </is>
      </c>
      <c r="B28" s="3" t="n">
        <v>150603000</v>
      </c>
      <c r="C28" s="3" t="n">
        <v>131236000</v>
      </c>
      <c r="D28" s="3" t="n">
        <v>146861000</v>
      </c>
      <c r="E28" s="3" t="n">
        <v>157183000</v>
      </c>
      <c r="F28" s="3" t="n">
        <v>157814000</v>
      </c>
      <c r="G28" s="3" t="n"/>
      <c r="H28" s="3" t="n"/>
    </row>
    <row r="29">
      <c r="A29" t="inlineStr">
        <is>
          <t>Net Income Continuous Operations</t>
        </is>
      </c>
      <c r="B29" s="3" t="n">
        <v>150603000</v>
      </c>
      <c r="C29" s="3" t="n">
        <v>131236000</v>
      </c>
      <c r="D29" s="3" t="n">
        <v>146861000</v>
      </c>
      <c r="E29" s="3" t="n">
        <v>157183000</v>
      </c>
      <c r="F29" s="3" t="n">
        <v>157814000</v>
      </c>
      <c r="G29" s="3" t="n"/>
      <c r="H29" s="3" t="n"/>
    </row>
    <row r="30">
      <c r="A30" t="inlineStr">
        <is>
          <t>Tax Provision</t>
        </is>
      </c>
      <c r="B30" s="3" t="n">
        <v>9032000</v>
      </c>
      <c r="C30" s="3" t="n">
        <v>49263000</v>
      </c>
      <c r="D30" s="3" t="n">
        <v>35864000</v>
      </c>
      <c r="E30" s="3" t="n">
        <v>33784000</v>
      </c>
      <c r="F30" s="3" t="n">
        <v>40848000</v>
      </c>
      <c r="G30" s="3" t="n"/>
      <c r="H30" s="3" t="n"/>
    </row>
    <row r="31">
      <c r="A31" t="inlineStr">
        <is>
          <t>Pretax Income</t>
        </is>
      </c>
      <c r="B31" s="3" t="n">
        <v>159635000</v>
      </c>
      <c r="C31" s="3" t="n">
        <v>180499000</v>
      </c>
      <c r="D31" s="3" t="n">
        <v>182725000</v>
      </c>
      <c r="E31" s="3" t="n">
        <v>190967000</v>
      </c>
      <c r="F31" s="3" t="n">
        <v>198662000</v>
      </c>
      <c r="G31" s="3" t="n"/>
      <c r="H31" s="3" t="n"/>
    </row>
    <row r="32">
      <c r="A32" t="inlineStr">
        <is>
          <t>Other Income Expense</t>
        </is>
      </c>
      <c r="B32" s="3" t="n">
        <v>6387000</v>
      </c>
      <c r="C32" s="3" t="n">
        <v>-4900000</v>
      </c>
      <c r="D32" s="3" t="n">
        <v>-4300000</v>
      </c>
      <c r="E32" s="3" t="n">
        <v>-347000</v>
      </c>
      <c r="F32" s="3" t="n">
        <v>23808000</v>
      </c>
      <c r="G32" s="3" t="n"/>
      <c r="H32" s="3" t="n"/>
    </row>
    <row r="33">
      <c r="A33" t="inlineStr">
        <is>
          <t>Other Non Operating Income Expenses</t>
        </is>
      </c>
      <c r="B33" s="3" t="n">
        <v>6387000</v>
      </c>
      <c r="C33" s="3" t="n">
        <v>400000</v>
      </c>
      <c r="D33" s="3" t="n">
        <v>-400000</v>
      </c>
      <c r="E33" s="3" t="n">
        <v>-47000</v>
      </c>
      <c r="F33" s="3" t="n">
        <v>20008000</v>
      </c>
      <c r="G33" s="3" t="n"/>
      <c r="H33" s="3" t="n"/>
    </row>
    <row r="34">
      <c r="A34" t="inlineStr">
        <is>
          <t>Special Income Charges</t>
        </is>
      </c>
      <c r="B34" s="3" t="n"/>
      <c r="C34" s="3" t="n"/>
      <c r="D34" s="3" t="n">
        <v>-5800000</v>
      </c>
      <c r="E34" s="3" t="n"/>
      <c r="F34" s="3" t="n"/>
      <c r="G34" s="3" t="n"/>
      <c r="H34" s="3" t="n"/>
    </row>
    <row r="35">
      <c r="A35" t="inlineStr">
        <is>
          <t>Write Off</t>
        </is>
      </c>
      <c r="B35" s="3" t="n"/>
      <c r="C35" s="3" t="n"/>
      <c r="D35" s="3" t="n">
        <v>5800000</v>
      </c>
      <c r="E35" s="3" t="n"/>
      <c r="F35" s="3" t="n"/>
      <c r="G35" s="3" t="n"/>
      <c r="H35" s="3" t="n"/>
    </row>
    <row r="36">
      <c r="A36" t="inlineStr">
        <is>
          <t>Gain On Sale Of Security</t>
        </is>
      </c>
      <c r="B36" s="3" t="n"/>
      <c r="C36" s="3" t="n">
        <v>-5300000</v>
      </c>
      <c r="D36" s="3" t="n">
        <v>1900000</v>
      </c>
      <c r="E36" s="3" t="n">
        <v>-300000</v>
      </c>
      <c r="F36" s="3" t="n"/>
      <c r="G36" s="3" t="n">
        <v>3600000</v>
      </c>
      <c r="H36" s="3" t="n">
        <v>2400000</v>
      </c>
    </row>
    <row r="37">
      <c r="A37" t="inlineStr">
        <is>
          <t>Net Non Operating Interest Income Expense</t>
        </is>
      </c>
      <c r="B37" s="3" t="n">
        <v>-338000</v>
      </c>
      <c r="C37" s="3" t="n">
        <v>9261000</v>
      </c>
      <c r="D37" s="3" t="n">
        <v>5670000</v>
      </c>
      <c r="E37" s="3" t="n">
        <v>5084000</v>
      </c>
      <c r="F37" s="3" t="n">
        <v>-16053000</v>
      </c>
      <c r="G37" s="3" t="n"/>
      <c r="H37" s="3" t="n"/>
    </row>
    <row r="38">
      <c r="A38" t="inlineStr">
        <is>
          <t>Interest Expense Non Operating</t>
        </is>
      </c>
      <c r="B38" s="3" t="n">
        <v>338000</v>
      </c>
      <c r="C38" s="3" t="n">
        <v>339000</v>
      </c>
      <c r="D38" s="3" t="n">
        <v>730000</v>
      </c>
      <c r="E38" s="3" t="n">
        <v>1216000</v>
      </c>
      <c r="F38" s="3" t="n">
        <v>2353000</v>
      </c>
      <c r="G38" s="3" t="n"/>
      <c r="H38" s="3" t="n"/>
    </row>
    <row r="39">
      <c r="A39" t="inlineStr">
        <is>
          <t>Interest Income Non Operating</t>
        </is>
      </c>
      <c r="B39" s="3" t="n"/>
      <c r="C39" s="3" t="n">
        <v>9600000</v>
      </c>
      <c r="D39" s="3" t="n">
        <v>6400000</v>
      </c>
      <c r="E39" s="3" t="n">
        <v>6300000</v>
      </c>
      <c r="F39" s="3" t="n"/>
      <c r="G39" s="3" t="n">
        <v>5800000</v>
      </c>
      <c r="H39" s="3" t="n">
        <v>3300000</v>
      </c>
    </row>
    <row r="40">
      <c r="A40" t="inlineStr">
        <is>
          <t>Operating Income</t>
        </is>
      </c>
      <c r="B40" s="3" t="n">
        <v>153586000</v>
      </c>
      <c r="C40" s="3" t="n">
        <v>176105000</v>
      </c>
      <c r="D40" s="3" t="n">
        <v>181345000</v>
      </c>
      <c r="E40" s="3" t="n">
        <v>186230000</v>
      </c>
      <c r="F40" s="3" t="n">
        <v>190907000</v>
      </c>
      <c r="G40" s="3" t="n"/>
      <c r="H40" s="3" t="n"/>
    </row>
    <row r="41">
      <c r="A41" t="inlineStr">
        <is>
          <t>Operating Expense</t>
        </is>
      </c>
      <c r="B41" s="3" t="n">
        <v>143791000</v>
      </c>
      <c r="C41" s="3" t="n">
        <v>112027000</v>
      </c>
      <c r="D41" s="3" t="n">
        <v>111515000</v>
      </c>
      <c r="E41" s="3" t="n">
        <v>95496000</v>
      </c>
      <c r="F41" s="3" t="n">
        <v>114780000</v>
      </c>
      <c r="G41" s="3" t="n"/>
      <c r="H41" s="3" t="n"/>
    </row>
    <row r="42">
      <c r="A42" t="inlineStr">
        <is>
          <t>Other Taxes</t>
        </is>
      </c>
      <c r="B42" s="3" t="n"/>
      <c r="C42" s="3" t="n"/>
      <c r="D42" s="3" t="n"/>
      <c r="E42" s="3" t="n"/>
      <c r="F42" s="3" t="n"/>
      <c r="G42" s="3" t="n">
        <v>-4400000</v>
      </c>
      <c r="H42" s="3" t="n"/>
    </row>
    <row r="43">
      <c r="A43" t="inlineStr">
        <is>
          <t>Research And Development</t>
        </is>
      </c>
      <c r="B43" s="3" t="n">
        <v>43166000</v>
      </c>
      <c r="C43" s="3" t="n">
        <v>29294000</v>
      </c>
      <c r="D43" s="3" t="n">
        <v>26889000</v>
      </c>
      <c r="E43" s="3" t="n">
        <v>21560000</v>
      </c>
      <c r="F43" s="3" t="n">
        <v>23586000</v>
      </c>
      <c r="G43" s="3" t="n"/>
      <c r="H43" s="3" t="n"/>
    </row>
    <row r="44">
      <c r="A44" t="inlineStr">
        <is>
          <t>Selling General And Administration</t>
        </is>
      </c>
      <c r="B44" s="3" t="n">
        <v>100625000</v>
      </c>
      <c r="C44" s="3" t="n">
        <v>82733000</v>
      </c>
      <c r="D44" s="3" t="n">
        <v>84626000</v>
      </c>
      <c r="E44" s="3" t="n">
        <v>73936000</v>
      </c>
      <c r="F44" s="3" t="n">
        <v>86794000</v>
      </c>
      <c r="G44" s="3" t="n"/>
      <c r="H44" s="3" t="n"/>
    </row>
    <row r="45">
      <c r="A45" t="inlineStr">
        <is>
          <t>Gross Profit</t>
        </is>
      </c>
      <c r="B45" s="3" t="n">
        <v>297377000</v>
      </c>
      <c r="C45" s="3" t="n">
        <v>288132000</v>
      </c>
      <c r="D45" s="3" t="n">
        <v>292860000</v>
      </c>
      <c r="E45" s="3" t="n">
        <v>281726000</v>
      </c>
      <c r="F45" s="3" t="n">
        <v>305687000</v>
      </c>
      <c r="G45" s="3" t="n"/>
      <c r="H45" s="3" t="n"/>
    </row>
    <row r="46">
      <c r="A46" t="inlineStr">
        <is>
          <t>Cost Of Revenue</t>
        </is>
      </c>
      <c r="B46" s="3" t="n">
        <v>583140000</v>
      </c>
      <c r="C46" s="3" t="n">
        <v>621220000</v>
      </c>
      <c r="D46" s="3" t="n">
        <v>612408000</v>
      </c>
      <c r="E46" s="3" t="n">
        <v>582527000</v>
      </c>
      <c r="F46" s="3" t="n">
        <v>618655000</v>
      </c>
      <c r="G46" s="3" t="n"/>
      <c r="H46" s="3" t="n"/>
    </row>
    <row r="47">
      <c r="A47" t="inlineStr">
        <is>
          <t>Total Revenue</t>
        </is>
      </c>
      <c r="B47" s="3" t="n">
        <v>880517000</v>
      </c>
      <c r="C47" s="3" t="n">
        <v>909352000</v>
      </c>
      <c r="D47" s="3" t="n">
        <v>905268000</v>
      </c>
      <c r="E47" s="3" t="n">
        <v>864253000</v>
      </c>
      <c r="F47" s="3" t="n">
        <v>924342000</v>
      </c>
      <c r="G47" s="3" t="n"/>
      <c r="H47" s="3" t="n"/>
    </row>
    <row r="48">
      <c r="A48" t="inlineStr">
        <is>
          <t>Operating Revenue</t>
        </is>
      </c>
      <c r="B48" s="3" t="n">
        <v>880517000</v>
      </c>
      <c r="C48" s="3" t="n">
        <v>909352000</v>
      </c>
      <c r="D48" s="3" t="n">
        <v>905268000</v>
      </c>
      <c r="E48" s="3" t="n">
        <v>864253000</v>
      </c>
      <c r="F48" s="3" t="n">
        <v>924342000</v>
      </c>
      <c r="G48" s="3" t="n"/>
      <c r="H48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2025-03-31</t>
        </is>
      </c>
      <c r="D1" s="1" t="inlineStr">
        <is>
          <t>2024-03-31</t>
        </is>
      </c>
      <c r="E1" s="1" t="inlineStr">
        <is>
          <t>2023-03-31</t>
        </is>
      </c>
      <c r="F1" s="1" t="inlineStr">
        <is>
          <t>2022-03-31</t>
        </is>
      </c>
    </row>
    <row r="2">
      <c r="A2" t="inlineStr">
        <is>
          <t>Ordinary Shares Number</t>
        </is>
      </c>
      <c r="B2" s="3" t="n">
        <v>149391483</v>
      </c>
      <c r="C2" s="3" t="n">
        <v>145648231</v>
      </c>
      <c r="D2" s="3" t="n">
        <v>140773223</v>
      </c>
      <c r="E2" s="3" t="n">
        <v>45886065</v>
      </c>
      <c r="F2" s="3" t="n"/>
    </row>
    <row r="3">
      <c r="A3" t="inlineStr">
        <is>
          <t>Share Issued</t>
        </is>
      </c>
      <c r="B3" s="3" t="n">
        <v>149391483</v>
      </c>
      <c r="C3" s="3" t="n">
        <v>145648231</v>
      </c>
      <c r="D3" s="3" t="n">
        <v>140773223</v>
      </c>
      <c r="E3" s="3" t="n">
        <v>45886065</v>
      </c>
      <c r="F3" s="3" t="n"/>
    </row>
    <row r="4">
      <c r="A4" t="inlineStr">
        <is>
          <t>Net Debt</t>
        </is>
      </c>
      <c r="B4" s="3" t="n"/>
      <c r="C4" s="3" t="n"/>
      <c r="D4" s="3" t="n"/>
      <c r="E4" s="3" t="n">
        <v>17139000</v>
      </c>
      <c r="F4" s="3" t="n"/>
    </row>
    <row r="5">
      <c r="A5" t="inlineStr">
        <is>
          <t>Total Debt</t>
        </is>
      </c>
      <c r="B5" s="3" t="n"/>
      <c r="C5" s="3" t="n"/>
      <c r="D5" s="3" t="n">
        <v>147717000</v>
      </c>
      <c r="E5" s="3" t="n">
        <v>147147000</v>
      </c>
      <c r="F5" s="3" t="n"/>
    </row>
    <row r="6">
      <c r="A6" t="inlineStr">
        <is>
          <t>Tangible Book Value</t>
        </is>
      </c>
      <c r="B6" s="3" t="n">
        <v>1767401000</v>
      </c>
      <c r="C6" s="3" t="n">
        <v>1203871000</v>
      </c>
      <c r="D6" s="3" t="n">
        <v>694314000</v>
      </c>
      <c r="E6" s="3" t="n">
        <v>-3342241000</v>
      </c>
      <c r="F6" s="3" t="n"/>
    </row>
    <row r="7">
      <c r="A7" t="inlineStr">
        <is>
          <t>Invested Capital</t>
        </is>
      </c>
      <c r="B7" s="3" t="n">
        <v>2334397000</v>
      </c>
      <c r="C7" s="3" t="n">
        <v>1628130000</v>
      </c>
      <c r="D7" s="3" t="n">
        <v>1108730000</v>
      </c>
      <c r="E7" s="3" t="n">
        <v>-2928620000</v>
      </c>
      <c r="F7" s="3" t="n"/>
    </row>
    <row r="8">
      <c r="A8" t="inlineStr">
        <is>
          <t>Working Capital</t>
        </is>
      </c>
      <c r="B8" s="3" t="n">
        <v>1682694000</v>
      </c>
      <c r="C8" s="3" t="n">
        <v>1124474000</v>
      </c>
      <c r="D8" s="3" t="n">
        <v>876749000</v>
      </c>
      <c r="E8" s="3" t="n">
        <v>364839000</v>
      </c>
      <c r="F8" s="3" t="n"/>
    </row>
    <row r="9">
      <c r="A9" t="inlineStr">
        <is>
          <t>Net Tangible Assets</t>
        </is>
      </c>
      <c r="B9" s="3" t="n">
        <v>1767401000</v>
      </c>
      <c r="C9" s="3" t="n">
        <v>1203871000</v>
      </c>
      <c r="D9" s="3" t="n">
        <v>694314000</v>
      </c>
      <c r="E9" s="3" t="n">
        <v>-3342241000</v>
      </c>
      <c r="F9" s="3" t="n"/>
    </row>
    <row r="10">
      <c r="A10" t="inlineStr">
        <is>
          <t>Common Stock Equity</t>
        </is>
      </c>
      <c r="B10" s="3" t="n">
        <v>2334397000</v>
      </c>
      <c r="C10" s="3" t="n">
        <v>1628130000</v>
      </c>
      <c r="D10" s="3" t="n">
        <v>961013000</v>
      </c>
      <c r="E10" s="3" t="n">
        <v>-3075767000</v>
      </c>
      <c r="F10" s="3" t="n"/>
    </row>
    <row r="11">
      <c r="A11" t="inlineStr">
        <is>
          <t>Total Capitalization</t>
        </is>
      </c>
      <c r="B11" s="3" t="n">
        <v>2334397000</v>
      </c>
      <c r="C11" s="3" t="n">
        <v>1628130000</v>
      </c>
      <c r="D11" s="3" t="n">
        <v>1104980000</v>
      </c>
      <c r="E11" s="3" t="n">
        <v>-2928620000</v>
      </c>
      <c r="F11" s="3" t="n"/>
    </row>
    <row r="12">
      <c r="A12" t="inlineStr">
        <is>
          <t>Total Equity Gross Minority Interest</t>
        </is>
      </c>
      <c r="B12" s="3" t="n">
        <v>2334397000</v>
      </c>
      <c r="C12" s="3" t="n">
        <v>1628130000</v>
      </c>
      <c r="D12" s="3" t="n">
        <v>992028000</v>
      </c>
      <c r="E12" s="3" t="n">
        <v>484861000</v>
      </c>
      <c r="F12" s="3" t="n"/>
    </row>
    <row r="13">
      <c r="A13" t="inlineStr">
        <is>
          <t>Minority Interest</t>
        </is>
      </c>
      <c r="B13" s="3" t="n"/>
      <c r="C13" s="3" t="n">
        <v>0</v>
      </c>
      <c r="D13" s="3" t="n">
        <v>31015000</v>
      </c>
      <c r="E13" s="3" t="n">
        <v>3560628000</v>
      </c>
      <c r="F13" s="3" t="n">
        <v>0</v>
      </c>
    </row>
    <row r="14">
      <c r="A14" t="inlineStr">
        <is>
          <t>Stockholders Equity</t>
        </is>
      </c>
      <c r="B14" s="3" t="n">
        <v>2334397000</v>
      </c>
      <c r="C14" s="3" t="n">
        <v>1628130000</v>
      </c>
      <c r="D14" s="3" t="n">
        <v>961013000</v>
      </c>
      <c r="E14" s="3" t="n">
        <v>-3075767000</v>
      </c>
      <c r="F14" s="3" t="n"/>
    </row>
    <row r="15">
      <c r="A15" t="inlineStr">
        <is>
          <t>Other Equity Interest</t>
        </is>
      </c>
      <c r="B15" s="3" t="n"/>
      <c r="C15" s="3" t="n"/>
      <c r="D15" s="3" t="n"/>
      <c r="E15" s="3" t="n"/>
      <c r="F15" s="3" t="n">
        <v>-3035000</v>
      </c>
    </row>
    <row r="16">
      <c r="A16" t="inlineStr">
        <is>
          <t>Gains Losses Not Affecting Retained Earnings</t>
        </is>
      </c>
      <c r="B16" s="3" t="n">
        <v>183000</v>
      </c>
      <c r="C16" s="3" t="n">
        <v>-298000</v>
      </c>
      <c r="D16" s="3" t="n">
        <v>17000</v>
      </c>
      <c r="E16" s="3" t="n">
        <v>0</v>
      </c>
      <c r="F16" s="3" t="n"/>
    </row>
    <row r="17">
      <c r="A17" t="inlineStr">
        <is>
          <t>Other Equity Adjustments</t>
        </is>
      </c>
      <c r="B17" s="3" t="n">
        <v>183000</v>
      </c>
      <c r="C17" s="3" t="n">
        <v>-298000</v>
      </c>
      <c r="D17" s="3" t="n">
        <v>17000</v>
      </c>
      <c r="E17" s="3" t="n"/>
      <c r="F17" s="3" t="n"/>
    </row>
    <row r="18">
      <c r="A18" t="inlineStr">
        <is>
          <t>Retained Earnings</t>
        </is>
      </c>
      <c r="B18" s="3" t="n">
        <v>-1971527000</v>
      </c>
      <c r="C18" s="3" t="n">
        <v>-2557410000</v>
      </c>
      <c r="D18" s="3" t="n">
        <v>-3066578000</v>
      </c>
      <c r="E18" s="3" t="n">
        <v>-3075782000</v>
      </c>
      <c r="F18" s="3" t="n"/>
    </row>
    <row r="19">
      <c r="A19" t="inlineStr">
        <is>
          <t>Additional Paid In Capital</t>
        </is>
      </c>
      <c r="B19" s="3" t="n">
        <v>4305726000</v>
      </c>
      <c r="C19" s="3" t="n">
        <v>4185823000</v>
      </c>
      <c r="D19" s="3" t="n">
        <v>4027560000</v>
      </c>
      <c r="E19" s="3" t="n">
        <v>0</v>
      </c>
      <c r="F19" s="3" t="n"/>
    </row>
    <row r="20">
      <c r="A20" t="inlineStr">
        <is>
          <t>Capital Stock</t>
        </is>
      </c>
      <c r="B20" s="3" t="n">
        <v>15000</v>
      </c>
      <c r="C20" s="3" t="n">
        <v>15000</v>
      </c>
      <c r="D20" s="3" t="n">
        <v>14000</v>
      </c>
      <c r="E20" s="3" t="n">
        <v>15000</v>
      </c>
      <c r="F20" s="3" t="n"/>
    </row>
    <row r="21">
      <c r="A21" t="inlineStr">
        <is>
          <t>Common Stock</t>
        </is>
      </c>
      <c r="B21" s="3" t="n">
        <v>15000</v>
      </c>
      <c r="C21" s="3" t="n">
        <v>15000</v>
      </c>
      <c r="D21" s="3" t="n">
        <v>14000</v>
      </c>
      <c r="E21" s="3" t="n">
        <v>15000</v>
      </c>
      <c r="F21" s="3" t="n"/>
    </row>
    <row r="22">
      <c r="A22" t="inlineStr">
        <is>
          <t>Total Liabilities Net Minority Interest</t>
        </is>
      </c>
      <c r="B22" s="3" t="n">
        <v>1738815000</v>
      </c>
      <c r="C22" s="3" t="n">
        <v>1564386000</v>
      </c>
      <c r="D22" s="3" t="n">
        <v>1526754000</v>
      </c>
      <c r="E22" s="3" t="n">
        <v>934819000</v>
      </c>
      <c r="F22" s="3" t="n"/>
    </row>
    <row r="23">
      <c r="A23" t="inlineStr">
        <is>
          <t>Total Non Current Liabilities Net Minority Interest</t>
        </is>
      </c>
      <c r="B23" s="3" t="n">
        <v>574953000</v>
      </c>
      <c r="C23" s="3" t="n">
        <v>530874000</v>
      </c>
      <c r="D23" s="3" t="n">
        <v>635268000</v>
      </c>
      <c r="E23" s="3" t="n">
        <v>427393000</v>
      </c>
      <c r="F23" s="3" t="n"/>
    </row>
    <row r="24">
      <c r="A24" t="inlineStr">
        <is>
          <t>Other Non Current Liabilities</t>
        </is>
      </c>
      <c r="B24" s="3" t="n">
        <v>472460000</v>
      </c>
      <c r="C24" s="3" t="n">
        <v>434239000</v>
      </c>
      <c r="D24" s="3" t="n">
        <v>421970000</v>
      </c>
      <c r="E24" s="3" t="n">
        <v>280246000</v>
      </c>
      <c r="F24" s="3" t="n"/>
    </row>
    <row r="25">
      <c r="A25" t="inlineStr">
        <is>
          <t>Preferred Securities Outside Stock Equity</t>
        </is>
      </c>
      <c r="B25" s="3" t="n"/>
      <c r="C25" s="3" t="n"/>
      <c r="D25" s="3" t="n"/>
      <c r="E25" s="3" t="n">
        <v>0</v>
      </c>
      <c r="F25" s="3" t="n">
        <v>504168000</v>
      </c>
    </row>
    <row r="26">
      <c r="A26" t="inlineStr">
        <is>
          <t>Tradeand Other Payables Non Current</t>
        </is>
      </c>
      <c r="B26" s="3" t="n"/>
      <c r="C26" s="3" t="n"/>
      <c r="D26" s="3" t="n"/>
      <c r="E26" s="3" t="n">
        <v>230300000</v>
      </c>
      <c r="F26" s="3" t="n"/>
    </row>
    <row r="27">
      <c r="A27" t="inlineStr">
        <is>
          <t>Non Current Deferred Liabilities</t>
        </is>
      </c>
      <c r="B27" s="3" t="n">
        <v>102493000</v>
      </c>
      <c r="C27" s="3" t="n">
        <v>96635000</v>
      </c>
      <c r="D27" s="3" t="n">
        <v>69331000</v>
      </c>
      <c r="E27" s="3" t="n">
        <v>35800000</v>
      </c>
      <c r="F27" s="3" t="n"/>
    </row>
    <row r="28">
      <c r="A28" t="inlineStr">
        <is>
          <t>Non Current Deferred Revenue</t>
        </is>
      </c>
      <c r="B28" s="3" t="n">
        <v>102493000</v>
      </c>
      <c r="C28" s="3" t="n">
        <v>96635000</v>
      </c>
      <c r="D28" s="3" t="n">
        <v>69331000</v>
      </c>
      <c r="E28" s="3" t="n">
        <v>35800000</v>
      </c>
      <c r="F28" s="3" t="n"/>
    </row>
    <row r="29">
      <c r="A29" t="inlineStr">
        <is>
          <t>Long Term Debt And Capital Lease Obligation</t>
        </is>
      </c>
      <c r="B29" s="3" t="n"/>
      <c r="C29" s="3" t="n"/>
      <c r="D29" s="3" t="n">
        <v>143967000</v>
      </c>
      <c r="E29" s="3" t="n">
        <v>147147000</v>
      </c>
      <c r="F29" s="3" t="n"/>
    </row>
    <row r="30">
      <c r="A30" t="inlineStr">
        <is>
          <t>Long Term Debt</t>
        </is>
      </c>
      <c r="B30" s="3" t="n"/>
      <c r="C30" s="3" t="n"/>
      <c r="D30" s="3" t="n">
        <v>143967000</v>
      </c>
      <c r="E30" s="3" t="n">
        <v>147147000</v>
      </c>
      <c r="F30" s="3" t="n"/>
    </row>
    <row r="31">
      <c r="A31" t="inlineStr">
        <is>
          <t>Long Term Provisions</t>
        </is>
      </c>
      <c r="B31" s="3" t="n"/>
      <c r="C31" s="3" t="n"/>
      <c r="D31" s="3" t="n"/>
      <c r="E31" s="3" t="n">
        <v>11800000</v>
      </c>
      <c r="F31" s="3" t="n">
        <v>8800000</v>
      </c>
    </row>
    <row r="32">
      <c r="A32" t="inlineStr">
        <is>
          <t>Current Liabilities</t>
        </is>
      </c>
      <c r="B32" s="3" t="n">
        <v>1163862000</v>
      </c>
      <c r="C32" s="3" t="n">
        <v>1033512000</v>
      </c>
      <c r="D32" s="3" t="n">
        <v>891486000</v>
      </c>
      <c r="E32" s="3" t="n">
        <v>507426000</v>
      </c>
      <c r="F32" s="3" t="n"/>
    </row>
    <row r="33">
      <c r="A33" t="inlineStr">
        <is>
          <t>Other Current Liabilities</t>
        </is>
      </c>
      <c r="B33" s="3" t="n">
        <v>192747000</v>
      </c>
      <c r="C33" s="3" t="n">
        <v>104086000</v>
      </c>
      <c r="D33" s="3" t="n">
        <v>123148000</v>
      </c>
      <c r="E33" s="3" t="n">
        <v>47589000</v>
      </c>
      <c r="F33" s="3" t="n"/>
    </row>
    <row r="34">
      <c r="A34" t="inlineStr">
        <is>
          <t>Current Deferred Liabilities</t>
        </is>
      </c>
      <c r="B34" s="3" t="n">
        <v>307492000</v>
      </c>
      <c r="C34" s="3" t="n">
        <v>247127000</v>
      </c>
      <c r="D34" s="3" t="n">
        <v>225539000</v>
      </c>
      <c r="E34" s="3" t="n">
        <v>176473000</v>
      </c>
      <c r="F34" s="3" t="n"/>
    </row>
    <row r="35">
      <c r="A35" t="inlineStr">
        <is>
          <t>Current Deferred Revenue</t>
        </is>
      </c>
      <c r="B35" s="3" t="n">
        <v>307492000</v>
      </c>
      <c r="C35" s="3" t="n">
        <v>247127000</v>
      </c>
      <c r="D35" s="3" t="n">
        <v>225539000</v>
      </c>
      <c r="E35" s="3" t="n">
        <v>176473000</v>
      </c>
      <c r="F35" s="3" t="n"/>
    </row>
    <row r="36">
      <c r="A36" t="inlineStr">
        <is>
          <t>Current Debt And Capital Lease Obligation</t>
        </is>
      </c>
      <c r="B36" s="3" t="n"/>
      <c r="C36" s="3" t="n"/>
      <c r="D36" s="3" t="n">
        <v>3750000</v>
      </c>
      <c r="E36" s="3" t="n"/>
      <c r="F36" s="3" t="n"/>
    </row>
    <row r="37">
      <c r="A37" t="inlineStr">
        <is>
          <t>Current Debt</t>
        </is>
      </c>
      <c r="B37" s="3" t="n"/>
      <c r="C37" s="3" t="n"/>
      <c r="D37" s="3" t="n">
        <v>3750000</v>
      </c>
      <c r="E37" s="3" t="n"/>
      <c r="F37" s="3" t="n"/>
    </row>
    <row r="38">
      <c r="A38" t="inlineStr">
        <is>
          <t>Payables And Accrued Expenses</t>
        </is>
      </c>
      <c r="B38" s="3" t="n">
        <v>663623000</v>
      </c>
      <c r="C38" s="3" t="n">
        <v>682299000</v>
      </c>
      <c r="D38" s="3" t="n">
        <v>539049000</v>
      </c>
      <c r="E38" s="3" t="n">
        <v>283364000</v>
      </c>
      <c r="F38" s="3" t="n"/>
    </row>
    <row r="39">
      <c r="A39" t="inlineStr">
        <is>
          <t>Current Accrued Expenses</t>
        </is>
      </c>
      <c r="B39" s="3" t="n">
        <v>130133000</v>
      </c>
      <c r="C39" s="3" t="n">
        <v>97000000</v>
      </c>
      <c r="D39" s="3" t="n">
        <v>82410000</v>
      </c>
      <c r="E39" s="3" t="n">
        <v>59770000</v>
      </c>
      <c r="F39" s="3" t="n"/>
    </row>
    <row r="40">
      <c r="A40" t="inlineStr">
        <is>
          <t>Payables</t>
        </is>
      </c>
      <c r="B40" s="3" t="n">
        <v>533490000</v>
      </c>
      <c r="C40" s="3" t="n">
        <v>585299000</v>
      </c>
      <c r="D40" s="3" t="n">
        <v>456639000</v>
      </c>
      <c r="E40" s="3" t="n">
        <v>223594000</v>
      </c>
      <c r="F40" s="3" t="n"/>
    </row>
    <row r="41">
      <c r="A41" t="inlineStr">
        <is>
          <t>Dueto Related Parties Current</t>
        </is>
      </c>
      <c r="B41" s="3" t="n"/>
      <c r="C41" s="3" t="n"/>
      <c r="D41" s="3" t="n">
        <v>0</v>
      </c>
      <c r="E41" s="3" t="n">
        <v>12239000</v>
      </c>
      <c r="F41" s="3" t="n">
        <v>39314000</v>
      </c>
    </row>
    <row r="42">
      <c r="A42" t="inlineStr">
        <is>
          <t>Accounts Payable</t>
        </is>
      </c>
      <c r="B42" s="3" t="n">
        <v>533490000</v>
      </c>
      <c r="C42" s="3" t="n">
        <v>585299000</v>
      </c>
      <c r="D42" s="3" t="n">
        <v>456639000</v>
      </c>
      <c r="E42" s="3" t="n">
        <v>211355000</v>
      </c>
      <c r="F42" s="3" t="n"/>
    </row>
    <row r="43">
      <c r="A43" t="inlineStr">
        <is>
          <t>Total Assets</t>
        </is>
      </c>
      <c r="B43" s="3" t="n">
        <v>4073212000</v>
      </c>
      <c r="C43" s="3" t="n">
        <v>3192516000</v>
      </c>
      <c r="D43" s="3" t="n">
        <v>2518782000</v>
      </c>
      <c r="E43" s="3" t="n">
        <v>1419680000</v>
      </c>
      <c r="F43" s="3" t="n"/>
    </row>
    <row r="44">
      <c r="A44" t="inlineStr">
        <is>
          <t>Total Non Current Assets</t>
        </is>
      </c>
      <c r="B44" s="3" t="n">
        <v>1226656000</v>
      </c>
      <c r="C44" s="3" t="n">
        <v>1034530000</v>
      </c>
      <c r="D44" s="3" t="n">
        <v>750547000</v>
      </c>
      <c r="E44" s="3" t="n">
        <v>547415000</v>
      </c>
      <c r="F44" s="3" t="n"/>
    </row>
    <row r="45">
      <c r="A45" t="inlineStr">
        <is>
          <t>Other Non Current Assets</t>
        </is>
      </c>
      <c r="B45" s="3" t="n">
        <v>69489000</v>
      </c>
      <c r="C45" s="3" t="n">
        <v>51098000</v>
      </c>
      <c r="D45" s="3" t="n">
        <v>36340000</v>
      </c>
      <c r="E45" s="3" t="n">
        <v>273686000</v>
      </c>
      <c r="F45" s="3" t="n"/>
    </row>
    <row r="46">
      <c r="A46" t="inlineStr">
        <is>
          <t>Non Current Deferred Assets</t>
        </is>
      </c>
      <c r="B46" s="3" t="n">
        <v>511815000</v>
      </c>
      <c r="C46" s="3" t="n">
        <v>498778000</v>
      </c>
      <c r="D46" s="3" t="n">
        <v>438272000</v>
      </c>
      <c r="E46" s="3" t="n">
        <v>257100000</v>
      </c>
      <c r="F46" s="3" t="n"/>
    </row>
    <row r="47">
      <c r="A47" t="inlineStr">
        <is>
          <t>Non Current Deferred Taxes Assets</t>
        </is>
      </c>
      <c r="B47" s="3" t="n">
        <v>511815000</v>
      </c>
      <c r="C47" s="3" t="n">
        <v>498778000</v>
      </c>
      <c r="D47" s="3" t="n">
        <v>438272000</v>
      </c>
      <c r="E47" s="3" t="n">
        <v>257100000</v>
      </c>
      <c r="F47" s="3" t="n"/>
    </row>
    <row r="48">
      <c r="A48" t="inlineStr">
        <is>
          <t>Goodwill And Other Intangible Assets</t>
        </is>
      </c>
      <c r="B48" s="3" t="n">
        <v>566996000</v>
      </c>
      <c r="C48" s="3" t="n">
        <v>424259000</v>
      </c>
      <c r="D48" s="3" t="n">
        <v>266699000</v>
      </c>
      <c r="E48" s="3" t="n">
        <v>266474000</v>
      </c>
      <c r="F48" s="3" t="n"/>
    </row>
    <row r="49">
      <c r="A49" t="inlineStr">
        <is>
          <t>Other Intangible Assets</t>
        </is>
      </c>
      <c r="B49" s="3" t="n">
        <v>78046000</v>
      </c>
      <c r="C49" s="3" t="n">
        <v>53241000</v>
      </c>
      <c r="D49" s="3" t="n">
        <v>1546000</v>
      </c>
      <c r="E49" s="3" t="n">
        <v>1321000</v>
      </c>
      <c r="F49" s="3" t="n"/>
    </row>
    <row r="50">
      <c r="A50" t="inlineStr">
        <is>
          <t>Goodwill</t>
        </is>
      </c>
      <c r="B50" s="3" t="n">
        <v>488950000</v>
      </c>
      <c r="C50" s="3" t="n">
        <v>371018000</v>
      </c>
      <c r="D50" s="3" t="n">
        <v>265153000</v>
      </c>
      <c r="E50" s="3" t="n">
        <v>265153000</v>
      </c>
      <c r="F50" s="3" t="n"/>
    </row>
    <row r="51">
      <c r="A51" t="inlineStr">
        <is>
          <t>Net PPE</t>
        </is>
      </c>
      <c r="B51" s="3" t="n">
        <v>78356000</v>
      </c>
      <c r="C51" s="3" t="n">
        <v>60395000</v>
      </c>
      <c r="D51" s="3" t="n">
        <v>9236000</v>
      </c>
      <c r="E51" s="3" t="n">
        <v>7255000</v>
      </c>
      <c r="F51" s="3" t="n"/>
    </row>
    <row r="52">
      <c r="A52" t="inlineStr">
        <is>
          <t>Accumulated Depreciation</t>
        </is>
      </c>
      <c r="B52" s="3" t="n">
        <v>-42662000</v>
      </c>
      <c r="C52" s="3" t="n">
        <v>-20845000</v>
      </c>
      <c r="D52" s="3" t="n">
        <v>-21389000</v>
      </c>
      <c r="E52" s="3" t="n">
        <v>-17300000</v>
      </c>
      <c r="F52" s="3" t="n"/>
    </row>
    <row r="53">
      <c r="A53" t="inlineStr">
        <is>
          <t>Gross PPE</t>
        </is>
      </c>
      <c r="B53" s="3" t="n">
        <v>121018000</v>
      </c>
      <c r="C53" s="3" t="n">
        <v>81240000</v>
      </c>
      <c r="D53" s="3" t="n">
        <v>30625000</v>
      </c>
      <c r="E53" s="3" t="n">
        <v>24555000</v>
      </c>
      <c r="F53" s="3" t="n"/>
    </row>
    <row r="54">
      <c r="A54" t="inlineStr">
        <is>
          <t>Leases</t>
        </is>
      </c>
      <c r="B54" s="3" t="n">
        <v>17480000</v>
      </c>
      <c r="C54" s="3" t="n">
        <v>10854000</v>
      </c>
      <c r="D54" s="3" t="n">
        <v>5168000</v>
      </c>
      <c r="E54" s="3" t="n">
        <v>4302000</v>
      </c>
      <c r="F54" s="3" t="n"/>
    </row>
    <row r="55">
      <c r="A55" t="inlineStr">
        <is>
          <t>Construction In Progress</t>
        </is>
      </c>
      <c r="B55" s="3" t="n">
        <v>11882000</v>
      </c>
      <c r="C55" s="3" t="n">
        <v>18942000</v>
      </c>
      <c r="D55" s="3" t="n">
        <v>3051000</v>
      </c>
      <c r="E55" s="3" t="n">
        <v>1111000</v>
      </c>
      <c r="F55" s="3" t="n"/>
    </row>
    <row r="56">
      <c r="A56" t="inlineStr">
        <is>
          <t>Machinery Furniture Equipment</t>
        </is>
      </c>
      <c r="B56" s="3" t="n">
        <v>91656000</v>
      </c>
      <c r="C56" s="3" t="n">
        <v>51444000</v>
      </c>
      <c r="D56" s="3" t="n">
        <v>22406000</v>
      </c>
      <c r="E56" s="3" t="n">
        <v>19142000</v>
      </c>
      <c r="F56" s="3" t="n"/>
    </row>
    <row r="57">
      <c r="A57" t="inlineStr">
        <is>
          <t>Properties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/>
    </row>
    <row r="58">
      <c r="A58" t="inlineStr">
        <is>
          <t>Current Assets</t>
        </is>
      </c>
      <c r="B58" s="3" t="n">
        <v>2846556000</v>
      </c>
      <c r="C58" s="3" t="n">
        <v>2157986000</v>
      </c>
      <c r="D58" s="3" t="n">
        <v>1768235000</v>
      </c>
      <c r="E58" s="3" t="n">
        <v>872265000</v>
      </c>
      <c r="F58" s="3" t="n"/>
    </row>
    <row r="59">
      <c r="A59" t="inlineStr">
        <is>
          <t>Other Current Assets</t>
        </is>
      </c>
      <c r="B59" s="3" t="n">
        <v>186406000</v>
      </c>
      <c r="C59" s="3" t="n">
        <v>88483000</v>
      </c>
      <c r="D59" s="3" t="n">
        <v>187220000</v>
      </c>
      <c r="E59" s="3" t="n">
        <v>35081000</v>
      </c>
      <c r="F59" s="3" t="n"/>
    </row>
    <row r="60">
      <c r="A60" t="inlineStr">
        <is>
          <t>Inventory</t>
        </is>
      </c>
      <c r="B60" s="3" t="n">
        <v>262276000</v>
      </c>
      <c r="C60" s="3" t="n">
        <v>209432000</v>
      </c>
      <c r="D60" s="3" t="n">
        <v>201736000</v>
      </c>
      <c r="E60" s="3" t="n">
        <v>138057000</v>
      </c>
      <c r="F60" s="3" t="n"/>
    </row>
    <row r="61">
      <c r="A61" t="inlineStr">
        <is>
          <t>Receivables</t>
        </is>
      </c>
      <c r="B61" s="3" t="n">
        <v>1302898000</v>
      </c>
      <c r="C61" s="3" t="n">
        <v>1093968000</v>
      </c>
      <c r="D61" s="3" t="n">
        <v>905225000</v>
      </c>
      <c r="E61" s="3" t="n">
        <v>569119000</v>
      </c>
      <c r="F61" s="3" t="n"/>
    </row>
    <row r="62">
      <c r="A62" t="inlineStr">
        <is>
          <t>Other Receivables</t>
        </is>
      </c>
      <c r="B62" s="3" t="n">
        <v>885855000</v>
      </c>
      <c r="C62" s="3" t="n">
        <v>621506000</v>
      </c>
      <c r="D62" s="3" t="n">
        <v>522538000</v>
      </c>
      <c r="E62" s="3" t="n">
        <v>297960000</v>
      </c>
      <c r="F62" s="3" t="n"/>
    </row>
    <row r="63">
      <c r="A63" t="inlineStr">
        <is>
          <t>Accounts Receivable</t>
        </is>
      </c>
      <c r="B63" s="3" t="n">
        <v>417043000</v>
      </c>
      <c r="C63" s="3" t="n">
        <v>472462000</v>
      </c>
      <c r="D63" s="3" t="n">
        <v>382687000</v>
      </c>
      <c r="E63" s="3" t="n">
        <v>271159000</v>
      </c>
      <c r="F63" s="3" t="n"/>
    </row>
    <row r="64">
      <c r="A64" t="inlineStr">
        <is>
          <t>Allowance For Doubtful Accounts Receivable</t>
        </is>
      </c>
      <c r="B64" s="3" t="n">
        <v>-2078000</v>
      </c>
      <c r="C64" s="3" t="n">
        <v>-1472000</v>
      </c>
      <c r="D64" s="3" t="n">
        <v>-3872000</v>
      </c>
      <c r="E64" s="3" t="n">
        <v>-1768000</v>
      </c>
      <c r="F64" s="3" t="n"/>
    </row>
    <row r="65">
      <c r="A65" t="inlineStr">
        <is>
          <t>Gross Accounts Receivable</t>
        </is>
      </c>
      <c r="B65" s="3" t="n">
        <v>419121000</v>
      </c>
      <c r="C65" s="3" t="n">
        <v>473934000</v>
      </c>
      <c r="D65" s="3" t="n">
        <v>386559000</v>
      </c>
      <c r="E65" s="3" t="n">
        <v>272927000</v>
      </c>
      <c r="F65" s="3" t="n"/>
    </row>
    <row r="66">
      <c r="A66" t="inlineStr">
        <is>
          <t>Cash Cash Equivalents And Short Term Investments</t>
        </is>
      </c>
      <c r="B66" s="3" t="n">
        <v>1094976000</v>
      </c>
      <c r="C66" s="3" t="n">
        <v>766103000</v>
      </c>
      <c r="D66" s="3" t="n">
        <v>474054000</v>
      </c>
      <c r="E66" s="3" t="n">
        <v>130008000</v>
      </c>
      <c r="F66" s="3" t="n"/>
    </row>
    <row r="67">
      <c r="A67" t="inlineStr">
        <is>
          <t>Other Short Term Investments</t>
        </is>
      </c>
      <c r="B67" s="3" t="n"/>
      <c r="C67" s="3" t="n"/>
      <c r="D67" s="3" t="n"/>
      <c r="E67" s="3" t="n">
        <v>29300000</v>
      </c>
      <c r="F67" s="3" t="n">
        <v>9300000</v>
      </c>
    </row>
    <row r="68">
      <c r="A68" t="inlineStr">
        <is>
          <t>Cash And Cash Equivalents</t>
        </is>
      </c>
      <c r="B68" s="3" t="n">
        <v>1094976000</v>
      </c>
      <c r="C68" s="3" t="n">
        <v>766103000</v>
      </c>
      <c r="D68" s="3" t="n">
        <v>474054000</v>
      </c>
      <c r="E68" s="3" t="n">
        <v>130008000</v>
      </c>
      <c r="F68" s="3" t="n"/>
    </row>
    <row r="69">
      <c r="A69" t="inlineStr">
        <is>
          <t>Cash Financial</t>
        </is>
      </c>
      <c r="B69" s="3" t="n"/>
      <c r="C69" s="3" t="n"/>
      <c r="D69" s="3" t="n"/>
      <c r="E69" s="3" t="n"/>
      <c r="F69" s="3" t="n">
        <v>29070000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  <c r="H1" s="1" t="inlineStr">
        <is>
          <t>2024-09-30</t>
        </is>
      </c>
    </row>
    <row r="2">
      <c r="A2" t="inlineStr">
        <is>
          <t>Ordinary Shares Number</t>
        </is>
      </c>
      <c r="B2" s="3" t="n">
        <v>149391483</v>
      </c>
      <c r="C2" s="3" t="n">
        <v>148447633</v>
      </c>
      <c r="D2" s="3" t="n">
        <v>148382565</v>
      </c>
      <c r="E2" s="3" t="n">
        <v>147963974</v>
      </c>
      <c r="F2" s="3" t="n">
        <v>145648231</v>
      </c>
      <c r="G2" s="3" t="n"/>
      <c r="H2" s="3" t="n"/>
    </row>
    <row r="3">
      <c r="A3" t="inlineStr">
        <is>
          <t>Share Issued</t>
        </is>
      </c>
      <c r="B3" s="3" t="n">
        <v>149391483</v>
      </c>
      <c r="C3" s="3" t="n">
        <v>148447633</v>
      </c>
      <c r="D3" s="3" t="n">
        <v>148382565</v>
      </c>
      <c r="E3" s="3" t="n">
        <v>147963974</v>
      </c>
      <c r="F3" s="3" t="n">
        <v>145648231</v>
      </c>
      <c r="G3" s="3" t="n"/>
      <c r="H3" s="3" t="n"/>
    </row>
    <row r="4">
      <c r="A4" t="inlineStr">
        <is>
          <t>Total Debt</t>
        </is>
      </c>
      <c r="B4" s="3" t="n"/>
      <c r="C4" s="3" t="n"/>
      <c r="D4" s="3" t="n"/>
      <c r="E4" s="3" t="n"/>
      <c r="F4" s="3" t="n"/>
      <c r="G4" s="3" t="n">
        <v>145333000</v>
      </c>
      <c r="H4" s="3" t="n">
        <v>146128000</v>
      </c>
    </row>
    <row r="5">
      <c r="A5" t="inlineStr">
        <is>
          <t>Tangible Book Value</t>
        </is>
      </c>
      <c r="B5" s="3" t="n">
        <v>1767401000</v>
      </c>
      <c r="C5" s="3" t="n">
        <v>1584993000</v>
      </c>
      <c r="D5" s="3" t="n">
        <v>1430315000</v>
      </c>
      <c r="E5" s="3" t="n">
        <v>1293272000</v>
      </c>
      <c r="F5" s="3" t="n">
        <v>1203871000</v>
      </c>
      <c r="G5" s="3" t="n"/>
      <c r="H5" s="3" t="n"/>
    </row>
    <row r="6">
      <c r="A6" t="inlineStr">
        <is>
          <t>Invested Capital</t>
        </is>
      </c>
      <c r="B6" s="3" t="n">
        <v>2334397000</v>
      </c>
      <c r="C6" s="3" t="n">
        <v>2150870000</v>
      </c>
      <c r="D6" s="3" t="n">
        <v>1985698000</v>
      </c>
      <c r="E6" s="3" t="n">
        <v>1807144000</v>
      </c>
      <c r="F6" s="3" t="n">
        <v>1628130000</v>
      </c>
      <c r="G6" s="3" t="n"/>
      <c r="H6" s="3" t="n"/>
    </row>
    <row r="7">
      <c r="A7" t="inlineStr">
        <is>
          <t>Working Capital</t>
        </is>
      </c>
      <c r="B7" s="3" t="n">
        <v>1682694000</v>
      </c>
      <c r="C7" s="3" t="n">
        <v>1474827000</v>
      </c>
      <c r="D7" s="3" t="n">
        <v>1318869000</v>
      </c>
      <c r="E7" s="3" t="n">
        <v>1200953000</v>
      </c>
      <c r="F7" s="3" t="n">
        <v>1124474000</v>
      </c>
      <c r="G7" s="3" t="n"/>
      <c r="H7" s="3" t="n"/>
    </row>
    <row r="8">
      <c r="A8" t="inlineStr">
        <is>
          <t>Net Tangible Assets</t>
        </is>
      </c>
      <c r="B8" s="3" t="n">
        <v>1767401000</v>
      </c>
      <c r="C8" s="3" t="n">
        <v>1584993000</v>
      </c>
      <c r="D8" s="3" t="n">
        <v>1430315000</v>
      </c>
      <c r="E8" s="3" t="n">
        <v>1293272000</v>
      </c>
      <c r="F8" s="3" t="n">
        <v>1203871000</v>
      </c>
      <c r="G8" s="3" t="n"/>
      <c r="H8" s="3" t="n"/>
    </row>
    <row r="9">
      <c r="A9" t="inlineStr">
        <is>
          <t>Common Stock Equity</t>
        </is>
      </c>
      <c r="B9" s="3" t="n">
        <v>2334397000</v>
      </c>
      <c r="C9" s="3" t="n">
        <v>2150870000</v>
      </c>
      <c r="D9" s="3" t="n">
        <v>1985698000</v>
      </c>
      <c r="E9" s="3" t="n">
        <v>1807144000</v>
      </c>
      <c r="F9" s="3" t="n">
        <v>1628130000</v>
      </c>
      <c r="G9" s="3" t="n"/>
      <c r="H9" s="3" t="n"/>
    </row>
    <row r="10">
      <c r="A10" t="inlineStr">
        <is>
          <t>Total Capitalization</t>
        </is>
      </c>
      <c r="B10" s="3" t="n">
        <v>2334397000</v>
      </c>
      <c r="C10" s="3" t="n">
        <v>2150870000</v>
      </c>
      <c r="D10" s="3" t="n">
        <v>1985698000</v>
      </c>
      <c r="E10" s="3" t="n">
        <v>1807144000</v>
      </c>
      <c r="F10" s="3" t="n">
        <v>1628130000</v>
      </c>
      <c r="G10" s="3" t="n"/>
      <c r="H10" s="3" t="n"/>
    </row>
    <row r="11">
      <c r="A11" t="inlineStr">
        <is>
          <t>Total Equity Gross Minority Interest</t>
        </is>
      </c>
      <c r="B11" s="3" t="n">
        <v>2334397000</v>
      </c>
      <c r="C11" s="3" t="n">
        <v>2150870000</v>
      </c>
      <c r="D11" s="3" t="n">
        <v>1985698000</v>
      </c>
      <c r="E11" s="3" t="n">
        <v>1807144000</v>
      </c>
      <c r="F11" s="3" t="n">
        <v>1628130000</v>
      </c>
      <c r="G11" s="3" t="n"/>
      <c r="H11" s="3" t="n"/>
    </row>
    <row r="12">
      <c r="A12" t="inlineStr">
        <is>
          <t>Minority Interest</t>
        </is>
      </c>
      <c r="B12" s="3" t="n"/>
      <c r="C12" s="3" t="n"/>
      <c r="D12" s="3" t="n"/>
      <c r="E12" s="3" t="n"/>
      <c r="F12" s="3" t="n">
        <v>0</v>
      </c>
      <c r="G12" s="3" t="n">
        <v>18410000</v>
      </c>
      <c r="H12" s="3" t="n">
        <v>16319000</v>
      </c>
    </row>
    <row r="13">
      <c r="A13" t="inlineStr">
        <is>
          <t>Stockholders Equity</t>
        </is>
      </c>
      <c r="B13" s="3" t="n">
        <v>2334397000</v>
      </c>
      <c r="C13" s="3" t="n">
        <v>2150870000</v>
      </c>
      <c r="D13" s="3" t="n">
        <v>1985698000</v>
      </c>
      <c r="E13" s="3" t="n">
        <v>1807144000</v>
      </c>
      <c r="F13" s="3" t="n">
        <v>1628130000</v>
      </c>
      <c r="G13" s="3" t="n"/>
      <c r="H13" s="3" t="n"/>
    </row>
    <row r="14">
      <c r="A14" t="inlineStr">
        <is>
          <t>Gains Losses Not Affecting Retained Earnings</t>
        </is>
      </c>
      <c r="B14" s="3" t="n">
        <v>183000</v>
      </c>
      <c r="C14" s="3" t="n">
        <v>-656000</v>
      </c>
      <c r="D14" s="3" t="n">
        <v>-737000</v>
      </c>
      <c r="E14" s="3" t="n">
        <v>-777000</v>
      </c>
      <c r="F14" s="3" t="n">
        <v>-298000</v>
      </c>
      <c r="G14" s="3" t="n"/>
      <c r="H14" s="3" t="n"/>
    </row>
    <row r="15">
      <c r="A15" t="inlineStr">
        <is>
          <t>Other Equity Adjustments</t>
        </is>
      </c>
      <c r="B15" s="3" t="n">
        <v>183000</v>
      </c>
      <c r="C15" s="3" t="n">
        <v>-656000</v>
      </c>
      <c r="D15" s="3" t="n">
        <v>-737000</v>
      </c>
      <c r="E15" s="3" t="n">
        <v>-777000</v>
      </c>
      <c r="F15" s="3" t="n">
        <v>-298000</v>
      </c>
      <c r="G15" s="3" t="n"/>
      <c r="H15" s="3" t="n"/>
    </row>
    <row r="16">
      <c r="A16" t="inlineStr">
        <is>
          <t>Retained Earnings</t>
        </is>
      </c>
      <c r="B16" s="3" t="n">
        <v>-1971527000</v>
      </c>
      <c r="C16" s="3" t="n">
        <v>-2122130000</v>
      </c>
      <c r="D16" s="3" t="n">
        <v>-2253366000</v>
      </c>
      <c r="E16" s="3" t="n">
        <v>-2400227000</v>
      </c>
      <c r="F16" s="3" t="n">
        <v>-2557410000</v>
      </c>
      <c r="G16" s="3" t="n"/>
      <c r="H16" s="3" t="n"/>
    </row>
    <row r="17">
      <c r="A17" t="inlineStr">
        <is>
          <t>Additional Paid In Capital</t>
        </is>
      </c>
      <c r="B17" s="3" t="n">
        <v>4305726000</v>
      </c>
      <c r="C17" s="3" t="n">
        <v>4273641000</v>
      </c>
      <c r="D17" s="3" t="n">
        <v>4239786000</v>
      </c>
      <c r="E17" s="3" t="n">
        <v>4208133000</v>
      </c>
      <c r="F17" s="3" t="n">
        <v>4185823000</v>
      </c>
      <c r="G17" s="3" t="n"/>
      <c r="H17" s="3" t="n"/>
    </row>
    <row r="18">
      <c r="A18" t="inlineStr">
        <is>
          <t>Capital Stock</t>
        </is>
      </c>
      <c r="B18" s="3" t="n">
        <v>15000</v>
      </c>
      <c r="C18" s="3" t="n">
        <v>15000</v>
      </c>
      <c r="D18" s="3" t="n">
        <v>15000</v>
      </c>
      <c r="E18" s="3" t="n">
        <v>15000</v>
      </c>
      <c r="F18" s="3" t="n">
        <v>15000</v>
      </c>
      <c r="G18" s="3" t="n"/>
      <c r="H18" s="3" t="n"/>
    </row>
    <row r="19">
      <c r="A19" t="inlineStr">
        <is>
          <t>Common Stock</t>
        </is>
      </c>
      <c r="B19" s="3" t="n">
        <v>15000</v>
      </c>
      <c r="C19" s="3" t="n">
        <v>15000</v>
      </c>
      <c r="D19" s="3" t="n">
        <v>15000</v>
      </c>
      <c r="E19" s="3" t="n">
        <v>15000</v>
      </c>
      <c r="F19" s="3" t="n">
        <v>15000</v>
      </c>
      <c r="G19" s="3" t="n"/>
      <c r="H19" s="3" t="n"/>
    </row>
    <row r="20">
      <c r="A20" t="inlineStr">
        <is>
          <t>Total Liabilities Net Minority Interest</t>
        </is>
      </c>
      <c r="B20" s="3" t="n">
        <v>1738815000</v>
      </c>
      <c r="C20" s="3" t="n">
        <v>1649196000</v>
      </c>
      <c r="D20" s="3" t="n">
        <v>1683191000</v>
      </c>
      <c r="E20" s="3" t="n">
        <v>1582795000</v>
      </c>
      <c r="F20" s="3" t="n">
        <v>1564386000</v>
      </c>
      <c r="G20" s="3" t="n"/>
      <c r="H20" s="3" t="n"/>
    </row>
    <row r="21">
      <c r="A21" t="inlineStr">
        <is>
          <t>Total Non Current Liabilities Net Minority Interest</t>
        </is>
      </c>
      <c r="B21" s="3" t="n">
        <v>574953000</v>
      </c>
      <c r="C21" s="3" t="n">
        <v>564424000</v>
      </c>
      <c r="D21" s="3" t="n">
        <v>563385000</v>
      </c>
      <c r="E21" s="3" t="n">
        <v>550804000</v>
      </c>
      <c r="F21" s="3" t="n">
        <v>530874000</v>
      </c>
      <c r="G21" s="3" t="n"/>
      <c r="H21" s="3" t="n"/>
    </row>
    <row r="22">
      <c r="A22" t="inlineStr">
        <is>
          <t>Other Non Current Liabilities</t>
        </is>
      </c>
      <c r="B22" s="3" t="n">
        <v>472460000</v>
      </c>
      <c r="C22" s="3" t="n">
        <v>466844000</v>
      </c>
      <c r="D22" s="3" t="n">
        <v>464503000</v>
      </c>
      <c r="E22" s="3" t="n">
        <v>449352000</v>
      </c>
      <c r="F22" s="3" t="n">
        <v>434239000</v>
      </c>
      <c r="G22" s="3" t="n"/>
      <c r="H22" s="3" t="n"/>
    </row>
    <row r="23">
      <c r="A23" t="inlineStr">
        <is>
          <t>Non Current Deferred Liabilities</t>
        </is>
      </c>
      <c r="B23" s="3" t="n">
        <v>102493000</v>
      </c>
      <c r="C23" s="3" t="n">
        <v>97580000</v>
      </c>
      <c r="D23" s="3" t="n">
        <v>98882000</v>
      </c>
      <c r="E23" s="3" t="n">
        <v>101452000</v>
      </c>
      <c r="F23" s="3" t="n">
        <v>96635000</v>
      </c>
      <c r="G23" s="3" t="n"/>
      <c r="H23" s="3" t="n"/>
    </row>
    <row r="24">
      <c r="A24" t="inlineStr">
        <is>
          <t>Non Current Deferred Revenue</t>
        </is>
      </c>
      <c r="B24" s="3" t="n">
        <v>102493000</v>
      </c>
      <c r="C24" s="3" t="n">
        <v>97580000</v>
      </c>
      <c r="D24" s="3" t="n">
        <v>98882000</v>
      </c>
      <c r="E24" s="3" t="n">
        <v>101452000</v>
      </c>
      <c r="F24" s="3" t="n">
        <v>96635000</v>
      </c>
      <c r="G24" s="3" t="n"/>
      <c r="H24" s="3" t="n"/>
    </row>
    <row r="25">
      <c r="A25" t="inlineStr">
        <is>
          <t>Long Term Debt And Capital Lease Obligation</t>
        </is>
      </c>
      <c r="B25" s="3" t="n"/>
      <c r="C25" s="3" t="n"/>
      <c r="D25" s="3" t="n"/>
      <c r="E25" s="3" t="n"/>
      <c r="F25" s="3" t="n"/>
      <c r="G25" s="3" t="n">
        <v>138770000</v>
      </c>
      <c r="H25" s="3" t="n">
        <v>140503000</v>
      </c>
    </row>
    <row r="26">
      <c r="A26" t="inlineStr">
        <is>
          <t>Long Term Debt</t>
        </is>
      </c>
      <c r="B26" s="3" t="n"/>
      <c r="C26" s="3" t="n"/>
      <c r="D26" s="3" t="n"/>
      <c r="E26" s="3" t="n"/>
      <c r="F26" s="3" t="n"/>
      <c r="G26" s="3" t="n">
        <v>138770000</v>
      </c>
      <c r="H26" s="3" t="n">
        <v>140503000</v>
      </c>
    </row>
    <row r="27">
      <c r="A27" t="inlineStr">
        <is>
          <t>Current Liabilities</t>
        </is>
      </c>
      <c r="B27" s="3" t="n">
        <v>1163862000</v>
      </c>
      <c r="C27" s="3" t="n">
        <v>1084772000</v>
      </c>
      <c r="D27" s="3" t="n">
        <v>1119806000</v>
      </c>
      <c r="E27" s="3" t="n">
        <v>1031991000</v>
      </c>
      <c r="F27" s="3" t="n">
        <v>1033512000</v>
      </c>
      <c r="G27" s="3" t="n"/>
      <c r="H27" s="3" t="n"/>
    </row>
    <row r="28">
      <c r="A28" t="inlineStr">
        <is>
          <t>Other Current Liabilities</t>
        </is>
      </c>
      <c r="B28" s="3" t="n">
        <v>192747000</v>
      </c>
      <c r="C28" s="3" t="n">
        <v>96242000</v>
      </c>
      <c r="D28" s="3" t="n">
        <v>90277000</v>
      </c>
      <c r="E28" s="3" t="n">
        <v>102859000</v>
      </c>
      <c r="F28" s="3" t="n">
        <v>104086000</v>
      </c>
      <c r="G28" s="3" t="n"/>
      <c r="H28" s="3" t="n"/>
    </row>
    <row r="29">
      <c r="A29" t="inlineStr">
        <is>
          <t>Current Deferred Liabilities</t>
        </is>
      </c>
      <c r="B29" s="3" t="n">
        <v>307492000</v>
      </c>
      <c r="C29" s="3" t="n">
        <v>321882000</v>
      </c>
      <c r="D29" s="3" t="n">
        <v>372348000</v>
      </c>
      <c r="E29" s="3" t="n">
        <v>261688000</v>
      </c>
      <c r="F29" s="3" t="n">
        <v>247127000</v>
      </c>
      <c r="G29" s="3" t="n"/>
      <c r="H29" s="3" t="n"/>
    </row>
    <row r="30">
      <c r="A30" t="inlineStr">
        <is>
          <t>Current Deferred Revenue</t>
        </is>
      </c>
      <c r="B30" s="3" t="n">
        <v>307492000</v>
      </c>
      <c r="C30" s="3" t="n">
        <v>321882000</v>
      </c>
      <c r="D30" s="3" t="n">
        <v>372348000</v>
      </c>
      <c r="E30" s="3" t="n">
        <v>261688000</v>
      </c>
      <c r="F30" s="3" t="n">
        <v>247127000</v>
      </c>
      <c r="G30" s="3" t="n"/>
      <c r="H30" s="3" t="n"/>
    </row>
    <row r="31">
      <c r="A31" t="inlineStr">
        <is>
          <t>Current Debt And Capital Lease Obligation</t>
        </is>
      </c>
      <c r="B31" s="3" t="n"/>
      <c r="C31" s="3" t="n"/>
      <c r="D31" s="3" t="n"/>
      <c r="E31" s="3" t="n"/>
      <c r="F31" s="3" t="n"/>
      <c r="G31" s="3" t="n">
        <v>6563000</v>
      </c>
      <c r="H31" s="3" t="n">
        <v>5625000</v>
      </c>
    </row>
    <row r="32">
      <c r="A32" t="inlineStr">
        <is>
          <t>Current Debt</t>
        </is>
      </c>
      <c r="B32" s="3" t="n"/>
      <c r="C32" s="3" t="n"/>
      <c r="D32" s="3" t="n"/>
      <c r="E32" s="3" t="n"/>
      <c r="F32" s="3" t="n"/>
      <c r="G32" s="3" t="n">
        <v>6563000</v>
      </c>
      <c r="H32" s="3" t="n">
        <v>5625000</v>
      </c>
    </row>
    <row r="33">
      <c r="A33" t="inlineStr">
        <is>
          <t>Payables And Accrued Expenses</t>
        </is>
      </c>
      <c r="B33" s="3" t="n">
        <v>663623000</v>
      </c>
      <c r="C33" s="3" t="n">
        <v>666648000</v>
      </c>
      <c r="D33" s="3" t="n">
        <v>657181000</v>
      </c>
      <c r="E33" s="3" t="n">
        <v>667444000</v>
      </c>
      <c r="F33" s="3" t="n">
        <v>682299000</v>
      </c>
      <c r="G33" s="3" t="n"/>
      <c r="H33" s="3" t="n"/>
    </row>
    <row r="34">
      <c r="A34" t="inlineStr">
        <is>
          <t>Current Accrued Expenses</t>
        </is>
      </c>
      <c r="B34" s="3" t="n">
        <v>130133000</v>
      </c>
      <c r="C34" s="3" t="n">
        <v>106573000</v>
      </c>
      <c r="D34" s="3" t="n">
        <v>103573000</v>
      </c>
      <c r="E34" s="3" t="n">
        <v>85990000</v>
      </c>
      <c r="F34" s="3" t="n">
        <v>97000000</v>
      </c>
      <c r="G34" s="3" t="n"/>
      <c r="H34" s="3" t="n"/>
    </row>
    <row r="35">
      <c r="A35" t="inlineStr">
        <is>
          <t>Payables</t>
        </is>
      </c>
      <c r="B35" s="3" t="n">
        <v>533490000</v>
      </c>
      <c r="C35" s="3" t="n">
        <v>560075000</v>
      </c>
      <c r="D35" s="3" t="n">
        <v>553608000</v>
      </c>
      <c r="E35" s="3" t="n">
        <v>581454000</v>
      </c>
      <c r="F35" s="3" t="n">
        <v>585299000</v>
      </c>
      <c r="G35" s="3" t="n"/>
      <c r="H35" s="3" t="n"/>
    </row>
    <row r="36">
      <c r="A36" t="inlineStr">
        <is>
          <t>Accounts Payable</t>
        </is>
      </c>
      <c r="B36" s="3" t="n">
        <v>533490000</v>
      </c>
      <c r="C36" s="3" t="n">
        <v>560075000</v>
      </c>
      <c r="D36" s="3" t="n">
        <v>553608000</v>
      </c>
      <c r="E36" s="3" t="n">
        <v>581454000</v>
      </c>
      <c r="F36" s="3" t="n">
        <v>585299000</v>
      </c>
      <c r="G36" s="3" t="n"/>
      <c r="H36" s="3" t="n"/>
    </row>
    <row r="37">
      <c r="A37" t="inlineStr">
        <is>
          <t>Total Assets</t>
        </is>
      </c>
      <c r="B37" s="3" t="n">
        <v>4073212000</v>
      </c>
      <c r="C37" s="3" t="n">
        <v>3800066000</v>
      </c>
      <c r="D37" s="3" t="n">
        <v>3668889000</v>
      </c>
      <c r="E37" s="3" t="n">
        <v>3389939000</v>
      </c>
      <c r="F37" s="3" t="n">
        <v>3192516000</v>
      </c>
      <c r="G37" s="3" t="n"/>
      <c r="H37" s="3" t="n"/>
    </row>
    <row r="38">
      <c r="A38" t="inlineStr">
        <is>
          <t>Total Non Current Assets</t>
        </is>
      </c>
      <c r="B38" s="3" t="n">
        <v>1226656000</v>
      </c>
      <c r="C38" s="3" t="n">
        <v>1240467000</v>
      </c>
      <c r="D38" s="3" t="n">
        <v>1230214000</v>
      </c>
      <c r="E38" s="3" t="n">
        <v>1156995000</v>
      </c>
      <c r="F38" s="3" t="n">
        <v>1034530000</v>
      </c>
      <c r="G38" s="3" t="n"/>
      <c r="H38" s="3" t="n"/>
    </row>
    <row r="39">
      <c r="A39" t="inlineStr">
        <is>
          <t>Other Non Current Assets</t>
        </is>
      </c>
      <c r="B39" s="3" t="n">
        <v>69489000</v>
      </c>
      <c r="C39" s="3" t="n">
        <v>72192000</v>
      </c>
      <c r="D39" s="3" t="n">
        <v>76158000</v>
      </c>
      <c r="E39" s="3" t="n">
        <v>59446000</v>
      </c>
      <c r="F39" s="3" t="n">
        <v>51098000</v>
      </c>
      <c r="G39" s="3" t="n"/>
      <c r="H39" s="3" t="n"/>
    </row>
    <row r="40">
      <c r="A40" t="inlineStr">
        <is>
          <t>Non Current Deferred Assets</t>
        </is>
      </c>
      <c r="B40" s="3" t="n">
        <v>511815000</v>
      </c>
      <c r="C40" s="3" t="n">
        <v>517646000</v>
      </c>
      <c r="D40" s="3" t="n">
        <v>513745000</v>
      </c>
      <c r="E40" s="3" t="n">
        <v>511255000</v>
      </c>
      <c r="F40" s="3" t="n">
        <v>498778000</v>
      </c>
      <c r="G40" s="3" t="n"/>
      <c r="H40" s="3" t="n"/>
    </row>
    <row r="41">
      <c r="A41" t="inlineStr">
        <is>
          <t>Non Current Deferred Taxes Assets</t>
        </is>
      </c>
      <c r="B41" s="3" t="n">
        <v>511815000</v>
      </c>
      <c r="C41" s="3" t="n">
        <v>517646000</v>
      </c>
      <c r="D41" s="3" t="n">
        <v>513745000</v>
      </c>
      <c r="E41" s="3" t="n">
        <v>511255000</v>
      </c>
      <c r="F41" s="3" t="n">
        <v>498778000</v>
      </c>
      <c r="G41" s="3" t="n"/>
      <c r="H41" s="3" t="n"/>
    </row>
    <row r="42">
      <c r="A42" t="inlineStr">
        <is>
          <t>Goodwill And Other Intangible Assets</t>
        </is>
      </c>
      <c r="B42" s="3" t="n">
        <v>566996000</v>
      </c>
      <c r="C42" s="3" t="n">
        <v>565877000</v>
      </c>
      <c r="D42" s="3" t="n">
        <v>555383000</v>
      </c>
      <c r="E42" s="3" t="n">
        <v>513872000</v>
      </c>
      <c r="F42" s="3" t="n">
        <v>424259000</v>
      </c>
      <c r="G42" s="3" t="n"/>
      <c r="H42" s="3" t="n"/>
    </row>
    <row r="43">
      <c r="A43" t="inlineStr">
        <is>
          <t>Other Intangible Assets</t>
        </is>
      </c>
      <c r="B43" s="3" t="n">
        <v>78046000</v>
      </c>
      <c r="C43" s="3" t="n">
        <v>80577000</v>
      </c>
      <c r="D43" s="3" t="n">
        <v>81716000</v>
      </c>
      <c r="E43" s="3" t="n">
        <v>68949000</v>
      </c>
      <c r="F43" s="3" t="n">
        <v>53241000</v>
      </c>
      <c r="G43" s="3" t="n"/>
      <c r="H43" s="3" t="n"/>
    </row>
    <row r="44">
      <c r="A44" t="inlineStr">
        <is>
          <t>Goodwill</t>
        </is>
      </c>
      <c r="B44" s="3" t="n">
        <v>488950000</v>
      </c>
      <c r="C44" s="3" t="n">
        <v>485300000</v>
      </c>
      <c r="D44" s="3" t="n">
        <v>473667000</v>
      </c>
      <c r="E44" s="3" t="n">
        <v>444923000</v>
      </c>
      <c r="F44" s="3" t="n">
        <v>371018000</v>
      </c>
      <c r="G44" s="3" t="n"/>
      <c r="H44" s="3" t="n"/>
    </row>
    <row r="45">
      <c r="A45" t="inlineStr">
        <is>
          <t>Net PPE</t>
        </is>
      </c>
      <c r="B45" s="3" t="n">
        <v>78356000</v>
      </c>
      <c r="C45" s="3" t="n">
        <v>84752000</v>
      </c>
      <c r="D45" s="3" t="n">
        <v>84928000</v>
      </c>
      <c r="E45" s="3" t="n">
        <v>72422000</v>
      </c>
      <c r="F45" s="3" t="n">
        <v>60395000</v>
      </c>
      <c r="G45" s="3" t="n"/>
      <c r="H45" s="3" t="n"/>
    </row>
    <row r="46">
      <c r="A46" t="inlineStr">
        <is>
          <t>Accumulated Depreciation</t>
        </is>
      </c>
      <c r="B46" s="3" t="n">
        <v>-42662000</v>
      </c>
      <c r="C46" s="3" t="n"/>
      <c r="D46" s="3" t="n"/>
      <c r="E46" s="3" t="n"/>
      <c r="F46" s="3" t="n">
        <v>-20845000</v>
      </c>
      <c r="G46" s="3" t="n"/>
      <c r="H46" s="3" t="n"/>
    </row>
    <row r="47">
      <c r="A47" t="inlineStr">
        <is>
          <t>Gross PPE</t>
        </is>
      </c>
      <c r="B47" s="3" t="n">
        <v>121018000</v>
      </c>
      <c r="C47" s="3" t="n"/>
      <c r="D47" s="3" t="n"/>
      <c r="E47" s="3" t="n"/>
      <c r="F47" s="3" t="n">
        <v>81240000</v>
      </c>
      <c r="G47" s="3" t="n"/>
      <c r="H47" s="3" t="n"/>
    </row>
    <row r="48">
      <c r="A48" t="inlineStr">
        <is>
          <t>Leases</t>
        </is>
      </c>
      <c r="B48" s="3" t="n">
        <v>17480000</v>
      </c>
      <c r="C48" s="3" t="n"/>
      <c r="D48" s="3" t="n"/>
      <c r="E48" s="3" t="n"/>
      <c r="F48" s="3" t="n">
        <v>10854000</v>
      </c>
      <c r="G48" s="3" t="n"/>
      <c r="H48" s="3" t="n"/>
    </row>
    <row r="49">
      <c r="A49" t="inlineStr">
        <is>
          <t>Construction In Progress</t>
        </is>
      </c>
      <c r="B49" s="3" t="n">
        <v>11882000</v>
      </c>
      <c r="C49" s="3" t="n"/>
      <c r="D49" s="3" t="n"/>
      <c r="E49" s="3" t="n"/>
      <c r="F49" s="3" t="n">
        <v>18942000</v>
      </c>
      <c r="G49" s="3" t="n"/>
      <c r="H49" s="3" t="n"/>
    </row>
    <row r="50">
      <c r="A50" t="inlineStr">
        <is>
          <t>Machinery Furniture Equipment</t>
        </is>
      </c>
      <c r="B50" s="3" t="n">
        <v>91656000</v>
      </c>
      <c r="C50" s="3" t="n"/>
      <c r="D50" s="3" t="n"/>
      <c r="E50" s="3" t="n"/>
      <c r="F50" s="3" t="n">
        <v>51444000</v>
      </c>
      <c r="G50" s="3" t="n"/>
      <c r="H50" s="3" t="n"/>
    </row>
    <row r="51">
      <c r="A51" t="inlineStr">
        <is>
          <t>Properties</t>
        </is>
      </c>
      <c r="B51" s="3" t="n">
        <v>0</v>
      </c>
      <c r="C51" s="3" t="n"/>
      <c r="D51" s="3" t="n"/>
      <c r="E51" s="3" t="n"/>
      <c r="F51" s="3" t="n">
        <v>0</v>
      </c>
      <c r="G51" s="3" t="n"/>
      <c r="H51" s="3" t="n"/>
    </row>
    <row r="52">
      <c r="A52" t="inlineStr">
        <is>
          <t>Current Assets</t>
        </is>
      </c>
      <c r="B52" s="3" t="n">
        <v>2846556000</v>
      </c>
      <c r="C52" s="3" t="n">
        <v>2559599000</v>
      </c>
      <c r="D52" s="3" t="n">
        <v>2438675000</v>
      </c>
      <c r="E52" s="3" t="n">
        <v>2232944000</v>
      </c>
      <c r="F52" s="3" t="n">
        <v>2157986000</v>
      </c>
      <c r="G52" s="3" t="n"/>
      <c r="H52" s="3" t="n"/>
    </row>
    <row r="53">
      <c r="A53" t="inlineStr">
        <is>
          <t>Other Current Assets</t>
        </is>
      </c>
      <c r="B53" s="3" t="n">
        <v>186406000</v>
      </c>
      <c r="C53" s="3" t="n">
        <v>61841000</v>
      </c>
      <c r="D53" s="3" t="n">
        <v>64341000</v>
      </c>
      <c r="E53" s="3" t="n">
        <v>54303000</v>
      </c>
      <c r="F53" s="3" t="n">
        <v>88483000</v>
      </c>
      <c r="G53" s="3" t="n"/>
      <c r="H53" s="3" t="n"/>
    </row>
    <row r="54">
      <c r="A54" t="inlineStr">
        <is>
          <t>Prepaid Assets</t>
        </is>
      </c>
      <c r="B54" s="3" t="n"/>
      <c r="C54" s="3" t="n">
        <v>73100000</v>
      </c>
      <c r="D54" s="3" t="n">
        <v>88800000</v>
      </c>
      <c r="E54" s="3" t="n">
        <v>48600000</v>
      </c>
      <c r="F54" s="3" t="n"/>
      <c r="G54" s="3" t="n"/>
      <c r="H54" s="3" t="n"/>
    </row>
    <row r="55">
      <c r="A55" t="inlineStr">
        <is>
          <t>Inventory</t>
        </is>
      </c>
      <c r="B55" s="3" t="n">
        <v>262276000</v>
      </c>
      <c r="C55" s="3" t="n">
        <v>275292000</v>
      </c>
      <c r="D55" s="3" t="n">
        <v>221155000</v>
      </c>
      <c r="E55" s="3" t="n">
        <v>227133000</v>
      </c>
      <c r="F55" s="3" t="n">
        <v>209432000</v>
      </c>
      <c r="G55" s="3" t="n"/>
      <c r="H55" s="3" t="n"/>
    </row>
    <row r="56">
      <c r="A56" t="inlineStr">
        <is>
          <t>Receivables</t>
        </is>
      </c>
      <c r="B56" s="3" t="n">
        <v>1302898000</v>
      </c>
      <c r="C56" s="3" t="n">
        <v>1196742000</v>
      </c>
      <c r="D56" s="3" t="n">
        <v>1219037000</v>
      </c>
      <c r="E56" s="3" t="n">
        <v>1159506000</v>
      </c>
      <c r="F56" s="3" t="n">
        <v>1093968000</v>
      </c>
      <c r="G56" s="3" t="n"/>
      <c r="H56" s="3" t="n"/>
    </row>
    <row r="57">
      <c r="A57" t="inlineStr">
        <is>
          <t>Other Receivables</t>
        </is>
      </c>
      <c r="B57" s="3" t="n">
        <v>885855000</v>
      </c>
      <c r="C57" s="3" t="n">
        <v>744507000</v>
      </c>
      <c r="D57" s="3" t="n">
        <v>669821000</v>
      </c>
      <c r="E57" s="3" t="n">
        <v>605928000</v>
      </c>
      <c r="F57" s="3" t="n">
        <v>621506000</v>
      </c>
      <c r="G57" s="3" t="n"/>
      <c r="H57" s="3" t="n"/>
    </row>
    <row r="58">
      <c r="A58" t="inlineStr">
        <is>
          <t>Accounts Receivable</t>
        </is>
      </c>
      <c r="B58" s="3" t="n">
        <v>417043000</v>
      </c>
      <c r="C58" s="3" t="n">
        <v>452235000</v>
      </c>
      <c r="D58" s="3" t="n">
        <v>549216000</v>
      </c>
      <c r="E58" s="3" t="n">
        <v>553578000</v>
      </c>
      <c r="F58" s="3" t="n">
        <v>472462000</v>
      </c>
      <c r="G58" s="3" t="n"/>
      <c r="H58" s="3" t="n"/>
    </row>
    <row r="59">
      <c r="A59" t="inlineStr">
        <is>
          <t>Allowance For Doubtful Accounts Receivable</t>
        </is>
      </c>
      <c r="B59" s="3" t="n">
        <v>-2078000</v>
      </c>
      <c r="C59" s="3" t="n">
        <v>-1960000</v>
      </c>
      <c r="D59" s="3" t="n">
        <v>-2184000</v>
      </c>
      <c r="E59" s="3" t="n">
        <v>-1433000</v>
      </c>
      <c r="F59" s="3" t="n">
        <v>-1472000</v>
      </c>
      <c r="G59" s="3" t="n"/>
      <c r="H59" s="3" t="n"/>
    </row>
    <row r="60">
      <c r="A60" t="inlineStr">
        <is>
          <t>Gross Accounts Receivable</t>
        </is>
      </c>
      <c r="B60" s="3" t="n">
        <v>419121000</v>
      </c>
      <c r="C60" s="3" t="n">
        <v>454195000</v>
      </c>
      <c r="D60" s="3" t="n">
        <v>551400000</v>
      </c>
      <c r="E60" s="3" t="n">
        <v>555011000</v>
      </c>
      <c r="F60" s="3" t="n">
        <v>473934000</v>
      </c>
      <c r="G60" s="3" t="n"/>
      <c r="H60" s="3" t="n"/>
    </row>
    <row r="61">
      <c r="A61" t="inlineStr">
        <is>
          <t>Cash Cash Equivalents And Short Term Investments</t>
        </is>
      </c>
      <c r="B61" s="3" t="n">
        <v>1094976000</v>
      </c>
      <c r="C61" s="3" t="n">
        <v>952624000</v>
      </c>
      <c r="D61" s="3" t="n">
        <v>845342000</v>
      </c>
      <c r="E61" s="3" t="n">
        <v>743402000</v>
      </c>
      <c r="F61" s="3" t="n">
        <v>766103000</v>
      </c>
      <c r="G61" s="3" t="n"/>
      <c r="H61" s="3" t="n"/>
    </row>
    <row r="62">
      <c r="A62" t="inlineStr">
        <is>
          <t>Cash And Cash Equivalents</t>
        </is>
      </c>
      <c r="B62" s="3" t="n">
        <v>1094976000</v>
      </c>
      <c r="C62" s="3" t="n">
        <v>952624000</v>
      </c>
      <c r="D62" s="3" t="n">
        <v>845342000</v>
      </c>
      <c r="E62" s="3" t="n">
        <v>743402000</v>
      </c>
      <c r="F62" s="3" t="n">
        <v>766103000</v>
      </c>
      <c r="G62" s="3" t="n"/>
      <c r="H62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2025-03-31</t>
        </is>
      </c>
      <c r="D1" s="1" t="inlineStr">
        <is>
          <t>2024-03-31</t>
        </is>
      </c>
      <c r="E1" s="1" t="inlineStr">
        <is>
          <t>2023-03-31</t>
        </is>
      </c>
      <c r="F1" s="1" t="inlineStr">
        <is>
          <t>2022-03-31</t>
        </is>
      </c>
    </row>
    <row r="2">
      <c r="A2" t="inlineStr">
        <is>
          <t>Free Cash Flow</t>
        </is>
      </c>
      <c r="B2" s="3" t="n">
        <v>513634000</v>
      </c>
      <c r="C2" s="3" t="n">
        <v>621873000</v>
      </c>
      <c r="D2" s="3" t="n">
        <v>422813000</v>
      </c>
      <c r="E2" s="3" t="n">
        <v>104486000</v>
      </c>
      <c r="F2" s="3" t="n"/>
    </row>
    <row r="3">
      <c r="A3" t="inlineStr">
        <is>
          <t>Repurchase Of Capital Stock</t>
        </is>
      </c>
      <c r="B3" s="3" t="n">
        <v>-395000</v>
      </c>
      <c r="C3" s="3" t="n">
        <v>0</v>
      </c>
      <c r="D3" s="3" t="n">
        <v>-552009000</v>
      </c>
      <c r="E3" s="3" t="n">
        <v>-693781000</v>
      </c>
      <c r="F3" s="3" t="n"/>
    </row>
    <row r="4">
      <c r="A4" t="inlineStr">
        <is>
          <t>Repayment Of Debt</t>
        </is>
      </c>
      <c r="B4" s="3" t="n">
        <v>0</v>
      </c>
      <c r="C4" s="3" t="n">
        <v>-150000000</v>
      </c>
      <c r="D4" s="3" t="n">
        <v>0</v>
      </c>
      <c r="E4" s="3" t="n">
        <v>-20000000</v>
      </c>
      <c r="F4" s="3" t="n"/>
    </row>
    <row r="5">
      <c r="A5" t="inlineStr">
        <is>
          <t>Issuance Of Debt</t>
        </is>
      </c>
      <c r="B5" s="3" t="n"/>
      <c r="C5" s="3" t="n">
        <v>0</v>
      </c>
      <c r="D5" s="3" t="n">
        <v>0</v>
      </c>
      <c r="E5" s="3" t="n">
        <v>170000000</v>
      </c>
      <c r="F5" s="3" t="n">
        <v>0</v>
      </c>
    </row>
    <row r="6">
      <c r="A6" t="inlineStr">
        <is>
          <t>Issuance Of Capital Stock</t>
        </is>
      </c>
      <c r="B6" s="3" t="n">
        <v>0</v>
      </c>
      <c r="C6" s="3" t="n">
        <v>0</v>
      </c>
      <c r="D6" s="3" t="n">
        <v>552009000</v>
      </c>
      <c r="E6" s="3" t="n">
        <v>693857000</v>
      </c>
      <c r="F6" s="3" t="n"/>
    </row>
    <row r="7">
      <c r="A7" t="inlineStr">
        <is>
          <t>Capital Expenditure</t>
        </is>
      </c>
      <c r="B7" s="3" t="n">
        <v>-49277000</v>
      </c>
      <c r="C7" s="3" t="n">
        <v>-33921000</v>
      </c>
      <c r="D7" s="3" t="n">
        <v>-6160000</v>
      </c>
      <c r="E7" s="3" t="n">
        <v>-3183000</v>
      </c>
      <c r="F7" s="3" t="n"/>
    </row>
    <row r="8">
      <c r="A8" t="inlineStr">
        <is>
          <t>End Cash Position</t>
        </is>
      </c>
      <c r="B8" s="3" t="n">
        <v>1094976000</v>
      </c>
      <c r="C8" s="3" t="n">
        <v>766103000</v>
      </c>
      <c r="D8" s="3" t="n">
        <v>474054000</v>
      </c>
      <c r="E8" s="3" t="n">
        <v>130008000</v>
      </c>
      <c r="F8" s="3" t="n"/>
    </row>
    <row r="9">
      <c r="A9" t="inlineStr">
        <is>
          <t>Beginning Cash Position</t>
        </is>
      </c>
      <c r="B9" s="3" t="n">
        <v>766103000</v>
      </c>
      <c r="C9" s="3" t="n">
        <v>474054000</v>
      </c>
      <c r="D9" s="3" t="n">
        <v>130008000</v>
      </c>
      <c r="E9" s="3" t="n">
        <v>29070000</v>
      </c>
      <c r="F9" s="3" t="n"/>
    </row>
    <row r="10">
      <c r="A10" t="inlineStr">
        <is>
          <t>Effect Of Exchange Rate Changes</t>
        </is>
      </c>
      <c r="B10" s="3" t="n"/>
      <c r="C10" s="3" t="n"/>
      <c r="D10" s="3" t="n"/>
      <c r="E10" s="3" t="n"/>
      <c r="F10" s="3" t="n">
        <v>0</v>
      </c>
    </row>
    <row r="11">
      <c r="A11" t="inlineStr">
        <is>
          <t>Changes In Cash</t>
        </is>
      </c>
      <c r="B11" s="3" t="n">
        <v>328873000</v>
      </c>
      <c r="C11" s="3" t="n">
        <v>292049000</v>
      </c>
      <c r="D11" s="3" t="n">
        <v>344046000</v>
      </c>
      <c r="E11" s="3" t="n">
        <v>100938000</v>
      </c>
      <c r="F11" s="3" t="n"/>
    </row>
    <row r="12">
      <c r="A12" t="inlineStr">
        <is>
          <t>Financing Cash Flow</t>
        </is>
      </c>
      <c r="B12" s="3" t="n">
        <v>-47160000</v>
      </c>
      <c r="C12" s="3" t="n">
        <v>-177649000</v>
      </c>
      <c r="D12" s="3" t="n">
        <v>-78267000</v>
      </c>
      <c r="E12" s="3" t="n">
        <v>-3572000</v>
      </c>
      <c r="F12" s="3" t="n"/>
    </row>
    <row r="13">
      <c r="A13" t="inlineStr">
        <is>
          <t>Cash Flow From Continuing Financing Activities</t>
        </is>
      </c>
      <c r="B13" s="3" t="n">
        <v>-47160000</v>
      </c>
      <c r="C13" s="3" t="n">
        <v>-177649000</v>
      </c>
      <c r="D13" s="3" t="n">
        <v>-78267000</v>
      </c>
      <c r="E13" s="3" t="n">
        <v>-3572000</v>
      </c>
      <c r="F13" s="3" t="n"/>
    </row>
    <row r="14">
      <c r="A14" t="inlineStr">
        <is>
          <t>Net Other Financing Charges</t>
        </is>
      </c>
      <c r="B14" s="3" t="n">
        <v>-46765000</v>
      </c>
      <c r="C14" s="3" t="n">
        <v>-27649000</v>
      </c>
      <c r="D14" s="3" t="n">
        <v>-78267000</v>
      </c>
      <c r="E14" s="3" t="n">
        <v>-153648000</v>
      </c>
      <c r="F14" s="3" t="n"/>
    </row>
    <row r="15">
      <c r="A15" t="inlineStr">
        <is>
          <t>Cash Dividends Paid</t>
        </is>
      </c>
      <c r="B15" s="3" t="n"/>
      <c r="C15" s="3" t="n"/>
      <c r="D15" s="3" t="n"/>
      <c r="E15" s="3" t="n">
        <v>0</v>
      </c>
      <c r="F15" s="3" t="n">
        <v>0</v>
      </c>
    </row>
    <row r="16">
      <c r="A16" t="inlineStr">
        <is>
          <t>Net Common Stock Issuance</t>
        </is>
      </c>
      <c r="B16" s="3" t="n">
        <v>-395000</v>
      </c>
      <c r="C16" s="3" t="n">
        <v>0</v>
      </c>
      <c r="D16" s="3" t="n">
        <v>0</v>
      </c>
      <c r="E16" s="3" t="n">
        <v>76000</v>
      </c>
      <c r="F16" s="3" t="n"/>
    </row>
    <row r="17">
      <c r="A17" t="inlineStr">
        <is>
          <t>Common Stock Payments</t>
        </is>
      </c>
      <c r="B17" s="3" t="n">
        <v>-395000</v>
      </c>
      <c r="C17" s="3" t="n">
        <v>0</v>
      </c>
      <c r="D17" s="3" t="n">
        <v>-552009000</v>
      </c>
      <c r="E17" s="3" t="n">
        <v>-693781000</v>
      </c>
      <c r="F17" s="3" t="n"/>
    </row>
    <row r="18">
      <c r="A18" t="inlineStr">
        <is>
          <t>Common Stock Issuance</t>
        </is>
      </c>
      <c r="B18" s="3" t="n">
        <v>0</v>
      </c>
      <c r="C18" s="3" t="n">
        <v>0</v>
      </c>
      <c r="D18" s="3" t="n">
        <v>552009000</v>
      </c>
      <c r="E18" s="3" t="n">
        <v>693857000</v>
      </c>
      <c r="F18" s="3" t="n"/>
    </row>
    <row r="19">
      <c r="A19" t="inlineStr">
        <is>
          <t>Net Issuance Payments Of Debt</t>
        </is>
      </c>
      <c r="B19" s="3" t="n">
        <v>0</v>
      </c>
      <c r="C19" s="3" t="n">
        <v>-150000000</v>
      </c>
      <c r="D19" s="3" t="n">
        <v>0</v>
      </c>
      <c r="E19" s="3" t="n">
        <v>150000000</v>
      </c>
      <c r="F19" s="3" t="n"/>
    </row>
    <row r="20">
      <c r="A20" t="inlineStr">
        <is>
          <t>Net Long Term Debt Issuance</t>
        </is>
      </c>
      <c r="B20" s="3" t="n">
        <v>0</v>
      </c>
      <c r="C20" s="3" t="n">
        <v>-150000000</v>
      </c>
      <c r="D20" s="3" t="n">
        <v>0</v>
      </c>
      <c r="E20" s="3" t="n">
        <v>150000000</v>
      </c>
      <c r="F20" s="3" t="n"/>
    </row>
    <row r="21">
      <c r="A21" t="inlineStr">
        <is>
          <t>Long Term Debt Payments</t>
        </is>
      </c>
      <c r="B21" s="3" t="n">
        <v>0</v>
      </c>
      <c r="C21" s="3" t="n">
        <v>-150000000</v>
      </c>
      <c r="D21" s="3" t="n">
        <v>0</v>
      </c>
      <c r="E21" s="3" t="n">
        <v>-20000000</v>
      </c>
      <c r="F21" s="3" t="n"/>
    </row>
    <row r="22">
      <c r="A22" t="inlineStr">
        <is>
          <t>Long Term Debt Issuance</t>
        </is>
      </c>
      <c r="B22" s="3" t="n"/>
      <c r="C22" s="3" t="n">
        <v>0</v>
      </c>
      <c r="D22" s="3" t="n">
        <v>0</v>
      </c>
      <c r="E22" s="3" t="n">
        <v>170000000</v>
      </c>
      <c r="F22" s="3" t="n">
        <v>0</v>
      </c>
    </row>
    <row r="23">
      <c r="A23" t="inlineStr">
        <is>
          <t>Investing Cash Flow</t>
        </is>
      </c>
      <c r="B23" s="3" t="n">
        <v>-186878000</v>
      </c>
      <c r="C23" s="3" t="n">
        <v>-186096000</v>
      </c>
      <c r="D23" s="3" t="n">
        <v>-6660000</v>
      </c>
      <c r="E23" s="3" t="n">
        <v>-3159000</v>
      </c>
      <c r="F23" s="3" t="n"/>
    </row>
    <row r="24">
      <c r="A24" t="inlineStr">
        <is>
          <t>Cash Flow From Continuing Investing Activities</t>
        </is>
      </c>
      <c r="B24" s="3" t="n">
        <v>-186878000</v>
      </c>
      <c r="C24" s="3" t="n">
        <v>-186096000</v>
      </c>
      <c r="D24" s="3" t="n">
        <v>-6660000</v>
      </c>
      <c r="E24" s="3" t="n">
        <v>-3159000</v>
      </c>
      <c r="F24" s="3" t="n"/>
    </row>
    <row r="25">
      <c r="A25" t="inlineStr">
        <is>
          <t>Net Other Investing Changes</t>
        </is>
      </c>
      <c r="B25" s="3" t="n">
        <v>-8262000</v>
      </c>
      <c r="C25" s="3" t="n">
        <v>-7500000</v>
      </c>
      <c r="D25" s="3" t="n">
        <v>-500000</v>
      </c>
      <c r="E25" s="3" t="n"/>
      <c r="F25" s="3" t="n"/>
    </row>
    <row r="26">
      <c r="A26" t="inlineStr">
        <is>
          <t>Net Business Purchase And Sale</t>
        </is>
      </c>
      <c r="B26" s="3" t="n">
        <v>-129339000</v>
      </c>
      <c r="C26" s="3" t="n">
        <v>-144675000</v>
      </c>
      <c r="D26" s="3" t="n">
        <v>0</v>
      </c>
      <c r="E26" s="3" t="n">
        <v>0</v>
      </c>
      <c r="F26" s="3" t="n"/>
    </row>
    <row r="27">
      <c r="A27" t="inlineStr">
        <is>
          <t>Purchase Of Business</t>
        </is>
      </c>
      <c r="B27" s="3" t="n">
        <v>-129339000</v>
      </c>
      <c r="C27" s="3" t="n">
        <v>-144675000</v>
      </c>
      <c r="D27" s="3" t="n">
        <v>0</v>
      </c>
      <c r="E27" s="3" t="n">
        <v>0</v>
      </c>
      <c r="F27" s="3" t="n"/>
    </row>
    <row r="28">
      <c r="A28" t="inlineStr">
        <is>
          <t>Net Intangibles Purchase And Sale</t>
        </is>
      </c>
      <c r="B28" s="3" t="n"/>
      <c r="C28" s="3" t="n">
        <v>0</v>
      </c>
      <c r="D28" s="3" t="n">
        <v>-500000</v>
      </c>
      <c r="E28" s="3" t="n">
        <v>0</v>
      </c>
      <c r="F28" s="3" t="n">
        <v>0</v>
      </c>
    </row>
    <row r="29">
      <c r="A29" t="inlineStr">
        <is>
          <t>Purchase Of Intangibles</t>
        </is>
      </c>
      <c r="B29" s="3" t="n"/>
      <c r="C29" s="3" t="n">
        <v>0</v>
      </c>
      <c r="D29" s="3" t="n">
        <v>-500000</v>
      </c>
      <c r="E29" s="3" t="n">
        <v>0</v>
      </c>
      <c r="F29" s="3" t="n">
        <v>0</v>
      </c>
    </row>
    <row r="30">
      <c r="A30" t="inlineStr">
        <is>
          <t>Net PPE Purchase And Sale</t>
        </is>
      </c>
      <c r="B30" s="3" t="n">
        <v>-49277000</v>
      </c>
      <c r="C30" s="3" t="n">
        <v>-33921000</v>
      </c>
      <c r="D30" s="3" t="n">
        <v>-6160000</v>
      </c>
      <c r="E30" s="3" t="n">
        <v>-3159000</v>
      </c>
      <c r="F30" s="3" t="n"/>
    </row>
    <row r="31">
      <c r="A31" t="inlineStr">
        <is>
          <t>Sale Of PPE</t>
        </is>
      </c>
      <c r="B31" s="3" t="n"/>
      <c r="C31" s="3" t="n">
        <v>0</v>
      </c>
      <c r="D31" s="3" t="n">
        <v>0</v>
      </c>
      <c r="E31" s="3" t="n">
        <v>24000</v>
      </c>
      <c r="F31" s="3" t="n">
        <v>167000</v>
      </c>
    </row>
    <row r="32">
      <c r="A32" t="inlineStr">
        <is>
          <t>Purchase Of PPE</t>
        </is>
      </c>
      <c r="B32" s="3" t="n">
        <v>-49277000</v>
      </c>
      <c r="C32" s="3" t="n">
        <v>-33921000</v>
      </c>
      <c r="D32" s="3" t="n">
        <v>-6160000</v>
      </c>
      <c r="E32" s="3" t="n">
        <v>-3183000</v>
      </c>
      <c r="F32" s="3" t="n"/>
    </row>
    <row r="33">
      <c r="A33" t="inlineStr">
        <is>
          <t>Operating Cash Flow</t>
        </is>
      </c>
      <c r="B33" s="3" t="n">
        <v>562911000</v>
      </c>
      <c r="C33" s="3" t="n">
        <v>655794000</v>
      </c>
      <c r="D33" s="3" t="n">
        <v>428973000</v>
      </c>
      <c r="E33" s="3" t="n">
        <v>107669000</v>
      </c>
      <c r="F33" s="3" t="n"/>
    </row>
    <row r="34">
      <c r="A34" t="inlineStr">
        <is>
          <t>Cash Flow From Continuing Operating Activities</t>
        </is>
      </c>
      <c r="B34" s="3" t="n">
        <v>562911000</v>
      </c>
      <c r="C34" s="3" t="n">
        <v>655794000</v>
      </c>
      <c r="D34" s="3" t="n">
        <v>428973000</v>
      </c>
      <c r="E34" s="3" t="n">
        <v>107669000</v>
      </c>
      <c r="F34" s="3" t="n"/>
    </row>
    <row r="35">
      <c r="A35" t="inlineStr">
        <is>
          <t>Change In Working Capital</t>
        </is>
      </c>
      <c r="B35" s="3" t="n">
        <v>-211848000</v>
      </c>
      <c r="C35" s="3" t="n">
        <v>-1019000</v>
      </c>
      <c r="D35" s="3" t="n">
        <v>-92758000</v>
      </c>
      <c r="E35" s="3" t="n">
        <v>-79269000</v>
      </c>
      <c r="F35" s="3" t="n"/>
    </row>
    <row r="36">
      <c r="A36" t="inlineStr">
        <is>
          <t>Change In Other Working Capital</t>
        </is>
      </c>
      <c r="B36" s="3" t="n">
        <v>68102000</v>
      </c>
      <c r="C36" s="3" t="n">
        <v>34686000</v>
      </c>
      <c r="D36" s="3" t="n">
        <v>82606000</v>
      </c>
      <c r="E36" s="3" t="n">
        <v>120472000</v>
      </c>
      <c r="F36" s="3" t="n"/>
    </row>
    <row r="37">
      <c r="A37" t="inlineStr">
        <is>
          <t>Change In Other Current Liabilities</t>
        </is>
      </c>
      <c r="B37" s="3" t="n">
        <v>241978000</v>
      </c>
      <c r="C37" s="3" t="n">
        <v>-55055000</v>
      </c>
      <c r="D37" s="3" t="n">
        <v>-42468000</v>
      </c>
      <c r="E37" s="3" t="n">
        <v>21838000</v>
      </c>
      <c r="F37" s="3" t="n"/>
    </row>
    <row r="38">
      <c r="A38" t="inlineStr">
        <is>
          <t>Change In Other Current Assets</t>
        </is>
      </c>
      <c r="B38" s="3" t="n">
        <v>-94299000</v>
      </c>
      <c r="C38" s="3" t="n">
        <v>67916000</v>
      </c>
      <c r="D38" s="3" t="n">
        <v>21244000</v>
      </c>
      <c r="E38" s="3" t="n">
        <v>-18984000</v>
      </c>
      <c r="F38" s="3" t="n"/>
    </row>
    <row r="39">
      <c r="A39" t="inlineStr">
        <is>
          <t>Change In Payables And Accrued Expense</t>
        </is>
      </c>
      <c r="B39" s="3" t="n">
        <v>-49443000</v>
      </c>
      <c r="C39" s="3" t="n">
        <v>102905000</v>
      </c>
      <c r="D39" s="3" t="n">
        <v>245374000</v>
      </c>
      <c r="E39" s="3" t="n">
        <v>-60308000</v>
      </c>
      <c r="F39" s="3" t="n"/>
    </row>
    <row r="40">
      <c r="A40" t="inlineStr">
        <is>
          <t>Change In Payable</t>
        </is>
      </c>
      <c r="B40" s="3" t="n">
        <v>-49443000</v>
      </c>
      <c r="C40" s="3" t="n">
        <v>102905000</v>
      </c>
      <c r="D40" s="3" t="n">
        <v>245374000</v>
      </c>
      <c r="E40" s="3" t="n">
        <v>-60308000</v>
      </c>
      <c r="F40" s="3" t="n"/>
    </row>
    <row r="41">
      <c r="A41" t="inlineStr">
        <is>
          <t>Change In Account Payable</t>
        </is>
      </c>
      <c r="B41" s="3" t="n">
        <v>-49443000</v>
      </c>
      <c r="C41" s="3" t="n">
        <v>102905000</v>
      </c>
      <c r="D41" s="3" t="n">
        <v>245374000</v>
      </c>
      <c r="E41" s="3" t="n">
        <v>-37026000</v>
      </c>
      <c r="F41" s="3" t="n"/>
    </row>
    <row r="42">
      <c r="A42" t="inlineStr">
        <is>
          <t>Change In Inventory</t>
        </is>
      </c>
      <c r="B42" s="3" t="n">
        <v>-46554000</v>
      </c>
      <c r="C42" s="3" t="n">
        <v>-2970000</v>
      </c>
      <c r="D42" s="3" t="n">
        <v>-60981000</v>
      </c>
      <c r="E42" s="3" t="n">
        <v>25062000</v>
      </c>
      <c r="F42" s="3" t="n"/>
    </row>
    <row r="43">
      <c r="A43" t="inlineStr">
        <is>
          <t>Change In Receivables</t>
        </is>
      </c>
      <c r="B43" s="3" t="n">
        <v>-331632000</v>
      </c>
      <c r="C43" s="3" t="n">
        <v>-148501000</v>
      </c>
      <c r="D43" s="3" t="n">
        <v>-338533000</v>
      </c>
      <c r="E43" s="3" t="n">
        <v>-167349000</v>
      </c>
      <c r="F43" s="3" t="n"/>
    </row>
    <row r="44">
      <c r="A44" t="inlineStr">
        <is>
          <t>Changes In Account Receivables</t>
        </is>
      </c>
      <c r="B44" s="3" t="n">
        <v>61853000</v>
      </c>
      <c r="C44" s="3" t="n">
        <v>-47648000</v>
      </c>
      <c r="D44" s="3" t="n">
        <v>-113955000</v>
      </c>
      <c r="E44" s="3" t="n">
        <v>-160265000</v>
      </c>
      <c r="F44" s="3" t="n"/>
    </row>
    <row r="45">
      <c r="A45" t="inlineStr">
        <is>
          <t>Other Non Cash Items</t>
        </is>
      </c>
      <c r="B45" s="3" t="n">
        <v>37593000</v>
      </c>
      <c r="C45" s="3" t="n">
        <v>18423000</v>
      </c>
      <c r="D45" s="3" t="n">
        <v>-67000</v>
      </c>
      <c r="E45" s="3" t="n">
        <v>1752000</v>
      </c>
      <c r="F45" s="3" t="n"/>
    </row>
    <row r="46">
      <c r="A46" t="inlineStr">
        <is>
          <t>Stock Based Compensation</t>
        </is>
      </c>
      <c r="B46" s="3" t="n">
        <v>120298000</v>
      </c>
      <c r="C46" s="3" t="n">
        <v>118880000</v>
      </c>
      <c r="D46" s="3" t="n">
        <v>56783000</v>
      </c>
      <c r="E46" s="3" t="n">
        <v>31994000</v>
      </c>
      <c r="F46" s="3" t="n"/>
    </row>
    <row r="47">
      <c r="A47" t="inlineStr">
        <is>
          <t>Provisionand Write Offof Assets</t>
        </is>
      </c>
      <c r="B47" s="3" t="n">
        <v>606000</v>
      </c>
      <c r="C47" s="3" t="n">
        <v>-2399000</v>
      </c>
      <c r="D47" s="3" t="n">
        <v>2427000</v>
      </c>
      <c r="E47" s="3" t="n">
        <v>1243000</v>
      </c>
      <c r="F47" s="3" t="n"/>
    </row>
    <row r="48">
      <c r="A48" t="inlineStr">
        <is>
          <t>Deferred Tax</t>
        </is>
      </c>
      <c r="B48" s="3" t="n">
        <v>-223000</v>
      </c>
      <c r="C48" s="3" t="n">
        <v>-8744000</v>
      </c>
      <c r="D48" s="3" t="n">
        <v>-37990000</v>
      </c>
      <c r="E48" s="3" t="n">
        <v>25990000</v>
      </c>
      <c r="F48" s="3" t="n"/>
    </row>
    <row r="49">
      <c r="A49" t="inlineStr">
        <is>
          <t>Deferred Income Tax</t>
        </is>
      </c>
      <c r="B49" s="3" t="n">
        <v>-223000</v>
      </c>
      <c r="C49" s="3" t="n">
        <v>-8744000</v>
      </c>
      <c r="D49" s="3" t="n">
        <v>-37990000</v>
      </c>
      <c r="E49" s="3" t="n">
        <v>25990000</v>
      </c>
      <c r="F49" s="3" t="n"/>
    </row>
    <row r="50">
      <c r="A50" t="inlineStr">
        <is>
          <t>Depreciation Amortization Depletion</t>
        </is>
      </c>
      <c r="B50" s="3" t="n">
        <v>30602000</v>
      </c>
      <c r="C50" s="3" t="n">
        <v>13407000</v>
      </c>
      <c r="D50" s="3" t="n">
        <v>4363000</v>
      </c>
      <c r="E50" s="3" t="n">
        <v>4626000</v>
      </c>
      <c r="F50" s="3" t="n"/>
    </row>
    <row r="51">
      <c r="A51" t="inlineStr">
        <is>
          <t>Depreciation And Amortization</t>
        </is>
      </c>
      <c r="B51" s="3" t="n">
        <v>30602000</v>
      </c>
      <c r="C51" s="3" t="n">
        <v>13407000</v>
      </c>
      <c r="D51" s="3" t="n">
        <v>4363000</v>
      </c>
      <c r="E51" s="3" t="n">
        <v>4626000</v>
      </c>
      <c r="F51" s="3" t="n"/>
    </row>
    <row r="52">
      <c r="A52" t="inlineStr">
        <is>
          <t>Amortization Cash Flow</t>
        </is>
      </c>
      <c r="B52" s="3" t="n">
        <v>30602000</v>
      </c>
      <c r="C52" s="3" t="n">
        <v>13407000</v>
      </c>
      <c r="D52" s="3" t="n">
        <v>4363000</v>
      </c>
      <c r="E52" s="3" t="n">
        <v>4626000</v>
      </c>
      <c r="F52" s="3" t="n"/>
    </row>
    <row r="53">
      <c r="A53" t="inlineStr">
        <is>
          <t>Amortization Of Intangibles</t>
        </is>
      </c>
      <c r="B53" s="3" t="n">
        <v>30602000</v>
      </c>
      <c r="C53" s="3" t="n">
        <v>13407000</v>
      </c>
      <c r="D53" s="3" t="n">
        <v>4363000</v>
      </c>
      <c r="E53" s="3" t="n">
        <v>4626000</v>
      </c>
      <c r="F53" s="3" t="n"/>
    </row>
    <row r="54">
      <c r="A54" t="inlineStr">
        <is>
          <t>Net Income From Continuing Operations</t>
        </is>
      </c>
      <c r="B54" s="3" t="n">
        <v>585883000</v>
      </c>
      <c r="C54" s="3" t="n">
        <v>517246000</v>
      </c>
      <c r="D54" s="3" t="n">
        <v>496215000</v>
      </c>
      <c r="E54" s="3" t="n">
        <v>121333000</v>
      </c>
      <c r="F54" s="3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</row>
    <row r="2">
      <c r="A2" t="inlineStr">
        <is>
          <t>Free Cash Flow</t>
        </is>
      </c>
      <c r="B2" s="3" t="n">
        <v>153614000</v>
      </c>
      <c r="C2" s="3" t="n">
        <v>118549000</v>
      </c>
      <c r="D2" s="3" t="n">
        <v>171405000</v>
      </c>
      <c r="E2" s="3" t="n">
        <v>70066000</v>
      </c>
      <c r="F2" s="3" t="n">
        <v>227247000</v>
      </c>
      <c r="G2" s="3" t="n"/>
    </row>
    <row r="3">
      <c r="A3" t="inlineStr">
        <is>
          <t>Repurchase Of Capital Stock</t>
        </is>
      </c>
      <c r="B3" s="3" t="n"/>
      <c r="C3" s="3" t="n"/>
      <c r="D3" s="3" t="n"/>
      <c r="E3" s="3" t="n"/>
      <c r="F3" s="3" t="n">
        <v>0</v>
      </c>
      <c r="G3" s="3" t="n">
        <v>0</v>
      </c>
    </row>
    <row r="4">
      <c r="A4" t="inlineStr">
        <is>
          <t>Repayment Of Debt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-147187000</v>
      </c>
      <c r="G4" s="3" t="n"/>
    </row>
    <row r="5">
      <c r="A5" t="inlineStr">
        <is>
          <t>Issuance Of Capital Stock</t>
        </is>
      </c>
      <c r="B5" s="3" t="n"/>
      <c r="C5" s="3" t="n"/>
      <c r="D5" s="3" t="n"/>
      <c r="E5" s="3" t="n"/>
      <c r="F5" s="3" t="n">
        <v>0</v>
      </c>
      <c r="G5" s="3" t="n">
        <v>0</v>
      </c>
    </row>
    <row r="6">
      <c r="A6" t="inlineStr">
        <is>
          <t>Capital Expenditure</t>
        </is>
      </c>
      <c r="B6" s="3" t="n">
        <v>-17814000</v>
      </c>
      <c r="C6" s="3" t="n">
        <v>-4731000</v>
      </c>
      <c r="D6" s="3" t="n">
        <v>-15474000</v>
      </c>
      <c r="E6" s="3" t="n">
        <v>-11258000</v>
      </c>
      <c r="F6" s="3" t="n">
        <v>-10080000</v>
      </c>
      <c r="G6" s="3" t="n"/>
    </row>
    <row r="7">
      <c r="A7" t="inlineStr">
        <is>
          <t>End Cash Position</t>
        </is>
      </c>
      <c r="B7" s="3" t="n">
        <v>1094976000</v>
      </c>
      <c r="C7" s="3" t="n">
        <v>952624000</v>
      </c>
      <c r="D7" s="3" t="n">
        <v>845342000</v>
      </c>
      <c r="E7" s="3" t="n">
        <v>743402000</v>
      </c>
      <c r="F7" s="3" t="n">
        <v>766103000</v>
      </c>
      <c r="G7" s="3" t="n"/>
    </row>
    <row r="8">
      <c r="A8" t="inlineStr">
        <is>
          <t>Beginning Cash Position</t>
        </is>
      </c>
      <c r="B8" s="3" t="n">
        <v>952624000</v>
      </c>
      <c r="C8" s="3" t="n">
        <v>845342000</v>
      </c>
      <c r="D8" s="3" t="n">
        <v>743402000</v>
      </c>
      <c r="E8" s="3" t="n">
        <v>766103000</v>
      </c>
      <c r="F8" s="3" t="n">
        <v>693543000</v>
      </c>
      <c r="G8" s="3" t="n"/>
    </row>
    <row r="9">
      <c r="A9" t="inlineStr">
        <is>
          <t>Changes In Cash</t>
        </is>
      </c>
      <c r="B9" s="3" t="n">
        <v>142352000</v>
      </c>
      <c r="C9" s="3" t="n">
        <v>107282000</v>
      </c>
      <c r="D9" s="3" t="n">
        <v>101940000</v>
      </c>
      <c r="E9" s="3" t="n">
        <v>-22701000</v>
      </c>
      <c r="F9" s="3" t="n">
        <v>72560000</v>
      </c>
      <c r="G9" s="3" t="n"/>
    </row>
    <row r="10">
      <c r="A10" t="inlineStr">
        <is>
          <t>Financing Cash Flow</t>
        </is>
      </c>
      <c r="B10" s="3" t="n">
        <v>-520000</v>
      </c>
      <c r="C10" s="3" t="n">
        <v>-197000</v>
      </c>
      <c r="D10" s="3" t="n">
        <v>-40489000</v>
      </c>
      <c r="E10" s="3" t="n">
        <v>-5954000</v>
      </c>
      <c r="F10" s="3" t="n">
        <v>-147187000</v>
      </c>
      <c r="G10" s="3" t="n"/>
    </row>
    <row r="11">
      <c r="A11" t="inlineStr">
        <is>
          <t>Cash Flow From Continuing Financing Activities</t>
        </is>
      </c>
      <c r="B11" s="3" t="n">
        <v>-520000</v>
      </c>
      <c r="C11" s="3" t="n">
        <v>-197000</v>
      </c>
      <c r="D11" s="3" t="n">
        <v>-40489000</v>
      </c>
      <c r="E11" s="3" t="n">
        <v>-5954000</v>
      </c>
      <c r="F11" s="3" t="n">
        <v>-147187000</v>
      </c>
      <c r="G11" s="3" t="n"/>
    </row>
    <row r="12">
      <c r="A12" t="inlineStr">
        <is>
          <t>Net Other Financing Charges</t>
        </is>
      </c>
      <c r="B12" s="3" t="n">
        <v>-125000</v>
      </c>
      <c r="C12" s="3" t="n">
        <v>-197000</v>
      </c>
      <c r="D12" s="3" t="n">
        <v>-40489000</v>
      </c>
      <c r="E12" s="3" t="n">
        <v>-5954000</v>
      </c>
      <c r="F12" s="3" t="n">
        <v>0</v>
      </c>
      <c r="G12" s="3" t="n"/>
    </row>
    <row r="13">
      <c r="A13" t="inlineStr">
        <is>
          <t>Net Common Stock Issuance</t>
        </is>
      </c>
      <c r="B13" s="3" t="n"/>
      <c r="C13" s="3" t="n"/>
      <c r="D13" s="3" t="n"/>
      <c r="E13" s="3" t="n"/>
      <c r="F13" s="3" t="n">
        <v>0</v>
      </c>
      <c r="G13" s="3" t="n">
        <v>0</v>
      </c>
    </row>
    <row r="14">
      <c r="A14" t="inlineStr">
        <is>
          <t>Common Stock Payments</t>
        </is>
      </c>
      <c r="B14" s="3" t="n"/>
      <c r="C14" s="3" t="n"/>
      <c r="D14" s="3" t="n"/>
      <c r="E14" s="3" t="n"/>
      <c r="F14" s="3" t="n">
        <v>0</v>
      </c>
      <c r="G14" s="3" t="n">
        <v>0</v>
      </c>
    </row>
    <row r="15">
      <c r="A15" t="inlineStr">
        <is>
          <t>Common Stock Issuance</t>
        </is>
      </c>
      <c r="B15" s="3" t="n"/>
      <c r="C15" s="3" t="n"/>
      <c r="D15" s="3" t="n"/>
      <c r="E15" s="3" t="n"/>
      <c r="F15" s="3" t="n">
        <v>0</v>
      </c>
      <c r="G15" s="3" t="n">
        <v>0</v>
      </c>
    </row>
    <row r="16">
      <c r="A16" t="inlineStr">
        <is>
          <t>Net Issuance Payments Of Debt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-147187000</v>
      </c>
      <c r="G16" s="3" t="n"/>
    </row>
    <row r="17">
      <c r="A17" t="inlineStr">
        <is>
          <t>Net Long Term Debt Issuance</t>
        </is>
      </c>
      <c r="B17" s="3" t="n">
        <v>0</v>
      </c>
      <c r="C17" s="3" t="n">
        <v>0</v>
      </c>
      <c r="D17" s="3" t="n">
        <v>0</v>
      </c>
      <c r="E17" s="3" t="n">
        <v>0</v>
      </c>
      <c r="F17" s="3" t="n">
        <v>-147187000</v>
      </c>
      <c r="G17" s="3" t="n"/>
    </row>
    <row r="18">
      <c r="A18" t="inlineStr">
        <is>
          <t>Long Term Debt Payments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-147187000</v>
      </c>
      <c r="G18" s="3" t="n"/>
    </row>
    <row r="19">
      <c r="A19" t="inlineStr">
        <is>
          <t>Investing Cash Flow</t>
        </is>
      </c>
      <c r="B19" s="3" t="n">
        <v>-28556000</v>
      </c>
      <c r="C19" s="3" t="n">
        <v>-15801000</v>
      </c>
      <c r="D19" s="3" t="n">
        <v>-44450000</v>
      </c>
      <c r="E19" s="3" t="n">
        <v>-98071000</v>
      </c>
      <c r="F19" s="3" t="n">
        <v>-17580000</v>
      </c>
      <c r="G19" s="3" t="n"/>
    </row>
    <row r="20">
      <c r="A20" t="inlineStr">
        <is>
          <t>Cash Flow From Continuing Investing Activities</t>
        </is>
      </c>
      <c r="B20" s="3" t="n">
        <v>-28556000</v>
      </c>
      <c r="C20" s="3" t="n">
        <v>-15801000</v>
      </c>
      <c r="D20" s="3" t="n">
        <v>-44450000</v>
      </c>
      <c r="E20" s="3" t="n">
        <v>-98071000</v>
      </c>
      <c r="F20" s="3" t="n">
        <v>-17580000</v>
      </c>
      <c r="G20" s="3" t="n"/>
    </row>
    <row r="21">
      <c r="A21" t="inlineStr">
        <is>
          <t>Net Other Investing Changes</t>
        </is>
      </c>
      <c r="B21" s="3" t="n">
        <v>-5515000</v>
      </c>
      <c r="C21" s="3" t="n"/>
      <c r="D21" s="3" t="n"/>
      <c r="E21" s="3" t="n"/>
      <c r="F21" s="3" t="n"/>
      <c r="G21" s="3" t="n"/>
    </row>
    <row r="22">
      <c r="A22" t="inlineStr">
        <is>
          <t>Net Business Purchase And Sale</t>
        </is>
      </c>
      <c r="B22" s="3" t="n">
        <v>-5227000</v>
      </c>
      <c r="C22" s="3" t="n">
        <v>-8323000</v>
      </c>
      <c r="D22" s="3" t="n">
        <v>-28976000</v>
      </c>
      <c r="E22" s="3" t="n">
        <v>-86813000</v>
      </c>
      <c r="F22" s="3" t="n">
        <v>-7500000</v>
      </c>
      <c r="G22" s="3" t="n"/>
    </row>
    <row r="23">
      <c r="A23" t="inlineStr">
        <is>
          <t>Purchase Of Business</t>
        </is>
      </c>
      <c r="B23" s="3" t="n">
        <v>-5227000</v>
      </c>
      <c r="C23" s="3" t="n">
        <v>-8323000</v>
      </c>
      <c r="D23" s="3" t="n">
        <v>-28976000</v>
      </c>
      <c r="E23" s="3" t="n">
        <v>-86813000</v>
      </c>
      <c r="F23" s="3" t="n">
        <v>-7500000</v>
      </c>
      <c r="G23" s="3" t="n"/>
    </row>
    <row r="24">
      <c r="A24" t="inlineStr">
        <is>
          <t>Net PPE Purchase And Sale</t>
        </is>
      </c>
      <c r="B24" s="3" t="n">
        <v>-17814000</v>
      </c>
      <c r="C24" s="3" t="n">
        <v>-4731000</v>
      </c>
      <c r="D24" s="3" t="n">
        <v>-15474000</v>
      </c>
      <c r="E24" s="3" t="n">
        <v>-11258000</v>
      </c>
      <c r="F24" s="3" t="n">
        <v>-10080000</v>
      </c>
      <c r="G24" s="3" t="n"/>
    </row>
    <row r="25">
      <c r="A25" t="inlineStr">
        <is>
          <t>Purchase Of PPE</t>
        </is>
      </c>
      <c r="B25" s="3" t="n">
        <v>-17814000</v>
      </c>
      <c r="C25" s="3" t="n">
        <v>-4731000</v>
      </c>
      <c r="D25" s="3" t="n">
        <v>-15474000</v>
      </c>
      <c r="E25" s="3" t="n">
        <v>-11258000</v>
      </c>
      <c r="F25" s="3" t="n">
        <v>-10080000</v>
      </c>
      <c r="G25" s="3" t="n"/>
    </row>
    <row r="26">
      <c r="A26" t="inlineStr">
        <is>
          <t>Operating Cash Flow</t>
        </is>
      </c>
      <c r="B26" s="3" t="n">
        <v>171428000</v>
      </c>
      <c r="C26" s="3" t="n">
        <v>123280000</v>
      </c>
      <c r="D26" s="3" t="n">
        <v>186879000</v>
      </c>
      <c r="E26" s="3" t="n">
        <v>81324000</v>
      </c>
      <c r="F26" s="3" t="n">
        <v>237327000</v>
      </c>
      <c r="G26" s="3" t="n"/>
    </row>
    <row r="27">
      <c r="A27" t="inlineStr">
        <is>
          <t>Cash Flow From Continuing Operating Activities</t>
        </is>
      </c>
      <c r="B27" s="3" t="n">
        <v>171428000</v>
      </c>
      <c r="C27" s="3" t="n">
        <v>123280000</v>
      </c>
      <c r="D27" s="3" t="n">
        <v>186879000</v>
      </c>
      <c r="E27" s="3" t="n">
        <v>81324000</v>
      </c>
      <c r="F27" s="3" t="n">
        <v>237327000</v>
      </c>
      <c r="G27" s="3" t="n"/>
    </row>
    <row r="28">
      <c r="A28" t="inlineStr">
        <is>
          <t>Change In Working Capital</t>
        </is>
      </c>
      <c r="B28" s="3" t="n">
        <v>-146465000</v>
      </c>
      <c r="C28" s="3" t="n">
        <v>-16392000</v>
      </c>
      <c r="D28" s="3" t="n">
        <v>32657000</v>
      </c>
      <c r="E28" s="3" t="n">
        <v>-81648000</v>
      </c>
      <c r="F28" s="3" t="n">
        <v>-51755000</v>
      </c>
      <c r="G28" s="3" t="n"/>
    </row>
    <row r="29">
      <c r="A29" t="inlineStr">
        <is>
          <t>Depreciation Amortization Depletion</t>
        </is>
      </c>
      <c r="B29" s="3" t="n">
        <v>9016000</v>
      </c>
      <c r="C29" s="3" t="n">
        <v>8436000</v>
      </c>
      <c r="D29" s="3" t="n">
        <v>7361000</v>
      </c>
      <c r="E29" s="3" t="n">
        <v>5789000</v>
      </c>
      <c r="F29" s="3" t="n">
        <v>5108000</v>
      </c>
      <c r="G29" s="3" t="n"/>
    </row>
    <row r="30">
      <c r="A30" t="inlineStr">
        <is>
          <t>Depreciation And Amortization</t>
        </is>
      </c>
      <c r="B30" s="3" t="n">
        <v>9016000</v>
      </c>
      <c r="C30" s="3" t="n">
        <v>8436000</v>
      </c>
      <c r="D30" s="3" t="n">
        <v>7361000</v>
      </c>
      <c r="E30" s="3" t="n">
        <v>5789000</v>
      </c>
      <c r="F30" s="3" t="n">
        <v>5108000</v>
      </c>
      <c r="G30" s="3" t="n"/>
    </row>
    <row r="31">
      <c r="A31" t="inlineStr">
        <is>
          <t>Amortization Cash Flow</t>
        </is>
      </c>
      <c r="B31" s="3" t="n">
        <v>22353000</v>
      </c>
      <c r="C31" s="3" t="n"/>
      <c r="D31" s="3" t="n"/>
      <c r="E31" s="3" t="n">
        <v>2059000</v>
      </c>
      <c r="F31" s="3" t="n">
        <v>9664000</v>
      </c>
      <c r="G31" s="3" t="n"/>
    </row>
    <row r="32">
      <c r="A32" t="inlineStr">
        <is>
          <t>Amortization Of Intangibles</t>
        </is>
      </c>
      <c r="B32" s="3" t="n">
        <v>22353000</v>
      </c>
      <c r="C32" s="3" t="n"/>
      <c r="D32" s="3" t="n"/>
      <c r="E32" s="3" t="n">
        <v>2059000</v>
      </c>
      <c r="F32" s="3" t="n">
        <v>9664000</v>
      </c>
      <c r="G32" s="3" t="n"/>
    </row>
    <row r="33">
      <c r="A33" t="inlineStr">
        <is>
          <t>Depreciation</t>
        </is>
      </c>
      <c r="B33" s="3" t="n"/>
      <c r="C33" s="3" t="n"/>
      <c r="D33" s="3" t="n"/>
      <c r="E33" s="3" t="n">
        <v>3730000</v>
      </c>
      <c r="F33" s="3" t="n"/>
      <c r="G33" s="3" t="n"/>
    </row>
    <row r="34">
      <c r="A34" t="inlineStr">
        <is>
          <t>Net Income From Continuing Operations</t>
        </is>
      </c>
      <c r="B34" s="3" t="n">
        <v>150603000</v>
      </c>
      <c r="C34" s="3" t="n">
        <v>131236000</v>
      </c>
      <c r="D34" s="3" t="n">
        <v>146861000</v>
      </c>
      <c r="E34" s="3" t="n">
        <v>157183000</v>
      </c>
      <c r="F34" s="3" t="n">
        <v>157814000</v>
      </c>
      <c r="G34" s="3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Issue</t>
        </is>
      </c>
    </row>
    <row r="2">
      <c r="A2" t="inlineStr">
        <is>
          <t>—</t>
        </is>
      </c>
      <c r="B2" t="inlineStr">
        <is>
          <t>no gaps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2026-06-20T19:57:00Z</dcterms:created>
  <dcterms:modified xsi:type="dcterms:W3CDTF">2026-06-20T19:57:02Z</dcterms:modified>
</cp:coreProperties>
</file>