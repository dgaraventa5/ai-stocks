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NNE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NANO Nuclear Energy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1470358016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901676544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-28.639593</v>
      </c>
      <c r="C9" t="inlineStr">
        <is>
          <t>yfinance info.forwardPE</t>
        </is>
      </c>
    </row>
    <row r="10">
      <c r="A10" t="inlineStr">
        <is>
          <t>P/S (TTM)</t>
        </is>
      </c>
      <c r="B10" t="inlineStr">
        <is>
          <t>(missing — see Data flags)</t>
        </is>
      </c>
      <c r="C10" t="inlineStr">
        <is>
          <t>yfinance</t>
        </is>
      </c>
    </row>
    <row r="11">
      <c r="A11" t="inlineStr">
        <is>
          <t>Gross margin (TTM)</t>
        </is>
      </c>
      <c r="B11" t="n">
        <v>0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-0.08611000000000001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inlineStr">
        <is>
          <t>(missing — see Data flags)</t>
        </is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570195584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2602383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-36838882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52121875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28.21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2023-09-30</t>
        </is>
      </c>
      <c r="C2" t="inlineStr">
        <is>
          <t>2024-09-30</t>
        </is>
      </c>
      <c r="D2" t="inlineStr">
        <is>
          <t>2025-09-30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(annual)'!D39</f>
        <v/>
      </c>
      <c r="C3" s="3">
        <f>'Income stmt (annual)'!C39</f>
        <v/>
      </c>
      <c r="D3" s="3">
        <f>'Income stmt (annual)'!B39</f>
        <v/>
      </c>
      <c r="E3" s="3">
        <f>SUM('Income stmt (quarterly)'!B42:E42)</f>
        <v/>
      </c>
      <c r="F3" t="inlineStr">
        <is>
          <t>Total Revenue</t>
        </is>
      </c>
    </row>
    <row r="4">
      <c r="A4" t="inlineStr">
        <is>
          <t>Gross profit</t>
        </is>
      </c>
      <c r="B4" s="3" t="inlineStr"/>
      <c r="C4" s="3" t="inlineStr"/>
      <c r="D4" s="3" t="inlineStr"/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(annual)'!D33</f>
        <v/>
      </c>
      <c r="C6" s="3">
        <f>'Income stmt (annual)'!C33</f>
        <v/>
      </c>
      <c r="D6" s="3">
        <f>'Income stmt (annual)'!B33</f>
        <v/>
      </c>
      <c r="E6" s="3">
        <f>SUM('Income stmt (quarterly)'!B34:E34)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(annual)'!D9</f>
        <v/>
      </c>
      <c r="C8" s="3">
        <f>'Income stmt (annual)'!C9</f>
        <v/>
      </c>
      <c r="D8" s="3">
        <f>'Income stmt (annual)'!B9</f>
        <v/>
      </c>
      <c r="E8" s="3">
        <f>SUM('Income stmt (quarterly)'!B9:E9)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(annual)'!D4</f>
        <v/>
      </c>
      <c r="C11" s="3">
        <f>-'Cash flow (annual)'!C4</f>
        <v/>
      </c>
      <c r="D11" s="3">
        <f>-'Cash flow (annual)'!B4</f>
        <v/>
      </c>
      <c r="E11" s="3">
        <f>-SUM('Cash flow (quarterly)'!B4:E4)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</row>
    <row r="3">
      <c r="A3" t="inlineStr">
        <is>
          <t>Tax Rate For Calcs</t>
        </is>
      </c>
      <c r="B3" s="3" t="n">
        <v>0</v>
      </c>
      <c r="C3" s="3" t="n">
        <v>0</v>
      </c>
      <c r="D3" s="3" t="n">
        <v>0</v>
      </c>
    </row>
    <row r="4">
      <c r="A4" t="inlineStr">
        <is>
          <t>Normalized EBITDA</t>
        </is>
      </c>
      <c r="B4" s="3" t="n">
        <v>-43150795</v>
      </c>
      <c r="C4" s="3" t="n">
        <v>-10535633</v>
      </c>
      <c r="D4" s="3" t="n">
        <v>-6283395</v>
      </c>
    </row>
    <row r="5">
      <c r="A5" t="inlineStr">
        <is>
          <t>Total Unusual Items</t>
        </is>
      </c>
      <c r="B5" s="3" t="n">
        <v>-1207500</v>
      </c>
      <c r="C5" s="3" t="n">
        <v>66000</v>
      </c>
      <c r="D5" s="3" t="n">
        <v>0</v>
      </c>
    </row>
    <row r="6">
      <c r="A6" t="inlineStr">
        <is>
          <t>Total Unusual Items Excluding Goodwill</t>
        </is>
      </c>
      <c r="B6" s="3" t="n">
        <v>-1207500</v>
      </c>
      <c r="C6" s="3" t="n">
        <v>66000</v>
      </c>
      <c r="D6" s="3" t="n">
        <v>0</v>
      </c>
    </row>
    <row r="7">
      <c r="A7" t="inlineStr">
        <is>
          <t>Net Income From Continuing Operation Net Minority Interest</t>
        </is>
      </c>
      <c r="B7" s="3" t="n">
        <v>-40067076</v>
      </c>
      <c r="C7" s="3" t="n">
        <v>-10151556</v>
      </c>
      <c r="D7" s="3" t="n">
        <v>-6250401</v>
      </c>
    </row>
    <row r="8">
      <c r="A8" t="inlineStr">
        <is>
          <t>Reconciled Depreciation</t>
        </is>
      </c>
      <c r="B8" s="3" t="n">
        <v>650738</v>
      </c>
      <c r="C8" s="3" t="n">
        <v>106925</v>
      </c>
      <c r="D8" s="3" t="n">
        <v>0</v>
      </c>
    </row>
    <row r="9">
      <c r="A9" t="inlineStr">
        <is>
          <t>EBITDA</t>
        </is>
      </c>
      <c r="B9" s="3" t="n">
        <v>-44358295</v>
      </c>
      <c r="C9" s="3" t="n">
        <v>-10469633</v>
      </c>
      <c r="D9" s="3" t="n">
        <v>-6283395</v>
      </c>
    </row>
    <row r="10">
      <c r="A10" t="inlineStr">
        <is>
          <t>EBIT</t>
        </is>
      </c>
      <c r="B10" s="3" t="n">
        <v>-45009033</v>
      </c>
      <c r="C10" s="3" t="n">
        <v>-10576558</v>
      </c>
      <c r="D10" s="3" t="n">
        <v>-6283395</v>
      </c>
    </row>
    <row r="11">
      <c r="A11" t="inlineStr">
        <is>
          <t>Net Interest Income</t>
        </is>
      </c>
      <c r="B11" s="3" t="n"/>
      <c r="C11" s="3" t="n">
        <v>359002</v>
      </c>
      <c r="D11" s="3" t="n">
        <v>32994</v>
      </c>
    </row>
    <row r="12">
      <c r="A12" t="inlineStr">
        <is>
          <t>Interest Income</t>
        </is>
      </c>
      <c r="B12" s="3" t="n"/>
      <c r="C12" s="3" t="n">
        <v>359002</v>
      </c>
      <c r="D12" s="3" t="n">
        <v>32994</v>
      </c>
    </row>
    <row r="13">
      <c r="A13" t="inlineStr">
        <is>
          <t>Normalized Income</t>
        </is>
      </c>
      <c r="B13" s="3" t="n">
        <v>-38859576</v>
      </c>
      <c r="C13" s="3" t="n">
        <v>-10217556</v>
      </c>
      <c r="D13" s="3" t="n">
        <v>-6250401</v>
      </c>
    </row>
    <row r="14">
      <c r="A14" t="inlineStr">
        <is>
          <t>Net Income From Continuing And Discontinued Operation</t>
        </is>
      </c>
      <c r="B14" s="3" t="n">
        <v>-40067076</v>
      </c>
      <c r="C14" s="3" t="n">
        <v>-10151556</v>
      </c>
      <c r="D14" s="3" t="n">
        <v>-6250401</v>
      </c>
    </row>
    <row r="15">
      <c r="A15" t="inlineStr">
        <is>
          <t>Total Expenses</t>
        </is>
      </c>
      <c r="B15" s="3" t="n">
        <v>45009033</v>
      </c>
      <c r="C15" s="3" t="n">
        <v>10576558</v>
      </c>
      <c r="D15" s="3" t="n">
        <v>6283395</v>
      </c>
    </row>
    <row r="16">
      <c r="A16" t="inlineStr">
        <is>
          <t>Total Operating Income As Reported</t>
        </is>
      </c>
      <c r="B16" s="3" t="n">
        <v>-46216533</v>
      </c>
      <c r="C16" s="3" t="n">
        <v>-10510558</v>
      </c>
      <c r="D16" s="3" t="n">
        <v>-6283395</v>
      </c>
    </row>
    <row r="17">
      <c r="A17" t="inlineStr">
        <is>
          <t>Diluted Average Shares</t>
        </is>
      </c>
      <c r="B17" s="3" t="n">
        <v>37910547</v>
      </c>
      <c r="C17" s="3" t="n">
        <v>26222442</v>
      </c>
      <c r="D17" s="3" t="n">
        <v>28569513</v>
      </c>
    </row>
    <row r="18">
      <c r="A18" t="inlineStr">
        <is>
          <t>Basic Average Shares</t>
        </is>
      </c>
      <c r="B18" s="3" t="n">
        <v>37910547</v>
      </c>
      <c r="C18" s="3" t="n">
        <v>26222442</v>
      </c>
      <c r="D18" s="3" t="n">
        <v>28569513</v>
      </c>
    </row>
    <row r="19">
      <c r="A19" t="inlineStr">
        <is>
          <t>Diluted EPS</t>
        </is>
      </c>
      <c r="B19" s="3" t="n">
        <v>-1.06</v>
      </c>
      <c r="C19" s="3" t="n">
        <v>-0.39</v>
      </c>
      <c r="D19" s="3" t="n">
        <v>-0.218779</v>
      </c>
    </row>
    <row r="20">
      <c r="A20" t="inlineStr">
        <is>
          <t>Basic EPS</t>
        </is>
      </c>
      <c r="B20" s="3" t="n">
        <v>-1.06</v>
      </c>
      <c r="C20" s="3" t="n">
        <v>-0.39</v>
      </c>
      <c r="D20" s="3" t="n">
        <v>-0.218779</v>
      </c>
    </row>
    <row r="21">
      <c r="A21" t="inlineStr">
        <is>
          <t>Diluted NI Availto Com Stockholders</t>
        </is>
      </c>
      <c r="B21" s="3" t="n">
        <v>-40067076</v>
      </c>
      <c r="C21" s="3" t="n">
        <v>-10151556</v>
      </c>
      <c r="D21" s="3" t="n">
        <v>-6250401</v>
      </c>
    </row>
    <row r="22">
      <c r="A22" t="inlineStr">
        <is>
          <t>Net Income Common Stockholders</t>
        </is>
      </c>
      <c r="B22" s="3" t="n">
        <v>-40067076</v>
      </c>
      <c r="C22" s="3" t="n">
        <v>-10151556</v>
      </c>
      <c r="D22" s="3" t="n">
        <v>-6250401</v>
      </c>
    </row>
    <row r="23">
      <c r="A23" t="inlineStr">
        <is>
          <t>Net Income</t>
        </is>
      </c>
      <c r="B23" s="3" t="n">
        <v>-40067076</v>
      </c>
      <c r="C23" s="3" t="n">
        <v>-10151556</v>
      </c>
      <c r="D23" s="3" t="n">
        <v>-6250401</v>
      </c>
    </row>
    <row r="24">
      <c r="A24" t="inlineStr">
        <is>
          <t>Net Income Including Noncontrolling Interests</t>
        </is>
      </c>
      <c r="B24" s="3" t="n">
        <v>-40067076</v>
      </c>
      <c r="C24" s="3" t="n">
        <v>-10151556</v>
      </c>
      <c r="D24" s="3" t="n">
        <v>-6250401</v>
      </c>
    </row>
    <row r="25">
      <c r="A25" t="inlineStr">
        <is>
          <t>Net Income Continuous Operations</t>
        </is>
      </c>
      <c r="B25" s="3" t="n">
        <v>-40067076</v>
      </c>
      <c r="C25" s="3" t="n">
        <v>-10151556</v>
      </c>
      <c r="D25" s="3" t="n">
        <v>-6250401</v>
      </c>
    </row>
    <row r="26">
      <c r="A26" t="inlineStr">
        <is>
          <t>Pretax Income</t>
        </is>
      </c>
      <c r="B26" s="3" t="n">
        <v>-40067076</v>
      </c>
      <c r="C26" s="3" t="n">
        <v>-10151556</v>
      </c>
      <c r="D26" s="3" t="n">
        <v>-6250401</v>
      </c>
    </row>
    <row r="27">
      <c r="A27" t="inlineStr">
        <is>
          <t>Other Income Expense</t>
        </is>
      </c>
      <c r="B27" s="3" t="n">
        <v>4941957</v>
      </c>
      <c r="C27" s="3" t="n">
        <v>425002</v>
      </c>
      <c r="D27" s="3" t="n">
        <v>32994</v>
      </c>
    </row>
    <row r="28">
      <c r="A28" t="inlineStr">
        <is>
          <t>Other Non Operating Income Expenses</t>
        </is>
      </c>
      <c r="B28" s="3" t="n">
        <v>6149457</v>
      </c>
      <c r="C28" s="3" t="n">
        <v>359002</v>
      </c>
      <c r="D28" s="3" t="n">
        <v>32994</v>
      </c>
    </row>
    <row r="29">
      <c r="A29" t="inlineStr">
        <is>
          <t>Special Income Charges</t>
        </is>
      </c>
      <c r="B29" s="3" t="n">
        <v>-1207500</v>
      </c>
      <c r="C29" s="3" t="n">
        <v>66000</v>
      </c>
      <c r="D29" s="3" t="n">
        <v>0</v>
      </c>
    </row>
    <row r="30">
      <c r="A30" t="inlineStr">
        <is>
          <t>Restructuring And Mergern Acquisition</t>
        </is>
      </c>
      <c r="B30" s="3" t="n">
        <v>1207500</v>
      </c>
      <c r="C30" s="3" t="n">
        <v>-66000</v>
      </c>
      <c r="D30" s="3" t="n">
        <v>0</v>
      </c>
    </row>
    <row r="31">
      <c r="A31" t="inlineStr">
        <is>
          <t>Net Non Operating Interest Income Expense</t>
        </is>
      </c>
      <c r="B31" s="3" t="n"/>
      <c r="C31" s="3" t="n">
        <v>359002</v>
      </c>
      <c r="D31" s="3" t="n">
        <v>32994</v>
      </c>
    </row>
    <row r="32">
      <c r="A32" t="inlineStr">
        <is>
          <t>Interest Income Non Operating</t>
        </is>
      </c>
      <c r="B32" s="3" t="n"/>
      <c r="C32" s="3" t="n">
        <v>359002</v>
      </c>
      <c r="D32" s="3" t="n">
        <v>32994</v>
      </c>
    </row>
    <row r="33">
      <c r="A33" t="inlineStr">
        <is>
          <t>Operating Income</t>
        </is>
      </c>
      <c r="B33" s="3" t="n">
        <v>-45009033</v>
      </c>
      <c r="C33" s="3" t="n">
        <v>-10576558</v>
      </c>
      <c r="D33" s="3" t="n">
        <v>-6283395</v>
      </c>
    </row>
    <row r="34">
      <c r="A34" t="inlineStr">
        <is>
          <t>Operating Expense</t>
        </is>
      </c>
      <c r="B34" s="3" t="n">
        <v>45009033</v>
      </c>
      <c r="C34" s="3" t="n">
        <v>10576558</v>
      </c>
      <c r="D34" s="3" t="n">
        <v>6283395</v>
      </c>
    </row>
    <row r="35">
      <c r="A35" t="inlineStr">
        <is>
          <t>Research And Development</t>
        </is>
      </c>
      <c r="B35" s="3" t="n">
        <v>15446513</v>
      </c>
      <c r="C35" s="3" t="n">
        <v>3725565</v>
      </c>
      <c r="D35" s="3" t="n">
        <v>1534000</v>
      </c>
    </row>
    <row r="36">
      <c r="A36" t="inlineStr">
        <is>
          <t>Selling General And Administration</t>
        </is>
      </c>
      <c r="B36" s="3" t="n">
        <v>29562520</v>
      </c>
      <c r="C36" s="3" t="n">
        <v>6850993</v>
      </c>
      <c r="D36" s="3" t="n">
        <v>4749395</v>
      </c>
    </row>
    <row r="37">
      <c r="A37" t="inlineStr">
        <is>
          <t>General And Administrative Expense</t>
        </is>
      </c>
      <c r="B37" s="3" t="n">
        <v>29562520</v>
      </c>
      <c r="C37" s="3" t="n">
        <v>6850993</v>
      </c>
      <c r="D37" s="3" t="n">
        <v>4749395</v>
      </c>
    </row>
    <row r="38">
      <c r="A38" t="inlineStr">
        <is>
          <t>Other Gand A</t>
        </is>
      </c>
      <c r="B38" s="3" t="n">
        <v>29562520</v>
      </c>
      <c r="C38" s="3" t="n">
        <v>6850993</v>
      </c>
      <c r="D38" s="3" t="n">
        <v>4749395</v>
      </c>
    </row>
    <row r="39">
      <c r="A39" t="inlineStr">
        <is>
          <t>Total Revenue</t>
        </is>
      </c>
      <c r="B39" s="3" t="n">
        <v>0</v>
      </c>
      <c r="C39" s="3" t="n">
        <v>0</v>
      </c>
      <c r="D39" s="3" t="n">
        <v>0</v>
      </c>
    </row>
    <row r="40">
      <c r="A40" t="inlineStr">
        <is>
          <t>Operating Revenue</t>
        </is>
      </c>
      <c r="B40" s="3" t="n">
        <v>0</v>
      </c>
      <c r="C40" s="3" t="n">
        <v>0</v>
      </c>
      <c r="D40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/>
    </row>
    <row r="4">
      <c r="A4" t="inlineStr">
        <is>
          <t>Normalized EBITDA</t>
        </is>
      </c>
      <c r="B4" s="3" t="n">
        <v>-14039244</v>
      </c>
      <c r="C4" s="3" t="n">
        <v>-12527955</v>
      </c>
      <c r="D4" s="3" t="n">
        <v>-9966889</v>
      </c>
      <c r="E4" s="3" t="n">
        <v>-8150323</v>
      </c>
      <c r="F4" s="3" t="n">
        <v>-22222234</v>
      </c>
      <c r="G4" s="3" t="n"/>
    </row>
    <row r="5">
      <c r="A5" t="inlineStr">
        <is>
          <t>Total Unusual Items</t>
        </is>
      </c>
      <c r="B5" s="3" t="n">
        <v>119468</v>
      </c>
      <c r="C5" s="3" t="n">
        <v>604662</v>
      </c>
      <c r="D5" s="3" t="n">
        <v>-203500</v>
      </c>
      <c r="E5" s="3" t="n">
        <v>-401500</v>
      </c>
      <c r="F5" s="3" t="n">
        <v>-78250</v>
      </c>
      <c r="G5" s="3" t="n"/>
    </row>
    <row r="6">
      <c r="A6" t="inlineStr">
        <is>
          <t>Total Unusual Items Excluding Goodwill</t>
        </is>
      </c>
      <c r="B6" s="3" t="n">
        <v>119468</v>
      </c>
      <c r="C6" s="3" t="n">
        <v>604662</v>
      </c>
      <c r="D6" s="3" t="n">
        <v>-203500</v>
      </c>
      <c r="E6" s="3" t="n">
        <v>-401500</v>
      </c>
      <c r="F6" s="3" t="n">
        <v>-78250</v>
      </c>
      <c r="G6" s="3" t="n"/>
    </row>
    <row r="7">
      <c r="A7" t="inlineStr">
        <is>
          <t>Net Income From Continuing Operation Net Minority Interest</t>
        </is>
      </c>
      <c r="B7" s="3" t="n">
        <v>-9180166</v>
      </c>
      <c r="C7" s="3" t="n">
        <v>-6516279</v>
      </c>
      <c r="D7" s="3" t="n">
        <v>-8050410</v>
      </c>
      <c r="E7" s="3" t="n">
        <v>-7594583</v>
      </c>
      <c r="F7" s="3" t="n">
        <v>-21308721</v>
      </c>
      <c r="G7" s="3" t="n"/>
    </row>
    <row r="8">
      <c r="A8" t="inlineStr">
        <is>
          <t>Reconciled Depreciation</t>
        </is>
      </c>
      <c r="B8" s="3" t="n">
        <v>328963</v>
      </c>
      <c r="C8" s="3" t="n">
        <v>291870</v>
      </c>
      <c r="D8" s="3" t="n">
        <v>288657</v>
      </c>
      <c r="E8" s="3" t="n">
        <v>188950</v>
      </c>
      <c r="F8" s="3" t="n">
        <v>109237</v>
      </c>
      <c r="G8" s="3" t="n"/>
    </row>
    <row r="9">
      <c r="A9" t="inlineStr">
        <is>
          <t>EBITDA</t>
        </is>
      </c>
      <c r="B9" s="3" t="n">
        <v>-13919776</v>
      </c>
      <c r="C9" s="3" t="n">
        <v>-11923293</v>
      </c>
      <c r="D9" s="3" t="n">
        <v>-10170389</v>
      </c>
      <c r="E9" s="3" t="n">
        <v>-8551823</v>
      </c>
      <c r="F9" s="3" t="n">
        <v>-22300484</v>
      </c>
      <c r="G9" s="3" t="n"/>
    </row>
    <row r="10">
      <c r="A10" t="inlineStr">
        <is>
          <t>EBIT</t>
        </is>
      </c>
      <c r="B10" s="3" t="n">
        <v>-14248739</v>
      </c>
      <c r="C10" s="3" t="n">
        <v>-12215163</v>
      </c>
      <c r="D10" s="3" t="n">
        <v>-10459046</v>
      </c>
      <c r="E10" s="3" t="n">
        <v>-8740773</v>
      </c>
      <c r="F10" s="3" t="n">
        <v>-22409721</v>
      </c>
      <c r="G10" s="3" t="n"/>
    </row>
    <row r="11">
      <c r="A11" t="inlineStr">
        <is>
          <t>Net Interest Income</t>
        </is>
      </c>
      <c r="B11" s="3" t="n">
        <v>4928105</v>
      </c>
      <c r="C11" s="3" t="n">
        <v>4920707</v>
      </c>
      <c r="D11" s="3" t="n"/>
      <c r="E11" s="3" t="n">
        <v>1526690</v>
      </c>
      <c r="F11" s="3" t="n">
        <v>1158251</v>
      </c>
      <c r="G11" s="3" t="n">
        <v>789381</v>
      </c>
    </row>
    <row r="12">
      <c r="A12" t="inlineStr">
        <is>
          <t>Interest Income</t>
        </is>
      </c>
      <c r="B12" s="3" t="n">
        <v>4928105</v>
      </c>
      <c r="C12" s="3" t="n">
        <v>4920707</v>
      </c>
      <c r="D12" s="3" t="n"/>
      <c r="E12" s="3" t="n">
        <v>1526690</v>
      </c>
      <c r="F12" s="3" t="n">
        <v>1158251</v>
      </c>
      <c r="G12" s="3" t="n">
        <v>789381</v>
      </c>
    </row>
    <row r="13">
      <c r="A13" t="inlineStr">
        <is>
          <t>Normalized Income</t>
        </is>
      </c>
      <c r="B13" s="3" t="n">
        <v>-9299634</v>
      </c>
      <c r="C13" s="3" t="n">
        <v>-7120941</v>
      </c>
      <c r="D13" s="3" t="n">
        <v>-7846910</v>
      </c>
      <c r="E13" s="3" t="n">
        <v>-7193083</v>
      </c>
      <c r="F13" s="3" t="n">
        <v>-21230471</v>
      </c>
      <c r="G13" s="3" t="n"/>
    </row>
    <row r="14">
      <c r="A14" t="inlineStr">
        <is>
          <t>Net Income From Continuing And Discontinued Operation</t>
        </is>
      </c>
      <c r="B14" s="3" t="n">
        <v>-9180166</v>
      </c>
      <c r="C14" s="3" t="n">
        <v>-6516279</v>
      </c>
      <c r="D14" s="3" t="n">
        <v>-8050410</v>
      </c>
      <c r="E14" s="3" t="n">
        <v>-7594583</v>
      </c>
      <c r="F14" s="3" t="n">
        <v>-21308721</v>
      </c>
      <c r="G14" s="3" t="n"/>
    </row>
    <row r="15">
      <c r="A15" t="inlineStr">
        <is>
          <t>Total Expenses</t>
        </is>
      </c>
      <c r="B15" s="3" t="n">
        <v>14248739</v>
      </c>
      <c r="C15" s="3" t="n">
        <v>12215163</v>
      </c>
      <c r="D15" s="3" t="n">
        <v>10459046</v>
      </c>
      <c r="E15" s="3" t="n">
        <v>8740773</v>
      </c>
      <c r="F15" s="3" t="n">
        <v>22409721</v>
      </c>
      <c r="G15" s="3" t="n"/>
    </row>
    <row r="16">
      <c r="A16" t="inlineStr">
        <is>
          <t>Total Operating Income As Reported</t>
        </is>
      </c>
      <c r="B16" s="3" t="n">
        <v>-14072239</v>
      </c>
      <c r="C16" s="3" t="n">
        <v>-11559513</v>
      </c>
      <c r="D16" s="3" t="n">
        <v>-10412546</v>
      </c>
      <c r="E16" s="3" t="n">
        <v>-9392273</v>
      </c>
      <c r="F16" s="3" t="n">
        <v>-22487971</v>
      </c>
      <c r="G16" s="3" t="n"/>
    </row>
    <row r="17">
      <c r="A17" t="inlineStr">
        <is>
          <t>Diluted Average Shares</t>
        </is>
      </c>
      <c r="B17" s="3" t="n">
        <v>51649161</v>
      </c>
      <c r="C17" s="3" t="n">
        <v>49807203</v>
      </c>
      <c r="D17" s="3" t="n"/>
      <c r="E17" s="3" t="n">
        <v>38985143</v>
      </c>
      <c r="F17" s="3" t="n">
        <v>37074514</v>
      </c>
      <c r="G17" s="3" t="n">
        <v>33964495</v>
      </c>
    </row>
    <row r="18">
      <c r="A18" t="inlineStr">
        <is>
          <t>Basic Average Shares</t>
        </is>
      </c>
      <c r="B18" s="3" t="n">
        <v>51649161</v>
      </c>
      <c r="C18" s="3" t="n">
        <v>49807203</v>
      </c>
      <c r="D18" s="3" t="n"/>
      <c r="E18" s="3" t="n">
        <v>38985143</v>
      </c>
      <c r="F18" s="3" t="n">
        <v>37074514</v>
      </c>
      <c r="G18" s="3" t="n">
        <v>33964495</v>
      </c>
    </row>
    <row r="19">
      <c r="A19" t="inlineStr">
        <is>
          <t>Diluted EPS</t>
        </is>
      </c>
      <c r="B19" s="3" t="n">
        <v>-0.18</v>
      </c>
      <c r="C19" s="3" t="n">
        <v>-0.13</v>
      </c>
      <c r="D19" s="3" t="n"/>
      <c r="E19" s="3" t="n">
        <v>-0.19</v>
      </c>
      <c r="F19" s="3" t="n">
        <v>-0.57</v>
      </c>
      <c r="G19" s="3" t="n">
        <v>-0.09</v>
      </c>
    </row>
    <row r="20">
      <c r="A20" t="inlineStr">
        <is>
          <t>Basic EPS</t>
        </is>
      </c>
      <c r="B20" s="3" t="n">
        <v>-0.18</v>
      </c>
      <c r="C20" s="3" t="n">
        <v>-0.13</v>
      </c>
      <c r="D20" s="3" t="n"/>
      <c r="E20" s="3" t="n">
        <v>-0.19</v>
      </c>
      <c r="F20" s="3" t="n">
        <v>-0.57</v>
      </c>
      <c r="G20" s="3" t="n">
        <v>-0.09</v>
      </c>
    </row>
    <row r="21">
      <c r="A21" t="inlineStr">
        <is>
          <t>Diluted NI Availto Com Stockholders</t>
        </is>
      </c>
      <c r="B21" s="3" t="n">
        <v>-9180166</v>
      </c>
      <c r="C21" s="3" t="n">
        <v>-6516279</v>
      </c>
      <c r="D21" s="3" t="n">
        <v>-8050410</v>
      </c>
      <c r="E21" s="3" t="n">
        <v>-7594583</v>
      </c>
      <c r="F21" s="3" t="n">
        <v>-21308721</v>
      </c>
      <c r="G21" s="3" t="n"/>
    </row>
    <row r="22">
      <c r="A22" t="inlineStr">
        <is>
          <t>Net Income Common Stockholders</t>
        </is>
      </c>
      <c r="B22" s="3" t="n">
        <v>-9180166</v>
      </c>
      <c r="C22" s="3" t="n">
        <v>-6516279</v>
      </c>
      <c r="D22" s="3" t="n">
        <v>-8050410</v>
      </c>
      <c r="E22" s="3" t="n">
        <v>-7594583</v>
      </c>
      <c r="F22" s="3" t="n">
        <v>-21308721</v>
      </c>
      <c r="G22" s="3" t="n"/>
    </row>
    <row r="23">
      <c r="A23" t="inlineStr">
        <is>
          <t>Net Income</t>
        </is>
      </c>
      <c r="B23" s="3" t="n">
        <v>-9180166</v>
      </c>
      <c r="C23" s="3" t="n">
        <v>-6516279</v>
      </c>
      <c r="D23" s="3" t="n">
        <v>-8050410</v>
      </c>
      <c r="E23" s="3" t="n">
        <v>-7594583</v>
      </c>
      <c r="F23" s="3" t="n">
        <v>-21308721</v>
      </c>
      <c r="G23" s="3" t="n"/>
    </row>
    <row r="24">
      <c r="A24" t="inlineStr">
        <is>
          <t>Net Income Including Noncontrolling Interests</t>
        </is>
      </c>
      <c r="B24" s="3" t="n">
        <v>-9180166</v>
      </c>
      <c r="C24" s="3" t="n">
        <v>-6516279</v>
      </c>
      <c r="D24" s="3" t="n">
        <v>-8050410</v>
      </c>
      <c r="E24" s="3" t="n">
        <v>-7594583</v>
      </c>
      <c r="F24" s="3" t="n">
        <v>-21308720</v>
      </c>
      <c r="G24" s="3" t="n"/>
    </row>
    <row r="25">
      <c r="A25" t="inlineStr">
        <is>
          <t>Net Income Continuous Operations</t>
        </is>
      </c>
      <c r="B25" s="3" t="n">
        <v>-9180166</v>
      </c>
      <c r="C25" s="3" t="n">
        <v>-6516279</v>
      </c>
      <c r="D25" s="3" t="n">
        <v>-8050410</v>
      </c>
      <c r="E25" s="3" t="n">
        <v>-7594583</v>
      </c>
      <c r="F25" s="3" t="n">
        <v>-21308720</v>
      </c>
      <c r="G25" s="3" t="n"/>
    </row>
    <row r="26">
      <c r="A26" t="inlineStr">
        <is>
          <t>Pretax Income</t>
        </is>
      </c>
      <c r="B26" s="3" t="n">
        <v>-9180166</v>
      </c>
      <c r="C26" s="3" t="n">
        <v>-6516279</v>
      </c>
      <c r="D26" s="3" t="n">
        <v>-8050410</v>
      </c>
      <c r="E26" s="3" t="n">
        <v>-7594583</v>
      </c>
      <c r="F26" s="3" t="n">
        <v>-21308720</v>
      </c>
      <c r="G26" s="3" t="n"/>
    </row>
    <row r="27">
      <c r="A27" t="inlineStr">
        <is>
          <t>Other Income Expense</t>
        </is>
      </c>
      <c r="B27" s="3" t="n">
        <v>140468</v>
      </c>
      <c r="C27" s="3" t="n">
        <v>778177</v>
      </c>
      <c r="D27" s="3" t="n">
        <v>5882957</v>
      </c>
      <c r="E27" s="3" t="n">
        <v>-380500</v>
      </c>
      <c r="F27" s="3" t="n">
        <v>-57250</v>
      </c>
      <c r="G27" s="3" t="n"/>
    </row>
    <row r="28">
      <c r="A28" t="inlineStr">
        <is>
          <t>Other Non Operating Income Expenses</t>
        </is>
      </c>
      <c r="B28" s="3" t="n">
        <v>21000</v>
      </c>
      <c r="C28" s="3" t="n">
        <v>173515</v>
      </c>
      <c r="D28" s="3" t="n">
        <v>6086457</v>
      </c>
      <c r="E28" s="3" t="n">
        <v>21000</v>
      </c>
      <c r="F28" s="3" t="n">
        <v>21000</v>
      </c>
      <c r="G28" s="3" t="n"/>
    </row>
    <row r="29">
      <c r="A29" t="inlineStr">
        <is>
          <t>Special Income Charges</t>
        </is>
      </c>
      <c r="B29" s="3" t="n">
        <v>176500</v>
      </c>
      <c r="C29" s="3" t="n">
        <v>727500</v>
      </c>
      <c r="D29" s="3" t="n">
        <v>-203500</v>
      </c>
      <c r="E29" s="3" t="n">
        <v>-401500</v>
      </c>
      <c r="F29" s="3" t="n">
        <v>-78250</v>
      </c>
      <c r="G29" s="3" t="n"/>
    </row>
    <row r="30">
      <c r="A30" t="inlineStr">
        <is>
          <t>Restructuring And Mergern Acquisition</t>
        </is>
      </c>
      <c r="B30" s="3" t="n">
        <v>-176500</v>
      </c>
      <c r="C30" s="3" t="n">
        <v>-727500</v>
      </c>
      <c r="D30" s="3" t="n">
        <v>203500</v>
      </c>
      <c r="E30" s="3" t="n">
        <v>401500</v>
      </c>
      <c r="F30" s="3" t="n">
        <v>78250</v>
      </c>
      <c r="G30" s="3" t="n"/>
    </row>
    <row r="31">
      <c r="A31" t="inlineStr">
        <is>
          <t>Gain On Sale Of Security</t>
        </is>
      </c>
      <c r="B31" s="3" t="n">
        <v>-57032</v>
      </c>
      <c r="C31" s="3" t="n">
        <v>-122838</v>
      </c>
      <c r="D31" s="3" t="n"/>
      <c r="E31" s="3" t="n"/>
      <c r="F31" s="3" t="n"/>
      <c r="G31" s="3" t="n"/>
    </row>
    <row r="32">
      <c r="A32" t="inlineStr">
        <is>
          <t>Net Non Operating Interest Income Expense</t>
        </is>
      </c>
      <c r="B32" s="3" t="n">
        <v>4928105</v>
      </c>
      <c r="C32" s="3" t="n">
        <v>4920707</v>
      </c>
      <c r="D32" s="3" t="n"/>
      <c r="E32" s="3" t="n">
        <v>1526690</v>
      </c>
      <c r="F32" s="3" t="n">
        <v>1158251</v>
      </c>
      <c r="G32" s="3" t="n">
        <v>789381</v>
      </c>
    </row>
    <row r="33">
      <c r="A33" t="inlineStr">
        <is>
          <t>Interest Income Non Operating</t>
        </is>
      </c>
      <c r="B33" s="3" t="n">
        <v>4928105</v>
      </c>
      <c r="C33" s="3" t="n">
        <v>4920707</v>
      </c>
      <c r="D33" s="3" t="n"/>
      <c r="E33" s="3" t="n">
        <v>1526690</v>
      </c>
      <c r="F33" s="3" t="n">
        <v>1158251</v>
      </c>
      <c r="G33" s="3" t="n">
        <v>789381</v>
      </c>
    </row>
    <row r="34">
      <c r="A34" t="inlineStr">
        <is>
          <t>Operating Income</t>
        </is>
      </c>
      <c r="B34" s="3" t="n">
        <v>-14248739</v>
      </c>
      <c r="C34" s="3" t="n">
        <v>-12215163</v>
      </c>
      <c r="D34" s="3" t="n">
        <v>-10459046</v>
      </c>
      <c r="E34" s="3" t="n">
        <v>-8740773</v>
      </c>
      <c r="F34" s="3" t="n">
        <v>-22409721</v>
      </c>
      <c r="G34" s="3" t="n"/>
    </row>
    <row r="35">
      <c r="A35" t="inlineStr">
        <is>
          <t>Operating Expense</t>
        </is>
      </c>
      <c r="B35" s="3" t="n">
        <v>14248739</v>
      </c>
      <c r="C35" s="3" t="n">
        <v>12215163</v>
      </c>
      <c r="D35" s="3" t="n">
        <v>10459046</v>
      </c>
      <c r="E35" s="3" t="n">
        <v>8740773</v>
      </c>
      <c r="F35" s="3" t="n">
        <v>22409721</v>
      </c>
      <c r="G35" s="3" t="n"/>
    </row>
    <row r="36">
      <c r="A36" t="inlineStr">
        <is>
          <t>Research And Development</t>
        </is>
      </c>
      <c r="B36" s="3" t="n">
        <v>5659427</v>
      </c>
      <c r="C36" s="3" t="n">
        <v>5400410</v>
      </c>
      <c r="D36" s="3" t="n">
        <v>4162534</v>
      </c>
      <c r="E36" s="3" t="n">
        <v>3666513</v>
      </c>
      <c r="F36" s="3" t="n">
        <v>6712543</v>
      </c>
      <c r="G36" s="3" t="n"/>
    </row>
    <row r="37">
      <c r="A37" t="inlineStr">
        <is>
          <t>Selling General And Administration</t>
        </is>
      </c>
      <c r="B37" s="3" t="n">
        <v>8589312</v>
      </c>
      <c r="C37" s="3" t="n">
        <v>6814753</v>
      </c>
      <c r="D37" s="3" t="n">
        <v>6296512</v>
      </c>
      <c r="E37" s="3" t="n">
        <v>5074260</v>
      </c>
      <c r="F37" s="3" t="n">
        <v>15697178</v>
      </c>
      <c r="G37" s="3" t="n"/>
    </row>
    <row r="38">
      <c r="A38" t="inlineStr">
        <is>
          <t>Selling And Marketing Expense</t>
        </is>
      </c>
      <c r="B38" s="3" t="n"/>
      <c r="C38" s="3" t="n"/>
      <c r="D38" s="3" t="n"/>
      <c r="E38" s="3" t="n">
        <v>130000</v>
      </c>
      <c r="F38" s="3" t="n"/>
      <c r="G38" s="3" t="n"/>
    </row>
    <row r="39">
      <c r="A39" t="inlineStr">
        <is>
          <t>General And Administrative Expense</t>
        </is>
      </c>
      <c r="B39" s="3" t="n">
        <v>8589312</v>
      </c>
      <c r="C39" s="3" t="n">
        <v>6814753</v>
      </c>
      <c r="D39" s="3" t="n">
        <v>6656512</v>
      </c>
      <c r="E39" s="3" t="n">
        <v>4944260</v>
      </c>
      <c r="F39" s="3" t="n">
        <v>15697178</v>
      </c>
      <c r="G39" s="3" t="n"/>
    </row>
    <row r="40">
      <c r="A40" t="inlineStr">
        <is>
          <t>Other Gand A</t>
        </is>
      </c>
      <c r="B40" s="3" t="n">
        <v>3389312</v>
      </c>
      <c r="C40" s="3" t="n">
        <v>3514753</v>
      </c>
      <c r="D40" s="3" t="n">
        <v>6672512</v>
      </c>
      <c r="E40" s="3" t="n">
        <v>4941660</v>
      </c>
      <c r="F40" s="3" t="n">
        <v>3097178</v>
      </c>
      <c r="G40" s="3" t="n"/>
    </row>
    <row r="41">
      <c r="A41" t="inlineStr">
        <is>
          <t>Salaries And Wages</t>
        </is>
      </c>
      <c r="B41" s="3" t="n">
        <v>5200000</v>
      </c>
      <c r="C41" s="3" t="n">
        <v>3300000</v>
      </c>
      <c r="D41" s="3" t="n"/>
      <c r="E41" s="3" t="n">
        <v>2600</v>
      </c>
      <c r="F41" s="3" t="n">
        <v>12600000</v>
      </c>
      <c r="G41" s="3" t="n">
        <v>800000</v>
      </c>
    </row>
    <row r="42">
      <c r="A42" t="inlineStr">
        <is>
          <t>Total Revenue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/>
    </row>
    <row r="43">
      <c r="A43" t="inlineStr">
        <is>
          <t>Operating Revenue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</row>
    <row r="2">
      <c r="A2" t="inlineStr">
        <is>
          <t>Ordinary Shares Number</t>
        </is>
      </c>
      <c r="B2" s="3" t="n">
        <v>41738358</v>
      </c>
      <c r="C2" s="3" t="n">
        <v>30715663</v>
      </c>
      <c r="D2" s="3" t="n">
        <v>28569513</v>
      </c>
      <c r="E2" s="3" t="n">
        <v>28569513</v>
      </c>
    </row>
    <row r="3">
      <c r="A3" t="inlineStr">
        <is>
          <t>Share Issued</t>
        </is>
      </c>
      <c r="B3" s="3" t="n">
        <v>41738358</v>
      </c>
      <c r="C3" s="3" t="n">
        <v>30715663</v>
      </c>
      <c r="D3" s="3" t="n">
        <v>28569513</v>
      </c>
      <c r="E3" s="3" t="n">
        <v>28569513</v>
      </c>
    </row>
    <row r="4">
      <c r="A4" t="inlineStr">
        <is>
          <t>Total Debt</t>
        </is>
      </c>
      <c r="B4" s="3" t="n">
        <v>2795542</v>
      </c>
      <c r="C4" s="3" t="n">
        <v>1931735</v>
      </c>
      <c r="D4" s="3" t="n">
        <v>0</v>
      </c>
      <c r="E4" s="3" t="n"/>
    </row>
    <row r="5">
      <c r="A5" t="inlineStr">
        <is>
          <t>Tangible Book Value</t>
        </is>
      </c>
      <c r="B5" s="3" t="n">
        <v>213493683</v>
      </c>
      <c r="C5" s="3" t="n">
        <v>31607456</v>
      </c>
      <c r="D5" s="3" t="n">
        <v>7008647</v>
      </c>
      <c r="E5" s="3" t="n">
        <v>2109676</v>
      </c>
    </row>
    <row r="6">
      <c r="A6" t="inlineStr">
        <is>
          <t>Invested Capital</t>
        </is>
      </c>
      <c r="B6" s="3" t="n">
        <v>222568728</v>
      </c>
      <c r="C6" s="3" t="n">
        <v>31607456</v>
      </c>
      <c r="D6" s="3" t="n">
        <v>7008647</v>
      </c>
      <c r="E6" s="3" t="n">
        <v>2109676</v>
      </c>
    </row>
    <row r="7">
      <c r="A7" t="inlineStr">
        <is>
          <t>Working Capital</t>
        </is>
      </c>
      <c r="B7" s="3" t="n">
        <v>200841189</v>
      </c>
      <c r="C7" s="3" t="n">
        <v>27502873</v>
      </c>
      <c r="D7" s="3" t="n">
        <v>6933647</v>
      </c>
      <c r="E7" s="3" t="n">
        <v>2109676</v>
      </c>
    </row>
    <row r="8">
      <c r="A8" t="inlineStr">
        <is>
          <t>Net Tangible Assets</t>
        </is>
      </c>
      <c r="B8" s="3" t="n">
        <v>213493683</v>
      </c>
      <c r="C8" s="3" t="n">
        <v>31607456</v>
      </c>
      <c r="D8" s="3" t="n">
        <v>7008647</v>
      </c>
      <c r="E8" s="3" t="n">
        <v>2109676</v>
      </c>
    </row>
    <row r="9">
      <c r="A9" t="inlineStr">
        <is>
          <t>Capital Lease Obligations</t>
        </is>
      </c>
      <c r="B9" s="3" t="n">
        <v>2795542</v>
      </c>
      <c r="C9" s="3" t="n">
        <v>1931735</v>
      </c>
      <c r="D9" s="3" t="n">
        <v>0</v>
      </c>
      <c r="E9" s="3" t="n"/>
    </row>
    <row r="10">
      <c r="A10" t="inlineStr">
        <is>
          <t>Common Stock Equity</t>
        </is>
      </c>
      <c r="B10" s="3" t="n">
        <v>222568728</v>
      </c>
      <c r="C10" s="3" t="n">
        <v>31607456</v>
      </c>
      <c r="D10" s="3" t="n">
        <v>7008647</v>
      </c>
      <c r="E10" s="3" t="n">
        <v>2109676</v>
      </c>
    </row>
    <row r="11">
      <c r="A11" t="inlineStr">
        <is>
          <t>Total Capitalization</t>
        </is>
      </c>
      <c r="B11" s="3" t="n">
        <v>222568728</v>
      </c>
      <c r="C11" s="3" t="n">
        <v>31607456</v>
      </c>
      <c r="D11" s="3" t="n">
        <v>7008647</v>
      </c>
      <c r="E11" s="3" t="n">
        <v>2109676</v>
      </c>
    </row>
    <row r="12">
      <c r="A12" t="inlineStr">
        <is>
          <t>Total Equity Gross Minority Interest</t>
        </is>
      </c>
      <c r="B12" s="3" t="n">
        <v>222568728</v>
      </c>
      <c r="C12" s="3" t="n">
        <v>31607456</v>
      </c>
      <c r="D12" s="3" t="n">
        <v>7008647</v>
      </c>
      <c r="E12" s="3" t="n">
        <v>2109676</v>
      </c>
    </row>
    <row r="13">
      <c r="A13" t="inlineStr">
        <is>
          <t>Stockholders Equity</t>
        </is>
      </c>
      <c r="B13" s="3" t="n">
        <v>222568728</v>
      </c>
      <c r="C13" s="3" t="n">
        <v>31607456</v>
      </c>
      <c r="D13" s="3" t="n">
        <v>7008647</v>
      </c>
      <c r="E13" s="3" t="n">
        <v>2109676</v>
      </c>
    </row>
    <row r="14">
      <c r="A14" t="inlineStr">
        <is>
          <t>Retained Earnings</t>
        </is>
      </c>
      <c r="B14" s="3" t="n">
        <v>-57500857</v>
      </c>
      <c r="C14" s="3" t="n">
        <v>-17433781</v>
      </c>
      <c r="D14" s="3" t="n">
        <v>-7282225</v>
      </c>
      <c r="E14" s="3" t="n">
        <v>-1031824</v>
      </c>
    </row>
    <row r="15">
      <c r="A15" t="inlineStr">
        <is>
          <t>Additional Paid In Capital</t>
        </is>
      </c>
      <c r="B15" s="3" t="n">
        <v>280065412</v>
      </c>
      <c r="C15" s="3" t="n">
        <v>49038165</v>
      </c>
      <c r="D15" s="3" t="n">
        <v>9288553</v>
      </c>
      <c r="E15" s="3" t="n">
        <v>3139450</v>
      </c>
    </row>
    <row r="16">
      <c r="A16" t="inlineStr">
        <is>
          <t>Capital Stock</t>
        </is>
      </c>
      <c r="B16" s="3" t="n">
        <v>4173</v>
      </c>
      <c r="C16" s="3" t="n">
        <v>3072</v>
      </c>
      <c r="D16" s="3" t="n">
        <v>5002319</v>
      </c>
      <c r="E16" s="3" t="n">
        <v>2050</v>
      </c>
    </row>
    <row r="17">
      <c r="A17" t="inlineStr">
        <is>
          <t>Common Stock</t>
        </is>
      </c>
      <c r="B17" s="3" t="n">
        <v>4173</v>
      </c>
      <c r="C17" s="3" t="n">
        <v>3072</v>
      </c>
      <c r="D17" s="3" t="n">
        <v>5002319</v>
      </c>
      <c r="E17" s="3" t="n">
        <v>2050</v>
      </c>
    </row>
    <row r="18">
      <c r="A18" t="inlineStr">
        <is>
          <t>Preferred Stock</t>
        </is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t="inlineStr">
        <is>
          <t>Total Liabilities Net Minority Interest</t>
        </is>
      </c>
      <c r="B19" s="3" t="n">
        <v>6088138</v>
      </c>
      <c r="C19" s="3" t="n">
        <v>3488714</v>
      </c>
      <c r="D19" s="3" t="n">
        <v>225005</v>
      </c>
      <c r="E19" s="3" t="n">
        <v>137771</v>
      </c>
    </row>
    <row r="20">
      <c r="A20" t="inlineStr">
        <is>
          <t>Total Non Current Liabilities Net Minority Interest</t>
        </is>
      </c>
      <c r="B20" s="3" t="n">
        <v>2261414</v>
      </c>
      <c r="C20" s="3" t="n">
        <v>1650383</v>
      </c>
      <c r="D20" s="3" t="n">
        <v>0</v>
      </c>
      <c r="E20" s="3" t="n">
        <v>0</v>
      </c>
    </row>
    <row r="21">
      <c r="A21" t="inlineStr">
        <is>
          <t>Long Term Debt And Capital Lease Obligation</t>
        </is>
      </c>
      <c r="B21" s="3" t="n">
        <v>2261414</v>
      </c>
      <c r="C21" s="3" t="n">
        <v>1650383</v>
      </c>
      <c r="D21" s="3" t="n">
        <v>0</v>
      </c>
      <c r="E21" s="3" t="n"/>
    </row>
    <row r="22">
      <c r="A22" t="inlineStr">
        <is>
          <t>Long Term Capital Lease Obligation</t>
        </is>
      </c>
      <c r="B22" s="3" t="n">
        <v>2261414</v>
      </c>
      <c r="C22" s="3" t="n">
        <v>1650383</v>
      </c>
      <c r="D22" s="3" t="n">
        <v>0</v>
      </c>
      <c r="E22" s="3" t="n"/>
    </row>
    <row r="23">
      <c r="A23" t="inlineStr">
        <is>
          <t>Current Liabilities</t>
        </is>
      </c>
      <c r="B23" s="3" t="n">
        <v>3826724</v>
      </c>
      <c r="C23" s="3" t="n">
        <v>1838331</v>
      </c>
      <c r="D23" s="3" t="n">
        <v>225005</v>
      </c>
      <c r="E23" s="3" t="n">
        <v>137771</v>
      </c>
    </row>
    <row r="24">
      <c r="A24" t="inlineStr">
        <is>
          <t>Other Current Liabilities</t>
        </is>
      </c>
      <c r="B24" s="3" t="n">
        <v>1978000</v>
      </c>
      <c r="C24" s="3" t="n">
        <v>770500</v>
      </c>
      <c r="D24" s="3" t="n"/>
      <c r="E24" s="3" t="n"/>
    </row>
    <row r="25">
      <c r="A25" t="inlineStr">
        <is>
          <t>Current Debt And Capital Lease Obligation</t>
        </is>
      </c>
      <c r="B25" s="3" t="n">
        <v>534128</v>
      </c>
      <c r="C25" s="3" t="n">
        <v>281352</v>
      </c>
      <c r="D25" s="3" t="n"/>
      <c r="E25" s="3" t="n"/>
    </row>
    <row r="26">
      <c r="A26" t="inlineStr">
        <is>
          <t>Current Capital Lease Obligation</t>
        </is>
      </c>
      <c r="B26" s="3" t="n">
        <v>534128</v>
      </c>
      <c r="C26" s="3" t="n">
        <v>281352</v>
      </c>
      <c r="D26" s="3" t="n">
        <v>0</v>
      </c>
      <c r="E26" s="3" t="n"/>
    </row>
    <row r="27">
      <c r="A27" t="inlineStr">
        <is>
          <t>Payables And Accrued Expenses</t>
        </is>
      </c>
      <c r="B27" s="3" t="n">
        <v>1314596</v>
      </c>
      <c r="C27" s="3" t="n">
        <v>786479</v>
      </c>
      <c r="D27" s="3" t="n">
        <v>225005</v>
      </c>
      <c r="E27" s="3" t="n">
        <v>137771</v>
      </c>
    </row>
    <row r="28">
      <c r="A28" t="inlineStr">
        <is>
          <t>Payables</t>
        </is>
      </c>
      <c r="B28" s="3" t="n">
        <v>1314596</v>
      </c>
      <c r="C28" s="3" t="n">
        <v>786479</v>
      </c>
      <c r="D28" s="3" t="n">
        <v>225005</v>
      </c>
      <c r="E28" s="3" t="n">
        <v>137771</v>
      </c>
    </row>
    <row r="29">
      <c r="A29" t="inlineStr">
        <is>
          <t>Dueto Related Parties Current</t>
        </is>
      </c>
      <c r="B29" s="3" t="n">
        <v>0</v>
      </c>
      <c r="C29" s="3" t="n">
        <v>25000</v>
      </c>
      <c r="D29" s="3" t="n">
        <v>35000</v>
      </c>
      <c r="E29" s="3" t="n">
        <v>35000</v>
      </c>
    </row>
    <row r="30">
      <c r="A30" t="inlineStr">
        <is>
          <t>Accounts Payable</t>
        </is>
      </c>
      <c r="B30" s="3" t="n">
        <v>1314596</v>
      </c>
      <c r="C30" s="3" t="n">
        <v>761479</v>
      </c>
      <c r="D30" s="3" t="n">
        <v>190005</v>
      </c>
      <c r="E30" s="3" t="n">
        <v>102771</v>
      </c>
    </row>
    <row r="31">
      <c r="A31" t="inlineStr">
        <is>
          <t>Total Assets</t>
        </is>
      </c>
      <c r="B31" s="3" t="n">
        <v>228656866</v>
      </c>
      <c r="C31" s="3" t="n">
        <v>35096170</v>
      </c>
      <c r="D31" s="3" t="n">
        <v>7233652</v>
      </c>
      <c r="E31" s="3" t="n">
        <v>2247447</v>
      </c>
    </row>
    <row r="32">
      <c r="A32" t="inlineStr">
        <is>
          <t>Total Non Current Assets</t>
        </is>
      </c>
      <c r="B32" s="3" t="n">
        <v>23988953</v>
      </c>
      <c r="C32" s="3" t="n">
        <v>5754966</v>
      </c>
      <c r="D32" s="3" t="n">
        <v>75000</v>
      </c>
      <c r="E32" s="3" t="n">
        <v>0</v>
      </c>
    </row>
    <row r="33">
      <c r="A33" t="inlineStr">
        <is>
          <t>Non Current Prepaid Assets</t>
        </is>
      </c>
      <c r="B33" s="3" t="n">
        <v>269235</v>
      </c>
      <c r="C33" s="3" t="n">
        <v>235235</v>
      </c>
      <c r="D33" s="3" t="n">
        <v>0</v>
      </c>
      <c r="E33" s="3" t="n"/>
    </row>
    <row r="34">
      <c r="A34" t="inlineStr">
        <is>
          <t>Non Current Deferred Assets</t>
        </is>
      </c>
      <c r="B34" s="3" t="n">
        <v>300000</v>
      </c>
      <c r="C34" s="3" t="n">
        <v>0</v>
      </c>
      <c r="D34" s="3" t="n">
        <v>75000</v>
      </c>
      <c r="E34" s="3" t="n">
        <v>0</v>
      </c>
    </row>
    <row r="35">
      <c r="A35" t="inlineStr">
        <is>
          <t>Investments And Advances</t>
        </is>
      </c>
      <c r="B35" s="3" t="n">
        <v>2000000</v>
      </c>
      <c r="C35" s="3" t="n">
        <v>2000000</v>
      </c>
      <c r="D35" s="3" t="n">
        <v>0</v>
      </c>
      <c r="E35" s="3" t="n"/>
    </row>
    <row r="36">
      <c r="A36" t="inlineStr">
        <is>
          <t>Long Term Equity Investment</t>
        </is>
      </c>
      <c r="B36" s="3" t="n">
        <v>2000000</v>
      </c>
      <c r="C36" s="3" t="n">
        <v>2000000</v>
      </c>
      <c r="D36" s="3" t="n">
        <v>0</v>
      </c>
      <c r="E36" s="3" t="n"/>
    </row>
    <row r="37">
      <c r="A37" t="inlineStr">
        <is>
          <t>Goodwill And Other Intangible Assets</t>
        </is>
      </c>
      <c r="B37" s="3" t="n">
        <v>9075045</v>
      </c>
      <c r="C37" s="3" t="n">
        <v>0</v>
      </c>
      <c r="D37" s="3" t="n"/>
      <c r="E37" s="3" t="n"/>
    </row>
    <row r="38">
      <c r="A38" t="inlineStr">
        <is>
          <t>Other Intangible Assets</t>
        </is>
      </c>
      <c r="B38" s="3" t="n">
        <v>9075045</v>
      </c>
      <c r="C38" s="3" t="n"/>
      <c r="D38" s="3" t="n"/>
      <c r="E38" s="3" t="n"/>
    </row>
    <row r="39">
      <c r="A39" t="inlineStr">
        <is>
          <t>Net PPE</t>
        </is>
      </c>
      <c r="B39" s="3" t="n">
        <v>12344673</v>
      </c>
      <c r="C39" s="3" t="n">
        <v>3519731</v>
      </c>
      <c r="D39" s="3" t="n">
        <v>0</v>
      </c>
      <c r="E39" s="3" t="n"/>
    </row>
    <row r="40">
      <c r="A40" t="inlineStr">
        <is>
          <t>Accumulated Depreciation</t>
        </is>
      </c>
      <c r="B40" s="3" t="n">
        <v>-661131</v>
      </c>
      <c r="C40" s="3" t="n">
        <v>-106925</v>
      </c>
      <c r="D40" s="3" t="n">
        <v>0</v>
      </c>
      <c r="E40" s="3" t="n"/>
    </row>
    <row r="41">
      <c r="A41" t="inlineStr">
        <is>
          <t>Gross PPE</t>
        </is>
      </c>
      <c r="B41" s="3" t="n">
        <v>13005804</v>
      </c>
      <c r="C41" s="3" t="n">
        <v>3626656</v>
      </c>
      <c r="D41" s="3" t="n">
        <v>0</v>
      </c>
      <c r="E41" s="3" t="n"/>
    </row>
    <row r="42">
      <c r="A42" t="inlineStr">
        <is>
          <t>Leases</t>
        </is>
      </c>
      <c r="B42" s="3" t="n"/>
      <c r="C42" s="3" t="n">
        <v>1926656</v>
      </c>
      <c r="D42" s="3" t="n">
        <v>0</v>
      </c>
      <c r="E42" s="3" t="n"/>
    </row>
    <row r="43">
      <c r="A43" t="inlineStr">
        <is>
          <t>Other Properties</t>
        </is>
      </c>
      <c r="B43" s="3" t="n">
        <v>13005804</v>
      </c>
      <c r="C43" s="3" t="n">
        <v>3626656</v>
      </c>
      <c r="D43" s="3" t="n"/>
      <c r="E43" s="3" t="n"/>
    </row>
    <row r="44">
      <c r="A44" t="inlineStr">
        <is>
          <t>Land And Improvements</t>
        </is>
      </c>
      <c r="B44" s="3" t="n"/>
      <c r="C44" s="3" t="n">
        <v>1700000</v>
      </c>
      <c r="D44" s="3" t="n">
        <v>0</v>
      </c>
      <c r="E44" s="3" t="n"/>
    </row>
    <row r="45">
      <c r="A45" t="inlineStr">
        <is>
          <t>Properties</t>
        </is>
      </c>
      <c r="B45" s="3" t="n">
        <v>10149332</v>
      </c>
      <c r="C45" s="3" t="n">
        <v>1700000</v>
      </c>
      <c r="D45" s="3" t="n">
        <v>0</v>
      </c>
      <c r="E45" s="3" t="n"/>
    </row>
    <row r="46">
      <c r="A46" t="inlineStr">
        <is>
          <t>Current Assets</t>
        </is>
      </c>
      <c r="B46" s="3" t="n">
        <v>204667913</v>
      </c>
      <c r="C46" s="3" t="n">
        <v>29341204</v>
      </c>
      <c r="D46" s="3" t="n">
        <v>7158652</v>
      </c>
      <c r="E46" s="3" t="n">
        <v>2247447</v>
      </c>
    </row>
    <row r="47">
      <c r="A47" t="inlineStr">
        <is>
          <t>Prepaid Assets</t>
        </is>
      </c>
      <c r="B47" s="3" t="n">
        <v>1152861</v>
      </c>
      <c r="C47" s="3" t="n">
        <v>833947</v>
      </c>
      <c r="D47" s="3" t="n">
        <v>205857</v>
      </c>
      <c r="E47" s="3" t="n">
        <v>117448</v>
      </c>
    </row>
    <row r="48">
      <c r="A48" t="inlineStr">
        <is>
          <t>Receivables</t>
        </is>
      </c>
      <c r="B48" s="3" t="n">
        <v>250000</v>
      </c>
      <c r="C48" s="3" t="n">
        <v>0</v>
      </c>
      <c r="D48" s="3" t="n"/>
      <c r="E48" s="3" t="n"/>
    </row>
    <row r="49">
      <c r="A49" t="inlineStr">
        <is>
          <t>Accounts Receivable</t>
        </is>
      </c>
      <c r="B49" s="3" t="n">
        <v>250000</v>
      </c>
      <c r="C49" s="3" t="n">
        <v>0</v>
      </c>
      <c r="D49" s="3" t="n"/>
      <c r="E49" s="3" t="n"/>
    </row>
    <row r="50">
      <c r="A50" t="inlineStr">
        <is>
          <t>Cash Cash Equivalents And Short Term Investments</t>
        </is>
      </c>
      <c r="B50" s="3" t="n">
        <v>203265052</v>
      </c>
      <c r="C50" s="3" t="n">
        <v>28507257</v>
      </c>
      <c r="D50" s="3" t="n">
        <v>6952795</v>
      </c>
      <c r="E50" s="3" t="n">
        <v>2129999</v>
      </c>
    </row>
    <row r="51">
      <c r="A51" t="inlineStr">
        <is>
          <t>Cash And Cash Equivalents</t>
        </is>
      </c>
      <c r="B51" s="3" t="n">
        <v>203265052</v>
      </c>
      <c r="C51" s="3" t="n">
        <v>28507257</v>
      </c>
      <c r="D51" s="3" t="n">
        <v>6952795</v>
      </c>
      <c r="E51" s="3" t="n">
        <v>2129999</v>
      </c>
    </row>
    <row r="52">
      <c r="A52" t="inlineStr">
        <is>
          <t>Cash Financial</t>
        </is>
      </c>
      <c r="B52" s="3" t="n"/>
      <c r="C52" s="3" t="n"/>
      <c r="D52" s="3" t="n">
        <v>6952795</v>
      </c>
      <c r="E52" s="3" t="n">
        <v>2129999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52083294</v>
      </c>
      <c r="C2" s="3" t="n">
        <v>50581794</v>
      </c>
      <c r="D2" s="3" t="n">
        <v>41738358</v>
      </c>
      <c r="E2" s="3" t="n">
        <v>41538323</v>
      </c>
      <c r="F2" s="3" t="n">
        <v>37264931</v>
      </c>
      <c r="G2" s="3" t="n"/>
      <c r="H2" s="3" t="n"/>
    </row>
    <row r="3">
      <c r="A3" t="inlineStr">
        <is>
          <t>Share Issued</t>
        </is>
      </c>
      <c r="B3" s="3" t="n">
        <v>52083294</v>
      </c>
      <c r="C3" s="3" t="n">
        <v>50581794</v>
      </c>
      <c r="D3" s="3" t="n">
        <v>41738358</v>
      </c>
      <c r="E3" s="3" t="n">
        <v>41538323</v>
      </c>
      <c r="F3" s="3" t="n">
        <v>37264931</v>
      </c>
      <c r="G3" s="3" t="n"/>
      <c r="H3" s="3" t="n"/>
    </row>
    <row r="4">
      <c r="A4" t="inlineStr">
        <is>
          <t>Total Debt</t>
        </is>
      </c>
      <c r="B4" s="3" t="n">
        <v>2602383</v>
      </c>
      <c r="C4" s="3" t="n">
        <v>2686166</v>
      </c>
      <c r="D4" s="3" t="n">
        <v>2795542</v>
      </c>
      <c r="E4" s="3" t="n">
        <v>2807814</v>
      </c>
      <c r="F4" s="3" t="n">
        <v>2850760</v>
      </c>
      <c r="G4" s="3" t="n"/>
      <c r="H4" s="3" t="n"/>
    </row>
    <row r="5">
      <c r="A5" t="inlineStr">
        <is>
          <t>Tangible Book Value</t>
        </is>
      </c>
      <c r="B5" s="3" t="n">
        <v>586814143</v>
      </c>
      <c r="C5" s="3" t="n">
        <v>590503744</v>
      </c>
      <c r="D5" s="3" t="n">
        <v>213493683</v>
      </c>
      <c r="E5" s="3" t="n">
        <v>217235733</v>
      </c>
      <c r="F5" s="3" t="n">
        <v>122951445</v>
      </c>
      <c r="G5" s="3" t="n"/>
      <c r="H5" s="3" t="n"/>
    </row>
    <row r="6">
      <c r="A6" t="inlineStr">
        <is>
          <t>Invested Capital</t>
        </is>
      </c>
      <c r="B6" s="3" t="n">
        <v>595889188</v>
      </c>
      <c r="C6" s="3" t="n">
        <v>599578789</v>
      </c>
      <c r="D6" s="3" t="n">
        <v>222568728</v>
      </c>
      <c r="E6" s="3" t="n">
        <v>226310778</v>
      </c>
      <c r="F6" s="3" t="n">
        <v>132026490</v>
      </c>
      <c r="G6" s="3" t="n"/>
      <c r="H6" s="3" t="n"/>
    </row>
    <row r="7">
      <c r="A7" t="inlineStr">
        <is>
          <t>Working Capital</t>
        </is>
      </c>
      <c r="B7" s="3" t="n">
        <v>565725580</v>
      </c>
      <c r="C7" s="3" t="n">
        <v>576432889</v>
      </c>
      <c r="D7" s="3" t="n">
        <v>200841189</v>
      </c>
      <c r="E7" s="3" t="n">
        <v>209295670</v>
      </c>
      <c r="F7" s="3" t="n">
        <v>115079880</v>
      </c>
      <c r="G7" s="3" t="n"/>
      <c r="H7" s="3" t="n"/>
    </row>
    <row r="8">
      <c r="A8" t="inlineStr">
        <is>
          <t>Net Tangible Assets</t>
        </is>
      </c>
      <c r="B8" s="3" t="n">
        <v>586814143</v>
      </c>
      <c r="C8" s="3" t="n">
        <v>590503744</v>
      </c>
      <c r="D8" s="3" t="n">
        <v>213493683</v>
      </c>
      <c r="E8" s="3" t="n">
        <v>217235733</v>
      </c>
      <c r="F8" s="3" t="n">
        <v>122951445</v>
      </c>
      <c r="G8" s="3" t="n"/>
      <c r="H8" s="3" t="n"/>
    </row>
    <row r="9">
      <c r="A9" t="inlineStr">
        <is>
          <t>Capital Lease Obligations</t>
        </is>
      </c>
      <c r="B9" s="3" t="n">
        <v>2602383</v>
      </c>
      <c r="C9" s="3" t="n">
        <v>2686166</v>
      </c>
      <c r="D9" s="3" t="n">
        <v>2795542</v>
      </c>
      <c r="E9" s="3" t="n">
        <v>2807814</v>
      </c>
      <c r="F9" s="3" t="n">
        <v>2850760</v>
      </c>
      <c r="G9" s="3" t="n"/>
      <c r="H9" s="3" t="n"/>
    </row>
    <row r="10">
      <c r="A10" t="inlineStr">
        <is>
          <t>Common Stock Equity</t>
        </is>
      </c>
      <c r="B10" s="3" t="n">
        <v>595889188</v>
      </c>
      <c r="C10" s="3" t="n">
        <v>599578789</v>
      </c>
      <c r="D10" s="3" t="n">
        <v>222568728</v>
      </c>
      <c r="E10" s="3" t="n">
        <v>226310778</v>
      </c>
      <c r="F10" s="3" t="n">
        <v>132026490</v>
      </c>
      <c r="G10" s="3" t="n"/>
      <c r="H10" s="3" t="n"/>
    </row>
    <row r="11">
      <c r="A11" t="inlineStr">
        <is>
          <t>Total Capitalization</t>
        </is>
      </c>
      <c r="B11" s="3" t="n">
        <v>595889188</v>
      </c>
      <c r="C11" s="3" t="n">
        <v>599578789</v>
      </c>
      <c r="D11" s="3" t="n">
        <v>222568728</v>
      </c>
      <c r="E11" s="3" t="n">
        <v>226310778</v>
      </c>
      <c r="F11" s="3" t="n">
        <v>132026490</v>
      </c>
      <c r="G11" s="3" t="n"/>
      <c r="H11" s="3" t="n"/>
    </row>
    <row r="12">
      <c r="A12" t="inlineStr">
        <is>
          <t>Total Equity Gross Minority Interest</t>
        </is>
      </c>
      <c r="B12" s="3" t="n">
        <v>595889188</v>
      </c>
      <c r="C12" s="3" t="n">
        <v>599578789</v>
      </c>
      <c r="D12" s="3" t="n">
        <v>222568728</v>
      </c>
      <c r="E12" s="3" t="n">
        <v>226310778</v>
      </c>
      <c r="F12" s="3" t="n">
        <v>132026490</v>
      </c>
      <c r="G12" s="3" t="n"/>
      <c r="H12" s="3" t="n"/>
    </row>
    <row r="13">
      <c r="A13" t="inlineStr">
        <is>
          <t>Stockholders Equity</t>
        </is>
      </c>
      <c r="B13" s="3" t="n">
        <v>595889188</v>
      </c>
      <c r="C13" s="3" t="n">
        <v>599578789</v>
      </c>
      <c r="D13" s="3" t="n">
        <v>222568728</v>
      </c>
      <c r="E13" s="3" t="n">
        <v>226310778</v>
      </c>
      <c r="F13" s="3" t="n">
        <v>132026490</v>
      </c>
      <c r="G13" s="3" t="n"/>
      <c r="H13" s="3" t="n"/>
    </row>
    <row r="14">
      <c r="A14" t="inlineStr">
        <is>
          <t>Gains Losses Not Affecting Retained Earnings</t>
        </is>
      </c>
      <c r="B14" s="3" t="n">
        <v>-4790</v>
      </c>
      <c r="C14" s="3" t="n">
        <v>-10720</v>
      </c>
      <c r="D14" s="3" t="n"/>
      <c r="E14" s="3" t="n"/>
      <c r="F14" s="3" t="n"/>
      <c r="G14" s="3" t="n"/>
      <c r="H14" s="3" t="n"/>
    </row>
    <row r="15">
      <c r="A15" t="inlineStr">
        <is>
          <t>Other Equity Adjustments</t>
        </is>
      </c>
      <c r="B15" s="3" t="n">
        <v>-4790</v>
      </c>
      <c r="C15" s="3" t="n">
        <v>-10720</v>
      </c>
      <c r="D15" s="3" t="n"/>
      <c r="E15" s="3" t="n"/>
      <c r="F15" s="3" t="n"/>
      <c r="G15" s="3" t="n"/>
      <c r="H15" s="3" t="n"/>
    </row>
    <row r="16">
      <c r="A16" t="inlineStr">
        <is>
          <t>Retained Earnings</t>
        </is>
      </c>
      <c r="B16" s="3" t="n">
        <v>-73197302</v>
      </c>
      <c r="C16" s="3" t="n">
        <v>-64017136</v>
      </c>
      <c r="D16" s="3" t="n">
        <v>-57500857</v>
      </c>
      <c r="E16" s="3" t="n">
        <v>-49450447</v>
      </c>
      <c r="F16" s="3" t="n">
        <v>-41855864</v>
      </c>
      <c r="G16" s="3" t="n"/>
      <c r="H16" s="3" t="n"/>
    </row>
    <row r="17">
      <c r="A17" t="inlineStr">
        <is>
          <t>Additional Paid In Capital</t>
        </is>
      </c>
      <c r="B17" s="3" t="n">
        <v>669086072</v>
      </c>
      <c r="C17" s="3" t="n">
        <v>663601589</v>
      </c>
      <c r="D17" s="3" t="n">
        <v>280065412</v>
      </c>
      <c r="E17" s="3" t="n">
        <v>275757071</v>
      </c>
      <c r="F17" s="3" t="n">
        <v>173878627</v>
      </c>
      <c r="G17" s="3" t="n"/>
      <c r="H17" s="3" t="n"/>
    </row>
    <row r="18">
      <c r="A18" t="inlineStr">
        <is>
          <t>Capital Stock</t>
        </is>
      </c>
      <c r="B18" s="3" t="n">
        <v>5208</v>
      </c>
      <c r="C18" s="3" t="n">
        <v>5056</v>
      </c>
      <c r="D18" s="3" t="n">
        <v>4173</v>
      </c>
      <c r="E18" s="3" t="n">
        <v>4154</v>
      </c>
      <c r="F18" s="3" t="n">
        <v>3727</v>
      </c>
      <c r="G18" s="3" t="n"/>
      <c r="H18" s="3" t="n"/>
    </row>
    <row r="19">
      <c r="A19" t="inlineStr">
        <is>
          <t>Common Stock</t>
        </is>
      </c>
      <c r="B19" s="3" t="n">
        <v>5208</v>
      </c>
      <c r="C19" s="3" t="n">
        <v>5056</v>
      </c>
      <c r="D19" s="3" t="n">
        <v>4173</v>
      </c>
      <c r="E19" s="3" t="n">
        <v>4154</v>
      </c>
      <c r="F19" s="3" t="n">
        <v>3727</v>
      </c>
      <c r="G19" s="3" t="n"/>
      <c r="H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  <c r="H20" s="3" t="n"/>
    </row>
    <row r="21">
      <c r="A21" t="inlineStr">
        <is>
          <t>Total Liabilities Net Minority Interest</t>
        </is>
      </c>
      <c r="B21" s="3" t="n">
        <v>8027345</v>
      </c>
      <c r="C21" s="3" t="n">
        <v>6477372</v>
      </c>
      <c r="D21" s="3" t="n">
        <v>6088138</v>
      </c>
      <c r="E21" s="3" t="n">
        <v>5221434</v>
      </c>
      <c r="F21" s="3" t="n">
        <v>6789258</v>
      </c>
      <c r="G21" s="3" t="n"/>
      <c r="H21" s="3" t="n"/>
    </row>
    <row r="22">
      <c r="A22" t="inlineStr">
        <is>
          <t>Total Non Current Liabilities Net Minority Interest</t>
        </is>
      </c>
      <c r="B22" s="3" t="n">
        <v>2054989</v>
      </c>
      <c r="C22" s="3" t="n">
        <v>2145365</v>
      </c>
      <c r="D22" s="3" t="n">
        <v>2261414</v>
      </c>
      <c r="E22" s="3" t="n">
        <v>2314645</v>
      </c>
      <c r="F22" s="3" t="n">
        <v>2396465</v>
      </c>
      <c r="G22" s="3" t="n"/>
      <c r="H22" s="3" t="n"/>
    </row>
    <row r="23">
      <c r="A23" t="inlineStr">
        <is>
          <t>Long Term Debt And Capital Lease Obligation</t>
        </is>
      </c>
      <c r="B23" s="3" t="n">
        <v>2054989</v>
      </c>
      <c r="C23" s="3" t="n">
        <v>2145365</v>
      </c>
      <c r="D23" s="3" t="n">
        <v>2261414</v>
      </c>
      <c r="E23" s="3" t="n">
        <v>2314645</v>
      </c>
      <c r="F23" s="3" t="n">
        <v>2396465</v>
      </c>
      <c r="G23" s="3" t="n"/>
      <c r="H23" s="3" t="n"/>
    </row>
    <row r="24">
      <c r="A24" t="inlineStr">
        <is>
          <t>Long Term Capital Lease Obligation</t>
        </is>
      </c>
      <c r="B24" s="3" t="n">
        <v>2054989</v>
      </c>
      <c r="C24" s="3" t="n">
        <v>2145365</v>
      </c>
      <c r="D24" s="3" t="n">
        <v>2261414</v>
      </c>
      <c r="E24" s="3" t="n">
        <v>2314645</v>
      </c>
      <c r="F24" s="3" t="n">
        <v>2396465</v>
      </c>
      <c r="G24" s="3" t="n"/>
      <c r="H24" s="3" t="n"/>
    </row>
    <row r="25">
      <c r="A25" t="inlineStr">
        <is>
          <t>Current Liabilities</t>
        </is>
      </c>
      <c r="B25" s="3" t="n">
        <v>5972356</v>
      </c>
      <c r="C25" s="3" t="n">
        <v>4332007</v>
      </c>
      <c r="D25" s="3" t="n">
        <v>3826724</v>
      </c>
      <c r="E25" s="3" t="n">
        <v>2906789</v>
      </c>
      <c r="F25" s="3" t="n">
        <v>4392793</v>
      </c>
      <c r="G25" s="3" t="n"/>
      <c r="H25" s="3" t="n"/>
    </row>
    <row r="26">
      <c r="A26" t="inlineStr">
        <is>
          <t>Other Current Liabilities</t>
        </is>
      </c>
      <c r="B26" s="3" t="n">
        <v>1074000</v>
      </c>
      <c r="C26" s="3" t="n">
        <v>1250500</v>
      </c>
      <c r="D26" s="3" t="n">
        <v>1978000</v>
      </c>
      <c r="E26" s="3" t="n">
        <v>1774500</v>
      </c>
      <c r="F26" s="3" t="n">
        <v>1373000</v>
      </c>
      <c r="G26" s="3" t="n"/>
      <c r="H26" s="3" t="n"/>
    </row>
    <row r="27">
      <c r="A27" t="inlineStr">
        <is>
          <t>Current Debt And Capital Lease Obligation</t>
        </is>
      </c>
      <c r="B27" s="3" t="n">
        <v>547394</v>
      </c>
      <c r="C27" s="3" t="n">
        <v>540801</v>
      </c>
      <c r="D27" s="3" t="n">
        <v>534128</v>
      </c>
      <c r="E27" s="3" t="n">
        <v>493169</v>
      </c>
      <c r="F27" s="3" t="n">
        <v>454295</v>
      </c>
      <c r="G27" s="3" t="n"/>
      <c r="H27" s="3" t="n"/>
    </row>
    <row r="28">
      <c r="A28" t="inlineStr">
        <is>
          <t>Current Capital Lease Obligation</t>
        </is>
      </c>
      <c r="B28" s="3" t="n">
        <v>547394</v>
      </c>
      <c r="C28" s="3" t="n">
        <v>540801</v>
      </c>
      <c r="D28" s="3" t="n">
        <v>534128</v>
      </c>
      <c r="E28" s="3" t="n">
        <v>493169</v>
      </c>
      <c r="F28" s="3" t="n">
        <v>454295</v>
      </c>
      <c r="G28" s="3" t="n"/>
      <c r="H28" s="3" t="n"/>
    </row>
    <row r="29">
      <c r="A29" t="inlineStr">
        <is>
          <t>Payables And Accrued Expenses</t>
        </is>
      </c>
      <c r="B29" s="3" t="n">
        <v>4350962</v>
      </c>
      <c r="C29" s="3" t="n">
        <v>2540706</v>
      </c>
      <c r="D29" s="3" t="n">
        <v>1314596</v>
      </c>
      <c r="E29" s="3" t="n">
        <v>639120</v>
      </c>
      <c r="F29" s="3" t="n">
        <v>2565498</v>
      </c>
      <c r="G29" s="3" t="n"/>
      <c r="H29" s="3" t="n"/>
    </row>
    <row r="30">
      <c r="A30" t="inlineStr">
        <is>
          <t>Payables</t>
        </is>
      </c>
      <c r="B30" s="3" t="n">
        <v>4350962</v>
      </c>
      <c r="C30" s="3" t="n">
        <v>2540706</v>
      </c>
      <c r="D30" s="3" t="n">
        <v>1314596</v>
      </c>
      <c r="E30" s="3" t="n">
        <v>639120</v>
      </c>
      <c r="F30" s="3" t="n">
        <v>2565498</v>
      </c>
      <c r="G30" s="3" t="n"/>
      <c r="H30" s="3" t="n"/>
    </row>
    <row r="31">
      <c r="A31" t="inlineStr">
        <is>
          <t>Dueto Related Parties Current</t>
        </is>
      </c>
      <c r="B31" s="3" t="n"/>
      <c r="C31" s="3" t="n"/>
      <c r="D31" s="3" t="n">
        <v>0</v>
      </c>
      <c r="E31" s="3" t="n">
        <v>41667</v>
      </c>
      <c r="F31" s="3" t="n">
        <v>30000</v>
      </c>
      <c r="G31" s="3" t="n">
        <v>0</v>
      </c>
      <c r="H31" s="3" t="n">
        <v>25000</v>
      </c>
    </row>
    <row r="32">
      <c r="A32" t="inlineStr">
        <is>
          <t>Accounts Payable</t>
        </is>
      </c>
      <c r="B32" s="3" t="n">
        <v>4350962</v>
      </c>
      <c r="C32" s="3" t="n">
        <v>2540706</v>
      </c>
      <c r="D32" s="3" t="n">
        <v>1314596</v>
      </c>
      <c r="E32" s="3" t="n">
        <v>597453</v>
      </c>
      <c r="F32" s="3" t="n">
        <v>2535498</v>
      </c>
      <c r="G32" s="3" t="n"/>
      <c r="H32" s="3" t="n"/>
    </row>
    <row r="33">
      <c r="A33" t="inlineStr">
        <is>
          <t>Total Assets</t>
        </is>
      </c>
      <c r="B33" s="3" t="n">
        <v>603916533</v>
      </c>
      <c r="C33" s="3" t="n">
        <v>606056161</v>
      </c>
      <c r="D33" s="3" t="n">
        <v>228656866</v>
      </c>
      <c r="E33" s="3" t="n">
        <v>231532212</v>
      </c>
      <c r="F33" s="3" t="n">
        <v>138815748</v>
      </c>
      <c r="G33" s="3" t="n"/>
      <c r="H33" s="3" t="n"/>
    </row>
    <row r="34">
      <c r="A34" t="inlineStr">
        <is>
          <t>Total Non Current Assets</t>
        </is>
      </c>
      <c r="B34" s="3" t="n">
        <v>32218597</v>
      </c>
      <c r="C34" s="3" t="n">
        <v>25291265</v>
      </c>
      <c r="D34" s="3" t="n">
        <v>23988953</v>
      </c>
      <c r="E34" s="3" t="n">
        <v>19329753</v>
      </c>
      <c r="F34" s="3" t="n">
        <v>19343075</v>
      </c>
      <c r="G34" s="3" t="n"/>
      <c r="H34" s="3" t="n"/>
    </row>
    <row r="35">
      <c r="A35" t="inlineStr">
        <is>
          <t>Non Current Prepaid Assets</t>
        </is>
      </c>
      <c r="B35" s="3" t="n">
        <v>274001</v>
      </c>
      <c r="C35" s="3" t="n">
        <v>274001</v>
      </c>
      <c r="D35" s="3" t="n">
        <v>269235</v>
      </c>
      <c r="E35" s="3" t="n">
        <v>269235</v>
      </c>
      <c r="F35" s="3" t="n">
        <v>269235</v>
      </c>
      <c r="G35" s="3" t="n"/>
      <c r="H35" s="3" t="n"/>
    </row>
    <row r="36">
      <c r="A36" t="inlineStr">
        <is>
          <t>Non Current Deferred Assets</t>
        </is>
      </c>
      <c r="B36" s="3" t="n">
        <v>385500</v>
      </c>
      <c r="C36" s="3" t="n">
        <v>435500</v>
      </c>
      <c r="D36" s="3" t="n">
        <v>300000</v>
      </c>
      <c r="E36" s="3" t="n"/>
      <c r="F36" s="3" t="n"/>
      <c r="G36" s="3" t="n"/>
      <c r="H36" s="3" t="n">
        <v>0</v>
      </c>
    </row>
    <row r="37">
      <c r="A37" t="inlineStr">
        <is>
          <t>Investments And Advances</t>
        </is>
      </c>
      <c r="B37" s="3" t="n">
        <v>2000000</v>
      </c>
      <c r="C37" s="3" t="n">
        <v>2000000</v>
      </c>
      <c r="D37" s="3" t="n">
        <v>2000000</v>
      </c>
      <c r="E37" s="3" t="n">
        <v>2000000</v>
      </c>
      <c r="F37" s="3" t="n">
        <v>2000000</v>
      </c>
      <c r="G37" s="3" t="n"/>
      <c r="H37" s="3" t="n"/>
    </row>
    <row r="38">
      <c r="A38" t="inlineStr">
        <is>
          <t>Long Term Equity Investment</t>
        </is>
      </c>
      <c r="B38" s="3" t="n">
        <v>2000000</v>
      </c>
      <c r="C38" s="3" t="n">
        <v>2000000</v>
      </c>
      <c r="D38" s="3" t="n">
        <v>2000000</v>
      </c>
      <c r="E38" s="3" t="n">
        <v>2000000</v>
      </c>
      <c r="F38" s="3" t="n">
        <v>2000000</v>
      </c>
      <c r="G38" s="3" t="n"/>
      <c r="H38" s="3" t="n"/>
    </row>
    <row r="39">
      <c r="A39" t="inlineStr">
        <is>
          <t>Goodwill And Other Intangible Assets</t>
        </is>
      </c>
      <c r="B39" s="3" t="n">
        <v>9075045</v>
      </c>
      <c r="C39" s="3" t="n">
        <v>9075045</v>
      </c>
      <c r="D39" s="3" t="n">
        <v>9075045</v>
      </c>
      <c r="E39" s="3" t="n">
        <v>9075045</v>
      </c>
      <c r="F39" s="3" t="n">
        <v>9075045</v>
      </c>
      <c r="G39" s="3" t="n"/>
      <c r="H39" s="3" t="n"/>
    </row>
    <row r="40">
      <c r="A40" t="inlineStr">
        <is>
          <t>Other Intangible Assets</t>
        </is>
      </c>
      <c r="B40" s="3" t="n">
        <v>9075045</v>
      </c>
      <c r="C40" s="3" t="n">
        <v>9075045</v>
      </c>
      <c r="D40" s="3" t="n">
        <v>9075045</v>
      </c>
      <c r="E40" s="3" t="n">
        <v>9075045</v>
      </c>
      <c r="F40" s="3" t="n">
        <v>9075045</v>
      </c>
      <c r="G40" s="3" t="n"/>
      <c r="H40" s="3" t="n"/>
    </row>
    <row r="41">
      <c r="A41" t="inlineStr">
        <is>
          <t>Net PPE</t>
        </is>
      </c>
      <c r="B41" s="3" t="n">
        <v>20484051</v>
      </c>
      <c r="C41" s="3" t="n">
        <v>13506719</v>
      </c>
      <c r="D41" s="3" t="n">
        <v>12344673</v>
      </c>
      <c r="E41" s="3" t="n">
        <v>7985473</v>
      </c>
      <c r="F41" s="3" t="n">
        <v>7998795</v>
      </c>
      <c r="G41" s="3" t="n"/>
      <c r="H41" s="3" t="n"/>
    </row>
    <row r="42">
      <c r="A42" t="inlineStr">
        <is>
          <t>Accumulated Depreciation</t>
        </is>
      </c>
      <c r="B42" s="3" t="n">
        <v>-818328</v>
      </c>
      <c r="C42" s="3" t="n">
        <v>-573963</v>
      </c>
      <c r="D42" s="3" t="n">
        <v>-661131</v>
      </c>
      <c r="E42" s="3" t="n">
        <v>-158246</v>
      </c>
      <c r="F42" s="3" t="n">
        <v>-49910</v>
      </c>
      <c r="G42" s="3" t="n"/>
      <c r="H42" s="3" t="n"/>
    </row>
    <row r="43">
      <c r="A43" t="inlineStr">
        <is>
          <t>Gross PPE</t>
        </is>
      </c>
      <c r="B43" s="3" t="n">
        <v>21302379</v>
      </c>
      <c r="C43" s="3" t="n">
        <v>14080682</v>
      </c>
      <c r="D43" s="3" t="n">
        <v>13005804</v>
      </c>
      <c r="E43" s="3" t="n">
        <v>8143719</v>
      </c>
      <c r="F43" s="3" t="n">
        <v>8048705</v>
      </c>
      <c r="G43" s="3" t="n"/>
      <c r="H43" s="3" t="n"/>
    </row>
    <row r="44">
      <c r="A44" t="inlineStr">
        <is>
          <t>Leases</t>
        </is>
      </c>
      <c r="B44" s="3" t="n"/>
      <c r="C44" s="3" t="n"/>
      <c r="D44" s="3" t="n"/>
      <c r="E44" s="3" t="n"/>
      <c r="F44" s="3" t="n">
        <v>2722859</v>
      </c>
      <c r="G44" s="3" t="n">
        <v>1786206</v>
      </c>
      <c r="H44" s="3" t="n">
        <v>1926656</v>
      </c>
    </row>
    <row r="45">
      <c r="A45" t="inlineStr">
        <is>
          <t>Other Properties</t>
        </is>
      </c>
      <c r="B45" s="3" t="n">
        <v>2392837</v>
      </c>
      <c r="C45" s="3" t="n">
        <v>14080682</v>
      </c>
      <c r="D45" s="3" t="n">
        <v>13005804</v>
      </c>
      <c r="E45" s="3" t="n">
        <v>8143719</v>
      </c>
      <c r="F45" s="3" t="n">
        <v>8048705</v>
      </c>
      <c r="G45" s="3" t="n"/>
      <c r="H45" s="3" t="n"/>
    </row>
    <row r="46">
      <c r="A46" t="inlineStr">
        <is>
          <t>Land And Improvements</t>
        </is>
      </c>
      <c r="B46" s="3" t="n"/>
      <c r="C46" s="3" t="n"/>
      <c r="D46" s="3" t="n"/>
      <c r="E46" s="3" t="n"/>
      <c r="F46" s="3" t="n">
        <v>5325846</v>
      </c>
      <c r="G46" s="3" t="n">
        <v>1700000</v>
      </c>
      <c r="H46" s="3" t="n">
        <v>1700000</v>
      </c>
    </row>
    <row r="47">
      <c r="A47" t="inlineStr">
        <is>
          <t>Properties</t>
        </is>
      </c>
      <c r="B47" s="3" t="n">
        <v>18909542</v>
      </c>
      <c r="C47" s="3" t="n"/>
      <c r="D47" s="3" t="n">
        <v>10149332</v>
      </c>
      <c r="E47" s="3" t="n">
        <v>5501474</v>
      </c>
      <c r="F47" s="3" t="n">
        <v>5325846</v>
      </c>
      <c r="G47" s="3" t="n">
        <v>1700000</v>
      </c>
      <c r="H47" s="3" t="n"/>
    </row>
    <row r="48">
      <c r="A48" t="inlineStr">
        <is>
          <t>Current Assets</t>
        </is>
      </c>
      <c r="B48" s="3" t="n">
        <v>571697936</v>
      </c>
      <c r="C48" s="3" t="n">
        <v>580764896</v>
      </c>
      <c r="D48" s="3" t="n">
        <v>204667913</v>
      </c>
      <c r="E48" s="3" t="n">
        <v>212202459</v>
      </c>
      <c r="F48" s="3" t="n">
        <v>119472673</v>
      </c>
      <c r="G48" s="3" t="n"/>
      <c r="H48" s="3" t="n"/>
    </row>
    <row r="49">
      <c r="A49" t="inlineStr">
        <is>
          <t>Prepaid Assets</t>
        </is>
      </c>
      <c r="B49" s="3" t="n">
        <v>2802378</v>
      </c>
      <c r="C49" s="3" t="n">
        <v>2864889</v>
      </c>
      <c r="D49" s="3" t="n">
        <v>1152861</v>
      </c>
      <c r="E49" s="3" t="n">
        <v>1770084</v>
      </c>
      <c r="F49" s="3" t="n">
        <v>922222</v>
      </c>
      <c r="G49" s="3" t="n"/>
      <c r="H49" s="3" t="n"/>
    </row>
    <row r="50">
      <c r="A50" t="inlineStr">
        <is>
          <t>Receivables</t>
        </is>
      </c>
      <c r="B50" s="3" t="n">
        <v>0</v>
      </c>
      <c r="C50" s="3" t="n">
        <v>86381</v>
      </c>
      <c r="D50" s="3" t="n">
        <v>250000</v>
      </c>
      <c r="E50" s="3" t="n">
        <v>250000</v>
      </c>
      <c r="F50" s="3" t="n"/>
      <c r="G50" s="3" t="n"/>
      <c r="H50" s="3" t="n">
        <v>0</v>
      </c>
    </row>
    <row r="51">
      <c r="A51" t="inlineStr">
        <is>
          <t>Accounts Receivable</t>
        </is>
      </c>
      <c r="B51" s="3" t="n">
        <v>0</v>
      </c>
      <c r="C51" s="3" t="n">
        <v>86381</v>
      </c>
      <c r="D51" s="3" t="n">
        <v>250000</v>
      </c>
      <c r="E51" s="3" t="n">
        <v>250000</v>
      </c>
      <c r="F51" s="3" t="n"/>
      <c r="G51" s="3" t="n"/>
      <c r="H51" s="3" t="n">
        <v>0</v>
      </c>
    </row>
    <row r="52">
      <c r="A52" t="inlineStr">
        <is>
          <t>Cash Cash Equivalents And Short Term Investments</t>
        </is>
      </c>
      <c r="B52" s="3" t="n">
        <v>568895558</v>
      </c>
      <c r="C52" s="3" t="n">
        <v>577813626</v>
      </c>
      <c r="D52" s="3" t="n">
        <v>203265052</v>
      </c>
      <c r="E52" s="3" t="n">
        <v>210182375</v>
      </c>
      <c r="F52" s="3" t="n">
        <v>118550451</v>
      </c>
      <c r="G52" s="3" t="n"/>
      <c r="H52" s="3" t="n"/>
    </row>
    <row r="53">
      <c r="A53" t="inlineStr">
        <is>
          <t>Other Short Term Investments</t>
        </is>
      </c>
      <c r="B53" s="3" t="n">
        <v>371219934</v>
      </c>
      <c r="C53" s="3" t="n">
        <v>279677</v>
      </c>
      <c r="D53" s="3" t="n"/>
      <c r="E53" s="3" t="n"/>
      <c r="F53" s="3" t="n"/>
      <c r="G53" s="3" t="n"/>
      <c r="H53" s="3" t="n"/>
    </row>
    <row r="54">
      <c r="A54" t="inlineStr">
        <is>
          <t>Cash And Cash Equivalents</t>
        </is>
      </c>
      <c r="B54" s="3" t="n">
        <v>197675624</v>
      </c>
      <c r="C54" s="3" t="n">
        <v>577533949</v>
      </c>
      <c r="D54" s="3" t="n">
        <v>203265052</v>
      </c>
      <c r="E54" s="3" t="n">
        <v>210182375</v>
      </c>
      <c r="F54" s="3" t="n">
        <v>118550451</v>
      </c>
      <c r="G54" s="3" t="n"/>
      <c r="H5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</row>
    <row r="2">
      <c r="A2" t="inlineStr">
        <is>
          <t>Free Cash Flow</t>
        </is>
      </c>
      <c r="B2" s="3" t="n">
        <v>-37146340</v>
      </c>
      <c r="C2" s="3" t="n">
        <v>-10164146</v>
      </c>
      <c r="D2" s="3" t="n">
        <v>-3867573</v>
      </c>
    </row>
    <row r="3">
      <c r="A3" t="inlineStr">
        <is>
          <t>Issuance Of Capital Stock</t>
        </is>
      </c>
      <c r="B3" s="3" t="n">
        <v>206400015</v>
      </c>
      <c r="C3" s="3" t="n">
        <v>34953937</v>
      </c>
      <c r="D3" s="3" t="n">
        <v>8765369</v>
      </c>
    </row>
    <row r="4">
      <c r="A4" t="inlineStr">
        <is>
          <t>Capital Expenditure</t>
        </is>
      </c>
      <c r="B4" s="3" t="n">
        <v>-17524377</v>
      </c>
      <c r="C4" s="3" t="n">
        <v>-1700000</v>
      </c>
      <c r="D4" s="3" t="n"/>
    </row>
    <row r="5">
      <c r="A5" t="inlineStr">
        <is>
          <t>End Cash Position</t>
        </is>
      </c>
      <c r="B5" s="3" t="n">
        <v>203265052</v>
      </c>
      <c r="C5" s="3" t="n">
        <v>28507257</v>
      </c>
      <c r="D5" s="3" t="n">
        <v>6952795</v>
      </c>
    </row>
    <row r="6">
      <c r="A6" t="inlineStr">
        <is>
          <t>Beginning Cash Position</t>
        </is>
      </c>
      <c r="B6" s="3" t="n">
        <v>28507257</v>
      </c>
      <c r="C6" s="3" t="n">
        <v>6952795</v>
      </c>
      <c r="D6" s="3" t="n">
        <v>2129999</v>
      </c>
    </row>
    <row r="7">
      <c r="A7" t="inlineStr">
        <is>
          <t>Changes In Cash</t>
        </is>
      </c>
      <c r="B7" s="3" t="n">
        <v>174757795</v>
      </c>
      <c r="C7" s="3" t="n">
        <v>21554462</v>
      </c>
      <c r="D7" s="3" t="n">
        <v>4822796</v>
      </c>
    </row>
    <row r="8">
      <c r="A8" t="inlineStr">
        <is>
          <t>Financing Cash Flow</t>
        </is>
      </c>
      <c r="B8" s="3" t="n">
        <v>211904135</v>
      </c>
      <c r="C8" s="3" t="n">
        <v>33718608</v>
      </c>
      <c r="D8" s="3" t="n">
        <v>8690369</v>
      </c>
    </row>
    <row r="9">
      <c r="A9" t="inlineStr">
        <is>
          <t>Cash Flow From Continuing Financing Activities</t>
        </is>
      </c>
      <c r="B9" s="3" t="n">
        <v>211904135</v>
      </c>
      <c r="C9" s="3" t="n">
        <v>33718608</v>
      </c>
      <c r="D9" s="3" t="n">
        <v>8690369</v>
      </c>
    </row>
    <row r="10">
      <c r="A10" t="inlineStr">
        <is>
          <t>Net Other Financing Charges</t>
        </is>
      </c>
      <c r="B10" s="3" t="n">
        <v>-15376556</v>
      </c>
      <c r="C10" s="3" t="n">
        <v>-3554829</v>
      </c>
      <c r="D10" s="3" t="n">
        <v>-75000</v>
      </c>
    </row>
    <row r="11">
      <c r="A11" t="inlineStr">
        <is>
          <t>Proceeds From Stock Option Exercised</t>
        </is>
      </c>
      <c r="B11" s="3" t="n">
        <v>20880676</v>
      </c>
      <c r="C11" s="3" t="n">
        <v>2319500</v>
      </c>
      <c r="D11" s="3" t="n">
        <v>0</v>
      </c>
    </row>
    <row r="12">
      <c r="A12" t="inlineStr">
        <is>
          <t>Net Common Stock Issuance</t>
        </is>
      </c>
      <c r="B12" s="3" t="n">
        <v>206400015</v>
      </c>
      <c r="C12" s="3" t="n">
        <v>34953937</v>
      </c>
      <c r="D12" s="3" t="n">
        <v>8765369</v>
      </c>
    </row>
    <row r="13">
      <c r="A13" t="inlineStr">
        <is>
          <t>Common Stock Issuance</t>
        </is>
      </c>
      <c r="B13" s="3" t="n">
        <v>206400015</v>
      </c>
      <c r="C13" s="3" t="n">
        <v>34953937</v>
      </c>
      <c r="D13" s="3" t="n">
        <v>8765369</v>
      </c>
    </row>
    <row r="14">
      <c r="A14" t="inlineStr">
        <is>
          <t>Investing Cash Flow</t>
        </is>
      </c>
      <c r="B14" s="3" t="n">
        <v>-17524377</v>
      </c>
      <c r="C14" s="3" t="n">
        <v>-3700000</v>
      </c>
      <c r="D14" s="3" t="n">
        <v>0</v>
      </c>
    </row>
    <row r="15">
      <c r="A15" t="inlineStr">
        <is>
          <t>Cash Flow From Continuing Investing Activities</t>
        </is>
      </c>
      <c r="B15" s="3" t="n">
        <v>-17524377</v>
      </c>
      <c r="C15" s="3" t="n">
        <v>-3700000</v>
      </c>
      <c r="D15" s="3" t="n">
        <v>0</v>
      </c>
    </row>
    <row r="16">
      <c r="A16" t="inlineStr">
        <is>
          <t>Net Investment Purchase And Sale</t>
        </is>
      </c>
      <c r="B16" s="3" t="n">
        <v>0</v>
      </c>
      <c r="C16" s="3" t="n">
        <v>-2000000</v>
      </c>
      <c r="D16" s="3" t="n">
        <v>0</v>
      </c>
    </row>
    <row r="17">
      <c r="A17" t="inlineStr">
        <is>
          <t>Purchase Of Investment</t>
        </is>
      </c>
      <c r="B17" s="3" t="n">
        <v>0</v>
      </c>
      <c r="C17" s="3" t="n">
        <v>-2000000</v>
      </c>
      <c r="D17" s="3" t="n">
        <v>0</v>
      </c>
    </row>
    <row r="18">
      <c r="A18" t="inlineStr">
        <is>
          <t>Net Intangibles Purchase And Sale</t>
        </is>
      </c>
      <c r="B18" s="3" t="n">
        <v>-9075045</v>
      </c>
      <c r="C18" s="3" t="n">
        <v>0</v>
      </c>
      <c r="D18" s="3" t="n"/>
    </row>
    <row r="19">
      <c r="A19" t="inlineStr">
        <is>
          <t>Purchase Of Intangibles</t>
        </is>
      </c>
      <c r="B19" s="3" t="n">
        <v>-9075045</v>
      </c>
      <c r="C19" s="3" t="n">
        <v>0</v>
      </c>
      <c r="D19" s="3" t="n"/>
    </row>
    <row r="20">
      <c r="A20" t="inlineStr">
        <is>
          <t>Net PPE Purchase And Sale</t>
        </is>
      </c>
      <c r="B20" s="3" t="n">
        <v>-8449332</v>
      </c>
      <c r="C20" s="3" t="n">
        <v>-1700000</v>
      </c>
      <c r="D20" s="3" t="n">
        <v>0</v>
      </c>
    </row>
    <row r="21">
      <c r="A21" t="inlineStr">
        <is>
          <t>Purchase Of PPE</t>
        </is>
      </c>
      <c r="B21" s="3" t="n">
        <v>-8449332</v>
      </c>
      <c r="C21" s="3" t="n">
        <v>-1700000</v>
      </c>
      <c r="D21" s="3" t="n">
        <v>0</v>
      </c>
    </row>
    <row r="22">
      <c r="A22" t="inlineStr">
        <is>
          <t>Operating Cash Flow</t>
        </is>
      </c>
      <c r="B22" s="3" t="n">
        <v>-19621963</v>
      </c>
      <c r="C22" s="3" t="n">
        <v>-8464146</v>
      </c>
      <c r="D22" s="3" t="n">
        <v>-3867573</v>
      </c>
    </row>
    <row r="23">
      <c r="A23" t="inlineStr">
        <is>
          <t>Cash Flow From Continuing Operating Activities</t>
        </is>
      </c>
      <c r="B23" s="3" t="n">
        <v>-19621963</v>
      </c>
      <c r="C23" s="3" t="n">
        <v>-8464146</v>
      </c>
      <c r="D23" s="3" t="n">
        <v>-3867573</v>
      </c>
    </row>
    <row r="24">
      <c r="A24" t="inlineStr">
        <is>
          <t>Change In Working Capital</t>
        </is>
      </c>
      <c r="B24" s="3" t="n">
        <v>-237340</v>
      </c>
      <c r="C24" s="3" t="n">
        <v>473728</v>
      </c>
      <c r="D24" s="3" t="n">
        <v>-1175</v>
      </c>
    </row>
    <row r="25">
      <c r="A25" t="inlineStr">
        <is>
          <t>Change In Other Current Liabilities</t>
        </is>
      </c>
      <c r="B25" s="3" t="n">
        <v>-162541</v>
      </c>
      <c r="C25" s="3" t="n">
        <v>775579</v>
      </c>
      <c r="D25" s="3" t="n">
        <v>0</v>
      </c>
    </row>
    <row r="26">
      <c r="A26" t="inlineStr">
        <is>
          <t>Change In Payables And Accrued Expense</t>
        </is>
      </c>
      <c r="B26" s="3" t="n">
        <v>528115</v>
      </c>
      <c r="C26" s="3" t="n">
        <v>561474</v>
      </c>
      <c r="D26" s="3" t="n">
        <v>87234</v>
      </c>
    </row>
    <row r="27">
      <c r="A27" t="inlineStr">
        <is>
          <t>Change In Payable</t>
        </is>
      </c>
      <c r="B27" s="3" t="n">
        <v>528115</v>
      </c>
      <c r="C27" s="3" t="n">
        <v>561474</v>
      </c>
      <c r="D27" s="3" t="n">
        <v>87234</v>
      </c>
    </row>
    <row r="28">
      <c r="A28" t="inlineStr">
        <is>
          <t>Change In Account Payable</t>
        </is>
      </c>
      <c r="B28" s="3" t="n">
        <v>553115</v>
      </c>
      <c r="C28" s="3" t="n">
        <v>571474</v>
      </c>
      <c r="D28" s="3" t="n">
        <v>87234</v>
      </c>
    </row>
    <row r="29">
      <c r="A29" t="inlineStr">
        <is>
          <t>Change In Prepaid Assets</t>
        </is>
      </c>
      <c r="B29" s="3" t="n">
        <v>-352914</v>
      </c>
      <c r="C29" s="3" t="n">
        <v>-863325</v>
      </c>
      <c r="D29" s="3" t="n">
        <v>-88409</v>
      </c>
    </row>
    <row r="30">
      <c r="A30" t="inlineStr">
        <is>
          <t>Change In Receivables</t>
        </is>
      </c>
      <c r="B30" s="3" t="n">
        <v>-250000</v>
      </c>
      <c r="C30" s="3" t="n">
        <v>0</v>
      </c>
      <c r="D30" s="3" t="n"/>
    </row>
    <row r="31">
      <c r="A31" t="inlineStr">
        <is>
          <t>Changes In Account Receivables</t>
        </is>
      </c>
      <c r="B31" s="3" t="n">
        <v>-250000</v>
      </c>
      <c r="C31" s="3" t="n">
        <v>0</v>
      </c>
      <c r="D31" s="3" t="n"/>
    </row>
    <row r="32">
      <c r="A32" t="inlineStr">
        <is>
          <t>Other Non Cash Items</t>
        </is>
      </c>
      <c r="B32" s="3" t="n">
        <v>1207500</v>
      </c>
      <c r="C32" s="3" t="n">
        <v>786500</v>
      </c>
      <c r="D32" s="3" t="n"/>
    </row>
    <row r="33">
      <c r="A33" t="inlineStr">
        <is>
          <t>Stock Based Compensation</t>
        </is>
      </c>
      <c r="B33" s="3" t="n">
        <v>18824215</v>
      </c>
      <c r="C33" s="3" t="n">
        <v>320257</v>
      </c>
      <c r="D33" s="3" t="n">
        <v>2384003</v>
      </c>
    </row>
    <row r="34">
      <c r="A34" t="inlineStr">
        <is>
          <t>Depreciation Amortization Depletion</t>
        </is>
      </c>
      <c r="B34" s="3" t="n">
        <v>650738</v>
      </c>
      <c r="C34" s="3" t="n">
        <v>106925</v>
      </c>
      <c r="D34" s="3" t="n">
        <v>0</v>
      </c>
    </row>
    <row r="35">
      <c r="A35" t="inlineStr">
        <is>
          <t>Depreciation And Amortization</t>
        </is>
      </c>
      <c r="B35" s="3" t="n">
        <v>650738</v>
      </c>
      <c r="C35" s="3" t="n">
        <v>106925</v>
      </c>
      <c r="D35" s="3" t="n">
        <v>0</v>
      </c>
    </row>
    <row r="36">
      <c r="A36" t="inlineStr">
        <is>
          <t>Depreciation</t>
        </is>
      </c>
      <c r="B36" s="3" t="n">
        <v>650738</v>
      </c>
      <c r="C36" s="3" t="n">
        <v>106925</v>
      </c>
      <c r="D36" s="3" t="n">
        <v>0</v>
      </c>
    </row>
    <row r="37">
      <c r="A37" t="inlineStr">
        <is>
          <t>Net Income From Continuing Operations</t>
        </is>
      </c>
      <c r="B37" s="3" t="n">
        <v>-40067076</v>
      </c>
      <c r="C37" s="3" t="n">
        <v>-10151556</v>
      </c>
      <c r="D37" s="3" t="n">
        <v>-6250401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-12570657</v>
      </c>
      <c r="C2" s="3" t="n">
        <v>-5443755</v>
      </c>
      <c r="D2" s="3" t="n">
        <v>-9556312</v>
      </c>
      <c r="E2" s="3" t="n">
        <v>-9268158</v>
      </c>
      <c r="F2" s="3" t="n">
        <v>-15079344</v>
      </c>
      <c r="G2" s="3" t="n"/>
    </row>
    <row r="3">
      <c r="A3" t="inlineStr">
        <is>
          <t>Issuance Of Capital Stock</t>
        </is>
      </c>
      <c r="B3" s="3" t="n">
        <v>0</v>
      </c>
      <c r="C3" s="3" t="n">
        <v>400000033</v>
      </c>
      <c r="D3" s="3" t="n">
        <v>0</v>
      </c>
      <c r="E3" s="3" t="n">
        <v>105000003</v>
      </c>
      <c r="F3" s="3" t="n">
        <v>0</v>
      </c>
      <c r="G3" s="3" t="n"/>
    </row>
    <row r="4">
      <c r="A4" t="inlineStr">
        <is>
          <t>Capital Expenditure</t>
        </is>
      </c>
      <c r="B4" s="3" t="n">
        <v>-7306296</v>
      </c>
      <c r="C4" s="3" t="n">
        <v>-1453915</v>
      </c>
      <c r="D4" s="3" t="n">
        <v>-4647858</v>
      </c>
      <c r="E4" s="3" t="n">
        <v>-175628</v>
      </c>
      <c r="F4" s="3" t="n"/>
      <c r="G4" s="3" t="n"/>
    </row>
    <row r="5">
      <c r="A5" t="inlineStr">
        <is>
          <t>End Cash Position</t>
        </is>
      </c>
      <c r="B5" s="3" t="n">
        <v>197675624</v>
      </c>
      <c r="C5" s="3" t="n">
        <v>577533949</v>
      </c>
      <c r="D5" s="3" t="n">
        <v>203265052</v>
      </c>
      <c r="E5" s="3" t="n">
        <v>210182375</v>
      </c>
      <c r="F5" s="3" t="n">
        <v>118550451</v>
      </c>
      <c r="G5" s="3" t="n"/>
    </row>
    <row r="6">
      <c r="A6" t="inlineStr">
        <is>
          <t>Beginning Cash Position</t>
        </is>
      </c>
      <c r="B6" s="3" t="n">
        <v>577533949</v>
      </c>
      <c r="C6" s="3" t="n">
        <v>203265052</v>
      </c>
      <c r="D6" s="3" t="n">
        <v>210182375</v>
      </c>
      <c r="E6" s="3" t="n">
        <v>118550451</v>
      </c>
      <c r="F6" s="3" t="n">
        <v>123267673</v>
      </c>
      <c r="G6" s="3" t="n"/>
    </row>
    <row r="7">
      <c r="A7" t="inlineStr">
        <is>
          <t>Effect Of Exchange Rate Changes</t>
        </is>
      </c>
      <c r="B7" s="3" t="n">
        <v>-5595</v>
      </c>
      <c r="C7" s="3" t="n">
        <v>-11452</v>
      </c>
      <c r="D7" s="3" t="n"/>
      <c r="E7" s="3" t="n"/>
      <c r="F7" s="3" t="n">
        <v>0</v>
      </c>
      <c r="G7" s="3" t="n">
        <v>0</v>
      </c>
    </row>
    <row r="8">
      <c r="A8" t="inlineStr">
        <is>
          <t>Changes In Cash</t>
        </is>
      </c>
      <c r="B8" s="3" t="n">
        <v>-379852730</v>
      </c>
      <c r="C8" s="3" t="n">
        <v>374280349</v>
      </c>
      <c r="D8" s="3" t="n">
        <v>-6917323</v>
      </c>
      <c r="E8" s="3" t="n">
        <v>91631924</v>
      </c>
      <c r="F8" s="3" t="n">
        <v>-4717222</v>
      </c>
      <c r="G8" s="3" t="n"/>
    </row>
    <row r="9">
      <c r="A9" t="inlineStr">
        <is>
          <t>Financing Cash Flow</t>
        </is>
      </c>
      <c r="B9" s="3" t="n">
        <v>2853498</v>
      </c>
      <c r="C9" s="3" t="n">
        <v>381328870</v>
      </c>
      <c r="D9" s="3" t="n">
        <v>2638989</v>
      </c>
      <c r="E9" s="3" t="n">
        <v>100900082</v>
      </c>
      <c r="F9" s="3" t="n">
        <v>6802122</v>
      </c>
      <c r="G9" s="3" t="n"/>
    </row>
    <row r="10">
      <c r="A10" t="inlineStr">
        <is>
          <t>Cash Flow From Continuing Financing Activities</t>
        </is>
      </c>
      <c r="B10" s="3" t="n">
        <v>2853498</v>
      </c>
      <c r="C10" s="3" t="n">
        <v>381328870</v>
      </c>
      <c r="D10" s="3" t="n">
        <v>2638989</v>
      </c>
      <c r="E10" s="3" t="n">
        <v>100900082</v>
      </c>
      <c r="F10" s="3" t="n">
        <v>6802122</v>
      </c>
      <c r="G10" s="3" t="n"/>
    </row>
    <row r="11">
      <c r="A11" t="inlineStr">
        <is>
          <t>Net Other Financing Charges</t>
        </is>
      </c>
      <c r="B11" s="3" t="n">
        <v>50000</v>
      </c>
      <c r="C11" s="3" t="n">
        <v>-21656211</v>
      </c>
      <c r="D11" s="3" t="n">
        <v>-300000</v>
      </c>
      <c r="E11" s="3" t="n">
        <v>-6017700</v>
      </c>
      <c r="F11" s="3" t="n">
        <v>0</v>
      </c>
      <c r="G11" s="3" t="n"/>
    </row>
    <row r="12">
      <c r="A12" t="inlineStr">
        <is>
          <t>Proceeds From Stock Option Exercised</t>
        </is>
      </c>
      <c r="B12" s="3" t="n">
        <v>2803498</v>
      </c>
      <c r="C12" s="3" t="n">
        <v>2985048</v>
      </c>
      <c r="D12" s="3" t="n">
        <v>2938989</v>
      </c>
      <c r="E12" s="3" t="n">
        <v>1917779</v>
      </c>
      <c r="F12" s="3" t="n">
        <v>6802122</v>
      </c>
      <c r="G12" s="3" t="n"/>
    </row>
    <row r="13">
      <c r="A13" t="inlineStr">
        <is>
          <t>Net Common Stock Issuance</t>
        </is>
      </c>
      <c r="B13" s="3" t="n">
        <v>0</v>
      </c>
      <c r="C13" s="3" t="n">
        <v>400000033</v>
      </c>
      <c r="D13" s="3" t="n">
        <v>0</v>
      </c>
      <c r="E13" s="3" t="n">
        <v>105000003</v>
      </c>
      <c r="F13" s="3" t="n">
        <v>0</v>
      </c>
      <c r="G13" s="3" t="n"/>
    </row>
    <row r="14">
      <c r="A14" t="inlineStr">
        <is>
          <t>Common Stock Issuance</t>
        </is>
      </c>
      <c r="B14" s="3" t="n">
        <v>0</v>
      </c>
      <c r="C14" s="3" t="n">
        <v>400000033</v>
      </c>
      <c r="D14" s="3" t="n">
        <v>0</v>
      </c>
      <c r="E14" s="3" t="n">
        <v>105000003</v>
      </c>
      <c r="F14" s="3" t="n">
        <v>0</v>
      </c>
      <c r="G14" s="3" t="n"/>
    </row>
    <row r="15">
      <c r="A15" t="inlineStr">
        <is>
          <t>Investing Cash Flow</t>
        </is>
      </c>
      <c r="B15" s="3" t="n">
        <v>-377441867</v>
      </c>
      <c r="C15" s="3" t="n">
        <v>-3058681</v>
      </c>
      <c r="D15" s="3" t="n">
        <v>-4647858</v>
      </c>
      <c r="E15" s="3" t="n">
        <v>-175628</v>
      </c>
      <c r="F15" s="3" t="n">
        <v>-9140891</v>
      </c>
      <c r="G15" s="3" t="n"/>
    </row>
    <row r="16">
      <c r="A16" t="inlineStr">
        <is>
          <t>Cash Flow From Continuing Investing Activities</t>
        </is>
      </c>
      <c r="B16" s="3" t="n">
        <v>-377441867</v>
      </c>
      <c r="C16" s="3" t="n">
        <v>-3058681</v>
      </c>
      <c r="D16" s="3" t="n">
        <v>-4647858</v>
      </c>
      <c r="E16" s="3" t="n">
        <v>-175628</v>
      </c>
      <c r="F16" s="3" t="n">
        <v>-9140891</v>
      </c>
      <c r="G16" s="3" t="n"/>
    </row>
    <row r="17">
      <c r="A17" t="inlineStr">
        <is>
          <t>Net Other Investing Changes</t>
        </is>
      </c>
      <c r="B17" s="3" t="n">
        <v>554766</v>
      </c>
      <c r="C17" s="3" t="n">
        <v>-1604766</v>
      </c>
      <c r="D17" s="3" t="n"/>
      <c r="E17" s="3" t="n"/>
      <c r="F17" s="3" t="n"/>
      <c r="G17" s="3" t="n">
        <v>-3560000</v>
      </c>
    </row>
    <row r="18">
      <c r="A18" t="inlineStr">
        <is>
          <t>Net Intangibles Purchase And Sale</t>
        </is>
      </c>
      <c r="B18" s="3" t="n"/>
      <c r="C18" s="3" t="n"/>
      <c r="D18" s="3" t="n">
        <v>0</v>
      </c>
      <c r="E18" s="3" t="n">
        <v>0</v>
      </c>
      <c r="F18" s="3" t="n"/>
      <c r="G18" s="3" t="n"/>
    </row>
    <row r="19">
      <c r="A19" t="inlineStr">
        <is>
          <t>Purchase Of Intangibles</t>
        </is>
      </c>
      <c r="B19" s="3" t="n"/>
      <c r="C19" s="3" t="n"/>
      <c r="D19" s="3" t="n">
        <v>0</v>
      </c>
      <c r="E19" s="3" t="n">
        <v>0</v>
      </c>
      <c r="F19" s="3" t="n"/>
      <c r="G19" s="3" t="n"/>
    </row>
    <row r="20">
      <c r="A20" t="inlineStr">
        <is>
          <t>Net PPE Purchase And Sale</t>
        </is>
      </c>
      <c r="B20" s="3" t="n">
        <v>-7306296</v>
      </c>
      <c r="C20" s="3" t="n">
        <v>-1453915</v>
      </c>
      <c r="D20" s="3" t="n">
        <v>-4647858</v>
      </c>
      <c r="E20" s="3" t="n">
        <v>-175628</v>
      </c>
      <c r="F20" s="3" t="n">
        <v>-3625846</v>
      </c>
      <c r="G20" s="3" t="n"/>
    </row>
    <row r="21">
      <c r="A21" t="inlineStr">
        <is>
          <t>Purchase Of PPE</t>
        </is>
      </c>
      <c r="B21" s="3" t="n">
        <v>-7306296</v>
      </c>
      <c r="C21" s="3" t="n">
        <v>-1453915</v>
      </c>
      <c r="D21" s="3" t="n">
        <v>-4647858</v>
      </c>
      <c r="E21" s="3" t="n">
        <v>-175628</v>
      </c>
      <c r="F21" s="3" t="n">
        <v>-3625846</v>
      </c>
      <c r="G21" s="3" t="n"/>
    </row>
    <row r="22">
      <c r="A22" t="inlineStr">
        <is>
          <t>Operating Cash Flow</t>
        </is>
      </c>
      <c r="B22" s="3" t="n">
        <v>-5264361</v>
      </c>
      <c r="C22" s="3" t="n">
        <v>-3989840</v>
      </c>
      <c r="D22" s="3" t="n">
        <v>-4908454</v>
      </c>
      <c r="E22" s="3" t="n">
        <v>-9092530</v>
      </c>
      <c r="F22" s="3" t="n">
        <v>-2378453</v>
      </c>
      <c r="G22" s="3" t="n"/>
    </row>
    <row r="23">
      <c r="A23" t="inlineStr">
        <is>
          <t>Cash Flow From Continuing Operating Activities</t>
        </is>
      </c>
      <c r="B23" s="3" t="n">
        <v>-5264361</v>
      </c>
      <c r="C23" s="3" t="n">
        <v>-3989840</v>
      </c>
      <c r="D23" s="3" t="n">
        <v>-4908454</v>
      </c>
      <c r="E23" s="3" t="n">
        <v>-9092530</v>
      </c>
      <c r="F23" s="3" t="n">
        <v>-2378453</v>
      </c>
      <c r="G23" s="3" t="n"/>
    </row>
    <row r="24">
      <c r="A24" t="inlineStr">
        <is>
          <t>Change In Working Capital</t>
        </is>
      </c>
      <c r="B24" s="3" t="n">
        <v>1320599</v>
      </c>
      <c r="C24" s="3" t="n">
        <v>918325</v>
      </c>
      <c r="D24" s="3" t="n">
        <v>1280426</v>
      </c>
      <c r="E24" s="3" t="n">
        <v>-3067186</v>
      </c>
      <c r="F24" s="3" t="n">
        <v>2266728</v>
      </c>
      <c r="G24" s="3" t="n"/>
    </row>
    <row r="25">
      <c r="A25" t="inlineStr">
        <is>
          <t>Change In Other Current Liabilities</t>
        </is>
      </c>
      <c r="B25" s="3" t="n">
        <v>-83783</v>
      </c>
      <c r="C25" s="3" t="n">
        <v>-109376</v>
      </c>
      <c r="D25" s="3" t="n">
        <v>-12272</v>
      </c>
      <c r="E25" s="3" t="n">
        <v>-42946</v>
      </c>
      <c r="F25" s="3" t="n">
        <v>-66988</v>
      </c>
      <c r="G25" s="3" t="n"/>
    </row>
    <row r="26">
      <c r="A26" t="inlineStr">
        <is>
          <t>Change In Payables And Accrued Expense</t>
        </is>
      </c>
      <c r="B26" s="3" t="n">
        <v>1810256</v>
      </c>
      <c r="C26" s="3" t="n">
        <v>1226110</v>
      </c>
      <c r="D26" s="3" t="n">
        <v>675475</v>
      </c>
      <c r="E26" s="3" t="n">
        <v>-1926378</v>
      </c>
      <c r="F26" s="3" t="n">
        <v>1666244</v>
      </c>
      <c r="G26" s="3" t="n"/>
    </row>
    <row r="27">
      <c r="A27" t="inlineStr">
        <is>
          <t>Change In Payable</t>
        </is>
      </c>
      <c r="B27" s="3" t="n">
        <v>1810256</v>
      </c>
      <c r="C27" s="3" t="n">
        <v>1226110</v>
      </c>
      <c r="D27" s="3" t="n">
        <v>675475</v>
      </c>
      <c r="E27" s="3" t="n">
        <v>-1926378</v>
      </c>
      <c r="F27" s="3" t="n">
        <v>1666244</v>
      </c>
      <c r="G27" s="3" t="n"/>
    </row>
    <row r="28">
      <c r="A28" t="inlineStr">
        <is>
          <t>Change In Account Payable</t>
        </is>
      </c>
      <c r="B28" s="3" t="n">
        <v>1810256</v>
      </c>
      <c r="C28" s="3" t="n">
        <v>1226110</v>
      </c>
      <c r="D28" s="3" t="n">
        <v>717142</v>
      </c>
      <c r="E28" s="3" t="n">
        <v>-1938045</v>
      </c>
      <c r="F28" s="3" t="n">
        <v>1636244</v>
      </c>
      <c r="G28" s="3" t="n"/>
    </row>
    <row r="29">
      <c r="A29" t="inlineStr">
        <is>
          <t>Change In Prepaid Assets</t>
        </is>
      </c>
      <c r="B29" s="3" t="n">
        <v>-492255</v>
      </c>
      <c r="C29" s="3" t="n">
        <v>-112028</v>
      </c>
      <c r="D29" s="3" t="n">
        <v>617223</v>
      </c>
      <c r="E29" s="3" t="n">
        <v>-847862</v>
      </c>
      <c r="F29" s="3" t="n">
        <v>667472</v>
      </c>
      <c r="G29" s="3" t="n"/>
    </row>
    <row r="30">
      <c r="A30" t="inlineStr">
        <is>
          <t>Change In Receivables</t>
        </is>
      </c>
      <c r="B30" s="3" t="n"/>
      <c r="C30" s="3" t="n">
        <v>-86381</v>
      </c>
      <c r="D30" s="3" t="n">
        <v>0</v>
      </c>
      <c r="E30" s="3" t="n"/>
      <c r="F30" s="3" t="n"/>
      <c r="G30" s="3" t="n"/>
    </row>
    <row r="31">
      <c r="A31" t="inlineStr">
        <is>
          <t>Changes In Account Receivables</t>
        </is>
      </c>
      <c r="B31" s="3" t="n"/>
      <c r="C31" s="3" t="n">
        <v>-86381</v>
      </c>
      <c r="D31" s="3" t="n">
        <v>0</v>
      </c>
      <c r="E31" s="3" t="n"/>
      <c r="F31" s="3" t="n"/>
      <c r="G31" s="3" t="n"/>
    </row>
    <row r="32">
      <c r="A32" t="inlineStr">
        <is>
          <t>Other Non Cash Items</t>
        </is>
      </c>
      <c r="B32" s="3" t="n">
        <v>-471926</v>
      </c>
      <c r="C32" s="3" t="n">
        <v>-879284</v>
      </c>
      <c r="D32" s="3" t="n">
        <v>203500</v>
      </c>
      <c r="E32" s="3" t="n">
        <v>401500</v>
      </c>
      <c r="F32" s="3" t="n">
        <v>78250</v>
      </c>
      <c r="G32" s="3" t="n"/>
    </row>
    <row r="33">
      <c r="A33" t="inlineStr">
        <is>
          <t>Stock Based Compensation</t>
        </is>
      </c>
      <c r="B33" s="3" t="n">
        <v>2681137</v>
      </c>
      <c r="C33" s="3" t="n">
        <v>2072690</v>
      </c>
      <c r="D33" s="3" t="n">
        <v>1369373</v>
      </c>
      <c r="E33" s="3" t="n">
        <v>978789</v>
      </c>
      <c r="F33" s="3" t="n">
        <v>16476053</v>
      </c>
      <c r="G33" s="3" t="n"/>
    </row>
    <row r="34">
      <c r="A34" t="inlineStr">
        <is>
          <t>Unrealized Gain Loss On Investment Securities</t>
        </is>
      </c>
      <c r="B34" s="3" t="n">
        <v>57032</v>
      </c>
      <c r="C34" s="3" t="n">
        <v>122838</v>
      </c>
      <c r="D34" s="3" t="n"/>
      <c r="E34" s="3" t="n"/>
      <c r="F34" s="3" t="n">
        <v>0</v>
      </c>
      <c r="G34" s="3" t="n">
        <v>0</v>
      </c>
    </row>
    <row r="35">
      <c r="A35" t="inlineStr">
        <is>
          <t>Depreciation Amortization Depletion</t>
        </is>
      </c>
      <c r="B35" s="3" t="n">
        <v>328963</v>
      </c>
      <c r="C35" s="3" t="n">
        <v>291870</v>
      </c>
      <c r="D35" s="3" t="n">
        <v>288657</v>
      </c>
      <c r="E35" s="3" t="n">
        <v>188950</v>
      </c>
      <c r="F35" s="3" t="n">
        <v>109237</v>
      </c>
      <c r="G35" s="3" t="n"/>
    </row>
    <row r="36">
      <c r="A36" t="inlineStr">
        <is>
          <t>Depreciation And Amortization</t>
        </is>
      </c>
      <c r="B36" s="3" t="n">
        <v>328963</v>
      </c>
      <c r="C36" s="3" t="n">
        <v>291870</v>
      </c>
      <c r="D36" s="3" t="n">
        <v>288657</v>
      </c>
      <c r="E36" s="3" t="n">
        <v>188950</v>
      </c>
      <c r="F36" s="3" t="n">
        <v>109237</v>
      </c>
      <c r="G36" s="3" t="n"/>
    </row>
    <row r="37">
      <c r="A37" t="inlineStr">
        <is>
          <t>Depreciation</t>
        </is>
      </c>
      <c r="B37" s="3" t="n">
        <v>328963</v>
      </c>
      <c r="C37" s="3" t="n">
        <v>291870</v>
      </c>
      <c r="D37" s="3" t="n">
        <v>288657</v>
      </c>
      <c r="E37" s="3" t="n">
        <v>188950</v>
      </c>
      <c r="F37" s="3" t="n">
        <v>109237</v>
      </c>
      <c r="G37" s="3" t="n"/>
    </row>
    <row r="38">
      <c r="A38" t="inlineStr">
        <is>
          <t>Net Income From Continuing Operations</t>
        </is>
      </c>
      <c r="B38" s="3" t="n">
        <v>-9180166</v>
      </c>
      <c r="C38" s="3" t="n">
        <v>-6516279</v>
      </c>
      <c r="D38" s="3" t="n">
        <v>-8050410</v>
      </c>
      <c r="E38" s="3" t="n">
        <v>-7594583</v>
      </c>
      <c r="F38" s="3" t="n">
        <v>-21308721</v>
      </c>
      <c r="G3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  <row r="3">
      <c r="A3" t="inlineStr">
        <is>
          <t>P/S (TTM)</t>
        </is>
      </c>
      <c r="B3" t="inlineStr">
        <is>
          <t>missing from yfinance</t>
        </is>
      </c>
    </row>
    <row r="4">
      <c r="A4" t="inlineStr">
        <is>
          <t>Revenue growth (YoY)</t>
        </is>
      </c>
      <c r="B4" t="inlineStr">
        <is>
          <t>missing from yfinance</t>
        </is>
      </c>
    </row>
    <row r="5">
      <c r="A5" t="inlineStr">
        <is>
          <t>FY Summary</t>
        </is>
      </c>
      <c r="B5" t="inlineStr">
        <is>
          <t>'Gross Profit' not found in statements — left blank</t>
        </is>
      </c>
    </row>
    <row r="6">
      <c r="A6" t="inlineStr">
        <is>
          <t>FY Summary</t>
        </is>
      </c>
      <c r="B6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2026-06-20T19:56:56Z</dcterms:created>
  <dcterms:modified xsi:type="dcterms:W3CDTF">2026-06-20T19:56:57Z</dcterms:modified>
</cp:coreProperties>
</file>