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AEVA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Aeva Technologies,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1184567424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1108288000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-11.334411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56.48059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0.0463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-5.61099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-5.1607203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0.859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99504000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102056000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-116508000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67535203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17.54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(annual)'!D45</f>
        <v/>
      </c>
      <c r="C3" s="3">
        <f>'Income stmt (annual)'!C45</f>
        <v/>
      </c>
      <c r="D3" s="3">
        <f>'Income stmt (annual)'!B45</f>
        <v/>
      </c>
      <c r="E3" s="3">
        <f>SUM('Income stmt (quarterly)'!B47:E47)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(annual)'!D43</f>
        <v/>
      </c>
      <c r="C4" s="3">
        <f>'Income stmt (annual)'!C43</f>
        <v/>
      </c>
      <c r="D4" s="3">
        <f>'Income stmt (annual)'!B43</f>
        <v/>
      </c>
      <c r="E4" s="3">
        <f>SUM('Income stmt (quarterly)'!B45:E45)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(annual)'!D36</f>
        <v/>
      </c>
      <c r="C6" s="3">
        <f>'Income stmt (annual)'!C36</f>
        <v/>
      </c>
      <c r="D6" s="3">
        <f>'Income stmt (annual)'!B36</f>
        <v/>
      </c>
      <c r="E6" s="3">
        <f>SUM('Income stmt (quarterly)'!B38:E38)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(annual)'!D5</f>
        <v/>
      </c>
      <c r="C11" s="3">
        <f>-'Cash flow (annual)'!C5</f>
        <v/>
      </c>
      <c r="D11" s="3">
        <f>-'Cash flow (annual)'!B5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-4505130</v>
      </c>
      <c r="C2" s="3" t="n">
        <v>-2727060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</v>
      </c>
      <c r="E3" s="3" t="n">
        <v>0</v>
      </c>
    </row>
    <row r="4">
      <c r="A4" t="inlineStr">
        <is>
          <t>Normalized EBITDA</t>
        </is>
      </c>
      <c r="B4" s="3" t="n">
        <v>-97657000</v>
      </c>
      <c r="C4" s="3" t="n">
        <v>-124943000</v>
      </c>
      <c r="D4" s="3" t="n">
        <v>-139876000</v>
      </c>
      <c r="E4" s="3" t="n">
        <v>-145808000</v>
      </c>
    </row>
    <row r="5">
      <c r="A5" t="inlineStr">
        <is>
          <t>Total Unusual Items</t>
        </is>
      </c>
      <c r="B5" s="3" t="n">
        <v>-21453000</v>
      </c>
      <c r="C5" s="3" t="n">
        <v>-12986000</v>
      </c>
      <c r="D5" s="3" t="n">
        <v>-182000</v>
      </c>
      <c r="E5" s="3" t="n">
        <v>0</v>
      </c>
    </row>
    <row r="6">
      <c r="A6" t="inlineStr">
        <is>
          <t>Total Unusual Items Excluding Goodwill</t>
        </is>
      </c>
      <c r="B6" s="3" t="n">
        <v>-21453000</v>
      </c>
      <c r="C6" s="3" t="n">
        <v>-12986000</v>
      </c>
      <c r="D6" s="3" t="n">
        <v>-182000</v>
      </c>
      <c r="E6" s="3" t="n">
        <v>0</v>
      </c>
    </row>
    <row r="7">
      <c r="A7" t="inlineStr">
        <is>
          <t>Net Income From Continuing Operation Net Minority Interest</t>
        </is>
      </c>
      <c r="B7" s="3" t="n">
        <v>-145428000</v>
      </c>
      <c r="C7" s="3" t="n">
        <v>-152261000</v>
      </c>
      <c r="D7" s="3" t="n">
        <v>-149333000</v>
      </c>
      <c r="E7" s="3" t="n">
        <v>-147305000</v>
      </c>
    </row>
    <row r="8">
      <c r="A8" t="inlineStr">
        <is>
          <t>Reconciled Depreciation</t>
        </is>
      </c>
      <c r="B8" s="3" t="n">
        <v>8487000</v>
      </c>
      <c r="C8" s="3" t="n">
        <v>8943000</v>
      </c>
      <c r="D8" s="3" t="n">
        <v>7730000</v>
      </c>
      <c r="E8" s="3" t="n">
        <v>6147000</v>
      </c>
    </row>
    <row r="9">
      <c r="A9" t="inlineStr">
        <is>
          <t>Reconciled Cost Of Revenue</t>
        </is>
      </c>
      <c r="B9" s="3" t="n">
        <v>18739000</v>
      </c>
      <c r="C9" s="3" t="n">
        <v>12855000</v>
      </c>
      <c r="D9" s="3" t="n">
        <v>10198000</v>
      </c>
      <c r="E9" s="3" t="n">
        <v>8447000</v>
      </c>
    </row>
    <row r="10">
      <c r="A10" t="inlineStr">
        <is>
          <t>EBITDA</t>
        </is>
      </c>
      <c r="B10" s="3" t="n">
        <v>-119110000</v>
      </c>
      <c r="C10" s="3" t="n">
        <v>-137929000</v>
      </c>
      <c r="D10" s="3" t="n">
        <v>-140058000</v>
      </c>
      <c r="E10" s="3" t="n">
        <v>-145808000</v>
      </c>
    </row>
    <row r="11">
      <c r="A11" t="inlineStr">
        <is>
          <t>EBIT</t>
        </is>
      </c>
      <c r="B11" s="3" t="n">
        <v>-127597000</v>
      </c>
      <c r="C11" s="3" t="n">
        <v>-146872000</v>
      </c>
      <c r="D11" s="3" t="n">
        <v>-147788000</v>
      </c>
      <c r="E11" s="3" t="n">
        <v>-151955000</v>
      </c>
    </row>
    <row r="12">
      <c r="A12" t="inlineStr">
        <is>
          <t>Net Interest Income</t>
        </is>
      </c>
      <c r="B12" s="3" t="n">
        <v>2738000</v>
      </c>
      <c r="C12" s="3" t="n">
        <v>7712000</v>
      </c>
      <c r="D12" s="3" t="n">
        <v>8925000</v>
      </c>
      <c r="E12" s="3" t="n">
        <v>3707000</v>
      </c>
    </row>
    <row r="13">
      <c r="A13" t="inlineStr">
        <is>
          <t>Interest Income</t>
        </is>
      </c>
      <c r="B13" s="3" t="n">
        <v>2738000</v>
      </c>
      <c r="C13" s="3" t="n">
        <v>7712000</v>
      </c>
      <c r="D13" s="3" t="n">
        <v>8925000</v>
      </c>
      <c r="E13" s="3" t="n">
        <v>3707000</v>
      </c>
    </row>
    <row r="14">
      <c r="A14" t="inlineStr">
        <is>
          <t>Normalized Income</t>
        </is>
      </c>
      <c r="B14" s="3" t="n">
        <v>-128480130</v>
      </c>
      <c r="C14" s="3" t="n">
        <v>-142002060</v>
      </c>
      <c r="D14" s="3" t="n">
        <v>-149151000</v>
      </c>
      <c r="E14" s="3" t="n">
        <v>-147305000</v>
      </c>
    </row>
    <row r="15">
      <c r="A15" t="inlineStr">
        <is>
          <t>Net Income From Continuing And Discontinued Operation</t>
        </is>
      </c>
      <c r="B15" s="3" t="n">
        <v>-145428000</v>
      </c>
      <c r="C15" s="3" t="n">
        <v>-152261000</v>
      </c>
      <c r="D15" s="3" t="n">
        <v>-149333000</v>
      </c>
      <c r="E15" s="3" t="n">
        <v>-147305000</v>
      </c>
    </row>
    <row r="16">
      <c r="A16" t="inlineStr">
        <is>
          <t>Total Expenses</t>
        </is>
      </c>
      <c r="B16" s="3" t="n">
        <v>145676000</v>
      </c>
      <c r="C16" s="3" t="n">
        <v>155937000</v>
      </c>
      <c r="D16" s="3" t="n">
        <v>152100000</v>
      </c>
      <c r="E16" s="3" t="n">
        <v>156147000</v>
      </c>
    </row>
    <row r="17">
      <c r="A17" t="inlineStr">
        <is>
          <t>Total Operating Income As Reported</t>
        </is>
      </c>
      <c r="B17" s="3" t="n">
        <v>-127597000</v>
      </c>
      <c r="C17" s="3" t="n">
        <v>-158372000</v>
      </c>
      <c r="D17" s="3" t="n">
        <v>-147788000</v>
      </c>
      <c r="E17" s="3" t="n">
        <v>-151955000</v>
      </c>
    </row>
    <row r="18">
      <c r="A18" t="inlineStr">
        <is>
          <t>Diluted Average Shares</t>
        </is>
      </c>
      <c r="B18" s="3" t="n">
        <v>57023024</v>
      </c>
      <c r="C18" s="3" t="n">
        <v>53359685</v>
      </c>
      <c r="D18" s="3" t="n">
        <v>45412154</v>
      </c>
      <c r="E18" s="3" t="n">
        <v>43461579</v>
      </c>
    </row>
    <row r="19">
      <c r="A19" t="inlineStr">
        <is>
          <t>Basic Average Shares</t>
        </is>
      </c>
      <c r="B19" s="3" t="n">
        <v>57023024</v>
      </c>
      <c r="C19" s="3" t="n">
        <v>53359685</v>
      </c>
      <c r="D19" s="3" t="n">
        <v>45412154</v>
      </c>
      <c r="E19" s="3" t="n">
        <v>43461579</v>
      </c>
    </row>
    <row r="20">
      <c r="A20" t="inlineStr">
        <is>
          <t>Diluted EPS</t>
        </is>
      </c>
      <c r="B20" s="3" t="n">
        <v>-2.55</v>
      </c>
      <c r="C20" s="3" t="n">
        <v>-2.85</v>
      </c>
      <c r="D20" s="3" t="n">
        <v>-3.3</v>
      </c>
      <c r="E20" s="3" t="n">
        <v>-3.4</v>
      </c>
    </row>
    <row r="21">
      <c r="A21" t="inlineStr">
        <is>
          <t>Basic EPS</t>
        </is>
      </c>
      <c r="B21" s="3" t="n">
        <v>-2.55</v>
      </c>
      <c r="C21" s="3" t="n">
        <v>-2.85</v>
      </c>
      <c r="D21" s="3" t="n">
        <v>-3.3</v>
      </c>
      <c r="E21" s="3" t="n">
        <v>-3.4</v>
      </c>
    </row>
    <row r="22">
      <c r="A22" t="inlineStr">
        <is>
          <t>Diluted NI Availto Com Stockholders</t>
        </is>
      </c>
      <c r="B22" s="3" t="n">
        <v>-145428000</v>
      </c>
      <c r="C22" s="3" t="n">
        <v>-152261000</v>
      </c>
      <c r="D22" s="3" t="n">
        <v>-149333000</v>
      </c>
      <c r="E22" s="3" t="n">
        <v>-147305000</v>
      </c>
    </row>
    <row r="23">
      <c r="A23" t="inlineStr">
        <is>
          <t>Net Income Common Stockholders</t>
        </is>
      </c>
      <c r="B23" s="3" t="n">
        <v>-145428000</v>
      </c>
      <c r="C23" s="3" t="n">
        <v>-152261000</v>
      </c>
      <c r="D23" s="3" t="n">
        <v>-149333000</v>
      </c>
      <c r="E23" s="3" t="n">
        <v>-147305000</v>
      </c>
    </row>
    <row r="24">
      <c r="A24" t="inlineStr">
        <is>
          <t>Net Income</t>
        </is>
      </c>
      <c r="B24" s="3" t="n">
        <v>-145428000</v>
      </c>
      <c r="C24" s="3" t="n">
        <v>-152261000</v>
      </c>
      <c r="D24" s="3" t="n">
        <v>-149333000</v>
      </c>
      <c r="E24" s="3" t="n">
        <v>-147305000</v>
      </c>
    </row>
    <row r="25">
      <c r="A25" t="inlineStr">
        <is>
          <t>Net Income Including Noncontrolling Interests</t>
        </is>
      </c>
      <c r="B25" s="3" t="n">
        <v>-145428000</v>
      </c>
      <c r="C25" s="3" t="n">
        <v>-152261000</v>
      </c>
      <c r="D25" s="3" t="n">
        <v>-149333000</v>
      </c>
      <c r="E25" s="3" t="n">
        <v>-147305000</v>
      </c>
    </row>
    <row r="26">
      <c r="A26" t="inlineStr">
        <is>
          <t>Net Income Continuous Operations</t>
        </is>
      </c>
      <c r="B26" s="3" t="n">
        <v>-145428000</v>
      </c>
      <c r="C26" s="3" t="n">
        <v>-152261000</v>
      </c>
      <c r="D26" s="3" t="n">
        <v>-149333000</v>
      </c>
      <c r="E26" s="3" t="n">
        <v>-147305000</v>
      </c>
    </row>
    <row r="27">
      <c r="A27" t="inlineStr">
        <is>
          <t>Tax Provision</t>
        </is>
      </c>
      <c r="B27" s="3" t="n">
        <v>308000</v>
      </c>
      <c r="C27" s="3" t="n">
        <v>171000</v>
      </c>
      <c r="D27" s="3" t="n">
        <v>0</v>
      </c>
      <c r="E27" s="3" t="n">
        <v>0</v>
      </c>
    </row>
    <row r="28">
      <c r="A28" t="inlineStr">
        <is>
          <t>Pretax Income</t>
        </is>
      </c>
      <c r="B28" s="3" t="n">
        <v>-145120000</v>
      </c>
      <c r="C28" s="3" t="n">
        <v>-152090000</v>
      </c>
      <c r="D28" s="3" t="n">
        <v>-149333000</v>
      </c>
      <c r="E28" s="3" t="n">
        <v>-147305000</v>
      </c>
    </row>
    <row r="29">
      <c r="A29" t="inlineStr">
        <is>
          <t>Other Income Expense</t>
        </is>
      </c>
      <c r="B29" s="3" t="n">
        <v>-20261000</v>
      </c>
      <c r="C29" s="3" t="n">
        <v>-12930000</v>
      </c>
      <c r="D29" s="3" t="n">
        <v>-10470000</v>
      </c>
      <c r="E29" s="3" t="n">
        <v>943000</v>
      </c>
    </row>
    <row r="30">
      <c r="A30" t="inlineStr">
        <is>
          <t>Other Non Operating Income Expenses</t>
        </is>
      </c>
      <c r="B30" s="3" t="n">
        <v>1192000</v>
      </c>
      <c r="C30" s="3" t="n">
        <v>56000</v>
      </c>
      <c r="D30" s="3" t="n">
        <v>-10288000</v>
      </c>
      <c r="E30" s="3" t="n">
        <v>943000</v>
      </c>
    </row>
    <row r="31">
      <c r="A31" t="inlineStr">
        <is>
          <t>Special Income Charges</t>
        </is>
      </c>
      <c r="B31" s="3" t="n">
        <v>0</v>
      </c>
      <c r="C31" s="3" t="n">
        <v>-11500000</v>
      </c>
      <c r="D31" s="3" t="n">
        <v>0</v>
      </c>
      <c r="E31" s="3" t="n">
        <v>0</v>
      </c>
    </row>
    <row r="32">
      <c r="A32" t="inlineStr">
        <is>
          <t>Other Special Charges</t>
        </is>
      </c>
      <c r="B32" s="3" t="n"/>
      <c r="C32" s="3" t="n">
        <v>11500000</v>
      </c>
      <c r="D32" s="3" t="n"/>
      <c r="E32" s="3" t="n"/>
    </row>
    <row r="33">
      <c r="A33" t="inlineStr">
        <is>
          <t>Gain On Sale Of Security</t>
        </is>
      </c>
      <c r="B33" s="3" t="n">
        <v>-21453000</v>
      </c>
      <c r="C33" s="3" t="n">
        <v>-1486000</v>
      </c>
      <c r="D33" s="3" t="n">
        <v>-182000</v>
      </c>
      <c r="E33" s="3" t="n"/>
    </row>
    <row r="34">
      <c r="A34" t="inlineStr">
        <is>
          <t>Net Non Operating Interest Income Expense</t>
        </is>
      </c>
      <c r="B34" s="3" t="n">
        <v>2738000</v>
      </c>
      <c r="C34" s="3" t="n">
        <v>7712000</v>
      </c>
      <c r="D34" s="3" t="n">
        <v>8925000</v>
      </c>
      <c r="E34" s="3" t="n">
        <v>3707000</v>
      </c>
    </row>
    <row r="35">
      <c r="A35" t="inlineStr">
        <is>
          <t>Interest Income Non Operating</t>
        </is>
      </c>
      <c r="B35" s="3" t="n">
        <v>2738000</v>
      </c>
      <c r="C35" s="3" t="n">
        <v>7712000</v>
      </c>
      <c r="D35" s="3" t="n">
        <v>8925000</v>
      </c>
      <c r="E35" s="3" t="n">
        <v>3707000</v>
      </c>
    </row>
    <row r="36">
      <c r="A36" t="inlineStr">
        <is>
          <t>Operating Income</t>
        </is>
      </c>
      <c r="B36" s="3" t="n">
        <v>-127597000</v>
      </c>
      <c r="C36" s="3" t="n">
        <v>-146872000</v>
      </c>
      <c r="D36" s="3" t="n">
        <v>-147788000</v>
      </c>
      <c r="E36" s="3" t="n">
        <v>-151955000</v>
      </c>
    </row>
    <row r="37">
      <c r="A37" t="inlineStr">
        <is>
          <t>Operating Expense</t>
        </is>
      </c>
      <c r="B37" s="3" t="n">
        <v>126937000</v>
      </c>
      <c r="C37" s="3" t="n">
        <v>143082000</v>
      </c>
      <c r="D37" s="3" t="n">
        <v>141902000</v>
      </c>
      <c r="E37" s="3" t="n">
        <v>147700000</v>
      </c>
    </row>
    <row r="38">
      <c r="A38" t="inlineStr">
        <is>
          <t>Research And Development</t>
        </is>
      </c>
      <c r="B38" s="3" t="n">
        <v>85424000</v>
      </c>
      <c r="C38" s="3" t="n">
        <v>102667000</v>
      </c>
      <c r="D38" s="3" t="n">
        <v>102503000</v>
      </c>
      <c r="E38" s="3" t="n">
        <v>109587000</v>
      </c>
    </row>
    <row r="39">
      <c r="A39" t="inlineStr">
        <is>
          <t>Selling General And Administration</t>
        </is>
      </c>
      <c r="B39" s="3" t="n">
        <v>41513000</v>
      </c>
      <c r="C39" s="3" t="n">
        <v>40415000</v>
      </c>
      <c r="D39" s="3" t="n">
        <v>39399000</v>
      </c>
      <c r="E39" s="3" t="n">
        <v>38113000</v>
      </c>
    </row>
    <row r="40">
      <c r="A40" t="inlineStr">
        <is>
          <t>Selling And Marketing Expense</t>
        </is>
      </c>
      <c r="B40" s="3" t="n">
        <v>6685000</v>
      </c>
      <c r="C40" s="3" t="n">
        <v>7156000</v>
      </c>
      <c r="D40" s="3" t="n">
        <v>7638000</v>
      </c>
      <c r="E40" s="3" t="n">
        <v>7043000</v>
      </c>
    </row>
    <row r="41">
      <c r="A41" t="inlineStr">
        <is>
          <t>General And Administrative Expense</t>
        </is>
      </c>
      <c r="B41" s="3" t="n">
        <v>34828000</v>
      </c>
      <c r="C41" s="3" t="n">
        <v>33259000</v>
      </c>
      <c r="D41" s="3" t="n">
        <v>31761000</v>
      </c>
      <c r="E41" s="3" t="n">
        <v>31070000</v>
      </c>
    </row>
    <row r="42">
      <c r="A42" t="inlineStr">
        <is>
          <t>Other Gand A</t>
        </is>
      </c>
      <c r="B42" s="3" t="n">
        <v>34828000</v>
      </c>
      <c r="C42" s="3" t="n">
        <v>33259000</v>
      </c>
      <c r="D42" s="3" t="n">
        <v>31761000</v>
      </c>
      <c r="E42" s="3" t="n">
        <v>31070000</v>
      </c>
    </row>
    <row r="43">
      <c r="A43" t="inlineStr">
        <is>
          <t>Gross Profit</t>
        </is>
      </c>
      <c r="B43" s="3" t="n">
        <v>-660000</v>
      </c>
      <c r="C43" s="3" t="n">
        <v>-3790000</v>
      </c>
      <c r="D43" s="3" t="n">
        <v>-5886000</v>
      </c>
      <c r="E43" s="3" t="n">
        <v>-4255000</v>
      </c>
    </row>
    <row r="44">
      <c r="A44" t="inlineStr">
        <is>
          <t>Cost Of Revenue</t>
        </is>
      </c>
      <c r="B44" s="3" t="n">
        <v>18739000</v>
      </c>
      <c r="C44" s="3" t="n">
        <v>12855000</v>
      </c>
      <c r="D44" s="3" t="n">
        <v>10198000</v>
      </c>
      <c r="E44" s="3" t="n">
        <v>8447000</v>
      </c>
    </row>
    <row r="45">
      <c r="A45" t="inlineStr">
        <is>
          <t>Total Revenue</t>
        </is>
      </c>
      <c r="B45" s="3" t="n">
        <v>18079000</v>
      </c>
      <c r="C45" s="3" t="n">
        <v>9065000</v>
      </c>
      <c r="D45" s="3" t="n">
        <v>4312000</v>
      </c>
      <c r="E45" s="3" t="n">
        <v>4192000</v>
      </c>
    </row>
    <row r="46">
      <c r="A46" t="inlineStr">
        <is>
          <t>Operating Revenue</t>
        </is>
      </c>
      <c r="B46" s="3" t="n">
        <v>18079000</v>
      </c>
      <c r="C46" s="3" t="n">
        <v>9065000</v>
      </c>
      <c r="D46" s="3" t="n">
        <v>4312000</v>
      </c>
      <c r="E46" s="3" t="n">
        <v>4192000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180000</v>
      </c>
      <c r="C2" s="3" t="n">
        <v>819210</v>
      </c>
      <c r="D2" s="3" t="n">
        <v>42046.689785</v>
      </c>
      <c r="E2" s="3" t="n">
        <v>-18580380</v>
      </c>
      <c r="F2" s="3" t="n">
        <v>-1134000</v>
      </c>
      <c r="G2" s="3" t="n"/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0.000614</v>
      </c>
      <c r="E3" s="3" t="n">
        <v>0.21</v>
      </c>
      <c r="F3" s="3" t="n">
        <v>0.21</v>
      </c>
      <c r="G3" s="3" t="n"/>
    </row>
    <row r="4">
      <c r="A4" t="inlineStr">
        <is>
          <t>Normalized EBITDA</t>
        </is>
      </c>
      <c r="B4" s="3" t="n">
        <v>-32353000</v>
      </c>
      <c r="C4" s="3" t="n">
        <v>-31163000</v>
      </c>
      <c r="D4" s="3" t="n">
        <v>-99577000</v>
      </c>
      <c r="E4" s="3" t="n">
        <v>55799000</v>
      </c>
      <c r="F4" s="3" t="n">
        <v>-27108000</v>
      </c>
      <c r="G4" s="3" t="n"/>
    </row>
    <row r="5">
      <c r="A5" t="inlineStr">
        <is>
          <t>Total Unusual Items</t>
        </is>
      </c>
      <c r="B5" s="3" t="n">
        <v>450000</v>
      </c>
      <c r="C5" s="3" t="n">
        <v>3901000</v>
      </c>
      <c r="D5" s="3" t="n">
        <v>68524000</v>
      </c>
      <c r="E5" s="3" t="n">
        <v>-88478000</v>
      </c>
      <c r="F5" s="3" t="n">
        <v>-5400000</v>
      </c>
      <c r="G5" s="3" t="n"/>
    </row>
    <row r="6">
      <c r="A6" t="inlineStr">
        <is>
          <t>Total Unusual Items Excluding Goodwill</t>
        </is>
      </c>
      <c r="B6" s="3" t="n">
        <v>450000</v>
      </c>
      <c r="C6" s="3" t="n">
        <v>3901000</v>
      </c>
      <c r="D6" s="3" t="n">
        <v>68524000</v>
      </c>
      <c r="E6" s="3" t="n">
        <v>-88478000</v>
      </c>
      <c r="F6" s="3" t="n">
        <v>-5400000</v>
      </c>
      <c r="G6" s="3" t="n"/>
    </row>
    <row r="7">
      <c r="A7" t="inlineStr">
        <is>
          <t>Net Income From Continuing Operation Net Minority Interest</t>
        </is>
      </c>
      <c r="B7" s="3" t="n">
        <v>-34979000</v>
      </c>
      <c r="C7" s="3" t="n">
        <v>-25314000</v>
      </c>
      <c r="D7" s="3" t="n">
        <v>107495000</v>
      </c>
      <c r="E7" s="3" t="n">
        <v>-192742000</v>
      </c>
      <c r="F7" s="3" t="n">
        <v>-34867000</v>
      </c>
      <c r="G7" s="3" t="n"/>
    </row>
    <row r="8">
      <c r="A8" t="inlineStr">
        <is>
          <t>Reconciled Depreciation</t>
        </is>
      </c>
      <c r="B8" s="3" t="n">
        <v>1861000</v>
      </c>
      <c r="C8" s="3" t="n">
        <v>1833000</v>
      </c>
      <c r="D8" s="3" t="n">
        <v>2108000</v>
      </c>
      <c r="E8" s="3" t="n">
        <v>2244000</v>
      </c>
      <c r="F8" s="3" t="n">
        <v>2302000</v>
      </c>
      <c r="G8" s="3" t="n"/>
    </row>
    <row r="9">
      <c r="A9" t="inlineStr">
        <is>
          <t>Reconciled Cost Of Revenue</t>
        </is>
      </c>
      <c r="B9" s="3" t="n">
        <v>4321000</v>
      </c>
      <c r="C9" s="3" t="n">
        <v>4301000</v>
      </c>
      <c r="D9" s="3" t="n">
        <v>3149000</v>
      </c>
      <c r="E9" s="3" t="n">
        <v>8231000</v>
      </c>
      <c r="F9" s="3" t="n">
        <v>3058000</v>
      </c>
      <c r="G9" s="3" t="n"/>
    </row>
    <row r="10">
      <c r="A10" t="inlineStr">
        <is>
          <t>EBITDA</t>
        </is>
      </c>
      <c r="B10" s="3" t="n">
        <v>-31903000</v>
      </c>
      <c r="C10" s="3" t="n">
        <v>-27262000</v>
      </c>
      <c r="D10" s="3" t="n">
        <v>-31053000</v>
      </c>
      <c r="E10" s="3" t="n">
        <v>-32679000</v>
      </c>
      <c r="F10" s="3" t="n">
        <v>-32508000</v>
      </c>
      <c r="G10" s="3" t="n"/>
    </row>
    <row r="11">
      <c r="A11" t="inlineStr">
        <is>
          <t>EBIT</t>
        </is>
      </c>
      <c r="B11" s="3" t="n">
        <v>-33764000</v>
      </c>
      <c r="C11" s="3" t="n">
        <v>-29095000</v>
      </c>
      <c r="D11" s="3" t="n">
        <v>-33161000</v>
      </c>
      <c r="E11" s="3" t="n">
        <v>-34923000</v>
      </c>
      <c r="F11" s="3" t="n">
        <v>-34810000</v>
      </c>
      <c r="G11" s="3" t="n"/>
    </row>
    <row r="12">
      <c r="A12" t="inlineStr">
        <is>
          <t>Net Interest Income</t>
        </is>
      </c>
      <c r="B12" s="3" t="n">
        <v>-306000</v>
      </c>
      <c r="C12" s="3" t="n">
        <v>727000</v>
      </c>
      <c r="D12" s="3" t="n">
        <v>385000</v>
      </c>
      <c r="E12" s="3" t="n">
        <v>619000</v>
      </c>
      <c r="F12" s="3" t="n">
        <v>1007000</v>
      </c>
      <c r="G12" s="3" t="n"/>
    </row>
    <row r="13">
      <c r="A13" t="inlineStr">
        <is>
          <t>Interest Expense</t>
        </is>
      </c>
      <c r="B13" s="3" t="n">
        <v>1183000</v>
      </c>
      <c r="C13" s="3" t="n"/>
      <c r="D13" s="3" t="n"/>
      <c r="E13" s="3" t="n"/>
      <c r="F13" s="3" t="n">
        <v>0</v>
      </c>
      <c r="G13" s="3" t="n"/>
    </row>
    <row r="14">
      <c r="A14" t="inlineStr">
        <is>
          <t>Interest Income</t>
        </is>
      </c>
      <c r="B14" s="3" t="n">
        <v>877000</v>
      </c>
      <c r="C14" s="3" t="n">
        <v>727000</v>
      </c>
      <c r="D14" s="3" t="n">
        <v>385000</v>
      </c>
      <c r="E14" s="3" t="n">
        <v>619000</v>
      </c>
      <c r="F14" s="3" t="n">
        <v>1007000</v>
      </c>
      <c r="G14" s="3" t="n"/>
    </row>
    <row r="15">
      <c r="A15" t="inlineStr">
        <is>
          <t>Normalized Income</t>
        </is>
      </c>
      <c r="B15" s="3" t="n">
        <v>-35249000</v>
      </c>
      <c r="C15" s="3" t="n">
        <v>-28395790</v>
      </c>
      <c r="D15" s="3" t="n">
        <v>39013046.689785</v>
      </c>
      <c r="E15" s="3" t="n">
        <v>-122844380</v>
      </c>
      <c r="F15" s="3" t="n">
        <v>-30601000</v>
      </c>
      <c r="G15" s="3" t="n"/>
    </row>
    <row r="16">
      <c r="A16" t="inlineStr">
        <is>
          <t>Net Income From Continuing And Discontinued Operation</t>
        </is>
      </c>
      <c r="B16" s="3" t="n">
        <v>-34979000</v>
      </c>
      <c r="C16" s="3" t="n">
        <v>-25314000</v>
      </c>
      <c r="D16" s="3" t="n">
        <v>107495000</v>
      </c>
      <c r="E16" s="3" t="n">
        <v>-192742000</v>
      </c>
      <c r="F16" s="3" t="n">
        <v>-34867000</v>
      </c>
      <c r="G16" s="3" t="n"/>
    </row>
    <row r="17">
      <c r="A17" t="inlineStr">
        <is>
          <t>Total Expenses</t>
        </is>
      </c>
      <c r="B17" s="3" t="n">
        <v>41398000</v>
      </c>
      <c r="C17" s="3" t="n">
        <v>34716000</v>
      </c>
      <c r="D17" s="3" t="n">
        <v>36740000</v>
      </c>
      <c r="E17" s="3" t="n">
        <v>40434000</v>
      </c>
      <c r="F17" s="3" t="n">
        <v>33786000</v>
      </c>
      <c r="G17" s="3" t="n"/>
    </row>
    <row r="18">
      <c r="A18" t="inlineStr">
        <is>
          <t>Total Operating Income As Reported</t>
        </is>
      </c>
      <c r="B18" s="3" t="n">
        <v>-35136000</v>
      </c>
      <c r="C18" s="3" t="n">
        <v>-29095000</v>
      </c>
      <c r="D18" s="3" t="n">
        <v>-33161000</v>
      </c>
      <c r="E18" s="3" t="n">
        <v>-34923000</v>
      </c>
      <c r="F18" s="3" t="n">
        <v>-30418000</v>
      </c>
      <c r="G18" s="3" t="n"/>
    </row>
    <row r="19">
      <c r="A19" t="inlineStr">
        <is>
          <t>Diluted Average Shares</t>
        </is>
      </c>
      <c r="B19" s="3" t="n">
        <v>62808102</v>
      </c>
      <c r="C19" s="3" t="n">
        <v>60227947</v>
      </c>
      <c r="D19" s="3" t="n">
        <v>61087059</v>
      </c>
      <c r="E19" s="3" t="n">
        <v>55161124</v>
      </c>
      <c r="F19" s="3" t="n">
        <v>54750088</v>
      </c>
      <c r="G19" s="3" t="n"/>
    </row>
    <row r="20">
      <c r="A20" t="inlineStr">
        <is>
          <t>Basic Average Shares</t>
        </is>
      </c>
      <c r="B20" s="3" t="n">
        <v>62808102</v>
      </c>
      <c r="C20" s="3" t="n">
        <v>60227947</v>
      </c>
      <c r="D20" s="3" t="n">
        <v>57883326</v>
      </c>
      <c r="E20" s="3" t="n">
        <v>55161124</v>
      </c>
      <c r="F20" s="3" t="n">
        <v>54750088</v>
      </c>
      <c r="G20" s="3" t="n"/>
    </row>
    <row r="21">
      <c r="A21" t="inlineStr">
        <is>
          <t>Diluted EPS</t>
        </is>
      </c>
      <c r="B21" s="3" t="n">
        <v>-0.5600000000000001</v>
      </c>
      <c r="C21" s="3" t="n">
        <v>-0.42</v>
      </c>
      <c r="D21" s="3" t="n">
        <v>-0.52</v>
      </c>
      <c r="E21" s="3" t="n">
        <v>-3.49</v>
      </c>
      <c r="F21" s="3" t="n">
        <v>-0.64</v>
      </c>
      <c r="G21" s="3" t="n"/>
    </row>
    <row r="22">
      <c r="A22" t="inlineStr">
        <is>
          <t>Basic EPS</t>
        </is>
      </c>
      <c r="B22" s="3" t="n">
        <v>-0.5600000000000001</v>
      </c>
      <c r="C22" s="3" t="n">
        <v>-0.42</v>
      </c>
      <c r="D22" s="3" t="n">
        <v>1.86</v>
      </c>
      <c r="E22" s="3" t="n">
        <v>-3.49</v>
      </c>
      <c r="F22" s="3" t="n">
        <v>-0.64</v>
      </c>
      <c r="G22" s="3" t="n"/>
    </row>
    <row r="23">
      <c r="A23" t="inlineStr">
        <is>
          <t>Diluted NI Availto Com Stockholders</t>
        </is>
      </c>
      <c r="B23" s="3" t="n">
        <v>-34979000</v>
      </c>
      <c r="C23" s="3" t="n">
        <v>-25314000</v>
      </c>
      <c r="D23" s="3" t="n">
        <v>107495000</v>
      </c>
      <c r="E23" s="3" t="n">
        <v>-192742000</v>
      </c>
      <c r="F23" s="3" t="n">
        <v>-34867000</v>
      </c>
      <c r="G23" s="3" t="n"/>
    </row>
    <row r="24">
      <c r="A24" t="inlineStr">
        <is>
          <t>Net Income Common Stockholders</t>
        </is>
      </c>
      <c r="B24" s="3" t="n">
        <v>-34979000</v>
      </c>
      <c r="C24" s="3" t="n">
        <v>-25314000</v>
      </c>
      <c r="D24" s="3" t="n">
        <v>107495000</v>
      </c>
      <c r="E24" s="3" t="n">
        <v>-192742000</v>
      </c>
      <c r="F24" s="3" t="n">
        <v>-34867000</v>
      </c>
      <c r="G24" s="3" t="n"/>
    </row>
    <row r="25">
      <c r="A25" t="inlineStr">
        <is>
          <t>Net Income</t>
        </is>
      </c>
      <c r="B25" s="3" t="n">
        <v>-34979000</v>
      </c>
      <c r="C25" s="3" t="n">
        <v>-25314000</v>
      </c>
      <c r="D25" s="3" t="n">
        <v>107495000</v>
      </c>
      <c r="E25" s="3" t="n">
        <v>-192742000</v>
      </c>
      <c r="F25" s="3" t="n">
        <v>-34867000</v>
      </c>
      <c r="G25" s="3" t="n"/>
    </row>
    <row r="26">
      <c r="A26" t="inlineStr">
        <is>
          <t>Net Income Including Noncontrolling Interests</t>
        </is>
      </c>
      <c r="B26" s="3" t="n">
        <v>-34979000</v>
      </c>
      <c r="C26" s="3" t="n">
        <v>-25314000</v>
      </c>
      <c r="D26" s="3" t="n">
        <v>107495000</v>
      </c>
      <c r="E26" s="3" t="n">
        <v>-192742000</v>
      </c>
      <c r="F26" s="3" t="n">
        <v>-34867000</v>
      </c>
      <c r="G26" s="3" t="n"/>
    </row>
    <row r="27">
      <c r="A27" t="inlineStr">
        <is>
          <t>Net Income Continuous Operations</t>
        </is>
      </c>
      <c r="B27" s="3" t="n">
        <v>-34979000</v>
      </c>
      <c r="C27" s="3" t="n">
        <v>-25314000</v>
      </c>
      <c r="D27" s="3" t="n">
        <v>107495000</v>
      </c>
      <c r="E27" s="3" t="n">
        <v>-192742000</v>
      </c>
      <c r="F27" s="3" t="n">
        <v>-34867000</v>
      </c>
      <c r="G27" s="3" t="n"/>
    </row>
    <row r="28">
      <c r="A28" t="inlineStr">
        <is>
          <t>Tax Provision</t>
        </is>
      </c>
      <c r="B28" s="3" t="n">
        <v>32000</v>
      </c>
      <c r="C28" s="3" t="n">
        <v>115000</v>
      </c>
      <c r="D28" s="3" t="n">
        <v>66000</v>
      </c>
      <c r="E28" s="3" t="n">
        <v>70000</v>
      </c>
      <c r="F28" s="3" t="n">
        <v>57000</v>
      </c>
      <c r="G28" s="3" t="n"/>
    </row>
    <row r="29">
      <c r="A29" t="inlineStr">
        <is>
          <t>Pretax Income</t>
        </is>
      </c>
      <c r="B29" s="3" t="n">
        <v>-34947000</v>
      </c>
      <c r="C29" s="3" t="n">
        <v>-25199000</v>
      </c>
      <c r="D29" s="3" t="n">
        <v>107561000</v>
      </c>
      <c r="E29" s="3" t="n">
        <v>-192672000</v>
      </c>
      <c r="F29" s="3" t="n">
        <v>-34810000</v>
      </c>
      <c r="G29" s="3" t="n"/>
    </row>
    <row r="30">
      <c r="A30" t="inlineStr">
        <is>
          <t>Other Income Expense</t>
        </is>
      </c>
      <c r="B30" s="3" t="n">
        <v>495000</v>
      </c>
      <c r="C30" s="3" t="n">
        <v>3169000</v>
      </c>
      <c r="D30" s="3" t="n">
        <v>140337000</v>
      </c>
      <c r="E30" s="3" t="n">
        <v>-158368000</v>
      </c>
      <c r="F30" s="3" t="n">
        <v>-5399000</v>
      </c>
      <c r="G30" s="3" t="n"/>
    </row>
    <row r="31">
      <c r="A31" t="inlineStr">
        <is>
          <t>Other Non Operating Income Expenses</t>
        </is>
      </c>
      <c r="B31" s="3" t="n">
        <v>45000</v>
      </c>
      <c r="C31" s="3" t="n">
        <v>-732000</v>
      </c>
      <c r="D31" s="3" t="n">
        <v>71813000</v>
      </c>
      <c r="E31" s="3" t="n">
        <v>-69890000</v>
      </c>
      <c r="F31" s="3" t="n">
        <v>1000</v>
      </c>
      <c r="G31" s="3" t="n"/>
    </row>
    <row r="32">
      <c r="A32" t="inlineStr">
        <is>
          <t>Special Income Charges</t>
        </is>
      </c>
      <c r="B32" s="3" t="n"/>
      <c r="C32" s="3" t="n">
        <v>0</v>
      </c>
      <c r="D32" s="3" t="n">
        <v>0</v>
      </c>
      <c r="E32" s="3" t="n">
        <v>0</v>
      </c>
      <c r="F32" s="3" t="n"/>
      <c r="G32" s="3" t="n">
        <v>0</v>
      </c>
    </row>
    <row r="33">
      <c r="A33" t="inlineStr">
        <is>
          <t>Other Special Charges</t>
        </is>
      </c>
      <c r="B33" s="3" t="n"/>
      <c r="C33" s="3" t="n"/>
      <c r="D33" s="3" t="n"/>
      <c r="E33" s="3" t="n"/>
      <c r="F33" s="3" t="n"/>
      <c r="G33" s="3" t="n">
        <v>0</v>
      </c>
    </row>
    <row r="34">
      <c r="A34" t="inlineStr">
        <is>
          <t>Gain On Sale Of Security</t>
        </is>
      </c>
      <c r="B34" s="3" t="n">
        <v>450000</v>
      </c>
      <c r="C34" s="3" t="n">
        <v>3901000</v>
      </c>
      <c r="D34" s="3" t="n">
        <v>68524000</v>
      </c>
      <c r="E34" s="3" t="n">
        <v>-88478000</v>
      </c>
      <c r="F34" s="3" t="n">
        <v>-5400000</v>
      </c>
      <c r="G34" s="3" t="n"/>
    </row>
    <row r="35">
      <c r="A35" t="inlineStr">
        <is>
          <t>Net Non Operating Interest Income Expense</t>
        </is>
      </c>
      <c r="B35" s="3" t="n">
        <v>-306000</v>
      </c>
      <c r="C35" s="3" t="n">
        <v>727000</v>
      </c>
      <c r="D35" s="3" t="n">
        <v>385000</v>
      </c>
      <c r="E35" s="3" t="n">
        <v>619000</v>
      </c>
      <c r="F35" s="3" t="n">
        <v>1007000</v>
      </c>
      <c r="G35" s="3" t="n"/>
    </row>
    <row r="36">
      <c r="A36" t="inlineStr">
        <is>
          <t>Interest Expense Non Operating</t>
        </is>
      </c>
      <c r="B36" s="3" t="n">
        <v>1183000</v>
      </c>
      <c r="C36" s="3" t="n"/>
      <c r="D36" s="3" t="n"/>
      <c r="E36" s="3" t="n"/>
      <c r="F36" s="3" t="n">
        <v>0</v>
      </c>
      <c r="G36" s="3" t="n"/>
    </row>
    <row r="37">
      <c r="A37" t="inlineStr">
        <is>
          <t>Interest Income Non Operating</t>
        </is>
      </c>
      <c r="B37" s="3" t="n">
        <v>877000</v>
      </c>
      <c r="C37" s="3" t="n">
        <v>727000</v>
      </c>
      <c r="D37" s="3" t="n">
        <v>385000</v>
      </c>
      <c r="E37" s="3" t="n">
        <v>619000</v>
      </c>
      <c r="F37" s="3" t="n">
        <v>1007000</v>
      </c>
      <c r="G37" s="3" t="n"/>
    </row>
    <row r="38">
      <c r="A38" t="inlineStr">
        <is>
          <t>Operating Income</t>
        </is>
      </c>
      <c r="B38" s="3" t="n">
        <v>-35136000</v>
      </c>
      <c r="C38" s="3" t="n">
        <v>-29095000</v>
      </c>
      <c r="D38" s="3" t="n">
        <v>-33161000</v>
      </c>
      <c r="E38" s="3" t="n">
        <v>-34923000</v>
      </c>
      <c r="F38" s="3" t="n">
        <v>-30418000</v>
      </c>
      <c r="G38" s="3" t="n"/>
    </row>
    <row r="39">
      <c r="A39" t="inlineStr">
        <is>
          <t>Operating Expense</t>
        </is>
      </c>
      <c r="B39" s="3" t="n">
        <v>37077000</v>
      </c>
      <c r="C39" s="3" t="n">
        <v>30415000</v>
      </c>
      <c r="D39" s="3" t="n">
        <v>33591000</v>
      </c>
      <c r="E39" s="3" t="n">
        <v>32203000</v>
      </c>
      <c r="F39" s="3" t="n">
        <v>30728000</v>
      </c>
      <c r="G39" s="3" t="n"/>
    </row>
    <row r="40">
      <c r="A40" t="inlineStr">
        <is>
          <t>Research And Development</t>
        </is>
      </c>
      <c r="B40" s="3" t="n">
        <v>22826000</v>
      </c>
      <c r="C40" s="3" t="n">
        <v>18850000</v>
      </c>
      <c r="D40" s="3" t="n">
        <v>22164000</v>
      </c>
      <c r="E40" s="3" t="n">
        <v>22841000</v>
      </c>
      <c r="F40" s="3" t="n">
        <v>21569000</v>
      </c>
      <c r="G40" s="3" t="n"/>
    </row>
    <row r="41">
      <c r="A41" t="inlineStr">
        <is>
          <t>Selling General And Administration</t>
        </is>
      </c>
      <c r="B41" s="3" t="n">
        <v>14251000</v>
      </c>
      <c r="C41" s="3" t="n">
        <v>11565000</v>
      </c>
      <c r="D41" s="3" t="n">
        <v>11427000</v>
      </c>
      <c r="E41" s="3" t="n">
        <v>9362000</v>
      </c>
      <c r="F41" s="3" t="n">
        <v>9159000</v>
      </c>
      <c r="G41" s="3" t="n"/>
    </row>
    <row r="42">
      <c r="A42" t="inlineStr">
        <is>
          <t>Selling And Marketing Expense</t>
        </is>
      </c>
      <c r="B42" s="3" t="n">
        <v>1899000</v>
      </c>
      <c r="C42" s="3" t="n">
        <v>1547000</v>
      </c>
      <c r="D42" s="3" t="n">
        <v>1803000</v>
      </c>
      <c r="E42" s="3" t="n">
        <v>1393000</v>
      </c>
      <c r="F42" s="3" t="n">
        <v>1942000</v>
      </c>
      <c r="G42" s="3" t="n"/>
    </row>
    <row r="43">
      <c r="A43" t="inlineStr">
        <is>
          <t>General And Administrative Expense</t>
        </is>
      </c>
      <c r="B43" s="3" t="n">
        <v>12352000</v>
      </c>
      <c r="C43" s="3" t="n">
        <v>10018000</v>
      </c>
      <c r="D43" s="3" t="n">
        <v>9624000</v>
      </c>
      <c r="E43" s="3" t="n">
        <v>7969000</v>
      </c>
      <c r="F43" s="3" t="n">
        <v>7217000</v>
      </c>
      <c r="G43" s="3" t="n"/>
    </row>
    <row r="44">
      <c r="A44" t="inlineStr">
        <is>
          <t>Other Gand A</t>
        </is>
      </c>
      <c r="B44" s="3" t="n">
        <v>12352000</v>
      </c>
      <c r="C44" s="3" t="n">
        <v>10018000</v>
      </c>
      <c r="D44" s="3" t="n">
        <v>9624000</v>
      </c>
      <c r="E44" s="3" t="n">
        <v>7969000</v>
      </c>
      <c r="F44" s="3" t="n">
        <v>7217000</v>
      </c>
      <c r="G44" s="3" t="n"/>
    </row>
    <row r="45">
      <c r="A45" t="inlineStr">
        <is>
          <t>Gross Profit</t>
        </is>
      </c>
      <c r="B45" s="3" t="n">
        <v>1941000</v>
      </c>
      <c r="C45" s="3" t="n">
        <v>1320000</v>
      </c>
      <c r="D45" s="3" t="n">
        <v>430000</v>
      </c>
      <c r="E45" s="3" t="n">
        <v>-2720000</v>
      </c>
      <c r="F45" s="3" t="n">
        <v>310000</v>
      </c>
      <c r="G45" s="3" t="n"/>
    </row>
    <row r="46">
      <c r="A46" t="inlineStr">
        <is>
          <t>Cost Of Revenue</t>
        </is>
      </c>
      <c r="B46" s="3" t="n">
        <v>4321000</v>
      </c>
      <c r="C46" s="3" t="n">
        <v>4301000</v>
      </c>
      <c r="D46" s="3" t="n">
        <v>3149000</v>
      </c>
      <c r="E46" s="3" t="n">
        <v>8231000</v>
      </c>
      <c r="F46" s="3" t="n">
        <v>3058000</v>
      </c>
      <c r="G46" s="3" t="n"/>
    </row>
    <row r="47">
      <c r="A47" t="inlineStr">
        <is>
          <t>Total Revenue</t>
        </is>
      </c>
      <c r="B47" s="3" t="n">
        <v>6262000</v>
      </c>
      <c r="C47" s="3" t="n">
        <v>5621000</v>
      </c>
      <c r="D47" s="3" t="n">
        <v>3579000</v>
      </c>
      <c r="E47" s="3" t="n">
        <v>5511000</v>
      </c>
      <c r="F47" s="3" t="n">
        <v>3368000</v>
      </c>
      <c r="G47" s="3" t="n"/>
    </row>
    <row r="48">
      <c r="A48" t="inlineStr">
        <is>
          <t>Operating Revenue</t>
        </is>
      </c>
      <c r="B48" s="3" t="n">
        <v>6262000</v>
      </c>
      <c r="C48" s="3" t="n">
        <v>5621000</v>
      </c>
      <c r="D48" s="3" t="n">
        <v>3579000</v>
      </c>
      <c r="E48" s="3" t="n">
        <v>5511000</v>
      </c>
      <c r="F48" s="3" t="n">
        <v>3368000</v>
      </c>
      <c r="G4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61580151</v>
      </c>
      <c r="C3" s="3" t="n">
        <v>54139560</v>
      </c>
      <c r="D3" s="3" t="n">
        <v>52388960</v>
      </c>
      <c r="E3" s="3" t="n">
        <v>43749600</v>
      </c>
      <c r="F3" s="3" t="n"/>
    </row>
    <row r="4">
      <c r="A4" t="inlineStr">
        <is>
          <t>Share Issued</t>
        </is>
      </c>
      <c r="B4" s="3" t="n">
        <v>61580151</v>
      </c>
      <c r="C4" s="3" t="n">
        <v>54139560</v>
      </c>
      <c r="D4" s="3" t="n">
        <v>52388960</v>
      </c>
      <c r="E4" s="3" t="n">
        <v>43749600</v>
      </c>
      <c r="F4" s="3" t="n"/>
    </row>
    <row r="5">
      <c r="A5" t="inlineStr">
        <is>
          <t>Net Debt</t>
        </is>
      </c>
      <c r="B5" s="3" t="n">
        <v>24402000</v>
      </c>
      <c r="C5" s="3" t="n"/>
      <c r="D5" s="3" t="n"/>
      <c r="E5" s="3" t="n"/>
      <c r="F5" s="3" t="n"/>
    </row>
    <row r="6">
      <c r="A6" t="inlineStr">
        <is>
          <t>Total Debt</t>
        </is>
      </c>
      <c r="B6" s="3" t="n">
        <v>102394000</v>
      </c>
      <c r="C6" s="3" t="n">
        <v>3759000</v>
      </c>
      <c r="D6" s="3" t="n">
        <v>7354000</v>
      </c>
      <c r="E6" s="3" t="n">
        <v>7456000</v>
      </c>
      <c r="F6" s="3" t="n"/>
    </row>
    <row r="7">
      <c r="A7" t="inlineStr">
        <is>
          <t>Tangible Book Value</t>
        </is>
      </c>
      <c r="B7" s="3" t="n">
        <v>12390000</v>
      </c>
      <c r="C7" s="3" t="n">
        <v>97627000</v>
      </c>
      <c r="D7" s="3" t="n">
        <v>225817000</v>
      </c>
      <c r="E7" s="3" t="n">
        <v>326401000</v>
      </c>
      <c r="F7" s="3" t="n"/>
    </row>
    <row r="8">
      <c r="A8" t="inlineStr">
        <is>
          <t>Invested Capital</t>
        </is>
      </c>
      <c r="B8" s="3" t="n">
        <v>109908000</v>
      </c>
      <c r="C8" s="3" t="n">
        <v>99352000</v>
      </c>
      <c r="D8" s="3" t="n">
        <v>228442000</v>
      </c>
      <c r="E8" s="3" t="n">
        <v>329926000</v>
      </c>
      <c r="F8" s="3" t="n"/>
    </row>
    <row r="9">
      <c r="A9" t="inlineStr">
        <is>
          <t>Working Capital</t>
        </is>
      </c>
      <c r="B9" s="3" t="n">
        <v>117656000</v>
      </c>
      <c r="C9" s="3" t="n">
        <v>84141000</v>
      </c>
      <c r="D9" s="3" t="n">
        <v>210821000</v>
      </c>
      <c r="E9" s="3" t="n">
        <v>313296000</v>
      </c>
      <c r="F9" s="3" t="n"/>
    </row>
    <row r="10">
      <c r="A10" t="inlineStr">
        <is>
          <t>Net Tangible Assets</t>
        </is>
      </c>
      <c r="B10" s="3" t="n">
        <v>12390000</v>
      </c>
      <c r="C10" s="3" t="n">
        <v>97627000</v>
      </c>
      <c r="D10" s="3" t="n">
        <v>225817000</v>
      </c>
      <c r="E10" s="3" t="n">
        <v>326401000</v>
      </c>
      <c r="F10" s="3" t="n"/>
    </row>
    <row r="11">
      <c r="A11" t="inlineStr">
        <is>
          <t>Capital Lease Obligations</t>
        </is>
      </c>
      <c r="B11" s="3" t="n">
        <v>5701000</v>
      </c>
      <c r="C11" s="3" t="n">
        <v>3759000</v>
      </c>
      <c r="D11" s="3" t="n">
        <v>7354000</v>
      </c>
      <c r="E11" s="3" t="n">
        <v>7456000</v>
      </c>
      <c r="F11" s="3" t="n"/>
    </row>
    <row r="12">
      <c r="A12" t="inlineStr">
        <is>
          <t>Common Stock Equity</t>
        </is>
      </c>
      <c r="B12" s="3" t="n">
        <v>13215000</v>
      </c>
      <c r="C12" s="3" t="n">
        <v>99352000</v>
      </c>
      <c r="D12" s="3" t="n">
        <v>228442000</v>
      </c>
      <c r="E12" s="3" t="n">
        <v>329926000</v>
      </c>
      <c r="F12" s="3" t="n"/>
    </row>
    <row r="13">
      <c r="A13" t="inlineStr">
        <is>
          <t>Total Capitalization</t>
        </is>
      </c>
      <c r="B13" s="3" t="n">
        <v>109908000</v>
      </c>
      <c r="C13" s="3" t="n">
        <v>99352000</v>
      </c>
      <c r="D13" s="3" t="n">
        <v>228442000</v>
      </c>
      <c r="E13" s="3" t="n">
        <v>329926000</v>
      </c>
      <c r="F13" s="3" t="n"/>
    </row>
    <row r="14">
      <c r="A14" t="inlineStr">
        <is>
          <t>Total Equity Gross Minority Interest</t>
        </is>
      </c>
      <c r="B14" s="3" t="n">
        <v>13215000</v>
      </c>
      <c r="C14" s="3" t="n">
        <v>99352000</v>
      </c>
      <c r="D14" s="3" t="n">
        <v>228442000</v>
      </c>
      <c r="E14" s="3" t="n">
        <v>329926000</v>
      </c>
      <c r="F14" s="3" t="n"/>
    </row>
    <row r="15">
      <c r="A15" t="inlineStr">
        <is>
          <t>Stockholders Equity</t>
        </is>
      </c>
      <c r="B15" s="3" t="n">
        <v>13215000</v>
      </c>
      <c r="C15" s="3" t="n">
        <v>99352000</v>
      </c>
      <c r="D15" s="3" t="n">
        <v>228442000</v>
      </c>
      <c r="E15" s="3" t="n">
        <v>329926000</v>
      </c>
      <c r="F15" s="3" t="n"/>
    </row>
    <row r="16">
      <c r="A16" t="inlineStr">
        <is>
          <t>Gains Losses Not Affecting Retained Earnings</t>
        </is>
      </c>
      <c r="B16" s="3" t="n">
        <v>-4000</v>
      </c>
      <c r="C16" s="3" t="n">
        <v>47000</v>
      </c>
      <c r="D16" s="3" t="n">
        <v>-87000</v>
      </c>
      <c r="E16" s="3" t="n">
        <v>-3585000</v>
      </c>
      <c r="F16" s="3" t="n"/>
    </row>
    <row r="17">
      <c r="A17" t="inlineStr">
        <is>
          <t>Other Equity Adjustments</t>
        </is>
      </c>
      <c r="B17" s="3" t="n">
        <v>-4000</v>
      </c>
      <c r="C17" s="3" t="n">
        <v>47000</v>
      </c>
      <c r="D17" s="3" t="n">
        <v>-87000</v>
      </c>
      <c r="E17" s="3" t="n">
        <v>-3585000</v>
      </c>
      <c r="F17" s="3" t="n"/>
    </row>
    <row r="18">
      <c r="A18" t="inlineStr">
        <is>
          <t>Retained Earnings</t>
        </is>
      </c>
      <c r="B18" s="3" t="n">
        <v>-757289000</v>
      </c>
      <c r="C18" s="3" t="n">
        <v>-611861000</v>
      </c>
      <c r="D18" s="3" t="n">
        <v>-459600000</v>
      </c>
      <c r="E18" s="3" t="n">
        <v>-310267000</v>
      </c>
      <c r="F18" s="3" t="n"/>
    </row>
    <row r="19">
      <c r="A19" t="inlineStr">
        <is>
          <t>Additional Paid In Capital</t>
        </is>
      </c>
      <c r="B19" s="3" t="n">
        <v>770502000</v>
      </c>
      <c r="C19" s="3" t="n">
        <v>711160000</v>
      </c>
      <c r="D19" s="3" t="n">
        <v>688124000</v>
      </c>
      <c r="E19" s="3" t="n">
        <v>643756000</v>
      </c>
      <c r="F19" s="3" t="n"/>
    </row>
    <row r="20">
      <c r="A20" t="inlineStr">
        <is>
          <t>Capital Stock</t>
        </is>
      </c>
      <c r="B20" s="3" t="n">
        <v>6000</v>
      </c>
      <c r="C20" s="3" t="n">
        <v>6000</v>
      </c>
      <c r="D20" s="3" t="n">
        <v>5000</v>
      </c>
      <c r="E20" s="3" t="n">
        <v>22000</v>
      </c>
      <c r="F20" s="3" t="n"/>
    </row>
    <row r="21">
      <c r="A21" t="inlineStr">
        <is>
          <t>Common Stock</t>
        </is>
      </c>
      <c r="B21" s="3" t="n">
        <v>6000</v>
      </c>
      <c r="C21" s="3" t="n">
        <v>6000</v>
      </c>
      <c r="D21" s="3" t="n">
        <v>5000</v>
      </c>
      <c r="E21" s="3" t="n">
        <v>22000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166486000</v>
      </c>
      <c r="C23" s="3" t="n">
        <v>48137000</v>
      </c>
      <c r="D23" s="3" t="n">
        <v>28943000</v>
      </c>
      <c r="E23" s="3" t="n">
        <v>26706000</v>
      </c>
      <c r="F23" s="3" t="n"/>
    </row>
    <row r="24">
      <c r="A24" t="inlineStr">
        <is>
          <t>Total Non Current Liabilities Net Minority Interest</t>
        </is>
      </c>
      <c r="B24" s="3" t="n">
        <v>130617000</v>
      </c>
      <c r="C24" s="3" t="n">
        <v>8978000</v>
      </c>
      <c r="D24" s="3" t="n">
        <v>10539000</v>
      </c>
      <c r="E24" s="3" t="n">
        <v>4879000</v>
      </c>
      <c r="F24" s="3" t="n"/>
    </row>
    <row r="25">
      <c r="A25" t="inlineStr">
        <is>
          <t>Derivative Product Liabilities</t>
        </is>
      </c>
      <c r="B25" s="3" t="n">
        <v>29711000</v>
      </c>
      <c r="C25" s="3" t="n">
        <v>8258000</v>
      </c>
      <c r="D25" s="3" t="n">
        <v>6772000</v>
      </c>
      <c r="E25" s="3" t="n">
        <v>90000</v>
      </c>
      <c r="F25" s="3" t="n"/>
    </row>
    <row r="26">
      <c r="A26" t="inlineStr">
        <is>
          <t>Long Term Debt And Capital Lease Obligation</t>
        </is>
      </c>
      <c r="B26" s="3" t="n">
        <v>100906000</v>
      </c>
      <c r="C26" s="3" t="n">
        <v>720000</v>
      </c>
      <c r="D26" s="3" t="n">
        <v>3767000</v>
      </c>
      <c r="E26" s="3" t="n">
        <v>4789000</v>
      </c>
      <c r="F26" s="3" t="n"/>
    </row>
    <row r="27">
      <c r="A27" t="inlineStr">
        <is>
          <t>Long Term Capital Lease Obligation</t>
        </is>
      </c>
      <c r="B27" s="3" t="n">
        <v>4213000</v>
      </c>
      <c r="C27" s="3" t="n">
        <v>720000</v>
      </c>
      <c r="D27" s="3" t="n">
        <v>3767000</v>
      </c>
      <c r="E27" s="3" t="n">
        <v>4789000</v>
      </c>
      <c r="F27" s="3" t="n"/>
    </row>
    <row r="28">
      <c r="A28" t="inlineStr">
        <is>
          <t>Long Term Debt</t>
        </is>
      </c>
      <c r="B28" s="3" t="n">
        <v>96693000</v>
      </c>
      <c r="C28" s="3" t="n"/>
      <c r="D28" s="3" t="n"/>
      <c r="E28" s="3" t="n"/>
      <c r="F28" s="3" t="n"/>
    </row>
    <row r="29">
      <c r="A29" t="inlineStr">
        <is>
          <t>Current Liabilities</t>
        </is>
      </c>
      <c r="B29" s="3" t="n">
        <v>35869000</v>
      </c>
      <c r="C29" s="3" t="n">
        <v>39159000</v>
      </c>
      <c r="D29" s="3" t="n">
        <v>18404000</v>
      </c>
      <c r="E29" s="3" t="n">
        <v>21827000</v>
      </c>
      <c r="F29" s="3" t="n"/>
    </row>
    <row r="30">
      <c r="A30" t="inlineStr">
        <is>
          <t>Other Current Liabilities</t>
        </is>
      </c>
      <c r="B30" s="3" t="n">
        <v>2204000</v>
      </c>
      <c r="C30" s="3" t="n">
        <v>15173000</v>
      </c>
      <c r="D30" s="3" t="n">
        <v>448000</v>
      </c>
      <c r="E30" s="3" t="n">
        <v>194000</v>
      </c>
      <c r="F30" s="3" t="n"/>
    </row>
    <row r="31">
      <c r="A31" t="inlineStr">
        <is>
          <t>Current Deferred Liabilities</t>
        </is>
      </c>
      <c r="B31" s="3" t="n">
        <v>284000</v>
      </c>
      <c r="C31" s="3" t="n">
        <v>4001000</v>
      </c>
      <c r="D31" s="3" t="n">
        <v>2076000</v>
      </c>
      <c r="E31" s="3" t="n"/>
      <c r="F31" s="3" t="n"/>
    </row>
    <row r="32">
      <c r="A32" t="inlineStr">
        <is>
          <t>Current Deferred Revenue</t>
        </is>
      </c>
      <c r="B32" s="3" t="n">
        <v>284000</v>
      </c>
      <c r="C32" s="3" t="n">
        <v>4001000</v>
      </c>
      <c r="D32" s="3" t="n">
        <v>2076000</v>
      </c>
      <c r="E32" s="3" t="n"/>
      <c r="F32" s="3" t="n"/>
    </row>
    <row r="33">
      <c r="A33" t="inlineStr">
        <is>
          <t>Current Debt And Capital Lease Obligation</t>
        </is>
      </c>
      <c r="B33" s="3" t="n">
        <v>1488000</v>
      </c>
      <c r="C33" s="3" t="n">
        <v>3039000</v>
      </c>
      <c r="D33" s="3" t="n">
        <v>3587000</v>
      </c>
      <c r="E33" s="3" t="n">
        <v>2667000</v>
      </c>
      <c r="F33" s="3" t="n"/>
    </row>
    <row r="34">
      <c r="A34" t="inlineStr">
        <is>
          <t>Current Capital Lease Obligation</t>
        </is>
      </c>
      <c r="B34" s="3" t="n">
        <v>1488000</v>
      </c>
      <c r="C34" s="3" t="n">
        <v>3039000</v>
      </c>
      <c r="D34" s="3" t="n">
        <v>3587000</v>
      </c>
      <c r="E34" s="3" t="n">
        <v>2667000</v>
      </c>
      <c r="F34" s="3" t="n"/>
    </row>
    <row r="35">
      <c r="A35" t="inlineStr">
        <is>
          <t>Pensionand Other Post Retirement Benefit Plans Current</t>
        </is>
      </c>
      <c r="B35" s="3" t="n">
        <v>13945000</v>
      </c>
      <c r="C35" s="3" t="n">
        <v>5783000</v>
      </c>
      <c r="D35" s="3" t="n">
        <v>6043000</v>
      </c>
      <c r="E35" s="3" t="n">
        <v>4721000</v>
      </c>
      <c r="F35" s="3" t="n"/>
    </row>
    <row r="36">
      <c r="A36" t="inlineStr">
        <is>
          <t>Payables And Accrued Expenses</t>
        </is>
      </c>
      <c r="B36" s="3" t="n">
        <v>17948000</v>
      </c>
      <c r="C36" s="3" t="n">
        <v>11163000</v>
      </c>
      <c r="D36" s="3" t="n">
        <v>6250000</v>
      </c>
      <c r="E36" s="3" t="n">
        <v>14245000</v>
      </c>
      <c r="F36" s="3" t="n"/>
    </row>
    <row r="37">
      <c r="A37" t="inlineStr">
        <is>
          <t>Current Accrued Expenses</t>
        </is>
      </c>
      <c r="B37" s="3" t="n">
        <v>12063000</v>
      </c>
      <c r="C37" s="3" t="n">
        <v>5710000</v>
      </c>
      <c r="D37" s="3" t="n">
        <v>2648000</v>
      </c>
      <c r="E37" s="3" t="n">
        <v>9063000</v>
      </c>
      <c r="F37" s="3" t="n"/>
    </row>
    <row r="38">
      <c r="A38" t="inlineStr">
        <is>
          <t>Payables</t>
        </is>
      </c>
      <c r="B38" s="3" t="n">
        <v>5885000</v>
      </c>
      <c r="C38" s="3" t="n">
        <v>5453000</v>
      </c>
      <c r="D38" s="3" t="n">
        <v>3602000</v>
      </c>
      <c r="E38" s="3" t="n">
        <v>5182000</v>
      </c>
      <c r="F38" s="3" t="n"/>
    </row>
    <row r="39">
      <c r="A39" t="inlineStr">
        <is>
          <t>Total Tax Payable</t>
        </is>
      </c>
      <c r="B39" s="3" t="n"/>
      <c r="C39" s="3" t="n"/>
      <c r="D39" s="3" t="n"/>
      <c r="E39" s="3" t="n">
        <v>57000</v>
      </c>
      <c r="F39" s="3" t="n">
        <v>551000</v>
      </c>
    </row>
    <row r="40">
      <c r="A40" t="inlineStr">
        <is>
          <t>Accounts Payable</t>
        </is>
      </c>
      <c r="B40" s="3" t="n">
        <v>5885000</v>
      </c>
      <c r="C40" s="3" t="n">
        <v>5453000</v>
      </c>
      <c r="D40" s="3" t="n">
        <v>3602000</v>
      </c>
      <c r="E40" s="3" t="n">
        <v>5182000</v>
      </c>
      <c r="F40" s="3" t="n"/>
    </row>
    <row r="41">
      <c r="A41" t="inlineStr">
        <is>
          <t>Total Assets</t>
        </is>
      </c>
      <c r="B41" s="3" t="n">
        <v>179701000</v>
      </c>
      <c r="C41" s="3" t="n">
        <v>147489000</v>
      </c>
      <c r="D41" s="3" t="n">
        <v>257385000</v>
      </c>
      <c r="E41" s="3" t="n">
        <v>356632000</v>
      </c>
      <c r="F41" s="3" t="n"/>
    </row>
    <row r="42">
      <c r="A42" t="inlineStr">
        <is>
          <t>Total Non Current Assets</t>
        </is>
      </c>
      <c r="B42" s="3" t="n">
        <v>26176000</v>
      </c>
      <c r="C42" s="3" t="n">
        <v>24189000</v>
      </c>
      <c r="D42" s="3" t="n">
        <v>28160000</v>
      </c>
      <c r="E42" s="3" t="n">
        <v>21509000</v>
      </c>
      <c r="F42" s="3" t="n"/>
    </row>
    <row r="43">
      <c r="A43" t="inlineStr">
        <is>
          <t>Other Non Current Assets</t>
        </is>
      </c>
      <c r="B43" s="3" t="n">
        <v>26000</v>
      </c>
      <c r="C43" s="3" t="n">
        <v>2491000</v>
      </c>
      <c r="D43" s="3" t="n">
        <v>16000</v>
      </c>
      <c r="E43" s="3" t="n">
        <v>8000</v>
      </c>
      <c r="F43" s="3" t="n"/>
    </row>
    <row r="44">
      <c r="A44" t="inlineStr">
        <is>
          <t>Non Current Prepaid Assets</t>
        </is>
      </c>
      <c r="B44" s="3" t="n">
        <v>500000</v>
      </c>
      <c r="C44" s="3" t="n">
        <v>815000</v>
      </c>
      <c r="D44" s="3" t="n">
        <v>1116000</v>
      </c>
      <c r="E44" s="3" t="n">
        <v>854000</v>
      </c>
      <c r="F44" s="3" t="n"/>
    </row>
    <row r="45">
      <c r="A45" t="inlineStr">
        <is>
          <t>Non Current Accounts Receivable</t>
        </is>
      </c>
      <c r="B45" s="3" t="n">
        <v>1500000</v>
      </c>
      <c r="C45" s="3" t="n"/>
      <c r="D45" s="3" t="n"/>
      <c r="E45" s="3" t="n"/>
      <c r="F45" s="3" t="n"/>
    </row>
    <row r="46">
      <c r="A46" t="inlineStr">
        <is>
          <t>Investments And Advances</t>
        </is>
      </c>
      <c r="B46" s="3" t="n">
        <v>5000000</v>
      </c>
      <c r="C46" s="3" t="n">
        <v>5000000</v>
      </c>
      <c r="D46" s="3" t="n">
        <v>5000000</v>
      </c>
      <c r="E46" s="3" t="n">
        <v>0</v>
      </c>
      <c r="F46" s="3" t="n"/>
    </row>
    <row r="47">
      <c r="A47" t="inlineStr">
        <is>
          <t>Long Term Equity Investment</t>
        </is>
      </c>
      <c r="B47" s="3" t="n">
        <v>5000000</v>
      </c>
      <c r="C47" s="3" t="n">
        <v>5000000</v>
      </c>
      <c r="D47" s="3" t="n">
        <v>5000000</v>
      </c>
      <c r="E47" s="3" t="n">
        <v>0</v>
      </c>
      <c r="F47" s="3" t="n"/>
    </row>
    <row r="48">
      <c r="A48" t="inlineStr">
        <is>
          <t>Goodwill And Other Intangible Assets</t>
        </is>
      </c>
      <c r="B48" s="3" t="n">
        <v>825000</v>
      </c>
      <c r="C48" s="3" t="n">
        <v>1725000</v>
      </c>
      <c r="D48" s="3" t="n">
        <v>2625000</v>
      </c>
      <c r="E48" s="3" t="n">
        <v>3525000</v>
      </c>
      <c r="F48" s="3" t="n"/>
    </row>
    <row r="49">
      <c r="A49" t="inlineStr">
        <is>
          <t>Other Intangible Assets</t>
        </is>
      </c>
      <c r="B49" s="3" t="n"/>
      <c r="C49" s="3" t="n"/>
      <c r="D49" s="3" t="n"/>
      <c r="E49" s="3" t="n"/>
      <c r="F49" s="3" t="n">
        <v>4425000</v>
      </c>
    </row>
    <row r="50">
      <c r="A50" t="inlineStr">
        <is>
          <t>Net PPE</t>
        </is>
      </c>
      <c r="B50" s="3" t="n">
        <v>18325000</v>
      </c>
      <c r="C50" s="3" t="n">
        <v>14158000</v>
      </c>
      <c r="D50" s="3" t="n">
        <v>19403000</v>
      </c>
      <c r="E50" s="3" t="n">
        <v>17122000</v>
      </c>
      <c r="F50" s="3" t="n"/>
    </row>
    <row r="51">
      <c r="A51" t="inlineStr">
        <is>
          <t>Accumulated Depreciation</t>
        </is>
      </c>
      <c r="B51" s="3" t="n">
        <v>-17224000</v>
      </c>
      <c r="C51" s="3" t="n">
        <v>-12744000</v>
      </c>
      <c r="D51" s="3" t="n">
        <v>-8596000</v>
      </c>
      <c r="E51" s="3" t="n">
        <v>-5205000</v>
      </c>
      <c r="F51" s="3" t="n"/>
    </row>
    <row r="52">
      <c r="A52" t="inlineStr">
        <is>
          <t>Gross PPE</t>
        </is>
      </c>
      <c r="B52" s="3" t="n">
        <v>35549000</v>
      </c>
      <c r="C52" s="3" t="n">
        <v>26902000</v>
      </c>
      <c r="D52" s="3" t="n">
        <v>27999000</v>
      </c>
      <c r="E52" s="3" t="n">
        <v>22327000</v>
      </c>
      <c r="F52" s="3" t="n"/>
    </row>
    <row r="53">
      <c r="A53" t="inlineStr">
        <is>
          <t>Leases</t>
        </is>
      </c>
      <c r="B53" s="3" t="n">
        <v>3413000</v>
      </c>
      <c r="C53" s="3" t="n">
        <v>3374000</v>
      </c>
      <c r="D53" s="3" t="n">
        <v>3148000</v>
      </c>
      <c r="E53" s="3" t="n">
        <v>2961000</v>
      </c>
      <c r="F53" s="3" t="n"/>
    </row>
    <row r="54">
      <c r="A54" t="inlineStr">
        <is>
          <t>Construction In Progress</t>
        </is>
      </c>
      <c r="B54" s="3" t="n">
        <v>6863000</v>
      </c>
      <c r="C54" s="3" t="n">
        <v>243000</v>
      </c>
      <c r="D54" s="3" t="n">
        <v>1434000</v>
      </c>
      <c r="E54" s="3" t="n">
        <v>1488000</v>
      </c>
      <c r="F54" s="3" t="n"/>
    </row>
    <row r="55">
      <c r="A55" t="inlineStr">
        <is>
          <t>Other Properties</t>
        </is>
      </c>
      <c r="B55" s="3" t="n">
        <v>21506000</v>
      </c>
      <c r="C55" s="3" t="n">
        <v>19598000</v>
      </c>
      <c r="D55" s="3" t="n">
        <v>20164000</v>
      </c>
      <c r="E55" s="3" t="n">
        <v>14980000</v>
      </c>
      <c r="F55" s="3" t="n"/>
    </row>
    <row r="56">
      <c r="A56" t="inlineStr">
        <is>
          <t>Machinery Furniture Equipment</t>
        </is>
      </c>
      <c r="B56" s="3" t="n">
        <v>3767000</v>
      </c>
      <c r="C56" s="3" t="n">
        <v>3687000</v>
      </c>
      <c r="D56" s="3" t="n">
        <v>3253000</v>
      </c>
      <c r="E56" s="3" t="n">
        <v>2898000</v>
      </c>
      <c r="F56" s="3" t="n"/>
    </row>
    <row r="57">
      <c r="A57" t="inlineStr">
        <is>
          <t>Properties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/>
    </row>
    <row r="58">
      <c r="A58" t="inlineStr">
        <is>
          <t>Current Assets</t>
        </is>
      </c>
      <c r="B58" s="3" t="n">
        <v>153525000</v>
      </c>
      <c r="C58" s="3" t="n">
        <v>123300000</v>
      </c>
      <c r="D58" s="3" t="n">
        <v>229225000</v>
      </c>
      <c r="E58" s="3" t="n">
        <v>335123000</v>
      </c>
      <c r="F58" s="3" t="n"/>
    </row>
    <row r="59">
      <c r="A59" t="inlineStr">
        <is>
          <t>Other Current Assets</t>
        </is>
      </c>
      <c r="B59" s="3" t="n">
        <v>9039000</v>
      </c>
      <c r="C59" s="3" t="n">
        <v>4418000</v>
      </c>
      <c r="D59" s="3" t="n">
        <v>1723000</v>
      </c>
      <c r="E59" s="3" t="n">
        <v>1485000</v>
      </c>
      <c r="F59" s="3" t="n"/>
    </row>
    <row r="60">
      <c r="A60" t="inlineStr">
        <is>
          <t>Prepaid Assets</t>
        </is>
      </c>
      <c r="B60" s="3" t="n">
        <v>4160000</v>
      </c>
      <c r="C60" s="3" t="n">
        <v>3258000</v>
      </c>
      <c r="D60" s="3" t="n">
        <v>3332000</v>
      </c>
      <c r="E60" s="3" t="n">
        <v>3741000</v>
      </c>
      <c r="F60" s="3" t="n"/>
    </row>
    <row r="61">
      <c r="A61" t="inlineStr">
        <is>
          <t>Inventory</t>
        </is>
      </c>
      <c r="B61" s="3" t="n">
        <v>5787000</v>
      </c>
      <c r="C61" s="3" t="n">
        <v>2345000</v>
      </c>
      <c r="D61" s="3" t="n">
        <v>2374000</v>
      </c>
      <c r="E61" s="3" t="n">
        <v>2951000</v>
      </c>
      <c r="F61" s="3" t="n"/>
    </row>
    <row r="62">
      <c r="A62" t="inlineStr">
        <is>
          <t>Finished Goods</t>
        </is>
      </c>
      <c r="B62" s="3" t="n">
        <v>1164000</v>
      </c>
      <c r="C62" s="3" t="n">
        <v>707000</v>
      </c>
      <c r="D62" s="3" t="n">
        <v>60000</v>
      </c>
      <c r="E62" s="3" t="n">
        <v>166000</v>
      </c>
      <c r="F62" s="3" t="n"/>
    </row>
    <row r="63">
      <c r="A63" t="inlineStr">
        <is>
          <t>Work In Process</t>
        </is>
      </c>
      <c r="B63" s="3" t="n">
        <v>897000</v>
      </c>
      <c r="C63" s="3" t="n">
        <v>88000</v>
      </c>
      <c r="D63" s="3" t="n">
        <v>136000</v>
      </c>
      <c r="E63" s="3" t="n">
        <v>42000</v>
      </c>
      <c r="F63" s="3" t="n"/>
    </row>
    <row r="64">
      <c r="A64" t="inlineStr">
        <is>
          <t>Raw Materials</t>
        </is>
      </c>
      <c r="B64" s="3" t="n">
        <v>3726000</v>
      </c>
      <c r="C64" s="3" t="n">
        <v>1550000</v>
      </c>
      <c r="D64" s="3" t="n">
        <v>2178000</v>
      </c>
      <c r="E64" s="3" t="n">
        <v>2743000</v>
      </c>
      <c r="F64" s="3" t="n"/>
    </row>
    <row r="65">
      <c r="A65" t="inlineStr">
        <is>
          <t>Receivables</t>
        </is>
      </c>
      <c r="B65" s="3" t="n">
        <v>12640000</v>
      </c>
      <c r="C65" s="3" t="n">
        <v>1272000</v>
      </c>
      <c r="D65" s="3" t="n">
        <v>768000</v>
      </c>
      <c r="E65" s="3" t="n">
        <v>3134000</v>
      </c>
      <c r="F65" s="3" t="n"/>
    </row>
    <row r="66">
      <c r="A66" t="inlineStr">
        <is>
          <t>Other Receivables</t>
        </is>
      </c>
      <c r="B66" s="3" t="n">
        <v>9277000</v>
      </c>
      <c r="C66" s="3" t="n">
        <v>85000</v>
      </c>
      <c r="D66" s="3" t="n">
        <v>140000</v>
      </c>
      <c r="E66" s="3" t="n">
        <v>247000</v>
      </c>
      <c r="F66" s="3" t="n"/>
    </row>
    <row r="67">
      <c r="A67" t="inlineStr">
        <is>
          <t>Accounts Receivable</t>
        </is>
      </c>
      <c r="B67" s="3" t="n">
        <v>3363000</v>
      </c>
      <c r="C67" s="3" t="n">
        <v>1187000</v>
      </c>
      <c r="D67" s="3" t="n">
        <v>628000</v>
      </c>
      <c r="E67" s="3" t="n">
        <v>2887000</v>
      </c>
      <c r="F67" s="3" t="n"/>
    </row>
    <row r="68">
      <c r="A68" t="inlineStr">
        <is>
          <t>Cash Cash Equivalents And Short Term Investments</t>
        </is>
      </c>
      <c r="B68" s="3" t="n">
        <v>121899000</v>
      </c>
      <c r="C68" s="3" t="n">
        <v>112007000</v>
      </c>
      <c r="D68" s="3" t="n">
        <v>221028000</v>
      </c>
      <c r="E68" s="3" t="n">
        <v>323812000</v>
      </c>
      <c r="F68" s="3" t="n"/>
    </row>
    <row r="69">
      <c r="A69" t="inlineStr">
        <is>
          <t>Other Short Term Investments</t>
        </is>
      </c>
      <c r="B69" s="3" t="n">
        <v>49608000</v>
      </c>
      <c r="C69" s="3" t="n">
        <v>83143000</v>
      </c>
      <c r="D69" s="3" t="n">
        <v>182481000</v>
      </c>
      <c r="E69" s="3" t="n">
        <v>256392000</v>
      </c>
      <c r="F69" s="3" t="n"/>
    </row>
    <row r="70">
      <c r="A70" t="inlineStr">
        <is>
          <t>Cash And Cash Equivalents</t>
        </is>
      </c>
      <c r="B70" s="3" t="n">
        <v>72291000</v>
      </c>
      <c r="C70" s="3" t="n">
        <v>28864000</v>
      </c>
      <c r="D70" s="3" t="n">
        <v>38547000</v>
      </c>
      <c r="E70" s="3" t="n">
        <v>67420000</v>
      </c>
      <c r="F70" s="3" t="n"/>
    </row>
    <row r="71">
      <c r="A71" t="inlineStr">
        <is>
          <t>Cash Equivalents</t>
        </is>
      </c>
      <c r="B71" s="3" t="n">
        <v>55601000</v>
      </c>
      <c r="C71" s="3" t="n">
        <v>14627000</v>
      </c>
      <c r="D71" s="3" t="n">
        <v>16748000</v>
      </c>
      <c r="E71" s="3" t="n">
        <v>49440000</v>
      </c>
      <c r="F71" s="3" t="n"/>
    </row>
    <row r="72">
      <c r="A72" t="inlineStr">
        <is>
          <t>Cash Financial</t>
        </is>
      </c>
      <c r="B72" s="3" t="n">
        <v>16690000</v>
      </c>
      <c r="C72" s="3" t="n">
        <v>14237000</v>
      </c>
      <c r="D72" s="3" t="n">
        <v>21799000</v>
      </c>
      <c r="E72" s="3" t="n">
        <v>17980000</v>
      </c>
      <c r="F7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62984603</v>
      </c>
      <c r="C2" s="3" t="n">
        <v>61580151</v>
      </c>
      <c r="D2" s="3" t="n">
        <v>60008421</v>
      </c>
      <c r="E2" s="3" t="n">
        <v>55430255</v>
      </c>
      <c r="F2" s="3" t="n">
        <v>54949284</v>
      </c>
      <c r="G2" s="3" t="n"/>
    </row>
    <row r="3">
      <c r="A3" t="inlineStr">
        <is>
          <t>Share Issued</t>
        </is>
      </c>
      <c r="B3" s="3" t="n">
        <v>62984603</v>
      </c>
      <c r="C3" s="3" t="n">
        <v>61580151</v>
      </c>
      <c r="D3" s="3" t="n">
        <v>60008421</v>
      </c>
      <c r="E3" s="3" t="n">
        <v>55430255</v>
      </c>
      <c r="F3" s="3" t="n">
        <v>54949284</v>
      </c>
      <c r="G3" s="3" t="n"/>
    </row>
    <row r="4">
      <c r="A4" t="inlineStr">
        <is>
          <t>Net Debt</t>
        </is>
      </c>
      <c r="B4" s="3" t="n">
        <v>65617000</v>
      </c>
      <c r="C4" s="3" t="n">
        <v>24402000</v>
      </c>
      <c r="D4" s="3" t="n"/>
      <c r="E4" s="3" t="n"/>
      <c r="F4" s="3" t="n"/>
      <c r="G4" s="3" t="n"/>
    </row>
    <row r="5">
      <c r="A5" t="inlineStr">
        <is>
          <t>Total Debt</t>
        </is>
      </c>
      <c r="B5" s="3" t="n">
        <v>102056000</v>
      </c>
      <c r="C5" s="3" t="n">
        <v>102394000</v>
      </c>
      <c r="D5" s="3" t="n">
        <v>6124000</v>
      </c>
      <c r="E5" s="3" t="n">
        <v>1827000</v>
      </c>
      <c r="F5" s="3" t="n">
        <v>2809000</v>
      </c>
      <c r="G5" s="3" t="n"/>
    </row>
    <row r="6">
      <c r="A6" t="inlineStr">
        <is>
          <t>Tangible Book Value</t>
        </is>
      </c>
      <c r="B6" s="3" t="n">
        <v>-13009000</v>
      </c>
      <c r="C6" s="3" t="n">
        <v>12390000</v>
      </c>
      <c r="D6" s="3" t="n">
        <v>32168000</v>
      </c>
      <c r="E6" s="3" t="n">
        <v>-119456000</v>
      </c>
      <c r="F6" s="3" t="n">
        <v>67312000</v>
      </c>
      <c r="G6" s="3" t="n"/>
    </row>
    <row r="7">
      <c r="A7" t="inlineStr">
        <is>
          <t>Invested Capital</t>
        </is>
      </c>
      <c r="B7" s="3" t="n">
        <v>84384000</v>
      </c>
      <c r="C7" s="3" t="n">
        <v>109908000</v>
      </c>
      <c r="D7" s="3" t="n">
        <v>33218000</v>
      </c>
      <c r="E7" s="3" t="n">
        <v>-118181000</v>
      </c>
      <c r="F7" s="3" t="n">
        <v>68812000</v>
      </c>
      <c r="G7" s="3" t="n"/>
    </row>
    <row r="8">
      <c r="A8" t="inlineStr">
        <is>
          <t>Working Capital</t>
        </is>
      </c>
      <c r="B8" s="3" t="n">
        <v>92274000</v>
      </c>
      <c r="C8" s="3" t="n">
        <v>117656000</v>
      </c>
      <c r="D8" s="3" t="n">
        <v>45560000</v>
      </c>
      <c r="E8" s="3" t="n">
        <v>-37403000</v>
      </c>
      <c r="F8" s="3" t="n">
        <v>59876000</v>
      </c>
      <c r="G8" s="3" t="n"/>
    </row>
    <row r="9">
      <c r="A9" t="inlineStr">
        <is>
          <t>Net Tangible Assets</t>
        </is>
      </c>
      <c r="B9" s="3" t="n">
        <v>-13009000</v>
      </c>
      <c r="C9" s="3" t="n">
        <v>12390000</v>
      </c>
      <c r="D9" s="3" t="n">
        <v>32168000</v>
      </c>
      <c r="E9" s="3" t="n">
        <v>-119456000</v>
      </c>
      <c r="F9" s="3" t="n">
        <v>67312000</v>
      </c>
      <c r="G9" s="3" t="n"/>
    </row>
    <row r="10">
      <c r="A10" t="inlineStr">
        <is>
          <t>Capital Lease Obligations</t>
        </is>
      </c>
      <c r="B10" s="3" t="n">
        <v>5263000</v>
      </c>
      <c r="C10" s="3" t="n">
        <v>5701000</v>
      </c>
      <c r="D10" s="3" t="n">
        <v>6124000</v>
      </c>
      <c r="E10" s="3" t="n">
        <v>1827000</v>
      </c>
      <c r="F10" s="3" t="n">
        <v>2809000</v>
      </c>
      <c r="G10" s="3" t="n"/>
    </row>
    <row r="11">
      <c r="A11" t="inlineStr">
        <is>
          <t>Common Stock Equity</t>
        </is>
      </c>
      <c r="B11" s="3" t="n">
        <v>-12409000</v>
      </c>
      <c r="C11" s="3" t="n">
        <v>13215000</v>
      </c>
      <c r="D11" s="3" t="n">
        <v>33218000</v>
      </c>
      <c r="E11" s="3" t="n">
        <v>-118181000</v>
      </c>
      <c r="F11" s="3" t="n">
        <v>68812000</v>
      </c>
      <c r="G11" s="3" t="n"/>
    </row>
    <row r="12">
      <c r="A12" t="inlineStr">
        <is>
          <t>Total Capitalization</t>
        </is>
      </c>
      <c r="B12" s="3" t="n">
        <v>84384000</v>
      </c>
      <c r="C12" s="3" t="n">
        <v>109908000</v>
      </c>
      <c r="D12" s="3" t="n">
        <v>33218000</v>
      </c>
      <c r="E12" s="3" t="n">
        <v>-118181000</v>
      </c>
      <c r="F12" s="3" t="n">
        <v>68812000</v>
      </c>
      <c r="G12" s="3" t="n"/>
    </row>
    <row r="13">
      <c r="A13" t="inlineStr">
        <is>
          <t>Total Equity Gross Minority Interest</t>
        </is>
      </c>
      <c r="B13" s="3" t="n">
        <v>-12409000</v>
      </c>
      <c r="C13" s="3" t="n">
        <v>13215000</v>
      </c>
      <c r="D13" s="3" t="n">
        <v>33218000</v>
      </c>
      <c r="E13" s="3" t="n">
        <v>-118181000</v>
      </c>
      <c r="F13" s="3" t="n">
        <v>68812000</v>
      </c>
      <c r="G13" s="3" t="n"/>
    </row>
    <row r="14">
      <c r="A14" t="inlineStr">
        <is>
          <t>Stockholders Equity</t>
        </is>
      </c>
      <c r="B14" s="3" t="n">
        <v>-12409000</v>
      </c>
      <c r="C14" s="3" t="n">
        <v>13215000</v>
      </c>
      <c r="D14" s="3" t="n">
        <v>33218000</v>
      </c>
      <c r="E14" s="3" t="n">
        <v>-118181000</v>
      </c>
      <c r="F14" s="3" t="n">
        <v>68812000</v>
      </c>
      <c r="G14" s="3" t="n"/>
    </row>
    <row r="15">
      <c r="A15" t="inlineStr">
        <is>
          <t>Gains Losses Not Affecting Retained Earnings</t>
        </is>
      </c>
      <c r="B15" s="3" t="n">
        <v>-30000</v>
      </c>
      <c r="C15" s="3" t="n">
        <v>-4000</v>
      </c>
      <c r="D15" s="3" t="n">
        <v>0</v>
      </c>
      <c r="E15" s="3" t="n">
        <v>-5000</v>
      </c>
      <c r="F15" s="3" t="n">
        <v>-7000</v>
      </c>
      <c r="G15" s="3" t="n"/>
    </row>
    <row r="16">
      <c r="A16" t="inlineStr">
        <is>
          <t>Other Equity Adjustments</t>
        </is>
      </c>
      <c r="B16" s="3" t="n">
        <v>-30000</v>
      </c>
      <c r="C16" s="3" t="n">
        <v>-4000</v>
      </c>
      <c r="D16" s="3" t="n"/>
      <c r="E16" s="3" t="n">
        <v>-5000</v>
      </c>
      <c r="F16" s="3" t="n">
        <v>-7000</v>
      </c>
      <c r="G16" s="3" t="n">
        <v>47000</v>
      </c>
    </row>
    <row r="17">
      <c r="A17" t="inlineStr">
        <is>
          <t>Retained Earnings</t>
        </is>
      </c>
      <c r="B17" s="3" t="n">
        <v>-792268000</v>
      </c>
      <c r="C17" s="3" t="n">
        <v>-757289000</v>
      </c>
      <c r="D17" s="3" t="n">
        <v>-731975000</v>
      </c>
      <c r="E17" s="3" t="n">
        <v>-839470000</v>
      </c>
      <c r="F17" s="3" t="n">
        <v>-646728000</v>
      </c>
      <c r="G17" s="3" t="n"/>
    </row>
    <row r="18">
      <c r="A18" t="inlineStr">
        <is>
          <t>Additional Paid In Capital</t>
        </is>
      </c>
      <c r="B18" s="3" t="n">
        <v>779883000</v>
      </c>
      <c r="C18" s="3" t="n">
        <v>770502000</v>
      </c>
      <c r="D18" s="3" t="n">
        <v>765187000</v>
      </c>
      <c r="E18" s="3" t="n">
        <v>721288000</v>
      </c>
      <c r="F18" s="3" t="n">
        <v>715541000</v>
      </c>
      <c r="G18" s="3" t="n"/>
    </row>
    <row r="19">
      <c r="A19" t="inlineStr">
        <is>
          <t>Capital Stock</t>
        </is>
      </c>
      <c r="B19" s="3" t="n">
        <v>6000</v>
      </c>
      <c r="C19" s="3" t="n">
        <v>6000</v>
      </c>
      <c r="D19" s="3" t="n">
        <v>6000</v>
      </c>
      <c r="E19" s="3" t="n">
        <v>6000</v>
      </c>
      <c r="F19" s="3" t="n">
        <v>6000</v>
      </c>
      <c r="G19" s="3" t="n"/>
    </row>
    <row r="20">
      <c r="A20" t="inlineStr">
        <is>
          <t>Common Stock</t>
        </is>
      </c>
      <c r="B20" s="3" t="n">
        <v>6000</v>
      </c>
      <c r="C20" s="3" t="n">
        <v>6000</v>
      </c>
      <c r="D20" s="3" t="n">
        <v>6000</v>
      </c>
      <c r="E20" s="3" t="n">
        <v>6000</v>
      </c>
      <c r="F20" s="3" t="n">
        <v>6000</v>
      </c>
      <c r="G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</row>
    <row r="22">
      <c r="A22" t="inlineStr">
        <is>
          <t>Total Liabilities Net Minority Interest</t>
        </is>
      </c>
      <c r="B22" s="3" t="n">
        <v>159709000</v>
      </c>
      <c r="C22" s="3" t="n">
        <v>166486000</v>
      </c>
      <c r="D22" s="3" t="n">
        <v>59577000</v>
      </c>
      <c r="E22" s="3" t="n">
        <v>209330000</v>
      </c>
      <c r="F22" s="3" t="n">
        <v>45737000</v>
      </c>
      <c r="G22" s="3" t="n"/>
    </row>
    <row r="23">
      <c r="A23" t="inlineStr">
        <is>
          <t>Total Non Current Liabilities Net Minority Interest</t>
        </is>
      </c>
      <c r="B23" s="3" t="n">
        <v>129892000</v>
      </c>
      <c r="C23" s="3" t="n">
        <v>130617000</v>
      </c>
      <c r="D23" s="3" t="n">
        <v>38707000</v>
      </c>
      <c r="E23" s="3" t="n">
        <v>103611000</v>
      </c>
      <c r="F23" s="3" t="n">
        <v>13833000</v>
      </c>
      <c r="G23" s="3" t="n"/>
    </row>
    <row r="24">
      <c r="A24" t="inlineStr">
        <is>
          <t>Other Non Current Liabilities</t>
        </is>
      </c>
      <c r="B24" s="3" t="n"/>
      <c r="C24" s="3" t="n"/>
      <c r="D24" s="3" t="n">
        <v>515000</v>
      </c>
      <c r="E24" s="3" t="n">
        <v>1472000</v>
      </c>
      <c r="F24" s="3" t="n"/>
      <c r="G24" s="3" t="n"/>
    </row>
    <row r="25">
      <c r="A25" t="inlineStr">
        <is>
          <t>Derivative Product Liabilities</t>
        </is>
      </c>
      <c r="B25" s="3" t="n">
        <v>29261000</v>
      </c>
      <c r="C25" s="3" t="n">
        <v>29711000</v>
      </c>
      <c r="D25" s="3" t="n">
        <v>33611000</v>
      </c>
      <c r="E25" s="3" t="n">
        <v>102136000</v>
      </c>
      <c r="F25" s="3" t="n">
        <v>13658000</v>
      </c>
      <c r="G25" s="3" t="n"/>
    </row>
    <row r="26">
      <c r="A26" t="inlineStr">
        <is>
          <t>Long Term Debt And Capital Lease Obligation</t>
        </is>
      </c>
      <c r="B26" s="3" t="n">
        <v>100631000</v>
      </c>
      <c r="C26" s="3" t="n">
        <v>100906000</v>
      </c>
      <c r="D26" s="3" t="n">
        <v>4581000</v>
      </c>
      <c r="E26" s="3" t="n">
        <v>3000</v>
      </c>
      <c r="F26" s="3" t="n">
        <v>175000</v>
      </c>
      <c r="G26" s="3" t="n"/>
    </row>
    <row r="27">
      <c r="A27" t="inlineStr">
        <is>
          <t>Long Term Capital Lease Obligation</t>
        </is>
      </c>
      <c r="B27" s="3" t="n">
        <v>3838000</v>
      </c>
      <c r="C27" s="3" t="n">
        <v>4213000</v>
      </c>
      <c r="D27" s="3" t="n">
        <v>4581000</v>
      </c>
      <c r="E27" s="3" t="n">
        <v>3000</v>
      </c>
      <c r="F27" s="3" t="n">
        <v>175000</v>
      </c>
      <c r="G27" s="3" t="n"/>
    </row>
    <row r="28">
      <c r="A28" t="inlineStr">
        <is>
          <t>Long Term Debt</t>
        </is>
      </c>
      <c r="B28" s="3" t="n">
        <v>96793000</v>
      </c>
      <c r="C28" s="3" t="n">
        <v>96693000</v>
      </c>
      <c r="D28" s="3" t="n"/>
      <c r="E28" s="3" t="n"/>
      <c r="F28" s="3" t="n"/>
      <c r="G28" s="3" t="n"/>
    </row>
    <row r="29">
      <c r="A29" t="inlineStr">
        <is>
          <t>Current Liabilities</t>
        </is>
      </c>
      <c r="B29" s="3" t="n">
        <v>29817000</v>
      </c>
      <c r="C29" s="3" t="n">
        <v>35869000</v>
      </c>
      <c r="D29" s="3" t="n">
        <v>20870000</v>
      </c>
      <c r="E29" s="3" t="n">
        <v>105719000</v>
      </c>
      <c r="F29" s="3" t="n">
        <v>31904000</v>
      </c>
      <c r="G29" s="3" t="n"/>
    </row>
    <row r="30">
      <c r="A30" t="inlineStr">
        <is>
          <t>Other Current Liabilities</t>
        </is>
      </c>
      <c r="B30" s="3" t="n">
        <v>3575000</v>
      </c>
      <c r="C30" s="3" t="n">
        <v>2204000</v>
      </c>
      <c r="D30" s="3" t="n">
        <v>1262000</v>
      </c>
      <c r="E30" s="3" t="n">
        <v>89824000</v>
      </c>
      <c r="F30" s="3" t="n">
        <v>14894000</v>
      </c>
      <c r="G30" s="3" t="n"/>
    </row>
    <row r="31">
      <c r="A31" t="inlineStr">
        <is>
          <t>Current Deferred Liabilities</t>
        </is>
      </c>
      <c r="B31" s="3" t="n">
        <v>414000</v>
      </c>
      <c r="C31" s="3" t="n">
        <v>284000</v>
      </c>
      <c r="D31" s="3" t="n">
        <v>293000</v>
      </c>
      <c r="E31" s="3" t="n">
        <v>1024000</v>
      </c>
      <c r="F31" s="3" t="n">
        <v>1114000</v>
      </c>
      <c r="G31" s="3" t="n"/>
    </row>
    <row r="32">
      <c r="A32" t="inlineStr">
        <is>
          <t>Current Deferred Revenue</t>
        </is>
      </c>
      <c r="B32" s="3" t="n">
        <v>414000</v>
      </c>
      <c r="C32" s="3" t="n">
        <v>284000</v>
      </c>
      <c r="D32" s="3" t="n">
        <v>293000</v>
      </c>
      <c r="E32" s="3" t="n">
        <v>1024000</v>
      </c>
      <c r="F32" s="3" t="n">
        <v>1114000</v>
      </c>
      <c r="G32" s="3" t="n"/>
    </row>
    <row r="33">
      <c r="A33" t="inlineStr">
        <is>
          <t>Current Debt And Capital Lease Obligation</t>
        </is>
      </c>
      <c r="B33" s="3" t="n">
        <v>1425000</v>
      </c>
      <c r="C33" s="3" t="n">
        <v>1488000</v>
      </c>
      <c r="D33" s="3" t="n">
        <v>1543000</v>
      </c>
      <c r="E33" s="3" t="n">
        <v>1824000</v>
      </c>
      <c r="F33" s="3" t="n">
        <v>2634000</v>
      </c>
      <c r="G33" s="3" t="n"/>
    </row>
    <row r="34">
      <c r="A34" t="inlineStr">
        <is>
          <t>Current Capital Lease Obligation</t>
        </is>
      </c>
      <c r="B34" s="3" t="n">
        <v>1425000</v>
      </c>
      <c r="C34" s="3" t="n">
        <v>1488000</v>
      </c>
      <c r="D34" s="3" t="n">
        <v>1543000</v>
      </c>
      <c r="E34" s="3" t="n">
        <v>1824000</v>
      </c>
      <c r="F34" s="3" t="n">
        <v>2634000</v>
      </c>
      <c r="G34" s="3" t="n"/>
    </row>
    <row r="35">
      <c r="A35" t="inlineStr">
        <is>
          <t>Pensionand Other Post Retirement Benefit Plans Current</t>
        </is>
      </c>
      <c r="B35" s="3" t="n">
        <v>7846000</v>
      </c>
      <c r="C35" s="3" t="n">
        <v>13945000</v>
      </c>
      <c r="D35" s="3" t="n">
        <v>3573000</v>
      </c>
      <c r="E35" s="3" t="n">
        <v>2445000</v>
      </c>
      <c r="F35" s="3" t="n">
        <v>4712000</v>
      </c>
      <c r="G35" s="3" t="n"/>
    </row>
    <row r="36">
      <c r="A36" t="inlineStr">
        <is>
          <t>Payables And Accrued Expenses</t>
        </is>
      </c>
      <c r="B36" s="3" t="n">
        <v>16557000</v>
      </c>
      <c r="C36" s="3" t="n">
        <v>17948000</v>
      </c>
      <c r="D36" s="3" t="n">
        <v>14199000</v>
      </c>
      <c r="E36" s="3" t="n">
        <v>10602000</v>
      </c>
      <c r="F36" s="3" t="n">
        <v>8550000</v>
      </c>
      <c r="G36" s="3" t="n"/>
    </row>
    <row r="37">
      <c r="A37" t="inlineStr">
        <is>
          <t>Current Accrued Expenses</t>
        </is>
      </c>
      <c r="B37" s="3" t="n">
        <v>11944000</v>
      </c>
      <c r="C37" s="3" t="n">
        <v>12063000</v>
      </c>
      <c r="D37" s="3" t="n">
        <v>9786000</v>
      </c>
      <c r="E37" s="3" t="n">
        <v>5809000</v>
      </c>
      <c r="F37" s="3" t="n">
        <v>4585000</v>
      </c>
      <c r="G37" s="3" t="n"/>
    </row>
    <row r="38">
      <c r="A38" t="inlineStr">
        <is>
          <t>Payables</t>
        </is>
      </c>
      <c r="B38" s="3" t="n">
        <v>4613000</v>
      </c>
      <c r="C38" s="3" t="n">
        <v>5885000</v>
      </c>
      <c r="D38" s="3" t="n">
        <v>4413000</v>
      </c>
      <c r="E38" s="3" t="n">
        <v>4793000</v>
      </c>
      <c r="F38" s="3" t="n">
        <v>3965000</v>
      </c>
      <c r="G38" s="3" t="n"/>
    </row>
    <row r="39">
      <c r="A39" t="inlineStr">
        <is>
          <t>Accounts Payable</t>
        </is>
      </c>
      <c r="B39" s="3" t="n">
        <v>4613000</v>
      </c>
      <c r="C39" s="3" t="n">
        <v>5885000</v>
      </c>
      <c r="D39" s="3" t="n">
        <v>4413000</v>
      </c>
      <c r="E39" s="3" t="n">
        <v>4793000</v>
      </c>
      <c r="F39" s="3" t="n">
        <v>3965000</v>
      </c>
      <c r="G39" s="3" t="n"/>
    </row>
    <row r="40">
      <c r="A40" t="inlineStr">
        <is>
          <t>Total Assets</t>
        </is>
      </c>
      <c r="B40" s="3" t="n">
        <v>147300000</v>
      </c>
      <c r="C40" s="3" t="n">
        <v>179701000</v>
      </c>
      <c r="D40" s="3" t="n">
        <v>92795000</v>
      </c>
      <c r="E40" s="3" t="n">
        <v>91149000</v>
      </c>
      <c r="F40" s="3" t="n">
        <v>114549000</v>
      </c>
      <c r="G40" s="3" t="n"/>
    </row>
    <row r="41">
      <c r="A41" t="inlineStr">
        <is>
          <t>Total Non Current Assets</t>
        </is>
      </c>
      <c r="B41" s="3" t="n">
        <v>25209000</v>
      </c>
      <c r="C41" s="3" t="n">
        <v>26176000</v>
      </c>
      <c r="D41" s="3" t="n">
        <v>26365000</v>
      </c>
      <c r="E41" s="3" t="n">
        <v>22833000</v>
      </c>
      <c r="F41" s="3" t="n">
        <v>22769000</v>
      </c>
      <c r="G41" s="3" t="n"/>
    </row>
    <row r="42">
      <c r="A42" t="inlineStr">
        <is>
          <t>Other Non Current Assets</t>
        </is>
      </c>
      <c r="B42" s="3" t="n">
        <v>40000</v>
      </c>
      <c r="C42" s="3" t="n">
        <v>26000</v>
      </c>
      <c r="D42" s="3" t="n">
        <v>13000</v>
      </c>
      <c r="E42" s="3" t="n"/>
      <c r="F42" s="3" t="n">
        <v>191000</v>
      </c>
      <c r="G42" s="3" t="n">
        <v>2491000</v>
      </c>
    </row>
    <row r="43">
      <c r="A43" t="inlineStr">
        <is>
          <t>Non Current Prepaid Assets</t>
        </is>
      </c>
      <c r="B43" s="3" t="n">
        <v>500000</v>
      </c>
      <c r="C43" s="3" t="n">
        <v>500000</v>
      </c>
      <c r="D43" s="3" t="n">
        <v>500000</v>
      </c>
      <c r="E43" s="3" t="n">
        <v>309000</v>
      </c>
      <c r="F43" s="3" t="n">
        <v>815000</v>
      </c>
      <c r="G43" s="3" t="n"/>
    </row>
    <row r="44">
      <c r="A44" t="inlineStr">
        <is>
          <t>Non Current Accounts Receivable</t>
        </is>
      </c>
      <c r="B44" s="3" t="n">
        <v>906000</v>
      </c>
      <c r="C44" s="3" t="n">
        <v>1500000</v>
      </c>
      <c r="D44" s="3" t="n">
        <v>1500000</v>
      </c>
      <c r="E44" s="3" t="n">
        <v>1500000</v>
      </c>
      <c r="F44" s="3" t="n"/>
      <c r="G44" s="3" t="n"/>
    </row>
    <row r="45">
      <c r="A45" t="inlineStr">
        <is>
          <t>Investments And Advances</t>
        </is>
      </c>
      <c r="B45" s="3" t="n">
        <v>5000000</v>
      </c>
      <c r="C45" s="3" t="n">
        <v>5000000</v>
      </c>
      <c r="D45" s="3" t="n">
        <v>5000000</v>
      </c>
      <c r="E45" s="3" t="n">
        <v>5000000</v>
      </c>
      <c r="F45" s="3" t="n">
        <v>5000000</v>
      </c>
      <c r="G45" s="3" t="n"/>
    </row>
    <row r="46">
      <c r="A46" t="inlineStr">
        <is>
          <t>Long Term Equity Investment</t>
        </is>
      </c>
      <c r="B46" s="3" t="n">
        <v>5000000</v>
      </c>
      <c r="C46" s="3" t="n">
        <v>5000000</v>
      </c>
      <c r="D46" s="3" t="n">
        <v>5000000</v>
      </c>
      <c r="E46" s="3" t="n">
        <v>5000000</v>
      </c>
      <c r="F46" s="3" t="n">
        <v>5000000</v>
      </c>
      <c r="G46" s="3" t="n"/>
    </row>
    <row r="47">
      <c r="A47" t="inlineStr">
        <is>
          <t>Goodwill And Other Intangible Assets</t>
        </is>
      </c>
      <c r="B47" s="3" t="n">
        <v>600000</v>
      </c>
      <c r="C47" s="3" t="n">
        <v>825000</v>
      </c>
      <c r="D47" s="3" t="n">
        <v>1050000</v>
      </c>
      <c r="E47" s="3" t="n">
        <v>1275000</v>
      </c>
      <c r="F47" s="3" t="n">
        <v>1500000</v>
      </c>
      <c r="G47" s="3" t="n"/>
    </row>
    <row r="48">
      <c r="A48" t="inlineStr">
        <is>
          <t>Net PPE</t>
        </is>
      </c>
      <c r="B48" s="3" t="n">
        <v>18163000</v>
      </c>
      <c r="C48" s="3" t="n">
        <v>18325000</v>
      </c>
      <c r="D48" s="3" t="n">
        <v>18302000</v>
      </c>
      <c r="E48" s="3" t="n">
        <v>14749000</v>
      </c>
      <c r="F48" s="3" t="n">
        <v>15263000</v>
      </c>
      <c r="G48" s="3" t="n"/>
    </row>
    <row r="49">
      <c r="A49" t="inlineStr">
        <is>
          <t>Accumulated Depreciation</t>
        </is>
      </c>
      <c r="B49" s="3" t="n">
        <v>-16039000</v>
      </c>
      <c r="C49" s="3" t="n">
        <v>-17224000</v>
      </c>
      <c r="D49" s="3" t="n">
        <v>-16151000</v>
      </c>
      <c r="E49" s="3" t="n">
        <v>-15048000</v>
      </c>
      <c r="F49" s="3" t="n">
        <v>-13907000</v>
      </c>
      <c r="G49" s="3" t="n"/>
    </row>
    <row r="50">
      <c r="A50" t="inlineStr">
        <is>
          <t>Gross PPE</t>
        </is>
      </c>
      <c r="B50" s="3" t="n">
        <v>34202000</v>
      </c>
      <c r="C50" s="3" t="n">
        <v>35549000</v>
      </c>
      <c r="D50" s="3" t="n">
        <v>34453000</v>
      </c>
      <c r="E50" s="3" t="n">
        <v>29797000</v>
      </c>
      <c r="F50" s="3" t="n">
        <v>29170000</v>
      </c>
      <c r="G50" s="3" t="n"/>
    </row>
    <row r="51">
      <c r="A51" t="inlineStr">
        <is>
          <t>Leases</t>
        </is>
      </c>
      <c r="B51" s="3" t="n">
        <v>3479000</v>
      </c>
      <c r="C51" s="3" t="n">
        <v>3413000</v>
      </c>
      <c r="D51" s="3" t="n">
        <v>3413000</v>
      </c>
      <c r="E51" s="3" t="n">
        <v>3413000</v>
      </c>
      <c r="F51" s="3" t="n">
        <v>3380000</v>
      </c>
      <c r="G51" s="3" t="n"/>
    </row>
    <row r="52">
      <c r="A52" t="inlineStr">
        <is>
          <t>Construction In Progress</t>
        </is>
      </c>
      <c r="B52" s="3" t="n">
        <v>7536000</v>
      </c>
      <c r="C52" s="3" t="n">
        <v>6863000</v>
      </c>
      <c r="D52" s="3" t="n">
        <v>4323000</v>
      </c>
      <c r="E52" s="3" t="n">
        <v>4356000</v>
      </c>
      <c r="F52" s="3" t="n">
        <v>3419000</v>
      </c>
      <c r="G52" s="3" t="n"/>
    </row>
    <row r="53">
      <c r="A53" t="inlineStr">
        <is>
          <t>Other Properties</t>
        </is>
      </c>
      <c r="B53" s="3" t="n">
        <v>21621000</v>
      </c>
      <c r="C53" s="3" t="n">
        <v>21506000</v>
      </c>
      <c r="D53" s="3" t="n">
        <v>22969000</v>
      </c>
      <c r="E53" s="3" t="n">
        <v>18297000</v>
      </c>
      <c r="F53" s="3" t="n">
        <v>18673000</v>
      </c>
      <c r="G53" s="3" t="n"/>
    </row>
    <row r="54">
      <c r="A54" t="inlineStr">
        <is>
          <t>Machinery Furniture Equipment</t>
        </is>
      </c>
      <c r="B54" s="3" t="n">
        <v>1566000</v>
      </c>
      <c r="C54" s="3" t="n">
        <v>3767000</v>
      </c>
      <c r="D54" s="3" t="n">
        <v>3748000</v>
      </c>
      <c r="E54" s="3" t="n">
        <v>3731000</v>
      </c>
      <c r="F54" s="3" t="n">
        <v>3698000</v>
      </c>
      <c r="G54" s="3" t="n"/>
    </row>
    <row r="55">
      <c r="A55" t="inlineStr">
        <is>
          <t>Properties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/>
    </row>
    <row r="56">
      <c r="A56" t="inlineStr">
        <is>
          <t>Current Assets</t>
        </is>
      </c>
      <c r="B56" s="3" t="n">
        <v>122091000</v>
      </c>
      <c r="C56" s="3" t="n">
        <v>153525000</v>
      </c>
      <c r="D56" s="3" t="n">
        <v>66430000</v>
      </c>
      <c r="E56" s="3" t="n">
        <v>68316000</v>
      </c>
      <c r="F56" s="3" t="n">
        <v>91780000</v>
      </c>
      <c r="G56" s="3" t="n"/>
    </row>
    <row r="57">
      <c r="A57" t="inlineStr">
        <is>
          <t>Other Current Assets</t>
        </is>
      </c>
      <c r="B57" s="3" t="n">
        <v>1458000</v>
      </c>
      <c r="C57" s="3" t="n">
        <v>9039000</v>
      </c>
      <c r="D57" s="3" t="n">
        <v>869000</v>
      </c>
      <c r="E57" s="3" t="n">
        <v>830000</v>
      </c>
      <c r="F57" s="3" t="n">
        <v>3377000</v>
      </c>
      <c r="G57" s="3" t="n"/>
    </row>
    <row r="58">
      <c r="A58" t="inlineStr">
        <is>
          <t>Prepaid Assets</t>
        </is>
      </c>
      <c r="B58" s="3" t="n">
        <v>4246000</v>
      </c>
      <c r="C58" s="3" t="n">
        <v>4160000</v>
      </c>
      <c r="D58" s="3" t="n">
        <v>2952000</v>
      </c>
      <c r="E58" s="3" t="n">
        <v>3497000</v>
      </c>
      <c r="F58" s="3" t="n">
        <v>2665000</v>
      </c>
      <c r="G58" s="3" t="n"/>
    </row>
    <row r="59">
      <c r="A59" t="inlineStr">
        <is>
          <t>Inventory</t>
        </is>
      </c>
      <c r="B59" s="3" t="n">
        <v>5984000</v>
      </c>
      <c r="C59" s="3" t="n">
        <v>5787000</v>
      </c>
      <c r="D59" s="3" t="n">
        <v>4949000</v>
      </c>
      <c r="E59" s="3" t="n">
        <v>3659000</v>
      </c>
      <c r="F59" s="3" t="n">
        <v>3882000</v>
      </c>
      <c r="G59" s="3" t="n"/>
    </row>
    <row r="60">
      <c r="A60" t="inlineStr">
        <is>
          <t>Finished Goods</t>
        </is>
      </c>
      <c r="B60" s="3" t="n">
        <v>1249000</v>
      </c>
      <c r="C60" s="3" t="n">
        <v>1164000</v>
      </c>
      <c r="D60" s="3" t="n">
        <v>1090000</v>
      </c>
      <c r="E60" s="3" t="n">
        <v>825000</v>
      </c>
      <c r="F60" s="3" t="n">
        <v>1413000</v>
      </c>
      <c r="G60" s="3" t="n"/>
    </row>
    <row r="61">
      <c r="A61" t="inlineStr">
        <is>
          <t>Work In Process</t>
        </is>
      </c>
      <c r="B61" s="3" t="n">
        <v>740000</v>
      </c>
      <c r="C61" s="3" t="n">
        <v>897000</v>
      </c>
      <c r="D61" s="3" t="n">
        <v>752000</v>
      </c>
      <c r="E61" s="3" t="n">
        <v>658000</v>
      </c>
      <c r="F61" s="3" t="n">
        <v>716000</v>
      </c>
      <c r="G61" s="3" t="n"/>
    </row>
    <row r="62">
      <c r="A62" t="inlineStr">
        <is>
          <t>Raw Materials</t>
        </is>
      </c>
      <c r="B62" s="3" t="n">
        <v>3995000</v>
      </c>
      <c r="C62" s="3" t="n">
        <v>3726000</v>
      </c>
      <c r="D62" s="3" t="n">
        <v>3107000</v>
      </c>
      <c r="E62" s="3" t="n">
        <v>2176000</v>
      </c>
      <c r="F62" s="3" t="n">
        <v>1753000</v>
      </c>
      <c r="G62" s="3" t="n"/>
    </row>
    <row r="63">
      <c r="A63" t="inlineStr">
        <is>
          <t>Receivables</t>
        </is>
      </c>
      <c r="B63" s="3" t="n">
        <v>10899000</v>
      </c>
      <c r="C63" s="3" t="n">
        <v>12640000</v>
      </c>
      <c r="D63" s="3" t="n">
        <v>8772000</v>
      </c>
      <c r="E63" s="3" t="n">
        <v>10481000</v>
      </c>
      <c r="F63" s="3" t="n">
        <v>860000</v>
      </c>
      <c r="G63" s="3" t="n"/>
    </row>
    <row r="64">
      <c r="A64" t="inlineStr">
        <is>
          <t>Other Receivables</t>
        </is>
      </c>
      <c r="B64" s="3" t="n">
        <v>7445000</v>
      </c>
      <c r="C64" s="3" t="n">
        <v>9277000</v>
      </c>
      <c r="D64" s="3" t="n">
        <v>6826000</v>
      </c>
      <c r="E64" s="3" t="n">
        <v>6585000</v>
      </c>
      <c r="F64" s="3" t="n">
        <v>85000</v>
      </c>
      <c r="G64" s="3" t="n"/>
    </row>
    <row r="65">
      <c r="A65" t="inlineStr">
        <is>
          <t>Accounts Receivable</t>
        </is>
      </c>
      <c r="B65" s="3" t="n">
        <v>3454000</v>
      </c>
      <c r="C65" s="3" t="n">
        <v>3363000</v>
      </c>
      <c r="D65" s="3" t="n">
        <v>1946000</v>
      </c>
      <c r="E65" s="3" t="n">
        <v>3896000</v>
      </c>
      <c r="F65" s="3" t="n">
        <v>775000</v>
      </c>
      <c r="G65" s="3" t="n"/>
    </row>
    <row r="66">
      <c r="A66" t="inlineStr">
        <is>
          <t>Cash Cash Equivalents And Short Term Investments</t>
        </is>
      </c>
      <c r="B66" s="3" t="n">
        <v>99504000</v>
      </c>
      <c r="C66" s="3" t="n">
        <v>121899000</v>
      </c>
      <c r="D66" s="3" t="n">
        <v>48888000</v>
      </c>
      <c r="E66" s="3" t="n">
        <v>49849000</v>
      </c>
      <c r="F66" s="3" t="n">
        <v>80996000</v>
      </c>
      <c r="G66" s="3" t="n"/>
    </row>
    <row r="67">
      <c r="A67" t="inlineStr">
        <is>
          <t>Other Short Term Investments</t>
        </is>
      </c>
      <c r="B67" s="3" t="n">
        <v>68328000</v>
      </c>
      <c r="C67" s="3" t="n">
        <v>49608000</v>
      </c>
      <c r="D67" s="3" t="n">
        <v>3200000</v>
      </c>
      <c r="E67" s="3" t="n">
        <v>28106000</v>
      </c>
      <c r="F67" s="3" t="n">
        <v>59785000</v>
      </c>
      <c r="G67" s="3" t="n"/>
    </row>
    <row r="68">
      <c r="A68" t="inlineStr">
        <is>
          <t>Cash And Cash Equivalents</t>
        </is>
      </c>
      <c r="B68" s="3" t="n">
        <v>31176000</v>
      </c>
      <c r="C68" s="3" t="n">
        <v>72291000</v>
      </c>
      <c r="D68" s="3" t="n">
        <v>45688000</v>
      </c>
      <c r="E68" s="3" t="n">
        <v>21743000</v>
      </c>
      <c r="F68" s="3" t="n">
        <v>21211000</v>
      </c>
      <c r="G68" s="3" t="n"/>
    </row>
    <row r="69">
      <c r="A69" t="inlineStr">
        <is>
          <t>Cash Equivalents</t>
        </is>
      </c>
      <c r="B69" s="3" t="n">
        <v>17551000</v>
      </c>
      <c r="C69" s="3" t="n">
        <v>55601000</v>
      </c>
      <c r="D69" s="3" t="n">
        <v>16747000</v>
      </c>
      <c r="E69" s="3" t="n">
        <v>11689000</v>
      </c>
      <c r="F69" s="3" t="n">
        <v>8900000</v>
      </c>
      <c r="G69" s="3" t="n"/>
    </row>
    <row r="70">
      <c r="A70" t="inlineStr">
        <is>
          <t>Cash Financial</t>
        </is>
      </c>
      <c r="B70" s="3" t="n">
        <v>13625000</v>
      </c>
      <c r="C70" s="3" t="n">
        <v>16690000</v>
      </c>
      <c r="D70" s="3" t="n">
        <v>28941000</v>
      </c>
      <c r="E70" s="3" t="n">
        <v>10054000</v>
      </c>
      <c r="F70" s="3" t="n">
        <v>12311000</v>
      </c>
      <c r="G7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-119686000</v>
      </c>
      <c r="C2" s="3" t="n">
        <v>-112020000</v>
      </c>
      <c r="D2" s="3" t="n">
        <v>-124930000</v>
      </c>
      <c r="E2" s="3" t="n">
        <v>-117350000</v>
      </c>
      <c r="F2" s="3" t="n"/>
    </row>
    <row r="3">
      <c r="A3" t="inlineStr">
        <is>
          <t>Issuance Of Debt</t>
        </is>
      </c>
      <c r="B3" s="3" t="n">
        <v>100000000</v>
      </c>
      <c r="C3" s="3" t="n">
        <v>0</v>
      </c>
      <c r="D3" s="3" t="n">
        <v>0</v>
      </c>
      <c r="E3" s="3" t="n"/>
      <c r="F3" s="3" t="n"/>
    </row>
    <row r="4">
      <c r="A4" t="inlineStr">
        <is>
          <t>Issuance Of Capital Stock</t>
        </is>
      </c>
      <c r="B4" s="3" t="n">
        <v>32500000</v>
      </c>
      <c r="C4" s="3" t="n">
        <v>0</v>
      </c>
      <c r="D4" s="3" t="n">
        <v>21455000</v>
      </c>
      <c r="E4" s="3" t="n">
        <v>0</v>
      </c>
      <c r="F4" s="3" t="n"/>
    </row>
    <row r="5">
      <c r="A5" t="inlineStr">
        <is>
          <t>Capital Expenditure</t>
        </is>
      </c>
      <c r="B5" s="3" t="n">
        <v>-4609000</v>
      </c>
      <c r="C5" s="3" t="n">
        <v>-5107000</v>
      </c>
      <c r="D5" s="3" t="n">
        <v>-6104000</v>
      </c>
      <c r="E5" s="3" t="n">
        <v>-7439000</v>
      </c>
      <c r="F5" s="3" t="n"/>
    </row>
    <row r="6">
      <c r="A6" t="inlineStr">
        <is>
          <t>Interest Paid Supplemental Data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/>
    </row>
    <row r="7">
      <c r="A7" t="inlineStr">
        <is>
          <t>Income Tax Paid Supplemental Data</t>
        </is>
      </c>
      <c r="B7" s="3" t="n">
        <v>174000</v>
      </c>
      <c r="C7" s="3" t="n">
        <v>165000</v>
      </c>
      <c r="D7" s="3" t="n">
        <v>0</v>
      </c>
      <c r="E7" s="3" t="n">
        <v>0</v>
      </c>
      <c r="F7" s="3" t="n"/>
    </row>
    <row r="8">
      <c r="A8" t="inlineStr">
        <is>
          <t>End Cash Position</t>
        </is>
      </c>
      <c r="B8" s="3" t="n">
        <v>72291000</v>
      </c>
      <c r="C8" s="3" t="n">
        <v>28864000</v>
      </c>
      <c r="D8" s="3" t="n">
        <v>38547000</v>
      </c>
      <c r="E8" s="3" t="n">
        <v>67420000</v>
      </c>
      <c r="F8" s="3" t="n"/>
    </row>
    <row r="9">
      <c r="A9" t="inlineStr">
        <is>
          <t>Beginning Cash Position</t>
        </is>
      </c>
      <c r="B9" s="3" t="n">
        <v>28864000</v>
      </c>
      <c r="C9" s="3" t="n">
        <v>38547000</v>
      </c>
      <c r="D9" s="3" t="n">
        <v>67420000</v>
      </c>
      <c r="E9" s="3" t="n">
        <v>66810000</v>
      </c>
      <c r="F9" s="3" t="n"/>
    </row>
    <row r="10">
      <c r="A10" t="inlineStr">
        <is>
          <t>Changes In Cash</t>
        </is>
      </c>
      <c r="B10" s="3" t="n">
        <v>43427000</v>
      </c>
      <c r="C10" s="3" t="n">
        <v>-9683000</v>
      </c>
      <c r="D10" s="3" t="n">
        <v>-28873000</v>
      </c>
      <c r="E10" s="3" t="n">
        <v>610000</v>
      </c>
      <c r="F10" s="3" t="n"/>
    </row>
    <row r="11">
      <c r="A11" t="inlineStr">
        <is>
          <t>Financing Cash Flow</t>
        </is>
      </c>
      <c r="B11" s="3" t="n">
        <v>128578000</v>
      </c>
      <c r="C11" s="3" t="n">
        <v>-671000</v>
      </c>
      <c r="D11" s="3" t="n">
        <v>20676000</v>
      </c>
      <c r="E11" s="3" t="n">
        <v>-369000</v>
      </c>
      <c r="F11" s="3" t="n"/>
    </row>
    <row r="12">
      <c r="A12" t="inlineStr">
        <is>
          <t>Cash Flow From Continuing Financing Activities</t>
        </is>
      </c>
      <c r="B12" s="3" t="n">
        <v>128578000</v>
      </c>
      <c r="C12" s="3" t="n">
        <v>-671000</v>
      </c>
      <c r="D12" s="3" t="n">
        <v>20676000</v>
      </c>
      <c r="E12" s="3" t="n">
        <v>-369000</v>
      </c>
      <c r="F12" s="3" t="n"/>
    </row>
    <row r="13">
      <c r="A13" t="inlineStr">
        <is>
          <t>Net Other Financing Charges</t>
        </is>
      </c>
      <c r="B13" s="3" t="n">
        <v>-4050000</v>
      </c>
      <c r="C13" s="3" t="n">
        <v>-752000</v>
      </c>
      <c r="D13" s="3" t="n">
        <v>-1017000</v>
      </c>
      <c r="E13" s="3" t="n">
        <v>-720000</v>
      </c>
      <c r="F13" s="3" t="n"/>
    </row>
    <row r="14">
      <c r="A14" t="inlineStr">
        <is>
          <t>Proceeds From Stock Option Exercised</t>
        </is>
      </c>
      <c r="B14" s="3" t="n">
        <v>128000</v>
      </c>
      <c r="C14" s="3" t="n">
        <v>81000</v>
      </c>
      <c r="D14" s="3" t="n">
        <v>238000</v>
      </c>
      <c r="E14" s="3" t="n">
        <v>351000</v>
      </c>
      <c r="F14" s="3" t="n"/>
    </row>
    <row r="15">
      <c r="A15" t="inlineStr">
        <is>
          <t>Net Preferred Stock Issuance</t>
        </is>
      </c>
      <c r="B15" s="3" t="n"/>
      <c r="C15" s="3" t="n"/>
      <c r="D15" s="3" t="n"/>
      <c r="E15" s="3" t="n"/>
      <c r="F15" s="3" t="n">
        <v>0</v>
      </c>
    </row>
    <row r="16">
      <c r="A16" t="inlineStr">
        <is>
          <t>Preferred Stock Issuance</t>
        </is>
      </c>
      <c r="B16" s="3" t="n"/>
      <c r="C16" s="3" t="n"/>
      <c r="D16" s="3" t="n"/>
      <c r="E16" s="3" t="n"/>
      <c r="F16" s="3" t="n">
        <v>0</v>
      </c>
    </row>
    <row r="17">
      <c r="A17" t="inlineStr">
        <is>
          <t>Net Common Stock Issuance</t>
        </is>
      </c>
      <c r="B17" s="3" t="n">
        <v>32500000</v>
      </c>
      <c r="C17" s="3" t="n">
        <v>0</v>
      </c>
      <c r="D17" s="3" t="n">
        <v>21455000</v>
      </c>
      <c r="E17" s="3" t="n">
        <v>0</v>
      </c>
      <c r="F17" s="3" t="n"/>
    </row>
    <row r="18">
      <c r="A18" t="inlineStr">
        <is>
          <t>Common Stock Issuance</t>
        </is>
      </c>
      <c r="B18" s="3" t="n">
        <v>32500000</v>
      </c>
      <c r="C18" s="3" t="n">
        <v>0</v>
      </c>
      <c r="D18" s="3" t="n">
        <v>21455000</v>
      </c>
      <c r="E18" s="3" t="n">
        <v>0</v>
      </c>
      <c r="F18" s="3" t="n"/>
    </row>
    <row r="19">
      <c r="A19" t="inlineStr">
        <is>
          <t>Net Issuance Payments Of Debt</t>
        </is>
      </c>
      <c r="B19" s="3" t="n">
        <v>100000000</v>
      </c>
      <c r="C19" s="3" t="n">
        <v>0</v>
      </c>
      <c r="D19" s="3" t="n">
        <v>0</v>
      </c>
      <c r="E19" s="3" t="n"/>
      <c r="F19" s="3" t="n"/>
    </row>
    <row r="20">
      <c r="A20" t="inlineStr">
        <is>
          <t>Net Long Term Debt Issuance</t>
        </is>
      </c>
      <c r="B20" s="3" t="n">
        <v>100000000</v>
      </c>
      <c r="C20" s="3" t="n">
        <v>0</v>
      </c>
      <c r="D20" s="3" t="n">
        <v>0</v>
      </c>
      <c r="E20" s="3" t="n"/>
      <c r="F20" s="3" t="n"/>
    </row>
    <row r="21">
      <c r="A21" t="inlineStr">
        <is>
          <t>Long Term Debt Issuance</t>
        </is>
      </c>
      <c r="B21" s="3" t="n">
        <v>100000000</v>
      </c>
      <c r="C21" s="3" t="n">
        <v>0</v>
      </c>
      <c r="D21" s="3" t="n">
        <v>0</v>
      </c>
      <c r="E21" s="3" t="n"/>
      <c r="F21" s="3" t="n"/>
    </row>
    <row r="22">
      <c r="A22" t="inlineStr">
        <is>
          <t>Investing Cash Flow</t>
        </is>
      </c>
      <c r="B22" s="3" t="n">
        <v>29926000</v>
      </c>
      <c r="C22" s="3" t="n">
        <v>97901000</v>
      </c>
      <c r="D22" s="3" t="n">
        <v>69277000</v>
      </c>
      <c r="E22" s="3" t="n">
        <v>110890000</v>
      </c>
      <c r="F22" s="3" t="n"/>
    </row>
    <row r="23">
      <c r="A23" t="inlineStr">
        <is>
          <t>Cash Flow From Continuing Investing Activities</t>
        </is>
      </c>
      <c r="B23" s="3" t="n">
        <v>29926000</v>
      </c>
      <c r="C23" s="3" t="n">
        <v>97901000</v>
      </c>
      <c r="D23" s="3" t="n">
        <v>69277000</v>
      </c>
      <c r="E23" s="3" t="n">
        <v>110890000</v>
      </c>
      <c r="F23" s="3" t="n"/>
    </row>
    <row r="24">
      <c r="A24" t="inlineStr">
        <is>
          <t>Net Investment Purchase And Sale</t>
        </is>
      </c>
      <c r="B24" s="3" t="n">
        <v>34535000</v>
      </c>
      <c r="C24" s="3" t="n">
        <v>103008000</v>
      </c>
      <c r="D24" s="3" t="n">
        <v>75381000</v>
      </c>
      <c r="E24" s="3" t="n">
        <v>118329000</v>
      </c>
      <c r="F24" s="3" t="n"/>
    </row>
    <row r="25">
      <c r="A25" t="inlineStr">
        <is>
          <t>Sale Of Investment</t>
        </is>
      </c>
      <c r="B25" s="3" t="n">
        <v>109549000</v>
      </c>
      <c r="C25" s="3" t="n">
        <v>182988000</v>
      </c>
      <c r="D25" s="3" t="n">
        <v>232745000</v>
      </c>
      <c r="E25" s="3" t="n">
        <v>328526000</v>
      </c>
      <c r="F25" s="3" t="n"/>
    </row>
    <row r="26">
      <c r="A26" t="inlineStr">
        <is>
          <t>Purchase Of Investment</t>
        </is>
      </c>
      <c r="B26" s="3" t="n">
        <v>-75014000</v>
      </c>
      <c r="C26" s="3" t="n">
        <v>-79980000</v>
      </c>
      <c r="D26" s="3" t="n">
        <v>-157364000</v>
      </c>
      <c r="E26" s="3" t="n">
        <v>-210197000</v>
      </c>
      <c r="F26" s="3" t="n"/>
    </row>
    <row r="27">
      <c r="A27" t="inlineStr">
        <is>
          <t>Net Business Purchase And Sale</t>
        </is>
      </c>
      <c r="B27" s="3" t="n"/>
      <c r="C27" s="3" t="n"/>
      <c r="D27" s="3" t="n">
        <v>-5000000</v>
      </c>
      <c r="E27" s="3" t="n">
        <v>0</v>
      </c>
      <c r="F27" s="3" t="n">
        <v>0</v>
      </c>
    </row>
    <row r="28">
      <c r="A28" t="inlineStr">
        <is>
          <t>Purchase Of Business</t>
        </is>
      </c>
      <c r="B28" s="3" t="n"/>
      <c r="C28" s="3" t="n"/>
      <c r="D28" s="3" t="n">
        <v>-5000000</v>
      </c>
      <c r="E28" s="3" t="n">
        <v>0</v>
      </c>
      <c r="F28" s="3" t="n">
        <v>0</v>
      </c>
    </row>
    <row r="29">
      <c r="A29" t="inlineStr">
        <is>
          <t>Net Intangibles Purchase And Sale</t>
        </is>
      </c>
      <c r="B29" s="3" t="n"/>
      <c r="C29" s="3" t="n"/>
      <c r="D29" s="3" t="n">
        <v>0</v>
      </c>
      <c r="E29" s="3" t="n">
        <v>0</v>
      </c>
      <c r="F29" s="3" t="n">
        <v>-4500000</v>
      </c>
    </row>
    <row r="30">
      <c r="A30" t="inlineStr">
        <is>
          <t>Purchase Of Intangibles</t>
        </is>
      </c>
      <c r="B30" s="3" t="n"/>
      <c r="C30" s="3" t="n"/>
      <c r="D30" s="3" t="n">
        <v>0</v>
      </c>
      <c r="E30" s="3" t="n">
        <v>0</v>
      </c>
      <c r="F30" s="3" t="n">
        <v>-4500000</v>
      </c>
    </row>
    <row r="31">
      <c r="A31" t="inlineStr">
        <is>
          <t>Net PPE Purchase And Sale</t>
        </is>
      </c>
      <c r="B31" s="3" t="n">
        <v>-4609000</v>
      </c>
      <c r="C31" s="3" t="n">
        <v>-5107000</v>
      </c>
      <c r="D31" s="3" t="n">
        <v>-6104000</v>
      </c>
      <c r="E31" s="3" t="n">
        <v>-7439000</v>
      </c>
      <c r="F31" s="3" t="n"/>
    </row>
    <row r="32">
      <c r="A32" t="inlineStr">
        <is>
          <t>Purchase Of PPE</t>
        </is>
      </c>
      <c r="B32" s="3" t="n">
        <v>-4609000</v>
      </c>
      <c r="C32" s="3" t="n">
        <v>-5107000</v>
      </c>
      <c r="D32" s="3" t="n">
        <v>-6104000</v>
      </c>
      <c r="E32" s="3" t="n">
        <v>-7439000</v>
      </c>
      <c r="F32" s="3" t="n"/>
    </row>
    <row r="33">
      <c r="A33" t="inlineStr">
        <is>
          <t>Operating Cash Flow</t>
        </is>
      </c>
      <c r="B33" s="3" t="n">
        <v>-115077000</v>
      </c>
      <c r="C33" s="3" t="n">
        <v>-106913000</v>
      </c>
      <c r="D33" s="3" t="n">
        <v>-118826000</v>
      </c>
      <c r="E33" s="3" t="n">
        <v>-109911000</v>
      </c>
      <c r="F33" s="3" t="n"/>
    </row>
    <row r="34">
      <c r="A34" t="inlineStr">
        <is>
          <t>Cash Flow From Continuing Operating Activities</t>
        </is>
      </c>
      <c r="B34" s="3" t="n">
        <v>-115077000</v>
      </c>
      <c r="C34" s="3" t="n">
        <v>-106913000</v>
      </c>
      <c r="D34" s="3" t="n">
        <v>-118826000</v>
      </c>
      <c r="E34" s="3" t="n">
        <v>-109911000</v>
      </c>
      <c r="F34" s="3" t="n"/>
    </row>
    <row r="35">
      <c r="A35" t="inlineStr">
        <is>
          <t>Change In Working Capital</t>
        </is>
      </c>
      <c r="B35" s="3" t="n">
        <v>-25083000</v>
      </c>
      <c r="C35" s="3" t="n">
        <v>13045000</v>
      </c>
      <c r="D35" s="3" t="n">
        <v>-4831000</v>
      </c>
      <c r="E35" s="3" t="n">
        <v>5888000</v>
      </c>
      <c r="F35" s="3" t="n"/>
    </row>
    <row r="36">
      <c r="A36" t="inlineStr">
        <is>
          <t>Change In Other Current Liabilities</t>
        </is>
      </c>
      <c r="B36" s="3" t="n">
        <v>-21155000</v>
      </c>
      <c r="C36" s="3" t="n">
        <v>13054000</v>
      </c>
      <c r="D36" s="3" t="n">
        <v>-767000</v>
      </c>
      <c r="E36" s="3" t="n">
        <v>-3410000</v>
      </c>
      <c r="F36" s="3" t="n"/>
    </row>
    <row r="37">
      <c r="A37" t="inlineStr">
        <is>
          <t>Change In Other Current Assets</t>
        </is>
      </c>
      <c r="B37" s="3" t="n">
        <v>-8427000</v>
      </c>
      <c r="C37" s="3" t="n">
        <v>-2248000</v>
      </c>
      <c r="D37" s="3" t="n">
        <v>9000</v>
      </c>
      <c r="E37" s="3" t="n">
        <v>3631000</v>
      </c>
      <c r="F37" s="3" t="n"/>
    </row>
    <row r="38">
      <c r="A38" t="inlineStr">
        <is>
          <t>Change In Payables And Accrued Expense</t>
        </is>
      </c>
      <c r="B38" s="3" t="n">
        <v>10972000</v>
      </c>
      <c r="C38" s="3" t="n">
        <v>3909000</v>
      </c>
      <c r="D38" s="3" t="n">
        <v>-6685000</v>
      </c>
      <c r="E38" s="3" t="n">
        <v>8765000</v>
      </c>
      <c r="F38" s="3" t="n"/>
    </row>
    <row r="39">
      <c r="A39" t="inlineStr">
        <is>
          <t>Change In Accrued Expense</t>
        </is>
      </c>
      <c r="B39" s="3" t="n">
        <v>11476000</v>
      </c>
      <c r="C39" s="3" t="n">
        <v>2074000</v>
      </c>
      <c r="D39" s="3" t="n">
        <v>-5093000</v>
      </c>
      <c r="E39" s="3" t="n">
        <v>7478000</v>
      </c>
      <c r="F39" s="3" t="n"/>
    </row>
    <row r="40">
      <c r="A40" t="inlineStr">
        <is>
          <t>Change In Payable</t>
        </is>
      </c>
      <c r="B40" s="3" t="n">
        <v>-504000</v>
      </c>
      <c r="C40" s="3" t="n">
        <v>1835000</v>
      </c>
      <c r="D40" s="3" t="n">
        <v>-1592000</v>
      </c>
      <c r="E40" s="3" t="n">
        <v>1287000</v>
      </c>
      <c r="F40" s="3" t="n"/>
    </row>
    <row r="41">
      <c r="A41" t="inlineStr">
        <is>
          <t>Change In Account Payable</t>
        </is>
      </c>
      <c r="B41" s="3" t="n">
        <v>-504000</v>
      </c>
      <c r="C41" s="3" t="n">
        <v>1835000</v>
      </c>
      <c r="D41" s="3" t="n">
        <v>-1592000</v>
      </c>
      <c r="E41" s="3" t="n">
        <v>1287000</v>
      </c>
      <c r="F41" s="3" t="n"/>
    </row>
    <row r="42">
      <c r="A42" t="inlineStr">
        <is>
          <t>Change In Inventory</t>
        </is>
      </c>
      <c r="B42" s="3" t="n">
        <v>-3936000</v>
      </c>
      <c r="C42" s="3" t="n">
        <v>-1111000</v>
      </c>
      <c r="D42" s="3" t="n">
        <v>353000</v>
      </c>
      <c r="E42" s="3" t="n">
        <v>-2552000</v>
      </c>
      <c r="F42" s="3" t="n"/>
    </row>
    <row r="43">
      <c r="A43" t="inlineStr">
        <is>
          <t>Change In Receivables</t>
        </is>
      </c>
      <c r="B43" s="3" t="n">
        <v>-2537000</v>
      </c>
      <c r="C43" s="3" t="n">
        <v>-559000</v>
      </c>
      <c r="D43" s="3" t="n">
        <v>2259000</v>
      </c>
      <c r="E43" s="3" t="n">
        <v>-546000</v>
      </c>
      <c r="F43" s="3" t="n"/>
    </row>
    <row r="44">
      <c r="A44" t="inlineStr">
        <is>
          <t>Changes In Account Receivables</t>
        </is>
      </c>
      <c r="B44" s="3" t="n">
        <v>-2537000</v>
      </c>
      <c r="C44" s="3" t="n">
        <v>-559000</v>
      </c>
      <c r="D44" s="3" t="n">
        <v>2259000</v>
      </c>
      <c r="E44" s="3" t="n">
        <v>-546000</v>
      </c>
      <c r="F44" s="3" t="n"/>
    </row>
    <row r="45">
      <c r="A45" t="inlineStr">
        <is>
          <t>Other Non Cash Items</t>
        </is>
      </c>
      <c r="B45" s="3" t="n">
        <v>4208000</v>
      </c>
      <c r="C45" s="3" t="n">
        <v>563000</v>
      </c>
      <c r="D45" s="3" t="n">
        <v>22000</v>
      </c>
      <c r="E45" s="3" t="n">
        <v>389000</v>
      </c>
      <c r="F45" s="3" t="n"/>
    </row>
    <row r="46">
      <c r="A46" t="inlineStr">
        <is>
          <t>Stock Based Compensation</t>
        </is>
      </c>
      <c r="B46" s="3" t="n">
        <v>21843000</v>
      </c>
      <c r="C46" s="3" t="n">
        <v>23708000</v>
      </c>
      <c r="D46" s="3" t="n">
        <v>23675000</v>
      </c>
      <c r="E46" s="3" t="n">
        <v>24247000</v>
      </c>
      <c r="F46" s="3" t="n"/>
    </row>
    <row r="47">
      <c r="A47" t="inlineStr">
        <is>
          <t>Asset Impairment Charge</t>
        </is>
      </c>
      <c r="B47" s="3" t="n">
        <v>493000</v>
      </c>
      <c r="C47" s="3" t="n">
        <v>1140000</v>
      </c>
      <c r="D47" s="3" t="n">
        <v>224000</v>
      </c>
      <c r="E47" s="3" t="n">
        <v>1664000</v>
      </c>
      <c r="F47" s="3" t="n"/>
    </row>
    <row r="48">
      <c r="A48" t="inlineStr">
        <is>
          <t>Amortization Of Securities</t>
        </is>
      </c>
      <c r="B48" s="3" t="n">
        <v>-1050000</v>
      </c>
      <c r="C48" s="3" t="n">
        <v>-3537000</v>
      </c>
      <c r="D48" s="3" t="n">
        <v>-2973000</v>
      </c>
      <c r="E48" s="3" t="n">
        <v>389000</v>
      </c>
      <c r="F48" s="3" t="n"/>
    </row>
    <row r="49">
      <c r="A49" t="inlineStr">
        <is>
          <t>Depreciation Amortization Depletion</t>
        </is>
      </c>
      <c r="B49" s="3" t="n">
        <v>8487000</v>
      </c>
      <c r="C49" s="3" t="n">
        <v>8943000</v>
      </c>
      <c r="D49" s="3" t="n">
        <v>7730000</v>
      </c>
      <c r="E49" s="3" t="n">
        <v>6147000</v>
      </c>
      <c r="F49" s="3" t="n"/>
    </row>
    <row r="50">
      <c r="A50" t="inlineStr">
        <is>
          <t>Depreciation And Amortization</t>
        </is>
      </c>
      <c r="B50" s="3" t="n">
        <v>8487000</v>
      </c>
      <c r="C50" s="3" t="n">
        <v>8943000</v>
      </c>
      <c r="D50" s="3" t="n">
        <v>7730000</v>
      </c>
      <c r="E50" s="3" t="n">
        <v>6147000</v>
      </c>
      <c r="F50" s="3" t="n"/>
    </row>
    <row r="51">
      <c r="A51" t="inlineStr">
        <is>
          <t>Amortization Cash Flow</t>
        </is>
      </c>
      <c r="B51" s="3" t="n"/>
      <c r="C51" s="3" t="n"/>
      <c r="D51" s="3" t="n">
        <v>900000</v>
      </c>
      <c r="E51" s="3" t="n">
        <v>900000</v>
      </c>
      <c r="F51" s="3" t="n">
        <v>100000</v>
      </c>
    </row>
    <row r="52">
      <c r="A52" t="inlineStr">
        <is>
          <t>Amortization Of Intangibles</t>
        </is>
      </c>
      <c r="B52" s="3" t="n"/>
      <c r="C52" s="3" t="n"/>
      <c r="D52" s="3" t="n">
        <v>900000</v>
      </c>
      <c r="E52" s="3" t="n">
        <v>900000</v>
      </c>
      <c r="F52" s="3" t="n">
        <v>100000</v>
      </c>
    </row>
    <row r="53">
      <c r="A53" t="inlineStr">
        <is>
          <t>Depreciation</t>
        </is>
      </c>
      <c r="B53" s="3" t="n">
        <v>8487000</v>
      </c>
      <c r="C53" s="3" t="n">
        <v>8943000</v>
      </c>
      <c r="D53" s="3" t="n">
        <v>7730000</v>
      </c>
      <c r="E53" s="3" t="n">
        <v>6147000</v>
      </c>
      <c r="F53" s="3" t="n"/>
    </row>
    <row r="54">
      <c r="A54" t="inlineStr">
        <is>
          <t>Operating Gains Losses</t>
        </is>
      </c>
      <c r="B54" s="3" t="n">
        <v>21453000</v>
      </c>
      <c r="C54" s="3" t="n">
        <v>1486000</v>
      </c>
      <c r="D54" s="3" t="n">
        <v>6682000</v>
      </c>
      <c r="E54" s="3" t="n">
        <v>-941000</v>
      </c>
      <c r="F54" s="3" t="n"/>
    </row>
    <row r="55">
      <c r="A55" t="inlineStr">
        <is>
          <t>Gain Loss On Investment Securities</t>
        </is>
      </c>
      <c r="B55" s="3" t="n">
        <v>21453000</v>
      </c>
      <c r="C55" s="3" t="n">
        <v>1486000</v>
      </c>
      <c r="D55" s="3" t="n">
        <v>6682000</v>
      </c>
      <c r="E55" s="3" t="n">
        <v>-941000</v>
      </c>
      <c r="F55" s="3" t="n"/>
    </row>
    <row r="56">
      <c r="A56" t="inlineStr">
        <is>
          <t>Net Income From Continuing Operations</t>
        </is>
      </c>
      <c r="B56" s="3" t="n">
        <v>-145428000</v>
      </c>
      <c r="C56" s="3" t="n">
        <v>-152261000</v>
      </c>
      <c r="D56" s="3" t="n">
        <v>-149333000</v>
      </c>
      <c r="E56" s="3" t="n">
        <v>-147305000</v>
      </c>
      <c r="F5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Free Cash Flow</t>
        </is>
      </c>
      <c r="B2" s="3" t="n">
        <v>-28073000</v>
      </c>
      <c r="C2" s="3" t="n">
        <v>-23659000</v>
      </c>
      <c r="D2" s="3" t="n">
        <v>-33586000</v>
      </c>
      <c r="E2" s="3" t="n">
        <v>-31190000</v>
      </c>
      <c r="F2" s="3" t="n">
        <v>-31251000</v>
      </c>
    </row>
    <row r="3">
      <c r="A3" t="inlineStr">
        <is>
          <t>Issuance Of Capital Stock</t>
        </is>
      </c>
      <c r="B3" s="3" t="n"/>
      <c r="C3" s="3" t="n">
        <v>0</v>
      </c>
      <c r="D3" s="3" t="n"/>
      <c r="E3" s="3" t="n"/>
      <c r="F3" s="3" t="n"/>
    </row>
    <row r="4">
      <c r="A4" t="inlineStr">
        <is>
          <t>Capital Expenditure</t>
        </is>
      </c>
      <c r="B4" s="3" t="n">
        <v>-2225000</v>
      </c>
      <c r="C4" s="3" t="n">
        <v>-1510000</v>
      </c>
      <c r="D4" s="3" t="n">
        <v>-1274000</v>
      </c>
      <c r="E4" s="3" t="n">
        <v>-1366000</v>
      </c>
      <c r="F4" s="3" t="n">
        <v>-459000</v>
      </c>
    </row>
    <row r="5">
      <c r="A5" t="inlineStr">
        <is>
          <t>Interest Paid Supplemental Data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t="inlineStr">
        <is>
          <t>Income Tax Paid Supplemental Data</t>
        </is>
      </c>
      <c r="B6" s="3" t="n">
        <v>48000</v>
      </c>
      <c r="C6" s="3" t="n">
        <v>48000</v>
      </c>
      <c r="D6" s="3" t="n">
        <v>53000</v>
      </c>
      <c r="E6" s="3" t="n">
        <v>38000</v>
      </c>
      <c r="F6" s="3" t="n">
        <v>35000</v>
      </c>
    </row>
    <row r="7">
      <c r="A7" t="inlineStr">
        <is>
          <t>End Cash Position</t>
        </is>
      </c>
      <c r="B7" s="3" t="n">
        <v>31176000</v>
      </c>
      <c r="C7" s="3" t="n">
        <v>72291000</v>
      </c>
      <c r="D7" s="3" t="n">
        <v>45688000</v>
      </c>
      <c r="E7" s="3" t="n">
        <v>21743000</v>
      </c>
      <c r="F7" s="3" t="n">
        <v>21211000</v>
      </c>
    </row>
    <row r="8">
      <c r="A8" t="inlineStr">
        <is>
          <t>Beginning Cash Position</t>
        </is>
      </c>
      <c r="B8" s="3" t="n">
        <v>72291000</v>
      </c>
      <c r="C8" s="3" t="n">
        <v>45688000</v>
      </c>
      <c r="D8" s="3" t="n">
        <v>21743000</v>
      </c>
      <c r="E8" s="3" t="n">
        <v>21211000</v>
      </c>
      <c r="F8" s="3" t="n">
        <v>28864000</v>
      </c>
    </row>
    <row r="9">
      <c r="A9" t="inlineStr">
        <is>
          <t>Changes In Cash</t>
        </is>
      </c>
      <c r="B9" s="3" t="n">
        <v>-41115000</v>
      </c>
      <c r="C9" s="3" t="n">
        <v>26603000</v>
      </c>
      <c r="D9" s="3" t="n">
        <v>23945000</v>
      </c>
      <c r="E9" s="3" t="n">
        <v>532000</v>
      </c>
      <c r="F9" s="3" t="n">
        <v>-7653000</v>
      </c>
    </row>
    <row r="10">
      <c r="A10" t="inlineStr">
        <is>
          <t>Financing Cash Flow</t>
        </is>
      </c>
      <c r="B10" s="3" t="n">
        <v>5219000</v>
      </c>
      <c r="C10" s="3" t="n">
        <v>96528000</v>
      </c>
      <c r="D10" s="3" t="n">
        <v>32510000</v>
      </c>
      <c r="E10" s="3" t="n">
        <v>-277000</v>
      </c>
      <c r="F10" s="3" t="n">
        <v>-183000</v>
      </c>
    </row>
    <row r="11">
      <c r="A11" t="inlineStr">
        <is>
          <t>Cash Flow From Continuing Financing Activities</t>
        </is>
      </c>
      <c r="B11" s="3" t="n">
        <v>5219000</v>
      </c>
      <c r="C11" s="3" t="n">
        <v>96528000</v>
      </c>
      <c r="D11" s="3" t="n">
        <v>32510000</v>
      </c>
      <c r="E11" s="3" t="n">
        <v>-277000</v>
      </c>
      <c r="F11" s="3" t="n">
        <v>-183000</v>
      </c>
    </row>
    <row r="12">
      <c r="A12" t="inlineStr">
        <is>
          <t>Net Other Financing Charges</t>
        </is>
      </c>
      <c r="B12" s="3" t="n">
        <v>5203000</v>
      </c>
      <c r="C12" s="3" t="n">
        <v>-3472000</v>
      </c>
      <c r="D12" s="3" t="n">
        <v>0</v>
      </c>
      <c r="E12" s="3" t="n">
        <v>-395000</v>
      </c>
      <c r="F12" s="3" t="n">
        <v>-183000</v>
      </c>
    </row>
    <row r="13">
      <c r="A13" t="inlineStr">
        <is>
          <t>Proceeds From Stock Option Exercised</t>
        </is>
      </c>
      <c r="B13" s="3" t="n">
        <v>16000</v>
      </c>
      <c r="C13" s="3" t="n">
        <v>0</v>
      </c>
      <c r="D13" s="3" t="n">
        <v>10000</v>
      </c>
      <c r="E13" s="3" t="n">
        <v>118000</v>
      </c>
      <c r="F13" s="3" t="n">
        <v>0</v>
      </c>
    </row>
    <row r="14">
      <c r="A14" t="inlineStr">
        <is>
          <t>Net Common Stock Issuance</t>
        </is>
      </c>
      <c r="B14" s="3" t="n"/>
      <c r="C14" s="3" t="n">
        <v>0</v>
      </c>
      <c r="D14" s="3" t="n"/>
      <c r="E14" s="3" t="n"/>
      <c r="F14" s="3" t="n"/>
    </row>
    <row r="15">
      <c r="A15" t="inlineStr">
        <is>
          <t>Common Stock Issuance</t>
        </is>
      </c>
      <c r="B15" s="3" t="n"/>
      <c r="C15" s="3" t="n">
        <v>0</v>
      </c>
      <c r="D15" s="3" t="n"/>
      <c r="E15" s="3" t="n"/>
      <c r="F15" s="3" t="n"/>
    </row>
    <row r="16">
      <c r="A16" t="inlineStr">
        <is>
          <t>Investing Cash Flow</t>
        </is>
      </c>
      <c r="B16" s="3" t="n">
        <v>-20486000</v>
      </c>
      <c r="C16" s="3" t="n">
        <v>-47776000</v>
      </c>
      <c r="D16" s="3" t="n">
        <v>23747000</v>
      </c>
      <c r="E16" s="3" t="n">
        <v>30633000</v>
      </c>
      <c r="F16" s="3" t="n">
        <v>23322000</v>
      </c>
    </row>
    <row r="17">
      <c r="A17" t="inlineStr">
        <is>
          <t>Cash Flow From Continuing Investing Activities</t>
        </is>
      </c>
      <c r="B17" s="3" t="n">
        <v>-20486000</v>
      </c>
      <c r="C17" s="3" t="n">
        <v>-47776000</v>
      </c>
      <c r="D17" s="3" t="n">
        <v>23747000</v>
      </c>
      <c r="E17" s="3" t="n">
        <v>30633000</v>
      </c>
      <c r="F17" s="3" t="n">
        <v>23322000</v>
      </c>
    </row>
    <row r="18">
      <c r="A18" t="inlineStr">
        <is>
          <t>Net Investment Purchase And Sale</t>
        </is>
      </c>
      <c r="B18" s="3" t="n">
        <v>-18261000</v>
      </c>
      <c r="C18" s="3" t="n">
        <v>-46266000</v>
      </c>
      <c r="D18" s="3" t="n">
        <v>25021000</v>
      </c>
      <c r="E18" s="3" t="n">
        <v>31999000</v>
      </c>
      <c r="F18" s="3" t="n">
        <v>23781000</v>
      </c>
    </row>
    <row r="19">
      <c r="A19" t="inlineStr">
        <is>
          <t>Sale Of Investment</t>
        </is>
      </c>
      <c r="B19" s="3" t="n">
        <v>18500000</v>
      </c>
      <c r="C19" s="3" t="n">
        <v>3200000</v>
      </c>
      <c r="D19" s="3" t="n">
        <v>27200000</v>
      </c>
      <c r="E19" s="3" t="n">
        <v>39399000</v>
      </c>
      <c r="F19" s="3" t="n">
        <v>39750000</v>
      </c>
    </row>
    <row r="20">
      <c r="A20" t="inlineStr">
        <is>
          <t>Purchase Of Investment</t>
        </is>
      </c>
      <c r="B20" s="3" t="n">
        <v>-36761000</v>
      </c>
      <c r="C20" s="3" t="n">
        <v>-49466000</v>
      </c>
      <c r="D20" s="3" t="n">
        <v>-2179000</v>
      </c>
      <c r="E20" s="3" t="n">
        <v>-7400000</v>
      </c>
      <c r="F20" s="3" t="n">
        <v>-15969000</v>
      </c>
    </row>
    <row r="21">
      <c r="A21" t="inlineStr">
        <is>
          <t>Net PPE Purchase And Sale</t>
        </is>
      </c>
      <c r="B21" s="3" t="n">
        <v>-2225000</v>
      </c>
      <c r="C21" s="3" t="n">
        <v>-1510000</v>
      </c>
      <c r="D21" s="3" t="n">
        <v>-1274000</v>
      </c>
      <c r="E21" s="3" t="n">
        <v>-1366000</v>
      </c>
      <c r="F21" s="3" t="n">
        <v>-459000</v>
      </c>
    </row>
    <row r="22">
      <c r="A22" t="inlineStr">
        <is>
          <t>Purchase Of PPE</t>
        </is>
      </c>
      <c r="B22" s="3" t="n">
        <v>-2225000</v>
      </c>
      <c r="C22" s="3" t="n">
        <v>-1510000</v>
      </c>
      <c r="D22" s="3" t="n">
        <v>-1274000</v>
      </c>
      <c r="E22" s="3" t="n">
        <v>-1366000</v>
      </c>
      <c r="F22" s="3" t="n">
        <v>-459000</v>
      </c>
    </row>
    <row r="23">
      <c r="A23" t="inlineStr">
        <is>
          <t>Operating Cash Flow</t>
        </is>
      </c>
      <c r="B23" s="3" t="n">
        <v>-25848000</v>
      </c>
      <c r="C23" s="3" t="n">
        <v>-22149000</v>
      </c>
      <c r="D23" s="3" t="n">
        <v>-32312000</v>
      </c>
      <c r="E23" s="3" t="n">
        <v>-29824000</v>
      </c>
      <c r="F23" s="3" t="n">
        <v>-30792000</v>
      </c>
    </row>
    <row r="24">
      <c r="A24" t="inlineStr">
        <is>
          <t>Cash Flow From Continuing Operating Activities</t>
        </is>
      </c>
      <c r="B24" s="3" t="n">
        <v>-25872000</v>
      </c>
      <c r="C24" s="3" t="n">
        <v>-22196000</v>
      </c>
      <c r="D24" s="3" t="n">
        <v>-32265000</v>
      </c>
      <c r="E24" s="3" t="n">
        <v>-29836000</v>
      </c>
      <c r="F24" s="3" t="n">
        <v>-30780000</v>
      </c>
    </row>
    <row r="25">
      <c r="A25" t="inlineStr">
        <is>
          <t>Change In Working Capital</t>
        </is>
      </c>
      <c r="B25" s="3" t="n">
        <v>-1284000</v>
      </c>
      <c r="C25" s="3" t="n">
        <v>-409000</v>
      </c>
      <c r="D25" s="3" t="n">
        <v>-9535000</v>
      </c>
      <c r="E25" s="3" t="n">
        <v>-7404000</v>
      </c>
      <c r="F25" s="3" t="n">
        <v>-7735000</v>
      </c>
    </row>
    <row r="26">
      <c r="A26" t="inlineStr">
        <is>
          <t>Change In Other Current Liabilities</t>
        </is>
      </c>
      <c r="B26" s="3" t="n">
        <v>1105000</v>
      </c>
      <c r="C26" s="3" t="n">
        <v>-6000</v>
      </c>
      <c r="D26" s="3" t="n">
        <v>-14869000</v>
      </c>
      <c r="E26" s="3" t="n">
        <v>-2164000</v>
      </c>
      <c r="F26" s="3" t="n">
        <v>-4116000</v>
      </c>
    </row>
    <row r="27">
      <c r="A27" t="inlineStr">
        <is>
          <t>Change In Other Current Assets</t>
        </is>
      </c>
      <c r="B27" s="3" t="n">
        <v>4407000</v>
      </c>
      <c r="C27" s="3" t="n">
        <v>-11842000</v>
      </c>
      <c r="D27" s="3" t="n">
        <v>61000</v>
      </c>
      <c r="E27" s="3" t="n">
        <v>1912000</v>
      </c>
      <c r="F27" s="3" t="n">
        <v>1442000</v>
      </c>
    </row>
    <row r="28">
      <c r="A28" t="inlineStr">
        <is>
          <t>Change In Payables And Accrued Expense</t>
        </is>
      </c>
      <c r="B28" s="3" t="n">
        <v>-6507000</v>
      </c>
      <c r="C28" s="3" t="n">
        <v>14056000</v>
      </c>
      <c r="D28" s="3" t="n">
        <v>4972000</v>
      </c>
      <c r="E28" s="3" t="n">
        <v>-4153000</v>
      </c>
      <c r="F28" s="3" t="n">
        <v>-3903000</v>
      </c>
    </row>
    <row r="29">
      <c r="A29" t="inlineStr">
        <is>
          <t>Change In Accrued Expense</t>
        </is>
      </c>
      <c r="B29" s="3" t="n">
        <v>-6259000</v>
      </c>
      <c r="C29" s="3" t="n">
        <v>13049000</v>
      </c>
      <c r="D29" s="3" t="n">
        <v>4704000</v>
      </c>
      <c r="E29" s="3" t="n">
        <v>-4828000</v>
      </c>
      <c r="F29" s="3" t="n">
        <v>-1449000</v>
      </c>
    </row>
    <row r="30">
      <c r="A30" t="inlineStr">
        <is>
          <t>Change In Payable</t>
        </is>
      </c>
      <c r="B30" s="3" t="n">
        <v>-248000</v>
      </c>
      <c r="C30" s="3" t="n">
        <v>1007000</v>
      </c>
      <c r="D30" s="3" t="n">
        <v>268000</v>
      </c>
      <c r="E30" s="3" t="n">
        <v>675000</v>
      </c>
      <c r="F30" s="3" t="n">
        <v>-2454000</v>
      </c>
    </row>
    <row r="31">
      <c r="A31" t="inlineStr">
        <is>
          <t>Change In Account Payable</t>
        </is>
      </c>
      <c r="B31" s="3" t="n">
        <v>-248000</v>
      </c>
      <c r="C31" s="3" t="n">
        <v>1007000</v>
      </c>
      <c r="D31" s="3" t="n">
        <v>268000</v>
      </c>
      <c r="E31" s="3" t="n">
        <v>675000</v>
      </c>
      <c r="F31" s="3" t="n">
        <v>-2454000</v>
      </c>
    </row>
    <row r="32">
      <c r="A32" t="inlineStr">
        <is>
          <t>Change In Inventory</t>
        </is>
      </c>
      <c r="B32" s="3" t="n">
        <v>-197000</v>
      </c>
      <c r="C32" s="3" t="n">
        <v>-839000</v>
      </c>
      <c r="D32" s="3" t="n">
        <v>-1649000</v>
      </c>
      <c r="E32" s="3" t="n">
        <v>122000</v>
      </c>
      <c r="F32" s="3" t="n">
        <v>-1570000</v>
      </c>
    </row>
    <row r="33">
      <c r="A33" t="inlineStr">
        <is>
          <t>Change In Receivables</t>
        </is>
      </c>
      <c r="B33" s="3" t="n">
        <v>-92000</v>
      </c>
      <c r="C33" s="3" t="n">
        <v>-1778000</v>
      </c>
      <c r="D33" s="3" t="n">
        <v>1950000</v>
      </c>
      <c r="E33" s="3" t="n">
        <v>-3121000</v>
      </c>
      <c r="F33" s="3" t="n">
        <v>412000</v>
      </c>
    </row>
    <row r="34">
      <c r="A34" t="inlineStr">
        <is>
          <t>Changes In Account Receivables</t>
        </is>
      </c>
      <c r="B34" s="3" t="n">
        <v>-92000</v>
      </c>
      <c r="C34" s="3" t="n">
        <v>-1778000</v>
      </c>
      <c r="D34" s="3" t="n">
        <v>1950000</v>
      </c>
      <c r="E34" s="3" t="n">
        <v>-3121000</v>
      </c>
      <c r="F34" s="3" t="n">
        <v>412000</v>
      </c>
    </row>
    <row r="35">
      <c r="A35" t="inlineStr">
        <is>
          <t>Other Non Cash Items</t>
        </is>
      </c>
      <c r="B35" s="3" t="n">
        <v>124000</v>
      </c>
      <c r="C35" s="3" t="n">
        <v>470000</v>
      </c>
      <c r="D35" s="3" t="n">
        <v>-70043000</v>
      </c>
      <c r="E35" s="3" t="n">
        <v>73793000</v>
      </c>
      <c r="F35" s="3" t="n">
        <v>-12000</v>
      </c>
    </row>
    <row r="36">
      <c r="A36" t="inlineStr">
        <is>
          <t>Stock Based Compensation</t>
        </is>
      </c>
      <c r="B36" s="3" t="n">
        <v>9365000</v>
      </c>
      <c r="C36" s="3" t="n">
        <v>5315000</v>
      </c>
      <c r="D36" s="3" t="n">
        <v>5940000</v>
      </c>
      <c r="E36" s="3" t="n">
        <v>6024000</v>
      </c>
      <c r="F36" s="3" t="n">
        <v>4564000</v>
      </c>
    </row>
    <row r="37">
      <c r="A37" t="inlineStr">
        <is>
          <t>Asset Impairment Charge</t>
        </is>
      </c>
      <c r="B37" s="3" t="n">
        <v>0</v>
      </c>
      <c r="C37" s="3" t="n">
        <v>0</v>
      </c>
      <c r="D37" s="3" t="n">
        <v>359000</v>
      </c>
      <c r="E37" s="3" t="n">
        <v>101000</v>
      </c>
      <c r="F37" s="3" t="n">
        <v>33000</v>
      </c>
    </row>
    <row r="38">
      <c r="A38" t="inlineStr">
        <is>
          <t>Amortization Of Securities</t>
        </is>
      </c>
      <c r="B38" s="3" t="n">
        <v>-485000</v>
      </c>
      <c r="C38" s="3" t="n">
        <v>-143000</v>
      </c>
      <c r="D38" s="3" t="n">
        <v>-112000</v>
      </c>
      <c r="E38" s="3" t="n">
        <v>-318000</v>
      </c>
      <c r="F38" s="3" t="n">
        <v>-477000</v>
      </c>
    </row>
    <row r="39">
      <c r="A39" t="inlineStr">
        <is>
          <t>Depreciation Amortization Depletion</t>
        </is>
      </c>
      <c r="B39" s="3" t="n">
        <v>1861000</v>
      </c>
      <c r="C39" s="3" t="n">
        <v>1833000</v>
      </c>
      <c r="D39" s="3" t="n">
        <v>2108000</v>
      </c>
      <c r="E39" s="3" t="n">
        <v>2244000</v>
      </c>
      <c r="F39" s="3" t="n">
        <v>2302000</v>
      </c>
    </row>
    <row r="40">
      <c r="A40" t="inlineStr">
        <is>
          <t>Depreciation And Amortization</t>
        </is>
      </c>
      <c r="B40" s="3" t="n">
        <v>1861000</v>
      </c>
      <c r="C40" s="3" t="n">
        <v>1833000</v>
      </c>
      <c r="D40" s="3" t="n">
        <v>2108000</v>
      </c>
      <c r="E40" s="3" t="n">
        <v>2244000</v>
      </c>
      <c r="F40" s="3" t="n">
        <v>2302000</v>
      </c>
    </row>
    <row r="41">
      <c r="A41" t="inlineStr">
        <is>
          <t>Amortization Cash Flow</t>
        </is>
      </c>
      <c r="B41" s="3" t="n">
        <v>200000</v>
      </c>
      <c r="C41" s="3" t="n"/>
      <c r="D41" s="3" t="n"/>
      <c r="E41" s="3" t="n"/>
      <c r="F41" s="3" t="n">
        <v>200000</v>
      </c>
    </row>
    <row r="42">
      <c r="A42" t="inlineStr">
        <is>
          <t>Amortization Of Intangibles</t>
        </is>
      </c>
      <c r="B42" s="3" t="n">
        <v>200000</v>
      </c>
      <c r="C42" s="3" t="n"/>
      <c r="D42" s="3" t="n"/>
      <c r="E42" s="3" t="n"/>
      <c r="F42" s="3" t="n">
        <v>200000</v>
      </c>
    </row>
    <row r="43">
      <c r="A43" t="inlineStr">
        <is>
          <t>Depreciation</t>
        </is>
      </c>
      <c r="B43" s="3" t="n">
        <v>1661000</v>
      </c>
      <c r="C43" s="3" t="n">
        <v>2533000</v>
      </c>
      <c r="D43" s="3" t="n">
        <v>1408000</v>
      </c>
      <c r="E43" s="3" t="n">
        <v>2444000</v>
      </c>
      <c r="F43" s="3" t="n">
        <v>2102000</v>
      </c>
    </row>
    <row r="44">
      <c r="A44" t="inlineStr">
        <is>
          <t>Operating Gains Losses</t>
        </is>
      </c>
      <c r="B44" s="3" t="n">
        <v>-450000</v>
      </c>
      <c r="C44" s="3" t="n">
        <v>-3901000</v>
      </c>
      <c r="D44" s="3" t="n">
        <v>-68524000</v>
      </c>
      <c r="E44" s="3" t="n">
        <v>88478000</v>
      </c>
      <c r="F44" s="3" t="n">
        <v>5400000</v>
      </c>
    </row>
    <row r="45">
      <c r="A45" t="inlineStr">
        <is>
          <t>Gain Loss On Investment Securities</t>
        </is>
      </c>
      <c r="B45" s="3" t="n">
        <v>-450000</v>
      </c>
      <c r="C45" s="3" t="n">
        <v>-3901000</v>
      </c>
      <c r="D45" s="3" t="n">
        <v>-68524000</v>
      </c>
      <c r="E45" s="3" t="n">
        <v>88478000</v>
      </c>
      <c r="F45" s="3" t="n">
        <v>5400000</v>
      </c>
    </row>
    <row r="46">
      <c r="A46" t="inlineStr">
        <is>
          <t>Net Income From Continuing Operations</t>
        </is>
      </c>
      <c r="B46" s="3" t="n">
        <v>-34979000</v>
      </c>
      <c r="C46" s="3" t="n">
        <v>-25314000</v>
      </c>
      <c r="D46" s="3" t="n">
        <v>107495000</v>
      </c>
      <c r="E46" s="3" t="n">
        <v>-192742000</v>
      </c>
      <c r="F46" s="3" t="n">
        <v>-34867000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2026-08-02T23:44:16Z</dcterms:created>
  <dcterms:modified xsi:type="dcterms:W3CDTF">2026-08-02T23:44:17Z</dcterms:modified>
</cp:coreProperties>
</file>