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come stmt (annual)" sheetId="2" state="visible" r:id="rId2"/>
    <sheet xmlns:r="http://schemas.openxmlformats.org/officeDocument/2006/relationships" name="Income stmt (quarterly)" sheetId="3" state="visible" r:id="rId3"/>
    <sheet xmlns:r="http://schemas.openxmlformats.org/officeDocument/2006/relationships" name="Balance sheet (annual)" sheetId="4" state="visible" r:id="rId4"/>
    <sheet xmlns:r="http://schemas.openxmlformats.org/officeDocument/2006/relationships" name="Cash flow (annual)" sheetId="5" state="visible" r:id="rId5"/>
    <sheet xmlns:r="http://schemas.openxmlformats.org/officeDocument/2006/relationships" name="Cash flow (quarterly)" sheetId="6" state="visible" r:id="rId6"/>
    <sheet xmlns:r="http://schemas.openxmlformats.org/officeDocument/2006/relationships" name="Data flag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0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36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Source / formula</t>
        </is>
      </c>
    </row>
    <row r="2">
      <c r="A2" t="inlineStr">
        <is>
          <t>Ticker</t>
        </is>
      </c>
      <c r="B2" t="inlineStr">
        <is>
          <t>UCTT</t>
        </is>
      </c>
      <c r="C2" t="inlineStr">
        <is>
          <t>input</t>
        </is>
      </c>
    </row>
    <row r="3">
      <c r="A3" t="inlineStr">
        <is>
          <t>Name</t>
        </is>
      </c>
      <c r="B3" t="inlineStr">
        <is>
          <t>Ultra Clean Holdings, Inc.</t>
        </is>
      </c>
      <c r="C3" t="inlineStr">
        <is>
          <t>yfinance info.longName</t>
        </is>
      </c>
    </row>
    <row r="4">
      <c r="A4" t="inlineStr">
        <is>
          <t>Sector</t>
        </is>
      </c>
      <c r="B4" t="inlineStr">
        <is>
          <t>Technology</t>
        </is>
      </c>
      <c r="C4" t="inlineStr">
        <is>
          <t>yfinance info.sector</t>
        </is>
      </c>
    </row>
    <row r="5">
      <c r="A5" t="inlineStr">
        <is>
          <t>Industry</t>
        </is>
      </c>
      <c r="B5" t="inlineStr">
        <is>
          <t>Semiconductor Equipment &amp; Materials</t>
        </is>
      </c>
      <c r="C5" t="inlineStr">
        <is>
          <t>yfinance info.industry</t>
        </is>
      </c>
    </row>
    <row r="6">
      <c r="A6" t="inlineStr">
        <is>
          <t>Market cap ($)</t>
        </is>
      </c>
      <c r="B6" t="n">
        <v>3852548608</v>
      </c>
      <c r="C6" t="inlineStr">
        <is>
          <t>yfinance info.marketCap</t>
        </is>
      </c>
    </row>
    <row r="7">
      <c r="A7" t="inlineStr">
        <is>
          <t>Enterprise value ($)</t>
        </is>
      </c>
      <c r="B7" t="n">
        <v>4383648768</v>
      </c>
      <c r="C7" t="inlineStr">
        <is>
          <t>yfinance info.enterpriseValue</t>
        </is>
      </c>
    </row>
    <row r="8">
      <c r="A8" t="inlineStr">
        <is>
          <t>Trailing P/E</t>
        </is>
      </c>
      <c r="B8" t="inlineStr">
        <is>
          <t>(missing — see Data flags)</t>
        </is>
      </c>
      <c r="C8" t="inlineStr">
        <is>
          <t>yfinance info.trailingPE</t>
        </is>
      </c>
    </row>
    <row r="9">
      <c r="A9" t="inlineStr">
        <is>
          <t>Forward P/E</t>
        </is>
      </c>
      <c r="B9" t="n">
        <v>22.78065</v>
      </c>
      <c r="C9" t="inlineStr">
        <is>
          <t>yfinance info.forwardPE</t>
        </is>
      </c>
    </row>
    <row r="10">
      <c r="A10" t="inlineStr">
        <is>
          <t>P/S (TTM)</t>
        </is>
      </c>
      <c r="B10" t="n">
        <v>1.8619441</v>
      </c>
      <c r="C10" t="inlineStr">
        <is>
          <t>yfinance</t>
        </is>
      </c>
    </row>
    <row r="11">
      <c r="A11" t="inlineStr">
        <is>
          <t>Gross margin (TTM)</t>
        </is>
      </c>
      <c r="B11" t="n">
        <v>0.15625</v>
      </c>
      <c r="C11" t="inlineStr">
        <is>
          <t>yfinance info.grossMargins</t>
        </is>
      </c>
    </row>
    <row r="12">
      <c r="A12" t="inlineStr">
        <is>
          <t>Operating margin (TTM)</t>
        </is>
      </c>
      <c r="B12" t="n">
        <v>0.021359999</v>
      </c>
      <c r="C12" t="inlineStr">
        <is>
          <t>yfinance info.operatingMargins</t>
        </is>
      </c>
    </row>
    <row r="13">
      <c r="A13" t="inlineStr">
        <is>
          <t>Net margin (TTM)</t>
        </is>
      </c>
      <c r="B13" t="n">
        <v>-0.09380999</v>
      </c>
      <c r="C13" t="inlineStr">
        <is>
          <t>yfinance info.profitMargins</t>
        </is>
      </c>
    </row>
    <row r="14">
      <c r="A14" t="inlineStr">
        <is>
          <t>ROE</t>
        </is>
      </c>
      <c r="B14" t="n">
        <v>-0.22466</v>
      </c>
      <c r="C14" t="inlineStr">
        <is>
          <t>yfinance info.returnOnEquity</t>
        </is>
      </c>
    </row>
    <row r="15">
      <c r="A15" t="inlineStr">
        <is>
          <t>Revenue growth (YoY)</t>
        </is>
      </c>
      <c r="B15" t="n">
        <v>0.029</v>
      </c>
      <c r="C15" t="inlineStr">
        <is>
          <t>yfinance info.revenueGrowth</t>
        </is>
      </c>
    </row>
    <row r="16">
      <c r="A16" t="inlineStr">
        <is>
          <t>Total cash ($)</t>
        </is>
      </c>
      <c r="B16" t="n">
        <v>323500000</v>
      </c>
      <c r="C16" t="inlineStr">
        <is>
          <t>yfinance info.totalCash</t>
        </is>
      </c>
    </row>
    <row r="17">
      <c r="A17" t="inlineStr">
        <is>
          <t>Total debt ($)</t>
        </is>
      </c>
      <c r="B17" t="n">
        <v>780400000</v>
      </c>
      <c r="C17" t="inlineStr">
        <is>
          <t>yfinance info.totalDebt</t>
        </is>
      </c>
    </row>
    <row r="18">
      <c r="A18" t="inlineStr">
        <is>
          <t>FCF (TTM, $)</t>
        </is>
      </c>
      <c r="B18" t="n">
        <v>-36637500</v>
      </c>
      <c r="C18" t="inlineStr">
        <is>
          <t>yfinance info.freeCashflow</t>
        </is>
      </c>
    </row>
    <row r="19">
      <c r="A19" t="inlineStr">
        <is>
          <t>Shares outstanding</t>
        </is>
      </c>
      <c r="B19" t="n">
        <v>44828352</v>
      </c>
      <c r="C19" t="inlineStr">
        <is>
          <t>yfinance info.sharesOutstanding</t>
        </is>
      </c>
    </row>
    <row r="20">
      <c r="A20" t="inlineStr">
        <is>
          <t>Current price ($)</t>
        </is>
      </c>
      <c r="B20" t="n">
        <v>85.94</v>
      </c>
      <c r="C20" t="inlineStr">
        <is>
          <t>yfinance info.currentPrice</t>
        </is>
      </c>
    </row>
    <row r="21">
      <c r="A21" t="inlineStr">
        <is>
          <t>FCF yield</t>
        </is>
      </c>
      <c r="B21" s="2">
        <f>IFERROR(B18/B6,"")</f>
        <v/>
      </c>
      <c r="C21">
        <f>B18/B6</f>
        <v/>
      </c>
    </row>
    <row r="22">
      <c r="A22" t="inlineStr">
        <is>
          <t>FCF / EV</t>
        </is>
      </c>
      <c r="B22" s="2">
        <f>IFERROR(B18/B7,"")</f>
        <v/>
      </c>
      <c r="C22">
        <f>B18/B7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Tax Effect Of Unusual Items</t>
        </is>
      </c>
      <c r="B2" s="3" t="n">
        <v>-31731000</v>
      </c>
      <c r="C2" s="3" t="n">
        <v>0</v>
      </c>
      <c r="D2" s="3" t="n">
        <v>0</v>
      </c>
      <c r="E2" s="3" t="n">
        <v>-16254000</v>
      </c>
      <c r="F2" s="3" t="n"/>
    </row>
    <row r="3">
      <c r="A3" t="inlineStr">
        <is>
          <t>Tax Rate For Calcs</t>
        </is>
      </c>
      <c r="B3" s="3" t="n">
        <v>0.21</v>
      </c>
      <c r="C3" s="3" t="n">
        <v>0.21</v>
      </c>
      <c r="D3" s="3" t="n">
        <v>0.21</v>
      </c>
      <c r="E3" s="3" t="n">
        <v>0.21</v>
      </c>
      <c r="F3" s="3" t="n"/>
    </row>
    <row r="4">
      <c r="A4" t="inlineStr">
        <is>
          <t>Normalized EBITDA</t>
        </is>
      </c>
      <c r="B4" s="3" t="n">
        <v>119700000</v>
      </c>
      <c r="C4" s="3" t="n">
        <v>189800000</v>
      </c>
      <c r="D4" s="3" t="n">
        <v>99200000</v>
      </c>
      <c r="E4" s="3" t="n">
        <v>268000000</v>
      </c>
      <c r="F4" s="3" t="n"/>
    </row>
    <row r="5">
      <c r="A5" t="inlineStr">
        <is>
          <t>Total Unusual Items</t>
        </is>
      </c>
      <c r="B5" s="3" t="n">
        <v>-151100000</v>
      </c>
      <c r="C5" s="3" t="n">
        <v>0</v>
      </c>
      <c r="D5" s="3" t="n">
        <v>0</v>
      </c>
      <c r="E5" s="3" t="n">
        <v>-77400000</v>
      </c>
      <c r="F5" s="3" t="n"/>
    </row>
    <row r="6">
      <c r="A6" t="inlineStr">
        <is>
          <t>Total Unusual Items Excluding Goodwill</t>
        </is>
      </c>
      <c r="B6" s="3" t="n">
        <v>-151100000</v>
      </c>
      <c r="C6" s="3" t="n">
        <v>0</v>
      </c>
      <c r="D6" s="3" t="n">
        <v>0</v>
      </c>
      <c r="E6" s="3" t="n">
        <v>-77400000</v>
      </c>
      <c r="F6" s="3" t="n"/>
    </row>
    <row r="7">
      <c r="A7" t="inlineStr">
        <is>
          <t>Net Income From Continuing Operation Net Minority Interest</t>
        </is>
      </c>
      <c r="B7" s="3" t="n">
        <v>-181200000</v>
      </c>
      <c r="C7" s="3" t="n">
        <v>23700000</v>
      </c>
      <c r="D7" s="3" t="n">
        <v>-31100000</v>
      </c>
      <c r="E7" s="3" t="n">
        <v>40400000</v>
      </c>
      <c r="F7" s="3" t="n"/>
    </row>
    <row r="8">
      <c r="A8" t="inlineStr">
        <is>
          <t>Reconciled Depreciation</t>
        </is>
      </c>
      <c r="B8" s="3" t="n">
        <v>76000000</v>
      </c>
      <c r="C8" s="3" t="n">
        <v>76100000</v>
      </c>
      <c r="D8" s="3" t="n">
        <v>61700000</v>
      </c>
      <c r="E8" s="3" t="n">
        <v>68400000</v>
      </c>
      <c r="F8" s="3" t="n"/>
    </row>
    <row r="9">
      <c r="A9" t="inlineStr">
        <is>
          <t>Reconciled Cost Of Revenue</t>
        </is>
      </c>
      <c r="B9" s="3" t="n">
        <v>1731100000</v>
      </c>
      <c r="C9" s="3" t="n">
        <v>1741300000</v>
      </c>
      <c r="D9" s="3" t="n">
        <v>1457200000</v>
      </c>
      <c r="E9" s="3" t="n">
        <v>1909300000</v>
      </c>
      <c r="F9" s="3" t="n"/>
    </row>
    <row r="10">
      <c r="A10" t="inlineStr">
        <is>
          <t>EBITDA</t>
        </is>
      </c>
      <c r="B10" s="3" t="n">
        <v>-31400000</v>
      </c>
      <c r="C10" s="3" t="n">
        <v>189800000</v>
      </c>
      <c r="D10" s="3" t="n">
        <v>99200000</v>
      </c>
      <c r="E10" s="3" t="n">
        <v>190600000</v>
      </c>
      <c r="F10" s="3" t="n"/>
    </row>
    <row r="11">
      <c r="A11" t="inlineStr">
        <is>
          <t>EBIT</t>
        </is>
      </c>
      <c r="B11" s="3" t="n">
        <v>-107400000</v>
      </c>
      <c r="C11" s="3" t="n">
        <v>113700000</v>
      </c>
      <c r="D11" s="3" t="n">
        <v>37500000</v>
      </c>
      <c r="E11" s="3" t="n">
        <v>122200000</v>
      </c>
      <c r="F11" s="3" t="n"/>
    </row>
    <row r="12">
      <c r="A12" t="inlineStr">
        <is>
          <t>Net Interest Income</t>
        </is>
      </c>
      <c r="B12" s="3" t="n">
        <v>-34400000</v>
      </c>
      <c r="C12" s="3" t="n">
        <v>-41700000</v>
      </c>
      <c r="D12" s="3" t="n">
        <v>-44700000</v>
      </c>
      <c r="E12" s="3" t="n">
        <v>-33000000</v>
      </c>
      <c r="F12" s="3" t="n"/>
    </row>
    <row r="13">
      <c r="A13" t="inlineStr">
        <is>
          <t>Interest Expense</t>
        </is>
      </c>
      <c r="B13" s="3" t="n">
        <v>38300000</v>
      </c>
      <c r="C13" s="3" t="n">
        <v>46500000</v>
      </c>
      <c r="D13" s="3" t="n">
        <v>48800000</v>
      </c>
      <c r="E13" s="3" t="n">
        <v>33900000</v>
      </c>
      <c r="F13" s="3" t="n"/>
    </row>
    <row r="14">
      <c r="A14" t="inlineStr">
        <is>
          <t>Interest Income</t>
        </is>
      </c>
      <c r="B14" s="3" t="n">
        <v>3900000</v>
      </c>
      <c r="C14" s="3" t="n">
        <v>4800000</v>
      </c>
      <c r="D14" s="3" t="n">
        <v>4100000</v>
      </c>
      <c r="E14" s="3" t="n">
        <v>900000</v>
      </c>
      <c r="F14" s="3" t="n"/>
    </row>
    <row r="15">
      <c r="A15" t="inlineStr">
        <is>
          <t>Normalized Income</t>
        </is>
      </c>
      <c r="B15" s="3" t="n">
        <v>-61831000</v>
      </c>
      <c r="C15" s="3" t="n">
        <v>23700000</v>
      </c>
      <c r="D15" s="3" t="n">
        <v>-31100000</v>
      </c>
      <c r="E15" s="3" t="n">
        <v>101546000</v>
      </c>
      <c r="F15" s="3" t="n"/>
    </row>
    <row r="16">
      <c r="A16" t="inlineStr">
        <is>
          <t>Net Income From Continuing And Discontinued Operation</t>
        </is>
      </c>
      <c r="B16" s="3" t="n">
        <v>-181200000</v>
      </c>
      <c r="C16" s="3" t="n">
        <v>23700000</v>
      </c>
      <c r="D16" s="3" t="n">
        <v>-31100000</v>
      </c>
      <c r="E16" s="3" t="n">
        <v>40400000</v>
      </c>
      <c r="F16" s="3" t="n"/>
    </row>
    <row r="17">
      <c r="A17" t="inlineStr">
        <is>
          <t>Total Expenses</t>
        </is>
      </c>
      <c r="B17" s="3" t="n">
        <v>2010300000</v>
      </c>
      <c r="C17" s="3" t="n">
        <v>2006400000</v>
      </c>
      <c r="D17" s="3" t="n">
        <v>1699300000</v>
      </c>
      <c r="E17" s="3" t="n">
        <v>2176500000</v>
      </c>
      <c r="F17" s="3" t="n"/>
    </row>
    <row r="18">
      <c r="A18" t="inlineStr">
        <is>
          <t>Total Operating Income As Reported</t>
        </is>
      </c>
      <c r="B18" s="3" t="n">
        <v>-107400000</v>
      </c>
      <c r="C18" s="3" t="n">
        <v>91200000</v>
      </c>
      <c r="D18" s="3" t="n">
        <v>35200000</v>
      </c>
      <c r="E18" s="3" t="n">
        <v>120400000</v>
      </c>
      <c r="F18" s="3" t="n"/>
    </row>
    <row r="19">
      <c r="A19" t="inlineStr">
        <is>
          <t>Diluted Average Shares</t>
        </is>
      </c>
      <c r="B19" s="3" t="n">
        <v>45300000</v>
      </c>
      <c r="C19" s="3" t="n">
        <v>45300000</v>
      </c>
      <c r="D19" s="3" t="n">
        <v>44700000</v>
      </c>
      <c r="E19" s="3" t="n">
        <v>45700000</v>
      </c>
      <c r="F19" s="3" t="n"/>
    </row>
    <row r="20">
      <c r="A20" t="inlineStr">
        <is>
          <t>Basic Average Shares</t>
        </is>
      </c>
      <c r="B20" s="3" t="n">
        <v>45300000</v>
      </c>
      <c r="C20" s="3" t="n">
        <v>44900000</v>
      </c>
      <c r="D20" s="3" t="n">
        <v>44700000</v>
      </c>
      <c r="E20" s="3" t="n">
        <v>45200000</v>
      </c>
      <c r="F20" s="3" t="n"/>
    </row>
    <row r="21">
      <c r="A21" t="inlineStr">
        <is>
          <t>Diluted EPS</t>
        </is>
      </c>
      <c r="B21" s="3" t="n">
        <v>-4</v>
      </c>
      <c r="C21" s="3" t="n">
        <v>0.52</v>
      </c>
      <c r="D21" s="3" t="n">
        <v>-0.7</v>
      </c>
      <c r="E21" s="3" t="n">
        <v>0.88</v>
      </c>
      <c r="F21" s="3" t="n"/>
    </row>
    <row r="22">
      <c r="A22" t="inlineStr">
        <is>
          <t>Basic EPS</t>
        </is>
      </c>
      <c r="B22" s="3" t="n">
        <v>-4</v>
      </c>
      <c r="C22" s="3" t="n">
        <v>0.53</v>
      </c>
      <c r="D22" s="3" t="n">
        <v>-0.7</v>
      </c>
      <c r="E22" s="3" t="n">
        <v>0.89</v>
      </c>
      <c r="F22" s="3" t="n"/>
    </row>
    <row r="23">
      <c r="A23" t="inlineStr">
        <is>
          <t>Diluted NI Availto Com Stockholders</t>
        </is>
      </c>
      <c r="B23" s="3" t="n">
        <v>-181200000</v>
      </c>
      <c r="C23" s="3" t="n">
        <v>23700000</v>
      </c>
      <c r="D23" s="3" t="n">
        <v>-31100000</v>
      </c>
      <c r="E23" s="3" t="n">
        <v>40400000</v>
      </c>
      <c r="F23" s="3" t="n"/>
    </row>
    <row r="24">
      <c r="A24" t="inlineStr">
        <is>
          <t>Net Income Common Stockholders</t>
        </is>
      </c>
      <c r="B24" s="3" t="n">
        <v>-181200000</v>
      </c>
      <c r="C24" s="3" t="n">
        <v>23700000</v>
      </c>
      <c r="D24" s="3" t="n">
        <v>-31100000</v>
      </c>
      <c r="E24" s="3" t="n">
        <v>40400000</v>
      </c>
      <c r="F24" s="3" t="n"/>
    </row>
    <row r="25">
      <c r="A25" t="inlineStr">
        <is>
          <t>Net Income</t>
        </is>
      </c>
      <c r="B25" s="3" t="n">
        <v>-181200000</v>
      </c>
      <c r="C25" s="3" t="n">
        <v>23700000</v>
      </c>
      <c r="D25" s="3" t="n">
        <v>-31100000</v>
      </c>
      <c r="E25" s="3" t="n">
        <v>40400000</v>
      </c>
      <c r="F25" s="3" t="n"/>
    </row>
    <row r="26">
      <c r="A26" t="inlineStr">
        <is>
          <t>Minority Interests</t>
        </is>
      </c>
      <c r="B26" s="3" t="n">
        <v>-9600000</v>
      </c>
      <c r="C26" s="3" t="n">
        <v>-10800000</v>
      </c>
      <c r="D26" s="3" t="n">
        <v>-8900000</v>
      </c>
      <c r="E26" s="3" t="n">
        <v>-10000000</v>
      </c>
      <c r="F26" s="3" t="n"/>
    </row>
    <row r="27">
      <c r="A27" t="inlineStr">
        <is>
          <t>Net Income Including Noncontrolling Interests</t>
        </is>
      </c>
      <c r="B27" s="3" t="n">
        <v>-171600000</v>
      </c>
      <c r="C27" s="3" t="n">
        <v>34500000</v>
      </c>
      <c r="D27" s="3" t="n">
        <v>-22200000</v>
      </c>
      <c r="E27" s="3" t="n">
        <v>50400000</v>
      </c>
      <c r="F27" s="3" t="n"/>
    </row>
    <row r="28">
      <c r="A28" t="inlineStr">
        <is>
          <t>Net Income Continuous Operations</t>
        </is>
      </c>
      <c r="B28" s="3" t="n">
        <v>-171600000</v>
      </c>
      <c r="C28" s="3" t="n">
        <v>34500000</v>
      </c>
      <c r="D28" s="3" t="n">
        <v>-22200000</v>
      </c>
      <c r="E28" s="3" t="n">
        <v>50400000</v>
      </c>
      <c r="F28" s="3" t="n"/>
    </row>
    <row r="29">
      <c r="A29" t="inlineStr">
        <is>
          <t>Tax Provision</t>
        </is>
      </c>
      <c r="B29" s="3" t="n">
        <v>25900000</v>
      </c>
      <c r="C29" s="3" t="n">
        <v>32700000</v>
      </c>
      <c r="D29" s="3" t="n">
        <v>10900000</v>
      </c>
      <c r="E29" s="3" t="n">
        <v>37900000</v>
      </c>
      <c r="F29" s="3" t="n"/>
    </row>
    <row r="30">
      <c r="A30" t="inlineStr">
        <is>
          <t>Pretax Income</t>
        </is>
      </c>
      <c r="B30" s="3" t="n">
        <v>-145700000</v>
      </c>
      <c r="C30" s="3" t="n">
        <v>67200000</v>
      </c>
      <c r="D30" s="3" t="n">
        <v>-11300000</v>
      </c>
      <c r="E30" s="3" t="n">
        <v>88300000</v>
      </c>
      <c r="F30" s="3" t="n"/>
    </row>
    <row r="31">
      <c r="A31" t="inlineStr">
        <is>
          <t>Other Income Expense</t>
        </is>
      </c>
      <c r="B31" s="3" t="n">
        <v>-155000000</v>
      </c>
      <c r="C31" s="3" t="n">
        <v>17700000</v>
      </c>
      <c r="D31" s="3" t="n">
        <v>-1800000</v>
      </c>
      <c r="E31" s="3" t="n">
        <v>-76500000</v>
      </c>
      <c r="F31" s="3" t="n"/>
    </row>
    <row r="32">
      <c r="A32" t="inlineStr">
        <is>
          <t>Other Non Operating Income Expenses</t>
        </is>
      </c>
      <c r="B32" s="3" t="n">
        <v>-3900000</v>
      </c>
      <c r="C32" s="3" t="n">
        <v>17700000</v>
      </c>
      <c r="D32" s="3" t="n">
        <v>-1800000</v>
      </c>
      <c r="E32" s="3" t="n">
        <v>900000</v>
      </c>
      <c r="F32" s="3" t="n"/>
    </row>
    <row r="33">
      <c r="A33" t="inlineStr">
        <is>
          <t>Special Income Charges</t>
        </is>
      </c>
      <c r="B33" s="3" t="n">
        <v>-151100000</v>
      </c>
      <c r="C33" s="3" t="n">
        <v>0</v>
      </c>
      <c r="D33" s="3" t="n">
        <v>0</v>
      </c>
      <c r="E33" s="3" t="n">
        <v>-77400000</v>
      </c>
      <c r="F33" s="3" t="n"/>
    </row>
    <row r="34">
      <c r="A34" t="inlineStr">
        <is>
          <t>Gain On Sale Of Business</t>
        </is>
      </c>
      <c r="B34" s="3" t="n"/>
      <c r="C34" s="3" t="n">
        <v>0</v>
      </c>
      <c r="D34" s="3" t="n">
        <v>0</v>
      </c>
      <c r="E34" s="3" t="n">
        <v>-77400000</v>
      </c>
      <c r="F34" s="3" t="n">
        <v>0</v>
      </c>
    </row>
    <row r="35">
      <c r="A35" t="inlineStr">
        <is>
          <t>Impairment Of Capital Assets</t>
        </is>
      </c>
      <c r="B35" s="3" t="n">
        <v>151100000</v>
      </c>
      <c r="C35" s="3" t="n">
        <v>0</v>
      </c>
      <c r="D35" s="3" t="n">
        <v>0</v>
      </c>
      <c r="E35" s="3" t="n"/>
      <c r="F35" s="3" t="n"/>
    </row>
    <row r="36">
      <c r="A36" t="inlineStr">
        <is>
          <t>Net Non Operating Interest Income Expense</t>
        </is>
      </c>
      <c r="B36" s="3" t="n">
        <v>-34400000</v>
      </c>
      <c r="C36" s="3" t="n">
        <v>-41700000</v>
      </c>
      <c r="D36" s="3" t="n">
        <v>-44700000</v>
      </c>
      <c r="E36" s="3" t="n">
        <v>-33000000</v>
      </c>
      <c r="F36" s="3" t="n"/>
    </row>
    <row r="37">
      <c r="A37" t="inlineStr">
        <is>
          <t>Interest Expense Non Operating</t>
        </is>
      </c>
      <c r="B37" s="3" t="n">
        <v>38300000</v>
      </c>
      <c r="C37" s="3" t="n">
        <v>46500000</v>
      </c>
      <c r="D37" s="3" t="n">
        <v>48800000</v>
      </c>
      <c r="E37" s="3" t="n">
        <v>33900000</v>
      </c>
      <c r="F37" s="3" t="n"/>
    </row>
    <row r="38">
      <c r="A38" t="inlineStr">
        <is>
          <t>Interest Income Non Operating</t>
        </is>
      </c>
      <c r="B38" s="3" t="n">
        <v>3900000</v>
      </c>
      <c r="C38" s="3" t="n">
        <v>4800000</v>
      </c>
      <c r="D38" s="3" t="n">
        <v>4100000</v>
      </c>
      <c r="E38" s="3" t="n">
        <v>900000</v>
      </c>
      <c r="F38" s="3" t="n"/>
    </row>
    <row r="39">
      <c r="A39" t="inlineStr">
        <is>
          <t>Operating Income</t>
        </is>
      </c>
      <c r="B39" s="3" t="n">
        <v>43700000</v>
      </c>
      <c r="C39" s="3" t="n">
        <v>91200000</v>
      </c>
      <c r="D39" s="3" t="n">
        <v>35200000</v>
      </c>
      <c r="E39" s="3" t="n">
        <v>197800000</v>
      </c>
      <c r="F39" s="3" t="n"/>
    </row>
    <row r="40">
      <c r="A40" t="inlineStr">
        <is>
          <t>Operating Expense</t>
        </is>
      </c>
      <c r="B40" s="3" t="n">
        <v>279200000</v>
      </c>
      <c r="C40" s="3" t="n">
        <v>265100000</v>
      </c>
      <c r="D40" s="3" t="n">
        <v>242100000</v>
      </c>
      <c r="E40" s="3" t="n">
        <v>267200000</v>
      </c>
      <c r="F40" s="3" t="n"/>
    </row>
    <row r="41">
      <c r="A41" t="inlineStr">
        <is>
          <t>Research And Development</t>
        </is>
      </c>
      <c r="B41" s="3" t="n">
        <v>32000000</v>
      </c>
      <c r="C41" s="3" t="n">
        <v>28300000</v>
      </c>
      <c r="D41" s="3" t="n">
        <v>28300000</v>
      </c>
      <c r="E41" s="3" t="n">
        <v>28500000</v>
      </c>
      <c r="F41" s="3" t="n"/>
    </row>
    <row r="42">
      <c r="A42" t="inlineStr">
        <is>
          <t>Selling General And Administration</t>
        </is>
      </c>
      <c r="B42" s="3" t="n">
        <v>247200000</v>
      </c>
      <c r="C42" s="3" t="n">
        <v>236800000</v>
      </c>
      <c r="D42" s="3" t="n">
        <v>213800000</v>
      </c>
      <c r="E42" s="3" t="n">
        <v>238700000</v>
      </c>
      <c r="F42" s="3" t="n"/>
    </row>
    <row r="43">
      <c r="A43" t="inlineStr">
        <is>
          <t>Selling And Marketing Expense</t>
        </is>
      </c>
      <c r="B43" s="3" t="n">
        <v>61200000</v>
      </c>
      <c r="C43" s="3" t="n">
        <v>57300000</v>
      </c>
      <c r="D43" s="3" t="n">
        <v>51800000</v>
      </c>
      <c r="E43" s="3" t="n">
        <v>54400000</v>
      </c>
      <c r="F43" s="3" t="n"/>
    </row>
    <row r="44">
      <c r="A44" t="inlineStr">
        <is>
          <t>General And Administrative Expense</t>
        </is>
      </c>
      <c r="B44" s="3" t="n">
        <v>186000000</v>
      </c>
      <c r="C44" s="3" t="n">
        <v>179500000</v>
      </c>
      <c r="D44" s="3" t="n">
        <v>162000000</v>
      </c>
      <c r="E44" s="3" t="n">
        <v>184300000</v>
      </c>
      <c r="F44" s="3" t="n"/>
    </row>
    <row r="45">
      <c r="A45" t="inlineStr">
        <is>
          <t>Other Gand A</t>
        </is>
      </c>
      <c r="B45" s="3" t="n">
        <v>186000000</v>
      </c>
      <c r="C45" s="3" t="n">
        <v>179500000</v>
      </c>
      <c r="D45" s="3" t="n">
        <v>162000000</v>
      </c>
      <c r="E45" s="3" t="n">
        <v>184300000</v>
      </c>
      <c r="F45" s="3" t="n"/>
    </row>
    <row r="46">
      <c r="A46" t="inlineStr">
        <is>
          <t>Gross Profit</t>
        </is>
      </c>
      <c r="B46" s="3" t="n">
        <v>322900000</v>
      </c>
      <c r="C46" s="3" t="n">
        <v>356300000</v>
      </c>
      <c r="D46" s="3" t="n">
        <v>277300000</v>
      </c>
      <c r="E46" s="3" t="n">
        <v>465000000</v>
      </c>
      <c r="F46" s="3" t="n"/>
    </row>
    <row r="47">
      <c r="A47" t="inlineStr">
        <is>
          <t>Cost Of Revenue</t>
        </is>
      </c>
      <c r="B47" s="3" t="n">
        <v>1731100000</v>
      </c>
      <c r="C47" s="3" t="n">
        <v>1741300000</v>
      </c>
      <c r="D47" s="3" t="n">
        <v>1457200000</v>
      </c>
      <c r="E47" s="3" t="n">
        <v>1909300000</v>
      </c>
      <c r="F47" s="3" t="n"/>
    </row>
    <row r="48">
      <c r="A48" t="inlineStr">
        <is>
          <t>Total Revenue</t>
        </is>
      </c>
      <c r="B48" s="3" t="n">
        <v>2054000000</v>
      </c>
      <c r="C48" s="3" t="n">
        <v>2097600000</v>
      </c>
      <c r="D48" s="3" t="n">
        <v>1734500000</v>
      </c>
      <c r="E48" s="3" t="n">
        <v>2374300000</v>
      </c>
      <c r="F48" s="3" t="n"/>
    </row>
    <row r="49">
      <c r="A49" t="inlineStr">
        <is>
          <t>Operating Revenue</t>
        </is>
      </c>
      <c r="B49" s="3" t="n">
        <v>2054000000</v>
      </c>
      <c r="C49" s="3" t="n">
        <v>2097600000</v>
      </c>
      <c r="D49" s="3" t="n">
        <v>1734500000</v>
      </c>
      <c r="E49" s="3" t="n">
        <v>2374300000</v>
      </c>
      <c r="F49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</row>
    <row r="2">
      <c r="A2" t="inlineStr">
        <is>
          <t>Tax Effect Of Unusual Items</t>
        </is>
      </c>
      <c r="B2" s="3" t="n">
        <v>0</v>
      </c>
      <c r="C2" s="3" t="n">
        <v>0</v>
      </c>
      <c r="D2" s="3" t="n">
        <v>0</v>
      </c>
      <c r="E2" s="3" t="n">
        <v>-31731000</v>
      </c>
      <c r="F2" s="3" t="n">
        <v>0</v>
      </c>
    </row>
    <row r="3">
      <c r="A3" t="inlineStr">
        <is>
          <t>Tax Rate For Calcs</t>
        </is>
      </c>
      <c r="B3" s="3" t="n">
        <v>0.4</v>
      </c>
      <c r="C3" s="3" t="n">
        <v>0.21</v>
      </c>
      <c r="D3" s="3" t="n">
        <v>0.21</v>
      </c>
      <c r="E3" s="3" t="n">
        <v>0.21</v>
      </c>
      <c r="F3" s="3" t="n">
        <v>0.21</v>
      </c>
    </row>
    <row r="4">
      <c r="A4" t="inlineStr">
        <is>
          <t>Normalized EBITDA</t>
        </is>
      </c>
      <c r="B4" s="3" t="n">
        <v>30700000</v>
      </c>
      <c r="C4" s="3" t="n">
        <v>29700000</v>
      </c>
      <c r="D4" s="3" t="n">
        <v>29500000</v>
      </c>
      <c r="E4" s="3" t="n">
        <v>26600000</v>
      </c>
      <c r="F4" s="3" t="n">
        <v>33800000</v>
      </c>
    </row>
    <row r="5">
      <c r="A5" t="inlineStr">
        <is>
          <t>Total Unusual Items</t>
        </is>
      </c>
      <c r="B5" s="3" t="n"/>
      <c r="C5" s="3" t="n">
        <v>0</v>
      </c>
      <c r="D5" s="3" t="n">
        <v>0</v>
      </c>
      <c r="E5" s="3" t="n">
        <v>-151100000</v>
      </c>
      <c r="F5" s="3" t="n"/>
    </row>
    <row r="6">
      <c r="A6" t="inlineStr">
        <is>
          <t>Total Unusual Items Excluding Goodwill</t>
        </is>
      </c>
      <c r="B6" s="3" t="n"/>
      <c r="C6" s="3" t="n">
        <v>0</v>
      </c>
      <c r="D6" s="3" t="n">
        <v>0</v>
      </c>
      <c r="E6" s="3" t="n">
        <v>-151100000</v>
      </c>
      <c r="F6" s="3" t="n"/>
    </row>
    <row r="7">
      <c r="A7" t="inlineStr">
        <is>
          <t>Net Income From Continuing Operation Net Minority Interest</t>
        </is>
      </c>
      <c r="B7" s="3" t="n">
        <v>-17900000</v>
      </c>
      <c r="C7" s="3" t="n">
        <v>-3300000</v>
      </c>
      <c r="D7" s="3" t="n">
        <v>-10900000</v>
      </c>
      <c r="E7" s="3" t="n">
        <v>-162000000</v>
      </c>
      <c r="F7" s="3" t="n">
        <v>-5000000</v>
      </c>
    </row>
    <row r="8">
      <c r="A8" t="inlineStr">
        <is>
          <t>Reconciled Depreciation</t>
        </is>
      </c>
      <c r="B8" s="3" t="n">
        <v>19200000</v>
      </c>
      <c r="C8" s="3" t="n">
        <v>19300000</v>
      </c>
      <c r="D8" s="3" t="n">
        <v>19000000</v>
      </c>
      <c r="E8" s="3" t="n">
        <v>18700000</v>
      </c>
      <c r="F8" s="3" t="n">
        <v>19000000</v>
      </c>
    </row>
    <row r="9">
      <c r="A9" t="inlineStr">
        <is>
          <t>Reconciled Cost Of Revenue</t>
        </is>
      </c>
      <c r="B9" s="3" t="n">
        <v>449300000</v>
      </c>
      <c r="C9" s="3" t="n">
        <v>429400000</v>
      </c>
      <c r="D9" s="3" t="n">
        <v>427800000</v>
      </c>
      <c r="E9" s="3" t="n">
        <v>439300000</v>
      </c>
      <c r="F9" s="3" t="n">
        <v>434600000</v>
      </c>
    </row>
    <row r="10">
      <c r="A10" t="inlineStr">
        <is>
          <t>EBITDA</t>
        </is>
      </c>
      <c r="B10" s="3" t="n">
        <v>30700000</v>
      </c>
      <c r="C10" s="3" t="n">
        <v>29700000</v>
      </c>
      <c r="D10" s="3" t="n">
        <v>29500000</v>
      </c>
      <c r="E10" s="3" t="n">
        <v>-124500000</v>
      </c>
      <c r="F10" s="3" t="n">
        <v>33800000</v>
      </c>
    </row>
    <row r="11">
      <c r="A11" t="inlineStr">
        <is>
          <t>EBIT</t>
        </is>
      </c>
      <c r="B11" s="3" t="n">
        <v>11500000</v>
      </c>
      <c r="C11" s="3" t="n">
        <v>10400000</v>
      </c>
      <c r="D11" s="3" t="n">
        <v>10500000</v>
      </c>
      <c r="E11" s="3" t="n">
        <v>-143200000</v>
      </c>
      <c r="F11" s="3" t="n">
        <v>14800000</v>
      </c>
    </row>
    <row r="12">
      <c r="A12" t="inlineStr">
        <is>
          <t>Net Interest Income</t>
        </is>
      </c>
      <c r="B12" s="3" t="n">
        <v>-5900000</v>
      </c>
      <c r="C12" s="3" t="n">
        <v>-7500000</v>
      </c>
      <c r="D12" s="3" t="n">
        <v>-8800000</v>
      </c>
      <c r="E12" s="3" t="n">
        <v>-9300000</v>
      </c>
      <c r="F12" s="3" t="n">
        <v>-8800000</v>
      </c>
    </row>
    <row r="13">
      <c r="A13" t="inlineStr">
        <is>
          <t>Interest Expense</t>
        </is>
      </c>
      <c r="B13" s="3" t="n">
        <v>7300000</v>
      </c>
      <c r="C13" s="3" t="n">
        <v>8400000</v>
      </c>
      <c r="D13" s="3" t="n">
        <v>9900000</v>
      </c>
      <c r="E13" s="3" t="n">
        <v>10100000</v>
      </c>
      <c r="F13" s="3" t="n">
        <v>9900000</v>
      </c>
    </row>
    <row r="14">
      <c r="A14" t="inlineStr">
        <is>
          <t>Interest Income</t>
        </is>
      </c>
      <c r="B14" s="3" t="n">
        <v>1400000</v>
      </c>
      <c r="C14" s="3" t="n">
        <v>900000</v>
      </c>
      <c r="D14" s="3" t="n">
        <v>1100000</v>
      </c>
      <c r="E14" s="3" t="n">
        <v>800000</v>
      </c>
      <c r="F14" s="3" t="n">
        <v>1100000</v>
      </c>
    </row>
    <row r="15">
      <c r="A15" t="inlineStr">
        <is>
          <t>Normalized Income</t>
        </is>
      </c>
      <c r="B15" s="3" t="n">
        <v>-17900000</v>
      </c>
      <c r="C15" s="3" t="n">
        <v>-3300000</v>
      </c>
      <c r="D15" s="3" t="n">
        <v>-10900000</v>
      </c>
      <c r="E15" s="3" t="n">
        <v>-42631000</v>
      </c>
      <c r="F15" s="3" t="n">
        <v>-5000000</v>
      </c>
    </row>
    <row r="16">
      <c r="A16" t="inlineStr">
        <is>
          <t>Net Income From Continuing And Discontinued Operation</t>
        </is>
      </c>
      <c r="B16" s="3" t="n">
        <v>-17900000</v>
      </c>
      <c r="C16" s="3" t="n">
        <v>-3300000</v>
      </c>
      <c r="D16" s="3" t="n">
        <v>-10900000</v>
      </c>
      <c r="E16" s="3" t="n">
        <v>-162000000</v>
      </c>
      <c r="F16" s="3" t="n">
        <v>-5000000</v>
      </c>
    </row>
    <row r="17">
      <c r="A17" t="inlineStr">
        <is>
          <t>Total Expenses</t>
        </is>
      </c>
      <c r="B17" s="3" t="n">
        <v>522300000</v>
      </c>
      <c r="C17" s="3" t="n">
        <v>495800000</v>
      </c>
      <c r="D17" s="3" t="n">
        <v>499400000</v>
      </c>
      <c r="E17" s="3" t="n">
        <v>509500000</v>
      </c>
      <c r="F17" s="3" t="n">
        <v>505700000</v>
      </c>
    </row>
    <row r="18">
      <c r="A18" t="inlineStr">
        <is>
          <t>Total Operating Income As Reported</t>
        </is>
      </c>
      <c r="B18" s="3" t="n">
        <v>11400000</v>
      </c>
      <c r="C18" s="3" t="n">
        <v>10900000</v>
      </c>
      <c r="D18" s="3" t="n">
        <v>10600000</v>
      </c>
      <c r="E18" s="3" t="n">
        <v>-141800000</v>
      </c>
      <c r="F18" s="3" t="n">
        <v>12900000</v>
      </c>
    </row>
    <row r="19">
      <c r="A19" t="inlineStr">
        <is>
          <t>Diluted Average Shares</t>
        </is>
      </c>
      <c r="B19" s="3" t="n">
        <v>45300000</v>
      </c>
      <c r="C19" s="3" t="n">
        <v>45400000</v>
      </c>
      <c r="D19" s="3" t="n">
        <v>45400000</v>
      </c>
      <c r="E19" s="3" t="n">
        <v>45200000</v>
      </c>
      <c r="F19" s="3" t="n">
        <v>45100000</v>
      </c>
    </row>
    <row r="20">
      <c r="A20" t="inlineStr">
        <is>
          <t>Basic Average Shares</t>
        </is>
      </c>
      <c r="B20" s="3" t="n">
        <v>45300000</v>
      </c>
      <c r="C20" s="3" t="n">
        <v>45400000</v>
      </c>
      <c r="D20" s="3" t="n">
        <v>45400000</v>
      </c>
      <c r="E20" s="3" t="n">
        <v>45200000</v>
      </c>
      <c r="F20" s="3" t="n">
        <v>45100000</v>
      </c>
    </row>
    <row r="21">
      <c r="A21" t="inlineStr">
        <is>
          <t>Diluted EPS</t>
        </is>
      </c>
      <c r="B21" s="3" t="n">
        <v>-0.4</v>
      </c>
      <c r="C21" s="3" t="n">
        <v>-0.07000000000000001</v>
      </c>
      <c r="D21" s="3" t="n">
        <v>-0.24</v>
      </c>
      <c r="E21" s="3" t="n">
        <v>-3.58</v>
      </c>
      <c r="F21" s="3" t="n">
        <v>-0.11</v>
      </c>
    </row>
    <row r="22">
      <c r="A22" t="inlineStr">
        <is>
          <t>Basic EPS</t>
        </is>
      </c>
      <c r="B22" s="3" t="n">
        <v>-0.4</v>
      </c>
      <c r="C22" s="3" t="n">
        <v>-0.07000000000000001</v>
      </c>
      <c r="D22" s="3" t="n">
        <v>-0.24</v>
      </c>
      <c r="E22" s="3" t="n">
        <v>-3.58</v>
      </c>
      <c r="F22" s="3" t="n">
        <v>-0.11</v>
      </c>
    </row>
    <row r="23">
      <c r="A23" t="inlineStr">
        <is>
          <t>Diluted NI Availto Com Stockholders</t>
        </is>
      </c>
      <c r="B23" s="3" t="n">
        <v>-17900000</v>
      </c>
      <c r="C23" s="3" t="n">
        <v>-3300000</v>
      </c>
      <c r="D23" s="3" t="n">
        <v>-10900000</v>
      </c>
      <c r="E23" s="3" t="n">
        <v>-162000000</v>
      </c>
      <c r="F23" s="3" t="n">
        <v>-5000000</v>
      </c>
    </row>
    <row r="24">
      <c r="A24" t="inlineStr">
        <is>
          <t>Net Income Common Stockholders</t>
        </is>
      </c>
      <c r="B24" s="3" t="n">
        <v>-17900000</v>
      </c>
      <c r="C24" s="3" t="n">
        <v>-3300000</v>
      </c>
      <c r="D24" s="3" t="n">
        <v>-10900000</v>
      </c>
      <c r="E24" s="3" t="n">
        <v>-162000000</v>
      </c>
      <c r="F24" s="3" t="n">
        <v>-5000000</v>
      </c>
    </row>
    <row r="25">
      <c r="A25" t="inlineStr">
        <is>
          <t>Net Income</t>
        </is>
      </c>
      <c r="B25" s="3" t="n">
        <v>-17900000</v>
      </c>
      <c r="C25" s="3" t="n">
        <v>-3300000</v>
      </c>
      <c r="D25" s="3" t="n">
        <v>-10900000</v>
      </c>
      <c r="E25" s="3" t="n">
        <v>-162000000</v>
      </c>
      <c r="F25" s="3" t="n">
        <v>-5000000</v>
      </c>
    </row>
    <row r="26">
      <c r="A26" t="inlineStr">
        <is>
          <t>Minority Interests</t>
        </is>
      </c>
      <c r="B26" s="3" t="n">
        <v>-2900000</v>
      </c>
      <c r="C26" s="3" t="n">
        <v>-2700000</v>
      </c>
      <c r="D26" s="3" t="n">
        <v>-2800000</v>
      </c>
      <c r="E26" s="3" t="n">
        <v>-1500000</v>
      </c>
      <c r="F26" s="3" t="n">
        <v>-2500000</v>
      </c>
    </row>
    <row r="27">
      <c r="A27" t="inlineStr">
        <is>
          <t>Net Income Including Noncontrolling Interests</t>
        </is>
      </c>
      <c r="B27" s="3" t="n">
        <v>-15000000</v>
      </c>
      <c r="C27" s="3" t="n">
        <v>-600000</v>
      </c>
      <c r="D27" s="3" t="n">
        <v>-8100000</v>
      </c>
      <c r="E27" s="3" t="n">
        <v>-160500000</v>
      </c>
      <c r="F27" s="3" t="n">
        <v>-2500000</v>
      </c>
    </row>
    <row r="28">
      <c r="A28" t="inlineStr">
        <is>
          <t>Net Income Continuous Operations</t>
        </is>
      </c>
      <c r="B28" s="3" t="n">
        <v>-15000000</v>
      </c>
      <c r="C28" s="3" t="n">
        <v>-600000</v>
      </c>
      <c r="D28" s="3" t="n">
        <v>-8100000</v>
      </c>
      <c r="E28" s="3" t="n">
        <v>-160500000</v>
      </c>
      <c r="F28" s="3" t="n">
        <v>-2500000</v>
      </c>
    </row>
    <row r="29">
      <c r="A29" t="inlineStr">
        <is>
          <t>Tax Provision</t>
        </is>
      </c>
      <c r="B29" s="3" t="n">
        <v>19200000</v>
      </c>
      <c r="C29" s="3" t="n">
        <v>2600000</v>
      </c>
      <c r="D29" s="3" t="n">
        <v>8700000</v>
      </c>
      <c r="E29" s="3" t="n">
        <v>7200000</v>
      </c>
      <c r="F29" s="3" t="n">
        <v>7400000</v>
      </c>
    </row>
    <row r="30">
      <c r="A30" t="inlineStr">
        <is>
          <t>Pretax Income</t>
        </is>
      </c>
      <c r="B30" s="3" t="n">
        <v>4200000</v>
      </c>
      <c r="C30" s="3" t="n">
        <v>2000000</v>
      </c>
      <c r="D30" s="3" t="n">
        <v>600000</v>
      </c>
      <c r="E30" s="3" t="n">
        <v>-153300000</v>
      </c>
      <c r="F30" s="3" t="n">
        <v>4900000</v>
      </c>
    </row>
    <row r="31">
      <c r="A31" t="inlineStr">
        <is>
          <t>Other Income Expense</t>
        </is>
      </c>
      <c r="B31" s="3" t="n">
        <v>-1300000</v>
      </c>
      <c r="C31" s="3" t="n">
        <v>-1400000</v>
      </c>
      <c r="D31" s="3" t="n">
        <v>-1200000</v>
      </c>
      <c r="E31" s="3" t="n">
        <v>-153300000</v>
      </c>
      <c r="F31" s="3" t="n">
        <v>800000</v>
      </c>
    </row>
    <row r="32">
      <c r="A32" t="inlineStr">
        <is>
          <t>Other Non Operating Income Expenses</t>
        </is>
      </c>
      <c r="B32" s="3" t="n">
        <v>-1300000</v>
      </c>
      <c r="C32" s="3" t="n">
        <v>-1400000</v>
      </c>
      <c r="D32" s="3" t="n">
        <v>-1200000</v>
      </c>
      <c r="E32" s="3" t="n">
        <v>-2200000</v>
      </c>
      <c r="F32" s="3" t="n">
        <v>800000</v>
      </c>
    </row>
    <row r="33">
      <c r="A33" t="inlineStr">
        <is>
          <t>Special Income Charges</t>
        </is>
      </c>
      <c r="B33" s="3" t="n"/>
      <c r="C33" s="3" t="n">
        <v>0</v>
      </c>
      <c r="D33" s="3" t="n">
        <v>0</v>
      </c>
      <c r="E33" s="3" t="n">
        <v>-151100000</v>
      </c>
      <c r="F33" s="3" t="n"/>
    </row>
    <row r="34">
      <c r="A34" t="inlineStr">
        <is>
          <t>Impairment Of Capital Assets</t>
        </is>
      </c>
      <c r="B34" s="3" t="n"/>
      <c r="C34" s="3" t="n">
        <v>0</v>
      </c>
      <c r="D34" s="3" t="n">
        <v>0</v>
      </c>
      <c r="E34" s="3" t="n">
        <v>151100000</v>
      </c>
      <c r="F34" s="3" t="n"/>
    </row>
    <row r="35">
      <c r="A35" t="inlineStr">
        <is>
          <t>Net Non Operating Interest Income Expense</t>
        </is>
      </c>
      <c r="B35" s="3" t="n">
        <v>-5900000</v>
      </c>
      <c r="C35" s="3" t="n">
        <v>-7500000</v>
      </c>
      <c r="D35" s="3" t="n">
        <v>-8800000</v>
      </c>
      <c r="E35" s="3" t="n">
        <v>-9300000</v>
      </c>
      <c r="F35" s="3" t="n">
        <v>-8800000</v>
      </c>
    </row>
    <row r="36">
      <c r="A36" t="inlineStr">
        <is>
          <t>Interest Expense Non Operating</t>
        </is>
      </c>
      <c r="B36" s="3" t="n">
        <v>7300000</v>
      </c>
      <c r="C36" s="3" t="n">
        <v>8400000</v>
      </c>
      <c r="D36" s="3" t="n">
        <v>9900000</v>
      </c>
      <c r="E36" s="3" t="n">
        <v>10100000</v>
      </c>
      <c r="F36" s="3" t="n">
        <v>9900000</v>
      </c>
    </row>
    <row r="37">
      <c r="A37" t="inlineStr">
        <is>
          <t>Interest Income Non Operating</t>
        </is>
      </c>
      <c r="B37" s="3" t="n">
        <v>1400000</v>
      </c>
      <c r="C37" s="3" t="n">
        <v>900000</v>
      </c>
      <c r="D37" s="3" t="n">
        <v>1100000</v>
      </c>
      <c r="E37" s="3" t="n">
        <v>800000</v>
      </c>
      <c r="F37" s="3" t="n">
        <v>1100000</v>
      </c>
    </row>
    <row r="38">
      <c r="A38" t="inlineStr">
        <is>
          <t>Operating Income</t>
        </is>
      </c>
      <c r="B38" s="3" t="n">
        <v>11400000</v>
      </c>
      <c r="C38" s="3" t="n">
        <v>10900000</v>
      </c>
      <c r="D38" s="3" t="n">
        <v>10600000</v>
      </c>
      <c r="E38" s="3" t="n">
        <v>9300000</v>
      </c>
      <c r="F38" s="3" t="n">
        <v>12900000</v>
      </c>
    </row>
    <row r="39">
      <c r="A39" t="inlineStr">
        <is>
          <t>Operating Expense</t>
        </is>
      </c>
      <c r="B39" s="3" t="n">
        <v>73000000</v>
      </c>
      <c r="C39" s="3" t="n">
        <v>66400000</v>
      </c>
      <c r="D39" s="3" t="n">
        <v>71600000</v>
      </c>
      <c r="E39" s="3" t="n">
        <v>70200000</v>
      </c>
      <c r="F39" s="3" t="n">
        <v>71100000</v>
      </c>
    </row>
    <row r="40">
      <c r="A40" t="inlineStr">
        <is>
          <t>Research And Development</t>
        </is>
      </c>
      <c r="B40" s="3" t="n">
        <v>8500000</v>
      </c>
      <c r="C40" s="3" t="n">
        <v>8800000</v>
      </c>
      <c r="D40" s="3" t="n">
        <v>7800000</v>
      </c>
      <c r="E40" s="3" t="n">
        <v>7800000</v>
      </c>
      <c r="F40" s="3" t="n">
        <v>7600000</v>
      </c>
    </row>
    <row r="41">
      <c r="A41" t="inlineStr">
        <is>
          <t>Selling General And Administration</t>
        </is>
      </c>
      <c r="B41" s="3" t="n">
        <v>64500000</v>
      </c>
      <c r="C41" s="3" t="n">
        <v>57600000</v>
      </c>
      <c r="D41" s="3" t="n">
        <v>63800000</v>
      </c>
      <c r="E41" s="3" t="n">
        <v>62400000</v>
      </c>
      <c r="F41" s="3" t="n">
        <v>63500000</v>
      </c>
    </row>
    <row r="42">
      <c r="A42" t="inlineStr">
        <is>
          <t>Selling And Marketing Expense</t>
        </is>
      </c>
      <c r="B42" s="3" t="n">
        <v>15500000</v>
      </c>
      <c r="C42" s="3" t="n">
        <v>15700000</v>
      </c>
      <c r="D42" s="3" t="n">
        <v>15100000</v>
      </c>
      <c r="E42" s="3" t="n">
        <v>15500000</v>
      </c>
      <c r="F42" s="3" t="n">
        <v>14900000</v>
      </c>
    </row>
    <row r="43">
      <c r="A43" t="inlineStr">
        <is>
          <t>General And Administrative Expense</t>
        </is>
      </c>
      <c r="B43" s="3" t="n">
        <v>49000000</v>
      </c>
      <c r="C43" s="3" t="n">
        <v>41900000</v>
      </c>
      <c r="D43" s="3" t="n">
        <v>48700000</v>
      </c>
      <c r="E43" s="3" t="n">
        <v>46900000</v>
      </c>
      <c r="F43" s="3" t="n">
        <v>48600000</v>
      </c>
    </row>
    <row r="44">
      <c r="A44" t="inlineStr">
        <is>
          <t>Other Gand A</t>
        </is>
      </c>
      <c r="B44" s="3" t="n">
        <v>49000000</v>
      </c>
      <c r="C44" s="3" t="n">
        <v>41900000</v>
      </c>
      <c r="D44" s="3" t="n">
        <v>48700000</v>
      </c>
      <c r="E44" s="3" t="n">
        <v>46900000</v>
      </c>
      <c r="F44" s="3" t="n">
        <v>48600000</v>
      </c>
    </row>
    <row r="45">
      <c r="A45" t="inlineStr">
        <is>
          <t>Gross Profit</t>
        </is>
      </c>
      <c r="B45" s="3" t="n">
        <v>84400000</v>
      </c>
      <c r="C45" s="3" t="n">
        <v>77300000</v>
      </c>
      <c r="D45" s="3" t="n">
        <v>82200000</v>
      </c>
      <c r="E45" s="3" t="n">
        <v>79500000</v>
      </c>
      <c r="F45" s="3" t="n">
        <v>84000000</v>
      </c>
    </row>
    <row r="46">
      <c r="A46" t="inlineStr">
        <is>
          <t>Cost Of Revenue</t>
        </is>
      </c>
      <c r="B46" s="3" t="n">
        <v>449300000</v>
      </c>
      <c r="C46" s="3" t="n">
        <v>429400000</v>
      </c>
      <c r="D46" s="3" t="n">
        <v>427800000</v>
      </c>
      <c r="E46" s="3" t="n">
        <v>439300000</v>
      </c>
      <c r="F46" s="3" t="n">
        <v>434600000</v>
      </c>
    </row>
    <row r="47">
      <c r="A47" t="inlineStr">
        <is>
          <t>Total Revenue</t>
        </is>
      </c>
      <c r="B47" s="3" t="n">
        <v>533700000</v>
      </c>
      <c r="C47" s="3" t="n">
        <v>506700000</v>
      </c>
      <c r="D47" s="3" t="n">
        <v>510000000</v>
      </c>
      <c r="E47" s="3" t="n">
        <v>518800000</v>
      </c>
      <c r="F47" s="3" t="n">
        <v>518600000</v>
      </c>
    </row>
    <row r="48">
      <c r="A48" t="inlineStr">
        <is>
          <t>Operating Revenue</t>
        </is>
      </c>
      <c r="B48" s="3" t="n">
        <v>533700000</v>
      </c>
      <c r="C48" s="3" t="n">
        <v>506700000</v>
      </c>
      <c r="D48" s="3" t="n">
        <v>510000000</v>
      </c>
      <c r="E48" s="3" t="n">
        <v>518800000</v>
      </c>
      <c r="F48" s="3" t="n">
        <v>518600000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Treasury Shares Number</t>
        </is>
      </c>
      <c r="B2" s="3" t="n">
        <v>1700000</v>
      </c>
      <c r="C2" s="3" t="n">
        <v>1500000</v>
      </c>
      <c r="D2" s="3" t="n">
        <v>1500000</v>
      </c>
      <c r="E2" s="3" t="n">
        <v>900000</v>
      </c>
      <c r="F2" s="3" t="n"/>
    </row>
    <row r="3">
      <c r="A3" t="inlineStr">
        <is>
          <t>Ordinary Shares Number</t>
        </is>
      </c>
      <c r="B3" s="3" t="n">
        <v>45500000</v>
      </c>
      <c r="C3" s="3" t="n">
        <v>45060067</v>
      </c>
      <c r="D3" s="3" t="n">
        <v>44600000</v>
      </c>
      <c r="E3" s="3" t="n">
        <v>45200000</v>
      </c>
      <c r="F3" s="3" t="n"/>
    </row>
    <row r="4">
      <c r="A4" t="inlineStr">
        <is>
          <t>Share Issued</t>
        </is>
      </c>
      <c r="B4" s="3" t="n">
        <v>47200000</v>
      </c>
      <c r="C4" s="3" t="n">
        <v>46560067</v>
      </c>
      <c r="D4" s="3" t="n">
        <v>46100000</v>
      </c>
      <c r="E4" s="3" t="n">
        <v>46100000</v>
      </c>
      <c r="F4" s="3" t="n"/>
    </row>
    <row r="5">
      <c r="A5" t="inlineStr">
        <is>
          <t>Net Debt</t>
        </is>
      </c>
      <c r="B5" s="3" t="n">
        <v>165100000</v>
      </c>
      <c r="C5" s="3" t="n">
        <v>178600000</v>
      </c>
      <c r="D5" s="3" t="n">
        <v>171800000</v>
      </c>
      <c r="E5" s="3" t="n">
        <v>155000000</v>
      </c>
      <c r="F5" s="3" t="n"/>
    </row>
    <row r="6">
      <c r="A6" t="inlineStr">
        <is>
          <t>Total Debt</t>
        </is>
      </c>
      <c r="B6" s="3" t="n">
        <v>653700000</v>
      </c>
      <c r="C6" s="3" t="n">
        <v>660300000</v>
      </c>
      <c r="D6" s="3" t="n">
        <v>639900000</v>
      </c>
      <c r="E6" s="3" t="n">
        <v>611200000</v>
      </c>
      <c r="F6" s="3" t="n"/>
    </row>
    <row r="7">
      <c r="A7" t="inlineStr">
        <is>
          <t>Tangible Book Value</t>
        </is>
      </c>
      <c r="B7" s="3" t="n">
        <v>440000000</v>
      </c>
      <c r="C7" s="3" t="n">
        <v>423400000</v>
      </c>
      <c r="D7" s="3" t="n">
        <v>358400000</v>
      </c>
      <c r="E7" s="3" t="n">
        <v>451200000</v>
      </c>
      <c r="F7" s="3" t="n"/>
    </row>
    <row r="8">
      <c r="A8" t="inlineStr">
        <is>
          <t>Invested Capital</t>
        </is>
      </c>
      <c r="B8" s="3" t="n">
        <v>1187900000</v>
      </c>
      <c r="C8" s="3" t="n">
        <v>1366100000</v>
      </c>
      <c r="D8" s="3" t="n">
        <v>1317700000</v>
      </c>
      <c r="E8" s="3" t="n">
        <v>1401700000</v>
      </c>
      <c r="F8" s="3" t="n"/>
    </row>
    <row r="9">
      <c r="A9" t="inlineStr">
        <is>
          <t>Working Capital</t>
        </is>
      </c>
      <c r="B9" s="3" t="n">
        <v>659000000</v>
      </c>
      <c r="C9" s="3" t="n">
        <v>634500000</v>
      </c>
      <c r="D9" s="3" t="n">
        <v>583200000</v>
      </c>
      <c r="E9" s="3" t="n">
        <v>709600000</v>
      </c>
      <c r="F9" s="3" t="n"/>
    </row>
    <row r="10">
      <c r="A10" t="inlineStr">
        <is>
          <t>Net Tangible Assets</t>
        </is>
      </c>
      <c r="B10" s="3" t="n">
        <v>440000000</v>
      </c>
      <c r="C10" s="3" t="n">
        <v>423400000</v>
      </c>
      <c r="D10" s="3" t="n">
        <v>358400000</v>
      </c>
      <c r="E10" s="3" t="n">
        <v>451200000</v>
      </c>
      <c r="F10" s="3" t="n"/>
    </row>
    <row r="11">
      <c r="A11" t="inlineStr">
        <is>
          <t>Capital Lease Obligations</t>
        </is>
      </c>
      <c r="B11" s="3" t="n">
        <v>176800000</v>
      </c>
      <c r="C11" s="3" t="n">
        <v>167800000</v>
      </c>
      <c r="D11" s="3" t="n">
        <v>161100000</v>
      </c>
      <c r="E11" s="3" t="n">
        <v>97400000</v>
      </c>
      <c r="F11" s="3" t="n"/>
    </row>
    <row r="12">
      <c r="A12" t="inlineStr">
        <is>
          <t>Common Stock Equity</t>
        </is>
      </c>
      <c r="B12" s="3" t="n">
        <v>711000000</v>
      </c>
      <c r="C12" s="3" t="n">
        <v>873600000</v>
      </c>
      <c r="D12" s="3" t="n">
        <v>838900000</v>
      </c>
      <c r="E12" s="3" t="n">
        <v>887900000</v>
      </c>
      <c r="F12" s="3" t="n"/>
    </row>
    <row r="13">
      <c r="A13" t="inlineStr">
        <is>
          <t>Total Capitalization</t>
        </is>
      </c>
      <c r="B13" s="3" t="n">
        <v>1178000000</v>
      </c>
      <c r="C13" s="3" t="n">
        <v>1350100000</v>
      </c>
      <c r="D13" s="3" t="n">
        <v>1300100000</v>
      </c>
      <c r="E13" s="3" t="n">
        <v>1380900000</v>
      </c>
      <c r="F13" s="3" t="n"/>
    </row>
    <row r="14">
      <c r="A14" t="inlineStr">
        <is>
          <t>Total Equity Gross Minority Interest</t>
        </is>
      </c>
      <c r="B14" s="3" t="n">
        <v>784100000</v>
      </c>
      <c r="C14" s="3" t="n">
        <v>935800000</v>
      </c>
      <c r="D14" s="3" t="n">
        <v>897200000</v>
      </c>
      <c r="E14" s="3" t="n">
        <v>937000000</v>
      </c>
      <c r="F14" s="3" t="n"/>
    </row>
    <row r="15">
      <c r="A15" t="inlineStr">
        <is>
          <t>Minority Interest</t>
        </is>
      </c>
      <c r="B15" s="3" t="n">
        <v>73100000</v>
      </c>
      <c r="C15" s="3" t="n">
        <v>62200000</v>
      </c>
      <c r="D15" s="3" t="n">
        <v>58300000</v>
      </c>
      <c r="E15" s="3" t="n">
        <v>49100000</v>
      </c>
      <c r="F15" s="3" t="n"/>
    </row>
    <row r="16">
      <c r="A16" t="inlineStr">
        <is>
          <t>Stockholders Equity</t>
        </is>
      </c>
      <c r="B16" s="3" t="n">
        <v>711000000</v>
      </c>
      <c r="C16" s="3" t="n">
        <v>873600000</v>
      </c>
      <c r="D16" s="3" t="n">
        <v>838900000</v>
      </c>
      <c r="E16" s="3" t="n">
        <v>887900000</v>
      </c>
      <c r="F16" s="3" t="n"/>
    </row>
    <row r="17">
      <c r="A17" t="inlineStr">
        <is>
          <t>Gains Losses Not Affecting Retained Earnings</t>
        </is>
      </c>
      <c r="B17" s="3" t="n">
        <v>-8600000</v>
      </c>
      <c r="C17" s="3" t="n">
        <v>-10300000</v>
      </c>
      <c r="D17" s="3" t="n">
        <v>-4400000</v>
      </c>
      <c r="E17" s="3" t="n">
        <v>-5400000</v>
      </c>
      <c r="F17" s="3" t="n"/>
    </row>
    <row r="18">
      <c r="A18" t="inlineStr">
        <is>
          <t>Other Equity Adjustments</t>
        </is>
      </c>
      <c r="B18" s="3" t="n">
        <v>-8600000</v>
      </c>
      <c r="C18" s="3" t="n">
        <v>-10300000</v>
      </c>
      <c r="D18" s="3" t="n">
        <v>-4400000</v>
      </c>
      <c r="E18" s="3" t="n">
        <v>-5400000</v>
      </c>
      <c r="F18" s="3" t="n"/>
    </row>
    <row r="19">
      <c r="A19" t="inlineStr">
        <is>
          <t>Treasury Stock</t>
        </is>
      </c>
      <c r="B19" s="3" t="n">
        <v>48400000</v>
      </c>
      <c r="C19" s="3" t="n">
        <v>45000000</v>
      </c>
      <c r="D19" s="3" t="n">
        <v>45000000</v>
      </c>
      <c r="E19" s="3" t="n">
        <v>15400000</v>
      </c>
      <c r="F19" s="3" t="n"/>
    </row>
    <row r="20">
      <c r="A20" t="inlineStr">
        <is>
          <t>Retained Earnings</t>
        </is>
      </c>
      <c r="B20" s="3" t="n">
        <v>189200000</v>
      </c>
      <c r="C20" s="3" t="n">
        <v>370400000</v>
      </c>
      <c r="D20" s="3" t="n">
        <v>346700000</v>
      </c>
      <c r="E20" s="3" t="n">
        <v>377800000</v>
      </c>
      <c r="F20" s="3" t="n"/>
    </row>
    <row r="21">
      <c r="A21" t="inlineStr">
        <is>
          <t>Additional Paid In Capital</t>
        </is>
      </c>
      <c r="B21" s="3" t="n">
        <v>578700000</v>
      </c>
      <c r="C21" s="3" t="n">
        <v>558400000</v>
      </c>
      <c r="D21" s="3" t="n">
        <v>541500000</v>
      </c>
      <c r="E21" s="3" t="n">
        <v>530800000</v>
      </c>
      <c r="F21" s="3" t="n"/>
    </row>
    <row r="22">
      <c r="A22" t="inlineStr">
        <is>
          <t>Capital Stock</t>
        </is>
      </c>
      <c r="B22" s="3" t="n">
        <v>100000</v>
      </c>
      <c r="C22" s="3" t="n">
        <v>100000</v>
      </c>
      <c r="D22" s="3" t="n">
        <v>100000</v>
      </c>
      <c r="E22" s="3" t="n">
        <v>100000</v>
      </c>
      <c r="F22" s="3" t="n"/>
    </row>
    <row r="23">
      <c r="A23" t="inlineStr">
        <is>
          <t>Common Stock</t>
        </is>
      </c>
      <c r="B23" s="3" t="n">
        <v>100000</v>
      </c>
      <c r="C23" s="3" t="n">
        <v>100000</v>
      </c>
      <c r="D23" s="3" t="n">
        <v>100000</v>
      </c>
      <c r="E23" s="3" t="n">
        <v>100000</v>
      </c>
      <c r="F23" s="3" t="n"/>
    </row>
    <row r="24">
      <c r="A24" t="inlineStr">
        <is>
          <t>Preferred Stock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/>
    </row>
    <row r="25">
      <c r="A25" t="inlineStr">
        <is>
          <t>Total Liabilities Net Minority Interest</t>
        </is>
      </c>
      <c r="B25" s="3" t="n">
        <v>944900000</v>
      </c>
      <c r="C25" s="3" t="n">
        <v>984100000</v>
      </c>
      <c r="D25" s="3" t="n">
        <v>970500000</v>
      </c>
      <c r="E25" s="3" t="n">
        <v>1023900000</v>
      </c>
      <c r="F25" s="3" t="n"/>
    </row>
    <row r="26">
      <c r="A26" t="inlineStr">
        <is>
          <t>Total Non Current Liabilities Net Minority Interest</t>
        </is>
      </c>
      <c r="B26" s="3" t="n">
        <v>644200000</v>
      </c>
      <c r="C26" s="3" t="n">
        <v>648500000</v>
      </c>
      <c r="D26" s="3" t="n">
        <v>660500000</v>
      </c>
      <c r="E26" s="3" t="n">
        <v>634700000</v>
      </c>
      <c r="F26" s="3" t="n"/>
    </row>
    <row r="27">
      <c r="A27" t="inlineStr">
        <is>
          <t>Other Non Current Liabilities</t>
        </is>
      </c>
      <c r="B27" s="3" t="n">
        <v>6800000</v>
      </c>
      <c r="C27" s="3" t="n">
        <v>6700000</v>
      </c>
      <c r="D27" s="3" t="n">
        <v>37300000</v>
      </c>
      <c r="E27" s="3" t="n">
        <v>9200000</v>
      </c>
      <c r="F27" s="3" t="n"/>
    </row>
    <row r="28">
      <c r="A28" t="inlineStr">
        <is>
          <t>Non Current Deferred Liabilities</t>
        </is>
      </c>
      <c r="B28" s="3" t="n">
        <v>13800000</v>
      </c>
      <c r="C28" s="3" t="n">
        <v>16100000</v>
      </c>
      <c r="D28" s="3" t="n">
        <v>19000000</v>
      </c>
      <c r="E28" s="3" t="n">
        <v>52200000</v>
      </c>
      <c r="F28" s="3" t="n"/>
    </row>
    <row r="29">
      <c r="A29" t="inlineStr">
        <is>
          <t>Non Current Deferred Taxes Liabilities</t>
        </is>
      </c>
      <c r="B29" s="3" t="n">
        <v>13800000</v>
      </c>
      <c r="C29" s="3" t="n">
        <v>16100000</v>
      </c>
      <c r="D29" s="3" t="n">
        <v>19000000</v>
      </c>
      <c r="E29" s="3" t="n">
        <v>52200000</v>
      </c>
      <c r="F29" s="3" t="n"/>
    </row>
    <row r="30">
      <c r="A30" t="inlineStr">
        <is>
          <t>Long Term Debt And Capital Lease Obligation</t>
        </is>
      </c>
      <c r="B30" s="3" t="n">
        <v>623600000</v>
      </c>
      <c r="C30" s="3" t="n">
        <v>625700000</v>
      </c>
      <c r="D30" s="3" t="n">
        <v>604200000</v>
      </c>
      <c r="E30" s="3" t="n">
        <v>573300000</v>
      </c>
      <c r="F30" s="3" t="n"/>
    </row>
    <row r="31">
      <c r="A31" t="inlineStr">
        <is>
          <t>Long Term Capital Lease Obligation</t>
        </is>
      </c>
      <c r="B31" s="3" t="n">
        <v>156600000</v>
      </c>
      <c r="C31" s="3" t="n">
        <v>149200000</v>
      </c>
      <c r="D31" s="3" t="n">
        <v>143000000</v>
      </c>
      <c r="E31" s="3" t="n">
        <v>80300000</v>
      </c>
      <c r="F31" s="3" t="n"/>
    </row>
    <row r="32">
      <c r="A32" t="inlineStr">
        <is>
          <t>Long Term Debt</t>
        </is>
      </c>
      <c r="B32" s="3" t="n">
        <v>467000000</v>
      </c>
      <c r="C32" s="3" t="n">
        <v>476500000</v>
      </c>
      <c r="D32" s="3" t="n">
        <v>461200000</v>
      </c>
      <c r="E32" s="3" t="n">
        <v>493000000</v>
      </c>
      <c r="F32" s="3" t="n"/>
    </row>
    <row r="33">
      <c r="A33" t="inlineStr">
        <is>
          <t>Current Liabilities</t>
        </is>
      </c>
      <c r="B33" s="3" t="n">
        <v>300700000</v>
      </c>
      <c r="C33" s="3" t="n">
        <v>335600000</v>
      </c>
      <c r="D33" s="3" t="n">
        <v>310000000</v>
      </c>
      <c r="E33" s="3" t="n">
        <v>389200000</v>
      </c>
      <c r="F33" s="3" t="n"/>
    </row>
    <row r="34">
      <c r="A34" t="inlineStr">
        <is>
          <t>Other Current Liabilities</t>
        </is>
      </c>
      <c r="B34" s="3" t="n">
        <v>24600000</v>
      </c>
      <c r="C34" s="3" t="n">
        <v>38400000</v>
      </c>
      <c r="D34" s="3" t="n">
        <v>33700000</v>
      </c>
      <c r="E34" s="3" t="n">
        <v>45300000</v>
      </c>
      <c r="F34" s="3" t="n"/>
    </row>
    <row r="35">
      <c r="A35" t="inlineStr">
        <is>
          <t>Current Debt And Capital Lease Obligation</t>
        </is>
      </c>
      <c r="B35" s="3" t="n">
        <v>30100000</v>
      </c>
      <c r="C35" s="3" t="n">
        <v>34600000</v>
      </c>
      <c r="D35" s="3" t="n">
        <v>35700000</v>
      </c>
      <c r="E35" s="3" t="n">
        <v>37900000</v>
      </c>
      <c r="F35" s="3" t="n"/>
    </row>
    <row r="36">
      <c r="A36" t="inlineStr">
        <is>
          <t>Current Capital Lease Obligation</t>
        </is>
      </c>
      <c r="B36" s="3" t="n">
        <v>20200000</v>
      </c>
      <c r="C36" s="3" t="n">
        <v>18600000</v>
      </c>
      <c r="D36" s="3" t="n">
        <v>18100000</v>
      </c>
      <c r="E36" s="3" t="n">
        <v>17100000</v>
      </c>
      <c r="F36" s="3" t="n"/>
    </row>
    <row r="37">
      <c r="A37" t="inlineStr">
        <is>
          <t>Current Debt</t>
        </is>
      </c>
      <c r="B37" s="3" t="n">
        <v>9900000</v>
      </c>
      <c r="C37" s="3" t="n">
        <v>16000000</v>
      </c>
      <c r="D37" s="3" t="n">
        <v>17600000</v>
      </c>
      <c r="E37" s="3" t="n">
        <v>20800000</v>
      </c>
      <c r="F37" s="3" t="n"/>
    </row>
    <row r="38">
      <c r="A38" t="inlineStr">
        <is>
          <t>Other Current Borrowings</t>
        </is>
      </c>
      <c r="B38" s="3" t="n">
        <v>9900000</v>
      </c>
      <c r="C38" s="3" t="n">
        <v>16000000</v>
      </c>
      <c r="D38" s="3" t="n">
        <v>17600000</v>
      </c>
      <c r="E38" s="3" t="n">
        <v>20800000</v>
      </c>
      <c r="F38" s="3" t="n"/>
    </row>
    <row r="39">
      <c r="A39" t="inlineStr">
        <is>
          <t>Pensionand Other Post Retirement Benefit Plans Current</t>
        </is>
      </c>
      <c r="B39" s="3" t="n">
        <v>51100000</v>
      </c>
      <c r="C39" s="3" t="n">
        <v>50100000</v>
      </c>
      <c r="D39" s="3" t="n">
        <v>47700000</v>
      </c>
      <c r="E39" s="3" t="n">
        <v>52500000</v>
      </c>
      <c r="F39" s="3" t="n"/>
    </row>
    <row r="40">
      <c r="A40" t="inlineStr">
        <is>
          <t>Payables And Accrued Expenses</t>
        </is>
      </c>
      <c r="B40" s="3" t="n">
        <v>194900000</v>
      </c>
      <c r="C40" s="3" t="n">
        <v>212500000</v>
      </c>
      <c r="D40" s="3" t="n">
        <v>192900000</v>
      </c>
      <c r="E40" s="3" t="n">
        <v>253500000</v>
      </c>
      <c r="F40" s="3" t="n"/>
    </row>
    <row r="41">
      <c r="A41" t="inlineStr">
        <is>
          <t>Payables</t>
        </is>
      </c>
      <c r="B41" s="3" t="n">
        <v>194900000</v>
      </c>
      <c r="C41" s="3" t="n">
        <v>212500000</v>
      </c>
      <c r="D41" s="3" t="n">
        <v>192900000</v>
      </c>
      <c r="E41" s="3" t="n">
        <v>253500000</v>
      </c>
      <c r="F41" s="3" t="n"/>
    </row>
    <row r="42">
      <c r="A42" t="inlineStr">
        <is>
          <t>Accounts Payable</t>
        </is>
      </c>
      <c r="B42" s="3" t="n">
        <v>194900000</v>
      </c>
      <c r="C42" s="3" t="n">
        <v>212500000</v>
      </c>
      <c r="D42" s="3" t="n">
        <v>192900000</v>
      </c>
      <c r="E42" s="3" t="n">
        <v>253500000</v>
      </c>
      <c r="F42" s="3" t="n"/>
    </row>
    <row r="43">
      <c r="A43" t="inlineStr">
        <is>
          <t>Total Assets</t>
        </is>
      </c>
      <c r="B43" s="3" t="n">
        <v>1729000000</v>
      </c>
      <c r="C43" s="3" t="n">
        <v>1919900000</v>
      </c>
      <c r="D43" s="3" t="n">
        <v>1867700000</v>
      </c>
      <c r="E43" s="3" t="n">
        <v>1960900000</v>
      </c>
      <c r="F43" s="3" t="n"/>
    </row>
    <row r="44">
      <c r="A44" t="inlineStr">
        <is>
          <t>Total Non Current Assets</t>
        </is>
      </c>
      <c r="B44" s="3" t="n">
        <v>769300000</v>
      </c>
      <c r="C44" s="3" t="n">
        <v>949800000</v>
      </c>
      <c r="D44" s="3" t="n">
        <v>974500000</v>
      </c>
      <c r="E44" s="3" t="n">
        <v>862100000</v>
      </c>
      <c r="F44" s="3" t="n"/>
    </row>
    <row r="45">
      <c r="A45" t="inlineStr">
        <is>
          <t>Other Non Current Assets</t>
        </is>
      </c>
      <c r="B45" s="3" t="n">
        <v>13000000</v>
      </c>
      <c r="C45" s="3" t="n">
        <v>9600000</v>
      </c>
      <c r="D45" s="3" t="n">
        <v>10900000</v>
      </c>
      <c r="E45" s="3" t="n">
        <v>10800000</v>
      </c>
      <c r="F45" s="3" t="n"/>
    </row>
    <row r="46">
      <c r="A46" t="inlineStr">
        <is>
          <t>Non Current Deferred Assets</t>
        </is>
      </c>
      <c r="B46" s="3" t="n">
        <v>3500000</v>
      </c>
      <c r="C46" s="3" t="n">
        <v>3100000</v>
      </c>
      <c r="D46" s="3" t="n">
        <v>3100000</v>
      </c>
      <c r="E46" s="3" t="n">
        <v>36000000</v>
      </c>
      <c r="F46" s="3" t="n"/>
    </row>
    <row r="47">
      <c r="A47" t="inlineStr">
        <is>
          <t>Non Current Deferred Taxes Assets</t>
        </is>
      </c>
      <c r="B47" s="3" t="n">
        <v>3500000</v>
      </c>
      <c r="C47" s="3" t="n">
        <v>3100000</v>
      </c>
      <c r="D47" s="3" t="n">
        <v>3100000</v>
      </c>
      <c r="E47" s="3" t="n">
        <v>36000000</v>
      </c>
      <c r="F47" s="3" t="n"/>
    </row>
    <row r="48">
      <c r="A48" t="inlineStr">
        <is>
          <t>Goodwill And Other Intangible Assets</t>
        </is>
      </c>
      <c r="B48" s="3" t="n">
        <v>271000000</v>
      </c>
      <c r="C48" s="3" t="n">
        <v>450200000</v>
      </c>
      <c r="D48" s="3" t="n">
        <v>480500000</v>
      </c>
      <c r="E48" s="3" t="n">
        <v>436700000</v>
      </c>
      <c r="F48" s="3" t="n"/>
    </row>
    <row r="49">
      <c r="A49" t="inlineStr">
        <is>
          <t>Other Intangible Assets</t>
        </is>
      </c>
      <c r="B49" s="3" t="n">
        <v>156800000</v>
      </c>
      <c r="C49" s="3" t="n">
        <v>184900000</v>
      </c>
      <c r="D49" s="3" t="n">
        <v>215300000</v>
      </c>
      <c r="E49" s="3" t="n">
        <v>187900000</v>
      </c>
      <c r="F49" s="3" t="n"/>
    </row>
    <row r="50">
      <c r="A50" t="inlineStr">
        <is>
          <t>Goodwill</t>
        </is>
      </c>
      <c r="B50" s="3" t="n">
        <v>114200000</v>
      </c>
      <c r="C50" s="3" t="n">
        <v>265300000</v>
      </c>
      <c r="D50" s="3" t="n">
        <v>265200000</v>
      </c>
      <c r="E50" s="3" t="n">
        <v>248800000</v>
      </c>
      <c r="F50" s="3" t="n"/>
    </row>
    <row r="51">
      <c r="A51" t="inlineStr">
        <is>
          <t>Net PPE</t>
        </is>
      </c>
      <c r="B51" s="3" t="n">
        <v>481800000</v>
      </c>
      <c r="C51" s="3" t="n">
        <v>486900000</v>
      </c>
      <c r="D51" s="3" t="n">
        <v>480000000</v>
      </c>
      <c r="E51" s="3" t="n">
        <v>378600000</v>
      </c>
      <c r="F51" s="3" t="n"/>
    </row>
    <row r="52">
      <c r="A52" t="inlineStr">
        <is>
          <t>Accumulated Depreciation</t>
        </is>
      </c>
      <c r="B52" s="3" t="n">
        <v>-243000000</v>
      </c>
      <c r="C52" s="3" t="n">
        <v>-214000000</v>
      </c>
      <c r="D52" s="3" t="n">
        <v>-170300000</v>
      </c>
      <c r="E52" s="3" t="n">
        <v>-146000000</v>
      </c>
      <c r="F52" s="3" t="n"/>
    </row>
    <row r="53">
      <c r="A53" t="inlineStr">
        <is>
          <t>Gross PPE</t>
        </is>
      </c>
      <c r="B53" s="3" t="n">
        <v>724800000</v>
      </c>
      <c r="C53" s="3" t="n">
        <v>700900000</v>
      </c>
      <c r="D53" s="3" t="n">
        <v>650300000</v>
      </c>
      <c r="E53" s="3" t="n">
        <v>524600000</v>
      </c>
      <c r="F53" s="3" t="n"/>
    </row>
    <row r="54">
      <c r="A54" t="inlineStr">
        <is>
          <t>Leases</t>
        </is>
      </c>
      <c r="B54" s="3" t="n">
        <v>148100000</v>
      </c>
      <c r="C54" s="3" t="n">
        <v>138700000</v>
      </c>
      <c r="D54" s="3" t="n">
        <v>110800000</v>
      </c>
      <c r="E54" s="3" t="n">
        <v>81300000</v>
      </c>
      <c r="F54" s="3" t="n"/>
    </row>
    <row r="55">
      <c r="A55" t="inlineStr">
        <is>
          <t>Construction In Progress</t>
        </is>
      </c>
      <c r="B55" s="3" t="n">
        <v>22400000</v>
      </c>
      <c r="C55" s="3" t="n">
        <v>37900000</v>
      </c>
      <c r="D55" s="3" t="n">
        <v>40500000</v>
      </c>
      <c r="E55" s="3" t="n">
        <v>56800000</v>
      </c>
      <c r="F55" s="3" t="n"/>
    </row>
    <row r="56">
      <c r="A56" t="inlineStr">
        <is>
          <t>Other Properties</t>
        </is>
      </c>
      <c r="B56" s="3" t="n">
        <v>157200000</v>
      </c>
      <c r="C56" s="3" t="n">
        <v>161000000</v>
      </c>
      <c r="D56" s="3" t="n">
        <v>151700000</v>
      </c>
      <c r="E56" s="3" t="n">
        <v>99000000</v>
      </c>
      <c r="F56" s="3" t="n"/>
    </row>
    <row r="57">
      <c r="A57" t="inlineStr">
        <is>
          <t>Machinery Furniture Equipment</t>
        </is>
      </c>
      <c r="B57" s="3" t="n">
        <v>336900000</v>
      </c>
      <c r="C57" s="3" t="n">
        <v>305400000</v>
      </c>
      <c r="D57" s="3" t="n">
        <v>284600000</v>
      </c>
      <c r="E57" s="3" t="n">
        <v>225900000</v>
      </c>
      <c r="F57" s="3" t="n"/>
    </row>
    <row r="58">
      <c r="A58" t="inlineStr">
        <is>
          <t>Buildings And Improvements</t>
        </is>
      </c>
      <c r="B58" s="3" t="n">
        <v>54300000</v>
      </c>
      <c r="C58" s="3" t="n">
        <v>52200000</v>
      </c>
      <c r="D58" s="3" t="n">
        <v>57100000</v>
      </c>
      <c r="E58" s="3" t="n">
        <v>58600000</v>
      </c>
      <c r="F58" s="3" t="n"/>
    </row>
    <row r="59">
      <c r="A59" t="inlineStr">
        <is>
          <t>Land And Improvements</t>
        </is>
      </c>
      <c r="B59" s="3" t="n">
        <v>5900000</v>
      </c>
      <c r="C59" s="3" t="n">
        <v>5700000</v>
      </c>
      <c r="D59" s="3" t="n">
        <v>5600000</v>
      </c>
      <c r="E59" s="3" t="n">
        <v>3000000</v>
      </c>
      <c r="F59" s="3" t="n"/>
    </row>
    <row r="60">
      <c r="A60" t="inlineStr">
        <is>
          <t>Properties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/>
    </row>
    <row r="61">
      <c r="A61" t="inlineStr">
        <is>
          <t>Current Assets</t>
        </is>
      </c>
      <c r="B61" s="3" t="n">
        <v>959700000</v>
      </c>
      <c r="C61" s="3" t="n">
        <v>970100000</v>
      </c>
      <c r="D61" s="3" t="n">
        <v>893200000</v>
      </c>
      <c r="E61" s="3" t="n">
        <v>1098800000</v>
      </c>
      <c r="F61" s="3" t="n"/>
    </row>
    <row r="62">
      <c r="A62" t="inlineStr">
        <is>
          <t>Other Current Assets</t>
        </is>
      </c>
      <c r="B62" s="3" t="n">
        <v>48200000</v>
      </c>
      <c r="C62" s="3" t="n">
        <v>34100000</v>
      </c>
      <c r="D62" s="3" t="n">
        <v>30900000</v>
      </c>
      <c r="E62" s="3" t="n">
        <v>42400000</v>
      </c>
      <c r="F62" s="3" t="n"/>
    </row>
    <row r="63">
      <c r="A63" t="inlineStr">
        <is>
          <t>Prepaid Assets</t>
        </is>
      </c>
      <c r="B63" s="3" t="n"/>
      <c r="C63" s="3" t="n"/>
      <c r="D63" s="3" t="n"/>
      <c r="E63" s="3" t="n"/>
      <c r="F63" s="3" t="n">
        <v>41300000</v>
      </c>
    </row>
    <row r="64">
      <c r="A64" t="inlineStr">
        <is>
          <t>Inventory</t>
        </is>
      </c>
      <c r="B64" s="3" t="n">
        <v>390900000</v>
      </c>
      <c r="C64" s="3" t="n">
        <v>381000000</v>
      </c>
      <c r="D64" s="3" t="n">
        <v>374500000</v>
      </c>
      <c r="E64" s="3" t="n">
        <v>443900000</v>
      </c>
      <c r="F64" s="3" t="n"/>
    </row>
    <row r="65">
      <c r="A65" t="inlineStr">
        <is>
          <t>Finished Goods</t>
        </is>
      </c>
      <c r="B65" s="3" t="n">
        <v>34200000</v>
      </c>
      <c r="C65" s="3" t="n">
        <v>54800000</v>
      </c>
      <c r="D65" s="3" t="n">
        <v>69400000</v>
      </c>
      <c r="E65" s="3" t="n">
        <v>71200000</v>
      </c>
      <c r="F65" s="3" t="n"/>
    </row>
    <row r="66">
      <c r="A66" t="inlineStr">
        <is>
          <t>Work In Process</t>
        </is>
      </c>
      <c r="B66" s="3" t="n">
        <v>148400000</v>
      </c>
      <c r="C66" s="3" t="n">
        <v>130800000</v>
      </c>
      <c r="D66" s="3" t="n">
        <v>107200000</v>
      </c>
      <c r="E66" s="3" t="n">
        <v>142300000</v>
      </c>
      <c r="F66" s="3" t="n"/>
    </row>
    <row r="67">
      <c r="A67" t="inlineStr">
        <is>
          <t>Raw Materials</t>
        </is>
      </c>
      <c r="B67" s="3" t="n">
        <v>208300000</v>
      </c>
      <c r="C67" s="3" t="n">
        <v>195400000</v>
      </c>
      <c r="D67" s="3" t="n">
        <v>197900000</v>
      </c>
      <c r="E67" s="3" t="n">
        <v>230400000</v>
      </c>
      <c r="F67" s="3" t="n"/>
    </row>
    <row r="68">
      <c r="A68" t="inlineStr">
        <is>
          <t>Receivables</t>
        </is>
      </c>
      <c r="B68" s="3" t="n">
        <v>208800000</v>
      </c>
      <c r="C68" s="3" t="n">
        <v>241100000</v>
      </c>
      <c r="D68" s="3" t="n">
        <v>180800000</v>
      </c>
      <c r="E68" s="3" t="n">
        <v>253700000</v>
      </c>
      <c r="F68" s="3" t="n"/>
    </row>
    <row r="69">
      <c r="A69" t="inlineStr">
        <is>
          <t>Accounts Receivable</t>
        </is>
      </c>
      <c r="B69" s="3" t="n">
        <v>208800000</v>
      </c>
      <c r="C69" s="3" t="n">
        <v>241100000</v>
      </c>
      <c r="D69" s="3" t="n">
        <v>180800000</v>
      </c>
      <c r="E69" s="3" t="n">
        <v>253700000</v>
      </c>
      <c r="F69" s="3" t="n"/>
    </row>
    <row r="70">
      <c r="A70" t="inlineStr">
        <is>
          <t>Allowance For Doubtful Accounts Receivable</t>
        </is>
      </c>
      <c r="B70" s="3" t="n">
        <v>-900000</v>
      </c>
      <c r="C70" s="3" t="n">
        <v>-2100000</v>
      </c>
      <c r="D70" s="3" t="n">
        <v>-1000000</v>
      </c>
      <c r="E70" s="3" t="n">
        <v>-1500000</v>
      </c>
      <c r="F70" s="3" t="n"/>
    </row>
    <row r="71">
      <c r="A71" t="inlineStr">
        <is>
          <t>Gross Accounts Receivable</t>
        </is>
      </c>
      <c r="B71" s="3" t="n">
        <v>209700000</v>
      </c>
      <c r="C71" s="3" t="n">
        <v>243200000</v>
      </c>
      <c r="D71" s="3" t="n">
        <v>181800000</v>
      </c>
      <c r="E71" s="3" t="n">
        <v>255200000</v>
      </c>
      <c r="F71" s="3" t="n"/>
    </row>
    <row r="72">
      <c r="A72" t="inlineStr">
        <is>
          <t>Cash Cash Equivalents And Short Term Investments</t>
        </is>
      </c>
      <c r="B72" s="3" t="n">
        <v>311800000</v>
      </c>
      <c r="C72" s="3" t="n">
        <v>313900000</v>
      </c>
      <c r="D72" s="3" t="n">
        <v>307000000</v>
      </c>
      <c r="E72" s="3" t="n">
        <v>358800000</v>
      </c>
      <c r="F72" s="3" t="n"/>
    </row>
    <row r="73">
      <c r="A73" t="inlineStr">
        <is>
          <t>Cash And Cash Equivalents</t>
        </is>
      </c>
      <c r="B73" s="3" t="n">
        <v>311800000</v>
      </c>
      <c r="C73" s="3" t="n">
        <v>313900000</v>
      </c>
      <c r="D73" s="3" t="n">
        <v>307000000</v>
      </c>
      <c r="E73" s="3" t="n">
        <v>358800000</v>
      </c>
      <c r="F73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Free Cash Flow</t>
        </is>
      </c>
      <c r="B2" s="3" t="n">
        <v>15300000</v>
      </c>
      <c r="C2" s="3" t="n">
        <v>1500000</v>
      </c>
      <c r="D2" s="3" t="n">
        <v>60100000</v>
      </c>
      <c r="E2" s="3" t="n">
        <v>-52900000</v>
      </c>
      <c r="F2" s="3" t="n"/>
    </row>
    <row r="3">
      <c r="A3" t="inlineStr">
        <is>
          <t>Repurchase Of Capital Stock</t>
        </is>
      </c>
      <c r="B3" s="3" t="n">
        <v>-3400000</v>
      </c>
      <c r="C3" s="3" t="n">
        <v>0</v>
      </c>
      <c r="D3" s="3" t="n">
        <v>-29400000</v>
      </c>
      <c r="E3" s="3" t="n">
        <v>-12100000</v>
      </c>
      <c r="F3" s="3" t="n"/>
    </row>
    <row r="4">
      <c r="A4" t="inlineStr">
        <is>
          <t>Repayment Of Debt</t>
        </is>
      </c>
      <c r="B4" s="3" t="n">
        <v>-77500000</v>
      </c>
      <c r="C4" s="3" t="n">
        <v>-54400000</v>
      </c>
      <c r="D4" s="3" t="n">
        <v>-38600000</v>
      </c>
      <c r="E4" s="3" t="n">
        <v>-39700000</v>
      </c>
      <c r="F4" s="3" t="n"/>
    </row>
    <row r="5">
      <c r="A5" t="inlineStr">
        <is>
          <t>Issuance Of Debt</t>
        </is>
      </c>
      <c r="B5" s="3" t="n">
        <v>59300000</v>
      </c>
      <c r="C5" s="3" t="n">
        <v>67700000</v>
      </c>
      <c r="D5" s="3" t="n">
        <v>0</v>
      </c>
      <c r="E5" s="3" t="n">
        <v>0</v>
      </c>
      <c r="F5" s="3" t="n"/>
    </row>
    <row r="6">
      <c r="A6" t="inlineStr">
        <is>
          <t>Issuance Of Capital Stock</t>
        </is>
      </c>
      <c r="B6" s="3" t="n">
        <v>2200000</v>
      </c>
      <c r="C6" s="3" t="n">
        <v>2000000</v>
      </c>
      <c r="D6" s="3" t="n">
        <v>800000</v>
      </c>
      <c r="E6" s="3" t="n">
        <v>700000</v>
      </c>
      <c r="F6" s="3" t="n"/>
    </row>
    <row r="7">
      <c r="A7" t="inlineStr">
        <is>
          <t>Capital Expenditure</t>
        </is>
      </c>
      <c r="B7" s="3" t="n">
        <v>-50300000</v>
      </c>
      <c r="C7" s="3" t="n">
        <v>-63500000</v>
      </c>
      <c r="D7" s="3" t="n">
        <v>-75800000</v>
      </c>
      <c r="E7" s="3" t="n">
        <v>-100100000</v>
      </c>
      <c r="F7" s="3" t="n"/>
    </row>
    <row r="8">
      <c r="A8" t="inlineStr">
        <is>
          <t>Interest Paid Supplemental Data</t>
        </is>
      </c>
      <c r="B8" s="3" t="n">
        <v>39700000</v>
      </c>
      <c r="C8" s="3" t="n">
        <v>40400000</v>
      </c>
      <c r="D8" s="3" t="n">
        <v>44800000</v>
      </c>
      <c r="E8" s="3" t="n">
        <v>31900000</v>
      </c>
      <c r="F8" s="3" t="n"/>
    </row>
    <row r="9">
      <c r="A9" t="inlineStr">
        <is>
          <t>Income Tax Paid Supplemental Data</t>
        </is>
      </c>
      <c r="B9" s="3" t="n">
        <v>42000000</v>
      </c>
      <c r="C9" s="3" t="n">
        <v>34300000</v>
      </c>
      <c r="D9" s="3" t="n">
        <v>31200000</v>
      </c>
      <c r="E9" s="3" t="n">
        <v>36800000</v>
      </c>
      <c r="F9" s="3" t="n"/>
    </row>
    <row r="10">
      <c r="A10" t="inlineStr">
        <is>
          <t>End Cash Position</t>
        </is>
      </c>
      <c r="B10" s="3" t="n">
        <v>311800000</v>
      </c>
      <c r="C10" s="3" t="n">
        <v>313900000</v>
      </c>
      <c r="D10" s="3" t="n">
        <v>307000000</v>
      </c>
      <c r="E10" s="3" t="n">
        <v>358800000</v>
      </c>
      <c r="F10" s="3" t="n"/>
    </row>
    <row r="11">
      <c r="A11" t="inlineStr">
        <is>
          <t>Beginning Cash Position</t>
        </is>
      </c>
      <c r="B11" s="3" t="n">
        <v>313900000</v>
      </c>
      <c r="C11" s="3" t="n">
        <v>307000000</v>
      </c>
      <c r="D11" s="3" t="n">
        <v>358800000</v>
      </c>
      <c r="E11" s="3" t="n">
        <v>466500000</v>
      </c>
      <c r="F11" s="3" t="n"/>
    </row>
    <row r="12">
      <c r="A12" t="inlineStr">
        <is>
          <t>Effect Of Exchange Rate Changes</t>
        </is>
      </c>
      <c r="B12" s="3" t="n">
        <v>500000</v>
      </c>
      <c r="C12" s="3" t="n">
        <v>-4400000</v>
      </c>
      <c r="D12" s="3" t="n">
        <v>1900000</v>
      </c>
      <c r="E12" s="3" t="n">
        <v>-2700000</v>
      </c>
      <c r="F12" s="3" t="n"/>
    </row>
    <row r="13">
      <c r="A13" t="inlineStr">
        <is>
          <t>Changes In Cash</t>
        </is>
      </c>
      <c r="B13" s="3" t="n">
        <v>-2600000</v>
      </c>
      <c r="C13" s="3" t="n">
        <v>11300000</v>
      </c>
      <c r="D13" s="3" t="n">
        <v>-53700000</v>
      </c>
      <c r="E13" s="3" t="n">
        <v>-105000000</v>
      </c>
      <c r="F13" s="3" t="n"/>
    </row>
    <row r="14">
      <c r="A14" t="inlineStr">
        <is>
          <t>Financing Cash Flow</t>
        </is>
      </c>
      <c r="B14" s="3" t="n">
        <v>-21200000</v>
      </c>
      <c r="C14" s="3" t="n">
        <v>9800000</v>
      </c>
      <c r="D14" s="3" t="n">
        <v>-69900000</v>
      </c>
      <c r="E14" s="3" t="n">
        <v>-56000000</v>
      </c>
      <c r="F14" s="3" t="n"/>
    </row>
    <row r="15">
      <c r="A15" t="inlineStr">
        <is>
          <t>Cash Flow From Continuing Financing Activities</t>
        </is>
      </c>
      <c r="B15" s="3" t="n">
        <v>-21200000</v>
      </c>
      <c r="C15" s="3" t="n">
        <v>9800000</v>
      </c>
      <c r="D15" s="3" t="n">
        <v>-69900000</v>
      </c>
      <c r="E15" s="3" t="n">
        <v>-56000000</v>
      </c>
      <c r="F15" s="3" t="n"/>
    </row>
    <row r="16">
      <c r="A16" t="inlineStr">
        <is>
          <t>Net Other Financing Charges</t>
        </is>
      </c>
      <c r="B16" s="3" t="n">
        <v>-1700000</v>
      </c>
      <c r="C16" s="3" t="n">
        <v>-5000000</v>
      </c>
      <c r="D16" s="3" t="n">
        <v>-2500000</v>
      </c>
      <c r="E16" s="3" t="n">
        <v>-4600000</v>
      </c>
      <c r="F16" s="3" t="n"/>
    </row>
    <row r="17">
      <c r="A17" t="inlineStr">
        <is>
          <t>Cash Dividends Paid</t>
        </is>
      </c>
      <c r="B17" s="3" t="n">
        <v>-100000</v>
      </c>
      <c r="C17" s="3" t="n">
        <v>-500000</v>
      </c>
      <c r="D17" s="3" t="n">
        <v>-200000</v>
      </c>
      <c r="E17" s="3" t="n">
        <v>-300000</v>
      </c>
      <c r="F17" s="3" t="n"/>
    </row>
    <row r="18">
      <c r="A18" t="inlineStr">
        <is>
          <t>Common Stock Dividend Paid</t>
        </is>
      </c>
      <c r="B18" s="3" t="n">
        <v>-100000</v>
      </c>
      <c r="C18" s="3" t="n">
        <v>-500000</v>
      </c>
      <c r="D18" s="3" t="n">
        <v>-200000</v>
      </c>
      <c r="E18" s="3" t="n">
        <v>-300000</v>
      </c>
      <c r="F18" s="3" t="n"/>
    </row>
    <row r="19">
      <c r="A19" t="inlineStr">
        <is>
          <t>Net Common Stock Issuance</t>
        </is>
      </c>
      <c r="B19" s="3" t="n">
        <v>-1200000</v>
      </c>
      <c r="C19" s="3" t="n">
        <v>2000000</v>
      </c>
      <c r="D19" s="3" t="n">
        <v>-28600000</v>
      </c>
      <c r="E19" s="3" t="n">
        <v>-11400000</v>
      </c>
      <c r="F19" s="3" t="n"/>
    </row>
    <row r="20">
      <c r="A20" t="inlineStr">
        <is>
          <t>Common Stock Payments</t>
        </is>
      </c>
      <c r="B20" s="3" t="n">
        <v>-3400000</v>
      </c>
      <c r="C20" s="3" t="n">
        <v>0</v>
      </c>
      <c r="D20" s="3" t="n">
        <v>-29400000</v>
      </c>
      <c r="E20" s="3" t="n">
        <v>-12100000</v>
      </c>
      <c r="F20" s="3" t="n"/>
    </row>
    <row r="21">
      <c r="A21" t="inlineStr">
        <is>
          <t>Common Stock Issuance</t>
        </is>
      </c>
      <c r="B21" s="3" t="n">
        <v>2200000</v>
      </c>
      <c r="C21" s="3" t="n">
        <v>2000000</v>
      </c>
      <c r="D21" s="3" t="n">
        <v>800000</v>
      </c>
      <c r="E21" s="3" t="n">
        <v>700000</v>
      </c>
      <c r="F21" s="3" t="n"/>
    </row>
    <row r="22">
      <c r="A22" t="inlineStr">
        <is>
          <t>Net Issuance Payments Of Debt</t>
        </is>
      </c>
      <c r="B22" s="3" t="n">
        <v>-18200000</v>
      </c>
      <c r="C22" s="3" t="n">
        <v>13300000</v>
      </c>
      <c r="D22" s="3" t="n">
        <v>-38600000</v>
      </c>
      <c r="E22" s="3" t="n">
        <v>-39700000</v>
      </c>
      <c r="F22" s="3" t="n"/>
    </row>
    <row r="23">
      <c r="A23" t="inlineStr">
        <is>
          <t>Net Long Term Debt Issuance</t>
        </is>
      </c>
      <c r="B23" s="3" t="n">
        <v>-18200000</v>
      </c>
      <c r="C23" s="3" t="n">
        <v>13300000</v>
      </c>
      <c r="D23" s="3" t="n">
        <v>-38600000</v>
      </c>
      <c r="E23" s="3" t="n">
        <v>-39700000</v>
      </c>
      <c r="F23" s="3" t="n"/>
    </row>
    <row r="24">
      <c r="A24" t="inlineStr">
        <is>
          <t>Long Term Debt Payments</t>
        </is>
      </c>
      <c r="B24" s="3" t="n">
        <v>-77500000</v>
      </c>
      <c r="C24" s="3" t="n">
        <v>-54400000</v>
      </c>
      <c r="D24" s="3" t="n">
        <v>-38600000</v>
      </c>
      <c r="E24" s="3" t="n">
        <v>-39700000</v>
      </c>
      <c r="F24" s="3" t="n"/>
    </row>
    <row r="25">
      <c r="A25" t="inlineStr">
        <is>
          <t>Long Term Debt Issuance</t>
        </is>
      </c>
      <c r="B25" s="3" t="n">
        <v>59300000</v>
      </c>
      <c r="C25" s="3" t="n">
        <v>67700000</v>
      </c>
      <c r="D25" s="3" t="n">
        <v>0</v>
      </c>
      <c r="E25" s="3" t="n">
        <v>0</v>
      </c>
      <c r="F25" s="3" t="n"/>
    </row>
    <row r="26">
      <c r="A26" t="inlineStr">
        <is>
          <t>Investing Cash Flow</t>
        </is>
      </c>
      <c r="B26" s="3" t="n">
        <v>-47000000</v>
      </c>
      <c r="C26" s="3" t="n">
        <v>-63500000</v>
      </c>
      <c r="D26" s="3" t="n">
        <v>-119700000</v>
      </c>
      <c r="E26" s="3" t="n">
        <v>-96200000</v>
      </c>
      <c r="F26" s="3" t="n"/>
    </row>
    <row r="27">
      <c r="A27" t="inlineStr">
        <is>
          <t>Cash Flow From Continuing Investing Activities</t>
        </is>
      </c>
      <c r="B27" s="3" t="n">
        <v>-47000000</v>
      </c>
      <c r="C27" s="3" t="n">
        <v>-63500000</v>
      </c>
      <c r="D27" s="3" t="n">
        <v>-119700000</v>
      </c>
      <c r="E27" s="3" t="n">
        <v>-96200000</v>
      </c>
      <c r="F27" s="3" t="n"/>
    </row>
    <row r="28">
      <c r="A28" t="inlineStr">
        <is>
          <t>Net Other Investing Changes</t>
        </is>
      </c>
      <c r="B28" s="3" t="n">
        <v>3300000</v>
      </c>
      <c r="C28" s="3" t="n"/>
      <c r="D28" s="3" t="n">
        <v>2200000</v>
      </c>
      <c r="E28" s="3" t="n"/>
      <c r="F28" s="3" t="n">
        <v>-10400000</v>
      </c>
    </row>
    <row r="29">
      <c r="A29" t="inlineStr">
        <is>
          <t>Net Investment Purchase And Sale</t>
        </is>
      </c>
      <c r="B29" s="3" t="n"/>
      <c r="C29" s="3" t="n"/>
      <c r="D29" s="3" t="n">
        <v>0</v>
      </c>
      <c r="E29" s="3" t="n">
        <v>0</v>
      </c>
      <c r="F29" s="3" t="n">
        <v>-10400000</v>
      </c>
    </row>
    <row r="30">
      <c r="A30" t="inlineStr">
        <is>
          <t>Purchase Of Investment</t>
        </is>
      </c>
      <c r="B30" s="3" t="n"/>
      <c r="C30" s="3" t="n"/>
      <c r="D30" s="3" t="n">
        <v>0</v>
      </c>
      <c r="E30" s="3" t="n">
        <v>0</v>
      </c>
      <c r="F30" s="3" t="n">
        <v>-10400000</v>
      </c>
    </row>
    <row r="31">
      <c r="A31" t="inlineStr">
        <is>
          <t>Net Business Purchase And Sale</t>
        </is>
      </c>
      <c r="B31" s="3" t="n">
        <v>0</v>
      </c>
      <c r="C31" s="3" t="n">
        <v>0</v>
      </c>
      <c r="D31" s="3" t="n">
        <v>-46100000</v>
      </c>
      <c r="E31" s="3" t="n">
        <v>3400000</v>
      </c>
      <c r="F31" s="3" t="n"/>
    </row>
    <row r="32">
      <c r="A32" t="inlineStr">
        <is>
          <t>Sale Of Business</t>
        </is>
      </c>
      <c r="B32" s="3" t="n"/>
      <c r="C32" s="3" t="n">
        <v>0</v>
      </c>
      <c r="D32" s="3" t="n">
        <v>0</v>
      </c>
      <c r="E32" s="3" t="n">
        <v>3400000</v>
      </c>
      <c r="F32" s="3" t="n">
        <v>0</v>
      </c>
    </row>
    <row r="33">
      <c r="A33" t="inlineStr">
        <is>
          <t>Purchase Of Business</t>
        </is>
      </c>
      <c r="B33" s="3" t="n">
        <v>0</v>
      </c>
      <c r="C33" s="3" t="n">
        <v>0</v>
      </c>
      <c r="D33" s="3" t="n">
        <v>-46100000</v>
      </c>
      <c r="E33" s="3" t="n">
        <v>0</v>
      </c>
      <c r="F33" s="3" t="n"/>
    </row>
    <row r="34">
      <c r="A34" t="inlineStr">
        <is>
          <t>Net PPE Purchase And Sale</t>
        </is>
      </c>
      <c r="B34" s="3" t="n">
        <v>-50300000</v>
      </c>
      <c r="C34" s="3" t="n">
        <v>-63500000</v>
      </c>
      <c r="D34" s="3" t="n">
        <v>-75800000</v>
      </c>
      <c r="E34" s="3" t="n">
        <v>-99600000</v>
      </c>
      <c r="F34" s="3" t="n"/>
    </row>
    <row r="35">
      <c r="A35" t="inlineStr">
        <is>
          <t>Sale Of PPE</t>
        </is>
      </c>
      <c r="B35" s="3" t="n"/>
      <c r="C35" s="3" t="n">
        <v>0</v>
      </c>
      <c r="D35" s="3" t="n">
        <v>2200000</v>
      </c>
      <c r="E35" s="3" t="n">
        <v>500000</v>
      </c>
      <c r="F35" s="3" t="n">
        <v>7700000</v>
      </c>
    </row>
    <row r="36">
      <c r="A36" t="inlineStr">
        <is>
          <t>Purchase Of PPE</t>
        </is>
      </c>
      <c r="B36" s="3" t="n">
        <v>-50300000</v>
      </c>
      <c r="C36" s="3" t="n">
        <v>-63500000</v>
      </c>
      <c r="D36" s="3" t="n">
        <v>-75800000</v>
      </c>
      <c r="E36" s="3" t="n">
        <v>-100100000</v>
      </c>
      <c r="F36" s="3" t="n"/>
    </row>
    <row r="37">
      <c r="A37" t="inlineStr">
        <is>
          <t>Operating Cash Flow</t>
        </is>
      </c>
      <c r="B37" s="3" t="n">
        <v>65600000</v>
      </c>
      <c r="C37" s="3" t="n">
        <v>65000000</v>
      </c>
      <c r="D37" s="3" t="n">
        <v>135900000</v>
      </c>
      <c r="E37" s="3" t="n">
        <v>47200000</v>
      </c>
      <c r="F37" s="3" t="n"/>
    </row>
    <row r="38">
      <c r="A38" t="inlineStr">
        <is>
          <t>Cash Flow From Continuing Operating Activities</t>
        </is>
      </c>
      <c r="B38" s="3" t="n">
        <v>65600000</v>
      </c>
      <c r="C38" s="3" t="n">
        <v>65000000</v>
      </c>
      <c r="D38" s="3" t="n">
        <v>135900000</v>
      </c>
      <c r="E38" s="3" t="n">
        <v>47200000</v>
      </c>
      <c r="F38" s="3" t="n"/>
    </row>
    <row r="39">
      <c r="A39" t="inlineStr">
        <is>
          <t>Change In Working Capital</t>
        </is>
      </c>
      <c r="B39" s="3" t="n">
        <v>-9700000</v>
      </c>
      <c r="C39" s="3" t="n">
        <v>-35000000</v>
      </c>
      <c r="D39" s="3" t="n">
        <v>92000000</v>
      </c>
      <c r="E39" s="3" t="n">
        <v>-172600000</v>
      </c>
      <c r="F39" s="3" t="n"/>
    </row>
    <row r="40">
      <c r="A40" t="inlineStr">
        <is>
          <t>Change In Other Working Capital</t>
        </is>
      </c>
      <c r="B40" s="3" t="n">
        <v>12900000</v>
      </c>
      <c r="C40" s="3" t="n">
        <v>2600000</v>
      </c>
      <c r="D40" s="3" t="n">
        <v>400000</v>
      </c>
      <c r="E40" s="3" t="n">
        <v>-2200000</v>
      </c>
      <c r="F40" s="3" t="n"/>
    </row>
    <row r="41">
      <c r="A41" t="inlineStr">
        <is>
          <t>Change In Other Current Liabilities</t>
        </is>
      </c>
      <c r="B41" s="3" t="n">
        <v>-4700000</v>
      </c>
      <c r="C41" s="3" t="n">
        <v>1300000</v>
      </c>
      <c r="D41" s="3" t="n">
        <v>-7900000</v>
      </c>
      <c r="E41" s="3" t="n">
        <v>-1000000</v>
      </c>
      <c r="F41" s="3" t="n"/>
    </row>
    <row r="42">
      <c r="A42" t="inlineStr">
        <is>
          <t>Change In Other Current Assets</t>
        </is>
      </c>
      <c r="B42" s="3" t="n">
        <v>-1900000</v>
      </c>
      <c r="C42" s="3" t="n">
        <v>1300000</v>
      </c>
      <c r="D42" s="3" t="n">
        <v>0</v>
      </c>
      <c r="E42" s="3" t="n">
        <v>-3400000</v>
      </c>
      <c r="F42" s="3" t="n"/>
    </row>
    <row r="43">
      <c r="A43" t="inlineStr">
        <is>
          <t>Change In Payables And Accrued Expense</t>
        </is>
      </c>
      <c r="B43" s="3" t="n">
        <v>-30100000</v>
      </c>
      <c r="C43" s="3" t="n">
        <v>29800000</v>
      </c>
      <c r="D43" s="3" t="n">
        <v>-72300000</v>
      </c>
      <c r="E43" s="3" t="n">
        <v>-61400000</v>
      </c>
      <c r="F43" s="3" t="n"/>
    </row>
    <row r="44">
      <c r="A44" t="inlineStr">
        <is>
          <t>Change In Accrued Expense</t>
        </is>
      </c>
      <c r="B44" s="3" t="n">
        <v>1000000</v>
      </c>
      <c r="C44" s="3" t="n">
        <v>2400000</v>
      </c>
      <c r="D44" s="3" t="n">
        <v>-5600000</v>
      </c>
      <c r="E44" s="3" t="n">
        <v>7100000</v>
      </c>
      <c r="F44" s="3" t="n"/>
    </row>
    <row r="45">
      <c r="A45" t="inlineStr">
        <is>
          <t>Change In Payable</t>
        </is>
      </c>
      <c r="B45" s="3" t="n">
        <v>-31100000</v>
      </c>
      <c r="C45" s="3" t="n">
        <v>27400000</v>
      </c>
      <c r="D45" s="3" t="n">
        <v>-66700000</v>
      </c>
      <c r="E45" s="3" t="n">
        <v>-68500000</v>
      </c>
      <c r="F45" s="3" t="n"/>
    </row>
    <row r="46">
      <c r="A46" t="inlineStr">
        <is>
          <t>Change In Account Payable</t>
        </is>
      </c>
      <c r="B46" s="3" t="n">
        <v>-17600000</v>
      </c>
      <c r="C46" s="3" t="n">
        <v>26400000</v>
      </c>
      <c r="D46" s="3" t="n">
        <v>-61500000</v>
      </c>
      <c r="E46" s="3" t="n">
        <v>-68400000</v>
      </c>
      <c r="F46" s="3" t="n"/>
    </row>
    <row r="47">
      <c r="A47" t="inlineStr">
        <is>
          <t>Change In Tax Payable</t>
        </is>
      </c>
      <c r="B47" s="3" t="n">
        <v>-13500000</v>
      </c>
      <c r="C47" s="3" t="n">
        <v>1000000</v>
      </c>
      <c r="D47" s="3" t="n">
        <v>-5200000</v>
      </c>
      <c r="E47" s="3" t="n">
        <v>-100000</v>
      </c>
      <c r="F47" s="3" t="n"/>
    </row>
    <row r="48">
      <c r="A48" t="inlineStr">
        <is>
          <t>Change In Income Tax Payable</t>
        </is>
      </c>
      <c r="B48" s="3" t="n">
        <v>-13500000</v>
      </c>
      <c r="C48" s="3" t="n">
        <v>1000000</v>
      </c>
      <c r="D48" s="3" t="n">
        <v>-5200000</v>
      </c>
      <c r="E48" s="3" t="n">
        <v>-100000</v>
      </c>
      <c r="F48" s="3" t="n"/>
    </row>
    <row r="49">
      <c r="A49" t="inlineStr">
        <is>
          <t>Change In Prepaid Assets</t>
        </is>
      </c>
      <c r="B49" s="3" t="n">
        <v>-8300000</v>
      </c>
      <c r="C49" s="3" t="n">
        <v>-3200000</v>
      </c>
      <c r="D49" s="3" t="n">
        <v>12500000</v>
      </c>
      <c r="E49" s="3" t="n">
        <v>-4500000</v>
      </c>
      <c r="F49" s="3" t="n"/>
    </row>
    <row r="50">
      <c r="A50" t="inlineStr">
        <is>
          <t>Change In Inventory</t>
        </is>
      </c>
      <c r="B50" s="3" t="n">
        <v>-9900000</v>
      </c>
      <c r="C50" s="3" t="n">
        <v>-6500000</v>
      </c>
      <c r="D50" s="3" t="n">
        <v>80800000</v>
      </c>
      <c r="E50" s="3" t="n">
        <v>-84400000</v>
      </c>
      <c r="F50" s="3" t="n"/>
    </row>
    <row r="51">
      <c r="A51" t="inlineStr">
        <is>
          <t>Change In Receivables</t>
        </is>
      </c>
      <c r="B51" s="3" t="n">
        <v>32300000</v>
      </c>
      <c r="C51" s="3" t="n">
        <v>-60300000</v>
      </c>
      <c r="D51" s="3" t="n">
        <v>78500000</v>
      </c>
      <c r="E51" s="3" t="n">
        <v>-15700000</v>
      </c>
      <c r="F51" s="3" t="n"/>
    </row>
    <row r="52">
      <c r="A52" t="inlineStr">
        <is>
          <t>Changes In Account Receivables</t>
        </is>
      </c>
      <c r="B52" s="3" t="n">
        <v>32300000</v>
      </c>
      <c r="C52" s="3" t="n">
        <v>-60300000</v>
      </c>
      <c r="D52" s="3" t="n">
        <v>78500000</v>
      </c>
      <c r="E52" s="3" t="n">
        <v>-15700000</v>
      </c>
      <c r="F52" s="3" t="n"/>
    </row>
    <row r="53">
      <c r="A53" t="inlineStr">
        <is>
          <t>Other Non Cash Items</t>
        </is>
      </c>
      <c r="B53" s="3" t="n">
        <v>2700000</v>
      </c>
      <c r="C53" s="3" t="n">
        <v>3000000</v>
      </c>
      <c r="D53" s="3" t="n">
        <v>3900000</v>
      </c>
      <c r="E53" s="3" t="n">
        <v>3900000</v>
      </c>
      <c r="F53" s="3" t="n"/>
    </row>
    <row r="54">
      <c r="A54" t="inlineStr">
        <is>
          <t>Stock Based Compensation</t>
        </is>
      </c>
      <c r="B54" s="3" t="n">
        <v>19200000</v>
      </c>
      <c r="C54" s="3" t="n">
        <v>17400000</v>
      </c>
      <c r="D54" s="3" t="n">
        <v>12100000</v>
      </c>
      <c r="E54" s="3" t="n">
        <v>19100000</v>
      </c>
      <c r="F54" s="3" t="n"/>
    </row>
    <row r="55">
      <c r="A55" t="inlineStr">
        <is>
          <t>Unrealized Gain Loss On Investment Securities</t>
        </is>
      </c>
      <c r="B55" s="3" t="n">
        <v>-100000</v>
      </c>
      <c r="C55" s="3" t="n">
        <v>-29200000</v>
      </c>
      <c r="D55" s="3" t="n">
        <v>1700000</v>
      </c>
      <c r="E55" s="3" t="n">
        <v>1000000</v>
      </c>
      <c r="F55" s="3" t="n"/>
    </row>
    <row r="56">
      <c r="A56" t="inlineStr">
        <is>
          <t>Asset Impairment Charge</t>
        </is>
      </c>
      <c r="B56" s="3" t="n">
        <v>151100000</v>
      </c>
      <c r="C56" s="3" t="n">
        <v>0</v>
      </c>
      <c r="D56" s="3" t="n">
        <v>0</v>
      </c>
      <c r="E56" s="3" t="n"/>
      <c r="F56" s="3" t="n"/>
    </row>
    <row r="57">
      <c r="A57" t="inlineStr">
        <is>
          <t>Deferred Tax</t>
        </is>
      </c>
      <c r="B57" s="3" t="n">
        <v>-2700000</v>
      </c>
      <c r="C57" s="3" t="n">
        <v>-3000000</v>
      </c>
      <c r="D57" s="3" t="n">
        <v>-12400000</v>
      </c>
      <c r="E57" s="3" t="n">
        <v>-200000</v>
      </c>
      <c r="F57" s="3" t="n"/>
    </row>
    <row r="58">
      <c r="A58" t="inlineStr">
        <is>
          <t>Deferred Income Tax</t>
        </is>
      </c>
      <c r="B58" s="3" t="n">
        <v>-2700000</v>
      </c>
      <c r="C58" s="3" t="n">
        <v>-3000000</v>
      </c>
      <c r="D58" s="3" t="n">
        <v>-12400000</v>
      </c>
      <c r="E58" s="3" t="n">
        <v>-200000</v>
      </c>
      <c r="F58" s="3" t="n"/>
    </row>
    <row r="59">
      <c r="A59" t="inlineStr">
        <is>
          <t>Depreciation Amortization Depletion</t>
        </is>
      </c>
      <c r="B59" s="3" t="n">
        <v>76000000</v>
      </c>
      <c r="C59" s="3" t="n">
        <v>76100000</v>
      </c>
      <c r="D59" s="3" t="n">
        <v>61700000</v>
      </c>
      <c r="E59" s="3" t="n">
        <v>68400000</v>
      </c>
      <c r="F59" s="3" t="n"/>
    </row>
    <row r="60">
      <c r="A60" t="inlineStr">
        <is>
          <t>Depreciation And Amortization</t>
        </is>
      </c>
      <c r="B60" s="3" t="n">
        <v>76000000</v>
      </c>
      <c r="C60" s="3" t="n">
        <v>76100000</v>
      </c>
      <c r="D60" s="3" t="n">
        <v>61700000</v>
      </c>
      <c r="E60" s="3" t="n">
        <v>68400000</v>
      </c>
      <c r="F60" s="3" t="n"/>
    </row>
    <row r="61">
      <c r="A61" t="inlineStr">
        <is>
          <t>Amortization Cash Flow</t>
        </is>
      </c>
      <c r="B61" s="3" t="n">
        <v>28100000</v>
      </c>
      <c r="C61" s="3" t="n">
        <v>30400000</v>
      </c>
      <c r="D61" s="3" t="n">
        <v>24100000</v>
      </c>
      <c r="E61" s="3" t="n">
        <v>30000000</v>
      </c>
      <c r="F61" s="3" t="n"/>
    </row>
    <row r="62">
      <c r="A62" t="inlineStr">
        <is>
          <t>Amortization Of Intangibles</t>
        </is>
      </c>
      <c r="B62" s="3" t="n">
        <v>28100000</v>
      </c>
      <c r="C62" s="3" t="n">
        <v>30400000</v>
      </c>
      <c r="D62" s="3" t="n">
        <v>24100000</v>
      </c>
      <c r="E62" s="3" t="n">
        <v>30000000</v>
      </c>
      <c r="F62" s="3" t="n"/>
    </row>
    <row r="63">
      <c r="A63" t="inlineStr">
        <is>
          <t>Depreciation</t>
        </is>
      </c>
      <c r="B63" s="3" t="n">
        <v>47900000</v>
      </c>
      <c r="C63" s="3" t="n">
        <v>45700000</v>
      </c>
      <c r="D63" s="3" t="n">
        <v>37600000</v>
      </c>
      <c r="E63" s="3" t="n">
        <v>38400000</v>
      </c>
      <c r="F63" s="3" t="n"/>
    </row>
    <row r="64">
      <c r="A64" t="inlineStr">
        <is>
          <t>Operating Gains Losses</t>
        </is>
      </c>
      <c r="B64" s="3" t="n">
        <v>700000</v>
      </c>
      <c r="C64" s="3" t="n">
        <v>1200000</v>
      </c>
      <c r="D64" s="3" t="n">
        <v>-900000</v>
      </c>
      <c r="E64" s="3" t="n">
        <v>77200000</v>
      </c>
      <c r="F64" s="3" t="n"/>
    </row>
    <row r="65">
      <c r="A65" t="inlineStr">
        <is>
          <t>Gain Loss On Sale Of PPE</t>
        </is>
      </c>
      <c r="B65" s="3" t="n">
        <v>700000</v>
      </c>
      <c r="C65" s="3" t="n">
        <v>1200000</v>
      </c>
      <c r="D65" s="3" t="n">
        <v>-900000</v>
      </c>
      <c r="E65" s="3" t="n">
        <v>-200000</v>
      </c>
      <c r="F65" s="3" t="n"/>
    </row>
    <row r="66">
      <c r="A66" t="inlineStr">
        <is>
          <t>Gain Loss On Sale Of Business</t>
        </is>
      </c>
      <c r="B66" s="3" t="n"/>
      <c r="C66" s="3" t="n">
        <v>0</v>
      </c>
      <c r="D66" s="3" t="n">
        <v>0</v>
      </c>
      <c r="E66" s="3" t="n">
        <v>77400000</v>
      </c>
      <c r="F66" s="3" t="n">
        <v>0</v>
      </c>
    </row>
    <row r="67">
      <c r="A67" t="inlineStr">
        <is>
          <t>Net Income From Continuing Operations</t>
        </is>
      </c>
      <c r="B67" s="3" t="n">
        <v>-171600000</v>
      </c>
      <c r="C67" s="3" t="n">
        <v>34500000</v>
      </c>
      <c r="D67" s="3" t="n">
        <v>-22200000</v>
      </c>
      <c r="E67" s="3" t="n">
        <v>50400000</v>
      </c>
      <c r="F67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  <c r="G1" s="1" t="inlineStr">
        <is>
          <t>2024-12-31</t>
        </is>
      </c>
      <c r="H1" s="1" t="inlineStr">
        <is>
          <t>2024-09-30</t>
        </is>
      </c>
    </row>
    <row r="2">
      <c r="A2" t="inlineStr">
        <is>
          <t>Free Cash Flow</t>
        </is>
      </c>
      <c r="B2" s="3" t="n">
        <v>-42900000</v>
      </c>
      <c r="C2" s="3" t="n">
        <v>-2000000</v>
      </c>
      <c r="D2" s="3" t="n">
        <v>-10900000</v>
      </c>
      <c r="E2" s="3" t="n">
        <v>12400000</v>
      </c>
      <c r="F2" s="3" t="n">
        <v>15800000</v>
      </c>
      <c r="G2" s="3" t="n"/>
      <c r="H2" s="3" t="n"/>
    </row>
    <row r="3">
      <c r="A3" t="inlineStr">
        <is>
          <t>Repurchase Of Capital Stock</t>
        </is>
      </c>
      <c r="B3" s="3" t="n">
        <v>-40000000</v>
      </c>
      <c r="C3" s="3" t="n">
        <v>0</v>
      </c>
      <c r="D3" s="3" t="n">
        <v>0</v>
      </c>
      <c r="E3" s="3" t="n">
        <v>-3400000</v>
      </c>
      <c r="F3" s="3" t="n">
        <v>0</v>
      </c>
      <c r="G3" s="3" t="n"/>
      <c r="H3" s="3" t="n"/>
    </row>
    <row r="4">
      <c r="A4" t="inlineStr">
        <is>
          <t>Repayment Of Debt</t>
        </is>
      </c>
      <c r="B4" s="3" t="n">
        <v>-462000000</v>
      </c>
      <c r="C4" s="3" t="n">
        <v>0</v>
      </c>
      <c r="D4" s="3" t="n">
        <v>-62400000</v>
      </c>
      <c r="E4" s="3" t="n">
        <v>-3100000</v>
      </c>
      <c r="F4" s="3" t="n">
        <v>-12000000</v>
      </c>
      <c r="G4" s="3" t="n"/>
      <c r="H4" s="3" t="n"/>
    </row>
    <row r="5">
      <c r="A5" t="inlineStr">
        <is>
          <t>Issuance Of Debt</t>
        </is>
      </c>
      <c r="B5" s="3" t="n">
        <v>600000000</v>
      </c>
      <c r="C5" s="3" t="n">
        <v>0</v>
      </c>
      <c r="D5" s="3" t="n">
        <v>59300000</v>
      </c>
      <c r="E5" s="3" t="n">
        <v>0</v>
      </c>
      <c r="F5" s="3" t="n">
        <v>0</v>
      </c>
      <c r="G5" s="3" t="n"/>
      <c r="H5" s="3" t="n"/>
    </row>
    <row r="6">
      <c r="A6" t="inlineStr">
        <is>
          <t>Issuance Of Capital Stock</t>
        </is>
      </c>
      <c r="B6" s="3" t="n"/>
      <c r="C6" s="3" t="n">
        <v>1100000</v>
      </c>
      <c r="D6" s="3" t="n">
        <v>0</v>
      </c>
      <c r="E6" s="3" t="n"/>
      <c r="F6" s="3" t="n"/>
      <c r="G6" s="3" t="n">
        <v>1100000</v>
      </c>
      <c r="H6" s="3" t="n">
        <v>0</v>
      </c>
    </row>
    <row r="7">
      <c r="A7" t="inlineStr">
        <is>
          <t>Capital Expenditure</t>
        </is>
      </c>
      <c r="B7" s="3" t="n">
        <v>-9600000</v>
      </c>
      <c r="C7" s="3" t="n">
        <v>-10100000</v>
      </c>
      <c r="D7" s="3" t="n">
        <v>-11000000</v>
      </c>
      <c r="E7" s="3" t="n">
        <v>-16800000</v>
      </c>
      <c r="F7" s="3" t="n">
        <v>-12400000</v>
      </c>
      <c r="G7" s="3" t="n"/>
      <c r="H7" s="3" t="n"/>
    </row>
    <row r="8">
      <c r="A8" t="inlineStr">
        <is>
          <t>Interest Paid Supplemental Data</t>
        </is>
      </c>
      <c r="B8" s="3" t="n">
        <v>6600000</v>
      </c>
      <c r="C8" s="3" t="n">
        <v>8300000</v>
      </c>
      <c r="D8" s="3" t="n">
        <v>12500000</v>
      </c>
      <c r="E8" s="3" t="n">
        <v>6200000</v>
      </c>
      <c r="F8" s="3" t="n">
        <v>12700000</v>
      </c>
      <c r="G8" s="3" t="n"/>
      <c r="H8" s="3" t="n"/>
    </row>
    <row r="9">
      <c r="A9" t="inlineStr">
        <is>
          <t>Income Tax Paid Supplemental Data</t>
        </is>
      </c>
      <c r="B9" s="3" t="n">
        <v>6100000</v>
      </c>
      <c r="C9" s="3" t="n">
        <v>6800000</v>
      </c>
      <c r="D9" s="3" t="n">
        <v>16800000</v>
      </c>
      <c r="E9" s="3" t="n">
        <v>9800000</v>
      </c>
      <c r="F9" s="3" t="n">
        <v>8600000</v>
      </c>
      <c r="G9" s="3" t="n"/>
      <c r="H9" s="3" t="n"/>
    </row>
    <row r="10">
      <c r="A10" t="inlineStr">
        <is>
          <t>End Cash Position</t>
        </is>
      </c>
      <c r="B10" s="3" t="n">
        <v>323500000</v>
      </c>
      <c r="C10" s="3" t="n">
        <v>311800000</v>
      </c>
      <c r="D10" s="3" t="n">
        <v>314100000</v>
      </c>
      <c r="E10" s="3" t="n">
        <v>327400000</v>
      </c>
      <c r="F10" s="3" t="n">
        <v>317600000</v>
      </c>
      <c r="G10" s="3" t="n"/>
      <c r="H10" s="3" t="n"/>
    </row>
    <row r="11">
      <c r="A11" t="inlineStr">
        <is>
          <t>Beginning Cash Position</t>
        </is>
      </c>
      <c r="B11" s="3" t="n">
        <v>311800000</v>
      </c>
      <c r="C11" s="3" t="n">
        <v>314100000</v>
      </c>
      <c r="D11" s="3" t="n">
        <v>327400000</v>
      </c>
      <c r="E11" s="3" t="n">
        <v>317600000</v>
      </c>
      <c r="F11" s="3" t="n">
        <v>313900000</v>
      </c>
      <c r="G11" s="3" t="n"/>
      <c r="H11" s="3" t="n"/>
    </row>
    <row r="12">
      <c r="A12" t="inlineStr">
        <is>
          <t>Effect Of Exchange Rate Changes</t>
        </is>
      </c>
      <c r="B12" s="3" t="n">
        <v>-3100000</v>
      </c>
      <c r="C12" s="3" t="n">
        <v>-1500000</v>
      </c>
      <c r="D12" s="3" t="n">
        <v>-2000000</v>
      </c>
      <c r="E12" s="3" t="n">
        <v>3900000</v>
      </c>
      <c r="F12" s="3" t="n">
        <v>100000</v>
      </c>
      <c r="G12" s="3" t="n"/>
      <c r="H12" s="3" t="n"/>
    </row>
    <row r="13">
      <c r="A13" t="inlineStr">
        <is>
          <t>Changes In Cash</t>
        </is>
      </c>
      <c r="B13" s="3" t="n">
        <v>14800000</v>
      </c>
      <c r="C13" s="3" t="n">
        <v>-800000</v>
      </c>
      <c r="D13" s="3" t="n">
        <v>-11300000</v>
      </c>
      <c r="E13" s="3" t="n">
        <v>5900000</v>
      </c>
      <c r="F13" s="3" t="n">
        <v>3600000</v>
      </c>
      <c r="G13" s="3" t="n"/>
      <c r="H13" s="3" t="n"/>
    </row>
    <row r="14">
      <c r="A14" t="inlineStr">
        <is>
          <t>Financing Cash Flow</t>
        </is>
      </c>
      <c r="B14" s="3" t="n">
        <v>57600000</v>
      </c>
      <c r="C14" s="3" t="n">
        <v>1100000</v>
      </c>
      <c r="D14" s="3" t="n">
        <v>-3500000</v>
      </c>
      <c r="E14" s="3" t="n">
        <v>-6600000</v>
      </c>
      <c r="F14" s="3" t="n">
        <v>-12200000</v>
      </c>
      <c r="G14" s="3" t="n"/>
      <c r="H14" s="3" t="n"/>
    </row>
    <row r="15">
      <c r="A15" t="inlineStr">
        <is>
          <t>Cash Flow From Continuing Financing Activities</t>
        </is>
      </c>
      <c r="B15" s="3" t="n">
        <v>57600000</v>
      </c>
      <c r="C15" s="3" t="n">
        <v>1100000</v>
      </c>
      <c r="D15" s="3" t="n">
        <v>-4100000</v>
      </c>
      <c r="E15" s="3" t="n">
        <v>-6000000</v>
      </c>
      <c r="F15" s="3" t="n">
        <v>-12200000</v>
      </c>
      <c r="G15" s="3" t="n"/>
      <c r="H15" s="3" t="n"/>
    </row>
    <row r="16">
      <c r="A16" t="inlineStr">
        <is>
          <t>Net Other Financing Charges</t>
        </is>
      </c>
      <c r="B16" s="3" t="n">
        <v>-40400000</v>
      </c>
      <c r="C16" s="3" t="n">
        <v>100000</v>
      </c>
      <c r="D16" s="3" t="n">
        <v>-500000</v>
      </c>
      <c r="E16" s="3" t="n">
        <v>-1100000</v>
      </c>
      <c r="F16" s="3" t="n">
        <v>-200000</v>
      </c>
      <c r="G16" s="3" t="n"/>
      <c r="H16" s="3" t="n"/>
    </row>
    <row r="17">
      <c r="A17" t="inlineStr">
        <is>
          <t>Net Common Stock Issuance</t>
        </is>
      </c>
      <c r="B17" s="3" t="n">
        <v>-40000000</v>
      </c>
      <c r="C17" s="3" t="n">
        <v>1100000</v>
      </c>
      <c r="D17" s="3" t="n">
        <v>0</v>
      </c>
      <c r="E17" s="3" t="n">
        <v>-2300000</v>
      </c>
      <c r="F17" s="3" t="n">
        <v>0</v>
      </c>
      <c r="G17" s="3" t="n"/>
      <c r="H17" s="3" t="n"/>
    </row>
    <row r="18">
      <c r="A18" t="inlineStr">
        <is>
          <t>Common Stock Payments</t>
        </is>
      </c>
      <c r="B18" s="3" t="n">
        <v>-40000000</v>
      </c>
      <c r="C18" s="3" t="n">
        <v>0</v>
      </c>
      <c r="D18" s="3" t="n">
        <v>0</v>
      </c>
      <c r="E18" s="3" t="n">
        <v>-3400000</v>
      </c>
      <c r="F18" s="3" t="n">
        <v>0</v>
      </c>
      <c r="G18" s="3" t="n"/>
      <c r="H18" s="3" t="n"/>
    </row>
    <row r="19">
      <c r="A19" t="inlineStr">
        <is>
          <t>Common Stock Issuance</t>
        </is>
      </c>
      <c r="B19" s="3" t="n"/>
      <c r="C19" s="3" t="n">
        <v>1100000</v>
      </c>
      <c r="D19" s="3" t="n">
        <v>0</v>
      </c>
      <c r="E19" s="3" t="n"/>
      <c r="F19" s="3" t="n"/>
      <c r="G19" s="3" t="n">
        <v>1100000</v>
      </c>
      <c r="H19" s="3" t="n">
        <v>0</v>
      </c>
    </row>
    <row r="20">
      <c r="A20" t="inlineStr">
        <is>
          <t>Net Issuance Payments Of Debt</t>
        </is>
      </c>
      <c r="B20" s="3" t="n">
        <v>138000000</v>
      </c>
      <c r="C20" s="3" t="n">
        <v>0</v>
      </c>
      <c r="D20" s="3" t="n">
        <v>-3100000</v>
      </c>
      <c r="E20" s="3" t="n">
        <v>-3100000</v>
      </c>
      <c r="F20" s="3" t="n">
        <v>-12000000</v>
      </c>
      <c r="G20" s="3" t="n"/>
      <c r="H20" s="3" t="n"/>
    </row>
    <row r="21">
      <c r="A21" t="inlineStr">
        <is>
          <t>Net Long Term Debt Issuance</t>
        </is>
      </c>
      <c r="B21" s="3" t="n">
        <v>138000000</v>
      </c>
      <c r="C21" s="3" t="n">
        <v>0</v>
      </c>
      <c r="D21" s="3" t="n">
        <v>-3100000</v>
      </c>
      <c r="E21" s="3" t="n">
        <v>-3100000</v>
      </c>
      <c r="F21" s="3" t="n">
        <v>-12000000</v>
      </c>
      <c r="G21" s="3" t="n"/>
      <c r="H21" s="3" t="n"/>
    </row>
    <row r="22">
      <c r="A22" t="inlineStr">
        <is>
          <t>Long Term Debt Payments</t>
        </is>
      </c>
      <c r="B22" s="3" t="n">
        <v>-462000000</v>
      </c>
      <c r="C22" s="3" t="n">
        <v>0</v>
      </c>
      <c r="D22" s="3" t="n">
        <v>-62400000</v>
      </c>
      <c r="E22" s="3" t="n">
        <v>-3100000</v>
      </c>
      <c r="F22" s="3" t="n">
        <v>-12000000</v>
      </c>
      <c r="G22" s="3" t="n"/>
      <c r="H22" s="3" t="n"/>
    </row>
    <row r="23">
      <c r="A23" t="inlineStr">
        <is>
          <t>Long Term Debt Issuance</t>
        </is>
      </c>
      <c r="B23" s="3" t="n">
        <v>600000000</v>
      </c>
      <c r="C23" s="3" t="n">
        <v>0</v>
      </c>
      <c r="D23" s="3" t="n">
        <v>59300000</v>
      </c>
      <c r="E23" s="3" t="n">
        <v>0</v>
      </c>
      <c r="F23" s="3" t="n">
        <v>0</v>
      </c>
      <c r="G23" s="3" t="n"/>
      <c r="H23" s="3" t="n"/>
    </row>
    <row r="24">
      <c r="A24" t="inlineStr">
        <is>
          <t>Investing Cash Flow</t>
        </is>
      </c>
      <c r="B24" s="3" t="n">
        <v>-9500000</v>
      </c>
      <c r="C24" s="3" t="n">
        <v>-10000000</v>
      </c>
      <c r="D24" s="3" t="n">
        <v>-7900000</v>
      </c>
      <c r="E24" s="3" t="n">
        <v>-16700000</v>
      </c>
      <c r="F24" s="3" t="n">
        <v>-12400000</v>
      </c>
      <c r="G24" s="3" t="n"/>
      <c r="H24" s="3" t="n"/>
    </row>
    <row r="25">
      <c r="A25" t="inlineStr">
        <is>
          <t>Cash Flow From Continuing Investing Activities</t>
        </is>
      </c>
      <c r="B25" s="3" t="n">
        <v>-9500000</v>
      </c>
      <c r="C25" s="3" t="n">
        <v>-10000000</v>
      </c>
      <c r="D25" s="3" t="n">
        <v>-7900000</v>
      </c>
      <c r="E25" s="3" t="n">
        <v>-16700000</v>
      </c>
      <c r="F25" s="3" t="n">
        <v>-12400000</v>
      </c>
      <c r="G25" s="3" t="n"/>
      <c r="H25" s="3" t="n"/>
    </row>
    <row r="26">
      <c r="A26" t="inlineStr">
        <is>
          <t>Net Other Investing Changes</t>
        </is>
      </c>
      <c r="B26" s="3" t="n"/>
      <c r="C26" s="3" t="n">
        <v>100000</v>
      </c>
      <c r="D26" s="3" t="n"/>
      <c r="E26" s="3" t="n"/>
      <c r="F26" s="3" t="n"/>
      <c r="G26" s="3" t="n"/>
      <c r="H26" s="3" t="n"/>
    </row>
    <row r="27">
      <c r="A27" t="inlineStr">
        <is>
          <t>Net PPE Purchase And Sale</t>
        </is>
      </c>
      <c r="B27" s="3" t="n">
        <v>-9500000</v>
      </c>
      <c r="C27" s="3" t="n">
        <v>-10100000</v>
      </c>
      <c r="D27" s="3" t="n">
        <v>-11100000</v>
      </c>
      <c r="E27" s="3" t="n">
        <v>-16700000</v>
      </c>
      <c r="F27" s="3" t="n">
        <v>-12400000</v>
      </c>
      <c r="G27" s="3" t="n"/>
      <c r="H27" s="3" t="n"/>
    </row>
    <row r="28">
      <c r="A28" t="inlineStr">
        <is>
          <t>Sale Of PPE</t>
        </is>
      </c>
      <c r="B28" s="3" t="n">
        <v>100000</v>
      </c>
      <c r="C28" s="3" t="n"/>
      <c r="D28" s="3" t="n"/>
      <c r="E28" s="3" t="n">
        <v>100000</v>
      </c>
      <c r="F28" s="3" t="n">
        <v>0</v>
      </c>
      <c r="G28" s="3" t="n">
        <v>0</v>
      </c>
      <c r="H28" s="3" t="n">
        <v>-100000</v>
      </c>
    </row>
    <row r="29">
      <c r="A29" t="inlineStr">
        <is>
          <t>Purchase Of PPE</t>
        </is>
      </c>
      <c r="B29" s="3" t="n">
        <v>-9600000</v>
      </c>
      <c r="C29" s="3" t="n">
        <v>-10100000</v>
      </c>
      <c r="D29" s="3" t="n">
        <v>-11000000</v>
      </c>
      <c r="E29" s="3" t="n">
        <v>-16800000</v>
      </c>
      <c r="F29" s="3" t="n">
        <v>-12400000</v>
      </c>
      <c r="G29" s="3" t="n"/>
      <c r="H29" s="3" t="n"/>
    </row>
    <row r="30">
      <c r="A30" t="inlineStr">
        <is>
          <t>Operating Cash Flow</t>
        </is>
      </c>
      <c r="B30" s="3" t="n">
        <v>-33300000</v>
      </c>
      <c r="C30" s="3" t="n">
        <v>8100000</v>
      </c>
      <c r="D30" s="3" t="n">
        <v>100000</v>
      </c>
      <c r="E30" s="3" t="n">
        <v>29200000</v>
      </c>
      <c r="F30" s="3" t="n">
        <v>28200000</v>
      </c>
      <c r="G30" s="3" t="n"/>
      <c r="H30" s="3" t="n"/>
    </row>
    <row r="31">
      <c r="A31" t="inlineStr">
        <is>
          <t>Cash Flow From Continuing Operating Activities</t>
        </is>
      </c>
      <c r="B31" s="3" t="n">
        <v>-33300000</v>
      </c>
      <c r="C31" s="3" t="n">
        <v>8100000</v>
      </c>
      <c r="D31" s="3" t="n">
        <v>100000</v>
      </c>
      <c r="E31" s="3" t="n">
        <v>29200000</v>
      </c>
      <c r="F31" s="3" t="n">
        <v>28200000</v>
      </c>
      <c r="G31" s="3" t="n"/>
      <c r="H31" s="3" t="n"/>
    </row>
    <row r="32">
      <c r="A32" t="inlineStr">
        <is>
          <t>Change In Working Capital</t>
        </is>
      </c>
      <c r="B32" s="3" t="n">
        <v>-60000000</v>
      </c>
      <c r="C32" s="3" t="n">
        <v>-12900000</v>
      </c>
      <c r="D32" s="3" t="n">
        <v>-16600000</v>
      </c>
      <c r="E32" s="3" t="n">
        <v>11200000</v>
      </c>
      <c r="F32" s="3" t="n">
        <v>8600000</v>
      </c>
      <c r="G32" s="3" t="n"/>
      <c r="H32" s="3" t="n"/>
    </row>
    <row r="33">
      <c r="A33" t="inlineStr">
        <is>
          <t>Change In Other Working Capital</t>
        </is>
      </c>
      <c r="B33" s="3" t="n">
        <v>400000</v>
      </c>
      <c r="C33" s="3" t="n">
        <v>2700000</v>
      </c>
      <c r="D33" s="3" t="n">
        <v>-900000</v>
      </c>
      <c r="E33" s="3" t="n">
        <v>9700000</v>
      </c>
      <c r="F33" s="3" t="n">
        <v>1400000</v>
      </c>
      <c r="G33" s="3" t="n"/>
      <c r="H33" s="3" t="n"/>
    </row>
    <row r="34">
      <c r="A34" t="inlineStr">
        <is>
          <t>Change In Other Current Liabilities</t>
        </is>
      </c>
      <c r="B34" s="3" t="n">
        <v>-400000</v>
      </c>
      <c r="C34" s="3" t="n">
        <v>-100000</v>
      </c>
      <c r="D34" s="3" t="n">
        <v>-600000</v>
      </c>
      <c r="E34" s="3" t="n">
        <v>-1700000</v>
      </c>
      <c r="F34" s="3" t="n">
        <v>-2300000</v>
      </c>
      <c r="G34" s="3" t="n"/>
      <c r="H34" s="3" t="n"/>
    </row>
    <row r="35">
      <c r="A35" t="inlineStr">
        <is>
          <t>Change In Other Current Assets</t>
        </is>
      </c>
      <c r="B35" s="3" t="n">
        <v>1100000</v>
      </c>
      <c r="C35" s="3" t="n">
        <v>-900000</v>
      </c>
      <c r="D35" s="3" t="n">
        <v>-500000</v>
      </c>
      <c r="E35" s="3" t="n">
        <v>-700000</v>
      </c>
      <c r="F35" s="3" t="n">
        <v>200000</v>
      </c>
      <c r="G35" s="3" t="n"/>
      <c r="H35" s="3" t="n"/>
    </row>
    <row r="36">
      <c r="A36" t="inlineStr">
        <is>
          <t>Change In Payables And Accrued Expense</t>
        </is>
      </c>
      <c r="B36" s="3" t="n">
        <v>61200000</v>
      </c>
      <c r="C36" s="3" t="n">
        <v>5400000</v>
      </c>
      <c r="D36" s="3" t="n">
        <v>-16800000</v>
      </c>
      <c r="E36" s="3" t="n">
        <v>900000</v>
      </c>
      <c r="F36" s="3" t="n">
        <v>-19600000</v>
      </c>
      <c r="G36" s="3" t="n"/>
      <c r="H36" s="3" t="n"/>
    </row>
    <row r="37">
      <c r="A37" t="inlineStr">
        <is>
          <t>Change In Accrued Expense</t>
        </is>
      </c>
      <c r="B37" s="3" t="n">
        <v>-4000000</v>
      </c>
      <c r="C37" s="3" t="n">
        <v>1600000</v>
      </c>
      <c r="D37" s="3" t="n">
        <v>2000000</v>
      </c>
      <c r="E37" s="3" t="n">
        <v>7800000</v>
      </c>
      <c r="F37" s="3" t="n">
        <v>-10400000</v>
      </c>
      <c r="G37" s="3" t="n"/>
      <c r="H37" s="3" t="n"/>
    </row>
    <row r="38">
      <c r="A38" t="inlineStr">
        <is>
          <t>Change In Payable</t>
        </is>
      </c>
      <c r="B38" s="3" t="n">
        <v>65200000</v>
      </c>
      <c r="C38" s="3" t="n">
        <v>3800000</v>
      </c>
      <c r="D38" s="3" t="n">
        <v>-18800000</v>
      </c>
      <c r="E38" s="3" t="n">
        <v>-6900000</v>
      </c>
      <c r="F38" s="3" t="n">
        <v>-9200000</v>
      </c>
      <c r="G38" s="3" t="n"/>
      <c r="H38" s="3" t="n"/>
    </row>
    <row r="39">
      <c r="A39" t="inlineStr">
        <is>
          <t>Change In Account Payable</t>
        </is>
      </c>
      <c r="B39" s="3" t="n">
        <v>68000000</v>
      </c>
      <c r="C39" s="3" t="n">
        <v>5200000</v>
      </c>
      <c r="D39" s="3" t="n">
        <v>-10900000</v>
      </c>
      <c r="E39" s="3" t="n">
        <v>-3400000</v>
      </c>
      <c r="F39" s="3" t="n">
        <v>-8500000</v>
      </c>
      <c r="G39" s="3" t="n"/>
      <c r="H39" s="3" t="n"/>
    </row>
    <row r="40">
      <c r="A40" t="inlineStr">
        <is>
          <t>Change In Tax Payable</t>
        </is>
      </c>
      <c r="B40" s="3" t="n">
        <v>-2800000</v>
      </c>
      <c r="C40" s="3" t="n">
        <v>-1400000</v>
      </c>
      <c r="D40" s="3" t="n">
        <v>-7900000</v>
      </c>
      <c r="E40" s="3" t="n">
        <v>-3500000</v>
      </c>
      <c r="F40" s="3" t="n">
        <v>-700000</v>
      </c>
      <c r="G40" s="3" t="n"/>
      <c r="H40" s="3" t="n"/>
    </row>
    <row r="41">
      <c r="A41" t="inlineStr">
        <is>
          <t>Change In Income Tax Payable</t>
        </is>
      </c>
      <c r="B41" s="3" t="n">
        <v>-2800000</v>
      </c>
      <c r="C41" s="3" t="n">
        <v>-1400000</v>
      </c>
      <c r="D41" s="3" t="n">
        <v>-7900000</v>
      </c>
      <c r="E41" s="3" t="n">
        <v>-3500000</v>
      </c>
      <c r="F41" s="3" t="n">
        <v>-700000</v>
      </c>
      <c r="G41" s="3" t="n"/>
      <c r="H41" s="3" t="n"/>
    </row>
    <row r="42">
      <c r="A42" t="inlineStr">
        <is>
          <t>Change In Prepaid Assets</t>
        </is>
      </c>
      <c r="B42" s="3" t="n">
        <v>-7300000</v>
      </c>
      <c r="C42" s="3" t="n">
        <v>-2000000</v>
      </c>
      <c r="D42" s="3" t="n">
        <v>1500000</v>
      </c>
      <c r="E42" s="3" t="n">
        <v>-7200000</v>
      </c>
      <c r="F42" s="3" t="n">
        <v>-600000</v>
      </c>
      <c r="G42" s="3" t="n"/>
      <c r="H42" s="3" t="n"/>
    </row>
    <row r="43">
      <c r="A43" t="inlineStr">
        <is>
          <t>Change In Inventory</t>
        </is>
      </c>
      <c r="B43" s="3" t="n">
        <v>-91000000</v>
      </c>
      <c r="C43" s="3" t="n">
        <v>-8700000</v>
      </c>
      <c r="D43" s="3" t="n">
        <v>-6600000</v>
      </c>
      <c r="E43" s="3" t="n">
        <v>-1000000</v>
      </c>
      <c r="F43" s="3" t="n">
        <v>6400000</v>
      </c>
      <c r="G43" s="3" t="n"/>
      <c r="H43" s="3" t="n"/>
    </row>
    <row r="44">
      <c r="A44" t="inlineStr">
        <is>
          <t>Change In Receivables</t>
        </is>
      </c>
      <c r="B44" s="3" t="n">
        <v>-24000000</v>
      </c>
      <c r="C44" s="3" t="n">
        <v>-9300000</v>
      </c>
      <c r="D44" s="3" t="n">
        <v>7300000</v>
      </c>
      <c r="E44" s="3" t="n">
        <v>11200000</v>
      </c>
      <c r="F44" s="3" t="n">
        <v>23100000</v>
      </c>
      <c r="G44" s="3" t="n"/>
      <c r="H44" s="3" t="n"/>
    </row>
    <row r="45">
      <c r="A45" t="inlineStr">
        <is>
          <t>Changes In Account Receivables</t>
        </is>
      </c>
      <c r="B45" s="3" t="n">
        <v>-24000000</v>
      </c>
      <c r="C45" s="3" t="n">
        <v>-9300000</v>
      </c>
      <c r="D45" s="3" t="n">
        <v>7300000</v>
      </c>
      <c r="E45" s="3" t="n">
        <v>11200000</v>
      </c>
      <c r="F45" s="3" t="n">
        <v>23100000</v>
      </c>
      <c r="G45" s="3" t="n"/>
      <c r="H45" s="3" t="n"/>
    </row>
    <row r="46">
      <c r="A46" t="inlineStr">
        <is>
          <t>Other Non Cash Items</t>
        </is>
      </c>
      <c r="B46" s="3" t="n">
        <v>700000</v>
      </c>
      <c r="C46" s="3" t="n">
        <v>600000</v>
      </c>
      <c r="D46" s="3" t="n">
        <v>1000000</v>
      </c>
      <c r="E46" s="3" t="n">
        <v>500000</v>
      </c>
      <c r="F46" s="3" t="n">
        <v>600000</v>
      </c>
      <c r="G46" s="3" t="n"/>
      <c r="H46" s="3" t="n"/>
    </row>
    <row r="47">
      <c r="A47" t="inlineStr">
        <is>
          <t>Stock Based Compensation</t>
        </is>
      </c>
      <c r="B47" s="3" t="n">
        <v>3200000</v>
      </c>
      <c r="C47" s="3" t="n">
        <v>4800000</v>
      </c>
      <c r="D47" s="3" t="n">
        <v>4400000</v>
      </c>
      <c r="E47" s="3" t="n">
        <v>7100000</v>
      </c>
      <c r="F47" s="3" t="n">
        <v>2900000</v>
      </c>
      <c r="G47" s="3" t="n"/>
      <c r="H47" s="3" t="n"/>
    </row>
    <row r="48">
      <c r="A48" t="inlineStr">
        <is>
          <t>Unrealized Gain Loss On Investment Securities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-100000</v>
      </c>
      <c r="G48" s="3" t="n"/>
      <c r="H48" s="3" t="n"/>
    </row>
    <row r="49">
      <c r="A49" t="inlineStr">
        <is>
          <t>Asset Impairment Charge</t>
        </is>
      </c>
      <c r="B49" s="3" t="n"/>
      <c r="C49" s="3" t="n">
        <v>0</v>
      </c>
      <c r="D49" s="3" t="n">
        <v>0</v>
      </c>
      <c r="E49" s="3" t="n"/>
      <c r="F49" s="3" t="n"/>
      <c r="G49" s="3" t="n"/>
      <c r="H49" s="3" t="n"/>
    </row>
    <row r="50">
      <c r="A50" t="inlineStr">
        <is>
          <t>Deferred Tax</t>
        </is>
      </c>
      <c r="B50" s="3" t="n">
        <v>14600000</v>
      </c>
      <c r="C50" s="3" t="n">
        <v>-3100000</v>
      </c>
      <c r="D50" s="3" t="n">
        <v>-200000</v>
      </c>
      <c r="E50" s="3" t="n">
        <v>900000</v>
      </c>
      <c r="F50" s="3" t="n">
        <v>-300000</v>
      </c>
      <c r="G50" s="3" t="n"/>
      <c r="H50" s="3" t="n"/>
    </row>
    <row r="51">
      <c r="A51" t="inlineStr">
        <is>
          <t>Deferred Income Tax</t>
        </is>
      </c>
      <c r="B51" s="3" t="n">
        <v>14600000</v>
      </c>
      <c r="C51" s="3" t="n">
        <v>-3100000</v>
      </c>
      <c r="D51" s="3" t="n">
        <v>-200000</v>
      </c>
      <c r="E51" s="3" t="n">
        <v>900000</v>
      </c>
      <c r="F51" s="3" t="n">
        <v>-300000</v>
      </c>
      <c r="G51" s="3" t="n"/>
      <c r="H51" s="3" t="n"/>
    </row>
    <row r="52">
      <c r="A52" t="inlineStr">
        <is>
          <t>Depreciation Amortization Depletion</t>
        </is>
      </c>
      <c r="B52" s="3" t="n">
        <v>19200000</v>
      </c>
      <c r="C52" s="3" t="n">
        <v>19300000</v>
      </c>
      <c r="D52" s="3" t="n">
        <v>19000000</v>
      </c>
      <c r="E52" s="3" t="n">
        <v>18700000</v>
      </c>
      <c r="F52" s="3" t="n">
        <v>19000000</v>
      </c>
      <c r="G52" s="3" t="n"/>
      <c r="H52" s="3" t="n"/>
    </row>
    <row r="53">
      <c r="A53" t="inlineStr">
        <is>
          <t>Depreciation And Amortization</t>
        </is>
      </c>
      <c r="B53" s="3" t="n">
        <v>19200000</v>
      </c>
      <c r="C53" s="3" t="n">
        <v>19300000</v>
      </c>
      <c r="D53" s="3" t="n">
        <v>19000000</v>
      </c>
      <c r="E53" s="3" t="n">
        <v>18700000</v>
      </c>
      <c r="F53" s="3" t="n">
        <v>19000000</v>
      </c>
      <c r="G53" s="3" t="n"/>
      <c r="H53" s="3" t="n"/>
    </row>
    <row r="54">
      <c r="A54" t="inlineStr">
        <is>
          <t>Amortization Cash Flow</t>
        </is>
      </c>
      <c r="B54" s="3" t="n">
        <v>6900000</v>
      </c>
      <c r="C54" s="3" t="n">
        <v>6900000</v>
      </c>
      <c r="D54" s="3" t="n">
        <v>6900000</v>
      </c>
      <c r="E54" s="3" t="n">
        <v>7000000</v>
      </c>
      <c r="F54" s="3" t="n">
        <v>7300000</v>
      </c>
      <c r="G54" s="3" t="n"/>
      <c r="H54" s="3" t="n"/>
    </row>
    <row r="55">
      <c r="A55" t="inlineStr">
        <is>
          <t>Amortization Of Intangibles</t>
        </is>
      </c>
      <c r="B55" s="3" t="n">
        <v>6900000</v>
      </c>
      <c r="C55" s="3" t="n">
        <v>6900000</v>
      </c>
      <c r="D55" s="3" t="n">
        <v>6900000</v>
      </c>
      <c r="E55" s="3" t="n">
        <v>7000000</v>
      </c>
      <c r="F55" s="3" t="n">
        <v>7300000</v>
      </c>
      <c r="G55" s="3" t="n"/>
      <c r="H55" s="3" t="n"/>
    </row>
    <row r="56">
      <c r="A56" t="inlineStr">
        <is>
          <t>Depreciation</t>
        </is>
      </c>
      <c r="B56" s="3" t="n">
        <v>12300000</v>
      </c>
      <c r="C56" s="3" t="n">
        <v>12400000</v>
      </c>
      <c r="D56" s="3" t="n">
        <v>12100000</v>
      </c>
      <c r="E56" s="3" t="n">
        <v>11700000</v>
      </c>
      <c r="F56" s="3" t="n">
        <v>11700000</v>
      </c>
      <c r="G56" s="3" t="n"/>
      <c r="H56" s="3" t="n"/>
    </row>
    <row r="57">
      <c r="A57" t="inlineStr">
        <is>
          <t>Operating Gains Losses</t>
        </is>
      </c>
      <c r="B57" s="3" t="n">
        <v>4000000</v>
      </c>
      <c r="C57" s="3" t="n">
        <v>0</v>
      </c>
      <c r="D57" s="3" t="n">
        <v>600000</v>
      </c>
      <c r="E57" s="3" t="n"/>
      <c r="F57" s="3" t="n"/>
      <c r="G57" s="3" t="n">
        <v>0</v>
      </c>
      <c r="H57" s="3" t="n">
        <v>1100000</v>
      </c>
    </row>
    <row r="58">
      <c r="A58" t="inlineStr">
        <is>
          <t>Gain Loss On Sale Of PPE</t>
        </is>
      </c>
      <c r="B58" s="3" t="n">
        <v>1000000</v>
      </c>
      <c r="C58" s="3" t="n">
        <v>0</v>
      </c>
      <c r="D58" s="3" t="n">
        <v>600000</v>
      </c>
      <c r="E58" s="3" t="n">
        <v>100000</v>
      </c>
      <c r="F58" s="3" t="n">
        <v>0</v>
      </c>
      <c r="G58" s="3" t="n"/>
      <c r="H58" s="3" t="n"/>
    </row>
    <row r="59">
      <c r="A59" t="inlineStr">
        <is>
          <t>Net Income From Continuing Operations</t>
        </is>
      </c>
      <c r="B59" s="3" t="n">
        <v>-15000000</v>
      </c>
      <c r="C59" s="3" t="n">
        <v>-600000</v>
      </c>
      <c r="D59" s="3" t="n">
        <v>-8100000</v>
      </c>
      <c r="E59" s="3" t="n">
        <v>-160400000</v>
      </c>
      <c r="F59" s="3" t="n">
        <v>-2500000</v>
      </c>
      <c r="G59" s="3" t="n"/>
      <c r="H59" s="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Issue</t>
        </is>
      </c>
    </row>
    <row r="2">
      <c r="A2" t="inlineStr">
        <is>
          <t>Trailing P/E</t>
        </is>
      </c>
      <c r="B2" t="inlineStr">
        <is>
          <t>missing from yfinance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2026-05-18T06:03:16Z</dcterms:created>
  <dcterms:modified xmlns:dcterms="http://purl.org/dc/terms/" xmlns:xsi="http://www.w3.org/2001/XMLSchema-instance" xsi:type="dcterms:W3CDTF">2026-05-18T06:03:16Z</dcterms:modified>
</cp:coreProperties>
</file>