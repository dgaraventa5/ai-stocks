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FY Summary" sheetId="2" state="visible" r:id="rId2"/>
    <sheet name="Income stmt (annual)" sheetId="3" state="visible" r:id="rId3"/>
    <sheet name="Income stmt (quarterly)" sheetId="4" state="visible" r:id="rId4"/>
    <sheet name="Balance sheet (annual)" sheetId="5" state="visible" r:id="rId5"/>
    <sheet name="Balance sheet (quarterly)" sheetId="6" state="visible" r:id="rId6"/>
    <sheet name="Cash flow (annual)" sheetId="7" state="visible" r:id="rId7"/>
    <sheet name="Cash flow (quarterly)" sheetId="8" state="visible" r:id="rId8"/>
    <sheet name="Data flag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0.00&quot;x&quot;"/>
    <numFmt numFmtId="166" formatCode="#,##0.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10" fontId="0" fillId="0" borderId="0" pivotButton="0" quotePrefix="0" xfId="0"/>
    <xf numFmtId="3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36" customWidth="1" min="3" max="3"/>
  </cols>
  <sheetData>
    <row r="1">
      <c r="A1" s="1" t="inlineStr">
        <is>
          <t>Field</t>
        </is>
      </c>
      <c r="B1" s="1" t="inlineStr">
        <is>
          <t>Value</t>
        </is>
      </c>
      <c r="C1" s="1" t="inlineStr">
        <is>
          <t>Source / formula</t>
        </is>
      </c>
    </row>
    <row r="2">
      <c r="A2" t="inlineStr">
        <is>
          <t>Ticker</t>
        </is>
      </c>
      <c r="B2" t="inlineStr">
        <is>
          <t>HPE</t>
        </is>
      </c>
      <c r="C2" t="inlineStr">
        <is>
          <t>input</t>
        </is>
      </c>
    </row>
    <row r="3">
      <c r="A3" t="inlineStr">
        <is>
          <t>Name</t>
        </is>
      </c>
      <c r="B3" t="inlineStr">
        <is>
          <t>Hewlett Packard Enterprise Company</t>
        </is>
      </c>
      <c r="C3" t="inlineStr">
        <is>
          <t>yfinance info.longName</t>
        </is>
      </c>
    </row>
    <row r="4">
      <c r="A4" t="inlineStr">
        <is>
          <t>Sector</t>
        </is>
      </c>
      <c r="B4" t="inlineStr">
        <is>
          <t>Technology</t>
        </is>
      </c>
      <c r="C4" t="inlineStr">
        <is>
          <t>yfinance info.sector</t>
        </is>
      </c>
    </row>
    <row r="5">
      <c r="A5" t="inlineStr">
        <is>
          <t>Industry</t>
        </is>
      </c>
      <c r="B5" t="inlineStr">
        <is>
          <t>Communication Equipment</t>
        </is>
      </c>
      <c r="C5" t="inlineStr">
        <is>
          <t>yfinance info.industry</t>
        </is>
      </c>
    </row>
    <row r="6">
      <c r="A6" t="inlineStr">
        <is>
          <t>Market cap ($)</t>
        </is>
      </c>
      <c r="B6" t="n">
        <v>62780489728</v>
      </c>
      <c r="C6" t="inlineStr">
        <is>
          <t>yfinance info.marketCap</t>
        </is>
      </c>
    </row>
    <row r="7">
      <c r="A7" t="inlineStr">
        <is>
          <t>Enterprise value ($)</t>
        </is>
      </c>
      <c r="B7" t="n">
        <v>78853488640</v>
      </c>
      <c r="C7" t="inlineStr">
        <is>
          <t>yfinance info.enterpriseValue</t>
        </is>
      </c>
    </row>
    <row r="8">
      <c r="A8" t="inlineStr">
        <is>
          <t>Trailing P/E</t>
        </is>
      </c>
      <c r="B8" t="n">
        <v>44.30841</v>
      </c>
      <c r="C8" t="inlineStr">
        <is>
          <t>yfinance info.trailingPE</t>
        </is>
      </c>
    </row>
    <row r="9">
      <c r="A9" t="inlineStr">
        <is>
          <t>Forward P/E</t>
        </is>
      </c>
      <c r="B9" t="n">
        <v>11.858815</v>
      </c>
      <c r="C9" t="inlineStr">
        <is>
          <t>yfinance info.forwardPE</t>
        </is>
      </c>
    </row>
    <row r="10">
      <c r="A10" t="inlineStr">
        <is>
          <t>P/S (TTM)</t>
        </is>
      </c>
      <c r="B10" t="n">
        <v>1.6183041</v>
      </c>
      <c r="C10" t="inlineStr">
        <is>
          <t>yfinance</t>
        </is>
      </c>
    </row>
    <row r="11">
      <c r="A11" t="inlineStr">
        <is>
          <t>Gross margin (TTM)</t>
        </is>
      </c>
      <c r="B11" t="n">
        <v>0.33776</v>
      </c>
      <c r="C11" t="inlineStr">
        <is>
          <t>yfinance info.grossMargins</t>
        </is>
      </c>
    </row>
    <row r="12">
      <c r="A12" t="inlineStr">
        <is>
          <t>Operating margin (TTM)</t>
        </is>
      </c>
      <c r="B12" t="n">
        <v>0.08699999999999999</v>
      </c>
      <c r="C12" t="inlineStr">
        <is>
          <t>yfinance info.operatingMargins</t>
        </is>
      </c>
    </row>
    <row r="13">
      <c r="A13" t="inlineStr">
        <is>
          <t>Net margin (TTM)</t>
        </is>
      </c>
      <c r="B13" t="n">
        <v>0.040110003</v>
      </c>
      <c r="C13" t="inlineStr">
        <is>
          <t>yfinance info.profitMargins</t>
        </is>
      </c>
    </row>
    <row r="14">
      <c r="A14" t="inlineStr">
        <is>
          <t>ROE</t>
        </is>
      </c>
      <c r="B14" t="n">
        <v>0.06315</v>
      </c>
      <c r="C14" t="inlineStr">
        <is>
          <t>yfinance info.returnOnEquity</t>
        </is>
      </c>
    </row>
    <row r="15">
      <c r="A15" t="inlineStr">
        <is>
          <t>Revenue growth (YoY)</t>
        </is>
      </c>
      <c r="B15" t="n">
        <v>0.4</v>
      </c>
      <c r="C15" t="inlineStr">
        <is>
          <t>yfinance info.revenueGrowth</t>
        </is>
      </c>
    </row>
    <row r="16">
      <c r="A16" t="inlineStr">
        <is>
          <t>Total cash ($)</t>
        </is>
      </c>
      <c r="B16" t="n">
        <v>5292000256</v>
      </c>
      <c r="C16" t="inlineStr">
        <is>
          <t>yfinance info.totalCash</t>
        </is>
      </c>
    </row>
    <row r="17">
      <c r="A17" t="inlineStr">
        <is>
          <t>Total debt ($)</t>
        </is>
      </c>
      <c r="B17" t="n">
        <v>21304000512</v>
      </c>
      <c r="C17" t="inlineStr">
        <is>
          <t>yfinance info.totalDebt</t>
        </is>
      </c>
    </row>
    <row r="18">
      <c r="A18" t="inlineStr">
        <is>
          <t>FCF (TTM, $)</t>
        </is>
      </c>
      <c r="B18" t="n">
        <v>3989000000</v>
      </c>
      <c r="C18" t="inlineStr">
        <is>
          <t>statement: TTM OCF - |capex| (yfinance quarterly_cashflow)</t>
        </is>
      </c>
    </row>
    <row r="19">
      <c r="A19" t="inlineStr">
        <is>
          <t>Shares outstanding</t>
        </is>
      </c>
      <c r="B19" t="n">
        <v>1324203521</v>
      </c>
      <c r="C19" t="inlineStr">
        <is>
          <t>yfinance info.sharesOutstanding</t>
        </is>
      </c>
    </row>
    <row r="20">
      <c r="A20" t="inlineStr">
        <is>
          <t>Current price ($)</t>
        </is>
      </c>
      <c r="B20" t="n">
        <v>47.41</v>
      </c>
      <c r="C20" t="inlineStr">
        <is>
          <t>yfinance info.currentPrice</t>
        </is>
      </c>
    </row>
    <row r="21">
      <c r="A21" t="inlineStr">
        <is>
          <t>FCF yield</t>
        </is>
      </c>
      <c r="B21" s="2">
        <f>IFERROR(B18/B6,"")</f>
        <v/>
      </c>
      <c r="C21">
        <f>B18/B6</f>
        <v/>
      </c>
    </row>
    <row r="22">
      <c r="A22" t="inlineStr">
        <is>
          <t>FCF / EV</t>
        </is>
      </c>
      <c r="B22" s="2">
        <f>IFERROR(B18/B7,"")</f>
        <v/>
      </c>
      <c r="C22">
        <f>B18/B7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28" customWidth="1" min="1" max="1"/>
    <col width="15" customWidth="1" min="2" max="2"/>
    <col width="15" customWidth="1" min="3" max="3"/>
    <col width="15" customWidth="1" min="4" max="4"/>
    <col width="15" customWidth="1" min="5" max="5"/>
    <col width="52" customWidth="1" min="6" max="6"/>
  </cols>
  <sheetData>
    <row r="1">
      <c r="A1" s="1" t="inlineStr">
        <is>
          <t>Fiscal-year summary (GAAP, $ except where noted)</t>
        </is>
      </c>
      <c r="B1" s="1" t="inlineStr">
        <is>
          <t>FY-3</t>
        </is>
      </c>
      <c r="C1" s="1" t="inlineStr">
        <is>
          <t>FY-2</t>
        </is>
      </c>
      <c r="D1" s="1" t="inlineStr">
        <is>
          <t>FY-1</t>
        </is>
      </c>
      <c r="E1" s="1" t="inlineStr">
        <is>
          <t>TTM</t>
        </is>
      </c>
      <c r="F1" s="1" t="inlineStr">
        <is>
          <t>Source / formula</t>
        </is>
      </c>
    </row>
    <row r="2">
      <c r="A2" t="inlineStr">
        <is>
          <t>Fiscal period end</t>
        </is>
      </c>
      <c r="B2" t="inlineStr">
        <is>
          <t>2023-10-31</t>
        </is>
      </c>
      <c r="C2" t="inlineStr">
        <is>
          <t>2024-10-31</t>
        </is>
      </c>
      <c r="D2" t="inlineStr">
        <is>
          <t>2025-10-31</t>
        </is>
      </c>
      <c r="E2" t="inlineStr">
        <is>
          <t>TTM → 2026-04-30</t>
        </is>
      </c>
      <c r="F2" t="inlineStr">
        <is>
          <t>annual statement headers; TTM = Σ last 4 quarters</t>
        </is>
      </c>
    </row>
    <row r="3">
      <c r="A3" t="inlineStr">
        <is>
          <t>Revenue</t>
        </is>
      </c>
      <c r="B3" s="3">
        <f>'Income stmt (annual)'!D52</f>
        <v/>
      </c>
      <c r="C3" s="3">
        <f>'Income stmt (annual)'!C52</f>
        <v/>
      </c>
      <c r="D3" s="3">
        <f>'Income stmt (annual)'!B52</f>
        <v/>
      </c>
      <c r="E3" s="3">
        <f>SUM('Income stmt (quarterly)'!B51:E51)</f>
        <v/>
      </c>
      <c r="F3" t="inlineStr">
        <is>
          <t>Total Revenue</t>
        </is>
      </c>
    </row>
    <row r="4">
      <c r="A4" t="inlineStr">
        <is>
          <t>Gross profit</t>
        </is>
      </c>
      <c r="B4" s="3">
        <f>'Income stmt (annual)'!D50</f>
        <v/>
      </c>
      <c r="C4" s="3">
        <f>'Income stmt (annual)'!C50</f>
        <v/>
      </c>
      <c r="D4" s="3">
        <f>'Income stmt (annual)'!B50</f>
        <v/>
      </c>
      <c r="E4" s="3">
        <f>SUM('Income stmt (quarterly)'!B49:E49)</f>
        <v/>
      </c>
      <c r="F4" t="inlineStr">
        <is>
          <t>Gross Profit (GAAP)</t>
        </is>
      </c>
    </row>
    <row r="5">
      <c r="A5" t="inlineStr">
        <is>
          <t>Gross margin %</t>
        </is>
      </c>
      <c r="B5" s="4">
        <f>IFERROR(B4/B3,"")</f>
        <v/>
      </c>
      <c r="C5" s="4">
        <f>IFERROR(C4/C3,"")</f>
        <v/>
      </c>
      <c r="D5" s="4">
        <f>IFERROR(D4/D3,"")</f>
        <v/>
      </c>
      <c r="E5" s="4">
        <f>IFERROR(E4/E3,"")</f>
        <v/>
      </c>
      <c r="F5" t="inlineStr">
        <is>
          <t>GAAP = gross profit / revenue</t>
        </is>
      </c>
    </row>
    <row r="6">
      <c r="A6" t="inlineStr">
        <is>
          <t>Operating income</t>
        </is>
      </c>
      <c r="B6" s="3">
        <f>'Income stmt (annual)'!D41</f>
        <v/>
      </c>
      <c r="C6" s="3">
        <f>'Income stmt (annual)'!C41</f>
        <v/>
      </c>
      <c r="D6" s="3">
        <f>'Income stmt (annual)'!B41</f>
        <v/>
      </c>
      <c r="E6" s="3">
        <f>SUM('Income stmt (quarterly)'!B41:E41)</f>
        <v/>
      </c>
      <c r="F6" t="inlineStr">
        <is>
          <t>Operating Income</t>
        </is>
      </c>
    </row>
    <row r="7">
      <c r="A7" t="inlineStr">
        <is>
          <t>Operating margin %</t>
        </is>
      </c>
      <c r="B7" s="4">
        <f>IFERROR(B6/B3,"")</f>
        <v/>
      </c>
      <c r="C7" s="4">
        <f>IFERROR(C6/C3,"")</f>
        <v/>
      </c>
      <c r="D7" s="4">
        <f>IFERROR(D6/D3,"")</f>
        <v/>
      </c>
      <c r="E7" s="4">
        <f>IFERROR(E6/E3,"")</f>
        <v/>
      </c>
      <c r="F7">
        <f> operating income / revenue</f>
        <v/>
      </c>
    </row>
    <row r="8">
      <c r="A8" t="inlineStr">
        <is>
          <t>EBITDA</t>
        </is>
      </c>
      <c r="B8" s="3">
        <f>'Income stmt (annual)'!D10</f>
        <v/>
      </c>
      <c r="C8" s="3">
        <f>'Income stmt (annual)'!C10</f>
        <v/>
      </c>
      <c r="D8" s="3">
        <f>'Income stmt (annual)'!B10</f>
        <v/>
      </c>
      <c r="E8" s="3">
        <f>SUM('Income stmt (quarterly)'!B10:E10)</f>
        <v/>
      </c>
      <c r="F8" t="inlineStr">
        <is>
          <t>EBITDA</t>
        </is>
      </c>
    </row>
    <row r="9">
      <c r="A9" t="inlineStr">
        <is>
          <t>Free cash flow</t>
        </is>
      </c>
      <c r="B9" s="3">
        <f>'Cash flow (annual)'!D2</f>
        <v/>
      </c>
      <c r="C9" s="3">
        <f>'Cash flow (annual)'!C2</f>
        <v/>
      </c>
      <c r="D9" s="3">
        <f>'Cash flow (annual)'!B2</f>
        <v/>
      </c>
      <c r="E9" s="3">
        <f>SUM('Cash flow (quarterly)'!B2:E2)</f>
        <v/>
      </c>
      <c r="F9" t="inlineStr">
        <is>
          <t>FCF = OCF − capex</t>
        </is>
      </c>
    </row>
    <row r="10">
      <c r="A10" t="inlineStr">
        <is>
          <t>FCF margin %</t>
        </is>
      </c>
      <c r="B10" s="4">
        <f>IFERROR(B9/B3,"")</f>
        <v/>
      </c>
      <c r="C10" s="4">
        <f>IFERROR(C9/C3,"")</f>
        <v/>
      </c>
      <c r="D10" s="4">
        <f>IFERROR(D9/D3,"")</f>
        <v/>
      </c>
      <c r="E10" s="4">
        <f>IFERROR(E9/E3,"")</f>
        <v/>
      </c>
      <c r="F10">
        <f> FCF / revenue</f>
        <v/>
      </c>
    </row>
    <row r="11">
      <c r="A11" t="inlineStr">
        <is>
          <t>Capex</t>
        </is>
      </c>
      <c r="B11" s="3">
        <f>-'Cash flow (annual)'!D7</f>
        <v/>
      </c>
      <c r="C11" s="3">
        <f>-'Cash flow (annual)'!C7</f>
        <v/>
      </c>
      <c r="D11" s="3">
        <f>-'Cash flow (annual)'!B7</f>
        <v/>
      </c>
      <c r="E11" s="3">
        <f>-SUM('Cash flow (quarterly)'!B6:E6)</f>
        <v/>
      </c>
      <c r="F11" t="inlineStr">
        <is>
          <t>Capex (shown positive)</t>
        </is>
      </c>
    </row>
    <row r="12">
      <c r="A12" t="inlineStr">
        <is>
          <t>Capex / revenue %</t>
        </is>
      </c>
      <c r="B12" s="4">
        <f>IFERROR(B11/B3,"")</f>
        <v/>
      </c>
      <c r="C12" s="4">
        <f>IFERROR(C11/C3,"")</f>
        <v/>
      </c>
      <c r="D12" s="4">
        <f>IFERROR(D11/D3,"")</f>
        <v/>
      </c>
      <c r="E12" s="4">
        <f>IFERROR(E11/E3,"")</f>
        <v/>
      </c>
      <c r="F12">
        <f> capex / revenue</f>
        <v/>
      </c>
    </row>
    <row r="13">
      <c r="A13" t="inlineStr">
        <is>
          <t>Net debt</t>
        </is>
      </c>
      <c r="B13" s="3">
        <f>'Balance sheet (annual)'!D5</f>
        <v/>
      </c>
      <c r="C13" s="3">
        <f>'Balance sheet (annual)'!C5</f>
        <v/>
      </c>
      <c r="D13" s="3">
        <f>'Balance sheet (annual)'!B5</f>
        <v/>
      </c>
      <c r="E13" s="3">
        <f>'Balance sheet (quarterly)'!B4</f>
        <v/>
      </c>
      <c r="F13" t="inlineStr">
        <is>
          <t>Net debt; TTM = MRQ</t>
        </is>
      </c>
    </row>
    <row r="14">
      <c r="A14" t="inlineStr">
        <is>
          <t>Net debt / EBITDA</t>
        </is>
      </c>
      <c r="B14" s="5">
        <f>IFERROR(B13/B8,"")</f>
        <v/>
      </c>
      <c r="C14" s="5">
        <f>IFERROR(C13/C8,"")</f>
        <v/>
      </c>
      <c r="D14" s="5">
        <f>IFERROR(D13/D8,"")</f>
        <v/>
      </c>
      <c r="E14" s="5">
        <f>IFERROR(E13/E8,"")</f>
        <v/>
      </c>
      <c r="F14">
        <f> net debt / EBITDA</f>
        <v/>
      </c>
    </row>
    <row r="15">
      <c r="A15" t="inlineStr">
        <is>
          <t>Share count (period-end, M)</t>
        </is>
      </c>
      <c r="B15" s="6">
        <f>'Balance sheet (annual)'!D3/1e6</f>
        <v/>
      </c>
      <c r="C15" s="6">
        <f>'Balance sheet (annual)'!C3/1e6</f>
        <v/>
      </c>
      <c r="D15" s="6">
        <f>'Balance sheet (annual)'!B3/1e6</f>
        <v/>
      </c>
      <c r="E15" s="6">
        <f>'Balance sheet (quarterly)'!B2/1e6</f>
        <v/>
      </c>
      <c r="F15" t="inlineStr">
        <is>
          <t>shares ÷ 1e6; TTM = MRQ</t>
        </is>
      </c>
    </row>
    <row r="16">
      <c r="A16" t="inlineStr">
        <is>
          <t>Share count YoY %</t>
        </is>
      </c>
      <c r="B16" s="4" t="inlineStr"/>
      <c r="C16" s="4">
        <f>IFERROR(C15/B15-1,"")</f>
        <v/>
      </c>
      <c r="D16" s="4">
        <f>IFERROR(D15/C15-1,"")</f>
        <v/>
      </c>
      <c r="E16" s="4">
        <f>IFERROR(E15/D15-1,"")</f>
        <v/>
      </c>
      <c r="F16" t="inlineStr">
        <is>
          <t>vs prior period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Line item</t>
        </is>
      </c>
      <c r="B1" s="1" t="inlineStr">
        <is>
          <t>2025-10-31</t>
        </is>
      </c>
      <c r="C1" s="1" t="inlineStr">
        <is>
          <t>2024-10-31</t>
        </is>
      </c>
      <c r="D1" s="1" t="inlineStr">
        <is>
          <t>2023-10-31</t>
        </is>
      </c>
      <c r="E1" s="1" t="inlineStr">
        <is>
          <t>2022-10-31</t>
        </is>
      </c>
      <c r="F1" s="1" t="inlineStr">
        <is>
          <t>2021-10-31</t>
        </is>
      </c>
    </row>
    <row r="2">
      <c r="A2" t="inlineStr">
        <is>
          <t>Tax Effect Of Unusual Items</t>
        </is>
      </c>
      <c r="B2" s="3" t="n">
        <v>-384930000</v>
      </c>
      <c r="C2" s="3" t="n">
        <v>54483000</v>
      </c>
      <c r="D2" s="3" t="n">
        <v>-32476000</v>
      </c>
      <c r="E2" s="3" t="n">
        <v>-13005000</v>
      </c>
      <c r="F2" s="3" t="n"/>
    </row>
    <row r="3">
      <c r="A3" t="inlineStr">
        <is>
          <t>Tax Rate For Calcs</t>
        </is>
      </c>
      <c r="B3" s="3" t="n">
        <v>0.21</v>
      </c>
      <c r="C3" s="3" t="n">
        <v>0.127</v>
      </c>
      <c r="D3" s="3" t="n">
        <v>0.092</v>
      </c>
      <c r="E3" s="3" t="n">
        <v>0.008999999999999999</v>
      </c>
      <c r="F3" s="3" t="n"/>
    </row>
    <row r="4">
      <c r="A4" t="inlineStr">
        <is>
          <t>Normalized EBITDA</t>
        </is>
      </c>
      <c r="B4" s="3" t="n">
        <v>6214000000</v>
      </c>
      <c r="C4" s="3" t="n">
        <v>4629000000</v>
      </c>
      <c r="D4" s="3" t="n">
        <v>5411000000</v>
      </c>
      <c r="E4" s="3" t="n">
        <v>6152000000</v>
      </c>
      <c r="F4" s="3" t="n"/>
    </row>
    <row r="5">
      <c r="A5" t="inlineStr">
        <is>
          <t>Total Unusual Items</t>
        </is>
      </c>
      <c r="B5" s="3" t="n">
        <v>-1833000000</v>
      </c>
      <c r="C5" s="3" t="n">
        <v>429000000</v>
      </c>
      <c r="D5" s="3" t="n">
        <v>-353000000</v>
      </c>
      <c r="E5" s="3" t="n">
        <v>-1445000000</v>
      </c>
      <c r="F5" s="3" t="n"/>
    </row>
    <row r="6">
      <c r="A6" t="inlineStr">
        <is>
          <t>Total Unusual Items Excluding Goodwill</t>
        </is>
      </c>
      <c r="B6" s="3" t="n">
        <v>-1833000000</v>
      </c>
      <c r="C6" s="3" t="n">
        <v>429000000</v>
      </c>
      <c r="D6" s="3" t="n">
        <v>-353000000</v>
      </c>
      <c r="E6" s="3" t="n">
        <v>-1445000000</v>
      </c>
      <c r="F6" s="3" t="n"/>
    </row>
    <row r="7">
      <c r="A7" t="inlineStr">
        <is>
          <t>Net Income From Continuing Operation Net Minority Interest</t>
        </is>
      </c>
      <c r="B7" s="3" t="n">
        <v>57000000</v>
      </c>
      <c r="C7" s="3" t="n">
        <v>2579000000</v>
      </c>
      <c r="D7" s="3" t="n">
        <v>2025000000</v>
      </c>
      <c r="E7" s="3" t="n">
        <v>868000000</v>
      </c>
      <c r="F7" s="3" t="n"/>
    </row>
    <row r="8">
      <c r="A8" t="inlineStr">
        <is>
          <t>Reconciled Depreciation</t>
        </is>
      </c>
      <c r="B8" s="3" t="n">
        <v>2737000000</v>
      </c>
      <c r="C8" s="3" t="n">
        <v>2564000000</v>
      </c>
      <c r="D8" s="3" t="n">
        <v>2616000000</v>
      </c>
      <c r="E8" s="3" t="n">
        <v>2480000000</v>
      </c>
      <c r="F8" s="3" t="n"/>
    </row>
    <row r="9">
      <c r="A9" t="inlineStr">
        <is>
          <t>Reconciled Cost Of Revenue</t>
        </is>
      </c>
      <c r="B9" s="3" t="n">
        <v>21693000000</v>
      </c>
      <c r="C9" s="3" t="n">
        <v>17952000000</v>
      </c>
      <c r="D9" s="3" t="n">
        <v>16568000000</v>
      </c>
      <c r="E9" s="3" t="n">
        <v>16803000000</v>
      </c>
      <c r="F9" s="3" t="n"/>
    </row>
    <row r="10">
      <c r="A10" t="inlineStr">
        <is>
          <t>EBITDA</t>
        </is>
      </c>
      <c r="B10" s="3" t="n">
        <v>4381000000</v>
      </c>
      <c r="C10" s="3" t="n">
        <v>5058000000</v>
      </c>
      <c r="D10" s="3" t="n">
        <v>5058000000</v>
      </c>
      <c r="E10" s="3" t="n">
        <v>4707000000</v>
      </c>
      <c r="F10" s="3" t="n"/>
    </row>
    <row r="11">
      <c r="A11" t="inlineStr">
        <is>
          <t>EBIT</t>
        </is>
      </c>
      <c r="B11" s="3" t="n">
        <v>1644000000</v>
      </c>
      <c r="C11" s="3" t="n">
        <v>2494000000</v>
      </c>
      <c r="D11" s="3" t="n">
        <v>2442000000</v>
      </c>
      <c r="E11" s="3" t="n">
        <v>2227000000</v>
      </c>
      <c r="F11" s="3" t="n"/>
    </row>
    <row r="12">
      <c r="A12" t="inlineStr">
        <is>
          <t>Net Interest Income</t>
        </is>
      </c>
      <c r="B12" s="3" t="n">
        <v>-175000000</v>
      </c>
      <c r="C12" s="3" t="n">
        <v>-117000000</v>
      </c>
      <c r="D12" s="3" t="n">
        <v>-104000000</v>
      </c>
      <c r="E12" s="3" t="n">
        <v>-121000000</v>
      </c>
      <c r="F12" s="3" t="n"/>
    </row>
    <row r="13">
      <c r="A13" t="inlineStr">
        <is>
          <t>Interest Expense</t>
        </is>
      </c>
      <c r="B13" s="3" t="n"/>
      <c r="C13" s="3" t="n">
        <v>117000000</v>
      </c>
      <c r="D13" s="3" t="n">
        <v>104000000</v>
      </c>
      <c r="E13" s="3" t="n">
        <v>121000000</v>
      </c>
      <c r="F13" s="3" t="n">
        <v>211000000</v>
      </c>
    </row>
    <row r="14">
      <c r="A14" t="inlineStr">
        <is>
          <t>Normalized Income</t>
        </is>
      </c>
      <c r="B14" s="3" t="n">
        <v>1505070000</v>
      </c>
      <c r="C14" s="3" t="n">
        <v>2204483000</v>
      </c>
      <c r="D14" s="3" t="n">
        <v>2345524000</v>
      </c>
      <c r="E14" s="3" t="n">
        <v>2299995000</v>
      </c>
      <c r="F14" s="3" t="n"/>
    </row>
    <row r="15">
      <c r="A15" t="inlineStr">
        <is>
          <t>Net Income From Continuing And Discontinued Operation</t>
        </is>
      </c>
      <c r="B15" s="3" t="n">
        <v>57000000</v>
      </c>
      <c r="C15" s="3" t="n">
        <v>2579000000</v>
      </c>
      <c r="D15" s="3" t="n">
        <v>2025000000</v>
      </c>
      <c r="E15" s="3" t="n">
        <v>868000000</v>
      </c>
      <c r="F15" s="3" t="n"/>
    </row>
    <row r="16">
      <c r="A16" t="inlineStr">
        <is>
          <t>Total Expenses</t>
        </is>
      </c>
      <c r="B16" s="3" t="n">
        <v>32652000000</v>
      </c>
      <c r="C16" s="3" t="n">
        <v>27633000000</v>
      </c>
      <c r="D16" s="3" t="n">
        <v>26693000000</v>
      </c>
      <c r="E16" s="3" t="n">
        <v>26269000000</v>
      </c>
      <c r="F16" s="3" t="n"/>
    </row>
    <row r="17">
      <c r="A17" t="inlineStr">
        <is>
          <t>Total Operating Income As Reported</t>
        </is>
      </c>
      <c r="B17" s="3" t="n">
        <v>-437000000</v>
      </c>
      <c r="C17" s="3" t="n">
        <v>2190000000</v>
      </c>
      <c r="D17" s="3" t="n">
        <v>2089000000</v>
      </c>
      <c r="E17" s="3" t="n">
        <v>782000000</v>
      </c>
      <c r="F17" s="3" t="n"/>
    </row>
    <row r="18">
      <c r="A18" t="inlineStr">
        <is>
          <t>Diluted Average Shares</t>
        </is>
      </c>
      <c r="B18" s="3" t="n">
        <v>1324000000</v>
      </c>
      <c r="C18" s="3" t="n">
        <v>1337000000</v>
      </c>
      <c r="D18" s="3" t="n">
        <v>1316000000</v>
      </c>
      <c r="E18" s="3" t="n">
        <v>1322000000</v>
      </c>
      <c r="F18" s="3" t="n"/>
    </row>
    <row r="19">
      <c r="A19" t="inlineStr">
        <is>
          <t>Basic Average Shares</t>
        </is>
      </c>
      <c r="B19" s="3" t="n">
        <v>1324000000</v>
      </c>
      <c r="C19" s="3" t="n">
        <v>1309000000</v>
      </c>
      <c r="D19" s="3" t="n">
        <v>1299000000</v>
      </c>
      <c r="E19" s="3" t="n">
        <v>1303000000</v>
      </c>
      <c r="F19" s="3" t="n"/>
    </row>
    <row r="20">
      <c r="A20" t="inlineStr">
        <is>
          <t>Diluted EPS</t>
        </is>
      </c>
      <c r="B20" s="3" t="n">
        <v>-0.04</v>
      </c>
      <c r="C20" s="3" t="n">
        <v>1.93</v>
      </c>
      <c r="D20" s="3" t="n">
        <v>1.54</v>
      </c>
      <c r="E20" s="3" t="n">
        <v>0.66</v>
      </c>
      <c r="F20" s="3" t="n"/>
    </row>
    <row r="21">
      <c r="A21" t="inlineStr">
        <is>
          <t>Basic EPS</t>
        </is>
      </c>
      <c r="B21" s="3" t="n">
        <v>-0.04</v>
      </c>
      <c r="C21" s="3" t="n">
        <v>1.95</v>
      </c>
      <c r="D21" s="3" t="n">
        <v>1.56</v>
      </c>
      <c r="E21" s="3" t="n">
        <v>0.67</v>
      </c>
      <c r="F21" s="3" t="n"/>
    </row>
    <row r="22">
      <c r="A22" t="inlineStr">
        <is>
          <t>Diluted NI Availto Com Stockholders</t>
        </is>
      </c>
      <c r="B22" s="3" t="n">
        <v>-59000000</v>
      </c>
      <c r="C22" s="3" t="n">
        <v>2554000000</v>
      </c>
      <c r="D22" s="3" t="n">
        <v>2025000000</v>
      </c>
      <c r="E22" s="3" t="n">
        <v>868000000</v>
      </c>
      <c r="F22" s="3" t="n"/>
    </row>
    <row r="23">
      <c r="A23" t="inlineStr">
        <is>
          <t>Net Income Common Stockholders</t>
        </is>
      </c>
      <c r="B23" s="3" t="n">
        <v>-59000000</v>
      </c>
      <c r="C23" s="3" t="n">
        <v>2554000000</v>
      </c>
      <c r="D23" s="3" t="n">
        <v>2025000000</v>
      </c>
      <c r="E23" s="3" t="n">
        <v>868000000</v>
      </c>
      <c r="F23" s="3" t="n"/>
    </row>
    <row r="24">
      <c r="A24" t="inlineStr">
        <is>
          <t>Preferred Stock Dividends</t>
        </is>
      </c>
      <c r="B24" s="3" t="n">
        <v>116000000</v>
      </c>
      <c r="C24" s="3" t="n">
        <v>25000000</v>
      </c>
      <c r="D24" s="3" t="n"/>
      <c r="E24" s="3" t="n"/>
      <c r="F24" s="3" t="n"/>
    </row>
    <row r="25">
      <c r="A25" t="inlineStr">
        <is>
          <t>Net Income</t>
        </is>
      </c>
      <c r="B25" s="3" t="n">
        <v>57000000</v>
      </c>
      <c r="C25" s="3" t="n">
        <v>2579000000</v>
      </c>
      <c r="D25" s="3" t="n">
        <v>2025000000</v>
      </c>
      <c r="E25" s="3" t="n">
        <v>868000000</v>
      </c>
      <c r="F25" s="3" t="n"/>
    </row>
    <row r="26">
      <c r="A26" t="inlineStr">
        <is>
          <t>Net Income Including Noncontrolling Interests</t>
        </is>
      </c>
      <c r="B26" s="3" t="n">
        <v>57000000</v>
      </c>
      <c r="C26" s="3" t="n">
        <v>2579000000</v>
      </c>
      <c r="D26" s="3" t="n">
        <v>2025000000</v>
      </c>
      <c r="E26" s="3" t="n">
        <v>868000000</v>
      </c>
      <c r="F26" s="3" t="n"/>
    </row>
    <row r="27">
      <c r="A27" t="inlineStr">
        <is>
          <t>Net Income Continuous Operations</t>
        </is>
      </c>
      <c r="B27" s="3" t="n">
        <v>57000000</v>
      </c>
      <c r="C27" s="3" t="n">
        <v>2579000000</v>
      </c>
      <c r="D27" s="3" t="n">
        <v>2025000000</v>
      </c>
      <c r="E27" s="3" t="n">
        <v>868000000</v>
      </c>
      <c r="F27" s="3" t="n"/>
    </row>
    <row r="28">
      <c r="A28" t="inlineStr">
        <is>
          <t>Tax Provision</t>
        </is>
      </c>
      <c r="B28" s="3" t="n">
        <v>-342000000</v>
      </c>
      <c r="C28" s="3" t="n">
        <v>374000000</v>
      </c>
      <c r="D28" s="3" t="n">
        <v>205000000</v>
      </c>
      <c r="E28" s="3" t="n">
        <v>8000000</v>
      </c>
      <c r="F28" s="3" t="n"/>
    </row>
    <row r="29">
      <c r="A29" t="inlineStr">
        <is>
          <t>Pretax Income</t>
        </is>
      </c>
      <c r="B29" s="3" t="n">
        <v>-285000000</v>
      </c>
      <c r="C29" s="3" t="n">
        <v>2953000000</v>
      </c>
      <c r="D29" s="3" t="n">
        <v>2230000000</v>
      </c>
      <c r="E29" s="3" t="n">
        <v>876000000</v>
      </c>
      <c r="F29" s="3" t="n"/>
    </row>
    <row r="30">
      <c r="A30" t="inlineStr">
        <is>
          <t>Other Income Expense</t>
        </is>
      </c>
      <c r="B30" s="3" t="n">
        <v>-1754000000</v>
      </c>
      <c r="C30" s="3" t="n">
        <v>576000000</v>
      </c>
      <c r="D30" s="3" t="n">
        <v>-108000000</v>
      </c>
      <c r="E30" s="3" t="n">
        <v>-1230000000</v>
      </c>
      <c r="F30" s="3" t="n"/>
    </row>
    <row r="31">
      <c r="A31" t="inlineStr">
        <is>
          <t>Other Non Operating Income Expenses</t>
        </is>
      </c>
      <c r="B31" s="3" t="n"/>
      <c r="C31" s="3" t="n"/>
      <c r="D31" s="3" t="n">
        <v>52000000</v>
      </c>
      <c r="E31" s="3" t="n">
        <v>67000000</v>
      </c>
      <c r="F31" s="3" t="n">
        <v>135000000</v>
      </c>
    </row>
    <row r="32">
      <c r="A32" t="inlineStr">
        <is>
          <t>Special Income Charges</t>
        </is>
      </c>
      <c r="B32" s="3" t="n">
        <v>-1833000000</v>
      </c>
      <c r="C32" s="3" t="n">
        <v>429000000</v>
      </c>
      <c r="D32" s="3" t="n">
        <v>-353000000</v>
      </c>
      <c r="E32" s="3" t="n">
        <v>-1445000000</v>
      </c>
      <c r="F32" s="3" t="n"/>
    </row>
    <row r="33">
      <c r="A33" t="inlineStr">
        <is>
          <t>Gain On Sale Of Business</t>
        </is>
      </c>
      <c r="B33" s="3" t="n">
        <v>248000000</v>
      </c>
      <c r="C33" s="3" t="n">
        <v>733000000</v>
      </c>
      <c r="D33" s="3" t="n">
        <v>0</v>
      </c>
      <c r="E33" s="3" t="n">
        <v>0</v>
      </c>
      <c r="F33" s="3" t="n"/>
    </row>
    <row r="34">
      <c r="A34" t="inlineStr">
        <is>
          <t>Other Special Charges</t>
        </is>
      </c>
      <c r="B34" s="3" t="n"/>
      <c r="C34" s="3" t="n">
        <v>7000000</v>
      </c>
      <c r="D34" s="3" t="n">
        <v>1000000</v>
      </c>
      <c r="E34" s="3" t="n">
        <v>48000000</v>
      </c>
      <c r="F34" s="3" t="n">
        <v>-2335000000</v>
      </c>
    </row>
    <row r="35">
      <c r="A35" t="inlineStr">
        <is>
          <t>Impairment Of Capital Assets</t>
        </is>
      </c>
      <c r="B35" s="3" t="n">
        <v>1621000000</v>
      </c>
      <c r="C35" s="3" t="n">
        <v>0</v>
      </c>
      <c r="D35" s="3" t="n">
        <v>0</v>
      </c>
      <c r="E35" s="3" t="n">
        <v>905000000</v>
      </c>
      <c r="F35" s="3" t="n"/>
    </row>
    <row r="36">
      <c r="A36" t="inlineStr">
        <is>
          <t>Restructuring And Mergern Acquisition</t>
        </is>
      </c>
      <c r="B36" s="3" t="n">
        <v>460000000</v>
      </c>
      <c r="C36" s="3" t="n">
        <v>304000000</v>
      </c>
      <c r="D36" s="3" t="n">
        <v>353000000</v>
      </c>
      <c r="E36" s="3" t="n">
        <v>492000000</v>
      </c>
      <c r="F36" s="3" t="n"/>
    </row>
    <row r="37">
      <c r="A37" t="inlineStr">
        <is>
          <t>Earnings From Equity Interest</t>
        </is>
      </c>
      <c r="B37" s="3" t="n">
        <v>79000000</v>
      </c>
      <c r="C37" s="3" t="n">
        <v>147000000</v>
      </c>
      <c r="D37" s="3" t="n">
        <v>245000000</v>
      </c>
      <c r="E37" s="3" t="n">
        <v>215000000</v>
      </c>
      <c r="F37" s="3" t="n"/>
    </row>
    <row r="38">
      <c r="A38" t="inlineStr">
        <is>
          <t>Net Non Operating Interest Income Expense</t>
        </is>
      </c>
      <c r="B38" s="3" t="n">
        <v>-175000000</v>
      </c>
      <c r="C38" s="3" t="n">
        <v>-117000000</v>
      </c>
      <c r="D38" s="3" t="n">
        <v>-104000000</v>
      </c>
      <c r="E38" s="3" t="n">
        <v>-121000000</v>
      </c>
      <c r="F38" s="3" t="n"/>
    </row>
    <row r="39">
      <c r="A39" t="inlineStr">
        <is>
          <t>Total Other Finance Cost</t>
        </is>
      </c>
      <c r="B39" s="3" t="n">
        <v>175000000</v>
      </c>
      <c r="C39" s="3" t="n">
        <v>117000000</v>
      </c>
      <c r="D39" s="3" t="n">
        <v>104000000</v>
      </c>
      <c r="E39" s="3" t="n">
        <v>121000000</v>
      </c>
      <c r="F39" s="3" t="n"/>
    </row>
    <row r="40">
      <c r="A40" t="inlineStr">
        <is>
          <t>Interest Expense Non Operating</t>
        </is>
      </c>
      <c r="B40" s="3" t="n"/>
      <c r="C40" s="3" t="n">
        <v>117000000</v>
      </c>
      <c r="D40" s="3" t="n">
        <v>104000000</v>
      </c>
      <c r="E40" s="3" t="n">
        <v>121000000</v>
      </c>
      <c r="F40" s="3" t="n">
        <v>211000000</v>
      </c>
    </row>
    <row r="41">
      <c r="A41" t="inlineStr">
        <is>
          <t>Operating Income</t>
        </is>
      </c>
      <c r="B41" s="3" t="n">
        <v>1644000000</v>
      </c>
      <c r="C41" s="3" t="n">
        <v>2494000000</v>
      </c>
      <c r="D41" s="3" t="n">
        <v>2442000000</v>
      </c>
      <c r="E41" s="3" t="n">
        <v>2227000000</v>
      </c>
      <c r="F41" s="3" t="n"/>
    </row>
    <row r="42">
      <c r="A42" t="inlineStr">
        <is>
          <t>Operating Expense</t>
        </is>
      </c>
      <c r="B42" s="3" t="n">
        <v>8733000000</v>
      </c>
      <c r="C42" s="3" t="n">
        <v>7384000000</v>
      </c>
      <c r="D42" s="3" t="n">
        <v>7797000000</v>
      </c>
      <c r="E42" s="3" t="n">
        <v>7279000000</v>
      </c>
      <c r="F42" s="3" t="n"/>
    </row>
    <row r="43">
      <c r="A43" t="inlineStr">
        <is>
          <t>Other Taxes</t>
        </is>
      </c>
      <c r="B43" s="3" t="n"/>
      <c r="C43" s="3" t="n"/>
      <c r="D43" s="3" t="n">
        <v>-55000000</v>
      </c>
      <c r="E43" s="3" t="n">
        <v>67000000</v>
      </c>
      <c r="F43" s="3" t="n">
        <v>-65000000</v>
      </c>
    </row>
    <row r="44">
      <c r="A44" t="inlineStr">
        <is>
          <t>Depreciation Amortization Depletion Income Statement</t>
        </is>
      </c>
      <c r="B44" s="3" t="n">
        <v>511000000</v>
      </c>
      <c r="C44" s="3" t="n">
        <v>267000000</v>
      </c>
      <c r="D44" s="3" t="n">
        <v>288000000</v>
      </c>
      <c r="E44" s="3" t="n">
        <v>293000000</v>
      </c>
      <c r="F44" s="3" t="n"/>
    </row>
    <row r="45">
      <c r="A45" t="inlineStr">
        <is>
          <t>Depreciation And Amortization In Income Statement</t>
        </is>
      </c>
      <c r="B45" s="3" t="n">
        <v>511000000</v>
      </c>
      <c r="C45" s="3" t="n">
        <v>267000000</v>
      </c>
      <c r="D45" s="3" t="n">
        <v>288000000</v>
      </c>
      <c r="E45" s="3" t="n">
        <v>293000000</v>
      </c>
      <c r="F45" s="3" t="n"/>
    </row>
    <row r="46">
      <c r="A46" t="inlineStr">
        <is>
          <t>Amortization</t>
        </is>
      </c>
      <c r="B46" s="3" t="n">
        <v>511000000</v>
      </c>
      <c r="C46" s="3" t="n">
        <v>267000000</v>
      </c>
      <c r="D46" s="3" t="n">
        <v>288000000</v>
      </c>
      <c r="E46" s="3" t="n">
        <v>293000000</v>
      </c>
      <c r="F46" s="3" t="n"/>
    </row>
    <row r="47">
      <c r="A47" t="inlineStr">
        <is>
          <t>Amortization Of Intangibles Income Statement</t>
        </is>
      </c>
      <c r="B47" s="3" t="n">
        <v>511000000</v>
      </c>
      <c r="C47" s="3" t="n">
        <v>267000000</v>
      </c>
      <c r="D47" s="3" t="n">
        <v>288000000</v>
      </c>
      <c r="E47" s="3" t="n">
        <v>293000000</v>
      </c>
      <c r="F47" s="3" t="n"/>
    </row>
    <row r="48">
      <c r="A48" t="inlineStr">
        <is>
          <t>Research And Development</t>
        </is>
      </c>
      <c r="B48" s="3" t="n">
        <v>2518000000</v>
      </c>
      <c r="C48" s="3" t="n">
        <v>2246000000</v>
      </c>
      <c r="D48" s="3" t="n">
        <v>2349000000</v>
      </c>
      <c r="E48" s="3" t="n">
        <v>2045000000</v>
      </c>
      <c r="F48" s="3" t="n"/>
    </row>
    <row r="49">
      <c r="A49" t="inlineStr">
        <is>
          <t>Selling General And Administration</t>
        </is>
      </c>
      <c r="B49" s="3" t="n">
        <v>5704000000</v>
      </c>
      <c r="C49" s="3" t="n">
        <v>4871000000</v>
      </c>
      <c r="D49" s="3" t="n">
        <v>5160000000</v>
      </c>
      <c r="E49" s="3" t="n">
        <v>4941000000</v>
      </c>
      <c r="F49" s="3" t="n"/>
    </row>
    <row r="50">
      <c r="A50" t="inlineStr">
        <is>
          <t>Gross Profit</t>
        </is>
      </c>
      <c r="B50" s="3" t="n">
        <v>10377000000</v>
      </c>
      <c r="C50" s="3" t="n">
        <v>9878000000</v>
      </c>
      <c r="D50" s="3" t="n">
        <v>10239000000</v>
      </c>
      <c r="E50" s="3" t="n">
        <v>9506000000</v>
      </c>
      <c r="F50" s="3" t="n"/>
    </row>
    <row r="51">
      <c r="A51" t="inlineStr">
        <is>
          <t>Cost Of Revenue</t>
        </is>
      </c>
      <c r="B51" s="3" t="n">
        <v>23919000000</v>
      </c>
      <c r="C51" s="3" t="n">
        <v>20249000000</v>
      </c>
      <c r="D51" s="3" t="n">
        <v>18896000000</v>
      </c>
      <c r="E51" s="3" t="n">
        <v>18990000000</v>
      </c>
      <c r="F51" s="3" t="n"/>
    </row>
    <row r="52">
      <c r="A52" t="inlineStr">
        <is>
          <t>Total Revenue</t>
        </is>
      </c>
      <c r="B52" s="3" t="n">
        <v>34296000000</v>
      </c>
      <c r="C52" s="3" t="n">
        <v>30127000000</v>
      </c>
      <c r="D52" s="3" t="n">
        <v>29135000000</v>
      </c>
      <c r="E52" s="3" t="n">
        <v>28496000000</v>
      </c>
      <c r="F52" s="3" t="n"/>
    </row>
    <row r="53">
      <c r="A53" t="inlineStr">
        <is>
          <t>Operating Revenue</t>
        </is>
      </c>
      <c r="B53" s="3" t="n">
        <v>34296000000</v>
      </c>
      <c r="C53" s="3" t="n">
        <v>30127000000</v>
      </c>
      <c r="D53" s="3" t="n">
        <v>29135000000</v>
      </c>
      <c r="E53" s="3" t="n">
        <v>28496000000</v>
      </c>
      <c r="F53" s="3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Line item</t>
        </is>
      </c>
      <c r="B1" s="1" t="inlineStr">
        <is>
          <t>2026-04-30</t>
        </is>
      </c>
      <c r="C1" s="1" t="inlineStr">
        <is>
          <t>2026-01-31</t>
        </is>
      </c>
      <c r="D1" s="1" t="inlineStr">
        <is>
          <t>2025-10-31</t>
        </is>
      </c>
      <c r="E1" s="1" t="inlineStr">
        <is>
          <t>2025-07-31</t>
        </is>
      </c>
      <c r="F1" s="1" t="inlineStr">
        <is>
          <t>2025-04-30</t>
        </is>
      </c>
      <c r="G1" s="1" t="inlineStr">
        <is>
          <t>2025-01-31</t>
        </is>
      </c>
      <c r="H1" s="1" t="inlineStr">
        <is>
          <t>2024-10-31</t>
        </is>
      </c>
    </row>
    <row r="2">
      <c r="A2" t="inlineStr">
        <is>
          <t>Tax Effect Of Unusual Items</t>
        </is>
      </c>
      <c r="B2" s="3" t="n">
        <v>-8346000</v>
      </c>
      <c r="C2" s="3" t="n">
        <v>-46800000</v>
      </c>
      <c r="D2" s="3" t="n">
        <v>-86730000</v>
      </c>
      <c r="E2" s="3" t="n">
        <v>-37800000</v>
      </c>
      <c r="F2" s="3" t="n">
        <v>-294630000</v>
      </c>
      <c r="G2" s="3" t="n"/>
      <c r="H2" s="3" t="n"/>
    </row>
    <row r="3">
      <c r="A3" t="inlineStr">
        <is>
          <t>Tax Rate For Calcs</t>
        </is>
      </c>
      <c r="B3" s="3" t="n">
        <v>0.107</v>
      </c>
      <c r="C3" s="3" t="n">
        <v>0.4</v>
      </c>
      <c r="D3" s="3" t="n">
        <v>0.21</v>
      </c>
      <c r="E3" s="3" t="n">
        <v>0.21</v>
      </c>
      <c r="F3" s="3" t="n">
        <v>0.21</v>
      </c>
      <c r="G3" s="3" t="n"/>
      <c r="H3" s="3" t="n"/>
    </row>
    <row r="4">
      <c r="A4" t="inlineStr">
        <is>
          <t>Normalized EBITDA</t>
        </is>
      </c>
      <c r="B4" s="3" t="n">
        <v>1780000000</v>
      </c>
      <c r="C4" s="3" t="n">
        <v>1576000000</v>
      </c>
      <c r="D4" s="3" t="n">
        <v>1698000000</v>
      </c>
      <c r="E4" s="3" t="n">
        <v>1295000000</v>
      </c>
      <c r="F4" s="3" t="n">
        <v>2271000000</v>
      </c>
      <c r="G4" s="3" t="n"/>
      <c r="H4" s="3" t="n"/>
    </row>
    <row r="5">
      <c r="A5" t="inlineStr">
        <is>
          <t>Total Unusual Items</t>
        </is>
      </c>
      <c r="B5" s="3" t="n">
        <v>-78000000</v>
      </c>
      <c r="C5" s="3" t="n">
        <v>-117000000</v>
      </c>
      <c r="D5" s="3" t="n">
        <v>-413000000</v>
      </c>
      <c r="E5" s="3" t="n">
        <v>-180000000</v>
      </c>
      <c r="F5" s="3" t="n">
        <v>-1403000000</v>
      </c>
      <c r="G5" s="3" t="n"/>
      <c r="H5" s="3" t="n"/>
    </row>
    <row r="6">
      <c r="A6" t="inlineStr">
        <is>
          <t>Total Unusual Items Excluding Goodwill</t>
        </is>
      </c>
      <c r="B6" s="3" t="n">
        <v>-78000000</v>
      </c>
      <c r="C6" s="3" t="n">
        <v>-117000000</v>
      </c>
      <c r="D6" s="3" t="n">
        <v>-413000000</v>
      </c>
      <c r="E6" s="3" t="n">
        <v>-180000000</v>
      </c>
      <c r="F6" s="3" t="n">
        <v>-1403000000</v>
      </c>
      <c r="G6" s="3" t="n"/>
      <c r="H6" s="3" t="n"/>
    </row>
    <row r="7">
      <c r="A7" t="inlineStr">
        <is>
          <t>Net Income From Continuing Operation Net Minority Interest</t>
        </is>
      </c>
      <c r="B7" s="3" t="n">
        <v>624000000</v>
      </c>
      <c r="C7" s="3" t="n">
        <v>452000000</v>
      </c>
      <c r="D7" s="3" t="n">
        <v>175000000</v>
      </c>
      <c r="E7" s="3" t="n">
        <v>305000000</v>
      </c>
      <c r="F7" s="3" t="n">
        <v>-1050000000</v>
      </c>
      <c r="G7" s="3" t="n"/>
      <c r="H7" s="3" t="n"/>
    </row>
    <row r="8">
      <c r="A8" t="inlineStr">
        <is>
          <t>Reconciled Depreciation</t>
        </is>
      </c>
      <c r="B8" s="3" t="n">
        <v>877000000</v>
      </c>
      <c r="C8" s="3" t="n">
        <v>872000000</v>
      </c>
      <c r="D8" s="3" t="n">
        <v>877000000</v>
      </c>
      <c r="E8" s="3" t="n">
        <v>687000000</v>
      </c>
      <c r="F8" s="3" t="n">
        <v>574000000</v>
      </c>
      <c r="G8" s="3" t="n"/>
      <c r="H8" s="3" t="n"/>
    </row>
    <row r="9">
      <c r="A9" t="inlineStr">
        <is>
          <t>Reconciled Cost Of Revenue</t>
        </is>
      </c>
      <c r="B9" s="3" t="n">
        <v>6224000000</v>
      </c>
      <c r="C9" s="3" t="n">
        <v>5400000000</v>
      </c>
      <c r="D9" s="3" t="n">
        <v>5871000000</v>
      </c>
      <c r="E9" s="3" t="n">
        <v>5903000000</v>
      </c>
      <c r="F9" s="3" t="n">
        <v>4921000000</v>
      </c>
      <c r="G9" s="3" t="n"/>
      <c r="H9" s="3" t="n"/>
    </row>
    <row r="10">
      <c r="A10" t="inlineStr">
        <is>
          <t>EBITDA</t>
        </is>
      </c>
      <c r="B10" s="3" t="n">
        <v>1702000000</v>
      </c>
      <c r="C10" s="3" t="n">
        <v>1459000000</v>
      </c>
      <c r="D10" s="3" t="n">
        <v>1285000000</v>
      </c>
      <c r="E10" s="3" t="n">
        <v>1115000000</v>
      </c>
      <c r="F10" s="3" t="n">
        <v>868000000</v>
      </c>
      <c r="G10" s="3" t="n"/>
      <c r="H10" s="3" t="n"/>
    </row>
    <row r="11">
      <c r="A11" t="inlineStr">
        <is>
          <t>EBIT</t>
        </is>
      </c>
      <c r="B11" s="3" t="n">
        <v>825000000</v>
      </c>
      <c r="C11" s="3" t="n">
        <v>587000000</v>
      </c>
      <c r="D11" s="3" t="n">
        <v>408000000</v>
      </c>
      <c r="E11" s="3" t="n">
        <v>428000000</v>
      </c>
      <c r="F11" s="3" t="n">
        <v>294000000</v>
      </c>
      <c r="G11" s="3" t="n"/>
      <c r="H11" s="3" t="n"/>
    </row>
    <row r="12">
      <c r="A12" t="inlineStr">
        <is>
          <t>Net Interest Income</t>
        </is>
      </c>
      <c r="B12" s="3" t="n">
        <v>-73000000</v>
      </c>
      <c r="C12" s="3" t="n">
        <v>-54000000</v>
      </c>
      <c r="D12" s="3" t="n">
        <v>-261000000</v>
      </c>
      <c r="E12" s="3" t="n">
        <v>8000000</v>
      </c>
      <c r="F12" s="3" t="n">
        <v>39000000</v>
      </c>
      <c r="G12" s="3" t="n"/>
      <c r="H12" s="3" t="n"/>
    </row>
    <row r="13">
      <c r="A13" t="inlineStr">
        <is>
          <t>Interest Income</t>
        </is>
      </c>
      <c r="B13" s="3" t="n"/>
      <c r="C13" s="3" t="n"/>
      <c r="D13" s="3" t="n"/>
      <c r="E13" s="3" t="n">
        <v>8000000</v>
      </c>
      <c r="F13" s="3" t="n"/>
      <c r="G13" s="3" t="n"/>
      <c r="H13" s="3" t="n"/>
    </row>
    <row r="14">
      <c r="A14" t="inlineStr">
        <is>
          <t>Normalized Income</t>
        </is>
      </c>
      <c r="B14" s="3" t="n">
        <v>693654000</v>
      </c>
      <c r="C14" s="3" t="n">
        <v>522200000</v>
      </c>
      <c r="D14" s="3" t="n">
        <v>501270000</v>
      </c>
      <c r="E14" s="3" t="n">
        <v>447200000</v>
      </c>
      <c r="F14" s="3" t="n">
        <v>58370000</v>
      </c>
      <c r="G14" s="3" t="n"/>
      <c r="H14" s="3" t="n"/>
    </row>
    <row r="15">
      <c r="A15" t="inlineStr">
        <is>
          <t>Net Income From Continuing And Discontinued Operation</t>
        </is>
      </c>
      <c r="B15" s="3" t="n">
        <v>624000000</v>
      </c>
      <c r="C15" s="3" t="n">
        <v>452000000</v>
      </c>
      <c r="D15" s="3" t="n">
        <v>175000000</v>
      </c>
      <c r="E15" s="3" t="n">
        <v>305000000</v>
      </c>
      <c r="F15" s="3" t="n">
        <v>-1050000000</v>
      </c>
      <c r="G15" s="3" t="n"/>
      <c r="H15" s="3" t="n"/>
    </row>
    <row r="16">
      <c r="A16" t="inlineStr">
        <is>
          <t>Total Expenses</t>
        </is>
      </c>
      <c r="B16" s="3" t="n">
        <v>9853000000</v>
      </c>
      <c r="C16" s="3" t="n">
        <v>8714000000</v>
      </c>
      <c r="D16" s="3" t="n">
        <v>9271000000</v>
      </c>
      <c r="E16" s="3" t="n">
        <v>8708000000</v>
      </c>
      <c r="F16" s="3" t="n">
        <v>7333000000</v>
      </c>
      <c r="G16" s="3" t="n"/>
      <c r="H16" s="3" t="n"/>
    </row>
    <row r="17">
      <c r="A17" t="inlineStr">
        <is>
          <t>Total Operating Income As Reported</t>
        </is>
      </c>
      <c r="B17" s="3" t="n">
        <v>747000000</v>
      </c>
      <c r="C17" s="3" t="n">
        <v>470000000</v>
      </c>
      <c r="D17" s="3" t="n">
        <v>-8000000</v>
      </c>
      <c r="E17" s="3" t="n">
        <v>247000000</v>
      </c>
      <c r="F17" s="3" t="n">
        <v>-1109000000</v>
      </c>
      <c r="G17" s="3" t="n"/>
      <c r="H17" s="3" t="n"/>
    </row>
    <row r="18">
      <c r="A18" t="inlineStr">
        <is>
          <t>Diluted Average Shares</t>
        </is>
      </c>
      <c r="B18" s="3" t="n">
        <v>1432000000</v>
      </c>
      <c r="C18" s="3" t="n">
        <v>1356000000</v>
      </c>
      <c r="D18" s="3" t="n">
        <v>1361000000</v>
      </c>
      <c r="E18" s="3" t="n">
        <v>1421000000</v>
      </c>
      <c r="F18" s="3" t="n">
        <v>1322000000</v>
      </c>
      <c r="G18" s="3" t="n"/>
      <c r="H18" s="3" t="n"/>
    </row>
    <row r="19">
      <c r="A19" t="inlineStr">
        <is>
          <t>Basic Average Shares</t>
        </is>
      </c>
      <c r="B19" s="3" t="n">
        <v>1335000000</v>
      </c>
      <c r="C19" s="3" t="n">
        <v>1334000000</v>
      </c>
      <c r="D19" s="3" t="n">
        <v>1332000000</v>
      </c>
      <c r="E19" s="3" t="n">
        <v>1325000000</v>
      </c>
      <c r="F19" s="3" t="n">
        <v>1322000000</v>
      </c>
      <c r="G19" s="3" t="n"/>
      <c r="H19" s="3" t="n"/>
    </row>
    <row r="20">
      <c r="A20" t="inlineStr">
        <is>
          <t>Diluted EPS</t>
        </is>
      </c>
      <c r="B20" s="3" t="n">
        <v>0.44</v>
      </c>
      <c r="C20" s="3" t="n">
        <v>0.31</v>
      </c>
      <c r="D20" s="3" t="n">
        <v>0.11</v>
      </c>
      <c r="E20" s="3" t="n">
        <v>0.21</v>
      </c>
      <c r="F20" s="3" t="n">
        <v>-0.82</v>
      </c>
      <c r="G20" s="3" t="n"/>
      <c r="H20" s="3" t="n"/>
    </row>
    <row r="21">
      <c r="A21" t="inlineStr">
        <is>
          <t>Basic EPS</t>
        </is>
      </c>
      <c r="B21" s="3" t="n">
        <v>0.45</v>
      </c>
      <c r="C21" s="3" t="n">
        <v>0.32</v>
      </c>
      <c r="D21" s="3" t="n">
        <v>0.11</v>
      </c>
      <c r="E21" s="3" t="n">
        <v>0.21</v>
      </c>
      <c r="F21" s="3" t="n">
        <v>-0.82</v>
      </c>
      <c r="G21" s="3" t="n"/>
      <c r="H21" s="3" t="n"/>
    </row>
    <row r="22">
      <c r="A22" t="inlineStr">
        <is>
          <t>Diluted NI Availto Com Stockholders</t>
        </is>
      </c>
      <c r="B22" s="3" t="n">
        <v>595000000</v>
      </c>
      <c r="C22" s="3" t="n">
        <v>423000000</v>
      </c>
      <c r="D22" s="3" t="n">
        <v>146000000</v>
      </c>
      <c r="E22" s="3" t="n">
        <v>276000000</v>
      </c>
      <c r="F22" s="3" t="n">
        <v>-1079000000</v>
      </c>
      <c r="G22" s="3" t="n"/>
      <c r="H22" s="3" t="n"/>
    </row>
    <row r="23">
      <c r="A23" t="inlineStr">
        <is>
          <t>Average Dilution Earnings</t>
        </is>
      </c>
      <c r="B23" s="3" t="n"/>
      <c r="C23" s="3" t="n">
        <v>0</v>
      </c>
      <c r="D23" s="3" t="n"/>
      <c r="E23" s="3" t="n"/>
      <c r="F23" s="3" t="n"/>
      <c r="G23" s="3" t="n">
        <v>29000000</v>
      </c>
      <c r="H23" s="3" t="n"/>
    </row>
    <row r="24">
      <c r="A24" t="inlineStr">
        <is>
          <t>Net Income Common Stockholders</t>
        </is>
      </c>
      <c r="B24" s="3" t="n">
        <v>595000000</v>
      </c>
      <c r="C24" s="3" t="n">
        <v>423000000</v>
      </c>
      <c r="D24" s="3" t="n">
        <v>146000000</v>
      </c>
      <c r="E24" s="3" t="n">
        <v>276000000</v>
      </c>
      <c r="F24" s="3" t="n">
        <v>-1079000000</v>
      </c>
      <c r="G24" s="3" t="n"/>
      <c r="H24" s="3" t="n"/>
    </row>
    <row r="25">
      <c r="A25" t="inlineStr">
        <is>
          <t>Preferred Stock Dividends</t>
        </is>
      </c>
      <c r="B25" s="3" t="n">
        <v>29000000</v>
      </c>
      <c r="C25" s="3" t="n">
        <v>29000000</v>
      </c>
      <c r="D25" s="3" t="n">
        <v>29000000</v>
      </c>
      <c r="E25" s="3" t="n">
        <v>29000000</v>
      </c>
      <c r="F25" s="3" t="n">
        <v>29000000</v>
      </c>
      <c r="G25" s="3" t="n"/>
      <c r="H25" s="3" t="n"/>
    </row>
    <row r="26">
      <c r="A26" t="inlineStr">
        <is>
          <t>Net Income</t>
        </is>
      </c>
      <c r="B26" s="3" t="n">
        <v>624000000</v>
      </c>
      <c r="C26" s="3" t="n">
        <v>452000000</v>
      </c>
      <c r="D26" s="3" t="n">
        <v>175000000</v>
      </c>
      <c r="E26" s="3" t="n">
        <v>305000000</v>
      </c>
      <c r="F26" s="3" t="n">
        <v>-1050000000</v>
      </c>
      <c r="G26" s="3" t="n"/>
      <c r="H26" s="3" t="n"/>
    </row>
    <row r="27">
      <c r="A27" t="inlineStr">
        <is>
          <t>Net Income Including Noncontrolling Interests</t>
        </is>
      </c>
      <c r="B27" s="3" t="n">
        <v>624000000</v>
      </c>
      <c r="C27" s="3" t="n">
        <v>452000000</v>
      </c>
      <c r="D27" s="3" t="n">
        <v>175000000</v>
      </c>
      <c r="E27" s="3" t="n">
        <v>305000000</v>
      </c>
      <c r="F27" s="3" t="n">
        <v>-1050000000</v>
      </c>
      <c r="G27" s="3" t="n"/>
      <c r="H27" s="3" t="n"/>
    </row>
    <row r="28">
      <c r="A28" t="inlineStr">
        <is>
          <t>Net Income Continuous Operations</t>
        </is>
      </c>
      <c r="B28" s="3" t="n">
        <v>624000000</v>
      </c>
      <c r="C28" s="3" t="n">
        <v>452000000</v>
      </c>
      <c r="D28" s="3" t="n">
        <v>175000000</v>
      </c>
      <c r="E28" s="3" t="n">
        <v>305000000</v>
      </c>
      <c r="F28" s="3" t="n">
        <v>-1050000000</v>
      </c>
      <c r="G28" s="3" t="n"/>
      <c r="H28" s="3" t="n"/>
    </row>
    <row r="29">
      <c r="A29" t="inlineStr">
        <is>
          <t>Tax Provision</t>
        </is>
      </c>
      <c r="B29" s="3" t="n">
        <v>75000000</v>
      </c>
      <c r="C29" s="3" t="n">
        <v>-19000000</v>
      </c>
      <c r="D29" s="3" t="n">
        <v>-436000000</v>
      </c>
      <c r="E29" s="3" t="n">
        <v>-17000000</v>
      </c>
      <c r="F29" s="3" t="n">
        <v>5000000</v>
      </c>
      <c r="G29" s="3" t="n"/>
      <c r="H29" s="3" t="n"/>
    </row>
    <row r="30">
      <c r="A30" t="inlineStr">
        <is>
          <t>Pretax Income</t>
        </is>
      </c>
      <c r="B30" s="3" t="n">
        <v>699000000</v>
      </c>
      <c r="C30" s="3" t="n">
        <v>433000000</v>
      </c>
      <c r="D30" s="3" t="n">
        <v>-261000000</v>
      </c>
      <c r="E30" s="3" t="n">
        <v>288000000</v>
      </c>
      <c r="F30" s="3" t="n">
        <v>-1045000000</v>
      </c>
      <c r="G30" s="3" t="n"/>
      <c r="H30" s="3" t="n"/>
    </row>
    <row r="31">
      <c r="A31" t="inlineStr">
        <is>
          <t>Other Income Expense</t>
        </is>
      </c>
      <c r="B31" s="3" t="n">
        <v>-53000000</v>
      </c>
      <c r="C31" s="3" t="n">
        <v>-100000000</v>
      </c>
      <c r="D31" s="3" t="n">
        <v>-408000000</v>
      </c>
      <c r="E31" s="3" t="n">
        <v>-148000000</v>
      </c>
      <c r="F31" s="3" t="n">
        <v>-1378000000</v>
      </c>
      <c r="G31" s="3" t="n"/>
      <c r="H31" s="3" t="n"/>
    </row>
    <row r="32">
      <c r="A32" t="inlineStr">
        <is>
          <t>Special Income Charges</t>
        </is>
      </c>
      <c r="B32" s="3" t="n">
        <v>-78000000</v>
      </c>
      <c r="C32" s="3" t="n">
        <v>-117000000</v>
      </c>
      <c r="D32" s="3" t="n">
        <v>-413000000</v>
      </c>
      <c r="E32" s="3" t="n">
        <v>-180000000</v>
      </c>
      <c r="F32" s="3" t="n">
        <v>-1403000000</v>
      </c>
      <c r="G32" s="3" t="n"/>
      <c r="H32" s="3" t="n"/>
    </row>
    <row r="33">
      <c r="A33" t="inlineStr">
        <is>
          <t>Gain On Sale Of Business</t>
        </is>
      </c>
      <c r="B33" s="3" t="n">
        <v>0</v>
      </c>
      <c r="C33" s="3" t="n">
        <v>0</v>
      </c>
      <c r="D33" s="3" t="n">
        <v>3000000</v>
      </c>
      <c r="E33" s="3" t="n">
        <v>1000000</v>
      </c>
      <c r="F33" s="3" t="n">
        <v>0</v>
      </c>
      <c r="G33" s="3" t="n"/>
      <c r="H33" s="3" t="n"/>
    </row>
    <row r="34">
      <c r="A34" t="inlineStr">
        <is>
          <t>Other Special Charges</t>
        </is>
      </c>
      <c r="B34" s="3" t="n"/>
      <c r="C34" s="3" t="n"/>
      <c r="D34" s="3" t="n"/>
      <c r="E34" s="3" t="n"/>
      <c r="F34" s="3" t="n"/>
      <c r="G34" s="3" t="n"/>
      <c r="H34" s="3" t="n">
        <v>2000000</v>
      </c>
    </row>
    <row r="35">
      <c r="A35" t="inlineStr">
        <is>
          <t>Impairment Of Capital Assets</t>
        </is>
      </c>
      <c r="B35" s="3" t="n">
        <v>0</v>
      </c>
      <c r="C35" s="3" t="n"/>
      <c r="D35" s="3" t="n">
        <v>260000000</v>
      </c>
      <c r="E35" s="3" t="n">
        <v>0</v>
      </c>
      <c r="F35" s="3" t="n">
        <v>1361000000</v>
      </c>
      <c r="G35" s="3" t="n"/>
      <c r="H35" s="3" t="n"/>
    </row>
    <row r="36">
      <c r="A36" t="inlineStr">
        <is>
          <t>Restructuring And Mergern Acquisition</t>
        </is>
      </c>
      <c r="B36" s="3" t="n">
        <v>78000000</v>
      </c>
      <c r="C36" s="3" t="n">
        <v>117000000</v>
      </c>
      <c r="D36" s="3" t="n">
        <v>156000000</v>
      </c>
      <c r="E36" s="3" t="n">
        <v>181000000</v>
      </c>
      <c r="F36" s="3" t="n">
        <v>42000000</v>
      </c>
      <c r="G36" s="3" t="n"/>
      <c r="H36" s="3" t="n"/>
    </row>
    <row r="37">
      <c r="A37" t="inlineStr">
        <is>
          <t>Earnings From Equity Interest</t>
        </is>
      </c>
      <c r="B37" s="3" t="n">
        <v>25000000</v>
      </c>
      <c r="C37" s="3" t="n">
        <v>17000000</v>
      </c>
      <c r="D37" s="3" t="n">
        <v>5000000</v>
      </c>
      <c r="E37" s="3" t="n">
        <v>32000000</v>
      </c>
      <c r="F37" s="3" t="n">
        <v>25000000</v>
      </c>
      <c r="G37" s="3" t="n"/>
      <c r="H37" s="3" t="n"/>
    </row>
    <row r="38">
      <c r="A38" t="inlineStr">
        <is>
          <t>Net Non Operating Interest Income Expense</t>
        </is>
      </c>
      <c r="B38" s="3" t="n">
        <v>-73000000</v>
      </c>
      <c r="C38" s="3" t="n">
        <v>-54000000</v>
      </c>
      <c r="D38" s="3" t="n">
        <v>-261000000</v>
      </c>
      <c r="E38" s="3" t="n">
        <v>8000000</v>
      </c>
      <c r="F38" s="3" t="n">
        <v>39000000</v>
      </c>
      <c r="G38" s="3" t="n"/>
      <c r="H38" s="3" t="n"/>
    </row>
    <row r="39">
      <c r="A39" t="inlineStr">
        <is>
          <t>Total Other Finance Cost</t>
        </is>
      </c>
      <c r="B39" s="3" t="n">
        <v>73000000</v>
      </c>
      <c r="C39" s="3" t="n">
        <v>54000000</v>
      </c>
      <c r="D39" s="3" t="n"/>
      <c r="E39" s="3" t="n"/>
      <c r="F39" s="3" t="n">
        <v>-39000000</v>
      </c>
      <c r="G39" s="3" t="n">
        <v>-39000000</v>
      </c>
      <c r="H39" s="3" t="n">
        <v>-5000000</v>
      </c>
    </row>
    <row r="40">
      <c r="A40" t="inlineStr">
        <is>
          <t>Interest Income Non Operating</t>
        </is>
      </c>
      <c r="B40" s="3" t="n"/>
      <c r="C40" s="3" t="n"/>
      <c r="D40" s="3" t="n"/>
      <c r="E40" s="3" t="n">
        <v>8000000</v>
      </c>
      <c r="F40" s="3" t="n"/>
      <c r="G40" s="3" t="n"/>
      <c r="H40" s="3" t="n"/>
    </row>
    <row r="41">
      <c r="A41" t="inlineStr">
        <is>
          <t>Operating Income</t>
        </is>
      </c>
      <c r="B41" s="3" t="n">
        <v>825000000</v>
      </c>
      <c r="C41" s="3" t="n">
        <v>587000000</v>
      </c>
      <c r="D41" s="3" t="n">
        <v>408000000</v>
      </c>
      <c r="E41" s="3" t="n">
        <v>428000000</v>
      </c>
      <c r="F41" s="3" t="n">
        <v>294000000</v>
      </c>
      <c r="G41" s="3" t="n"/>
      <c r="H41" s="3" t="n"/>
    </row>
    <row r="42">
      <c r="A42" t="inlineStr">
        <is>
          <t>Operating Expense</t>
        </is>
      </c>
      <c r="B42" s="3" t="n">
        <v>3075000000</v>
      </c>
      <c r="C42" s="3" t="n">
        <v>2753000000</v>
      </c>
      <c r="D42" s="3" t="n">
        <v>2833000000</v>
      </c>
      <c r="E42" s="3" t="n">
        <v>2244000000</v>
      </c>
      <c r="F42" s="3" t="n">
        <v>1875000000</v>
      </c>
      <c r="G42" s="3" t="n"/>
      <c r="H42" s="3" t="n"/>
    </row>
    <row r="43">
      <c r="A43" t="inlineStr">
        <is>
          <t>Depreciation Amortization Depletion Income Statement</t>
        </is>
      </c>
      <c r="B43" s="3" t="n">
        <v>323000000</v>
      </c>
      <c r="C43" s="3" t="n">
        <v>311000000</v>
      </c>
      <c r="D43" s="3" t="n">
        <v>310000000</v>
      </c>
      <c r="E43" s="3" t="n">
        <v>126000000</v>
      </c>
      <c r="F43" s="3" t="n">
        <v>37000000</v>
      </c>
      <c r="G43" s="3" t="n"/>
      <c r="H43" s="3" t="n"/>
    </row>
    <row r="44">
      <c r="A44" t="inlineStr">
        <is>
          <t>Depreciation And Amortization In Income Statement</t>
        </is>
      </c>
      <c r="B44" s="3" t="n">
        <v>323000000</v>
      </c>
      <c r="C44" s="3" t="n">
        <v>311000000</v>
      </c>
      <c r="D44" s="3" t="n">
        <v>310000000</v>
      </c>
      <c r="E44" s="3" t="n">
        <v>126000000</v>
      </c>
      <c r="F44" s="3" t="n">
        <v>37000000</v>
      </c>
      <c r="G44" s="3" t="n"/>
      <c r="H44" s="3" t="n"/>
    </row>
    <row r="45">
      <c r="A45" t="inlineStr">
        <is>
          <t>Amortization</t>
        </is>
      </c>
      <c r="B45" s="3" t="n">
        <v>323000000</v>
      </c>
      <c r="C45" s="3" t="n">
        <v>311000000</v>
      </c>
      <c r="D45" s="3" t="n">
        <v>310000000</v>
      </c>
      <c r="E45" s="3" t="n">
        <v>126000000</v>
      </c>
      <c r="F45" s="3" t="n">
        <v>37000000</v>
      </c>
      <c r="G45" s="3" t="n"/>
      <c r="H45" s="3" t="n"/>
    </row>
    <row r="46">
      <c r="A46" t="inlineStr">
        <is>
          <t>Amortization Of Intangibles Income Statement</t>
        </is>
      </c>
      <c r="B46" s="3" t="n">
        <v>323000000</v>
      </c>
      <c r="C46" s="3" t="n">
        <v>311000000</v>
      </c>
      <c r="D46" s="3" t="n">
        <v>310000000</v>
      </c>
      <c r="E46" s="3" t="n">
        <v>126000000</v>
      </c>
      <c r="F46" s="3" t="n">
        <v>37000000</v>
      </c>
      <c r="G46" s="3" t="n"/>
      <c r="H46" s="3" t="n"/>
    </row>
    <row r="47">
      <c r="A47" t="inlineStr">
        <is>
          <t>Research And Development</t>
        </is>
      </c>
      <c r="B47" s="3" t="n">
        <v>922000000</v>
      </c>
      <c r="C47" s="3" t="n">
        <v>744000000</v>
      </c>
      <c r="D47" s="3" t="n">
        <v>881000000</v>
      </c>
      <c r="E47" s="3" t="n">
        <v>622000000</v>
      </c>
      <c r="F47" s="3" t="n">
        <v>540000000</v>
      </c>
      <c r="G47" s="3" t="n"/>
      <c r="H47" s="3" t="n"/>
    </row>
    <row r="48">
      <c r="A48" t="inlineStr">
        <is>
          <t>Selling General And Administration</t>
        </is>
      </c>
      <c r="B48" s="3" t="n">
        <v>1830000000</v>
      </c>
      <c r="C48" s="3" t="n">
        <v>1698000000</v>
      </c>
      <c r="D48" s="3" t="n">
        <v>1642000000</v>
      </c>
      <c r="E48" s="3" t="n">
        <v>1496000000</v>
      </c>
      <c r="F48" s="3" t="n">
        <v>1298000000</v>
      </c>
      <c r="G48" s="3" t="n"/>
      <c r="H48" s="3" t="n"/>
    </row>
    <row r="49">
      <c r="A49" t="inlineStr">
        <is>
          <t>Gross Profit</t>
        </is>
      </c>
      <c r="B49" s="3" t="n">
        <v>3900000000</v>
      </c>
      <c r="C49" s="3" t="n">
        <v>3340000000</v>
      </c>
      <c r="D49" s="3" t="n">
        <v>3241000000</v>
      </c>
      <c r="E49" s="3" t="n">
        <v>2672000000</v>
      </c>
      <c r="F49" s="3" t="n">
        <v>2169000000</v>
      </c>
      <c r="G49" s="3" t="n"/>
      <c r="H49" s="3" t="n"/>
    </row>
    <row r="50">
      <c r="A50" t="inlineStr">
        <is>
          <t>Cost Of Revenue</t>
        </is>
      </c>
      <c r="B50" s="3" t="n">
        <v>6778000000</v>
      </c>
      <c r="C50" s="3" t="n">
        <v>5961000000</v>
      </c>
      <c r="D50" s="3" t="n">
        <v>6438000000</v>
      </c>
      <c r="E50" s="3" t="n">
        <v>6464000000</v>
      </c>
      <c r="F50" s="3" t="n">
        <v>5458000000</v>
      </c>
      <c r="G50" s="3" t="n"/>
      <c r="H50" s="3" t="n"/>
    </row>
    <row r="51">
      <c r="A51" t="inlineStr">
        <is>
          <t>Total Revenue</t>
        </is>
      </c>
      <c r="B51" s="3" t="n">
        <v>10678000000</v>
      </c>
      <c r="C51" s="3" t="n">
        <v>9301000000</v>
      </c>
      <c r="D51" s="3" t="n">
        <v>9679000000</v>
      </c>
      <c r="E51" s="3" t="n">
        <v>9136000000</v>
      </c>
      <c r="F51" s="3" t="n">
        <v>7627000000</v>
      </c>
      <c r="G51" s="3" t="n"/>
      <c r="H51" s="3" t="n"/>
    </row>
    <row r="52">
      <c r="A52" t="inlineStr">
        <is>
          <t>Operating Revenue</t>
        </is>
      </c>
      <c r="B52" s="3" t="n">
        <v>10678000000</v>
      </c>
      <c r="C52" s="3" t="n">
        <v>9301000000</v>
      </c>
      <c r="D52" s="3" t="n">
        <v>9679000000</v>
      </c>
      <c r="E52" s="3" t="n">
        <v>9136000000</v>
      </c>
      <c r="F52" s="3" t="n">
        <v>7627000000</v>
      </c>
      <c r="G52" s="3" t="n"/>
      <c r="H52" s="3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9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Line item</t>
        </is>
      </c>
      <c r="B1" s="1" t="inlineStr">
        <is>
          <t>2025-10-31</t>
        </is>
      </c>
      <c r="C1" s="1" t="inlineStr">
        <is>
          <t>2024-10-31</t>
        </is>
      </c>
      <c r="D1" s="1" t="inlineStr">
        <is>
          <t>2023-10-31</t>
        </is>
      </c>
      <c r="E1" s="1" t="inlineStr">
        <is>
          <t>2022-10-31</t>
        </is>
      </c>
      <c r="F1" s="1" t="inlineStr">
        <is>
          <t>2021-10-31</t>
        </is>
      </c>
    </row>
    <row r="2">
      <c r="A2" t="inlineStr">
        <is>
          <t>Treasury Shares Number</t>
        </is>
      </c>
      <c r="B2" s="3" t="n"/>
      <c r="C2" s="3" t="n"/>
      <c r="D2" s="3" t="n">
        <v>0</v>
      </c>
      <c r="E2" s="3" t="n"/>
      <c r="F2" s="3" t="n"/>
    </row>
    <row r="3">
      <c r="A3" t="inlineStr">
        <is>
          <t>Ordinary Shares Number</t>
        </is>
      </c>
      <c r="B3" s="3" t="n">
        <v>1318292428</v>
      </c>
      <c r="C3" s="3" t="n">
        <v>1297258235</v>
      </c>
      <c r="D3" s="3" t="n">
        <v>1282630000</v>
      </c>
      <c r="E3" s="3" t="n">
        <v>1281000000</v>
      </c>
      <c r="F3" s="3" t="n"/>
    </row>
    <row r="4">
      <c r="A4" t="inlineStr">
        <is>
          <t>Share Issued</t>
        </is>
      </c>
      <c r="B4" s="3" t="n">
        <v>1318292428</v>
      </c>
      <c r="C4" s="3" t="n">
        <v>1297258235</v>
      </c>
      <c r="D4" s="3" t="n">
        <v>1282630000</v>
      </c>
      <c r="E4" s="3" t="n">
        <v>1281000000</v>
      </c>
      <c r="F4" s="3" t="n"/>
    </row>
    <row r="5">
      <c r="A5" t="inlineStr">
        <is>
          <t>Net Debt</t>
        </is>
      </c>
      <c r="B5" s="3" t="n">
        <v>16592000000</v>
      </c>
      <c r="C5" s="3" t="n">
        <v>3400000000</v>
      </c>
      <c r="D5" s="3" t="n">
        <v>8085000000</v>
      </c>
      <c r="E5" s="3" t="n">
        <v>8302000000</v>
      </c>
      <c r="F5" s="3" t="n"/>
    </row>
    <row r="6">
      <c r="A6" t="inlineStr">
        <is>
          <t>Total Debt</t>
        </is>
      </c>
      <c r="B6" s="3" t="n">
        <v>24077000000</v>
      </c>
      <c r="C6" s="3" t="n">
        <v>19816000000</v>
      </c>
      <c r="D6" s="3" t="n">
        <v>13515000000</v>
      </c>
      <c r="E6" s="3" t="n">
        <v>13484000000</v>
      </c>
      <c r="F6" s="3" t="n"/>
    </row>
    <row r="7">
      <c r="A7" t="inlineStr">
        <is>
          <t>Tangible Book Value</t>
        </is>
      </c>
      <c r="B7" s="3" t="n">
        <v>-5450000000</v>
      </c>
      <c r="C7" s="3" t="n">
        <v>6220000000</v>
      </c>
      <c r="D7" s="3" t="n">
        <v>2540000000</v>
      </c>
      <c r="E7" s="3" t="n">
        <v>1728000000</v>
      </c>
      <c r="F7" s="3" t="n"/>
    </row>
    <row r="8">
      <c r="A8" t="inlineStr">
        <is>
          <t>Invested Capital</t>
        </is>
      </c>
      <c r="B8" s="3" t="n">
        <v>47053000000</v>
      </c>
      <c r="C8" s="3" t="n">
        <v>43062000000</v>
      </c>
      <c r="D8" s="3" t="n">
        <v>33537000000</v>
      </c>
      <c r="E8" s="3" t="n">
        <v>32329000000</v>
      </c>
      <c r="F8" s="3" t="n"/>
    </row>
    <row r="9">
      <c r="A9" t="inlineStr">
        <is>
          <t>Working Capital</t>
        </is>
      </c>
      <c r="B9" s="3" t="n">
        <v>351000000</v>
      </c>
      <c r="C9" s="3" t="n">
        <v>7484000000</v>
      </c>
      <c r="D9" s="3" t="n">
        <v>-2934000000</v>
      </c>
      <c r="E9" s="3" t="n">
        <v>-2668000000</v>
      </c>
      <c r="F9" s="3" t="n"/>
    </row>
    <row r="10">
      <c r="A10" t="inlineStr">
        <is>
          <t>Net Tangible Assets</t>
        </is>
      </c>
      <c r="B10" s="3" t="n">
        <v>-5450000000</v>
      </c>
      <c r="C10" s="3" t="n">
        <v>6220000000</v>
      </c>
      <c r="D10" s="3" t="n">
        <v>2540000000</v>
      </c>
      <c r="E10" s="3" t="n">
        <v>1728000000</v>
      </c>
      <c r="F10" s="3" t="n"/>
    </row>
    <row r="11">
      <c r="A11" t="inlineStr">
        <is>
          <t>Capital Lease Obligations</t>
        </is>
      </c>
      <c r="B11" s="3" t="n">
        <v>1712000000</v>
      </c>
      <c r="C11" s="3" t="n">
        <v>1570000000</v>
      </c>
      <c r="D11" s="3" t="n">
        <v>1160000000</v>
      </c>
      <c r="E11" s="3" t="n">
        <v>1019000000</v>
      </c>
      <c r="F11" s="3" t="n"/>
    </row>
    <row r="12">
      <c r="A12" t="inlineStr">
        <is>
          <t>Common Stock Equity</t>
        </is>
      </c>
      <c r="B12" s="3" t="n">
        <v>24688000000</v>
      </c>
      <c r="C12" s="3" t="n">
        <v>24816000000</v>
      </c>
      <c r="D12" s="3" t="n">
        <v>21182000000</v>
      </c>
      <c r="E12" s="3" t="n">
        <v>19864000000</v>
      </c>
      <c r="F12" s="3" t="n"/>
    </row>
    <row r="13">
      <c r="A13" t="inlineStr">
        <is>
          <t>Total Capitalization</t>
        </is>
      </c>
      <c r="B13" s="3" t="n">
        <v>42444000000</v>
      </c>
      <c r="C13" s="3" t="n">
        <v>38320000000</v>
      </c>
      <c r="D13" s="3" t="n">
        <v>28669000000</v>
      </c>
      <c r="E13" s="3" t="n">
        <v>27717000000</v>
      </c>
      <c r="F13" s="3" t="n"/>
    </row>
    <row r="14">
      <c r="A14" t="inlineStr">
        <is>
          <t>Total Equity Gross Minority Interest</t>
        </is>
      </c>
      <c r="B14" s="3" t="n">
        <v>24754000000</v>
      </c>
      <c r="C14" s="3" t="n">
        <v>24880000000</v>
      </c>
      <c r="D14" s="3" t="n">
        <v>21238000000</v>
      </c>
      <c r="E14" s="3" t="n">
        <v>19909000000</v>
      </c>
      <c r="F14" s="3" t="n"/>
    </row>
    <row r="15">
      <c r="A15" t="inlineStr">
        <is>
          <t>Minority Interest</t>
        </is>
      </c>
      <c r="B15" s="3" t="n">
        <v>66000000</v>
      </c>
      <c r="C15" s="3" t="n">
        <v>64000000</v>
      </c>
      <c r="D15" s="3" t="n">
        <v>56000000</v>
      </c>
      <c r="E15" s="3" t="n">
        <v>45000000</v>
      </c>
      <c r="F15" s="3" t="n"/>
    </row>
    <row r="16">
      <c r="A16" t="inlineStr">
        <is>
          <t>Stockholders Equity</t>
        </is>
      </c>
      <c r="B16" s="3" t="n">
        <v>24688000000</v>
      </c>
      <c r="C16" s="3" t="n">
        <v>24816000000</v>
      </c>
      <c r="D16" s="3" t="n">
        <v>21182000000</v>
      </c>
      <c r="E16" s="3" t="n">
        <v>19864000000</v>
      </c>
      <c r="F16" s="3" t="n"/>
    </row>
    <row r="17">
      <c r="A17" t="inlineStr">
        <is>
          <t>Gains Losses Not Affecting Retained Earnings</t>
        </is>
      </c>
      <c r="B17" s="3" t="n">
        <v>-2748000000</v>
      </c>
      <c r="C17" s="3" t="n">
        <v>-2977000000</v>
      </c>
      <c r="D17" s="3" t="n">
        <v>-3084000000</v>
      </c>
      <c r="E17" s="3" t="n">
        <v>-3098000000</v>
      </c>
      <c r="F17" s="3" t="n"/>
    </row>
    <row r="18">
      <c r="A18" t="inlineStr">
        <is>
          <t>Other Equity Adjustments</t>
        </is>
      </c>
      <c r="B18" s="3" t="n">
        <v>-2748000000</v>
      </c>
      <c r="C18" s="3" t="n">
        <v>-2977000000</v>
      </c>
      <c r="D18" s="3" t="n">
        <v>-3084000000</v>
      </c>
      <c r="E18" s="3" t="n">
        <v>-3098000000</v>
      </c>
      <c r="F18" s="3" t="n"/>
    </row>
    <row r="19">
      <c r="A19" t="inlineStr">
        <is>
          <t>Retained Earnings</t>
        </is>
      </c>
      <c r="B19" s="3" t="n">
        <v>-2811000000</v>
      </c>
      <c r="C19" s="3" t="n">
        <v>-2068000000</v>
      </c>
      <c r="D19" s="3" t="n">
        <v>-3946000000</v>
      </c>
      <c r="E19" s="3" t="n">
        <v>-5350000000</v>
      </c>
      <c r="F19" s="3" t="n"/>
    </row>
    <row r="20">
      <c r="A20" t="inlineStr">
        <is>
          <t>Additional Paid In Capital</t>
        </is>
      </c>
      <c r="B20" s="3" t="n">
        <v>30234000000</v>
      </c>
      <c r="C20" s="3" t="n">
        <v>29848000000</v>
      </c>
      <c r="D20" s="3" t="n">
        <v>28199000000</v>
      </c>
      <c r="E20" s="3" t="n">
        <v>28299000000</v>
      </c>
      <c r="F20" s="3" t="n"/>
    </row>
    <row r="21">
      <c r="A21" t="inlineStr">
        <is>
          <t>Capital Stock</t>
        </is>
      </c>
      <c r="B21" s="3" t="n">
        <v>13000000</v>
      </c>
      <c r="C21" s="3" t="n">
        <v>13000000</v>
      </c>
      <c r="D21" s="3" t="n">
        <v>13000000</v>
      </c>
      <c r="E21" s="3" t="n">
        <v>13000000</v>
      </c>
      <c r="F21" s="3" t="n"/>
    </row>
    <row r="22">
      <c r="A22" t="inlineStr">
        <is>
          <t>Common Stock</t>
        </is>
      </c>
      <c r="B22" s="3" t="n">
        <v>13000000</v>
      </c>
      <c r="C22" s="3" t="n">
        <v>13000000</v>
      </c>
      <c r="D22" s="3" t="n">
        <v>13000000</v>
      </c>
      <c r="E22" s="3" t="n">
        <v>13000000</v>
      </c>
      <c r="F22" s="3" t="n"/>
    </row>
    <row r="23">
      <c r="A23" t="inlineStr">
        <is>
          <t>Preferred Stock</t>
        </is>
      </c>
      <c r="B23" s="3" t="n">
        <v>0</v>
      </c>
      <c r="C23" s="3" t="n">
        <v>0</v>
      </c>
      <c r="D23" s="3" t="n">
        <v>0</v>
      </c>
      <c r="E23" s="3" t="n"/>
      <c r="F23" s="3" t="n"/>
    </row>
    <row r="24">
      <c r="A24" t="inlineStr">
        <is>
          <t>Total Liabilities Net Minority Interest</t>
        </is>
      </c>
      <c r="B24" s="3" t="n">
        <v>51152000000</v>
      </c>
      <c r="C24" s="3" t="n">
        <v>46382000000</v>
      </c>
      <c r="D24" s="3" t="n">
        <v>35915000000</v>
      </c>
      <c r="E24" s="3" t="n">
        <v>37214000000</v>
      </c>
      <c r="F24" s="3" t="n"/>
    </row>
    <row r="25">
      <c r="A25" t="inlineStr">
        <is>
          <t>Total Non Current Liabilities Net Minority Interest</t>
        </is>
      </c>
      <c r="B25" s="3" t="n">
        <v>26509000000</v>
      </c>
      <c r="C25" s="3" t="n">
        <v>20409000000</v>
      </c>
      <c r="D25" s="3" t="n">
        <v>14033000000</v>
      </c>
      <c r="E25" s="3" t="n">
        <v>14040000000</v>
      </c>
      <c r="F25" s="3" t="n"/>
    </row>
    <row r="26">
      <c r="A26" t="inlineStr">
        <is>
          <t>Other Non Current Liabilities</t>
        </is>
      </c>
      <c r="B26" s="3" t="n">
        <v>791000000</v>
      </c>
      <c r="C26" s="3" t="n">
        <v>623000000</v>
      </c>
      <c r="D26" s="3" t="n">
        <v>899000000</v>
      </c>
      <c r="E26" s="3" t="n">
        <v>846000000</v>
      </c>
      <c r="F26" s="3" t="n"/>
    </row>
    <row r="27">
      <c r="A27" t="inlineStr">
        <is>
          <t>Employee Benefits</t>
        </is>
      </c>
      <c r="B27" s="3" t="n">
        <v>930000000</v>
      </c>
      <c r="C27" s="3" t="n">
        <v>859000000</v>
      </c>
      <c r="D27" s="3" t="n">
        <v>841000000</v>
      </c>
      <c r="E27" s="3" t="n">
        <v>944000000</v>
      </c>
      <c r="F27" s="3" t="n"/>
    </row>
    <row r="28">
      <c r="A28" t="inlineStr">
        <is>
          <t>Non Current Pension And Other Postretirement Benefit Plans</t>
        </is>
      </c>
      <c r="B28" s="3" t="n">
        <v>930000000</v>
      </c>
      <c r="C28" s="3" t="n">
        <v>859000000</v>
      </c>
      <c r="D28" s="3" t="n">
        <v>841000000</v>
      </c>
      <c r="E28" s="3" t="n">
        <v>944000000</v>
      </c>
      <c r="F28" s="3" t="n"/>
    </row>
    <row r="29">
      <c r="A29" t="inlineStr">
        <is>
          <t>Tradeand Other Payables Non Current</t>
        </is>
      </c>
      <c r="B29" s="3" t="n">
        <v>183000000</v>
      </c>
      <c r="C29" s="3" t="n">
        <v>163000000</v>
      </c>
      <c r="D29" s="3" t="n">
        <v>233000000</v>
      </c>
      <c r="E29" s="3" t="n">
        <v>271000000</v>
      </c>
      <c r="F29" s="3" t="n"/>
    </row>
    <row r="30">
      <c r="A30" t="inlineStr">
        <is>
          <t>Non Current Deferred Liabilities</t>
        </is>
      </c>
      <c r="B30" s="3" t="n">
        <v>5453000000</v>
      </c>
      <c r="C30" s="3" t="n">
        <v>3951000000</v>
      </c>
      <c r="D30" s="3" t="n">
        <v>3607000000</v>
      </c>
      <c r="E30" s="3" t="n">
        <v>3275000000</v>
      </c>
      <c r="F30" s="3" t="n"/>
    </row>
    <row r="31">
      <c r="A31" t="inlineStr">
        <is>
          <t>Non Current Deferred Revenue</t>
        </is>
      </c>
      <c r="B31" s="3" t="n">
        <v>4980000000</v>
      </c>
      <c r="C31" s="3" t="n">
        <v>3578000000</v>
      </c>
      <c r="D31" s="3" t="n">
        <v>3281000000</v>
      </c>
      <c r="E31" s="3" t="n">
        <v>2955000000</v>
      </c>
      <c r="F31" s="3" t="n"/>
    </row>
    <row r="32">
      <c r="A32" t="inlineStr">
        <is>
          <t>Non Current Deferred Taxes Liabilities</t>
        </is>
      </c>
      <c r="B32" s="3" t="n">
        <v>473000000</v>
      </c>
      <c r="C32" s="3" t="n">
        <v>373000000</v>
      </c>
      <c r="D32" s="3" t="n">
        <v>326000000</v>
      </c>
      <c r="E32" s="3" t="n">
        <v>320000000</v>
      </c>
      <c r="F32" s="3" t="n"/>
    </row>
    <row r="33">
      <c r="A33" t="inlineStr">
        <is>
          <t>Long Term Debt And Capital Lease Obligation</t>
        </is>
      </c>
      <c r="B33" s="3" t="n">
        <v>19152000000</v>
      </c>
      <c r="C33" s="3" t="n">
        <v>14813000000</v>
      </c>
      <c r="D33" s="3" t="n">
        <v>8453000000</v>
      </c>
      <c r="E33" s="3" t="n">
        <v>8704000000</v>
      </c>
      <c r="F33" s="3" t="n"/>
    </row>
    <row r="34">
      <c r="A34" t="inlineStr">
        <is>
          <t>Long Term Capital Lease Obligation</t>
        </is>
      </c>
      <c r="B34" s="3" t="n">
        <v>1396000000</v>
      </c>
      <c r="C34" s="3" t="n">
        <v>1309000000</v>
      </c>
      <c r="D34" s="3" t="n">
        <v>966000000</v>
      </c>
      <c r="E34" s="3" t="n">
        <v>851000000</v>
      </c>
      <c r="F34" s="3" t="n"/>
    </row>
    <row r="35">
      <c r="A35" t="inlineStr">
        <is>
          <t>Long Term Debt</t>
        </is>
      </c>
      <c r="B35" s="3" t="n">
        <v>17756000000</v>
      </c>
      <c r="C35" s="3" t="n">
        <v>13504000000</v>
      </c>
      <c r="D35" s="3" t="n">
        <v>7487000000</v>
      </c>
      <c r="E35" s="3" t="n">
        <v>7853000000</v>
      </c>
      <c r="F35" s="3" t="n"/>
    </row>
    <row r="36">
      <c r="A36" t="inlineStr">
        <is>
          <t>Current Liabilities</t>
        </is>
      </c>
      <c r="B36" s="3" t="n">
        <v>24643000000</v>
      </c>
      <c r="C36" s="3" t="n">
        <v>25973000000</v>
      </c>
      <c r="D36" s="3" t="n">
        <v>21882000000</v>
      </c>
      <c r="E36" s="3" t="n">
        <v>23174000000</v>
      </c>
      <c r="F36" s="3" t="n"/>
    </row>
    <row r="37">
      <c r="A37" t="inlineStr">
        <is>
          <t>Other Current Liabilities</t>
        </is>
      </c>
      <c r="B37" s="3" t="n"/>
      <c r="C37" s="3" t="n">
        <v>32000000</v>
      </c>
      <c r="D37" s="3" t="n"/>
      <c r="E37" s="3" t="n"/>
      <c r="F37" s="3" t="n"/>
    </row>
    <row r="38">
      <c r="A38" t="inlineStr">
        <is>
          <t>Current Deferred Liabilities</t>
        </is>
      </c>
      <c r="B38" s="3" t="n">
        <v>5974000000</v>
      </c>
      <c r="C38" s="3" t="n">
        <v>4193000000</v>
      </c>
      <c r="D38" s="3" t="n">
        <v>4050000000</v>
      </c>
      <c r="E38" s="3" t="n">
        <v>3451000000</v>
      </c>
      <c r="F38" s="3" t="n"/>
    </row>
    <row r="39">
      <c r="A39" t="inlineStr">
        <is>
          <t>Current Deferred Revenue</t>
        </is>
      </c>
      <c r="B39" s="3" t="n">
        <v>5974000000</v>
      </c>
      <c r="C39" s="3" t="n">
        <v>4193000000</v>
      </c>
      <c r="D39" s="3" t="n">
        <v>4050000000</v>
      </c>
      <c r="E39" s="3" t="n">
        <v>3451000000</v>
      </c>
      <c r="F39" s="3" t="n"/>
    </row>
    <row r="40">
      <c r="A40" t="inlineStr">
        <is>
          <t>Current Debt And Capital Lease Obligation</t>
        </is>
      </c>
      <c r="B40" s="3" t="n">
        <v>4925000000</v>
      </c>
      <c r="C40" s="3" t="n">
        <v>5003000000</v>
      </c>
      <c r="D40" s="3" t="n">
        <v>5062000000</v>
      </c>
      <c r="E40" s="3" t="n">
        <v>4780000000</v>
      </c>
      <c r="F40" s="3" t="n"/>
    </row>
    <row r="41">
      <c r="A41" t="inlineStr">
        <is>
          <t>Current Capital Lease Obligation</t>
        </is>
      </c>
      <c r="B41" s="3" t="n">
        <v>316000000</v>
      </c>
      <c r="C41" s="3" t="n">
        <v>261000000</v>
      </c>
      <c r="D41" s="3" t="n">
        <v>194000000</v>
      </c>
      <c r="E41" s="3" t="n">
        <v>168000000</v>
      </c>
      <c r="F41" s="3" t="n"/>
    </row>
    <row r="42">
      <c r="A42" t="inlineStr">
        <is>
          <t>Current Debt</t>
        </is>
      </c>
      <c r="B42" s="3" t="n">
        <v>4609000000</v>
      </c>
      <c r="C42" s="3" t="n">
        <v>4742000000</v>
      </c>
      <c r="D42" s="3" t="n">
        <v>4868000000</v>
      </c>
      <c r="E42" s="3" t="n">
        <v>4612000000</v>
      </c>
      <c r="F42" s="3" t="n"/>
    </row>
    <row r="43">
      <c r="A43" t="inlineStr">
        <is>
          <t>Other Current Borrowings</t>
        </is>
      </c>
      <c r="B43" s="3" t="n">
        <v>3796000000</v>
      </c>
      <c r="C43" s="3" t="n">
        <v>3969000000</v>
      </c>
      <c r="D43" s="3" t="n">
        <v>4022000000</v>
      </c>
      <c r="E43" s="3" t="n">
        <v>3876000000</v>
      </c>
      <c r="F43" s="3" t="n"/>
    </row>
    <row r="44">
      <c r="A44" t="inlineStr">
        <is>
          <t>Commercial Paper</t>
        </is>
      </c>
      <c r="B44" s="3" t="n">
        <v>681000000</v>
      </c>
      <c r="C44" s="3" t="n">
        <v>649000000</v>
      </c>
      <c r="D44" s="3" t="n">
        <v>679000000</v>
      </c>
      <c r="E44" s="3" t="n">
        <v>542000000</v>
      </c>
      <c r="F44" s="3" t="n"/>
    </row>
    <row r="45">
      <c r="A45" t="inlineStr">
        <is>
          <t>Current Notes Payable</t>
        </is>
      </c>
      <c r="B45" s="3" t="n">
        <v>132000000</v>
      </c>
      <c r="C45" s="3" t="n">
        <v>124000000</v>
      </c>
      <c r="D45" s="3" t="n">
        <v>167000000</v>
      </c>
      <c r="E45" s="3" t="n">
        <v>194000000</v>
      </c>
      <c r="F45" s="3" t="n"/>
    </row>
    <row r="46">
      <c r="A46" t="inlineStr">
        <is>
          <t>Pensionand Other Post Retirement Benefit Plans Current</t>
        </is>
      </c>
      <c r="B46" s="3" t="n">
        <v>1871000000</v>
      </c>
      <c r="C46" s="3" t="n">
        <v>1356000000</v>
      </c>
      <c r="D46" s="3" t="n">
        <v>1724000000</v>
      </c>
      <c r="E46" s="3" t="n">
        <v>1401000000</v>
      </c>
      <c r="F46" s="3" t="n"/>
    </row>
    <row r="47">
      <c r="A47" t="inlineStr">
        <is>
          <t>Payables And Accrued Expenses</t>
        </is>
      </c>
      <c r="B47" s="3" t="n">
        <v>11873000000</v>
      </c>
      <c r="C47" s="3" t="n">
        <v>15389000000</v>
      </c>
      <c r="D47" s="3" t="n">
        <v>11046000000</v>
      </c>
      <c r="E47" s="3" t="n">
        <v>13542000000</v>
      </c>
      <c r="F47" s="3" t="n"/>
    </row>
    <row r="48">
      <c r="A48" t="inlineStr">
        <is>
          <t>Current Accrued Expenses</t>
        </is>
      </c>
      <c r="B48" s="3" t="n">
        <v>2742000000</v>
      </c>
      <c r="C48" s="3" t="n">
        <v>3029000000</v>
      </c>
      <c r="D48" s="3" t="n">
        <v>2762000000</v>
      </c>
      <c r="E48" s="3" t="n">
        <v>3239000000</v>
      </c>
      <c r="F48" s="3" t="n"/>
    </row>
    <row r="49">
      <c r="A49" t="inlineStr">
        <is>
          <t>Payables</t>
        </is>
      </c>
      <c r="B49" s="3" t="n">
        <v>9131000000</v>
      </c>
      <c r="C49" s="3" t="n">
        <v>12360000000</v>
      </c>
      <c r="D49" s="3" t="n">
        <v>8284000000</v>
      </c>
      <c r="E49" s="3" t="n">
        <v>10303000000</v>
      </c>
      <c r="F49" s="3" t="n"/>
    </row>
    <row r="50">
      <c r="A50" t="inlineStr">
        <is>
          <t>Other Payable</t>
        </is>
      </c>
      <c r="B50" s="3" t="n">
        <v>16000000</v>
      </c>
      <c r="C50" s="3" t="n">
        <v>90000000</v>
      </c>
      <c r="D50" s="3" t="n">
        <v>207000000</v>
      </c>
      <c r="E50" s="3" t="n">
        <v>508000000</v>
      </c>
      <c r="F50" s="3" t="n"/>
    </row>
    <row r="51">
      <c r="A51" t="inlineStr">
        <is>
          <t>Total Tax Payable</t>
        </is>
      </c>
      <c r="B51" s="3" t="n">
        <v>1384000000</v>
      </c>
      <c r="C51" s="3" t="n">
        <v>1206000000</v>
      </c>
      <c r="D51" s="3" t="n">
        <v>941000000</v>
      </c>
      <c r="E51" s="3" t="n">
        <v>1078000000</v>
      </c>
      <c r="F51" s="3" t="n"/>
    </row>
    <row r="52">
      <c r="A52" t="inlineStr">
        <is>
          <t>Income Tax Payable</t>
        </is>
      </c>
      <c r="B52" s="3" t="n">
        <v>319000000</v>
      </c>
      <c r="C52" s="3" t="n">
        <v>284000000</v>
      </c>
      <c r="D52" s="3" t="n">
        <v>155000000</v>
      </c>
      <c r="E52" s="3" t="n">
        <v>176000000</v>
      </c>
      <c r="F52" s="3" t="n"/>
    </row>
    <row r="53">
      <c r="A53" t="inlineStr">
        <is>
          <t>Accounts Payable</t>
        </is>
      </c>
      <c r="B53" s="3" t="n">
        <v>7731000000</v>
      </c>
      <c r="C53" s="3" t="n">
        <v>11064000000</v>
      </c>
      <c r="D53" s="3" t="n">
        <v>7136000000</v>
      </c>
      <c r="E53" s="3" t="n">
        <v>8717000000</v>
      </c>
      <c r="F53" s="3" t="n"/>
    </row>
    <row r="54">
      <c r="A54" t="inlineStr">
        <is>
          <t>Total Assets</t>
        </is>
      </c>
      <c r="B54" s="3" t="n">
        <v>75906000000</v>
      </c>
      <c r="C54" s="3" t="n">
        <v>71262000000</v>
      </c>
      <c r="D54" s="3" t="n">
        <v>57153000000</v>
      </c>
      <c r="E54" s="3" t="n">
        <v>57123000000</v>
      </c>
      <c r="F54" s="3" t="n"/>
    </row>
    <row r="55">
      <c r="A55" t="inlineStr">
        <is>
          <t>Total Non Current Assets</t>
        </is>
      </c>
      <c r="B55" s="3" t="n">
        <v>50912000000</v>
      </c>
      <c r="C55" s="3" t="n">
        <v>37805000000</v>
      </c>
      <c r="D55" s="3" t="n">
        <v>38205000000</v>
      </c>
      <c r="E55" s="3" t="n">
        <v>36617000000</v>
      </c>
      <c r="F55" s="3" t="n"/>
    </row>
    <row r="56">
      <c r="A56" t="inlineStr">
        <is>
          <t>Other Non Current Assets</t>
        </is>
      </c>
      <c r="B56" s="3" t="n">
        <v>1540000000</v>
      </c>
      <c r="C56" s="3" t="n">
        <v>1674000000</v>
      </c>
      <c r="D56" s="3" t="n">
        <v>1792000000</v>
      </c>
      <c r="E56" s="3" t="n">
        <v>1757000000</v>
      </c>
      <c r="F56" s="3" t="n"/>
    </row>
    <row r="57">
      <c r="A57" t="inlineStr">
        <is>
          <t>Defined Pension Benefit</t>
        </is>
      </c>
      <c r="B57" s="3" t="n"/>
      <c r="C57" s="3" t="n"/>
      <c r="D57" s="3" t="n"/>
      <c r="E57" s="3" t="n">
        <v>1287000000</v>
      </c>
      <c r="F57" s="3" t="n">
        <v>1898000000</v>
      </c>
    </row>
    <row r="58">
      <c r="A58" t="inlineStr">
        <is>
          <t>Non Current Prepaid Assets</t>
        </is>
      </c>
      <c r="B58" s="3" t="n">
        <v>2074000000</v>
      </c>
      <c r="C58" s="3" t="n">
        <v>1555000000</v>
      </c>
      <c r="D58" s="3" t="n">
        <v>1313000000</v>
      </c>
      <c r="E58" s="3" t="n">
        <v>1287000000</v>
      </c>
      <c r="F58" s="3" t="n"/>
    </row>
    <row r="59">
      <c r="A59" t="inlineStr">
        <is>
          <t>Non Current Deferred Assets</t>
        </is>
      </c>
      <c r="B59" s="3" t="n">
        <v>2952000000</v>
      </c>
      <c r="C59" s="3" t="n">
        <v>2396000000</v>
      </c>
      <c r="D59" s="3" t="n">
        <v>2264000000</v>
      </c>
      <c r="E59" s="3" t="n">
        <v>2127000000</v>
      </c>
      <c r="F59" s="3" t="n"/>
    </row>
    <row r="60">
      <c r="A60" t="inlineStr">
        <is>
          <t>Non Current Deferred Taxes Assets</t>
        </is>
      </c>
      <c r="B60" s="3" t="n">
        <v>2952000000</v>
      </c>
      <c r="C60" s="3" t="n">
        <v>2396000000</v>
      </c>
      <c r="D60" s="3" t="n">
        <v>2264000000</v>
      </c>
      <c r="E60" s="3" t="n">
        <v>2127000000</v>
      </c>
      <c r="F60" s="3" t="n"/>
    </row>
    <row r="61">
      <c r="A61" t="inlineStr">
        <is>
          <t>Non Current Accounts Receivable</t>
        </is>
      </c>
      <c r="B61" s="3" t="n">
        <v>5716000000</v>
      </c>
      <c r="C61" s="3" t="n">
        <v>5583000000</v>
      </c>
      <c r="D61" s="3" t="n">
        <v>5028000000</v>
      </c>
      <c r="E61" s="3" t="n">
        <v>4512000000</v>
      </c>
      <c r="F61" s="3" t="n"/>
    </row>
    <row r="62">
      <c r="A62" t="inlineStr">
        <is>
          <t>Investments And Advances</t>
        </is>
      </c>
      <c r="B62" s="3" t="n">
        <v>955000000</v>
      </c>
      <c r="C62" s="3" t="n">
        <v>929000000</v>
      </c>
      <c r="D62" s="3" t="n">
        <v>2197000000</v>
      </c>
      <c r="E62" s="3" t="n">
        <v>2160000000</v>
      </c>
      <c r="F62" s="3" t="n"/>
    </row>
    <row r="63">
      <c r="A63" t="inlineStr">
        <is>
          <t>Long Term Equity Investment</t>
        </is>
      </c>
      <c r="B63" s="3" t="n">
        <v>955000000</v>
      </c>
      <c r="C63" s="3" t="n">
        <v>929000000</v>
      </c>
      <c r="D63" s="3" t="n">
        <v>2197000000</v>
      </c>
      <c r="E63" s="3" t="n">
        <v>2160000000</v>
      </c>
      <c r="F63" s="3" t="n"/>
    </row>
    <row r="64">
      <c r="A64" t="inlineStr">
        <is>
          <t>Goodwill And Other Intangible Assets</t>
        </is>
      </c>
      <c r="B64" s="3" t="n">
        <v>30138000000</v>
      </c>
      <c r="C64" s="3" t="n">
        <v>18596000000</v>
      </c>
      <c r="D64" s="3" t="n">
        <v>18642000000</v>
      </c>
      <c r="E64" s="3" t="n">
        <v>18136000000</v>
      </c>
      <c r="F64" s="3" t="n"/>
    </row>
    <row r="65">
      <c r="A65" t="inlineStr">
        <is>
          <t>Other Intangible Assets</t>
        </is>
      </c>
      <c r="B65" s="3" t="n">
        <v>6368000000</v>
      </c>
      <c r="C65" s="3" t="n">
        <v>510000000</v>
      </c>
      <c r="D65" s="3" t="n">
        <v>654000000</v>
      </c>
      <c r="E65" s="3" t="n">
        <v>733000000</v>
      </c>
      <c r="F65" s="3" t="n"/>
    </row>
    <row r="66">
      <c r="A66" t="inlineStr">
        <is>
          <t>Goodwill</t>
        </is>
      </c>
      <c r="B66" s="3" t="n">
        <v>23770000000</v>
      </c>
      <c r="C66" s="3" t="n">
        <v>18086000000</v>
      </c>
      <c r="D66" s="3" t="n">
        <v>17988000000</v>
      </c>
      <c r="E66" s="3" t="n">
        <v>17403000000</v>
      </c>
      <c r="F66" s="3" t="n"/>
    </row>
    <row r="67">
      <c r="A67" t="inlineStr">
        <is>
          <t>Net PPE</t>
        </is>
      </c>
      <c r="B67" s="3" t="n">
        <v>7537000000</v>
      </c>
      <c r="C67" s="3" t="n">
        <v>7072000000</v>
      </c>
      <c r="D67" s="3" t="n">
        <v>6969000000</v>
      </c>
      <c r="E67" s="3" t="n">
        <v>6638000000</v>
      </c>
      <c r="F67" s="3" t="n"/>
    </row>
    <row r="68">
      <c r="A68" t="inlineStr">
        <is>
          <t>Accumulated Depreciation</t>
        </is>
      </c>
      <c r="B68" s="3" t="n">
        <v>-6628000000</v>
      </c>
      <c r="C68" s="3" t="n">
        <v>-6490000000</v>
      </c>
      <c r="D68" s="3" t="n">
        <v>-5980000000</v>
      </c>
      <c r="E68" s="3" t="n">
        <v>-5522000000</v>
      </c>
      <c r="F68" s="3" t="n"/>
    </row>
    <row r="69">
      <c r="A69" t="inlineStr">
        <is>
          <t>Gross PPE</t>
        </is>
      </c>
      <c r="B69" s="3" t="n">
        <v>14165000000</v>
      </c>
      <c r="C69" s="3" t="n">
        <v>13562000000</v>
      </c>
      <c r="D69" s="3" t="n">
        <v>12949000000</v>
      </c>
      <c r="E69" s="3" t="n">
        <v>12160000000</v>
      </c>
      <c r="F69" s="3" t="n"/>
    </row>
    <row r="70">
      <c r="A70" t="inlineStr">
        <is>
          <t>Other Properties</t>
        </is>
      </c>
      <c r="B70" s="3" t="n">
        <v>1535000000</v>
      </c>
      <c r="C70" s="3" t="n">
        <v>1408000000</v>
      </c>
      <c r="D70" s="3" t="n">
        <v>980000000</v>
      </c>
      <c r="E70" s="3" t="n">
        <v>854000000</v>
      </c>
      <c r="F70" s="3" t="n"/>
    </row>
    <row r="71">
      <c r="A71" t="inlineStr">
        <is>
          <t>Machinery Furniture Equipment</t>
        </is>
      </c>
      <c r="B71" s="3" t="n">
        <v>10246000000</v>
      </c>
      <c r="C71" s="3" t="n">
        <v>10392000000</v>
      </c>
      <c r="D71" s="3" t="n">
        <v>10382000000</v>
      </c>
      <c r="E71" s="3" t="n">
        <v>9729000000</v>
      </c>
      <c r="F71" s="3" t="n"/>
    </row>
    <row r="72">
      <c r="A72" t="inlineStr">
        <is>
          <t>Buildings And Improvements</t>
        </is>
      </c>
      <c r="B72" s="3" t="n">
        <v>2075000000</v>
      </c>
      <c r="C72" s="3" t="n">
        <v>1696000000</v>
      </c>
      <c r="D72" s="3" t="n">
        <v>1521000000</v>
      </c>
      <c r="E72" s="3" t="n">
        <v>1503000000</v>
      </c>
      <c r="F72" s="3" t="n"/>
    </row>
    <row r="73">
      <c r="A73" t="inlineStr">
        <is>
          <t>Land And Improvements</t>
        </is>
      </c>
      <c r="B73" s="3" t="n">
        <v>309000000</v>
      </c>
      <c r="C73" s="3" t="n">
        <v>66000000</v>
      </c>
      <c r="D73" s="3" t="n">
        <v>66000000</v>
      </c>
      <c r="E73" s="3" t="n">
        <v>74000000</v>
      </c>
      <c r="F73" s="3" t="n"/>
    </row>
    <row r="74">
      <c r="A74" t="inlineStr">
        <is>
          <t>Properties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/>
    </row>
    <row r="75">
      <c r="A75" t="inlineStr">
        <is>
          <t>Current Assets</t>
        </is>
      </c>
      <c r="B75" s="3" t="n">
        <v>24994000000</v>
      </c>
      <c r="C75" s="3" t="n">
        <v>33457000000</v>
      </c>
      <c r="D75" s="3" t="n">
        <v>18948000000</v>
      </c>
      <c r="E75" s="3" t="n">
        <v>20506000000</v>
      </c>
      <c r="F75" s="3" t="n"/>
    </row>
    <row r="76">
      <c r="A76" t="inlineStr">
        <is>
          <t>Other Current Assets</t>
        </is>
      </c>
      <c r="B76" s="3" t="n">
        <v>3753000000</v>
      </c>
      <c r="C76" s="3" t="n">
        <v>3380000000</v>
      </c>
      <c r="D76" s="3" t="n">
        <v>3047000000</v>
      </c>
      <c r="E76" s="3" t="n">
        <v>3559000000</v>
      </c>
      <c r="F76" s="3" t="n"/>
    </row>
    <row r="77">
      <c r="A77" t="inlineStr">
        <is>
          <t>Assets Held For Sale Current</t>
        </is>
      </c>
      <c r="B77" s="3" t="n">
        <v>0</v>
      </c>
      <c r="C77" s="3" t="n">
        <v>1000000</v>
      </c>
      <c r="D77" s="3" t="n">
        <v>0</v>
      </c>
      <c r="E77" s="3" t="n"/>
      <c r="F77" s="3" t="n"/>
    </row>
    <row r="78">
      <c r="A78" t="inlineStr">
        <is>
          <t>Restricted Cash</t>
        </is>
      </c>
      <c r="B78" s="3" t="n"/>
      <c r="C78" s="3" t="n"/>
      <c r="D78" s="3" t="n"/>
      <c r="E78" s="3" t="n">
        <v>600000000</v>
      </c>
      <c r="F78" s="3" t="n">
        <v>336000000</v>
      </c>
    </row>
    <row r="79">
      <c r="A79" t="inlineStr">
        <is>
          <t>Inventory</t>
        </is>
      </c>
      <c r="B79" s="3" t="n">
        <v>6352000000</v>
      </c>
      <c r="C79" s="3" t="n">
        <v>7810000000</v>
      </c>
      <c r="D79" s="3" t="n">
        <v>4607000000</v>
      </c>
      <c r="E79" s="3" t="n">
        <v>5161000000</v>
      </c>
      <c r="F79" s="3" t="n"/>
    </row>
    <row r="80">
      <c r="A80" t="inlineStr">
        <is>
          <t>Finished Goods</t>
        </is>
      </c>
      <c r="B80" s="3" t="n">
        <v>2213000000</v>
      </c>
      <c r="C80" s="3" t="n">
        <v>2369000000</v>
      </c>
      <c r="D80" s="3" t="n">
        <v>1667000000</v>
      </c>
      <c r="E80" s="3" t="n">
        <v>2187000000</v>
      </c>
      <c r="F80" s="3" t="n"/>
    </row>
    <row r="81">
      <c r="A81" t="inlineStr">
        <is>
          <t>Raw Materials</t>
        </is>
      </c>
      <c r="B81" s="3" t="n">
        <v>4139000000</v>
      </c>
      <c r="C81" s="3" t="n">
        <v>5441000000</v>
      </c>
      <c r="D81" s="3" t="n">
        <v>2940000000</v>
      </c>
      <c r="E81" s="3" t="n">
        <v>2974000000</v>
      </c>
      <c r="F81" s="3" t="n"/>
    </row>
    <row r="82">
      <c r="A82" t="inlineStr">
        <is>
          <t>Receivables</t>
        </is>
      </c>
      <c r="B82" s="3" t="n">
        <v>9116000000</v>
      </c>
      <c r="C82" s="3" t="n">
        <v>7420000000</v>
      </c>
      <c r="D82" s="3" t="n">
        <v>7024000000</v>
      </c>
      <c r="E82" s="3" t="n">
        <v>7623000000</v>
      </c>
      <c r="F82" s="3" t="n"/>
    </row>
    <row r="83">
      <c r="A83" t="inlineStr">
        <is>
          <t>Receivables Adjustments Allowances</t>
        </is>
      </c>
      <c r="B83" s="3" t="n">
        <v>-22000000</v>
      </c>
      <c r="C83" s="3" t="n">
        <v>-10000000</v>
      </c>
      <c r="D83" s="3" t="n">
        <v>-37000000</v>
      </c>
      <c r="E83" s="3" t="n">
        <v>-25000000</v>
      </c>
      <c r="F83" s="3" t="n"/>
    </row>
    <row r="84">
      <c r="A84" t="inlineStr">
        <is>
          <t>Other Receivables</t>
        </is>
      </c>
      <c r="B84" s="3" t="n">
        <v>4222000000</v>
      </c>
      <c r="C84" s="3" t="n">
        <v>4194000000</v>
      </c>
      <c r="D84" s="3" t="n">
        <v>3807000000</v>
      </c>
      <c r="E84" s="3" t="n">
        <v>3767000000</v>
      </c>
      <c r="F84" s="3" t="n"/>
    </row>
    <row r="85">
      <c r="A85" t="inlineStr">
        <is>
          <t>Accounts Receivable</t>
        </is>
      </c>
      <c r="B85" s="3" t="n">
        <v>4916000000</v>
      </c>
      <c r="C85" s="3" t="n">
        <v>3236000000</v>
      </c>
      <c r="D85" s="3" t="n">
        <v>3254000000</v>
      </c>
      <c r="E85" s="3" t="n">
        <v>3881000000</v>
      </c>
      <c r="F85" s="3" t="n"/>
    </row>
    <row r="86">
      <c r="A86" t="inlineStr">
        <is>
          <t>Allowance For Doubtful Accounts Receivable</t>
        </is>
      </c>
      <c r="B86" s="3" t="n"/>
      <c r="C86" s="3" t="n"/>
      <c r="D86" s="3" t="n">
        <v>-37000000</v>
      </c>
      <c r="E86" s="3" t="n">
        <v>-25000000</v>
      </c>
      <c r="F86" s="3" t="n">
        <v>-23000000</v>
      </c>
    </row>
    <row r="87">
      <c r="A87" t="inlineStr">
        <is>
          <t>Gross Accounts Receivable</t>
        </is>
      </c>
      <c r="B87" s="3" t="n"/>
      <c r="C87" s="3" t="n"/>
      <c r="D87" s="3" t="n">
        <v>3254000000</v>
      </c>
      <c r="E87" s="3" t="n">
        <v>3881000000</v>
      </c>
      <c r="F87" s="3" t="n">
        <v>3796000000</v>
      </c>
    </row>
    <row r="88">
      <c r="A88" t="inlineStr">
        <is>
          <t>Cash Cash Equivalents And Short Term Investments</t>
        </is>
      </c>
      <c r="B88" s="3" t="n">
        <v>5773000000</v>
      </c>
      <c r="C88" s="3" t="n">
        <v>14846000000</v>
      </c>
      <c r="D88" s="3" t="n">
        <v>4270000000</v>
      </c>
      <c r="E88" s="3" t="n">
        <v>4163000000</v>
      </c>
      <c r="F88" s="3" t="n"/>
    </row>
    <row r="89">
      <c r="A89" t="inlineStr">
        <is>
          <t>Cash And Cash Equivalents</t>
        </is>
      </c>
      <c r="B89" s="3" t="n">
        <v>5773000000</v>
      </c>
      <c r="C89" s="3" t="n">
        <v>14846000000</v>
      </c>
      <c r="D89" s="3" t="n">
        <v>4270000000</v>
      </c>
      <c r="E89" s="3" t="n">
        <v>4163000000</v>
      </c>
      <c r="F89" s="3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86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Line item</t>
        </is>
      </c>
      <c r="B1" s="1" t="inlineStr">
        <is>
          <t>2026-04-30</t>
        </is>
      </c>
      <c r="C1" s="1" t="inlineStr">
        <is>
          <t>2026-01-31</t>
        </is>
      </c>
      <c r="D1" s="1" t="inlineStr">
        <is>
          <t>2025-10-31</t>
        </is>
      </c>
      <c r="E1" s="1" t="inlineStr">
        <is>
          <t>2025-07-31</t>
        </is>
      </c>
      <c r="F1" s="1" t="inlineStr">
        <is>
          <t>2025-04-30</t>
        </is>
      </c>
      <c r="G1" s="1" t="inlineStr">
        <is>
          <t>2025-01-31</t>
        </is>
      </c>
      <c r="H1" s="1" t="inlineStr">
        <is>
          <t>2024-10-31</t>
        </is>
      </c>
    </row>
    <row r="2">
      <c r="A2" t="inlineStr">
        <is>
          <t>Ordinary Shares Number</t>
        </is>
      </c>
      <c r="B2" s="3" t="n">
        <v>1323294768</v>
      </c>
      <c r="C2" s="3" t="n">
        <v>1328922107</v>
      </c>
      <c r="D2" s="3" t="n">
        <v>1318292428</v>
      </c>
      <c r="E2" s="3" t="n">
        <v>1318814831</v>
      </c>
      <c r="F2" s="3" t="n">
        <v>1310531962</v>
      </c>
      <c r="G2" s="3" t="n"/>
      <c r="H2" s="3" t="n"/>
    </row>
    <row r="3">
      <c r="A3" t="inlineStr">
        <is>
          <t>Share Issued</t>
        </is>
      </c>
      <c r="B3" s="3" t="n">
        <v>1323294768</v>
      </c>
      <c r="C3" s="3" t="n">
        <v>1328922107</v>
      </c>
      <c r="D3" s="3" t="n">
        <v>1318292428</v>
      </c>
      <c r="E3" s="3" t="n">
        <v>1318814831</v>
      </c>
      <c r="F3" s="3" t="n">
        <v>1310531962</v>
      </c>
      <c r="G3" s="3" t="n"/>
      <c r="H3" s="3" t="n"/>
    </row>
    <row r="4">
      <c r="A4" t="inlineStr">
        <is>
          <t>Net Debt</t>
        </is>
      </c>
      <c r="B4" s="3" t="n">
        <v>15954000000</v>
      </c>
      <c r="C4" s="3" t="n">
        <v>16770000000</v>
      </c>
      <c r="D4" s="3" t="n">
        <v>16592000000</v>
      </c>
      <c r="E4" s="3" t="n">
        <v>19082000000</v>
      </c>
      <c r="F4" s="3" t="n">
        <v>5863000000</v>
      </c>
      <c r="G4" s="3" t="n"/>
      <c r="H4" s="3" t="n"/>
    </row>
    <row r="5">
      <c r="A5" t="inlineStr">
        <is>
          <t>Total Debt</t>
        </is>
      </c>
      <c r="B5" s="3" t="n">
        <v>21246000000</v>
      </c>
      <c r="C5" s="3" t="n">
        <v>21611000000</v>
      </c>
      <c r="D5" s="3" t="n">
        <v>24077000000</v>
      </c>
      <c r="E5" s="3" t="n">
        <v>23653000000</v>
      </c>
      <c r="F5" s="3" t="n">
        <v>17530000000</v>
      </c>
      <c r="G5" s="3" t="n"/>
      <c r="H5" s="3" t="n"/>
    </row>
    <row r="6">
      <c r="A6" t="inlineStr">
        <is>
          <t>Tangible Book Value</t>
        </is>
      </c>
      <c r="B6" s="3" t="n">
        <v>-4356000000</v>
      </c>
      <c r="C6" s="3" t="n">
        <v>-5155000000</v>
      </c>
      <c r="D6" s="3" t="n">
        <v>-5450000000</v>
      </c>
      <c r="E6" s="3" t="n">
        <v>-6002000000</v>
      </c>
      <c r="F6" s="3" t="n">
        <v>6630000000</v>
      </c>
      <c r="G6" s="3" t="n"/>
      <c r="H6" s="3" t="n"/>
    </row>
    <row r="7">
      <c r="A7" t="inlineStr">
        <is>
          <t>Invested Capital</t>
        </is>
      </c>
      <c r="B7" s="3" t="n">
        <v>46538000000</v>
      </c>
      <c r="C7" s="3" t="n">
        <v>46385000000</v>
      </c>
      <c r="D7" s="3" t="n">
        <v>47053000000</v>
      </c>
      <c r="E7" s="3" t="n">
        <v>48055000000</v>
      </c>
      <c r="F7" s="3" t="n">
        <v>41397000000</v>
      </c>
      <c r="G7" s="3" t="n"/>
      <c r="H7" s="3" t="n"/>
    </row>
    <row r="8">
      <c r="A8" t="inlineStr">
        <is>
          <t>Working Capital</t>
        </is>
      </c>
      <c r="B8" s="3" t="n">
        <v>2384000000</v>
      </c>
      <c r="C8" s="3" t="n">
        <v>846000000</v>
      </c>
      <c r="D8" s="3" t="n">
        <v>351000000</v>
      </c>
      <c r="E8" s="3" t="n">
        <v>-1345000000</v>
      </c>
      <c r="F8" s="3" t="n">
        <v>7033000000</v>
      </c>
      <c r="G8" s="3" t="n"/>
      <c r="H8" s="3" t="n"/>
    </row>
    <row r="9">
      <c r="A9" t="inlineStr">
        <is>
          <t>Net Tangible Assets</t>
        </is>
      </c>
      <c r="B9" s="3" t="n">
        <v>-4356000000</v>
      </c>
      <c r="C9" s="3" t="n">
        <v>-5155000000</v>
      </c>
      <c r="D9" s="3" t="n">
        <v>-5450000000</v>
      </c>
      <c r="E9" s="3" t="n">
        <v>-6002000000</v>
      </c>
      <c r="F9" s="3" t="n">
        <v>6630000000</v>
      </c>
      <c r="G9" s="3" t="n"/>
      <c r="H9" s="3" t="n"/>
    </row>
    <row r="10">
      <c r="A10" t="inlineStr">
        <is>
          <t>Capital Lease Obligations</t>
        </is>
      </c>
      <c r="B10" s="3" t="n"/>
      <c r="C10" s="3" t="n"/>
      <c r="D10" s="3" t="n">
        <v>1712000000</v>
      </c>
      <c r="E10" s="3" t="n"/>
      <c r="F10" s="3" t="n"/>
      <c r="G10" s="3" t="n"/>
      <c r="H10" s="3" t="n">
        <v>1570000000</v>
      </c>
    </row>
    <row r="11">
      <c r="A11" t="inlineStr">
        <is>
          <t>Common Stock Equity</t>
        </is>
      </c>
      <c r="B11" s="3" t="n">
        <v>25292000000</v>
      </c>
      <c r="C11" s="3" t="n">
        <v>24774000000</v>
      </c>
      <c r="D11" s="3" t="n">
        <v>24688000000</v>
      </c>
      <c r="E11" s="3" t="n">
        <v>24402000000</v>
      </c>
      <c r="F11" s="3" t="n">
        <v>23867000000</v>
      </c>
      <c r="G11" s="3" t="n"/>
      <c r="H11" s="3" t="n"/>
    </row>
    <row r="12">
      <c r="A12" t="inlineStr">
        <is>
          <t>Total Capitalization</t>
        </is>
      </c>
      <c r="B12" s="3" t="n">
        <v>43529000000</v>
      </c>
      <c r="C12" s="3" t="n">
        <v>42479000000</v>
      </c>
      <c r="D12" s="3" t="n">
        <v>42444000000</v>
      </c>
      <c r="E12" s="3" t="n">
        <v>41256000000</v>
      </c>
      <c r="F12" s="3" t="n">
        <v>36245000000</v>
      </c>
      <c r="G12" s="3" t="n"/>
      <c r="H12" s="3" t="n"/>
    </row>
    <row r="13">
      <c r="A13" t="inlineStr">
        <is>
          <t>Total Equity Gross Minority Interest</t>
        </is>
      </c>
      <c r="B13" s="3" t="n">
        <v>25353000000</v>
      </c>
      <c r="C13" s="3" t="n">
        <v>24834000000</v>
      </c>
      <c r="D13" s="3" t="n">
        <v>24754000000</v>
      </c>
      <c r="E13" s="3" t="n">
        <v>24467000000</v>
      </c>
      <c r="F13" s="3" t="n">
        <v>23927000000</v>
      </c>
      <c r="G13" s="3" t="n"/>
      <c r="H13" s="3" t="n"/>
    </row>
    <row r="14">
      <c r="A14" t="inlineStr">
        <is>
          <t>Minority Interest</t>
        </is>
      </c>
      <c r="B14" s="3" t="n">
        <v>61000000</v>
      </c>
      <c r="C14" s="3" t="n">
        <v>60000000</v>
      </c>
      <c r="D14" s="3" t="n">
        <v>66000000</v>
      </c>
      <c r="E14" s="3" t="n">
        <v>65000000</v>
      </c>
      <c r="F14" s="3" t="n">
        <v>60000000</v>
      </c>
      <c r="G14" s="3" t="n"/>
      <c r="H14" s="3" t="n"/>
    </row>
    <row r="15">
      <c r="A15" t="inlineStr">
        <is>
          <t>Stockholders Equity</t>
        </is>
      </c>
      <c r="B15" s="3" t="n">
        <v>25292000000</v>
      </c>
      <c r="C15" s="3" t="n">
        <v>24774000000</v>
      </c>
      <c r="D15" s="3" t="n">
        <v>24688000000</v>
      </c>
      <c r="E15" s="3" t="n">
        <v>24402000000</v>
      </c>
      <c r="F15" s="3" t="n">
        <v>23867000000</v>
      </c>
      <c r="G15" s="3" t="n"/>
      <c r="H15" s="3" t="n"/>
    </row>
    <row r="16">
      <c r="A16" t="inlineStr">
        <is>
          <t>Gains Losses Not Affecting Retained Earnings</t>
        </is>
      </c>
      <c r="B16" s="3" t="n">
        <v>-2717000000</v>
      </c>
      <c r="C16" s="3" t="n">
        <v>-2772000000</v>
      </c>
      <c r="D16" s="3" t="n">
        <v>-2748000000</v>
      </c>
      <c r="E16" s="3" t="n">
        <v>-3024000000</v>
      </c>
      <c r="F16" s="3" t="n">
        <v>-3094000000</v>
      </c>
      <c r="G16" s="3" t="n"/>
      <c r="H16" s="3" t="n"/>
    </row>
    <row r="17">
      <c r="A17" t="inlineStr">
        <is>
          <t>Other Equity Adjustments</t>
        </is>
      </c>
      <c r="B17" s="3" t="n">
        <v>-2717000000</v>
      </c>
      <c r="C17" s="3" t="n">
        <v>-2772000000</v>
      </c>
      <c r="D17" s="3" t="n">
        <v>-2748000000</v>
      </c>
      <c r="E17" s="3" t="n">
        <v>-3024000000</v>
      </c>
      <c r="F17" s="3" t="n">
        <v>-3094000000</v>
      </c>
      <c r="G17" s="3" t="n"/>
      <c r="H17" s="3" t="n"/>
    </row>
    <row r="18">
      <c r="A18" t="inlineStr">
        <is>
          <t>Retained Earnings</t>
        </is>
      </c>
      <c r="B18" s="3" t="n">
        <v>-2211000000</v>
      </c>
      <c r="C18" s="3" t="n">
        <v>-2593000000</v>
      </c>
      <c r="D18" s="3" t="n">
        <v>-2811000000</v>
      </c>
      <c r="E18" s="3" t="n">
        <v>-2786000000</v>
      </c>
      <c r="F18" s="3" t="n">
        <v>-2892000000</v>
      </c>
      <c r="G18" s="3" t="n"/>
      <c r="H18" s="3" t="n"/>
    </row>
    <row r="19">
      <c r="A19" t="inlineStr">
        <is>
          <t>Additional Paid In Capital</t>
        </is>
      </c>
      <c r="B19" s="3" t="n">
        <v>30207000000</v>
      </c>
      <c r="C19" s="3" t="n">
        <v>30126000000</v>
      </c>
      <c r="D19" s="3" t="n">
        <v>30234000000</v>
      </c>
      <c r="E19" s="3" t="n">
        <v>30199000000</v>
      </c>
      <c r="F19" s="3" t="n">
        <v>29840000000</v>
      </c>
      <c r="G19" s="3" t="n"/>
      <c r="H19" s="3" t="n"/>
    </row>
    <row r="20">
      <c r="A20" t="inlineStr">
        <is>
          <t>Capital Stock</t>
        </is>
      </c>
      <c r="B20" s="3" t="n">
        <v>13000000</v>
      </c>
      <c r="C20" s="3" t="n">
        <v>13000000</v>
      </c>
      <c r="D20" s="3" t="n">
        <v>13000000</v>
      </c>
      <c r="E20" s="3" t="n">
        <v>13000000</v>
      </c>
      <c r="F20" s="3" t="n">
        <v>13000000</v>
      </c>
      <c r="G20" s="3" t="n"/>
      <c r="H20" s="3" t="n"/>
    </row>
    <row r="21">
      <c r="A21" t="inlineStr">
        <is>
          <t>Common Stock</t>
        </is>
      </c>
      <c r="B21" s="3" t="n">
        <v>13000000</v>
      </c>
      <c r="C21" s="3" t="n">
        <v>13000000</v>
      </c>
      <c r="D21" s="3" t="n">
        <v>13000000</v>
      </c>
      <c r="E21" s="3" t="n">
        <v>13000000</v>
      </c>
      <c r="F21" s="3" t="n">
        <v>13000000</v>
      </c>
      <c r="G21" s="3" t="n"/>
      <c r="H21" s="3" t="n"/>
    </row>
    <row r="22">
      <c r="A22" t="inlineStr">
        <is>
          <t>Preferred Stock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/>
      <c r="H22" s="3" t="n"/>
    </row>
    <row r="23">
      <c r="A23" t="inlineStr">
        <is>
          <t>Total Liabilities Net Minority Interest</t>
        </is>
      </c>
      <c r="B23" s="3" t="n">
        <v>54159000000</v>
      </c>
      <c r="C23" s="3" t="n">
        <v>50934000000</v>
      </c>
      <c r="D23" s="3" t="n">
        <v>51152000000</v>
      </c>
      <c r="E23" s="3" t="n">
        <v>52873000000</v>
      </c>
      <c r="F23" s="3" t="n">
        <v>43927000000</v>
      </c>
      <c r="G23" s="3" t="n"/>
      <c r="H23" s="3" t="n"/>
    </row>
    <row r="24">
      <c r="A24" t="inlineStr">
        <is>
          <t>Total Non Current Liabilities Net Minority Interest</t>
        </is>
      </c>
      <c r="B24" s="3" t="n">
        <v>27184000000</v>
      </c>
      <c r="C24" s="3" t="n">
        <v>26577000000</v>
      </c>
      <c r="D24" s="3" t="n">
        <v>26509000000</v>
      </c>
      <c r="E24" s="3" t="n">
        <v>25526000000</v>
      </c>
      <c r="F24" s="3" t="n">
        <v>19389000000</v>
      </c>
      <c r="G24" s="3" t="n"/>
      <c r="H24" s="3" t="n"/>
    </row>
    <row r="25">
      <c r="A25" t="inlineStr">
        <is>
          <t>Other Non Current Liabilities</t>
        </is>
      </c>
      <c r="B25" s="3" t="n">
        <v>8947000000</v>
      </c>
      <c r="C25" s="3" t="n">
        <v>8872000000</v>
      </c>
      <c r="D25" s="3" t="n">
        <v>791000000</v>
      </c>
      <c r="E25" s="3" t="n">
        <v>8672000000</v>
      </c>
      <c r="F25" s="3" t="n">
        <v>7011000000</v>
      </c>
      <c r="G25" s="3" t="n"/>
      <c r="H25" s="3" t="n"/>
    </row>
    <row r="26">
      <c r="A26" t="inlineStr">
        <is>
          <t>Employee Benefits</t>
        </is>
      </c>
      <c r="B26" s="3" t="n"/>
      <c r="C26" s="3" t="n"/>
      <c r="D26" s="3" t="n">
        <v>930000000</v>
      </c>
      <c r="E26" s="3" t="n"/>
      <c r="F26" s="3" t="n"/>
      <c r="G26" s="3" t="n"/>
      <c r="H26" s="3" t="n">
        <v>859000000</v>
      </c>
    </row>
    <row r="27">
      <c r="A27" t="inlineStr">
        <is>
          <t>Non Current Pension And Other Postretirement Benefit Plans</t>
        </is>
      </c>
      <c r="B27" s="3" t="n"/>
      <c r="C27" s="3" t="n"/>
      <c r="D27" s="3" t="n">
        <v>930000000</v>
      </c>
      <c r="E27" s="3" t="n"/>
      <c r="F27" s="3" t="n"/>
      <c r="G27" s="3" t="n"/>
      <c r="H27" s="3" t="n">
        <v>859000000</v>
      </c>
    </row>
    <row r="28">
      <c r="A28" t="inlineStr">
        <is>
          <t>Tradeand Other Payables Non Current</t>
        </is>
      </c>
      <c r="B28" s="3" t="n"/>
      <c r="C28" s="3" t="n"/>
      <c r="D28" s="3" t="n">
        <v>183000000</v>
      </c>
      <c r="E28" s="3" t="n"/>
      <c r="F28" s="3" t="n"/>
      <c r="G28" s="3" t="n"/>
      <c r="H28" s="3" t="n">
        <v>163000000</v>
      </c>
    </row>
    <row r="29">
      <c r="A29" t="inlineStr">
        <is>
          <t>Non Current Deferred Liabilities</t>
        </is>
      </c>
      <c r="B29" s="3" t="n"/>
      <c r="C29" s="3" t="n"/>
      <c r="D29" s="3" t="n">
        <v>5453000000</v>
      </c>
      <c r="E29" s="3" t="n"/>
      <c r="F29" s="3" t="n"/>
      <c r="G29" s="3" t="n"/>
      <c r="H29" s="3" t="n">
        <v>3951000000</v>
      </c>
    </row>
    <row r="30">
      <c r="A30" t="inlineStr">
        <is>
          <t>Non Current Deferred Revenue</t>
        </is>
      </c>
      <c r="B30" s="3" t="n"/>
      <c r="C30" s="3" t="n"/>
      <c r="D30" s="3" t="n">
        <v>4980000000</v>
      </c>
      <c r="E30" s="3" t="n"/>
      <c r="F30" s="3" t="n"/>
      <c r="G30" s="3" t="n"/>
      <c r="H30" s="3" t="n">
        <v>3578000000</v>
      </c>
    </row>
    <row r="31">
      <c r="A31" t="inlineStr">
        <is>
          <t>Non Current Deferred Taxes Liabilities</t>
        </is>
      </c>
      <c r="B31" s="3" t="n"/>
      <c r="C31" s="3" t="n"/>
      <c r="D31" s="3" t="n">
        <v>473000000</v>
      </c>
      <c r="E31" s="3" t="n"/>
      <c r="F31" s="3" t="n"/>
      <c r="G31" s="3" t="n"/>
      <c r="H31" s="3" t="n">
        <v>373000000</v>
      </c>
    </row>
    <row r="32">
      <c r="A32" t="inlineStr">
        <is>
          <t>Long Term Debt And Capital Lease Obligation</t>
        </is>
      </c>
      <c r="B32" s="3" t="n">
        <v>18237000000</v>
      </c>
      <c r="C32" s="3" t="n">
        <v>17705000000</v>
      </c>
      <c r="D32" s="3" t="n">
        <v>19152000000</v>
      </c>
      <c r="E32" s="3" t="n">
        <v>16854000000</v>
      </c>
      <c r="F32" s="3" t="n">
        <v>12378000000</v>
      </c>
      <c r="G32" s="3" t="n"/>
      <c r="H32" s="3" t="n"/>
    </row>
    <row r="33">
      <c r="A33" t="inlineStr">
        <is>
          <t>Long Term Capital Lease Obligation</t>
        </is>
      </c>
      <c r="B33" s="3" t="n"/>
      <c r="C33" s="3" t="n"/>
      <c r="D33" s="3" t="n">
        <v>1396000000</v>
      </c>
      <c r="E33" s="3" t="n"/>
      <c r="F33" s="3" t="n"/>
      <c r="G33" s="3" t="n"/>
      <c r="H33" s="3" t="n">
        <v>1309000000</v>
      </c>
    </row>
    <row r="34">
      <c r="A34" t="inlineStr">
        <is>
          <t>Long Term Debt</t>
        </is>
      </c>
      <c r="B34" s="3" t="n">
        <v>18237000000</v>
      </c>
      <c r="C34" s="3" t="n">
        <v>17705000000</v>
      </c>
      <c r="D34" s="3" t="n">
        <v>17756000000</v>
      </c>
      <c r="E34" s="3" t="n">
        <v>16854000000</v>
      </c>
      <c r="F34" s="3" t="n">
        <v>12378000000</v>
      </c>
      <c r="G34" s="3" t="n"/>
      <c r="H34" s="3" t="n"/>
    </row>
    <row r="35">
      <c r="A35" t="inlineStr">
        <is>
          <t>Current Liabilities</t>
        </is>
      </c>
      <c r="B35" s="3" t="n">
        <v>26975000000</v>
      </c>
      <c r="C35" s="3" t="n">
        <v>24357000000</v>
      </c>
      <c r="D35" s="3" t="n">
        <v>24643000000</v>
      </c>
      <c r="E35" s="3" t="n">
        <v>27347000000</v>
      </c>
      <c r="F35" s="3" t="n">
        <v>24538000000</v>
      </c>
      <c r="G35" s="3" t="n"/>
      <c r="H35" s="3" t="n"/>
    </row>
    <row r="36">
      <c r="A36" t="inlineStr">
        <is>
          <t>Other Current Liabilities</t>
        </is>
      </c>
      <c r="B36" s="3" t="n"/>
      <c r="C36" s="3" t="n"/>
      <c r="D36" s="3" t="n"/>
      <c r="E36" s="3" t="n"/>
      <c r="F36" s="3" t="n"/>
      <c r="G36" s="3" t="n"/>
      <c r="H36" s="3" t="n">
        <v>32000000</v>
      </c>
    </row>
    <row r="37">
      <c r="A37" t="inlineStr">
        <is>
          <t>Current Deferred Liabilities</t>
        </is>
      </c>
      <c r="B37" s="3" t="n">
        <v>5621000000</v>
      </c>
      <c r="C37" s="3" t="n">
        <v>5483000000</v>
      </c>
      <c r="D37" s="3" t="n">
        <v>5974000000</v>
      </c>
      <c r="E37" s="3" t="n">
        <v>5311000000</v>
      </c>
      <c r="F37" s="3" t="n">
        <v>4172000000</v>
      </c>
      <c r="G37" s="3" t="n"/>
      <c r="H37" s="3" t="n"/>
    </row>
    <row r="38">
      <c r="A38" t="inlineStr">
        <is>
          <t>Current Deferred Revenue</t>
        </is>
      </c>
      <c r="B38" s="3" t="n">
        <v>5621000000</v>
      </c>
      <c r="C38" s="3" t="n">
        <v>5483000000</v>
      </c>
      <c r="D38" s="3" t="n">
        <v>5974000000</v>
      </c>
      <c r="E38" s="3" t="n">
        <v>5311000000</v>
      </c>
      <c r="F38" s="3" t="n">
        <v>4172000000</v>
      </c>
      <c r="G38" s="3" t="n"/>
      <c r="H38" s="3" t="n"/>
    </row>
    <row r="39">
      <c r="A39" t="inlineStr">
        <is>
          <t>Current Debt And Capital Lease Obligation</t>
        </is>
      </c>
      <c r="B39" s="3" t="n">
        <v>3009000000</v>
      </c>
      <c r="C39" s="3" t="n">
        <v>3906000000</v>
      </c>
      <c r="D39" s="3" t="n">
        <v>4925000000</v>
      </c>
      <c r="E39" s="3" t="n">
        <v>6799000000</v>
      </c>
      <c r="F39" s="3" t="n">
        <v>5152000000</v>
      </c>
      <c r="G39" s="3" t="n"/>
      <c r="H39" s="3" t="n"/>
    </row>
    <row r="40">
      <c r="A40" t="inlineStr">
        <is>
          <t>Current Capital Lease Obligation</t>
        </is>
      </c>
      <c r="B40" s="3" t="n"/>
      <c r="C40" s="3" t="n"/>
      <c r="D40" s="3" t="n">
        <v>316000000</v>
      </c>
      <c r="E40" s="3" t="n"/>
      <c r="F40" s="3" t="n"/>
      <c r="G40" s="3" t="n"/>
      <c r="H40" s="3" t="n">
        <v>261000000</v>
      </c>
    </row>
    <row r="41">
      <c r="A41" t="inlineStr">
        <is>
          <t>Current Debt</t>
        </is>
      </c>
      <c r="B41" s="3" t="n">
        <v>3009000000</v>
      </c>
      <c r="C41" s="3" t="n">
        <v>3906000000</v>
      </c>
      <c r="D41" s="3" t="n">
        <v>4609000000</v>
      </c>
      <c r="E41" s="3" t="n">
        <v>6799000000</v>
      </c>
      <c r="F41" s="3" t="n">
        <v>5152000000</v>
      </c>
      <c r="G41" s="3" t="n"/>
      <c r="H41" s="3" t="n"/>
    </row>
    <row r="42">
      <c r="A42" t="inlineStr">
        <is>
          <t>Other Current Borrowings</t>
        </is>
      </c>
      <c r="B42" s="3" t="n">
        <v>2249000000</v>
      </c>
      <c r="C42" s="3" t="n">
        <v>3071000000</v>
      </c>
      <c r="D42" s="3" t="n">
        <v>3796000000</v>
      </c>
      <c r="E42" s="3" t="n">
        <v>5050000000</v>
      </c>
      <c r="F42" s="3" t="n">
        <v>4374000000</v>
      </c>
      <c r="G42" s="3" t="n"/>
      <c r="H42" s="3" t="n"/>
    </row>
    <row r="43">
      <c r="A43" t="inlineStr">
        <is>
          <t>Commercial Paper</t>
        </is>
      </c>
      <c r="B43" s="3" t="n">
        <v>637000000</v>
      </c>
      <c r="C43" s="3" t="n">
        <v>704000000</v>
      </c>
      <c r="D43" s="3" t="n">
        <v>681000000</v>
      </c>
      <c r="E43" s="3" t="n">
        <v>625000000</v>
      </c>
      <c r="F43" s="3" t="n">
        <v>662000000</v>
      </c>
      <c r="G43" s="3" t="n"/>
      <c r="H43" s="3" t="n"/>
    </row>
    <row r="44">
      <c r="A44" t="inlineStr">
        <is>
          <t>Current Notes Payable</t>
        </is>
      </c>
      <c r="B44" s="3" t="n">
        <v>123000000</v>
      </c>
      <c r="C44" s="3" t="n">
        <v>131000000</v>
      </c>
      <c r="D44" s="3" t="n">
        <v>132000000</v>
      </c>
      <c r="E44" s="3" t="n">
        <v>1124000000</v>
      </c>
      <c r="F44" s="3" t="n">
        <v>116000000</v>
      </c>
      <c r="G44" s="3" t="n"/>
      <c r="H44" s="3" t="n"/>
    </row>
    <row r="45">
      <c r="A45" t="inlineStr">
        <is>
          <t>Pensionand Other Post Retirement Benefit Plans Current</t>
        </is>
      </c>
      <c r="B45" s="3" t="n">
        <v>1957000000</v>
      </c>
      <c r="C45" s="3" t="n">
        <v>1375000000</v>
      </c>
      <c r="D45" s="3" t="n">
        <v>1871000000</v>
      </c>
      <c r="E45" s="3" t="n">
        <v>1549000000</v>
      </c>
      <c r="F45" s="3" t="n">
        <v>1055000000</v>
      </c>
      <c r="G45" s="3" t="n"/>
      <c r="H45" s="3" t="n"/>
    </row>
    <row r="46">
      <c r="A46" t="inlineStr">
        <is>
          <t>Payables And Accrued Expenses</t>
        </is>
      </c>
      <c r="B46" s="3" t="n">
        <v>16388000000</v>
      </c>
      <c r="C46" s="3" t="n">
        <v>13593000000</v>
      </c>
      <c r="D46" s="3" t="n">
        <v>11873000000</v>
      </c>
      <c r="E46" s="3" t="n">
        <v>13688000000</v>
      </c>
      <c r="F46" s="3" t="n">
        <v>14159000000</v>
      </c>
      <c r="G46" s="3" t="n"/>
      <c r="H46" s="3" t="n"/>
    </row>
    <row r="47">
      <c r="A47" t="inlineStr">
        <is>
          <t>Current Accrued Expenses</t>
        </is>
      </c>
      <c r="B47" s="3" t="n">
        <v>4690000000</v>
      </c>
      <c r="C47" s="3" t="n">
        <v>4839000000</v>
      </c>
      <c r="D47" s="3" t="n">
        <v>2742000000</v>
      </c>
      <c r="E47" s="3" t="n">
        <v>4770000000</v>
      </c>
      <c r="F47" s="3" t="n">
        <v>4566000000</v>
      </c>
      <c r="G47" s="3" t="n"/>
      <c r="H47" s="3" t="n"/>
    </row>
    <row r="48">
      <c r="A48" t="inlineStr">
        <is>
          <t>Payables</t>
        </is>
      </c>
      <c r="B48" s="3" t="n">
        <v>11698000000</v>
      </c>
      <c r="C48" s="3" t="n">
        <v>8754000000</v>
      </c>
      <c r="D48" s="3" t="n">
        <v>9131000000</v>
      </c>
      <c r="E48" s="3" t="n">
        <v>8918000000</v>
      </c>
      <c r="F48" s="3" t="n">
        <v>9593000000</v>
      </c>
      <c r="G48" s="3" t="n"/>
      <c r="H48" s="3" t="n"/>
    </row>
    <row r="49">
      <c r="A49" t="inlineStr">
        <is>
          <t>Other Payable</t>
        </is>
      </c>
      <c r="B49" s="3" t="n"/>
      <c r="C49" s="3" t="n"/>
      <c r="D49" s="3" t="n">
        <v>16000000</v>
      </c>
      <c r="E49" s="3" t="n"/>
      <c r="F49" s="3" t="n"/>
      <c r="G49" s="3" t="n"/>
      <c r="H49" s="3" t="n">
        <v>90000000</v>
      </c>
    </row>
    <row r="50">
      <c r="A50" t="inlineStr">
        <is>
          <t>Total Tax Payable</t>
        </is>
      </c>
      <c r="B50" s="3" t="n">
        <v>387000000</v>
      </c>
      <c r="C50" s="3" t="n">
        <v>375000000</v>
      </c>
      <c r="D50" s="3" t="n">
        <v>1384000000</v>
      </c>
      <c r="E50" s="3" t="n">
        <v>256000000</v>
      </c>
      <c r="F50" s="3" t="n">
        <v>277000000</v>
      </c>
      <c r="G50" s="3" t="n"/>
      <c r="H50" s="3" t="n"/>
    </row>
    <row r="51">
      <c r="A51" t="inlineStr">
        <is>
          <t>Income Tax Payable</t>
        </is>
      </c>
      <c r="B51" s="3" t="n">
        <v>387000000</v>
      </c>
      <c r="C51" s="3" t="n">
        <v>375000000</v>
      </c>
      <c r="D51" s="3" t="n">
        <v>319000000</v>
      </c>
      <c r="E51" s="3" t="n">
        <v>256000000</v>
      </c>
      <c r="F51" s="3" t="n">
        <v>277000000</v>
      </c>
      <c r="G51" s="3" t="n"/>
      <c r="H51" s="3" t="n"/>
    </row>
    <row r="52">
      <c r="A52" t="inlineStr">
        <is>
          <t>Accounts Payable</t>
        </is>
      </c>
      <c r="B52" s="3" t="n">
        <v>11311000000</v>
      </c>
      <c r="C52" s="3" t="n">
        <v>8379000000</v>
      </c>
      <c r="D52" s="3" t="n">
        <v>7731000000</v>
      </c>
      <c r="E52" s="3" t="n">
        <v>8662000000</v>
      </c>
      <c r="F52" s="3" t="n">
        <v>9316000000</v>
      </c>
      <c r="G52" s="3" t="n"/>
      <c r="H52" s="3" t="n"/>
    </row>
    <row r="53">
      <c r="A53" t="inlineStr">
        <is>
          <t>Total Assets</t>
        </is>
      </c>
      <c r="B53" s="3" t="n">
        <v>79512000000</v>
      </c>
      <c r="C53" s="3" t="n">
        <v>75768000000</v>
      </c>
      <c r="D53" s="3" t="n">
        <v>75906000000</v>
      </c>
      <c r="E53" s="3" t="n">
        <v>77340000000</v>
      </c>
      <c r="F53" s="3" t="n">
        <v>67854000000</v>
      </c>
      <c r="G53" s="3" t="n"/>
      <c r="H53" s="3" t="n"/>
    </row>
    <row r="54">
      <c r="A54" t="inlineStr">
        <is>
          <t>Total Non Current Assets</t>
        </is>
      </c>
      <c r="B54" s="3" t="n">
        <v>50153000000</v>
      </c>
      <c r="C54" s="3" t="n">
        <v>50565000000</v>
      </c>
      <c r="D54" s="3" t="n">
        <v>50912000000</v>
      </c>
      <c r="E54" s="3" t="n">
        <v>51338000000</v>
      </c>
      <c r="F54" s="3" t="n">
        <v>36283000000</v>
      </c>
      <c r="G54" s="3" t="n"/>
      <c r="H54" s="3" t="n"/>
    </row>
    <row r="55">
      <c r="A55" t="inlineStr">
        <is>
          <t>Other Non Current Assets</t>
        </is>
      </c>
      <c r="B55" s="3" t="n">
        <v>13992000000</v>
      </c>
      <c r="C55" s="3" t="n">
        <v>13801000000</v>
      </c>
      <c r="D55" s="3" t="n">
        <v>1540000000</v>
      </c>
      <c r="E55" s="3" t="n">
        <v>13817000000</v>
      </c>
      <c r="F55" s="3" t="n">
        <v>12674000000</v>
      </c>
      <c r="G55" s="3" t="n"/>
      <c r="H55" s="3" t="n"/>
    </row>
    <row r="56">
      <c r="A56" t="inlineStr">
        <is>
          <t>Non Current Prepaid Assets</t>
        </is>
      </c>
      <c r="B56" s="3" t="n"/>
      <c r="C56" s="3" t="n"/>
      <c r="D56" s="3" t="n">
        <v>2074000000</v>
      </c>
      <c r="E56" s="3" t="n"/>
      <c r="F56" s="3" t="n"/>
      <c r="G56" s="3" t="n"/>
      <c r="H56" s="3" t="n">
        <v>1555000000</v>
      </c>
    </row>
    <row r="57">
      <c r="A57" t="inlineStr">
        <is>
          <t>Non Current Deferred Assets</t>
        </is>
      </c>
      <c r="B57" s="3" t="n"/>
      <c r="C57" s="3" t="n"/>
      <c r="D57" s="3" t="n">
        <v>2952000000</v>
      </c>
      <c r="E57" s="3" t="n"/>
      <c r="F57" s="3" t="n"/>
      <c r="G57" s="3" t="n"/>
      <c r="H57" s="3" t="n">
        <v>2396000000</v>
      </c>
    </row>
    <row r="58">
      <c r="A58" t="inlineStr">
        <is>
          <t>Non Current Deferred Taxes Assets</t>
        </is>
      </c>
      <c r="B58" s="3" t="n"/>
      <c r="C58" s="3" t="n"/>
      <c r="D58" s="3" t="n">
        <v>2952000000</v>
      </c>
      <c r="E58" s="3" t="n"/>
      <c r="F58" s="3" t="n"/>
      <c r="G58" s="3" t="n"/>
      <c r="H58" s="3" t="n">
        <v>2396000000</v>
      </c>
    </row>
    <row r="59">
      <c r="A59" t="inlineStr">
        <is>
          <t>Non Current Accounts Receivable</t>
        </is>
      </c>
      <c r="B59" s="3" t="n"/>
      <c r="C59" s="3" t="n"/>
      <c r="D59" s="3" t="n">
        <v>5716000000</v>
      </c>
      <c r="E59" s="3" t="n"/>
      <c r="F59" s="3" t="n"/>
      <c r="G59" s="3" t="n"/>
      <c r="H59" s="3" t="n">
        <v>5583000000</v>
      </c>
    </row>
    <row r="60">
      <c r="A60" t="inlineStr">
        <is>
          <t>Investments And Advances</t>
        </is>
      </c>
      <c r="B60" s="3" t="n">
        <v>916000000</v>
      </c>
      <c r="C60" s="3" t="n">
        <v>924000000</v>
      </c>
      <c r="D60" s="3" t="n">
        <v>955000000</v>
      </c>
      <c r="E60" s="3" t="n">
        <v>999000000</v>
      </c>
      <c r="F60" s="3" t="n">
        <v>965000000</v>
      </c>
      <c r="G60" s="3" t="n"/>
      <c r="H60" s="3" t="n"/>
    </row>
    <row r="61">
      <c r="A61" t="inlineStr">
        <is>
          <t>Long Term Equity Investment</t>
        </is>
      </c>
      <c r="B61" s="3" t="n">
        <v>916000000</v>
      </c>
      <c r="C61" s="3" t="n">
        <v>924000000</v>
      </c>
      <c r="D61" s="3" t="n">
        <v>955000000</v>
      </c>
      <c r="E61" s="3" t="n">
        <v>999000000</v>
      </c>
      <c r="F61" s="3" t="n">
        <v>965000000</v>
      </c>
      <c r="G61" s="3" t="n"/>
      <c r="H61" s="3" t="n"/>
    </row>
    <row r="62">
      <c r="A62" t="inlineStr">
        <is>
          <t>Goodwill And Other Intangible Assets</t>
        </is>
      </c>
      <c r="B62" s="3" t="n">
        <v>29648000000</v>
      </c>
      <c r="C62" s="3" t="n">
        <v>29929000000</v>
      </c>
      <c r="D62" s="3" t="n">
        <v>30138000000</v>
      </c>
      <c r="E62" s="3" t="n">
        <v>30404000000</v>
      </c>
      <c r="F62" s="3" t="n">
        <v>17237000000</v>
      </c>
      <c r="G62" s="3" t="n"/>
      <c r="H62" s="3" t="n"/>
    </row>
    <row r="63">
      <c r="A63" t="inlineStr">
        <is>
          <t>Other Intangible Assets</t>
        </is>
      </c>
      <c r="B63" s="3" t="n">
        <v>5820000000</v>
      </c>
      <c r="C63" s="3" t="n">
        <v>6101000000</v>
      </c>
      <c r="D63" s="3" t="n">
        <v>6368000000</v>
      </c>
      <c r="E63" s="3" t="n">
        <v>6637000000</v>
      </c>
      <c r="F63" s="3" t="n">
        <v>512000000</v>
      </c>
      <c r="G63" s="3" t="n"/>
      <c r="H63" s="3" t="n"/>
    </row>
    <row r="64">
      <c r="A64" t="inlineStr">
        <is>
          <t>Goodwill</t>
        </is>
      </c>
      <c r="B64" s="3" t="n">
        <v>23828000000</v>
      </c>
      <c r="C64" s="3" t="n">
        <v>23828000000</v>
      </c>
      <c r="D64" s="3" t="n">
        <v>23770000000</v>
      </c>
      <c r="E64" s="3" t="n">
        <v>23767000000</v>
      </c>
      <c r="F64" s="3" t="n">
        <v>16725000000</v>
      </c>
      <c r="G64" s="3" t="n"/>
      <c r="H64" s="3" t="n"/>
    </row>
    <row r="65">
      <c r="A65" t="inlineStr">
        <is>
          <t>Net PPE</t>
        </is>
      </c>
      <c r="B65" s="3" t="n">
        <v>5597000000</v>
      </c>
      <c r="C65" s="3" t="n">
        <v>5911000000</v>
      </c>
      <c r="D65" s="3" t="n">
        <v>7537000000</v>
      </c>
      <c r="E65" s="3" t="n">
        <v>6118000000</v>
      </c>
      <c r="F65" s="3" t="n">
        <v>5407000000</v>
      </c>
      <c r="G65" s="3" t="n"/>
      <c r="H65" s="3" t="n"/>
    </row>
    <row r="66">
      <c r="A66" t="inlineStr">
        <is>
          <t>Accumulated Depreciation</t>
        </is>
      </c>
      <c r="B66" s="3" t="n">
        <v>-6770000000</v>
      </c>
      <c r="C66" s="3" t="n">
        <v>-6797000000</v>
      </c>
      <c r="D66" s="3" t="n">
        <v>-6628000000</v>
      </c>
      <c r="E66" s="3" t="n">
        <v>-6883000000</v>
      </c>
      <c r="F66" s="3" t="n">
        <v>-6881000000</v>
      </c>
      <c r="G66" s="3" t="n"/>
      <c r="H66" s="3" t="n"/>
    </row>
    <row r="67">
      <c r="A67" t="inlineStr">
        <is>
          <t>Gross PPE</t>
        </is>
      </c>
      <c r="B67" s="3" t="n">
        <v>12367000000</v>
      </c>
      <c r="C67" s="3" t="n">
        <v>12708000000</v>
      </c>
      <c r="D67" s="3" t="n">
        <v>14165000000</v>
      </c>
      <c r="E67" s="3" t="n">
        <v>13001000000</v>
      </c>
      <c r="F67" s="3" t="n">
        <v>12288000000</v>
      </c>
      <c r="G67" s="3" t="n"/>
      <c r="H67" s="3" t="n"/>
    </row>
    <row r="68">
      <c r="A68" t="inlineStr">
        <is>
          <t>Other Properties</t>
        </is>
      </c>
      <c r="B68" s="3" t="n"/>
      <c r="C68" s="3" t="n"/>
      <c r="D68" s="3" t="n">
        <v>1535000000</v>
      </c>
      <c r="E68" s="3" t="n"/>
      <c r="F68" s="3" t="n"/>
      <c r="G68" s="3" t="n"/>
      <c r="H68" s="3" t="n">
        <v>1408000000</v>
      </c>
    </row>
    <row r="69">
      <c r="A69" t="inlineStr">
        <is>
          <t>Machinery Furniture Equipment</t>
        </is>
      </c>
      <c r="B69" s="3" t="n">
        <v>10207000000</v>
      </c>
      <c r="C69" s="3" t="n">
        <v>10343000000</v>
      </c>
      <c r="D69" s="3" t="n">
        <v>10246000000</v>
      </c>
      <c r="E69" s="3" t="n">
        <v>10607000000</v>
      </c>
      <c r="F69" s="3" t="n">
        <v>10505000000</v>
      </c>
      <c r="G69" s="3" t="n"/>
      <c r="H69" s="3" t="n"/>
    </row>
    <row r="70">
      <c r="A70" t="inlineStr">
        <is>
          <t>Buildings And Improvements</t>
        </is>
      </c>
      <c r="B70" s="3" t="n">
        <v>1906000000</v>
      </c>
      <c r="C70" s="3" t="n">
        <v>2056000000</v>
      </c>
      <c r="D70" s="3" t="n">
        <v>2075000000</v>
      </c>
      <c r="E70" s="3" t="n">
        <v>2088000000</v>
      </c>
      <c r="F70" s="3" t="n">
        <v>1717000000</v>
      </c>
      <c r="G70" s="3" t="n"/>
      <c r="H70" s="3" t="n"/>
    </row>
    <row r="71">
      <c r="A71" t="inlineStr">
        <is>
          <t>Land And Improvements</t>
        </is>
      </c>
      <c r="B71" s="3" t="n">
        <v>254000000</v>
      </c>
      <c r="C71" s="3" t="n">
        <v>309000000</v>
      </c>
      <c r="D71" s="3" t="n">
        <v>309000000</v>
      </c>
      <c r="E71" s="3" t="n">
        <v>306000000</v>
      </c>
      <c r="F71" s="3" t="n">
        <v>66000000</v>
      </c>
      <c r="G71" s="3" t="n"/>
      <c r="H71" s="3" t="n"/>
    </row>
    <row r="72">
      <c r="A72" t="inlineStr">
        <is>
          <t>Properties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/>
      <c r="H72" s="3" t="n"/>
    </row>
    <row r="73">
      <c r="A73" t="inlineStr">
        <is>
          <t>Current Assets</t>
        </is>
      </c>
      <c r="B73" s="3" t="n">
        <v>29359000000</v>
      </c>
      <c r="C73" s="3" t="n">
        <v>25203000000</v>
      </c>
      <c r="D73" s="3" t="n">
        <v>24994000000</v>
      </c>
      <c r="E73" s="3" t="n">
        <v>26002000000</v>
      </c>
      <c r="F73" s="3" t="n">
        <v>31571000000</v>
      </c>
      <c r="G73" s="3" t="n"/>
      <c r="H73" s="3" t="n"/>
    </row>
    <row r="74">
      <c r="A74" t="inlineStr">
        <is>
          <t>Other Current Assets</t>
        </is>
      </c>
      <c r="B74" s="3" t="n">
        <v>5053000000</v>
      </c>
      <c r="C74" s="3" t="n">
        <v>4683000000</v>
      </c>
      <c r="D74" s="3" t="n">
        <v>3753000000</v>
      </c>
      <c r="E74" s="3" t="n">
        <v>4835000000</v>
      </c>
      <c r="F74" s="3" t="n">
        <v>4002000000</v>
      </c>
      <c r="G74" s="3" t="n"/>
      <c r="H74" s="3" t="n"/>
    </row>
    <row r="75">
      <c r="A75" t="inlineStr">
        <is>
          <t>Assets Held For Sale Current</t>
        </is>
      </c>
      <c r="B75" s="3" t="n"/>
      <c r="C75" s="3" t="n"/>
      <c r="D75" s="3" t="n">
        <v>0</v>
      </c>
      <c r="E75" s="3" t="n">
        <v>0</v>
      </c>
      <c r="F75" s="3" t="n">
        <v>0</v>
      </c>
      <c r="G75" s="3" t="n">
        <v>0</v>
      </c>
      <c r="H75" s="3" t="n">
        <v>1000000</v>
      </c>
    </row>
    <row r="76">
      <c r="A76" t="inlineStr">
        <is>
          <t>Inventory</t>
        </is>
      </c>
      <c r="B76" s="3" t="n">
        <v>9034000000</v>
      </c>
      <c r="C76" s="3" t="n">
        <v>6913000000</v>
      </c>
      <c r="D76" s="3" t="n">
        <v>6352000000</v>
      </c>
      <c r="E76" s="3" t="n">
        <v>7163000000</v>
      </c>
      <c r="F76" s="3" t="n">
        <v>8096000000</v>
      </c>
      <c r="G76" s="3" t="n"/>
      <c r="H76" s="3" t="n"/>
    </row>
    <row r="77">
      <c r="A77" t="inlineStr">
        <is>
          <t>Finished Goods</t>
        </is>
      </c>
      <c r="B77" s="3" t="n">
        <v>2824000000</v>
      </c>
      <c r="C77" s="3" t="n">
        <v>1984000000</v>
      </c>
      <c r="D77" s="3" t="n">
        <v>2213000000</v>
      </c>
      <c r="E77" s="3" t="n">
        <v>2708000000</v>
      </c>
      <c r="F77" s="3" t="n">
        <v>2988000000</v>
      </c>
      <c r="G77" s="3" t="n"/>
      <c r="H77" s="3" t="n"/>
    </row>
    <row r="78">
      <c r="A78" t="inlineStr">
        <is>
          <t>Raw Materials</t>
        </is>
      </c>
      <c r="B78" s="3" t="n">
        <v>6210000000</v>
      </c>
      <c r="C78" s="3" t="n">
        <v>4929000000</v>
      </c>
      <c r="D78" s="3" t="n">
        <v>4139000000</v>
      </c>
      <c r="E78" s="3" t="n">
        <v>4455000000</v>
      </c>
      <c r="F78" s="3" t="n">
        <v>5108000000</v>
      </c>
      <c r="G78" s="3" t="n"/>
      <c r="H78" s="3" t="n"/>
    </row>
    <row r="79">
      <c r="A79" t="inlineStr">
        <is>
          <t>Receivables</t>
        </is>
      </c>
      <c r="B79" s="3" t="n">
        <v>9980000000</v>
      </c>
      <c r="C79" s="3" t="n">
        <v>8766000000</v>
      </c>
      <c r="D79" s="3" t="n">
        <v>9116000000</v>
      </c>
      <c r="E79" s="3" t="n">
        <v>9433000000</v>
      </c>
      <c r="F79" s="3" t="n">
        <v>7806000000</v>
      </c>
      <c r="G79" s="3" t="n"/>
      <c r="H79" s="3" t="n"/>
    </row>
    <row r="80">
      <c r="A80" t="inlineStr">
        <is>
          <t>Receivables Adjustments Allowances</t>
        </is>
      </c>
      <c r="B80" s="3" t="n">
        <v>-24000000</v>
      </c>
      <c r="C80" s="3" t="n">
        <v>-24000000</v>
      </c>
      <c r="D80" s="3" t="n">
        <v>-22000000</v>
      </c>
      <c r="E80" s="3" t="n">
        <v>-18000000</v>
      </c>
      <c r="F80" s="3" t="n"/>
      <c r="G80" s="3" t="n">
        <v>-9000000</v>
      </c>
      <c r="H80" s="3" t="n"/>
    </row>
    <row r="81">
      <c r="A81" t="inlineStr">
        <is>
          <t>Other Receivables</t>
        </is>
      </c>
      <c r="B81" s="3" t="n">
        <v>4085000000</v>
      </c>
      <c r="C81" s="3" t="n">
        <v>4214000000</v>
      </c>
      <c r="D81" s="3" t="n">
        <v>4222000000</v>
      </c>
      <c r="E81" s="3" t="n">
        <v>4191000000</v>
      </c>
      <c r="F81" s="3" t="n">
        <v>4242000000</v>
      </c>
      <c r="G81" s="3" t="n"/>
      <c r="H81" s="3" t="n"/>
    </row>
    <row r="82">
      <c r="A82" t="inlineStr">
        <is>
          <t>Accounts Receivable</t>
        </is>
      </c>
      <c r="B82" s="3" t="n">
        <v>5919000000</v>
      </c>
      <c r="C82" s="3" t="n">
        <v>4576000000</v>
      </c>
      <c r="D82" s="3" t="n">
        <v>4916000000</v>
      </c>
      <c r="E82" s="3" t="n">
        <v>5260000000</v>
      </c>
      <c r="F82" s="3" t="n">
        <v>3564000000</v>
      </c>
      <c r="G82" s="3" t="n"/>
      <c r="H82" s="3" t="n"/>
    </row>
    <row r="83">
      <c r="A83" t="inlineStr">
        <is>
          <t>Allowance For Doubtful Accounts Receivable</t>
        </is>
      </c>
      <c r="B83" s="3" t="n"/>
      <c r="C83" s="3" t="n"/>
      <c r="D83" s="3" t="n"/>
      <c r="E83" s="3" t="n"/>
      <c r="F83" s="3" t="n">
        <v>-10000000</v>
      </c>
      <c r="G83" s="3" t="n"/>
      <c r="H83" s="3" t="n"/>
    </row>
    <row r="84">
      <c r="A84" t="inlineStr">
        <is>
          <t>Gross Accounts Receivable</t>
        </is>
      </c>
      <c r="B84" s="3" t="n"/>
      <c r="C84" s="3" t="n"/>
      <c r="D84" s="3" t="n"/>
      <c r="E84" s="3" t="n"/>
      <c r="F84" s="3" t="n">
        <v>3574000000</v>
      </c>
      <c r="G84" s="3" t="n"/>
      <c r="H84" s="3" t="n"/>
    </row>
    <row r="85">
      <c r="A85" t="inlineStr">
        <is>
          <t>Cash Cash Equivalents And Short Term Investments</t>
        </is>
      </c>
      <c r="B85" s="3" t="n">
        <v>5292000000</v>
      </c>
      <c r="C85" s="3" t="n">
        <v>4841000000</v>
      </c>
      <c r="D85" s="3" t="n">
        <v>5773000000</v>
      </c>
      <c r="E85" s="3" t="n">
        <v>4571000000</v>
      </c>
      <c r="F85" s="3" t="n">
        <v>11667000000</v>
      </c>
      <c r="G85" s="3" t="n"/>
      <c r="H85" s="3" t="n"/>
    </row>
    <row r="86">
      <c r="A86" t="inlineStr">
        <is>
          <t>Cash And Cash Equivalents</t>
        </is>
      </c>
      <c r="B86" s="3" t="n">
        <v>5292000000</v>
      </c>
      <c r="C86" s="3" t="n">
        <v>4841000000</v>
      </c>
      <c r="D86" s="3" t="n">
        <v>5773000000</v>
      </c>
      <c r="E86" s="3" t="n">
        <v>4571000000</v>
      </c>
      <c r="F86" s="3" t="n">
        <v>11667000000</v>
      </c>
      <c r="G86" s="3" t="n"/>
      <c r="H86" s="3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68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Line item</t>
        </is>
      </c>
      <c r="B1" s="1" t="inlineStr">
        <is>
          <t>2025-10-31</t>
        </is>
      </c>
      <c r="C1" s="1" t="inlineStr">
        <is>
          <t>2024-10-31</t>
        </is>
      </c>
      <c r="D1" s="1" t="inlineStr">
        <is>
          <t>2023-10-31</t>
        </is>
      </c>
      <c r="E1" s="1" t="inlineStr">
        <is>
          <t>2022-10-31</t>
        </is>
      </c>
    </row>
    <row r="2">
      <c r="A2" t="inlineStr">
        <is>
          <t>Free Cash Flow</t>
        </is>
      </c>
      <c r="B2" s="3" t="n">
        <v>627000000</v>
      </c>
      <c r="C2" s="3" t="n">
        <v>1974000000</v>
      </c>
      <c r="D2" s="3" t="n">
        <v>1600000000</v>
      </c>
      <c r="E2" s="3" t="n">
        <v>1471000000</v>
      </c>
    </row>
    <row r="3">
      <c r="A3" t="inlineStr">
        <is>
          <t>Repurchase Of Capital Stock</t>
        </is>
      </c>
      <c r="B3" s="3" t="n">
        <v>-202000000</v>
      </c>
      <c r="C3" s="3" t="n">
        <v>-150000000</v>
      </c>
      <c r="D3" s="3" t="n">
        <v>-421000000</v>
      </c>
      <c r="E3" s="3" t="n">
        <v>-512000000</v>
      </c>
    </row>
    <row r="4">
      <c r="A4" t="inlineStr">
        <is>
          <t>Repayment Of Debt</t>
        </is>
      </c>
      <c r="B4" s="3" t="n">
        <v>-6837000000</v>
      </c>
      <c r="C4" s="3" t="n">
        <v>-5475000000</v>
      </c>
      <c r="D4" s="3" t="n">
        <v>-4887000000</v>
      </c>
      <c r="E4" s="3" t="n">
        <v>-3992000000</v>
      </c>
    </row>
    <row r="5">
      <c r="A5" t="inlineStr">
        <is>
          <t>Issuance Of Debt</t>
        </is>
      </c>
      <c r="B5" s="3" t="n">
        <v>9188000000</v>
      </c>
      <c r="C5" s="3" t="n">
        <v>11245000000</v>
      </c>
      <c r="D5" s="3" t="n">
        <v>4725000000</v>
      </c>
      <c r="E5" s="3" t="n">
        <v>3296000000</v>
      </c>
    </row>
    <row r="6">
      <c r="A6" t="inlineStr">
        <is>
          <t>Issuance Of Capital Stock</t>
        </is>
      </c>
      <c r="B6" s="3" t="n">
        <v>0</v>
      </c>
      <c r="C6" s="3" t="n">
        <v>1462000000</v>
      </c>
      <c r="D6" s="3" t="n">
        <v>0</v>
      </c>
      <c r="E6" s="3" t="n">
        <v>0</v>
      </c>
    </row>
    <row r="7">
      <c r="A7" t="inlineStr">
        <is>
          <t>Capital Expenditure</t>
        </is>
      </c>
      <c r="B7" s="3" t="n">
        <v>-2292000000</v>
      </c>
      <c r="C7" s="3" t="n">
        <v>-2367000000</v>
      </c>
      <c r="D7" s="3" t="n">
        <v>-2828000000</v>
      </c>
      <c r="E7" s="3" t="n">
        <v>-3122000000</v>
      </c>
    </row>
    <row r="8">
      <c r="A8" t="inlineStr">
        <is>
          <t>Interest Paid Supplemental Data</t>
        </is>
      </c>
      <c r="B8" s="3" t="n">
        <v>1018000000</v>
      </c>
      <c r="C8" s="3" t="n">
        <v>772000000</v>
      </c>
      <c r="D8" s="3" t="n">
        <v>677000000</v>
      </c>
      <c r="E8" s="3" t="n">
        <v>453000000</v>
      </c>
    </row>
    <row r="9">
      <c r="A9" t="inlineStr">
        <is>
          <t>Income Tax Paid Supplemental Data</t>
        </is>
      </c>
      <c r="B9" s="3" t="n">
        <v>425000000</v>
      </c>
      <c r="C9" s="3" t="n">
        <v>248000000</v>
      </c>
      <c r="D9" s="3" t="n">
        <v>307000000</v>
      </c>
      <c r="E9" s="3" t="n">
        <v>107000000</v>
      </c>
    </row>
    <row r="10">
      <c r="A10" t="inlineStr">
        <is>
          <t>End Cash Position</t>
        </is>
      </c>
      <c r="B10" s="3" t="n">
        <v>5859000000</v>
      </c>
      <c r="C10" s="3" t="n">
        <v>15105000000</v>
      </c>
      <c r="D10" s="3" t="n">
        <v>4581000000</v>
      </c>
      <c r="E10" s="3" t="n">
        <v>4763000000</v>
      </c>
    </row>
    <row r="11">
      <c r="A11" t="inlineStr">
        <is>
          <t>Beginning Cash Position</t>
        </is>
      </c>
      <c r="B11" s="3" t="n">
        <v>15105000000</v>
      </c>
      <c r="C11" s="3" t="n">
        <v>4581000000</v>
      </c>
      <c r="D11" s="3" t="n">
        <v>4763000000</v>
      </c>
      <c r="E11" s="3" t="n">
        <v>4332000000</v>
      </c>
    </row>
    <row r="12">
      <c r="A12" t="inlineStr">
        <is>
          <t>Effect Of Exchange Rate Changes</t>
        </is>
      </c>
      <c r="B12" s="3" t="n">
        <v>-21000000</v>
      </c>
      <c r="C12" s="3" t="n">
        <v>-47000000</v>
      </c>
      <c r="D12" s="3" t="n">
        <v>36000000</v>
      </c>
      <c r="E12" s="3" t="n">
        <v>-279000000</v>
      </c>
    </row>
    <row r="13">
      <c r="A13" t="inlineStr">
        <is>
          <t>Changes In Cash</t>
        </is>
      </c>
      <c r="B13" s="3" t="n">
        <v>-9225000000</v>
      </c>
      <c r="C13" s="3" t="n">
        <v>10571000000</v>
      </c>
      <c r="D13" s="3" t="n">
        <v>-218000000</v>
      </c>
      <c r="E13" s="3" t="n">
        <v>710000000</v>
      </c>
    </row>
    <row r="14">
      <c r="A14" t="inlineStr">
        <is>
          <t>Financing Cash Flow</t>
        </is>
      </c>
      <c r="B14" s="3" t="n">
        <v>1046000000</v>
      </c>
      <c r="C14" s="3" t="n">
        <v>6283000000</v>
      </c>
      <c r="D14" s="3" t="n">
        <v>-1362000000</v>
      </c>
      <c r="E14" s="3" t="n">
        <v>-1796000000</v>
      </c>
    </row>
    <row r="15">
      <c r="A15" t="inlineStr">
        <is>
          <t>Cash Flow From Continuing Financing Activities</t>
        </is>
      </c>
      <c r="B15" s="3" t="n">
        <v>1046000000</v>
      </c>
      <c r="C15" s="3" t="n">
        <v>6283000000</v>
      </c>
      <c r="D15" s="3" t="n">
        <v>-1362000000</v>
      </c>
      <c r="E15" s="3" t="n">
        <v>-1796000000</v>
      </c>
    </row>
    <row r="16">
      <c r="A16" t="inlineStr">
        <is>
          <t>Net Other Financing Charges</t>
        </is>
      </c>
      <c r="B16" s="3" t="n">
        <v>-10000000</v>
      </c>
      <c r="C16" s="3" t="n">
        <v>-8000000</v>
      </c>
      <c r="D16" s="3" t="n">
        <v>-7000000</v>
      </c>
      <c r="E16" s="3" t="n">
        <v>-14000000</v>
      </c>
    </row>
    <row r="17">
      <c r="A17" t="inlineStr">
        <is>
          <t>Proceeds From Stock Option Exercised</t>
        </is>
      </c>
      <c r="B17" s="3" t="n">
        <v>-289000000</v>
      </c>
      <c r="C17" s="3" t="n">
        <v>-84000000</v>
      </c>
      <c r="D17" s="3" t="n">
        <v>-106000000</v>
      </c>
      <c r="E17" s="3" t="n">
        <v>-53000000</v>
      </c>
    </row>
    <row r="18">
      <c r="A18" t="inlineStr">
        <is>
          <t>Cash Dividends Paid</t>
        </is>
      </c>
      <c r="B18" s="3" t="n">
        <v>-796000000</v>
      </c>
      <c r="C18" s="3" t="n">
        <v>-676000000</v>
      </c>
      <c r="D18" s="3" t="n">
        <v>-619000000</v>
      </c>
      <c r="E18" s="3" t="n">
        <v>-621000000</v>
      </c>
    </row>
    <row r="19">
      <c r="A19" t="inlineStr">
        <is>
          <t>Preferred Stock Dividend Paid</t>
        </is>
      </c>
      <c r="B19" s="3" t="n">
        <v>-112000000</v>
      </c>
      <c r="C19" s="3" t="n">
        <v>0</v>
      </c>
      <c r="D19" s="3" t="n">
        <v>0</v>
      </c>
      <c r="E19" s="3" t="n"/>
    </row>
    <row r="20">
      <c r="A20" t="inlineStr">
        <is>
          <t>Common Stock Dividend Paid</t>
        </is>
      </c>
      <c r="B20" s="3" t="n">
        <v>-684000000</v>
      </c>
      <c r="C20" s="3" t="n">
        <v>-676000000</v>
      </c>
      <c r="D20" s="3" t="n">
        <v>-619000000</v>
      </c>
      <c r="E20" s="3" t="n">
        <v>-621000000</v>
      </c>
    </row>
    <row r="21">
      <c r="A21" t="inlineStr">
        <is>
          <t>Net Preferred Stock Issuance</t>
        </is>
      </c>
      <c r="B21" s="3" t="n">
        <v>0</v>
      </c>
      <c r="C21" s="3" t="n">
        <v>1462000000</v>
      </c>
      <c r="D21" s="3" t="n">
        <v>0</v>
      </c>
      <c r="E21" s="3" t="n">
        <v>0</v>
      </c>
    </row>
    <row r="22">
      <c r="A22" t="inlineStr">
        <is>
          <t>Preferred Stock Issuance</t>
        </is>
      </c>
      <c r="B22" s="3" t="n">
        <v>0</v>
      </c>
      <c r="C22" s="3" t="n">
        <v>1462000000</v>
      </c>
      <c r="D22" s="3" t="n">
        <v>0</v>
      </c>
      <c r="E22" s="3" t="n">
        <v>0</v>
      </c>
    </row>
    <row r="23">
      <c r="A23" t="inlineStr">
        <is>
          <t>Net Common Stock Issuance</t>
        </is>
      </c>
      <c r="B23" s="3" t="n">
        <v>-202000000</v>
      </c>
      <c r="C23" s="3" t="n">
        <v>-150000000</v>
      </c>
      <c r="D23" s="3" t="n">
        <v>-421000000</v>
      </c>
      <c r="E23" s="3" t="n">
        <v>-512000000</v>
      </c>
    </row>
    <row r="24">
      <c r="A24" t="inlineStr">
        <is>
          <t>Common Stock Payments</t>
        </is>
      </c>
      <c r="B24" s="3" t="n">
        <v>-202000000</v>
      </c>
      <c r="C24" s="3" t="n">
        <v>-150000000</v>
      </c>
      <c r="D24" s="3" t="n">
        <v>-421000000</v>
      </c>
      <c r="E24" s="3" t="n">
        <v>-512000000</v>
      </c>
    </row>
    <row r="25">
      <c r="A25" t="inlineStr">
        <is>
          <t>Net Issuance Payments Of Debt</t>
        </is>
      </c>
      <c r="B25" s="3" t="n">
        <v>2343000000</v>
      </c>
      <c r="C25" s="3" t="n">
        <v>5739000000</v>
      </c>
      <c r="D25" s="3" t="n">
        <v>-209000000</v>
      </c>
      <c r="E25" s="3" t="n">
        <v>-596000000</v>
      </c>
    </row>
    <row r="26">
      <c r="A26" t="inlineStr">
        <is>
          <t>Net Short Term Debt Issuance</t>
        </is>
      </c>
      <c r="B26" s="3" t="n">
        <v>-8000000</v>
      </c>
      <c r="C26" s="3" t="n">
        <v>-31000000</v>
      </c>
      <c r="D26" s="3" t="n">
        <v>-47000000</v>
      </c>
      <c r="E26" s="3" t="n">
        <v>100000000</v>
      </c>
    </row>
    <row r="27">
      <c r="A27" t="inlineStr">
        <is>
          <t>Net Long Term Debt Issuance</t>
        </is>
      </c>
      <c r="B27" s="3" t="n">
        <v>2351000000</v>
      </c>
      <c r="C27" s="3" t="n">
        <v>5770000000</v>
      </c>
      <c r="D27" s="3" t="n">
        <v>-162000000</v>
      </c>
      <c r="E27" s="3" t="n">
        <v>-696000000</v>
      </c>
    </row>
    <row r="28">
      <c r="A28" t="inlineStr">
        <is>
          <t>Long Term Debt Payments</t>
        </is>
      </c>
      <c r="B28" s="3" t="n">
        <v>-6837000000</v>
      </c>
      <c r="C28" s="3" t="n">
        <v>-5475000000</v>
      </c>
      <c r="D28" s="3" t="n">
        <v>-4887000000</v>
      </c>
      <c r="E28" s="3" t="n">
        <v>-3992000000</v>
      </c>
    </row>
    <row r="29">
      <c r="A29" t="inlineStr">
        <is>
          <t>Long Term Debt Issuance</t>
        </is>
      </c>
      <c r="B29" s="3" t="n">
        <v>9188000000</v>
      </c>
      <c r="C29" s="3" t="n">
        <v>11245000000</v>
      </c>
      <c r="D29" s="3" t="n">
        <v>4725000000</v>
      </c>
      <c r="E29" s="3" t="n">
        <v>3296000000</v>
      </c>
    </row>
    <row r="30">
      <c r="A30" t="inlineStr">
        <is>
          <t>Investing Cash Flow</t>
        </is>
      </c>
      <c r="B30" s="3" t="n">
        <v>-13190000000</v>
      </c>
      <c r="C30" s="3" t="n">
        <v>-53000000</v>
      </c>
      <c r="D30" s="3" t="n">
        <v>-3284000000</v>
      </c>
      <c r="E30" s="3" t="n">
        <v>-2087000000</v>
      </c>
    </row>
    <row r="31">
      <c r="A31" t="inlineStr">
        <is>
          <t>Cash Flow From Continuing Investing Activities</t>
        </is>
      </c>
      <c r="B31" s="3" t="n">
        <v>-13190000000</v>
      </c>
      <c r="C31" s="3" t="n">
        <v>-53000000</v>
      </c>
      <c r="D31" s="3" t="n">
        <v>-3284000000</v>
      </c>
      <c r="E31" s="3" t="n">
        <v>-2087000000</v>
      </c>
    </row>
    <row r="32">
      <c r="A32" t="inlineStr">
        <is>
          <t>Net Other Investing Changes</t>
        </is>
      </c>
      <c r="B32" s="3" t="n">
        <v>-183000000</v>
      </c>
      <c r="C32" s="3" t="n">
        <v>-42000000</v>
      </c>
      <c r="D32" s="3" t="n">
        <v>-291000000</v>
      </c>
      <c r="E32" s="3" t="n">
        <v>226000000</v>
      </c>
    </row>
    <row r="33">
      <c r="A33" t="inlineStr">
        <is>
          <t>Net Investment Purchase And Sale</t>
        </is>
      </c>
      <c r="B33" s="3" t="n">
        <v>973000000</v>
      </c>
      <c r="C33" s="3" t="n">
        <v>-10000000</v>
      </c>
      <c r="D33" s="3" t="n">
        <v>-7000000</v>
      </c>
      <c r="E33" s="3" t="n">
        <v>207000000</v>
      </c>
    </row>
    <row r="34">
      <c r="A34" t="inlineStr">
        <is>
          <t>Sale Of Investment</t>
        </is>
      </c>
      <c r="B34" s="3" t="n">
        <v>982000000</v>
      </c>
      <c r="C34" s="3" t="n">
        <v>6000000</v>
      </c>
      <c r="D34" s="3" t="n">
        <v>8000000</v>
      </c>
      <c r="E34" s="3" t="n">
        <v>262000000</v>
      </c>
    </row>
    <row r="35">
      <c r="A35" t="inlineStr">
        <is>
          <t>Purchase Of Investment</t>
        </is>
      </c>
      <c r="B35" s="3" t="n">
        <v>-9000000</v>
      </c>
      <c r="C35" s="3" t="n">
        <v>-16000000</v>
      </c>
      <c r="D35" s="3" t="n">
        <v>-15000000</v>
      </c>
      <c r="E35" s="3" t="n">
        <v>-55000000</v>
      </c>
    </row>
    <row r="36">
      <c r="A36" t="inlineStr">
        <is>
          <t>Net Business Purchase And Sale</t>
        </is>
      </c>
      <c r="B36" s="3" t="n">
        <v>-12068000000</v>
      </c>
      <c r="C36" s="3" t="n">
        <v>1996000000</v>
      </c>
      <c r="D36" s="3" t="n">
        <v>-760000000</v>
      </c>
      <c r="E36" s="3" t="n">
        <v>0</v>
      </c>
    </row>
    <row r="37">
      <c r="A37" t="inlineStr">
        <is>
          <t>Sale Of Business</t>
        </is>
      </c>
      <c r="B37" s="3" t="n">
        <v>210000000</v>
      </c>
      <c r="C37" s="3" t="n">
        <v>2143000000</v>
      </c>
      <c r="D37" s="3" t="n">
        <v>1000000</v>
      </c>
      <c r="E37" s="3" t="n"/>
    </row>
    <row r="38">
      <c r="A38" t="inlineStr">
        <is>
          <t>Purchase Of Business</t>
        </is>
      </c>
      <c r="B38" s="3" t="n">
        <v>-12278000000</v>
      </c>
      <c r="C38" s="3" t="n">
        <v>-147000000</v>
      </c>
      <c r="D38" s="3" t="n">
        <v>-761000000</v>
      </c>
      <c r="E38" s="3" t="n">
        <v>0</v>
      </c>
    </row>
    <row r="39">
      <c r="A39" t="inlineStr">
        <is>
          <t>Net PPE Purchase And Sale</t>
        </is>
      </c>
      <c r="B39" s="3" t="n">
        <v>-1912000000</v>
      </c>
      <c r="C39" s="3" t="n">
        <v>-1997000000</v>
      </c>
      <c r="D39" s="3" t="n">
        <v>-2226000000</v>
      </c>
      <c r="E39" s="3" t="n">
        <v>-2520000000</v>
      </c>
    </row>
    <row r="40">
      <c r="A40" t="inlineStr">
        <is>
          <t>Sale Of PPE</t>
        </is>
      </c>
      <c r="B40" s="3" t="n">
        <v>380000000</v>
      </c>
      <c r="C40" s="3" t="n">
        <v>370000000</v>
      </c>
      <c r="D40" s="3" t="n">
        <v>602000000</v>
      </c>
      <c r="E40" s="3" t="n">
        <v>602000000</v>
      </c>
    </row>
    <row r="41">
      <c r="A41" t="inlineStr">
        <is>
          <t>Purchase Of PPE</t>
        </is>
      </c>
      <c r="B41" s="3" t="n">
        <v>-2292000000</v>
      </c>
      <c r="C41" s="3" t="n">
        <v>-2367000000</v>
      </c>
      <c r="D41" s="3" t="n">
        <v>-2828000000</v>
      </c>
      <c r="E41" s="3" t="n">
        <v>-3122000000</v>
      </c>
    </row>
    <row r="42">
      <c r="A42" t="inlineStr">
        <is>
          <t>Operating Cash Flow</t>
        </is>
      </c>
      <c r="B42" s="3" t="n">
        <v>2919000000</v>
      </c>
      <c r="C42" s="3" t="n">
        <v>4341000000</v>
      </c>
      <c r="D42" s="3" t="n">
        <v>4428000000</v>
      </c>
      <c r="E42" s="3" t="n">
        <v>4593000000</v>
      </c>
    </row>
    <row r="43">
      <c r="A43" t="inlineStr">
        <is>
          <t>Cash Flow From Continuing Operating Activities</t>
        </is>
      </c>
      <c r="B43" s="3" t="n">
        <v>2919000000</v>
      </c>
      <c r="C43" s="3" t="n">
        <v>4341000000</v>
      </c>
      <c r="D43" s="3" t="n">
        <v>4428000000</v>
      </c>
      <c r="E43" s="3" t="n">
        <v>4593000000</v>
      </c>
    </row>
    <row r="44">
      <c r="A44" t="inlineStr">
        <is>
          <t>Dividend Received Cfo</t>
        </is>
      </c>
      <c r="B44" s="3" t="n">
        <v>29000000</v>
      </c>
      <c r="C44" s="3" t="n">
        <v>43000000</v>
      </c>
      <c r="D44" s="3" t="n">
        <v>200000000</v>
      </c>
      <c r="E44" s="3" t="n">
        <v>197000000</v>
      </c>
    </row>
    <row r="45">
      <c r="A45" t="inlineStr">
        <is>
          <t>Change In Working Capital</t>
        </is>
      </c>
      <c r="B45" s="3" t="n">
        <v>-2707000000</v>
      </c>
      <c r="C45" s="3" t="n">
        <v>-688000000</v>
      </c>
      <c r="D45" s="3" t="n">
        <v>-1032000000</v>
      </c>
      <c r="E45" s="3" t="n">
        <v>-570000000</v>
      </c>
    </row>
    <row r="46">
      <c r="A46" t="inlineStr">
        <is>
          <t>Change In Other Working Capital</t>
        </is>
      </c>
      <c r="B46" s="3" t="n">
        <v>89000000</v>
      </c>
      <c r="C46" s="3" t="n">
        <v>-291000000</v>
      </c>
      <c r="D46" s="3" t="n">
        <v>562000000</v>
      </c>
      <c r="E46" s="3" t="n">
        <v>-1888000000</v>
      </c>
    </row>
    <row r="47">
      <c r="A47" t="inlineStr">
        <is>
          <t>Change In Payables And Accrued Expense</t>
        </is>
      </c>
      <c r="B47" s="3" t="n">
        <v>-3726000000</v>
      </c>
      <c r="C47" s="3" t="n">
        <v>3953000000</v>
      </c>
      <c r="D47" s="3" t="n">
        <v>-1964000000</v>
      </c>
      <c r="E47" s="3" t="n">
        <v>1523000000</v>
      </c>
    </row>
    <row r="48">
      <c r="A48" t="inlineStr">
        <is>
          <t>Change In Accrued Expense</t>
        </is>
      </c>
      <c r="B48" s="3" t="n">
        <v>-58000000</v>
      </c>
      <c r="C48" s="3" t="n">
        <v>-164000000</v>
      </c>
      <c r="D48" s="3" t="n">
        <v>-275000000</v>
      </c>
      <c r="E48" s="3" t="n">
        <v>-334000000</v>
      </c>
    </row>
    <row r="49">
      <c r="A49" t="inlineStr">
        <is>
          <t>Change In Payable</t>
        </is>
      </c>
      <c r="B49" s="3" t="n">
        <v>-3668000000</v>
      </c>
      <c r="C49" s="3" t="n">
        <v>4117000000</v>
      </c>
      <c r="D49" s="3" t="n">
        <v>-1689000000</v>
      </c>
      <c r="E49" s="3" t="n">
        <v>1857000000</v>
      </c>
    </row>
    <row r="50">
      <c r="A50" t="inlineStr">
        <is>
          <t>Change In Account Payable</t>
        </is>
      </c>
      <c r="B50" s="3" t="n">
        <v>-3468000000</v>
      </c>
      <c r="C50" s="3" t="n">
        <v>3927000000</v>
      </c>
      <c r="D50" s="3" t="n">
        <v>-1655000000</v>
      </c>
      <c r="E50" s="3" t="n">
        <v>1707000000</v>
      </c>
    </row>
    <row r="51">
      <c r="A51" t="inlineStr">
        <is>
          <t>Change In Tax Payable</t>
        </is>
      </c>
      <c r="B51" s="3" t="n">
        <v>-200000000</v>
      </c>
      <c r="C51" s="3" t="n">
        <v>190000000</v>
      </c>
      <c r="D51" s="3" t="n">
        <v>-34000000</v>
      </c>
      <c r="E51" s="3" t="n">
        <v>150000000</v>
      </c>
    </row>
    <row r="52">
      <c r="A52" t="inlineStr">
        <is>
          <t>Change In Income Tax Payable</t>
        </is>
      </c>
      <c r="B52" s="3" t="n">
        <v>-200000000</v>
      </c>
      <c r="C52" s="3" t="n">
        <v>190000000</v>
      </c>
      <c r="D52" s="3" t="n">
        <v>-34000000</v>
      </c>
      <c r="E52" s="3" t="n">
        <v>150000000</v>
      </c>
    </row>
    <row r="53">
      <c r="A53" t="inlineStr">
        <is>
          <t>Change In Inventory</t>
        </is>
      </c>
      <c r="B53" s="3" t="n">
        <v>1783000000</v>
      </c>
      <c r="C53" s="3" t="n">
        <v>-3358000000</v>
      </c>
      <c r="D53" s="3" t="n">
        <v>400000000</v>
      </c>
      <c r="E53" s="3" t="n">
        <v>-713000000</v>
      </c>
    </row>
    <row r="54">
      <c r="A54" t="inlineStr">
        <is>
          <t>Change In Receivables</t>
        </is>
      </c>
      <c r="B54" s="3" t="n">
        <v>-853000000</v>
      </c>
      <c r="C54" s="3" t="n">
        <v>-992000000</v>
      </c>
      <c r="D54" s="3" t="n">
        <v>-30000000</v>
      </c>
      <c r="E54" s="3" t="n">
        <v>508000000</v>
      </c>
    </row>
    <row r="55">
      <c r="A55" t="inlineStr">
        <is>
          <t>Changes In Account Receivables</t>
        </is>
      </c>
      <c r="B55" s="3" t="n">
        <v>-700000000</v>
      </c>
      <c r="C55" s="3" t="n">
        <v>-83000000</v>
      </c>
      <c r="D55" s="3" t="n">
        <v>577000000</v>
      </c>
      <c r="E55" s="3" t="n">
        <v>-186000000</v>
      </c>
    </row>
    <row r="56">
      <c r="A56" t="inlineStr">
        <is>
          <t>Other Non Cash Items</t>
        </is>
      </c>
      <c r="B56" s="3" t="n">
        <v>784000000</v>
      </c>
      <c r="C56" s="3" t="n">
        <v>169000000</v>
      </c>
      <c r="D56" s="3" t="n">
        <v>242000000</v>
      </c>
      <c r="E56" s="3" t="n">
        <v>524000000</v>
      </c>
    </row>
    <row r="57">
      <c r="A57" t="inlineStr">
        <is>
          <t>Stock Based Compensation</t>
        </is>
      </c>
      <c r="B57" s="3" t="n">
        <v>643000000</v>
      </c>
      <c r="C57" s="3" t="n">
        <v>430000000</v>
      </c>
      <c r="D57" s="3" t="n">
        <v>428000000</v>
      </c>
      <c r="E57" s="3" t="n">
        <v>391000000</v>
      </c>
    </row>
    <row r="58">
      <c r="A58" t="inlineStr">
        <is>
          <t>Provisionand Write Offof Assets</t>
        </is>
      </c>
      <c r="B58" s="3" t="n">
        <v>511000000</v>
      </c>
      <c r="C58" s="3" t="n">
        <v>175000000</v>
      </c>
      <c r="D58" s="3" t="n">
        <v>230000000</v>
      </c>
      <c r="E58" s="3" t="n">
        <v>262000000</v>
      </c>
    </row>
    <row r="59">
      <c r="A59" t="inlineStr">
        <is>
          <t>Asset Impairment Charge</t>
        </is>
      </c>
      <c r="B59" s="3" t="n">
        <v>1621000000</v>
      </c>
      <c r="C59" s="3" t="n">
        <v>0</v>
      </c>
      <c r="D59" s="3" t="n">
        <v>0</v>
      </c>
      <c r="E59" s="3" t="n">
        <v>905000000</v>
      </c>
    </row>
    <row r="60">
      <c r="A60" t="inlineStr">
        <is>
          <t>Deferred Tax</t>
        </is>
      </c>
      <c r="B60" s="3" t="n">
        <v>-565000000</v>
      </c>
      <c r="C60" s="3" t="n">
        <v>-64000000</v>
      </c>
      <c r="D60" s="3" t="n">
        <v>-67000000</v>
      </c>
      <c r="E60" s="3" t="n">
        <v>-249000000</v>
      </c>
    </row>
    <row r="61">
      <c r="A61" t="inlineStr">
        <is>
          <t>Deferred Income Tax</t>
        </is>
      </c>
      <c r="B61" s="3" t="n">
        <v>-565000000</v>
      </c>
      <c r="C61" s="3" t="n">
        <v>-64000000</v>
      </c>
      <c r="D61" s="3" t="n">
        <v>-67000000</v>
      </c>
      <c r="E61" s="3" t="n">
        <v>-249000000</v>
      </c>
    </row>
    <row r="62">
      <c r="A62" t="inlineStr">
        <is>
          <t>Depreciation Amortization Depletion</t>
        </is>
      </c>
      <c r="B62" s="3" t="n">
        <v>2737000000</v>
      </c>
      <c r="C62" s="3" t="n">
        <v>2564000000</v>
      </c>
      <c r="D62" s="3" t="n">
        <v>2616000000</v>
      </c>
      <c r="E62" s="3" t="n">
        <v>2480000000</v>
      </c>
    </row>
    <row r="63">
      <c r="A63" t="inlineStr">
        <is>
          <t>Depreciation And Amortization</t>
        </is>
      </c>
      <c r="B63" s="3" t="n">
        <v>2737000000</v>
      </c>
      <c r="C63" s="3" t="n">
        <v>2564000000</v>
      </c>
      <c r="D63" s="3" t="n">
        <v>2616000000</v>
      </c>
      <c r="E63" s="3" t="n">
        <v>2480000000</v>
      </c>
    </row>
    <row r="64">
      <c r="A64" t="inlineStr">
        <is>
          <t>Operating Gains Losses</t>
        </is>
      </c>
      <c r="B64" s="3" t="n">
        <v>-191000000</v>
      </c>
      <c r="C64" s="3" t="n">
        <v>-867000000</v>
      </c>
      <c r="D64" s="3" t="n">
        <v>-214000000</v>
      </c>
      <c r="E64" s="3" t="n">
        <v>-215000000</v>
      </c>
    </row>
    <row r="65">
      <c r="A65" t="inlineStr">
        <is>
          <t>Earnings Losses From Equity Investments</t>
        </is>
      </c>
      <c r="B65" s="3" t="n">
        <v>-90000000</v>
      </c>
      <c r="C65" s="3" t="n">
        <v>-147000000</v>
      </c>
      <c r="D65" s="3" t="n">
        <v>-245000000</v>
      </c>
      <c r="E65" s="3" t="n">
        <v>-215000000</v>
      </c>
    </row>
    <row r="66">
      <c r="A66" t="inlineStr">
        <is>
          <t>Gain Loss On Investment Securities</t>
        </is>
      </c>
      <c r="B66" s="3" t="n">
        <v>147000000</v>
      </c>
      <c r="C66" s="3" t="n">
        <v>13000000</v>
      </c>
      <c r="D66" s="3" t="n">
        <v>31000000</v>
      </c>
      <c r="E66" s="3" t="n"/>
    </row>
    <row r="67">
      <c r="A67" t="inlineStr">
        <is>
          <t>Gain Loss On Sale Of Business</t>
        </is>
      </c>
      <c r="B67" s="3" t="n">
        <v>-248000000</v>
      </c>
      <c r="C67" s="3" t="n">
        <v>-733000000</v>
      </c>
      <c r="D67" s="3" t="n">
        <v>0</v>
      </c>
      <c r="E67" s="3" t="n">
        <v>0</v>
      </c>
    </row>
    <row r="68">
      <c r="A68" t="inlineStr">
        <is>
          <t>Net Income From Continuing Operations</t>
        </is>
      </c>
      <c r="B68" s="3" t="n">
        <v>57000000</v>
      </c>
      <c r="C68" s="3" t="n">
        <v>2579000000</v>
      </c>
      <c r="D68" s="3" t="n">
        <v>2025000000</v>
      </c>
      <c r="E68" s="3" t="n">
        <v>868000000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Line item</t>
        </is>
      </c>
      <c r="B1" s="1" t="inlineStr">
        <is>
          <t>2026-04-30</t>
        </is>
      </c>
      <c r="C1" s="1" t="inlineStr">
        <is>
          <t>2026-01-31</t>
        </is>
      </c>
      <c r="D1" s="1" t="inlineStr">
        <is>
          <t>2025-10-31</t>
        </is>
      </c>
      <c r="E1" s="1" t="inlineStr">
        <is>
          <t>2025-07-31</t>
        </is>
      </c>
      <c r="F1" s="1" t="inlineStr">
        <is>
          <t>2025-04-30</t>
        </is>
      </c>
      <c r="G1" s="1" t="inlineStr">
        <is>
          <t>2025-01-31</t>
        </is>
      </c>
      <c r="H1" s="1" t="inlineStr">
        <is>
          <t>2024-10-31</t>
        </is>
      </c>
    </row>
    <row r="2">
      <c r="A2" t="inlineStr">
        <is>
          <t>Free Cash Flow</t>
        </is>
      </c>
      <c r="B2" s="3" t="n">
        <v>827000000</v>
      </c>
      <c r="C2" s="3" t="n">
        <v>609000000</v>
      </c>
      <c r="D2" s="3" t="n">
        <v>1824000000</v>
      </c>
      <c r="E2" s="3" t="n">
        <v>729000000</v>
      </c>
      <c r="F2" s="3" t="n">
        <v>-1008000000</v>
      </c>
      <c r="G2" s="3" t="n"/>
      <c r="H2" s="3" t="n"/>
    </row>
    <row r="3">
      <c r="A3" t="inlineStr">
        <is>
          <t>Repurchase Of Capital Stock</t>
        </is>
      </c>
      <c r="B3" s="3" t="n">
        <v>-154000000</v>
      </c>
      <c r="C3" s="3" t="n">
        <v>-158000000</v>
      </c>
      <c r="D3" s="3" t="n">
        <v>-100000000</v>
      </c>
      <c r="E3" s="3" t="n">
        <v>0</v>
      </c>
      <c r="F3" s="3" t="n">
        <v>-50000000</v>
      </c>
      <c r="G3" s="3" t="n"/>
      <c r="H3" s="3" t="n"/>
    </row>
    <row r="4">
      <c r="A4" t="inlineStr">
        <is>
          <t>Repayment Of Debt</t>
        </is>
      </c>
      <c r="B4" s="3" t="n">
        <v>-2454000000</v>
      </c>
      <c r="C4" s="3" t="n">
        <v>-917000000</v>
      </c>
      <c r="D4" s="3" t="n">
        <v>-5174000000</v>
      </c>
      <c r="E4" s="3" t="n">
        <v>-602000000</v>
      </c>
      <c r="F4" s="3" t="n">
        <v>-575000000</v>
      </c>
      <c r="G4" s="3" t="n"/>
      <c r="H4" s="3" t="n"/>
    </row>
    <row r="5">
      <c r="A5" t="inlineStr">
        <is>
          <t>Issuance Of Debt</t>
        </is>
      </c>
      <c r="B5" s="3" t="n">
        <v>2104000000</v>
      </c>
      <c r="C5" s="3" t="n">
        <v>126000000</v>
      </c>
      <c r="D5" s="3" t="n">
        <v>3855000000</v>
      </c>
      <c r="E5" s="3" t="n">
        <v>5076000000</v>
      </c>
      <c r="F5" s="3" t="n">
        <v>152000000</v>
      </c>
      <c r="G5" s="3" t="n"/>
      <c r="H5" s="3" t="n"/>
    </row>
    <row r="6">
      <c r="A6" t="inlineStr">
        <is>
          <t>Capital Expenditure</t>
        </is>
      </c>
      <c r="B6" s="3" t="n">
        <v>-583000000</v>
      </c>
      <c r="C6" s="3" t="n">
        <v>-569000000</v>
      </c>
      <c r="D6" s="3" t="n">
        <v>-641000000</v>
      </c>
      <c r="E6" s="3" t="n">
        <v>-576000000</v>
      </c>
      <c r="F6" s="3" t="n">
        <v>-547000000</v>
      </c>
      <c r="G6" s="3" t="n"/>
      <c r="H6" s="3" t="n"/>
    </row>
    <row r="7">
      <c r="A7" t="inlineStr">
        <is>
          <t>End Cash Position</t>
        </is>
      </c>
      <c r="B7" s="3" t="n">
        <v>5354000000</v>
      </c>
      <c r="C7" s="3" t="n">
        <v>4925000000</v>
      </c>
      <c r="D7" s="3" t="n">
        <v>5859000000</v>
      </c>
      <c r="E7" s="3" t="n">
        <v>4697000000</v>
      </c>
      <c r="F7" s="3" t="n">
        <v>11788000000</v>
      </c>
      <c r="G7" s="3" t="n"/>
      <c r="H7" s="3" t="n"/>
    </row>
    <row r="8">
      <c r="A8" t="inlineStr">
        <is>
          <t>Beginning Cash Position</t>
        </is>
      </c>
      <c r="B8" s="3" t="n">
        <v>4925000000</v>
      </c>
      <c r="C8" s="3" t="n">
        <v>5859000000</v>
      </c>
      <c r="D8" s="3" t="n">
        <v>4697000000</v>
      </c>
      <c r="E8" s="3" t="n">
        <v>11788000000</v>
      </c>
      <c r="F8" s="3" t="n">
        <v>13852000000</v>
      </c>
      <c r="G8" s="3" t="n"/>
      <c r="H8" s="3" t="n"/>
    </row>
    <row r="9">
      <c r="A9" t="inlineStr">
        <is>
          <t>Effect Of Exchange Rate Changes</t>
        </is>
      </c>
      <c r="B9" s="3" t="n">
        <v>-42000000</v>
      </c>
      <c r="C9" s="3" t="n">
        <v>33000000</v>
      </c>
      <c r="D9" s="3" t="n">
        <v>-30000000</v>
      </c>
      <c r="E9" s="3" t="n">
        <v>-29000000</v>
      </c>
      <c r="F9" s="3" t="n">
        <v>81000000</v>
      </c>
      <c r="G9" s="3" t="n"/>
      <c r="H9" s="3" t="n"/>
    </row>
    <row r="10">
      <c r="A10" t="inlineStr">
        <is>
          <t>Changes In Cash</t>
        </is>
      </c>
      <c r="B10" s="3" t="n">
        <v>471000000</v>
      </c>
      <c r="C10" s="3" t="n">
        <v>-967000000</v>
      </c>
      <c r="D10" s="3" t="n">
        <v>1192000000</v>
      </c>
      <c r="E10" s="3" t="n">
        <v>-7062000000</v>
      </c>
      <c r="F10" s="3" t="n">
        <v>-2145000000</v>
      </c>
      <c r="G10" s="3" t="n"/>
      <c r="H10" s="3" t="n"/>
    </row>
    <row r="11">
      <c r="A11" t="inlineStr">
        <is>
          <t>Financing Cash Flow</t>
        </is>
      </c>
      <c r="B11" s="3" t="n">
        <v>-739000000</v>
      </c>
      <c r="C11" s="3" t="n">
        <v>-1352000000</v>
      </c>
      <c r="D11" s="3" t="n">
        <v>-1697000000</v>
      </c>
      <c r="E11" s="3" t="n">
        <v>4235000000</v>
      </c>
      <c r="F11" s="3" t="n">
        <v>-695000000</v>
      </c>
      <c r="G11" s="3" t="n"/>
      <c r="H11" s="3" t="n"/>
    </row>
    <row r="12">
      <c r="A12" t="inlineStr">
        <is>
          <t>Cash Flow From Continuing Financing Activities</t>
        </is>
      </c>
      <c r="B12" s="3" t="n">
        <v>-739000000</v>
      </c>
      <c r="C12" s="3" t="n">
        <v>-1352000000</v>
      </c>
      <c r="D12" s="3" t="n">
        <v>-1697000000</v>
      </c>
      <c r="E12" s="3" t="n">
        <v>4235000000</v>
      </c>
      <c r="F12" s="3" t="n">
        <v>-695000000</v>
      </c>
      <c r="G12" s="3" t="n"/>
      <c r="H12" s="3" t="n"/>
    </row>
    <row r="13">
      <c r="A13" t="inlineStr">
        <is>
          <t>Net Other Financing Charges</t>
        </is>
      </c>
      <c r="B13" s="3" t="n">
        <v>0</v>
      </c>
      <c r="C13" s="3" t="n">
        <v>-8000000</v>
      </c>
      <c r="D13" s="3" t="n">
        <v>-2000000</v>
      </c>
      <c r="E13" s="3" t="n">
        <v>0</v>
      </c>
      <c r="F13" s="3" t="n">
        <v>0</v>
      </c>
      <c r="G13" s="3" t="n"/>
      <c r="H13" s="3" t="n"/>
    </row>
    <row r="14">
      <c r="A14" t="inlineStr">
        <is>
          <t>Proceeds From Stock Option Exercised</t>
        </is>
      </c>
      <c r="B14" s="3" t="n">
        <v>-10000000</v>
      </c>
      <c r="C14" s="3" t="n">
        <v>-173000000</v>
      </c>
      <c r="D14" s="3" t="n">
        <v>-60000000</v>
      </c>
      <c r="E14" s="3" t="n">
        <v>-58000000</v>
      </c>
      <c r="F14" s="3" t="n">
        <v>-2000000</v>
      </c>
      <c r="G14" s="3" t="n"/>
      <c r="H14" s="3" t="n"/>
    </row>
    <row r="15">
      <c r="A15" t="inlineStr">
        <is>
          <t>Cash Dividends Paid</t>
        </is>
      </c>
      <c r="B15" s="3" t="n">
        <v>-218000000</v>
      </c>
      <c r="C15" s="3" t="n">
        <v>-219000000</v>
      </c>
      <c r="D15" s="3" t="n">
        <v>-200000000</v>
      </c>
      <c r="E15" s="3" t="n">
        <v>-200000000</v>
      </c>
      <c r="F15" s="3" t="n">
        <v>-200000000</v>
      </c>
      <c r="G15" s="3" t="n"/>
      <c r="H15" s="3" t="n"/>
    </row>
    <row r="16">
      <c r="A16" t="inlineStr">
        <is>
          <t>Preferred Stock Dividend Paid</t>
        </is>
      </c>
      <c r="B16" s="3" t="n">
        <v>-29000000</v>
      </c>
      <c r="C16" s="3" t="n">
        <v>-29000000</v>
      </c>
      <c r="D16" s="3" t="n">
        <v>-29000000</v>
      </c>
      <c r="E16" s="3" t="n">
        <v>-29000000</v>
      </c>
      <c r="F16" s="3" t="n">
        <v>-29000000</v>
      </c>
      <c r="G16" s="3" t="n"/>
      <c r="H16" s="3" t="n"/>
    </row>
    <row r="17">
      <c r="A17" t="inlineStr">
        <is>
          <t>Common Stock Dividend Paid</t>
        </is>
      </c>
      <c r="B17" s="3" t="n">
        <v>-189000000</v>
      </c>
      <c r="C17" s="3" t="n">
        <v>-190000000</v>
      </c>
      <c r="D17" s="3" t="n">
        <v>-171000000</v>
      </c>
      <c r="E17" s="3" t="n">
        <v>-171000000</v>
      </c>
      <c r="F17" s="3" t="n">
        <v>-171000000</v>
      </c>
      <c r="G17" s="3" t="n"/>
      <c r="H17" s="3" t="n"/>
    </row>
    <row r="18">
      <c r="A18" t="inlineStr">
        <is>
          <t>Net Common Stock Issuance</t>
        </is>
      </c>
      <c r="B18" s="3" t="n">
        <v>-154000000</v>
      </c>
      <c r="C18" s="3" t="n">
        <v>-158000000</v>
      </c>
      <c r="D18" s="3" t="n">
        <v>-100000000</v>
      </c>
      <c r="E18" s="3" t="n">
        <v>0</v>
      </c>
      <c r="F18" s="3" t="n">
        <v>-50000000</v>
      </c>
      <c r="G18" s="3" t="n"/>
      <c r="H18" s="3" t="n"/>
    </row>
    <row r="19">
      <c r="A19" t="inlineStr">
        <is>
          <t>Common Stock Payments</t>
        </is>
      </c>
      <c r="B19" s="3" t="n">
        <v>-154000000</v>
      </c>
      <c r="C19" s="3" t="n">
        <v>-158000000</v>
      </c>
      <c r="D19" s="3" t="n">
        <v>-100000000</v>
      </c>
      <c r="E19" s="3" t="n">
        <v>0</v>
      </c>
      <c r="F19" s="3" t="n">
        <v>-50000000</v>
      </c>
      <c r="G19" s="3" t="n"/>
      <c r="H19" s="3" t="n"/>
    </row>
    <row r="20">
      <c r="A20" t="inlineStr">
        <is>
          <t>Net Issuance Payments Of Debt</t>
        </is>
      </c>
      <c r="B20" s="3" t="n">
        <v>-357000000</v>
      </c>
      <c r="C20" s="3" t="n">
        <v>-794000000</v>
      </c>
      <c r="D20" s="3" t="n">
        <v>-1335000000</v>
      </c>
      <c r="E20" s="3" t="n">
        <v>4493000000</v>
      </c>
      <c r="F20" s="3" t="n">
        <v>-443000000</v>
      </c>
      <c r="G20" s="3" t="n"/>
      <c r="H20" s="3" t="n"/>
    </row>
    <row r="21">
      <c r="A21" t="inlineStr">
        <is>
          <t>Net Short Term Debt Issuance</t>
        </is>
      </c>
      <c r="B21" s="3" t="n">
        <v>-7000000</v>
      </c>
      <c r="C21" s="3" t="n">
        <v>-3000000</v>
      </c>
      <c r="D21" s="3" t="n">
        <v>-16000000</v>
      </c>
      <c r="E21" s="3" t="n">
        <v>19000000</v>
      </c>
      <c r="F21" s="3" t="n">
        <v>-20000000</v>
      </c>
      <c r="G21" s="3" t="n"/>
      <c r="H21" s="3" t="n"/>
    </row>
    <row r="22">
      <c r="A22" t="inlineStr">
        <is>
          <t>Net Long Term Debt Issuance</t>
        </is>
      </c>
      <c r="B22" s="3" t="n">
        <v>-350000000</v>
      </c>
      <c r="C22" s="3" t="n">
        <v>-791000000</v>
      </c>
      <c r="D22" s="3" t="n">
        <v>-1319000000</v>
      </c>
      <c r="E22" s="3" t="n">
        <v>4474000000</v>
      </c>
      <c r="F22" s="3" t="n">
        <v>-423000000</v>
      </c>
      <c r="G22" s="3" t="n"/>
      <c r="H22" s="3" t="n"/>
    </row>
    <row r="23">
      <c r="A23" t="inlineStr">
        <is>
          <t>Long Term Debt Payments</t>
        </is>
      </c>
      <c r="B23" s="3" t="n">
        <v>-2454000000</v>
      </c>
      <c r="C23" s="3" t="n">
        <v>-917000000</v>
      </c>
      <c r="D23" s="3" t="n">
        <v>-5174000000</v>
      </c>
      <c r="E23" s="3" t="n">
        <v>-602000000</v>
      </c>
      <c r="F23" s="3" t="n">
        <v>-575000000</v>
      </c>
      <c r="G23" s="3" t="n"/>
      <c r="H23" s="3" t="n"/>
    </row>
    <row r="24">
      <c r="A24" t="inlineStr">
        <is>
          <t>Long Term Debt Issuance</t>
        </is>
      </c>
      <c r="B24" s="3" t="n">
        <v>2104000000</v>
      </c>
      <c r="C24" s="3" t="n">
        <v>126000000</v>
      </c>
      <c r="D24" s="3" t="n">
        <v>3855000000</v>
      </c>
      <c r="E24" s="3" t="n">
        <v>5076000000</v>
      </c>
      <c r="F24" s="3" t="n">
        <v>152000000</v>
      </c>
      <c r="G24" s="3" t="n"/>
      <c r="H24" s="3" t="n"/>
    </row>
    <row r="25">
      <c r="A25" t="inlineStr">
        <is>
          <t>Investing Cash Flow</t>
        </is>
      </c>
      <c r="B25" s="3" t="n">
        <v>-200000000</v>
      </c>
      <c r="C25" s="3" t="n">
        <v>-793000000</v>
      </c>
      <c r="D25" s="3" t="n">
        <v>424000000</v>
      </c>
      <c r="E25" s="3" t="n">
        <v>-12602000000</v>
      </c>
      <c r="F25" s="3" t="n">
        <v>-989000000</v>
      </c>
      <c r="G25" s="3" t="n"/>
      <c r="H25" s="3" t="n"/>
    </row>
    <row r="26">
      <c r="A26" t="inlineStr">
        <is>
          <t>Cash Flow From Continuing Investing Activities</t>
        </is>
      </c>
      <c r="B26" s="3" t="n">
        <v>-200000000</v>
      </c>
      <c r="C26" s="3" t="n">
        <v>-793000000</v>
      </c>
      <c r="D26" s="3" t="n">
        <v>424000000</v>
      </c>
      <c r="E26" s="3" t="n">
        <v>-12602000000</v>
      </c>
      <c r="F26" s="3" t="n">
        <v>-989000000</v>
      </c>
      <c r="G26" s="3" t="n"/>
      <c r="H26" s="3" t="n"/>
    </row>
    <row r="27">
      <c r="A27" t="inlineStr">
        <is>
          <t>Net Other Investing Changes</t>
        </is>
      </c>
      <c r="B27" s="3" t="n">
        <v>250000000</v>
      </c>
      <c r="C27" s="3" t="n">
        <v>-288000000</v>
      </c>
      <c r="D27" s="3" t="n">
        <v>54000000</v>
      </c>
      <c r="E27" s="3" t="n">
        <v>114000000</v>
      </c>
      <c r="F27" s="3" t="n">
        <v>-561000000</v>
      </c>
      <c r="G27" s="3" t="n"/>
      <c r="H27" s="3" t="n"/>
    </row>
    <row r="28">
      <c r="A28" t="inlineStr">
        <is>
          <t>Net Investment Purchase And Sale</t>
        </is>
      </c>
      <c r="B28" s="3" t="n">
        <v>3000000</v>
      </c>
      <c r="C28" s="3" t="n">
        <v>-2000000</v>
      </c>
      <c r="D28" s="3" t="n">
        <v>885000000</v>
      </c>
      <c r="E28" s="3" t="n">
        <v>48000000</v>
      </c>
      <c r="F28" s="3" t="n">
        <v>39000000</v>
      </c>
      <c r="G28" s="3" t="n"/>
      <c r="H28" s="3" t="n"/>
    </row>
    <row r="29">
      <c r="A29" t="inlineStr">
        <is>
          <t>Sale Of Investment</t>
        </is>
      </c>
      <c r="B29" s="3" t="n">
        <v>3000000</v>
      </c>
      <c r="C29" s="3" t="n">
        <v>2000000</v>
      </c>
      <c r="D29" s="3" t="n">
        <v>887000000</v>
      </c>
      <c r="E29" s="3" t="n">
        <v>54000000</v>
      </c>
      <c r="F29" s="3" t="n">
        <v>40000000</v>
      </c>
      <c r="G29" s="3" t="n"/>
      <c r="H29" s="3" t="n"/>
    </row>
    <row r="30">
      <c r="A30" t="inlineStr">
        <is>
          <t>Purchase Of Investment</t>
        </is>
      </c>
      <c r="B30" s="3" t="n">
        <v>0</v>
      </c>
      <c r="C30" s="3" t="n">
        <v>-4000000</v>
      </c>
      <c r="D30" s="3" t="n">
        <v>-2000000</v>
      </c>
      <c r="E30" s="3" t="n">
        <v>-6000000</v>
      </c>
      <c r="F30" s="3" t="n">
        <v>-1000000</v>
      </c>
      <c r="G30" s="3" t="n"/>
      <c r="H30" s="3" t="n"/>
    </row>
    <row r="31">
      <c r="A31" t="inlineStr">
        <is>
          <t>Net Business Purchase And Sale</t>
        </is>
      </c>
      <c r="B31" s="3" t="n">
        <v>0</v>
      </c>
      <c r="C31" s="3" t="n">
        <v>0</v>
      </c>
      <c r="D31" s="3" t="n">
        <v>0</v>
      </c>
      <c r="E31" s="3" t="n">
        <v>-12278000000</v>
      </c>
      <c r="F31" s="3" t="n">
        <v>0</v>
      </c>
      <c r="G31" s="3" t="n"/>
      <c r="H31" s="3" t="n"/>
    </row>
    <row r="32">
      <c r="A32" t="inlineStr">
        <is>
          <t>Sale Of Business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/>
      <c r="H32" s="3" t="n"/>
    </row>
    <row r="33">
      <c r="A33" t="inlineStr">
        <is>
          <t>Purchase Of Business</t>
        </is>
      </c>
      <c r="B33" s="3" t="n"/>
      <c r="C33" s="3" t="n"/>
      <c r="D33" s="3" t="n">
        <v>0</v>
      </c>
      <c r="E33" s="3" t="n"/>
      <c r="F33" s="3" t="n"/>
      <c r="G33" s="3" t="n"/>
      <c r="H33" s="3" t="n">
        <v>-147000000</v>
      </c>
    </row>
    <row r="34">
      <c r="A34" t="inlineStr">
        <is>
          <t>Net PPE Purchase And Sale</t>
        </is>
      </c>
      <c r="B34" s="3" t="n">
        <v>-453000000</v>
      </c>
      <c r="C34" s="3" t="n">
        <v>-503000000</v>
      </c>
      <c r="D34" s="3" t="n">
        <v>-515000000</v>
      </c>
      <c r="E34" s="3" t="n">
        <v>-486000000</v>
      </c>
      <c r="F34" s="3" t="n">
        <v>-467000000</v>
      </c>
      <c r="G34" s="3" t="n"/>
      <c r="H34" s="3" t="n"/>
    </row>
    <row r="35">
      <c r="A35" t="inlineStr">
        <is>
          <t>Sale Of PPE</t>
        </is>
      </c>
      <c r="B35" s="3" t="n">
        <v>130000000</v>
      </c>
      <c r="C35" s="3" t="n">
        <v>66000000</v>
      </c>
      <c r="D35" s="3" t="n">
        <v>126000000</v>
      </c>
      <c r="E35" s="3" t="n">
        <v>90000000</v>
      </c>
      <c r="F35" s="3" t="n">
        <v>80000000</v>
      </c>
      <c r="G35" s="3" t="n"/>
      <c r="H35" s="3" t="n"/>
    </row>
    <row r="36">
      <c r="A36" t="inlineStr">
        <is>
          <t>Purchase Of PPE</t>
        </is>
      </c>
      <c r="B36" s="3" t="n">
        <v>-583000000</v>
      </c>
      <c r="C36" s="3" t="n">
        <v>-569000000</v>
      </c>
      <c r="D36" s="3" t="n">
        <v>-641000000</v>
      </c>
      <c r="E36" s="3" t="n">
        <v>-576000000</v>
      </c>
      <c r="F36" s="3" t="n">
        <v>-547000000</v>
      </c>
      <c r="G36" s="3" t="n"/>
      <c r="H36" s="3" t="n"/>
    </row>
    <row r="37">
      <c r="A37" t="inlineStr">
        <is>
          <t>Operating Cash Flow</t>
        </is>
      </c>
      <c r="B37" s="3" t="n">
        <v>1410000000</v>
      </c>
      <c r="C37" s="3" t="n">
        <v>1178000000</v>
      </c>
      <c r="D37" s="3" t="n">
        <v>2465000000</v>
      </c>
      <c r="E37" s="3" t="n">
        <v>1305000000</v>
      </c>
      <c r="F37" s="3" t="n">
        <v>-461000000</v>
      </c>
      <c r="G37" s="3" t="n"/>
      <c r="H37" s="3" t="n"/>
    </row>
    <row r="38">
      <c r="A38" t="inlineStr">
        <is>
          <t>Cash Flow From Continuing Operating Activities</t>
        </is>
      </c>
      <c r="B38" s="3" t="n">
        <v>1410000000</v>
      </c>
      <c r="C38" s="3" t="n">
        <v>1178000000</v>
      </c>
      <c r="D38" s="3" t="n">
        <v>2465000000</v>
      </c>
      <c r="E38" s="3" t="n">
        <v>1305000000</v>
      </c>
      <c r="F38" s="3" t="n">
        <v>-461000000</v>
      </c>
      <c r="G38" s="3" t="n"/>
      <c r="H38" s="3" t="n"/>
    </row>
    <row r="39">
      <c r="A39" t="inlineStr">
        <is>
          <t>Dividend Received Cfo</t>
        </is>
      </c>
      <c r="B39" s="3" t="n">
        <v>25000000</v>
      </c>
      <c r="C39" s="3" t="n">
        <v>51000000</v>
      </c>
      <c r="D39" s="3" t="n">
        <v>29000000</v>
      </c>
      <c r="E39" s="3" t="n">
        <v>0</v>
      </c>
      <c r="F39" s="3" t="n">
        <v>0</v>
      </c>
      <c r="G39" s="3" t="n"/>
      <c r="H39" s="3" t="n"/>
    </row>
    <row r="40">
      <c r="A40" t="inlineStr">
        <is>
          <t>Change In Working Capital</t>
        </is>
      </c>
      <c r="B40" s="3" t="n">
        <v>-545000000</v>
      </c>
      <c r="C40" s="3" t="n">
        <v>-383000000</v>
      </c>
      <c r="D40" s="3" t="n">
        <v>723000000</v>
      </c>
      <c r="E40" s="3" t="n">
        <v>-66000000</v>
      </c>
      <c r="F40" s="3" t="n">
        <v>-1653000000</v>
      </c>
      <c r="G40" s="3" t="n"/>
      <c r="H40" s="3" t="n"/>
    </row>
    <row r="41">
      <c r="A41" t="inlineStr">
        <is>
          <t>Change In Other Working Capital</t>
        </is>
      </c>
      <c r="B41" s="3" t="n">
        <v>-4000000</v>
      </c>
      <c r="C41" s="3" t="n">
        <v>-851000000</v>
      </c>
      <c r="D41" s="3" t="n">
        <v>1025000000</v>
      </c>
      <c r="E41" s="3" t="n">
        <v>-88000000</v>
      </c>
      <c r="F41" s="3" t="n">
        <v>245000000</v>
      </c>
      <c r="G41" s="3" t="n"/>
      <c r="H41" s="3" t="n"/>
    </row>
    <row r="42">
      <c r="A42" t="inlineStr">
        <is>
          <t>Change In Payables And Accrued Expense</t>
        </is>
      </c>
      <c r="B42" s="3" t="n">
        <v>3117000000</v>
      </c>
      <c r="C42" s="3" t="n">
        <v>582000000</v>
      </c>
      <c r="D42" s="3" t="n">
        <v>-980000000</v>
      </c>
      <c r="E42" s="3" t="n">
        <v>-1012000000</v>
      </c>
      <c r="F42" s="3" t="n">
        <v>-1519000000</v>
      </c>
      <c r="G42" s="3" t="n"/>
      <c r="H42" s="3" t="n"/>
    </row>
    <row r="43">
      <c r="A43" t="inlineStr">
        <is>
          <t>Change In Accrued Expense</t>
        </is>
      </c>
      <c r="B43" s="3" t="n"/>
      <c r="C43" s="3" t="n"/>
      <c r="D43" s="3" t="n">
        <v>-12000000</v>
      </c>
      <c r="E43" s="3" t="n">
        <v>-14000000</v>
      </c>
      <c r="F43" s="3" t="n">
        <v>-16000000</v>
      </c>
      <c r="G43" s="3" t="n">
        <v>-16000000</v>
      </c>
      <c r="H43" s="3" t="n">
        <v>-20000000</v>
      </c>
    </row>
    <row r="44">
      <c r="A44" t="inlineStr">
        <is>
          <t>Change In Payable</t>
        </is>
      </c>
      <c r="B44" s="3" t="n">
        <v>3117000000</v>
      </c>
      <c r="C44" s="3" t="n">
        <v>582000000</v>
      </c>
      <c r="D44" s="3" t="n">
        <v>-968000000</v>
      </c>
      <c r="E44" s="3" t="n">
        <v>-966000000</v>
      </c>
      <c r="F44" s="3" t="n">
        <v>-1519000000</v>
      </c>
      <c r="G44" s="3" t="n"/>
      <c r="H44" s="3" t="n"/>
    </row>
    <row r="45">
      <c r="A45" t="inlineStr">
        <is>
          <t>Change In Account Payable</t>
        </is>
      </c>
      <c r="B45" s="3" t="n">
        <v>3066000000</v>
      </c>
      <c r="C45" s="3" t="n">
        <v>496000000</v>
      </c>
      <c r="D45" s="3" t="n">
        <v>-873000000</v>
      </c>
      <c r="E45" s="3" t="n">
        <v>-897000000</v>
      </c>
      <c r="F45" s="3" t="n">
        <v>-1434000000</v>
      </c>
      <c r="G45" s="3" t="n"/>
      <c r="H45" s="3" t="n"/>
    </row>
    <row r="46">
      <c r="A46" t="inlineStr">
        <is>
          <t>Change In Tax Payable</t>
        </is>
      </c>
      <c r="B46" s="3" t="n">
        <v>51000000</v>
      </c>
      <c r="C46" s="3" t="n">
        <v>86000000</v>
      </c>
      <c r="D46" s="3" t="n">
        <v>-95000000</v>
      </c>
      <c r="E46" s="3" t="n">
        <v>-69000000</v>
      </c>
      <c r="F46" s="3" t="n">
        <v>-85000000</v>
      </c>
      <c r="G46" s="3" t="n"/>
      <c r="H46" s="3" t="n"/>
    </row>
    <row r="47">
      <c r="A47" t="inlineStr">
        <is>
          <t>Change In Income Tax Payable</t>
        </is>
      </c>
      <c r="B47" s="3" t="n">
        <v>51000000</v>
      </c>
      <c r="C47" s="3" t="n">
        <v>86000000</v>
      </c>
      <c r="D47" s="3" t="n">
        <v>-95000000</v>
      </c>
      <c r="E47" s="3" t="n">
        <v>-69000000</v>
      </c>
      <c r="F47" s="3" t="n">
        <v>-85000000</v>
      </c>
      <c r="G47" s="3" t="n"/>
      <c r="H47" s="3" t="n"/>
    </row>
    <row r="48">
      <c r="A48" t="inlineStr">
        <is>
          <t>Change In Inventory</t>
        </is>
      </c>
      <c r="B48" s="3" t="n">
        <v>-2498000000</v>
      </c>
      <c r="C48" s="3" t="n">
        <v>-458000000</v>
      </c>
      <c r="D48" s="3" t="n">
        <v>398000000</v>
      </c>
      <c r="E48" s="3" t="n">
        <v>1820000000</v>
      </c>
      <c r="F48" s="3" t="n">
        <v>376000000</v>
      </c>
      <c r="G48" s="3" t="n"/>
      <c r="H48" s="3" t="n"/>
    </row>
    <row r="49">
      <c r="A49" t="inlineStr">
        <is>
          <t>Change In Receivables</t>
        </is>
      </c>
      <c r="B49" s="3" t="n">
        <v>-1160000000</v>
      </c>
      <c r="C49" s="3" t="n">
        <v>344000000</v>
      </c>
      <c r="D49" s="3" t="n">
        <v>280000000</v>
      </c>
      <c r="E49" s="3" t="n">
        <v>-786000000</v>
      </c>
      <c r="F49" s="3" t="n">
        <v>-755000000</v>
      </c>
      <c r="G49" s="3" t="n"/>
      <c r="H49" s="3" t="n"/>
    </row>
    <row r="50">
      <c r="A50" t="inlineStr">
        <is>
          <t>Changes In Account Receivables</t>
        </is>
      </c>
      <c r="B50" s="3" t="n">
        <v>-1372000000</v>
      </c>
      <c r="C50" s="3" t="n">
        <v>274000000</v>
      </c>
      <c r="D50" s="3" t="n">
        <v>430000000</v>
      </c>
      <c r="E50" s="3" t="n">
        <v>-758000000</v>
      </c>
      <c r="F50" s="3" t="n">
        <v>-463000000</v>
      </c>
      <c r="G50" s="3" t="n"/>
      <c r="H50" s="3" t="n"/>
    </row>
    <row r="51">
      <c r="A51" t="inlineStr">
        <is>
          <t>Other Non Cash Items</t>
        </is>
      </c>
      <c r="B51" s="3" t="n">
        <v>107000000</v>
      </c>
      <c r="C51" s="3" t="n">
        <v>77000000</v>
      </c>
      <c r="D51" s="3" t="n">
        <v>493000000</v>
      </c>
      <c r="E51" s="3" t="n">
        <v>117000000</v>
      </c>
      <c r="F51" s="3" t="n">
        <v>37000000</v>
      </c>
      <c r="G51" s="3" t="n"/>
      <c r="H51" s="3" t="n"/>
    </row>
    <row r="52">
      <c r="A52" t="inlineStr">
        <is>
          <t>Stock Based Compensation</t>
        </is>
      </c>
      <c r="B52" s="3" t="n">
        <v>218000000</v>
      </c>
      <c r="C52" s="3" t="n">
        <v>216000000</v>
      </c>
      <c r="D52" s="3" t="n">
        <v>196000000</v>
      </c>
      <c r="E52" s="3" t="n">
        <v>177000000</v>
      </c>
      <c r="F52" s="3" t="n">
        <v>116000000</v>
      </c>
      <c r="G52" s="3" t="n"/>
      <c r="H52" s="3" t="n"/>
    </row>
    <row r="53">
      <c r="A53" t="inlineStr">
        <is>
          <t>Provisionand Write Offof Assets</t>
        </is>
      </c>
      <c r="B53" s="3" t="n">
        <v>244000000</v>
      </c>
      <c r="C53" s="3" t="n">
        <v>61000000</v>
      </c>
      <c r="D53" s="3" t="n">
        <v>172000000</v>
      </c>
      <c r="E53" s="3" t="n">
        <v>149000000</v>
      </c>
      <c r="F53" s="3" t="n">
        <v>123000000</v>
      </c>
      <c r="G53" s="3" t="n"/>
      <c r="H53" s="3" t="n"/>
    </row>
    <row r="54">
      <c r="A54" t="inlineStr">
        <is>
          <t>Asset Impairment Charge</t>
        </is>
      </c>
      <c r="B54" s="3" t="n"/>
      <c r="C54" s="3" t="n"/>
      <c r="D54" s="3" t="n">
        <v>260000000</v>
      </c>
      <c r="E54" s="3" t="n">
        <v>0</v>
      </c>
      <c r="F54" s="3" t="n"/>
      <c r="G54" s="3" t="n"/>
      <c r="H54" s="3" t="n"/>
    </row>
    <row r="55">
      <c r="A55" t="inlineStr">
        <is>
          <t>Deferred Tax</t>
        </is>
      </c>
      <c r="B55" s="3" t="n">
        <v>-115000000</v>
      </c>
      <c r="C55" s="3" t="n">
        <v>-151000000</v>
      </c>
      <c r="D55" s="3" t="n">
        <v>-491000000</v>
      </c>
      <c r="E55" s="3" t="n">
        <v>-31000000</v>
      </c>
      <c r="F55" s="3" t="n">
        <v>-41000000</v>
      </c>
      <c r="G55" s="3" t="n"/>
      <c r="H55" s="3" t="n"/>
    </row>
    <row r="56">
      <c r="A56" t="inlineStr">
        <is>
          <t>Deferred Income Tax</t>
        </is>
      </c>
      <c r="B56" s="3" t="n">
        <v>-115000000</v>
      </c>
      <c r="C56" s="3" t="n">
        <v>-151000000</v>
      </c>
      <c r="D56" s="3" t="n">
        <v>-491000000</v>
      </c>
      <c r="E56" s="3" t="n">
        <v>-31000000</v>
      </c>
      <c r="F56" s="3" t="n">
        <v>-41000000</v>
      </c>
      <c r="G56" s="3" t="n"/>
      <c r="H56" s="3" t="n"/>
    </row>
    <row r="57">
      <c r="A57" t="inlineStr">
        <is>
          <t>Depreciation Amortization Depletion</t>
        </is>
      </c>
      <c r="B57" s="3" t="n">
        <v>877000000</v>
      </c>
      <c r="C57" s="3" t="n">
        <v>872000000</v>
      </c>
      <c r="D57" s="3" t="n">
        <v>877000000</v>
      </c>
      <c r="E57" s="3" t="n">
        <v>687000000</v>
      </c>
      <c r="F57" s="3" t="n">
        <v>574000000</v>
      </c>
      <c r="G57" s="3" t="n"/>
      <c r="H57" s="3" t="n"/>
    </row>
    <row r="58">
      <c r="A58" t="inlineStr">
        <is>
          <t>Depreciation And Amortization</t>
        </is>
      </c>
      <c r="B58" s="3" t="n">
        <v>877000000</v>
      </c>
      <c r="C58" s="3" t="n">
        <v>872000000</v>
      </c>
      <c r="D58" s="3" t="n">
        <v>877000000</v>
      </c>
      <c r="E58" s="3" t="n">
        <v>687000000</v>
      </c>
      <c r="F58" s="3" t="n">
        <v>574000000</v>
      </c>
      <c r="G58" s="3" t="n"/>
      <c r="H58" s="3" t="n"/>
    </row>
    <row r="59">
      <c r="A59" t="inlineStr">
        <is>
          <t>Operating Gains Losses</t>
        </is>
      </c>
      <c r="B59" s="3" t="n">
        <v>-25000000</v>
      </c>
      <c r="C59" s="3" t="n">
        <v>-17000000</v>
      </c>
      <c r="D59" s="3" t="n">
        <v>31000000</v>
      </c>
      <c r="E59" s="3" t="n">
        <v>-33000000</v>
      </c>
      <c r="F59" s="3" t="n">
        <v>72000000</v>
      </c>
      <c r="G59" s="3" t="n"/>
      <c r="H59" s="3" t="n"/>
    </row>
    <row r="60">
      <c r="A60" t="inlineStr">
        <is>
          <t>Pension And Employee Benefit Expense</t>
        </is>
      </c>
      <c r="B60" s="3" t="n"/>
      <c r="C60" s="3" t="n"/>
      <c r="D60" s="3" t="n"/>
      <c r="E60" s="3" t="n">
        <v>0</v>
      </c>
      <c r="F60" s="3" t="n">
        <v>20000000</v>
      </c>
      <c r="G60" s="3" t="n">
        <v>77000000</v>
      </c>
      <c r="H60" s="3" t="n"/>
    </row>
    <row r="61">
      <c r="A61" t="inlineStr">
        <is>
          <t>Earnings Losses From Equity Investments</t>
        </is>
      </c>
      <c r="B61" s="3" t="n">
        <v>-25000000</v>
      </c>
      <c r="C61" s="3" t="n">
        <v>-17000000</v>
      </c>
      <c r="D61" s="3" t="n">
        <v>-16000000</v>
      </c>
      <c r="E61" s="3" t="n">
        <v>-32000000</v>
      </c>
      <c r="F61" s="3" t="n">
        <v>-25000000</v>
      </c>
      <c r="G61" s="3" t="n"/>
      <c r="H61" s="3" t="n"/>
    </row>
    <row r="62">
      <c r="A62" t="inlineStr">
        <is>
          <t>Gain Loss On Sale Of Business</t>
        </is>
      </c>
      <c r="B62" s="3" t="n">
        <v>0</v>
      </c>
      <c r="C62" s="3" t="n">
        <v>0</v>
      </c>
      <c r="D62" s="3" t="n">
        <v>-3000000</v>
      </c>
      <c r="E62" s="3" t="n">
        <v>-1000000</v>
      </c>
      <c r="F62" s="3" t="n">
        <v>0</v>
      </c>
      <c r="G62" s="3" t="n"/>
      <c r="H62" s="3" t="n"/>
    </row>
    <row r="63">
      <c r="A63" t="inlineStr">
        <is>
          <t>Net Income From Continuing Operations</t>
        </is>
      </c>
      <c r="B63" s="3" t="n">
        <v>624000000</v>
      </c>
      <c r="C63" s="3" t="n">
        <v>452000000</v>
      </c>
      <c r="D63" s="3" t="n">
        <v>175000000</v>
      </c>
      <c r="E63" s="3" t="n">
        <v>305000000</v>
      </c>
      <c r="F63" s="3" t="n">
        <v>-1050000000</v>
      </c>
      <c r="G63" s="3" t="n"/>
      <c r="H63" s="3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</cols>
  <sheetData>
    <row r="1">
      <c r="A1" s="1" t="inlineStr">
        <is>
          <t>Field</t>
        </is>
      </c>
      <c r="B1" s="1" t="inlineStr">
        <is>
          <t>Issue</t>
        </is>
      </c>
    </row>
    <row r="2">
      <c r="A2" t="inlineStr">
        <is>
          <t>—</t>
        </is>
      </c>
      <c r="B2" t="inlineStr">
        <is>
          <t>no gaps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2026-06-20T19:56:22Z</dcterms:created>
  <dcterms:modified xsi:type="dcterms:W3CDTF">2026-06-20T19:56:23Z</dcterms:modified>
</cp:coreProperties>
</file>