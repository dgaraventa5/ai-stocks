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DLR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Digital Realty Trust,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Real Estate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REIT - Specialty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67301076992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85864890368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50.03989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65.69162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10.658943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0.55342996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0.17191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0.21823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0.05688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0.167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2464262912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19452149760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3278001664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351406070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188.15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(annual)'!D56</f>
        <v/>
      </c>
      <c r="C3" s="3">
        <f>'Income stmt (annual)'!C56</f>
        <v/>
      </c>
      <c r="D3" s="3">
        <f>'Income stmt (annual)'!B56</f>
        <v/>
      </c>
      <c r="E3" s="3">
        <f>SUM('Income stmt (quarterly)'!B53:E53)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(annual)'!D54</f>
        <v/>
      </c>
      <c r="C4" s="3">
        <f>'Income stmt (annual)'!C54</f>
        <v/>
      </c>
      <c r="D4" s="3">
        <f>'Income stmt (annual)'!B54</f>
        <v/>
      </c>
      <c r="E4" s="3">
        <f>SUM('Income stmt (quarterly)'!B51:E51)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(annual)'!D46</f>
        <v/>
      </c>
      <c r="C6" s="3">
        <f>'Income stmt (annual)'!C46</f>
        <v/>
      </c>
      <c r="D6" s="3">
        <f>'Income stmt (annual)'!B46</f>
        <v/>
      </c>
      <c r="E6" s="3">
        <f>SUM('Income stmt (quarterly)'!B43:E43)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 t="inlineStr"/>
      <c r="C11" s="3" t="inlineStr"/>
      <c r="D11" s="3" t="inlineStr"/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(annual)'!D6</f>
        <v/>
      </c>
      <c r="C13" s="3">
        <f>'Balance sheet (annual)'!C6</f>
        <v/>
      </c>
      <c r="D13" s="3">
        <f>'Balance sheet (annual)'!B6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(annual)'!D4/1e6</f>
        <v/>
      </c>
      <c r="C15" s="6">
        <f>'Balance sheet (annual)'!C4/1e6</f>
        <v/>
      </c>
      <c r="D15" s="6">
        <f>'Balance sheet (annual)'!B4/1e6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17433582.301582</v>
      </c>
      <c r="C2" s="3" t="n">
        <v>25960051.563785</v>
      </c>
      <c r="D2" s="3" t="n">
        <v>51381941.389485</v>
      </c>
      <c r="E2" s="3" t="n">
        <v>4125188.831563</v>
      </c>
      <c r="F2" s="3" t="n"/>
    </row>
    <row r="3">
      <c r="A3" t="inlineStr">
        <is>
          <t>Tax Rate For Calcs</t>
        </is>
      </c>
      <c r="B3" s="3" t="n">
        <v>0.023818</v>
      </c>
      <c r="C3" s="3" t="n">
        <v>0.08515200000000001</v>
      </c>
      <c r="D3" s="3" t="n">
        <v>0.073672</v>
      </c>
      <c r="E3" s="3" t="n">
        <v>0.076601</v>
      </c>
      <c r="F3" s="3" t="n"/>
    </row>
    <row r="4">
      <c r="A4" t="inlineStr">
        <is>
          <t>Normalized EBITDA</t>
        </is>
      </c>
      <c r="B4" s="3" t="n">
        <v>2945836000</v>
      </c>
      <c r="C4" s="3" t="n">
        <v>2562852000</v>
      </c>
      <c r="D4" s="3" t="n">
        <v>2461045000</v>
      </c>
      <c r="E4" s="3" t="n">
        <v>2235087000</v>
      </c>
      <c r="F4" s="3" t="n"/>
    </row>
    <row r="5">
      <c r="A5" t="inlineStr">
        <is>
          <t>Total Unusual Items</t>
        </is>
      </c>
      <c r="B5" s="3" t="n">
        <v>731952000</v>
      </c>
      <c r="C5" s="3" t="n">
        <v>304868000</v>
      </c>
      <c r="D5" s="3" t="n">
        <v>697446000</v>
      </c>
      <c r="E5" s="3" t="n">
        <v>53853000</v>
      </c>
      <c r="F5" s="3" t="n"/>
    </row>
    <row r="6">
      <c r="A6" t="inlineStr">
        <is>
          <t>Total Unusual Items Excluding Goodwill</t>
        </is>
      </c>
      <c r="B6" s="3" t="n">
        <v>731952000</v>
      </c>
      <c r="C6" s="3" t="n">
        <v>304868000</v>
      </c>
      <c r="D6" s="3" t="n">
        <v>697446000</v>
      </c>
      <c r="E6" s="3" t="n">
        <v>53853000</v>
      </c>
      <c r="F6" s="3" t="n"/>
    </row>
    <row r="7">
      <c r="A7" t="inlineStr">
        <is>
          <t>Net Income From Continuing Operation Net Minority Interest</t>
        </is>
      </c>
      <c r="B7" s="3" t="n">
        <v>1308589000</v>
      </c>
      <c r="C7" s="3" t="n">
        <v>602490000</v>
      </c>
      <c r="D7" s="3" t="n">
        <v>948838000</v>
      </c>
      <c r="E7" s="3" t="n">
        <v>377684000</v>
      </c>
      <c r="F7" s="3" t="n"/>
    </row>
    <row r="8">
      <c r="A8" t="inlineStr">
        <is>
          <t>Reconciled Depreciation</t>
        </is>
      </c>
      <c r="B8" s="3" t="n">
        <v>1894636000</v>
      </c>
      <c r="C8" s="3" t="n">
        <v>1771797000</v>
      </c>
      <c r="D8" s="3" t="n">
        <v>1694859000</v>
      </c>
      <c r="E8" s="3" t="n">
        <v>1577933000</v>
      </c>
      <c r="F8" s="3" t="n"/>
    </row>
    <row r="9">
      <c r="A9" t="inlineStr">
        <is>
          <t>Reconciled Cost Of Revenue</t>
        </is>
      </c>
      <c r="B9" s="3" t="n">
        <v>2726737000</v>
      </c>
      <c r="C9" s="3" t="n">
        <v>2519115000</v>
      </c>
      <c r="D9" s="3" t="n">
        <v>2598071000</v>
      </c>
      <c r="E9" s="3" t="n">
        <v>2017562000</v>
      </c>
      <c r="F9" s="3" t="n"/>
    </row>
    <row r="10">
      <c r="A10" t="inlineStr">
        <is>
          <t>EBITDA</t>
        </is>
      </c>
      <c r="B10" s="3" t="n">
        <v>3677788000</v>
      </c>
      <c r="C10" s="3" t="n">
        <v>2867720000</v>
      </c>
      <c r="D10" s="3" t="n">
        <v>3158491000</v>
      </c>
      <c r="E10" s="3" t="n">
        <v>2288940000</v>
      </c>
      <c r="F10" s="3" t="n"/>
    </row>
    <row r="11">
      <c r="A11" t="inlineStr">
        <is>
          <t>EBIT</t>
        </is>
      </c>
      <c r="B11" s="3" t="n">
        <v>1783152000</v>
      </c>
      <c r="C11" s="3" t="n">
        <v>1095923000</v>
      </c>
      <c r="D11" s="3" t="n">
        <v>1463632000</v>
      </c>
      <c r="E11" s="3" t="n">
        <v>711007000</v>
      </c>
      <c r="F11" s="3" t="n"/>
    </row>
    <row r="12">
      <c r="A12" t="inlineStr">
        <is>
          <t>Net Interest Income</t>
        </is>
      </c>
      <c r="B12" s="3" t="n">
        <v>-437947000</v>
      </c>
      <c r="C12" s="3" t="n">
        <v>-452836000</v>
      </c>
      <c r="D12" s="3" t="n">
        <v>-437741000</v>
      </c>
      <c r="E12" s="3" t="n">
        <v>-299132000</v>
      </c>
      <c r="F12" s="3" t="n"/>
    </row>
    <row r="13">
      <c r="A13" t="inlineStr">
        <is>
          <t>Interest Expense</t>
        </is>
      </c>
      <c r="B13" s="3" t="n">
        <v>437947000</v>
      </c>
      <c r="C13" s="3" t="n">
        <v>452836000</v>
      </c>
      <c r="D13" s="3" t="n">
        <v>437741000</v>
      </c>
      <c r="E13" s="3" t="n">
        <v>299132000</v>
      </c>
      <c r="F13" s="3" t="n"/>
    </row>
    <row r="14">
      <c r="A14" t="inlineStr">
        <is>
          <t>Normalized Income</t>
        </is>
      </c>
      <c r="B14" s="3" t="n">
        <v>594070582.301582</v>
      </c>
      <c r="C14" s="3" t="n">
        <v>323582051.563785</v>
      </c>
      <c r="D14" s="3" t="n">
        <v>302773941.389485</v>
      </c>
      <c r="E14" s="3" t="n">
        <v>327956188.831563</v>
      </c>
      <c r="F14" s="3" t="n"/>
    </row>
    <row r="15">
      <c r="A15" t="inlineStr">
        <is>
          <t>Net Income From Continuing And Discontinued Operation</t>
        </is>
      </c>
      <c r="B15" s="3" t="n">
        <v>1308589000</v>
      </c>
      <c r="C15" s="3" t="n">
        <v>602490000</v>
      </c>
      <c r="D15" s="3" t="n">
        <v>948838000</v>
      </c>
      <c r="E15" s="3" t="n">
        <v>377684000</v>
      </c>
      <c r="F15" s="3" t="n"/>
    </row>
    <row r="16">
      <c r="A16" t="inlineStr">
        <is>
          <t>Total Expenses</t>
        </is>
      </c>
      <c r="B16" s="3" t="n">
        <v>5190557000</v>
      </c>
      <c r="C16" s="3" t="n">
        <v>4798018000</v>
      </c>
      <c r="D16" s="3" t="n">
        <v>4749515000</v>
      </c>
      <c r="E16" s="3" t="n">
        <v>4030100000</v>
      </c>
      <c r="F16" s="3" t="n"/>
    </row>
    <row r="17">
      <c r="A17" t="inlineStr">
        <is>
          <t>Rent Expense Supplemental</t>
        </is>
      </c>
      <c r="B17" s="3" t="n">
        <v>2726737000</v>
      </c>
      <c r="C17" s="3" t="n">
        <v>2519115000</v>
      </c>
      <c r="D17" s="3" t="n">
        <v>2598071000</v>
      </c>
      <c r="E17" s="3" t="n">
        <v>2017562000</v>
      </c>
      <c r="F17" s="3" t="n"/>
    </row>
    <row r="18">
      <c r="A18" t="inlineStr">
        <is>
          <t>Total Operating Income As Reported</t>
        </is>
      </c>
      <c r="B18" s="3" t="n">
        <v>658492000</v>
      </c>
      <c r="C18" s="3" t="n">
        <v>471864000</v>
      </c>
      <c r="D18" s="3" t="n">
        <v>524461000</v>
      </c>
      <c r="E18" s="3" t="n">
        <v>589968000</v>
      </c>
      <c r="F18" s="3" t="n"/>
    </row>
    <row r="19">
      <c r="A19" t="inlineStr">
        <is>
          <t>Diluted Average Shares</t>
        </is>
      </c>
      <c r="B19" s="3" t="n">
        <v>347810000</v>
      </c>
      <c r="C19" s="3" t="n">
        <v>331547000</v>
      </c>
      <c r="D19" s="3" t="n">
        <v>309065000</v>
      </c>
      <c r="E19" s="3" t="n">
        <v>297919336</v>
      </c>
      <c r="F19" s="3" t="n"/>
    </row>
    <row r="20">
      <c r="A20" t="inlineStr">
        <is>
          <t>Basic Average Shares</t>
        </is>
      </c>
      <c r="B20" s="3" t="n">
        <v>339807000</v>
      </c>
      <c r="C20" s="3" t="n">
        <v>323336000</v>
      </c>
      <c r="D20" s="3" t="n">
        <v>298603000</v>
      </c>
      <c r="E20" s="3" t="n">
        <v>286333747</v>
      </c>
      <c r="F20" s="3" t="n"/>
    </row>
    <row r="21">
      <c r="A21" t="inlineStr">
        <is>
          <t>Diluted EPS</t>
        </is>
      </c>
      <c r="B21" s="3" t="n">
        <v>3.58</v>
      </c>
      <c r="C21" s="3" t="n">
        <v>1.61</v>
      </c>
      <c r="D21" s="3" t="n">
        <v>3</v>
      </c>
      <c r="E21" s="3" t="n">
        <v>1.13</v>
      </c>
      <c r="F21" s="3" t="n"/>
    </row>
    <row r="22">
      <c r="A22" t="inlineStr">
        <is>
          <t>Basic EPS</t>
        </is>
      </c>
      <c r="B22" s="3" t="n">
        <v>3.73</v>
      </c>
      <c r="C22" s="3" t="n">
        <v>1.74</v>
      </c>
      <c r="D22" s="3" t="n">
        <v>3.04</v>
      </c>
      <c r="E22" s="3" t="n">
        <v>1.18</v>
      </c>
      <c r="F22" s="3" t="n"/>
    </row>
    <row r="23">
      <c r="A23" t="inlineStr">
        <is>
          <t>Diluted NI Availto Com Stockholders</t>
        </is>
      </c>
      <c r="B23" s="3" t="n">
        <v>1245272000</v>
      </c>
      <c r="C23" s="3" t="n">
        <v>534707000</v>
      </c>
      <c r="D23" s="3" t="n">
        <v>890021000</v>
      </c>
      <c r="E23" s="3" t="n">
        <v>332121000</v>
      </c>
      <c r="F23" s="3" t="n"/>
    </row>
    <row r="24">
      <c r="A24" t="inlineStr">
        <is>
          <t>Average Dilution Earnings</t>
        </is>
      </c>
      <c r="B24" s="3" t="n">
        <v>-22593000</v>
      </c>
      <c r="C24" s="3" t="n">
        <v>-27059000</v>
      </c>
      <c r="D24" s="3" t="n">
        <v>-18093000</v>
      </c>
      <c r="E24" s="3" t="n">
        <v>-4839000</v>
      </c>
      <c r="F24" s="3" t="n"/>
    </row>
    <row r="25">
      <c r="A25" t="inlineStr">
        <is>
          <t>Net Income Common Stockholders</t>
        </is>
      </c>
      <c r="B25" s="3" t="n">
        <v>1267865000</v>
      </c>
      <c r="C25" s="3" t="n">
        <v>561766000</v>
      </c>
      <c r="D25" s="3" t="n">
        <v>908114000</v>
      </c>
      <c r="E25" s="3" t="n">
        <v>336960000</v>
      </c>
      <c r="F25" s="3" t="n"/>
    </row>
    <row r="26">
      <c r="A26" t="inlineStr">
        <is>
          <t>Otherunder Preferred Stock Dividend</t>
        </is>
      </c>
      <c r="B26" s="3" t="n"/>
      <c r="C26" s="3" t="n"/>
      <c r="D26" s="3" t="n">
        <v>0</v>
      </c>
      <c r="E26" s="3" t="n">
        <v>0</v>
      </c>
      <c r="F26" s="3" t="n">
        <v>-18000000</v>
      </c>
    </row>
    <row r="27">
      <c r="A27" t="inlineStr">
        <is>
          <t>Preferred Stock Dividends</t>
        </is>
      </c>
      <c r="B27" s="3" t="n">
        <v>40724000</v>
      </c>
      <c r="C27" s="3" t="n">
        <v>40724000</v>
      </c>
      <c r="D27" s="3" t="n">
        <v>40724000</v>
      </c>
      <c r="E27" s="3" t="n">
        <v>40724000</v>
      </c>
      <c r="F27" s="3" t="n"/>
    </row>
    <row r="28">
      <c r="A28" t="inlineStr">
        <is>
          <t>Net Income</t>
        </is>
      </c>
      <c r="B28" s="3" t="n">
        <v>1308589000</v>
      </c>
      <c r="C28" s="3" t="n">
        <v>602490000</v>
      </c>
      <c r="D28" s="3" t="n">
        <v>948838000</v>
      </c>
      <c r="E28" s="3" t="n">
        <v>377684000</v>
      </c>
      <c r="F28" s="3" t="n"/>
    </row>
    <row r="29">
      <c r="A29" t="inlineStr">
        <is>
          <t>Minority Interests</t>
        </is>
      </c>
      <c r="B29" s="3" t="n">
        <v>-4576000</v>
      </c>
      <c r="C29" s="3" t="n">
        <v>14163000</v>
      </c>
      <c r="D29" s="3" t="n">
        <v>-1474000</v>
      </c>
      <c r="E29" s="3" t="n">
        <v>-2641000</v>
      </c>
      <c r="F29" s="3" t="n"/>
    </row>
    <row r="30">
      <c r="A30" t="inlineStr">
        <is>
          <t>Net Income Including Noncontrolling Interests</t>
        </is>
      </c>
      <c r="B30" s="3" t="n">
        <v>1313165000</v>
      </c>
      <c r="C30" s="3" t="n">
        <v>588327000</v>
      </c>
      <c r="D30" s="3" t="n">
        <v>950312000</v>
      </c>
      <c r="E30" s="3" t="n">
        <v>380325000</v>
      </c>
      <c r="F30" s="3" t="n"/>
    </row>
    <row r="31">
      <c r="A31" t="inlineStr">
        <is>
          <t>Net Income Continuous Operations</t>
        </is>
      </c>
      <c r="B31" s="3" t="n">
        <v>1313165000</v>
      </c>
      <c r="C31" s="3" t="n">
        <v>588327000</v>
      </c>
      <c r="D31" s="3" t="n">
        <v>950312000</v>
      </c>
      <c r="E31" s="3" t="n">
        <v>380325000</v>
      </c>
      <c r="F31" s="3" t="n"/>
    </row>
    <row r="32">
      <c r="A32" t="inlineStr">
        <is>
          <t>Tax Provision</t>
        </is>
      </c>
      <c r="B32" s="3" t="n">
        <v>32040000</v>
      </c>
      <c r="C32" s="3" t="n">
        <v>54760000</v>
      </c>
      <c r="D32" s="3" t="n">
        <v>75579000</v>
      </c>
      <c r="E32" s="3" t="n">
        <v>31550000</v>
      </c>
      <c r="F32" s="3" t="n"/>
    </row>
    <row r="33">
      <c r="A33" t="inlineStr">
        <is>
          <t>Pretax Income</t>
        </is>
      </c>
      <c r="B33" s="3" t="n">
        <v>1345205000</v>
      </c>
      <c r="C33" s="3" t="n">
        <v>643087000</v>
      </c>
      <c r="D33" s="3" t="n">
        <v>1025891000</v>
      </c>
      <c r="E33" s="3" t="n">
        <v>411875000</v>
      </c>
      <c r="F33" s="3" t="n"/>
    </row>
    <row r="34">
      <c r="A34" t="inlineStr">
        <is>
          <t>Other Income Expense</t>
        </is>
      </c>
      <c r="B34" s="3" t="n">
        <v>861017000</v>
      </c>
      <c r="C34" s="3" t="n">
        <v>338973000</v>
      </c>
      <c r="D34" s="3" t="n">
        <v>736086000</v>
      </c>
      <c r="E34" s="3" t="n">
        <v>49273000</v>
      </c>
      <c r="F34" s="3" t="n"/>
    </row>
    <row r="35">
      <c r="A35" t="inlineStr">
        <is>
          <t>Other Non Operating Income Expenses</t>
        </is>
      </c>
      <c r="B35" s="3" t="n">
        <v>161052000</v>
      </c>
      <c r="C35" s="3" t="n">
        <v>154243000</v>
      </c>
      <c r="D35" s="3" t="n">
        <v>68431000</v>
      </c>
      <c r="E35" s="3" t="n">
        <v>8917000</v>
      </c>
      <c r="F35" s="3" t="n"/>
    </row>
    <row r="36">
      <c r="A36" t="inlineStr">
        <is>
          <t>Special Income Charges</t>
        </is>
      </c>
      <c r="B36" s="3" t="n">
        <v>-263634000</v>
      </c>
      <c r="C36" s="3" t="n">
        <v>-290957000</v>
      </c>
      <c r="D36" s="3" t="n">
        <v>-203085000</v>
      </c>
      <c r="E36" s="3" t="n">
        <v>-122901000</v>
      </c>
      <c r="F36" s="3" t="n"/>
    </row>
    <row r="37">
      <c r="A37" t="inlineStr">
        <is>
          <t>Gain On Sale Of Business</t>
        </is>
      </c>
      <c r="B37" s="3" t="n"/>
      <c r="C37" s="3" t="n"/>
      <c r="D37" s="3" t="n"/>
      <c r="E37" s="3" t="n"/>
      <c r="F37" s="3" t="n">
        <v>0</v>
      </c>
    </row>
    <row r="38">
      <c r="A38" t="inlineStr">
        <is>
          <t>Other Special Charges</t>
        </is>
      </c>
      <c r="B38" s="3" t="n">
        <v>-9000</v>
      </c>
      <c r="C38" s="3" t="n">
        <v>5871000</v>
      </c>
      <c r="D38" s="3" t="n"/>
      <c r="E38" s="3" t="n">
        <v>51135000</v>
      </c>
      <c r="F38" s="3" t="n">
        <v>18672000</v>
      </c>
    </row>
    <row r="39">
      <c r="A39" t="inlineStr">
        <is>
          <t>Write Off</t>
        </is>
      </c>
      <c r="B39" s="3" t="n">
        <v>78553000</v>
      </c>
      <c r="C39" s="3" t="n">
        <v>191184000</v>
      </c>
      <c r="D39" s="3" t="n">
        <v>118363000</v>
      </c>
      <c r="E39" s="3" t="n">
        <v>3000000</v>
      </c>
      <c r="F39" s="3" t="n"/>
    </row>
    <row r="40">
      <c r="A40" t="inlineStr">
        <is>
          <t>Impairment Of Capital Assets</t>
        </is>
      </c>
      <c r="B40" s="3" t="n"/>
      <c r="C40" s="3" t="n"/>
      <c r="D40" s="3" t="n"/>
      <c r="E40" s="3" t="n">
        <v>3000000</v>
      </c>
      <c r="F40" s="3" t="n">
        <v>18291000</v>
      </c>
    </row>
    <row r="41">
      <c r="A41" t="inlineStr">
        <is>
          <t>Restructuring And Mergern Acquisition</t>
        </is>
      </c>
      <c r="B41" s="3" t="n">
        <v>185090000</v>
      </c>
      <c r="C41" s="3" t="n">
        <v>93902000</v>
      </c>
      <c r="D41" s="3" t="n">
        <v>84722000</v>
      </c>
      <c r="E41" s="3" t="n">
        <v>68766000</v>
      </c>
      <c r="F41" s="3" t="n"/>
    </row>
    <row r="42">
      <c r="A42" t="inlineStr">
        <is>
          <t>Earnings From Equity Interest</t>
        </is>
      </c>
      <c r="B42" s="3" t="n">
        <v>-31987000</v>
      </c>
      <c r="C42" s="3" t="n">
        <v>-120138000</v>
      </c>
      <c r="D42" s="3" t="n">
        <v>-29791000</v>
      </c>
      <c r="E42" s="3" t="n">
        <v>-13497000</v>
      </c>
      <c r="F42" s="3" t="n"/>
    </row>
    <row r="43">
      <c r="A43" t="inlineStr">
        <is>
          <t>Gain On Sale Of Security</t>
        </is>
      </c>
      <c r="B43" s="3" t="n">
        <v>995586000</v>
      </c>
      <c r="C43" s="3" t="n">
        <v>595825000</v>
      </c>
      <c r="D43" s="3" t="n">
        <v>900531000</v>
      </c>
      <c r="E43" s="3" t="n">
        <v>176754000</v>
      </c>
      <c r="F43" s="3" t="n"/>
    </row>
    <row r="44">
      <c r="A44" t="inlineStr">
        <is>
          <t>Net Non Operating Interest Income Expense</t>
        </is>
      </c>
      <c r="B44" s="3" t="n">
        <v>-437947000</v>
      </c>
      <c r="C44" s="3" t="n">
        <v>-452836000</v>
      </c>
      <c r="D44" s="3" t="n">
        <v>-437741000</v>
      </c>
      <c r="E44" s="3" t="n">
        <v>-299132000</v>
      </c>
      <c r="F44" s="3" t="n"/>
    </row>
    <row r="45">
      <c r="A45" t="inlineStr">
        <is>
          <t>Interest Expense Non Operating</t>
        </is>
      </c>
      <c r="B45" s="3" t="n">
        <v>437947000</v>
      </c>
      <c r="C45" s="3" t="n">
        <v>452836000</v>
      </c>
      <c r="D45" s="3" t="n">
        <v>437741000</v>
      </c>
      <c r="E45" s="3" t="n">
        <v>299132000</v>
      </c>
      <c r="F45" s="3" t="n"/>
    </row>
    <row r="46">
      <c r="A46" t="inlineStr">
        <is>
          <t>Operating Income</t>
        </is>
      </c>
      <c r="B46" s="3" t="n">
        <v>922135000</v>
      </c>
      <c r="C46" s="3" t="n">
        <v>756950000</v>
      </c>
      <c r="D46" s="3" t="n">
        <v>727546000</v>
      </c>
      <c r="E46" s="3" t="n">
        <v>661734000</v>
      </c>
      <c r="F46" s="3" t="n"/>
    </row>
    <row r="47">
      <c r="A47" t="inlineStr">
        <is>
          <t>Operating Expense</t>
        </is>
      </c>
      <c r="B47" s="3" t="n">
        <v>2463820000</v>
      </c>
      <c r="C47" s="3" t="n">
        <v>2278903000</v>
      </c>
      <c r="D47" s="3" t="n">
        <v>2151444000</v>
      </c>
      <c r="E47" s="3" t="n">
        <v>2012538000</v>
      </c>
      <c r="F47" s="3" t="n"/>
    </row>
    <row r="48">
      <c r="A48" t="inlineStr">
        <is>
          <t>Other Operating Expenses</t>
        </is>
      </c>
      <c r="B48" s="3" t="n">
        <v>3702000</v>
      </c>
      <c r="C48" s="3" t="n">
        <v>27083000</v>
      </c>
      <c r="D48" s="3" t="n">
        <v>7529000</v>
      </c>
      <c r="E48" s="3" t="n">
        <v>12438000</v>
      </c>
      <c r="F48" s="3" t="n"/>
    </row>
    <row r="49">
      <c r="A49" t="inlineStr">
        <is>
          <t>Depreciation Amortization Depletion Income Statement</t>
        </is>
      </c>
      <c r="B49" s="3" t="n">
        <v>1894636000</v>
      </c>
      <c r="C49" s="3" t="n">
        <v>1771797000</v>
      </c>
      <c r="D49" s="3" t="n">
        <v>1694859000</v>
      </c>
      <c r="E49" s="3" t="n">
        <v>1577933000</v>
      </c>
      <c r="F49" s="3" t="n"/>
    </row>
    <row r="50">
      <c r="A50" t="inlineStr">
        <is>
          <t>Depreciation And Amortization In Income Statement</t>
        </is>
      </c>
      <c r="B50" s="3" t="n">
        <v>1894636000</v>
      </c>
      <c r="C50" s="3" t="n">
        <v>1771797000</v>
      </c>
      <c r="D50" s="3" t="n">
        <v>1694859000</v>
      </c>
      <c r="E50" s="3" t="n">
        <v>1577933000</v>
      </c>
      <c r="F50" s="3" t="n"/>
    </row>
    <row r="51">
      <c r="A51" t="inlineStr">
        <is>
          <t>Selling General And Administration</t>
        </is>
      </c>
      <c r="B51" s="3" t="n">
        <v>565482000</v>
      </c>
      <c r="C51" s="3" t="n">
        <v>480023000</v>
      </c>
      <c r="D51" s="3" t="n">
        <v>449056000</v>
      </c>
      <c r="E51" s="3" t="n">
        <v>422167000</v>
      </c>
      <c r="F51" s="3" t="n"/>
    </row>
    <row r="52">
      <c r="A52" t="inlineStr">
        <is>
          <t>General And Administrative Expense</t>
        </is>
      </c>
      <c r="B52" s="3" t="n">
        <v>565482000</v>
      </c>
      <c r="C52" s="3" t="n">
        <v>480023000</v>
      </c>
      <c r="D52" s="3" t="n">
        <v>449056000</v>
      </c>
      <c r="E52" s="3" t="n">
        <v>422167000</v>
      </c>
      <c r="F52" s="3" t="n"/>
    </row>
    <row r="53">
      <c r="A53" t="inlineStr">
        <is>
          <t>Other Gand A</t>
        </is>
      </c>
      <c r="B53" s="3" t="n">
        <v>565482000</v>
      </c>
      <c r="C53" s="3" t="n">
        <v>480023000</v>
      </c>
      <c r="D53" s="3" t="n">
        <v>449056000</v>
      </c>
      <c r="E53" s="3" t="n">
        <v>422167000</v>
      </c>
      <c r="F53" s="3" t="n"/>
    </row>
    <row r="54">
      <c r="A54" t="inlineStr">
        <is>
          <t>Gross Profit</t>
        </is>
      </c>
      <c r="B54" s="3" t="n">
        <v>3385955000</v>
      </c>
      <c r="C54" s="3" t="n">
        <v>3035853000</v>
      </c>
      <c r="D54" s="3" t="n">
        <v>2878990000</v>
      </c>
      <c r="E54" s="3" t="n">
        <v>2674272000</v>
      </c>
      <c r="F54" s="3" t="n"/>
    </row>
    <row r="55">
      <c r="A55" t="inlineStr">
        <is>
          <t>Cost Of Revenue</t>
        </is>
      </c>
      <c r="B55" s="3" t="n">
        <v>2726737000</v>
      </c>
      <c r="C55" s="3" t="n">
        <v>2519115000</v>
      </c>
      <c r="D55" s="3" t="n">
        <v>2598071000</v>
      </c>
      <c r="E55" s="3" t="n">
        <v>2017562000</v>
      </c>
      <c r="F55" s="3" t="n"/>
    </row>
    <row r="56">
      <c r="A56" t="inlineStr">
        <is>
          <t>Total Revenue</t>
        </is>
      </c>
      <c r="B56" s="3" t="n">
        <v>6112692000</v>
      </c>
      <c r="C56" s="3" t="n">
        <v>5554968000</v>
      </c>
      <c r="D56" s="3" t="n">
        <v>5477061000</v>
      </c>
      <c r="E56" s="3" t="n">
        <v>4691834000</v>
      </c>
      <c r="F56" s="3" t="n"/>
    </row>
    <row r="57">
      <c r="A57" t="inlineStr">
        <is>
          <t>Operating Revenue</t>
        </is>
      </c>
      <c r="B57" s="3" t="n">
        <v>6112692000</v>
      </c>
      <c r="C57" s="3" t="n">
        <v>5554968000</v>
      </c>
      <c r="D57" s="3" t="n">
        <v>5477061000</v>
      </c>
      <c r="E57" s="3" t="n">
        <v>4691834000</v>
      </c>
      <c r="F5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-1588199.106974</v>
      </c>
      <c r="C2" s="3" t="n">
        <v>-15070020</v>
      </c>
      <c r="D2" s="3" t="n">
        <v>-10356731.447592</v>
      </c>
      <c r="E2" s="3" t="n">
        <v>11053014.94109</v>
      </c>
      <c r="F2" s="3" t="n">
        <v>-5380747.87501</v>
      </c>
      <c r="G2" s="3" t="n"/>
      <c r="H2" s="3" t="n"/>
    </row>
    <row r="3">
      <c r="A3" t="inlineStr">
        <is>
          <t>Tax Rate For Calcs</t>
        </is>
      </c>
      <c r="B3" s="3" t="n">
        <v>0.083894</v>
      </c>
      <c r="C3" s="3" t="n">
        <v>0.21</v>
      </c>
      <c r="D3" s="3" t="n">
        <v>0.15509</v>
      </c>
      <c r="E3" s="3" t="n">
        <v>0.012156</v>
      </c>
      <c r="F3" s="3" t="n">
        <v>0.138711</v>
      </c>
      <c r="G3" s="3" t="n"/>
      <c r="H3" s="3" t="n"/>
    </row>
    <row r="4">
      <c r="A4" t="inlineStr">
        <is>
          <t>Normalized EBITDA</t>
        </is>
      </c>
      <c r="B4" s="3" t="n">
        <v>825638000</v>
      </c>
      <c r="C4" s="3" t="n">
        <v>768174000</v>
      </c>
      <c r="D4" s="3" t="n">
        <v>752773000</v>
      </c>
      <c r="E4" s="3" t="n">
        <v>721095000</v>
      </c>
      <c r="F4" s="3" t="n">
        <v>703794000</v>
      </c>
      <c r="G4" s="3" t="n"/>
      <c r="H4" s="3" t="n"/>
    </row>
    <row r="5">
      <c r="A5" t="inlineStr">
        <is>
          <t>Total Unusual Items</t>
        </is>
      </c>
      <c r="B5" s="3" t="n">
        <v>-18931000</v>
      </c>
      <c r="C5" s="3" t="n">
        <v>-71762000</v>
      </c>
      <c r="D5" s="3" t="n">
        <v>-66779000</v>
      </c>
      <c r="E5" s="3" t="n">
        <v>909284000</v>
      </c>
      <c r="F5" s="3" t="n">
        <v>-38791000</v>
      </c>
      <c r="G5" s="3" t="n"/>
      <c r="H5" s="3" t="n"/>
    </row>
    <row r="6">
      <c r="A6" t="inlineStr">
        <is>
          <t>Total Unusual Items Excluding Goodwill</t>
        </is>
      </c>
      <c r="B6" s="3" t="n">
        <v>-18931000</v>
      </c>
      <c r="C6" s="3" t="n">
        <v>-71762000</v>
      </c>
      <c r="D6" s="3" t="n">
        <v>-66779000</v>
      </c>
      <c r="E6" s="3" t="n">
        <v>909284000</v>
      </c>
      <c r="F6" s="3" t="n">
        <v>-38791000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179274000</v>
      </c>
      <c r="C7" s="3" t="n">
        <v>98647000</v>
      </c>
      <c r="D7" s="3" t="n">
        <v>67812000</v>
      </c>
      <c r="E7" s="3" t="n">
        <v>1032156000</v>
      </c>
      <c r="F7" s="3" t="n">
        <v>109974000</v>
      </c>
      <c r="G7" s="3" t="n"/>
      <c r="H7" s="3" t="n"/>
    </row>
    <row r="8">
      <c r="A8" t="inlineStr">
        <is>
          <t>Reconciled Depreciation</t>
        </is>
      </c>
      <c r="B8" s="3" t="n">
        <v>499511000</v>
      </c>
      <c r="C8" s="3" t="n">
        <v>493458000</v>
      </c>
      <c r="D8" s="3" t="n">
        <v>497002000</v>
      </c>
      <c r="E8" s="3" t="n">
        <v>461167000</v>
      </c>
      <c r="F8" s="3" t="n">
        <v>443009000</v>
      </c>
      <c r="G8" s="3" t="n"/>
      <c r="H8" s="3" t="n"/>
    </row>
    <row r="9">
      <c r="A9" t="inlineStr">
        <is>
          <t>Reconciled Cost Of Revenue</t>
        </is>
      </c>
      <c r="B9" s="3" t="n">
        <v>698263000</v>
      </c>
      <c r="C9" s="3" t="n">
        <v>749635000</v>
      </c>
      <c r="D9" s="3" t="n">
        <v>710250000</v>
      </c>
      <c r="E9" s="3" t="n">
        <v>661528000</v>
      </c>
      <c r="F9" s="3" t="n">
        <v>605324000</v>
      </c>
      <c r="G9" s="3" t="n"/>
      <c r="H9" s="3" t="n"/>
    </row>
    <row r="10">
      <c r="A10" t="inlineStr">
        <is>
          <t>EBITDA</t>
        </is>
      </c>
      <c r="B10" s="3" t="n">
        <v>806707000</v>
      </c>
      <c r="C10" s="3" t="n">
        <v>696412000</v>
      </c>
      <c r="D10" s="3" t="n">
        <v>685994000</v>
      </c>
      <c r="E10" s="3" t="n">
        <v>1630379000</v>
      </c>
      <c r="F10" s="3" t="n">
        <v>665003000</v>
      </c>
      <c r="G10" s="3" t="n"/>
      <c r="H10" s="3" t="n"/>
    </row>
    <row r="11">
      <c r="A11" t="inlineStr">
        <is>
          <t>EBIT</t>
        </is>
      </c>
      <c r="B11" s="3" t="n">
        <v>307196000</v>
      </c>
      <c r="C11" s="3" t="n">
        <v>202954000</v>
      </c>
      <c r="D11" s="3" t="n">
        <v>188992000</v>
      </c>
      <c r="E11" s="3" t="n">
        <v>1169212000</v>
      </c>
      <c r="F11" s="3" t="n">
        <v>221994000</v>
      </c>
      <c r="G11" s="3" t="n"/>
      <c r="H11" s="3" t="n"/>
    </row>
    <row r="12">
      <c r="A12" t="inlineStr">
        <is>
          <t>Net Interest Income</t>
        </is>
      </c>
      <c r="B12" s="3" t="n">
        <v>-116384000</v>
      </c>
      <c r="C12" s="3" t="n">
        <v>-116516000</v>
      </c>
      <c r="D12" s="3" t="n">
        <v>-113584000</v>
      </c>
      <c r="E12" s="3" t="n">
        <v>-109383000</v>
      </c>
      <c r="F12" s="3" t="n">
        <v>-98464000</v>
      </c>
      <c r="G12" s="3" t="n"/>
      <c r="H12" s="3" t="n"/>
    </row>
    <row r="13">
      <c r="A13" t="inlineStr">
        <is>
          <t>Interest Expense</t>
        </is>
      </c>
      <c r="B13" s="3" t="n">
        <v>116384000</v>
      </c>
      <c r="C13" s="3" t="n">
        <v>116516000</v>
      </c>
      <c r="D13" s="3" t="n">
        <v>113584000</v>
      </c>
      <c r="E13" s="3" t="n">
        <v>109383000</v>
      </c>
      <c r="F13" s="3" t="n">
        <v>98464000</v>
      </c>
      <c r="G13" s="3" t="n"/>
      <c r="H13" s="3" t="n"/>
    </row>
    <row r="14">
      <c r="A14" t="inlineStr">
        <is>
          <t>Normalized Income</t>
        </is>
      </c>
      <c r="B14" s="3" t="n">
        <v>196616800.893026</v>
      </c>
      <c r="C14" s="3" t="n">
        <v>155338980</v>
      </c>
      <c r="D14" s="3" t="n">
        <v>124234268.552408</v>
      </c>
      <c r="E14" s="3" t="n">
        <v>133925014.94109</v>
      </c>
      <c r="F14" s="3" t="n">
        <v>143384252.12499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179274000</v>
      </c>
      <c r="C15" s="3" t="n">
        <v>98647000</v>
      </c>
      <c r="D15" s="3" t="n">
        <v>67812000</v>
      </c>
      <c r="E15" s="3" t="n">
        <v>1032156000</v>
      </c>
      <c r="F15" s="3" t="n">
        <v>109974000</v>
      </c>
      <c r="G15" s="3" t="n"/>
      <c r="H15" s="3" t="n"/>
    </row>
    <row r="16">
      <c r="A16" t="inlineStr">
        <is>
          <t>Total Expenses</t>
        </is>
      </c>
      <c r="B16" s="3" t="n">
        <v>1352555000</v>
      </c>
      <c r="C16" s="3" t="n">
        <v>1407411000</v>
      </c>
      <c r="D16" s="3" t="n">
        <v>1352254000</v>
      </c>
      <c r="E16" s="3" t="n">
        <v>1258907000</v>
      </c>
      <c r="F16" s="3" t="n">
        <v>1171985000</v>
      </c>
      <c r="G16" s="3" t="n"/>
      <c r="H16" s="3" t="n"/>
    </row>
    <row r="17">
      <c r="A17" t="inlineStr">
        <is>
          <t>Rent Expense Supplemental</t>
        </is>
      </c>
      <c r="B17" s="3" t="n">
        <v>698263000</v>
      </c>
      <c r="C17" s="3" t="n">
        <v>749635000</v>
      </c>
      <c r="D17" s="3" t="n">
        <v>710250000</v>
      </c>
      <c r="E17" s="3" t="n">
        <v>661528000</v>
      </c>
      <c r="F17" s="3" t="n">
        <v>605324000</v>
      </c>
      <c r="G17" s="3" t="n"/>
      <c r="H17" s="3" t="n"/>
    </row>
    <row r="18">
      <c r="A18" t="inlineStr">
        <is>
          <t>Total Operating Income As Reported</t>
        </is>
      </c>
      <c r="B18" s="3" t="n">
        <v>266933000</v>
      </c>
      <c r="C18" s="3" t="n">
        <v>112624000</v>
      </c>
      <c r="D18" s="3" t="n">
        <v>138421000</v>
      </c>
      <c r="E18" s="3" t="n">
        <v>211697000</v>
      </c>
      <c r="F18" s="3" t="n">
        <v>195750000</v>
      </c>
      <c r="G18" s="3" t="n"/>
      <c r="H18" s="3" t="n"/>
    </row>
    <row r="19">
      <c r="A19" t="inlineStr">
        <is>
          <t>Diluted Average Shares</t>
        </is>
      </c>
      <c r="B19" s="3" t="n">
        <v>353255000</v>
      </c>
      <c r="C19" s="3" t="n">
        <v>351570000</v>
      </c>
      <c r="D19" s="3" t="n">
        <v>349234000</v>
      </c>
      <c r="E19" s="3" t="n">
        <v>345734000</v>
      </c>
      <c r="F19" s="3" t="n">
        <v>344721000</v>
      </c>
      <c r="G19" s="3" t="n"/>
      <c r="H19" s="3" t="n"/>
    </row>
    <row r="20">
      <c r="A20" t="inlineStr">
        <is>
          <t>Basic Average Shares</t>
        </is>
      </c>
      <c r="B20" s="3" t="n">
        <v>345013000</v>
      </c>
      <c r="C20" s="3" t="n">
        <v>343493000</v>
      </c>
      <c r="D20" s="3" t="n">
        <v>341370000</v>
      </c>
      <c r="E20" s="3" t="n">
        <v>337589000</v>
      </c>
      <c r="F20" s="3" t="n">
        <v>336683000</v>
      </c>
      <c r="G20" s="3" t="n"/>
      <c r="H20" s="3" t="n"/>
    </row>
    <row r="21">
      <c r="A21" t="inlineStr">
        <is>
          <t>Diluted EPS</t>
        </is>
      </c>
      <c r="B21" s="3" t="n">
        <v>0.46</v>
      </c>
      <c r="C21" s="3" t="n">
        <v>0.24</v>
      </c>
      <c r="D21" s="3" t="n">
        <v>0.15</v>
      </c>
      <c r="E21" s="3" t="n">
        <v>2.94</v>
      </c>
      <c r="F21" s="3" t="n">
        <v>0.27</v>
      </c>
      <c r="G21" s="3" t="n"/>
      <c r="H21" s="3" t="n"/>
    </row>
    <row r="22">
      <c r="A22" t="inlineStr">
        <is>
          <t>Basic EPS</t>
        </is>
      </c>
      <c r="B22" s="3" t="n">
        <v>0.49</v>
      </c>
      <c r="C22" s="3" t="n">
        <v>0.26</v>
      </c>
      <c r="D22" s="3" t="n">
        <v>0.17</v>
      </c>
      <c r="E22" s="3" t="n">
        <v>3.03</v>
      </c>
      <c r="F22" s="3" t="n">
        <v>0.3</v>
      </c>
      <c r="G22" s="3" t="n"/>
      <c r="H22" s="3" t="n"/>
    </row>
    <row r="23">
      <c r="A23" t="inlineStr">
        <is>
          <t>Diluted NI Availto Com Stockholders</t>
        </is>
      </c>
      <c r="B23" s="3" t="n">
        <v>160777000</v>
      </c>
      <c r="C23" s="3" t="n">
        <v>83953000</v>
      </c>
      <c r="D23" s="3" t="n">
        <v>51761000</v>
      </c>
      <c r="E23" s="3" t="n">
        <v>1015960000</v>
      </c>
      <c r="F23" s="3" t="n">
        <v>93598000</v>
      </c>
      <c r="G23" s="3" t="n"/>
      <c r="H23" s="3" t="n"/>
    </row>
    <row r="24">
      <c r="A24" t="inlineStr">
        <is>
          <t>Average Dilution Earnings</t>
        </is>
      </c>
      <c r="B24" s="3" t="n">
        <v>-8316000</v>
      </c>
      <c r="C24" s="3" t="n">
        <v>-4513000</v>
      </c>
      <c r="D24" s="3" t="n">
        <v>-5870000</v>
      </c>
      <c r="E24" s="3" t="n">
        <v>-6015000</v>
      </c>
      <c r="F24" s="3" t="n">
        <v>-6195000</v>
      </c>
      <c r="G24" s="3" t="n"/>
      <c r="H24" s="3" t="n"/>
    </row>
    <row r="25">
      <c r="A25" t="inlineStr">
        <is>
          <t>Net Income Common Stockholders</t>
        </is>
      </c>
      <c r="B25" s="3" t="n">
        <v>169093000</v>
      </c>
      <c r="C25" s="3" t="n">
        <v>88466000</v>
      </c>
      <c r="D25" s="3" t="n">
        <v>57631000</v>
      </c>
      <c r="E25" s="3" t="n">
        <v>1021975000</v>
      </c>
      <c r="F25" s="3" t="n">
        <v>99793000</v>
      </c>
      <c r="G25" s="3" t="n"/>
      <c r="H25" s="3" t="n"/>
    </row>
    <row r="26">
      <c r="A26" t="inlineStr">
        <is>
          <t>Preferred Stock Dividends</t>
        </is>
      </c>
      <c r="B26" s="3" t="n">
        <v>10181000</v>
      </c>
      <c r="C26" s="3" t="n">
        <v>10181000</v>
      </c>
      <c r="D26" s="3" t="n">
        <v>10181000</v>
      </c>
      <c r="E26" s="3" t="n">
        <v>10181000</v>
      </c>
      <c r="F26" s="3" t="n">
        <v>10181000</v>
      </c>
      <c r="G26" s="3" t="n"/>
      <c r="H26" s="3" t="n"/>
    </row>
    <row r="27">
      <c r="A27" t="inlineStr">
        <is>
          <t>Net Income</t>
        </is>
      </c>
      <c r="B27" s="3" t="n">
        <v>179274000</v>
      </c>
      <c r="C27" s="3" t="n">
        <v>98647000</v>
      </c>
      <c r="D27" s="3" t="n">
        <v>67812000</v>
      </c>
      <c r="E27" s="3" t="n">
        <v>1032156000</v>
      </c>
      <c r="F27" s="3" t="n">
        <v>109974000</v>
      </c>
      <c r="G27" s="3" t="n"/>
      <c r="H27" s="3" t="n"/>
    </row>
    <row r="28">
      <c r="A28" t="inlineStr">
        <is>
          <t>Minority Interests</t>
        </is>
      </c>
      <c r="B28" s="3" t="n">
        <v>4470000</v>
      </c>
      <c r="C28" s="3" t="n">
        <v>2536000</v>
      </c>
      <c r="D28" s="3" t="n">
        <v>4099000</v>
      </c>
      <c r="E28" s="3" t="n">
        <v>-14790000</v>
      </c>
      <c r="F28" s="3" t="n">
        <v>3579000</v>
      </c>
      <c r="G28" s="3" t="n"/>
      <c r="H28" s="3" t="n"/>
    </row>
    <row r="29">
      <c r="A29" t="inlineStr">
        <is>
          <t>Net Income Including Noncontrolling Interests</t>
        </is>
      </c>
      <c r="B29" s="3" t="n">
        <v>174804000</v>
      </c>
      <c r="C29" s="3" t="n">
        <v>96111000</v>
      </c>
      <c r="D29" s="3" t="n">
        <v>63713000</v>
      </c>
      <c r="E29" s="3" t="n">
        <v>1046946000</v>
      </c>
      <c r="F29" s="3" t="n">
        <v>106395000</v>
      </c>
      <c r="G29" s="3" t="n"/>
      <c r="H29" s="3" t="n"/>
    </row>
    <row r="30">
      <c r="A30" t="inlineStr">
        <is>
          <t>Net Income Continuous Operations</t>
        </is>
      </c>
      <c r="B30" s="3" t="n">
        <v>174804000</v>
      </c>
      <c r="C30" s="3" t="n">
        <v>96111000</v>
      </c>
      <c r="D30" s="3" t="n">
        <v>63713000</v>
      </c>
      <c r="E30" s="3" t="n">
        <v>1046946000</v>
      </c>
      <c r="F30" s="3" t="n">
        <v>106395000</v>
      </c>
      <c r="G30" s="3" t="n"/>
      <c r="H30" s="3" t="n"/>
    </row>
    <row r="31">
      <c r="A31" t="inlineStr">
        <is>
          <t>Tax Provision</t>
        </is>
      </c>
      <c r="B31" s="3" t="n">
        <v>16008000</v>
      </c>
      <c r="C31" s="3" t="n">
        <v>-9673000</v>
      </c>
      <c r="D31" s="3" t="n">
        <v>11695000</v>
      </c>
      <c r="E31" s="3" t="n">
        <v>12883000</v>
      </c>
      <c r="F31" s="3" t="n">
        <v>17135000</v>
      </c>
      <c r="G31" s="3" t="n"/>
      <c r="H31" s="3" t="n"/>
    </row>
    <row r="32">
      <c r="A32" t="inlineStr">
        <is>
          <t>Pretax Income</t>
        </is>
      </c>
      <c r="B32" s="3" t="n">
        <v>190812000</v>
      </c>
      <c r="C32" s="3" t="n">
        <v>86438000</v>
      </c>
      <c r="D32" s="3" t="n">
        <v>75408000</v>
      </c>
      <c r="E32" s="3" t="n">
        <v>1059829000</v>
      </c>
      <c r="F32" s="3" t="n">
        <v>123530000</v>
      </c>
      <c r="G32" s="3" t="n"/>
      <c r="H32" s="3" t="n"/>
    </row>
    <row r="33">
      <c r="A33" t="inlineStr">
        <is>
          <t>Other Income Expense</t>
        </is>
      </c>
      <c r="B33" s="3" t="n">
        <v>24578000</v>
      </c>
      <c r="C33" s="3" t="n">
        <v>-24306000</v>
      </c>
      <c r="D33" s="3" t="n">
        <v>-35988000</v>
      </c>
      <c r="E33" s="3" t="n">
        <v>934969000</v>
      </c>
      <c r="F33" s="3" t="n">
        <v>-13658000</v>
      </c>
      <c r="G33" s="3" t="n"/>
      <c r="H33" s="3" t="n"/>
    </row>
    <row r="34">
      <c r="A34" t="inlineStr">
        <is>
          <t>Other Non Operating Income Expenses</t>
        </is>
      </c>
      <c r="B34" s="3" t="n">
        <v>45342000</v>
      </c>
      <c r="C34" s="3" t="n">
        <v>42797000</v>
      </c>
      <c r="D34" s="3" t="n">
        <v>47735000</v>
      </c>
      <c r="E34" s="3" t="n">
        <v>37747000</v>
      </c>
      <c r="F34" s="3" t="n">
        <v>32773000</v>
      </c>
      <c r="G34" s="3" t="n"/>
      <c r="H34" s="3" t="n"/>
    </row>
    <row r="35">
      <c r="A35" t="inlineStr">
        <is>
          <t>Special Income Charges</t>
        </is>
      </c>
      <c r="B35" s="3" t="n">
        <v>-19804000</v>
      </c>
      <c r="C35" s="3" t="n">
        <v>-114627000</v>
      </c>
      <c r="D35" s="3" t="n">
        <v>-86559000</v>
      </c>
      <c r="E35" s="3" t="n">
        <v>-22546000</v>
      </c>
      <c r="F35" s="3" t="n">
        <v>-39902000</v>
      </c>
      <c r="G35" s="3" t="n"/>
      <c r="H35" s="3" t="n"/>
    </row>
    <row r="36">
      <c r="A36" t="inlineStr">
        <is>
          <t>Other Special Charges</t>
        </is>
      </c>
      <c r="B36" s="3" t="n">
        <v>4119000</v>
      </c>
      <c r="C36" s="3" t="n"/>
      <c r="D36" s="3" t="n"/>
      <c r="E36" s="3" t="n"/>
      <c r="F36" s="3" t="n"/>
      <c r="G36" s="3" t="n">
        <v>2165000</v>
      </c>
      <c r="H36" s="3" t="n">
        <v>2636000</v>
      </c>
    </row>
    <row r="37">
      <c r="A37" t="inlineStr">
        <is>
          <t>Write Off</t>
        </is>
      </c>
      <c r="B37" s="3" t="n"/>
      <c r="C37" s="3" t="n">
        <v>78553000</v>
      </c>
      <c r="D37" s="3" t="n">
        <v>0</v>
      </c>
      <c r="E37" s="3" t="n">
        <v>0</v>
      </c>
      <c r="F37" s="3" t="n"/>
      <c r="G37" s="3" t="n">
        <v>22881000</v>
      </c>
      <c r="H37" s="3" t="n">
        <v>0</v>
      </c>
    </row>
    <row r="38">
      <c r="A38" t="inlineStr">
        <is>
          <t>Restructuring And Mergern Acquisition</t>
        </is>
      </c>
      <c r="B38" s="3" t="n">
        <v>15685000</v>
      </c>
      <c r="C38" s="3" t="n">
        <v>36083000</v>
      </c>
      <c r="D38" s="3" t="n">
        <v>86559000</v>
      </c>
      <c r="E38" s="3" t="n">
        <v>22546000</v>
      </c>
      <c r="F38" s="3" t="n">
        <v>39902000</v>
      </c>
      <c r="G38" s="3" t="n"/>
      <c r="H38" s="3" t="n"/>
    </row>
    <row r="39">
      <c r="A39" t="inlineStr">
        <is>
          <t>Earnings From Equity Interest</t>
        </is>
      </c>
      <c r="B39" s="3" t="n">
        <v>-1833000</v>
      </c>
      <c r="C39" s="3" t="n">
        <v>4659000</v>
      </c>
      <c r="D39" s="3" t="n">
        <v>-16944000</v>
      </c>
      <c r="E39" s="3" t="n">
        <v>-12062000</v>
      </c>
      <c r="F39" s="3" t="n">
        <v>-7640000</v>
      </c>
      <c r="G39" s="3" t="n"/>
      <c r="H39" s="3" t="n"/>
    </row>
    <row r="40">
      <c r="A40" t="inlineStr">
        <is>
          <t>Gain On Sale Of Security</t>
        </is>
      </c>
      <c r="B40" s="3" t="n">
        <v>873000</v>
      </c>
      <c r="C40" s="3" t="n">
        <v>42865000</v>
      </c>
      <c r="D40" s="3" t="n">
        <v>19780000</v>
      </c>
      <c r="E40" s="3" t="n">
        <v>931830000</v>
      </c>
      <c r="F40" s="3" t="n">
        <v>1111000</v>
      </c>
      <c r="G40" s="3" t="n"/>
      <c r="H40" s="3" t="n"/>
    </row>
    <row r="41">
      <c r="A41" t="inlineStr">
        <is>
          <t>Net Non Operating Interest Income Expense</t>
        </is>
      </c>
      <c r="B41" s="3" t="n">
        <v>-116384000</v>
      </c>
      <c r="C41" s="3" t="n">
        <v>-116516000</v>
      </c>
      <c r="D41" s="3" t="n">
        <v>-113584000</v>
      </c>
      <c r="E41" s="3" t="n">
        <v>-109383000</v>
      </c>
      <c r="F41" s="3" t="n">
        <v>-98464000</v>
      </c>
      <c r="G41" s="3" t="n"/>
      <c r="H41" s="3" t="n"/>
    </row>
    <row r="42">
      <c r="A42" t="inlineStr">
        <is>
          <t>Interest Expense Non Operating</t>
        </is>
      </c>
      <c r="B42" s="3" t="n">
        <v>116384000</v>
      </c>
      <c r="C42" s="3" t="n">
        <v>116516000</v>
      </c>
      <c r="D42" s="3" t="n">
        <v>113584000</v>
      </c>
      <c r="E42" s="3" t="n">
        <v>109383000</v>
      </c>
      <c r="F42" s="3" t="n">
        <v>98464000</v>
      </c>
      <c r="G42" s="3" t="n"/>
      <c r="H42" s="3" t="n"/>
    </row>
    <row r="43">
      <c r="A43" t="inlineStr">
        <is>
          <t>Operating Income</t>
        </is>
      </c>
      <c r="B43" s="3" t="n">
        <v>282618000</v>
      </c>
      <c r="C43" s="3" t="n">
        <v>227260000</v>
      </c>
      <c r="D43" s="3" t="n">
        <v>224980000</v>
      </c>
      <c r="E43" s="3" t="n">
        <v>234243000</v>
      </c>
      <c r="F43" s="3" t="n">
        <v>235652000</v>
      </c>
      <c r="G43" s="3" t="n"/>
      <c r="H43" s="3" t="n"/>
    </row>
    <row r="44">
      <c r="A44" t="inlineStr">
        <is>
          <t>Operating Expense</t>
        </is>
      </c>
      <c r="B44" s="3" t="n">
        <v>654292000</v>
      </c>
      <c r="C44" s="3" t="n">
        <v>657776000</v>
      </c>
      <c r="D44" s="3" t="n">
        <v>642004000</v>
      </c>
      <c r="E44" s="3" t="n">
        <v>597379000</v>
      </c>
      <c r="F44" s="3" t="n">
        <v>566661000</v>
      </c>
      <c r="G44" s="3" t="n"/>
      <c r="H44" s="3" t="n"/>
    </row>
    <row r="45">
      <c r="A45" t="inlineStr">
        <is>
          <t>Other Operating Expenses</t>
        </is>
      </c>
      <c r="B45" s="3" t="n">
        <v>23000</v>
      </c>
      <c r="C45" s="3" t="n">
        <v>98000</v>
      </c>
      <c r="D45" s="3" t="n">
        <v>3297000</v>
      </c>
      <c r="E45" s="3" t="n">
        <v>195000</v>
      </c>
      <c r="F45" s="3" t="n">
        <v>112000</v>
      </c>
      <c r="G45" s="3" t="n"/>
      <c r="H45" s="3" t="n"/>
    </row>
    <row r="46">
      <c r="A46" t="inlineStr">
        <is>
          <t>Depreciation Amortization Depletion Income Statement</t>
        </is>
      </c>
      <c r="B46" s="3" t="n">
        <v>499511000</v>
      </c>
      <c r="C46" s="3" t="n">
        <v>493458000</v>
      </c>
      <c r="D46" s="3" t="n">
        <v>497002000</v>
      </c>
      <c r="E46" s="3" t="n">
        <v>461167000</v>
      </c>
      <c r="F46" s="3" t="n">
        <v>443009000</v>
      </c>
      <c r="G46" s="3" t="n"/>
      <c r="H46" s="3" t="n"/>
    </row>
    <row r="47">
      <c r="A47" t="inlineStr">
        <is>
          <t>Depreciation And Amortization In Income Statement</t>
        </is>
      </c>
      <c r="B47" s="3" t="n">
        <v>499511000</v>
      </c>
      <c r="C47" s="3" t="n">
        <v>493458000</v>
      </c>
      <c r="D47" s="3" t="n">
        <v>497002000</v>
      </c>
      <c r="E47" s="3" t="n">
        <v>461167000</v>
      </c>
      <c r="F47" s="3" t="n">
        <v>443009000</v>
      </c>
      <c r="G47" s="3" t="n"/>
      <c r="H47" s="3" t="n"/>
    </row>
    <row r="48">
      <c r="A48" t="inlineStr">
        <is>
          <t>Selling General And Administration</t>
        </is>
      </c>
      <c r="B48" s="3" t="n">
        <v>154758000</v>
      </c>
      <c r="C48" s="3" t="n">
        <v>164220000</v>
      </c>
      <c r="D48" s="3" t="n">
        <v>141705000</v>
      </c>
      <c r="E48" s="3" t="n">
        <v>136017000</v>
      </c>
      <c r="F48" s="3" t="n">
        <v>123540000</v>
      </c>
      <c r="G48" s="3" t="n"/>
      <c r="H48" s="3" t="n"/>
    </row>
    <row r="49">
      <c r="A49" t="inlineStr">
        <is>
          <t>General And Administrative Expense</t>
        </is>
      </c>
      <c r="B49" s="3" t="n">
        <v>154758000</v>
      </c>
      <c r="C49" s="3" t="n">
        <v>164220000</v>
      </c>
      <c r="D49" s="3" t="n">
        <v>141705000</v>
      </c>
      <c r="E49" s="3" t="n">
        <v>136017000</v>
      </c>
      <c r="F49" s="3" t="n">
        <v>123540000</v>
      </c>
      <c r="G49" s="3" t="n"/>
      <c r="H49" s="3" t="n"/>
    </row>
    <row r="50">
      <c r="A50" t="inlineStr">
        <is>
          <t>Other Gand A</t>
        </is>
      </c>
      <c r="B50" s="3" t="n">
        <v>154758000</v>
      </c>
      <c r="C50" s="3" t="n">
        <v>164220000</v>
      </c>
      <c r="D50" s="3" t="n">
        <v>141705000</v>
      </c>
      <c r="E50" s="3" t="n">
        <v>136017000</v>
      </c>
      <c r="F50" s="3" t="n">
        <v>123540000</v>
      </c>
      <c r="G50" s="3" t="n"/>
      <c r="H50" s="3" t="n"/>
    </row>
    <row r="51">
      <c r="A51" t="inlineStr">
        <is>
          <t>Gross Profit</t>
        </is>
      </c>
      <c r="B51" s="3" t="n">
        <v>936910000</v>
      </c>
      <c r="C51" s="3" t="n">
        <v>885036000</v>
      </c>
      <c r="D51" s="3" t="n">
        <v>866984000</v>
      </c>
      <c r="E51" s="3" t="n">
        <v>831622000</v>
      </c>
      <c r="F51" s="3" t="n">
        <v>802313000</v>
      </c>
      <c r="G51" s="3" t="n"/>
      <c r="H51" s="3" t="n"/>
    </row>
    <row r="52">
      <c r="A52" t="inlineStr">
        <is>
          <t>Cost Of Revenue</t>
        </is>
      </c>
      <c r="B52" s="3" t="n">
        <v>698263000</v>
      </c>
      <c r="C52" s="3" t="n">
        <v>749635000</v>
      </c>
      <c r="D52" s="3" t="n">
        <v>710250000</v>
      </c>
      <c r="E52" s="3" t="n">
        <v>661528000</v>
      </c>
      <c r="F52" s="3" t="n">
        <v>605324000</v>
      </c>
      <c r="G52" s="3" t="n"/>
      <c r="H52" s="3" t="n"/>
    </row>
    <row r="53">
      <c r="A53" t="inlineStr">
        <is>
          <t>Total Revenue</t>
        </is>
      </c>
      <c r="B53" s="3" t="n">
        <v>1635173000</v>
      </c>
      <c r="C53" s="3" t="n">
        <v>1634671000</v>
      </c>
      <c r="D53" s="3" t="n">
        <v>1577234000</v>
      </c>
      <c r="E53" s="3" t="n">
        <v>1493150000</v>
      </c>
      <c r="F53" s="3" t="n">
        <v>1407637000</v>
      </c>
      <c r="G53" s="3" t="n"/>
      <c r="H53" s="3" t="n"/>
    </row>
    <row r="54">
      <c r="A54" t="inlineStr">
        <is>
          <t>Operating Revenue</t>
        </is>
      </c>
      <c r="B54" s="3" t="n">
        <v>1635173000</v>
      </c>
      <c r="C54" s="3" t="n">
        <v>1634671000</v>
      </c>
      <c r="D54" s="3" t="n">
        <v>1577234000</v>
      </c>
      <c r="E54" s="3" t="n">
        <v>1493150000</v>
      </c>
      <c r="F54" s="3" t="n">
        <v>1407637000</v>
      </c>
      <c r="G54" s="3" t="n"/>
      <c r="H5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Preferred Shares Number</t>
        </is>
      </c>
      <c r="B3" s="3" t="n">
        <v>30200000</v>
      </c>
      <c r="C3" s="3" t="n">
        <v>30200000</v>
      </c>
      <c r="D3" s="3" t="n">
        <v>30200000</v>
      </c>
      <c r="E3" s="3" t="n">
        <v>30200000</v>
      </c>
      <c r="F3" s="3" t="n"/>
    </row>
    <row r="4">
      <c r="A4" t="inlineStr">
        <is>
          <t>Ordinary Shares Number</t>
        </is>
      </c>
      <c r="B4" s="3" t="n">
        <v>343557430</v>
      </c>
      <c r="C4" s="3" t="n">
        <v>336637000</v>
      </c>
      <c r="D4" s="3" t="n">
        <v>311608000</v>
      </c>
      <c r="E4" s="3" t="n">
        <v>291148000</v>
      </c>
      <c r="F4" s="3" t="n"/>
    </row>
    <row r="5">
      <c r="A5" t="inlineStr">
        <is>
          <t>Share Issued</t>
        </is>
      </c>
      <c r="B5" s="3" t="n">
        <v>343557430</v>
      </c>
      <c r="C5" s="3" t="n">
        <v>336637000</v>
      </c>
      <c r="D5" s="3" t="n">
        <v>311608000</v>
      </c>
      <c r="E5" s="3" t="n">
        <v>291148000</v>
      </c>
      <c r="F5" s="3" t="n"/>
    </row>
    <row r="6">
      <c r="A6" t="inlineStr">
        <is>
          <t>Net Debt</t>
        </is>
      </c>
      <c r="B6" s="3" t="n">
        <v>14950488000</v>
      </c>
      <c r="C6" s="3" t="n">
        <v>12843486000</v>
      </c>
      <c r="D6" s="3" t="n">
        <v>15800412000</v>
      </c>
      <c r="E6" s="3" t="n">
        <v>16455030000</v>
      </c>
      <c r="F6" s="3" t="n"/>
    </row>
    <row r="7">
      <c r="A7" t="inlineStr">
        <is>
          <t>Total Debt</t>
        </is>
      </c>
      <c r="B7" s="3" t="n">
        <v>19655352000</v>
      </c>
      <c r="C7" s="3" t="n">
        <v>18008596000</v>
      </c>
      <c r="D7" s="3" t="n">
        <v>18968001000</v>
      </c>
      <c r="E7" s="3" t="n">
        <v>18067847000</v>
      </c>
      <c r="F7" s="3" t="n"/>
    </row>
    <row r="8">
      <c r="A8" t="inlineStr">
        <is>
          <t>Tangible Book Value</t>
        </is>
      </c>
      <c r="B8" s="3" t="n">
        <v>10347322000</v>
      </c>
      <c r="C8" s="3" t="n">
        <v>9501222000</v>
      </c>
      <c r="D8" s="3" t="n">
        <v>6645736000</v>
      </c>
      <c r="E8" s="3" t="n">
        <v>4550520000</v>
      </c>
      <c r="F8" s="3" t="n"/>
    </row>
    <row r="9">
      <c r="A9" t="inlineStr">
        <is>
          <t>Invested Capital</t>
        </is>
      </c>
      <c r="B9" s="3" t="n">
        <v>40596108000</v>
      </c>
      <c r="C9" s="3" t="n">
        <v>37323084000</v>
      </c>
      <c r="D9" s="3" t="n">
        <v>35811751000</v>
      </c>
      <c r="E9" s="3" t="n">
        <v>33448447000</v>
      </c>
      <c r="F9" s="3" t="n"/>
    </row>
    <row r="10">
      <c r="A10" t="inlineStr">
        <is>
          <t>Working Capital</t>
        </is>
      </c>
      <c r="B10" s="3" t="n">
        <v>476860000</v>
      </c>
      <c r="C10" s="3" t="n">
        <v>502369000</v>
      </c>
      <c r="D10" s="3" t="n">
        <v>-1428019000</v>
      </c>
      <c r="E10" s="3" t="n">
        <v>-3641641000</v>
      </c>
      <c r="F10" s="3" t="n"/>
    </row>
    <row r="11">
      <c r="A11" t="inlineStr">
        <is>
          <t>Net Tangible Assets</t>
        </is>
      </c>
      <c r="B11" s="3" t="n">
        <v>11079012000</v>
      </c>
      <c r="C11" s="3" t="n">
        <v>10232912000</v>
      </c>
      <c r="D11" s="3" t="n">
        <v>7377426000</v>
      </c>
      <c r="E11" s="3" t="n">
        <v>5282210000</v>
      </c>
      <c r="F11" s="3" t="n"/>
    </row>
    <row r="12">
      <c r="A12" t="inlineStr">
        <is>
          <t>Capital Lease Obligations</t>
        </is>
      </c>
      <c r="B12" s="3" t="n">
        <v>1253217000</v>
      </c>
      <c r="C12" s="3" t="n">
        <v>1294219000</v>
      </c>
      <c r="D12" s="3" t="n">
        <v>1542094000</v>
      </c>
      <c r="E12" s="3" t="n">
        <v>1471044000</v>
      </c>
      <c r="F12" s="3" t="n"/>
    </row>
    <row r="13">
      <c r="A13" t="inlineStr">
        <is>
          <t>Common Stock Equity</t>
        </is>
      </c>
      <c r="B13" s="3" t="n">
        <v>22193973000</v>
      </c>
      <c r="C13" s="3" t="n">
        <v>20608707000</v>
      </c>
      <c r="D13" s="3" t="n">
        <v>18385844000</v>
      </c>
      <c r="E13" s="3" t="n">
        <v>16851644000</v>
      </c>
      <c r="F13" s="3" t="n"/>
    </row>
    <row r="14">
      <c r="A14" t="inlineStr">
        <is>
          <t>Preferred Stock Equity</t>
        </is>
      </c>
      <c r="B14" s="3" t="n">
        <v>731690000</v>
      </c>
      <c r="C14" s="3" t="n">
        <v>731690000</v>
      </c>
      <c r="D14" s="3" t="n">
        <v>731690000</v>
      </c>
      <c r="E14" s="3" t="n">
        <v>731690000</v>
      </c>
      <c r="F14" s="3" t="n"/>
    </row>
    <row r="15">
      <c r="A15" t="inlineStr">
        <is>
          <t>Total Capitalization</t>
        </is>
      </c>
      <c r="B15" s="3" t="n">
        <v>40428708000</v>
      </c>
      <c r="C15" s="3" t="n">
        <v>36443466000</v>
      </c>
      <c r="D15" s="3" t="n">
        <v>34731154000</v>
      </c>
      <c r="E15" s="3" t="n">
        <v>32029686000</v>
      </c>
      <c r="F15" s="3" t="n"/>
    </row>
    <row r="16">
      <c r="A16" t="inlineStr">
        <is>
          <t>Total Equity Gross Minority Interest</t>
        </is>
      </c>
      <c r="B16" s="3" t="n">
        <v>24845974000</v>
      </c>
      <c r="C16" s="3" t="n">
        <v>23175780000</v>
      </c>
      <c r="D16" s="3" t="n">
        <v>20996321000</v>
      </c>
      <c r="E16" s="3" t="n">
        <v>19622144000</v>
      </c>
      <c r="F16" s="3" t="n"/>
    </row>
    <row r="17">
      <c r="A17" t="inlineStr">
        <is>
          <t>Minority Interest</t>
        </is>
      </c>
      <c r="B17" s="3" t="n">
        <v>1920311000</v>
      </c>
      <c r="C17" s="3" t="n">
        <v>1835383000</v>
      </c>
      <c r="D17" s="3" t="n">
        <v>1878787000</v>
      </c>
      <c r="E17" s="3" t="n">
        <v>2038810000</v>
      </c>
      <c r="F17" s="3" t="n"/>
    </row>
    <row r="18">
      <c r="A18" t="inlineStr">
        <is>
          <t>Stockholders Equity</t>
        </is>
      </c>
      <c r="B18" s="3" t="n">
        <v>22925663000</v>
      </c>
      <c r="C18" s="3" t="n">
        <v>21340397000</v>
      </c>
      <c r="D18" s="3" t="n">
        <v>19117534000</v>
      </c>
      <c r="E18" s="3" t="n">
        <v>17583334000</v>
      </c>
      <c r="F18" s="3" t="n"/>
    </row>
    <row r="19">
      <c r="A19" t="inlineStr">
        <is>
          <t>Other Equity Interest</t>
        </is>
      </c>
      <c r="B19" s="3" t="n"/>
      <c r="C19" s="3" t="n"/>
      <c r="D19" s="3" t="n"/>
      <c r="E19" s="3" t="n">
        <v>-4698313000</v>
      </c>
      <c r="F19" s="3" t="n">
        <v>-3631929000</v>
      </c>
    </row>
    <row r="20">
      <c r="A20" t="inlineStr">
        <is>
          <t>Gains Losses Not Affecting Retained Earnings</t>
        </is>
      </c>
      <c r="B20" s="3" t="n">
        <v>-7159920000</v>
      </c>
      <c r="C20" s="3" t="n">
        <v>-7474368000</v>
      </c>
      <c r="D20" s="3" t="n">
        <v>-6014041000</v>
      </c>
      <c r="E20" s="3" t="n">
        <v>-5294111000</v>
      </c>
      <c r="F20" s="3" t="n"/>
    </row>
    <row r="21">
      <c r="A21" t="inlineStr">
        <is>
          <t>Other Equity Adjustments</t>
        </is>
      </c>
      <c r="B21" s="3" t="n">
        <v>-7159920000</v>
      </c>
      <c r="C21" s="3" t="n">
        <v>-7474368000</v>
      </c>
      <c r="D21" s="3" t="n">
        <v>-6014041000</v>
      </c>
      <c r="E21" s="3" t="n">
        <v>-5294111000</v>
      </c>
      <c r="F21" s="3" t="n"/>
    </row>
    <row r="22">
      <c r="A22" t="inlineStr">
        <is>
          <t>Retained Earnings</t>
        </is>
      </c>
      <c r="B22" s="3" t="n"/>
      <c r="C22" s="3" t="n"/>
      <c r="D22" s="3" t="n"/>
      <c r="E22" s="3" t="n">
        <v>-4698313000</v>
      </c>
      <c r="F22" s="3" t="n">
        <v>-3631929000</v>
      </c>
    </row>
    <row r="23">
      <c r="A23" t="inlineStr">
        <is>
          <t>Additional Paid In Capital</t>
        </is>
      </c>
      <c r="B23" s="3" t="n">
        <v>29350487000</v>
      </c>
      <c r="C23" s="3" t="n">
        <v>28079738000</v>
      </c>
      <c r="D23" s="3" t="n">
        <v>24396797000</v>
      </c>
      <c r="E23" s="3" t="n">
        <v>22142868000</v>
      </c>
      <c r="F23" s="3" t="n"/>
    </row>
    <row r="24">
      <c r="A24" t="inlineStr">
        <is>
          <t>Capital Stock</t>
        </is>
      </c>
      <c r="B24" s="3" t="n">
        <v>735096000</v>
      </c>
      <c r="C24" s="3" t="n">
        <v>735027000</v>
      </c>
      <c r="D24" s="3" t="n">
        <v>734778000</v>
      </c>
      <c r="E24" s="3" t="n">
        <v>734577000</v>
      </c>
      <c r="F24" s="3" t="n"/>
    </row>
    <row r="25">
      <c r="A25" t="inlineStr">
        <is>
          <t>Common Stock</t>
        </is>
      </c>
      <c r="B25" s="3" t="n">
        <v>3406000</v>
      </c>
      <c r="C25" s="3" t="n">
        <v>3337000</v>
      </c>
      <c r="D25" s="3" t="n">
        <v>3088000</v>
      </c>
      <c r="E25" s="3" t="n">
        <v>2887000</v>
      </c>
      <c r="F25" s="3" t="n"/>
    </row>
    <row r="26">
      <c r="A26" t="inlineStr">
        <is>
          <t>Preferred Stock</t>
        </is>
      </c>
      <c r="B26" s="3" t="n">
        <v>731690000</v>
      </c>
      <c r="C26" s="3" t="n">
        <v>731690000</v>
      </c>
      <c r="D26" s="3" t="n">
        <v>731690000</v>
      </c>
      <c r="E26" s="3" t="n">
        <v>731690000</v>
      </c>
      <c r="F26" s="3" t="n"/>
    </row>
    <row r="27">
      <c r="A27" t="inlineStr">
        <is>
          <t>Total Liabilities Net Minority Interest</t>
        </is>
      </c>
      <c r="B27" s="3" t="n">
        <v>24564494000</v>
      </c>
      <c r="C27" s="3" t="n">
        <v>22107836000</v>
      </c>
      <c r="D27" s="3" t="n">
        <v>23116937000</v>
      </c>
      <c r="E27" s="3" t="n">
        <v>21862854000</v>
      </c>
      <c r="F27" s="3" t="n"/>
    </row>
    <row r="28">
      <c r="A28" t="inlineStr">
        <is>
          <t>Total Non Current Liabilities Net Minority Interest</t>
        </is>
      </c>
      <c r="B28" s="3" t="n">
        <v>19880986000</v>
      </c>
      <c r="C28" s="3" t="n">
        <v>17481850000</v>
      </c>
      <c r="D28" s="3" t="n">
        <v>18306810000</v>
      </c>
      <c r="E28" s="3" t="n">
        <v>17110148000</v>
      </c>
      <c r="F28" s="3" t="n"/>
    </row>
    <row r="29">
      <c r="A29" t="inlineStr">
        <is>
          <t>Other Non Current Liabilities</t>
        </is>
      </c>
      <c r="B29" s="3" t="n"/>
      <c r="C29" s="3" t="n">
        <v>539802000</v>
      </c>
      <c r="D29" s="3" t="n">
        <v>401867000</v>
      </c>
      <c r="E29" s="3" t="n">
        <v>369654000</v>
      </c>
      <c r="F29" s="3" t="n">
        <v>336578000</v>
      </c>
    </row>
    <row r="30">
      <c r="A30" t="inlineStr">
        <is>
          <t>Preferred Securities Outside Stock Equity</t>
        </is>
      </c>
      <c r="B30" s="3" t="n"/>
      <c r="C30" s="3" t="n"/>
      <c r="D30" s="3" t="n"/>
      <c r="E30" s="3" t="n"/>
      <c r="F30" s="3" t="n">
        <v>46995000</v>
      </c>
    </row>
    <row r="31">
      <c r="A31" t="inlineStr">
        <is>
          <t>Non Current Deferred Liabilities</t>
        </is>
      </c>
      <c r="B31" s="3" t="n">
        <v>1124724000</v>
      </c>
      <c r="C31" s="3" t="n">
        <v>1084562000</v>
      </c>
      <c r="D31" s="3" t="n">
        <v>1151096000</v>
      </c>
      <c r="E31" s="3" t="n">
        <v>1192752000</v>
      </c>
      <c r="F31" s="3" t="n"/>
    </row>
    <row r="32">
      <c r="A32" t="inlineStr">
        <is>
          <t>Non Current Deferred Taxes Liabilities</t>
        </is>
      </c>
      <c r="B32" s="3" t="n">
        <v>1124724000</v>
      </c>
      <c r="C32" s="3" t="n">
        <v>1084562000</v>
      </c>
      <c r="D32" s="3" t="n">
        <v>1151096000</v>
      </c>
      <c r="E32" s="3" t="n">
        <v>1192752000</v>
      </c>
      <c r="F32" s="3" t="n"/>
    </row>
    <row r="33">
      <c r="A33" t="inlineStr">
        <is>
          <t>Long Term Debt And Capital Lease Obligation</t>
        </is>
      </c>
      <c r="B33" s="3" t="n">
        <v>18756262000</v>
      </c>
      <c r="C33" s="3" t="n">
        <v>16397288000</v>
      </c>
      <c r="D33" s="3" t="n">
        <v>17155714000</v>
      </c>
      <c r="E33" s="3" t="n">
        <v>15917396000</v>
      </c>
      <c r="F33" s="3" t="n"/>
    </row>
    <row r="34">
      <c r="A34" t="inlineStr">
        <is>
          <t>Long Term Capital Lease Obligation</t>
        </is>
      </c>
      <c r="B34" s="3" t="n">
        <v>1253217000</v>
      </c>
      <c r="C34" s="3" t="n">
        <v>1294219000</v>
      </c>
      <c r="D34" s="3" t="n">
        <v>1542094000</v>
      </c>
      <c r="E34" s="3" t="n">
        <v>1471044000</v>
      </c>
      <c r="F34" s="3" t="n"/>
    </row>
    <row r="35">
      <c r="A35" t="inlineStr">
        <is>
          <t>Long Term Debt</t>
        </is>
      </c>
      <c r="B35" s="3" t="n">
        <v>17503045000</v>
      </c>
      <c r="C35" s="3" t="n">
        <v>15103069000</v>
      </c>
      <c r="D35" s="3" t="n">
        <v>15613620000</v>
      </c>
      <c r="E35" s="3" t="n">
        <v>14446352000</v>
      </c>
      <c r="F35" s="3" t="n"/>
    </row>
    <row r="36">
      <c r="A36" t="inlineStr">
        <is>
          <t>Current Liabilities</t>
        </is>
      </c>
      <c r="B36" s="3" t="n">
        <v>4683508000</v>
      </c>
      <c r="C36" s="3" t="n">
        <v>4625986000</v>
      </c>
      <c r="D36" s="3" t="n">
        <v>4810127000</v>
      </c>
      <c r="E36" s="3" t="n">
        <v>4752706000</v>
      </c>
      <c r="F36" s="3" t="n"/>
    </row>
    <row r="37">
      <c r="A37" t="inlineStr">
        <is>
          <t>Other Current Liabilities</t>
        </is>
      </c>
      <c r="B37" s="3" t="n">
        <v>182000</v>
      </c>
      <c r="C37" s="3" t="n"/>
      <c r="D37" s="3" t="n">
        <v>39001000</v>
      </c>
      <c r="E37" s="3" t="n"/>
      <c r="F37" s="3" t="n"/>
    </row>
    <row r="38">
      <c r="A38" t="inlineStr">
        <is>
          <t>Current Deferred Liabilities</t>
        </is>
      </c>
      <c r="B38" s="3" t="n">
        <v>754920000</v>
      </c>
      <c r="C38" s="3" t="n">
        <v>539802000</v>
      </c>
      <c r="D38" s="3" t="n">
        <v>401867000</v>
      </c>
      <c r="E38" s="3" t="n">
        <v>369654000</v>
      </c>
      <c r="F38" s="3" t="n"/>
    </row>
    <row r="39">
      <c r="A39" t="inlineStr">
        <is>
          <t>Current Deferred Revenue</t>
        </is>
      </c>
      <c r="B39" s="3" t="n">
        <v>754920000</v>
      </c>
      <c r="C39" s="3" t="n">
        <v>539802000</v>
      </c>
      <c r="D39" s="3" t="n">
        <v>401867000</v>
      </c>
      <c r="E39" s="3" t="n">
        <v>369654000</v>
      </c>
      <c r="F39" s="3" t="n"/>
    </row>
    <row r="40">
      <c r="A40" t="inlineStr">
        <is>
          <t>Current Debt And Capital Lease Obligation</t>
        </is>
      </c>
      <c r="B40" s="3" t="n">
        <v>899090000</v>
      </c>
      <c r="C40" s="3" t="n">
        <v>1611308000</v>
      </c>
      <c r="D40" s="3" t="n">
        <v>1812287000</v>
      </c>
      <c r="E40" s="3" t="n">
        <v>2150451000</v>
      </c>
      <c r="F40" s="3" t="n"/>
    </row>
    <row r="41">
      <c r="A41" t="inlineStr">
        <is>
          <t>Current Debt</t>
        </is>
      </c>
      <c r="B41" s="3" t="n">
        <v>899090000</v>
      </c>
      <c r="C41" s="3" t="n">
        <v>1611308000</v>
      </c>
      <c r="D41" s="3" t="n">
        <v>1812287000</v>
      </c>
      <c r="E41" s="3" t="n">
        <v>2150451000</v>
      </c>
      <c r="F41" s="3" t="n"/>
    </row>
    <row r="42">
      <c r="A42" t="inlineStr">
        <is>
          <t>Line Of Credit</t>
        </is>
      </c>
      <c r="B42" s="3" t="n">
        <v>899090000</v>
      </c>
      <c r="C42" s="3" t="n">
        <v>1611308000</v>
      </c>
      <c r="D42" s="3" t="n">
        <v>1812287000</v>
      </c>
      <c r="E42" s="3" t="n">
        <v>2150451000</v>
      </c>
      <c r="F42" s="3" t="n"/>
    </row>
    <row r="43">
      <c r="A43" t="inlineStr">
        <is>
          <t>Payables And Accrued Expenses</t>
        </is>
      </c>
      <c r="B43" s="3" t="n">
        <v>3029316000</v>
      </c>
      <c r="C43" s="3" t="n">
        <v>2474876000</v>
      </c>
      <c r="D43" s="3" t="n">
        <v>2556972000</v>
      </c>
      <c r="E43" s="3" t="n">
        <v>2232601000</v>
      </c>
      <c r="F43" s="3" t="n"/>
    </row>
    <row r="44">
      <c r="A44" t="inlineStr">
        <is>
          <t>Payables</t>
        </is>
      </c>
      <c r="B44" s="3" t="n">
        <v>3029316000</v>
      </c>
      <c r="C44" s="3" t="n">
        <v>2474876000</v>
      </c>
      <c r="D44" s="3" t="n">
        <v>2556972000</v>
      </c>
      <c r="E44" s="3" t="n">
        <v>2232601000</v>
      </c>
      <c r="F44" s="3" t="n"/>
    </row>
    <row r="45">
      <c r="A45" t="inlineStr">
        <is>
          <t>Dividends Payable</t>
        </is>
      </c>
      <c r="B45" s="3" t="n">
        <v>428337000</v>
      </c>
      <c r="C45" s="3" t="n">
        <v>418661000</v>
      </c>
      <c r="D45" s="3" t="n">
        <v>387988000</v>
      </c>
      <c r="E45" s="3" t="n">
        <v>363716000</v>
      </c>
      <c r="F45" s="3" t="n"/>
    </row>
    <row r="46">
      <c r="A46" t="inlineStr">
        <is>
          <t>Accounts Payable</t>
        </is>
      </c>
      <c r="B46" s="3" t="n">
        <v>2600979000</v>
      </c>
      <c r="C46" s="3" t="n">
        <v>2056215000</v>
      </c>
      <c r="D46" s="3" t="n">
        <v>2168984000</v>
      </c>
      <c r="E46" s="3" t="n">
        <v>1868885000</v>
      </c>
      <c r="F46" s="3" t="n"/>
    </row>
    <row r="47">
      <c r="A47" t="inlineStr">
        <is>
          <t>Total Assets</t>
        </is>
      </c>
      <c r="B47" s="3" t="n">
        <v>49410468000</v>
      </c>
      <c r="C47" s="3" t="n">
        <v>45283616000</v>
      </c>
      <c r="D47" s="3" t="n">
        <v>44113258000</v>
      </c>
      <c r="E47" s="3" t="n">
        <v>41484998000</v>
      </c>
      <c r="F47" s="3" t="n"/>
    </row>
    <row r="48">
      <c r="A48" t="inlineStr">
        <is>
          <t>Total Non Current Assets</t>
        </is>
      </c>
      <c r="B48" s="3" t="n">
        <v>44250100000</v>
      </c>
      <c r="C48" s="3" t="n">
        <v>40155261000</v>
      </c>
      <c r="D48" s="3" t="n">
        <v>40731150000</v>
      </c>
      <c r="E48" s="3" t="n">
        <v>40373933000</v>
      </c>
      <c r="F48" s="3" t="n"/>
    </row>
    <row r="49">
      <c r="A49" t="inlineStr">
        <is>
          <t>Other Non Current Assets</t>
        </is>
      </c>
      <c r="B49" s="3" t="n">
        <v>655377000</v>
      </c>
      <c r="C49" s="3" t="n">
        <v>465885000</v>
      </c>
      <c r="D49" s="3" t="n">
        <v>420382000</v>
      </c>
      <c r="E49" s="3" t="n">
        <v>353802000</v>
      </c>
      <c r="F49" s="3" t="n"/>
    </row>
    <row r="50">
      <c r="A50" t="inlineStr">
        <is>
          <t>Non Current Deferred Assets</t>
        </is>
      </c>
      <c r="B50" s="3" t="n">
        <v>750907000</v>
      </c>
      <c r="C50" s="3" t="n">
        <v>642456000</v>
      </c>
      <c r="D50" s="3" t="n">
        <v>624427000</v>
      </c>
      <c r="E50" s="3" t="n">
        <v>601590000</v>
      </c>
      <c r="F50" s="3" t="n"/>
    </row>
    <row r="51">
      <c r="A51" t="inlineStr">
        <is>
          <t>Investments And Advances</t>
        </is>
      </c>
      <c r="B51" s="3" t="n">
        <v>3427903000</v>
      </c>
      <c r="C51" s="3" t="n">
        <v>2639800000</v>
      </c>
      <c r="D51" s="3" t="n">
        <v>2295889000</v>
      </c>
      <c r="E51" s="3" t="n">
        <v>1991426000</v>
      </c>
      <c r="F51" s="3" t="n"/>
    </row>
    <row r="52">
      <c r="A52" t="inlineStr">
        <is>
          <t>Long Term Equity Investment</t>
        </is>
      </c>
      <c r="B52" s="3" t="n">
        <v>3427903000</v>
      </c>
      <c r="C52" s="3" t="n">
        <v>2639800000</v>
      </c>
      <c r="D52" s="3" t="n">
        <v>2295889000</v>
      </c>
      <c r="E52" s="3" t="n"/>
      <c r="F52" s="3" t="n">
        <v>1807689000</v>
      </c>
    </row>
    <row r="53">
      <c r="A53" t="inlineStr">
        <is>
          <t>Investmentsin Joint Venturesat Cost</t>
        </is>
      </c>
      <c r="B53" s="3" t="n"/>
      <c r="C53" s="3" t="n"/>
      <c r="D53" s="3" t="n"/>
      <c r="E53" s="3" t="n"/>
      <c r="F53" s="3" t="n">
        <v>1807689000</v>
      </c>
    </row>
    <row r="54">
      <c r="A54" t="inlineStr">
        <is>
          <t>Investment Properties</t>
        </is>
      </c>
      <c r="B54" s="3" t="n">
        <v>26433617000</v>
      </c>
      <c r="C54" s="3" t="n">
        <v>24120782000</v>
      </c>
      <c r="D54" s="3" t="n">
        <v>24236088000</v>
      </c>
      <c r="E54" s="3" t="n">
        <v>23774662000</v>
      </c>
      <c r="F54" s="3" t="n"/>
    </row>
    <row r="55">
      <c r="A55" t="inlineStr">
        <is>
          <t>Goodwill And Other Intangible Assets</t>
        </is>
      </c>
      <c r="B55" s="3" t="n">
        <v>11846651000</v>
      </c>
      <c r="C55" s="3" t="n">
        <v>11107485000</v>
      </c>
      <c r="D55" s="3" t="n">
        <v>11740108000</v>
      </c>
      <c r="E55" s="3" t="n">
        <v>12301124000</v>
      </c>
      <c r="F55" s="3" t="n"/>
    </row>
    <row r="56">
      <c r="A56" t="inlineStr">
        <is>
          <t>Other Intangible Assets</t>
        </is>
      </c>
      <c r="B56" s="3" t="n">
        <v>2134698000</v>
      </c>
      <c r="C56" s="3" t="n">
        <v>2178054000</v>
      </c>
      <c r="D56" s="3" t="n">
        <v>2500237000</v>
      </c>
      <c r="E56" s="3" t="n">
        <v>3092627000</v>
      </c>
      <c r="F56" s="3" t="n"/>
    </row>
    <row r="57">
      <c r="A57" t="inlineStr">
        <is>
          <t>Goodwill</t>
        </is>
      </c>
      <c r="B57" s="3" t="n">
        <v>9711953000</v>
      </c>
      <c r="C57" s="3" t="n">
        <v>8929431000</v>
      </c>
      <c r="D57" s="3" t="n">
        <v>9239871000</v>
      </c>
      <c r="E57" s="3" t="n">
        <v>9208497000</v>
      </c>
      <c r="F57" s="3" t="n"/>
    </row>
    <row r="58">
      <c r="A58" t="inlineStr">
        <is>
          <t>Net PPE</t>
        </is>
      </c>
      <c r="B58" s="3" t="n">
        <v>1135645000</v>
      </c>
      <c r="C58" s="3" t="n">
        <v>1178853000</v>
      </c>
      <c r="D58" s="3" t="n">
        <v>1414256000</v>
      </c>
      <c r="E58" s="3" t="n">
        <v>1351329000</v>
      </c>
      <c r="F58" s="3" t="n"/>
    </row>
    <row r="59">
      <c r="A59" t="inlineStr">
        <is>
          <t>Gross PPE</t>
        </is>
      </c>
      <c r="B59" s="3" t="n">
        <v>1135645000</v>
      </c>
      <c r="C59" s="3" t="n">
        <v>1178853000</v>
      </c>
      <c r="D59" s="3" t="n">
        <v>1414256000</v>
      </c>
      <c r="E59" s="3" t="n">
        <v>1351329000</v>
      </c>
      <c r="F59" s="3" t="n"/>
    </row>
    <row r="60">
      <c r="A60" t="inlineStr">
        <is>
          <t>Other Properties</t>
        </is>
      </c>
      <c r="B60" s="3" t="n">
        <v>1135645000</v>
      </c>
      <c r="C60" s="3" t="n">
        <v>1178853000</v>
      </c>
      <c r="D60" s="3" t="n">
        <v>1414256000</v>
      </c>
      <c r="E60" s="3" t="n">
        <v>1351329000</v>
      </c>
      <c r="F60" s="3" t="n"/>
    </row>
    <row r="61">
      <c r="A61" t="inlineStr">
        <is>
          <t>Current Assets</t>
        </is>
      </c>
      <c r="B61" s="3" t="n">
        <v>5160368000</v>
      </c>
      <c r="C61" s="3" t="n">
        <v>5128355000</v>
      </c>
      <c r="D61" s="3" t="n">
        <v>3382108000</v>
      </c>
      <c r="E61" s="3" t="n">
        <v>1111065000</v>
      </c>
      <c r="F61" s="3" t="n"/>
    </row>
    <row r="62">
      <c r="A62" t="inlineStr">
        <is>
          <t>Assets Held For Sale Current</t>
        </is>
      </c>
      <c r="B62" s="3" t="n">
        <v>349826000</v>
      </c>
      <c r="C62" s="3" t="n">
        <v>0</v>
      </c>
      <c r="D62" s="3" t="n">
        <v>478503000</v>
      </c>
      <c r="E62" s="3" t="n">
        <v>0</v>
      </c>
      <c r="F62" s="3" t="n"/>
    </row>
    <row r="63">
      <c r="A63" t="inlineStr">
        <is>
          <t>Receivables</t>
        </is>
      </c>
      <c r="B63" s="3" t="n">
        <v>1358895000</v>
      </c>
      <c r="C63" s="3" t="n">
        <v>1257464000</v>
      </c>
      <c r="D63" s="3" t="n">
        <v>1278110000</v>
      </c>
      <c r="E63" s="3" t="n">
        <v>969292000</v>
      </c>
      <c r="F63" s="3" t="n"/>
    </row>
    <row r="64">
      <c r="A64" t="inlineStr">
        <is>
          <t>Other Receivables</t>
        </is>
      </c>
      <c r="B64" s="3" t="n">
        <v>187966000</v>
      </c>
      <c r="C64" s="3" t="n">
        <v>190833000</v>
      </c>
      <c r="D64" s="3" t="n">
        <v>68449000</v>
      </c>
      <c r="E64" s="3" t="n">
        <v>52813000</v>
      </c>
      <c r="F64" s="3" t="n"/>
    </row>
    <row r="65">
      <c r="A65" t="inlineStr">
        <is>
          <t>Taxes Receivable</t>
        </is>
      </c>
      <c r="B65" s="3" t="n">
        <v>109816000</v>
      </c>
      <c r="C65" s="3" t="n">
        <v>160369000</v>
      </c>
      <c r="D65" s="3" t="n">
        <v>257911000</v>
      </c>
      <c r="E65" s="3" t="n">
        <v>167459000</v>
      </c>
      <c r="F65" s="3" t="n"/>
    </row>
    <row r="66">
      <c r="A66" t="inlineStr">
        <is>
          <t>Accounts Receivable</t>
        </is>
      </c>
      <c r="B66" s="3" t="n">
        <v>1061113000</v>
      </c>
      <c r="C66" s="3" t="n">
        <v>906262000</v>
      </c>
      <c r="D66" s="3" t="n">
        <v>951750000</v>
      </c>
      <c r="E66" s="3" t="n">
        <v>749020000</v>
      </c>
      <c r="F66" s="3" t="n"/>
    </row>
    <row r="67">
      <c r="A67" t="inlineStr">
        <is>
          <t>Allowance For Doubtful Accounts Receivable</t>
        </is>
      </c>
      <c r="B67" s="3" t="n">
        <v>-86351000</v>
      </c>
      <c r="C67" s="3" t="n">
        <v>-59224000</v>
      </c>
      <c r="D67" s="3" t="n">
        <v>-41204000</v>
      </c>
      <c r="E67" s="3" t="n">
        <v>-33048000</v>
      </c>
      <c r="F67" s="3" t="n"/>
    </row>
    <row r="68">
      <c r="A68" t="inlineStr">
        <is>
          <t>Gross Accounts Receivable</t>
        </is>
      </c>
      <c r="B68" s="3" t="n">
        <v>1147464000</v>
      </c>
      <c r="C68" s="3" t="n">
        <v>965486000</v>
      </c>
      <c r="D68" s="3" t="n">
        <v>992954000</v>
      </c>
      <c r="E68" s="3" t="n">
        <v>782068000</v>
      </c>
      <c r="F68" s="3" t="n"/>
    </row>
    <row r="69">
      <c r="A69" t="inlineStr">
        <is>
          <t>Cash Cash Equivalents And Short Term Investments</t>
        </is>
      </c>
      <c r="B69" s="3" t="n">
        <v>3451647000</v>
      </c>
      <c r="C69" s="3" t="n">
        <v>3870891000</v>
      </c>
      <c r="D69" s="3" t="n">
        <v>1625495000</v>
      </c>
      <c r="E69" s="3" t="n">
        <v>141773000</v>
      </c>
      <c r="F69" s="3" t="n"/>
    </row>
    <row r="70">
      <c r="A70" t="inlineStr">
        <is>
          <t>Cash And Cash Equivalents</t>
        </is>
      </c>
      <c r="B70" s="3" t="n">
        <v>3451647000</v>
      </c>
      <c r="C70" s="3" t="n">
        <v>3870891000</v>
      </c>
      <c r="D70" s="3" t="n">
        <v>1625495000</v>
      </c>
      <c r="E70" s="3" t="n">
        <v>141773000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Preferred Shares Number</t>
        </is>
      </c>
      <c r="B2" s="3" t="n">
        <v>30200000</v>
      </c>
      <c r="C2" s="3" t="n">
        <v>30200000</v>
      </c>
      <c r="D2" s="3" t="n">
        <v>30200000</v>
      </c>
      <c r="E2" s="3" t="n">
        <v>30200000</v>
      </c>
      <c r="F2" s="3" t="n">
        <v>30200000</v>
      </c>
      <c r="G2" s="3" t="n"/>
      <c r="H2" s="3" t="n"/>
    </row>
    <row r="3">
      <c r="A3" t="inlineStr">
        <is>
          <t>Ordinary Shares Number</t>
        </is>
      </c>
      <c r="B3" s="3" t="n">
        <v>348924000</v>
      </c>
      <c r="C3" s="3" t="n">
        <v>343557430</v>
      </c>
      <c r="D3" s="3" t="n">
        <v>343041161</v>
      </c>
      <c r="E3" s="3" t="n">
        <v>340372076</v>
      </c>
      <c r="F3" s="3" t="n">
        <v>336743461</v>
      </c>
      <c r="G3" s="3" t="n"/>
      <c r="H3" s="3" t="n"/>
    </row>
    <row r="4">
      <c r="A4" t="inlineStr">
        <is>
          <t>Share Issued</t>
        </is>
      </c>
      <c r="B4" s="3" t="n">
        <v>348924000</v>
      </c>
      <c r="C4" s="3" t="n">
        <v>343557430</v>
      </c>
      <c r="D4" s="3" t="n">
        <v>343041161</v>
      </c>
      <c r="E4" s="3" t="n">
        <v>340372076</v>
      </c>
      <c r="F4" s="3" t="n">
        <v>336743461</v>
      </c>
      <c r="G4" s="3" t="n"/>
      <c r="H4" s="3" t="n"/>
    </row>
    <row r="5">
      <c r="A5" t="inlineStr">
        <is>
          <t>Net Debt</t>
        </is>
      </c>
      <c r="B5" s="3" t="n">
        <v>15570002000</v>
      </c>
      <c r="C5" s="3" t="n">
        <v>14950488000</v>
      </c>
      <c r="D5" s="3" t="n">
        <v>14925731000</v>
      </c>
      <c r="E5" s="3" t="n">
        <v>14898022000</v>
      </c>
      <c r="F5" s="3" t="n">
        <v>14694394000</v>
      </c>
      <c r="G5" s="3" t="n"/>
      <c r="H5" s="3" t="n"/>
    </row>
    <row r="6">
      <c r="A6" t="inlineStr">
        <is>
          <t>Total Debt</t>
        </is>
      </c>
      <c r="B6" s="3" t="n">
        <v>19215142000</v>
      </c>
      <c r="C6" s="3" t="n">
        <v>19655352000</v>
      </c>
      <c r="D6" s="3" t="n">
        <v>19510501000</v>
      </c>
      <c r="E6" s="3" t="n">
        <v>19750233000</v>
      </c>
      <c r="F6" s="3" t="n">
        <v>18297851000</v>
      </c>
      <c r="G6" s="3" t="n"/>
      <c r="H6" s="3" t="n"/>
    </row>
    <row r="7">
      <c r="A7" t="inlineStr">
        <is>
          <t>Tangible Book Value</t>
        </is>
      </c>
      <c r="B7" s="3" t="n">
        <v>11319406000</v>
      </c>
      <c r="C7" s="3" t="n">
        <v>10347322000</v>
      </c>
      <c r="D7" s="3" t="n">
        <v>10789692000</v>
      </c>
      <c r="E7" s="3" t="n">
        <v>10375006000</v>
      </c>
      <c r="F7" s="3" t="n">
        <v>9264754000</v>
      </c>
      <c r="G7" s="3" t="n"/>
      <c r="H7" s="3" t="n"/>
    </row>
    <row r="8">
      <c r="A8" t="inlineStr">
        <is>
          <t>Invested Capital</t>
        </is>
      </c>
      <c r="B8" s="3" t="n">
        <v>40633696000</v>
      </c>
      <c r="C8" s="3" t="n">
        <v>40596108000</v>
      </c>
      <c r="D8" s="3" t="n">
        <v>40518774000</v>
      </c>
      <c r="E8" s="3" t="n">
        <v>40634985000</v>
      </c>
      <c r="F8" s="3" t="n">
        <v>37580187000</v>
      </c>
      <c r="G8" s="3" t="n"/>
      <c r="H8" s="3" t="n"/>
    </row>
    <row r="9">
      <c r="A9" t="inlineStr">
        <is>
          <t>Working Capital</t>
        </is>
      </c>
      <c r="B9" s="3" t="n">
        <v>436114000</v>
      </c>
      <c r="C9" s="3" t="n">
        <v>476860000</v>
      </c>
      <c r="D9" s="3" t="n">
        <v>682853000</v>
      </c>
      <c r="E9" s="3" t="n">
        <v>1746955000</v>
      </c>
      <c r="F9" s="3" t="n">
        <v>1056450000</v>
      </c>
      <c r="G9" s="3" t="n"/>
      <c r="H9" s="3" t="n"/>
    </row>
    <row r="10">
      <c r="A10" t="inlineStr">
        <is>
          <t>Net Tangible Assets</t>
        </is>
      </c>
      <c r="B10" s="3" t="n">
        <v>12051096000</v>
      </c>
      <c r="C10" s="3" t="n">
        <v>11079012000</v>
      </c>
      <c r="D10" s="3" t="n">
        <v>11521382000</v>
      </c>
      <c r="E10" s="3" t="n">
        <v>11106696000</v>
      </c>
      <c r="F10" s="3" t="n">
        <v>9996444000</v>
      </c>
      <c r="G10" s="3" t="n"/>
      <c r="H10" s="3" t="n"/>
    </row>
    <row r="11">
      <c r="A11" t="inlineStr">
        <is>
          <t>Capital Lease Obligations</t>
        </is>
      </c>
      <c r="B11" s="3" t="n">
        <v>1218509000</v>
      </c>
      <c r="C11" s="3" t="n">
        <v>1253217000</v>
      </c>
      <c r="D11" s="3" t="n">
        <v>1285067000</v>
      </c>
      <c r="E11" s="3" t="n">
        <v>1298085000</v>
      </c>
      <c r="F11" s="3" t="n">
        <v>1281572000</v>
      </c>
      <c r="G11" s="3" t="n"/>
      <c r="H11" s="3" t="n"/>
    </row>
    <row r="12">
      <c r="A12" t="inlineStr">
        <is>
          <t>Common Stock Equity</t>
        </is>
      </c>
      <c r="B12" s="3" t="n">
        <v>22637063000</v>
      </c>
      <c r="C12" s="3" t="n">
        <v>22193973000</v>
      </c>
      <c r="D12" s="3" t="n">
        <v>22293340000</v>
      </c>
      <c r="E12" s="3" t="n">
        <v>22182837000</v>
      </c>
      <c r="F12" s="3" t="n">
        <v>20563908000</v>
      </c>
      <c r="G12" s="3" t="n"/>
      <c r="H12" s="3" t="n"/>
    </row>
    <row r="13">
      <c r="A13" t="inlineStr">
        <is>
          <t>Preferred Stock Equity</t>
        </is>
      </c>
      <c r="B13" s="3" t="n">
        <v>731690000</v>
      </c>
      <c r="C13" s="3" t="n">
        <v>731690000</v>
      </c>
      <c r="D13" s="3" t="n">
        <v>731690000</v>
      </c>
      <c r="E13" s="3" t="n">
        <v>731690000</v>
      </c>
      <c r="F13" s="3" t="n">
        <v>731690000</v>
      </c>
      <c r="G13" s="3" t="n"/>
      <c r="H13" s="3" t="n"/>
    </row>
    <row r="14">
      <c r="A14" t="inlineStr">
        <is>
          <t>Total Capitalization</t>
        </is>
      </c>
      <c r="B14" s="3" t="n">
        <v>40657425000</v>
      </c>
      <c r="C14" s="3" t="n">
        <v>40428708000</v>
      </c>
      <c r="D14" s="3" t="n">
        <v>40098422000</v>
      </c>
      <c r="E14" s="3" t="n">
        <v>40798976000</v>
      </c>
      <c r="F14" s="3" t="n">
        <v>37214946000</v>
      </c>
      <c r="G14" s="3" t="n"/>
      <c r="H14" s="3" t="n"/>
    </row>
    <row r="15">
      <c r="A15" t="inlineStr">
        <is>
          <t>Total Equity Gross Minority Interest</t>
        </is>
      </c>
      <c r="B15" s="3" t="n">
        <v>25397014000</v>
      </c>
      <c r="C15" s="3" t="n">
        <v>24845974000</v>
      </c>
      <c r="D15" s="3" t="n">
        <v>24989222000</v>
      </c>
      <c r="E15" s="3" t="n">
        <v>24861846000</v>
      </c>
      <c r="F15" s="3" t="n">
        <v>23178156000</v>
      </c>
      <c r="G15" s="3" t="n"/>
      <c r="H15" s="3" t="n"/>
    </row>
    <row r="16">
      <c r="A16" t="inlineStr">
        <is>
          <t>Minority Interest</t>
        </is>
      </c>
      <c r="B16" s="3" t="n">
        <v>2028261000</v>
      </c>
      <c r="C16" s="3" t="n">
        <v>1920311000</v>
      </c>
      <c r="D16" s="3" t="n">
        <v>1964192000</v>
      </c>
      <c r="E16" s="3" t="n">
        <v>1947319000</v>
      </c>
      <c r="F16" s="3" t="n">
        <v>1882558000</v>
      </c>
      <c r="G16" s="3" t="n"/>
      <c r="H16" s="3" t="n"/>
    </row>
    <row r="17">
      <c r="A17" t="inlineStr">
        <is>
          <t>Stockholders Equity</t>
        </is>
      </c>
      <c r="B17" s="3" t="n">
        <v>23368753000</v>
      </c>
      <c r="C17" s="3" t="n">
        <v>22925663000</v>
      </c>
      <c r="D17" s="3" t="n">
        <v>23025030000</v>
      </c>
      <c r="E17" s="3" t="n">
        <v>22914527000</v>
      </c>
      <c r="F17" s="3" t="n">
        <v>21295598000</v>
      </c>
      <c r="G17" s="3" t="n"/>
      <c r="H17" s="3" t="n"/>
    </row>
    <row r="18">
      <c r="A18" t="inlineStr">
        <is>
          <t>Gains Losses Not Affecting Retained Earnings</t>
        </is>
      </c>
      <c r="B18" s="3" t="n">
        <v>-7459561000</v>
      </c>
      <c r="C18" s="3" t="n">
        <v>-7159920000</v>
      </c>
      <c r="D18" s="3" t="n">
        <v>-6892392000</v>
      </c>
      <c r="E18" s="3" t="n">
        <v>-6541363000</v>
      </c>
      <c r="F18" s="3" t="n">
        <v>-7531091000</v>
      </c>
      <c r="G18" s="3" t="n"/>
      <c r="H18" s="3" t="n"/>
    </row>
    <row r="19">
      <c r="A19" t="inlineStr">
        <is>
          <t>Other Equity Adjustments</t>
        </is>
      </c>
      <c r="B19" s="3" t="n">
        <v>-7459561000</v>
      </c>
      <c r="C19" s="3" t="n">
        <v>-7159920000</v>
      </c>
      <c r="D19" s="3" t="n">
        <v>-6892392000</v>
      </c>
      <c r="E19" s="3" t="n">
        <v>-6541363000</v>
      </c>
      <c r="F19" s="3" t="n">
        <v>-7531091000</v>
      </c>
      <c r="G19" s="3" t="n"/>
      <c r="H19" s="3" t="n"/>
    </row>
    <row r="20">
      <c r="A20" t="inlineStr">
        <is>
          <t>Additional Paid In Capital</t>
        </is>
      </c>
      <c r="B20" s="3" t="n">
        <v>30093165000</v>
      </c>
      <c r="C20" s="3" t="n">
        <v>29350487000</v>
      </c>
      <c r="D20" s="3" t="n">
        <v>29182332000</v>
      </c>
      <c r="E20" s="3" t="n">
        <v>28720826000</v>
      </c>
      <c r="F20" s="3" t="n">
        <v>28091661000</v>
      </c>
      <c r="G20" s="3" t="n"/>
      <c r="H20" s="3" t="n"/>
    </row>
    <row r="21">
      <c r="A21" t="inlineStr">
        <is>
          <t>Capital Stock</t>
        </is>
      </c>
      <c r="B21" s="3" t="n">
        <v>735149000</v>
      </c>
      <c r="C21" s="3" t="n">
        <v>735096000</v>
      </c>
      <c r="D21" s="3" t="n">
        <v>735090000</v>
      </c>
      <c r="E21" s="3" t="n">
        <v>735064000</v>
      </c>
      <c r="F21" s="3" t="n">
        <v>735028000</v>
      </c>
      <c r="G21" s="3" t="n"/>
      <c r="H21" s="3" t="n"/>
    </row>
    <row r="22">
      <c r="A22" t="inlineStr">
        <is>
          <t>Common Stock</t>
        </is>
      </c>
      <c r="B22" s="3" t="n">
        <v>3459000</v>
      </c>
      <c r="C22" s="3" t="n">
        <v>3406000</v>
      </c>
      <c r="D22" s="3" t="n">
        <v>3400000</v>
      </c>
      <c r="E22" s="3" t="n">
        <v>3374000</v>
      </c>
      <c r="F22" s="3" t="n">
        <v>3338000</v>
      </c>
      <c r="G22" s="3" t="n"/>
      <c r="H22" s="3" t="n"/>
    </row>
    <row r="23">
      <c r="A23" t="inlineStr">
        <is>
          <t>Preferred Stock</t>
        </is>
      </c>
      <c r="B23" s="3" t="n">
        <v>731690000</v>
      </c>
      <c r="C23" s="3" t="n">
        <v>731690000</v>
      </c>
      <c r="D23" s="3" t="n">
        <v>731690000</v>
      </c>
      <c r="E23" s="3" t="n">
        <v>731690000</v>
      </c>
      <c r="F23" s="3" t="n">
        <v>731690000</v>
      </c>
      <c r="G23" s="3" t="n"/>
      <c r="H23" s="3" t="n"/>
    </row>
    <row r="24">
      <c r="A24" t="inlineStr">
        <is>
          <t>Total Liabilities Net Minority Interest</t>
        </is>
      </c>
      <c r="B24" s="3" t="n">
        <v>23462959000</v>
      </c>
      <c r="C24" s="3" t="n">
        <v>24564494000</v>
      </c>
      <c r="D24" s="3" t="n">
        <v>23739412000</v>
      </c>
      <c r="E24" s="3" t="n">
        <v>23853149000</v>
      </c>
      <c r="F24" s="3" t="n">
        <v>21902406000</v>
      </c>
      <c r="G24" s="3" t="n"/>
      <c r="H24" s="3" t="n"/>
    </row>
    <row r="25">
      <c r="A25" t="inlineStr">
        <is>
          <t>Total Non Current Liabilities Net Minority Interest</t>
        </is>
      </c>
      <c r="B25" s="3" t="n">
        <v>19601136000</v>
      </c>
      <c r="C25" s="3" t="n">
        <v>19880986000</v>
      </c>
      <c r="D25" s="3" t="n">
        <v>19509833000</v>
      </c>
      <c r="E25" s="3" t="n">
        <v>20319839000</v>
      </c>
      <c r="F25" s="3" t="n">
        <v>18310214000</v>
      </c>
      <c r="G25" s="3" t="n"/>
      <c r="H25" s="3" t="n"/>
    </row>
    <row r="26">
      <c r="A26" t="inlineStr">
        <is>
          <t>Other Non Current Liabilities</t>
        </is>
      </c>
      <c r="B26" s="3" t="n"/>
      <c r="C26" s="3" t="n"/>
      <c r="D26" s="3" t="n"/>
      <c r="E26" s="3" t="n"/>
      <c r="F26" s="3" t="n">
        <v>559768000</v>
      </c>
      <c r="G26" s="3" t="n">
        <v>539802000</v>
      </c>
      <c r="H26" s="3" t="n">
        <v>423797000</v>
      </c>
    </row>
    <row r="27">
      <c r="A27" t="inlineStr">
        <is>
          <t>Non Current Deferred Liabilities</t>
        </is>
      </c>
      <c r="B27" s="3" t="n">
        <v>1093955000</v>
      </c>
      <c r="C27" s="3" t="n">
        <v>1124724000</v>
      </c>
      <c r="D27" s="3" t="n">
        <v>1151374000</v>
      </c>
      <c r="E27" s="3" t="n">
        <v>1137305000</v>
      </c>
      <c r="F27" s="3" t="n">
        <v>1109294000</v>
      </c>
      <c r="G27" s="3" t="n"/>
      <c r="H27" s="3" t="n"/>
    </row>
    <row r="28">
      <c r="A28" t="inlineStr">
        <is>
          <t>Non Current Deferred Taxes Liabilities</t>
        </is>
      </c>
      <c r="B28" s="3" t="n">
        <v>1093955000</v>
      </c>
      <c r="C28" s="3" t="n">
        <v>1124724000</v>
      </c>
      <c r="D28" s="3" t="n">
        <v>1151374000</v>
      </c>
      <c r="E28" s="3" t="n">
        <v>1137305000</v>
      </c>
      <c r="F28" s="3" t="n">
        <v>1109294000</v>
      </c>
      <c r="G28" s="3" t="n"/>
      <c r="H28" s="3" t="n"/>
    </row>
    <row r="29">
      <c r="A29" t="inlineStr">
        <is>
          <t>Long Term Debt And Capital Lease Obligation</t>
        </is>
      </c>
      <c r="B29" s="3" t="n">
        <v>18507181000</v>
      </c>
      <c r="C29" s="3" t="n">
        <v>18756262000</v>
      </c>
      <c r="D29" s="3" t="n">
        <v>18358459000</v>
      </c>
      <c r="E29" s="3" t="n">
        <v>19182534000</v>
      </c>
      <c r="F29" s="3" t="n">
        <v>17200920000</v>
      </c>
      <c r="G29" s="3" t="n"/>
      <c r="H29" s="3" t="n"/>
    </row>
    <row r="30">
      <c r="A30" t="inlineStr">
        <is>
          <t>Long Term Capital Lease Obligation</t>
        </is>
      </c>
      <c r="B30" s="3" t="n">
        <v>1218509000</v>
      </c>
      <c r="C30" s="3" t="n">
        <v>1253217000</v>
      </c>
      <c r="D30" s="3" t="n">
        <v>1285067000</v>
      </c>
      <c r="E30" s="3" t="n">
        <v>1298085000</v>
      </c>
      <c r="F30" s="3" t="n">
        <v>1281572000</v>
      </c>
      <c r="G30" s="3" t="n"/>
      <c r="H30" s="3" t="n"/>
    </row>
    <row r="31">
      <c r="A31" t="inlineStr">
        <is>
          <t>Long Term Debt</t>
        </is>
      </c>
      <c r="B31" s="3" t="n">
        <v>17288672000</v>
      </c>
      <c r="C31" s="3" t="n">
        <v>17503045000</v>
      </c>
      <c r="D31" s="3" t="n">
        <v>17073392000</v>
      </c>
      <c r="E31" s="3" t="n">
        <v>17884449000</v>
      </c>
      <c r="F31" s="3" t="n">
        <v>15919348000</v>
      </c>
      <c r="G31" s="3" t="n"/>
      <c r="H31" s="3" t="n"/>
    </row>
    <row r="32">
      <c r="A32" t="inlineStr">
        <is>
          <t>Current Liabilities</t>
        </is>
      </c>
      <c r="B32" s="3" t="n">
        <v>3861823000</v>
      </c>
      <c r="C32" s="3" t="n">
        <v>4683508000</v>
      </c>
      <c r="D32" s="3" t="n">
        <v>4229579000</v>
      </c>
      <c r="E32" s="3" t="n">
        <v>3533310000</v>
      </c>
      <c r="F32" s="3" t="n">
        <v>3592192000</v>
      </c>
      <c r="G32" s="3" t="n"/>
      <c r="H32" s="3" t="n"/>
    </row>
    <row r="33">
      <c r="A33" t="inlineStr">
        <is>
          <t>Other Current Liabilities</t>
        </is>
      </c>
      <c r="B33" s="3" t="n"/>
      <c r="C33" s="3" t="n">
        <v>182000</v>
      </c>
      <c r="D33" s="3" t="n">
        <v>283000</v>
      </c>
      <c r="E33" s="3" t="n">
        <v>1089000</v>
      </c>
      <c r="F33" s="3" t="n">
        <v>7882000</v>
      </c>
      <c r="G33" s="3" t="n"/>
      <c r="H33" s="3" t="n"/>
    </row>
    <row r="34">
      <c r="A34" t="inlineStr">
        <is>
          <t>Current Deferred Liabilities</t>
        </is>
      </c>
      <c r="B34" s="3" t="n">
        <v>733974000</v>
      </c>
      <c r="C34" s="3" t="n">
        <v>754920000</v>
      </c>
      <c r="D34" s="3" t="n">
        <v>699528000</v>
      </c>
      <c r="E34" s="3" t="n">
        <v>653640000</v>
      </c>
      <c r="F34" s="3" t="n">
        <v>559768000</v>
      </c>
      <c r="G34" s="3" t="n"/>
      <c r="H34" s="3" t="n"/>
    </row>
    <row r="35">
      <c r="A35" t="inlineStr">
        <is>
          <t>Current Deferred Revenue</t>
        </is>
      </c>
      <c r="B35" s="3" t="n">
        <v>733974000</v>
      </c>
      <c r="C35" s="3" t="n">
        <v>754920000</v>
      </c>
      <c r="D35" s="3" t="n">
        <v>699528000</v>
      </c>
      <c r="E35" s="3" t="n">
        <v>653640000</v>
      </c>
      <c r="F35" s="3" t="n">
        <v>559768000</v>
      </c>
      <c r="G35" s="3" t="n"/>
      <c r="H35" s="3" t="n"/>
    </row>
    <row r="36">
      <c r="A36" t="inlineStr">
        <is>
          <t>Current Debt And Capital Lease Obligation</t>
        </is>
      </c>
      <c r="B36" s="3" t="n">
        <v>707961000</v>
      </c>
      <c r="C36" s="3" t="n">
        <v>899090000</v>
      </c>
      <c r="D36" s="3" t="n">
        <v>1152042000</v>
      </c>
      <c r="E36" s="3" t="n">
        <v>567699000</v>
      </c>
      <c r="F36" s="3" t="n">
        <v>1096931000</v>
      </c>
      <c r="G36" s="3" t="n"/>
      <c r="H36" s="3" t="n"/>
    </row>
    <row r="37">
      <c r="A37" t="inlineStr">
        <is>
          <t>Current Debt</t>
        </is>
      </c>
      <c r="B37" s="3" t="n">
        <v>707961000</v>
      </c>
      <c r="C37" s="3" t="n">
        <v>899090000</v>
      </c>
      <c r="D37" s="3" t="n">
        <v>1152042000</v>
      </c>
      <c r="E37" s="3" t="n">
        <v>567699000</v>
      </c>
      <c r="F37" s="3" t="n">
        <v>1096931000</v>
      </c>
      <c r="G37" s="3" t="n"/>
      <c r="H37" s="3" t="n"/>
    </row>
    <row r="38">
      <c r="A38" t="inlineStr">
        <is>
          <t>Line Of Credit</t>
        </is>
      </c>
      <c r="B38" s="3" t="n">
        <v>707961000</v>
      </c>
      <c r="C38" s="3" t="n">
        <v>899090000</v>
      </c>
      <c r="D38" s="3" t="n">
        <v>1152042000</v>
      </c>
      <c r="E38" s="3" t="n">
        <v>567699000</v>
      </c>
      <c r="F38" s="3" t="n">
        <v>1096931000</v>
      </c>
      <c r="G38" s="3" t="n"/>
      <c r="H38" s="3" t="n"/>
    </row>
    <row r="39">
      <c r="A39" t="inlineStr">
        <is>
          <t>Payables And Accrued Expenses</t>
        </is>
      </c>
      <c r="B39" s="3" t="n">
        <v>2419888000</v>
      </c>
      <c r="C39" s="3" t="n">
        <v>3029316000</v>
      </c>
      <c r="D39" s="3" t="n">
        <v>2377726000</v>
      </c>
      <c r="E39" s="3" t="n">
        <v>2310882000</v>
      </c>
      <c r="F39" s="3" t="n">
        <v>1927611000</v>
      </c>
      <c r="G39" s="3" t="n"/>
      <c r="H39" s="3" t="n"/>
    </row>
    <row r="40">
      <c r="A40" t="inlineStr">
        <is>
          <t>Payables</t>
        </is>
      </c>
      <c r="B40" s="3" t="n">
        <v>2419888000</v>
      </c>
      <c r="C40" s="3" t="n">
        <v>3029316000</v>
      </c>
      <c r="D40" s="3" t="n">
        <v>2377726000</v>
      </c>
      <c r="E40" s="3" t="n">
        <v>2310882000</v>
      </c>
      <c r="F40" s="3" t="n">
        <v>1927611000</v>
      </c>
      <c r="G40" s="3" t="n"/>
      <c r="H40" s="3" t="n"/>
    </row>
    <row r="41">
      <c r="A41" t="inlineStr">
        <is>
          <t>Dividends Payable</t>
        </is>
      </c>
      <c r="B41" s="3" t="n">
        <v>0</v>
      </c>
      <c r="C41" s="3" t="n">
        <v>428337000</v>
      </c>
      <c r="D41" s="3" t="n">
        <v>0</v>
      </c>
      <c r="E41" s="3" t="n">
        <v>0</v>
      </c>
      <c r="F41" s="3" t="n">
        <v>0</v>
      </c>
      <c r="G41" s="3" t="n"/>
      <c r="H41" s="3" t="n"/>
    </row>
    <row r="42">
      <c r="A42" t="inlineStr">
        <is>
          <t>Accounts Payable</t>
        </is>
      </c>
      <c r="B42" s="3" t="n">
        <v>2419888000</v>
      </c>
      <c r="C42" s="3" t="n">
        <v>2600979000</v>
      </c>
      <c r="D42" s="3" t="n">
        <v>2377726000</v>
      </c>
      <c r="E42" s="3" t="n">
        <v>2310882000</v>
      </c>
      <c r="F42" s="3" t="n">
        <v>1927611000</v>
      </c>
      <c r="G42" s="3" t="n"/>
      <c r="H42" s="3" t="n"/>
    </row>
    <row r="43">
      <c r="A43" t="inlineStr">
        <is>
          <t>Total Assets</t>
        </is>
      </c>
      <c r="B43" s="3" t="n">
        <v>48859973000</v>
      </c>
      <c r="C43" s="3" t="n">
        <v>49410468000</v>
      </c>
      <c r="D43" s="3" t="n">
        <v>48728634000</v>
      </c>
      <c r="E43" s="3" t="n">
        <v>48714995000</v>
      </c>
      <c r="F43" s="3" t="n">
        <v>45080562000</v>
      </c>
      <c r="G43" s="3" t="n"/>
      <c r="H43" s="3" t="n"/>
    </row>
    <row r="44">
      <c r="A44" t="inlineStr">
        <is>
          <t>Total Non Current Assets</t>
        </is>
      </c>
      <c r="B44" s="3" t="n">
        <v>44235075000</v>
      </c>
      <c r="C44" s="3" t="n">
        <v>44250100000</v>
      </c>
      <c r="D44" s="3" t="n">
        <v>43591198000</v>
      </c>
      <c r="E44" s="3" t="n">
        <v>43434730000</v>
      </c>
      <c r="F44" s="3" t="n">
        <v>40431920000</v>
      </c>
      <c r="G44" s="3" t="n"/>
      <c r="H44" s="3" t="n"/>
    </row>
    <row r="45">
      <c r="A45" t="inlineStr">
        <is>
          <t>Other Non Current Assets</t>
        </is>
      </c>
      <c r="B45" s="3" t="n">
        <v>650913000</v>
      </c>
      <c r="C45" s="3" t="n">
        <v>655377000</v>
      </c>
      <c r="D45" s="3" t="n">
        <v>500262000</v>
      </c>
      <c r="E45" s="3" t="n">
        <v>493325000</v>
      </c>
      <c r="F45" s="3" t="n">
        <v>488921000</v>
      </c>
      <c r="G45" s="3" t="n"/>
      <c r="H45" s="3" t="n"/>
    </row>
    <row r="46">
      <c r="A46" t="inlineStr">
        <is>
          <t>Non Current Deferred Assets</t>
        </is>
      </c>
      <c r="B46" s="3" t="n">
        <v>765198000</v>
      </c>
      <c r="C46" s="3" t="n">
        <v>750907000</v>
      </c>
      <c r="D46" s="3" t="n">
        <v>710624000</v>
      </c>
      <c r="E46" s="3" t="n">
        <v>681375000</v>
      </c>
      <c r="F46" s="3" t="n">
        <v>641290000</v>
      </c>
      <c r="G46" s="3" t="n"/>
      <c r="H46" s="3" t="n"/>
    </row>
    <row r="47">
      <c r="A47" t="inlineStr">
        <is>
          <t>Investments And Advances</t>
        </is>
      </c>
      <c r="B47" s="3" t="n">
        <v>3536757000</v>
      </c>
      <c r="C47" s="3" t="n">
        <v>3427903000</v>
      </c>
      <c r="D47" s="3" t="n">
        <v>3690749000</v>
      </c>
      <c r="E47" s="3" t="n"/>
      <c r="F47" s="3" t="n">
        <v>2702847000</v>
      </c>
      <c r="G47" s="3" t="n">
        <v>2639800000</v>
      </c>
      <c r="H47" s="3" t="n"/>
    </row>
    <row r="48">
      <c r="A48" t="inlineStr">
        <is>
          <t>Long Term Equity Investment</t>
        </is>
      </c>
      <c r="B48" s="3" t="n">
        <v>3536757000</v>
      </c>
      <c r="C48" s="3" t="n">
        <v>3427903000</v>
      </c>
      <c r="D48" s="3" t="n">
        <v>3690749000</v>
      </c>
      <c r="E48" s="3" t="n"/>
      <c r="F48" s="3" t="n">
        <v>2702847000</v>
      </c>
      <c r="G48" s="3" t="n">
        <v>2639800000</v>
      </c>
      <c r="H48" s="3" t="n"/>
    </row>
    <row r="49">
      <c r="A49" t="inlineStr">
        <is>
          <t>Investmentsin Joint Venturesat Cost</t>
        </is>
      </c>
      <c r="B49" s="3" t="n"/>
      <c r="C49" s="3" t="n"/>
      <c r="D49" s="3" t="n"/>
      <c r="E49" s="3" t="n"/>
      <c r="F49" s="3" t="n">
        <v>2702847000</v>
      </c>
      <c r="G49" s="3" t="n"/>
      <c r="H49" s="3" t="n"/>
    </row>
    <row r="50">
      <c r="A50" t="inlineStr">
        <is>
          <t>Investment Properties</t>
        </is>
      </c>
      <c r="B50" s="3" t="n">
        <v>26859470000</v>
      </c>
      <c r="C50" s="3" t="n">
        <v>26433617000</v>
      </c>
      <c r="D50" s="3" t="n">
        <v>26018517000</v>
      </c>
      <c r="E50" s="3" t="n">
        <v>29271542000</v>
      </c>
      <c r="F50" s="3" t="n">
        <v>24133784000</v>
      </c>
      <c r="G50" s="3" t="n"/>
      <c r="H50" s="3" t="n"/>
    </row>
    <row r="51">
      <c r="A51" t="inlineStr">
        <is>
          <t>Goodwill And Other Intangible Assets</t>
        </is>
      </c>
      <c r="B51" s="3" t="n">
        <v>11317657000</v>
      </c>
      <c r="C51" s="3" t="n">
        <v>11846651000</v>
      </c>
      <c r="D51" s="3" t="n">
        <v>11503648000</v>
      </c>
      <c r="E51" s="3" t="n">
        <v>11807831000</v>
      </c>
      <c r="F51" s="3" t="n">
        <v>11299154000</v>
      </c>
      <c r="G51" s="3" t="n"/>
      <c r="H51" s="3" t="n"/>
    </row>
    <row r="52">
      <c r="A52" t="inlineStr">
        <is>
          <t>Other Intangible Assets</t>
        </is>
      </c>
      <c r="B52" s="3" t="n">
        <v>1726407000</v>
      </c>
      <c r="C52" s="3" t="n">
        <v>2134698000</v>
      </c>
      <c r="D52" s="3" t="n">
        <v>1855894000</v>
      </c>
      <c r="E52" s="3" t="n">
        <v>2171318000</v>
      </c>
      <c r="F52" s="3" t="n">
        <v>2124989000</v>
      </c>
      <c r="G52" s="3" t="n"/>
      <c r="H52" s="3" t="n"/>
    </row>
    <row r="53">
      <c r="A53" t="inlineStr">
        <is>
          <t>Goodwill</t>
        </is>
      </c>
      <c r="B53" s="3" t="n">
        <v>9591250000</v>
      </c>
      <c r="C53" s="3" t="n">
        <v>9711953000</v>
      </c>
      <c r="D53" s="3" t="n">
        <v>9647754000</v>
      </c>
      <c r="E53" s="3" t="n">
        <v>9636513000</v>
      </c>
      <c r="F53" s="3" t="n">
        <v>9174165000</v>
      </c>
      <c r="G53" s="3" t="n"/>
      <c r="H53" s="3" t="n"/>
    </row>
    <row r="54">
      <c r="A54" t="inlineStr">
        <is>
          <t>Net PPE</t>
        </is>
      </c>
      <c r="B54" s="3" t="n">
        <v>1105080000</v>
      </c>
      <c r="C54" s="3" t="n">
        <v>1135645000</v>
      </c>
      <c r="D54" s="3" t="n">
        <v>1167398000</v>
      </c>
      <c r="E54" s="3" t="n">
        <v>1180657000</v>
      </c>
      <c r="F54" s="3" t="n">
        <v>1165924000</v>
      </c>
      <c r="G54" s="3" t="n"/>
      <c r="H54" s="3" t="n"/>
    </row>
    <row r="55">
      <c r="A55" t="inlineStr">
        <is>
          <t>Gross PPE</t>
        </is>
      </c>
      <c r="B55" s="3" t="n">
        <v>1105080000</v>
      </c>
      <c r="C55" s="3" t="n">
        <v>1135645000</v>
      </c>
      <c r="D55" s="3" t="n">
        <v>1167398000</v>
      </c>
      <c r="E55" s="3" t="n">
        <v>1180657000</v>
      </c>
      <c r="F55" s="3" t="n">
        <v>1165924000</v>
      </c>
      <c r="G55" s="3" t="n"/>
      <c r="H55" s="3" t="n"/>
    </row>
    <row r="56">
      <c r="A56" t="inlineStr">
        <is>
          <t>Other Properties</t>
        </is>
      </c>
      <c r="B56" s="3" t="n">
        <v>1105080000</v>
      </c>
      <c r="C56" s="3" t="n">
        <v>1135645000</v>
      </c>
      <c r="D56" s="3" t="n">
        <v>1167398000</v>
      </c>
      <c r="E56" s="3" t="n">
        <v>1180657000</v>
      </c>
      <c r="F56" s="3" t="n">
        <v>1165924000</v>
      </c>
      <c r="G56" s="3" t="n"/>
      <c r="H56" s="3" t="n"/>
    </row>
    <row r="57">
      <c r="A57" t="inlineStr">
        <is>
          <t>Current Assets</t>
        </is>
      </c>
      <c r="B57" s="3" t="n">
        <v>4297937000</v>
      </c>
      <c r="C57" s="3" t="n">
        <v>5160368000</v>
      </c>
      <c r="D57" s="3" t="n">
        <v>4912432000</v>
      </c>
      <c r="E57" s="3" t="n">
        <v>5280265000</v>
      </c>
      <c r="F57" s="3" t="n">
        <v>4648642000</v>
      </c>
      <c r="G57" s="3" t="n"/>
      <c r="H57" s="3" t="n"/>
    </row>
    <row r="58">
      <c r="A58" t="inlineStr">
        <is>
          <t>Assets Held For Sale Current</t>
        </is>
      </c>
      <c r="B58" s="3" t="n">
        <v>441064000</v>
      </c>
      <c r="C58" s="3" t="n">
        <v>349826000</v>
      </c>
      <c r="D58" s="3" t="n">
        <v>116624000</v>
      </c>
      <c r="E58" s="3" t="n">
        <v>139993000</v>
      </c>
      <c r="F58" s="3" t="n">
        <v>953236000</v>
      </c>
      <c r="G58" s="3" t="n"/>
      <c r="H58" s="3" t="n"/>
    </row>
    <row r="59">
      <c r="A59" t="inlineStr">
        <is>
          <t>Receivables</t>
        </is>
      </c>
      <c r="B59" s="3" t="n">
        <v>1430242000</v>
      </c>
      <c r="C59" s="3" t="n">
        <v>1358895000</v>
      </c>
      <c r="D59" s="3" t="n">
        <v>1496105000</v>
      </c>
      <c r="E59" s="3" t="n">
        <v>1586146000</v>
      </c>
      <c r="F59" s="3" t="n">
        <v>1373521000</v>
      </c>
      <c r="G59" s="3" t="n"/>
      <c r="H59" s="3" t="n"/>
    </row>
    <row r="60">
      <c r="A60" t="inlineStr">
        <is>
          <t>Other Receivables</t>
        </is>
      </c>
      <c r="B60" s="3" t="n">
        <v>276148000</v>
      </c>
      <c r="C60" s="3" t="n">
        <v>187966000</v>
      </c>
      <c r="D60" s="3" t="n">
        <v>210871000</v>
      </c>
      <c r="E60" s="3" t="n">
        <v>194865000</v>
      </c>
      <c r="F60" s="3" t="n">
        <v>243900000</v>
      </c>
      <c r="G60" s="3" t="n"/>
      <c r="H60" s="3" t="n"/>
    </row>
    <row r="61">
      <c r="A61" t="inlineStr">
        <is>
          <t>Taxes Receivable</t>
        </is>
      </c>
      <c r="B61" s="3" t="n">
        <v>95813000</v>
      </c>
      <c r="C61" s="3" t="n">
        <v>109816000</v>
      </c>
      <c r="D61" s="3" t="n">
        <v>194486000</v>
      </c>
      <c r="E61" s="3" t="n">
        <v>208792000</v>
      </c>
      <c r="F61" s="3" t="n">
        <v>166886000</v>
      </c>
      <c r="G61" s="3" t="n"/>
      <c r="H61" s="3" t="n"/>
    </row>
    <row r="62">
      <c r="A62" t="inlineStr">
        <is>
          <t>Accounts Receivable</t>
        </is>
      </c>
      <c r="B62" s="3" t="n">
        <v>1058281000</v>
      </c>
      <c r="C62" s="3" t="n">
        <v>1061113000</v>
      </c>
      <c r="D62" s="3" t="n">
        <v>1090748000</v>
      </c>
      <c r="E62" s="3" t="n">
        <v>1182489000</v>
      </c>
      <c r="F62" s="3" t="n">
        <v>962735000</v>
      </c>
      <c r="G62" s="3" t="n"/>
      <c r="H62" s="3" t="n"/>
    </row>
    <row r="63">
      <c r="A63" t="inlineStr">
        <is>
          <t>Allowance For Doubtful Accounts Receivable</t>
        </is>
      </c>
      <c r="B63" s="3" t="n">
        <v>-79224000</v>
      </c>
      <c r="C63" s="3" t="n">
        <v>-86351000</v>
      </c>
      <c r="D63" s="3" t="n">
        <v>-85274000</v>
      </c>
      <c r="E63" s="3" t="n">
        <v>-80832000</v>
      </c>
      <c r="F63" s="3" t="n">
        <v>-62803000</v>
      </c>
      <c r="G63" s="3" t="n"/>
      <c r="H63" s="3" t="n"/>
    </row>
    <row r="64">
      <c r="A64" t="inlineStr">
        <is>
          <t>Gross Accounts Receivable</t>
        </is>
      </c>
      <c r="B64" s="3" t="n">
        <v>1137505000</v>
      </c>
      <c r="C64" s="3" t="n">
        <v>1147464000</v>
      </c>
      <c r="D64" s="3" t="n">
        <v>1176022000</v>
      </c>
      <c r="E64" s="3" t="n">
        <v>1263321000</v>
      </c>
      <c r="F64" s="3" t="n">
        <v>1025538000</v>
      </c>
      <c r="G64" s="3" t="n"/>
      <c r="H64" s="3" t="n"/>
    </row>
    <row r="65">
      <c r="A65" t="inlineStr">
        <is>
          <t>Cash Cash Equivalents And Short Term Investments</t>
        </is>
      </c>
      <c r="B65" s="3" t="n">
        <v>2426631000</v>
      </c>
      <c r="C65" s="3" t="n">
        <v>3451647000</v>
      </c>
      <c r="D65" s="3" t="n">
        <v>3299703000</v>
      </c>
      <c r="E65" s="3" t="n">
        <v>3554126000</v>
      </c>
      <c r="F65" s="3" t="n">
        <v>2321885000</v>
      </c>
      <c r="G65" s="3" t="n"/>
      <c r="H65" s="3" t="n"/>
    </row>
    <row r="66">
      <c r="A66" t="inlineStr">
        <is>
          <t>Cash And Cash Equivalents</t>
        </is>
      </c>
      <c r="B66" s="3" t="n">
        <v>2426631000</v>
      </c>
      <c r="C66" s="3" t="n">
        <v>3451647000</v>
      </c>
      <c r="D66" s="3" t="n">
        <v>3299703000</v>
      </c>
      <c r="E66" s="3" t="n">
        <v>3554126000</v>
      </c>
      <c r="F66" s="3" t="n">
        <v>2321885000</v>
      </c>
      <c r="G66" s="3" t="n"/>
      <c r="H6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2412136000</v>
      </c>
      <c r="C2" s="3" t="n">
        <v>2261477000</v>
      </c>
      <c r="D2" s="3" t="n">
        <v>1634780000</v>
      </c>
      <c r="E2" s="3" t="n">
        <v>1659388000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-201250000</v>
      </c>
    </row>
    <row r="4">
      <c r="A4" t="inlineStr">
        <is>
          <t>Repayment Of Debt</t>
        </is>
      </c>
      <c r="B4" s="3" t="n">
        <v>-5101137000</v>
      </c>
      <c r="C4" s="3" t="n">
        <v>-3834051000</v>
      </c>
      <c r="D4" s="3" t="n">
        <v>-3405623000</v>
      </c>
      <c r="E4" s="3" t="n">
        <v>-4856663000</v>
      </c>
      <c r="F4" s="3" t="n"/>
    </row>
    <row r="5">
      <c r="A5" t="inlineStr">
        <is>
          <t>Issuance Of Debt</t>
        </is>
      </c>
      <c r="B5" s="3" t="n">
        <v>5291715000</v>
      </c>
      <c r="C5" s="3" t="n">
        <v>3871350000</v>
      </c>
      <c r="D5" s="3" t="n">
        <v>3739973000</v>
      </c>
      <c r="E5" s="3" t="n">
        <v>8301294000</v>
      </c>
      <c r="F5" s="3" t="n"/>
    </row>
    <row r="6">
      <c r="A6" t="inlineStr">
        <is>
          <t>Issuance Of Capital Stock</t>
        </is>
      </c>
      <c r="B6" s="3" t="n">
        <v>1106031000</v>
      </c>
      <c r="C6" s="3" t="n">
        <v>3650771000</v>
      </c>
      <c r="D6" s="3" t="n">
        <v>2207259000</v>
      </c>
      <c r="E6" s="3" t="n">
        <v>928432000</v>
      </c>
      <c r="F6" s="3" t="n"/>
    </row>
    <row r="7">
      <c r="A7" t="inlineStr">
        <is>
          <t>End Cash Position</t>
        </is>
      </c>
      <c r="B7" s="3" t="n">
        <v>3458290000</v>
      </c>
      <c r="C7" s="3" t="n">
        <v>3876700000</v>
      </c>
      <c r="D7" s="3" t="n">
        <v>1636470000</v>
      </c>
      <c r="E7" s="3" t="n">
        <v>150696000</v>
      </c>
      <c r="F7" s="3" t="n"/>
    </row>
    <row r="8">
      <c r="A8" t="inlineStr">
        <is>
          <t>Beginning Cash Position</t>
        </is>
      </c>
      <c r="B8" s="3" t="n">
        <v>3876700000</v>
      </c>
      <c r="C8" s="3" t="n">
        <v>1636470000</v>
      </c>
      <c r="D8" s="3" t="n">
        <v>150696000</v>
      </c>
      <c r="E8" s="3" t="n">
        <v>151485000</v>
      </c>
      <c r="F8" s="3" t="n"/>
    </row>
    <row r="9">
      <c r="A9" t="inlineStr">
        <is>
          <t>Effect Of Exchange Rate Changes</t>
        </is>
      </c>
      <c r="B9" s="3" t="n">
        <v>-113336000</v>
      </c>
      <c r="C9" s="3" t="n">
        <v>-178523000</v>
      </c>
      <c r="D9" s="3" t="n">
        <v>2631000</v>
      </c>
      <c r="E9" s="3" t="n">
        <v>70077000</v>
      </c>
      <c r="F9" s="3" t="n"/>
    </row>
    <row r="10">
      <c r="A10" t="inlineStr">
        <is>
          <t>Changes In Cash</t>
        </is>
      </c>
      <c r="B10" s="3" t="n">
        <v>-305074000</v>
      </c>
      <c r="C10" s="3" t="n">
        <v>2418753000</v>
      </c>
      <c r="D10" s="3" t="n">
        <v>1483143000</v>
      </c>
      <c r="E10" s="3" t="n">
        <v>-70866000</v>
      </c>
      <c r="F10" s="3" t="n"/>
    </row>
    <row r="11">
      <c r="A11" t="inlineStr">
        <is>
          <t>Financing Cash Flow</t>
        </is>
      </c>
      <c r="B11" s="3" t="n">
        <v>-486738000</v>
      </c>
      <c r="C11" s="3" t="n">
        <v>2063433000</v>
      </c>
      <c r="D11" s="3" t="n">
        <v>963474000</v>
      </c>
      <c r="E11" s="3" t="n">
        <v>2969149000</v>
      </c>
      <c r="F11" s="3" t="n"/>
    </row>
    <row r="12">
      <c r="A12" t="inlineStr">
        <is>
          <t>Cash Flow From Continuing Financing Activities</t>
        </is>
      </c>
      <c r="B12" s="3" t="n">
        <v>-486738000</v>
      </c>
      <c r="C12" s="3" t="n">
        <v>2063433000</v>
      </c>
      <c r="D12" s="3" t="n">
        <v>963474000</v>
      </c>
      <c r="E12" s="3" t="n">
        <v>3018811000</v>
      </c>
      <c r="F12" s="3" t="n"/>
    </row>
    <row r="13">
      <c r="A13" t="inlineStr">
        <is>
          <t>Net Other Financing Charges</t>
        </is>
      </c>
      <c r="B13" s="3" t="n">
        <v>-54881000</v>
      </c>
      <c r="C13" s="3" t="n">
        <v>8610000</v>
      </c>
      <c r="D13" s="3" t="n">
        <v>-57491000</v>
      </c>
      <c r="E13" s="3" t="n">
        <v>46723000</v>
      </c>
      <c r="F13" s="3" t="n"/>
    </row>
    <row r="14">
      <c r="A14" t="inlineStr">
        <is>
          <t>Cash Dividends Paid</t>
        </is>
      </c>
      <c r="B14" s="3" t="n">
        <v>-1728466000</v>
      </c>
      <c r="C14" s="3" t="n">
        <v>-1633247000</v>
      </c>
      <c r="D14" s="3" t="n">
        <v>-1520644000</v>
      </c>
      <c r="E14" s="3" t="n">
        <v>-1450637000</v>
      </c>
      <c r="F14" s="3" t="n"/>
    </row>
    <row r="15">
      <c r="A15" t="inlineStr">
        <is>
          <t>Net Preferred Stock Issuance</t>
        </is>
      </c>
      <c r="B15" s="3" t="n"/>
      <c r="C15" s="3" t="n"/>
      <c r="D15" s="3" t="n">
        <v>0</v>
      </c>
      <c r="E15" s="3" t="n">
        <v>0</v>
      </c>
      <c r="F15" s="3" t="n">
        <v>-201250000</v>
      </c>
    </row>
    <row r="16">
      <c r="A16" t="inlineStr">
        <is>
          <t>Preferred Stock Payments</t>
        </is>
      </c>
      <c r="B16" s="3" t="n"/>
      <c r="C16" s="3" t="n"/>
      <c r="D16" s="3" t="n">
        <v>0</v>
      </c>
      <c r="E16" s="3" t="n">
        <v>0</v>
      </c>
      <c r="F16" s="3" t="n">
        <v>-201250000</v>
      </c>
    </row>
    <row r="17">
      <c r="A17" t="inlineStr">
        <is>
          <t>Net Common Stock Issuance</t>
        </is>
      </c>
      <c r="B17" s="3" t="n">
        <v>1106031000</v>
      </c>
      <c r="C17" s="3" t="n">
        <v>3650771000</v>
      </c>
      <c r="D17" s="3" t="n">
        <v>2207259000</v>
      </c>
      <c r="E17" s="3" t="n">
        <v>928432000</v>
      </c>
      <c r="F17" s="3" t="n"/>
    </row>
    <row r="18">
      <c r="A18" t="inlineStr">
        <is>
          <t>Common Stock Issuance</t>
        </is>
      </c>
      <c r="B18" s="3" t="n">
        <v>1106031000</v>
      </c>
      <c r="C18" s="3" t="n">
        <v>3650771000</v>
      </c>
      <c r="D18" s="3" t="n">
        <v>2207259000</v>
      </c>
      <c r="E18" s="3" t="n">
        <v>928432000</v>
      </c>
      <c r="F18" s="3" t="n"/>
    </row>
    <row r="19">
      <c r="A19" t="inlineStr">
        <is>
          <t>Net Issuance Payments Of Debt</t>
        </is>
      </c>
      <c r="B19" s="3" t="n">
        <v>190578000</v>
      </c>
      <c r="C19" s="3" t="n">
        <v>37299000</v>
      </c>
      <c r="D19" s="3" t="n">
        <v>334350000</v>
      </c>
      <c r="E19" s="3" t="n">
        <v>3444631000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-422803000</v>
      </c>
      <c r="E20" s="3" t="n">
        <v>1690181000</v>
      </c>
      <c r="F20" s="3" t="n">
        <v>-89554000</v>
      </c>
    </row>
    <row r="21">
      <c r="A21" t="inlineStr">
        <is>
          <t>Short Term Debt Payments</t>
        </is>
      </c>
      <c r="B21" s="3" t="n"/>
      <c r="C21" s="3" t="n"/>
      <c r="D21" s="3" t="n">
        <v>-3293644000</v>
      </c>
      <c r="E21" s="3" t="n">
        <v>-3820086000</v>
      </c>
      <c r="F21" s="3" t="n">
        <v>-2611051000</v>
      </c>
    </row>
    <row r="22">
      <c r="A22" t="inlineStr">
        <is>
          <t>Short Term Debt Issuance</t>
        </is>
      </c>
      <c r="B22" s="3" t="n"/>
      <c r="C22" s="3" t="n"/>
      <c r="D22" s="3" t="n">
        <v>2870841000</v>
      </c>
      <c r="E22" s="3" t="n">
        <v>5510267000</v>
      </c>
      <c r="F22" s="3" t="n">
        <v>2521497000</v>
      </c>
    </row>
    <row r="23">
      <c r="A23" t="inlineStr">
        <is>
          <t>Net Long Term Debt Issuance</t>
        </is>
      </c>
      <c r="B23" s="3" t="n">
        <v>190578000</v>
      </c>
      <c r="C23" s="3" t="n">
        <v>37299000</v>
      </c>
      <c r="D23" s="3" t="n">
        <v>334350000</v>
      </c>
      <c r="E23" s="3" t="n">
        <v>3444631000</v>
      </c>
      <c r="F23" s="3" t="n"/>
    </row>
    <row r="24">
      <c r="A24" t="inlineStr">
        <is>
          <t>Long Term Debt Payments</t>
        </is>
      </c>
      <c r="B24" s="3" t="n">
        <v>-5101137000</v>
      </c>
      <c r="C24" s="3" t="n">
        <v>-3834051000</v>
      </c>
      <c r="D24" s="3" t="n">
        <v>-3405623000</v>
      </c>
      <c r="E24" s="3" t="n">
        <v>-4856663000</v>
      </c>
      <c r="F24" s="3" t="n"/>
    </row>
    <row r="25">
      <c r="A25" t="inlineStr">
        <is>
          <t>Long Term Debt Issuance</t>
        </is>
      </c>
      <c r="B25" s="3" t="n">
        <v>5291715000</v>
      </c>
      <c r="C25" s="3" t="n">
        <v>3871350000</v>
      </c>
      <c r="D25" s="3" t="n">
        <v>3739973000</v>
      </c>
      <c r="E25" s="3" t="n">
        <v>8301294000</v>
      </c>
      <c r="F25" s="3" t="n"/>
    </row>
    <row r="26">
      <c r="A26" t="inlineStr">
        <is>
          <t>Investing Cash Flow</t>
        </is>
      </c>
      <c r="B26" s="3" t="n">
        <v>-2230472000</v>
      </c>
      <c r="C26" s="3" t="n">
        <v>-1906157000</v>
      </c>
      <c r="D26" s="3" t="n">
        <v>-1115111000</v>
      </c>
      <c r="E26" s="3" t="n">
        <v>-4699403000</v>
      </c>
      <c r="F26" s="3" t="n"/>
    </row>
    <row r="27">
      <c r="A27" t="inlineStr">
        <is>
          <t>Cash Flow From Continuing Investing Activities</t>
        </is>
      </c>
      <c r="B27" s="3" t="n">
        <v>-2230472000</v>
      </c>
      <c r="C27" s="3" t="n">
        <v>-1906157000</v>
      </c>
      <c r="D27" s="3" t="n">
        <v>-1115111000</v>
      </c>
      <c r="E27" s="3" t="n">
        <v>-4699403000</v>
      </c>
      <c r="F27" s="3" t="n"/>
    </row>
    <row r="28">
      <c r="A28" t="inlineStr">
        <is>
          <t>Net Other Investing Changes</t>
        </is>
      </c>
      <c r="B28" s="3" t="n">
        <v>1637633000</v>
      </c>
      <c r="C28" s="3" t="n">
        <v>1649343000</v>
      </c>
      <c r="D28" s="3" t="n">
        <v>2557256000</v>
      </c>
      <c r="E28" s="3" t="n">
        <v>169967000</v>
      </c>
      <c r="F28" s="3" t="n"/>
    </row>
    <row r="29">
      <c r="A29" t="inlineStr">
        <is>
          <t>Net Investment Properties Purchase And Sale</t>
        </is>
      </c>
      <c r="B29" s="3" t="n">
        <v>-3181179000</v>
      </c>
      <c r="C29" s="3" t="n">
        <v>-2831740000</v>
      </c>
      <c r="D29" s="3" t="n">
        <v>-3525598000</v>
      </c>
      <c r="E29" s="3" t="n">
        <v>-2643097000</v>
      </c>
      <c r="F29" s="3" t="n"/>
    </row>
    <row r="30">
      <c r="A30" t="inlineStr">
        <is>
          <t>Sale Of Investment Properties</t>
        </is>
      </c>
      <c r="B30" s="3" t="n"/>
      <c r="C30" s="3" t="n"/>
      <c r="D30" s="3" t="n">
        <v>2619778000</v>
      </c>
      <c r="E30" s="3" t="n">
        <v>271567000</v>
      </c>
      <c r="F30" s="3" t="n">
        <v>1691072000</v>
      </c>
    </row>
    <row r="31">
      <c r="A31" t="inlineStr">
        <is>
          <t>Purchase Of Investment Properties</t>
        </is>
      </c>
      <c r="B31" s="3" t="n">
        <v>-3181179000</v>
      </c>
      <c r="C31" s="3" t="n">
        <v>-2831740000</v>
      </c>
      <c r="D31" s="3" t="n">
        <v>-3525598000</v>
      </c>
      <c r="E31" s="3" t="n">
        <v>-2643097000</v>
      </c>
      <c r="F31" s="3" t="n"/>
    </row>
    <row r="32">
      <c r="A32" t="inlineStr">
        <is>
          <t>Net Business Purchase And Sale</t>
        </is>
      </c>
      <c r="B32" s="3" t="n">
        <v>-686926000</v>
      </c>
      <c r="C32" s="3" t="n">
        <v>-723760000</v>
      </c>
      <c r="D32" s="3" t="n">
        <v>-146769000</v>
      </c>
      <c r="E32" s="3" t="n">
        <v>-2226273000</v>
      </c>
      <c r="F32" s="3" t="n"/>
    </row>
    <row r="33">
      <c r="A33" t="inlineStr">
        <is>
          <t>Sale Of Business</t>
        </is>
      </c>
      <c r="B33" s="3" t="n">
        <v>153418000</v>
      </c>
      <c r="C33" s="3" t="n">
        <v>99864000</v>
      </c>
      <c r="D33" s="3" t="n">
        <v>241984000</v>
      </c>
      <c r="E33" s="3" t="n">
        <v>3332000</v>
      </c>
      <c r="F33" s="3" t="n"/>
    </row>
    <row r="34">
      <c r="A34" t="inlineStr">
        <is>
          <t>Purchase Of Business</t>
        </is>
      </c>
      <c r="B34" s="3" t="n">
        <v>-840344000</v>
      </c>
      <c r="C34" s="3" t="n">
        <v>-823624000</v>
      </c>
      <c r="D34" s="3" t="n">
        <v>-388753000</v>
      </c>
      <c r="E34" s="3" t="n">
        <v>-2229605000</v>
      </c>
      <c r="F34" s="3" t="n"/>
    </row>
    <row r="35">
      <c r="A35" t="inlineStr">
        <is>
          <t>Operating Cash Flow</t>
        </is>
      </c>
      <c r="B35" s="3" t="n">
        <v>2412136000</v>
      </c>
      <c r="C35" s="3" t="n">
        <v>2261477000</v>
      </c>
      <c r="D35" s="3" t="n">
        <v>1634780000</v>
      </c>
      <c r="E35" s="3" t="n">
        <v>1659388000</v>
      </c>
      <c r="F35" s="3" t="n"/>
    </row>
    <row r="36">
      <c r="A36" t="inlineStr">
        <is>
          <t>Cash Flow From Continuing Operating Activities</t>
        </is>
      </c>
      <c r="B36" s="3" t="n">
        <v>2412136000</v>
      </c>
      <c r="C36" s="3" t="n">
        <v>2261477000</v>
      </c>
      <c r="D36" s="3" t="n">
        <v>1634780000</v>
      </c>
      <c r="E36" s="3" t="n">
        <v>1659388000</v>
      </c>
      <c r="F36" s="3" t="n"/>
    </row>
    <row r="37">
      <c r="A37" t="inlineStr">
        <is>
          <t>Dividend Received Cfo</t>
        </is>
      </c>
      <c r="B37" s="3" t="n">
        <v>122402000</v>
      </c>
      <c r="C37" s="3" t="n">
        <v>78269000</v>
      </c>
      <c r="D37" s="3" t="n">
        <v>73518000</v>
      </c>
      <c r="E37" s="3" t="n">
        <v>42376000</v>
      </c>
      <c r="F37" s="3" t="n"/>
    </row>
    <row r="38">
      <c r="A38" t="inlineStr">
        <is>
          <t>Change In Working Capital</t>
        </is>
      </c>
      <c r="B38" s="3" t="n">
        <v>37256000</v>
      </c>
      <c r="C38" s="3" t="n">
        <v>24672000</v>
      </c>
      <c r="D38" s="3" t="n">
        <v>-379751000</v>
      </c>
      <c r="E38" s="3" t="n">
        <v>-230338000</v>
      </c>
      <c r="F38" s="3" t="n"/>
    </row>
    <row r="39">
      <c r="A39" t="inlineStr">
        <is>
          <t>Change In Payables And Accrued Expense</t>
        </is>
      </c>
      <c r="B39" s="3" t="n">
        <v>376350000</v>
      </c>
      <c r="C39" s="3" t="n">
        <v>366733000</v>
      </c>
      <c r="D39" s="3" t="n">
        <v>-224434000</v>
      </c>
      <c r="E39" s="3" t="n">
        <v>42114000</v>
      </c>
      <c r="F39" s="3" t="n"/>
    </row>
    <row r="40">
      <c r="A40" t="inlineStr">
        <is>
          <t>Change In Payable</t>
        </is>
      </c>
      <c r="B40" s="3" t="n">
        <v>376350000</v>
      </c>
      <c r="C40" s="3" t="n">
        <v>366733000</v>
      </c>
      <c r="D40" s="3" t="n">
        <v>-224434000</v>
      </c>
      <c r="E40" s="3" t="n">
        <v>42114000</v>
      </c>
      <c r="F40" s="3" t="n"/>
    </row>
    <row r="41">
      <c r="A41" t="inlineStr">
        <is>
          <t>Change In Account Payable</t>
        </is>
      </c>
      <c r="B41" s="3" t="n">
        <v>376350000</v>
      </c>
      <c r="C41" s="3" t="n">
        <v>366733000</v>
      </c>
      <c r="D41" s="3" t="n">
        <v>-224434000</v>
      </c>
      <c r="E41" s="3" t="n">
        <v>42114000</v>
      </c>
      <c r="F41" s="3" t="n"/>
    </row>
    <row r="42">
      <c r="A42" t="inlineStr">
        <is>
          <t>Change In Receivables</t>
        </is>
      </c>
      <c r="B42" s="3" t="n">
        <v>-339094000</v>
      </c>
      <c r="C42" s="3" t="n">
        <v>-342061000</v>
      </c>
      <c r="D42" s="3" t="n">
        <v>-155317000</v>
      </c>
      <c r="E42" s="3" t="n">
        <v>-272452000</v>
      </c>
      <c r="F42" s="3" t="n"/>
    </row>
    <row r="43">
      <c r="A43" t="inlineStr">
        <is>
          <t>Changes In Account Receivables</t>
        </is>
      </c>
      <c r="B43" s="3" t="n">
        <v>-339094000</v>
      </c>
      <c r="C43" s="3" t="n">
        <v>-342061000</v>
      </c>
      <c r="D43" s="3" t="n">
        <v>-155317000</v>
      </c>
      <c r="E43" s="3" t="n">
        <v>-272452000</v>
      </c>
      <c r="F43" s="3" t="n"/>
    </row>
    <row r="44">
      <c r="A44" t="inlineStr">
        <is>
          <t>Other Non Cash Items</t>
        </is>
      </c>
      <c r="B44" s="3" t="n">
        <v>-164034000</v>
      </c>
      <c r="C44" s="3" t="n">
        <v>1438000</v>
      </c>
      <c r="D44" s="3" t="n">
        <v>-32313000</v>
      </c>
      <c r="E44" s="3" t="n">
        <v>-91247000</v>
      </c>
      <c r="F44" s="3" t="n"/>
    </row>
    <row r="45">
      <c r="A45" t="inlineStr">
        <is>
          <t>Stock Based Compensation</t>
        </is>
      </c>
      <c r="B45" s="3" t="n">
        <v>93766000</v>
      </c>
      <c r="C45" s="3" t="n">
        <v>75606000</v>
      </c>
      <c r="D45" s="3" t="n">
        <v>80532000</v>
      </c>
      <c r="E45" s="3" t="n">
        <v>92461000</v>
      </c>
      <c r="F45" s="3" t="n"/>
    </row>
    <row r="46">
      <c r="A46" t="inlineStr">
        <is>
          <t>Asset Impairment Charge</t>
        </is>
      </c>
      <c r="B46" s="3" t="n">
        <v>78553000</v>
      </c>
      <c r="C46" s="3" t="n">
        <v>191184000</v>
      </c>
      <c r="D46" s="3" t="n">
        <v>118363000</v>
      </c>
      <c r="E46" s="3" t="n">
        <v>0</v>
      </c>
      <c r="F46" s="3" t="n"/>
    </row>
    <row r="47">
      <c r="A47" t="inlineStr">
        <is>
          <t>Depreciation Amortization Depletion</t>
        </is>
      </c>
      <c r="B47" s="3" t="n">
        <v>1894636000</v>
      </c>
      <c r="C47" s="3" t="n">
        <v>1771797000</v>
      </c>
      <c r="D47" s="3" t="n">
        <v>1694859000</v>
      </c>
      <c r="E47" s="3" t="n">
        <v>1577933000</v>
      </c>
      <c r="F47" s="3" t="n"/>
    </row>
    <row r="48">
      <c r="A48" t="inlineStr">
        <is>
          <t>Depreciation And Amortization</t>
        </is>
      </c>
      <c r="B48" s="3" t="n">
        <v>1894636000</v>
      </c>
      <c r="C48" s="3" t="n">
        <v>1771797000</v>
      </c>
      <c r="D48" s="3" t="n">
        <v>1694859000</v>
      </c>
      <c r="E48" s="3" t="n">
        <v>1577933000</v>
      </c>
      <c r="F48" s="3" t="n"/>
    </row>
    <row r="49">
      <c r="A49" t="inlineStr">
        <is>
          <t>Operating Gains Losses</t>
        </is>
      </c>
      <c r="B49" s="3" t="n">
        <v>-963608000</v>
      </c>
      <c r="C49" s="3" t="n">
        <v>-469816000</v>
      </c>
      <c r="D49" s="3" t="n">
        <v>-870740000</v>
      </c>
      <c r="E49" s="3" t="n">
        <v>-112122000</v>
      </c>
      <c r="F49" s="3" t="n"/>
    </row>
    <row r="50">
      <c r="A50" t="inlineStr">
        <is>
          <t>Earnings Losses From Equity Investments</t>
        </is>
      </c>
      <c r="B50" s="3" t="n">
        <v>31987000</v>
      </c>
      <c r="C50" s="3" t="n">
        <v>120138000</v>
      </c>
      <c r="D50" s="3" t="n">
        <v>29791000</v>
      </c>
      <c r="E50" s="3" t="n">
        <v>13497000</v>
      </c>
      <c r="F50" s="3" t="n"/>
    </row>
    <row r="51">
      <c r="A51" t="inlineStr">
        <is>
          <t>Gain Loss On Investment Securities</t>
        </is>
      </c>
      <c r="B51" s="3" t="n">
        <v>-995586000</v>
      </c>
      <c r="C51" s="3" t="n">
        <v>-595825000</v>
      </c>
      <c r="D51" s="3" t="n">
        <v>-900531000</v>
      </c>
      <c r="E51" s="3" t="n">
        <v>-176754000</v>
      </c>
      <c r="F51" s="3" t="n"/>
    </row>
    <row r="52">
      <c r="A52" t="inlineStr">
        <is>
          <t>Net Income From Continuing Operations</t>
        </is>
      </c>
      <c r="B52" s="3" t="n">
        <v>1313165000</v>
      </c>
      <c r="C52" s="3" t="n">
        <v>588327000</v>
      </c>
      <c r="D52" s="3" t="n">
        <v>950312000</v>
      </c>
      <c r="E52" s="3" t="n">
        <v>380325000</v>
      </c>
      <c r="F5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532421000</v>
      </c>
      <c r="C2" s="3" t="n">
        <v>718953000</v>
      </c>
      <c r="D2" s="3" t="n">
        <v>652861000</v>
      </c>
      <c r="E2" s="3" t="n">
        <v>641237000</v>
      </c>
      <c r="F2" s="3" t="n">
        <v>399085000</v>
      </c>
      <c r="G2" s="3" t="n"/>
      <c r="H2" s="3" t="n"/>
    </row>
    <row r="3">
      <c r="A3" t="inlineStr">
        <is>
          <t>Repayment Of Debt</t>
        </is>
      </c>
      <c r="B3" s="3" t="n">
        <v>-533898000</v>
      </c>
      <c r="C3" s="3" t="n">
        <v>-1892707000</v>
      </c>
      <c r="D3" s="3" t="n">
        <v>-754065000</v>
      </c>
      <c r="E3" s="3" t="n">
        <v>-950910000</v>
      </c>
      <c r="F3" s="3" t="n">
        <v>-1503455000</v>
      </c>
      <c r="G3" s="3" t="n"/>
      <c r="H3" s="3" t="n"/>
    </row>
    <row r="4">
      <c r="A4" t="inlineStr">
        <is>
          <t>Issuance Of Debt</t>
        </is>
      </c>
      <c r="B4" s="3" t="n">
        <v>332742000</v>
      </c>
      <c r="C4" s="3" t="n">
        <v>2003454000</v>
      </c>
      <c r="D4" s="3" t="n">
        <v>597846000</v>
      </c>
      <c r="E4" s="3" t="n">
        <v>1353013000</v>
      </c>
      <c r="F4" s="3" t="n">
        <v>1337402000</v>
      </c>
      <c r="G4" s="3" t="n"/>
      <c r="H4" s="3" t="n"/>
    </row>
    <row r="5">
      <c r="A5" t="inlineStr">
        <is>
          <t>Issuance Of Capital Stock</t>
        </is>
      </c>
      <c r="B5" s="3" t="n">
        <v>870566000</v>
      </c>
      <c r="C5" s="3" t="n">
        <v>76841000</v>
      </c>
      <c r="D5" s="3" t="n">
        <v>424027000</v>
      </c>
      <c r="E5" s="3" t="n">
        <v>604179000</v>
      </c>
      <c r="F5" s="3" t="n">
        <v>984000</v>
      </c>
      <c r="G5" s="3" t="n"/>
      <c r="H5" s="3" t="n"/>
    </row>
    <row r="6">
      <c r="A6" t="inlineStr">
        <is>
          <t>Interest Paid Supplemental Data</t>
        </is>
      </c>
      <c r="B6" s="3" t="n">
        <v>146700</v>
      </c>
      <c r="C6" s="3" t="n"/>
      <c r="D6" s="3" t="n"/>
      <c r="E6" s="3" t="n"/>
      <c r="F6" s="3" t="n">
        <v>143900</v>
      </c>
      <c r="G6" s="3" t="n"/>
      <c r="H6" s="3" t="n"/>
    </row>
    <row r="7">
      <c r="A7" t="inlineStr">
        <is>
          <t>Income Tax Paid Supplemental Data</t>
        </is>
      </c>
      <c r="B7" s="3" t="n">
        <v>12500</v>
      </c>
      <c r="C7" s="3" t="n"/>
      <c r="D7" s="3" t="n"/>
      <c r="E7" s="3" t="n"/>
      <c r="F7" s="3" t="n">
        <v>43000</v>
      </c>
      <c r="G7" s="3" t="n"/>
      <c r="H7" s="3" t="n"/>
    </row>
    <row r="8">
      <c r="A8" t="inlineStr">
        <is>
          <t>End Cash Position</t>
        </is>
      </c>
      <c r="B8" s="3" t="n">
        <v>2437472000</v>
      </c>
      <c r="C8" s="3" t="n">
        <v>3458290000</v>
      </c>
      <c r="D8" s="3" t="n">
        <v>3306022000</v>
      </c>
      <c r="E8" s="3" t="n">
        <v>3561704000</v>
      </c>
      <c r="F8" s="3" t="n">
        <v>2328170000</v>
      </c>
      <c r="G8" s="3" t="n"/>
      <c r="H8" s="3" t="n"/>
    </row>
    <row r="9">
      <c r="A9" t="inlineStr">
        <is>
          <t>Beginning Cash Position</t>
        </is>
      </c>
      <c r="B9" s="3" t="n">
        <v>3458290000</v>
      </c>
      <c r="C9" s="3" t="n">
        <v>3306022000</v>
      </c>
      <c r="D9" s="3" t="n">
        <v>3561704000</v>
      </c>
      <c r="E9" s="3" t="n">
        <v>2328170000</v>
      </c>
      <c r="F9" s="3" t="n">
        <v>3876700000</v>
      </c>
      <c r="G9" s="3" t="n"/>
      <c r="H9" s="3" t="n"/>
    </row>
    <row r="10">
      <c r="A10" t="inlineStr">
        <is>
          <t>Effect Of Exchange Rate Changes</t>
        </is>
      </c>
      <c r="B10" s="3" t="n">
        <v>-2388000</v>
      </c>
      <c r="C10" s="3" t="n">
        <v>40457000</v>
      </c>
      <c r="D10" s="3" t="n">
        <v>-2481000</v>
      </c>
      <c r="E10" s="3" t="n">
        <v>-124874000</v>
      </c>
      <c r="F10" s="3" t="n">
        <v>-26438000</v>
      </c>
      <c r="G10" s="3" t="n"/>
      <c r="H10" s="3" t="n"/>
    </row>
    <row r="11">
      <c r="A11" t="inlineStr">
        <is>
          <t>Changes In Cash</t>
        </is>
      </c>
      <c r="B11" s="3" t="n">
        <v>-1018430000</v>
      </c>
      <c r="C11" s="3" t="n">
        <v>111811000</v>
      </c>
      <c r="D11" s="3" t="n">
        <v>-253201000</v>
      </c>
      <c r="E11" s="3" t="n">
        <v>1358408000</v>
      </c>
      <c r="F11" s="3" t="n">
        <v>-1522092000</v>
      </c>
      <c r="G11" s="3" t="n"/>
      <c r="H11" s="3" t="n"/>
    </row>
    <row r="12">
      <c r="A12" t="inlineStr">
        <is>
          <t>Financing Cash Flow</t>
        </is>
      </c>
      <c r="B12" s="3" t="n">
        <v>-217949000</v>
      </c>
      <c r="C12" s="3" t="n">
        <v>151932000</v>
      </c>
      <c r="D12" s="3" t="n">
        <v>-176504000</v>
      </c>
      <c r="E12" s="3" t="n">
        <v>555831000</v>
      </c>
      <c r="F12" s="3" t="n">
        <v>-1017997000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-217949000</v>
      </c>
      <c r="C13" s="3" t="n">
        <v>151932000</v>
      </c>
      <c r="D13" s="3" t="n">
        <v>-176504000</v>
      </c>
      <c r="E13" s="3" t="n">
        <v>555831000</v>
      </c>
      <c r="F13" s="3" t="n">
        <v>-1017997000</v>
      </c>
      <c r="G13" s="3" t="n"/>
      <c r="H13" s="3" t="n"/>
    </row>
    <row r="14">
      <c r="A14" t="inlineStr">
        <is>
          <t>Net Other Financing Charges</t>
        </is>
      </c>
      <c r="B14" s="3" t="n">
        <v>-16001000</v>
      </c>
      <c r="C14" s="3" t="n">
        <v>-25475000</v>
      </c>
      <c r="D14" s="3" t="n">
        <v>-7937000</v>
      </c>
      <c r="E14" s="3" t="n">
        <v>-17154000</v>
      </c>
      <c r="F14" s="3" t="n">
        <v>-4315000</v>
      </c>
      <c r="G14" s="3" t="n"/>
      <c r="H14" s="3" t="n"/>
    </row>
    <row r="15">
      <c r="A15" t="inlineStr">
        <is>
          <t>Cash Dividends Paid</t>
        </is>
      </c>
      <c r="B15" s="3" t="n">
        <v>-871358000</v>
      </c>
      <c r="C15" s="3" t="n">
        <v>-10181000</v>
      </c>
      <c r="D15" s="3" t="n">
        <v>-436375000</v>
      </c>
      <c r="E15" s="3" t="n">
        <v>-433297000</v>
      </c>
      <c r="F15" s="3" t="n">
        <v>-848613000</v>
      </c>
      <c r="G15" s="3" t="n"/>
      <c r="H15" s="3" t="n"/>
    </row>
    <row r="16">
      <c r="A16" t="inlineStr">
        <is>
          <t>Net Common Stock Issuance</t>
        </is>
      </c>
      <c r="B16" s="3" t="n">
        <v>870566000</v>
      </c>
      <c r="C16" s="3" t="n">
        <v>76841000</v>
      </c>
      <c r="D16" s="3" t="n">
        <v>424027000</v>
      </c>
      <c r="E16" s="3" t="n">
        <v>604179000</v>
      </c>
      <c r="F16" s="3" t="n">
        <v>984000</v>
      </c>
      <c r="G16" s="3" t="n"/>
      <c r="H16" s="3" t="n"/>
    </row>
    <row r="17">
      <c r="A17" t="inlineStr">
        <is>
          <t>Common Stock Issuance</t>
        </is>
      </c>
      <c r="B17" s="3" t="n">
        <v>870566000</v>
      </c>
      <c r="C17" s="3" t="n">
        <v>76841000</v>
      </c>
      <c r="D17" s="3" t="n">
        <v>424027000</v>
      </c>
      <c r="E17" s="3" t="n">
        <v>604179000</v>
      </c>
      <c r="F17" s="3" t="n">
        <v>984000</v>
      </c>
      <c r="G17" s="3" t="n"/>
      <c r="H17" s="3" t="n"/>
    </row>
    <row r="18">
      <c r="A18" t="inlineStr">
        <is>
          <t>Net Issuance Payments Of Debt</t>
        </is>
      </c>
      <c r="B18" s="3" t="n">
        <v>-201156000</v>
      </c>
      <c r="C18" s="3" t="n">
        <v>110747000</v>
      </c>
      <c r="D18" s="3" t="n">
        <v>-156219000</v>
      </c>
      <c r="E18" s="3" t="n">
        <v>402103000</v>
      </c>
      <c r="F18" s="3" t="n">
        <v>-166053000</v>
      </c>
      <c r="G18" s="3" t="n"/>
      <c r="H18" s="3" t="n"/>
    </row>
    <row r="19">
      <c r="A19" t="inlineStr">
        <is>
          <t>Net Long Term Debt Issuance</t>
        </is>
      </c>
      <c r="B19" s="3" t="n">
        <v>-201156000</v>
      </c>
      <c r="C19" s="3" t="n">
        <v>110747000</v>
      </c>
      <c r="D19" s="3" t="n">
        <v>-156219000</v>
      </c>
      <c r="E19" s="3" t="n">
        <v>402103000</v>
      </c>
      <c r="F19" s="3" t="n">
        <v>-166053000</v>
      </c>
      <c r="G19" s="3" t="n"/>
      <c r="H19" s="3" t="n"/>
    </row>
    <row r="20">
      <c r="A20" t="inlineStr">
        <is>
          <t>Long Term Debt Payments</t>
        </is>
      </c>
      <c r="B20" s="3" t="n">
        <v>-533898000</v>
      </c>
      <c r="C20" s="3" t="n">
        <v>-1892707000</v>
      </c>
      <c r="D20" s="3" t="n">
        <v>-754065000</v>
      </c>
      <c r="E20" s="3" t="n">
        <v>-950910000</v>
      </c>
      <c r="F20" s="3" t="n">
        <v>-1503455000</v>
      </c>
      <c r="G20" s="3" t="n"/>
      <c r="H20" s="3" t="n"/>
    </row>
    <row r="21">
      <c r="A21" t="inlineStr">
        <is>
          <t>Long Term Debt Issuance</t>
        </is>
      </c>
      <c r="B21" s="3" t="n">
        <v>332742000</v>
      </c>
      <c r="C21" s="3" t="n">
        <v>2003454000</v>
      </c>
      <c r="D21" s="3" t="n">
        <v>597846000</v>
      </c>
      <c r="E21" s="3" t="n">
        <v>1353013000</v>
      </c>
      <c r="F21" s="3" t="n">
        <v>1337402000</v>
      </c>
      <c r="G21" s="3" t="n"/>
      <c r="H21" s="3" t="n"/>
    </row>
    <row r="22">
      <c r="A22" t="inlineStr">
        <is>
          <t>Investing Cash Flow</t>
        </is>
      </c>
      <c r="B22" s="3" t="n">
        <v>-1332902000</v>
      </c>
      <c r="C22" s="3" t="n">
        <v>-759074000</v>
      </c>
      <c r="D22" s="3" t="n">
        <v>-729558000</v>
      </c>
      <c r="E22" s="3" t="n">
        <v>161340000</v>
      </c>
      <c r="F22" s="3" t="n">
        <v>-903180000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-1332902000</v>
      </c>
      <c r="C23" s="3" t="n">
        <v>-759074000</v>
      </c>
      <c r="D23" s="3" t="n">
        <v>-729558000</v>
      </c>
      <c r="E23" s="3" t="n">
        <v>161340000</v>
      </c>
      <c r="F23" s="3" t="n">
        <v>-903180000</v>
      </c>
      <c r="G23" s="3" t="n"/>
      <c r="H23" s="3" t="n"/>
    </row>
    <row r="24">
      <c r="A24" t="inlineStr">
        <is>
          <t>Net Other Investing Changes</t>
        </is>
      </c>
      <c r="B24" s="3" t="n">
        <v>-3806000</v>
      </c>
      <c r="C24" s="3" t="n">
        <v>468887000</v>
      </c>
      <c r="D24" s="3" t="n">
        <v>133922000</v>
      </c>
      <c r="E24" s="3" t="n">
        <v>1020835000</v>
      </c>
      <c r="F24" s="3" t="n">
        <v>13989000</v>
      </c>
      <c r="G24" s="3" t="n"/>
      <c r="H24" s="3" t="n"/>
    </row>
    <row r="25">
      <c r="A25" t="inlineStr">
        <is>
          <t>Net Investment Properties Purchase And Sale</t>
        </is>
      </c>
      <c r="B25" s="3" t="n">
        <v>-870038000</v>
      </c>
      <c r="C25" s="3" t="n">
        <v>-1002161000</v>
      </c>
      <c r="D25" s="3" t="n">
        <v>-687392000</v>
      </c>
      <c r="E25" s="3" t="n">
        <v>-704323000</v>
      </c>
      <c r="F25" s="3" t="n">
        <v>-787303000</v>
      </c>
      <c r="G25" s="3" t="n"/>
      <c r="H25" s="3" t="n"/>
    </row>
    <row r="26">
      <c r="A26" t="inlineStr">
        <is>
          <t>Purchase Of Investment Properties</t>
        </is>
      </c>
      <c r="B26" s="3" t="n">
        <v>-870038000</v>
      </c>
      <c r="C26" s="3" t="n">
        <v>-1002161000</v>
      </c>
      <c r="D26" s="3" t="n">
        <v>-687392000</v>
      </c>
      <c r="E26" s="3" t="n">
        <v>-704323000</v>
      </c>
      <c r="F26" s="3" t="n">
        <v>-787303000</v>
      </c>
      <c r="G26" s="3" t="n"/>
      <c r="H26" s="3" t="n"/>
    </row>
    <row r="27">
      <c r="A27" t="inlineStr">
        <is>
          <t>Net Business Purchase And Sale</t>
        </is>
      </c>
      <c r="B27" s="3" t="n">
        <v>-459058000</v>
      </c>
      <c r="C27" s="3" t="n">
        <v>-225800000</v>
      </c>
      <c r="D27" s="3" t="n">
        <v>-176088000</v>
      </c>
      <c r="E27" s="3" t="n">
        <v>-155172000</v>
      </c>
      <c r="F27" s="3" t="n">
        <v>-129866000</v>
      </c>
      <c r="G27" s="3" t="n"/>
      <c r="H27" s="3" t="n"/>
    </row>
    <row r="28">
      <c r="A28" t="inlineStr">
        <is>
          <t>Sale Of Business</t>
        </is>
      </c>
      <c r="B28" s="3" t="n">
        <v>647000</v>
      </c>
      <c r="C28" s="3" t="n">
        <v>180000</v>
      </c>
      <c r="D28" s="3" t="n">
        <v>5101000</v>
      </c>
      <c r="E28" s="3" t="n">
        <v>73237000</v>
      </c>
      <c r="F28" s="3" t="n">
        <v>74900000</v>
      </c>
      <c r="G28" s="3" t="n"/>
      <c r="H28" s="3" t="n"/>
    </row>
    <row r="29">
      <c r="A29" t="inlineStr">
        <is>
          <t>Purchase Of Business</t>
        </is>
      </c>
      <c r="B29" s="3" t="n">
        <v>-459705000</v>
      </c>
      <c r="C29" s="3" t="n">
        <v>-225980000</v>
      </c>
      <c r="D29" s="3" t="n">
        <v>-181189000</v>
      </c>
      <c r="E29" s="3" t="n">
        <v>-228409000</v>
      </c>
      <c r="F29" s="3" t="n">
        <v>-204766000</v>
      </c>
      <c r="G29" s="3" t="n"/>
      <c r="H29" s="3" t="n"/>
    </row>
    <row r="30">
      <c r="A30" t="inlineStr">
        <is>
          <t>Operating Cash Flow</t>
        </is>
      </c>
      <c r="B30" s="3" t="n">
        <v>532421000</v>
      </c>
      <c r="C30" s="3" t="n">
        <v>718953000</v>
      </c>
      <c r="D30" s="3" t="n">
        <v>652861000</v>
      </c>
      <c r="E30" s="3" t="n">
        <v>641237000</v>
      </c>
      <c r="F30" s="3" t="n">
        <v>399085000</v>
      </c>
      <c r="G30" s="3" t="n"/>
      <c r="H30" s="3" t="n"/>
    </row>
    <row r="31">
      <c r="A31" t="inlineStr">
        <is>
          <t>Cash Flow From Continuing Operating Activities</t>
        </is>
      </c>
      <c r="B31" s="3" t="n">
        <v>532421000</v>
      </c>
      <c r="C31" s="3" t="n">
        <v>718953000</v>
      </c>
      <c r="D31" s="3" t="n">
        <v>652861000</v>
      </c>
      <c r="E31" s="3" t="n">
        <v>641237000</v>
      </c>
      <c r="F31" s="3" t="n">
        <v>399085000</v>
      </c>
      <c r="G31" s="3" t="n"/>
      <c r="H31" s="3" t="n"/>
    </row>
    <row r="32">
      <c r="A32" t="inlineStr">
        <is>
          <t>Dividend Received Cfo</t>
        </is>
      </c>
      <c r="B32" s="3" t="n">
        <v>71218000</v>
      </c>
      <c r="C32" s="3" t="n">
        <v>22409000</v>
      </c>
      <c r="D32" s="3" t="n">
        <v>25984000</v>
      </c>
      <c r="E32" s="3" t="n">
        <v>13989000</v>
      </c>
      <c r="F32" s="3" t="n">
        <v>60020000</v>
      </c>
      <c r="G32" s="3" t="n"/>
      <c r="H32" s="3" t="n"/>
    </row>
    <row r="33">
      <c r="A33" t="inlineStr">
        <is>
          <t>Change In Working Capital</t>
        </is>
      </c>
      <c r="B33" s="3" t="n">
        <v>-209607000</v>
      </c>
      <c r="C33" s="3" t="n">
        <v>144127000</v>
      </c>
      <c r="D33" s="3" t="n">
        <v>93953000</v>
      </c>
      <c r="E33" s="3" t="n">
        <v>37217000</v>
      </c>
      <c r="F33" s="3" t="n">
        <v>-238041000</v>
      </c>
      <c r="G33" s="3" t="n"/>
      <c r="H33" s="3" t="n"/>
    </row>
    <row r="34">
      <c r="A34" t="inlineStr">
        <is>
          <t>Change In Payables And Accrued Expense</t>
        </is>
      </c>
      <c r="B34" s="3" t="n">
        <v>-169942000</v>
      </c>
      <c r="C34" s="3" t="n">
        <v>261773000</v>
      </c>
      <c r="D34" s="3" t="n">
        <v>74680000</v>
      </c>
      <c r="E34" s="3" t="n">
        <v>173690000</v>
      </c>
      <c r="F34" s="3" t="n">
        <v>-133793000</v>
      </c>
      <c r="G34" s="3" t="n"/>
      <c r="H34" s="3" t="n"/>
    </row>
    <row r="35">
      <c r="A35" t="inlineStr">
        <is>
          <t>Change In Payable</t>
        </is>
      </c>
      <c r="B35" s="3" t="n">
        <v>-169942000</v>
      </c>
      <c r="C35" s="3" t="n">
        <v>261773000</v>
      </c>
      <c r="D35" s="3" t="n">
        <v>74680000</v>
      </c>
      <c r="E35" s="3" t="n">
        <v>173690000</v>
      </c>
      <c r="F35" s="3" t="n">
        <v>-133793000</v>
      </c>
      <c r="G35" s="3" t="n"/>
      <c r="H35" s="3" t="n"/>
    </row>
    <row r="36">
      <c r="A36" t="inlineStr">
        <is>
          <t>Change In Account Payable</t>
        </is>
      </c>
      <c r="B36" s="3" t="n">
        <v>-169942000</v>
      </c>
      <c r="C36" s="3" t="n">
        <v>261773000</v>
      </c>
      <c r="D36" s="3" t="n">
        <v>74680000</v>
      </c>
      <c r="E36" s="3" t="n">
        <v>173690000</v>
      </c>
      <c r="F36" s="3" t="n">
        <v>-133793000</v>
      </c>
      <c r="G36" s="3" t="n"/>
      <c r="H36" s="3" t="n"/>
    </row>
    <row r="37">
      <c r="A37" t="inlineStr">
        <is>
          <t>Change In Receivables</t>
        </is>
      </c>
      <c r="B37" s="3" t="n">
        <v>-39665000</v>
      </c>
      <c r="C37" s="3" t="n">
        <v>-117646000</v>
      </c>
      <c r="D37" s="3" t="n">
        <v>19273000</v>
      </c>
      <c r="E37" s="3" t="n">
        <v>-136473000</v>
      </c>
      <c r="F37" s="3" t="n">
        <v>-104248000</v>
      </c>
      <c r="G37" s="3" t="n"/>
      <c r="H37" s="3" t="n"/>
    </row>
    <row r="38">
      <c r="A38" t="inlineStr">
        <is>
          <t>Changes In Account Receivables</t>
        </is>
      </c>
      <c r="B38" s="3" t="n">
        <v>-39665000</v>
      </c>
      <c r="C38" s="3" t="n">
        <v>-117646000</v>
      </c>
      <c r="D38" s="3" t="n">
        <v>19273000</v>
      </c>
      <c r="E38" s="3" t="n">
        <v>-136473000</v>
      </c>
      <c r="F38" s="3" t="n">
        <v>-104248000</v>
      </c>
      <c r="G38" s="3" t="n"/>
      <c r="H38" s="3" t="n"/>
    </row>
    <row r="39">
      <c r="A39" t="inlineStr">
        <is>
          <t>Other Non Cash Items</t>
        </is>
      </c>
      <c r="B39" s="3" t="n">
        <v>-33843000</v>
      </c>
      <c r="C39" s="3" t="n">
        <v>-92178000</v>
      </c>
      <c r="D39" s="3" t="n">
        <v>-48824000</v>
      </c>
      <c r="E39" s="3" t="n">
        <v>-23327000</v>
      </c>
      <c r="F39" s="3" t="n">
        <v>295000</v>
      </c>
      <c r="G39" s="3" t="n"/>
      <c r="H39" s="3" t="n"/>
    </row>
    <row r="40">
      <c r="A40" t="inlineStr">
        <is>
          <t>Stock Based Compensation</t>
        </is>
      </c>
      <c r="B40" s="3" t="n">
        <v>25259000</v>
      </c>
      <c r="C40" s="3" t="n">
        <v>24006000</v>
      </c>
      <c r="D40" s="3" t="n">
        <v>23869000</v>
      </c>
      <c r="E40" s="3" t="n">
        <v>25013000</v>
      </c>
      <c r="F40" s="3" t="n">
        <v>20878000</v>
      </c>
      <c r="G40" s="3" t="n"/>
      <c r="H40" s="3" t="n"/>
    </row>
    <row r="41">
      <c r="A41" t="inlineStr">
        <is>
          <t>Asset Impairment Charge</t>
        </is>
      </c>
      <c r="B41" s="3" t="n"/>
      <c r="C41" s="3" t="n">
        <v>78553000</v>
      </c>
      <c r="D41" s="3" t="n">
        <v>0</v>
      </c>
      <c r="E41" s="3" t="n"/>
      <c r="F41" s="3" t="n"/>
      <c r="G41" s="3" t="n">
        <v>22881000</v>
      </c>
      <c r="H41" s="3" t="n">
        <v>0</v>
      </c>
    </row>
    <row r="42">
      <c r="A42" t="inlineStr">
        <is>
          <t>Depreciation Amortization Depletion</t>
        </is>
      </c>
      <c r="B42" s="3" t="n">
        <v>499511000</v>
      </c>
      <c r="C42" s="3" t="n">
        <v>493458000</v>
      </c>
      <c r="D42" s="3" t="n">
        <v>497002000</v>
      </c>
      <c r="E42" s="3" t="n">
        <v>461167000</v>
      </c>
      <c r="F42" s="3" t="n">
        <v>443009000</v>
      </c>
      <c r="G42" s="3" t="n"/>
      <c r="H42" s="3" t="n"/>
    </row>
    <row r="43">
      <c r="A43" t="inlineStr">
        <is>
          <t>Depreciation And Amortization</t>
        </is>
      </c>
      <c r="B43" s="3" t="n">
        <v>499511000</v>
      </c>
      <c r="C43" s="3" t="n">
        <v>493458000</v>
      </c>
      <c r="D43" s="3" t="n">
        <v>497002000</v>
      </c>
      <c r="E43" s="3" t="n">
        <v>461167000</v>
      </c>
      <c r="F43" s="3" t="n">
        <v>443009000</v>
      </c>
      <c r="G43" s="3" t="n"/>
      <c r="H43" s="3" t="n"/>
    </row>
    <row r="44">
      <c r="A44" t="inlineStr">
        <is>
          <t>Operating Gains Losses</t>
        </is>
      </c>
      <c r="B44" s="3" t="n">
        <v>5079000</v>
      </c>
      <c r="C44" s="3" t="n">
        <v>-47533000</v>
      </c>
      <c r="D44" s="3" t="n">
        <v>-2836000</v>
      </c>
      <c r="E44" s="3" t="n">
        <v>-919768000</v>
      </c>
      <c r="F44" s="3" t="n">
        <v>6529000</v>
      </c>
      <c r="G44" s="3" t="n"/>
      <c r="H44" s="3" t="n"/>
    </row>
    <row r="45">
      <c r="A45" t="inlineStr">
        <is>
          <t>Earnings Losses From Equity Investments</t>
        </is>
      </c>
      <c r="B45" s="3" t="n">
        <v>1833000</v>
      </c>
      <c r="C45" s="3" t="n">
        <v>-4659000</v>
      </c>
      <c r="D45" s="3" t="n">
        <v>16944000</v>
      </c>
      <c r="E45" s="3" t="n">
        <v>12062000</v>
      </c>
      <c r="F45" s="3" t="n">
        <v>7640000</v>
      </c>
      <c r="G45" s="3" t="n"/>
      <c r="H45" s="3" t="n"/>
    </row>
    <row r="46">
      <c r="A46" t="inlineStr">
        <is>
          <t>Gain Loss On Investment Securities</t>
        </is>
      </c>
      <c r="B46" s="3" t="n">
        <v>-873000</v>
      </c>
      <c r="C46" s="3" t="n">
        <v>-42865000</v>
      </c>
      <c r="D46" s="3" t="n">
        <v>-19780000</v>
      </c>
      <c r="E46" s="3" t="n">
        <v>-931830000</v>
      </c>
      <c r="F46" s="3" t="n">
        <v>-1111000</v>
      </c>
      <c r="G46" s="3" t="n"/>
      <c r="H46" s="3" t="n"/>
    </row>
    <row r="47">
      <c r="A47" t="inlineStr">
        <is>
          <t>Net Income From Continuing Operations</t>
        </is>
      </c>
      <c r="B47" s="3" t="n">
        <v>174804000</v>
      </c>
      <c r="C47" s="3" t="n">
        <v>96111000</v>
      </c>
      <c r="D47" s="3" t="n">
        <v>63713000</v>
      </c>
      <c r="E47" s="3" t="n">
        <v>1046946000</v>
      </c>
      <c r="F47" s="3" t="n">
        <v>106395000</v>
      </c>
      <c r="G47" s="3" t="n"/>
      <c r="H4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'Capital Expenditure'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2026-06-20T19:56:19Z</dcterms:created>
  <dcterms:modified xsi:type="dcterms:W3CDTF">2026-06-20T19:56:20Z</dcterms:modified>
</cp:coreProperties>
</file>