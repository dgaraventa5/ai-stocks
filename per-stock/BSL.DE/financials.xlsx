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BSL.DE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Basler Aktiengesellschaft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Consumer Electronics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768770624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801044672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39.0625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23.809525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3.1712081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0.49256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0.22275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0.08203000000000001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0.14458999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0.301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28102000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60376000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17113000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30750826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(annual)'!D52</f>
        <v/>
      </c>
      <c r="C3" s="3">
        <f>'Income stmt (annual)'!C52</f>
        <v/>
      </c>
      <c r="D3" s="3">
        <f>'Income stmt (annual)'!B52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(annual)'!D50</f>
        <v/>
      </c>
      <c r="C4" s="3">
        <f>'Income stmt (annual)'!C50</f>
        <v/>
      </c>
      <c r="D4" s="3">
        <f>'Income stmt (annual)'!B50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-65453.083605</v>
      </c>
      <c r="C2" s="3" t="n">
        <v>-11100</v>
      </c>
      <c r="D2" s="3" t="n">
        <v>932940.756532</v>
      </c>
      <c r="E2" s="3" t="n">
        <v>-23131.1</v>
      </c>
      <c r="F2" s="3" t="n"/>
    </row>
    <row r="3">
      <c r="A3" t="inlineStr">
        <is>
          <t>Tax Rate For Calcs</t>
        </is>
      </c>
      <c r="B3" s="3" t="n">
        <v>0.283347</v>
      </c>
      <c r="C3" s="3" t="n">
        <v>0.15</v>
      </c>
      <c r="D3" s="3" t="n">
        <v>0.315502</v>
      </c>
      <c r="E3" s="3" t="n">
        <v>0.2599</v>
      </c>
      <c r="F3" s="3" t="n"/>
    </row>
    <row r="4">
      <c r="A4" t="inlineStr">
        <is>
          <t>Normalized EBITDA</t>
        </is>
      </c>
      <c r="B4" s="3" t="n">
        <v>35590000</v>
      </c>
      <c r="C4" s="3" t="n">
        <v>9511000</v>
      </c>
      <c r="D4" s="3" t="n">
        <v>2266000</v>
      </c>
      <c r="E4" s="3" t="n">
        <v>46079000</v>
      </c>
      <c r="F4" s="3" t="n"/>
    </row>
    <row r="5">
      <c r="A5" t="inlineStr">
        <is>
          <t>Total Unusual Items</t>
        </is>
      </c>
      <c r="B5" s="3" t="n">
        <v>-231000</v>
      </c>
      <c r="C5" s="3" t="n">
        <v>-74000</v>
      </c>
      <c r="D5" s="3" t="n">
        <v>2957000</v>
      </c>
      <c r="E5" s="3" t="n">
        <v>-89000</v>
      </c>
      <c r="F5" s="3" t="n"/>
    </row>
    <row r="6">
      <c r="A6" t="inlineStr">
        <is>
          <t>Total Unusual Items Excluding Goodwill</t>
        </is>
      </c>
      <c r="B6" s="3" t="n">
        <v>-231000</v>
      </c>
      <c r="C6" s="3" t="n">
        <v>-74000</v>
      </c>
      <c r="D6" s="3" t="n">
        <v>2957000</v>
      </c>
      <c r="E6" s="3" t="n">
        <v>-89000</v>
      </c>
      <c r="F6" s="3" t="n"/>
    </row>
    <row r="7">
      <c r="A7" t="inlineStr">
        <is>
          <t>Net Income From Continuing Operation Net Minority Interest</t>
        </is>
      </c>
      <c r="B7" s="3" t="n">
        <v>11632000</v>
      </c>
      <c r="C7" s="3" t="n">
        <v>-14200000</v>
      </c>
      <c r="D7" s="3" t="n">
        <v>-13807000</v>
      </c>
      <c r="E7" s="3" t="n">
        <v>21362000</v>
      </c>
      <c r="F7" s="3" t="n"/>
    </row>
    <row r="8">
      <c r="A8" t="inlineStr">
        <is>
          <t>Reconciled Depreciation</t>
        </is>
      </c>
      <c r="B8" s="3" t="n">
        <v>17633000</v>
      </c>
      <c r="C8" s="3" t="n">
        <v>20090000</v>
      </c>
      <c r="D8" s="3" t="n">
        <v>23600000</v>
      </c>
      <c r="E8" s="3" t="n">
        <v>16835000</v>
      </c>
      <c r="F8" s="3" t="n"/>
    </row>
    <row r="9">
      <c r="A9" t="inlineStr">
        <is>
          <t>Reconciled Cost Of Revenue</t>
        </is>
      </c>
      <c r="B9" s="3" t="n">
        <v>115341000</v>
      </c>
      <c r="C9" s="3" t="n">
        <v>102027000</v>
      </c>
      <c r="D9" s="3" t="n">
        <v>116093000</v>
      </c>
      <c r="E9" s="3" t="n">
        <v>139040000</v>
      </c>
      <c r="F9" s="3" t="n"/>
    </row>
    <row r="10">
      <c r="A10" t="inlineStr">
        <is>
          <t>EBITDA</t>
        </is>
      </c>
      <c r="B10" s="3" t="n">
        <v>35359000</v>
      </c>
      <c r="C10" s="3" t="n">
        <v>9437000</v>
      </c>
      <c r="D10" s="3" t="n">
        <v>5223000</v>
      </c>
      <c r="E10" s="3" t="n">
        <v>45990000</v>
      </c>
      <c r="F10" s="3" t="n"/>
    </row>
    <row r="11">
      <c r="A11" t="inlineStr">
        <is>
          <t>EBIT</t>
        </is>
      </c>
      <c r="B11" s="3" t="n">
        <v>17726000</v>
      </c>
      <c r="C11" s="3" t="n">
        <v>-10653000</v>
      </c>
      <c r="D11" s="3" t="n">
        <v>-18377000</v>
      </c>
      <c r="E11" s="3" t="n">
        <v>29155000</v>
      </c>
      <c r="F11" s="3" t="n"/>
    </row>
    <row r="12">
      <c r="A12" t="inlineStr">
        <is>
          <t>Net Interest Income</t>
        </is>
      </c>
      <c r="B12" s="3" t="n">
        <v>-1125000</v>
      </c>
      <c r="C12" s="3" t="n">
        <v>-1616000</v>
      </c>
      <c r="D12" s="3" t="n">
        <v>-1464000</v>
      </c>
      <c r="E12" s="3" t="n">
        <v>-666000</v>
      </c>
      <c r="F12" s="3" t="n"/>
    </row>
    <row r="13">
      <c r="A13" t="inlineStr">
        <is>
          <t>Interest Expense</t>
        </is>
      </c>
      <c r="B13" s="3" t="n">
        <v>1495000</v>
      </c>
      <c r="C13" s="3" t="n">
        <v>1962000</v>
      </c>
      <c r="D13" s="3" t="n">
        <v>1794000</v>
      </c>
      <c r="E13" s="3" t="n">
        <v>824000</v>
      </c>
      <c r="F13" s="3" t="n"/>
    </row>
    <row r="14">
      <c r="A14" t="inlineStr">
        <is>
          <t>Interest Income</t>
        </is>
      </c>
      <c r="B14" s="3" t="n">
        <v>370000</v>
      </c>
      <c r="C14" s="3" t="n">
        <v>346000</v>
      </c>
      <c r="D14" s="3" t="n">
        <v>330000</v>
      </c>
      <c r="E14" s="3" t="n">
        <v>158000</v>
      </c>
      <c r="F14" s="3" t="n"/>
    </row>
    <row r="15">
      <c r="A15" t="inlineStr">
        <is>
          <t>Normalized Income</t>
        </is>
      </c>
      <c r="B15" s="3" t="n">
        <v>11797546.916395</v>
      </c>
      <c r="C15" s="3" t="n">
        <v>-14137100</v>
      </c>
      <c r="D15" s="3" t="n">
        <v>-15831059.243468</v>
      </c>
      <c r="E15" s="3" t="n">
        <v>21427868.9</v>
      </c>
      <c r="F15" s="3" t="n"/>
    </row>
    <row r="16">
      <c r="A16" t="inlineStr">
        <is>
          <t>Net Income From Continuing And Discontinued Operation</t>
        </is>
      </c>
      <c r="B16" s="3" t="n">
        <v>11632000</v>
      </c>
      <c r="C16" s="3" t="n">
        <v>-14200000</v>
      </c>
      <c r="D16" s="3" t="n">
        <v>-13807000</v>
      </c>
      <c r="E16" s="3" t="n">
        <v>21362000</v>
      </c>
      <c r="F16" s="3" t="n"/>
    </row>
    <row r="17">
      <c r="A17" t="inlineStr">
        <is>
          <t>Total Expenses</t>
        </is>
      </c>
      <c r="B17" s="3" t="n">
        <v>204230000</v>
      </c>
      <c r="C17" s="3" t="n">
        <v>195504000</v>
      </c>
      <c r="D17" s="3" t="n">
        <v>223715000</v>
      </c>
      <c r="E17" s="3" t="n">
        <v>241920000</v>
      </c>
      <c r="F17" s="3" t="n"/>
    </row>
    <row r="18">
      <c r="A18" t="inlineStr">
        <is>
          <t>Total Operating Income As Reported</t>
        </is>
      </c>
      <c r="B18" s="3" t="n">
        <v>17691000</v>
      </c>
      <c r="C18" s="3" t="n">
        <v>-10079000</v>
      </c>
      <c r="D18" s="3" t="n">
        <v>-21902000</v>
      </c>
      <c r="E18" s="3" t="n">
        <v>28930000</v>
      </c>
      <c r="F18" s="3" t="n"/>
    </row>
    <row r="19">
      <c r="A19" t="inlineStr">
        <is>
          <t>Diluted Average Shares</t>
        </is>
      </c>
      <c r="B19" s="3" t="n">
        <v>30746474</v>
      </c>
      <c r="C19" s="3" t="n">
        <v>30740144</v>
      </c>
      <c r="D19" s="3" t="n">
        <v>30346651</v>
      </c>
      <c r="E19" s="3" t="n">
        <v>29878360</v>
      </c>
      <c r="F19" s="3" t="n"/>
    </row>
    <row r="20">
      <c r="A20" t="inlineStr">
        <is>
          <t>Basic Average Shares</t>
        </is>
      </c>
      <c r="B20" s="3" t="n">
        <v>30746474</v>
      </c>
      <c r="C20" s="3" t="n">
        <v>30740144</v>
      </c>
      <c r="D20" s="3" t="n">
        <v>30346651</v>
      </c>
      <c r="E20" s="3" t="n">
        <v>29878360</v>
      </c>
      <c r="F20" s="3" t="n"/>
    </row>
    <row r="21">
      <c r="A21" t="inlineStr">
        <is>
          <t>Diluted EPS</t>
        </is>
      </c>
      <c r="B21" s="3" t="n">
        <v>0.38</v>
      </c>
      <c r="C21" s="3" t="n">
        <v>-0.46</v>
      </c>
      <c r="D21" s="3" t="n">
        <v>-0.45</v>
      </c>
      <c r="E21" s="3" t="n">
        <v>0.71</v>
      </c>
      <c r="F21" s="3" t="n"/>
    </row>
    <row r="22">
      <c r="A22" t="inlineStr">
        <is>
          <t>Basic EPS</t>
        </is>
      </c>
      <c r="B22" s="3" t="n">
        <v>0.38</v>
      </c>
      <c r="C22" s="3" t="n">
        <v>-0.46</v>
      </c>
      <c r="D22" s="3" t="n">
        <v>-0.45</v>
      </c>
      <c r="E22" s="3" t="n">
        <v>0.71</v>
      </c>
      <c r="F22" s="3" t="n"/>
    </row>
    <row r="23">
      <c r="A23" t="inlineStr">
        <is>
          <t>Diluted NI Availto Com Stockholders</t>
        </is>
      </c>
      <c r="B23" s="3" t="n">
        <v>11632000</v>
      </c>
      <c r="C23" s="3" t="n">
        <v>-14200000</v>
      </c>
      <c r="D23" s="3" t="n">
        <v>-13807000</v>
      </c>
      <c r="E23" s="3" t="n">
        <v>21362000</v>
      </c>
      <c r="F23" s="3" t="n"/>
    </row>
    <row r="24">
      <c r="A24" t="inlineStr">
        <is>
          <t>Net Income Common Stockholders</t>
        </is>
      </c>
      <c r="B24" s="3" t="n">
        <v>11632000</v>
      </c>
      <c r="C24" s="3" t="n">
        <v>-14200000</v>
      </c>
      <c r="D24" s="3" t="n">
        <v>-13807000</v>
      </c>
      <c r="E24" s="3" t="n">
        <v>21362000</v>
      </c>
      <c r="F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/>
    </row>
    <row r="26">
      <c r="A26" t="inlineStr">
        <is>
          <t>Net Income</t>
        </is>
      </c>
      <c r="B26" s="3" t="n">
        <v>11632000</v>
      </c>
      <c r="C26" s="3" t="n">
        <v>-14200000</v>
      </c>
      <c r="D26" s="3" t="n">
        <v>-13807000</v>
      </c>
      <c r="E26" s="3" t="n">
        <v>21362000</v>
      </c>
      <c r="F26" s="3" t="n"/>
    </row>
    <row r="27">
      <c r="A27" t="inlineStr">
        <is>
          <t>Minority Interests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/>
    </row>
    <row r="28">
      <c r="A28" t="inlineStr">
        <is>
          <t>Net Income Including Noncontrolling Interests</t>
        </is>
      </c>
      <c r="B28" s="3" t="n">
        <v>11632000</v>
      </c>
      <c r="C28" s="3" t="n">
        <v>-14200000</v>
      </c>
      <c r="D28" s="3" t="n">
        <v>-13807000</v>
      </c>
      <c r="E28" s="3" t="n">
        <v>21362000</v>
      </c>
      <c r="F28" s="3" t="n"/>
    </row>
    <row r="29">
      <c r="A29" t="inlineStr">
        <is>
          <t>Net Income Continuous Operations</t>
        </is>
      </c>
      <c r="B29" s="3" t="n">
        <v>11632000</v>
      </c>
      <c r="C29" s="3" t="n">
        <v>-14200000</v>
      </c>
      <c r="D29" s="3" t="n">
        <v>-13807000</v>
      </c>
      <c r="E29" s="3" t="n">
        <v>21362000</v>
      </c>
      <c r="F29" s="3" t="n"/>
    </row>
    <row r="30">
      <c r="A30" t="inlineStr">
        <is>
          <t>Tax Provision</t>
        </is>
      </c>
      <c r="B30" s="3" t="n">
        <v>4599000</v>
      </c>
      <c r="C30" s="3" t="n">
        <v>1585000</v>
      </c>
      <c r="D30" s="3" t="n">
        <v>-6364000</v>
      </c>
      <c r="E30" s="3" t="n">
        <v>6969000</v>
      </c>
      <c r="F30" s="3" t="n"/>
    </row>
    <row r="31">
      <c r="A31" t="inlineStr">
        <is>
          <t>Pretax Income</t>
        </is>
      </c>
      <c r="B31" s="3" t="n">
        <v>16231000</v>
      </c>
      <c r="C31" s="3" t="n">
        <v>-12615000</v>
      </c>
      <c r="D31" s="3" t="n">
        <v>-20171000</v>
      </c>
      <c r="E31" s="3" t="n">
        <v>28331000</v>
      </c>
      <c r="F31" s="3" t="n"/>
    </row>
    <row r="32">
      <c r="A32" t="inlineStr">
        <is>
          <t>Other Non Operating Income Expenses</t>
        </is>
      </c>
      <c r="B32" s="3" t="n"/>
      <c r="C32" s="3" t="n">
        <v>412000</v>
      </c>
      <c r="D32" s="3" t="n"/>
      <c r="E32" s="3" t="n">
        <v>4000</v>
      </c>
      <c r="F32" s="3" t="n">
        <v>11000</v>
      </c>
    </row>
    <row r="33">
      <c r="A33" t="inlineStr">
        <is>
          <t>Special Income Charges</t>
        </is>
      </c>
      <c r="B33" s="3" t="n">
        <v>-231000</v>
      </c>
      <c r="C33" s="3" t="n">
        <v>-74000</v>
      </c>
      <c r="D33" s="3" t="n">
        <v>2957000</v>
      </c>
      <c r="E33" s="3" t="n">
        <v>-89000</v>
      </c>
      <c r="F33" s="3" t="n"/>
    </row>
    <row r="34">
      <c r="A34" t="inlineStr">
        <is>
          <t>Other Special Charges</t>
        </is>
      </c>
      <c r="B34" s="3" t="n">
        <v>-150000</v>
      </c>
      <c r="C34" s="3" t="n">
        <v>-87000</v>
      </c>
      <c r="D34" s="3" t="n">
        <v>-2957000</v>
      </c>
      <c r="E34" s="3" t="n">
        <v>265000</v>
      </c>
      <c r="F34" s="3" t="n"/>
    </row>
    <row r="35">
      <c r="A35" t="inlineStr">
        <is>
          <t>Write Off</t>
        </is>
      </c>
      <c r="B35" s="3" t="n">
        <v>381000</v>
      </c>
      <c r="C35" s="3" t="n">
        <v>724000</v>
      </c>
      <c r="D35" s="3" t="n">
        <v>0</v>
      </c>
      <c r="E35" s="3" t="n"/>
      <c r="F35" s="3" t="n"/>
    </row>
    <row r="36">
      <c r="A36" t="inlineStr">
        <is>
          <t>Restructuring And Mergern Acquisition</t>
        </is>
      </c>
      <c r="B36" s="3" t="n">
        <v>0</v>
      </c>
      <c r="C36" s="3" t="n">
        <v>-563000</v>
      </c>
      <c r="D36" s="3" t="n">
        <v>-2957000</v>
      </c>
      <c r="E36" s="3" t="n">
        <v>-176000</v>
      </c>
      <c r="F36" s="3" t="n"/>
    </row>
    <row r="37">
      <c r="A37" t="inlineStr">
        <is>
          <t>Net Non Operating Interest Income Expense</t>
        </is>
      </c>
      <c r="B37" s="3" t="n">
        <v>-1125000</v>
      </c>
      <c r="C37" s="3" t="n">
        <v>-1616000</v>
      </c>
      <c r="D37" s="3" t="n">
        <v>-1464000</v>
      </c>
      <c r="E37" s="3" t="n">
        <v>-666000</v>
      </c>
      <c r="F37" s="3" t="n"/>
    </row>
    <row r="38">
      <c r="A38" t="inlineStr">
        <is>
          <t>Total Other Finance Cost</t>
        </is>
      </c>
      <c r="B38" s="3" t="n"/>
      <c r="C38" s="3" t="n"/>
      <c r="D38" s="3" t="n"/>
      <c r="E38" s="3" t="n">
        <v>89000</v>
      </c>
      <c r="F38" s="3" t="n">
        <v>53000</v>
      </c>
    </row>
    <row r="39">
      <c r="A39" t="inlineStr">
        <is>
          <t>Interest Expense Non Operating</t>
        </is>
      </c>
      <c r="B39" s="3" t="n">
        <v>1495000</v>
      </c>
      <c r="C39" s="3" t="n">
        <v>1962000</v>
      </c>
      <c r="D39" s="3" t="n">
        <v>1794000</v>
      </c>
      <c r="E39" s="3" t="n">
        <v>824000</v>
      </c>
      <c r="F39" s="3" t="n"/>
    </row>
    <row r="40">
      <c r="A40" t="inlineStr">
        <is>
          <t>Interest Income Non Operating</t>
        </is>
      </c>
      <c r="B40" s="3" t="n">
        <v>370000</v>
      </c>
      <c r="C40" s="3" t="n">
        <v>346000</v>
      </c>
      <c r="D40" s="3" t="n">
        <v>330000</v>
      </c>
      <c r="E40" s="3" t="n">
        <v>158000</v>
      </c>
      <c r="F40" s="3" t="n"/>
    </row>
    <row r="41">
      <c r="A41" t="inlineStr">
        <is>
          <t>Operating Income</t>
        </is>
      </c>
      <c r="B41" s="3" t="n">
        <v>17540000</v>
      </c>
      <c r="C41" s="3" t="n">
        <v>-10578000</v>
      </c>
      <c r="D41" s="3" t="n">
        <v>-21902000</v>
      </c>
      <c r="E41" s="3" t="n">
        <v>28926000</v>
      </c>
      <c r="F41" s="3" t="n"/>
    </row>
    <row r="42">
      <c r="A42" t="inlineStr">
        <is>
          <t>Operating Expense</t>
        </is>
      </c>
      <c r="B42" s="3" t="n">
        <v>88889000</v>
      </c>
      <c r="C42" s="3" t="n">
        <v>93477000</v>
      </c>
      <c r="D42" s="3" t="n">
        <v>107622000</v>
      </c>
      <c r="E42" s="3" t="n">
        <v>102880000</v>
      </c>
      <c r="F42" s="3" t="n"/>
    </row>
    <row r="43">
      <c r="A43" t="inlineStr">
        <is>
          <t>Other Operating Expenses</t>
        </is>
      </c>
      <c r="B43" s="3" t="n">
        <v>670000</v>
      </c>
      <c r="C43" s="3" t="n">
        <v>688000</v>
      </c>
      <c r="D43" s="3" t="n">
        <v>-286000</v>
      </c>
      <c r="E43" s="3" t="n">
        <v>-303000</v>
      </c>
      <c r="F43" s="3" t="n"/>
    </row>
    <row r="44">
      <c r="A44" t="inlineStr">
        <is>
          <t>Depreciation And Amortization In Income Statement</t>
        </is>
      </c>
      <c r="B44" s="3" t="n">
        <v>7713000</v>
      </c>
      <c r="C44" s="3" t="n">
        <v>9599000</v>
      </c>
      <c r="D44" s="3" t="n">
        <v>9877000</v>
      </c>
      <c r="E44" s="3" t="n">
        <v>8289000</v>
      </c>
      <c r="F44" s="3" t="n"/>
    </row>
    <row r="45">
      <c r="A45" t="inlineStr">
        <is>
          <t>Depreciation Income Statement</t>
        </is>
      </c>
      <c r="B45" s="3" t="n">
        <v>7713000</v>
      </c>
      <c r="C45" s="3" t="n">
        <v>9599000</v>
      </c>
      <c r="D45" s="3" t="n">
        <v>9877000</v>
      </c>
      <c r="E45" s="3" t="n">
        <v>8289000</v>
      </c>
      <c r="F45" s="3" t="n"/>
    </row>
    <row r="46">
      <c r="A46" t="inlineStr">
        <is>
          <t>Research And Development</t>
        </is>
      </c>
      <c r="B46" s="3" t="n">
        <v>28633000</v>
      </c>
      <c r="C46" s="3" t="n">
        <v>29385000</v>
      </c>
      <c r="D46" s="3" t="n">
        <v>37209000</v>
      </c>
      <c r="E46" s="3" t="n">
        <v>31370000</v>
      </c>
      <c r="F46" s="3" t="n"/>
    </row>
    <row r="47">
      <c r="A47" t="inlineStr">
        <is>
          <t>Selling General And Administration</t>
        </is>
      </c>
      <c r="B47" s="3" t="n">
        <v>53082000</v>
      </c>
      <c r="C47" s="3" t="n">
        <v>56017000</v>
      </c>
      <c r="D47" s="3" t="n">
        <v>72766000</v>
      </c>
      <c r="E47" s="3" t="n">
        <v>66828000</v>
      </c>
      <c r="F47" s="3" t="n"/>
    </row>
    <row r="48">
      <c r="A48" t="inlineStr">
        <is>
          <t>Selling And Marketing Expense</t>
        </is>
      </c>
      <c r="B48" s="3" t="n">
        <v>38976000</v>
      </c>
      <c r="C48" s="3" t="n">
        <v>39140000</v>
      </c>
      <c r="D48" s="3" t="n">
        <v>42907000</v>
      </c>
      <c r="E48" s="3" t="n">
        <v>44594000</v>
      </c>
      <c r="F48" s="3" t="n"/>
    </row>
    <row r="49">
      <c r="A49" t="inlineStr">
        <is>
          <t>General And Administrative Expense</t>
        </is>
      </c>
      <c r="B49" s="3" t="n">
        <v>14106000</v>
      </c>
      <c r="C49" s="3" t="n">
        <v>16877000</v>
      </c>
      <c r="D49" s="3" t="n">
        <v>29859000</v>
      </c>
      <c r="E49" s="3" t="n">
        <v>22234000</v>
      </c>
      <c r="F49" s="3" t="n"/>
    </row>
    <row r="50">
      <c r="A50" t="inlineStr">
        <is>
          <t>Gross Profit</t>
        </is>
      </c>
      <c r="B50" s="3" t="n">
        <v>106429000</v>
      </c>
      <c r="C50" s="3" t="n">
        <v>82899000</v>
      </c>
      <c r="D50" s="3" t="n">
        <v>85720000</v>
      </c>
      <c r="E50" s="3" t="n">
        <v>131806000</v>
      </c>
      <c r="F50" s="3" t="n"/>
    </row>
    <row r="51">
      <c r="A51" t="inlineStr">
        <is>
          <t>Cost Of Revenue</t>
        </is>
      </c>
      <c r="B51" s="3" t="n">
        <v>115341000</v>
      </c>
      <c r="C51" s="3" t="n">
        <v>102027000</v>
      </c>
      <c r="D51" s="3" t="n">
        <v>116093000</v>
      </c>
      <c r="E51" s="3" t="n">
        <v>139040000</v>
      </c>
      <c r="F51" s="3" t="n"/>
    </row>
    <row r="52">
      <c r="A52" t="inlineStr">
        <is>
          <t>Total Revenue</t>
        </is>
      </c>
      <c r="B52" s="3" t="n">
        <v>221770000</v>
      </c>
      <c r="C52" s="3" t="n">
        <v>184926000</v>
      </c>
      <c r="D52" s="3" t="n">
        <v>201813000</v>
      </c>
      <c r="E52" s="3" t="n">
        <v>270846000</v>
      </c>
      <c r="F52" s="3" t="n"/>
    </row>
    <row r="53">
      <c r="A53" t="inlineStr">
        <is>
          <t>Operating Revenue</t>
        </is>
      </c>
      <c r="B53" s="3" t="n">
        <v>221770000</v>
      </c>
      <c r="C53" s="3" t="n">
        <v>184926000</v>
      </c>
      <c r="D53" s="3" t="n">
        <v>201813000</v>
      </c>
      <c r="E53" s="3" t="n">
        <v>270846000</v>
      </c>
      <c r="F5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22500</v>
      </c>
      <c r="D2" s="3" t="n">
        <v>-45155.555556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0.245749</v>
      </c>
      <c r="C3" s="3" t="n">
        <v>0.15</v>
      </c>
      <c r="D3" s="3" t="n">
        <v>0.118519</v>
      </c>
      <c r="E3" s="3" t="n">
        <v>0.198023</v>
      </c>
      <c r="F3" s="3" t="n">
        <v>0.15</v>
      </c>
    </row>
    <row r="4">
      <c r="A4" t="inlineStr">
        <is>
          <t>Normalized EBITDA</t>
        </is>
      </c>
      <c r="B4" s="3" t="n">
        <v>21085000</v>
      </c>
      <c r="C4" s="3" t="n">
        <v>7955000</v>
      </c>
      <c r="D4" s="3" t="n">
        <v>6785000</v>
      </c>
      <c r="E4" s="3" t="n">
        <v>10165000</v>
      </c>
      <c r="F4" s="3" t="n">
        <v>-75000</v>
      </c>
    </row>
    <row r="5">
      <c r="A5" t="inlineStr">
        <is>
          <t>Total Unusual Items</t>
        </is>
      </c>
      <c r="B5" s="3" t="n">
        <v>0</v>
      </c>
      <c r="C5" s="3" t="n">
        <v>150000</v>
      </c>
      <c r="D5" s="3" t="n">
        <v>-381000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0</v>
      </c>
      <c r="C6" s="3" t="n">
        <v>150000</v>
      </c>
      <c r="D6" s="3" t="n">
        <v>-381000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13041000</v>
      </c>
      <c r="C7" s="3" t="n">
        <v>554000</v>
      </c>
      <c r="D7" s="3" t="n">
        <v>1666000</v>
      </c>
      <c r="E7" s="3" t="n">
        <v>4786000</v>
      </c>
      <c r="F7" s="3" t="n">
        <v>-7082000</v>
      </c>
    </row>
    <row r="8">
      <c r="A8" t="inlineStr">
        <is>
          <t>Reconciled Depreciation</t>
        </is>
      </c>
      <c r="B8" s="3" t="n">
        <v>3400000</v>
      </c>
      <c r="C8" s="3" t="n">
        <v>4900000</v>
      </c>
      <c r="D8" s="3" t="n">
        <v>4304000</v>
      </c>
      <c r="E8" s="3" t="n">
        <v>3900000</v>
      </c>
      <c r="F8" s="3" t="n">
        <v>6473000</v>
      </c>
    </row>
    <row r="9">
      <c r="A9" t="inlineStr">
        <is>
          <t>Reconciled Cost Of Revenue</t>
        </is>
      </c>
      <c r="B9" s="3" t="n">
        <v>37881000</v>
      </c>
      <c r="C9" s="3" t="n">
        <v>27707000</v>
      </c>
      <c r="D9" s="3" t="n">
        <v>27034000</v>
      </c>
      <c r="E9" s="3" t="n">
        <v>30208000</v>
      </c>
      <c r="F9" s="3" t="n">
        <v>27767000</v>
      </c>
    </row>
    <row r="10">
      <c r="A10" t="inlineStr">
        <is>
          <t>EBITDA</t>
        </is>
      </c>
      <c r="B10" s="3" t="n">
        <v>21085000</v>
      </c>
      <c r="C10" s="3" t="n">
        <v>8105000</v>
      </c>
      <c r="D10" s="3" t="n">
        <v>6404000</v>
      </c>
      <c r="E10" s="3" t="n">
        <v>10165000</v>
      </c>
      <c r="F10" s="3" t="n">
        <v>-75000</v>
      </c>
    </row>
    <row r="11">
      <c r="A11" t="inlineStr">
        <is>
          <t>EBIT</t>
        </is>
      </c>
      <c r="B11" s="3" t="n">
        <v>17685000</v>
      </c>
      <c r="C11" s="3" t="n">
        <v>3205000</v>
      </c>
      <c r="D11" s="3" t="n">
        <v>2100000</v>
      </c>
      <c r="E11" s="3" t="n">
        <v>6265000</v>
      </c>
      <c r="F11" s="3" t="n">
        <v>-6548000</v>
      </c>
    </row>
    <row r="12">
      <c r="A12" t="inlineStr">
        <is>
          <t>Net Interest Income</t>
        </is>
      </c>
      <c r="B12" s="3" t="n">
        <v>-288000</v>
      </c>
      <c r="C12" s="3" t="n">
        <v>-49000</v>
      </c>
      <c r="D12" s="3" t="n">
        <v>-198000</v>
      </c>
      <c r="E12" s="3" t="n">
        <v>-279000</v>
      </c>
      <c r="F12" s="3" t="n">
        <v>-568000</v>
      </c>
    </row>
    <row r="13">
      <c r="A13" t="inlineStr">
        <is>
          <t>Interest Expense</t>
        </is>
      </c>
      <c r="B13" s="3" t="n">
        <v>395000</v>
      </c>
      <c r="C13" s="3" t="n">
        <v>363000</v>
      </c>
      <c r="D13" s="3" t="n">
        <v>210000</v>
      </c>
      <c r="E13" s="3" t="n">
        <v>296000</v>
      </c>
      <c r="F13" s="3" t="n">
        <v>500000</v>
      </c>
    </row>
    <row r="14">
      <c r="A14" t="inlineStr">
        <is>
          <t>Interest Income</t>
        </is>
      </c>
      <c r="B14" s="3" t="n">
        <v>107000</v>
      </c>
      <c r="C14" s="3" t="n">
        <v>314000</v>
      </c>
      <c r="D14" s="3" t="n">
        <v>12000</v>
      </c>
      <c r="E14" s="3" t="n">
        <v>17000</v>
      </c>
      <c r="F14" s="3" t="n">
        <v>-68000</v>
      </c>
    </row>
    <row r="15">
      <c r="A15" t="inlineStr">
        <is>
          <t>Normalized Income</t>
        </is>
      </c>
      <c r="B15" s="3" t="n">
        <v>13041000</v>
      </c>
      <c r="C15" s="3" t="n">
        <v>426500</v>
      </c>
      <c r="D15" s="3" t="n">
        <v>2001844.444444</v>
      </c>
      <c r="E15" s="3" t="n">
        <v>4786000</v>
      </c>
      <c r="F15" s="3" t="n">
        <v>-7082000</v>
      </c>
    </row>
    <row r="16">
      <c r="A16" t="inlineStr">
        <is>
          <t>Net Income From Continuing And Discontinued Operation</t>
        </is>
      </c>
      <c r="B16" s="3" t="n">
        <v>13041000</v>
      </c>
      <c r="C16" s="3" t="n">
        <v>554000</v>
      </c>
      <c r="D16" s="3" t="n">
        <v>1666000</v>
      </c>
      <c r="E16" s="3" t="n">
        <v>4786000</v>
      </c>
      <c r="F16" s="3" t="n">
        <v>-7082000</v>
      </c>
    </row>
    <row r="17">
      <c r="A17" t="inlineStr">
        <is>
          <t>Total Expenses</t>
        </is>
      </c>
      <c r="B17" s="3" t="n">
        <v>60118000</v>
      </c>
      <c r="C17" s="3" t="n">
        <v>51034000</v>
      </c>
      <c r="D17" s="3" t="n">
        <v>48745000</v>
      </c>
      <c r="E17" s="3" t="n">
        <v>52177000</v>
      </c>
      <c r="F17" s="3" t="n">
        <v>54149000</v>
      </c>
    </row>
    <row r="18">
      <c r="A18" t="inlineStr">
        <is>
          <t>Total Operating Income As Reported</t>
        </is>
      </c>
      <c r="B18" s="3" t="n">
        <v>17577000</v>
      </c>
      <c r="C18" s="3" t="n">
        <v>2891000</v>
      </c>
      <c r="D18" s="3" t="n">
        <v>2424000</v>
      </c>
      <c r="E18" s="3" t="n">
        <v>6248000</v>
      </c>
      <c r="F18" s="3" t="n">
        <v>-5442000</v>
      </c>
    </row>
    <row r="19">
      <c r="A19" t="inlineStr">
        <is>
          <t>Diluted Average Shares</t>
        </is>
      </c>
      <c r="B19" s="3" t="n">
        <v>30748697</v>
      </c>
      <c r="C19" s="3" t="n"/>
      <c r="D19" s="3" t="n"/>
      <c r="E19" s="3" t="n">
        <v>30741572</v>
      </c>
      <c r="F19" s="3" t="n"/>
    </row>
    <row r="20">
      <c r="A20" t="inlineStr">
        <is>
          <t>Basic Average Shares</t>
        </is>
      </c>
      <c r="B20" s="3" t="n">
        <v>30748697</v>
      </c>
      <c r="C20" s="3" t="n"/>
      <c r="D20" s="3" t="n"/>
      <c r="E20" s="3" t="n">
        <v>30741572</v>
      </c>
      <c r="F20" s="3" t="n"/>
    </row>
    <row r="21">
      <c r="A21" t="inlineStr">
        <is>
          <t>Diluted EPS</t>
        </is>
      </c>
      <c r="B21" s="3" t="n">
        <v>0.42</v>
      </c>
      <c r="C21" s="3" t="n"/>
      <c r="D21" s="3" t="n"/>
      <c r="E21" s="3" t="n">
        <v>0.16</v>
      </c>
      <c r="F21" s="3" t="n"/>
    </row>
    <row r="22">
      <c r="A22" t="inlineStr">
        <is>
          <t>Basic EPS</t>
        </is>
      </c>
      <c r="B22" s="3" t="n">
        <v>0.42</v>
      </c>
      <c r="C22" s="3" t="n"/>
      <c r="D22" s="3" t="n"/>
      <c r="E22" s="3" t="n">
        <v>0.16</v>
      </c>
      <c r="F22" s="3" t="n"/>
    </row>
    <row r="23">
      <c r="A23" t="inlineStr">
        <is>
          <t>Diluted NI Availto Com Stockholders</t>
        </is>
      </c>
      <c r="B23" s="3" t="n">
        <v>13041000</v>
      </c>
      <c r="C23" s="3" t="n">
        <v>554000</v>
      </c>
      <c r="D23" s="3" t="n">
        <v>1666000</v>
      </c>
      <c r="E23" s="3" t="n">
        <v>4786000</v>
      </c>
      <c r="F23" s="3" t="n">
        <v>-7082000</v>
      </c>
    </row>
    <row r="24">
      <c r="A24" t="inlineStr">
        <is>
          <t>Net Income Common Stockholders</t>
        </is>
      </c>
      <c r="B24" s="3" t="n">
        <v>13041000</v>
      </c>
      <c r="C24" s="3" t="n">
        <v>554000</v>
      </c>
      <c r="D24" s="3" t="n">
        <v>1666000</v>
      </c>
      <c r="E24" s="3" t="n">
        <v>4786000</v>
      </c>
      <c r="F24" s="3" t="n">
        <v>-7082000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t="inlineStr">
        <is>
          <t>Net Income</t>
        </is>
      </c>
      <c r="B26" s="3" t="n">
        <v>13041000</v>
      </c>
      <c r="C26" s="3" t="n">
        <v>554000</v>
      </c>
      <c r="D26" s="3" t="n">
        <v>1666000</v>
      </c>
      <c r="E26" s="3" t="n">
        <v>4786000</v>
      </c>
      <c r="F26" s="3" t="n">
        <v>-7082000</v>
      </c>
    </row>
    <row r="27">
      <c r="A27" t="inlineStr">
        <is>
          <t>Minority Interests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t="inlineStr">
        <is>
          <t>Net Income Including Noncontrolling Interests</t>
        </is>
      </c>
      <c r="B28" s="3" t="n">
        <v>13041000</v>
      </c>
      <c r="C28" s="3" t="n">
        <v>554000</v>
      </c>
      <c r="D28" s="3" t="n">
        <v>1666000</v>
      </c>
      <c r="E28" s="3" t="n">
        <v>4786000</v>
      </c>
      <c r="F28" s="3" t="n">
        <v>-7082000</v>
      </c>
    </row>
    <row r="29">
      <c r="A29" t="inlineStr">
        <is>
          <t>Net Income Continuous Operations</t>
        </is>
      </c>
      <c r="B29" s="3" t="n">
        <v>13041000</v>
      </c>
      <c r="C29" s="3" t="n">
        <v>554000</v>
      </c>
      <c r="D29" s="3" t="n">
        <v>1666000</v>
      </c>
      <c r="E29" s="3" t="n">
        <v>4787000</v>
      </c>
      <c r="F29" s="3" t="n">
        <v>-7082000</v>
      </c>
    </row>
    <row r="30">
      <c r="A30" t="inlineStr">
        <is>
          <t>Tax Provision</t>
        </is>
      </c>
      <c r="B30" s="3" t="n">
        <v>4249000</v>
      </c>
      <c r="C30" s="3" t="n">
        <v>2288000</v>
      </c>
      <c r="D30" s="3" t="n">
        <v>224000</v>
      </c>
      <c r="E30" s="3" t="n">
        <v>1182000</v>
      </c>
      <c r="F30" s="3" t="n">
        <v>34000</v>
      </c>
    </row>
    <row r="31">
      <c r="A31" t="inlineStr">
        <is>
          <t>Pretax Income</t>
        </is>
      </c>
      <c r="B31" s="3" t="n">
        <v>17290000</v>
      </c>
      <c r="C31" s="3" t="n">
        <v>2842000</v>
      </c>
      <c r="D31" s="3" t="n">
        <v>1890000</v>
      </c>
      <c r="E31" s="3" t="n">
        <v>5969000</v>
      </c>
      <c r="F31" s="3" t="n">
        <v>-7048000</v>
      </c>
    </row>
    <row r="32">
      <c r="A32" t="inlineStr">
        <is>
          <t>Special Income Charges</t>
        </is>
      </c>
      <c r="B32" s="3" t="n">
        <v>0</v>
      </c>
      <c r="C32" s="3" t="n">
        <v>150000</v>
      </c>
      <c r="D32" s="3" t="n">
        <v>-381000</v>
      </c>
      <c r="E32" s="3" t="n">
        <v>0</v>
      </c>
      <c r="F32" s="3" t="n"/>
    </row>
    <row r="33">
      <c r="A33" t="inlineStr">
        <is>
          <t>Write Off</t>
        </is>
      </c>
      <c r="B33" s="3" t="n">
        <v>0</v>
      </c>
      <c r="C33" s="3" t="n">
        <v>0</v>
      </c>
      <c r="D33" s="3" t="n">
        <v>381000</v>
      </c>
      <c r="E33" s="3" t="n">
        <v>0</v>
      </c>
      <c r="F33" s="3" t="n"/>
    </row>
    <row r="34">
      <c r="A34" t="inlineStr">
        <is>
          <t>Net Non Operating Interest Income Expense</t>
        </is>
      </c>
      <c r="B34" s="3" t="n">
        <v>-288000</v>
      </c>
      <c r="C34" s="3" t="n">
        <v>-49000</v>
      </c>
      <c r="D34" s="3" t="n">
        <v>-198000</v>
      </c>
      <c r="E34" s="3" t="n">
        <v>-279000</v>
      </c>
      <c r="F34" s="3" t="n">
        <v>-568000</v>
      </c>
    </row>
    <row r="35">
      <c r="A35" t="inlineStr">
        <is>
          <t>Interest Expense Non Operating</t>
        </is>
      </c>
      <c r="B35" s="3" t="n">
        <v>395000</v>
      </c>
      <c r="C35" s="3" t="n">
        <v>363000</v>
      </c>
      <c r="D35" s="3" t="n">
        <v>210000</v>
      </c>
      <c r="E35" s="3" t="n">
        <v>296000</v>
      </c>
      <c r="F35" s="3" t="n">
        <v>500000</v>
      </c>
    </row>
    <row r="36">
      <c r="A36" t="inlineStr">
        <is>
          <t>Interest Income Non Operating</t>
        </is>
      </c>
      <c r="B36" s="3" t="n">
        <v>107000</v>
      </c>
      <c r="C36" s="3" t="n">
        <v>314000</v>
      </c>
      <c r="D36" s="3" t="n">
        <v>12000</v>
      </c>
      <c r="E36" s="3" t="n">
        <v>17000</v>
      </c>
      <c r="F36" s="3" t="n">
        <v>-68000</v>
      </c>
    </row>
    <row r="37">
      <c r="A37" t="inlineStr">
        <is>
          <t>Operating Income</t>
        </is>
      </c>
      <c r="B37" s="3" t="n">
        <v>17577000</v>
      </c>
      <c r="C37" s="3" t="n">
        <v>2740000</v>
      </c>
      <c r="D37" s="3" t="n">
        <v>2424000</v>
      </c>
      <c r="E37" s="3" t="n">
        <v>6247000</v>
      </c>
      <c r="F37" s="3" t="n">
        <v>-5853000</v>
      </c>
    </row>
    <row r="38">
      <c r="A38" t="inlineStr">
        <is>
          <t>Operating Expense</t>
        </is>
      </c>
      <c r="B38" s="3" t="n">
        <v>22237000</v>
      </c>
      <c r="C38" s="3" t="n">
        <v>23327000</v>
      </c>
      <c r="D38" s="3" t="n">
        <v>21711000</v>
      </c>
      <c r="E38" s="3" t="n">
        <v>21969000</v>
      </c>
      <c r="F38" s="3" t="n">
        <v>26382000</v>
      </c>
    </row>
    <row r="39">
      <c r="A39" t="inlineStr">
        <is>
          <t>Other Operating Expenses</t>
        </is>
      </c>
      <c r="B39" s="3" t="n">
        <v>343000</v>
      </c>
      <c r="C39" s="3" t="n">
        <v>197000</v>
      </c>
      <c r="D39" s="3" t="n">
        <v>150000</v>
      </c>
      <c r="E39" s="3" t="n">
        <v>155000</v>
      </c>
      <c r="F39" s="3" t="n">
        <v>327000</v>
      </c>
    </row>
    <row r="40">
      <c r="A40" t="inlineStr">
        <is>
          <t>Research And Development</t>
        </is>
      </c>
      <c r="B40" s="3" t="n">
        <v>6981000</v>
      </c>
      <c r="C40" s="3" t="n">
        <v>8695000</v>
      </c>
      <c r="D40" s="3" t="n">
        <v>6301000</v>
      </c>
      <c r="E40" s="3" t="n">
        <v>6908000</v>
      </c>
      <c r="F40" s="3" t="n">
        <v>8380000</v>
      </c>
    </row>
    <row r="41">
      <c r="A41" t="inlineStr">
        <is>
          <t>Selling General And Administration</t>
        </is>
      </c>
      <c r="B41" s="3" t="n">
        <v>15133000</v>
      </c>
      <c r="C41" s="3" t="n">
        <v>7063000</v>
      </c>
      <c r="D41" s="3" t="n">
        <v>15584000</v>
      </c>
      <c r="E41" s="3" t="n">
        <v>15124000</v>
      </c>
      <c r="F41" s="3" t="n">
        <v>18994000</v>
      </c>
    </row>
    <row r="42">
      <c r="A42" t="inlineStr">
        <is>
          <t>Selling And Marketing Expense</t>
        </is>
      </c>
      <c r="B42" s="3" t="n">
        <v>10666000</v>
      </c>
      <c r="C42" s="3" t="n">
        <v>10357000</v>
      </c>
      <c r="D42" s="3" t="n">
        <v>9514000</v>
      </c>
      <c r="E42" s="3" t="n">
        <v>10385000</v>
      </c>
      <c r="F42" s="3" t="n">
        <v>10383000</v>
      </c>
    </row>
    <row r="43">
      <c r="A43" t="inlineStr">
        <is>
          <t>General And Administrative Expense</t>
        </is>
      </c>
      <c r="B43" s="3" t="n">
        <v>4467000</v>
      </c>
      <c r="C43" s="3" t="n">
        <v>-3294000</v>
      </c>
      <c r="D43" s="3" t="n">
        <v>6070000</v>
      </c>
      <c r="E43" s="3" t="n">
        <v>4739000</v>
      </c>
      <c r="F43" s="3" t="n">
        <v>8611000</v>
      </c>
    </row>
    <row r="44">
      <c r="A44" t="inlineStr">
        <is>
          <t>Gross Profit</t>
        </is>
      </c>
      <c r="B44" s="3" t="n">
        <v>39814000</v>
      </c>
      <c r="C44" s="3" t="n">
        <v>26067000</v>
      </c>
      <c r="D44" s="3" t="n">
        <v>24135000</v>
      </c>
      <c r="E44" s="3" t="n">
        <v>28216000</v>
      </c>
      <c r="F44" s="3" t="n">
        <v>20529000</v>
      </c>
    </row>
    <row r="45">
      <c r="A45" t="inlineStr">
        <is>
          <t>Cost Of Revenue</t>
        </is>
      </c>
      <c r="B45" s="3" t="n">
        <v>37881000</v>
      </c>
      <c r="C45" s="3" t="n">
        <v>27707000</v>
      </c>
      <c r="D45" s="3" t="n">
        <v>27034000</v>
      </c>
      <c r="E45" s="3" t="n">
        <v>30208000</v>
      </c>
      <c r="F45" s="3" t="n">
        <v>27767000</v>
      </c>
    </row>
    <row r="46">
      <c r="A46" t="inlineStr">
        <is>
          <t>Total Revenue</t>
        </is>
      </c>
      <c r="B46" s="3" t="n">
        <v>77695000</v>
      </c>
      <c r="C46" s="3" t="n">
        <v>53774000</v>
      </c>
      <c r="D46" s="3" t="n">
        <v>51169000</v>
      </c>
      <c r="E46" s="3" t="n">
        <v>58424000</v>
      </c>
      <c r="F46" s="3" t="n">
        <v>48296000</v>
      </c>
    </row>
    <row r="47">
      <c r="A47" t="inlineStr">
        <is>
          <t>Operating Revenue</t>
        </is>
      </c>
      <c r="B47" s="3" t="n">
        <v>77695000</v>
      </c>
      <c r="C47" s="3" t="n">
        <v>53774000</v>
      </c>
      <c r="D47" s="3" t="n">
        <v>51169000</v>
      </c>
      <c r="E47" s="3" t="n">
        <v>58424000</v>
      </c>
      <c r="F47" s="3" t="n">
        <v>48296000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752368</v>
      </c>
      <c r="C2" s="3" t="n">
        <v>757000</v>
      </c>
      <c r="D2" s="3" t="n">
        <v>763188</v>
      </c>
      <c r="E2" s="3" t="n">
        <v>1666469</v>
      </c>
      <c r="F2" s="3" t="n"/>
    </row>
    <row r="3">
      <c r="A3" t="inlineStr">
        <is>
          <t>Ordinary Shares Number</t>
        </is>
      </c>
      <c r="B3" s="3" t="n">
        <v>30747632</v>
      </c>
      <c r="C3" s="3" t="n">
        <v>30743000</v>
      </c>
      <c r="D3" s="3" t="n">
        <v>30736812</v>
      </c>
      <c r="E3" s="3" t="n">
        <v>29833531</v>
      </c>
      <c r="F3" s="3" t="n"/>
    </row>
    <row r="4">
      <c r="A4" t="inlineStr">
        <is>
          <t>Share Issued</t>
        </is>
      </c>
      <c r="B4" s="3" t="n">
        <v>31500000</v>
      </c>
      <c r="C4" s="3" t="n">
        <v>31500000</v>
      </c>
      <c r="D4" s="3" t="n">
        <v>31500000</v>
      </c>
      <c r="E4" s="3" t="n">
        <v>31500000</v>
      </c>
      <c r="F4" s="3" t="n"/>
    </row>
    <row r="5">
      <c r="A5" t="inlineStr">
        <is>
          <t>Net Debt</t>
        </is>
      </c>
      <c r="B5" s="3" t="n">
        <v>17499000</v>
      </c>
      <c r="C5" s="3" t="n">
        <v>31177000</v>
      </c>
      <c r="D5" s="3" t="n">
        <v>28854000</v>
      </c>
      <c r="E5" s="3" t="n">
        <v>26979000</v>
      </c>
      <c r="F5" s="3" t="n"/>
    </row>
    <row r="6">
      <c r="A6" t="inlineStr">
        <is>
          <t>Total Debt</t>
        </is>
      </c>
      <c r="B6" s="3" t="n">
        <v>65471000</v>
      </c>
      <c r="C6" s="3" t="n">
        <v>72083000</v>
      </c>
      <c r="D6" s="3" t="n">
        <v>83720000</v>
      </c>
      <c r="E6" s="3" t="n">
        <v>68226000</v>
      </c>
      <c r="F6" s="3" t="n"/>
    </row>
    <row r="7">
      <c r="A7" t="inlineStr">
        <is>
          <t>Tangible Book Value</t>
        </is>
      </c>
      <c r="B7" s="3" t="n">
        <v>47494000</v>
      </c>
      <c r="C7" s="3" t="n">
        <v>33829000</v>
      </c>
      <c r="D7" s="3" t="n">
        <v>49080000</v>
      </c>
      <c r="E7" s="3" t="n">
        <v>46940000</v>
      </c>
      <c r="F7" s="3" t="n"/>
    </row>
    <row r="8">
      <c r="A8" t="inlineStr">
        <is>
          <t>Invested Capital</t>
        </is>
      </c>
      <c r="B8" s="3" t="n">
        <v>179348000</v>
      </c>
      <c r="C8" s="3" t="n">
        <v>176912000</v>
      </c>
      <c r="D8" s="3" t="n">
        <v>200257000</v>
      </c>
      <c r="E8" s="3" t="n">
        <v>197166000</v>
      </c>
      <c r="F8" s="3" t="n"/>
    </row>
    <row r="9">
      <c r="A9" t="inlineStr">
        <is>
          <t>Working Capital</t>
        </is>
      </c>
      <c r="B9" s="3" t="n">
        <v>59997000</v>
      </c>
      <c r="C9" s="3" t="n">
        <v>55447000</v>
      </c>
      <c r="D9" s="3" t="n">
        <v>78810000</v>
      </c>
      <c r="E9" s="3" t="n">
        <v>88644000</v>
      </c>
      <c r="F9" s="3" t="n"/>
    </row>
    <row r="10">
      <c r="A10" t="inlineStr">
        <is>
          <t>Net Tangible Assets</t>
        </is>
      </c>
      <c r="B10" s="3" t="n">
        <v>47494000</v>
      </c>
      <c r="C10" s="3" t="n">
        <v>33829000</v>
      </c>
      <c r="D10" s="3" t="n">
        <v>49080000</v>
      </c>
      <c r="E10" s="3" t="n">
        <v>46940000</v>
      </c>
      <c r="F10" s="3" t="n"/>
    </row>
    <row r="11">
      <c r="A11" t="inlineStr">
        <is>
          <t>Capital Lease Obligations</t>
        </is>
      </c>
      <c r="B11" s="3" t="n">
        <v>18978000</v>
      </c>
      <c r="C11" s="3" t="n">
        <v>19583000</v>
      </c>
      <c r="D11" s="3" t="n">
        <v>22638000</v>
      </c>
      <c r="E11" s="3" t="n">
        <v>12546000</v>
      </c>
      <c r="F11" s="3" t="n"/>
    </row>
    <row r="12">
      <c r="A12" t="inlineStr">
        <is>
          <t>Common Stock Equity</t>
        </is>
      </c>
      <c r="B12" s="3" t="n">
        <v>132855000</v>
      </c>
      <c r="C12" s="3" t="n">
        <v>124412000</v>
      </c>
      <c r="D12" s="3" t="n">
        <v>139175000</v>
      </c>
      <c r="E12" s="3" t="n">
        <v>141486000</v>
      </c>
      <c r="F12" s="3" t="n"/>
    </row>
    <row r="13">
      <c r="A13" t="inlineStr">
        <is>
          <t>Total Capitalization</t>
        </is>
      </c>
      <c r="B13" s="3" t="n">
        <v>167527000</v>
      </c>
      <c r="C13" s="3" t="n">
        <v>168656000</v>
      </c>
      <c r="D13" s="3" t="n">
        <v>190535000</v>
      </c>
      <c r="E13" s="3" t="n">
        <v>193141000</v>
      </c>
      <c r="F13" s="3" t="n"/>
    </row>
    <row r="14">
      <c r="A14" t="inlineStr">
        <is>
          <t>Total Equity Gross Minority Interest</t>
        </is>
      </c>
      <c r="B14" s="3" t="n">
        <v>132855000</v>
      </c>
      <c r="C14" s="3" t="n">
        <v>124412000</v>
      </c>
      <c r="D14" s="3" t="n">
        <v>139175000</v>
      </c>
      <c r="E14" s="3" t="n">
        <v>141486000</v>
      </c>
      <c r="F14" s="3" t="n"/>
    </row>
    <row r="15">
      <c r="A15" t="inlineStr">
        <is>
          <t>Stockholders Equity</t>
        </is>
      </c>
      <c r="B15" s="3" t="n">
        <v>132855000</v>
      </c>
      <c r="C15" s="3" t="n">
        <v>124412000</v>
      </c>
      <c r="D15" s="3" t="n">
        <v>139175000</v>
      </c>
      <c r="E15" s="3" t="n">
        <v>141486000</v>
      </c>
      <c r="F15" s="3" t="n"/>
    </row>
    <row r="16">
      <c r="A16" t="inlineStr">
        <is>
          <t>Other Equity Interest</t>
        </is>
      </c>
      <c r="B16" s="3" t="n"/>
      <c r="C16" s="3" t="n">
        <v>-4812000</v>
      </c>
      <c r="D16" s="3" t="n">
        <v>-4704000</v>
      </c>
      <c r="E16" s="3" t="n">
        <v>-2763000</v>
      </c>
      <c r="F16" s="3" t="n">
        <v>-2370000</v>
      </c>
    </row>
    <row r="17">
      <c r="A17" t="inlineStr">
        <is>
          <t>Retained Earnings</t>
        </is>
      </c>
      <c r="B17" s="3" t="n">
        <v>89799000</v>
      </c>
      <c r="C17" s="3" t="n">
        <v>88707000</v>
      </c>
      <c r="D17" s="3" t="n">
        <v>102473000</v>
      </c>
      <c r="E17" s="3" t="n">
        <v>107192000</v>
      </c>
      <c r="F17" s="3" t="n"/>
    </row>
    <row r="18">
      <c r="A18" t="inlineStr">
        <is>
          <t>Additional Paid In Capital</t>
        </is>
      </c>
      <c r="B18" s="3" t="n">
        <v>17475000</v>
      </c>
      <c r="C18" s="3" t="n">
        <v>10669000</v>
      </c>
      <c r="D18" s="3" t="n">
        <v>10669000</v>
      </c>
      <c r="E18" s="3" t="n">
        <v>7223000</v>
      </c>
      <c r="F18" s="3" t="n"/>
    </row>
    <row r="19">
      <c r="A19" t="inlineStr">
        <is>
          <t>Capital Stock</t>
        </is>
      </c>
      <c r="B19" s="3" t="n">
        <v>30748000</v>
      </c>
      <c r="C19" s="3" t="n">
        <v>30743000</v>
      </c>
      <c r="D19" s="3" t="n">
        <v>30737000</v>
      </c>
      <c r="E19" s="3" t="n">
        <v>29834000</v>
      </c>
      <c r="F19" s="3" t="n"/>
    </row>
    <row r="20">
      <c r="A20" t="inlineStr">
        <is>
          <t>Common Stock</t>
        </is>
      </c>
      <c r="B20" s="3" t="n">
        <v>30748000</v>
      </c>
      <c r="C20" s="3" t="n">
        <v>30743000</v>
      </c>
      <c r="D20" s="3" t="n">
        <v>30737000</v>
      </c>
      <c r="E20" s="3" t="n">
        <v>29834000</v>
      </c>
      <c r="F20" s="3" t="n"/>
    </row>
    <row r="21">
      <c r="A21" t="inlineStr">
        <is>
          <t>Total Liabilities Net Minority Interest</t>
        </is>
      </c>
      <c r="B21" s="3" t="n">
        <v>105200000</v>
      </c>
      <c r="C21" s="3" t="n">
        <v>109177000</v>
      </c>
      <c r="D21" s="3" t="n">
        <v>116580000</v>
      </c>
      <c r="E21" s="3" t="n">
        <v>124041000</v>
      </c>
      <c r="F21" s="3" t="n"/>
    </row>
    <row r="22">
      <c r="A22" t="inlineStr">
        <is>
          <t>Total Non Current Liabilities Net Minority Interest</t>
        </is>
      </c>
      <c r="B22" s="3" t="n">
        <v>53772000</v>
      </c>
      <c r="C22" s="3" t="n">
        <v>63754000</v>
      </c>
      <c r="D22" s="3" t="n">
        <v>76351000</v>
      </c>
      <c r="E22" s="3" t="n">
        <v>78105000</v>
      </c>
      <c r="F22" s="3" t="n"/>
    </row>
    <row r="23">
      <c r="A23" t="inlineStr">
        <is>
          <t>Other Non Current Liabilities</t>
        </is>
      </c>
      <c r="B23" s="3" t="n">
        <v>-1000</v>
      </c>
      <c r="C23" s="3" t="n"/>
      <c r="D23" s="3" t="n"/>
      <c r="E23" s="3" t="n"/>
      <c r="F23" s="3" t="n"/>
    </row>
    <row r="24">
      <c r="A24" t="inlineStr">
        <is>
          <t>Non Current Deferred Taxes Liabilities</t>
        </is>
      </c>
      <c r="B24" s="3" t="n">
        <v>1487000</v>
      </c>
      <c r="C24" s="3" t="n">
        <v>1404000</v>
      </c>
      <c r="D24" s="3" t="n">
        <v>3222000</v>
      </c>
      <c r="E24" s="3" t="n">
        <v>10901000</v>
      </c>
      <c r="F24" s="3" t="n"/>
    </row>
    <row r="25">
      <c r="A25" t="inlineStr">
        <is>
          <t>Long Term Debt And Capital Lease Obligation</t>
        </is>
      </c>
      <c r="B25" s="3" t="n">
        <v>50836000</v>
      </c>
      <c r="C25" s="3" t="n">
        <v>60999000</v>
      </c>
      <c r="D25" s="3" t="n">
        <v>71267000</v>
      </c>
      <c r="E25" s="3" t="n">
        <v>61731000</v>
      </c>
      <c r="F25" s="3" t="n"/>
    </row>
    <row r="26">
      <c r="A26" t="inlineStr">
        <is>
          <t>Long Term Capital Lease Obligation</t>
        </is>
      </c>
      <c r="B26" s="3" t="n">
        <v>16164000</v>
      </c>
      <c r="C26" s="3" t="n">
        <v>16755000</v>
      </c>
      <c r="D26" s="3" t="n">
        <v>19907000</v>
      </c>
      <c r="E26" s="3" t="n">
        <v>10076000</v>
      </c>
      <c r="F26" s="3" t="n"/>
    </row>
    <row r="27">
      <c r="A27" t="inlineStr">
        <is>
          <t>Long Term Debt</t>
        </is>
      </c>
      <c r="B27" s="3" t="n">
        <v>34672000</v>
      </c>
      <c r="C27" s="3" t="n">
        <v>44244000</v>
      </c>
      <c r="D27" s="3" t="n">
        <v>51360000</v>
      </c>
      <c r="E27" s="3" t="n">
        <v>51655000</v>
      </c>
      <c r="F27" s="3" t="n"/>
    </row>
    <row r="28">
      <c r="A28" t="inlineStr">
        <is>
          <t>Long Term Provisions</t>
        </is>
      </c>
      <c r="B28" s="3" t="n">
        <v>1450000</v>
      </c>
      <c r="C28" s="3" t="n">
        <v>1351000</v>
      </c>
      <c r="D28" s="3" t="n">
        <v>1340000</v>
      </c>
      <c r="E28" s="3" t="n">
        <v>1956000</v>
      </c>
      <c r="F28" s="3" t="n"/>
    </row>
    <row r="29">
      <c r="A29" t="inlineStr">
        <is>
          <t>Current Liabilities</t>
        </is>
      </c>
      <c r="B29" s="3" t="n">
        <v>51428000</v>
      </c>
      <c r="C29" s="3" t="n">
        <v>45423000</v>
      </c>
      <c r="D29" s="3" t="n">
        <v>40229000</v>
      </c>
      <c r="E29" s="3" t="n">
        <v>45936000</v>
      </c>
      <c r="F29" s="3" t="n"/>
    </row>
    <row r="30">
      <c r="A30" t="inlineStr">
        <is>
          <t>Other Current Liabilities</t>
        </is>
      </c>
      <c r="B30" s="3" t="n">
        <v>5797000</v>
      </c>
      <c r="C30" s="3" t="n">
        <v>11634000</v>
      </c>
      <c r="D30" s="3" t="n">
        <v>4555000</v>
      </c>
      <c r="E30" s="3" t="n"/>
      <c r="F30" s="3" t="n"/>
    </row>
    <row r="31">
      <c r="A31" t="inlineStr">
        <is>
          <t>Current Debt And Capital Lease Obligation</t>
        </is>
      </c>
      <c r="B31" s="3" t="n">
        <v>14635000</v>
      </c>
      <c r="C31" s="3" t="n">
        <v>11084000</v>
      </c>
      <c r="D31" s="3" t="n">
        <v>12453000</v>
      </c>
      <c r="E31" s="3" t="n">
        <v>6495000</v>
      </c>
      <c r="F31" s="3" t="n"/>
    </row>
    <row r="32">
      <c r="A32" t="inlineStr">
        <is>
          <t>Current Capital Lease Obligation</t>
        </is>
      </c>
      <c r="B32" s="3" t="n">
        <v>2814000</v>
      </c>
      <c r="C32" s="3" t="n">
        <v>2828000</v>
      </c>
      <c r="D32" s="3" t="n">
        <v>2731000</v>
      </c>
      <c r="E32" s="3" t="n">
        <v>2470000</v>
      </c>
      <c r="F32" s="3" t="n"/>
    </row>
    <row r="33">
      <c r="A33" t="inlineStr">
        <is>
          <t>Current Debt</t>
        </is>
      </c>
      <c r="B33" s="3" t="n">
        <v>11821000</v>
      </c>
      <c r="C33" s="3" t="n">
        <v>8256000</v>
      </c>
      <c r="D33" s="3" t="n">
        <v>9722000</v>
      </c>
      <c r="E33" s="3" t="n">
        <v>4025000</v>
      </c>
      <c r="F33" s="3" t="n"/>
    </row>
    <row r="34">
      <c r="A34" t="inlineStr">
        <is>
          <t>Pensionand Other Post Retirement Benefit Plans Current</t>
        </is>
      </c>
      <c r="B34" s="3" t="n">
        <v>6963000</v>
      </c>
      <c r="C34" s="3" t="n">
        <v>5064000</v>
      </c>
      <c r="D34" s="3" t="n">
        <v>5991000</v>
      </c>
      <c r="E34" s="3" t="n">
        <v>8988000</v>
      </c>
      <c r="F34" s="3" t="n"/>
    </row>
    <row r="35">
      <c r="A35" t="inlineStr">
        <is>
          <t>Current Provisions</t>
        </is>
      </c>
      <c r="B35" s="3" t="n">
        <v>1560000</v>
      </c>
      <c r="C35" s="3" t="n">
        <v>1748000</v>
      </c>
      <c r="D35" s="3" t="n">
        <v>1257000</v>
      </c>
      <c r="E35" s="3" t="n">
        <v>1712000</v>
      </c>
      <c r="F35" s="3" t="n"/>
    </row>
    <row r="36">
      <c r="A36" t="inlineStr">
        <is>
          <t>Payables</t>
        </is>
      </c>
      <c r="B36" s="3" t="n">
        <v>22270000</v>
      </c>
      <c r="C36" s="3" t="n">
        <v>15732000</v>
      </c>
      <c r="D36" s="3" t="n">
        <v>15379000</v>
      </c>
      <c r="E36" s="3" t="n">
        <v>21370000</v>
      </c>
      <c r="F36" s="3" t="n"/>
    </row>
    <row r="37">
      <c r="A37" t="inlineStr">
        <is>
          <t>Total Tax Payable</t>
        </is>
      </c>
      <c r="B37" s="3" t="n">
        <v>2763000</v>
      </c>
      <c r="C37" s="3" t="n">
        <v>1863000</v>
      </c>
      <c r="D37" s="3" t="n">
        <v>707000</v>
      </c>
      <c r="E37" s="3" t="n">
        <v>1954000</v>
      </c>
      <c r="F37" s="3" t="n"/>
    </row>
    <row r="38">
      <c r="A38" t="inlineStr">
        <is>
          <t>Accounts Payable</t>
        </is>
      </c>
      <c r="B38" s="3" t="n">
        <v>19507000</v>
      </c>
      <c r="C38" s="3" t="n">
        <v>13869000</v>
      </c>
      <c r="D38" s="3" t="n">
        <v>14672000</v>
      </c>
      <c r="E38" s="3" t="n">
        <v>19416000</v>
      </c>
      <c r="F38" s="3" t="n"/>
    </row>
    <row r="39">
      <c r="A39" t="inlineStr">
        <is>
          <t>Total Assets</t>
        </is>
      </c>
      <c r="B39" s="3" t="n">
        <v>238055000</v>
      </c>
      <c r="C39" s="3" t="n">
        <v>233589000</v>
      </c>
      <c r="D39" s="3" t="n">
        <v>255755000</v>
      </c>
      <c r="E39" s="3" t="n">
        <v>265527000</v>
      </c>
      <c r="F39" s="3" t="n"/>
    </row>
    <row r="40">
      <c r="A40" t="inlineStr">
        <is>
          <t>Total Non Current Assets</t>
        </is>
      </c>
      <c r="B40" s="3" t="n">
        <v>126630000</v>
      </c>
      <c r="C40" s="3" t="n">
        <v>132719000</v>
      </c>
      <c r="D40" s="3" t="n">
        <v>136716000</v>
      </c>
      <c r="E40" s="3" t="n">
        <v>130947000</v>
      </c>
      <c r="F40" s="3" t="n"/>
    </row>
    <row r="41">
      <c r="A41" t="inlineStr">
        <is>
          <t>Other Non Current Assets</t>
        </is>
      </c>
      <c r="B41" s="3" t="n">
        <v>105000</v>
      </c>
      <c r="C41" s="3" t="n">
        <v>113000</v>
      </c>
      <c r="D41" s="3" t="n">
        <v>5496000</v>
      </c>
      <c r="E41" s="3" t="n">
        <v>3803000</v>
      </c>
      <c r="F41" s="3" t="n"/>
    </row>
    <row r="42">
      <c r="A42" t="inlineStr">
        <is>
          <t>Non Current Deferred Taxes Assets</t>
        </is>
      </c>
      <c r="B42" s="3" t="n">
        <v>1741000</v>
      </c>
      <c r="C42" s="3" t="n">
        <v>3163000</v>
      </c>
      <c r="D42" s="3" t="n">
        <v>2424000</v>
      </c>
      <c r="E42" s="3" t="n">
        <v>1815000</v>
      </c>
      <c r="F42" s="3" t="n"/>
    </row>
    <row r="43">
      <c r="A43" t="inlineStr">
        <is>
          <t>Investmentin Financial Assets</t>
        </is>
      </c>
      <c r="B43" s="3" t="n">
        <v>594000</v>
      </c>
      <c r="C43" s="3" t="n">
        <v>7197000</v>
      </c>
      <c r="D43" s="3" t="n">
        <v>5501000</v>
      </c>
      <c r="E43" s="3" t="n">
        <v>1418000</v>
      </c>
      <c r="F43" s="3" t="n"/>
    </row>
    <row r="44">
      <c r="A44" t="inlineStr">
        <is>
          <t>Available For Sale Securities</t>
        </is>
      </c>
      <c r="B44" s="3" t="n">
        <v>594000</v>
      </c>
      <c r="C44" s="3" t="n">
        <v>7197000</v>
      </c>
      <c r="D44" s="3" t="n">
        <v>5501000</v>
      </c>
      <c r="E44" s="3" t="n">
        <v>1418000</v>
      </c>
      <c r="F44" s="3" t="n"/>
    </row>
    <row r="45">
      <c r="A45" t="inlineStr">
        <is>
          <t>Long Term Equity Investment</t>
        </is>
      </c>
      <c r="B45" s="3" t="n">
        <v>0</v>
      </c>
      <c r="C45" s="3" t="n">
        <v>336000</v>
      </c>
      <c r="D45" s="3" t="n">
        <v>1786000</v>
      </c>
      <c r="E45" s="3" t="n"/>
      <c r="F45" s="3" t="n"/>
    </row>
    <row r="46">
      <c r="A46" t="inlineStr">
        <is>
          <t>Goodwill And Other Intangible Assets</t>
        </is>
      </c>
      <c r="B46" s="3" t="n">
        <v>85361000</v>
      </c>
      <c r="C46" s="3" t="n">
        <v>90583000</v>
      </c>
      <c r="D46" s="3" t="n">
        <v>90095000</v>
      </c>
      <c r="E46" s="3" t="n">
        <v>94546000</v>
      </c>
      <c r="F46" s="3" t="n"/>
    </row>
    <row r="47">
      <c r="A47" t="inlineStr">
        <is>
          <t>Other Intangible Assets</t>
        </is>
      </c>
      <c r="B47" s="3" t="n">
        <v>39286000</v>
      </c>
      <c r="C47" s="3" t="n">
        <v>41152000</v>
      </c>
      <c r="D47" s="3" t="n">
        <v>44304000</v>
      </c>
      <c r="E47" s="3" t="n">
        <v>48477000</v>
      </c>
      <c r="F47" s="3" t="n"/>
    </row>
    <row r="48">
      <c r="A48" t="inlineStr">
        <is>
          <t>Goodwill</t>
        </is>
      </c>
      <c r="B48" s="3" t="n">
        <v>46075000</v>
      </c>
      <c r="C48" s="3" t="n">
        <v>49431000</v>
      </c>
      <c r="D48" s="3" t="n">
        <v>45791000</v>
      </c>
      <c r="E48" s="3" t="n">
        <v>46069000</v>
      </c>
      <c r="F48" s="3" t="n"/>
    </row>
    <row r="49">
      <c r="A49" t="inlineStr">
        <is>
          <t>Net PPE</t>
        </is>
      </c>
      <c r="B49" s="3" t="n">
        <v>34538000</v>
      </c>
      <c r="C49" s="3" t="n">
        <v>31327000</v>
      </c>
      <c r="D49" s="3" t="n">
        <v>36910000</v>
      </c>
      <c r="E49" s="3" t="n">
        <v>29365000</v>
      </c>
      <c r="F49" s="3" t="n"/>
    </row>
    <row r="50">
      <c r="A50" t="inlineStr">
        <is>
          <t>Accumulated Depreciation</t>
        </is>
      </c>
      <c r="B50" s="3" t="n">
        <v>-56324000</v>
      </c>
      <c r="C50" s="3" t="n">
        <v>-27354000</v>
      </c>
      <c r="D50" s="3" t="n">
        <v>-45910000</v>
      </c>
      <c r="E50" s="3" t="n">
        <v>-39683000</v>
      </c>
      <c r="F50" s="3" t="n"/>
    </row>
    <row r="51">
      <c r="A51" t="inlineStr">
        <is>
          <t>Gross PPE</t>
        </is>
      </c>
      <c r="B51" s="3" t="n">
        <v>90862000</v>
      </c>
      <c r="C51" s="3" t="n">
        <v>58681000</v>
      </c>
      <c r="D51" s="3" t="n">
        <v>82820000</v>
      </c>
      <c r="E51" s="3" t="n">
        <v>69048000</v>
      </c>
      <c r="F51" s="3" t="n"/>
    </row>
    <row r="52">
      <c r="A52" t="inlineStr">
        <is>
          <t>Construction In Progress</t>
        </is>
      </c>
      <c r="B52" s="3" t="n">
        <v>186000</v>
      </c>
      <c r="C52" s="3" t="n">
        <v>53000</v>
      </c>
      <c r="D52" s="3" t="n">
        <v>56000</v>
      </c>
      <c r="E52" s="3" t="n">
        <v>1341000</v>
      </c>
      <c r="F52" s="3" t="n"/>
    </row>
    <row r="53">
      <c r="A53" t="inlineStr">
        <is>
          <t>Other Properties</t>
        </is>
      </c>
      <c r="B53" s="3" t="n">
        <v>50353000</v>
      </c>
      <c r="C53" s="3" t="n">
        <v>19078000</v>
      </c>
      <c r="D53" s="3" t="n"/>
      <c r="E53" s="3" t="n">
        <v>17572000</v>
      </c>
      <c r="F53" s="3" t="n">
        <v>14353000</v>
      </c>
    </row>
    <row r="54">
      <c r="A54" t="inlineStr">
        <is>
          <t>Machinery Furniture Equipment</t>
        </is>
      </c>
      <c r="B54" s="3" t="n">
        <v>32997000</v>
      </c>
      <c r="C54" s="3" t="n">
        <v>32373000</v>
      </c>
      <c r="D54" s="3" t="n">
        <v>31470000</v>
      </c>
      <c r="E54" s="3" t="n">
        <v>29402000</v>
      </c>
      <c r="F54" s="3" t="n"/>
    </row>
    <row r="55">
      <c r="A55" t="inlineStr">
        <is>
          <t>Buildings And Improvements</t>
        </is>
      </c>
      <c r="B55" s="3" t="n"/>
      <c r="C55" s="3" t="n">
        <v>42846000</v>
      </c>
      <c r="D55" s="3" t="n">
        <v>43815000</v>
      </c>
      <c r="E55" s="3" t="n">
        <v>30680000</v>
      </c>
      <c r="F55" s="3" t="n">
        <v>32236000</v>
      </c>
    </row>
    <row r="56">
      <c r="A56" t="inlineStr">
        <is>
          <t>Land And Improvements</t>
        </is>
      </c>
      <c r="B56" s="3" t="n">
        <v>7326000</v>
      </c>
      <c r="C56" s="3" t="n">
        <v>7177000</v>
      </c>
      <c r="D56" s="3" t="n">
        <v>7479000</v>
      </c>
      <c r="E56" s="3" t="n">
        <v>7625000</v>
      </c>
      <c r="F56" s="3" t="n"/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/>
    </row>
    <row r="58">
      <c r="A58" t="inlineStr">
        <is>
          <t>Current Assets</t>
        </is>
      </c>
      <c r="B58" s="3" t="n">
        <v>111425000</v>
      </c>
      <c r="C58" s="3" t="n">
        <v>100870000</v>
      </c>
      <c r="D58" s="3" t="n">
        <v>119039000</v>
      </c>
      <c r="E58" s="3" t="n">
        <v>134580000</v>
      </c>
      <c r="F58" s="3" t="n"/>
    </row>
    <row r="59">
      <c r="A59" t="inlineStr">
        <is>
          <t>Other Current Assets</t>
        </is>
      </c>
      <c r="B59" s="3" t="n">
        <v>2422000</v>
      </c>
      <c r="C59" s="3" t="n">
        <v>3844000</v>
      </c>
      <c r="D59" s="3" t="n">
        <v>6960000</v>
      </c>
      <c r="E59" s="3" t="n"/>
      <c r="F59" s="3" t="n"/>
    </row>
    <row r="60">
      <c r="A60" t="inlineStr">
        <is>
          <t>Hedging Assets Current</t>
        </is>
      </c>
      <c r="B60" s="3" t="n"/>
      <c r="C60" s="3" t="n"/>
      <c r="D60" s="3" t="n"/>
      <c r="E60" s="3" t="n"/>
      <c r="F60" s="3" t="n">
        <v>0</v>
      </c>
    </row>
    <row r="61">
      <c r="A61" t="inlineStr">
        <is>
          <t>Current Deferred Assets</t>
        </is>
      </c>
      <c r="B61" s="3" t="n">
        <v>2240000</v>
      </c>
      <c r="C61" s="3" t="n"/>
      <c r="D61" s="3" t="n"/>
      <c r="E61" s="3" t="n"/>
      <c r="F61" s="3" t="n"/>
    </row>
    <row r="62">
      <c r="A62" t="inlineStr">
        <is>
          <t>Prepaid Assets</t>
        </is>
      </c>
      <c r="B62" s="3" t="n">
        <v>599000</v>
      </c>
      <c r="C62" s="3" t="n">
        <v>242000</v>
      </c>
      <c r="D62" s="3" t="n">
        <v>385000</v>
      </c>
      <c r="E62" s="3" t="n">
        <v>1854000</v>
      </c>
      <c r="F62" s="3" t="n"/>
    </row>
    <row r="63">
      <c r="A63" t="inlineStr">
        <is>
          <t>Inventory</t>
        </is>
      </c>
      <c r="B63" s="3" t="n">
        <v>32727000</v>
      </c>
      <c r="C63" s="3" t="n">
        <v>38806000</v>
      </c>
      <c r="D63" s="3" t="n">
        <v>44044000</v>
      </c>
      <c r="E63" s="3" t="n">
        <v>50337000</v>
      </c>
      <c r="F63" s="3" t="n"/>
    </row>
    <row r="64">
      <c r="A64" t="inlineStr">
        <is>
          <t>Finished Goods</t>
        </is>
      </c>
      <c r="B64" s="3" t="n">
        <v>14041000</v>
      </c>
      <c r="C64" s="3" t="n">
        <v>13307000</v>
      </c>
      <c r="D64" s="3" t="n">
        <v>15850000</v>
      </c>
      <c r="E64" s="3" t="n">
        <v>17848000</v>
      </c>
      <c r="F64" s="3" t="n"/>
    </row>
    <row r="65">
      <c r="A65" t="inlineStr">
        <is>
          <t>Work In Process</t>
        </is>
      </c>
      <c r="B65" s="3" t="n">
        <v>2836000</v>
      </c>
      <c r="C65" s="3" t="n">
        <v>1943000</v>
      </c>
      <c r="D65" s="3" t="n">
        <v>1288000</v>
      </c>
      <c r="E65" s="3" t="n">
        <v>1897000</v>
      </c>
      <c r="F65" s="3" t="n"/>
    </row>
    <row r="66">
      <c r="A66" t="inlineStr">
        <is>
          <t>Raw Materials</t>
        </is>
      </c>
      <c r="B66" s="3" t="n">
        <v>15850000</v>
      </c>
      <c r="C66" s="3" t="n">
        <v>23556000</v>
      </c>
      <c r="D66" s="3" t="n">
        <v>26906000</v>
      </c>
      <c r="E66" s="3" t="n">
        <v>30592000</v>
      </c>
      <c r="F66" s="3" t="n"/>
    </row>
    <row r="67">
      <c r="A67" t="inlineStr">
        <is>
          <t>Other Receivables</t>
        </is>
      </c>
      <c r="B67" s="3" t="n"/>
      <c r="C67" s="3" t="n">
        <v>4564000</v>
      </c>
      <c r="D67" s="3" t="n">
        <v>5297000</v>
      </c>
      <c r="E67" s="3" t="n">
        <v>5575000</v>
      </c>
      <c r="F67" s="3" t="n">
        <v>4334000</v>
      </c>
    </row>
    <row r="68">
      <c r="A68" t="inlineStr">
        <is>
          <t>Taxes Receivable</t>
        </is>
      </c>
      <c r="B68" s="3" t="n">
        <v>1890000</v>
      </c>
      <c r="C68" s="3" t="n">
        <v>2763000</v>
      </c>
      <c r="D68" s="3" t="n">
        <v>1760000</v>
      </c>
      <c r="E68" s="3" t="n">
        <v>2535000</v>
      </c>
      <c r="F68" s="3" t="n"/>
    </row>
    <row r="69">
      <c r="A69" t="inlineStr">
        <is>
          <t>Accounts Receivable</t>
        </is>
      </c>
      <c r="B69" s="3" t="n">
        <v>39066000</v>
      </c>
      <c r="C69" s="3" t="n">
        <v>28390000</v>
      </c>
      <c r="D69" s="3" t="n">
        <v>27425000</v>
      </c>
      <c r="E69" s="3" t="n">
        <v>41181000</v>
      </c>
      <c r="F69" s="3" t="n"/>
    </row>
    <row r="70">
      <c r="A70" t="inlineStr">
        <is>
          <t>Cash Cash Equivalents And Short Term Investments</t>
        </is>
      </c>
      <c r="B70" s="3" t="n">
        <v>32481000</v>
      </c>
      <c r="C70" s="3" t="n">
        <v>22261000</v>
      </c>
      <c r="D70" s="3" t="n">
        <v>33168000</v>
      </c>
      <c r="E70" s="3" t="n">
        <v>33098000</v>
      </c>
      <c r="F70" s="3" t="n"/>
    </row>
    <row r="71">
      <c r="A71" t="inlineStr">
        <is>
          <t>Other Short Term Investments</t>
        </is>
      </c>
      <c r="B71" s="3" t="n">
        <v>3487000</v>
      </c>
      <c r="C71" s="3" t="n">
        <v>938000</v>
      </c>
      <c r="D71" s="3" t="n">
        <v>940000</v>
      </c>
      <c r="E71" s="3" t="n">
        <v>4397000</v>
      </c>
      <c r="F71" s="3" t="n"/>
    </row>
    <row r="72">
      <c r="A72" t="inlineStr">
        <is>
          <t>Cash And Cash Equivalents</t>
        </is>
      </c>
      <c r="B72" s="3" t="n">
        <v>28994000</v>
      </c>
      <c r="C72" s="3" t="n">
        <v>21323000</v>
      </c>
      <c r="D72" s="3" t="n">
        <v>32228000</v>
      </c>
      <c r="E72" s="3" t="n">
        <v>28701000</v>
      </c>
      <c r="F72" s="3" t="n"/>
    </row>
    <row r="73">
      <c r="A73" t="inlineStr">
        <is>
          <t>Cash Financial</t>
        </is>
      </c>
      <c r="B73" s="3" t="n">
        <v>28994000</v>
      </c>
      <c r="C73" s="3" t="n">
        <v>21323000</v>
      </c>
      <c r="D73" s="3" t="n">
        <v>32228000</v>
      </c>
      <c r="E73" s="3" t="n">
        <v>28701000</v>
      </c>
      <c r="F7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Treasury Shares Number</t>
        </is>
      </c>
      <c r="B2" s="3" t="n">
        <v>749174</v>
      </c>
      <c r="C2" s="3" t="n">
        <v>752368</v>
      </c>
      <c r="D2" s="3" t="n">
        <v>752368</v>
      </c>
      <c r="E2" s="3" t="n">
        <v>757000</v>
      </c>
      <c r="F2" s="3" t="n">
        <v>757000</v>
      </c>
    </row>
    <row r="3">
      <c r="A3" t="inlineStr">
        <is>
          <t>Ordinary Shares Number</t>
        </is>
      </c>
      <c r="B3" s="3" t="n">
        <v>30750826</v>
      </c>
      <c r="C3" s="3" t="n">
        <v>30747632</v>
      </c>
      <c r="D3" s="3" t="n">
        <v>30747632</v>
      </c>
      <c r="E3" s="3" t="n">
        <v>30743000</v>
      </c>
      <c r="F3" s="3" t="n">
        <v>30743000</v>
      </c>
    </row>
    <row r="4">
      <c r="A4" t="inlineStr">
        <is>
          <t>Share Issued</t>
        </is>
      </c>
      <c r="B4" s="3" t="n">
        <v>31500000</v>
      </c>
      <c r="C4" s="3" t="n">
        <v>31500000</v>
      </c>
      <c r="D4" s="3" t="n">
        <v>31500000</v>
      </c>
      <c r="E4" s="3" t="n">
        <v>31500000</v>
      </c>
      <c r="F4" s="3" t="n">
        <v>31500000</v>
      </c>
    </row>
    <row r="5">
      <c r="A5" t="inlineStr">
        <is>
          <t>Net Debt</t>
        </is>
      </c>
      <c r="B5" s="3" t="n">
        <v>13931000</v>
      </c>
      <c r="C5" s="3" t="n">
        <v>17499000</v>
      </c>
      <c r="D5" s="3" t="n"/>
      <c r="E5" s="3" t="n">
        <v>25744000</v>
      </c>
      <c r="F5" s="3" t="n">
        <v>31177000</v>
      </c>
    </row>
    <row r="6">
      <c r="A6" t="inlineStr">
        <is>
          <t>Total Debt</t>
        </is>
      </c>
      <c r="B6" s="3" t="n">
        <v>60376000</v>
      </c>
      <c r="C6" s="3" t="n">
        <v>65471000</v>
      </c>
      <c r="D6" s="3" t="n">
        <v>18344000</v>
      </c>
      <c r="E6" s="3" t="n">
        <v>60648000</v>
      </c>
      <c r="F6" s="3" t="n">
        <v>72083000</v>
      </c>
    </row>
    <row r="7">
      <c r="A7" t="inlineStr">
        <is>
          <t>Tangible Book Value</t>
        </is>
      </c>
      <c r="B7" s="3" t="n">
        <v>60306000</v>
      </c>
      <c r="C7" s="3" t="n">
        <v>47494000</v>
      </c>
      <c r="D7" s="3" t="n">
        <v>40006000</v>
      </c>
      <c r="E7" s="3" t="n">
        <v>38264000</v>
      </c>
      <c r="F7" s="3" t="n">
        <v>33829000</v>
      </c>
    </row>
    <row r="8">
      <c r="A8" t="inlineStr">
        <is>
          <t>Invested Capital</t>
        </is>
      </c>
      <c r="B8" s="3" t="n">
        <v>188364000</v>
      </c>
      <c r="C8" s="3" t="n">
        <v>179348000</v>
      </c>
      <c r="D8" s="3" t="n">
        <v>130467000</v>
      </c>
      <c r="E8" s="3" t="n">
        <v>170610000</v>
      </c>
      <c r="F8" s="3" t="n">
        <v>176912000</v>
      </c>
    </row>
    <row r="9">
      <c r="A9" t="inlineStr">
        <is>
          <t>Working Capital</t>
        </is>
      </c>
      <c r="B9" s="3" t="n">
        <v>72831000</v>
      </c>
      <c r="C9" s="3" t="n">
        <v>59997000</v>
      </c>
      <c r="D9" s="3" t="n">
        <v>59290000</v>
      </c>
      <c r="E9" s="3" t="n">
        <v>59324000</v>
      </c>
      <c r="F9" s="3" t="n">
        <v>55447000</v>
      </c>
    </row>
    <row r="10">
      <c r="A10" t="inlineStr">
        <is>
          <t>Net Tangible Assets</t>
        </is>
      </c>
      <c r="B10" s="3" t="n">
        <v>60306000</v>
      </c>
      <c r="C10" s="3" t="n">
        <v>47494000</v>
      </c>
      <c r="D10" s="3" t="n">
        <v>40006000</v>
      </c>
      <c r="E10" s="3" t="n">
        <v>38264000</v>
      </c>
      <c r="F10" s="3" t="n">
        <v>33829000</v>
      </c>
    </row>
    <row r="11">
      <c r="A11" t="inlineStr">
        <is>
          <t>Capital Lease Obligations</t>
        </is>
      </c>
      <c r="B11" s="3" t="n">
        <v>18343000</v>
      </c>
      <c r="C11" s="3" t="n">
        <v>18978000</v>
      </c>
      <c r="D11" s="3" t="n">
        <v>18344000</v>
      </c>
      <c r="E11" s="3" t="n">
        <v>18797000</v>
      </c>
      <c r="F11" s="3" t="n">
        <v>19583000</v>
      </c>
    </row>
    <row r="12">
      <c r="A12" t="inlineStr">
        <is>
          <t>Common Stock Equity</t>
        </is>
      </c>
      <c r="B12" s="3" t="n">
        <v>146331000</v>
      </c>
      <c r="C12" s="3" t="n">
        <v>132855000</v>
      </c>
      <c r="D12" s="3" t="n">
        <v>130467000</v>
      </c>
      <c r="E12" s="3" t="n">
        <v>128759000</v>
      </c>
      <c r="F12" s="3" t="n">
        <v>124412000</v>
      </c>
    </row>
    <row r="13">
      <c r="A13" t="inlineStr">
        <is>
          <t>Total Capitalization</t>
        </is>
      </c>
      <c r="B13" s="3" t="n">
        <v>178615000</v>
      </c>
      <c r="C13" s="3" t="n">
        <v>167527000</v>
      </c>
      <c r="D13" s="3" t="n">
        <v>130467000</v>
      </c>
      <c r="E13" s="3" t="n">
        <v>170610000</v>
      </c>
      <c r="F13" s="3" t="n">
        <v>168656000</v>
      </c>
    </row>
    <row r="14">
      <c r="A14" t="inlineStr">
        <is>
          <t>Total Equity Gross Minority Interest</t>
        </is>
      </c>
      <c r="B14" s="3" t="n">
        <v>146331000</v>
      </c>
      <c r="C14" s="3" t="n">
        <v>132855000</v>
      </c>
      <c r="D14" s="3" t="n">
        <v>130467000</v>
      </c>
      <c r="E14" s="3" t="n">
        <v>128759000</v>
      </c>
      <c r="F14" s="3" t="n">
        <v>124412000</v>
      </c>
    </row>
    <row r="15">
      <c r="A15" t="inlineStr">
        <is>
          <t>Stockholders Equity</t>
        </is>
      </c>
      <c r="B15" s="3" t="n">
        <v>146331000</v>
      </c>
      <c r="C15" s="3" t="n">
        <v>132855000</v>
      </c>
      <c r="D15" s="3" t="n">
        <v>130467000</v>
      </c>
      <c r="E15" s="3" t="n">
        <v>128759000</v>
      </c>
      <c r="F15" s="3" t="n">
        <v>124412000</v>
      </c>
    </row>
    <row r="16">
      <c r="A16" t="inlineStr">
        <is>
          <t>Other Equity Interest</t>
        </is>
      </c>
      <c r="B16" s="3" t="n">
        <v>-5012000</v>
      </c>
      <c r="C16" s="3" t="n"/>
      <c r="D16" s="3" t="n">
        <v>-6148000</v>
      </c>
      <c r="E16" s="3" t="n">
        <v>-6150000</v>
      </c>
      <c r="F16" s="3" t="n">
        <v>-4812000</v>
      </c>
    </row>
    <row r="17">
      <c r="A17" t="inlineStr">
        <is>
          <t>Retained Earnings</t>
        </is>
      </c>
      <c r="B17" s="3" t="n">
        <v>103143000</v>
      </c>
      <c r="C17" s="3" t="n">
        <v>89799000</v>
      </c>
      <c r="D17" s="3" t="n">
        <v>95198000</v>
      </c>
      <c r="E17" s="3" t="n">
        <v>93497000</v>
      </c>
      <c r="F17" s="3" t="n">
        <v>88707000</v>
      </c>
    </row>
    <row r="18">
      <c r="A18" t="inlineStr">
        <is>
          <t>Additional Paid In Capital</t>
        </is>
      </c>
      <c r="B18" s="3" t="n">
        <v>17449000</v>
      </c>
      <c r="C18" s="3" t="n">
        <v>17475000</v>
      </c>
      <c r="D18" s="3" t="n">
        <v>10669000</v>
      </c>
      <c r="E18" s="3" t="n">
        <v>10669000</v>
      </c>
      <c r="F18" s="3" t="n">
        <v>10669000</v>
      </c>
    </row>
    <row r="19">
      <c r="A19" t="inlineStr">
        <is>
          <t>Capital Stock</t>
        </is>
      </c>
      <c r="B19" s="3" t="n">
        <v>30751000</v>
      </c>
      <c r="C19" s="3" t="n">
        <v>30748000</v>
      </c>
      <c r="D19" s="3" t="n">
        <v>30748000</v>
      </c>
      <c r="E19" s="3" t="n">
        <v>30743000</v>
      </c>
      <c r="F19" s="3" t="n">
        <v>30743000</v>
      </c>
    </row>
    <row r="20">
      <c r="A20" t="inlineStr">
        <is>
          <t>Common Stock</t>
        </is>
      </c>
      <c r="B20" s="3" t="n">
        <v>30751000</v>
      </c>
      <c r="C20" s="3" t="n">
        <v>30748000</v>
      </c>
      <c r="D20" s="3" t="n">
        <v>30748000</v>
      </c>
      <c r="E20" s="3" t="n">
        <v>30743000</v>
      </c>
      <c r="F20" s="3" t="n">
        <v>30743000</v>
      </c>
    </row>
    <row r="21">
      <c r="A21" t="inlineStr">
        <is>
          <t>Total Liabilities Net Minority Interest</t>
        </is>
      </c>
      <c r="B21" s="3" t="n">
        <v>103717000</v>
      </c>
      <c r="C21" s="3" t="n">
        <v>105200000</v>
      </c>
      <c r="D21" s="3" t="n">
        <v>98113000</v>
      </c>
      <c r="E21" s="3" t="n">
        <v>104294000</v>
      </c>
      <c r="F21" s="3" t="n">
        <v>109177000</v>
      </c>
    </row>
    <row r="22">
      <c r="A22" t="inlineStr">
        <is>
          <t>Total Non Current Liabilities Net Minority Interest</t>
        </is>
      </c>
      <c r="B22" s="3" t="n">
        <v>53180000</v>
      </c>
      <c r="C22" s="3" t="n">
        <v>53772000</v>
      </c>
      <c r="D22" s="3" t="n">
        <v>57986000</v>
      </c>
      <c r="E22" s="3" t="n">
        <v>61449000</v>
      </c>
      <c r="F22" s="3" t="n">
        <v>63754000</v>
      </c>
    </row>
    <row r="23">
      <c r="A23" t="inlineStr">
        <is>
          <t>Other Non Current Liabilities</t>
        </is>
      </c>
      <c r="B23" s="3" t="n">
        <v>-1000</v>
      </c>
      <c r="C23" s="3" t="n">
        <v>-1000</v>
      </c>
      <c r="D23" s="3" t="n">
        <v>39458000</v>
      </c>
      <c r="E23" s="3" t="n"/>
      <c r="F23" s="3" t="n"/>
    </row>
    <row r="24">
      <c r="A24" t="inlineStr">
        <is>
          <t>Non Current Deferred Taxes Liabilities</t>
        </is>
      </c>
      <c r="B24" s="3" t="n">
        <v>3797000</v>
      </c>
      <c r="C24" s="3" t="n">
        <v>1487000</v>
      </c>
      <c r="D24" s="3" t="n">
        <v>909000</v>
      </c>
      <c r="E24" s="3" t="n">
        <v>1746000</v>
      </c>
      <c r="F24" s="3" t="n">
        <v>1404000</v>
      </c>
    </row>
    <row r="25">
      <c r="A25" t="inlineStr">
        <is>
          <t>Long Term Debt And Capital Lease Obligation</t>
        </is>
      </c>
      <c r="B25" s="3" t="n">
        <v>47916000</v>
      </c>
      <c r="C25" s="3" t="n">
        <v>50836000</v>
      </c>
      <c r="D25" s="3" t="n">
        <v>16221000</v>
      </c>
      <c r="E25" s="3" t="n">
        <v>58329000</v>
      </c>
      <c r="F25" s="3" t="n">
        <v>60999000</v>
      </c>
    </row>
    <row r="26">
      <c r="A26" t="inlineStr">
        <is>
          <t>Long Term Capital Lease Obligation</t>
        </is>
      </c>
      <c r="B26" s="3" t="n">
        <v>15632000</v>
      </c>
      <c r="C26" s="3" t="n">
        <v>16164000</v>
      </c>
      <c r="D26" s="3" t="n">
        <v>16221000</v>
      </c>
      <c r="E26" s="3" t="n">
        <v>16478000</v>
      </c>
      <c r="F26" s="3" t="n">
        <v>16755000</v>
      </c>
    </row>
    <row r="27">
      <c r="A27" t="inlineStr">
        <is>
          <t>Long Term Debt</t>
        </is>
      </c>
      <c r="B27" s="3" t="n">
        <v>32284000</v>
      </c>
      <c r="C27" s="3" t="n">
        <v>34672000</v>
      </c>
      <c r="D27" s="3" t="n"/>
      <c r="E27" s="3" t="n">
        <v>41851000</v>
      </c>
      <c r="F27" s="3" t="n">
        <v>44244000</v>
      </c>
    </row>
    <row r="28">
      <c r="A28" t="inlineStr">
        <is>
          <t>Long Term Provisions</t>
        </is>
      </c>
      <c r="B28" s="3" t="n">
        <v>1468000</v>
      </c>
      <c r="C28" s="3" t="n">
        <v>1450000</v>
      </c>
      <c r="D28" s="3" t="n">
        <v>1398000</v>
      </c>
      <c r="E28" s="3" t="n">
        <v>1374000</v>
      </c>
      <c r="F28" s="3" t="n">
        <v>1351000</v>
      </c>
    </row>
    <row r="29">
      <c r="A29" t="inlineStr">
        <is>
          <t>Current Liabilities</t>
        </is>
      </c>
      <c r="B29" s="3" t="n">
        <v>50537000</v>
      </c>
      <c r="C29" s="3" t="n">
        <v>51428000</v>
      </c>
      <c r="D29" s="3" t="n">
        <v>40127000</v>
      </c>
      <c r="E29" s="3" t="n">
        <v>42845000</v>
      </c>
      <c r="F29" s="3" t="n">
        <v>45423000</v>
      </c>
    </row>
    <row r="30">
      <c r="A30" t="inlineStr">
        <is>
          <t>Other Current Liabilities</t>
        </is>
      </c>
      <c r="B30" s="3" t="n">
        <v>4975000</v>
      </c>
      <c r="C30" s="3" t="n">
        <v>5797000</v>
      </c>
      <c r="D30" s="3" t="n">
        <v>5245000</v>
      </c>
      <c r="E30" s="3" t="n">
        <v>6609000</v>
      </c>
      <c r="F30" s="3" t="n">
        <v>11634000</v>
      </c>
    </row>
    <row r="31">
      <c r="A31" t="inlineStr">
        <is>
          <t>Current Debt And Capital Lease Obligation</t>
        </is>
      </c>
      <c r="B31" s="3" t="n">
        <v>12460000</v>
      </c>
      <c r="C31" s="3" t="n">
        <v>14635000</v>
      </c>
      <c r="D31" s="3" t="n">
        <v>2123000</v>
      </c>
      <c r="E31" s="3" t="n">
        <v>2319000</v>
      </c>
      <c r="F31" s="3" t="n">
        <v>11084000</v>
      </c>
    </row>
    <row r="32">
      <c r="A32" t="inlineStr">
        <is>
          <t>Current Capital Lease Obligation</t>
        </is>
      </c>
      <c r="B32" s="3" t="n">
        <v>2711000</v>
      </c>
      <c r="C32" s="3" t="n">
        <v>2814000</v>
      </c>
      <c r="D32" s="3" t="n">
        <v>2123000</v>
      </c>
      <c r="E32" s="3" t="n">
        <v>2319000</v>
      </c>
      <c r="F32" s="3" t="n">
        <v>2828000</v>
      </c>
    </row>
    <row r="33">
      <c r="A33" t="inlineStr">
        <is>
          <t>Current Debt</t>
        </is>
      </c>
      <c r="B33" s="3" t="n">
        <v>9749000</v>
      </c>
      <c r="C33" s="3" t="n">
        <v>11821000</v>
      </c>
      <c r="D33" s="3" t="n"/>
      <c r="E33" s="3" t="n"/>
      <c r="F33" s="3" t="n">
        <v>8256000</v>
      </c>
    </row>
    <row r="34">
      <c r="A34" t="inlineStr">
        <is>
          <t>Pensionand Other Post Retirement Benefit Plans Current</t>
        </is>
      </c>
      <c r="B34" s="3" t="n"/>
      <c r="C34" s="3" t="n">
        <v>6963000</v>
      </c>
      <c r="D34" s="3" t="n"/>
      <c r="E34" s="3" t="n"/>
      <c r="F34" s="3" t="n">
        <v>5064000</v>
      </c>
    </row>
    <row r="35">
      <c r="A35" t="inlineStr">
        <is>
          <t>Current Provisions</t>
        </is>
      </c>
      <c r="B35" s="3" t="n">
        <v>8308000</v>
      </c>
      <c r="C35" s="3" t="n">
        <v>1560000</v>
      </c>
      <c r="D35" s="3" t="n"/>
      <c r="E35" s="3" t="n"/>
      <c r="F35" s="3" t="n">
        <v>1748000</v>
      </c>
    </row>
    <row r="36">
      <c r="A36" t="inlineStr">
        <is>
          <t>Payables</t>
        </is>
      </c>
      <c r="B36" s="3" t="n">
        <v>24535000</v>
      </c>
      <c r="C36" s="3" t="n">
        <v>22270000</v>
      </c>
      <c r="D36" s="3" t="n">
        <v>15413000</v>
      </c>
      <c r="E36" s="3" t="n">
        <v>18834000</v>
      </c>
      <c r="F36" s="3" t="n">
        <v>15732000</v>
      </c>
    </row>
    <row r="37">
      <c r="A37" t="inlineStr">
        <is>
          <t>Total Tax Payable</t>
        </is>
      </c>
      <c r="B37" s="3" t="n">
        <v>4916000</v>
      </c>
      <c r="C37" s="3" t="n">
        <v>2763000</v>
      </c>
      <c r="D37" s="3" t="n">
        <v>2461000</v>
      </c>
      <c r="E37" s="3" t="n">
        <v>2226000</v>
      </c>
      <c r="F37" s="3" t="n">
        <v>1863000</v>
      </c>
    </row>
    <row r="38">
      <c r="A38" t="inlineStr">
        <is>
          <t>Accounts Payable</t>
        </is>
      </c>
      <c r="B38" s="3" t="n">
        <v>19619000</v>
      </c>
      <c r="C38" s="3" t="n">
        <v>19507000</v>
      </c>
      <c r="D38" s="3" t="n">
        <v>12952000</v>
      </c>
      <c r="E38" s="3" t="n">
        <v>16608000</v>
      </c>
      <c r="F38" s="3" t="n">
        <v>13869000</v>
      </c>
    </row>
    <row r="39">
      <c r="A39" t="inlineStr">
        <is>
          <t>Total Assets</t>
        </is>
      </c>
      <c r="B39" s="3" t="n">
        <v>250048000</v>
      </c>
      <c r="C39" s="3" t="n">
        <v>238055000</v>
      </c>
      <c r="D39" s="3" t="n">
        <v>228580000</v>
      </c>
      <c r="E39" s="3" t="n">
        <v>233053000</v>
      </c>
      <c r="F39" s="3" t="n">
        <v>233589000</v>
      </c>
    </row>
    <row r="40">
      <c r="A40" t="inlineStr">
        <is>
          <t>Total Non Current Assets</t>
        </is>
      </c>
      <c r="B40" s="3" t="n">
        <v>126680000</v>
      </c>
      <c r="C40" s="3" t="n">
        <v>126630000</v>
      </c>
      <c r="D40" s="3" t="n">
        <v>129163000</v>
      </c>
      <c r="E40" s="3" t="n">
        <v>130884000</v>
      </c>
      <c r="F40" s="3" t="n">
        <v>132719000</v>
      </c>
    </row>
    <row r="41">
      <c r="A41" t="inlineStr">
        <is>
          <t>Other Non Current Assets</t>
        </is>
      </c>
      <c r="B41" s="3" t="n">
        <v>99000</v>
      </c>
      <c r="C41" s="3" t="n">
        <v>105000</v>
      </c>
      <c r="D41" s="3" t="n">
        <v>200000</v>
      </c>
      <c r="E41" s="3" t="n">
        <v>205000</v>
      </c>
      <c r="F41" s="3" t="n">
        <v>113000</v>
      </c>
    </row>
    <row r="42">
      <c r="A42" t="inlineStr">
        <is>
          <t>Non Current Deferred Taxes Assets</t>
        </is>
      </c>
      <c r="B42" s="3" t="n">
        <v>1822000</v>
      </c>
      <c r="C42" s="3" t="n">
        <v>1741000</v>
      </c>
      <c r="D42" s="3" t="n">
        <v>2485000</v>
      </c>
      <c r="E42" s="3" t="n">
        <v>2649000</v>
      </c>
      <c r="F42" s="3" t="n">
        <v>3163000</v>
      </c>
    </row>
    <row r="43">
      <c r="A43" t="inlineStr">
        <is>
          <t>Investmentin Financial Assets</t>
        </is>
      </c>
      <c r="B43" s="3" t="n">
        <v>5086000</v>
      </c>
      <c r="C43" s="3" t="n">
        <v>594000</v>
      </c>
      <c r="D43" s="3" t="n">
        <v>7414000</v>
      </c>
      <c r="E43" s="3" t="n">
        <v>7254000</v>
      </c>
      <c r="F43" s="3" t="n">
        <v>7197000</v>
      </c>
    </row>
    <row r="44">
      <c r="A44" t="inlineStr">
        <is>
          <t>Available For Sale Securities</t>
        </is>
      </c>
      <c r="B44" s="3" t="n">
        <v>5086000</v>
      </c>
      <c r="C44" s="3" t="n">
        <v>594000</v>
      </c>
      <c r="D44" s="3" t="n">
        <v>7414000</v>
      </c>
      <c r="E44" s="3" t="n">
        <v>7254000</v>
      </c>
      <c r="F44" s="3" t="n">
        <v>7197000</v>
      </c>
    </row>
    <row r="45">
      <c r="A45" t="inlineStr">
        <is>
          <t>Long Term Equity Investment</t>
        </is>
      </c>
      <c r="B45" s="3" t="n">
        <v>0</v>
      </c>
      <c r="C45" s="3" t="n">
        <v>0</v>
      </c>
      <c r="D45" s="3" t="n">
        <v>0</v>
      </c>
      <c r="E45" s="3" t="n">
        <v>336000</v>
      </c>
      <c r="F45" s="3" t="n">
        <v>336000</v>
      </c>
    </row>
    <row r="46">
      <c r="A46" t="inlineStr">
        <is>
          <t>Goodwill And Other Intangible Assets</t>
        </is>
      </c>
      <c r="B46" s="3" t="n">
        <v>86025000</v>
      </c>
      <c r="C46" s="3" t="n">
        <v>85361000</v>
      </c>
      <c r="D46" s="3" t="n">
        <v>90461000</v>
      </c>
      <c r="E46" s="3" t="n">
        <v>90495000</v>
      </c>
      <c r="F46" s="3" t="n">
        <v>90583000</v>
      </c>
    </row>
    <row r="47">
      <c r="A47" t="inlineStr">
        <is>
          <t>Other Intangible Assets</t>
        </is>
      </c>
      <c r="B47" s="3" t="n">
        <v>39383000</v>
      </c>
      <c r="C47" s="3" t="n">
        <v>39286000</v>
      </c>
      <c r="D47" s="3" t="n">
        <v>41176000</v>
      </c>
      <c r="E47" s="3" t="n">
        <v>41226000</v>
      </c>
      <c r="F47" s="3" t="n">
        <v>41152000</v>
      </c>
    </row>
    <row r="48">
      <c r="A48" t="inlineStr">
        <is>
          <t>Goodwill</t>
        </is>
      </c>
      <c r="B48" s="3" t="n">
        <v>46642000</v>
      </c>
      <c r="C48" s="3" t="n">
        <v>46075000</v>
      </c>
      <c r="D48" s="3" t="n">
        <v>49285000</v>
      </c>
      <c r="E48" s="3" t="n">
        <v>49269000</v>
      </c>
      <c r="F48" s="3" t="n">
        <v>49431000</v>
      </c>
    </row>
    <row r="49">
      <c r="A49" t="inlineStr">
        <is>
          <t>Net PPE</t>
        </is>
      </c>
      <c r="B49" s="3" t="n">
        <v>33648000</v>
      </c>
      <c r="C49" s="3" t="n">
        <v>34538000</v>
      </c>
      <c r="D49" s="3" t="n">
        <v>28603000</v>
      </c>
      <c r="E49" s="3" t="n">
        <v>29945000</v>
      </c>
      <c r="F49" s="3" t="n">
        <v>31327000</v>
      </c>
    </row>
    <row r="50">
      <c r="A50" t="inlineStr">
        <is>
          <t>Accumulated Depreciation</t>
        </is>
      </c>
      <c r="B50" s="3" t="n"/>
      <c r="C50" s="3" t="n">
        <v>-56324000</v>
      </c>
      <c r="D50" s="3" t="n"/>
      <c r="E50" s="3" t="n"/>
      <c r="F50" s="3" t="n">
        <v>-27354000</v>
      </c>
    </row>
    <row r="51">
      <c r="A51" t="inlineStr">
        <is>
          <t>Gross PPE</t>
        </is>
      </c>
      <c r="B51" s="3" t="n">
        <v>33648000</v>
      </c>
      <c r="C51" s="3" t="n">
        <v>90862000</v>
      </c>
      <c r="D51" s="3" t="n">
        <v>28603000</v>
      </c>
      <c r="E51" s="3" t="n">
        <v>29945000</v>
      </c>
      <c r="F51" s="3" t="n">
        <v>58681000</v>
      </c>
    </row>
    <row r="52">
      <c r="A52" t="inlineStr">
        <is>
          <t>Construction In Progress</t>
        </is>
      </c>
      <c r="B52" s="3" t="n"/>
      <c r="C52" s="3" t="n">
        <v>186000</v>
      </c>
      <c r="D52" s="3" t="n"/>
      <c r="E52" s="3" t="n"/>
      <c r="F52" s="3" t="n">
        <v>53000</v>
      </c>
    </row>
    <row r="53">
      <c r="A53" t="inlineStr">
        <is>
          <t>Other Properties</t>
        </is>
      </c>
      <c r="B53" s="3" t="n">
        <v>33648000</v>
      </c>
      <c r="C53" s="3" t="n">
        <v>50353000</v>
      </c>
      <c r="D53" s="3" t="n">
        <v>28603000</v>
      </c>
      <c r="E53" s="3" t="n">
        <v>29945000</v>
      </c>
      <c r="F53" s="3" t="n">
        <v>19078000</v>
      </c>
    </row>
    <row r="54">
      <c r="A54" t="inlineStr">
        <is>
          <t>Machinery Furniture Equipment</t>
        </is>
      </c>
      <c r="B54" s="3" t="n"/>
      <c r="C54" s="3" t="n">
        <v>32997000</v>
      </c>
      <c r="D54" s="3" t="n"/>
      <c r="E54" s="3" t="n"/>
      <c r="F54" s="3" t="n">
        <v>32373000</v>
      </c>
    </row>
    <row r="55">
      <c r="A55" t="inlineStr">
        <is>
          <t>Buildings And Improvements</t>
        </is>
      </c>
      <c r="B55" s="3" t="n"/>
      <c r="C55" s="3" t="n"/>
      <c r="D55" s="3" t="n"/>
      <c r="E55" s="3" t="n"/>
      <c r="F55" s="3" t="n">
        <v>42846000</v>
      </c>
    </row>
    <row r="56">
      <c r="A56" t="inlineStr">
        <is>
          <t>Land And Improvements</t>
        </is>
      </c>
      <c r="B56" s="3" t="n"/>
      <c r="C56" s="3" t="n">
        <v>7326000</v>
      </c>
      <c r="D56" s="3" t="n"/>
      <c r="E56" s="3" t="n"/>
      <c r="F56" s="3" t="n">
        <v>7177000</v>
      </c>
    </row>
    <row r="57">
      <c r="A57" t="inlineStr">
        <is>
          <t>Properties</t>
        </is>
      </c>
      <c r="B57" s="3" t="n"/>
      <c r="C57" s="3" t="n">
        <v>0</v>
      </c>
      <c r="D57" s="3" t="n"/>
      <c r="E57" s="3" t="n"/>
      <c r="F57" s="3" t="n">
        <v>0</v>
      </c>
    </row>
    <row r="58">
      <c r="A58" t="inlineStr">
        <is>
          <t>Current Assets</t>
        </is>
      </c>
      <c r="B58" s="3" t="n">
        <v>123368000</v>
      </c>
      <c r="C58" s="3" t="n">
        <v>111425000</v>
      </c>
      <c r="D58" s="3" t="n">
        <v>99417000</v>
      </c>
      <c r="E58" s="3" t="n">
        <v>102169000</v>
      </c>
      <c r="F58" s="3" t="n">
        <v>100870000</v>
      </c>
    </row>
    <row r="59">
      <c r="A59" t="inlineStr">
        <is>
          <t>Other Current Assets</t>
        </is>
      </c>
      <c r="B59" s="3" t="n">
        <v>7763000</v>
      </c>
      <c r="C59" s="3" t="n">
        <v>2422000</v>
      </c>
      <c r="D59" s="3" t="n">
        <v>8921000</v>
      </c>
      <c r="E59" s="3" t="n">
        <v>8932000</v>
      </c>
      <c r="F59" s="3" t="n">
        <v>3844000</v>
      </c>
    </row>
    <row r="60">
      <c r="A60" t="inlineStr">
        <is>
          <t>Current Deferred Assets</t>
        </is>
      </c>
      <c r="B60" s="3" t="n"/>
      <c r="C60" s="3" t="n">
        <v>2240000</v>
      </c>
      <c r="D60" s="3" t="n"/>
      <c r="E60" s="3" t="n"/>
      <c r="F60" s="3" t="n"/>
    </row>
    <row r="61">
      <c r="A61" t="inlineStr">
        <is>
          <t>Prepaid Assets</t>
        </is>
      </c>
      <c r="B61" s="3" t="n"/>
      <c r="C61" s="3" t="n">
        <v>599000</v>
      </c>
      <c r="D61" s="3" t="n"/>
      <c r="E61" s="3" t="n"/>
      <c r="F61" s="3" t="n">
        <v>242000</v>
      </c>
    </row>
    <row r="62">
      <c r="A62" t="inlineStr">
        <is>
          <t>Inventory</t>
        </is>
      </c>
      <c r="B62" s="3" t="n">
        <v>34586000</v>
      </c>
      <c r="C62" s="3" t="n">
        <v>32727000</v>
      </c>
      <c r="D62" s="3" t="n">
        <v>33529000</v>
      </c>
      <c r="E62" s="3" t="n">
        <v>35260000</v>
      </c>
      <c r="F62" s="3" t="n">
        <v>38806000</v>
      </c>
    </row>
    <row r="63">
      <c r="A63" t="inlineStr">
        <is>
          <t>Finished Goods</t>
        </is>
      </c>
      <c r="B63" s="3" t="n"/>
      <c r="C63" s="3" t="n">
        <v>14041000</v>
      </c>
      <c r="D63" s="3" t="n"/>
      <c r="E63" s="3" t="n"/>
      <c r="F63" s="3" t="n">
        <v>13307000</v>
      </c>
    </row>
    <row r="64">
      <c r="A64" t="inlineStr">
        <is>
          <t>Work In Process</t>
        </is>
      </c>
      <c r="B64" s="3" t="n"/>
      <c r="C64" s="3" t="n">
        <v>2836000</v>
      </c>
      <c r="D64" s="3" t="n"/>
      <c r="E64" s="3" t="n"/>
      <c r="F64" s="3" t="n">
        <v>1943000</v>
      </c>
    </row>
    <row r="65">
      <c r="A65" t="inlineStr">
        <is>
          <t>Raw Materials</t>
        </is>
      </c>
      <c r="B65" s="3" t="n"/>
      <c r="C65" s="3" t="n">
        <v>15850000</v>
      </c>
      <c r="D65" s="3" t="n"/>
      <c r="E65" s="3" t="n"/>
      <c r="F65" s="3" t="n">
        <v>23556000</v>
      </c>
    </row>
    <row r="66">
      <c r="A66" t="inlineStr">
        <is>
          <t>Other Receivables</t>
        </is>
      </c>
      <c r="B66" s="3" t="n"/>
      <c r="C66" s="3" t="n"/>
      <c r="D66" s="3" t="n"/>
      <c r="E66" s="3" t="n"/>
      <c r="F66" s="3" t="n">
        <v>4564000</v>
      </c>
    </row>
    <row r="67">
      <c r="A67" t="inlineStr">
        <is>
          <t>Taxes Receivable</t>
        </is>
      </c>
      <c r="B67" s="3" t="n">
        <v>170000</v>
      </c>
      <c r="C67" s="3" t="n">
        <v>1890000</v>
      </c>
      <c r="D67" s="3" t="n">
        <v>1465000</v>
      </c>
      <c r="E67" s="3" t="n">
        <v>1411000</v>
      </c>
      <c r="F67" s="3" t="n">
        <v>2763000</v>
      </c>
    </row>
    <row r="68">
      <c r="A68" t="inlineStr">
        <is>
          <t>Accounts Receivable</t>
        </is>
      </c>
      <c r="B68" s="3" t="n">
        <v>48565000</v>
      </c>
      <c r="C68" s="3" t="n">
        <v>39066000</v>
      </c>
      <c r="D68" s="3" t="n">
        <v>33401000</v>
      </c>
      <c r="E68" s="3" t="n">
        <v>38725000</v>
      </c>
      <c r="F68" s="3" t="n">
        <v>28390000</v>
      </c>
    </row>
    <row r="69">
      <c r="A69" t="inlineStr">
        <is>
          <t>Cash Cash Equivalents And Short Term Investments</t>
        </is>
      </c>
      <c r="B69" s="3" t="n">
        <v>32284000</v>
      </c>
      <c r="C69" s="3" t="n">
        <v>32481000</v>
      </c>
      <c r="D69" s="3" t="n">
        <v>22101000</v>
      </c>
      <c r="E69" s="3" t="n">
        <v>17841000</v>
      </c>
      <c r="F69" s="3" t="n">
        <v>22261000</v>
      </c>
    </row>
    <row r="70">
      <c r="A70" t="inlineStr">
        <is>
          <t>Other Short Term Investments</t>
        </is>
      </c>
      <c r="B70" s="3" t="n">
        <v>4182000</v>
      </c>
      <c r="C70" s="3" t="n">
        <v>3487000</v>
      </c>
      <c r="D70" s="3" t="n">
        <v>3207000</v>
      </c>
      <c r="E70" s="3" t="n">
        <v>1734000</v>
      </c>
      <c r="F70" s="3" t="n">
        <v>938000</v>
      </c>
    </row>
    <row r="71">
      <c r="A71" t="inlineStr">
        <is>
          <t>Cash And Cash Equivalents</t>
        </is>
      </c>
      <c r="B71" s="3" t="n">
        <v>28102000</v>
      </c>
      <c r="C71" s="3" t="n">
        <v>28994000</v>
      </c>
      <c r="D71" s="3" t="n">
        <v>18894000</v>
      </c>
      <c r="E71" s="3" t="n">
        <v>16107000</v>
      </c>
      <c r="F71" s="3" t="n">
        <v>21323000</v>
      </c>
    </row>
    <row r="72">
      <c r="A72" t="inlineStr">
        <is>
          <t>Cash Financial</t>
        </is>
      </c>
      <c r="B72" s="3" t="n">
        <v>28102000</v>
      </c>
      <c r="C72" s="3" t="n">
        <v>28994000</v>
      </c>
      <c r="D72" s="3" t="n">
        <v>18894000</v>
      </c>
      <c r="E72" s="3" t="n">
        <v>16107000</v>
      </c>
      <c r="F72" s="3" t="n">
        <v>21323000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19863000</v>
      </c>
      <c r="C2" s="3" t="n">
        <v>5611000</v>
      </c>
      <c r="D2" s="3" t="n">
        <v>-9304000</v>
      </c>
      <c r="E2" s="3" t="n">
        <v>-17572000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-2731000</v>
      </c>
      <c r="F3" s="3" t="n">
        <v>-3916000</v>
      </c>
    </row>
    <row r="4">
      <c r="A4" t="inlineStr">
        <is>
          <t>Repayment Of Debt</t>
        </is>
      </c>
      <c r="B4" s="3" t="n">
        <v>-6101000</v>
      </c>
      <c r="C4" s="3" t="n">
        <v>-8295000</v>
      </c>
      <c r="D4" s="3" t="n">
        <v>-3356000</v>
      </c>
      <c r="E4" s="3" t="n">
        <v>-7910000</v>
      </c>
      <c r="F4" s="3" t="n"/>
    </row>
    <row r="5">
      <c r="A5" t="inlineStr">
        <is>
          <t>Issuance Of Debt</t>
        </is>
      </c>
      <c r="B5" s="3" t="n">
        <v>0</v>
      </c>
      <c r="C5" s="3" t="n">
        <v>780000</v>
      </c>
      <c r="D5" s="3" t="n">
        <v>8000000</v>
      </c>
      <c r="E5" s="3" t="n">
        <v>26800000</v>
      </c>
      <c r="F5" s="3" t="n"/>
    </row>
    <row r="6">
      <c r="A6" t="inlineStr">
        <is>
          <t>Issuance Of Capital Stock</t>
        </is>
      </c>
      <c r="B6" s="3" t="n"/>
      <c r="C6" s="3" t="n">
        <v>0</v>
      </c>
      <c r="D6" s="3" t="n">
        <v>17669000</v>
      </c>
      <c r="E6" s="3" t="n">
        <v>0</v>
      </c>
      <c r="F6" s="3" t="n">
        <v>83000</v>
      </c>
    </row>
    <row r="7">
      <c r="A7" t="inlineStr">
        <is>
          <t>Capital Expenditure</t>
        </is>
      </c>
      <c r="B7" s="3" t="n">
        <v>-10266000</v>
      </c>
      <c r="C7" s="3" t="n">
        <v>-10722000</v>
      </c>
      <c r="D7" s="3" t="n">
        <v>-13505000</v>
      </c>
      <c r="E7" s="3" t="n">
        <v>-29974000</v>
      </c>
      <c r="F7" s="3" t="n"/>
    </row>
    <row r="8">
      <c r="A8" t="inlineStr">
        <is>
          <t>End Cash Position</t>
        </is>
      </c>
      <c r="B8" s="3" t="n">
        <v>28995000</v>
      </c>
      <c r="C8" s="3" t="n">
        <v>21322000</v>
      </c>
      <c r="D8" s="3" t="n">
        <v>32228000</v>
      </c>
      <c r="E8" s="3" t="n">
        <v>28701000</v>
      </c>
      <c r="F8" s="3" t="n"/>
    </row>
    <row r="9">
      <c r="A9" t="inlineStr">
        <is>
          <t>Other Cash Adjustment Outside Changein Cash</t>
        </is>
      </c>
      <c r="B9" s="3" t="n">
        <v>1000</v>
      </c>
      <c r="C9" s="3" t="n"/>
      <c r="D9" s="3" t="n">
        <v>1000</v>
      </c>
      <c r="E9" s="3" t="n"/>
      <c r="F9" s="3" t="n"/>
    </row>
    <row r="10">
      <c r="A10" t="inlineStr">
        <is>
          <t>Beginning Cash Position</t>
        </is>
      </c>
      <c r="B10" s="3" t="n">
        <v>21323000</v>
      </c>
      <c r="C10" s="3" t="n">
        <v>32228000</v>
      </c>
      <c r="D10" s="3" t="n">
        <v>28701000</v>
      </c>
      <c r="E10" s="3" t="n">
        <v>54831000</v>
      </c>
      <c r="F10" s="3" t="n"/>
    </row>
    <row r="11">
      <c r="A11" t="inlineStr">
        <is>
          <t>Effect Of Exchange Rate Changes</t>
        </is>
      </c>
      <c r="B11" s="3" t="n">
        <v>-1541000</v>
      </c>
      <c r="C11" s="3" t="n">
        <v>55000</v>
      </c>
      <c r="D11" s="3" t="n">
        <v>-301000</v>
      </c>
      <c r="E11" s="3" t="n"/>
      <c r="F11" s="3" t="n"/>
    </row>
    <row r="12">
      <c r="A12" t="inlineStr">
        <is>
          <t>Changes In Cash</t>
        </is>
      </c>
      <c r="B12" s="3" t="n">
        <v>9212000</v>
      </c>
      <c r="C12" s="3" t="n">
        <v>-10961000</v>
      </c>
      <c r="D12" s="3" t="n">
        <v>3828000</v>
      </c>
      <c r="E12" s="3" t="n">
        <v>-26130000</v>
      </c>
      <c r="F12" s="3" t="n"/>
    </row>
    <row r="13">
      <c r="A13" t="inlineStr">
        <is>
          <t>Financing Cash Flow</t>
        </is>
      </c>
      <c r="B13" s="3" t="n">
        <v>-10845000</v>
      </c>
      <c r="C13" s="3" t="n">
        <v>-12325000</v>
      </c>
      <c r="D13" s="3" t="n">
        <v>12737000</v>
      </c>
      <c r="E13" s="3" t="n">
        <v>5658000</v>
      </c>
      <c r="F13" s="3" t="n"/>
    </row>
    <row r="14">
      <c r="A14" t="inlineStr">
        <is>
          <t>Interest Paid Cff</t>
        </is>
      </c>
      <c r="B14" s="3" t="n">
        <v>-1573000</v>
      </c>
      <c r="C14" s="3" t="n">
        <v>-1821000</v>
      </c>
      <c r="D14" s="3" t="n">
        <v>-1933000</v>
      </c>
      <c r="E14" s="3" t="n">
        <v>-1180000</v>
      </c>
      <c r="F14" s="3" t="n"/>
    </row>
    <row r="15">
      <c r="A15" t="inlineStr">
        <is>
          <t>Cash Dividends Paid</t>
        </is>
      </c>
      <c r="B15" s="3" t="n"/>
      <c r="C15" s="3" t="n"/>
      <c r="D15" s="3" t="n">
        <v>-4232000</v>
      </c>
      <c r="E15" s="3" t="n">
        <v>-6184000</v>
      </c>
      <c r="F15" s="3" t="n">
        <v>-5801000</v>
      </c>
    </row>
    <row r="16">
      <c r="A16" t="inlineStr">
        <is>
          <t>Net Common Stock Issuance</t>
        </is>
      </c>
      <c r="B16" s="3" t="n"/>
      <c r="C16" s="3" t="n">
        <v>0</v>
      </c>
      <c r="D16" s="3" t="n">
        <v>17669000</v>
      </c>
      <c r="E16" s="3" t="n">
        <v>-2731000</v>
      </c>
      <c r="F16" s="3" t="n">
        <v>-3833000</v>
      </c>
    </row>
    <row r="17">
      <c r="A17" t="inlineStr">
        <is>
          <t>Common Stock Payments</t>
        </is>
      </c>
      <c r="B17" s="3" t="n"/>
      <c r="C17" s="3" t="n"/>
      <c r="D17" s="3" t="n">
        <v>0</v>
      </c>
      <c r="E17" s="3" t="n">
        <v>-2731000</v>
      </c>
      <c r="F17" s="3" t="n">
        <v>-3916000</v>
      </c>
    </row>
    <row r="18">
      <c r="A18" t="inlineStr">
        <is>
          <t>Common Stock Issuance</t>
        </is>
      </c>
      <c r="B18" s="3" t="n"/>
      <c r="C18" s="3" t="n">
        <v>0</v>
      </c>
      <c r="D18" s="3" t="n">
        <v>17669000</v>
      </c>
      <c r="E18" s="3" t="n">
        <v>0</v>
      </c>
      <c r="F18" s="3" t="n">
        <v>83000</v>
      </c>
    </row>
    <row r="19">
      <c r="A19" t="inlineStr">
        <is>
          <t>Net Issuance Payments Of Debt</t>
        </is>
      </c>
      <c r="B19" s="3" t="n">
        <v>-6101000</v>
      </c>
      <c r="C19" s="3" t="n">
        <v>-7515000</v>
      </c>
      <c r="D19" s="3" t="n">
        <v>4644000</v>
      </c>
      <c r="E19" s="3" t="n">
        <v>18890000</v>
      </c>
      <c r="F19" s="3" t="n"/>
    </row>
    <row r="20">
      <c r="A20" t="inlineStr">
        <is>
          <t>Net Long Term Debt Issuance</t>
        </is>
      </c>
      <c r="B20" s="3" t="n">
        <v>-6101000</v>
      </c>
      <c r="C20" s="3" t="n">
        <v>-7515000</v>
      </c>
      <c r="D20" s="3" t="n">
        <v>4644000</v>
      </c>
      <c r="E20" s="3" t="n">
        <v>18890000</v>
      </c>
      <c r="F20" s="3" t="n"/>
    </row>
    <row r="21">
      <c r="A21" t="inlineStr">
        <is>
          <t>Long Term Debt Payments</t>
        </is>
      </c>
      <c r="B21" s="3" t="n">
        <v>-6101000</v>
      </c>
      <c r="C21" s="3" t="n">
        <v>-8295000</v>
      </c>
      <c r="D21" s="3" t="n">
        <v>-3356000</v>
      </c>
      <c r="E21" s="3" t="n">
        <v>-7910000</v>
      </c>
      <c r="F21" s="3" t="n"/>
    </row>
    <row r="22">
      <c r="A22" t="inlineStr">
        <is>
          <t>Long Term Debt Issuance</t>
        </is>
      </c>
      <c r="B22" s="3" t="n">
        <v>0</v>
      </c>
      <c r="C22" s="3" t="n">
        <v>780000</v>
      </c>
      <c r="D22" s="3" t="n">
        <v>8000000</v>
      </c>
      <c r="E22" s="3" t="n">
        <v>26800000</v>
      </c>
      <c r="F22" s="3" t="n"/>
    </row>
    <row r="23">
      <c r="A23" t="inlineStr">
        <is>
          <t>Investing Cash Flow</t>
        </is>
      </c>
      <c r="B23" s="3" t="n">
        <v>-10072000</v>
      </c>
      <c r="C23" s="3" t="n">
        <v>-14969000</v>
      </c>
      <c r="D23" s="3" t="n">
        <v>-13110000</v>
      </c>
      <c r="E23" s="3" t="n">
        <v>-44190000</v>
      </c>
      <c r="F23" s="3" t="n"/>
    </row>
    <row r="24">
      <c r="A24" t="inlineStr">
        <is>
          <t>Net Other Investing Changes</t>
        </is>
      </c>
      <c r="B24" s="3" t="n">
        <v>-1000</v>
      </c>
      <c r="C24" s="3" t="n">
        <v>1000</v>
      </c>
      <c r="D24" s="3" t="n">
        <v>438000</v>
      </c>
      <c r="E24" s="3" t="n">
        <v>-14216000</v>
      </c>
      <c r="F24" s="3" t="n"/>
    </row>
    <row r="25">
      <c r="A25" t="inlineStr">
        <is>
          <t>Interest Received Cfi</t>
        </is>
      </c>
      <c r="B25" s="3" t="n">
        <v>122000</v>
      </c>
      <c r="C25" s="3" t="n">
        <v>346000</v>
      </c>
      <c r="D25" s="3" t="n">
        <v>330000</v>
      </c>
      <c r="E25" s="3" t="n"/>
      <c r="F25" s="3" t="n"/>
    </row>
    <row r="26">
      <c r="A26" t="inlineStr">
        <is>
          <t>Dividends Received Cfi</t>
        </is>
      </c>
      <c r="B26" s="3" t="n">
        <v>0</v>
      </c>
      <c r="C26" s="3" t="n">
        <v>0</v>
      </c>
      <c r="D26" s="3" t="n"/>
      <c r="E26" s="3" t="n"/>
      <c r="F26" s="3" t="n"/>
    </row>
    <row r="27">
      <c r="A27" t="inlineStr">
        <is>
          <t>Net Investment Purchase And Sale</t>
        </is>
      </c>
      <c r="B27" s="3" t="n">
        <v>-59000</v>
      </c>
      <c r="C27" s="3" t="n">
        <v>-778000</v>
      </c>
      <c r="D27" s="3" t="n"/>
      <c r="E27" s="3" t="n"/>
      <c r="F27" s="3" t="n"/>
    </row>
    <row r="28">
      <c r="A28" t="inlineStr">
        <is>
          <t>Sale Of Investment</t>
        </is>
      </c>
      <c r="B28" s="3" t="n">
        <v>139000</v>
      </c>
      <c r="C28" s="3" t="n">
        <v>0</v>
      </c>
      <c r="D28" s="3" t="n"/>
      <c r="E28" s="3" t="n"/>
      <c r="F28" s="3" t="n"/>
    </row>
    <row r="29">
      <c r="A29" t="inlineStr">
        <is>
          <t>Purchase Of Investment</t>
        </is>
      </c>
      <c r="B29" s="3" t="n">
        <v>-198000</v>
      </c>
      <c r="C29" s="3" t="n">
        <v>-778000</v>
      </c>
      <c r="D29" s="3" t="n"/>
      <c r="E29" s="3" t="n"/>
      <c r="F29" s="3" t="n"/>
    </row>
    <row r="30">
      <c r="A30" t="inlineStr">
        <is>
          <t>Net Business Purchase And Sale</t>
        </is>
      </c>
      <c r="B30" s="3" t="n">
        <v>0</v>
      </c>
      <c r="C30" s="3" t="n">
        <v>-4173000</v>
      </c>
      <c r="D30" s="3" t="n">
        <v>-373000</v>
      </c>
      <c r="E30" s="3" t="n">
        <v>0</v>
      </c>
      <c r="F30" s="3" t="n"/>
    </row>
    <row r="31">
      <c r="A31" t="inlineStr">
        <is>
          <t>Purchase Of Business</t>
        </is>
      </c>
      <c r="B31" s="3" t="n">
        <v>0</v>
      </c>
      <c r="C31" s="3" t="n">
        <v>-4173000</v>
      </c>
      <c r="D31" s="3" t="n">
        <v>-373000</v>
      </c>
      <c r="E31" s="3" t="n">
        <v>0</v>
      </c>
      <c r="F31" s="3" t="n"/>
    </row>
    <row r="32">
      <c r="A32" t="inlineStr">
        <is>
          <t>Net Intangibles Purchase And Sale</t>
        </is>
      </c>
      <c r="B32" s="3" t="n">
        <v>-8726000</v>
      </c>
      <c r="C32" s="3" t="n">
        <v>-9321000</v>
      </c>
      <c r="D32" s="3" t="n">
        <v>-11583000</v>
      </c>
      <c r="E32" s="3" t="n">
        <v>-12365000</v>
      </c>
      <c r="F32" s="3" t="n"/>
    </row>
    <row r="33">
      <c r="A33" t="inlineStr">
        <is>
          <t>Purchase Of Intangibles</t>
        </is>
      </c>
      <c r="B33" s="3" t="n">
        <v>-8726000</v>
      </c>
      <c r="C33" s="3" t="n">
        <v>-9321000</v>
      </c>
      <c r="D33" s="3" t="n">
        <v>-11583000</v>
      </c>
      <c r="E33" s="3" t="n">
        <v>-12365000</v>
      </c>
      <c r="F33" s="3" t="n"/>
    </row>
    <row r="34">
      <c r="A34" t="inlineStr">
        <is>
          <t>Net PPE Purchase And Sale</t>
        </is>
      </c>
      <c r="B34" s="3" t="n">
        <v>-1408000</v>
      </c>
      <c r="C34" s="3" t="n">
        <v>-1044000</v>
      </c>
      <c r="D34" s="3" t="n">
        <v>-1922000</v>
      </c>
      <c r="E34" s="3" t="n">
        <v>-17609000</v>
      </c>
      <c r="F34" s="3" t="n"/>
    </row>
    <row r="35">
      <c r="A35" t="inlineStr">
        <is>
          <t>Sale Of PPE</t>
        </is>
      </c>
      <c r="B35" s="3" t="n">
        <v>132000</v>
      </c>
      <c r="C35" s="3" t="n">
        <v>357000</v>
      </c>
      <c r="D35" s="3" t="n"/>
      <c r="E35" s="3" t="n"/>
      <c r="F35" s="3" t="n"/>
    </row>
    <row r="36">
      <c r="A36" t="inlineStr">
        <is>
          <t>Purchase Of PPE</t>
        </is>
      </c>
      <c r="B36" s="3" t="n">
        <v>-1540000</v>
      </c>
      <c r="C36" s="3" t="n">
        <v>-1401000</v>
      </c>
      <c r="D36" s="3" t="n">
        <v>-1922000</v>
      </c>
      <c r="E36" s="3" t="n">
        <v>-17609000</v>
      </c>
      <c r="F36" s="3" t="n"/>
    </row>
    <row r="37">
      <c r="A37" t="inlineStr">
        <is>
          <t>Operating Cash Flow</t>
        </is>
      </c>
      <c r="B37" s="3" t="n">
        <v>30129000</v>
      </c>
      <c r="C37" s="3" t="n">
        <v>16333000</v>
      </c>
      <c r="D37" s="3" t="n">
        <v>4201000</v>
      </c>
      <c r="E37" s="3" t="n">
        <v>12402000</v>
      </c>
      <c r="F37" s="3" t="n"/>
    </row>
    <row r="38">
      <c r="A38" t="inlineStr">
        <is>
          <t>Taxes Refund Paid</t>
        </is>
      </c>
      <c r="B38" s="3" t="n">
        <v>-3217000</v>
      </c>
      <c r="C38" s="3" t="n">
        <v>-1292000</v>
      </c>
      <c r="D38" s="3" t="n">
        <v>-2099000</v>
      </c>
      <c r="E38" s="3" t="n"/>
      <c r="F38" s="3" t="n"/>
    </row>
    <row r="39">
      <c r="A39" t="inlineStr">
        <is>
          <t>Change In Working Capital</t>
        </is>
      </c>
      <c r="B39" s="3" t="n">
        <v>-3742000</v>
      </c>
      <c r="C39" s="3" t="n">
        <v>7822000</v>
      </c>
      <c r="D39" s="3" t="n">
        <v>218000</v>
      </c>
      <c r="E39" s="3" t="n">
        <v>-27291000</v>
      </c>
      <c r="F39" s="3" t="n"/>
    </row>
    <row r="40">
      <c r="A40" t="inlineStr">
        <is>
          <t>Change In Other Current Liabilities</t>
        </is>
      </c>
      <c r="B40" s="3" t="n">
        <v>-2896000</v>
      </c>
      <c r="C40" s="3" t="n">
        <v>-97000</v>
      </c>
      <c r="D40" s="3" t="n">
        <v>-8269000</v>
      </c>
      <c r="E40" s="3" t="n">
        <v>7686000</v>
      </c>
      <c r="F40" s="3" t="n"/>
    </row>
    <row r="41">
      <c r="A41" t="inlineStr">
        <is>
          <t>Change In Other Current Assets</t>
        </is>
      </c>
      <c r="B41" s="3" t="n">
        <v>-3188000</v>
      </c>
      <c r="C41" s="3" t="n">
        <v>4241000</v>
      </c>
      <c r="D41" s="3" t="n">
        <v>-2008000</v>
      </c>
      <c r="E41" s="3" t="n">
        <v>-13137000</v>
      </c>
      <c r="F41" s="3" t="n"/>
    </row>
    <row r="42">
      <c r="A42" t="inlineStr">
        <is>
          <t>Change In Accrued Expense</t>
        </is>
      </c>
      <c r="B42" s="3" t="n"/>
      <c r="C42" s="3" t="n">
        <v>732000</v>
      </c>
      <c r="D42" s="3" t="n">
        <v>-5315000</v>
      </c>
      <c r="E42" s="3" t="n">
        <v>-1342000</v>
      </c>
      <c r="F42" s="3" t="n">
        <v>6576000</v>
      </c>
    </row>
    <row r="43">
      <c r="A43" t="inlineStr">
        <is>
          <t>Change In Payable</t>
        </is>
      </c>
      <c r="B43" s="3" t="n">
        <v>5639000</v>
      </c>
      <c r="C43" s="3" t="n">
        <v>-1326000</v>
      </c>
      <c r="D43" s="3" t="n">
        <v>-4239000</v>
      </c>
      <c r="E43" s="3" t="n">
        <v>584000</v>
      </c>
      <c r="F43" s="3" t="n"/>
    </row>
    <row r="44">
      <c r="A44" t="inlineStr">
        <is>
          <t>Change In Inventory</t>
        </is>
      </c>
      <c r="B44" s="3" t="n">
        <v>6079000</v>
      </c>
      <c r="C44" s="3" t="n">
        <v>5238000</v>
      </c>
      <c r="D44" s="3" t="n"/>
      <c r="E44" s="3" t="n"/>
      <c r="F44" s="3" t="n"/>
    </row>
    <row r="45">
      <c r="A45" t="inlineStr">
        <is>
          <t>Change In Receivables</t>
        </is>
      </c>
      <c r="B45" s="3" t="n">
        <v>-11186000</v>
      </c>
      <c r="C45" s="3" t="n">
        <v>-966000</v>
      </c>
      <c r="D45" s="3" t="n">
        <v>13756000</v>
      </c>
      <c r="E45" s="3" t="n">
        <v>-7877000</v>
      </c>
      <c r="F45" s="3" t="n"/>
    </row>
    <row r="46">
      <c r="A46" t="inlineStr">
        <is>
          <t>Other Non Cash Items</t>
        </is>
      </c>
      <c r="B46" s="3" t="n">
        <v>3227000</v>
      </c>
      <c r="C46" s="3" t="n">
        <v>1046000</v>
      </c>
      <c r="D46" s="3" t="n">
        <v>628000</v>
      </c>
      <c r="E46" s="3" t="n">
        <v>1180000</v>
      </c>
      <c r="F46" s="3" t="n"/>
    </row>
    <row r="47">
      <c r="A47" t="inlineStr">
        <is>
          <t>Deferred Tax</t>
        </is>
      </c>
      <c r="B47" s="3" t="n">
        <v>4599000</v>
      </c>
      <c r="C47" s="3" t="n">
        <v>2955000</v>
      </c>
      <c r="D47" s="3" t="n">
        <v>-4214000</v>
      </c>
      <c r="E47" s="3" t="n">
        <v>462000</v>
      </c>
      <c r="F47" s="3" t="n"/>
    </row>
    <row r="48">
      <c r="A48" t="inlineStr">
        <is>
          <t>Depreciation And Amortization</t>
        </is>
      </c>
      <c r="B48" s="3" t="n">
        <v>17633000</v>
      </c>
      <c r="C48" s="3" t="n">
        <v>20090000</v>
      </c>
      <c r="D48" s="3" t="n">
        <v>23600000</v>
      </c>
      <c r="E48" s="3" t="n">
        <v>16835000</v>
      </c>
      <c r="F48" s="3" t="n"/>
    </row>
    <row r="49">
      <c r="A49" t="inlineStr">
        <is>
          <t>Depreciation</t>
        </is>
      </c>
      <c r="B49" s="3" t="n">
        <v>17633000</v>
      </c>
      <c r="C49" s="3" t="n">
        <v>20090000</v>
      </c>
      <c r="D49" s="3" t="n">
        <v>23600000</v>
      </c>
      <c r="E49" s="3" t="n">
        <v>16835000</v>
      </c>
      <c r="F49" s="3" t="n"/>
    </row>
    <row r="50">
      <c r="A50" t="inlineStr">
        <is>
          <t>Gain Loss On Investment Securities</t>
        </is>
      </c>
      <c r="B50" s="3" t="n"/>
      <c r="C50" s="3" t="n">
        <v>-88000</v>
      </c>
      <c r="D50" s="3" t="n">
        <v>-125000</v>
      </c>
      <c r="E50" s="3" t="n">
        <v>-8000</v>
      </c>
      <c r="F50" s="3" t="n">
        <v>1000</v>
      </c>
    </row>
    <row r="51">
      <c r="A51" t="inlineStr">
        <is>
          <t>Net Foreign Currency Exchange Gain Loss</t>
        </is>
      </c>
      <c r="B51" s="3" t="n"/>
      <c r="C51" s="3" t="n"/>
      <c r="D51" s="3" t="n">
        <v>-1941000</v>
      </c>
      <c r="E51" s="3" t="n">
        <v>-138000</v>
      </c>
      <c r="F51" s="3" t="n">
        <v>2625000</v>
      </c>
    </row>
    <row r="52">
      <c r="A52" t="inlineStr">
        <is>
          <t>Gain Loss On Sale Of PPE</t>
        </is>
      </c>
      <c r="B52" s="3" t="n">
        <v>-1000</v>
      </c>
      <c r="C52" s="3" t="n">
        <v>-88000</v>
      </c>
      <c r="D52" s="3" t="n"/>
      <c r="E52" s="3" t="n"/>
      <c r="F52" s="3" t="n"/>
    </row>
    <row r="53">
      <c r="A53" t="inlineStr">
        <is>
          <t>Net Income From Continuing Operations</t>
        </is>
      </c>
      <c r="B53" s="3" t="n">
        <v>11632000</v>
      </c>
      <c r="C53" s="3" t="n">
        <v>-14200000</v>
      </c>
      <c r="D53" s="3" t="n">
        <v>-13807000</v>
      </c>
      <c r="E53" s="3" t="n">
        <v>21362000</v>
      </c>
      <c r="F5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Free Cash Flow</t>
        </is>
      </c>
      <c r="B2" s="3" t="n">
        <v>5387000</v>
      </c>
      <c r="C2" s="3" t="n">
        <v>7036000</v>
      </c>
      <c r="D2" s="3" t="n">
        <v>5767000</v>
      </c>
      <c r="E2" s="3" t="n">
        <v>-1077000</v>
      </c>
      <c r="F2" s="3" t="n">
        <v>-340000</v>
      </c>
    </row>
    <row r="3">
      <c r="A3" t="inlineStr">
        <is>
          <t>Repayment Of Debt</t>
        </is>
      </c>
      <c r="B3" s="3" t="n">
        <v>-4523000</v>
      </c>
      <c r="C3" s="3" t="n">
        <v>-390000</v>
      </c>
      <c r="D3" s="3" t="n">
        <v>-1956000</v>
      </c>
      <c r="E3" s="3" t="n">
        <v>-2338000</v>
      </c>
      <c r="F3" s="3" t="n">
        <v>-1956000</v>
      </c>
    </row>
    <row r="4">
      <c r="A4" t="inlineStr">
        <is>
          <t>Issuance Of Debt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t="inlineStr">
        <is>
          <t>Issuance Of Capital Stock</t>
        </is>
      </c>
      <c r="B5" s="3" t="n"/>
      <c r="C5" s="3" t="n"/>
      <c r="D5" s="3" t="n"/>
      <c r="E5" s="3" t="n"/>
      <c r="F5" s="3" t="n">
        <v>0</v>
      </c>
    </row>
    <row r="6">
      <c r="A6" t="inlineStr">
        <is>
          <t>Capital Expenditure</t>
        </is>
      </c>
      <c r="B6" s="3" t="n">
        <v>-2259000</v>
      </c>
      <c r="C6" s="3" t="n">
        <v>-2991000</v>
      </c>
      <c r="D6" s="3" t="n">
        <v>-2575000</v>
      </c>
      <c r="E6" s="3" t="n">
        <v>-2592000</v>
      </c>
      <c r="F6" s="3" t="n">
        <v>-2189000</v>
      </c>
    </row>
    <row r="7">
      <c r="A7" t="inlineStr">
        <is>
          <t>End Cash Position</t>
        </is>
      </c>
      <c r="B7" s="3" t="n">
        <v>28102000</v>
      </c>
      <c r="C7" s="3" t="n">
        <v>28995000</v>
      </c>
      <c r="D7" s="3" t="n">
        <v>18894000</v>
      </c>
      <c r="E7" s="3" t="n">
        <v>16108000</v>
      </c>
      <c r="F7" s="3" t="n">
        <v>21323000</v>
      </c>
    </row>
    <row r="8">
      <c r="A8" t="inlineStr">
        <is>
          <t>Other Cash Adjustment Outside Changein Cash</t>
        </is>
      </c>
      <c r="B8" s="3" t="n">
        <v>1000</v>
      </c>
      <c r="C8" s="3" t="n">
        <v>2000</v>
      </c>
      <c r="D8" s="3" t="n"/>
      <c r="E8" s="3" t="n">
        <v>1000</v>
      </c>
      <c r="F8" s="3" t="n"/>
    </row>
    <row r="9">
      <c r="A9" t="inlineStr">
        <is>
          <t>Beginning Cash Position</t>
        </is>
      </c>
      <c r="B9" s="3" t="n">
        <v>28994000</v>
      </c>
      <c r="C9" s="3" t="n">
        <v>24776000</v>
      </c>
      <c r="D9" s="3" t="n">
        <v>16107000</v>
      </c>
      <c r="E9" s="3" t="n">
        <v>21323000</v>
      </c>
      <c r="F9" s="3" t="n">
        <v>23931000</v>
      </c>
    </row>
    <row r="10">
      <c r="A10" t="inlineStr">
        <is>
          <t>Effect Of Exchange Rate Changes</t>
        </is>
      </c>
      <c r="B10" s="3" t="n">
        <v>-57000</v>
      </c>
      <c r="C10" s="3" t="n">
        <v>-1084000</v>
      </c>
      <c r="D10" s="3" t="n">
        <v>-356000</v>
      </c>
      <c r="E10" s="3" t="n">
        <v>-626000</v>
      </c>
      <c r="F10" s="3" t="n"/>
    </row>
    <row r="11">
      <c r="A11" t="inlineStr">
        <is>
          <t>Changes In Cash</t>
        </is>
      </c>
      <c r="B11" s="3" t="n">
        <v>-836000</v>
      </c>
      <c r="C11" s="3" t="n">
        <v>5301000</v>
      </c>
      <c r="D11" s="3" t="n">
        <v>3143000</v>
      </c>
      <c r="E11" s="3" t="n">
        <v>-4590000</v>
      </c>
      <c r="F11" s="3" t="n">
        <v>-2664000</v>
      </c>
    </row>
    <row r="12">
      <c r="A12" t="inlineStr">
        <is>
          <t>Financing Cash Flow</t>
        </is>
      </c>
      <c r="B12" s="3" t="n">
        <v>-5652000</v>
      </c>
      <c r="C12" s="3" t="n">
        <v>-1909000</v>
      </c>
      <c r="D12" s="3" t="n">
        <v>-2595000</v>
      </c>
      <c r="E12" s="3" t="n">
        <v>-3381000</v>
      </c>
      <c r="F12" s="3" t="n">
        <v>-2554000</v>
      </c>
    </row>
    <row r="13">
      <c r="A13" t="inlineStr">
        <is>
          <t>Net Other Financing Charges</t>
        </is>
      </c>
      <c r="B13" s="3" t="n"/>
      <c r="C13" s="3" t="n"/>
      <c r="D13" s="3" t="n"/>
      <c r="E13" s="3" t="n">
        <v>1000</v>
      </c>
      <c r="F13" s="3" t="n"/>
    </row>
    <row r="14">
      <c r="A14" t="inlineStr">
        <is>
          <t>Interest Paid Cff</t>
        </is>
      </c>
      <c r="B14" s="3" t="n">
        <v>-368000</v>
      </c>
      <c r="C14" s="3" t="n">
        <v>-394000</v>
      </c>
      <c r="D14" s="3" t="n">
        <v>-211000</v>
      </c>
      <c r="E14" s="3" t="n">
        <v>-384000</v>
      </c>
      <c r="F14" s="3" t="n">
        <v>-553000</v>
      </c>
    </row>
    <row r="15">
      <c r="A15" t="inlineStr">
        <is>
          <t>Net Common Stock Issuance</t>
        </is>
      </c>
      <c r="B15" s="3" t="n"/>
      <c r="C15" s="3" t="n"/>
      <c r="D15" s="3" t="n"/>
      <c r="E15" s="3" t="n"/>
      <c r="F15" s="3" t="n">
        <v>0</v>
      </c>
    </row>
    <row r="16">
      <c r="A16" t="inlineStr">
        <is>
          <t>Common Stock Issuance</t>
        </is>
      </c>
      <c r="B16" s="3" t="n"/>
      <c r="C16" s="3" t="n"/>
      <c r="D16" s="3" t="n"/>
      <c r="E16" s="3" t="n"/>
      <c r="F16" s="3" t="n">
        <v>0</v>
      </c>
    </row>
    <row r="17">
      <c r="A17" t="inlineStr">
        <is>
          <t>Net Issuance Payments Of Debt</t>
        </is>
      </c>
      <c r="B17" s="3" t="n">
        <v>-4523000</v>
      </c>
      <c r="C17" s="3" t="n">
        <v>-390000</v>
      </c>
      <c r="D17" s="3" t="n">
        <v>-1956000</v>
      </c>
      <c r="E17" s="3" t="n">
        <v>-2338000</v>
      </c>
      <c r="F17" s="3" t="n">
        <v>-1956000</v>
      </c>
    </row>
    <row r="18">
      <c r="A18" t="inlineStr">
        <is>
          <t>Net Long Term Debt Issuance</t>
        </is>
      </c>
      <c r="B18" s="3" t="n">
        <v>-4523000</v>
      </c>
      <c r="C18" s="3" t="n">
        <v>-390000</v>
      </c>
      <c r="D18" s="3" t="n">
        <v>-1956000</v>
      </c>
      <c r="E18" s="3" t="n">
        <v>-2338000</v>
      </c>
      <c r="F18" s="3" t="n">
        <v>-1956000</v>
      </c>
    </row>
    <row r="19">
      <c r="A19" t="inlineStr">
        <is>
          <t>Long Term Debt Payments</t>
        </is>
      </c>
      <c r="B19" s="3" t="n">
        <v>-4523000</v>
      </c>
      <c r="C19" s="3" t="n">
        <v>-390000</v>
      </c>
      <c r="D19" s="3" t="n">
        <v>-1956000</v>
      </c>
      <c r="E19" s="3" t="n">
        <v>-2338000</v>
      </c>
      <c r="F19" s="3" t="n">
        <v>-1956000</v>
      </c>
    </row>
    <row r="20">
      <c r="A20" t="inlineStr">
        <is>
          <t>Long Term Debt Issuance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</row>
    <row r="21">
      <c r="A21" t="inlineStr">
        <is>
          <t>Investing Cash Flow</t>
        </is>
      </c>
      <c r="B21" s="3" t="n">
        <v>-2830000</v>
      </c>
      <c r="C21" s="3" t="n">
        <v>-2817000</v>
      </c>
      <c r="D21" s="3" t="n">
        <v>-2604000</v>
      </c>
      <c r="E21" s="3" t="n">
        <v>-2724000</v>
      </c>
      <c r="F21" s="3" t="n">
        <v>-1959000</v>
      </c>
    </row>
    <row r="22">
      <c r="A22" t="inlineStr">
        <is>
          <t>Net Other Investing Changes</t>
        </is>
      </c>
      <c r="B22" s="3" t="n"/>
      <c r="C22" s="3" t="n">
        <v>-65000</v>
      </c>
      <c r="D22" s="3" t="n"/>
      <c r="E22" s="3" t="n"/>
      <c r="F22" s="3" t="n">
        <v>-177000</v>
      </c>
    </row>
    <row r="23">
      <c r="A23" t="inlineStr">
        <is>
          <t>Interest Received Cfi</t>
        </is>
      </c>
      <c r="B23" s="3" t="n">
        <v>43000</v>
      </c>
      <c r="C23" s="3" t="n"/>
      <c r="D23" s="3" t="n">
        <v>12000</v>
      </c>
      <c r="E23" s="3" t="n">
        <v>17000</v>
      </c>
      <c r="F23" s="3" t="n"/>
    </row>
    <row r="24">
      <c r="A24" t="inlineStr">
        <is>
          <t>Dividends Received Cfi</t>
        </is>
      </c>
      <c r="B24" s="3" t="n">
        <v>0</v>
      </c>
      <c r="C24" s="3" t="n"/>
      <c r="D24" s="3" t="n"/>
      <c r="E24" s="3" t="n">
        <v>0</v>
      </c>
      <c r="F24" s="3" t="n"/>
    </row>
    <row r="25">
      <c r="A25" t="inlineStr">
        <is>
          <t>Net Investment Purchase And Sale</t>
        </is>
      </c>
      <c r="B25" s="3" t="n">
        <v>-44000</v>
      </c>
      <c r="C25" s="3" t="n"/>
      <c r="D25" s="3" t="n"/>
      <c r="E25" s="3" t="n">
        <v>0</v>
      </c>
      <c r="F25" s="3" t="n"/>
    </row>
    <row r="26">
      <c r="A26" t="inlineStr">
        <is>
          <t>Sale Of Investment</t>
        </is>
      </c>
      <c r="B26" s="3" t="n">
        <v>0</v>
      </c>
      <c r="C26" s="3" t="n"/>
      <c r="D26" s="3" t="n"/>
      <c r="E26" s="3" t="n">
        <v>0</v>
      </c>
      <c r="F26" s="3" t="n"/>
    </row>
    <row r="27">
      <c r="A27" t="inlineStr">
        <is>
          <t>Purchase Of Investment</t>
        </is>
      </c>
      <c r="B27" s="3" t="n">
        <v>-44000</v>
      </c>
      <c r="C27" s="3" t="n"/>
      <c r="D27" s="3" t="n"/>
      <c r="E27" s="3" t="n">
        <v>0</v>
      </c>
      <c r="F27" s="3" t="n"/>
    </row>
    <row r="28">
      <c r="A28" t="inlineStr">
        <is>
          <t>Net Business Purchase And Sale</t>
        </is>
      </c>
      <c r="B28" s="3" t="n">
        <v>-591000</v>
      </c>
      <c r="C28" s="3" t="n">
        <v>44000</v>
      </c>
      <c r="D28" s="3" t="n"/>
      <c r="E28" s="3" t="n">
        <v>-150000</v>
      </c>
      <c r="F28" s="3" t="n">
        <v>61000</v>
      </c>
    </row>
    <row r="29">
      <c r="A29" t="inlineStr">
        <is>
          <t>Purchase Of Business</t>
        </is>
      </c>
      <c r="B29" s="3" t="n">
        <v>-591000</v>
      </c>
      <c r="C29" s="3" t="n">
        <v>44000</v>
      </c>
      <c r="D29" s="3" t="n"/>
      <c r="E29" s="3" t="n">
        <v>-150000</v>
      </c>
      <c r="F29" s="3" t="n">
        <v>61000</v>
      </c>
    </row>
    <row r="30">
      <c r="A30" t="inlineStr">
        <is>
          <t>Net Intangibles Purchase And Sale</t>
        </is>
      </c>
      <c r="B30" s="3" t="n">
        <v>-1739000</v>
      </c>
      <c r="C30" s="3" t="n">
        <v>-2030000</v>
      </c>
      <c r="D30" s="3" t="n">
        <v>-2406000</v>
      </c>
      <c r="E30" s="3" t="n">
        <v>-2339000</v>
      </c>
      <c r="F30" s="3" t="n">
        <v>-2393000</v>
      </c>
    </row>
    <row r="31">
      <c r="A31" t="inlineStr">
        <is>
          <t>Purchase Of Intangibles</t>
        </is>
      </c>
      <c r="B31" s="3" t="n">
        <v>-1739000</v>
      </c>
      <c r="C31" s="3" t="n">
        <v>-2030000</v>
      </c>
      <c r="D31" s="3" t="n">
        <v>-2406000</v>
      </c>
      <c r="E31" s="3" t="n">
        <v>-2339000</v>
      </c>
      <c r="F31" s="3" t="n">
        <v>-2393000</v>
      </c>
    </row>
    <row r="32">
      <c r="A32" t="inlineStr">
        <is>
          <t>Net PPE Purchase And Sale</t>
        </is>
      </c>
      <c r="B32" s="3" t="n">
        <v>-499000</v>
      </c>
      <c r="C32" s="3" t="n">
        <v>-829000</v>
      </c>
      <c r="D32" s="3" t="n">
        <v>-169000</v>
      </c>
      <c r="E32" s="3" t="n">
        <v>-252000</v>
      </c>
      <c r="F32" s="3" t="n">
        <v>204000</v>
      </c>
    </row>
    <row r="33">
      <c r="A33" t="inlineStr">
        <is>
          <t>Sale Of PPE</t>
        </is>
      </c>
      <c r="B33" s="3" t="n">
        <v>21000</v>
      </c>
      <c r="C33" s="3" t="n"/>
      <c r="D33" s="3" t="n"/>
      <c r="E33" s="3" t="n">
        <v>1000</v>
      </c>
      <c r="F33" s="3" t="n"/>
    </row>
    <row r="34">
      <c r="A34" t="inlineStr">
        <is>
          <t>Purchase Of PPE</t>
        </is>
      </c>
      <c r="B34" s="3" t="n">
        <v>-520000</v>
      </c>
      <c r="C34" s="3" t="n">
        <v>-961000</v>
      </c>
      <c r="D34" s="3" t="n">
        <v>-169000</v>
      </c>
      <c r="E34" s="3" t="n">
        <v>-253000</v>
      </c>
      <c r="F34" s="3" t="n">
        <v>204000</v>
      </c>
    </row>
    <row r="35">
      <c r="A35" t="inlineStr">
        <is>
          <t>Operating Cash Flow</t>
        </is>
      </c>
      <c r="B35" s="3" t="n">
        <v>7646000</v>
      </c>
      <c r="C35" s="3" t="n">
        <v>10027000</v>
      </c>
      <c r="D35" s="3" t="n">
        <v>8342000</v>
      </c>
      <c r="E35" s="3" t="n">
        <v>1515000</v>
      </c>
      <c r="F35" s="3" t="n">
        <v>1849000</v>
      </c>
    </row>
    <row r="36">
      <c r="A36" t="inlineStr">
        <is>
          <t>Taxes Refund Paid</t>
        </is>
      </c>
      <c r="B36" s="3" t="n">
        <v>-62000</v>
      </c>
      <c r="C36" s="3" t="n">
        <v>-231000</v>
      </c>
      <c r="D36" s="3" t="n">
        <v>-430000</v>
      </c>
      <c r="E36" s="3" t="n">
        <v>-1938000</v>
      </c>
      <c r="F36" s="3" t="n"/>
    </row>
    <row r="37">
      <c r="A37" t="inlineStr">
        <is>
          <t>Change In Working Capital</t>
        </is>
      </c>
      <c r="B37" s="3" t="n">
        <v>-13326000</v>
      </c>
      <c r="C37" s="3" t="n">
        <v>2962000</v>
      </c>
      <c r="D37" s="3" t="n">
        <v>1896000</v>
      </c>
      <c r="E37" s="3" t="n">
        <v>-7320000</v>
      </c>
      <c r="F37" s="3" t="n">
        <v>1230000</v>
      </c>
    </row>
    <row r="38">
      <c r="A38" t="inlineStr">
        <is>
          <t>Change In Other Current Liabilities</t>
        </is>
      </c>
      <c r="B38" s="3" t="n">
        <v>-829000</v>
      </c>
      <c r="C38" s="3" t="n">
        <v>5195000</v>
      </c>
      <c r="D38" s="3" t="n">
        <v>-3797000</v>
      </c>
      <c r="E38" s="3" t="n">
        <v>-2715000</v>
      </c>
      <c r="F38" s="3" t="n">
        <v>327000</v>
      </c>
    </row>
    <row r="39">
      <c r="A39" t="inlineStr">
        <is>
          <t>Change In Other Current Assets</t>
        </is>
      </c>
      <c r="B39" s="3" t="n">
        <v>-1255000</v>
      </c>
      <c r="C39" s="3" t="n">
        <v>-1857000</v>
      </c>
      <c r="D39" s="3" t="n">
        <v>-2313000</v>
      </c>
      <c r="E39" s="3" t="n">
        <v>-502000</v>
      </c>
      <c r="F39" s="3" t="n">
        <v>537000</v>
      </c>
    </row>
    <row r="40">
      <c r="A40" t="inlineStr">
        <is>
          <t>Change In Accrued Expense</t>
        </is>
      </c>
      <c r="B40" s="3" t="n"/>
      <c r="C40" s="3" t="n"/>
      <c r="D40" s="3" t="n"/>
      <c r="E40" s="3" t="n"/>
      <c r="F40" s="3" t="n">
        <v>-832000</v>
      </c>
    </row>
    <row r="41">
      <c r="A41" t="inlineStr">
        <is>
          <t>Change In Payable</t>
        </is>
      </c>
      <c r="B41" s="3" t="n">
        <v>-9390000</v>
      </c>
      <c r="C41" s="3" t="n">
        <v>5755000</v>
      </c>
      <c r="D41" s="3" t="n"/>
      <c r="E41" s="3" t="n">
        <v>-7596000</v>
      </c>
      <c r="F41" s="3" t="n">
        <v>377000</v>
      </c>
    </row>
    <row r="42">
      <c r="A42" t="inlineStr">
        <is>
          <t>Change In Inventory</t>
        </is>
      </c>
      <c r="B42" s="3" t="n">
        <v>-1655000</v>
      </c>
      <c r="C42" s="3" t="n"/>
      <c r="D42" s="3" t="n">
        <v>1731000</v>
      </c>
      <c r="E42" s="3" t="n">
        <v>3546000</v>
      </c>
      <c r="F42" s="3" t="n"/>
    </row>
    <row r="43">
      <c r="A43" t="inlineStr">
        <is>
          <t>Change In Receivables</t>
        </is>
      </c>
      <c r="B43" s="3" t="n"/>
      <c r="C43" s="3" t="n">
        <v>-3454000</v>
      </c>
      <c r="D43" s="3" t="n">
        <v>5325000</v>
      </c>
      <c r="E43" s="3" t="n">
        <v>-10336000</v>
      </c>
      <c r="F43" s="3" t="n">
        <v>-4659000</v>
      </c>
    </row>
    <row r="44">
      <c r="A44" t="inlineStr">
        <is>
          <t>Other Non Cash Items</t>
        </is>
      </c>
      <c r="B44" s="3" t="n">
        <v>345000</v>
      </c>
      <c r="C44" s="3" t="n">
        <v>2720000</v>
      </c>
      <c r="D44" s="3" t="n">
        <v>166000</v>
      </c>
      <c r="E44" s="3" t="n">
        <v>905000</v>
      </c>
      <c r="F44" s="3" t="n">
        <v>-533000</v>
      </c>
    </row>
    <row r="45">
      <c r="A45" t="inlineStr">
        <is>
          <t>Deferred Tax</t>
        </is>
      </c>
      <c r="B45" s="3" t="n">
        <v>4249000</v>
      </c>
      <c r="C45" s="3" t="n">
        <v>-874000</v>
      </c>
      <c r="D45" s="3" t="n">
        <v>740000</v>
      </c>
      <c r="E45" s="3" t="n">
        <v>1182000</v>
      </c>
      <c r="F45" s="3" t="n"/>
    </row>
    <row r="46">
      <c r="A46" t="inlineStr">
        <is>
          <t>Depreciation And Amortization</t>
        </is>
      </c>
      <c r="B46" s="3" t="n">
        <v>3400000</v>
      </c>
      <c r="C46" s="3" t="n">
        <v>4900000</v>
      </c>
      <c r="D46" s="3" t="n">
        <v>4304000</v>
      </c>
      <c r="E46" s="3" t="n">
        <v>3900000</v>
      </c>
      <c r="F46" s="3" t="n">
        <v>6473000</v>
      </c>
    </row>
    <row r="47">
      <c r="A47" t="inlineStr">
        <is>
          <t>Depreciation</t>
        </is>
      </c>
      <c r="B47" s="3" t="n">
        <v>3400000</v>
      </c>
      <c r="C47" s="3" t="n">
        <v>4900000</v>
      </c>
      <c r="D47" s="3" t="n">
        <v>4304000</v>
      </c>
      <c r="E47" s="3" t="n">
        <v>3900000</v>
      </c>
      <c r="F47" s="3" t="n">
        <v>6473000</v>
      </c>
    </row>
    <row r="48">
      <c r="A48" t="inlineStr">
        <is>
          <t>Gain Loss On Sale Of PPE</t>
        </is>
      </c>
      <c r="B48" s="3" t="n">
        <v>0</v>
      </c>
      <c r="C48" s="3" t="n"/>
      <c r="D48" s="3" t="n"/>
      <c r="E48" s="3" t="n">
        <v>0</v>
      </c>
      <c r="F48" s="3" t="n"/>
    </row>
    <row r="49">
      <c r="A49" t="inlineStr">
        <is>
          <t>Net Income From Continuing Operations</t>
        </is>
      </c>
      <c r="B49" s="3" t="n">
        <v>13041000</v>
      </c>
      <c r="C49" s="3" t="n">
        <v>554000</v>
      </c>
      <c r="D49" s="3" t="n">
        <v>1666000</v>
      </c>
      <c r="E49" s="3" t="n">
        <v>4786000</v>
      </c>
      <c r="F49" s="3" t="n">
        <v>-7082000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2026-08-02T23:44:20Z</dcterms:created>
  <dcterms:modified xsi:type="dcterms:W3CDTF">2026-08-02T23:44:21Z</dcterms:modified>
</cp:coreProperties>
</file>