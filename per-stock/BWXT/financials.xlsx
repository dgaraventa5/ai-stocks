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BWXT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BWX Technologies,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Aerospace &amp; Defense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18817648640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20323047424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54.62766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39.545174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5.573314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0.22658001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0.1038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0.10205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0.29032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0.261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512356992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2017945984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328104000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91614649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205.4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(annual)'!D45</f>
        <v/>
      </c>
      <c r="C3" s="3">
        <f>'Income stmt (annual)'!C45</f>
        <v/>
      </c>
      <c r="D3" s="3">
        <f>'Income stmt (annual)'!B45</f>
        <v/>
      </c>
      <c r="E3" s="3">
        <f>SUM('Income stmt (quarterly)'!B45:E45)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(annual)'!D43</f>
        <v/>
      </c>
      <c r="C4" s="3">
        <f>'Income stmt (annual)'!C43</f>
        <v/>
      </c>
      <c r="D4" s="3">
        <f>'Income stmt (annual)'!B43</f>
        <v/>
      </c>
      <c r="E4" s="3">
        <f>SUM('Income stmt (quarterly)'!B43:E43)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(quarterly)'!B39:E39)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852465.9600120001</v>
      </c>
      <c r="C2" s="3" t="n">
        <v>-836179.685708</v>
      </c>
      <c r="D2" s="3" t="n">
        <v>-241956</v>
      </c>
      <c r="E2" s="3" t="n">
        <v>-1330182.042579</v>
      </c>
    </row>
    <row r="3">
      <c r="A3" t="inlineStr">
        <is>
          <t>Tax Rate For Calcs</t>
        </is>
      </c>
      <c r="B3" s="3" t="n">
        <v>0.171453</v>
      </c>
      <c r="C3" s="3" t="n">
        <v>0.190474</v>
      </c>
      <c r="D3" s="3" t="n">
        <v>0.234</v>
      </c>
      <c r="E3" s="3" t="n">
        <v>0.240975</v>
      </c>
    </row>
    <row r="4">
      <c r="A4" t="inlineStr">
        <is>
          <t>Normalized EBITDA</t>
        </is>
      </c>
      <c r="B4" s="3" t="n">
        <v>546541000</v>
      </c>
      <c r="C4" s="3" t="n">
        <v>478447000</v>
      </c>
      <c r="D4" s="3" t="n">
        <v>448036000</v>
      </c>
      <c r="E4" s="3" t="n">
        <v>430149000</v>
      </c>
    </row>
    <row r="5">
      <c r="A5" t="inlineStr">
        <is>
          <t>Total Unusual Items</t>
        </is>
      </c>
      <c r="B5" s="3" t="n">
        <v>4972000</v>
      </c>
      <c r="C5" s="3" t="n">
        <v>-4390000</v>
      </c>
      <c r="D5" s="3" t="n">
        <v>-1034000</v>
      </c>
      <c r="E5" s="3" t="n">
        <v>-5520000</v>
      </c>
    </row>
    <row r="6">
      <c r="A6" t="inlineStr">
        <is>
          <t>Total Unusual Items Excluding Goodwill</t>
        </is>
      </c>
      <c r="B6" s="3" t="n">
        <v>4972000</v>
      </c>
      <c r="C6" s="3" t="n">
        <v>-4390000</v>
      </c>
      <c r="D6" s="3" t="n">
        <v>-1034000</v>
      </c>
      <c r="E6" s="3" t="n">
        <v>-5520000</v>
      </c>
    </row>
    <row r="7">
      <c r="A7" t="inlineStr">
        <is>
          <t>Net Income From Continuing Operation Net Minority Interest</t>
        </is>
      </c>
      <c r="B7" s="3" t="n">
        <v>328945000</v>
      </c>
      <c r="C7" s="3" t="n">
        <v>281941000</v>
      </c>
      <c r="D7" s="3" t="n">
        <v>245849000</v>
      </c>
      <c r="E7" s="3" t="n">
        <v>238191000</v>
      </c>
    </row>
    <row r="8">
      <c r="A8" t="inlineStr">
        <is>
          <t>Reconciled Depreciation</t>
        </is>
      </c>
      <c r="B8" s="3" t="n">
        <v>109186000</v>
      </c>
      <c r="C8" s="3" t="n">
        <v>85862000</v>
      </c>
      <c r="D8" s="3" t="n">
        <v>78566000</v>
      </c>
      <c r="E8" s="3" t="n">
        <v>73842000</v>
      </c>
    </row>
    <row r="9">
      <c r="A9" t="inlineStr">
        <is>
          <t>Reconciled Cost Of Revenue</t>
        </is>
      </c>
      <c r="B9" s="3" t="n">
        <v>2465566000</v>
      </c>
      <c r="C9" s="3" t="n">
        <v>2048447000</v>
      </c>
      <c r="D9" s="3" t="n">
        <v>1875716000</v>
      </c>
      <c r="E9" s="3" t="n">
        <v>1680899000</v>
      </c>
    </row>
    <row r="10">
      <c r="A10" t="inlineStr">
        <is>
          <t>EBITDA</t>
        </is>
      </c>
      <c r="B10" s="3" t="n">
        <v>551513000</v>
      </c>
      <c r="C10" s="3" t="n">
        <v>474057000</v>
      </c>
      <c r="D10" s="3" t="n">
        <v>447002000</v>
      </c>
      <c r="E10" s="3" t="n">
        <v>424629000</v>
      </c>
    </row>
    <row r="11">
      <c r="A11" t="inlineStr">
        <is>
          <t>EBIT</t>
        </is>
      </c>
      <c r="B11" s="3" t="n">
        <v>442327000</v>
      </c>
      <c r="C11" s="3" t="n">
        <v>388195000</v>
      </c>
      <c r="D11" s="3" t="n">
        <v>368436000</v>
      </c>
      <c r="E11" s="3" t="n">
        <v>350787000</v>
      </c>
    </row>
    <row r="12">
      <c r="A12" t="inlineStr">
        <is>
          <t>Net Interest Income</t>
        </is>
      </c>
      <c r="B12" s="3" t="n">
        <v>-40314000</v>
      </c>
      <c r="C12" s="3" t="n">
        <v>-36921000</v>
      </c>
      <c r="D12" s="3" t="n">
        <v>-44677000</v>
      </c>
      <c r="E12" s="3" t="n">
        <v>-35652000</v>
      </c>
    </row>
    <row r="13">
      <c r="A13" t="inlineStr">
        <is>
          <t>Interest Expense</t>
        </is>
      </c>
      <c r="B13" s="3" t="n">
        <v>44207000</v>
      </c>
      <c r="C13" s="3" t="n">
        <v>39475000</v>
      </c>
      <c r="D13" s="3" t="n">
        <v>47036000</v>
      </c>
      <c r="E13" s="3" t="n">
        <v>36410000</v>
      </c>
    </row>
    <row r="14">
      <c r="A14" t="inlineStr">
        <is>
          <t>Interest Income</t>
        </is>
      </c>
      <c r="B14" s="3" t="n">
        <v>3893000</v>
      </c>
      <c r="C14" s="3" t="n">
        <v>2554000</v>
      </c>
      <c r="D14" s="3" t="n">
        <v>2359000</v>
      </c>
      <c r="E14" s="3" t="n">
        <v>758000</v>
      </c>
    </row>
    <row r="15">
      <c r="A15" t="inlineStr">
        <is>
          <t>Normalized Income</t>
        </is>
      </c>
      <c r="B15" s="3" t="n">
        <v>324825465.960012</v>
      </c>
      <c r="C15" s="3" t="n">
        <v>285494820.314292</v>
      </c>
      <c r="D15" s="3" t="n">
        <v>246641044</v>
      </c>
      <c r="E15" s="3" t="n">
        <v>242380817.957421</v>
      </c>
    </row>
    <row r="16">
      <c r="A16" t="inlineStr">
        <is>
          <t>Net Income From Continuing And Discontinued Operation</t>
        </is>
      </c>
      <c r="B16" s="3" t="n">
        <v>328945000</v>
      </c>
      <c r="C16" s="3" t="n">
        <v>281941000</v>
      </c>
      <c r="D16" s="3" t="n">
        <v>245849000</v>
      </c>
      <c r="E16" s="3" t="n">
        <v>238191000</v>
      </c>
    </row>
    <row r="17">
      <c r="A17" t="inlineStr">
        <is>
          <t>Total Expenses</t>
        </is>
      </c>
      <c r="B17" s="3" t="n">
        <v>2873849000</v>
      </c>
      <c r="C17" s="3" t="n">
        <v>2374588000</v>
      </c>
      <c r="D17" s="3" t="n">
        <v>2163023000</v>
      </c>
      <c r="E17" s="3" t="n">
        <v>1924716000</v>
      </c>
    </row>
    <row r="18">
      <c r="A18" t="inlineStr">
        <is>
          <t>Total Operating Income As Reported</t>
        </is>
      </c>
      <c r="B18" s="3" t="n">
        <v>404459000</v>
      </c>
      <c r="C18" s="3" t="n">
        <v>380607000</v>
      </c>
      <c r="D18" s="3" t="n">
        <v>383059000</v>
      </c>
      <c r="E18" s="3" t="n">
        <v>348571000</v>
      </c>
    </row>
    <row r="19">
      <c r="A19" t="inlineStr">
        <is>
          <t>Diluted Average Shares</t>
        </is>
      </c>
      <c r="B19" s="3" t="n">
        <v>91856013</v>
      </c>
      <c r="C19" s="3" t="n">
        <v>91859732</v>
      </c>
      <c r="D19" s="3" t="n">
        <v>91874537</v>
      </c>
      <c r="E19" s="3" t="n">
        <v>91702111</v>
      </c>
    </row>
    <row r="20">
      <c r="A20" t="inlineStr">
        <is>
          <t>Basic Average Shares</t>
        </is>
      </c>
      <c r="B20" s="3" t="n">
        <v>91566280</v>
      </c>
      <c r="C20" s="3" t="n">
        <v>91572674</v>
      </c>
      <c r="D20" s="3" t="n">
        <v>91619156</v>
      </c>
      <c r="E20" s="3" t="n">
        <v>91447088</v>
      </c>
    </row>
    <row r="21">
      <c r="A21" t="inlineStr">
        <is>
          <t>Diluted EPS</t>
        </is>
      </c>
      <c r="B21" s="3" t="n">
        <v>3.58</v>
      </c>
      <c r="C21" s="3" t="n">
        <v>3.07</v>
      </c>
      <c r="D21" s="3" t="n">
        <v>2.68</v>
      </c>
      <c r="E21" s="3" t="n">
        <v>2.6</v>
      </c>
    </row>
    <row r="22">
      <c r="A22" t="inlineStr">
        <is>
          <t>Basic EPS</t>
        </is>
      </c>
      <c r="B22" s="3" t="n">
        <v>3.59</v>
      </c>
      <c r="C22" s="3" t="n">
        <v>3.08</v>
      </c>
      <c r="D22" s="3" t="n">
        <v>2.68</v>
      </c>
      <c r="E22" s="3" t="n">
        <v>2.6</v>
      </c>
    </row>
    <row r="23">
      <c r="A23" t="inlineStr">
        <is>
          <t>Diluted NI Availto Com Stockholders</t>
        </is>
      </c>
      <c r="B23" s="3" t="n">
        <v>328945000</v>
      </c>
      <c r="C23" s="3" t="n">
        <v>281941000</v>
      </c>
      <c r="D23" s="3" t="n">
        <v>245849000</v>
      </c>
      <c r="E23" s="3" t="n">
        <v>238191000</v>
      </c>
    </row>
    <row r="24">
      <c r="A24" t="inlineStr">
        <is>
          <t>Net Income Common Stockholders</t>
        </is>
      </c>
      <c r="B24" s="3" t="n">
        <v>328945000</v>
      </c>
      <c r="C24" s="3" t="n">
        <v>281941000</v>
      </c>
      <c r="D24" s="3" t="n">
        <v>245849000</v>
      </c>
      <c r="E24" s="3" t="n">
        <v>238191000</v>
      </c>
    </row>
    <row r="25">
      <c r="A25" t="inlineStr">
        <is>
          <t>Net Income</t>
        </is>
      </c>
      <c r="B25" s="3" t="n">
        <v>328945000</v>
      </c>
      <c r="C25" s="3" t="n">
        <v>281941000</v>
      </c>
      <c r="D25" s="3" t="n">
        <v>245849000</v>
      </c>
      <c r="E25" s="3" t="n">
        <v>238191000</v>
      </c>
    </row>
    <row r="26">
      <c r="A26" t="inlineStr">
        <is>
          <t>Minority Interests</t>
        </is>
      </c>
      <c r="B26" s="3" t="n">
        <v>-916000</v>
      </c>
      <c r="C26" s="3" t="n">
        <v>-357000</v>
      </c>
      <c r="D26" s="3" t="n">
        <v>-472000</v>
      </c>
      <c r="E26" s="3" t="n">
        <v>-429000</v>
      </c>
    </row>
    <row r="27">
      <c r="A27" t="inlineStr">
        <is>
          <t>Net Income Including Noncontrolling Interests</t>
        </is>
      </c>
      <c r="B27" s="3" t="n">
        <v>329861000</v>
      </c>
      <c r="C27" s="3" t="n">
        <v>282298000</v>
      </c>
      <c r="D27" s="3" t="n">
        <v>246321000</v>
      </c>
      <c r="E27" s="3" t="n">
        <v>238620000</v>
      </c>
    </row>
    <row r="28">
      <c r="A28" t="inlineStr">
        <is>
          <t>Net Income Continuous Operations</t>
        </is>
      </c>
      <c r="B28" s="3" t="n">
        <v>329861000</v>
      </c>
      <c r="C28" s="3" t="n">
        <v>282298000</v>
      </c>
      <c r="D28" s="3" t="n">
        <v>246321000</v>
      </c>
      <c r="E28" s="3" t="n">
        <v>238620000</v>
      </c>
    </row>
    <row r="29">
      <c r="A29" t="inlineStr">
        <is>
          <t>Tax Provision</t>
        </is>
      </c>
      <c r="B29" s="3" t="n">
        <v>68259000</v>
      </c>
      <c r="C29" s="3" t="n">
        <v>66422000</v>
      </c>
      <c r="D29" s="3" t="n">
        <v>75079000</v>
      </c>
      <c r="E29" s="3" t="n">
        <v>75757000</v>
      </c>
    </row>
    <row r="30">
      <c r="A30" t="inlineStr">
        <is>
          <t>Pretax Income</t>
        </is>
      </c>
      <c r="B30" s="3" t="n">
        <v>398120000</v>
      </c>
      <c r="C30" s="3" t="n">
        <v>348720000</v>
      </c>
      <c r="D30" s="3" t="n">
        <v>321400000</v>
      </c>
      <c r="E30" s="3" t="n">
        <v>314377000</v>
      </c>
    </row>
    <row r="31">
      <c r="A31" t="inlineStr">
        <is>
          <t>Other Income Expense</t>
        </is>
      </c>
      <c r="B31" s="3" t="n">
        <v>113858000</v>
      </c>
      <c r="C31" s="3" t="n">
        <v>56575000</v>
      </c>
      <c r="D31" s="3" t="n">
        <v>32791000</v>
      </c>
      <c r="E31" s="3" t="n">
        <v>41911000</v>
      </c>
    </row>
    <row r="32">
      <c r="A32" t="inlineStr">
        <is>
          <t>Other Non Operating Income Expenses</t>
        </is>
      </c>
      <c r="B32" s="3" t="n">
        <v>33975000</v>
      </c>
      <c r="C32" s="3" t="n">
        <v>5034000</v>
      </c>
      <c r="D32" s="3" t="n">
        <v>-16982000</v>
      </c>
      <c r="E32" s="3" t="n">
        <v>1458000</v>
      </c>
    </row>
    <row r="33">
      <c r="A33" t="inlineStr">
        <is>
          <t>Special Income Charges</t>
        </is>
      </c>
      <c r="B33" s="3" t="n">
        <v>4972000</v>
      </c>
      <c r="C33" s="3" t="n">
        <v>-4390000</v>
      </c>
      <c r="D33" s="3" t="n">
        <v>-1034000</v>
      </c>
      <c r="E33" s="3" t="n">
        <v>-5520000</v>
      </c>
    </row>
    <row r="34">
      <c r="A34" t="inlineStr">
        <is>
          <t>Gain On Sale Of Ppe</t>
        </is>
      </c>
      <c r="B34" s="3" t="n">
        <v>4972000</v>
      </c>
      <c r="C34" s="3" t="n">
        <v>-4390000</v>
      </c>
      <c r="D34" s="3" t="n">
        <v>-1034000</v>
      </c>
      <c r="E34" s="3" t="n">
        <v>-5520000</v>
      </c>
    </row>
    <row r="35">
      <c r="A35" t="inlineStr">
        <is>
          <t>Earnings From Equity Interest</t>
        </is>
      </c>
      <c r="B35" s="3" t="n">
        <v>74911000</v>
      </c>
      <c r="C35" s="3" t="n">
        <v>55931000</v>
      </c>
      <c r="D35" s="3" t="n">
        <v>50807000</v>
      </c>
      <c r="E35" s="3" t="n">
        <v>45973000</v>
      </c>
    </row>
    <row r="36">
      <c r="A36" t="inlineStr">
        <is>
          <t>Net Non Operating Interest Income Expense</t>
        </is>
      </c>
      <c r="B36" s="3" t="n">
        <v>-40314000</v>
      </c>
      <c r="C36" s="3" t="n">
        <v>-36921000</v>
      </c>
      <c r="D36" s="3" t="n">
        <v>-44677000</v>
      </c>
      <c r="E36" s="3" t="n">
        <v>-35652000</v>
      </c>
    </row>
    <row r="37">
      <c r="A37" t="inlineStr">
        <is>
          <t>Interest Expense Non Operating</t>
        </is>
      </c>
      <c r="B37" s="3" t="n">
        <v>44207000</v>
      </c>
      <c r="C37" s="3" t="n">
        <v>39475000</v>
      </c>
      <c r="D37" s="3" t="n">
        <v>47036000</v>
      </c>
      <c r="E37" s="3" t="n">
        <v>36410000</v>
      </c>
    </row>
    <row r="38">
      <c r="A38" t="inlineStr">
        <is>
          <t>Interest Income Non Operating</t>
        </is>
      </c>
      <c r="B38" s="3" t="n">
        <v>3893000</v>
      </c>
      <c r="C38" s="3" t="n">
        <v>2554000</v>
      </c>
      <c r="D38" s="3" t="n">
        <v>2359000</v>
      </c>
      <c r="E38" s="3" t="n">
        <v>758000</v>
      </c>
    </row>
    <row r="39">
      <c r="A39" t="inlineStr">
        <is>
          <t>Operating Income</t>
        </is>
      </c>
      <c r="B39" s="3" t="n">
        <v>324576000</v>
      </c>
      <c r="C39" s="3" t="n">
        <v>329066000</v>
      </c>
      <c r="D39" s="3" t="n">
        <v>333286000</v>
      </c>
      <c r="E39" s="3" t="n">
        <v>308118000</v>
      </c>
    </row>
    <row r="40">
      <c r="A40" t="inlineStr">
        <is>
          <t>Operating Expense</t>
        </is>
      </c>
      <c r="B40" s="3" t="n">
        <v>408283000</v>
      </c>
      <c r="C40" s="3" t="n">
        <v>326141000</v>
      </c>
      <c r="D40" s="3" t="n">
        <v>287307000</v>
      </c>
      <c r="E40" s="3" t="n">
        <v>243817000</v>
      </c>
    </row>
    <row r="41">
      <c r="A41" t="inlineStr">
        <is>
          <t>Research And Development</t>
        </is>
      </c>
      <c r="B41" s="3" t="n">
        <v>13867000</v>
      </c>
      <c r="C41" s="3" t="n">
        <v>7478000</v>
      </c>
      <c r="D41" s="3" t="n">
        <v>7613000</v>
      </c>
      <c r="E41" s="3" t="n">
        <v>9535000</v>
      </c>
    </row>
    <row r="42">
      <c r="A42" t="inlineStr">
        <is>
          <t>Selling General And Administration</t>
        </is>
      </c>
      <c r="B42" s="3" t="n">
        <v>394416000</v>
      </c>
      <c r="C42" s="3" t="n">
        <v>318663000</v>
      </c>
      <c r="D42" s="3" t="n">
        <v>279694000</v>
      </c>
      <c r="E42" s="3" t="n">
        <v>234282000</v>
      </c>
    </row>
    <row r="43">
      <c r="A43" t="inlineStr">
        <is>
          <t>Gross Profit</t>
        </is>
      </c>
      <c r="B43" s="3" t="n">
        <v>732859000</v>
      </c>
      <c r="C43" s="3" t="n">
        <v>655207000</v>
      </c>
      <c r="D43" s="3" t="n">
        <v>620593000</v>
      </c>
      <c r="E43" s="3" t="n">
        <v>551935000</v>
      </c>
    </row>
    <row r="44">
      <c r="A44" t="inlineStr">
        <is>
          <t>Cost Of Revenue</t>
        </is>
      </c>
      <c r="B44" s="3" t="n">
        <v>2465566000</v>
      </c>
      <c r="C44" s="3" t="n">
        <v>2048447000</v>
      </c>
      <c r="D44" s="3" t="n">
        <v>1875716000</v>
      </c>
      <c r="E44" s="3" t="n">
        <v>1680899000</v>
      </c>
    </row>
    <row r="45">
      <c r="A45" t="inlineStr">
        <is>
          <t>Total Revenue</t>
        </is>
      </c>
      <c r="B45" s="3" t="n">
        <v>3198425000</v>
      </c>
      <c r="C45" s="3" t="n">
        <v>2703654000</v>
      </c>
      <c r="D45" s="3" t="n">
        <v>2496309000</v>
      </c>
      <c r="E45" s="3" t="n">
        <v>2232834000</v>
      </c>
    </row>
    <row r="46">
      <c r="A46" t="inlineStr">
        <is>
          <t>Operating Revenue</t>
        </is>
      </c>
      <c r="B46" s="3" t="n">
        <v>3198425000</v>
      </c>
      <c r="C46" s="3" t="n">
        <v>2703654000</v>
      </c>
      <c r="D46" s="3" t="n">
        <v>2496309000</v>
      </c>
      <c r="E46" s="3" t="n">
        <v>2232834000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-18784.477618</v>
      </c>
      <c r="C2" s="3" t="n">
        <v>40090.417525</v>
      </c>
      <c r="D2" s="3" t="n">
        <v>-236</v>
      </c>
      <c r="E2" s="3" t="n">
        <v>-2561</v>
      </c>
      <c r="F2" s="3" t="n">
        <v>786187.971726</v>
      </c>
    </row>
    <row r="3">
      <c r="A3" t="inlineStr">
        <is>
          <t>Tax Rate For Calcs</t>
        </is>
      </c>
      <c r="B3" s="3" t="n">
        <v>0.150276</v>
      </c>
      <c r="C3" s="3" t="n">
        <v>0.07223499999999999</v>
      </c>
      <c r="D3" s="3" t="n">
        <v>0.236</v>
      </c>
      <c r="E3" s="3" t="n">
        <v>0.197</v>
      </c>
      <c r="F3" s="3" t="n">
        <v>0.177429</v>
      </c>
    </row>
    <row r="4">
      <c r="A4" t="inlineStr">
        <is>
          <t>Normalized EBITDA</t>
        </is>
      </c>
      <c r="B4" s="3" t="n">
        <v>141187000</v>
      </c>
      <c r="C4" s="3" t="n">
        <v>140431000</v>
      </c>
      <c r="D4" s="3" t="n">
        <v>150046000</v>
      </c>
      <c r="E4" s="3" t="n">
        <v>136772000</v>
      </c>
      <c r="F4" s="3" t="n">
        <v>119292000</v>
      </c>
    </row>
    <row r="5">
      <c r="A5" t="inlineStr">
        <is>
          <t>Total Unusual Items</t>
        </is>
      </c>
      <c r="B5" s="3" t="n">
        <v>-125000</v>
      </c>
      <c r="C5" s="3" t="n">
        <v>555000</v>
      </c>
      <c r="D5" s="3" t="n">
        <v>-1000</v>
      </c>
      <c r="E5" s="3" t="n">
        <v>-13000</v>
      </c>
      <c r="F5" s="3" t="n">
        <v>4431000</v>
      </c>
    </row>
    <row r="6">
      <c r="A6" t="inlineStr">
        <is>
          <t>Total Unusual Items Excluding Goodwill</t>
        </is>
      </c>
      <c r="B6" s="3" t="n">
        <v>-125000</v>
      </c>
      <c r="C6" s="3" t="n">
        <v>555000</v>
      </c>
      <c r="D6" s="3" t="n">
        <v>-1000</v>
      </c>
      <c r="E6" s="3" t="n">
        <v>-13000</v>
      </c>
      <c r="F6" s="3" t="n">
        <v>4431000</v>
      </c>
    </row>
    <row r="7">
      <c r="A7" t="inlineStr">
        <is>
          <t>Net Income From Continuing Operation Net Minority Interest</t>
        </is>
      </c>
      <c r="B7" s="3" t="n">
        <v>91068000</v>
      </c>
      <c r="C7" s="3" t="n">
        <v>92989000</v>
      </c>
      <c r="D7" s="3" t="n">
        <v>82106000</v>
      </c>
      <c r="E7" s="3" t="n">
        <v>78388000</v>
      </c>
      <c r="F7" s="3" t="n">
        <v>75462000</v>
      </c>
    </row>
    <row r="8">
      <c r="A8" t="inlineStr">
        <is>
          <t>Reconciled Depreciation</t>
        </is>
      </c>
      <c r="B8" s="3" t="n">
        <v>29013000</v>
      </c>
      <c r="C8" s="3" t="n">
        <v>29557000</v>
      </c>
      <c r="D8" s="3" t="n">
        <v>28458000</v>
      </c>
      <c r="E8" s="3" t="n">
        <v>27259000</v>
      </c>
      <c r="F8" s="3" t="n">
        <v>23912000</v>
      </c>
    </row>
    <row r="9">
      <c r="A9" t="inlineStr">
        <is>
          <t>Reconciled Cost Of Revenue</t>
        </is>
      </c>
      <c r="B9" s="3" t="n">
        <v>662849000</v>
      </c>
      <c r="C9" s="3" t="n">
        <v>698567000</v>
      </c>
      <c r="D9" s="3" t="n">
        <v>677292000</v>
      </c>
      <c r="E9" s="3" t="n">
        <v>572642000</v>
      </c>
      <c r="F9" s="3" t="n">
        <v>517065000</v>
      </c>
    </row>
    <row r="10">
      <c r="A10" t="inlineStr">
        <is>
          <t>EBITDA</t>
        </is>
      </c>
      <c r="B10" s="3" t="n">
        <v>141062000</v>
      </c>
      <c r="C10" s="3" t="n">
        <v>140986000</v>
      </c>
      <c r="D10" s="3" t="n">
        <v>150045000</v>
      </c>
      <c r="E10" s="3" t="n">
        <v>136759000</v>
      </c>
      <c r="F10" s="3" t="n">
        <v>123723000</v>
      </c>
    </row>
    <row r="11">
      <c r="A11" t="inlineStr">
        <is>
          <t>EBIT</t>
        </is>
      </c>
      <c r="B11" s="3" t="n">
        <v>112049000</v>
      </c>
      <c r="C11" s="3" t="n">
        <v>111429000</v>
      </c>
      <c r="D11" s="3" t="n">
        <v>121587000</v>
      </c>
      <c r="E11" s="3" t="n">
        <v>109500000</v>
      </c>
      <c r="F11" s="3" t="n">
        <v>99811000</v>
      </c>
    </row>
    <row r="12">
      <c r="A12" t="inlineStr">
        <is>
          <t>Net Interest Income</t>
        </is>
      </c>
      <c r="B12" s="3" t="n">
        <v>181000</v>
      </c>
      <c r="C12" s="3" t="n">
        <v>-8849000</v>
      </c>
      <c r="D12" s="3" t="n">
        <v>-13003000</v>
      </c>
      <c r="E12" s="3" t="n">
        <v>-11190000</v>
      </c>
      <c r="F12" s="3" t="n">
        <v>-7272000</v>
      </c>
    </row>
    <row r="13">
      <c r="A13" t="inlineStr">
        <is>
          <t>Interest Expense</t>
        </is>
      </c>
      <c r="B13" s="3" t="n">
        <v>4733000</v>
      </c>
      <c r="C13" s="3" t="n">
        <v>10453000</v>
      </c>
      <c r="D13" s="3" t="n">
        <v>14019000</v>
      </c>
      <c r="E13" s="3" t="n">
        <v>11741000</v>
      </c>
      <c r="F13" s="3" t="n">
        <v>7994000</v>
      </c>
    </row>
    <row r="14">
      <c r="A14" t="inlineStr">
        <is>
          <t>Interest Income</t>
        </is>
      </c>
      <c r="B14" s="3" t="n">
        <v>4914000</v>
      </c>
      <c r="C14" s="3" t="n">
        <v>1604000</v>
      </c>
      <c r="D14" s="3" t="n">
        <v>1016000</v>
      </c>
      <c r="E14" s="3" t="n">
        <v>551000</v>
      </c>
      <c r="F14" s="3" t="n">
        <v>722000</v>
      </c>
    </row>
    <row r="15">
      <c r="A15" t="inlineStr">
        <is>
          <t>Normalized Income</t>
        </is>
      </c>
      <c r="B15" s="3" t="n">
        <v>91174215.52238201</v>
      </c>
      <c r="C15" s="3" t="n">
        <v>92474090.41752499</v>
      </c>
      <c r="D15" s="3" t="n">
        <v>82106764</v>
      </c>
      <c r="E15" s="3" t="n">
        <v>78398439</v>
      </c>
      <c r="F15" s="3" t="n">
        <v>71817187.971726</v>
      </c>
    </row>
    <row r="16">
      <c r="A16" t="inlineStr">
        <is>
          <t>Net Income From Continuing And Discontinued Operation</t>
        </is>
      </c>
      <c r="B16" s="3" t="n">
        <v>91068000</v>
      </c>
      <c r="C16" s="3" t="n">
        <v>92989000</v>
      </c>
      <c r="D16" s="3" t="n">
        <v>82106000</v>
      </c>
      <c r="E16" s="3" t="n">
        <v>78388000</v>
      </c>
      <c r="F16" s="3" t="n">
        <v>75462000</v>
      </c>
    </row>
    <row r="17">
      <c r="A17" t="inlineStr">
        <is>
          <t>Total Expenses</t>
        </is>
      </c>
      <c r="B17" s="3" t="n">
        <v>774966000</v>
      </c>
      <c r="C17" s="3" t="n">
        <v>812903000</v>
      </c>
      <c r="D17" s="3" t="n">
        <v>774152000</v>
      </c>
      <c r="E17" s="3" t="n">
        <v>680147000</v>
      </c>
      <c r="F17" s="3" t="n">
        <v>606647000</v>
      </c>
    </row>
    <row r="18">
      <c r="A18" t="inlineStr">
        <is>
          <t>Total Operating Income As Reported</t>
        </is>
      </c>
      <c r="B18" s="3" t="n">
        <v>106691000</v>
      </c>
      <c r="C18" s="3" t="n">
        <v>92056000</v>
      </c>
      <c r="D18" s="3" t="n">
        <v>113349000</v>
      </c>
      <c r="E18" s="3" t="n">
        <v>102424000</v>
      </c>
      <c r="F18" s="3" t="n">
        <v>96630000</v>
      </c>
    </row>
    <row r="19">
      <c r="A19" t="inlineStr">
        <is>
          <t>Diluted Average Shares</t>
        </is>
      </c>
      <c r="B19" s="3" t="n">
        <v>91908600</v>
      </c>
      <c r="C19" s="3" t="n">
        <v>92060042</v>
      </c>
      <c r="D19" s="3" t="n">
        <v>91787602</v>
      </c>
      <c r="E19" s="3" t="n">
        <v>91702703</v>
      </c>
      <c r="F19" s="3" t="n">
        <v>91873702</v>
      </c>
    </row>
    <row r="20">
      <c r="A20" t="inlineStr">
        <is>
          <t>Basic Average Shares</t>
        </is>
      </c>
      <c r="B20" s="3" t="n">
        <v>91663975</v>
      </c>
      <c r="C20" s="3" t="n">
        <v>91562973</v>
      </c>
      <c r="D20" s="3" t="n">
        <v>91565095</v>
      </c>
      <c r="E20" s="3" t="n">
        <v>91542967</v>
      </c>
      <c r="F20" s="3" t="n">
        <v>91594084</v>
      </c>
    </row>
    <row r="21">
      <c r="A21" t="inlineStr">
        <is>
          <t>Diluted EPS</t>
        </is>
      </c>
      <c r="B21" s="3" t="n">
        <v>0.99</v>
      </c>
      <c r="C21" s="3" t="n">
        <v>1.01</v>
      </c>
      <c r="D21" s="3" t="n">
        <v>0.89</v>
      </c>
      <c r="E21" s="3" t="n">
        <v>0.85</v>
      </c>
      <c r="F21" s="3" t="n">
        <v>0.82</v>
      </c>
    </row>
    <row r="22">
      <c r="A22" t="inlineStr">
        <is>
          <t>Basic EPS</t>
        </is>
      </c>
      <c r="B22" s="3" t="n">
        <v>0.99</v>
      </c>
      <c r="C22" s="3" t="n">
        <v>1.02</v>
      </c>
      <c r="D22" s="3" t="n">
        <v>0.9</v>
      </c>
      <c r="E22" s="3" t="n">
        <v>0.86</v>
      </c>
      <c r="F22" s="3" t="n">
        <v>0.82</v>
      </c>
    </row>
    <row r="23">
      <c r="A23" t="inlineStr">
        <is>
          <t>Diluted NI Availto Com Stockholders</t>
        </is>
      </c>
      <c r="B23" s="3" t="n">
        <v>91068000</v>
      </c>
      <c r="C23" s="3" t="n">
        <v>92989000</v>
      </c>
      <c r="D23" s="3" t="n">
        <v>82106000</v>
      </c>
      <c r="E23" s="3" t="n">
        <v>78388000</v>
      </c>
      <c r="F23" s="3" t="n">
        <v>75462000</v>
      </c>
    </row>
    <row r="24">
      <c r="A24" t="inlineStr">
        <is>
          <t>Net Income Common Stockholders</t>
        </is>
      </c>
      <c r="B24" s="3" t="n">
        <v>91068000</v>
      </c>
      <c r="C24" s="3" t="n">
        <v>92989000</v>
      </c>
      <c r="D24" s="3" t="n">
        <v>82106000</v>
      </c>
      <c r="E24" s="3" t="n">
        <v>78388000</v>
      </c>
      <c r="F24" s="3" t="n">
        <v>75462000</v>
      </c>
    </row>
    <row r="25">
      <c r="A25" t="inlineStr">
        <is>
          <t>Net Income</t>
        </is>
      </c>
      <c r="B25" s="3" t="n">
        <v>91068000</v>
      </c>
      <c r="C25" s="3" t="n">
        <v>92989000</v>
      </c>
      <c r="D25" s="3" t="n">
        <v>82106000</v>
      </c>
      <c r="E25" s="3" t="n">
        <v>78388000</v>
      </c>
      <c r="F25" s="3" t="n">
        <v>75462000</v>
      </c>
    </row>
    <row r="26">
      <c r="A26" t="inlineStr">
        <is>
          <t>Minority Interests</t>
        </is>
      </c>
      <c r="B26" s="3" t="n">
        <v>-121000</v>
      </c>
      <c r="C26" s="3" t="n">
        <v>-693000</v>
      </c>
      <c r="D26" s="3" t="n">
        <v>-85000</v>
      </c>
      <c r="E26" s="3" t="n">
        <v>-74000</v>
      </c>
      <c r="F26" s="3" t="n">
        <v>-64000</v>
      </c>
    </row>
    <row r="27">
      <c r="A27" t="inlineStr">
        <is>
          <t>Net Income Including Noncontrolling Interests</t>
        </is>
      </c>
      <c r="B27" s="3" t="n">
        <v>91189000</v>
      </c>
      <c r="C27" s="3" t="n">
        <v>93682000</v>
      </c>
      <c r="D27" s="3" t="n">
        <v>82191000</v>
      </c>
      <c r="E27" s="3" t="n">
        <v>78462000</v>
      </c>
      <c r="F27" s="3" t="n">
        <v>75526000</v>
      </c>
    </row>
    <row r="28">
      <c r="A28" t="inlineStr">
        <is>
          <t>Net Income Continuous Operations</t>
        </is>
      </c>
      <c r="B28" s="3" t="n">
        <v>91189000</v>
      </c>
      <c r="C28" s="3" t="n">
        <v>93682000</v>
      </c>
      <c r="D28" s="3" t="n">
        <v>82191000</v>
      </c>
      <c r="E28" s="3" t="n">
        <v>78462000</v>
      </c>
      <c r="F28" s="3" t="n">
        <v>75526000</v>
      </c>
    </row>
    <row r="29">
      <c r="A29" t="inlineStr">
        <is>
          <t>Tax Provision</t>
        </is>
      </c>
      <c r="B29" s="3" t="n">
        <v>16127000</v>
      </c>
      <c r="C29" s="3" t="n">
        <v>7294000</v>
      </c>
      <c r="D29" s="3" t="n">
        <v>25377000</v>
      </c>
      <c r="E29" s="3" t="n">
        <v>19297000</v>
      </c>
      <c r="F29" s="3" t="n">
        <v>16291000</v>
      </c>
    </row>
    <row r="30">
      <c r="A30" t="inlineStr">
        <is>
          <t>Pretax Income</t>
        </is>
      </c>
      <c r="B30" s="3" t="n">
        <v>107316000</v>
      </c>
      <c r="C30" s="3" t="n">
        <v>100976000</v>
      </c>
      <c r="D30" s="3" t="n">
        <v>107568000</v>
      </c>
      <c r="E30" s="3" t="n">
        <v>97759000</v>
      </c>
      <c r="F30" s="3" t="n">
        <v>91817000</v>
      </c>
    </row>
    <row r="31">
      <c r="A31" t="inlineStr">
        <is>
          <t>Other Income Expense</t>
        </is>
      </c>
      <c r="B31" s="3" t="n">
        <v>21884000</v>
      </c>
      <c r="C31" s="3" t="n">
        <v>36886000</v>
      </c>
      <c r="D31" s="3" t="n">
        <v>28437000</v>
      </c>
      <c r="E31" s="3" t="n">
        <v>25057000</v>
      </c>
      <c r="F31" s="3" t="n">
        <v>23478000</v>
      </c>
    </row>
    <row r="32">
      <c r="A32" t="inlineStr">
        <is>
          <t>Other Non Operating Income Expenses</t>
        </is>
      </c>
      <c r="B32" s="3" t="n">
        <v>444000</v>
      </c>
      <c r="C32" s="3" t="n">
        <v>17769000</v>
      </c>
      <c r="D32" s="3" t="n">
        <v>7222000</v>
      </c>
      <c r="E32" s="3" t="n">
        <v>6525000</v>
      </c>
      <c r="F32" s="3" t="n">
        <v>2459000</v>
      </c>
    </row>
    <row r="33">
      <c r="A33" t="inlineStr">
        <is>
          <t>Special Income Charges</t>
        </is>
      </c>
      <c r="B33" s="3" t="n">
        <v>-125000</v>
      </c>
      <c r="C33" s="3" t="n">
        <v>555000</v>
      </c>
      <c r="D33" s="3" t="n">
        <v>-1000</v>
      </c>
      <c r="E33" s="3" t="n">
        <v>-13000</v>
      </c>
      <c r="F33" s="3" t="n">
        <v>4431000</v>
      </c>
    </row>
    <row r="34">
      <c r="A34" t="inlineStr">
        <is>
          <t>Gain On Sale Of Ppe</t>
        </is>
      </c>
      <c r="B34" s="3" t="n">
        <v>-125000</v>
      </c>
      <c r="C34" s="3" t="n">
        <v>555000</v>
      </c>
      <c r="D34" s="3" t="n">
        <v>-1000</v>
      </c>
      <c r="E34" s="3" t="n">
        <v>-13000</v>
      </c>
      <c r="F34" s="3" t="n">
        <v>4431000</v>
      </c>
    </row>
    <row r="35">
      <c r="A35" t="inlineStr">
        <is>
          <t>Earnings From Equity Interest</t>
        </is>
      </c>
      <c r="B35" s="3" t="n">
        <v>21565000</v>
      </c>
      <c r="C35" s="3" t="n">
        <v>18562000</v>
      </c>
      <c r="D35" s="3" t="n">
        <v>21216000</v>
      </c>
      <c r="E35" s="3" t="n">
        <v>18545000</v>
      </c>
      <c r="F35" s="3" t="n">
        <v>16588000</v>
      </c>
    </row>
    <row r="36">
      <c r="A36" t="inlineStr">
        <is>
          <t>Net Non Operating Interest Income Expense</t>
        </is>
      </c>
      <c r="B36" s="3" t="n">
        <v>181000</v>
      </c>
      <c r="C36" s="3" t="n">
        <v>-8849000</v>
      </c>
      <c r="D36" s="3" t="n">
        <v>-13003000</v>
      </c>
      <c r="E36" s="3" t="n">
        <v>-11190000</v>
      </c>
      <c r="F36" s="3" t="n">
        <v>-7272000</v>
      </c>
    </row>
    <row r="37">
      <c r="A37" t="inlineStr">
        <is>
          <t>Interest Expense Non Operating</t>
        </is>
      </c>
      <c r="B37" s="3" t="n">
        <v>4733000</v>
      </c>
      <c r="C37" s="3" t="n">
        <v>10453000</v>
      </c>
      <c r="D37" s="3" t="n">
        <v>14019000</v>
      </c>
      <c r="E37" s="3" t="n">
        <v>11741000</v>
      </c>
      <c r="F37" s="3" t="n">
        <v>7994000</v>
      </c>
    </row>
    <row r="38">
      <c r="A38" t="inlineStr">
        <is>
          <t>Interest Income Non Operating</t>
        </is>
      </c>
      <c r="B38" s="3" t="n">
        <v>4914000</v>
      </c>
      <c r="C38" s="3" t="n">
        <v>1604000</v>
      </c>
      <c r="D38" s="3" t="n">
        <v>1016000</v>
      </c>
      <c r="E38" s="3" t="n">
        <v>551000</v>
      </c>
      <c r="F38" s="3" t="n">
        <v>722000</v>
      </c>
    </row>
    <row r="39">
      <c r="A39" t="inlineStr">
        <is>
          <t>Operating Income</t>
        </is>
      </c>
      <c r="B39" s="3" t="n">
        <v>85251000</v>
      </c>
      <c r="C39" s="3" t="n">
        <v>72939000</v>
      </c>
      <c r="D39" s="3" t="n">
        <v>92134000</v>
      </c>
      <c r="E39" s="3" t="n">
        <v>83892000</v>
      </c>
      <c r="F39" s="3" t="n">
        <v>75611000</v>
      </c>
    </row>
    <row r="40">
      <c r="A40" t="inlineStr">
        <is>
          <t>Operating Expense</t>
        </is>
      </c>
      <c r="B40" s="3" t="n">
        <v>112117000</v>
      </c>
      <c r="C40" s="3" t="n">
        <v>114336000</v>
      </c>
      <c r="D40" s="3" t="n">
        <v>96860000</v>
      </c>
      <c r="E40" s="3" t="n">
        <v>107505000</v>
      </c>
      <c r="F40" s="3" t="n">
        <v>89582000</v>
      </c>
    </row>
    <row r="41">
      <c r="A41" t="inlineStr">
        <is>
          <t>Research And Development</t>
        </is>
      </c>
      <c r="B41" s="3" t="n">
        <v>4100000</v>
      </c>
      <c r="C41" s="3" t="n">
        <v>3810000</v>
      </c>
      <c r="D41" s="3" t="n">
        <v>3479000</v>
      </c>
      <c r="E41" s="3" t="n">
        <v>4565000</v>
      </c>
      <c r="F41" s="3" t="n">
        <v>2013000</v>
      </c>
    </row>
    <row r="42">
      <c r="A42" t="inlineStr">
        <is>
          <t>Selling General And Administration</t>
        </is>
      </c>
      <c r="B42" s="3" t="n">
        <v>108017000</v>
      </c>
      <c r="C42" s="3" t="n">
        <v>110526000</v>
      </c>
      <c r="D42" s="3" t="n">
        <v>93381000</v>
      </c>
      <c r="E42" s="3" t="n">
        <v>102940000</v>
      </c>
      <c r="F42" s="3" t="n">
        <v>87569000</v>
      </c>
    </row>
    <row r="43">
      <c r="A43" t="inlineStr">
        <is>
          <t>Gross Profit</t>
        </is>
      </c>
      <c r="B43" s="3" t="n">
        <v>197368000</v>
      </c>
      <c r="C43" s="3" t="n">
        <v>187275000</v>
      </c>
      <c r="D43" s="3" t="n">
        <v>188994000</v>
      </c>
      <c r="E43" s="3" t="n">
        <v>191397000</v>
      </c>
      <c r="F43" s="3" t="n">
        <v>165193000</v>
      </c>
    </row>
    <row r="44">
      <c r="A44" t="inlineStr">
        <is>
          <t>Cost Of Revenue</t>
        </is>
      </c>
      <c r="B44" s="3" t="n">
        <v>662849000</v>
      </c>
      <c r="C44" s="3" t="n">
        <v>698567000</v>
      </c>
      <c r="D44" s="3" t="n">
        <v>677292000</v>
      </c>
      <c r="E44" s="3" t="n">
        <v>572642000</v>
      </c>
      <c r="F44" s="3" t="n">
        <v>517065000</v>
      </c>
    </row>
    <row r="45">
      <c r="A45" t="inlineStr">
        <is>
          <t>Total Revenue</t>
        </is>
      </c>
      <c r="B45" s="3" t="n">
        <v>860217000</v>
      </c>
      <c r="C45" s="3" t="n">
        <v>885842000</v>
      </c>
      <c r="D45" s="3" t="n">
        <v>866286000</v>
      </c>
      <c r="E45" s="3" t="n">
        <v>764039000</v>
      </c>
      <c r="F45" s="3" t="n">
        <v>682258000</v>
      </c>
    </row>
    <row r="46">
      <c r="A46" t="inlineStr">
        <is>
          <t>Operating Revenue</t>
        </is>
      </c>
      <c r="B46" s="3" t="n">
        <v>860217000</v>
      </c>
      <c r="C46" s="3" t="n">
        <v>885842000</v>
      </c>
      <c r="D46" s="3" t="n">
        <v>866286000</v>
      </c>
      <c r="E46" s="3" t="n">
        <v>764039000</v>
      </c>
      <c r="F46" s="3" t="n">
        <v>682258000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37289582</v>
      </c>
      <c r="C2" s="3" t="n">
        <v>36869498</v>
      </c>
      <c r="D2" s="3" t="n">
        <v>36537695</v>
      </c>
      <c r="E2" s="3" t="n">
        <v>36417480</v>
      </c>
      <c r="F2" s="3" t="n"/>
    </row>
    <row r="3">
      <c r="A3" t="inlineStr">
        <is>
          <t>Ordinary Shares Number</t>
        </is>
      </c>
      <c r="B3" s="3" t="n">
        <v>91431237</v>
      </c>
      <c r="C3" s="3" t="n">
        <v>91450797</v>
      </c>
      <c r="D3" s="3" t="n">
        <v>91527826</v>
      </c>
      <c r="E3" s="3" t="n">
        <v>91254276</v>
      </c>
      <c r="F3" s="3" t="n"/>
    </row>
    <row r="4">
      <c r="A4" t="inlineStr">
        <is>
          <t>Share Issued</t>
        </is>
      </c>
      <c r="B4" s="3" t="n">
        <v>128720819</v>
      </c>
      <c r="C4" s="3" t="n">
        <v>128320295</v>
      </c>
      <c r="D4" s="3" t="n">
        <v>128065521</v>
      </c>
      <c r="E4" s="3" t="n">
        <v>127671756</v>
      </c>
      <c r="F4" s="3" t="n"/>
    </row>
    <row r="5">
      <c r="A5" t="inlineStr">
        <is>
          <t>Net Debt</t>
        </is>
      </c>
      <c r="B5" s="3" t="n">
        <v>1516204000</v>
      </c>
      <c r="C5" s="3" t="n">
        <v>981361000</v>
      </c>
      <c r="D5" s="3" t="n">
        <v>1133906000</v>
      </c>
      <c r="E5" s="3" t="n">
        <v>1253630000</v>
      </c>
      <c r="F5" s="3" t="n"/>
    </row>
    <row r="6">
      <c r="A6" t="inlineStr">
        <is>
          <t>Total Debt</t>
        </is>
      </c>
      <c r="B6" s="3" t="n">
        <v>2015983000</v>
      </c>
      <c r="C6" s="3" t="n">
        <v>1055470000</v>
      </c>
      <c r="D6" s="3" t="n">
        <v>1209672000</v>
      </c>
      <c r="E6" s="3" t="n">
        <v>1288874000</v>
      </c>
      <c r="F6" s="3" t="n"/>
    </row>
    <row r="7">
      <c r="A7" t="inlineStr">
        <is>
          <t>Tangible Book Value</t>
        </is>
      </c>
      <c r="B7" s="3" t="n">
        <v>401768000</v>
      </c>
      <c r="C7" s="3" t="n">
        <v>627993000</v>
      </c>
      <c r="D7" s="3" t="n">
        <v>450821000</v>
      </c>
      <c r="E7" s="3" t="n">
        <v>261533000</v>
      </c>
      <c r="F7" s="3" t="n"/>
    </row>
    <row r="8">
      <c r="A8" t="inlineStr">
        <is>
          <t>Invested Capital</t>
        </is>
      </c>
      <c r="B8" s="3" t="n">
        <v>3248470000</v>
      </c>
      <c r="C8" s="3" t="n">
        <v>2136150000</v>
      </c>
      <c r="D8" s="3" t="n">
        <v>2143023000</v>
      </c>
      <c r="E8" s="3" t="n">
        <v>2037184000</v>
      </c>
      <c r="F8" s="3" t="n"/>
    </row>
    <row r="9">
      <c r="A9" t="inlineStr">
        <is>
          <t>Working Capital</t>
        </is>
      </c>
      <c r="B9" s="3" t="n">
        <v>888337000</v>
      </c>
      <c r="C9" s="3" t="n">
        <v>455796000</v>
      </c>
      <c r="D9" s="3" t="n">
        <v>442755000</v>
      </c>
      <c r="E9" s="3" t="n">
        <v>403759000</v>
      </c>
      <c r="F9" s="3" t="n"/>
    </row>
    <row r="10">
      <c r="A10" t="inlineStr">
        <is>
          <t>Net Tangible Assets</t>
        </is>
      </c>
      <c r="B10" s="3" t="n">
        <v>401768000</v>
      </c>
      <c r="C10" s="3" t="n">
        <v>627993000</v>
      </c>
      <c r="D10" s="3" t="n">
        <v>450821000</v>
      </c>
      <c r="E10" s="3" t="n">
        <v>261533000</v>
      </c>
      <c r="F10" s="3" t="n"/>
    </row>
    <row r="11">
      <c r="A11" t="inlineStr">
        <is>
          <t>Common Stock Equity</t>
        </is>
      </c>
      <c r="B11" s="3" t="n">
        <v>1232487000</v>
      </c>
      <c r="C11" s="3" t="n">
        <v>1080680000</v>
      </c>
      <c r="D11" s="3" t="n">
        <v>933351000</v>
      </c>
      <c r="E11" s="3" t="n">
        <v>748310000</v>
      </c>
      <c r="F11" s="3" t="n"/>
    </row>
    <row r="12">
      <c r="A12" t="inlineStr">
        <is>
          <t>Total Capitalization</t>
        </is>
      </c>
      <c r="B12" s="3" t="n">
        <v>3248470000</v>
      </c>
      <c r="C12" s="3" t="n">
        <v>2123650000</v>
      </c>
      <c r="D12" s="3" t="n">
        <v>2136773000</v>
      </c>
      <c r="E12" s="3" t="n">
        <v>2030934000</v>
      </c>
      <c r="F12" s="3" t="n"/>
    </row>
    <row r="13">
      <c r="A13" t="inlineStr">
        <is>
          <t>Total Equity Gross Minority Interest</t>
        </is>
      </c>
      <c r="B13" s="3" t="n">
        <v>1233012000</v>
      </c>
      <c r="C13" s="3" t="n">
        <v>1080404000</v>
      </c>
      <c r="D13" s="3" t="n">
        <v>933301000</v>
      </c>
      <c r="E13" s="3" t="n">
        <v>748355000</v>
      </c>
      <c r="F13" s="3" t="n"/>
    </row>
    <row r="14">
      <c r="A14" t="inlineStr">
        <is>
          <t>Minority Interest</t>
        </is>
      </c>
      <c r="B14" s="3" t="n">
        <v>525000</v>
      </c>
      <c r="C14" s="3" t="n">
        <v>-276000</v>
      </c>
      <c r="D14" s="3" t="n">
        <v>-50000</v>
      </c>
      <c r="E14" s="3" t="n">
        <v>45000</v>
      </c>
      <c r="F14" s="3" t="n"/>
    </row>
    <row r="15">
      <c r="A15" t="inlineStr">
        <is>
          <t>Stockholders Equity</t>
        </is>
      </c>
      <c r="B15" s="3" t="n">
        <v>1232487000</v>
      </c>
      <c r="C15" s="3" t="n">
        <v>1080680000</v>
      </c>
      <c r="D15" s="3" t="n">
        <v>933351000</v>
      </c>
      <c r="E15" s="3" t="n">
        <v>748310000</v>
      </c>
      <c r="F15" s="3" t="n"/>
    </row>
    <row r="16">
      <c r="A16" t="inlineStr">
        <is>
          <t>Gains Losses Not Affecting Retained Earnings</t>
        </is>
      </c>
      <c r="B16" s="3" t="n">
        <v>-19373000</v>
      </c>
      <c r="C16" s="3" t="n">
        <v>-48211000</v>
      </c>
      <c r="D16" s="3" t="n">
        <v>-7463000</v>
      </c>
      <c r="E16" s="3" t="n">
        <v>-21930000</v>
      </c>
      <c r="F16" s="3" t="n"/>
    </row>
    <row r="17">
      <c r="A17" t="inlineStr">
        <is>
          <t>Other Equity Adjustments</t>
        </is>
      </c>
      <c r="B17" s="3" t="n">
        <v>-19373000</v>
      </c>
      <c r="C17" s="3" t="n">
        <v>-48211000</v>
      </c>
      <c r="D17" s="3" t="n">
        <v>-7463000</v>
      </c>
      <c r="E17" s="3" t="n">
        <v>-21930000</v>
      </c>
      <c r="F17" s="3" t="n"/>
    </row>
    <row r="18">
      <c r="A18" t="inlineStr">
        <is>
          <t>Treasury Stock</t>
        </is>
      </c>
      <c r="B18" s="3" t="n">
        <v>1432943000</v>
      </c>
      <c r="C18" s="3" t="n">
        <v>1388432000</v>
      </c>
      <c r="D18" s="3" t="n">
        <v>1360862000</v>
      </c>
      <c r="E18" s="3" t="n">
        <v>1353270000</v>
      </c>
      <c r="F18" s="3" t="n"/>
    </row>
    <row r="19">
      <c r="A19" t="inlineStr">
        <is>
          <t>Retained Earnings</t>
        </is>
      </c>
      <c r="B19" s="3" t="n">
        <v>2523631000</v>
      </c>
      <c r="C19" s="3" t="n">
        <v>2287151000</v>
      </c>
      <c r="D19" s="3" t="n">
        <v>2093917000</v>
      </c>
      <c r="E19" s="3" t="n">
        <v>1932970000</v>
      </c>
      <c r="F19" s="3" t="n"/>
    </row>
    <row r="20">
      <c r="A20" t="inlineStr">
        <is>
          <t>Additional Paid In Capital</t>
        </is>
      </c>
      <c r="B20" s="3" t="n">
        <v>159884000</v>
      </c>
      <c r="C20" s="3" t="n">
        <v>228889000</v>
      </c>
      <c r="D20" s="3" t="n">
        <v>206478000</v>
      </c>
      <c r="E20" s="3" t="n">
        <v>189263000</v>
      </c>
      <c r="F20" s="3" t="n"/>
    </row>
    <row r="21">
      <c r="A21" t="inlineStr">
        <is>
          <t>Capital Stock</t>
        </is>
      </c>
      <c r="B21" s="3" t="n">
        <v>1288000</v>
      </c>
      <c r="C21" s="3" t="n">
        <v>1283000</v>
      </c>
      <c r="D21" s="3" t="n">
        <v>1281000</v>
      </c>
      <c r="E21" s="3" t="n">
        <v>1277000</v>
      </c>
      <c r="F21" s="3" t="n"/>
    </row>
    <row r="22">
      <c r="A22" t="inlineStr">
        <is>
          <t>Common Stock</t>
        </is>
      </c>
      <c r="B22" s="3" t="n">
        <v>1288000</v>
      </c>
      <c r="C22" s="3" t="n">
        <v>1283000</v>
      </c>
      <c r="D22" s="3" t="n">
        <v>1281000</v>
      </c>
      <c r="E22" s="3" t="n">
        <v>1277000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3038483000</v>
      </c>
      <c r="C24" s="3" t="n">
        <v>1789520000</v>
      </c>
      <c r="D24" s="3" t="n">
        <v>1813764000</v>
      </c>
      <c r="E24" s="3" t="n">
        <v>1870584000</v>
      </c>
      <c r="F24" s="3" t="n"/>
    </row>
    <row r="25">
      <c r="A25" t="inlineStr">
        <is>
          <t>Total Non Current Liabilities Net Minority Interest</t>
        </is>
      </c>
      <c r="B25" s="3" t="n">
        <v>2366466000</v>
      </c>
      <c r="C25" s="3" t="n">
        <v>1315319000</v>
      </c>
      <c r="D25" s="3" t="n">
        <v>1438718000</v>
      </c>
      <c r="E25" s="3" t="n">
        <v>1502724000</v>
      </c>
      <c r="F25" s="3" t="n"/>
    </row>
    <row r="26">
      <c r="A26" t="inlineStr">
        <is>
          <t>Other Non Current Liabilities</t>
        </is>
      </c>
      <c r="B26" s="3" t="n">
        <v>93578000</v>
      </c>
      <c r="C26" s="3" t="n">
        <v>79007000</v>
      </c>
      <c r="D26" s="3" t="n">
        <v>43469000</v>
      </c>
      <c r="E26" s="3" t="n">
        <v>53122000</v>
      </c>
      <c r="F26" s="3" t="n"/>
    </row>
    <row r="27">
      <c r="A27" t="inlineStr">
        <is>
          <t>Employee Benefits</t>
        </is>
      </c>
      <c r="B27" s="3" t="n">
        <v>156627000</v>
      </c>
      <c r="C27" s="3" t="n">
        <v>99117000</v>
      </c>
      <c r="D27" s="3" t="n">
        <v>101252000</v>
      </c>
      <c r="E27" s="3" t="n">
        <v>75989000</v>
      </c>
      <c r="F27" s="3" t="n"/>
    </row>
    <row r="28">
      <c r="A28" t="inlineStr">
        <is>
          <t>Non Current Pension And Other Postretirement Benefit Plans</t>
        </is>
      </c>
      <c r="B28" s="3" t="n">
        <v>156627000</v>
      </c>
      <c r="C28" s="3" t="n">
        <v>99117000</v>
      </c>
      <c r="D28" s="3" t="n">
        <v>101252000</v>
      </c>
      <c r="E28" s="3" t="n">
        <v>75989000</v>
      </c>
      <c r="F28" s="3" t="n"/>
    </row>
    <row r="29">
      <c r="A29" t="inlineStr">
        <is>
          <t>Long Term Debt And Capital Lease Obligation</t>
        </is>
      </c>
      <c r="B29" s="3" t="n">
        <v>2015983000</v>
      </c>
      <c r="C29" s="3" t="n">
        <v>1042970000</v>
      </c>
      <c r="D29" s="3" t="n">
        <v>1203422000</v>
      </c>
      <c r="E29" s="3" t="n">
        <v>1282624000</v>
      </c>
      <c r="F29" s="3" t="n"/>
    </row>
    <row r="30">
      <c r="A30" t="inlineStr">
        <is>
          <t>Long Term Debt</t>
        </is>
      </c>
      <c r="B30" s="3" t="n">
        <v>2015983000</v>
      </c>
      <c r="C30" s="3" t="n">
        <v>1042970000</v>
      </c>
      <c r="D30" s="3" t="n">
        <v>1203422000</v>
      </c>
      <c r="E30" s="3" t="n">
        <v>1282624000</v>
      </c>
      <c r="F30" s="3" t="n"/>
    </row>
    <row r="31">
      <c r="A31" t="inlineStr">
        <is>
          <t>Long Term Provisions</t>
        </is>
      </c>
      <c r="B31" s="3" t="n">
        <v>100278000</v>
      </c>
      <c r="C31" s="3" t="n">
        <v>94225000</v>
      </c>
      <c r="D31" s="3" t="n">
        <v>90575000</v>
      </c>
      <c r="E31" s="3" t="n">
        <v>90989000</v>
      </c>
      <c r="F31" s="3" t="n"/>
    </row>
    <row r="32">
      <c r="A32" t="inlineStr">
        <is>
          <t>Current Liabilities</t>
        </is>
      </c>
      <c r="B32" s="3" t="n">
        <v>672017000</v>
      </c>
      <c r="C32" s="3" t="n">
        <v>474201000</v>
      </c>
      <c r="D32" s="3" t="n">
        <v>375046000</v>
      </c>
      <c r="E32" s="3" t="n">
        <v>367860000</v>
      </c>
      <c r="F32" s="3" t="n"/>
    </row>
    <row r="33">
      <c r="A33" t="inlineStr">
        <is>
          <t>Current Deferred Liabilities</t>
        </is>
      </c>
      <c r="B33" s="3" t="n">
        <v>305285000</v>
      </c>
      <c r="C33" s="3" t="n">
        <v>161290000</v>
      </c>
      <c r="D33" s="3" t="n">
        <v>107391000</v>
      </c>
      <c r="E33" s="3" t="n">
        <v>88726000</v>
      </c>
      <c r="F33" s="3" t="n"/>
    </row>
    <row r="34">
      <c r="A34" t="inlineStr">
        <is>
          <t>Current Deferred Revenue</t>
        </is>
      </c>
      <c r="B34" s="3" t="n">
        <v>305285000</v>
      </c>
      <c r="C34" s="3" t="n">
        <v>161290000</v>
      </c>
      <c r="D34" s="3" t="n">
        <v>107391000</v>
      </c>
      <c r="E34" s="3" t="n">
        <v>88726000</v>
      </c>
      <c r="F34" s="3" t="n"/>
    </row>
    <row r="35">
      <c r="A35" t="inlineStr">
        <is>
          <t>Current Debt And Capital Lease Obligation</t>
        </is>
      </c>
      <c r="B35" s="3" t="n"/>
      <c r="C35" s="3" t="n">
        <v>12500000</v>
      </c>
      <c r="D35" s="3" t="n">
        <v>6250000</v>
      </c>
      <c r="E35" s="3" t="n">
        <v>6250000</v>
      </c>
      <c r="F35" s="3" t="n"/>
    </row>
    <row r="36">
      <c r="A36" t="inlineStr">
        <is>
          <t>Current Debt</t>
        </is>
      </c>
      <c r="B36" s="3" t="n"/>
      <c r="C36" s="3" t="n">
        <v>12500000</v>
      </c>
      <c r="D36" s="3" t="n">
        <v>6250000</v>
      </c>
      <c r="E36" s="3" t="n">
        <v>6250000</v>
      </c>
      <c r="F36" s="3" t="n"/>
    </row>
    <row r="37">
      <c r="A37" t="inlineStr">
        <is>
          <t>Line Of Credit</t>
        </is>
      </c>
      <c r="B37" s="3" t="n"/>
      <c r="C37" s="3" t="n"/>
      <c r="D37" s="3" t="n"/>
      <c r="E37" s="3" t="n"/>
      <c r="F37" s="3" t="n">
        <v>0</v>
      </c>
    </row>
    <row r="38">
      <c r="A38" t="inlineStr">
        <is>
          <t>Pensionand Other Post Retirement Benefit Plans Current</t>
        </is>
      </c>
      <c r="B38" s="3" t="n">
        <v>117641000</v>
      </c>
      <c r="C38" s="3" t="n">
        <v>77234000</v>
      </c>
      <c r="D38" s="3" t="n">
        <v>64544000</v>
      </c>
      <c r="E38" s="3" t="n">
        <v>61079000</v>
      </c>
      <c r="F38" s="3" t="n"/>
    </row>
    <row r="39">
      <c r="A39" t="inlineStr">
        <is>
          <t>Payables And Accrued Expenses</t>
        </is>
      </c>
      <c r="B39" s="3" t="n">
        <v>249091000</v>
      </c>
      <c r="C39" s="3" t="n">
        <v>223177000</v>
      </c>
      <c r="D39" s="3" t="n">
        <v>196861000</v>
      </c>
      <c r="E39" s="3" t="n">
        <v>211805000</v>
      </c>
      <c r="F39" s="3" t="n"/>
    </row>
    <row r="40">
      <c r="A40" t="inlineStr">
        <is>
          <t>Current Accrued Expenses</t>
        </is>
      </c>
      <c r="B40" s="3" t="n">
        <v>107802000</v>
      </c>
      <c r="C40" s="3" t="n">
        <v>65100000</v>
      </c>
      <c r="D40" s="3" t="n">
        <v>70210000</v>
      </c>
      <c r="E40" s="3" t="n">
        <v>84693000</v>
      </c>
      <c r="F40" s="3" t="n"/>
    </row>
    <row r="41">
      <c r="A41" t="inlineStr">
        <is>
          <t>Payables</t>
        </is>
      </c>
      <c r="B41" s="3" t="n">
        <v>141289000</v>
      </c>
      <c r="C41" s="3" t="n">
        <v>158077000</v>
      </c>
      <c r="D41" s="3" t="n">
        <v>126651000</v>
      </c>
      <c r="E41" s="3" t="n">
        <v>127112000</v>
      </c>
      <c r="F41" s="3" t="n"/>
    </row>
    <row r="42">
      <c r="A42" t="inlineStr">
        <is>
          <t>Accounts Payable</t>
        </is>
      </c>
      <c r="B42" s="3" t="n">
        <v>141289000</v>
      </c>
      <c r="C42" s="3" t="n">
        <v>158077000</v>
      </c>
      <c r="D42" s="3" t="n">
        <v>126651000</v>
      </c>
      <c r="E42" s="3" t="n">
        <v>127112000</v>
      </c>
      <c r="F42" s="3" t="n"/>
    </row>
    <row r="43">
      <c r="A43" t="inlineStr">
        <is>
          <t>Total Assets</t>
        </is>
      </c>
      <c r="B43" s="3" t="n">
        <v>4271495000</v>
      </c>
      <c r="C43" s="3" t="n">
        <v>2869924000</v>
      </c>
      <c r="D43" s="3" t="n">
        <v>2747065000</v>
      </c>
      <c r="E43" s="3" t="n">
        <v>2618939000</v>
      </c>
      <c r="F43" s="3" t="n"/>
    </row>
    <row r="44">
      <c r="A44" t="inlineStr">
        <is>
          <t>Total Non Current Assets</t>
        </is>
      </c>
      <c r="B44" s="3" t="n">
        <v>2711141000</v>
      </c>
      <c r="C44" s="3" t="n">
        <v>1939927000</v>
      </c>
      <c r="D44" s="3" t="n">
        <v>1929264000</v>
      </c>
      <c r="E44" s="3" t="n">
        <v>1847320000</v>
      </c>
      <c r="F44" s="3" t="n"/>
    </row>
    <row r="45">
      <c r="A45" t="inlineStr">
        <is>
          <t>Other Non Current Assets</t>
        </is>
      </c>
      <c r="B45" s="3" t="n">
        <v>124625000</v>
      </c>
      <c r="C45" s="3" t="n">
        <v>92498000</v>
      </c>
      <c r="D45" s="3" t="n">
        <v>103778000</v>
      </c>
      <c r="E45" s="3" t="n">
        <v>96766000</v>
      </c>
      <c r="F45" s="3" t="n"/>
    </row>
    <row r="46">
      <c r="A46" t="inlineStr">
        <is>
          <t>Non Current Deferred Assets</t>
        </is>
      </c>
      <c r="B46" s="3" t="n">
        <v>12275000</v>
      </c>
      <c r="C46" s="3" t="n">
        <v>6569000</v>
      </c>
      <c r="D46" s="3" t="n">
        <v>16332000</v>
      </c>
      <c r="E46" s="3" t="n">
        <v>20585000</v>
      </c>
      <c r="F46" s="3" t="n"/>
    </row>
    <row r="47">
      <c r="A47" t="inlineStr">
        <is>
          <t>Non Current Deferred Taxes Assets</t>
        </is>
      </c>
      <c r="B47" s="3" t="n">
        <v>12275000</v>
      </c>
      <c r="C47" s="3" t="n">
        <v>6569000</v>
      </c>
      <c r="D47" s="3" t="n">
        <v>16332000</v>
      </c>
      <c r="E47" s="3" t="n">
        <v>20585000</v>
      </c>
      <c r="F47" s="3" t="n"/>
    </row>
    <row r="48">
      <c r="A48" t="inlineStr">
        <is>
          <t>Investments And Advances</t>
        </is>
      </c>
      <c r="B48" s="3" t="n">
        <v>158386000</v>
      </c>
      <c r="C48" s="3" t="n">
        <v>110012000</v>
      </c>
      <c r="D48" s="3" t="n">
        <v>98104000</v>
      </c>
      <c r="E48" s="3" t="n">
        <v>108295000</v>
      </c>
      <c r="F48" s="3" t="n"/>
    </row>
    <row r="49">
      <c r="A49" t="inlineStr">
        <is>
          <t>Investmentin Financial Assets</t>
        </is>
      </c>
      <c r="B49" s="3" t="n">
        <v>8243000</v>
      </c>
      <c r="C49" s="3" t="n">
        <v>10609000</v>
      </c>
      <c r="D49" s="3" t="n">
        <v>9496000</v>
      </c>
      <c r="E49" s="3" t="n">
        <v>8097000</v>
      </c>
      <c r="F49" s="3" t="n"/>
    </row>
    <row r="50">
      <c r="A50" t="inlineStr">
        <is>
          <t>Available For Sale Securities</t>
        </is>
      </c>
      <c r="B50" s="3" t="n">
        <v>8243000</v>
      </c>
      <c r="C50" s="3" t="n">
        <v>10609000</v>
      </c>
      <c r="D50" s="3" t="n">
        <v>9496000</v>
      </c>
      <c r="E50" s="3" t="n"/>
      <c r="F50" s="3" t="n"/>
    </row>
    <row r="51">
      <c r="A51" t="inlineStr">
        <is>
          <t>Long Term Equity Investment</t>
        </is>
      </c>
      <c r="B51" s="3" t="n">
        <v>150143000</v>
      </c>
      <c r="C51" s="3" t="n">
        <v>99403000</v>
      </c>
      <c r="D51" s="3" t="n">
        <v>88608000</v>
      </c>
      <c r="E51" s="3" t="n">
        <v>100198000</v>
      </c>
      <c r="F51" s="3" t="n"/>
    </row>
    <row r="52">
      <c r="A52" t="inlineStr">
        <is>
          <t>Investmentsin Associatesat Cost</t>
        </is>
      </c>
      <c r="B52" s="3" t="n"/>
      <c r="C52" s="3" t="n"/>
      <c r="D52" s="3" t="n"/>
      <c r="E52" s="3" t="n"/>
      <c r="F52" s="3" t="n">
        <v>85284000</v>
      </c>
    </row>
    <row r="53">
      <c r="A53" t="inlineStr">
        <is>
          <t>Goodwill And Other Intangible Assets</t>
        </is>
      </c>
      <c r="B53" s="3" t="n">
        <v>830719000</v>
      </c>
      <c r="C53" s="3" t="n">
        <v>452687000</v>
      </c>
      <c r="D53" s="3" t="n">
        <v>482530000</v>
      </c>
      <c r="E53" s="3" t="n">
        <v>486777000</v>
      </c>
      <c r="F53" s="3" t="n"/>
    </row>
    <row r="54">
      <c r="A54" t="inlineStr">
        <is>
          <t>Other Intangible Assets</t>
        </is>
      </c>
      <c r="B54" s="3" t="n">
        <v>329859000</v>
      </c>
      <c r="C54" s="3" t="n">
        <v>165325000</v>
      </c>
      <c r="D54" s="3" t="n">
        <v>185510000</v>
      </c>
      <c r="E54" s="3" t="n">
        <v>193612000</v>
      </c>
      <c r="F54" s="3" t="n"/>
    </row>
    <row r="55">
      <c r="A55" t="inlineStr">
        <is>
          <t>Goodwill</t>
        </is>
      </c>
      <c r="B55" s="3" t="n">
        <v>500860000</v>
      </c>
      <c r="C55" s="3" t="n">
        <v>287362000</v>
      </c>
      <c r="D55" s="3" t="n">
        <v>297020000</v>
      </c>
      <c r="E55" s="3" t="n">
        <v>293165000</v>
      </c>
      <c r="F55" s="3" t="n"/>
    </row>
    <row r="56">
      <c r="A56" t="inlineStr">
        <is>
          <t>Net PPE</t>
        </is>
      </c>
      <c r="B56" s="3" t="n">
        <v>1585136000</v>
      </c>
      <c r="C56" s="3" t="n">
        <v>1278161000</v>
      </c>
      <c r="D56" s="3" t="n">
        <v>1228520000</v>
      </c>
      <c r="E56" s="3" t="n">
        <v>1134897000</v>
      </c>
      <c r="F56" s="3" t="n"/>
    </row>
    <row r="57">
      <c r="A57" t="inlineStr">
        <is>
          <t>Accumulated Depreciation</t>
        </is>
      </c>
      <c r="B57" s="3" t="n">
        <v>-969569000</v>
      </c>
      <c r="C57" s="3" t="n">
        <v>-900411000</v>
      </c>
      <c r="D57" s="3" t="n">
        <v>-843450000</v>
      </c>
      <c r="E57" s="3" t="n">
        <v>-782420000</v>
      </c>
      <c r="F57" s="3" t="n"/>
    </row>
    <row r="58">
      <c r="A58" t="inlineStr">
        <is>
          <t>Gross PPE</t>
        </is>
      </c>
      <c r="B58" s="3" t="n">
        <v>2554705000</v>
      </c>
      <c r="C58" s="3" t="n">
        <v>2178572000</v>
      </c>
      <c r="D58" s="3" t="n">
        <v>2071970000</v>
      </c>
      <c r="E58" s="3" t="n">
        <v>1917317000</v>
      </c>
      <c r="F58" s="3" t="n"/>
    </row>
    <row r="59">
      <c r="A59" t="inlineStr">
        <is>
          <t>Construction In Progress</t>
        </is>
      </c>
      <c r="B59" s="3" t="n">
        <v>693992000</v>
      </c>
      <c r="C59" s="3" t="n">
        <v>584539000</v>
      </c>
      <c r="D59" s="3" t="n">
        <v>571758000</v>
      </c>
      <c r="E59" s="3" t="n">
        <v>515494000</v>
      </c>
      <c r="F59" s="3" t="n"/>
    </row>
    <row r="60">
      <c r="A60" t="inlineStr">
        <is>
          <t>Machinery Furniture Equipment</t>
        </is>
      </c>
      <c r="B60" s="3" t="n">
        <v>1286010000</v>
      </c>
      <c r="C60" s="3" t="n">
        <v>1166236000</v>
      </c>
      <c r="D60" s="3" t="n">
        <v>1108504000</v>
      </c>
      <c r="E60" s="3" t="n">
        <v>1026024000</v>
      </c>
      <c r="F60" s="3" t="n"/>
    </row>
    <row r="61">
      <c r="A61" t="inlineStr">
        <is>
          <t>Buildings And Improvements</t>
        </is>
      </c>
      <c r="B61" s="3" t="n">
        <v>519901000</v>
      </c>
      <c r="C61" s="3" t="n">
        <v>417189000</v>
      </c>
      <c r="D61" s="3" t="n">
        <v>381081000</v>
      </c>
      <c r="E61" s="3" t="n">
        <v>365955000</v>
      </c>
      <c r="F61" s="3" t="n"/>
    </row>
    <row r="62">
      <c r="A62" t="inlineStr">
        <is>
          <t>Land And Improvements</t>
        </is>
      </c>
      <c r="B62" s="3" t="n">
        <v>54802000</v>
      </c>
      <c r="C62" s="3" t="n">
        <v>10608000</v>
      </c>
      <c r="D62" s="3" t="n">
        <v>10627000</v>
      </c>
      <c r="E62" s="3" t="n">
        <v>9844000</v>
      </c>
      <c r="F62" s="3" t="n"/>
    </row>
    <row r="63">
      <c r="A63" t="inlineStr">
        <is>
          <t>Properties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/>
    </row>
    <row r="64">
      <c r="A64" t="inlineStr">
        <is>
          <t>Current Assets</t>
        </is>
      </c>
      <c r="B64" s="3" t="n">
        <v>1560354000</v>
      </c>
      <c r="C64" s="3" t="n">
        <v>929997000</v>
      </c>
      <c r="D64" s="3" t="n">
        <v>817801000</v>
      </c>
      <c r="E64" s="3" t="n">
        <v>771619000</v>
      </c>
      <c r="F64" s="3" t="n"/>
    </row>
    <row r="65">
      <c r="A65" t="inlineStr">
        <is>
          <t>Other Current Assets</t>
        </is>
      </c>
      <c r="B65" s="3" t="n">
        <v>66078000</v>
      </c>
      <c r="C65" s="3" t="n">
        <v>49092000</v>
      </c>
      <c r="D65" s="3" t="n">
        <v>36922000</v>
      </c>
      <c r="E65" s="3" t="n">
        <v>55036000</v>
      </c>
      <c r="F65" s="3" t="n"/>
    </row>
    <row r="66">
      <c r="A66" t="inlineStr">
        <is>
          <t>Restricted Cash</t>
        </is>
      </c>
      <c r="B66" s="3" t="n">
        <v>3085000</v>
      </c>
      <c r="C66" s="3" t="n">
        <v>2785000</v>
      </c>
      <c r="D66" s="3" t="n">
        <v>2858000</v>
      </c>
      <c r="E66" s="3" t="n">
        <v>2928000</v>
      </c>
      <c r="F66" s="3" t="n"/>
    </row>
    <row r="67">
      <c r="A67" t="inlineStr">
        <is>
          <t>Inventory</t>
        </is>
      </c>
      <c r="B67" s="3" t="n">
        <v>46537000</v>
      </c>
      <c r="C67" s="3" t="n">
        <v>40288000</v>
      </c>
      <c r="D67" s="3" t="n">
        <v>27400000</v>
      </c>
      <c r="E67" s="3" t="n"/>
      <c r="F67" s="3" t="n"/>
    </row>
    <row r="68">
      <c r="A68" t="inlineStr">
        <is>
          <t>Raw Materials</t>
        </is>
      </c>
      <c r="B68" s="3" t="n">
        <v>46537000</v>
      </c>
      <c r="C68" s="3" t="n">
        <v>40288000</v>
      </c>
      <c r="D68" s="3" t="n">
        <v>27400000</v>
      </c>
      <c r="E68" s="3" t="n"/>
      <c r="F68" s="3" t="n"/>
    </row>
    <row r="69">
      <c r="A69" t="inlineStr">
        <is>
          <t>Receivables</t>
        </is>
      </c>
      <c r="B69" s="3" t="n">
        <v>944875000</v>
      </c>
      <c r="C69" s="3" t="n">
        <v>763723000</v>
      </c>
      <c r="D69" s="3" t="n">
        <v>674855000</v>
      </c>
      <c r="E69" s="3" t="n">
        <v>674607000</v>
      </c>
      <c r="F69" s="3" t="n"/>
    </row>
    <row r="70">
      <c r="A70" t="inlineStr">
        <is>
          <t>Other Receivables</t>
        </is>
      </c>
      <c r="B70" s="3" t="n">
        <v>610315000</v>
      </c>
      <c r="C70" s="3" t="n">
        <v>577745000</v>
      </c>
      <c r="D70" s="3" t="n">
        <v>533155000</v>
      </c>
      <c r="E70" s="3" t="n">
        <v>538365000</v>
      </c>
      <c r="F70" s="3" t="n"/>
    </row>
    <row r="71">
      <c r="A71" t="inlineStr">
        <is>
          <t>Accounts Receivable</t>
        </is>
      </c>
      <c r="B71" s="3" t="n">
        <v>334560000</v>
      </c>
      <c r="C71" s="3" t="n">
        <v>185978000</v>
      </c>
      <c r="D71" s="3" t="n">
        <v>141700000</v>
      </c>
      <c r="E71" s="3" t="n">
        <v>136242000</v>
      </c>
      <c r="F71" s="3" t="n"/>
    </row>
    <row r="72">
      <c r="A72" t="inlineStr">
        <is>
          <t>Allowance For Doubtful Accounts Receivable</t>
        </is>
      </c>
      <c r="B72" s="3" t="n">
        <v>-600000</v>
      </c>
      <c r="C72" s="3" t="n">
        <v>-300000</v>
      </c>
      <c r="D72" s="3" t="n">
        <v>-300000</v>
      </c>
      <c r="E72" s="3" t="n">
        <v>-200000</v>
      </c>
      <c r="F72" s="3" t="n"/>
    </row>
    <row r="73">
      <c r="A73" t="inlineStr">
        <is>
          <t>Gross Accounts Receivable</t>
        </is>
      </c>
      <c r="B73" s="3" t="n">
        <v>335160000</v>
      </c>
      <c r="C73" s="3" t="n">
        <v>186278000</v>
      </c>
      <c r="D73" s="3" t="n">
        <v>142000000</v>
      </c>
      <c r="E73" s="3" t="n">
        <v>136442000</v>
      </c>
      <c r="F73" s="3" t="n"/>
    </row>
    <row r="74">
      <c r="A74" t="inlineStr">
        <is>
          <t>Cash Cash Equivalents And Short Term Investments</t>
        </is>
      </c>
      <c r="B74" s="3" t="n">
        <v>499779000</v>
      </c>
      <c r="C74" s="3" t="n">
        <v>74109000</v>
      </c>
      <c r="D74" s="3" t="n">
        <v>75766000</v>
      </c>
      <c r="E74" s="3" t="n">
        <v>39048000</v>
      </c>
      <c r="F74" s="3" t="n"/>
    </row>
    <row r="75">
      <c r="A75" t="inlineStr">
        <is>
          <t>Other Short Term Investments</t>
        </is>
      </c>
      <c r="B75" s="3" t="n"/>
      <c r="C75" s="3" t="n"/>
      <c r="D75" s="3" t="n">
        <v>0</v>
      </c>
      <c r="E75" s="3" t="n">
        <v>3804000</v>
      </c>
      <c r="F75" s="3" t="n">
        <v>3811000</v>
      </c>
    </row>
    <row r="76">
      <c r="A76" t="inlineStr">
        <is>
          <t>Cash And Cash Equivalents</t>
        </is>
      </c>
      <c r="B76" s="3" t="n">
        <v>499779000</v>
      </c>
      <c r="C76" s="3" t="n">
        <v>74109000</v>
      </c>
      <c r="D76" s="3" t="n">
        <v>75766000</v>
      </c>
      <c r="E76" s="3" t="n">
        <v>35244000</v>
      </c>
      <c r="F76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Treasury Shares Number</t>
        </is>
      </c>
      <c r="B2" s="3" t="n">
        <v>37383169</v>
      </c>
      <c r="C2" s="3" t="n">
        <v>37289582</v>
      </c>
      <c r="D2" s="3" t="n">
        <v>37286948</v>
      </c>
      <c r="E2" s="3" t="n">
        <v>37281441</v>
      </c>
      <c r="F2" s="3" t="n">
        <v>37283582</v>
      </c>
      <c r="G2" s="3" t="n"/>
      <c r="H2" s="3" t="n"/>
    </row>
    <row r="3">
      <c r="A3" t="inlineStr">
        <is>
          <t>Ordinary Shares Number</t>
        </is>
      </c>
      <c r="B3" s="3" t="n">
        <v>91614555</v>
      </c>
      <c r="C3" s="3" t="n">
        <v>91431237</v>
      </c>
      <c r="D3" s="3" t="n">
        <v>91421495</v>
      </c>
      <c r="E3" s="3" t="n">
        <v>91398739</v>
      </c>
      <c r="F3" s="3" t="n">
        <v>91360506</v>
      </c>
      <c r="G3" s="3" t="n"/>
      <c r="H3" s="3" t="n"/>
    </row>
    <row r="4">
      <c r="A4" t="inlineStr">
        <is>
          <t>Share Issued</t>
        </is>
      </c>
      <c r="B4" s="3" t="n">
        <v>128997724</v>
      </c>
      <c r="C4" s="3" t="n">
        <v>128720819</v>
      </c>
      <c r="D4" s="3" t="n">
        <v>128708443</v>
      </c>
      <c r="E4" s="3" t="n">
        <v>128680180</v>
      </c>
      <c r="F4" s="3" t="n">
        <v>128644088</v>
      </c>
      <c r="G4" s="3" t="n"/>
      <c r="H4" s="3" t="n"/>
    </row>
    <row r="5">
      <c r="A5" t="inlineStr">
        <is>
          <t>Net Debt</t>
        </is>
      </c>
      <c r="B5" s="3" t="n">
        <v>1505589000</v>
      </c>
      <c r="C5" s="3" t="n">
        <v>1516204000</v>
      </c>
      <c r="D5" s="3" t="n">
        <v>1429978000</v>
      </c>
      <c r="E5" s="3" t="n">
        <v>1495244000</v>
      </c>
      <c r="F5" s="3" t="n">
        <v>1142421000</v>
      </c>
      <c r="G5" s="3" t="n"/>
      <c r="H5" s="3" t="n"/>
    </row>
    <row r="6">
      <c r="A6" t="inlineStr">
        <is>
          <t>Total Debt</t>
        </is>
      </c>
      <c r="B6" s="3" t="n">
        <v>2017946000</v>
      </c>
      <c r="C6" s="3" t="n">
        <v>2015983000</v>
      </c>
      <c r="D6" s="3" t="n">
        <v>1509570000</v>
      </c>
      <c r="E6" s="3" t="n">
        <v>1532228000</v>
      </c>
      <c r="F6" s="3" t="n">
        <v>1197856000</v>
      </c>
      <c r="G6" s="3" t="n"/>
      <c r="H6" s="3" t="n"/>
    </row>
    <row r="7">
      <c r="A7" t="inlineStr">
        <is>
          <t>Tangible Book Value</t>
        </is>
      </c>
      <c r="B7" s="3" t="n">
        <v>462722000</v>
      </c>
      <c r="C7" s="3" t="n">
        <v>401768000</v>
      </c>
      <c r="D7" s="3" t="n">
        <v>409879000</v>
      </c>
      <c r="E7" s="3" t="n">
        <v>347029000</v>
      </c>
      <c r="F7" s="3" t="n">
        <v>563443000</v>
      </c>
      <c r="G7" s="3" t="n"/>
      <c r="H7" s="3" t="n"/>
    </row>
    <row r="8">
      <c r="A8" t="inlineStr">
        <is>
          <t>Invested Capital</t>
        </is>
      </c>
      <c r="B8" s="3" t="n">
        <v>3298369000</v>
      </c>
      <c r="C8" s="3" t="n">
        <v>3248470000</v>
      </c>
      <c r="D8" s="3" t="n">
        <v>2751314000</v>
      </c>
      <c r="E8" s="3" t="n">
        <v>2716392000</v>
      </c>
      <c r="F8" s="3" t="n">
        <v>2298148000</v>
      </c>
      <c r="G8" s="3" t="n"/>
      <c r="H8" s="3" t="n"/>
    </row>
    <row r="9">
      <c r="A9" t="inlineStr">
        <is>
          <t>Working Capital</t>
        </is>
      </c>
      <c r="B9" s="3" t="n">
        <v>942155000</v>
      </c>
      <c r="C9" s="3" t="n">
        <v>888337000</v>
      </c>
      <c r="D9" s="3" t="n">
        <v>457460000</v>
      </c>
      <c r="E9" s="3" t="n">
        <v>406699000</v>
      </c>
      <c r="F9" s="3" t="n">
        <v>491840000</v>
      </c>
      <c r="G9" s="3" t="n"/>
      <c r="H9" s="3" t="n"/>
    </row>
    <row r="10">
      <c r="A10" t="inlineStr">
        <is>
          <t>Net Tangible Assets</t>
        </is>
      </c>
      <c r="B10" s="3" t="n">
        <v>462722000</v>
      </c>
      <c r="C10" s="3" t="n">
        <v>401768000</v>
      </c>
      <c r="D10" s="3" t="n">
        <v>409879000</v>
      </c>
      <c r="E10" s="3" t="n">
        <v>347029000</v>
      </c>
      <c r="F10" s="3" t="n">
        <v>563443000</v>
      </c>
      <c r="G10" s="3" t="n"/>
      <c r="H10" s="3" t="n"/>
    </row>
    <row r="11">
      <c r="A11" t="inlineStr">
        <is>
          <t>Common Stock Equity</t>
        </is>
      </c>
      <c r="B11" s="3" t="n">
        <v>1280423000</v>
      </c>
      <c r="C11" s="3" t="n">
        <v>1232487000</v>
      </c>
      <c r="D11" s="3" t="n">
        <v>1241744000</v>
      </c>
      <c r="E11" s="3" t="n">
        <v>1184164000</v>
      </c>
      <c r="F11" s="3" t="n">
        <v>1100292000</v>
      </c>
      <c r="G11" s="3" t="n"/>
      <c r="H11" s="3" t="n"/>
    </row>
    <row r="12">
      <c r="A12" t="inlineStr">
        <is>
          <t>Total Capitalization</t>
        </is>
      </c>
      <c r="B12" s="3" t="n">
        <v>3298369000</v>
      </c>
      <c r="C12" s="3" t="n">
        <v>3248470000</v>
      </c>
      <c r="D12" s="3" t="n">
        <v>2738814000</v>
      </c>
      <c r="E12" s="3" t="n">
        <v>2703892000</v>
      </c>
      <c r="F12" s="3" t="n">
        <v>2285648000</v>
      </c>
      <c r="G12" s="3" t="n"/>
      <c r="H12" s="3" t="n"/>
    </row>
    <row r="13">
      <c r="A13" t="inlineStr">
        <is>
          <t>Total Equity Gross Minority Interest</t>
        </is>
      </c>
      <c r="B13" s="3" t="n">
        <v>1280232000</v>
      </c>
      <c r="C13" s="3" t="n">
        <v>1233012000</v>
      </c>
      <c r="D13" s="3" t="n">
        <v>1241485000</v>
      </c>
      <c r="E13" s="3" t="n">
        <v>1183906000</v>
      </c>
      <c r="F13" s="3" t="n">
        <v>1100035000</v>
      </c>
      <c r="G13" s="3" t="n"/>
      <c r="H13" s="3" t="n"/>
    </row>
    <row r="14">
      <c r="A14" t="inlineStr">
        <is>
          <t>Minority Interest</t>
        </is>
      </c>
      <c r="B14" s="3" t="n">
        <v>-191000</v>
      </c>
      <c r="C14" s="3" t="n">
        <v>525000</v>
      </c>
      <c r="D14" s="3" t="n">
        <v>-259000</v>
      </c>
      <c r="E14" s="3" t="n">
        <v>-258000</v>
      </c>
      <c r="F14" s="3" t="n">
        <v>-257000</v>
      </c>
      <c r="G14" s="3" t="n"/>
      <c r="H14" s="3" t="n"/>
    </row>
    <row r="15">
      <c r="A15" t="inlineStr">
        <is>
          <t>Stockholders Equity</t>
        </is>
      </c>
      <c r="B15" s="3" t="n">
        <v>1280423000</v>
      </c>
      <c r="C15" s="3" t="n">
        <v>1232487000</v>
      </c>
      <c r="D15" s="3" t="n">
        <v>1241744000</v>
      </c>
      <c r="E15" s="3" t="n">
        <v>1184164000</v>
      </c>
      <c r="F15" s="3" t="n">
        <v>1100292000</v>
      </c>
      <c r="G15" s="3" t="n"/>
      <c r="H15" s="3" t="n"/>
    </row>
    <row r="16">
      <c r="A16" t="inlineStr">
        <is>
          <t>Gains Losses Not Affecting Retained Earnings</t>
        </is>
      </c>
      <c r="B16" s="3" t="n">
        <v>-31411000</v>
      </c>
      <c r="C16" s="3" t="n">
        <v>-19373000</v>
      </c>
      <c r="D16" s="3" t="n">
        <v>-32523000</v>
      </c>
      <c r="E16" s="3" t="n">
        <v>-23385000</v>
      </c>
      <c r="F16" s="3" t="n">
        <v>-43314000</v>
      </c>
      <c r="G16" s="3" t="n"/>
      <c r="H16" s="3" t="n"/>
    </row>
    <row r="17">
      <c r="A17" t="inlineStr">
        <is>
          <t>Other Equity Adjustments</t>
        </is>
      </c>
      <c r="B17" s="3" t="n">
        <v>-31411000</v>
      </c>
      <c r="C17" s="3" t="n">
        <v>-19373000</v>
      </c>
      <c r="D17" s="3" t="n">
        <v>-32523000</v>
      </c>
      <c r="E17" s="3" t="n">
        <v>-23385000</v>
      </c>
      <c r="F17" s="3" t="n">
        <v>-43314000</v>
      </c>
      <c r="G17" s="3" t="n"/>
      <c r="H17" s="3" t="n"/>
    </row>
    <row r="18">
      <c r="A18" t="inlineStr">
        <is>
          <t>Treasury Stock</t>
        </is>
      </c>
      <c r="B18" s="3" t="n">
        <v>1452330000</v>
      </c>
      <c r="C18" s="3" t="n">
        <v>1432943000</v>
      </c>
      <c r="D18" s="3" t="n">
        <v>1432633000</v>
      </c>
      <c r="E18" s="3" t="n">
        <v>1431542000</v>
      </c>
      <c r="F18" s="3" t="n">
        <v>1431532000</v>
      </c>
      <c r="G18" s="3" t="n"/>
      <c r="H18" s="3" t="n"/>
    </row>
    <row r="19">
      <c r="A19" t="inlineStr">
        <is>
          <t>Retained Earnings</t>
        </is>
      </c>
      <c r="B19" s="3" t="n">
        <v>2589824000</v>
      </c>
      <c r="C19" s="3" t="n">
        <v>2523631000</v>
      </c>
      <c r="D19" s="3" t="n">
        <v>2453696000</v>
      </c>
      <c r="E19" s="3" t="n">
        <v>2394737000</v>
      </c>
      <c r="F19" s="3" t="n">
        <v>2339531000</v>
      </c>
      <c r="G19" s="3" t="n"/>
      <c r="H19" s="3" t="n"/>
    </row>
    <row r="20">
      <c r="A20" t="inlineStr">
        <is>
          <t>Additional Paid In Capital</t>
        </is>
      </c>
      <c r="B20" s="3" t="n">
        <v>173051000</v>
      </c>
      <c r="C20" s="3" t="n">
        <v>159884000</v>
      </c>
      <c r="D20" s="3" t="n">
        <v>251917000</v>
      </c>
      <c r="E20" s="3" t="n">
        <v>243068000</v>
      </c>
      <c r="F20" s="3" t="n">
        <v>234321000</v>
      </c>
      <c r="G20" s="3" t="n"/>
      <c r="H20" s="3" t="n"/>
    </row>
    <row r="21">
      <c r="A21" t="inlineStr">
        <is>
          <t>Capital Stock</t>
        </is>
      </c>
      <c r="B21" s="3" t="n">
        <v>1289000</v>
      </c>
      <c r="C21" s="3" t="n">
        <v>1288000</v>
      </c>
      <c r="D21" s="3" t="n">
        <v>1287000</v>
      </c>
      <c r="E21" s="3" t="n">
        <v>1286000</v>
      </c>
      <c r="F21" s="3" t="n">
        <v>1286000</v>
      </c>
      <c r="G21" s="3" t="n"/>
      <c r="H21" s="3" t="n"/>
    </row>
    <row r="22">
      <c r="A22" t="inlineStr">
        <is>
          <t>Common Stock</t>
        </is>
      </c>
      <c r="B22" s="3" t="n">
        <v>1289000</v>
      </c>
      <c r="C22" s="3" t="n">
        <v>1288000</v>
      </c>
      <c r="D22" s="3" t="n">
        <v>1287000</v>
      </c>
      <c r="E22" s="3" t="n">
        <v>1286000</v>
      </c>
      <c r="F22" s="3" t="n">
        <v>1286000</v>
      </c>
      <c r="G22" s="3" t="n"/>
      <c r="H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/>
      <c r="H23" s="3" t="n"/>
    </row>
    <row r="24">
      <c r="A24" t="inlineStr">
        <is>
          <t>Total Liabilities Net Minority Interest</t>
        </is>
      </c>
      <c r="B24" s="3" t="n">
        <v>3044678000</v>
      </c>
      <c r="C24" s="3" t="n">
        <v>3038483000</v>
      </c>
      <c r="D24" s="3" t="n">
        <v>2540052000</v>
      </c>
      <c r="E24" s="3" t="n">
        <v>2515166000</v>
      </c>
      <c r="F24" s="3" t="n">
        <v>1953973000</v>
      </c>
      <c r="G24" s="3" t="n"/>
      <c r="H24" s="3" t="n"/>
    </row>
    <row r="25">
      <c r="A25" t="inlineStr">
        <is>
          <t>Total Non Current Liabilities Net Minority Interest</t>
        </is>
      </c>
      <c r="B25" s="3" t="n">
        <v>2370457000</v>
      </c>
      <c r="C25" s="3" t="n">
        <v>2366466000</v>
      </c>
      <c r="D25" s="3" t="n">
        <v>1893489000</v>
      </c>
      <c r="E25" s="3" t="n">
        <v>1924980000</v>
      </c>
      <c r="F25" s="3" t="n">
        <v>1470028000</v>
      </c>
      <c r="G25" s="3" t="n"/>
      <c r="H25" s="3" t="n"/>
    </row>
    <row r="26">
      <c r="A26" t="inlineStr">
        <is>
          <t>Other Non Current Liabilities</t>
        </is>
      </c>
      <c r="B26" s="3" t="n">
        <v>97581000</v>
      </c>
      <c r="C26" s="3" t="n">
        <v>93578000</v>
      </c>
      <c r="D26" s="3" t="n">
        <v>121210000</v>
      </c>
      <c r="E26" s="3" t="n">
        <v>122927000</v>
      </c>
      <c r="F26" s="3" t="n">
        <v>93450000</v>
      </c>
      <c r="G26" s="3" t="n"/>
      <c r="H26" s="3" t="n"/>
    </row>
    <row r="27">
      <c r="A27" t="inlineStr">
        <is>
          <t>Employee Benefits</t>
        </is>
      </c>
      <c r="B27" s="3" t="n">
        <v>152832000</v>
      </c>
      <c r="C27" s="3" t="n">
        <v>156627000</v>
      </c>
      <c r="D27" s="3" t="n">
        <v>176919000</v>
      </c>
      <c r="E27" s="3" t="n">
        <v>185705000</v>
      </c>
      <c r="F27" s="3" t="n">
        <v>95098000</v>
      </c>
      <c r="G27" s="3" t="n"/>
      <c r="H27" s="3" t="n"/>
    </row>
    <row r="28">
      <c r="A28" t="inlineStr">
        <is>
          <t>Non Current Pension And Other Postretirement Benefit Plans</t>
        </is>
      </c>
      <c r="B28" s="3" t="n">
        <v>152832000</v>
      </c>
      <c r="C28" s="3" t="n">
        <v>156627000</v>
      </c>
      <c r="D28" s="3" t="n">
        <v>176919000</v>
      </c>
      <c r="E28" s="3" t="n">
        <v>185705000</v>
      </c>
      <c r="F28" s="3" t="n">
        <v>95098000</v>
      </c>
      <c r="G28" s="3" t="n"/>
      <c r="H28" s="3" t="n"/>
    </row>
    <row r="29">
      <c r="A29" t="inlineStr">
        <is>
          <t>Long Term Debt And Capital Lease Obligation</t>
        </is>
      </c>
      <c r="B29" s="3" t="n">
        <v>2017946000</v>
      </c>
      <c r="C29" s="3" t="n">
        <v>2015983000</v>
      </c>
      <c r="D29" s="3" t="n">
        <v>1497070000</v>
      </c>
      <c r="E29" s="3" t="n">
        <v>1519728000</v>
      </c>
      <c r="F29" s="3" t="n">
        <v>1185356000</v>
      </c>
      <c r="G29" s="3" t="n"/>
      <c r="H29" s="3" t="n"/>
    </row>
    <row r="30">
      <c r="A30" t="inlineStr">
        <is>
          <t>Long Term Debt</t>
        </is>
      </c>
      <c r="B30" s="3" t="n">
        <v>2017946000</v>
      </c>
      <c r="C30" s="3" t="n">
        <v>2015983000</v>
      </c>
      <c r="D30" s="3" t="n">
        <v>1497070000</v>
      </c>
      <c r="E30" s="3" t="n">
        <v>1519728000</v>
      </c>
      <c r="F30" s="3" t="n">
        <v>1185356000</v>
      </c>
      <c r="G30" s="3" t="n"/>
      <c r="H30" s="3" t="n"/>
    </row>
    <row r="31">
      <c r="A31" t="inlineStr">
        <is>
          <t>Long Term Provisions</t>
        </is>
      </c>
      <c r="B31" s="3" t="n">
        <v>102098000</v>
      </c>
      <c r="C31" s="3" t="n">
        <v>100278000</v>
      </c>
      <c r="D31" s="3" t="n">
        <v>98290000</v>
      </c>
      <c r="E31" s="3" t="n">
        <v>96620000</v>
      </c>
      <c r="F31" s="3" t="n">
        <v>96124000</v>
      </c>
      <c r="G31" s="3" t="n"/>
      <c r="H31" s="3" t="n"/>
    </row>
    <row r="32">
      <c r="A32" t="inlineStr">
        <is>
          <t>Current Liabilities</t>
        </is>
      </c>
      <c r="B32" s="3" t="n">
        <v>674221000</v>
      </c>
      <c r="C32" s="3" t="n">
        <v>672017000</v>
      </c>
      <c r="D32" s="3" t="n">
        <v>646563000</v>
      </c>
      <c r="E32" s="3" t="n">
        <v>590186000</v>
      </c>
      <c r="F32" s="3" t="n">
        <v>483945000</v>
      </c>
      <c r="G32" s="3" t="n"/>
      <c r="H32" s="3" t="n"/>
    </row>
    <row r="33">
      <c r="A33" t="inlineStr">
        <is>
          <t>Current Deferred Liabilities</t>
        </is>
      </c>
      <c r="B33" s="3" t="n">
        <v>271587000</v>
      </c>
      <c r="C33" s="3" t="n">
        <v>305285000</v>
      </c>
      <c r="D33" s="3" t="n">
        <v>211399000</v>
      </c>
      <c r="E33" s="3" t="n">
        <v>198336000</v>
      </c>
      <c r="F33" s="3" t="n">
        <v>194095000</v>
      </c>
      <c r="G33" s="3" t="n"/>
      <c r="H33" s="3" t="n"/>
    </row>
    <row r="34">
      <c r="A34" t="inlineStr">
        <is>
          <t>Current Deferred Revenue</t>
        </is>
      </c>
      <c r="B34" s="3" t="n">
        <v>271587000</v>
      </c>
      <c r="C34" s="3" t="n">
        <v>305285000</v>
      </c>
      <c r="D34" s="3" t="n">
        <v>211399000</v>
      </c>
      <c r="E34" s="3" t="n">
        <v>198336000</v>
      </c>
      <c r="F34" s="3" t="n">
        <v>194095000</v>
      </c>
      <c r="G34" s="3" t="n"/>
      <c r="H34" s="3" t="n"/>
    </row>
    <row r="35">
      <c r="A35" t="inlineStr">
        <is>
          <t>Current Debt And Capital Lease Obligation</t>
        </is>
      </c>
      <c r="B35" s="3" t="n"/>
      <c r="C35" s="3" t="n"/>
      <c r="D35" s="3" t="n">
        <v>12500000</v>
      </c>
      <c r="E35" s="3" t="n">
        <v>12500000</v>
      </c>
      <c r="F35" s="3" t="n">
        <v>12500000</v>
      </c>
      <c r="G35" s="3" t="n">
        <v>12500000</v>
      </c>
      <c r="H35" s="3" t="n">
        <v>10938000</v>
      </c>
    </row>
    <row r="36">
      <c r="A36" t="inlineStr">
        <is>
          <t>Current Debt</t>
        </is>
      </c>
      <c r="B36" s="3" t="n"/>
      <c r="C36" s="3" t="n"/>
      <c r="D36" s="3" t="n">
        <v>12500000</v>
      </c>
      <c r="E36" s="3" t="n">
        <v>12500000</v>
      </c>
      <c r="F36" s="3" t="n">
        <v>12500000</v>
      </c>
      <c r="G36" s="3" t="n">
        <v>12500000</v>
      </c>
      <c r="H36" s="3" t="n">
        <v>10938000</v>
      </c>
    </row>
    <row r="37">
      <c r="A37" t="inlineStr">
        <is>
          <t>Pensionand Other Post Retirement Benefit Plans Current</t>
        </is>
      </c>
      <c r="B37" s="3" t="n">
        <v>72506000</v>
      </c>
      <c r="C37" s="3" t="n">
        <v>117641000</v>
      </c>
      <c r="D37" s="3" t="n">
        <v>90559000</v>
      </c>
      <c r="E37" s="3" t="n">
        <v>83274000</v>
      </c>
      <c r="F37" s="3" t="n">
        <v>43473000</v>
      </c>
      <c r="G37" s="3" t="n"/>
      <c r="H37" s="3" t="n"/>
    </row>
    <row r="38">
      <c r="A38" t="inlineStr">
        <is>
          <t>Payables And Accrued Expenses</t>
        </is>
      </c>
      <c r="B38" s="3" t="n">
        <v>330128000</v>
      </c>
      <c r="C38" s="3" t="n">
        <v>249091000</v>
      </c>
      <c r="D38" s="3" t="n">
        <v>332105000</v>
      </c>
      <c r="E38" s="3" t="n">
        <v>296076000</v>
      </c>
      <c r="F38" s="3" t="n">
        <v>233877000</v>
      </c>
      <c r="G38" s="3" t="n"/>
      <c r="H38" s="3" t="n"/>
    </row>
    <row r="39">
      <c r="A39" t="inlineStr">
        <is>
          <t>Current Accrued Expenses</t>
        </is>
      </c>
      <c r="B39" s="3" t="n">
        <v>113908000</v>
      </c>
      <c r="C39" s="3" t="n">
        <v>107802000</v>
      </c>
      <c r="D39" s="3" t="n">
        <v>120410000</v>
      </c>
      <c r="E39" s="3" t="n">
        <v>104576000</v>
      </c>
      <c r="F39" s="3" t="n">
        <v>72252000</v>
      </c>
      <c r="G39" s="3" t="n"/>
      <c r="H39" s="3" t="n"/>
    </row>
    <row r="40">
      <c r="A40" t="inlineStr">
        <is>
          <t>Payables</t>
        </is>
      </c>
      <c r="B40" s="3" t="n">
        <v>216220000</v>
      </c>
      <c r="C40" s="3" t="n">
        <v>141289000</v>
      </c>
      <c r="D40" s="3" t="n">
        <v>211695000</v>
      </c>
      <c r="E40" s="3" t="n">
        <v>191500000</v>
      </c>
      <c r="F40" s="3" t="n">
        <v>161625000</v>
      </c>
      <c r="G40" s="3" t="n"/>
      <c r="H40" s="3" t="n"/>
    </row>
    <row r="41">
      <c r="A41" t="inlineStr">
        <is>
          <t>Accounts Payable</t>
        </is>
      </c>
      <c r="B41" s="3" t="n">
        <v>216220000</v>
      </c>
      <c r="C41" s="3" t="n">
        <v>141289000</v>
      </c>
      <c r="D41" s="3" t="n">
        <v>211695000</v>
      </c>
      <c r="E41" s="3" t="n">
        <v>191500000</v>
      </c>
      <c r="F41" s="3" t="n">
        <v>161625000</v>
      </c>
      <c r="G41" s="3" t="n"/>
      <c r="H41" s="3" t="n"/>
    </row>
    <row r="42">
      <c r="A42" t="inlineStr">
        <is>
          <t>Total Assets</t>
        </is>
      </c>
      <c r="B42" s="3" t="n">
        <v>4324910000</v>
      </c>
      <c r="C42" s="3" t="n">
        <v>4271495000</v>
      </c>
      <c r="D42" s="3" t="n">
        <v>3781537000</v>
      </c>
      <c r="E42" s="3" t="n">
        <v>3699072000</v>
      </c>
      <c r="F42" s="3" t="n">
        <v>3054008000</v>
      </c>
      <c r="G42" s="3" t="n"/>
      <c r="H42" s="3" t="n"/>
    </row>
    <row r="43">
      <c r="A43" t="inlineStr">
        <is>
          <t>Total Non Current Assets</t>
        </is>
      </c>
      <c r="B43" s="3" t="n">
        <v>2708534000</v>
      </c>
      <c r="C43" s="3" t="n">
        <v>2711141000</v>
      </c>
      <c r="D43" s="3" t="n">
        <v>2677514000</v>
      </c>
      <c r="E43" s="3" t="n">
        <v>2702187000</v>
      </c>
      <c r="F43" s="3" t="n">
        <v>2078223000</v>
      </c>
      <c r="G43" s="3" t="n"/>
      <c r="H43" s="3" t="n"/>
    </row>
    <row r="44">
      <c r="A44" t="inlineStr">
        <is>
          <t>Other Non Current Assets</t>
        </is>
      </c>
      <c r="B44" s="3" t="n">
        <v>125769000</v>
      </c>
      <c r="C44" s="3" t="n">
        <v>124625000</v>
      </c>
      <c r="D44" s="3" t="n">
        <v>122174000</v>
      </c>
      <c r="E44" s="3" t="n">
        <v>139347000</v>
      </c>
      <c r="F44" s="3" t="n">
        <v>106054000</v>
      </c>
      <c r="G44" s="3" t="n"/>
      <c r="H44" s="3" t="n"/>
    </row>
    <row r="45">
      <c r="A45" t="inlineStr">
        <is>
          <t>Non Current Deferred Assets</t>
        </is>
      </c>
      <c r="B45" s="3" t="n">
        <v>3379000</v>
      </c>
      <c r="C45" s="3" t="n">
        <v>12275000</v>
      </c>
      <c r="D45" s="3" t="n">
        <v>3377000</v>
      </c>
      <c r="E45" s="3" t="n">
        <v>4727000</v>
      </c>
      <c r="F45" s="3" t="n">
        <v>4730000</v>
      </c>
      <c r="G45" s="3" t="n"/>
      <c r="H45" s="3" t="n"/>
    </row>
    <row r="46">
      <c r="A46" t="inlineStr">
        <is>
          <t>Non Current Deferred Taxes Assets</t>
        </is>
      </c>
      <c r="B46" s="3" t="n">
        <v>3379000</v>
      </c>
      <c r="C46" s="3" t="n">
        <v>12275000</v>
      </c>
      <c r="D46" s="3" t="n">
        <v>3377000</v>
      </c>
      <c r="E46" s="3" t="n">
        <v>4727000</v>
      </c>
      <c r="F46" s="3" t="n">
        <v>4730000</v>
      </c>
      <c r="G46" s="3" t="n"/>
      <c r="H46" s="3" t="n"/>
    </row>
    <row r="47">
      <c r="A47" t="inlineStr">
        <is>
          <t>Investments And Advances</t>
        </is>
      </c>
      <c r="B47" s="3" t="n">
        <v>165575000</v>
      </c>
      <c r="C47" s="3" t="n">
        <v>158386000</v>
      </c>
      <c r="D47" s="3" t="n">
        <v>183747000</v>
      </c>
      <c r="E47" s="3" t="n">
        <v>183207000</v>
      </c>
      <c r="F47" s="3" t="n">
        <v>132531000</v>
      </c>
      <c r="G47" s="3" t="n"/>
      <c r="H47" s="3" t="n"/>
    </row>
    <row r="48">
      <c r="A48" t="inlineStr">
        <is>
          <t>Investmentin Financial Assets</t>
        </is>
      </c>
      <c r="B48" s="3" t="n">
        <v>7947000</v>
      </c>
      <c r="C48" s="3" t="n">
        <v>8243000</v>
      </c>
      <c r="D48" s="3" t="n">
        <v>8008000</v>
      </c>
      <c r="E48" s="3" t="n">
        <v>7572000</v>
      </c>
      <c r="F48" s="3" t="n">
        <v>8509000</v>
      </c>
      <c r="G48" s="3" t="n"/>
      <c r="H48" s="3" t="n"/>
    </row>
    <row r="49">
      <c r="A49" t="inlineStr">
        <is>
          <t>Available For Sale Securities</t>
        </is>
      </c>
      <c r="B49" s="3" t="n">
        <v>7947000</v>
      </c>
      <c r="C49" s="3" t="n">
        <v>8243000</v>
      </c>
      <c r="D49" s="3" t="n">
        <v>8008000</v>
      </c>
      <c r="E49" s="3" t="n">
        <v>7572000</v>
      </c>
      <c r="F49" s="3" t="n">
        <v>8509000</v>
      </c>
      <c r="G49" s="3" t="n"/>
      <c r="H49" s="3" t="n"/>
    </row>
    <row r="50">
      <c r="A50" t="inlineStr">
        <is>
          <t>Long Term Equity Investment</t>
        </is>
      </c>
      <c r="B50" s="3" t="n">
        <v>157628000</v>
      </c>
      <c r="C50" s="3" t="n">
        <v>150143000</v>
      </c>
      <c r="D50" s="3" t="n">
        <v>175739000</v>
      </c>
      <c r="E50" s="3" t="n">
        <v>175635000</v>
      </c>
      <c r="F50" s="3" t="n">
        <v>124022000</v>
      </c>
      <c r="G50" s="3" t="n"/>
      <c r="H50" s="3" t="n"/>
    </row>
    <row r="51">
      <c r="A51" t="inlineStr">
        <is>
          <t>Goodwill And Other Intangible Assets</t>
        </is>
      </c>
      <c r="B51" s="3" t="n">
        <v>817701000</v>
      </c>
      <c r="C51" s="3" t="n">
        <v>830719000</v>
      </c>
      <c r="D51" s="3" t="n">
        <v>831865000</v>
      </c>
      <c r="E51" s="3" t="n">
        <v>837135000</v>
      </c>
      <c r="F51" s="3" t="n">
        <v>536849000</v>
      </c>
      <c r="G51" s="3" t="n"/>
      <c r="H51" s="3" t="n"/>
    </row>
    <row r="52">
      <c r="A52" t="inlineStr">
        <is>
          <t>Other Intangible Assets</t>
        </is>
      </c>
      <c r="B52" s="3" t="n">
        <v>321438000</v>
      </c>
      <c r="C52" s="3" t="n">
        <v>329859000</v>
      </c>
      <c r="D52" s="3" t="n">
        <v>330290000</v>
      </c>
      <c r="E52" s="3" t="n">
        <v>324533000</v>
      </c>
      <c r="F52" s="3" t="n">
        <v>187520000</v>
      </c>
      <c r="G52" s="3" t="n"/>
      <c r="H52" s="3" t="n"/>
    </row>
    <row r="53">
      <c r="A53" t="inlineStr">
        <is>
          <t>Goodwill</t>
        </is>
      </c>
      <c r="B53" s="3" t="n">
        <v>496263000</v>
      </c>
      <c r="C53" s="3" t="n">
        <v>500860000</v>
      </c>
      <c r="D53" s="3" t="n">
        <v>501575000</v>
      </c>
      <c r="E53" s="3" t="n">
        <v>512602000</v>
      </c>
      <c r="F53" s="3" t="n">
        <v>349329000</v>
      </c>
      <c r="G53" s="3" t="n"/>
      <c r="H53" s="3" t="n"/>
    </row>
    <row r="54">
      <c r="A54" t="inlineStr">
        <is>
          <t>Net PPE</t>
        </is>
      </c>
      <c r="B54" s="3" t="n">
        <v>1596110000</v>
      </c>
      <c r="C54" s="3" t="n">
        <v>1585136000</v>
      </c>
      <c r="D54" s="3" t="n">
        <v>1536351000</v>
      </c>
      <c r="E54" s="3" t="n">
        <v>1537771000</v>
      </c>
      <c r="F54" s="3" t="n">
        <v>1298059000</v>
      </c>
      <c r="G54" s="3" t="n"/>
      <c r="H54" s="3" t="n"/>
    </row>
    <row r="55">
      <c r="A55" t="inlineStr">
        <is>
          <t>Accumulated Depreciation</t>
        </is>
      </c>
      <c r="B55" s="3" t="n">
        <v>-990625000</v>
      </c>
      <c r="C55" s="3" t="n">
        <v>-969569000</v>
      </c>
      <c r="D55" s="3" t="n">
        <v>-961963000</v>
      </c>
      <c r="E55" s="3" t="n">
        <v>-944339000</v>
      </c>
      <c r="F55" s="3" t="n">
        <v>-918579000</v>
      </c>
      <c r="G55" s="3" t="n"/>
      <c r="H55" s="3" t="n"/>
    </row>
    <row r="56">
      <c r="A56" t="inlineStr">
        <is>
          <t>Gross PPE</t>
        </is>
      </c>
      <c r="B56" s="3" t="n">
        <v>2586735000</v>
      </c>
      <c r="C56" s="3" t="n">
        <v>2554705000</v>
      </c>
      <c r="D56" s="3" t="n">
        <v>2498314000</v>
      </c>
      <c r="E56" s="3" t="n">
        <v>2482110000</v>
      </c>
      <c r="F56" s="3" t="n">
        <v>2216638000</v>
      </c>
      <c r="G56" s="3" t="n"/>
      <c r="H56" s="3" t="n"/>
    </row>
    <row r="57">
      <c r="A57" t="inlineStr">
        <is>
          <t>Construction In Progress</t>
        </is>
      </c>
      <c r="B57" s="3" t="n">
        <v>691473000</v>
      </c>
      <c r="C57" s="3" t="n">
        <v>693992000</v>
      </c>
      <c r="D57" s="3" t="n">
        <v>648840000</v>
      </c>
      <c r="E57" s="3" t="n">
        <v>652759000</v>
      </c>
      <c r="F57" s="3" t="n">
        <v>592526000</v>
      </c>
      <c r="G57" s="3" t="n"/>
      <c r="H57" s="3" t="n"/>
    </row>
    <row r="58">
      <c r="A58" t="inlineStr">
        <is>
          <t>Machinery Furniture Equipment</t>
        </is>
      </c>
      <c r="B58" s="3" t="n">
        <v>1314910000</v>
      </c>
      <c r="C58" s="3" t="n">
        <v>1286010000</v>
      </c>
      <c r="D58" s="3" t="n">
        <v>1281469000</v>
      </c>
      <c r="E58" s="3" t="n">
        <v>1279022000</v>
      </c>
      <c r="F58" s="3" t="n">
        <v>1188562000</v>
      </c>
      <c r="G58" s="3" t="n"/>
      <c r="H58" s="3" t="n"/>
    </row>
    <row r="59">
      <c r="A59" t="inlineStr">
        <is>
          <t>Buildings And Improvements</t>
        </is>
      </c>
      <c r="B59" s="3" t="n">
        <v>526044000</v>
      </c>
      <c r="C59" s="3" t="n">
        <v>519901000</v>
      </c>
      <c r="D59" s="3" t="n">
        <v>513914000</v>
      </c>
      <c r="E59" s="3" t="n">
        <v>494901000</v>
      </c>
      <c r="F59" s="3" t="n">
        <v>422964000</v>
      </c>
      <c r="G59" s="3" t="n"/>
      <c r="H59" s="3" t="n"/>
    </row>
    <row r="60">
      <c r="A60" t="inlineStr">
        <is>
          <t>Land And Improvements</t>
        </is>
      </c>
      <c r="B60" s="3" t="n">
        <v>54308000</v>
      </c>
      <c r="C60" s="3" t="n">
        <v>54802000</v>
      </c>
      <c r="D60" s="3" t="n">
        <v>54091000</v>
      </c>
      <c r="E60" s="3" t="n">
        <v>55428000</v>
      </c>
      <c r="F60" s="3" t="n">
        <v>12586000</v>
      </c>
      <c r="G60" s="3" t="n"/>
      <c r="H60" s="3" t="n"/>
    </row>
    <row r="61">
      <c r="A61" t="inlineStr">
        <is>
          <t>Properties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/>
      <c r="H61" s="3" t="n"/>
    </row>
    <row r="62">
      <c r="A62" t="inlineStr">
        <is>
          <t>Current Assets</t>
        </is>
      </c>
      <c r="B62" s="3" t="n">
        <v>1616376000</v>
      </c>
      <c r="C62" s="3" t="n">
        <v>1560354000</v>
      </c>
      <c r="D62" s="3" t="n">
        <v>1104023000</v>
      </c>
      <c r="E62" s="3" t="n">
        <v>996885000</v>
      </c>
      <c r="F62" s="3" t="n">
        <v>975785000</v>
      </c>
      <c r="G62" s="3" t="n"/>
      <c r="H62" s="3" t="n"/>
    </row>
    <row r="63">
      <c r="A63" t="inlineStr">
        <is>
          <t>Other Current Assets</t>
        </is>
      </c>
      <c r="B63" s="3" t="n">
        <v>56648000</v>
      </c>
      <c r="C63" s="3" t="n">
        <v>66078000</v>
      </c>
      <c r="D63" s="3" t="n">
        <v>48023000</v>
      </c>
      <c r="E63" s="3" t="n">
        <v>51715000</v>
      </c>
      <c r="F63" s="3" t="n">
        <v>50427000</v>
      </c>
      <c r="G63" s="3" t="n"/>
      <c r="H63" s="3" t="n"/>
    </row>
    <row r="64">
      <c r="A64" t="inlineStr">
        <is>
          <t>Restricted Cash</t>
        </is>
      </c>
      <c r="B64" s="3" t="n">
        <v>3203000</v>
      </c>
      <c r="C64" s="3" t="n">
        <v>3085000</v>
      </c>
      <c r="D64" s="3" t="n">
        <v>3058000</v>
      </c>
      <c r="E64" s="3" t="n">
        <v>3049000</v>
      </c>
      <c r="F64" s="3" t="n">
        <v>2813000</v>
      </c>
      <c r="G64" s="3" t="n"/>
      <c r="H64" s="3" t="n"/>
    </row>
    <row r="65">
      <c r="A65" t="inlineStr">
        <is>
          <t>Inventory</t>
        </is>
      </c>
      <c r="B65" s="3" t="n">
        <v>45598000</v>
      </c>
      <c r="C65" s="3" t="n">
        <v>46537000</v>
      </c>
      <c r="D65" s="3" t="n">
        <v>57799000</v>
      </c>
      <c r="E65" s="3" t="n">
        <v>51560000</v>
      </c>
      <c r="F65" s="3" t="n">
        <v>49648000</v>
      </c>
      <c r="G65" s="3" t="n"/>
      <c r="H65" s="3" t="n"/>
    </row>
    <row r="66">
      <c r="A66" t="inlineStr">
        <is>
          <t>Raw Materials</t>
        </is>
      </c>
      <c r="B66" s="3" t="n">
        <v>45598000</v>
      </c>
      <c r="C66" s="3" t="n">
        <v>46537000</v>
      </c>
      <c r="D66" s="3" t="n">
        <v>57799000</v>
      </c>
      <c r="E66" s="3" t="n">
        <v>51560000</v>
      </c>
      <c r="F66" s="3" t="n"/>
      <c r="G66" s="3" t="n">
        <v>40288000</v>
      </c>
      <c r="H66" s="3" t="n"/>
    </row>
    <row r="67">
      <c r="A67" t="inlineStr">
        <is>
          <t>Receivables</t>
        </is>
      </c>
      <c r="B67" s="3" t="n">
        <v>998570000</v>
      </c>
      <c r="C67" s="3" t="n">
        <v>944875000</v>
      </c>
      <c r="D67" s="3" t="n">
        <v>915551000</v>
      </c>
      <c r="E67" s="3" t="n">
        <v>853577000</v>
      </c>
      <c r="F67" s="3" t="n">
        <v>817462000</v>
      </c>
      <c r="G67" s="3" t="n"/>
      <c r="H67" s="3" t="n"/>
    </row>
    <row r="68">
      <c r="A68" t="inlineStr">
        <is>
          <t>Other Receivables</t>
        </is>
      </c>
      <c r="B68" s="3" t="n">
        <v>735805000</v>
      </c>
      <c r="C68" s="3" t="n">
        <v>610315000</v>
      </c>
      <c r="D68" s="3" t="n">
        <v>666426000</v>
      </c>
      <c r="E68" s="3" t="n">
        <v>664109000</v>
      </c>
      <c r="F68" s="3" t="n">
        <v>682910000</v>
      </c>
      <c r="G68" s="3" t="n"/>
      <c r="H68" s="3" t="n"/>
    </row>
    <row r="69">
      <c r="A69" t="inlineStr">
        <is>
          <t>Accounts Receivable</t>
        </is>
      </c>
      <c r="B69" s="3" t="n">
        <v>262765000</v>
      </c>
      <c r="C69" s="3" t="n">
        <v>334560000</v>
      </c>
      <c r="D69" s="3" t="n">
        <v>249125000</v>
      </c>
      <c r="E69" s="3" t="n">
        <v>189468000</v>
      </c>
      <c r="F69" s="3" t="n">
        <v>134552000</v>
      </c>
      <c r="G69" s="3" t="n"/>
      <c r="H69" s="3" t="n"/>
    </row>
    <row r="70">
      <c r="A70" t="inlineStr">
        <is>
          <t>Allowance For Doubtful Accounts Receivable</t>
        </is>
      </c>
      <c r="B70" s="3" t="n"/>
      <c r="C70" s="3" t="n">
        <v>-600000</v>
      </c>
      <c r="D70" s="3" t="n"/>
      <c r="E70" s="3" t="n"/>
      <c r="F70" s="3" t="n"/>
      <c r="G70" s="3" t="n">
        <v>-300000</v>
      </c>
      <c r="H70" s="3" t="n"/>
    </row>
    <row r="71">
      <c r="A71" t="inlineStr">
        <is>
          <t>Gross Accounts Receivable</t>
        </is>
      </c>
      <c r="B71" s="3" t="n"/>
      <c r="C71" s="3" t="n">
        <v>335160000</v>
      </c>
      <c r="D71" s="3" t="n"/>
      <c r="E71" s="3" t="n"/>
      <c r="F71" s="3" t="n"/>
      <c r="G71" s="3" t="n">
        <v>186278000</v>
      </c>
      <c r="H71" s="3" t="n"/>
    </row>
    <row r="72">
      <c r="A72" t="inlineStr">
        <is>
          <t>Cash Cash Equivalents And Short Term Investments</t>
        </is>
      </c>
      <c r="B72" s="3" t="n">
        <v>512357000</v>
      </c>
      <c r="C72" s="3" t="n">
        <v>499779000</v>
      </c>
      <c r="D72" s="3" t="n">
        <v>79592000</v>
      </c>
      <c r="E72" s="3" t="n">
        <v>36984000</v>
      </c>
      <c r="F72" s="3" t="n">
        <v>55435000</v>
      </c>
      <c r="G72" s="3" t="n"/>
      <c r="H72" s="3" t="n"/>
    </row>
    <row r="73">
      <c r="A73" t="inlineStr">
        <is>
          <t>Cash And Cash Equivalents</t>
        </is>
      </c>
      <c r="B73" s="3" t="n">
        <v>512357000</v>
      </c>
      <c r="C73" s="3" t="n">
        <v>499779000</v>
      </c>
      <c r="D73" s="3" t="n">
        <v>79592000</v>
      </c>
      <c r="E73" s="3" t="n">
        <v>36984000</v>
      </c>
      <c r="F73" s="3" t="n">
        <v>55435000</v>
      </c>
      <c r="G73" s="3" t="n"/>
      <c r="H7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295291000</v>
      </c>
      <c r="C2" s="3" t="n">
        <v>254781000</v>
      </c>
      <c r="D2" s="3" t="n">
        <v>212415000</v>
      </c>
      <c r="E2" s="3" t="n">
        <v>46392000</v>
      </c>
      <c r="F2" s="3" t="n"/>
    </row>
    <row r="3">
      <c r="A3" t="inlineStr">
        <is>
          <t>Repurchase Of Capital Stock</t>
        </is>
      </c>
      <c r="B3" s="3" t="n">
        <v>-30000000</v>
      </c>
      <c r="C3" s="3" t="n">
        <v>-20000000</v>
      </c>
      <c r="D3" s="3" t="n">
        <v>0</v>
      </c>
      <c r="E3" s="3" t="n">
        <v>-20000000</v>
      </c>
      <c r="F3" s="3" t="n"/>
    </row>
    <row r="4">
      <c r="A4" t="inlineStr">
        <is>
          <t>Repayment Of Debt</t>
        </is>
      </c>
      <c r="B4" s="3" t="n">
        <v>-1292500000</v>
      </c>
      <c r="C4" s="3" t="n">
        <v>-612250000</v>
      </c>
      <c r="D4" s="3" t="n">
        <v>-434350000</v>
      </c>
      <c r="E4" s="3" t="n">
        <v>-878200000</v>
      </c>
      <c r="F4" s="3" t="n"/>
    </row>
    <row r="5">
      <c r="A5" t="inlineStr">
        <is>
          <t>Issuance Of Debt</t>
        </is>
      </c>
      <c r="B5" s="3" t="n">
        <v>2280000000</v>
      </c>
      <c r="C5" s="3" t="n">
        <v>456000000</v>
      </c>
      <c r="D5" s="3" t="n">
        <v>353100000</v>
      </c>
      <c r="E5" s="3" t="n">
        <v>978200000</v>
      </c>
      <c r="F5" s="3" t="n"/>
    </row>
    <row r="6">
      <c r="A6" t="inlineStr">
        <is>
          <t>Capital Expenditure</t>
        </is>
      </c>
      <c r="B6" s="3" t="n">
        <v>-184557000</v>
      </c>
      <c r="C6" s="3" t="n">
        <v>-153647000</v>
      </c>
      <c r="D6" s="3" t="n">
        <v>-151286000</v>
      </c>
      <c r="E6" s="3" t="n">
        <v>-198312000</v>
      </c>
      <c r="F6" s="3" t="n"/>
    </row>
    <row r="7">
      <c r="A7" t="inlineStr">
        <is>
          <t>Interest Paid Supplemental Data</t>
        </is>
      </c>
      <c r="B7" s="3" t="n">
        <v>65163000</v>
      </c>
      <c r="C7" s="3" t="n">
        <v>72426000</v>
      </c>
      <c r="D7" s="3" t="n">
        <v>63216000</v>
      </c>
      <c r="E7" s="3" t="n">
        <v>51343000</v>
      </c>
      <c r="F7" s="3" t="n"/>
    </row>
    <row r="8">
      <c r="A8" t="inlineStr">
        <is>
          <t>Income Tax Paid Supplemental Data</t>
        </is>
      </c>
      <c r="B8" s="3" t="n">
        <v>47892000</v>
      </c>
      <c r="C8" s="3" t="n">
        <v>45508000</v>
      </c>
      <c r="D8" s="3" t="n">
        <v>84478000</v>
      </c>
      <c r="E8" s="3" t="n">
        <v>71755000</v>
      </c>
      <c r="F8" s="3" t="n"/>
    </row>
    <row r="9">
      <c r="A9" t="inlineStr">
        <is>
          <t>End Cash Position</t>
        </is>
      </c>
      <c r="B9" s="3" t="n">
        <v>507204000</v>
      </c>
      <c r="C9" s="3" t="n">
        <v>80571000</v>
      </c>
      <c r="D9" s="3" t="n">
        <v>81615000</v>
      </c>
      <c r="E9" s="3" t="n">
        <v>40990000</v>
      </c>
      <c r="F9" s="3" t="n"/>
    </row>
    <row r="10">
      <c r="A10" t="inlineStr">
        <is>
          <t>Beginning Cash Position</t>
        </is>
      </c>
      <c r="B10" s="3" t="n">
        <v>80571000</v>
      </c>
      <c r="C10" s="3" t="n">
        <v>81615000</v>
      </c>
      <c r="D10" s="3" t="n">
        <v>40990000</v>
      </c>
      <c r="E10" s="3" t="n">
        <v>39775000</v>
      </c>
      <c r="F10" s="3" t="n"/>
    </row>
    <row r="11">
      <c r="A11" t="inlineStr">
        <is>
          <t>Effect Of Exchange Rate Changes</t>
        </is>
      </c>
      <c r="B11" s="3" t="n">
        <v>-4746000</v>
      </c>
      <c r="C11" s="3" t="n">
        <v>-2126000</v>
      </c>
      <c r="D11" s="3" t="n">
        <v>1937000</v>
      </c>
      <c r="E11" s="3" t="n">
        <v>-1205000</v>
      </c>
      <c r="F11" s="3" t="n"/>
    </row>
    <row r="12">
      <c r="A12" t="inlineStr">
        <is>
          <t>Changes In Cash</t>
        </is>
      </c>
      <c r="B12" s="3" t="n">
        <v>431379000</v>
      </c>
      <c r="C12" s="3" t="n">
        <v>1082000</v>
      </c>
      <c r="D12" s="3" t="n">
        <v>38688000</v>
      </c>
      <c r="E12" s="3" t="n">
        <v>2420000</v>
      </c>
      <c r="F12" s="3" t="n"/>
    </row>
    <row r="13">
      <c r="A13" t="inlineStr">
        <is>
          <t>Financing Cash Flow</t>
        </is>
      </c>
      <c r="B13" s="3" t="n">
        <v>693640000</v>
      </c>
      <c r="C13" s="3" t="n">
        <v>-252785000</v>
      </c>
      <c r="D13" s="3" t="n">
        <v>-169371000</v>
      </c>
      <c r="E13" s="3" t="n">
        <v>13952000</v>
      </c>
      <c r="F13" s="3" t="n"/>
    </row>
    <row r="14">
      <c r="A14" t="inlineStr">
        <is>
          <t>Cash Flow From Continuing Financing Activities</t>
        </is>
      </c>
      <c r="B14" s="3" t="n">
        <v>693640000</v>
      </c>
      <c r="C14" s="3" t="n">
        <v>-252785000</v>
      </c>
      <c r="D14" s="3" t="n">
        <v>-169371000</v>
      </c>
      <c r="E14" s="3" t="n">
        <v>13952000</v>
      </c>
      <c r="F14" s="3" t="n"/>
    </row>
    <row r="15">
      <c r="A15" t="inlineStr">
        <is>
          <t>Net Other Financing Charges</t>
        </is>
      </c>
      <c r="B15" s="3" t="n">
        <v>-171393000</v>
      </c>
      <c r="C15" s="3" t="n">
        <v>11814000</v>
      </c>
      <c r="D15" s="3" t="n">
        <v>-3147000</v>
      </c>
      <c r="E15" s="3" t="n">
        <v>15026000</v>
      </c>
      <c r="F15" s="3" t="n"/>
    </row>
    <row r="16">
      <c r="A16" t="inlineStr">
        <is>
          <t>Proceeds From Stock Option Exercised</t>
        </is>
      </c>
      <c r="B16" s="3" t="n"/>
      <c r="C16" s="3" t="n"/>
      <c r="D16" s="3" t="n"/>
      <c r="E16" s="3" t="n"/>
      <c r="F16" s="3" t="n">
        <v>2033000</v>
      </c>
    </row>
    <row r="17">
      <c r="A17" t="inlineStr">
        <is>
          <t>Cash Dividends Paid</t>
        </is>
      </c>
      <c r="B17" s="3" t="n">
        <v>-92467000</v>
      </c>
      <c r="C17" s="3" t="n">
        <v>-88349000</v>
      </c>
      <c r="D17" s="3" t="n">
        <v>-84974000</v>
      </c>
      <c r="E17" s="3" t="n">
        <v>-81074000</v>
      </c>
      <c r="F17" s="3" t="n"/>
    </row>
    <row r="18">
      <c r="A18" t="inlineStr">
        <is>
          <t>Common Stock Dividend Paid</t>
        </is>
      </c>
      <c r="B18" s="3" t="n">
        <v>-92467000</v>
      </c>
      <c r="C18" s="3" t="n">
        <v>-88349000</v>
      </c>
      <c r="D18" s="3" t="n">
        <v>-84974000</v>
      </c>
      <c r="E18" s="3" t="n">
        <v>-81074000</v>
      </c>
      <c r="F18" s="3" t="n"/>
    </row>
    <row r="19">
      <c r="A19" t="inlineStr">
        <is>
          <t>Net Common Stock Issuance</t>
        </is>
      </c>
      <c r="B19" s="3" t="n">
        <v>-30000000</v>
      </c>
      <c r="C19" s="3" t="n">
        <v>-20000000</v>
      </c>
      <c r="D19" s="3" t="n">
        <v>0</v>
      </c>
      <c r="E19" s="3" t="n">
        <v>-20000000</v>
      </c>
      <c r="F19" s="3" t="n"/>
    </row>
    <row r="20">
      <c r="A20" t="inlineStr">
        <is>
          <t>Common Stock Payments</t>
        </is>
      </c>
      <c r="B20" s="3" t="n">
        <v>-30000000</v>
      </c>
      <c r="C20" s="3" t="n">
        <v>-20000000</v>
      </c>
      <c r="D20" s="3" t="n">
        <v>0</v>
      </c>
      <c r="E20" s="3" t="n">
        <v>-20000000</v>
      </c>
      <c r="F20" s="3" t="n"/>
    </row>
    <row r="21">
      <c r="A21" t="inlineStr">
        <is>
          <t>Net Issuance Payments Of Debt</t>
        </is>
      </c>
      <c r="B21" s="3" t="n">
        <v>987500000</v>
      </c>
      <c r="C21" s="3" t="n">
        <v>-156250000</v>
      </c>
      <c r="D21" s="3" t="n">
        <v>-81250000</v>
      </c>
      <c r="E21" s="3" t="n">
        <v>100000000</v>
      </c>
      <c r="F21" s="3" t="n"/>
    </row>
    <row r="22">
      <c r="A22" t="inlineStr">
        <is>
          <t>Net Short Term Debt Issuance</t>
        </is>
      </c>
      <c r="B22" s="3" t="n"/>
      <c r="C22" s="3" t="n"/>
      <c r="D22" s="3" t="n">
        <v>0</v>
      </c>
      <c r="E22" s="3" t="n">
        <v>0</v>
      </c>
      <c r="F22" s="3" t="n">
        <v>-88694000</v>
      </c>
    </row>
    <row r="23">
      <c r="A23" t="inlineStr">
        <is>
          <t>Net Long Term Debt Issuance</t>
        </is>
      </c>
      <c r="B23" s="3" t="n">
        <v>987500000</v>
      </c>
      <c r="C23" s="3" t="n">
        <v>-156250000</v>
      </c>
      <c r="D23" s="3" t="n">
        <v>-81250000</v>
      </c>
      <c r="E23" s="3" t="n">
        <v>100000000</v>
      </c>
      <c r="F23" s="3" t="n"/>
    </row>
    <row r="24">
      <c r="A24" t="inlineStr">
        <is>
          <t>Long Term Debt Payments</t>
        </is>
      </c>
      <c r="B24" s="3" t="n">
        <v>-1292500000</v>
      </c>
      <c r="C24" s="3" t="n">
        <v>-612250000</v>
      </c>
      <c r="D24" s="3" t="n">
        <v>-434350000</v>
      </c>
      <c r="E24" s="3" t="n">
        <v>-878200000</v>
      </c>
      <c r="F24" s="3" t="n"/>
    </row>
    <row r="25">
      <c r="A25" t="inlineStr">
        <is>
          <t>Long Term Debt Issuance</t>
        </is>
      </c>
      <c r="B25" s="3" t="n">
        <v>2280000000</v>
      </c>
      <c r="C25" s="3" t="n">
        <v>456000000</v>
      </c>
      <c r="D25" s="3" t="n">
        <v>353100000</v>
      </c>
      <c r="E25" s="3" t="n">
        <v>978200000</v>
      </c>
      <c r="F25" s="3" t="n"/>
    </row>
    <row r="26">
      <c r="A26" t="inlineStr">
        <is>
          <t>Investing Cash Flow</t>
        </is>
      </c>
      <c r="B26" s="3" t="n">
        <v>-742109000</v>
      </c>
      <c r="C26" s="3" t="n">
        <v>-154561000</v>
      </c>
      <c r="D26" s="3" t="n">
        <v>-155642000</v>
      </c>
      <c r="E26" s="3" t="n">
        <v>-256236000</v>
      </c>
      <c r="F26" s="3" t="n"/>
    </row>
    <row r="27">
      <c r="A27" t="inlineStr">
        <is>
          <t>Cash Flow From Continuing Investing Activities</t>
        </is>
      </c>
      <c r="B27" s="3" t="n">
        <v>-742109000</v>
      </c>
      <c r="C27" s="3" t="n">
        <v>-154561000</v>
      </c>
      <c r="D27" s="3" t="n">
        <v>-155642000</v>
      </c>
      <c r="E27" s="3" t="n">
        <v>-256236000</v>
      </c>
      <c r="F27" s="3" t="n"/>
    </row>
    <row r="28">
      <c r="A28" t="inlineStr">
        <is>
          <t>Net Other Investing Changes</t>
        </is>
      </c>
      <c r="B28" s="3" t="n">
        <v>3874000</v>
      </c>
      <c r="C28" s="3" t="n">
        <v>-717000</v>
      </c>
      <c r="D28" s="3" t="n">
        <v>-8009000</v>
      </c>
      <c r="E28" s="3" t="n">
        <v>844000</v>
      </c>
      <c r="F28" s="3" t="n"/>
    </row>
    <row r="29">
      <c r="A29" t="inlineStr">
        <is>
          <t>Net Investment Purchase And Sale</t>
        </is>
      </c>
      <c r="B29" s="3" t="n">
        <v>3397000</v>
      </c>
      <c r="C29" s="3" t="n">
        <v>0</v>
      </c>
      <c r="D29" s="3" t="n">
        <v>3653000</v>
      </c>
      <c r="E29" s="3" t="n">
        <v>10000</v>
      </c>
      <c r="F29" s="3" t="n"/>
    </row>
    <row r="30">
      <c r="A30" t="inlineStr">
        <is>
          <t>Sale Of Investment</t>
        </is>
      </c>
      <c r="B30" s="3" t="n">
        <v>3397000</v>
      </c>
      <c r="C30" s="3" t="n">
        <v>0</v>
      </c>
      <c r="D30" s="3" t="n">
        <v>5996000</v>
      </c>
      <c r="E30" s="3" t="n">
        <v>3813000</v>
      </c>
      <c r="F30" s="3" t="n"/>
    </row>
    <row r="31">
      <c r="A31" t="inlineStr">
        <is>
          <t>Purchase Of Investment</t>
        </is>
      </c>
      <c r="B31" s="3" t="n">
        <v>0</v>
      </c>
      <c r="C31" s="3" t="n">
        <v>0</v>
      </c>
      <c r="D31" s="3" t="n">
        <v>-2343000</v>
      </c>
      <c r="E31" s="3" t="n">
        <v>-3803000</v>
      </c>
      <c r="F31" s="3" t="n"/>
    </row>
    <row r="32">
      <c r="A32" t="inlineStr">
        <is>
          <t>Net Business Purchase And Sale</t>
        </is>
      </c>
      <c r="B32" s="3" t="n">
        <v>-564823000</v>
      </c>
      <c r="C32" s="3" t="n">
        <v>-197000</v>
      </c>
      <c r="D32" s="3" t="n">
        <v>0</v>
      </c>
      <c r="E32" s="3" t="n">
        <v>-58778000</v>
      </c>
      <c r="F32" s="3" t="n"/>
    </row>
    <row r="33">
      <c r="A33" t="inlineStr">
        <is>
          <t>Purchase Of Business</t>
        </is>
      </c>
      <c r="B33" s="3" t="n">
        <v>-564823000</v>
      </c>
      <c r="C33" s="3" t="n">
        <v>-197000</v>
      </c>
      <c r="D33" s="3" t="n">
        <v>0</v>
      </c>
      <c r="E33" s="3" t="n">
        <v>-58778000</v>
      </c>
      <c r="F33" s="3" t="n"/>
    </row>
    <row r="34">
      <c r="A34" t="inlineStr">
        <is>
          <t>Net PPE Purchase And Sale</t>
        </is>
      </c>
      <c r="B34" s="3" t="n">
        <v>-184557000</v>
      </c>
      <c r="C34" s="3" t="n">
        <v>-153647000</v>
      </c>
      <c r="D34" s="3" t="n">
        <v>-151286000</v>
      </c>
      <c r="E34" s="3" t="n">
        <v>-198312000</v>
      </c>
      <c r="F34" s="3" t="n"/>
    </row>
    <row r="35">
      <c r="A35" t="inlineStr">
        <is>
          <t>Purchase Of PPE</t>
        </is>
      </c>
      <c r="B35" s="3" t="n">
        <v>-184557000</v>
      </c>
      <c r="C35" s="3" t="n">
        <v>-153647000</v>
      </c>
      <c r="D35" s="3" t="n">
        <v>-151286000</v>
      </c>
      <c r="E35" s="3" t="n">
        <v>-198312000</v>
      </c>
      <c r="F35" s="3" t="n"/>
    </row>
    <row r="36">
      <c r="A36" t="inlineStr">
        <is>
          <t>Operating Cash Flow</t>
        </is>
      </c>
      <c r="B36" s="3" t="n">
        <v>479848000</v>
      </c>
      <c r="C36" s="3" t="n">
        <v>408428000</v>
      </c>
      <c r="D36" s="3" t="n">
        <v>363701000</v>
      </c>
      <c r="E36" s="3" t="n">
        <v>244704000</v>
      </c>
      <c r="F36" s="3" t="n"/>
    </row>
    <row r="37">
      <c r="A37" t="inlineStr">
        <is>
          <t>Cash Flow From Continuing Operating Activities</t>
        </is>
      </c>
      <c r="B37" s="3" t="n">
        <v>479848000</v>
      </c>
      <c r="C37" s="3" t="n">
        <v>408428000</v>
      </c>
      <c r="D37" s="3" t="n">
        <v>363701000</v>
      </c>
      <c r="E37" s="3" t="n">
        <v>244704000</v>
      </c>
      <c r="F37" s="3" t="n"/>
    </row>
    <row r="38">
      <c r="A38" t="inlineStr">
        <is>
          <t>Change In Working Capital</t>
        </is>
      </c>
      <c r="B38" s="3" t="n"/>
      <c r="C38" s="3" t="n">
        <v>-9113000</v>
      </c>
      <c r="D38" s="3" t="n">
        <v>-16675000</v>
      </c>
      <c r="E38" s="3" t="n">
        <v>-141502000</v>
      </c>
      <c r="F38" s="3" t="n">
        <v>-14741000</v>
      </c>
    </row>
    <row r="39">
      <c r="A39" t="inlineStr">
        <is>
          <t>Change In Other Working Capital</t>
        </is>
      </c>
      <c r="B39" s="3" t="n">
        <v>80332000</v>
      </c>
      <c r="C39" s="3" t="n">
        <v>-18453000</v>
      </c>
      <c r="D39" s="3" t="n">
        <v>8257000</v>
      </c>
      <c r="E39" s="3" t="n">
        <v>-101415000</v>
      </c>
      <c r="F39" s="3" t="n"/>
    </row>
    <row r="40">
      <c r="A40" t="inlineStr">
        <is>
          <t>Change In Payables And Accrued Expense</t>
        </is>
      </c>
      <c r="B40" s="3" t="n">
        <v>-16565000</v>
      </c>
      <c r="C40" s="3" t="n">
        <v>35397000</v>
      </c>
      <c r="D40" s="3" t="n">
        <v>-18779000</v>
      </c>
      <c r="E40" s="3" t="n">
        <v>-59443000</v>
      </c>
      <c r="F40" s="3" t="n"/>
    </row>
    <row r="41">
      <c r="A41" t="inlineStr">
        <is>
          <t>Change In Accrued Expense</t>
        </is>
      </c>
      <c r="B41" s="3" t="n">
        <v>6997000</v>
      </c>
      <c r="C41" s="3" t="n">
        <v>865000</v>
      </c>
      <c r="D41" s="3" t="n">
        <v>-9754000</v>
      </c>
      <c r="E41" s="3" t="n">
        <v>-18948000</v>
      </c>
      <c r="F41" s="3" t="n"/>
    </row>
    <row r="42">
      <c r="A42" t="inlineStr">
        <is>
          <t>Change In Payable</t>
        </is>
      </c>
      <c r="B42" s="3" t="n">
        <v>-23562000</v>
      </c>
      <c r="C42" s="3" t="n">
        <v>34532000</v>
      </c>
      <c r="D42" s="3" t="n">
        <v>-9025000</v>
      </c>
      <c r="E42" s="3" t="n">
        <v>-40495000</v>
      </c>
      <c r="F42" s="3" t="n"/>
    </row>
    <row r="43">
      <c r="A43" t="inlineStr">
        <is>
          <t>Change In Account Payable</t>
        </is>
      </c>
      <c r="B43" s="3" t="n">
        <v>-23562000</v>
      </c>
      <c r="C43" s="3" t="n">
        <v>34532000</v>
      </c>
      <c r="D43" s="3" t="n">
        <v>-9025000</v>
      </c>
      <c r="E43" s="3" t="n">
        <v>-40495000</v>
      </c>
      <c r="F43" s="3" t="n"/>
    </row>
    <row r="44">
      <c r="A44" t="inlineStr">
        <is>
          <t>Change In Receivables</t>
        </is>
      </c>
      <c r="B44" s="3" t="n">
        <v>-93266000</v>
      </c>
      <c r="C44" s="3" t="n">
        <v>-26057000</v>
      </c>
      <c r="D44" s="3" t="n">
        <v>-6153000</v>
      </c>
      <c r="E44" s="3" t="n">
        <v>19356000</v>
      </c>
      <c r="F44" s="3" t="n"/>
    </row>
    <row r="45">
      <c r="A45" t="inlineStr">
        <is>
          <t>Changes In Account Receivables</t>
        </is>
      </c>
      <c r="B45" s="3" t="n">
        <v>-93266000</v>
      </c>
      <c r="C45" s="3" t="n">
        <v>-26057000</v>
      </c>
      <c r="D45" s="3" t="n">
        <v>-6153000</v>
      </c>
      <c r="E45" s="3" t="n">
        <v>19356000</v>
      </c>
      <c r="F45" s="3" t="n"/>
    </row>
    <row r="46">
      <c r="A46" t="inlineStr">
        <is>
          <t>Other Non Cash Items</t>
        </is>
      </c>
      <c r="B46" s="3" t="n">
        <v>-13423000</v>
      </c>
      <c r="C46" s="3" t="n">
        <v>-83000</v>
      </c>
      <c r="D46" s="3" t="n">
        <v>-1530000</v>
      </c>
      <c r="E46" s="3" t="n">
        <v>2175000</v>
      </c>
      <c r="F46" s="3" t="n"/>
    </row>
    <row r="47">
      <c r="A47" t="inlineStr">
        <is>
          <t>Stock Based Compensation</t>
        </is>
      </c>
      <c r="B47" s="3" t="n">
        <v>26072000</v>
      </c>
      <c r="C47" s="3" t="n">
        <v>21680000</v>
      </c>
      <c r="D47" s="3" t="n">
        <v>15896000</v>
      </c>
      <c r="E47" s="3" t="n">
        <v>14127000</v>
      </c>
      <c r="F47" s="3" t="n"/>
    </row>
    <row r="48">
      <c r="A48" t="inlineStr">
        <is>
          <t>Deferred Tax</t>
        </is>
      </c>
      <c r="B48" s="3" t="n">
        <v>49417000</v>
      </c>
      <c r="C48" s="3" t="n">
        <v>19845000</v>
      </c>
      <c r="D48" s="3" t="n">
        <v>-5128000</v>
      </c>
      <c r="E48" s="3" t="n">
        <v>5515000</v>
      </c>
      <c r="F48" s="3" t="n"/>
    </row>
    <row r="49">
      <c r="A49" t="inlineStr">
        <is>
          <t>Deferred Income Tax</t>
        </is>
      </c>
      <c r="B49" s="3" t="n">
        <v>49417000</v>
      </c>
      <c r="C49" s="3" t="n">
        <v>19845000</v>
      </c>
      <c r="D49" s="3" t="n">
        <v>-5128000</v>
      </c>
      <c r="E49" s="3" t="n">
        <v>5515000</v>
      </c>
      <c r="F49" s="3" t="n"/>
    </row>
    <row r="50">
      <c r="A50" t="inlineStr">
        <is>
          <t>Depreciation Amortization Depletion</t>
        </is>
      </c>
      <c r="B50" s="3" t="n">
        <v>109186000</v>
      </c>
      <c r="C50" s="3" t="n">
        <v>85862000</v>
      </c>
      <c r="D50" s="3" t="n">
        <v>78566000</v>
      </c>
      <c r="E50" s="3" t="n">
        <v>73842000</v>
      </c>
      <c r="F50" s="3" t="n"/>
    </row>
    <row r="51">
      <c r="A51" t="inlineStr">
        <is>
          <t>Depreciation And Amortization</t>
        </is>
      </c>
      <c r="B51" s="3" t="n">
        <v>109186000</v>
      </c>
      <c r="C51" s="3" t="n">
        <v>85862000</v>
      </c>
      <c r="D51" s="3" t="n">
        <v>78566000</v>
      </c>
      <c r="E51" s="3" t="n">
        <v>73842000</v>
      </c>
      <c r="F51" s="3" t="n"/>
    </row>
    <row r="52">
      <c r="A52" t="inlineStr">
        <is>
          <t>Operating Gains Losses</t>
        </is>
      </c>
      <c r="B52" s="3" t="n">
        <v>8234000</v>
      </c>
      <c r="C52" s="3" t="n">
        <v>7939000</v>
      </c>
      <c r="D52" s="3" t="n">
        <v>46251000</v>
      </c>
      <c r="E52" s="3" t="n">
        <v>51927000</v>
      </c>
      <c r="F52" s="3" t="n"/>
    </row>
    <row r="53">
      <c r="A53" t="inlineStr">
        <is>
          <t>Pension And Employee Benefit Expense</t>
        </is>
      </c>
      <c r="B53" s="3" t="n">
        <v>-5933000</v>
      </c>
      <c r="C53" s="3" t="n">
        <v>14147000</v>
      </c>
      <c r="D53" s="3" t="n">
        <v>34087000</v>
      </c>
      <c r="E53" s="3" t="n">
        <v>49868000</v>
      </c>
      <c r="F53" s="3" t="n"/>
    </row>
    <row r="54">
      <c r="A54" t="inlineStr">
        <is>
          <t>Earnings Losses From Equity Investments</t>
        </is>
      </c>
      <c r="B54" s="3" t="n">
        <v>19139000</v>
      </c>
      <c r="C54" s="3" t="n">
        <v>-10598000</v>
      </c>
      <c r="D54" s="3" t="n">
        <v>11130000</v>
      </c>
      <c r="E54" s="3" t="n">
        <v>-3461000</v>
      </c>
      <c r="F54" s="3" t="n"/>
    </row>
    <row r="55">
      <c r="A55" t="inlineStr">
        <is>
          <t>Net Income From Continuing Operations</t>
        </is>
      </c>
      <c r="B55" s="3" t="n">
        <v>329861000</v>
      </c>
      <c r="C55" s="3" t="n">
        <v>282298000</v>
      </c>
      <c r="D55" s="3" t="n">
        <v>246321000</v>
      </c>
      <c r="E55" s="3" t="n">
        <v>238620000</v>
      </c>
      <c r="F5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50094000</v>
      </c>
      <c r="C2" s="3" t="n">
        <v>56803000</v>
      </c>
      <c r="D2" s="3" t="n">
        <v>94893000</v>
      </c>
      <c r="E2" s="3" t="n">
        <v>126314000</v>
      </c>
      <c r="F2" s="3" t="n">
        <v>17281000</v>
      </c>
      <c r="G2" s="3" t="n"/>
      <c r="H2" s="3" t="n"/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-30000000</v>
      </c>
      <c r="G3" s="3" t="n"/>
      <c r="H3" s="3" t="n"/>
    </row>
    <row r="4">
      <c r="A4" t="inlineStr">
        <is>
          <t>Repayment Of Debt</t>
        </is>
      </c>
      <c r="B4" s="3" t="n">
        <v>0</v>
      </c>
      <c r="C4" s="3" t="n">
        <v>-871525000</v>
      </c>
      <c r="D4" s="3" t="n">
        <v>-136325000</v>
      </c>
      <c r="E4" s="3" t="n">
        <v>-222025000</v>
      </c>
      <c r="F4" s="3" t="n">
        <v>-62625000</v>
      </c>
      <c r="G4" s="3" t="n"/>
      <c r="H4" s="3" t="n"/>
    </row>
    <row r="5">
      <c r="A5" t="inlineStr">
        <is>
          <t>Issuance Of Debt</t>
        </is>
      </c>
      <c r="B5" s="3" t="n">
        <v>0</v>
      </c>
      <c r="C5" s="3" t="n">
        <v>1408400000</v>
      </c>
      <c r="D5" s="3" t="n">
        <v>113200000</v>
      </c>
      <c r="E5" s="3" t="n">
        <v>553900000</v>
      </c>
      <c r="F5" s="3" t="n">
        <v>204500000</v>
      </c>
      <c r="G5" s="3" t="n"/>
      <c r="H5" s="3" t="n"/>
    </row>
    <row r="6">
      <c r="A6" t="inlineStr">
        <is>
          <t>Capital Expenditure</t>
        </is>
      </c>
      <c r="B6" s="3" t="n">
        <v>-42506000</v>
      </c>
      <c r="C6" s="3" t="n">
        <v>-70192000</v>
      </c>
      <c r="D6" s="3" t="n">
        <v>-48267000</v>
      </c>
      <c r="E6" s="3" t="n">
        <v>-32729000</v>
      </c>
      <c r="F6" s="3" t="n">
        <v>-33369000</v>
      </c>
      <c r="G6" s="3" t="n"/>
      <c r="H6" s="3" t="n"/>
    </row>
    <row r="7">
      <c r="A7" t="inlineStr">
        <is>
          <t>Interest Paid Supplemental Data</t>
        </is>
      </c>
      <c r="B7" s="3" t="n">
        <v>381000</v>
      </c>
      <c r="C7" s="3" t="n">
        <v>22939000</v>
      </c>
      <c r="D7" s="3" t="n">
        <v>12188000</v>
      </c>
      <c r="E7" s="3" t="n">
        <v>24705000</v>
      </c>
      <c r="F7" s="3" t="n">
        <v>5331000</v>
      </c>
      <c r="G7" s="3" t="n"/>
      <c r="H7" s="3" t="n"/>
    </row>
    <row r="8">
      <c r="A8" t="inlineStr">
        <is>
          <t>Income Tax Paid Supplemental Data</t>
        </is>
      </c>
      <c r="B8" s="3" t="n">
        <v>1929000</v>
      </c>
      <c r="C8" s="3" t="n">
        <v>19657000</v>
      </c>
      <c r="D8" s="3" t="n">
        <v>16345000</v>
      </c>
      <c r="E8" s="3" t="n">
        <v>1841000</v>
      </c>
      <c r="F8" s="3" t="n">
        <v>10049000</v>
      </c>
      <c r="G8" s="3" t="n"/>
      <c r="H8" s="3" t="n"/>
    </row>
    <row r="9">
      <c r="A9" t="inlineStr">
        <is>
          <t>End Cash Position</t>
        </is>
      </c>
      <c r="B9" s="3" t="n">
        <v>520327000</v>
      </c>
      <c r="C9" s="3" t="n">
        <v>507204000</v>
      </c>
      <c r="D9" s="3" t="n">
        <v>86953000</v>
      </c>
      <c r="E9" s="3" t="n">
        <v>44135000</v>
      </c>
      <c r="F9" s="3" t="n">
        <v>61956000</v>
      </c>
      <c r="G9" s="3" t="n"/>
      <c r="H9" s="3" t="n"/>
    </row>
    <row r="10">
      <c r="A10" t="inlineStr">
        <is>
          <t>Beginning Cash Position</t>
        </is>
      </c>
      <c r="B10" s="3" t="n">
        <v>507204000</v>
      </c>
      <c r="C10" s="3" t="n">
        <v>86953000</v>
      </c>
      <c r="D10" s="3" t="n">
        <v>44135000</v>
      </c>
      <c r="E10" s="3" t="n">
        <v>61956000</v>
      </c>
      <c r="F10" s="3" t="n">
        <v>80571000</v>
      </c>
      <c r="G10" s="3" t="n"/>
      <c r="H10" s="3" t="n"/>
    </row>
    <row r="11">
      <c r="A11" t="inlineStr">
        <is>
          <t>Effect Of Exchange Rate Changes</t>
        </is>
      </c>
      <c r="B11" s="3" t="n">
        <v>1668000</v>
      </c>
      <c r="C11" s="3" t="n">
        <v>7440000</v>
      </c>
      <c r="D11" s="3" t="n">
        <v>-9711000</v>
      </c>
      <c r="E11" s="3" t="n">
        <v>-4769000</v>
      </c>
      <c r="F11" s="3" t="n">
        <v>2294000</v>
      </c>
      <c r="G11" s="3" t="n"/>
      <c r="H11" s="3" t="n"/>
    </row>
    <row r="12">
      <c r="A12" t="inlineStr">
        <is>
          <t>Changes In Cash</t>
        </is>
      </c>
      <c r="B12" s="3" t="n">
        <v>11455000</v>
      </c>
      <c r="C12" s="3" t="n">
        <v>412811000</v>
      </c>
      <c r="D12" s="3" t="n">
        <v>52529000</v>
      </c>
      <c r="E12" s="3" t="n">
        <v>-13052000</v>
      </c>
      <c r="F12" s="3" t="n">
        <v>-20909000</v>
      </c>
      <c r="G12" s="3" t="n"/>
      <c r="H12" s="3" t="n"/>
    </row>
    <row r="13">
      <c r="A13" t="inlineStr">
        <is>
          <t>Financing Cash Flow</t>
        </is>
      </c>
      <c r="B13" s="3" t="n">
        <v>-34205000</v>
      </c>
      <c r="C13" s="3" t="n">
        <v>354032000</v>
      </c>
      <c r="D13" s="3" t="n">
        <v>-46218000</v>
      </c>
      <c r="E13" s="3" t="n">
        <v>301035000</v>
      </c>
      <c r="F13" s="3" t="n">
        <v>84791000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-34205000</v>
      </c>
      <c r="C14" s="3" t="n">
        <v>354032000</v>
      </c>
      <c r="D14" s="3" t="n">
        <v>-46218000</v>
      </c>
      <c r="E14" s="3" t="n">
        <v>301035000</v>
      </c>
      <c r="F14" s="3" t="n">
        <v>84791000</v>
      </c>
      <c r="G14" s="3" t="n"/>
      <c r="H14" s="3" t="n"/>
    </row>
    <row r="15">
      <c r="A15" t="inlineStr">
        <is>
          <t>Net Other Financing Charges</t>
        </is>
      </c>
      <c r="B15" s="3" t="n">
        <v>-8420000</v>
      </c>
      <c r="C15" s="3" t="n">
        <v>-160080000</v>
      </c>
      <c r="D15" s="3" t="n">
        <v>-187000</v>
      </c>
      <c r="E15" s="3" t="n">
        <v>-7702000</v>
      </c>
      <c r="F15" s="3" t="n">
        <v>-3424000</v>
      </c>
      <c r="G15" s="3" t="n"/>
      <c r="H15" s="3" t="n"/>
    </row>
    <row r="16">
      <c r="A16" t="inlineStr">
        <is>
          <t>Cash Dividends Paid</t>
        </is>
      </c>
      <c r="B16" s="3" t="n">
        <v>-25785000</v>
      </c>
      <c r="C16" s="3" t="n">
        <v>-22763000</v>
      </c>
      <c r="D16" s="3" t="n">
        <v>-22906000</v>
      </c>
      <c r="E16" s="3" t="n">
        <v>-23138000</v>
      </c>
      <c r="F16" s="3" t="n">
        <v>-23660000</v>
      </c>
      <c r="G16" s="3" t="n"/>
      <c r="H16" s="3" t="n"/>
    </row>
    <row r="17">
      <c r="A17" t="inlineStr">
        <is>
          <t>Common Stock Dividend Paid</t>
        </is>
      </c>
      <c r="B17" s="3" t="n">
        <v>-25785000</v>
      </c>
      <c r="C17" s="3" t="n">
        <v>-22763000</v>
      </c>
      <c r="D17" s="3" t="n">
        <v>-22906000</v>
      </c>
      <c r="E17" s="3" t="n">
        <v>-23138000</v>
      </c>
      <c r="F17" s="3" t="n">
        <v>-23660000</v>
      </c>
      <c r="G17" s="3" t="n"/>
      <c r="H17" s="3" t="n"/>
    </row>
    <row r="18">
      <c r="A18" t="inlineStr">
        <is>
          <t>Net Common Stock Issuance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-30000000</v>
      </c>
      <c r="G18" s="3" t="n"/>
      <c r="H18" s="3" t="n"/>
    </row>
    <row r="19">
      <c r="A19" t="inlineStr">
        <is>
          <t>Common Stock Payments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-30000000</v>
      </c>
      <c r="G19" s="3" t="n"/>
      <c r="H19" s="3" t="n"/>
    </row>
    <row r="20">
      <c r="A20" t="inlineStr">
        <is>
          <t>Net Issuance Payments Of Debt</t>
        </is>
      </c>
      <c r="B20" s="3" t="n">
        <v>0</v>
      </c>
      <c r="C20" s="3" t="n">
        <v>536875000</v>
      </c>
      <c r="D20" s="3" t="n">
        <v>-23125000</v>
      </c>
      <c r="E20" s="3" t="n">
        <v>331875000</v>
      </c>
      <c r="F20" s="3" t="n">
        <v>141875000</v>
      </c>
      <c r="G20" s="3" t="n"/>
      <c r="H20" s="3" t="n"/>
    </row>
    <row r="21">
      <c r="A21" t="inlineStr">
        <is>
          <t>Net Long Term Debt Issuance</t>
        </is>
      </c>
      <c r="B21" s="3" t="n">
        <v>0</v>
      </c>
      <c r="C21" s="3" t="n">
        <v>536875000</v>
      </c>
      <c r="D21" s="3" t="n">
        <v>-23125000</v>
      </c>
      <c r="E21" s="3" t="n">
        <v>331875000</v>
      </c>
      <c r="F21" s="3" t="n">
        <v>141875000</v>
      </c>
      <c r="G21" s="3" t="n"/>
      <c r="H21" s="3" t="n"/>
    </row>
    <row r="22">
      <c r="A22" t="inlineStr">
        <is>
          <t>Long Term Debt Payments</t>
        </is>
      </c>
      <c r="B22" s="3" t="n">
        <v>0</v>
      </c>
      <c r="C22" s="3" t="n">
        <v>-871525000</v>
      </c>
      <c r="D22" s="3" t="n">
        <v>-136325000</v>
      </c>
      <c r="E22" s="3" t="n">
        <v>-222025000</v>
      </c>
      <c r="F22" s="3" t="n">
        <v>-62625000</v>
      </c>
      <c r="G22" s="3" t="n"/>
      <c r="H22" s="3" t="n"/>
    </row>
    <row r="23">
      <c r="A23" t="inlineStr">
        <is>
          <t>Long Term Debt Issuance</t>
        </is>
      </c>
      <c r="B23" s="3" t="n">
        <v>0</v>
      </c>
      <c r="C23" s="3" t="n">
        <v>1408400000</v>
      </c>
      <c r="D23" s="3" t="n">
        <v>113200000</v>
      </c>
      <c r="E23" s="3" t="n">
        <v>553900000</v>
      </c>
      <c r="F23" s="3" t="n">
        <v>204500000</v>
      </c>
      <c r="G23" s="3" t="n"/>
      <c r="H23" s="3" t="n"/>
    </row>
    <row r="24">
      <c r="A24" t="inlineStr">
        <is>
          <t>Investing Cash Flow</t>
        </is>
      </c>
      <c r="B24" s="3" t="n">
        <v>-46940000</v>
      </c>
      <c r="C24" s="3" t="n">
        <v>-68216000</v>
      </c>
      <c r="D24" s="3" t="n">
        <v>-44413000</v>
      </c>
      <c r="E24" s="3" t="n">
        <v>-473130000</v>
      </c>
      <c r="F24" s="3" t="n">
        <v>-156350000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-46940000</v>
      </c>
      <c r="C25" s="3" t="n">
        <v>-68216000</v>
      </c>
      <c r="D25" s="3" t="n">
        <v>-44413000</v>
      </c>
      <c r="E25" s="3" t="n">
        <v>-473130000</v>
      </c>
      <c r="F25" s="3" t="n">
        <v>-156350000</v>
      </c>
      <c r="G25" s="3" t="n"/>
      <c r="H25" s="3" t="n"/>
    </row>
    <row r="26">
      <c r="A26" t="inlineStr">
        <is>
          <t>Net Other Investing Changes</t>
        </is>
      </c>
      <c r="B26" s="3" t="n">
        <v>406000</v>
      </c>
      <c r="C26" s="3" t="n">
        <v>-192000</v>
      </c>
      <c r="D26" s="3" t="n">
        <v>-339000</v>
      </c>
      <c r="E26" s="3" t="n">
        <v>-500000</v>
      </c>
      <c r="F26" s="3" t="n">
        <v>4905000</v>
      </c>
      <c r="G26" s="3" t="n"/>
      <c r="H26" s="3" t="n"/>
    </row>
    <row r="27">
      <c r="A27" t="inlineStr">
        <is>
          <t>Net Investment Purchase And Sale</t>
        </is>
      </c>
      <c r="B27" s="3" t="n">
        <v>0</v>
      </c>
      <c r="C27" s="3" t="n">
        <v>1000</v>
      </c>
      <c r="D27" s="3" t="n">
        <v>-1000</v>
      </c>
      <c r="E27" s="3" t="n">
        <v>1538000</v>
      </c>
      <c r="F27" s="3" t="n">
        <v>1859000</v>
      </c>
      <c r="G27" s="3" t="n"/>
      <c r="H27" s="3" t="n"/>
    </row>
    <row r="28">
      <c r="A28" t="inlineStr">
        <is>
          <t>Sale Of Investment</t>
        </is>
      </c>
      <c r="B28" s="3" t="n">
        <v>0</v>
      </c>
      <c r="C28" s="3" t="n">
        <v>1000</v>
      </c>
      <c r="D28" s="3" t="n">
        <v>-1000</v>
      </c>
      <c r="E28" s="3" t="n">
        <v>1538000</v>
      </c>
      <c r="F28" s="3" t="n">
        <v>1859000</v>
      </c>
      <c r="G28" s="3" t="n"/>
      <c r="H28" s="3" t="n"/>
    </row>
    <row r="29">
      <c r="A29" t="inlineStr">
        <is>
          <t>Purchase Of Investment</t>
        </is>
      </c>
      <c r="B29" s="3" t="n"/>
      <c r="C29" s="3" t="n"/>
      <c r="D29" s="3" t="n"/>
      <c r="E29" s="3" t="n"/>
      <c r="F29" s="3" t="n"/>
      <c r="G29" s="3" t="n">
        <v>0</v>
      </c>
      <c r="H29" s="3" t="n">
        <v>0</v>
      </c>
    </row>
    <row r="30">
      <c r="A30" t="inlineStr">
        <is>
          <t>Net Business Purchase And Sale</t>
        </is>
      </c>
      <c r="B30" s="3" t="n">
        <v>-4840000</v>
      </c>
      <c r="C30" s="3" t="n">
        <v>2167000</v>
      </c>
      <c r="D30" s="3" t="n">
        <v>4194000</v>
      </c>
      <c r="E30" s="3" t="n">
        <v>-441439000</v>
      </c>
      <c r="F30" s="3" t="n">
        <v>-129745000</v>
      </c>
      <c r="G30" s="3" t="n"/>
      <c r="H30" s="3" t="n"/>
    </row>
    <row r="31">
      <c r="A31" t="inlineStr">
        <is>
          <t>Purchase Of Business</t>
        </is>
      </c>
      <c r="B31" s="3" t="n">
        <v>-4840000</v>
      </c>
      <c r="C31" s="3" t="n">
        <v>2167000</v>
      </c>
      <c r="D31" s="3" t="n">
        <v>4194000</v>
      </c>
      <c r="E31" s="3" t="n">
        <v>-441439000</v>
      </c>
      <c r="F31" s="3" t="n">
        <v>-129745000</v>
      </c>
      <c r="G31" s="3" t="n"/>
      <c r="H31" s="3" t="n"/>
    </row>
    <row r="32">
      <c r="A32" t="inlineStr">
        <is>
          <t>Net PPE Purchase And Sale</t>
        </is>
      </c>
      <c r="B32" s="3" t="n">
        <v>-42506000</v>
      </c>
      <c r="C32" s="3" t="n">
        <v>-70192000</v>
      </c>
      <c r="D32" s="3" t="n">
        <v>-48267000</v>
      </c>
      <c r="E32" s="3" t="n">
        <v>-32729000</v>
      </c>
      <c r="F32" s="3" t="n">
        <v>-33369000</v>
      </c>
      <c r="G32" s="3" t="n"/>
      <c r="H32" s="3" t="n"/>
    </row>
    <row r="33">
      <c r="A33" t="inlineStr">
        <is>
          <t>Purchase Of PPE</t>
        </is>
      </c>
      <c r="B33" s="3" t="n">
        <v>-42506000</v>
      </c>
      <c r="C33" s="3" t="n">
        <v>-70192000</v>
      </c>
      <c r="D33" s="3" t="n">
        <v>-48267000</v>
      </c>
      <c r="E33" s="3" t="n">
        <v>-32729000</v>
      </c>
      <c r="F33" s="3" t="n">
        <v>-33369000</v>
      </c>
      <c r="G33" s="3" t="n"/>
      <c r="H33" s="3" t="n"/>
    </row>
    <row r="34">
      <c r="A34" t="inlineStr">
        <is>
          <t>Operating Cash Flow</t>
        </is>
      </c>
      <c r="B34" s="3" t="n">
        <v>92600000</v>
      </c>
      <c r="C34" s="3" t="n">
        <v>126995000</v>
      </c>
      <c r="D34" s="3" t="n">
        <v>143160000</v>
      </c>
      <c r="E34" s="3" t="n">
        <v>159043000</v>
      </c>
      <c r="F34" s="3" t="n">
        <v>50650000</v>
      </c>
      <c r="G34" s="3" t="n"/>
      <c r="H34" s="3" t="n"/>
    </row>
    <row r="35">
      <c r="A35" t="inlineStr">
        <is>
          <t>Cash Flow From Continuing Operating Activities</t>
        </is>
      </c>
      <c r="B35" s="3" t="n">
        <v>92600000</v>
      </c>
      <c r="C35" s="3" t="n">
        <v>126995000</v>
      </c>
      <c r="D35" s="3" t="n">
        <v>143160000</v>
      </c>
      <c r="E35" s="3" t="n">
        <v>159043000</v>
      </c>
      <c r="F35" s="3" t="n">
        <v>50650000</v>
      </c>
      <c r="G35" s="3" t="n"/>
      <c r="H35" s="3" t="n"/>
    </row>
    <row r="36">
      <c r="A36" t="inlineStr">
        <is>
          <t>Change In Working Capital</t>
        </is>
      </c>
      <c r="B36" s="3" t="n">
        <v>-36870000</v>
      </c>
      <c r="C36" s="3" t="n">
        <v>-59465000</v>
      </c>
      <c r="D36" s="3" t="n">
        <v>24310000</v>
      </c>
      <c r="E36" s="3" t="n">
        <v>56563000</v>
      </c>
      <c r="F36" s="3" t="n">
        <v>-50907000</v>
      </c>
      <c r="G36" s="3" t="n"/>
      <c r="H36" s="3" t="n"/>
    </row>
    <row r="37">
      <c r="A37" t="inlineStr">
        <is>
          <t>Change In Other Working Capital</t>
        </is>
      </c>
      <c r="B37" s="3" t="n">
        <v>-134034000</v>
      </c>
      <c r="C37" s="3" t="n">
        <v>90038000</v>
      </c>
      <c r="D37" s="3" t="n">
        <v>25943000</v>
      </c>
      <c r="E37" s="3" t="n">
        <v>44109000</v>
      </c>
      <c r="F37" s="3" t="n">
        <v>-79758000</v>
      </c>
      <c r="G37" s="3" t="n"/>
      <c r="H37" s="3" t="n"/>
    </row>
    <row r="38">
      <c r="A38" t="inlineStr">
        <is>
          <t>Change In Payables And Accrued Expense</t>
        </is>
      </c>
      <c r="B38" s="3" t="n">
        <v>87875000</v>
      </c>
      <c r="C38" s="3" t="n">
        <v>-76637000</v>
      </c>
      <c r="D38" s="3" t="n">
        <v>33815000</v>
      </c>
      <c r="E38" s="3" t="n">
        <v>11530000</v>
      </c>
      <c r="F38" s="3" t="n">
        <v>14727000</v>
      </c>
      <c r="G38" s="3" t="n"/>
      <c r="H38" s="3" t="n"/>
    </row>
    <row r="39">
      <c r="A39" t="inlineStr">
        <is>
          <t>Change In Accrued Expense</t>
        </is>
      </c>
      <c r="B39" s="3" t="n">
        <v>8373000</v>
      </c>
      <c r="C39" s="3" t="n">
        <v>-21035000</v>
      </c>
      <c r="D39" s="3" t="n">
        <v>8650000</v>
      </c>
      <c r="E39" s="3" t="n">
        <v>9995000</v>
      </c>
      <c r="F39" s="3" t="n">
        <v>9387000</v>
      </c>
      <c r="G39" s="3" t="n"/>
      <c r="H39" s="3" t="n"/>
    </row>
    <row r="40">
      <c r="A40" t="inlineStr">
        <is>
          <t>Change In Payable</t>
        </is>
      </c>
      <c r="B40" s="3" t="n">
        <v>79502000</v>
      </c>
      <c r="C40" s="3" t="n">
        <v>-55602000</v>
      </c>
      <c r="D40" s="3" t="n">
        <v>25165000</v>
      </c>
      <c r="E40" s="3" t="n">
        <v>1535000</v>
      </c>
      <c r="F40" s="3" t="n">
        <v>5340000</v>
      </c>
      <c r="G40" s="3" t="n"/>
      <c r="H40" s="3" t="n"/>
    </row>
    <row r="41">
      <c r="A41" t="inlineStr">
        <is>
          <t>Change In Account Payable</t>
        </is>
      </c>
      <c r="B41" s="3" t="n">
        <v>79502000</v>
      </c>
      <c r="C41" s="3" t="n">
        <v>-55602000</v>
      </c>
      <c r="D41" s="3" t="n">
        <v>25165000</v>
      </c>
      <c r="E41" s="3" t="n">
        <v>1535000</v>
      </c>
      <c r="F41" s="3" t="n">
        <v>5340000</v>
      </c>
      <c r="G41" s="3" t="n"/>
      <c r="H41" s="3" t="n"/>
    </row>
    <row r="42">
      <c r="A42" t="inlineStr">
        <is>
          <t>Change In Receivables</t>
        </is>
      </c>
      <c r="B42" s="3" t="n">
        <v>9289000</v>
      </c>
      <c r="C42" s="3" t="n">
        <v>-72866000</v>
      </c>
      <c r="D42" s="3" t="n">
        <v>-35448000</v>
      </c>
      <c r="E42" s="3" t="n">
        <v>924000</v>
      </c>
      <c r="F42" s="3" t="n">
        <v>14124000</v>
      </c>
      <c r="G42" s="3" t="n"/>
      <c r="H42" s="3" t="n"/>
    </row>
    <row r="43">
      <c r="A43" t="inlineStr">
        <is>
          <t>Changes In Account Receivables</t>
        </is>
      </c>
      <c r="B43" s="3" t="n">
        <v>-3975000</v>
      </c>
      <c r="C43" s="3" t="n">
        <v>-28931000</v>
      </c>
      <c r="D43" s="3" t="n">
        <v>-56825000</v>
      </c>
      <c r="E43" s="3" t="n">
        <v>-15207000</v>
      </c>
      <c r="F43" s="3" t="n">
        <v>7697000</v>
      </c>
      <c r="G43" s="3" t="n"/>
      <c r="H43" s="3" t="n"/>
    </row>
    <row r="44">
      <c r="A44" t="inlineStr">
        <is>
          <t>Other Non Cash Items</t>
        </is>
      </c>
      <c r="B44" s="3" t="n">
        <v>1257000</v>
      </c>
      <c r="C44" s="3" t="n">
        <v>-7501000</v>
      </c>
      <c r="D44" s="3" t="n">
        <v>3444000</v>
      </c>
      <c r="E44" s="3" t="n">
        <v>-8291000</v>
      </c>
      <c r="F44" s="3" t="n">
        <v>-1075000</v>
      </c>
      <c r="G44" s="3" t="n"/>
      <c r="H44" s="3" t="n"/>
    </row>
    <row r="45">
      <c r="A45" t="inlineStr">
        <is>
          <t>Stock Based Compensation</t>
        </is>
      </c>
      <c r="B45" s="3" t="n">
        <v>10168000</v>
      </c>
      <c r="C45" s="3" t="n">
        <v>5352000</v>
      </c>
      <c r="D45" s="3" t="n">
        <v>6985000</v>
      </c>
      <c r="E45" s="3" t="n">
        <v>8688000</v>
      </c>
      <c r="F45" s="3" t="n">
        <v>5047000</v>
      </c>
      <c r="G45" s="3" t="n"/>
      <c r="H45" s="3" t="n"/>
    </row>
    <row r="46">
      <c r="A46" t="inlineStr">
        <is>
          <t>Depreciation Amortization Depletion</t>
        </is>
      </c>
      <c r="B46" s="3" t="n">
        <v>29013000</v>
      </c>
      <c r="C46" s="3" t="n">
        <v>29557000</v>
      </c>
      <c r="D46" s="3" t="n">
        <v>28458000</v>
      </c>
      <c r="E46" s="3" t="n">
        <v>27259000</v>
      </c>
      <c r="F46" s="3" t="n">
        <v>23912000</v>
      </c>
      <c r="G46" s="3" t="n"/>
      <c r="H46" s="3" t="n"/>
    </row>
    <row r="47">
      <c r="A47" t="inlineStr">
        <is>
          <t>Depreciation And Amortization</t>
        </is>
      </c>
      <c r="B47" s="3" t="n">
        <v>29013000</v>
      </c>
      <c r="C47" s="3" t="n">
        <v>29557000</v>
      </c>
      <c r="D47" s="3" t="n">
        <v>28458000</v>
      </c>
      <c r="E47" s="3" t="n">
        <v>27259000</v>
      </c>
      <c r="F47" s="3" t="n">
        <v>23912000</v>
      </c>
      <c r="G47" s="3" t="n"/>
      <c r="H47" s="3" t="n"/>
    </row>
    <row r="48">
      <c r="A48" t="inlineStr">
        <is>
          <t>Operating Gains Losses</t>
        </is>
      </c>
      <c r="B48" s="3" t="n">
        <v>-2157000</v>
      </c>
      <c r="C48" s="3" t="n">
        <v>15953000</v>
      </c>
      <c r="D48" s="3" t="n">
        <v>-2228000</v>
      </c>
      <c r="E48" s="3" t="n">
        <v>-3638000</v>
      </c>
      <c r="F48" s="3" t="n">
        <v>-1853000</v>
      </c>
      <c r="G48" s="3" t="n"/>
      <c r="H48" s="3" t="n"/>
    </row>
    <row r="49">
      <c r="A49" t="inlineStr">
        <is>
          <t>Pension And Employee Benefit Expense</t>
        </is>
      </c>
      <c r="B49" s="3" t="n">
        <v>979000</v>
      </c>
      <c r="C49" s="3" t="n">
        <v>-8375000</v>
      </c>
      <c r="D49" s="3" t="n">
        <v>815000</v>
      </c>
      <c r="E49" s="3" t="n">
        <v>830000</v>
      </c>
      <c r="F49" s="3" t="n">
        <v>797000</v>
      </c>
      <c r="G49" s="3" t="n"/>
      <c r="H49" s="3" t="n"/>
    </row>
    <row r="50">
      <c r="A50" t="inlineStr">
        <is>
          <t>Earnings Losses From Equity Investments</t>
        </is>
      </c>
      <c r="B50" s="3" t="n">
        <v>-3261000</v>
      </c>
      <c r="C50" s="3" t="n">
        <v>24883000</v>
      </c>
      <c r="D50" s="3" t="n">
        <v>-3044000</v>
      </c>
      <c r="E50" s="3" t="n">
        <v>-4481000</v>
      </c>
      <c r="F50" s="3" t="n">
        <v>1781000</v>
      </c>
      <c r="G50" s="3" t="n"/>
      <c r="H50" s="3" t="n"/>
    </row>
    <row r="51">
      <c r="A51" t="inlineStr">
        <is>
          <t>Net Income From Continuing Operations</t>
        </is>
      </c>
      <c r="B51" s="3" t="n">
        <v>91189000</v>
      </c>
      <c r="C51" s="3" t="n">
        <v>93682000</v>
      </c>
      <c r="D51" s="3" t="n">
        <v>82191000</v>
      </c>
      <c r="E51" s="3" t="n">
        <v>78462000</v>
      </c>
      <c r="F51" s="3" t="n">
        <v>75526000</v>
      </c>
      <c r="G51" s="3" t="n"/>
      <c r="H5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2026-06-20T19:55:58Z</dcterms:created>
  <dcterms:modified xsi:type="dcterms:W3CDTF">2026-06-20T19:55:59Z</dcterms:modified>
</cp:coreProperties>
</file>