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P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Everpure,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Computer Hardware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24800731136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24332759040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113.04545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24.801712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6.298992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0.7023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-0.18452999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0.05746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0.16846001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inlineStr">
        <is>
          <t>(missing — see Data flags)</t>
        </is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1234183936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911254016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515901000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332404932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74.61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2024-01-31</t>
        </is>
      </c>
      <c r="C2" t="inlineStr">
        <is>
          <t>2025-01-31</t>
        </is>
      </c>
      <c r="D2" t="inlineStr">
        <is>
          <t>2026-01-31</t>
        </is>
      </c>
      <c r="E2" t="inlineStr">
        <is>
          <t>TTM → 2026-04-30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(annual)'!D50</f>
        <v/>
      </c>
      <c r="C3" s="3">
        <f>'Income stmt (annual)'!C50</f>
        <v/>
      </c>
      <c r="D3" s="3">
        <f>'Income stmt (annual)'!B50</f>
        <v/>
      </c>
      <c r="E3" s="3">
        <f>SUM('Income stmt (quarterly)'!B46:E46)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(annual)'!D48</f>
        <v/>
      </c>
      <c r="C4" s="3">
        <f>'Income stmt (annual)'!C48</f>
        <v/>
      </c>
      <c r="D4" s="3">
        <f>'Income stmt (annual)'!B48</f>
        <v/>
      </c>
      <c r="E4" s="3">
        <f>SUM('Income stmt (quarterly)'!B44:E44)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(annual)'!D40</f>
        <v/>
      </c>
      <c r="C6" s="3">
        <f>'Income stmt (annual)'!C40</f>
        <v/>
      </c>
      <c r="D6" s="3">
        <f>'Income stmt (annual)'!B40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(annual)'!B4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Tax Effect Of Unusual Items</t>
        </is>
      </c>
      <c r="B2" s="3" t="n">
        <v>3207281</v>
      </c>
      <c r="C2" s="3" t="n">
        <v>-6944236.068834</v>
      </c>
      <c r="D2" s="3" t="n">
        <v>-12707507.506679</v>
      </c>
      <c r="E2" s="3" t="n">
        <v>-1703122.44031</v>
      </c>
      <c r="F2" s="3" t="n"/>
    </row>
    <row r="3">
      <c r="A3" t="inlineStr">
        <is>
          <t>Tax Rate For Calcs</t>
        </is>
      </c>
      <c r="B3" s="3" t="n">
        <v>0.161</v>
      </c>
      <c r="C3" s="3" t="n">
        <v>0.277981</v>
      </c>
      <c r="D3" s="3" t="n">
        <v>0.323174</v>
      </c>
      <c r="E3" s="3" t="n">
        <v>0.204089</v>
      </c>
      <c r="F3" s="3" t="n"/>
    </row>
    <row r="4">
      <c r="A4" t="inlineStr">
        <is>
          <t>Normalized EBITDA</t>
        </is>
      </c>
      <c r="B4" s="3" t="n">
        <v>355553000</v>
      </c>
      <c r="C4" s="3" t="n">
        <v>307282000</v>
      </c>
      <c r="D4" s="3" t="n">
        <v>261806000</v>
      </c>
      <c r="E4" s="3" t="n">
        <v>205334000</v>
      </c>
      <c r="F4" s="3" t="n"/>
    </row>
    <row r="5">
      <c r="A5" t="inlineStr">
        <is>
          <t>Total Unusual Items</t>
        </is>
      </c>
      <c r="B5" s="3" t="n">
        <v>19921000</v>
      </c>
      <c r="C5" s="3" t="n">
        <v>-24981000</v>
      </c>
      <c r="D5" s="3" t="n">
        <v>-39321000</v>
      </c>
      <c r="E5" s="3" t="n">
        <v>-8345000</v>
      </c>
      <c r="F5" s="3" t="n"/>
    </row>
    <row r="6">
      <c r="A6" t="inlineStr">
        <is>
          <t>Total Unusual Items Excluding Goodwill</t>
        </is>
      </c>
      <c r="B6" s="3" t="n">
        <v>19921000</v>
      </c>
      <c r="C6" s="3" t="n">
        <v>-24981000</v>
      </c>
      <c r="D6" s="3" t="n">
        <v>-39321000</v>
      </c>
      <c r="E6" s="3" t="n">
        <v>-8345000</v>
      </c>
      <c r="F6" s="3" t="n"/>
    </row>
    <row r="7">
      <c r="A7" t="inlineStr">
        <is>
          <t>Net Income From Continuing Operation Net Minority Interest</t>
        </is>
      </c>
      <c r="B7" s="3" t="n">
        <v>188181000</v>
      </c>
      <c r="C7" s="3" t="n">
        <v>106739000</v>
      </c>
      <c r="D7" s="3" t="n">
        <v>61311000</v>
      </c>
      <c r="E7" s="3" t="n">
        <v>73071000</v>
      </c>
      <c r="F7" s="3" t="n"/>
    </row>
    <row r="8">
      <c r="A8" t="inlineStr">
        <is>
          <t>Reconciled Depreciation</t>
        </is>
      </c>
      <c r="B8" s="3" t="n">
        <v>147815000</v>
      </c>
      <c r="C8" s="3" t="n">
        <v>126654000</v>
      </c>
      <c r="D8" s="3" t="n">
        <v>124416000</v>
      </c>
      <c r="E8" s="3" t="n">
        <v>100432000</v>
      </c>
      <c r="F8" s="3" t="n"/>
    </row>
    <row r="9">
      <c r="A9" t="inlineStr">
        <is>
          <t>Reconciled Cost Of Revenue</t>
        </is>
      </c>
      <c r="B9" s="3" t="n">
        <v>1084890000</v>
      </c>
      <c r="C9" s="3" t="n">
        <v>955455000</v>
      </c>
      <c r="D9" s="3" t="n">
        <v>809430000</v>
      </c>
      <c r="E9" s="3" t="n">
        <v>855788000</v>
      </c>
      <c r="F9" s="3" t="n"/>
    </row>
    <row r="10">
      <c r="A10" t="inlineStr">
        <is>
          <t>EBITDA</t>
        </is>
      </c>
      <c r="B10" s="3" t="n">
        <v>375474000</v>
      </c>
      <c r="C10" s="3" t="n">
        <v>282301000</v>
      </c>
      <c r="D10" s="3" t="n">
        <v>222485000</v>
      </c>
      <c r="E10" s="3" t="n">
        <v>196989000</v>
      </c>
      <c r="F10" s="3" t="n"/>
    </row>
    <row r="11">
      <c r="A11" t="inlineStr">
        <is>
          <t>EBIT</t>
        </is>
      </c>
      <c r="B11" s="3" t="n">
        <v>227659000</v>
      </c>
      <c r="C11" s="3" t="n">
        <v>155647000</v>
      </c>
      <c r="D11" s="3" t="n">
        <v>98069000</v>
      </c>
      <c r="E11" s="3" t="n">
        <v>96557000</v>
      </c>
      <c r="F11" s="3" t="n"/>
    </row>
    <row r="12">
      <c r="A12" t="inlineStr">
        <is>
          <t>Net Interest Income</t>
        </is>
      </c>
      <c r="B12" s="3" t="n">
        <v>59112000</v>
      </c>
      <c r="C12" s="3" t="n">
        <v>68203000</v>
      </c>
      <c r="D12" s="3" t="n">
        <v>42931000</v>
      </c>
      <c r="E12" s="3" t="n">
        <v>12571000</v>
      </c>
      <c r="F12" s="3" t="n"/>
    </row>
    <row r="13">
      <c r="A13" t="inlineStr">
        <is>
          <t>Interest Expense</t>
        </is>
      </c>
      <c r="B13" s="3" t="n">
        <v>3375000</v>
      </c>
      <c r="C13" s="3" t="n">
        <v>7813000</v>
      </c>
      <c r="D13" s="3" t="n">
        <v>7483000</v>
      </c>
      <c r="E13" s="3" t="n">
        <v>4749000</v>
      </c>
      <c r="F13" s="3" t="n"/>
    </row>
    <row r="14">
      <c r="A14" t="inlineStr">
        <is>
          <t>Interest Income</t>
        </is>
      </c>
      <c r="B14" s="3" t="n">
        <v>62487000</v>
      </c>
      <c r="C14" s="3" t="n">
        <v>76016000</v>
      </c>
      <c r="D14" s="3" t="n">
        <v>50414000</v>
      </c>
      <c r="E14" s="3" t="n">
        <v>17320000</v>
      </c>
      <c r="F14" s="3" t="n"/>
    </row>
    <row r="15">
      <c r="A15" t="inlineStr">
        <is>
          <t>Normalized Income</t>
        </is>
      </c>
      <c r="B15" s="3" t="n">
        <v>171467281</v>
      </c>
      <c r="C15" s="3" t="n">
        <v>124775763.931166</v>
      </c>
      <c r="D15" s="3" t="n">
        <v>87924492.493321</v>
      </c>
      <c r="E15" s="3" t="n">
        <v>79712877.55969</v>
      </c>
      <c r="F15" s="3" t="n"/>
    </row>
    <row r="16">
      <c r="A16" t="inlineStr">
        <is>
          <t>Net Income From Continuing And Discontinued Operation</t>
        </is>
      </c>
      <c r="B16" s="3" t="n">
        <v>188181000</v>
      </c>
      <c r="C16" s="3" t="n">
        <v>106739000</v>
      </c>
      <c r="D16" s="3" t="n">
        <v>61311000</v>
      </c>
      <c r="E16" s="3" t="n">
        <v>73071000</v>
      </c>
      <c r="F16" s="3" t="n"/>
    </row>
    <row r="17">
      <c r="A17" t="inlineStr">
        <is>
          <t>Total Expenses</t>
        </is>
      </c>
      <c r="B17" s="3" t="n">
        <v>3548027000</v>
      </c>
      <c r="C17" s="3" t="n">
        <v>3067005000</v>
      </c>
      <c r="D17" s="3" t="n">
        <v>2743458000</v>
      </c>
      <c r="E17" s="3" t="n">
        <v>2669921000</v>
      </c>
      <c r="F17" s="3" t="n"/>
    </row>
    <row r="18">
      <c r="A18" t="inlineStr">
        <is>
          <t>Total Operating Income As Reported</t>
        </is>
      </c>
      <c r="B18" s="3" t="n">
        <v>114816000</v>
      </c>
      <c r="C18" s="3" t="n">
        <v>85258000</v>
      </c>
      <c r="D18" s="3" t="n">
        <v>53551000</v>
      </c>
      <c r="E18" s="3" t="n">
        <v>83513000</v>
      </c>
      <c r="F18" s="3" t="n"/>
    </row>
    <row r="19">
      <c r="A19" t="inlineStr">
        <is>
          <t>Diluted Average Shares</t>
        </is>
      </c>
      <c r="B19" s="3" t="n">
        <v>342992000</v>
      </c>
      <c r="C19" s="3" t="n">
        <v>342704000</v>
      </c>
      <c r="D19" s="3" t="n">
        <v>332568000</v>
      </c>
      <c r="E19" s="3" t="n">
        <v>339184000</v>
      </c>
      <c r="F19" s="3" t="n"/>
    </row>
    <row r="20">
      <c r="A20" t="inlineStr">
        <is>
          <t>Basic Average Shares</t>
        </is>
      </c>
      <c r="B20" s="3" t="n">
        <v>328540000</v>
      </c>
      <c r="C20" s="3" t="n">
        <v>325774000</v>
      </c>
      <c r="D20" s="3" t="n">
        <v>311831000</v>
      </c>
      <c r="E20" s="3" t="n">
        <v>299478000</v>
      </c>
      <c r="F20" s="3" t="n"/>
    </row>
    <row r="21">
      <c r="A21" t="inlineStr">
        <is>
          <t>Diluted EPS</t>
        </is>
      </c>
      <c r="B21" s="3" t="n">
        <v>0.55</v>
      </c>
      <c r="C21" s="3" t="n">
        <v>0.31</v>
      </c>
      <c r="D21" s="3" t="n">
        <v>0.19</v>
      </c>
      <c r="E21" s="3" t="n">
        <v>0.23</v>
      </c>
      <c r="F21" s="3" t="n"/>
    </row>
    <row r="22">
      <c r="A22" t="inlineStr">
        <is>
          <t>Basic EPS</t>
        </is>
      </c>
      <c r="B22" s="3" t="n">
        <v>0.57</v>
      </c>
      <c r="C22" s="3" t="n">
        <v>0.33</v>
      </c>
      <c r="D22" s="3" t="n">
        <v>0.2</v>
      </c>
      <c r="E22" s="3" t="n">
        <v>0.24</v>
      </c>
      <c r="F22" s="3" t="n"/>
    </row>
    <row r="23">
      <c r="A23" t="inlineStr">
        <is>
          <t>Diluted NI Availto Com Stockholders</t>
        </is>
      </c>
      <c r="B23" s="3" t="n">
        <v>188181000</v>
      </c>
      <c r="C23" s="3" t="n">
        <v>106739000</v>
      </c>
      <c r="D23" s="3" t="n">
        <v>61941000</v>
      </c>
      <c r="E23" s="3" t="n">
        <v>76385000</v>
      </c>
      <c r="F23" s="3" t="n"/>
    </row>
    <row r="24">
      <c r="A24" t="inlineStr">
        <is>
          <t>Average Dilution Earnings</t>
        </is>
      </c>
      <c r="B24" s="3" t="n">
        <v>0</v>
      </c>
      <c r="C24" s="3" t="n">
        <v>0</v>
      </c>
      <c r="D24" s="3" t="n">
        <v>630000</v>
      </c>
      <c r="E24" s="3" t="n">
        <v>3314000</v>
      </c>
      <c r="F24" s="3" t="n"/>
    </row>
    <row r="25">
      <c r="A25" t="inlineStr">
        <is>
          <t>Net Income Common Stockholders</t>
        </is>
      </c>
      <c r="B25" s="3" t="n">
        <v>188181000</v>
      </c>
      <c r="C25" s="3" t="n">
        <v>106739000</v>
      </c>
      <c r="D25" s="3" t="n">
        <v>61311000</v>
      </c>
      <c r="E25" s="3" t="n">
        <v>73071000</v>
      </c>
      <c r="F25" s="3" t="n"/>
    </row>
    <row r="26">
      <c r="A26" t="inlineStr">
        <is>
          <t>Net Income</t>
        </is>
      </c>
      <c r="B26" s="3" t="n">
        <v>188181000</v>
      </c>
      <c r="C26" s="3" t="n">
        <v>106739000</v>
      </c>
      <c r="D26" s="3" t="n">
        <v>61311000</v>
      </c>
      <c r="E26" s="3" t="n">
        <v>73071000</v>
      </c>
      <c r="F26" s="3" t="n"/>
    </row>
    <row r="27">
      <c r="A27" t="inlineStr">
        <is>
          <t>Net Income Including Noncontrolling Interests</t>
        </is>
      </c>
      <c r="B27" s="3" t="n">
        <v>188181000</v>
      </c>
      <c r="C27" s="3" t="n">
        <v>106739000</v>
      </c>
      <c r="D27" s="3" t="n">
        <v>61311000</v>
      </c>
      <c r="E27" s="3" t="n">
        <v>73071000</v>
      </c>
      <c r="F27" s="3" t="n"/>
    </row>
    <row r="28">
      <c r="A28" t="inlineStr">
        <is>
          <t>Net Income Continuous Operations</t>
        </is>
      </c>
      <c r="B28" s="3" t="n">
        <v>188181000</v>
      </c>
      <c r="C28" s="3" t="n">
        <v>106739000</v>
      </c>
      <c r="D28" s="3" t="n">
        <v>61311000</v>
      </c>
      <c r="E28" s="3" t="n">
        <v>73071000</v>
      </c>
      <c r="F28" s="3" t="n"/>
    </row>
    <row r="29">
      <c r="A29" t="inlineStr">
        <is>
          <t>Tax Provision</t>
        </is>
      </c>
      <c r="B29" s="3" t="n">
        <v>36103000</v>
      </c>
      <c r="C29" s="3" t="n">
        <v>41095000</v>
      </c>
      <c r="D29" s="3" t="n">
        <v>29275000</v>
      </c>
      <c r="E29" s="3" t="n">
        <v>18737000</v>
      </c>
      <c r="F29" s="3" t="n"/>
    </row>
    <row r="30">
      <c r="A30" t="inlineStr">
        <is>
          <t>Pretax Income</t>
        </is>
      </c>
      <c r="B30" s="3" t="n">
        <v>224284000</v>
      </c>
      <c r="C30" s="3" t="n">
        <v>147834000</v>
      </c>
      <c r="D30" s="3" t="n">
        <v>90586000</v>
      </c>
      <c r="E30" s="3" t="n">
        <v>91808000</v>
      </c>
      <c r="F30" s="3" t="n"/>
    </row>
    <row r="31">
      <c r="A31" t="inlineStr">
        <is>
          <t>Other Income Expense</t>
        </is>
      </c>
      <c r="B31" s="3" t="n">
        <v>50356000</v>
      </c>
      <c r="C31" s="3" t="n">
        <v>-21528000</v>
      </c>
      <c r="D31" s="3" t="n">
        <v>-39508000</v>
      </c>
      <c r="E31" s="3" t="n">
        <v>-4276000</v>
      </c>
      <c r="F31" s="3" t="n"/>
    </row>
    <row r="32">
      <c r="A32" t="inlineStr">
        <is>
          <t>Other Non Operating Income Expenses</t>
        </is>
      </c>
      <c r="B32" s="3" t="n">
        <v>30435000</v>
      </c>
      <c r="C32" s="3" t="n">
        <v>3453000</v>
      </c>
      <c r="D32" s="3" t="n">
        <v>-187000</v>
      </c>
      <c r="E32" s="3" t="n">
        <v>4069000</v>
      </c>
      <c r="F32" s="3" t="n"/>
    </row>
    <row r="33">
      <c r="A33" t="inlineStr">
        <is>
          <t>Special Income Charges</t>
        </is>
      </c>
      <c r="B33" s="3" t="n">
        <v>0</v>
      </c>
      <c r="C33" s="3" t="n">
        <v>-15901000</v>
      </c>
      <c r="D33" s="3" t="n">
        <v>-33612000</v>
      </c>
      <c r="E33" s="3" t="n">
        <v>0</v>
      </c>
      <c r="F33" s="3" t="n"/>
    </row>
    <row r="34">
      <c r="A34" t="inlineStr">
        <is>
          <t>Impairment Of Capital Assets</t>
        </is>
      </c>
      <c r="B34" s="3" t="n"/>
      <c r="C34" s="3" t="n">
        <v>6375000</v>
      </c>
      <c r="D34" s="3" t="n">
        <v>16766000</v>
      </c>
      <c r="E34" s="3" t="n"/>
      <c r="F34" s="3" t="n"/>
    </row>
    <row r="35">
      <c r="A35" t="inlineStr">
        <is>
          <t>Restructuring And Mergern Acquisition</t>
        </is>
      </c>
      <c r="B35" s="3" t="n"/>
      <c r="C35" s="3" t="n">
        <v>9526000</v>
      </c>
      <c r="D35" s="3" t="n">
        <v>16846000</v>
      </c>
      <c r="E35" s="3" t="n">
        <v>0</v>
      </c>
      <c r="F35" s="3" t="n">
        <v>0</v>
      </c>
    </row>
    <row r="36">
      <c r="A36" t="inlineStr">
        <is>
          <t>Gain On Sale Of Security</t>
        </is>
      </c>
      <c r="B36" s="3" t="n">
        <v>19921000</v>
      </c>
      <c r="C36" s="3" t="n">
        <v>-9080000</v>
      </c>
      <c r="D36" s="3" t="n">
        <v>-5709000</v>
      </c>
      <c r="E36" s="3" t="n">
        <v>-8345000</v>
      </c>
      <c r="F36" s="3" t="n"/>
    </row>
    <row r="37">
      <c r="A37" t="inlineStr">
        <is>
          <t>Net Non Operating Interest Income Expense</t>
        </is>
      </c>
      <c r="B37" s="3" t="n">
        <v>59112000</v>
      </c>
      <c r="C37" s="3" t="n">
        <v>68203000</v>
      </c>
      <c r="D37" s="3" t="n">
        <v>42931000</v>
      </c>
      <c r="E37" s="3" t="n">
        <v>12571000</v>
      </c>
      <c r="F37" s="3" t="n"/>
    </row>
    <row r="38">
      <c r="A38" t="inlineStr">
        <is>
          <t>Interest Expense Non Operating</t>
        </is>
      </c>
      <c r="B38" s="3" t="n">
        <v>3375000</v>
      </c>
      <c r="C38" s="3" t="n">
        <v>7813000</v>
      </c>
      <c r="D38" s="3" t="n">
        <v>7483000</v>
      </c>
      <c r="E38" s="3" t="n">
        <v>4749000</v>
      </c>
      <c r="F38" s="3" t="n"/>
    </row>
    <row r="39">
      <c r="A39" t="inlineStr">
        <is>
          <t>Interest Income Non Operating</t>
        </is>
      </c>
      <c r="B39" s="3" t="n">
        <v>62487000</v>
      </c>
      <c r="C39" s="3" t="n">
        <v>76016000</v>
      </c>
      <c r="D39" s="3" t="n">
        <v>50414000</v>
      </c>
      <c r="E39" s="3" t="n">
        <v>17320000</v>
      </c>
      <c r="F39" s="3" t="n"/>
    </row>
    <row r="40">
      <c r="A40" t="inlineStr">
        <is>
          <t>Operating Income</t>
        </is>
      </c>
      <c r="B40" s="3" t="n">
        <v>114816000</v>
      </c>
      <c r="C40" s="3" t="n">
        <v>101159000</v>
      </c>
      <c r="D40" s="3" t="n">
        <v>87163000</v>
      </c>
      <c r="E40" s="3" t="n">
        <v>83513000</v>
      </c>
      <c r="F40" s="3" t="n"/>
    </row>
    <row r="41">
      <c r="A41" t="inlineStr">
        <is>
          <t>Operating Expense</t>
        </is>
      </c>
      <c r="B41" s="3" t="n">
        <v>2463137000</v>
      </c>
      <c r="C41" s="3" t="n">
        <v>2111550000</v>
      </c>
      <c r="D41" s="3" t="n">
        <v>1934028000</v>
      </c>
      <c r="E41" s="3" t="n">
        <v>1814133000</v>
      </c>
      <c r="F41" s="3" t="n"/>
    </row>
    <row r="42">
      <c r="A42" t="inlineStr">
        <is>
          <t>Research And Development</t>
        </is>
      </c>
      <c r="B42" s="3" t="n">
        <v>963291000</v>
      </c>
      <c r="C42" s="3" t="n">
        <v>804405000</v>
      </c>
      <c r="D42" s="3" t="n">
        <v>736764000</v>
      </c>
      <c r="E42" s="3" t="n">
        <v>692528000</v>
      </c>
      <c r="F42" s="3" t="n"/>
    </row>
    <row r="43">
      <c r="A43" t="inlineStr">
        <is>
          <t>Selling General And Administration</t>
        </is>
      </c>
      <c r="B43" s="3" t="n">
        <v>1499846000</v>
      </c>
      <c r="C43" s="3" t="n">
        <v>1307145000</v>
      </c>
      <c r="D43" s="3" t="n">
        <v>1197264000</v>
      </c>
      <c r="E43" s="3" t="n">
        <v>1121605000</v>
      </c>
      <c r="F43" s="3" t="n"/>
    </row>
    <row r="44">
      <c r="A44" t="inlineStr">
        <is>
          <t>Selling And Marketing Expense</t>
        </is>
      </c>
      <c r="B44" s="3" t="n">
        <v>1181488000</v>
      </c>
      <c r="C44" s="3" t="n">
        <v>1020914000</v>
      </c>
      <c r="D44" s="3" t="n">
        <v>945021000</v>
      </c>
      <c r="E44" s="3" t="n">
        <v>883609000</v>
      </c>
      <c r="F44" s="3" t="n"/>
    </row>
    <row r="45">
      <c r="A45" t="inlineStr">
        <is>
          <t>General And Administrative Expense</t>
        </is>
      </c>
      <c r="B45" s="3" t="n">
        <v>318358000</v>
      </c>
      <c r="C45" s="3" t="n">
        <v>286231000</v>
      </c>
      <c r="D45" s="3" t="n">
        <v>252243000</v>
      </c>
      <c r="E45" s="3" t="n">
        <v>237996000</v>
      </c>
      <c r="F45" s="3" t="n"/>
    </row>
    <row r="46">
      <c r="A46" t="inlineStr">
        <is>
          <t>Other Gand A</t>
        </is>
      </c>
      <c r="B46" s="3" t="n">
        <v>318358000</v>
      </c>
      <c r="C46" s="3" t="n">
        <v>286231000</v>
      </c>
      <c r="D46" s="3" t="n">
        <v>252243000</v>
      </c>
      <c r="E46" s="3" t="n">
        <v>237996000</v>
      </c>
      <c r="F46" s="3" t="n"/>
    </row>
    <row r="47">
      <c r="A47" t="inlineStr">
        <is>
          <t>Salaries And Wages</t>
        </is>
      </c>
      <c r="B47" s="3" t="n"/>
      <c r="C47" s="3" t="n"/>
      <c r="D47" s="3" t="n"/>
      <c r="E47" s="3" t="n">
        <v>60541000</v>
      </c>
      <c r="F47" s="3" t="n">
        <v>45686000</v>
      </c>
    </row>
    <row r="48">
      <c r="A48" t="inlineStr">
        <is>
          <t>Gross Profit</t>
        </is>
      </c>
      <c r="B48" s="3" t="n">
        <v>2577953000</v>
      </c>
      <c r="C48" s="3" t="n">
        <v>2212709000</v>
      </c>
      <c r="D48" s="3" t="n">
        <v>2021191000</v>
      </c>
      <c r="E48" s="3" t="n">
        <v>1897646000</v>
      </c>
      <c r="F48" s="3" t="n"/>
    </row>
    <row r="49">
      <c r="A49" t="inlineStr">
        <is>
          <t>Cost Of Revenue</t>
        </is>
      </c>
      <c r="B49" s="3" t="n">
        <v>1084890000</v>
      </c>
      <c r="C49" s="3" t="n">
        <v>955455000</v>
      </c>
      <c r="D49" s="3" t="n">
        <v>809430000</v>
      </c>
      <c r="E49" s="3" t="n">
        <v>855788000</v>
      </c>
      <c r="F49" s="3" t="n"/>
    </row>
    <row r="50">
      <c r="A50" t="inlineStr">
        <is>
          <t>Total Revenue</t>
        </is>
      </c>
      <c r="B50" s="3" t="n">
        <v>3662843000</v>
      </c>
      <c r="C50" s="3" t="n">
        <v>3168164000</v>
      </c>
      <c r="D50" s="3" t="n">
        <v>2830621000</v>
      </c>
      <c r="E50" s="3" t="n">
        <v>2753434000</v>
      </c>
      <c r="F50" s="3" t="n"/>
    </row>
    <row r="51">
      <c r="A51" t="inlineStr">
        <is>
          <t>Operating Revenue</t>
        </is>
      </c>
      <c r="B51" s="3" t="n">
        <v>3662843000</v>
      </c>
      <c r="C51" s="3" t="n">
        <v>3168164000</v>
      </c>
      <c r="D51" s="3" t="n">
        <v>2830621000</v>
      </c>
      <c r="E51" s="3" t="n">
        <v>2753434000</v>
      </c>
      <c r="F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</row>
    <row r="2">
      <c r="A2" t="inlineStr">
        <is>
          <t>Tax Effect Of Unusual Items</t>
        </is>
      </c>
      <c r="B2" s="3" t="n">
        <v>-876567.581931</v>
      </c>
      <c r="C2" s="3" t="n">
        <v>372302.92687</v>
      </c>
      <c r="D2" s="3" t="n">
        <v>4238486.820478</v>
      </c>
      <c r="E2" s="3" t="n">
        <v>128981.372723</v>
      </c>
      <c r="F2" s="3" t="n">
        <v>3040590</v>
      </c>
      <c r="G2" s="3" t="n"/>
    </row>
    <row r="3">
      <c r="A3" t="inlineStr">
        <is>
          <t>Tax Rate For Calcs</t>
        </is>
      </c>
      <c r="B3" s="3" t="n">
        <v>0.289105</v>
      </c>
      <c r="C3" s="3" t="n">
        <v>0.067605</v>
      </c>
      <c r="D3" s="3" t="n">
        <v>0.165916</v>
      </c>
      <c r="E3" s="3" t="n">
        <v>0.06827999999999999</v>
      </c>
      <c r="F3" s="3" t="n">
        <v>0.21</v>
      </c>
      <c r="G3" s="3" t="n"/>
    </row>
    <row r="4">
      <c r="A4" t="inlineStr">
        <is>
          <t>Normalized EBITDA</t>
        </is>
      </c>
      <c r="B4" s="3" t="n">
        <v>77339000</v>
      </c>
      <c r="C4" s="3" t="n">
        <v>142597000</v>
      </c>
      <c r="D4" s="3" t="n">
        <v>78214000</v>
      </c>
      <c r="E4" s="3" t="n">
        <v>85660000</v>
      </c>
      <c r="F4" s="3" t="n">
        <v>21582000</v>
      </c>
      <c r="G4" s="3" t="n"/>
    </row>
    <row r="5">
      <c r="A5" t="inlineStr">
        <is>
          <t>Total Unusual Items</t>
        </is>
      </c>
      <c r="B5" s="3" t="n">
        <v>-3032000</v>
      </c>
      <c r="C5" s="3" t="n">
        <v>5507000</v>
      </c>
      <c r="D5" s="3" t="n">
        <v>25546000</v>
      </c>
      <c r="E5" s="3" t="n">
        <v>1889000</v>
      </c>
      <c r="F5" s="3" t="n">
        <v>14479000</v>
      </c>
      <c r="G5" s="3" t="n"/>
    </row>
    <row r="6">
      <c r="A6" t="inlineStr">
        <is>
          <t>Total Unusual Items Excluding Goodwill</t>
        </is>
      </c>
      <c r="B6" s="3" t="n">
        <v>-3032000</v>
      </c>
      <c r="C6" s="3" t="n">
        <v>5507000</v>
      </c>
      <c r="D6" s="3" t="n">
        <v>25546000</v>
      </c>
      <c r="E6" s="3" t="n">
        <v>1889000</v>
      </c>
      <c r="F6" s="3" t="n">
        <v>14479000</v>
      </c>
      <c r="G6" s="3" t="n"/>
    </row>
    <row r="7">
      <c r="A7" t="inlineStr">
        <is>
          <t>Net Income From Continuing Operation Net Minority Interest</t>
        </is>
      </c>
      <c r="B7" s="3" t="n">
        <v>24078000</v>
      </c>
      <c r="C7" s="3" t="n">
        <v>100252000</v>
      </c>
      <c r="D7" s="3" t="n">
        <v>54806000</v>
      </c>
      <c r="E7" s="3" t="n">
        <v>47118000</v>
      </c>
      <c r="F7" s="3" t="n">
        <v>-13995000</v>
      </c>
      <c r="G7" s="3" t="n"/>
    </row>
    <row r="8">
      <c r="A8" t="inlineStr">
        <is>
          <t>Reconciled Depreciation</t>
        </is>
      </c>
      <c r="B8" s="3" t="n">
        <v>40198000</v>
      </c>
      <c r="C8" s="3" t="n">
        <v>40332000</v>
      </c>
      <c r="D8" s="3" t="n">
        <v>37786000</v>
      </c>
      <c r="E8" s="3" t="n">
        <v>35927000</v>
      </c>
      <c r="F8" s="3" t="n">
        <v>33770000</v>
      </c>
      <c r="G8" s="3" t="n"/>
    </row>
    <row r="9">
      <c r="A9" t="inlineStr">
        <is>
          <t>Reconciled Cost Of Revenue</t>
        </is>
      </c>
      <c r="B9" s="3" t="n">
        <v>329564000</v>
      </c>
      <c r="C9" s="3" t="n">
        <v>318816000</v>
      </c>
      <c r="D9" s="3" t="n">
        <v>267076000</v>
      </c>
      <c r="E9" s="3" t="n">
        <v>256666000</v>
      </c>
      <c r="F9" s="3" t="n">
        <v>242332000</v>
      </c>
      <c r="G9" s="3" t="n"/>
    </row>
    <row r="10">
      <c r="A10" t="inlineStr">
        <is>
          <t>EBITDA</t>
        </is>
      </c>
      <c r="B10" s="3" t="n">
        <v>74307000</v>
      </c>
      <c r="C10" s="3" t="n">
        <v>148104000</v>
      </c>
      <c r="D10" s="3" t="n">
        <v>103760000</v>
      </c>
      <c r="E10" s="3" t="n">
        <v>87549000</v>
      </c>
      <c r="F10" s="3" t="n">
        <v>36061000</v>
      </c>
      <c r="G10" s="3" t="n"/>
    </row>
    <row r="11">
      <c r="A11" t="inlineStr">
        <is>
          <t>EBIT</t>
        </is>
      </c>
      <c r="B11" s="3" t="n">
        <v>34109000</v>
      </c>
      <c r="C11" s="3" t="n">
        <v>107772000</v>
      </c>
      <c r="D11" s="3" t="n">
        <v>65974000</v>
      </c>
      <c r="E11" s="3" t="n">
        <v>51622000</v>
      </c>
      <c r="F11" s="3" t="n">
        <v>2291000</v>
      </c>
      <c r="G11" s="3" t="n"/>
    </row>
    <row r="12">
      <c r="A12" t="inlineStr">
        <is>
          <t>Net Interest Income</t>
        </is>
      </c>
      <c r="B12" s="3" t="n">
        <v>14065000</v>
      </c>
      <c r="C12" s="3" t="n">
        <v>13921000</v>
      </c>
      <c r="D12" s="3" t="n">
        <v>15508000</v>
      </c>
      <c r="E12" s="3" t="n">
        <v>14614000</v>
      </c>
      <c r="F12" s="3" t="n">
        <v>15069000</v>
      </c>
      <c r="G12" s="3" t="n"/>
    </row>
    <row r="13">
      <c r="A13" t="inlineStr">
        <is>
          <t>Interest Expense</t>
        </is>
      </c>
      <c r="B13" s="3" t="n">
        <v>239000</v>
      </c>
      <c r="C13" s="3" t="n">
        <v>251000</v>
      </c>
      <c r="D13" s="3" t="n">
        <v>266000</v>
      </c>
      <c r="E13" s="3" t="n">
        <v>1051000</v>
      </c>
      <c r="F13" s="3" t="n">
        <v>1807000</v>
      </c>
      <c r="G13" s="3" t="n"/>
    </row>
    <row r="14">
      <c r="A14" t="inlineStr">
        <is>
          <t>Interest Income</t>
        </is>
      </c>
      <c r="B14" s="3" t="n">
        <v>14304000</v>
      </c>
      <c r="C14" s="3" t="n">
        <v>14172000</v>
      </c>
      <c r="D14" s="3" t="n">
        <v>15774000</v>
      </c>
      <c r="E14" s="3" t="n">
        <v>15665000</v>
      </c>
      <c r="F14" s="3" t="n">
        <v>16876000</v>
      </c>
      <c r="G14" s="3" t="n"/>
    </row>
    <row r="15">
      <c r="A15" t="inlineStr">
        <is>
          <t>Normalized Income</t>
        </is>
      </c>
      <c r="B15" s="3" t="n">
        <v>26233432.418069</v>
      </c>
      <c r="C15" s="3" t="n">
        <v>95117302.92687</v>
      </c>
      <c r="D15" s="3" t="n">
        <v>33498486.820478</v>
      </c>
      <c r="E15" s="3" t="n">
        <v>45357981.372723</v>
      </c>
      <c r="F15" s="3" t="n">
        <v>-25433410</v>
      </c>
      <c r="G15" s="3" t="n"/>
    </row>
    <row r="16">
      <c r="A16" t="inlineStr">
        <is>
          <t>Net Income From Continuing And Discontinued Operation</t>
        </is>
      </c>
      <c r="B16" s="3" t="n">
        <v>24078000</v>
      </c>
      <c r="C16" s="3" t="n">
        <v>100252000</v>
      </c>
      <c r="D16" s="3" t="n">
        <v>54806000</v>
      </c>
      <c r="E16" s="3" t="n">
        <v>47118000</v>
      </c>
      <c r="F16" s="3" t="n">
        <v>-13995000</v>
      </c>
      <c r="G16" s="3" t="n"/>
    </row>
    <row r="17">
      <c r="A17" t="inlineStr">
        <is>
          <t>Total Expenses</t>
        </is>
      </c>
      <c r="B17" s="3" t="n">
        <v>1032957000</v>
      </c>
      <c r="C17" s="3" t="n">
        <v>971705000</v>
      </c>
      <c r="D17" s="3" t="n">
        <v>910535000</v>
      </c>
      <c r="E17" s="3" t="n">
        <v>856131000</v>
      </c>
      <c r="F17" s="3" t="n">
        <v>809656000</v>
      </c>
      <c r="G17" s="3" t="n"/>
    </row>
    <row r="18">
      <c r="A18" t="inlineStr">
        <is>
          <t>Total Operating Income As Reported</t>
        </is>
      </c>
      <c r="B18" s="3" t="n">
        <v>19939000</v>
      </c>
      <c r="C18" s="3" t="n">
        <v>87198000</v>
      </c>
      <c r="D18" s="3" t="n">
        <v>53918000</v>
      </c>
      <c r="E18" s="3" t="n">
        <v>4871000</v>
      </c>
      <c r="F18" s="3" t="n">
        <v>-31171000</v>
      </c>
      <c r="G18" s="3" t="n"/>
    </row>
    <row r="19">
      <c r="A19" t="inlineStr">
        <is>
          <t>Diluted Average Shares</t>
        </is>
      </c>
      <c r="B19" s="3" t="n">
        <v>343493000</v>
      </c>
      <c r="C19" s="3" t="n">
        <v>346074000</v>
      </c>
      <c r="D19" s="3" t="n">
        <v>345747000</v>
      </c>
      <c r="E19" s="3" t="n">
        <v>337734000</v>
      </c>
      <c r="F19" s="3" t="n">
        <v>326539000</v>
      </c>
      <c r="G19" s="3" t="n"/>
    </row>
    <row r="20">
      <c r="A20" t="inlineStr">
        <is>
          <t>Basic Average Shares</t>
        </is>
      </c>
      <c r="B20" s="3" t="n">
        <v>331152000</v>
      </c>
      <c r="C20" s="3" t="n">
        <v>330458000</v>
      </c>
      <c r="D20" s="3" t="n">
        <v>329570000</v>
      </c>
      <c r="E20" s="3" t="n">
        <v>327594000</v>
      </c>
      <c r="F20" s="3" t="n">
        <v>326539000</v>
      </c>
      <c r="G20" s="3" t="n"/>
    </row>
    <row r="21">
      <c r="A21" t="inlineStr">
        <is>
          <t>Diluted EPS</t>
        </is>
      </c>
      <c r="B21" s="3" t="n">
        <v>0.07000000000000001</v>
      </c>
      <c r="C21" s="3" t="n">
        <v>0.29</v>
      </c>
      <c r="D21" s="3" t="n">
        <v>0.16</v>
      </c>
      <c r="E21" s="3" t="n">
        <v>0.14</v>
      </c>
      <c r="F21" s="3" t="n">
        <v>-0.04</v>
      </c>
      <c r="G21" s="3" t="n"/>
    </row>
    <row r="22">
      <c r="A22" t="inlineStr">
        <is>
          <t>Basic EPS</t>
        </is>
      </c>
      <c r="B22" s="3" t="n">
        <v>0.07000000000000001</v>
      </c>
      <c r="C22" s="3" t="n">
        <v>0.3</v>
      </c>
      <c r="D22" s="3" t="n">
        <v>0.17</v>
      </c>
      <c r="E22" s="3" t="n">
        <v>0.14</v>
      </c>
      <c r="F22" s="3" t="n">
        <v>-0.04</v>
      </c>
      <c r="G22" s="3" t="n"/>
    </row>
    <row r="23">
      <c r="A23" t="inlineStr">
        <is>
          <t>Diluted NI Availto Com Stockholders</t>
        </is>
      </c>
      <c r="B23" s="3" t="n">
        <v>24078000</v>
      </c>
      <c r="C23" s="3" t="n">
        <v>100252000</v>
      </c>
      <c r="D23" s="3" t="n">
        <v>54806000</v>
      </c>
      <c r="E23" s="3" t="n">
        <v>47118000</v>
      </c>
      <c r="F23" s="3" t="n">
        <v>-13995000</v>
      </c>
      <c r="G23" s="3" t="n"/>
    </row>
    <row r="24">
      <c r="A24" t="inlineStr">
        <is>
          <t>Net Income Common Stockholders</t>
        </is>
      </c>
      <c r="B24" s="3" t="n">
        <v>24078000</v>
      </c>
      <c r="C24" s="3" t="n">
        <v>100252000</v>
      </c>
      <c r="D24" s="3" t="n">
        <v>54806000</v>
      </c>
      <c r="E24" s="3" t="n">
        <v>47118000</v>
      </c>
      <c r="F24" s="3" t="n">
        <v>-13995000</v>
      </c>
      <c r="G24" s="3" t="n"/>
    </row>
    <row r="25">
      <c r="A25" t="inlineStr">
        <is>
          <t>Net Income</t>
        </is>
      </c>
      <c r="B25" s="3" t="n">
        <v>24078000</v>
      </c>
      <c r="C25" s="3" t="n">
        <v>100252000</v>
      </c>
      <c r="D25" s="3" t="n">
        <v>54806000</v>
      </c>
      <c r="E25" s="3" t="n">
        <v>47118000</v>
      </c>
      <c r="F25" s="3" t="n">
        <v>-13995000</v>
      </c>
      <c r="G25" s="3" t="n"/>
    </row>
    <row r="26">
      <c r="A26" t="inlineStr">
        <is>
          <t>Net Income Including Noncontrolling Interests</t>
        </is>
      </c>
      <c r="B26" s="3" t="n">
        <v>24078000</v>
      </c>
      <c r="C26" s="3" t="n">
        <v>100252000</v>
      </c>
      <c r="D26" s="3" t="n">
        <v>54806000</v>
      </c>
      <c r="E26" s="3" t="n">
        <v>47118000</v>
      </c>
      <c r="F26" s="3" t="n">
        <v>-13995000</v>
      </c>
      <c r="G26" s="3" t="n"/>
    </row>
    <row r="27">
      <c r="A27" t="inlineStr">
        <is>
          <t>Net Income Continuous Operations</t>
        </is>
      </c>
      <c r="B27" s="3" t="n">
        <v>24078000</v>
      </c>
      <c r="C27" s="3" t="n">
        <v>100252000</v>
      </c>
      <c r="D27" s="3" t="n">
        <v>54806000</v>
      </c>
      <c r="E27" s="3" t="n">
        <v>47118000</v>
      </c>
      <c r="F27" s="3" t="n">
        <v>-13995000</v>
      </c>
      <c r="G27" s="3" t="n"/>
    </row>
    <row r="28">
      <c r="A28" t="inlineStr">
        <is>
          <t>Tax Provision</t>
        </is>
      </c>
      <c r="B28" s="3" t="n">
        <v>9792000</v>
      </c>
      <c r="C28" s="3" t="n">
        <v>7269000</v>
      </c>
      <c r="D28" s="3" t="n">
        <v>10902000</v>
      </c>
      <c r="E28" s="3" t="n">
        <v>3453000</v>
      </c>
      <c r="F28" s="3" t="n">
        <v>14479000</v>
      </c>
      <c r="G28" s="3" t="n"/>
    </row>
    <row r="29">
      <c r="A29" t="inlineStr">
        <is>
          <t>Pretax Income</t>
        </is>
      </c>
      <c r="B29" s="3" t="n">
        <v>33870000</v>
      </c>
      <c r="C29" s="3" t="n">
        <v>107521000</v>
      </c>
      <c r="D29" s="3" t="n">
        <v>65708000</v>
      </c>
      <c r="E29" s="3" t="n">
        <v>50571000</v>
      </c>
      <c r="F29" s="3" t="n">
        <v>484000</v>
      </c>
      <c r="G29" s="3" t="n"/>
    </row>
    <row r="30">
      <c r="A30" t="inlineStr">
        <is>
          <t>Other Income Expense</t>
        </is>
      </c>
      <c r="B30" s="3" t="n">
        <v>-134000</v>
      </c>
      <c r="C30" s="3" t="n">
        <v>6402000</v>
      </c>
      <c r="D30" s="3" t="n">
        <v>-3718000</v>
      </c>
      <c r="E30" s="3" t="n">
        <v>31086000</v>
      </c>
      <c r="F30" s="3" t="n">
        <v>16586000</v>
      </c>
      <c r="G30" s="3" t="n"/>
    </row>
    <row r="31">
      <c r="A31" t="inlineStr">
        <is>
          <t>Other Non Operating Income Expenses</t>
        </is>
      </c>
      <c r="B31" s="3" t="n">
        <v>2898000</v>
      </c>
      <c r="C31" s="3" t="n">
        <v>895000</v>
      </c>
      <c r="D31" s="3" t="n">
        <v>-29264000</v>
      </c>
      <c r="E31" s="3" t="n">
        <v>29197000</v>
      </c>
      <c r="F31" s="3" t="n">
        <v>2107000</v>
      </c>
      <c r="G31" s="3" t="n"/>
    </row>
    <row r="32">
      <c r="A32" t="inlineStr">
        <is>
          <t>Special Income Charges</t>
        </is>
      </c>
      <c r="B32" s="3" t="n"/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</row>
    <row r="33">
      <c r="A33" t="inlineStr">
        <is>
          <t>Gain On Sale Of Security</t>
        </is>
      </c>
      <c r="B33" s="3" t="n">
        <v>-3032000</v>
      </c>
      <c r="C33" s="3" t="n">
        <v>5507000</v>
      </c>
      <c r="D33" s="3" t="n">
        <v>25546000</v>
      </c>
      <c r="E33" s="3" t="n">
        <v>1889000</v>
      </c>
      <c r="F33" s="3" t="n">
        <v>14479000</v>
      </c>
      <c r="G33" s="3" t="n"/>
    </row>
    <row r="34">
      <c r="A34" t="inlineStr">
        <is>
          <t>Net Non Operating Interest Income Expense</t>
        </is>
      </c>
      <c r="B34" s="3" t="n">
        <v>14065000</v>
      </c>
      <c r="C34" s="3" t="n">
        <v>13921000</v>
      </c>
      <c r="D34" s="3" t="n">
        <v>15508000</v>
      </c>
      <c r="E34" s="3" t="n">
        <v>14614000</v>
      </c>
      <c r="F34" s="3" t="n">
        <v>15069000</v>
      </c>
      <c r="G34" s="3" t="n"/>
    </row>
    <row r="35">
      <c r="A35" t="inlineStr">
        <is>
          <t>Interest Expense Non Operating</t>
        </is>
      </c>
      <c r="B35" s="3" t="n">
        <v>239000</v>
      </c>
      <c r="C35" s="3" t="n">
        <v>251000</v>
      </c>
      <c r="D35" s="3" t="n">
        <v>266000</v>
      </c>
      <c r="E35" s="3" t="n">
        <v>1051000</v>
      </c>
      <c r="F35" s="3" t="n">
        <v>1807000</v>
      </c>
      <c r="G35" s="3" t="n"/>
    </row>
    <row r="36">
      <c r="A36" t="inlineStr">
        <is>
          <t>Interest Income Non Operating</t>
        </is>
      </c>
      <c r="B36" s="3" t="n">
        <v>14304000</v>
      </c>
      <c r="C36" s="3" t="n">
        <v>14172000</v>
      </c>
      <c r="D36" s="3" t="n">
        <v>15774000</v>
      </c>
      <c r="E36" s="3" t="n">
        <v>15665000</v>
      </c>
      <c r="F36" s="3" t="n">
        <v>16876000</v>
      </c>
      <c r="G36" s="3" t="n"/>
    </row>
    <row r="37">
      <c r="A37" t="inlineStr">
        <is>
          <t>Operating Income</t>
        </is>
      </c>
      <c r="B37" s="3" t="n">
        <v>19939000</v>
      </c>
      <c r="C37" s="3" t="n">
        <v>87198000</v>
      </c>
      <c r="D37" s="3" t="n">
        <v>53918000</v>
      </c>
      <c r="E37" s="3" t="n">
        <v>4871000</v>
      </c>
      <c r="F37" s="3" t="n">
        <v>-31171000</v>
      </c>
      <c r="G37" s="3" t="n"/>
    </row>
    <row r="38">
      <c r="A38" t="inlineStr">
        <is>
          <t>Operating Expense</t>
        </is>
      </c>
      <c r="B38" s="3" t="n">
        <v>703393000</v>
      </c>
      <c r="C38" s="3" t="n">
        <v>652889000</v>
      </c>
      <c r="D38" s="3" t="n">
        <v>643459000</v>
      </c>
      <c r="E38" s="3" t="n">
        <v>599465000</v>
      </c>
      <c r="F38" s="3" t="n">
        <v>567324000</v>
      </c>
      <c r="G38" s="3" t="n"/>
    </row>
    <row r="39">
      <c r="A39" t="inlineStr">
        <is>
          <t>Research And Development</t>
        </is>
      </c>
      <c r="B39" s="3" t="n">
        <v>259092000</v>
      </c>
      <c r="C39" s="3" t="n">
        <v>243161000</v>
      </c>
      <c r="D39" s="3" t="n">
        <v>256364000</v>
      </c>
      <c r="E39" s="3" t="n">
        <v>242026000</v>
      </c>
      <c r="F39" s="3" t="n">
        <v>221740000</v>
      </c>
      <c r="G39" s="3" t="n"/>
    </row>
    <row r="40">
      <c r="A40" t="inlineStr">
        <is>
          <t>Selling General And Administration</t>
        </is>
      </c>
      <c r="B40" s="3" t="n">
        <v>444301000</v>
      </c>
      <c r="C40" s="3" t="n">
        <v>409728000</v>
      </c>
      <c r="D40" s="3" t="n">
        <v>387095000</v>
      </c>
      <c r="E40" s="3" t="n">
        <v>357439000</v>
      </c>
      <c r="F40" s="3" t="n">
        <v>345584000</v>
      </c>
      <c r="G40" s="3" t="n"/>
    </row>
    <row r="41">
      <c r="A41" t="inlineStr">
        <is>
          <t>Selling And Marketing Expense</t>
        </is>
      </c>
      <c r="B41" s="3" t="n">
        <v>347856000</v>
      </c>
      <c r="C41" s="3" t="n">
        <v>323269000</v>
      </c>
      <c r="D41" s="3" t="n">
        <v>293817000</v>
      </c>
      <c r="E41" s="3" t="n">
        <v>285890000</v>
      </c>
      <c r="F41" s="3" t="n">
        <v>278512000</v>
      </c>
      <c r="G41" s="3" t="n"/>
    </row>
    <row r="42">
      <c r="A42" t="inlineStr">
        <is>
          <t>General And Administrative Expense</t>
        </is>
      </c>
      <c r="B42" s="3" t="n">
        <v>96445000</v>
      </c>
      <c r="C42" s="3" t="n">
        <v>86459000</v>
      </c>
      <c r="D42" s="3" t="n">
        <v>93278000</v>
      </c>
      <c r="E42" s="3" t="n">
        <v>71549000</v>
      </c>
      <c r="F42" s="3" t="n">
        <v>67072000</v>
      </c>
      <c r="G42" s="3" t="n"/>
    </row>
    <row r="43">
      <c r="A43" t="inlineStr">
        <is>
          <t>Other Gand A</t>
        </is>
      </c>
      <c r="B43" s="3" t="n">
        <v>96445000</v>
      </c>
      <c r="C43" s="3" t="n">
        <v>86459000</v>
      </c>
      <c r="D43" s="3" t="n">
        <v>93278000</v>
      </c>
      <c r="E43" s="3" t="n">
        <v>71549000</v>
      </c>
      <c r="F43" s="3" t="n">
        <v>67072000</v>
      </c>
      <c r="G43" s="3" t="n"/>
    </row>
    <row r="44">
      <c r="A44" t="inlineStr">
        <is>
          <t>Gross Profit</t>
        </is>
      </c>
      <c r="B44" s="3" t="n">
        <v>723332000</v>
      </c>
      <c r="C44" s="3" t="n">
        <v>740087000</v>
      </c>
      <c r="D44" s="3" t="n">
        <v>697377000</v>
      </c>
      <c r="E44" s="3" t="n">
        <v>604336000</v>
      </c>
      <c r="F44" s="3" t="n">
        <v>536153000</v>
      </c>
      <c r="G44" s="3" t="n"/>
    </row>
    <row r="45">
      <c r="A45" t="inlineStr">
        <is>
          <t>Cost Of Revenue</t>
        </is>
      </c>
      <c r="B45" s="3" t="n">
        <v>329564000</v>
      </c>
      <c r="C45" s="3" t="n">
        <v>318816000</v>
      </c>
      <c r="D45" s="3" t="n">
        <v>267076000</v>
      </c>
      <c r="E45" s="3" t="n">
        <v>256666000</v>
      </c>
      <c r="F45" s="3" t="n">
        <v>242332000</v>
      </c>
      <c r="G45" s="3" t="n"/>
    </row>
    <row r="46">
      <c r="A46" t="inlineStr">
        <is>
          <t>Total Revenue</t>
        </is>
      </c>
      <c r="B46" s="3" t="n">
        <v>1052896000</v>
      </c>
      <c r="C46" s="3" t="n">
        <v>1058903000</v>
      </c>
      <c r="D46" s="3" t="n">
        <v>964453000</v>
      </c>
      <c r="E46" s="3" t="n">
        <v>861002000</v>
      </c>
      <c r="F46" s="3" t="n">
        <v>778485000</v>
      </c>
      <c r="G46" s="3" t="n"/>
    </row>
    <row r="47">
      <c r="A47" t="inlineStr">
        <is>
          <t>Operating Revenue</t>
        </is>
      </c>
      <c r="B47" s="3" t="n">
        <v>1052896000</v>
      </c>
      <c r="C47" s="3" t="n">
        <v>1058903000</v>
      </c>
      <c r="D47" s="3" t="n">
        <v>964453000</v>
      </c>
      <c r="E47" s="3" t="n">
        <v>861002000</v>
      </c>
      <c r="F47" s="3" t="n">
        <v>778485000</v>
      </c>
      <c r="G4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Ordinary Shares Number</t>
        </is>
      </c>
      <c r="B2" s="3" t="n">
        <v>326102000</v>
      </c>
      <c r="C2" s="3" t="n">
        <v>326102000</v>
      </c>
      <c r="D2" s="3" t="n">
        <v>319523000</v>
      </c>
      <c r="E2" s="3" t="n">
        <v>304076000</v>
      </c>
      <c r="F2" s="3" t="n"/>
    </row>
    <row r="3">
      <c r="A3" t="inlineStr">
        <is>
          <t>Share Issued</t>
        </is>
      </c>
      <c r="B3" s="3" t="n">
        <v>326102000</v>
      </c>
      <c r="C3" s="3" t="n">
        <v>326102000</v>
      </c>
      <c r="D3" s="3" t="n">
        <v>319523000</v>
      </c>
      <c r="E3" s="3" t="n">
        <v>304076000</v>
      </c>
      <c r="F3" s="3" t="n"/>
    </row>
    <row r="4">
      <c r="A4" t="inlineStr">
        <is>
          <t>Net Debt</t>
        </is>
      </c>
      <c r="B4" s="3" t="n"/>
      <c r="C4" s="3" t="n"/>
      <c r="D4" s="3" t="n"/>
      <c r="E4" s="3" t="n"/>
      <c r="F4" s="3" t="n">
        <v>320580000</v>
      </c>
    </row>
    <row r="5">
      <c r="A5" t="inlineStr">
        <is>
          <t>Total Debt</t>
        </is>
      </c>
      <c r="B5" s="3" t="n">
        <v>216715000</v>
      </c>
      <c r="C5" s="3" t="n">
        <v>281153000</v>
      </c>
      <c r="D5" s="3" t="n">
        <v>272073000</v>
      </c>
      <c r="E5" s="3" t="n">
        <v>756118000</v>
      </c>
      <c r="F5" s="3" t="n"/>
    </row>
    <row r="6">
      <c r="A6" t="inlineStr">
        <is>
          <t>Tangible Book Value</t>
        </is>
      </c>
      <c r="B6" s="3" t="n">
        <v>1073247000</v>
      </c>
      <c r="C6" s="3" t="n">
        <v>925974000</v>
      </c>
      <c r="D6" s="3" t="n">
        <v>875655000</v>
      </c>
      <c r="E6" s="3" t="n">
        <v>530584000</v>
      </c>
      <c r="F6" s="3" t="n"/>
    </row>
    <row r="7">
      <c r="A7" t="inlineStr">
        <is>
          <t>Invested Capital</t>
        </is>
      </c>
      <c r="B7" s="3" t="n">
        <v>1445668000</v>
      </c>
      <c r="C7" s="3" t="n">
        <v>1406475000</v>
      </c>
      <c r="D7" s="3" t="n">
        <v>1370094000</v>
      </c>
      <c r="E7" s="3" t="n">
        <v>1515739000</v>
      </c>
      <c r="F7" s="3" t="n"/>
    </row>
    <row r="8">
      <c r="A8" t="inlineStr">
        <is>
          <t>Working Capital</t>
        </is>
      </c>
      <c r="B8" s="3" t="n">
        <v>1153502000</v>
      </c>
      <c r="C8" s="3" t="n">
        <v>970738000</v>
      </c>
      <c r="D8" s="3" t="n">
        <v>1132370000</v>
      </c>
      <c r="E8" s="3" t="n">
        <v>724989000</v>
      </c>
      <c r="F8" s="3" t="n"/>
    </row>
    <row r="9">
      <c r="A9" t="inlineStr">
        <is>
          <t>Net Tangible Assets</t>
        </is>
      </c>
      <c r="B9" s="3" t="n">
        <v>1073247000</v>
      </c>
      <c r="C9" s="3" t="n">
        <v>925974000</v>
      </c>
      <c r="D9" s="3" t="n">
        <v>875655000</v>
      </c>
      <c r="E9" s="3" t="n">
        <v>530584000</v>
      </c>
      <c r="F9" s="3" t="n"/>
    </row>
    <row r="10">
      <c r="A10" t="inlineStr">
        <is>
          <t>Capital Lease Obligations</t>
        </is>
      </c>
      <c r="B10" s="3" t="n">
        <v>216715000</v>
      </c>
      <c r="C10" s="3" t="n">
        <v>181153000</v>
      </c>
      <c r="D10" s="3" t="n">
        <v>172073000</v>
      </c>
      <c r="E10" s="3" t="n">
        <v>181612000</v>
      </c>
      <c r="F10" s="3" t="n"/>
    </row>
    <row r="11">
      <c r="A11" t="inlineStr">
        <is>
          <t>Common Stock Equity</t>
        </is>
      </c>
      <c r="B11" s="3" t="n">
        <v>1445668000</v>
      </c>
      <c r="C11" s="3" t="n">
        <v>1306475000</v>
      </c>
      <c r="D11" s="3" t="n">
        <v>1270094000</v>
      </c>
      <c r="E11" s="3" t="n">
        <v>941233000</v>
      </c>
      <c r="F11" s="3" t="n"/>
    </row>
    <row r="12">
      <c r="A12" t="inlineStr">
        <is>
          <t>Total Capitalization</t>
        </is>
      </c>
      <c r="B12" s="3" t="n">
        <v>1445668000</v>
      </c>
      <c r="C12" s="3" t="n">
        <v>1306475000</v>
      </c>
      <c r="D12" s="3" t="n">
        <v>1370094000</v>
      </c>
      <c r="E12" s="3" t="n">
        <v>941233000</v>
      </c>
      <c r="F12" s="3" t="n"/>
    </row>
    <row r="13">
      <c r="A13" t="inlineStr">
        <is>
          <t>Total Equity Gross Minority Interest</t>
        </is>
      </c>
      <c r="B13" s="3" t="n">
        <v>1445668000</v>
      </c>
      <c r="C13" s="3" t="n">
        <v>1306475000</v>
      </c>
      <c r="D13" s="3" t="n">
        <v>1270094000</v>
      </c>
      <c r="E13" s="3" t="n">
        <v>941233000</v>
      </c>
      <c r="F13" s="3" t="n"/>
    </row>
    <row r="14">
      <c r="A14" t="inlineStr">
        <is>
          <t>Stockholders Equity</t>
        </is>
      </c>
      <c r="B14" s="3" t="n">
        <v>1445668000</v>
      </c>
      <c r="C14" s="3" t="n">
        <v>1306475000</v>
      </c>
      <c r="D14" s="3" t="n">
        <v>1270094000</v>
      </c>
      <c r="E14" s="3" t="n">
        <v>941233000</v>
      </c>
      <c r="F14" s="3" t="n"/>
    </row>
    <row r="15">
      <c r="A15" t="inlineStr">
        <is>
          <t>Gains Losses Not Affecting Retained Earnings</t>
        </is>
      </c>
      <c r="B15" s="3" t="n">
        <v>1709000</v>
      </c>
      <c r="C15" s="3" t="n">
        <v>954000</v>
      </c>
      <c r="D15" s="3" t="n">
        <v>-3782000</v>
      </c>
      <c r="E15" s="3" t="n">
        <v>-15504000</v>
      </c>
      <c r="F15" s="3" t="n"/>
    </row>
    <row r="16">
      <c r="A16" t="inlineStr">
        <is>
          <t>Other Equity Adjustments</t>
        </is>
      </c>
      <c r="B16" s="3" t="n">
        <v>1709000</v>
      </c>
      <c r="C16" s="3" t="n">
        <v>954000</v>
      </c>
      <c r="D16" s="3" t="n">
        <v>-3782000</v>
      </c>
      <c r="E16" s="3" t="n">
        <v>-15504000</v>
      </c>
      <c r="F16" s="3" t="n"/>
    </row>
    <row r="17">
      <c r="A17" t="inlineStr">
        <is>
          <t>Retained Earnings</t>
        </is>
      </c>
      <c r="B17" s="3" t="n">
        <v>-1180831000</v>
      </c>
      <c r="C17" s="3" t="n">
        <v>-1369012000</v>
      </c>
      <c r="D17" s="3" t="n">
        <v>-1475751000</v>
      </c>
      <c r="E17" s="3" t="n">
        <v>-1537062000</v>
      </c>
      <c r="F17" s="3" t="n"/>
    </row>
    <row r="18">
      <c r="A18" t="inlineStr">
        <is>
          <t>Additional Paid In Capital</t>
        </is>
      </c>
      <c r="B18" s="3" t="n">
        <v>2624757000</v>
      </c>
      <c r="C18" s="3" t="n">
        <v>2674500000</v>
      </c>
      <c r="D18" s="3" t="n">
        <v>2749595000</v>
      </c>
      <c r="E18" s="3" t="n">
        <v>2493769000</v>
      </c>
      <c r="F18" s="3" t="n"/>
    </row>
    <row r="19">
      <c r="A19" t="inlineStr">
        <is>
          <t>Capital Stock</t>
        </is>
      </c>
      <c r="B19" s="3" t="n">
        <v>33000</v>
      </c>
      <c r="C19" s="3" t="n">
        <v>33000</v>
      </c>
      <c r="D19" s="3" t="n">
        <v>32000</v>
      </c>
      <c r="E19" s="3" t="n">
        <v>30000</v>
      </c>
      <c r="F19" s="3" t="n"/>
    </row>
    <row r="20">
      <c r="A20" t="inlineStr">
        <is>
          <t>Common Stock</t>
        </is>
      </c>
      <c r="B20" s="3" t="n">
        <v>33000</v>
      </c>
      <c r="C20" s="3" t="n">
        <v>33000</v>
      </c>
      <c r="D20" s="3" t="n">
        <v>32000</v>
      </c>
      <c r="E20" s="3" t="n">
        <v>30000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3228591000</v>
      </c>
      <c r="C22" s="3" t="n">
        <v>2657467000</v>
      </c>
      <c r="D22" s="3" t="n">
        <v>2385666000</v>
      </c>
      <c r="E22" s="3" t="n">
        <v>2602227000</v>
      </c>
      <c r="F22" s="3" t="n"/>
    </row>
    <row r="23">
      <c r="A23" t="inlineStr">
        <is>
          <t>Total Non Current Liabilities Net Minority Interest</t>
        </is>
      </c>
      <c r="B23" s="3" t="n">
        <v>1318601000</v>
      </c>
      <c r="C23" s="3" t="n">
        <v>1060926000</v>
      </c>
      <c r="D23" s="3" t="n">
        <v>1019982000</v>
      </c>
      <c r="E23" s="3" t="n">
        <v>852359000</v>
      </c>
      <c r="F23" s="3" t="n"/>
    </row>
    <row r="24">
      <c r="A24" t="inlineStr">
        <is>
          <t>Other Non Current Liabilities</t>
        </is>
      </c>
      <c r="B24" s="3" t="n">
        <v>100096000</v>
      </c>
      <c r="C24" s="3" t="n">
        <v>82182000</v>
      </c>
      <c r="D24" s="3" t="n">
        <v>54506000</v>
      </c>
      <c r="E24" s="3" t="n">
        <v>42385000</v>
      </c>
      <c r="F24" s="3" t="n"/>
    </row>
    <row r="25">
      <c r="A25" t="inlineStr">
        <is>
          <t>Non Current Deferred Liabilities</t>
        </is>
      </c>
      <c r="B25" s="3" t="n">
        <v>1046442000</v>
      </c>
      <c r="C25" s="3" t="n">
        <v>841467000</v>
      </c>
      <c r="D25" s="3" t="n">
        <v>742275000</v>
      </c>
      <c r="E25" s="3" t="n">
        <v>667501000</v>
      </c>
      <c r="F25" s="3" t="n"/>
    </row>
    <row r="26">
      <c r="A26" t="inlineStr">
        <is>
          <t>Non Current Deferred Revenue</t>
        </is>
      </c>
      <c r="B26" s="3" t="n">
        <v>1046442000</v>
      </c>
      <c r="C26" s="3" t="n">
        <v>841467000</v>
      </c>
      <c r="D26" s="3" t="n">
        <v>742275000</v>
      </c>
      <c r="E26" s="3" t="n">
        <v>667501000</v>
      </c>
      <c r="F26" s="3" t="n"/>
    </row>
    <row r="27">
      <c r="A27" t="inlineStr">
        <is>
          <t>Long Term Debt And Capital Lease Obligation</t>
        </is>
      </c>
      <c r="B27" s="3" t="n">
        <v>172063000</v>
      </c>
      <c r="C27" s="3" t="n">
        <v>137277000</v>
      </c>
      <c r="D27" s="3" t="n">
        <v>223201000</v>
      </c>
      <c r="E27" s="3" t="n">
        <v>142473000</v>
      </c>
      <c r="F27" s="3" t="n"/>
    </row>
    <row r="28">
      <c r="A28" t="inlineStr">
        <is>
          <t>Long Term Capital Lease Obligation</t>
        </is>
      </c>
      <c r="B28" s="3" t="n">
        <v>172063000</v>
      </c>
      <c r="C28" s="3" t="n">
        <v>137277000</v>
      </c>
      <c r="D28" s="3" t="n">
        <v>123201000</v>
      </c>
      <c r="E28" s="3" t="n">
        <v>142473000</v>
      </c>
      <c r="F28" s="3" t="n"/>
    </row>
    <row r="29">
      <c r="A29" t="inlineStr">
        <is>
          <t>Long Term Debt</t>
        </is>
      </c>
      <c r="B29" s="3" t="n"/>
      <c r="C29" s="3" t="n"/>
      <c r="D29" s="3" t="n">
        <v>100000000</v>
      </c>
      <c r="E29" s="3" t="n"/>
      <c r="F29" s="3" t="n">
        <v>786779000</v>
      </c>
    </row>
    <row r="30">
      <c r="A30" t="inlineStr">
        <is>
          <t>Current Liabilities</t>
        </is>
      </c>
      <c r="B30" s="3" t="n">
        <v>1909990000</v>
      </c>
      <c r="C30" s="3" t="n">
        <v>1596541000</v>
      </c>
      <c r="D30" s="3" t="n">
        <v>1365684000</v>
      </c>
      <c r="E30" s="3" t="n">
        <v>1749868000</v>
      </c>
      <c r="F30" s="3" t="n"/>
    </row>
    <row r="31">
      <c r="A31" t="inlineStr">
        <is>
          <t>Other Current Liabilities</t>
        </is>
      </c>
      <c r="B31" s="3" t="n"/>
      <c r="C31" s="3" t="n"/>
      <c r="D31" s="3" t="n"/>
      <c r="E31" s="3" t="n">
        <v>3556000</v>
      </c>
      <c r="F31" s="3" t="n">
        <v>5211000</v>
      </c>
    </row>
    <row r="32">
      <c r="A32" t="inlineStr">
        <is>
          <t>Current Deferred Liabilities</t>
        </is>
      </c>
      <c r="B32" s="3" t="n">
        <v>1213960000</v>
      </c>
      <c r="C32" s="3" t="n">
        <v>984979000</v>
      </c>
      <c r="D32" s="3" t="n">
        <v>875781000</v>
      </c>
      <c r="E32" s="3" t="n">
        <v>739529000</v>
      </c>
      <c r="F32" s="3" t="n"/>
    </row>
    <row r="33">
      <c r="A33" t="inlineStr">
        <is>
          <t>Current Deferred Revenue</t>
        </is>
      </c>
      <c r="B33" s="3" t="n">
        <v>1213960000</v>
      </c>
      <c r="C33" s="3" t="n">
        <v>984979000</v>
      </c>
      <c r="D33" s="3" t="n">
        <v>875781000</v>
      </c>
      <c r="E33" s="3" t="n">
        <v>735973000</v>
      </c>
      <c r="F33" s="3" t="n"/>
    </row>
    <row r="34">
      <c r="A34" t="inlineStr">
        <is>
          <t>Current Debt And Capital Lease Obligation</t>
        </is>
      </c>
      <c r="B34" s="3" t="n">
        <v>44652000</v>
      </c>
      <c r="C34" s="3" t="n">
        <v>143876000</v>
      </c>
      <c r="D34" s="3" t="n">
        <v>48872000</v>
      </c>
      <c r="E34" s="3" t="n">
        <v>613645000</v>
      </c>
      <c r="F34" s="3" t="n"/>
    </row>
    <row r="35">
      <c r="A35" t="inlineStr">
        <is>
          <t>Current Capital Lease Obligation</t>
        </is>
      </c>
      <c r="B35" s="3" t="n">
        <v>44652000</v>
      </c>
      <c r="C35" s="3" t="n">
        <v>43876000</v>
      </c>
      <c r="D35" s="3" t="n">
        <v>48872000</v>
      </c>
      <c r="E35" s="3" t="n">
        <v>39139000</v>
      </c>
      <c r="F35" s="3" t="n"/>
    </row>
    <row r="36">
      <c r="A36" t="inlineStr">
        <is>
          <t>Current Debt</t>
        </is>
      </c>
      <c r="B36" s="3" t="n"/>
      <c r="C36" s="3" t="n">
        <v>100000000</v>
      </c>
      <c r="D36" s="3" t="n"/>
      <c r="E36" s="3" t="n">
        <v>574506000</v>
      </c>
      <c r="F36" s="3" t="n"/>
    </row>
    <row r="37">
      <c r="A37" t="inlineStr">
        <is>
          <t>Other Current Borrowings</t>
        </is>
      </c>
      <c r="B37" s="3" t="n"/>
      <c r="C37" s="3" t="n">
        <v>100000000</v>
      </c>
      <c r="D37" s="3" t="n"/>
      <c r="E37" s="3" t="n">
        <v>574506000</v>
      </c>
      <c r="F37" s="3" t="n"/>
    </row>
    <row r="38">
      <c r="A38" t="inlineStr">
        <is>
          <t>Pensionand Other Post Retirement Benefit Plans Current</t>
        </is>
      </c>
      <c r="B38" s="3" t="n">
        <v>347205000</v>
      </c>
      <c r="C38" s="3" t="n">
        <v>230040000</v>
      </c>
      <c r="D38" s="3" t="n">
        <v>250257000</v>
      </c>
      <c r="E38" s="3" t="n">
        <v>232636000</v>
      </c>
      <c r="F38" s="3" t="n"/>
    </row>
    <row r="39">
      <c r="A39" t="inlineStr">
        <is>
          <t>Payables And Accrued Expenses</t>
        </is>
      </c>
      <c r="B39" s="3" t="n">
        <v>304173000</v>
      </c>
      <c r="C39" s="3" t="n">
        <v>237646000</v>
      </c>
      <c r="D39" s="3" t="n">
        <v>190774000</v>
      </c>
      <c r="E39" s="3" t="n">
        <v>164058000</v>
      </c>
      <c r="F39" s="3" t="n"/>
    </row>
    <row r="40">
      <c r="A40" t="inlineStr">
        <is>
          <t>Current Accrued Expenses</t>
        </is>
      </c>
      <c r="B40" s="3" t="n">
        <v>136817000</v>
      </c>
      <c r="C40" s="3" t="n">
        <v>109085000</v>
      </c>
      <c r="D40" s="3" t="n">
        <v>94920000</v>
      </c>
      <c r="E40" s="3" t="n">
        <v>80322000</v>
      </c>
      <c r="F40" s="3" t="n"/>
    </row>
    <row r="41">
      <c r="A41" t="inlineStr">
        <is>
          <t>Payables</t>
        </is>
      </c>
      <c r="B41" s="3" t="n">
        <v>167356000</v>
      </c>
      <c r="C41" s="3" t="n">
        <v>128561000</v>
      </c>
      <c r="D41" s="3" t="n">
        <v>95854000</v>
      </c>
      <c r="E41" s="3" t="n">
        <v>83736000</v>
      </c>
      <c r="F41" s="3" t="n"/>
    </row>
    <row r="42">
      <c r="A42" t="inlineStr">
        <is>
          <t>Total Tax Payable</t>
        </is>
      </c>
      <c r="B42" s="3" t="n">
        <v>14044000</v>
      </c>
      <c r="C42" s="3" t="n">
        <v>16176000</v>
      </c>
      <c r="D42" s="3" t="n">
        <v>13097000</v>
      </c>
      <c r="E42" s="3" t="n">
        <v>16615000</v>
      </c>
      <c r="F42" s="3" t="n"/>
    </row>
    <row r="43">
      <c r="A43" t="inlineStr">
        <is>
          <t>Accounts Payable</t>
        </is>
      </c>
      <c r="B43" s="3" t="n">
        <v>153312000</v>
      </c>
      <c r="C43" s="3" t="n">
        <v>112385000</v>
      </c>
      <c r="D43" s="3" t="n">
        <v>82757000</v>
      </c>
      <c r="E43" s="3" t="n">
        <v>67121000</v>
      </c>
      <c r="F43" s="3" t="n"/>
    </row>
    <row r="44">
      <c r="A44" t="inlineStr">
        <is>
          <t>Total Assets</t>
        </is>
      </c>
      <c r="B44" s="3" t="n">
        <v>4674259000</v>
      </c>
      <c r="C44" s="3" t="n">
        <v>3963942000</v>
      </c>
      <c r="D44" s="3" t="n">
        <v>3655760000</v>
      </c>
      <c r="E44" s="3" t="n">
        <v>3543460000</v>
      </c>
      <c r="F44" s="3" t="n"/>
    </row>
    <row r="45">
      <c r="A45" t="inlineStr">
        <is>
          <t>Total Non Current Assets</t>
        </is>
      </c>
      <c r="B45" s="3" t="n">
        <v>1610767000</v>
      </c>
      <c r="C45" s="3" t="n">
        <v>1396663000</v>
      </c>
      <c r="D45" s="3" t="n">
        <v>1157706000</v>
      </c>
      <c r="E45" s="3" t="n">
        <v>1068603000</v>
      </c>
      <c r="F45" s="3" t="n"/>
    </row>
    <row r="46">
      <c r="A46" t="inlineStr">
        <is>
          <t>Other Non Current Assets</t>
        </is>
      </c>
      <c r="B46" s="3" t="n">
        <v>185159000</v>
      </c>
      <c r="C46" s="3" t="n">
        <v>178442000</v>
      </c>
      <c r="D46" s="3" t="n">
        <v>65101000</v>
      </c>
      <c r="E46" s="3" t="n">
        <v>49358000</v>
      </c>
      <c r="F46" s="3" t="n"/>
    </row>
    <row r="47">
      <c r="A47" t="inlineStr">
        <is>
          <t>Non Current Deferred Assets</t>
        </is>
      </c>
      <c r="B47" s="3" t="n">
        <v>280190000</v>
      </c>
      <c r="C47" s="3" t="n">
        <v>229334000</v>
      </c>
      <c r="D47" s="3" t="n">
        <v>215620000</v>
      </c>
      <c r="E47" s="3" t="n">
        <v>177239000</v>
      </c>
      <c r="F47" s="3" t="n"/>
    </row>
    <row r="48">
      <c r="A48" t="inlineStr">
        <is>
          <t>Goodwill And Other Intangible Assets</t>
        </is>
      </c>
      <c r="B48" s="3" t="n">
        <v>372421000</v>
      </c>
      <c r="C48" s="3" t="n">
        <v>380501000</v>
      </c>
      <c r="D48" s="3" t="n">
        <v>394439000</v>
      </c>
      <c r="E48" s="3" t="n">
        <v>410649000</v>
      </c>
      <c r="F48" s="3" t="n"/>
    </row>
    <row r="49">
      <c r="A49" t="inlineStr">
        <is>
          <t>Other Intangible Assets</t>
        </is>
      </c>
      <c r="B49" s="3" t="n">
        <v>7346000</v>
      </c>
      <c r="C49" s="3" t="n">
        <v>19074000</v>
      </c>
      <c r="D49" s="3" t="n">
        <v>33012000</v>
      </c>
      <c r="E49" s="3" t="n">
        <v>49222000</v>
      </c>
      <c r="F49" s="3" t="n"/>
    </row>
    <row r="50">
      <c r="A50" t="inlineStr">
        <is>
          <t>Goodwill</t>
        </is>
      </c>
      <c r="B50" s="3" t="n">
        <v>365075000</v>
      </c>
      <c r="C50" s="3" t="n">
        <v>361427000</v>
      </c>
      <c r="D50" s="3" t="n">
        <v>361427000</v>
      </c>
      <c r="E50" s="3" t="n">
        <v>361427000</v>
      </c>
      <c r="F50" s="3" t="n"/>
    </row>
    <row r="51">
      <c r="A51" t="inlineStr">
        <is>
          <t>Net PPE</t>
        </is>
      </c>
      <c r="B51" s="3" t="n">
        <v>772997000</v>
      </c>
      <c r="C51" s="3" t="n">
        <v>608386000</v>
      </c>
      <c r="D51" s="3" t="n">
        <v>482546000</v>
      </c>
      <c r="E51" s="3" t="n">
        <v>431357000</v>
      </c>
      <c r="F51" s="3" t="n"/>
    </row>
    <row r="52">
      <c r="A52" t="inlineStr">
        <is>
          <t>Accumulated Depreciation</t>
        </is>
      </c>
      <c r="B52" s="3" t="n">
        <v>-625656000</v>
      </c>
      <c r="C52" s="3" t="n">
        <v>-570699000</v>
      </c>
      <c r="D52" s="3" t="n">
        <v>-480248000</v>
      </c>
      <c r="E52" s="3" t="n">
        <v>-402153000</v>
      </c>
      <c r="F52" s="3" t="n"/>
    </row>
    <row r="53">
      <c r="A53" t="inlineStr">
        <is>
          <t>Gross PPE</t>
        </is>
      </c>
      <c r="B53" s="3" t="n">
        <v>1398653000</v>
      </c>
      <c r="C53" s="3" t="n">
        <v>1179085000</v>
      </c>
      <c r="D53" s="3" t="n">
        <v>962794000</v>
      </c>
      <c r="E53" s="3" t="n">
        <v>833510000</v>
      </c>
      <c r="F53" s="3" t="n"/>
    </row>
    <row r="54">
      <c r="A54" t="inlineStr">
        <is>
          <t>Leases</t>
        </is>
      </c>
      <c r="B54" s="3" t="n">
        <v>114510000</v>
      </c>
      <c r="C54" s="3" t="n">
        <v>102002000</v>
      </c>
      <c r="D54" s="3" t="n">
        <v>92926000</v>
      </c>
      <c r="E54" s="3" t="n">
        <v>71235000</v>
      </c>
      <c r="F54" s="3" t="n"/>
    </row>
    <row r="55">
      <c r="A55" t="inlineStr">
        <is>
          <t>Construction In Progress</t>
        </is>
      </c>
      <c r="B55" s="3" t="n">
        <v>95301000</v>
      </c>
      <c r="C55" s="3" t="n">
        <v>65824000</v>
      </c>
      <c r="D55" s="3" t="n">
        <v>36474000</v>
      </c>
      <c r="E55" s="3" t="n">
        <v>15806000</v>
      </c>
      <c r="F55" s="3" t="n"/>
    </row>
    <row r="56">
      <c r="A56" t="inlineStr">
        <is>
          <t>Other Properties</t>
        </is>
      </c>
      <c r="B56" s="3" t="n">
        <v>685878000</v>
      </c>
      <c r="C56" s="3" t="n">
        <v>603688000</v>
      </c>
      <c r="D56" s="3" t="n">
        <v>501211000</v>
      </c>
      <c r="E56" s="3" t="n">
        <v>474202000</v>
      </c>
      <c r="F56" s="3" t="n"/>
    </row>
    <row r="57">
      <c r="A57" t="inlineStr">
        <is>
          <t>Machinery Furniture Equipment</t>
        </is>
      </c>
      <c r="B57" s="3" t="n">
        <v>502964000</v>
      </c>
      <c r="C57" s="3" t="n">
        <v>407571000</v>
      </c>
      <c r="D57" s="3" t="n">
        <v>332183000</v>
      </c>
      <c r="E57" s="3" t="n">
        <v>272267000</v>
      </c>
      <c r="F57" s="3" t="n"/>
    </row>
    <row r="58">
      <c r="A58" t="inlineStr">
        <is>
          <t>Properties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/>
    </row>
    <row r="59">
      <c r="A59" t="inlineStr">
        <is>
          <t>Current Assets</t>
        </is>
      </c>
      <c r="B59" s="3" t="n">
        <v>3063492000</v>
      </c>
      <c r="C59" s="3" t="n">
        <v>2567279000</v>
      </c>
      <c r="D59" s="3" t="n">
        <v>2498054000</v>
      </c>
      <c r="E59" s="3" t="n">
        <v>2474857000</v>
      </c>
      <c r="F59" s="3" t="n"/>
    </row>
    <row r="60">
      <c r="A60" t="inlineStr">
        <is>
          <t>Other Current Assets</t>
        </is>
      </c>
      <c r="B60" s="3" t="n">
        <v>356015000</v>
      </c>
      <c r="C60" s="3" t="n">
        <v>222501000</v>
      </c>
      <c r="D60" s="3" t="n">
        <v>173407000</v>
      </c>
      <c r="E60" s="3" t="n">
        <v>161391000</v>
      </c>
      <c r="F60" s="3" t="n"/>
    </row>
    <row r="61">
      <c r="A61" t="inlineStr">
        <is>
          <t>Current Deferred Assets</t>
        </is>
      </c>
      <c r="B61" s="3" t="n">
        <v>139379000</v>
      </c>
      <c r="C61" s="3" t="n">
        <v>99286000</v>
      </c>
      <c r="D61" s="3" t="n">
        <v>88712000</v>
      </c>
      <c r="E61" s="3" t="n">
        <v>68617000</v>
      </c>
      <c r="F61" s="3" t="n"/>
    </row>
    <row r="62">
      <c r="A62" t="inlineStr">
        <is>
          <t>Prepaid Assets</t>
        </is>
      </c>
      <c r="B62" s="3" t="n"/>
      <c r="C62" s="3" t="n"/>
      <c r="D62" s="3" t="n"/>
      <c r="E62" s="3" t="n"/>
      <c r="F62" s="3" t="n">
        <v>116232000</v>
      </c>
    </row>
    <row r="63">
      <c r="A63" t="inlineStr">
        <is>
          <t>Inventory</t>
        </is>
      </c>
      <c r="B63" s="3" t="n">
        <v>75935000</v>
      </c>
      <c r="C63" s="3" t="n">
        <v>42810000</v>
      </c>
      <c r="D63" s="3" t="n">
        <v>42663000</v>
      </c>
      <c r="E63" s="3" t="n">
        <v>50152000</v>
      </c>
      <c r="F63" s="3" t="n"/>
    </row>
    <row r="64">
      <c r="A64" t="inlineStr">
        <is>
          <t>Finished Goods</t>
        </is>
      </c>
      <c r="B64" s="3" t="n">
        <v>35965000</v>
      </c>
      <c r="C64" s="3" t="n">
        <v>33194000</v>
      </c>
      <c r="D64" s="3" t="n">
        <v>23346000</v>
      </c>
      <c r="E64" s="3" t="n">
        <v>25256000</v>
      </c>
      <c r="F64" s="3" t="n"/>
    </row>
    <row r="65">
      <c r="A65" t="inlineStr">
        <is>
          <t>Raw Materials</t>
        </is>
      </c>
      <c r="B65" s="3" t="n">
        <v>39970000</v>
      </c>
      <c r="C65" s="3" t="n">
        <v>9616000</v>
      </c>
      <c r="D65" s="3" t="n">
        <v>19317000</v>
      </c>
      <c r="E65" s="3" t="n">
        <v>24896000</v>
      </c>
      <c r="F65" s="3" t="n"/>
    </row>
    <row r="66">
      <c r="A66" t="inlineStr">
        <is>
          <t>Receivables</t>
        </is>
      </c>
      <c r="B66" s="3" t="n">
        <v>944844000</v>
      </c>
      <c r="C66" s="3" t="n">
        <v>680862000</v>
      </c>
      <c r="D66" s="3" t="n">
        <v>662179000</v>
      </c>
      <c r="E66" s="3" t="n">
        <v>612491000</v>
      </c>
      <c r="F66" s="3" t="n"/>
    </row>
    <row r="67">
      <c r="A67" t="inlineStr">
        <is>
          <t>Accounts Receivable</t>
        </is>
      </c>
      <c r="B67" s="3" t="n">
        <v>944844000</v>
      </c>
      <c r="C67" s="3" t="n">
        <v>680862000</v>
      </c>
      <c r="D67" s="3" t="n">
        <v>662179000</v>
      </c>
      <c r="E67" s="3" t="n">
        <v>612491000</v>
      </c>
      <c r="F67" s="3" t="n"/>
    </row>
    <row r="68">
      <c r="A68" t="inlineStr">
        <is>
          <t>Allowance For Doubtful Accounts Receivable</t>
        </is>
      </c>
      <c r="B68" s="3" t="n">
        <v>-203000</v>
      </c>
      <c r="C68" s="3" t="n">
        <v>-940000</v>
      </c>
      <c r="D68" s="3" t="n">
        <v>-1060000</v>
      </c>
      <c r="E68" s="3" t="n">
        <v>-1057000</v>
      </c>
      <c r="F68" s="3" t="n"/>
    </row>
    <row r="69">
      <c r="A69" t="inlineStr">
        <is>
          <t>Gross Accounts Receivable</t>
        </is>
      </c>
      <c r="B69" s="3" t="n">
        <v>945047000</v>
      </c>
      <c r="C69" s="3" t="n">
        <v>681802000</v>
      </c>
      <c r="D69" s="3" t="n">
        <v>663239000</v>
      </c>
      <c r="E69" s="3" t="n">
        <v>613548000</v>
      </c>
      <c r="F69" s="3" t="n"/>
    </row>
    <row r="70">
      <c r="A70" t="inlineStr">
        <is>
          <t>Cash Cash Equivalents And Short Term Investments</t>
        </is>
      </c>
      <c r="B70" s="3" t="n">
        <v>1547319000</v>
      </c>
      <c r="C70" s="3" t="n">
        <v>1521820000</v>
      </c>
      <c r="D70" s="3" t="n">
        <v>1531093000</v>
      </c>
      <c r="E70" s="3" t="n">
        <v>1582206000</v>
      </c>
      <c r="F70" s="3" t="n"/>
    </row>
    <row r="71">
      <c r="A71" t="inlineStr">
        <is>
          <t>Other Short Term Investments</t>
        </is>
      </c>
      <c r="B71" s="3" t="n">
        <v>692446000</v>
      </c>
      <c r="C71" s="3" t="n">
        <v>798237000</v>
      </c>
      <c r="D71" s="3" t="n">
        <v>828557000</v>
      </c>
      <c r="E71" s="3" t="n">
        <v>1001352000</v>
      </c>
      <c r="F71" s="3" t="n"/>
    </row>
    <row r="72">
      <c r="A72" t="inlineStr">
        <is>
          <t>Cash And Cash Equivalents</t>
        </is>
      </c>
      <c r="B72" s="3" t="n">
        <v>854873000</v>
      </c>
      <c r="C72" s="3" t="n">
        <v>723583000</v>
      </c>
      <c r="D72" s="3" t="n">
        <v>702536000</v>
      </c>
      <c r="E72" s="3" t="n">
        <v>580854000</v>
      </c>
      <c r="F7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Ordinary Shares Number</t>
        </is>
      </c>
      <c r="B2" s="3" t="n">
        <v>326938000</v>
      </c>
      <c r="C2" s="3" t="n">
        <v>326102000</v>
      </c>
      <c r="D2" s="3" t="n">
        <v>330509000</v>
      </c>
      <c r="E2" s="3" t="n">
        <v>328315000</v>
      </c>
      <c r="F2" s="3" t="n">
        <v>326938000</v>
      </c>
      <c r="G2" s="3" t="n"/>
      <c r="H2" s="3" t="n"/>
    </row>
    <row r="3">
      <c r="A3" t="inlineStr">
        <is>
          <t>Share Issued</t>
        </is>
      </c>
      <c r="B3" s="3" t="n">
        <v>326938000</v>
      </c>
      <c r="C3" s="3" t="n">
        <v>326102000</v>
      </c>
      <c r="D3" s="3" t="n">
        <v>330509000</v>
      </c>
      <c r="E3" s="3" t="n">
        <v>328315000</v>
      </c>
      <c r="F3" s="3" t="n">
        <v>326938000</v>
      </c>
      <c r="G3" s="3" t="n"/>
      <c r="H3" s="3" t="n"/>
    </row>
    <row r="4">
      <c r="A4" t="inlineStr">
        <is>
          <t>Total Debt</t>
        </is>
      </c>
      <c r="B4" s="3" t="n">
        <v>230961000</v>
      </c>
      <c r="C4" s="3" t="n">
        <v>216715000</v>
      </c>
      <c r="D4" s="3" t="n">
        <v>226111000</v>
      </c>
      <c r="E4" s="3" t="n">
        <v>223333000</v>
      </c>
      <c r="F4" s="3" t="n">
        <v>271298000</v>
      </c>
      <c r="G4" s="3" t="n"/>
      <c r="H4" s="3" t="n"/>
    </row>
    <row r="5">
      <c r="A5" t="inlineStr">
        <is>
          <t>Tangible Book Value</t>
        </is>
      </c>
      <c r="B5" s="3" t="n">
        <v>1071721000</v>
      </c>
      <c r="C5" s="3" t="n">
        <v>1073247000</v>
      </c>
      <c r="D5" s="3" t="n">
        <v>1028740000</v>
      </c>
      <c r="E5" s="3" t="n">
        <v>946251000</v>
      </c>
      <c r="F5" s="3" t="n">
        <v>867520000</v>
      </c>
      <c r="G5" s="3" t="n"/>
      <c r="H5" s="3" t="n"/>
    </row>
    <row r="6">
      <c r="A6" t="inlineStr">
        <is>
          <t>Invested Capital</t>
        </is>
      </c>
      <c r="B6" s="3" t="n">
        <v>1442138000</v>
      </c>
      <c r="C6" s="3" t="n">
        <v>1445668000</v>
      </c>
      <c r="D6" s="3" t="n">
        <v>1402889000</v>
      </c>
      <c r="E6" s="3" t="n">
        <v>1318821000</v>
      </c>
      <c r="F6" s="3" t="n">
        <v>1344055000</v>
      </c>
      <c r="G6" s="3" t="n"/>
      <c r="H6" s="3" t="n"/>
    </row>
    <row r="7">
      <c r="A7" t="inlineStr">
        <is>
          <t>Working Capital</t>
        </is>
      </c>
      <c r="B7" s="3" t="n">
        <v>1163470000</v>
      </c>
      <c r="C7" s="3" t="n">
        <v>1153502000</v>
      </c>
      <c r="D7" s="3" t="n">
        <v>1047231000</v>
      </c>
      <c r="E7" s="3" t="n">
        <v>990330000</v>
      </c>
      <c r="F7" s="3" t="n">
        <v>905716000</v>
      </c>
      <c r="G7" s="3" t="n"/>
      <c r="H7" s="3" t="n"/>
    </row>
    <row r="8">
      <c r="A8" t="inlineStr">
        <is>
          <t>Net Tangible Assets</t>
        </is>
      </c>
      <c r="B8" s="3" t="n">
        <v>1071721000</v>
      </c>
      <c r="C8" s="3" t="n">
        <v>1073247000</v>
      </c>
      <c r="D8" s="3" t="n">
        <v>1028740000</v>
      </c>
      <c r="E8" s="3" t="n">
        <v>946251000</v>
      </c>
      <c r="F8" s="3" t="n">
        <v>867520000</v>
      </c>
      <c r="G8" s="3" t="n"/>
      <c r="H8" s="3" t="n"/>
    </row>
    <row r="9">
      <c r="A9" t="inlineStr">
        <is>
          <t>Capital Lease Obligations</t>
        </is>
      </c>
      <c r="B9" s="3" t="n">
        <v>230961000</v>
      </c>
      <c r="C9" s="3" t="n">
        <v>216715000</v>
      </c>
      <c r="D9" s="3" t="n">
        <v>226111000</v>
      </c>
      <c r="E9" s="3" t="n">
        <v>223333000</v>
      </c>
      <c r="F9" s="3" t="n">
        <v>171298000</v>
      </c>
      <c r="G9" s="3" t="n"/>
      <c r="H9" s="3" t="n"/>
    </row>
    <row r="10">
      <c r="A10" t="inlineStr">
        <is>
          <t>Common Stock Equity</t>
        </is>
      </c>
      <c r="B10" s="3" t="n">
        <v>1442138000</v>
      </c>
      <c r="C10" s="3" t="n">
        <v>1445668000</v>
      </c>
      <c r="D10" s="3" t="n">
        <v>1402889000</v>
      </c>
      <c r="E10" s="3" t="n">
        <v>1318821000</v>
      </c>
      <c r="F10" s="3" t="n">
        <v>1244055000</v>
      </c>
      <c r="G10" s="3" t="n"/>
      <c r="H10" s="3" t="n"/>
    </row>
    <row r="11">
      <c r="A11" t="inlineStr">
        <is>
          <t>Total Capitalization</t>
        </is>
      </c>
      <c r="B11" s="3" t="n">
        <v>1442138000</v>
      </c>
      <c r="C11" s="3" t="n">
        <v>1445668000</v>
      </c>
      <c r="D11" s="3" t="n">
        <v>1402889000</v>
      </c>
      <c r="E11" s="3" t="n">
        <v>1318821000</v>
      </c>
      <c r="F11" s="3" t="n">
        <v>1244055000</v>
      </c>
      <c r="G11" s="3" t="n"/>
      <c r="H11" s="3" t="n"/>
    </row>
    <row r="12">
      <c r="A12" t="inlineStr">
        <is>
          <t>Total Equity Gross Minority Interest</t>
        </is>
      </c>
      <c r="B12" s="3" t="n">
        <v>1442138000</v>
      </c>
      <c r="C12" s="3" t="n">
        <v>1445668000</v>
      </c>
      <c r="D12" s="3" t="n">
        <v>1402889000</v>
      </c>
      <c r="E12" s="3" t="n">
        <v>1318821000</v>
      </c>
      <c r="F12" s="3" t="n">
        <v>1244055000</v>
      </c>
      <c r="G12" s="3" t="n"/>
      <c r="H12" s="3" t="n"/>
    </row>
    <row r="13">
      <c r="A13" t="inlineStr">
        <is>
          <t>Stockholders Equity</t>
        </is>
      </c>
      <c r="B13" s="3" t="n">
        <v>1442138000</v>
      </c>
      <c r="C13" s="3" t="n">
        <v>1445668000</v>
      </c>
      <c r="D13" s="3" t="n">
        <v>1402889000</v>
      </c>
      <c r="E13" s="3" t="n">
        <v>1318821000</v>
      </c>
      <c r="F13" s="3" t="n">
        <v>1244055000</v>
      </c>
      <c r="G13" s="3" t="n"/>
      <c r="H13" s="3" t="n"/>
    </row>
    <row r="14">
      <c r="A14" t="inlineStr">
        <is>
          <t>Gains Losses Not Affecting Retained Earnings</t>
        </is>
      </c>
      <c r="B14" s="3" t="n">
        <v>-1613000</v>
      </c>
      <c r="C14" s="3" t="n">
        <v>1709000</v>
      </c>
      <c r="D14" s="3" t="n">
        <v>2006000</v>
      </c>
      <c r="E14" s="3" t="n">
        <v>1916000</v>
      </c>
      <c r="F14" s="3" t="n">
        <v>1831000</v>
      </c>
      <c r="G14" s="3" t="n"/>
      <c r="H14" s="3" t="n"/>
    </row>
    <row r="15">
      <c r="A15" t="inlineStr">
        <is>
          <t>Other Equity Adjustments</t>
        </is>
      </c>
      <c r="B15" s="3" t="n">
        <v>-1613000</v>
      </c>
      <c r="C15" s="3" t="n">
        <v>1709000</v>
      </c>
      <c r="D15" s="3" t="n">
        <v>2006000</v>
      </c>
      <c r="E15" s="3" t="n">
        <v>1916000</v>
      </c>
      <c r="F15" s="3" t="n">
        <v>1831000</v>
      </c>
      <c r="G15" s="3" t="n"/>
      <c r="H15" s="3" t="n"/>
    </row>
    <row r="16">
      <c r="A16" t="inlineStr">
        <is>
          <t>Retained Earnings</t>
        </is>
      </c>
      <c r="B16" s="3" t="n">
        <v>-1156753000</v>
      </c>
      <c r="C16" s="3" t="n">
        <v>-1180831000</v>
      </c>
      <c r="D16" s="3" t="n">
        <v>-1281083000</v>
      </c>
      <c r="E16" s="3" t="n">
        <v>-1335889000</v>
      </c>
      <c r="F16" s="3" t="n">
        <v>-1383007000</v>
      </c>
      <c r="G16" s="3" t="n"/>
      <c r="H16" s="3" t="n"/>
    </row>
    <row r="17">
      <c r="A17" t="inlineStr">
        <is>
          <t>Additional Paid In Capital</t>
        </is>
      </c>
      <c r="B17" s="3" t="n">
        <v>2600471000</v>
      </c>
      <c r="C17" s="3" t="n">
        <v>2624757000</v>
      </c>
      <c r="D17" s="3" t="n">
        <v>2681933000</v>
      </c>
      <c r="E17" s="3" t="n">
        <v>2652761000</v>
      </c>
      <c r="F17" s="3" t="n">
        <v>2625198000</v>
      </c>
      <c r="G17" s="3" t="n"/>
      <c r="H17" s="3" t="n"/>
    </row>
    <row r="18">
      <c r="A18" t="inlineStr">
        <is>
          <t>Capital Stock</t>
        </is>
      </c>
      <c r="B18" s="3" t="n">
        <v>33000</v>
      </c>
      <c r="C18" s="3" t="n">
        <v>33000</v>
      </c>
      <c r="D18" s="3" t="n">
        <v>33000</v>
      </c>
      <c r="E18" s="3" t="n">
        <v>33000</v>
      </c>
      <c r="F18" s="3" t="n">
        <v>33000</v>
      </c>
      <c r="G18" s="3" t="n"/>
      <c r="H18" s="3" t="n"/>
    </row>
    <row r="19">
      <c r="A19" t="inlineStr">
        <is>
          <t>Common Stock</t>
        </is>
      </c>
      <c r="B19" s="3" t="n">
        <v>33000</v>
      </c>
      <c r="C19" s="3" t="n">
        <v>33000</v>
      </c>
      <c r="D19" s="3" t="n">
        <v>33000</v>
      </c>
      <c r="E19" s="3" t="n">
        <v>33000</v>
      </c>
      <c r="F19" s="3" t="n">
        <v>33000</v>
      </c>
      <c r="G19" s="3" t="n"/>
      <c r="H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/>
      <c r="H20" s="3" t="n"/>
    </row>
    <row r="21">
      <c r="A21" t="inlineStr">
        <is>
          <t>Total Liabilities Net Minority Interest</t>
        </is>
      </c>
      <c r="B21" s="3" t="n">
        <v>3307809000</v>
      </c>
      <c r="C21" s="3" t="n">
        <v>3228591000</v>
      </c>
      <c r="D21" s="3" t="n">
        <v>2815522000</v>
      </c>
      <c r="E21" s="3" t="n">
        <v>2707716000</v>
      </c>
      <c r="F21" s="3" t="n">
        <v>2566310000</v>
      </c>
      <c r="G21" s="3" t="n"/>
      <c r="H21" s="3" t="n"/>
    </row>
    <row r="22">
      <c r="A22" t="inlineStr">
        <is>
          <t>Total Non Current Liabilities Net Minority Interest</t>
        </is>
      </c>
      <c r="B22" s="3" t="n">
        <v>1421398000</v>
      </c>
      <c r="C22" s="3" t="n">
        <v>1318601000</v>
      </c>
      <c r="D22" s="3" t="n">
        <v>1210499000</v>
      </c>
      <c r="E22" s="3" t="n">
        <v>1173308000</v>
      </c>
      <c r="F22" s="3" t="n">
        <v>1071799000</v>
      </c>
      <c r="G22" s="3" t="n"/>
      <c r="H22" s="3" t="n"/>
    </row>
    <row r="23">
      <c r="A23" t="inlineStr">
        <is>
          <t>Other Non Current Liabilities</t>
        </is>
      </c>
      <c r="B23" s="3" t="n">
        <v>108121000</v>
      </c>
      <c r="C23" s="3" t="n">
        <v>100096000</v>
      </c>
      <c r="D23" s="3" t="n">
        <v>96783000</v>
      </c>
      <c r="E23" s="3" t="n">
        <v>92188000</v>
      </c>
      <c r="F23" s="3" t="n">
        <v>83840000</v>
      </c>
      <c r="G23" s="3" t="n"/>
      <c r="H23" s="3" t="n"/>
    </row>
    <row r="24">
      <c r="A24" t="inlineStr">
        <is>
          <t>Non Current Deferred Liabilities</t>
        </is>
      </c>
      <c r="B24" s="3" t="n">
        <v>1127682000</v>
      </c>
      <c r="C24" s="3" t="n">
        <v>1046442000</v>
      </c>
      <c r="D24" s="3" t="n">
        <v>931768000</v>
      </c>
      <c r="E24" s="3" t="n">
        <v>904867000</v>
      </c>
      <c r="F24" s="3" t="n">
        <v>858224000</v>
      </c>
      <c r="G24" s="3" t="n"/>
      <c r="H24" s="3" t="n"/>
    </row>
    <row r="25">
      <c r="A25" t="inlineStr">
        <is>
          <t>Non Current Deferred Revenue</t>
        </is>
      </c>
      <c r="B25" s="3" t="n">
        <v>1127682000</v>
      </c>
      <c r="C25" s="3" t="n">
        <v>1046442000</v>
      </c>
      <c r="D25" s="3" t="n">
        <v>931768000</v>
      </c>
      <c r="E25" s="3" t="n">
        <v>904867000</v>
      </c>
      <c r="F25" s="3" t="n">
        <v>858224000</v>
      </c>
      <c r="G25" s="3" t="n"/>
      <c r="H25" s="3" t="n"/>
    </row>
    <row r="26">
      <c r="A26" t="inlineStr">
        <is>
          <t>Long Term Debt And Capital Lease Obligation</t>
        </is>
      </c>
      <c r="B26" s="3" t="n">
        <v>185595000</v>
      </c>
      <c r="C26" s="3" t="n">
        <v>172063000</v>
      </c>
      <c r="D26" s="3" t="n">
        <v>181948000</v>
      </c>
      <c r="E26" s="3" t="n">
        <v>176253000</v>
      </c>
      <c r="F26" s="3" t="n">
        <v>129735000</v>
      </c>
      <c r="G26" s="3" t="n"/>
      <c r="H26" s="3" t="n"/>
    </row>
    <row r="27">
      <c r="A27" t="inlineStr">
        <is>
          <t>Long Term Capital Lease Obligation</t>
        </is>
      </c>
      <c r="B27" s="3" t="n">
        <v>185595000</v>
      </c>
      <c r="C27" s="3" t="n">
        <v>172063000</v>
      </c>
      <c r="D27" s="3" t="n">
        <v>181948000</v>
      </c>
      <c r="E27" s="3" t="n">
        <v>176253000</v>
      </c>
      <c r="F27" s="3" t="n">
        <v>129735000</v>
      </c>
      <c r="G27" s="3" t="n"/>
      <c r="H27" s="3" t="n"/>
    </row>
    <row r="28">
      <c r="A28" t="inlineStr">
        <is>
          <t>Current Liabilities</t>
        </is>
      </c>
      <c r="B28" s="3" t="n">
        <v>1886411000</v>
      </c>
      <c r="C28" s="3" t="n">
        <v>1909990000</v>
      </c>
      <c r="D28" s="3" t="n">
        <v>1605023000</v>
      </c>
      <c r="E28" s="3" t="n">
        <v>1534408000</v>
      </c>
      <c r="F28" s="3" t="n">
        <v>1494511000</v>
      </c>
      <c r="G28" s="3" t="n"/>
      <c r="H28" s="3" t="n"/>
    </row>
    <row r="29">
      <c r="A29" t="inlineStr">
        <is>
          <t>Current Deferred Liabilities</t>
        </is>
      </c>
      <c r="B29" s="3" t="n">
        <v>1283031000</v>
      </c>
      <c r="C29" s="3" t="n">
        <v>1213960000</v>
      </c>
      <c r="D29" s="3" t="n">
        <v>1057848000</v>
      </c>
      <c r="E29" s="3" t="n">
        <v>1035364000</v>
      </c>
      <c r="F29" s="3" t="n">
        <v>999570000</v>
      </c>
      <c r="G29" s="3" t="n"/>
      <c r="H29" s="3" t="n"/>
    </row>
    <row r="30">
      <c r="A30" t="inlineStr">
        <is>
          <t>Current Deferred Revenue</t>
        </is>
      </c>
      <c r="B30" s="3" t="n">
        <v>1283031000</v>
      </c>
      <c r="C30" s="3" t="n">
        <v>1213960000</v>
      </c>
      <c r="D30" s="3" t="n">
        <v>1057848000</v>
      </c>
      <c r="E30" s="3" t="n">
        <v>1035364000</v>
      </c>
      <c r="F30" s="3" t="n">
        <v>999570000</v>
      </c>
      <c r="G30" s="3" t="n"/>
      <c r="H30" s="3" t="n"/>
    </row>
    <row r="31">
      <c r="A31" t="inlineStr">
        <is>
          <t>Current Debt And Capital Lease Obligation</t>
        </is>
      </c>
      <c r="B31" s="3" t="n">
        <v>45366000</v>
      </c>
      <c r="C31" s="3" t="n">
        <v>44652000</v>
      </c>
      <c r="D31" s="3" t="n">
        <v>44163000</v>
      </c>
      <c r="E31" s="3" t="n">
        <v>47080000</v>
      </c>
      <c r="F31" s="3" t="n">
        <v>141563000</v>
      </c>
      <c r="G31" s="3" t="n"/>
      <c r="H31" s="3" t="n"/>
    </row>
    <row r="32">
      <c r="A32" t="inlineStr">
        <is>
          <t>Current Capital Lease Obligation</t>
        </is>
      </c>
      <c r="B32" s="3" t="n">
        <v>45366000</v>
      </c>
      <c r="C32" s="3" t="n">
        <v>44652000</v>
      </c>
      <c r="D32" s="3" t="n">
        <v>44163000</v>
      </c>
      <c r="E32" s="3" t="n">
        <v>47080000</v>
      </c>
      <c r="F32" s="3" t="n">
        <v>41563000</v>
      </c>
      <c r="G32" s="3" t="n"/>
      <c r="H32" s="3" t="n"/>
    </row>
    <row r="33">
      <c r="A33" t="inlineStr">
        <is>
          <t>Current Debt</t>
        </is>
      </c>
      <c r="B33" s="3" t="n"/>
      <c r="C33" s="3" t="n"/>
      <c r="D33" s="3" t="n"/>
      <c r="E33" s="3" t="n"/>
      <c r="F33" s="3" t="n">
        <v>100000000</v>
      </c>
      <c r="G33" s="3" t="n">
        <v>100000000</v>
      </c>
      <c r="H33" s="3" t="n">
        <v>100000000</v>
      </c>
    </row>
    <row r="34">
      <c r="A34" t="inlineStr">
        <is>
          <t>Other Current Borrowings</t>
        </is>
      </c>
      <c r="B34" s="3" t="n"/>
      <c r="C34" s="3" t="n"/>
      <c r="D34" s="3" t="n"/>
      <c r="E34" s="3" t="n"/>
      <c r="F34" s="3" t="n">
        <v>100000000</v>
      </c>
      <c r="G34" s="3" t="n">
        <v>100000000</v>
      </c>
      <c r="H34" s="3" t="n">
        <v>100000000</v>
      </c>
    </row>
    <row r="35">
      <c r="A35" t="inlineStr">
        <is>
          <t>Line Of Credit</t>
        </is>
      </c>
      <c r="B35" s="3" t="n"/>
      <c r="C35" s="3" t="n"/>
      <c r="D35" s="3" t="n">
        <v>0</v>
      </c>
      <c r="E35" s="3" t="n"/>
      <c r="F35" s="3" t="n"/>
      <c r="G35" s="3" t="n"/>
      <c r="H35" s="3" t="n"/>
    </row>
    <row r="36">
      <c r="A36" t="inlineStr">
        <is>
          <t>Pensionand Other Post Retirement Benefit Plans Current</t>
        </is>
      </c>
      <c r="B36" s="3" t="n">
        <v>236221000</v>
      </c>
      <c r="C36" s="3" t="n">
        <v>347205000</v>
      </c>
      <c r="D36" s="3" t="n">
        <v>244939000</v>
      </c>
      <c r="E36" s="3" t="n">
        <v>212869000</v>
      </c>
      <c r="F36" s="3" t="n">
        <v>142333000</v>
      </c>
      <c r="G36" s="3" t="n"/>
      <c r="H36" s="3" t="n"/>
    </row>
    <row r="37">
      <c r="A37" t="inlineStr">
        <is>
          <t>Payables And Accrued Expenses</t>
        </is>
      </c>
      <c r="B37" s="3" t="n">
        <v>321793000</v>
      </c>
      <c r="C37" s="3" t="n">
        <v>304173000</v>
      </c>
      <c r="D37" s="3" t="n">
        <v>258073000</v>
      </c>
      <c r="E37" s="3" t="n">
        <v>239095000</v>
      </c>
      <c r="F37" s="3" t="n">
        <v>211045000</v>
      </c>
      <c r="G37" s="3" t="n"/>
      <c r="H37" s="3" t="n"/>
    </row>
    <row r="38">
      <c r="A38" t="inlineStr">
        <is>
          <t>Current Accrued Expenses</t>
        </is>
      </c>
      <c r="B38" s="3" t="n">
        <v>133594000</v>
      </c>
      <c r="C38" s="3" t="n">
        <v>136817000</v>
      </c>
      <c r="D38" s="3" t="n">
        <v>109768000</v>
      </c>
      <c r="E38" s="3" t="n">
        <v>115758000</v>
      </c>
      <c r="F38" s="3" t="n">
        <v>116211000</v>
      </c>
      <c r="G38" s="3" t="n"/>
      <c r="H38" s="3" t="n"/>
    </row>
    <row r="39">
      <c r="A39" t="inlineStr">
        <is>
          <t>Payables</t>
        </is>
      </c>
      <c r="B39" s="3" t="n">
        <v>188199000</v>
      </c>
      <c r="C39" s="3" t="n">
        <v>167356000</v>
      </c>
      <c r="D39" s="3" t="n">
        <v>148305000</v>
      </c>
      <c r="E39" s="3" t="n">
        <v>123337000</v>
      </c>
      <c r="F39" s="3" t="n">
        <v>94834000</v>
      </c>
      <c r="G39" s="3" t="n"/>
      <c r="H39" s="3" t="n"/>
    </row>
    <row r="40">
      <c r="A40" t="inlineStr">
        <is>
          <t>Total Tax Payable</t>
        </is>
      </c>
      <c r="B40" s="3" t="n">
        <v>14992000</v>
      </c>
      <c r="C40" s="3" t="n">
        <v>14044000</v>
      </c>
      <c r="D40" s="3" t="n">
        <v>20283000</v>
      </c>
      <c r="E40" s="3" t="n">
        <v>11175000</v>
      </c>
      <c r="F40" s="3" t="n">
        <v>10976000</v>
      </c>
      <c r="G40" s="3" t="n"/>
      <c r="H40" s="3" t="n"/>
    </row>
    <row r="41">
      <c r="A41" t="inlineStr">
        <is>
          <t>Accounts Payable</t>
        </is>
      </c>
      <c r="B41" s="3" t="n">
        <v>173207000</v>
      </c>
      <c r="C41" s="3" t="n">
        <v>153312000</v>
      </c>
      <c r="D41" s="3" t="n">
        <v>128022000</v>
      </c>
      <c r="E41" s="3" t="n">
        <v>112162000</v>
      </c>
      <c r="F41" s="3" t="n">
        <v>83858000</v>
      </c>
      <c r="G41" s="3" t="n"/>
      <c r="H41" s="3" t="n"/>
    </row>
    <row r="42">
      <c r="A42" t="inlineStr">
        <is>
          <t>Total Assets</t>
        </is>
      </c>
      <c r="B42" s="3" t="n">
        <v>4749947000</v>
      </c>
      <c r="C42" s="3" t="n">
        <v>4674259000</v>
      </c>
      <c r="D42" s="3" t="n">
        <v>4218411000</v>
      </c>
      <c r="E42" s="3" t="n">
        <v>4026537000</v>
      </c>
      <c r="F42" s="3" t="n">
        <v>3810365000</v>
      </c>
      <c r="G42" s="3" t="n"/>
      <c r="H42" s="3" t="n"/>
    </row>
    <row r="43">
      <c r="A43" t="inlineStr">
        <is>
          <t>Total Non Current Assets</t>
        </is>
      </c>
      <c r="B43" s="3" t="n">
        <v>1700066000</v>
      </c>
      <c r="C43" s="3" t="n">
        <v>1610767000</v>
      </c>
      <c r="D43" s="3" t="n">
        <v>1566157000</v>
      </c>
      <c r="E43" s="3" t="n">
        <v>1501799000</v>
      </c>
      <c r="F43" s="3" t="n">
        <v>1410138000</v>
      </c>
      <c r="G43" s="3" t="n"/>
      <c r="H43" s="3" t="n"/>
    </row>
    <row r="44">
      <c r="A44" t="inlineStr">
        <is>
          <t>Other Non Current Assets</t>
        </is>
      </c>
      <c r="B44" s="3" t="n">
        <v>225031000</v>
      </c>
      <c r="C44" s="3" t="n">
        <v>185159000</v>
      </c>
      <c r="D44" s="3" t="n">
        <v>191150000</v>
      </c>
      <c r="E44" s="3" t="n">
        <v>158688000</v>
      </c>
      <c r="F44" s="3" t="n">
        <v>160664000</v>
      </c>
      <c r="G44" s="3" t="n"/>
      <c r="H44" s="3" t="n"/>
    </row>
    <row r="45">
      <c r="A45" t="inlineStr">
        <is>
          <t>Non Current Deferred Assets</t>
        </is>
      </c>
      <c r="B45" s="3" t="n">
        <v>288885000</v>
      </c>
      <c r="C45" s="3" t="n">
        <v>280190000</v>
      </c>
      <c r="D45" s="3" t="n">
        <v>240113000</v>
      </c>
      <c r="E45" s="3" t="n">
        <v>235220000</v>
      </c>
      <c r="F45" s="3" t="n">
        <v>230989000</v>
      </c>
      <c r="G45" s="3" t="n"/>
      <c r="H45" s="3" t="n"/>
    </row>
    <row r="46">
      <c r="A46" t="inlineStr">
        <is>
          <t>Goodwill And Other Intangible Assets</t>
        </is>
      </c>
      <c r="B46" s="3" t="n">
        <v>370417000</v>
      </c>
      <c r="C46" s="3" t="n">
        <v>372421000</v>
      </c>
      <c r="D46" s="3" t="n">
        <v>374149000</v>
      </c>
      <c r="E46" s="3" t="n">
        <v>372570000</v>
      </c>
      <c r="F46" s="3" t="n">
        <v>376535000</v>
      </c>
      <c r="G46" s="3" t="n"/>
      <c r="H46" s="3" t="n"/>
    </row>
    <row r="47">
      <c r="A47" t="inlineStr">
        <is>
          <t>Other Intangible Assets</t>
        </is>
      </c>
      <c r="B47" s="3" t="n">
        <v>5342000</v>
      </c>
      <c r="C47" s="3" t="n">
        <v>7346000</v>
      </c>
      <c r="D47" s="3" t="n">
        <v>9407000</v>
      </c>
      <c r="E47" s="3" t="n">
        <v>11143000</v>
      </c>
      <c r="F47" s="3" t="n">
        <v>15108000</v>
      </c>
      <c r="G47" s="3" t="n"/>
      <c r="H47" s="3" t="n"/>
    </row>
    <row r="48">
      <c r="A48" t="inlineStr">
        <is>
          <t>Goodwill</t>
        </is>
      </c>
      <c r="B48" s="3" t="n">
        <v>365075000</v>
      </c>
      <c r="C48" s="3" t="n">
        <v>365075000</v>
      </c>
      <c r="D48" s="3" t="n">
        <v>364742000</v>
      </c>
      <c r="E48" s="3" t="n">
        <v>361427000</v>
      </c>
      <c r="F48" s="3" t="n">
        <v>361427000</v>
      </c>
      <c r="G48" s="3" t="n"/>
      <c r="H48" s="3" t="n"/>
    </row>
    <row r="49">
      <c r="A49" t="inlineStr">
        <is>
          <t>Net PPE</t>
        </is>
      </c>
      <c r="B49" s="3" t="n">
        <v>815733000</v>
      </c>
      <c r="C49" s="3" t="n">
        <v>772997000</v>
      </c>
      <c r="D49" s="3" t="n">
        <v>760745000</v>
      </c>
      <c r="E49" s="3" t="n">
        <v>735321000</v>
      </c>
      <c r="F49" s="3" t="n">
        <v>641950000</v>
      </c>
      <c r="G49" s="3" t="n"/>
      <c r="H49" s="3" t="n"/>
    </row>
    <row r="50">
      <c r="A50" t="inlineStr">
        <is>
          <t>Accumulated Depreciation</t>
        </is>
      </c>
      <c r="B50" s="3" t="n">
        <v>-640818000</v>
      </c>
      <c r="C50" s="3" t="n">
        <v>-625656000</v>
      </c>
      <c r="D50" s="3" t="n">
        <v>-608802000</v>
      </c>
      <c r="E50" s="3" t="n">
        <v>-593897000</v>
      </c>
      <c r="F50" s="3" t="n">
        <v>-565647000</v>
      </c>
      <c r="G50" s="3" t="n"/>
      <c r="H50" s="3" t="n"/>
    </row>
    <row r="51">
      <c r="A51" t="inlineStr">
        <is>
          <t>Gross PPE</t>
        </is>
      </c>
      <c r="B51" s="3" t="n">
        <v>1456551000</v>
      </c>
      <c r="C51" s="3" t="n">
        <v>1398653000</v>
      </c>
      <c r="D51" s="3" t="n">
        <v>1369547000</v>
      </c>
      <c r="E51" s="3" t="n">
        <v>1329218000</v>
      </c>
      <c r="F51" s="3" t="n">
        <v>1207597000</v>
      </c>
      <c r="G51" s="3" t="n"/>
      <c r="H51" s="3" t="n"/>
    </row>
    <row r="52">
      <c r="A52" t="inlineStr">
        <is>
          <t>Leases</t>
        </is>
      </c>
      <c r="B52" s="3" t="n">
        <v>117664000</v>
      </c>
      <c r="C52" s="3" t="n">
        <v>114510000</v>
      </c>
      <c r="D52" s="3" t="n">
        <v>109499000</v>
      </c>
      <c r="E52" s="3" t="n">
        <v>106761000</v>
      </c>
      <c r="F52" s="3" t="n">
        <v>103456000</v>
      </c>
      <c r="G52" s="3" t="n"/>
      <c r="H52" s="3" t="n"/>
    </row>
    <row r="53">
      <c r="A53" t="inlineStr">
        <is>
          <t>Construction In Progress</t>
        </is>
      </c>
      <c r="B53" s="3" t="n">
        <v>101824000</v>
      </c>
      <c r="C53" s="3" t="n">
        <v>95301000</v>
      </c>
      <c r="D53" s="3" t="n">
        <v>88526000</v>
      </c>
      <c r="E53" s="3" t="n">
        <v>81111000</v>
      </c>
      <c r="F53" s="3" t="n">
        <v>73135000</v>
      </c>
      <c r="G53" s="3" t="n"/>
      <c r="H53" s="3" t="n"/>
    </row>
    <row r="54">
      <c r="A54" t="inlineStr">
        <is>
          <t>Other Properties</t>
        </is>
      </c>
      <c r="B54" s="3" t="n">
        <v>696904000</v>
      </c>
      <c r="C54" s="3" t="n">
        <v>685878000</v>
      </c>
      <c r="D54" s="3" t="n">
        <v>689207000</v>
      </c>
      <c r="E54" s="3" t="n">
        <v>682388000</v>
      </c>
      <c r="F54" s="3" t="n">
        <v>600357000</v>
      </c>
      <c r="G54" s="3" t="n"/>
      <c r="H54" s="3" t="n"/>
    </row>
    <row r="55">
      <c r="A55" t="inlineStr">
        <is>
          <t>Machinery Furniture Equipment</t>
        </is>
      </c>
      <c r="B55" s="3" t="n">
        <v>540159000</v>
      </c>
      <c r="C55" s="3" t="n">
        <v>502964000</v>
      </c>
      <c r="D55" s="3" t="n">
        <v>482315000</v>
      </c>
      <c r="E55" s="3" t="n">
        <v>458958000</v>
      </c>
      <c r="F55" s="3" t="n">
        <v>430649000</v>
      </c>
      <c r="G55" s="3" t="n"/>
      <c r="H55" s="3" t="n"/>
    </row>
    <row r="56">
      <c r="A56" t="inlineStr">
        <is>
          <t>Properties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/>
      <c r="H56" s="3" t="n"/>
    </row>
    <row r="57">
      <c r="A57" t="inlineStr">
        <is>
          <t>Current Assets</t>
        </is>
      </c>
      <c r="B57" s="3" t="n">
        <v>3049881000</v>
      </c>
      <c r="C57" s="3" t="n">
        <v>3063492000</v>
      </c>
      <c r="D57" s="3" t="n">
        <v>2652254000</v>
      </c>
      <c r="E57" s="3" t="n">
        <v>2524738000</v>
      </c>
      <c r="F57" s="3" t="n">
        <v>2400227000</v>
      </c>
      <c r="G57" s="3" t="n"/>
      <c r="H57" s="3" t="n"/>
    </row>
    <row r="58">
      <c r="A58" t="inlineStr">
        <is>
          <t>Other Current Assets</t>
        </is>
      </c>
      <c r="B58" s="3" t="n">
        <v>437017000</v>
      </c>
      <c r="C58" s="3" t="n">
        <v>356015000</v>
      </c>
      <c r="D58" s="3" t="n">
        <v>307891000</v>
      </c>
      <c r="E58" s="3" t="n">
        <v>305140000</v>
      </c>
      <c r="F58" s="3" t="n">
        <v>270988000</v>
      </c>
      <c r="G58" s="3" t="n"/>
      <c r="H58" s="3" t="n"/>
    </row>
    <row r="59">
      <c r="A59" t="inlineStr">
        <is>
          <t>Current Deferred Assets</t>
        </is>
      </c>
      <c r="B59" s="3" t="n">
        <v>143364000</v>
      </c>
      <c r="C59" s="3" t="n">
        <v>139379000</v>
      </c>
      <c r="D59" s="3" t="n">
        <v>109370000</v>
      </c>
      <c r="E59" s="3" t="n">
        <v>104795000</v>
      </c>
      <c r="F59" s="3" t="n">
        <v>101288000</v>
      </c>
      <c r="G59" s="3" t="n"/>
      <c r="H59" s="3" t="n"/>
    </row>
    <row r="60">
      <c r="A60" t="inlineStr">
        <is>
          <t>Inventory</t>
        </is>
      </c>
      <c r="B60" s="3" t="n">
        <v>77940000</v>
      </c>
      <c r="C60" s="3" t="n">
        <v>75935000</v>
      </c>
      <c r="D60" s="3" t="n">
        <v>82421000</v>
      </c>
      <c r="E60" s="3" t="n">
        <v>46812000</v>
      </c>
      <c r="F60" s="3" t="n">
        <v>37548000</v>
      </c>
      <c r="G60" s="3" t="n"/>
      <c r="H60" s="3" t="n"/>
    </row>
    <row r="61">
      <c r="A61" t="inlineStr">
        <is>
          <t>Finished Goods</t>
        </is>
      </c>
      <c r="B61" s="3" t="n">
        <v>31820000</v>
      </c>
      <c r="C61" s="3" t="n">
        <v>35965000</v>
      </c>
      <c r="D61" s="3" t="n">
        <v>36391000</v>
      </c>
      <c r="E61" s="3" t="n">
        <v>36685000</v>
      </c>
      <c r="F61" s="3" t="n">
        <v>30247000</v>
      </c>
      <c r="G61" s="3" t="n"/>
      <c r="H61" s="3" t="n"/>
    </row>
    <row r="62">
      <c r="A62" t="inlineStr">
        <is>
          <t>Raw Materials</t>
        </is>
      </c>
      <c r="B62" s="3" t="n">
        <v>46120000</v>
      </c>
      <c r="C62" s="3" t="n">
        <v>39970000</v>
      </c>
      <c r="D62" s="3" t="n">
        <v>46030000</v>
      </c>
      <c r="E62" s="3" t="n">
        <v>10127000</v>
      </c>
      <c r="F62" s="3" t="n">
        <v>7301000</v>
      </c>
      <c r="G62" s="3" t="n"/>
      <c r="H62" s="3" t="n"/>
    </row>
    <row r="63">
      <c r="A63" t="inlineStr">
        <is>
          <t>Receivables</t>
        </is>
      </c>
      <c r="B63" s="3" t="n">
        <v>886811000</v>
      </c>
      <c r="C63" s="3" t="n">
        <v>944844000</v>
      </c>
      <c r="D63" s="3" t="n">
        <v>620959000</v>
      </c>
      <c r="E63" s="3" t="n">
        <v>530481000</v>
      </c>
      <c r="F63" s="3" t="n">
        <v>411319000</v>
      </c>
      <c r="G63" s="3" t="n"/>
      <c r="H63" s="3" t="n"/>
    </row>
    <row r="64">
      <c r="A64" t="inlineStr">
        <is>
          <t>Accounts Receivable</t>
        </is>
      </c>
      <c r="B64" s="3" t="n">
        <v>886811000</v>
      </c>
      <c r="C64" s="3" t="n">
        <v>944844000</v>
      </c>
      <c r="D64" s="3" t="n">
        <v>620959000</v>
      </c>
      <c r="E64" s="3" t="n">
        <v>530481000</v>
      </c>
      <c r="F64" s="3" t="n">
        <v>411319000</v>
      </c>
      <c r="G64" s="3" t="n"/>
      <c r="H64" s="3" t="n"/>
    </row>
    <row r="65">
      <c r="A65" t="inlineStr">
        <is>
          <t>Allowance For Doubtful Accounts Receivable</t>
        </is>
      </c>
      <c r="B65" s="3" t="n">
        <v>-203000</v>
      </c>
      <c r="C65" s="3" t="n">
        <v>-203000</v>
      </c>
      <c r="D65" s="3" t="n">
        <v>-204000</v>
      </c>
      <c r="E65" s="3" t="n">
        <v>-509000</v>
      </c>
      <c r="F65" s="3" t="n">
        <v>-959000</v>
      </c>
      <c r="G65" s="3" t="n"/>
      <c r="H65" s="3" t="n"/>
    </row>
    <row r="66">
      <c r="A66" t="inlineStr">
        <is>
          <t>Gross Accounts Receivable</t>
        </is>
      </c>
      <c r="B66" s="3" t="n">
        <v>887014000</v>
      </c>
      <c r="C66" s="3" t="n">
        <v>945047000</v>
      </c>
      <c r="D66" s="3" t="n">
        <v>621163000</v>
      </c>
      <c r="E66" s="3" t="n">
        <v>530990000</v>
      </c>
      <c r="F66" s="3" t="n">
        <v>412278000</v>
      </c>
      <c r="G66" s="3" t="n"/>
      <c r="H66" s="3" t="n"/>
    </row>
    <row r="67">
      <c r="A67" t="inlineStr">
        <is>
          <t>Cash Cash Equivalents And Short Term Investments</t>
        </is>
      </c>
      <c r="B67" s="3" t="n">
        <v>1504749000</v>
      </c>
      <c r="C67" s="3" t="n">
        <v>1547319000</v>
      </c>
      <c r="D67" s="3" t="n">
        <v>1531613000</v>
      </c>
      <c r="E67" s="3" t="n">
        <v>1537510000</v>
      </c>
      <c r="F67" s="3" t="n">
        <v>1579084000</v>
      </c>
      <c r="G67" s="3" t="n"/>
      <c r="H67" s="3" t="n"/>
    </row>
    <row r="68">
      <c r="A68" t="inlineStr">
        <is>
          <t>Other Short Term Investments</t>
        </is>
      </c>
      <c r="B68" s="3" t="n">
        <v>666955000</v>
      </c>
      <c r="C68" s="3" t="n">
        <v>692446000</v>
      </c>
      <c r="D68" s="3" t="n">
        <v>678775000</v>
      </c>
      <c r="E68" s="3" t="n">
        <v>649661000</v>
      </c>
      <c r="F68" s="3" t="n">
        <v>839748000</v>
      </c>
      <c r="G68" s="3" t="n"/>
      <c r="H68" s="3" t="n"/>
    </row>
    <row r="69">
      <c r="A69" t="inlineStr">
        <is>
          <t>Cash And Cash Equivalents</t>
        </is>
      </c>
      <c r="B69" s="3" t="n">
        <v>837794000</v>
      </c>
      <c r="C69" s="3" t="n">
        <v>854873000</v>
      </c>
      <c r="D69" s="3" t="n">
        <v>852838000</v>
      </c>
      <c r="E69" s="3" t="n">
        <v>887849000</v>
      </c>
      <c r="F69" s="3" t="n">
        <v>739336000</v>
      </c>
      <c r="G69" s="3" t="n"/>
      <c r="H6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Free Cash Flow</t>
        </is>
      </c>
      <c r="B2" s="3" t="n">
        <v>615741000</v>
      </c>
      <c r="C2" s="3" t="n">
        <v>526871000</v>
      </c>
      <c r="D2" s="3" t="n">
        <v>482561000</v>
      </c>
      <c r="E2" s="3" t="n">
        <v>609095000</v>
      </c>
      <c r="F2" s="3" t="n"/>
    </row>
    <row r="3">
      <c r="A3" t="inlineStr">
        <is>
          <t>Repurchase Of Capital Stock</t>
        </is>
      </c>
      <c r="B3" s="3" t="n">
        <v>-342648000</v>
      </c>
      <c r="C3" s="3" t="n">
        <v>-373977000</v>
      </c>
      <c r="D3" s="3" t="n">
        <v>-135801000</v>
      </c>
      <c r="E3" s="3" t="n">
        <v>-219068000</v>
      </c>
      <c r="F3" s="3" t="n"/>
    </row>
    <row r="4">
      <c r="A4" t="inlineStr">
        <is>
          <t>Repayment Of Debt</t>
        </is>
      </c>
      <c r="B4" s="3" t="n">
        <v>-103534000</v>
      </c>
      <c r="C4" s="3" t="n">
        <v>-8118000</v>
      </c>
      <c r="D4" s="3" t="n">
        <v>-586199000</v>
      </c>
      <c r="E4" s="3" t="n">
        <v>-257240000</v>
      </c>
      <c r="F4" s="3" t="n"/>
    </row>
    <row r="5">
      <c r="A5" t="inlineStr">
        <is>
          <t>Issuance Of Debt</t>
        </is>
      </c>
      <c r="B5" s="3" t="n">
        <v>0</v>
      </c>
      <c r="C5" s="3" t="n">
        <v>0</v>
      </c>
      <c r="D5" s="3" t="n">
        <v>106890000</v>
      </c>
      <c r="E5" s="3" t="n">
        <v>0</v>
      </c>
      <c r="F5" s="3" t="n"/>
    </row>
    <row r="6">
      <c r="A6" t="inlineStr">
        <is>
          <t>Capital Expenditure</t>
        </is>
      </c>
      <c r="B6" s="3" t="n">
        <v>-264344000</v>
      </c>
      <c r="C6" s="3" t="n">
        <v>-226727000</v>
      </c>
      <c r="D6" s="3" t="n">
        <v>-195161000</v>
      </c>
      <c r="E6" s="3" t="n">
        <v>-158139000</v>
      </c>
      <c r="F6" s="3" t="n"/>
    </row>
    <row r="7">
      <c r="A7" t="inlineStr">
        <is>
          <t>Interest Paid Supplemental Data</t>
        </is>
      </c>
      <c r="B7" s="3" t="n">
        <v>2273000</v>
      </c>
      <c r="C7" s="3" t="n">
        <v>7181000</v>
      </c>
      <c r="D7" s="3" t="n">
        <v>5834000</v>
      </c>
      <c r="E7" s="3" t="n">
        <v>1185000</v>
      </c>
      <c r="F7" s="3" t="n"/>
    </row>
    <row r="8">
      <c r="A8" t="inlineStr">
        <is>
          <t>Income Tax Paid Supplemental Data</t>
        </is>
      </c>
      <c r="B8" s="3" t="n">
        <v>32519000</v>
      </c>
      <c r="C8" s="3" t="n">
        <v>38082000</v>
      </c>
      <c r="D8" s="3" t="n">
        <v>28667000</v>
      </c>
      <c r="E8" s="3" t="n">
        <v>14391000</v>
      </c>
      <c r="F8" s="3" t="n"/>
    </row>
    <row r="9">
      <c r="A9" t="inlineStr">
        <is>
          <t>End Cash Position</t>
        </is>
      </c>
      <c r="B9" s="3" t="n">
        <v>864979000</v>
      </c>
      <c r="C9" s="3" t="n">
        <v>737750000</v>
      </c>
      <c r="D9" s="3" t="n">
        <v>712131000</v>
      </c>
      <c r="E9" s="3" t="n">
        <v>591398000</v>
      </c>
      <c r="F9" s="3" t="n"/>
    </row>
    <row r="10">
      <c r="A10" t="inlineStr">
        <is>
          <t>Beginning Cash Position</t>
        </is>
      </c>
      <c r="B10" s="3" t="n">
        <v>737750000</v>
      </c>
      <c r="C10" s="3" t="n">
        <v>712131000</v>
      </c>
      <c r="D10" s="3" t="n">
        <v>591398000</v>
      </c>
      <c r="E10" s="3" t="n">
        <v>476743000</v>
      </c>
      <c r="F10" s="3" t="n"/>
    </row>
    <row r="11">
      <c r="A11" t="inlineStr">
        <is>
          <t>Changes In Cash</t>
        </is>
      </c>
      <c r="B11" s="3" t="n">
        <v>127229000</v>
      </c>
      <c r="C11" s="3" t="n">
        <v>25619000</v>
      </c>
      <c r="D11" s="3" t="n">
        <v>120733000</v>
      </c>
      <c r="E11" s="3" t="n">
        <v>114655000</v>
      </c>
      <c r="F11" s="3" t="n"/>
    </row>
    <row r="12">
      <c r="A12" t="inlineStr">
        <is>
          <t>Financing Cash Flow</t>
        </is>
      </c>
      <c r="B12" s="3" t="n">
        <v>-644787000</v>
      </c>
      <c r="C12" s="3" t="n">
        <v>-509779000</v>
      </c>
      <c r="D12" s="3" t="n">
        <v>-560235000</v>
      </c>
      <c r="E12" s="3" t="n">
        <v>-431166000</v>
      </c>
      <c r="F12" s="3" t="n"/>
    </row>
    <row r="13">
      <c r="A13" t="inlineStr">
        <is>
          <t>Cash Flow From Continuing Financing Activities</t>
        </is>
      </c>
      <c r="B13" s="3" t="n">
        <v>-644787000</v>
      </c>
      <c r="C13" s="3" t="n">
        <v>-509779000</v>
      </c>
      <c r="D13" s="3" t="n">
        <v>-560235000</v>
      </c>
      <c r="E13" s="3" t="n">
        <v>-431166000</v>
      </c>
      <c r="F13" s="3" t="n"/>
    </row>
    <row r="14">
      <c r="A14" t="inlineStr">
        <is>
          <t>Net Other Financing Charges</t>
        </is>
      </c>
      <c r="B14" s="3" t="n">
        <v>-273024000</v>
      </c>
      <c r="C14" s="3" t="n">
        <v>-206587000</v>
      </c>
      <c r="D14" s="3" t="n">
        <v>-29984000</v>
      </c>
      <c r="E14" s="3" t="n">
        <v>-19601000</v>
      </c>
      <c r="F14" s="3" t="n"/>
    </row>
    <row r="15">
      <c r="A15" t="inlineStr">
        <is>
          <t>Proceeds From Stock Option Exercised</t>
        </is>
      </c>
      <c r="B15" s="3" t="n">
        <v>74419000</v>
      </c>
      <c r="C15" s="3" t="n">
        <v>78903000</v>
      </c>
      <c r="D15" s="3" t="n">
        <v>84859000</v>
      </c>
      <c r="E15" s="3" t="n">
        <v>64743000</v>
      </c>
      <c r="F15" s="3" t="n"/>
    </row>
    <row r="16">
      <c r="A16" t="inlineStr">
        <is>
          <t>Net Common Stock Issuance</t>
        </is>
      </c>
      <c r="B16" s="3" t="n">
        <v>-342648000</v>
      </c>
      <c r="C16" s="3" t="n">
        <v>-373977000</v>
      </c>
      <c r="D16" s="3" t="n">
        <v>-135801000</v>
      </c>
      <c r="E16" s="3" t="n">
        <v>-219068000</v>
      </c>
      <c r="F16" s="3" t="n"/>
    </row>
    <row r="17">
      <c r="A17" t="inlineStr">
        <is>
          <t>Common Stock Payments</t>
        </is>
      </c>
      <c r="B17" s="3" t="n">
        <v>-342648000</v>
      </c>
      <c r="C17" s="3" t="n">
        <v>-373977000</v>
      </c>
      <c r="D17" s="3" t="n">
        <v>-135801000</v>
      </c>
      <c r="E17" s="3" t="n">
        <v>-219068000</v>
      </c>
      <c r="F17" s="3" t="n"/>
    </row>
    <row r="18">
      <c r="A18" t="inlineStr">
        <is>
          <t>Net Issuance Payments Of Debt</t>
        </is>
      </c>
      <c r="B18" s="3" t="n">
        <v>-103534000</v>
      </c>
      <c r="C18" s="3" t="n">
        <v>-8118000</v>
      </c>
      <c r="D18" s="3" t="n">
        <v>-479309000</v>
      </c>
      <c r="E18" s="3" t="n">
        <v>-257240000</v>
      </c>
      <c r="F18" s="3" t="n"/>
    </row>
    <row r="19">
      <c r="A19" t="inlineStr">
        <is>
          <t>Net Long Term Debt Issuance</t>
        </is>
      </c>
      <c r="B19" s="3" t="n">
        <v>-103534000</v>
      </c>
      <c r="C19" s="3" t="n">
        <v>-8118000</v>
      </c>
      <c r="D19" s="3" t="n">
        <v>-479309000</v>
      </c>
      <c r="E19" s="3" t="n">
        <v>-257240000</v>
      </c>
      <c r="F19" s="3" t="n"/>
    </row>
    <row r="20">
      <c r="A20" t="inlineStr">
        <is>
          <t>Long Term Debt Payments</t>
        </is>
      </c>
      <c r="B20" s="3" t="n">
        <v>-103534000</v>
      </c>
      <c r="C20" s="3" t="n">
        <v>-8118000</v>
      </c>
      <c r="D20" s="3" t="n">
        <v>-586199000</v>
      </c>
      <c r="E20" s="3" t="n">
        <v>-257240000</v>
      </c>
      <c r="F20" s="3" t="n"/>
    </row>
    <row r="21">
      <c r="A21" t="inlineStr">
        <is>
          <t>Long Term Debt Issuance</t>
        </is>
      </c>
      <c r="B21" s="3" t="n">
        <v>0</v>
      </c>
      <c r="C21" s="3" t="n">
        <v>0</v>
      </c>
      <c r="D21" s="3" t="n">
        <v>106890000</v>
      </c>
      <c r="E21" s="3" t="n">
        <v>0</v>
      </c>
      <c r="F21" s="3" t="n"/>
    </row>
    <row r="22">
      <c r="A22" t="inlineStr">
        <is>
          <t>Investing Cash Flow</t>
        </is>
      </c>
      <c r="B22" s="3" t="n">
        <v>-108069000</v>
      </c>
      <c r="C22" s="3" t="n">
        <v>-218200000</v>
      </c>
      <c r="D22" s="3" t="n">
        <v>3246000</v>
      </c>
      <c r="E22" s="3" t="n">
        <v>-221413000</v>
      </c>
      <c r="F22" s="3" t="n"/>
    </row>
    <row r="23">
      <c r="A23" t="inlineStr">
        <is>
          <t>Cash Flow From Continuing Investing Activities</t>
        </is>
      </c>
      <c r="B23" s="3" t="n">
        <v>-108069000</v>
      </c>
      <c r="C23" s="3" t="n">
        <v>-218200000</v>
      </c>
      <c r="D23" s="3" t="n">
        <v>3246000</v>
      </c>
      <c r="E23" s="3" t="n">
        <v>-221413000</v>
      </c>
      <c r="F23" s="3" t="n"/>
    </row>
    <row r="24">
      <c r="A24" t="inlineStr">
        <is>
          <t>Net Other Investing Changes</t>
        </is>
      </c>
      <c r="B24" s="3" t="n">
        <v>-280000</v>
      </c>
      <c r="C24" s="3" t="n">
        <v>-1750000</v>
      </c>
      <c r="D24" s="3" t="n">
        <v>5000000</v>
      </c>
      <c r="E24" s="3" t="n">
        <v>-1989000</v>
      </c>
      <c r="F24" s="3" t="n"/>
    </row>
    <row r="25">
      <c r="A25" t="inlineStr">
        <is>
          <t>Net Investment Purchase And Sale</t>
        </is>
      </c>
      <c r="B25" s="3" t="n">
        <v>160818000</v>
      </c>
      <c r="C25" s="3" t="n">
        <v>10277000</v>
      </c>
      <c r="D25" s="3" t="n">
        <v>193407000</v>
      </c>
      <c r="E25" s="3" t="n">
        <v>-61285000</v>
      </c>
      <c r="F25" s="3" t="n"/>
    </row>
    <row r="26">
      <c r="A26" t="inlineStr">
        <is>
          <t>Sale Of Investment</t>
        </is>
      </c>
      <c r="B26" s="3" t="n">
        <v>622363000</v>
      </c>
      <c r="C26" s="3" t="n">
        <v>513104000</v>
      </c>
      <c r="D26" s="3" t="n">
        <v>664908000</v>
      </c>
      <c r="E26" s="3" t="n">
        <v>440150000</v>
      </c>
      <c r="F26" s="3" t="n"/>
    </row>
    <row r="27">
      <c r="A27" t="inlineStr">
        <is>
          <t>Purchase Of Investment</t>
        </is>
      </c>
      <c r="B27" s="3" t="n">
        <v>-461545000</v>
      </c>
      <c r="C27" s="3" t="n">
        <v>-502827000</v>
      </c>
      <c r="D27" s="3" t="n">
        <v>-471501000</v>
      </c>
      <c r="E27" s="3" t="n">
        <v>-501435000</v>
      </c>
      <c r="F27" s="3" t="n"/>
    </row>
    <row r="28">
      <c r="A28" t="inlineStr">
        <is>
          <t>Net Business Purchase And Sale</t>
        </is>
      </c>
      <c r="B28" s="3" t="n">
        <v>-4263000</v>
      </c>
      <c r="C28" s="3" t="n">
        <v>0</v>
      </c>
      <c r="D28" s="3" t="n">
        <v>0</v>
      </c>
      <c r="E28" s="3" t="n">
        <v>0</v>
      </c>
      <c r="F28" s="3" t="n"/>
    </row>
    <row r="29">
      <c r="A29" t="inlineStr">
        <is>
          <t>Purchase Of Business</t>
        </is>
      </c>
      <c r="B29" s="3" t="n">
        <v>-4263000</v>
      </c>
      <c r="C29" s="3" t="n">
        <v>0</v>
      </c>
      <c r="D29" s="3" t="n">
        <v>0</v>
      </c>
      <c r="E29" s="3" t="n">
        <v>0</v>
      </c>
      <c r="F29" s="3" t="n"/>
    </row>
    <row r="30">
      <c r="A30" t="inlineStr">
        <is>
          <t>Net Intangibles Purchase And Sale</t>
        </is>
      </c>
      <c r="B30" s="3" t="n"/>
      <c r="C30" s="3" t="n"/>
      <c r="D30" s="3" t="n"/>
      <c r="E30" s="3" t="n"/>
      <c r="F30" s="3" t="n">
        <v>0</v>
      </c>
    </row>
    <row r="31">
      <c r="A31" t="inlineStr">
        <is>
          <t>Purchase Of Intangibles</t>
        </is>
      </c>
      <c r="B31" s="3" t="n"/>
      <c r="C31" s="3" t="n"/>
      <c r="D31" s="3" t="n"/>
      <c r="E31" s="3" t="n"/>
      <c r="F31" s="3" t="n">
        <v>0</v>
      </c>
    </row>
    <row r="32">
      <c r="A32" t="inlineStr">
        <is>
          <t>Net PPE Purchase And Sale</t>
        </is>
      </c>
      <c r="B32" s="3" t="n">
        <v>-264344000</v>
      </c>
      <c r="C32" s="3" t="n">
        <v>-226727000</v>
      </c>
      <c r="D32" s="3" t="n">
        <v>-195161000</v>
      </c>
      <c r="E32" s="3" t="n">
        <v>-158139000</v>
      </c>
      <c r="F32" s="3" t="n"/>
    </row>
    <row r="33">
      <c r="A33" t="inlineStr">
        <is>
          <t>Purchase Of PPE</t>
        </is>
      </c>
      <c r="B33" s="3" t="n">
        <v>-264344000</v>
      </c>
      <c r="C33" s="3" t="n">
        <v>-226727000</v>
      </c>
      <c r="D33" s="3" t="n">
        <v>-195161000</v>
      </c>
      <c r="E33" s="3" t="n">
        <v>-158139000</v>
      </c>
      <c r="F33" s="3" t="n"/>
    </row>
    <row r="34">
      <c r="A34" t="inlineStr">
        <is>
          <t>Operating Cash Flow</t>
        </is>
      </c>
      <c r="B34" s="3" t="n">
        <v>880085000</v>
      </c>
      <c r="C34" s="3" t="n">
        <v>753598000</v>
      </c>
      <c r="D34" s="3" t="n">
        <v>677722000</v>
      </c>
      <c r="E34" s="3" t="n">
        <v>767234000</v>
      </c>
      <c r="F34" s="3" t="n"/>
    </row>
    <row r="35">
      <c r="A35" t="inlineStr">
        <is>
          <t>Cash Flow From Continuing Operating Activities</t>
        </is>
      </c>
      <c r="B35" s="3" t="n">
        <v>880085000</v>
      </c>
      <c r="C35" s="3" t="n">
        <v>753598000</v>
      </c>
      <c r="D35" s="3" t="n">
        <v>677722000</v>
      </c>
      <c r="E35" s="3" t="n">
        <v>767234000</v>
      </c>
      <c r="F35" s="3" t="n"/>
    </row>
    <row r="36">
      <c r="A36" t="inlineStr">
        <is>
          <t>Change In Working Capital</t>
        </is>
      </c>
      <c r="B36" s="3" t="n">
        <v>75575000</v>
      </c>
      <c r="C36" s="3" t="n">
        <v>86101000</v>
      </c>
      <c r="D36" s="3" t="n">
        <v>142243000</v>
      </c>
      <c r="E36" s="3" t="n">
        <v>258759000</v>
      </c>
      <c r="F36" s="3" t="n"/>
    </row>
    <row r="37">
      <c r="A37" t="inlineStr">
        <is>
          <t>Change In Other Working Capital</t>
        </is>
      </c>
      <c r="B37" s="3" t="n">
        <v>341245000</v>
      </c>
      <c r="C37" s="3" t="n">
        <v>176492000</v>
      </c>
      <c r="D37" s="3" t="n">
        <v>150396000</v>
      </c>
      <c r="E37" s="3" t="n">
        <v>306219000</v>
      </c>
      <c r="F37" s="3" t="n"/>
    </row>
    <row r="38">
      <c r="A38" t="inlineStr">
        <is>
          <t>Change In Other Current Liabilities</t>
        </is>
      </c>
      <c r="B38" s="3" t="n">
        <v>-46591000</v>
      </c>
      <c r="C38" s="3" t="n">
        <v>-43917000</v>
      </c>
      <c r="D38" s="3" t="n">
        <v>-31891000</v>
      </c>
      <c r="E38" s="3" t="n">
        <v>-33359000</v>
      </c>
      <c r="F38" s="3" t="n"/>
    </row>
    <row r="39">
      <c r="A39" t="inlineStr">
        <is>
          <t>Change In Other Current Assets</t>
        </is>
      </c>
      <c r="B39" s="3" t="n">
        <v>41454000</v>
      </c>
      <c r="C39" s="3" t="n">
        <v>34162000</v>
      </c>
      <c r="D39" s="3" t="n">
        <v>35499000</v>
      </c>
      <c r="E39" s="3" t="n">
        <v>33813000</v>
      </c>
      <c r="F39" s="3" t="n"/>
    </row>
    <row r="40">
      <c r="A40" t="inlineStr">
        <is>
          <t>Change In Payables And Accrued Expense</t>
        </is>
      </c>
      <c r="B40" s="3" t="n">
        <v>199188000</v>
      </c>
      <c r="C40" s="3" t="n">
        <v>60700000</v>
      </c>
      <c r="D40" s="3" t="n">
        <v>56785000</v>
      </c>
      <c r="E40" s="3" t="n">
        <v>65009000</v>
      </c>
      <c r="F40" s="3" t="n"/>
    </row>
    <row r="41">
      <c r="A41" t="inlineStr">
        <is>
          <t>Change In Accrued Expense</t>
        </is>
      </c>
      <c r="B41" s="3" t="n">
        <v>161486000</v>
      </c>
      <c r="C41" s="3" t="n">
        <v>30261000</v>
      </c>
      <c r="D41" s="3" t="n">
        <v>43317000</v>
      </c>
      <c r="E41" s="3" t="n">
        <v>72084000</v>
      </c>
      <c r="F41" s="3" t="n"/>
    </row>
    <row r="42">
      <c r="A42" t="inlineStr">
        <is>
          <t>Change In Payable</t>
        </is>
      </c>
      <c r="B42" s="3" t="n">
        <v>37702000</v>
      </c>
      <c r="C42" s="3" t="n">
        <v>30439000</v>
      </c>
      <c r="D42" s="3" t="n">
        <v>13468000</v>
      </c>
      <c r="E42" s="3" t="n">
        <v>-7075000</v>
      </c>
      <c r="F42" s="3" t="n"/>
    </row>
    <row r="43">
      <c r="A43" t="inlineStr">
        <is>
          <t>Change In Account Payable</t>
        </is>
      </c>
      <c r="B43" s="3" t="n">
        <v>37702000</v>
      </c>
      <c r="C43" s="3" t="n">
        <v>30439000</v>
      </c>
      <c r="D43" s="3" t="n">
        <v>13468000</v>
      </c>
      <c r="E43" s="3" t="n">
        <v>-7075000</v>
      </c>
      <c r="F43" s="3" t="n"/>
    </row>
    <row r="44">
      <c r="A44" t="inlineStr">
        <is>
          <t>Change In Prepaid Assets</t>
        </is>
      </c>
      <c r="B44" s="3" t="n">
        <v>-159863000</v>
      </c>
      <c r="C44" s="3" t="n">
        <v>-121657000</v>
      </c>
      <c r="D44" s="3" t="n">
        <v>-25669000</v>
      </c>
      <c r="E44" s="3" t="n">
        <v>-31580000</v>
      </c>
      <c r="F44" s="3" t="n"/>
    </row>
    <row r="45">
      <c r="A45" t="inlineStr">
        <is>
          <t>Change In Inventory</t>
        </is>
      </c>
      <c r="B45" s="3" t="n">
        <v>-35807000</v>
      </c>
      <c r="C45" s="3" t="n">
        <v>-1039000</v>
      </c>
      <c r="D45" s="3" t="n">
        <v>6810000</v>
      </c>
      <c r="E45" s="3" t="n">
        <v>-10619000</v>
      </c>
      <c r="F45" s="3" t="n"/>
    </row>
    <row r="46">
      <c r="A46" t="inlineStr">
        <is>
          <t>Change In Receivables</t>
        </is>
      </c>
      <c r="B46" s="3" t="n">
        <v>-264051000</v>
      </c>
      <c r="C46" s="3" t="n">
        <v>-18640000</v>
      </c>
      <c r="D46" s="3" t="n">
        <v>-49687000</v>
      </c>
      <c r="E46" s="3" t="n">
        <v>-70724000</v>
      </c>
      <c r="F46" s="3" t="n"/>
    </row>
    <row r="47">
      <c r="A47" t="inlineStr">
        <is>
          <t>Changes In Account Receivables</t>
        </is>
      </c>
      <c r="B47" s="3" t="n">
        <v>-264051000</v>
      </c>
      <c r="C47" s="3" t="n">
        <v>-18640000</v>
      </c>
      <c r="D47" s="3" t="n">
        <v>-49687000</v>
      </c>
      <c r="E47" s="3" t="n">
        <v>-70724000</v>
      </c>
      <c r="F47" s="3" t="n"/>
    </row>
    <row r="48">
      <c r="A48" t="inlineStr">
        <is>
          <t>Other Non Cash Items</t>
        </is>
      </c>
      <c r="B48" s="3" t="n">
        <v>-13138000</v>
      </c>
      <c r="C48" s="3" t="n">
        <v>8168000</v>
      </c>
      <c r="D48" s="3" t="n">
        <v>1559000</v>
      </c>
      <c r="E48" s="3" t="n">
        <v>7355000</v>
      </c>
      <c r="F48" s="3" t="n"/>
    </row>
    <row r="49">
      <c r="A49" t="inlineStr">
        <is>
          <t>Stock Based Compensation</t>
        </is>
      </c>
      <c r="B49" s="3" t="n">
        <v>481652000</v>
      </c>
      <c r="C49" s="3" t="n">
        <v>421306000</v>
      </c>
      <c r="D49" s="3" t="n">
        <v>331427000</v>
      </c>
      <c r="E49" s="3" t="n">
        <v>327617000</v>
      </c>
      <c r="F49" s="3" t="n"/>
    </row>
    <row r="50">
      <c r="A50" t="inlineStr">
        <is>
          <t>Asset Impairment Charge</t>
        </is>
      </c>
      <c r="B50" s="3" t="n">
        <v>0</v>
      </c>
      <c r="C50" s="3" t="n">
        <v>4630000</v>
      </c>
      <c r="D50" s="3" t="n">
        <v>16766000</v>
      </c>
      <c r="E50" s="3" t="n">
        <v>0</v>
      </c>
      <c r="F50" s="3" t="n"/>
    </row>
    <row r="51">
      <c r="A51" t="inlineStr">
        <is>
          <t>Depreciation Amortization Depletion</t>
        </is>
      </c>
      <c r="B51" s="3" t="n">
        <v>147815000</v>
      </c>
      <c r="C51" s="3" t="n">
        <v>126654000</v>
      </c>
      <c r="D51" s="3" t="n">
        <v>124416000</v>
      </c>
      <c r="E51" s="3" t="n">
        <v>100432000</v>
      </c>
      <c r="F51" s="3" t="n"/>
    </row>
    <row r="52">
      <c r="A52" t="inlineStr">
        <is>
          <t>Depreciation And Amortization</t>
        </is>
      </c>
      <c r="B52" s="3" t="n">
        <v>147815000</v>
      </c>
      <c r="C52" s="3" t="n">
        <v>126654000</v>
      </c>
      <c r="D52" s="3" t="n">
        <v>124416000</v>
      </c>
      <c r="E52" s="3" t="n">
        <v>100432000</v>
      </c>
      <c r="F52" s="3" t="n"/>
    </row>
    <row r="53">
      <c r="A53" t="inlineStr">
        <is>
          <t>Net Income From Continuing Operations</t>
        </is>
      </c>
      <c r="B53" s="3" t="n">
        <v>188181000</v>
      </c>
      <c r="C53" s="3" t="n">
        <v>106739000</v>
      </c>
      <c r="D53" s="3" t="n">
        <v>61311000</v>
      </c>
      <c r="E53" s="3" t="n">
        <v>73071000</v>
      </c>
      <c r="F53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Free Cash Flow</t>
        </is>
      </c>
      <c r="B2" s="3" t="n">
        <v>111750000</v>
      </c>
      <c r="C2" s="3" t="n">
        <v>201447000</v>
      </c>
      <c r="D2" s="3" t="n">
        <v>52574000</v>
      </c>
      <c r="E2" s="3" t="n">
        <v>150130000</v>
      </c>
      <c r="F2" s="3" t="n">
        <v>211590000</v>
      </c>
      <c r="G2" s="3" t="n"/>
      <c r="H2" s="3" t="n"/>
    </row>
    <row r="3">
      <c r="A3" t="inlineStr">
        <is>
          <t>Repurchase Of Capital Stock</t>
        </is>
      </c>
      <c r="B3" s="3" t="n">
        <v>-84103000</v>
      </c>
      <c r="C3" s="3" t="n">
        <v>-127201000</v>
      </c>
      <c r="D3" s="3" t="n">
        <v>-53269000</v>
      </c>
      <c r="E3" s="3" t="n">
        <v>-42242000</v>
      </c>
      <c r="F3" s="3" t="n">
        <v>-119936000</v>
      </c>
      <c r="G3" s="3" t="n"/>
      <c r="H3" s="3" t="n"/>
    </row>
    <row r="4">
      <c r="A4" t="inlineStr">
        <is>
          <t>Repayment Of Debt</t>
        </is>
      </c>
      <c r="B4" s="3" t="n">
        <v>-612000</v>
      </c>
      <c r="C4" s="3" t="n">
        <v>-92000</v>
      </c>
      <c r="D4" s="3" t="n">
        <v>-2317000</v>
      </c>
      <c r="E4" s="3" t="n">
        <v>-100000000</v>
      </c>
      <c r="F4" s="3" t="n">
        <v>-1125000</v>
      </c>
      <c r="G4" s="3" t="n"/>
      <c r="H4" s="3" t="n"/>
    </row>
    <row r="5">
      <c r="A5" t="inlineStr">
        <is>
          <t>Issuance Of Debt</t>
        </is>
      </c>
      <c r="B5" s="3" t="n"/>
      <c r="C5" s="3" t="n"/>
      <c r="D5" s="3" t="n"/>
      <c r="E5" s="3" t="n"/>
      <c r="F5" s="3" t="n"/>
      <c r="G5" s="3" t="n">
        <v>0</v>
      </c>
      <c r="H5" s="3" t="n">
        <v>0</v>
      </c>
    </row>
    <row r="6">
      <c r="A6" t="inlineStr">
        <is>
          <t>Capital Expenditure</t>
        </is>
      </c>
      <c r="B6" s="3" t="n">
        <v>-68414000</v>
      </c>
      <c r="C6" s="3" t="n">
        <v>-66552000</v>
      </c>
      <c r="D6" s="3" t="n">
        <v>-63419000</v>
      </c>
      <c r="E6" s="3" t="n">
        <v>-62027000</v>
      </c>
      <c r="F6" s="3" t="n">
        <v>-72346000</v>
      </c>
      <c r="G6" s="3" t="n"/>
      <c r="H6" s="3" t="n"/>
    </row>
    <row r="7">
      <c r="A7" t="inlineStr">
        <is>
          <t>Interest Paid Supplemental Data</t>
        </is>
      </c>
      <c r="B7" s="3" t="n">
        <v>0</v>
      </c>
      <c r="C7" s="3" t="n">
        <v>0</v>
      </c>
      <c r="D7" s="3" t="n">
        <v>151000</v>
      </c>
      <c r="E7" s="3" t="n">
        <v>695000</v>
      </c>
      <c r="F7" s="3" t="n">
        <v>1427000</v>
      </c>
      <c r="G7" s="3" t="n"/>
      <c r="H7" s="3" t="n"/>
    </row>
    <row r="8">
      <c r="A8" t="inlineStr">
        <is>
          <t>Income Tax Paid Supplemental Data</t>
        </is>
      </c>
      <c r="B8" s="3" t="n">
        <v>876000</v>
      </c>
      <c r="C8" s="3" t="n">
        <v>7846000</v>
      </c>
      <c r="D8" s="3" t="n">
        <v>3532000</v>
      </c>
      <c r="E8" s="3" t="n">
        <v>12868000</v>
      </c>
      <c r="F8" s="3" t="n">
        <v>8273000</v>
      </c>
      <c r="G8" s="3" t="n"/>
      <c r="H8" s="3" t="n"/>
    </row>
    <row r="9">
      <c r="A9" t="inlineStr">
        <is>
          <t>End Cash Position</t>
        </is>
      </c>
      <c r="B9" s="3" t="n">
        <v>848661000</v>
      </c>
      <c r="C9" s="3" t="n">
        <v>864979000</v>
      </c>
      <c r="D9" s="3" t="n">
        <v>874113000</v>
      </c>
      <c r="E9" s="3" t="n">
        <v>909690000</v>
      </c>
      <c r="F9" s="3" t="n">
        <v>760142000</v>
      </c>
      <c r="G9" s="3" t="n"/>
      <c r="H9" s="3" t="n"/>
    </row>
    <row r="10">
      <c r="A10" t="inlineStr">
        <is>
          <t>Beginning Cash Position</t>
        </is>
      </c>
      <c r="B10" s="3" t="n">
        <v>864979000</v>
      </c>
      <c r="C10" s="3" t="n">
        <v>874113000</v>
      </c>
      <c r="D10" s="3" t="n">
        <v>909690000</v>
      </c>
      <c r="E10" s="3" t="n">
        <v>760142000</v>
      </c>
      <c r="F10" s="3" t="n">
        <v>737750000</v>
      </c>
      <c r="G10" s="3" t="n"/>
      <c r="H10" s="3" t="n"/>
    </row>
    <row r="11">
      <c r="A11" t="inlineStr">
        <is>
          <t>Changes In Cash</t>
        </is>
      </c>
      <c r="B11" s="3" t="n">
        <v>-16318000</v>
      </c>
      <c r="C11" s="3" t="n">
        <v>-9134000</v>
      </c>
      <c r="D11" s="3" t="n">
        <v>-35577000</v>
      </c>
      <c r="E11" s="3" t="n">
        <v>149548000</v>
      </c>
      <c r="F11" s="3" t="n">
        <v>22392000</v>
      </c>
      <c r="G11" s="3" t="n"/>
      <c r="H11" s="3" t="n"/>
    </row>
    <row r="12">
      <c r="A12" t="inlineStr">
        <is>
          <t>Financing Cash Flow</t>
        </is>
      </c>
      <c r="B12" s="3" t="n">
        <v>-150988000</v>
      </c>
      <c r="C12" s="3" t="n">
        <v>-194821000</v>
      </c>
      <c r="D12" s="3" t="n">
        <v>-107820000</v>
      </c>
      <c r="E12" s="3" t="n">
        <v>-192384000</v>
      </c>
      <c r="F12" s="3" t="n">
        <v>-149762000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-150988000</v>
      </c>
      <c r="C13" s="3" t="n">
        <v>-194821000</v>
      </c>
      <c r="D13" s="3" t="n">
        <v>-107820000</v>
      </c>
      <c r="E13" s="3" t="n">
        <v>-192384000</v>
      </c>
      <c r="F13" s="3" t="n">
        <v>-149762000</v>
      </c>
      <c r="G13" s="3" t="n"/>
      <c r="H13" s="3" t="n"/>
    </row>
    <row r="14">
      <c r="A14" t="inlineStr">
        <is>
          <t>Net Other Financing Charges</t>
        </is>
      </c>
      <c r="B14" s="3" t="n">
        <v>-102920000</v>
      </c>
      <c r="C14" s="3" t="n">
        <v>-67704000</v>
      </c>
      <c r="D14" s="3" t="n">
        <v>-85779000</v>
      </c>
      <c r="E14" s="3" t="n">
        <v>-58241000</v>
      </c>
      <c r="F14" s="3" t="n">
        <v>-61300000</v>
      </c>
      <c r="G14" s="3" t="n"/>
      <c r="H14" s="3" t="n"/>
    </row>
    <row r="15">
      <c r="A15" t="inlineStr">
        <is>
          <t>Proceeds From Stock Option Exercised</t>
        </is>
      </c>
      <c r="B15" s="3" t="n">
        <v>36647000</v>
      </c>
      <c r="C15" s="3" t="n">
        <v>176000</v>
      </c>
      <c r="D15" s="3" t="n">
        <v>33545000</v>
      </c>
      <c r="E15" s="3" t="n">
        <v>8099000</v>
      </c>
      <c r="F15" s="3" t="n">
        <v>32599000</v>
      </c>
      <c r="G15" s="3" t="n"/>
      <c r="H15" s="3" t="n"/>
    </row>
    <row r="16">
      <c r="A16" t="inlineStr">
        <is>
          <t>Net Common Stock Issuance</t>
        </is>
      </c>
      <c r="B16" s="3" t="n">
        <v>-84103000</v>
      </c>
      <c r="C16" s="3" t="n">
        <v>-127201000</v>
      </c>
      <c r="D16" s="3" t="n">
        <v>-53269000</v>
      </c>
      <c r="E16" s="3" t="n">
        <v>-42242000</v>
      </c>
      <c r="F16" s="3" t="n">
        <v>-119936000</v>
      </c>
      <c r="G16" s="3" t="n"/>
      <c r="H16" s="3" t="n"/>
    </row>
    <row r="17">
      <c r="A17" t="inlineStr">
        <is>
          <t>Common Stock Payments</t>
        </is>
      </c>
      <c r="B17" s="3" t="n">
        <v>-84103000</v>
      </c>
      <c r="C17" s="3" t="n">
        <v>-127201000</v>
      </c>
      <c r="D17" s="3" t="n">
        <v>-53269000</v>
      </c>
      <c r="E17" s="3" t="n">
        <v>-42242000</v>
      </c>
      <c r="F17" s="3" t="n">
        <v>-119936000</v>
      </c>
      <c r="G17" s="3" t="n"/>
      <c r="H17" s="3" t="n"/>
    </row>
    <row r="18">
      <c r="A18" t="inlineStr">
        <is>
          <t>Net Issuance Payments Of Debt</t>
        </is>
      </c>
      <c r="B18" s="3" t="n">
        <v>-612000</v>
      </c>
      <c r="C18" s="3" t="n">
        <v>-92000</v>
      </c>
      <c r="D18" s="3" t="n">
        <v>-2317000</v>
      </c>
      <c r="E18" s="3" t="n">
        <v>-100000000</v>
      </c>
      <c r="F18" s="3" t="n">
        <v>-1125000</v>
      </c>
      <c r="G18" s="3" t="n"/>
      <c r="H18" s="3" t="n"/>
    </row>
    <row r="19">
      <c r="A19" t="inlineStr">
        <is>
          <t>Net Long Term Debt Issuance</t>
        </is>
      </c>
      <c r="B19" s="3" t="n">
        <v>-612000</v>
      </c>
      <c r="C19" s="3" t="n">
        <v>-92000</v>
      </c>
      <c r="D19" s="3" t="n">
        <v>-2317000</v>
      </c>
      <c r="E19" s="3" t="n">
        <v>-100000000</v>
      </c>
      <c r="F19" s="3" t="n">
        <v>-1125000</v>
      </c>
      <c r="G19" s="3" t="n"/>
      <c r="H19" s="3" t="n"/>
    </row>
    <row r="20">
      <c r="A20" t="inlineStr">
        <is>
          <t>Long Term Debt Payments</t>
        </is>
      </c>
      <c r="B20" s="3" t="n">
        <v>-612000</v>
      </c>
      <c r="C20" s="3" t="n">
        <v>-92000</v>
      </c>
      <c r="D20" s="3" t="n">
        <v>-2317000</v>
      </c>
      <c r="E20" s="3" t="n">
        <v>-100000000</v>
      </c>
      <c r="F20" s="3" t="n">
        <v>-1125000</v>
      </c>
      <c r="G20" s="3" t="n"/>
      <c r="H20" s="3" t="n"/>
    </row>
    <row r="21">
      <c r="A21" t="inlineStr">
        <is>
          <t>Long Term Debt Issuance</t>
        </is>
      </c>
      <c r="B21" s="3" t="n"/>
      <c r="C21" s="3" t="n"/>
      <c r="D21" s="3" t="n"/>
      <c r="E21" s="3" t="n"/>
      <c r="F21" s="3" t="n"/>
      <c r="G21" s="3" t="n">
        <v>0</v>
      </c>
      <c r="H21" s="3" t="n">
        <v>0</v>
      </c>
    </row>
    <row r="22">
      <c r="A22" t="inlineStr">
        <is>
          <t>Investing Cash Flow</t>
        </is>
      </c>
      <c r="B22" s="3" t="n">
        <v>-45494000</v>
      </c>
      <c r="C22" s="3" t="n">
        <v>-82312000</v>
      </c>
      <c r="D22" s="3" t="n">
        <v>-43750000</v>
      </c>
      <c r="E22" s="3" t="n">
        <v>129775000</v>
      </c>
      <c r="F22" s="3" t="n">
        <v>-111782000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-45494000</v>
      </c>
      <c r="C23" s="3" t="n">
        <v>-82312000</v>
      </c>
      <c r="D23" s="3" t="n">
        <v>-43750000</v>
      </c>
      <c r="E23" s="3" t="n">
        <v>129775000</v>
      </c>
      <c r="F23" s="3" t="n">
        <v>-111782000</v>
      </c>
      <c r="G23" s="3" t="n"/>
      <c r="H23" s="3" t="n"/>
    </row>
    <row r="24">
      <c r="A24" t="inlineStr">
        <is>
          <t>Net Investment Purchase And Sale</t>
        </is>
      </c>
      <c r="B24" s="3" t="n">
        <v>22920000</v>
      </c>
      <c r="C24" s="3" t="n">
        <v>-15480000</v>
      </c>
      <c r="D24" s="3" t="n">
        <v>23932000</v>
      </c>
      <c r="E24" s="3" t="n">
        <v>191802000</v>
      </c>
      <c r="F24" s="3" t="n">
        <v>-39436000</v>
      </c>
      <c r="G24" s="3" t="n"/>
      <c r="H24" s="3" t="n"/>
    </row>
    <row r="25">
      <c r="A25" t="inlineStr">
        <is>
          <t>Sale Of Investment</t>
        </is>
      </c>
      <c r="B25" s="3" t="n">
        <v>135872000</v>
      </c>
      <c r="C25" s="3" t="n">
        <v>120270000</v>
      </c>
      <c r="D25" s="3" t="n">
        <v>93599000</v>
      </c>
      <c r="E25" s="3" t="n">
        <v>333034000</v>
      </c>
      <c r="F25" s="3" t="n">
        <v>75460000</v>
      </c>
      <c r="G25" s="3" t="n"/>
      <c r="H25" s="3" t="n"/>
    </row>
    <row r="26">
      <c r="A26" t="inlineStr">
        <is>
          <t>Purchase Of Investment</t>
        </is>
      </c>
      <c r="B26" s="3" t="n">
        <v>-112952000</v>
      </c>
      <c r="C26" s="3" t="n">
        <v>-135750000</v>
      </c>
      <c r="D26" s="3" t="n">
        <v>-69667000</v>
      </c>
      <c r="E26" s="3" t="n">
        <v>-141232000</v>
      </c>
      <c r="F26" s="3" t="n">
        <v>-114896000</v>
      </c>
      <c r="G26" s="3" t="n"/>
      <c r="H26" s="3" t="n"/>
    </row>
    <row r="27">
      <c r="A27" t="inlineStr">
        <is>
          <t>Net Business Purchase And Sale</t>
        </is>
      </c>
      <c r="B27" s="3" t="n"/>
      <c r="C27" s="3" t="n">
        <v>0</v>
      </c>
      <c r="D27" s="3" t="n">
        <v>-4263000</v>
      </c>
      <c r="E27" s="3" t="n">
        <v>0</v>
      </c>
      <c r="F27" s="3" t="n">
        <v>0</v>
      </c>
      <c r="G27" s="3" t="n"/>
      <c r="H27" s="3" t="n">
        <v>6081000</v>
      </c>
    </row>
    <row r="28">
      <c r="A28" t="inlineStr">
        <is>
          <t>Purchase Of Business</t>
        </is>
      </c>
      <c r="B28" s="3" t="n"/>
      <c r="C28" s="3" t="n">
        <v>0</v>
      </c>
      <c r="D28" s="3" t="n">
        <v>-4263000</v>
      </c>
      <c r="E28" s="3" t="n">
        <v>0</v>
      </c>
      <c r="F28" s="3" t="n">
        <v>0</v>
      </c>
      <c r="G28" s="3" t="n"/>
      <c r="H28" s="3" t="n">
        <v>6081000</v>
      </c>
    </row>
    <row r="29">
      <c r="A29" t="inlineStr">
        <is>
          <t>Net PPE Purchase And Sale</t>
        </is>
      </c>
      <c r="B29" s="3" t="n">
        <v>-68414000</v>
      </c>
      <c r="C29" s="3" t="n">
        <v>-66552000</v>
      </c>
      <c r="D29" s="3" t="n">
        <v>-63419000</v>
      </c>
      <c r="E29" s="3" t="n">
        <v>-62027000</v>
      </c>
      <c r="F29" s="3" t="n">
        <v>-72346000</v>
      </c>
      <c r="G29" s="3" t="n"/>
      <c r="H29" s="3" t="n"/>
    </row>
    <row r="30">
      <c r="A30" t="inlineStr">
        <is>
          <t>Purchase Of PPE</t>
        </is>
      </c>
      <c r="B30" s="3" t="n">
        <v>-68414000</v>
      </c>
      <c r="C30" s="3" t="n">
        <v>-66552000</v>
      </c>
      <c r="D30" s="3" t="n">
        <v>-63419000</v>
      </c>
      <c r="E30" s="3" t="n">
        <v>-62027000</v>
      </c>
      <c r="F30" s="3" t="n">
        <v>-72346000</v>
      </c>
      <c r="G30" s="3" t="n"/>
      <c r="H30" s="3" t="n"/>
    </row>
    <row r="31">
      <c r="A31" t="inlineStr">
        <is>
          <t>Operating Cash Flow</t>
        </is>
      </c>
      <c r="B31" s="3" t="n">
        <v>180164000</v>
      </c>
      <c r="C31" s="3" t="n">
        <v>267999000</v>
      </c>
      <c r="D31" s="3" t="n">
        <v>115993000</v>
      </c>
      <c r="E31" s="3" t="n">
        <v>212157000</v>
      </c>
      <c r="F31" s="3" t="n">
        <v>283936000</v>
      </c>
      <c r="G31" s="3" t="n"/>
      <c r="H31" s="3" t="n"/>
    </row>
    <row r="32">
      <c r="A32" t="inlineStr">
        <is>
          <t>Cash Flow From Continuing Operating Activities</t>
        </is>
      </c>
      <c r="B32" s="3" t="n">
        <v>180164000</v>
      </c>
      <c r="C32" s="3" t="n">
        <v>267999000</v>
      </c>
      <c r="D32" s="3" t="n">
        <v>115993000</v>
      </c>
      <c r="E32" s="3" t="n">
        <v>212157000</v>
      </c>
      <c r="F32" s="3" t="n">
        <v>283936000</v>
      </c>
      <c r="G32" s="3" t="n"/>
      <c r="H32" s="3" t="n"/>
    </row>
    <row r="33">
      <c r="A33" t="inlineStr">
        <is>
          <t>Change In Working Capital</t>
        </is>
      </c>
      <c r="B33" s="3" t="n">
        <v>-10557000</v>
      </c>
      <c r="C33" s="3" t="n">
        <v>-9722000</v>
      </c>
      <c r="D33" s="3" t="n">
        <v>-117682000</v>
      </c>
      <c r="E33" s="3" t="n">
        <v>35798000</v>
      </c>
      <c r="F33" s="3" t="n">
        <v>167181000</v>
      </c>
      <c r="G33" s="3" t="n"/>
      <c r="H33" s="3" t="n"/>
    </row>
    <row r="34">
      <c r="A34" t="inlineStr">
        <is>
          <t>Change In Other Working Capital</t>
        </is>
      </c>
      <c r="B34" s="3" t="n">
        <v>137180000</v>
      </c>
      <c r="C34" s="3" t="n">
        <v>197007000</v>
      </c>
      <c r="D34" s="3" t="n">
        <v>39872000</v>
      </c>
      <c r="E34" s="3" t="n">
        <v>75781000</v>
      </c>
      <c r="F34" s="3" t="n">
        <v>28585000</v>
      </c>
      <c r="G34" s="3" t="n"/>
      <c r="H34" s="3" t="n"/>
    </row>
    <row r="35">
      <c r="A35" t="inlineStr">
        <is>
          <t>Change In Other Current Liabilities</t>
        </is>
      </c>
      <c r="B35" s="3" t="n">
        <v>-10684000</v>
      </c>
      <c r="C35" s="3" t="n">
        <v>-10999000</v>
      </c>
      <c r="D35" s="3" t="n">
        <v>-12079000</v>
      </c>
      <c r="E35" s="3" t="n">
        <v>-12275000</v>
      </c>
      <c r="F35" s="3" t="n">
        <v>-11238000</v>
      </c>
      <c r="G35" s="3" t="n"/>
      <c r="H35" s="3" t="n"/>
    </row>
    <row r="36">
      <c r="A36" t="inlineStr">
        <is>
          <t>Change In Other Current Assets</t>
        </is>
      </c>
      <c r="B36" s="3" t="n">
        <v>10574000</v>
      </c>
      <c r="C36" s="3" t="n">
        <v>10030000</v>
      </c>
      <c r="D36" s="3" t="n">
        <v>11466000</v>
      </c>
      <c r="E36" s="3" t="n">
        <v>11561000</v>
      </c>
      <c r="F36" s="3" t="n">
        <v>8397000</v>
      </c>
      <c r="G36" s="3" t="n"/>
      <c r="H36" s="3" t="n"/>
    </row>
    <row r="37">
      <c r="A37" t="inlineStr">
        <is>
          <t>Change In Payables And Accrued Expense</t>
        </is>
      </c>
      <c r="B37" s="3" t="n">
        <v>-85815000</v>
      </c>
      <c r="C37" s="3" t="n">
        <v>151261000</v>
      </c>
      <c r="D37" s="3" t="n">
        <v>50471000</v>
      </c>
      <c r="E37" s="3" t="n">
        <v>108790000</v>
      </c>
      <c r="F37" s="3" t="n">
        <v>-111334000</v>
      </c>
      <c r="G37" s="3" t="n"/>
      <c r="H37" s="3" t="n"/>
    </row>
    <row r="38">
      <c r="A38" t="inlineStr">
        <is>
          <t>Change In Accrued Expense</t>
        </is>
      </c>
      <c r="B38" s="3" t="n">
        <v>-102069000</v>
      </c>
      <c r="C38" s="3" t="n">
        <v>125616000</v>
      </c>
      <c r="D38" s="3" t="n">
        <v>35268000</v>
      </c>
      <c r="E38" s="3" t="n">
        <v>84945000</v>
      </c>
      <c r="F38" s="3" t="n">
        <v>-84343000</v>
      </c>
      <c r="G38" s="3" t="n"/>
      <c r="H38" s="3" t="n"/>
    </row>
    <row r="39">
      <c r="A39" t="inlineStr">
        <is>
          <t>Change In Payable</t>
        </is>
      </c>
      <c r="B39" s="3" t="n">
        <v>16254000</v>
      </c>
      <c r="C39" s="3" t="n">
        <v>25645000</v>
      </c>
      <c r="D39" s="3" t="n">
        <v>15203000</v>
      </c>
      <c r="E39" s="3" t="n">
        <v>23845000</v>
      </c>
      <c r="F39" s="3" t="n">
        <v>-26991000</v>
      </c>
      <c r="G39" s="3" t="n"/>
      <c r="H39" s="3" t="n"/>
    </row>
    <row r="40">
      <c r="A40" t="inlineStr">
        <is>
          <t>Change In Account Payable</t>
        </is>
      </c>
      <c r="B40" s="3" t="n">
        <v>16254000</v>
      </c>
      <c r="C40" s="3" t="n">
        <v>25645000</v>
      </c>
      <c r="D40" s="3" t="n">
        <v>15203000</v>
      </c>
      <c r="E40" s="3" t="n">
        <v>23845000</v>
      </c>
      <c r="F40" s="3" t="n">
        <v>-26991000</v>
      </c>
      <c r="G40" s="3" t="n"/>
      <c r="H40" s="3" t="n"/>
    </row>
    <row r="41">
      <c r="A41" t="inlineStr">
        <is>
          <t>Change In Prepaid Assets</t>
        </is>
      </c>
      <c r="B41" s="3" t="n">
        <v>-117076000</v>
      </c>
      <c r="C41" s="3" t="n">
        <v>-39534000</v>
      </c>
      <c r="D41" s="3" t="n">
        <v>-86928000</v>
      </c>
      <c r="E41" s="3" t="n">
        <v>-13961000</v>
      </c>
      <c r="F41" s="3" t="n">
        <v>-19440000</v>
      </c>
      <c r="G41" s="3" t="n"/>
      <c r="H41" s="3" t="n"/>
    </row>
    <row r="42">
      <c r="A42" t="inlineStr">
        <is>
          <t>Change In Inventory</t>
        </is>
      </c>
      <c r="B42" s="3" t="n">
        <v>-2768000</v>
      </c>
      <c r="C42" s="3" t="n">
        <v>6418000</v>
      </c>
      <c r="D42" s="3" t="n">
        <v>-29957000</v>
      </c>
      <c r="E42" s="3" t="n">
        <v>-14937000</v>
      </c>
      <c r="F42" s="3" t="n">
        <v>2669000</v>
      </c>
      <c r="G42" s="3" t="n"/>
      <c r="H42" s="3" t="n"/>
    </row>
    <row r="43">
      <c r="A43" t="inlineStr">
        <is>
          <t>Change In Receivables</t>
        </is>
      </c>
      <c r="B43" s="3" t="n">
        <v>58032000</v>
      </c>
      <c r="C43" s="3" t="n">
        <v>-323905000</v>
      </c>
      <c r="D43" s="3" t="n">
        <v>-90527000</v>
      </c>
      <c r="E43" s="3" t="n">
        <v>-119161000</v>
      </c>
      <c r="F43" s="3" t="n">
        <v>269542000</v>
      </c>
      <c r="G43" s="3" t="n"/>
      <c r="H43" s="3" t="n"/>
    </row>
    <row r="44">
      <c r="A44" t="inlineStr">
        <is>
          <t>Changes In Account Receivables</t>
        </is>
      </c>
      <c r="B44" s="3" t="n">
        <v>58032000</v>
      </c>
      <c r="C44" s="3" t="n">
        <v>-323905000</v>
      </c>
      <c r="D44" s="3" t="n">
        <v>-90527000</v>
      </c>
      <c r="E44" s="3" t="n">
        <v>-119161000</v>
      </c>
      <c r="F44" s="3" t="n">
        <v>269542000</v>
      </c>
      <c r="G44" s="3" t="n"/>
      <c r="H44" s="3" t="n"/>
    </row>
    <row r="45">
      <c r="A45" t="inlineStr">
        <is>
          <t>Other Non Cash Items</t>
        </is>
      </c>
      <c r="B45" s="3" t="n">
        <v>4381000</v>
      </c>
      <c r="C45" s="3" t="n">
        <v>-23846000</v>
      </c>
      <c r="D45" s="3" t="n">
        <v>3681000</v>
      </c>
      <c r="E45" s="3" t="n">
        <v>6322000</v>
      </c>
      <c r="F45" s="3" t="n">
        <v>705000</v>
      </c>
      <c r="G45" s="3" t="n"/>
      <c r="H45" s="3" t="n"/>
    </row>
    <row r="46">
      <c r="A46" t="inlineStr">
        <is>
          <t>Stock Based Compensation</t>
        </is>
      </c>
      <c r="B46" s="3" t="n">
        <v>122064000</v>
      </c>
      <c r="C46" s="3" t="n">
        <v>133497000</v>
      </c>
      <c r="D46" s="3" t="n">
        <v>134487000</v>
      </c>
      <c r="E46" s="3" t="n">
        <v>117393000</v>
      </c>
      <c r="F46" s="3" t="n">
        <v>96275000</v>
      </c>
      <c r="G46" s="3" t="n"/>
      <c r="H46" s="3" t="n"/>
    </row>
    <row r="47">
      <c r="A47" t="inlineStr">
        <is>
          <t>Asset Impairment Charge</t>
        </is>
      </c>
      <c r="B47" s="3" t="n"/>
      <c r="C47" s="3" t="n">
        <v>0</v>
      </c>
      <c r="D47" s="3" t="n">
        <v>0</v>
      </c>
      <c r="E47" s="3" t="n">
        <v>0</v>
      </c>
      <c r="F47" s="3" t="n">
        <v>0</v>
      </c>
      <c r="G47" s="3" t="n">
        <v>1360000</v>
      </c>
      <c r="H47" s="3" t="n"/>
    </row>
    <row r="48">
      <c r="A48" t="inlineStr">
        <is>
          <t>Depreciation Amortization Depletion</t>
        </is>
      </c>
      <c r="B48" s="3" t="n">
        <v>40198000</v>
      </c>
      <c r="C48" s="3" t="n">
        <v>40332000</v>
      </c>
      <c r="D48" s="3" t="n">
        <v>37786000</v>
      </c>
      <c r="E48" s="3" t="n">
        <v>35927000</v>
      </c>
      <c r="F48" s="3" t="n">
        <v>33770000</v>
      </c>
      <c r="G48" s="3" t="n"/>
      <c r="H48" s="3" t="n"/>
    </row>
    <row r="49">
      <c r="A49" t="inlineStr">
        <is>
          <t>Depreciation And Amortization</t>
        </is>
      </c>
      <c r="B49" s="3" t="n">
        <v>40198000</v>
      </c>
      <c r="C49" s="3" t="n">
        <v>40332000</v>
      </c>
      <c r="D49" s="3" t="n">
        <v>37786000</v>
      </c>
      <c r="E49" s="3" t="n">
        <v>35927000</v>
      </c>
      <c r="F49" s="3" t="n">
        <v>33770000</v>
      </c>
      <c r="G49" s="3" t="n"/>
      <c r="H49" s="3" t="n"/>
    </row>
    <row r="50">
      <c r="A50" t="inlineStr">
        <is>
          <t>Net Income From Continuing Operations</t>
        </is>
      </c>
      <c r="B50" s="3" t="n">
        <v>24078000</v>
      </c>
      <c r="C50" s="3" t="n">
        <v>100252000</v>
      </c>
      <c r="D50" s="3" t="n">
        <v>54806000</v>
      </c>
      <c r="E50" s="3" t="n">
        <v>47118000</v>
      </c>
      <c r="F50" s="3" t="n">
        <v>-13995000</v>
      </c>
      <c r="G50" s="3" t="n"/>
      <c r="H5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Revenue growth (YoY)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2026-06-20T19:56:46Z</dcterms:created>
  <dcterms:modified xsi:type="dcterms:W3CDTF">2026-06-20T19:56:47Z</dcterms:modified>
</cp:coreProperties>
</file>