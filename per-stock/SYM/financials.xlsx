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SYM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Symbotic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Specialty Industrial Machinery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25986435072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3836634368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59.67563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10.324192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0.2041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0.010880001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-0.0029300002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-0.05732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0.231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2009435008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27925000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748685000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127215411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43.05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2023-09-30</t>
        </is>
      </c>
      <c r="C2" t="inlineStr">
        <is>
          <t>2024-09-30</t>
        </is>
      </c>
      <c r="D2" t="inlineStr">
        <is>
          <t>2025-09-30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(annual)'!D41</f>
        <v/>
      </c>
      <c r="C3" s="3">
        <f>'Income stmt (annual)'!C41</f>
        <v/>
      </c>
      <c r="D3" s="3">
        <f>'Income stmt (annual)'!B41</f>
        <v/>
      </c>
      <c r="E3" s="3">
        <f>SUM('Income stmt (quarterly)'!B39:E39)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(annual)'!D39</f>
        <v/>
      </c>
      <c r="C4" s="3">
        <f>'Income stmt (annual)'!C39</f>
        <v/>
      </c>
      <c r="D4" s="3">
        <f>'Income stmt (annual)'!B39</f>
        <v/>
      </c>
      <c r="E4" s="3">
        <f>SUM('Income stmt (quarterly)'!B37:E37)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(annual)'!D35</f>
        <v/>
      </c>
      <c r="C6" s="3">
        <f>'Income stmt (annual)'!C35</f>
        <v/>
      </c>
      <c r="D6" s="3">
        <f>'Income stmt (annual)'!B35</f>
        <v/>
      </c>
      <c r="E6" s="3">
        <f>SUM('Income stmt (quarterly)'!B33:E33)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(annual)'!D4</f>
        <v/>
      </c>
      <c r="C11" s="3">
        <f>-'Cash flow (annual)'!C4</f>
        <v/>
      </c>
      <c r="D11" s="3">
        <f>-'Cash flow (annual)'!B4</f>
        <v/>
      </c>
      <c r="E11" s="3">
        <f>-SUM('Cash flow (quarterly)'!B4:E4)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Tax Effect Of Unusual Items</t>
        </is>
      </c>
      <c r="B2" s="3" t="n">
        <v>-457460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0.02</v>
      </c>
      <c r="C3" s="3" t="n">
        <v>0.21</v>
      </c>
      <c r="D3" s="3" t="n">
        <v>0.02</v>
      </c>
      <c r="E3" s="3" t="n">
        <v>0</v>
      </c>
      <c r="F3" s="3" t="n"/>
    </row>
    <row r="4">
      <c r="A4" t="inlineStr">
        <is>
          <t>Normalized EBITDA</t>
        </is>
      </c>
      <c r="B4" s="3" t="n">
        <v>-25131000</v>
      </c>
      <c r="C4" s="3" t="n">
        <v>-93245000</v>
      </c>
      <c r="D4" s="3" t="n">
        <v>-211919000</v>
      </c>
      <c r="E4" s="3" t="n">
        <v>-134386000</v>
      </c>
      <c r="F4" s="3" t="n"/>
    </row>
    <row r="5">
      <c r="A5" t="inlineStr">
        <is>
          <t>Total Unusual Items</t>
        </is>
      </c>
      <c r="B5" s="3" t="n">
        <v>-22873000</v>
      </c>
      <c r="C5" s="3" t="n">
        <v>0</v>
      </c>
      <c r="D5" s="3" t="n">
        <v>0</v>
      </c>
      <c r="E5" s="3" t="n"/>
      <c r="F5" s="3" t="n"/>
    </row>
    <row r="6">
      <c r="A6" t="inlineStr">
        <is>
          <t>Total Unusual Items Excluding Goodwill</t>
        </is>
      </c>
      <c r="B6" s="3" t="n">
        <v>-22873000</v>
      </c>
      <c r="C6" s="3" t="n">
        <v>0</v>
      </c>
      <c r="D6" s="3" t="n">
        <v>0</v>
      </c>
      <c r="E6" s="3" t="n"/>
      <c r="F6" s="3" t="n"/>
    </row>
    <row r="7">
      <c r="A7" t="inlineStr">
        <is>
          <t>Net Income From Continuing Operation Net Minority Interest</t>
        </is>
      </c>
      <c r="B7" s="3" t="n">
        <v>-16937000</v>
      </c>
      <c r="C7" s="3" t="n">
        <v>-13490000</v>
      </c>
      <c r="D7" s="3" t="n">
        <v>-23866000</v>
      </c>
      <c r="E7" s="3" t="n">
        <v>-78997000</v>
      </c>
      <c r="F7" s="3" t="n"/>
    </row>
    <row r="8">
      <c r="A8" t="inlineStr">
        <is>
          <t>Reconciled Depreciation</t>
        </is>
      </c>
      <c r="B8" s="3" t="n">
        <v>44129000</v>
      </c>
      <c r="C8" s="3" t="n">
        <v>23480000</v>
      </c>
      <c r="D8" s="3" t="n">
        <v>11311000</v>
      </c>
      <c r="E8" s="3" t="n">
        <v>5989000</v>
      </c>
      <c r="F8" s="3" t="n"/>
    </row>
    <row r="9">
      <c r="A9" t="inlineStr">
        <is>
          <t>Reconciled Cost Of Revenue</t>
        </is>
      </c>
      <c r="B9" s="3" t="n">
        <v>1824312000</v>
      </c>
      <c r="C9" s="3" t="n">
        <v>1542513000</v>
      </c>
      <c r="D9" s="3" t="n">
        <v>987152000</v>
      </c>
      <c r="E9" s="3" t="n">
        <v>493665000</v>
      </c>
      <c r="F9" s="3" t="n"/>
    </row>
    <row r="10">
      <c r="A10" t="inlineStr">
        <is>
          <t>EBITDA</t>
        </is>
      </c>
      <c r="B10" s="3" t="n">
        <v>-48004000</v>
      </c>
      <c r="C10" s="3" t="n">
        <v>-93245000</v>
      </c>
      <c r="D10" s="3" t="n">
        <v>-211919000</v>
      </c>
      <c r="E10" s="3" t="n">
        <v>-134386000</v>
      </c>
      <c r="F10" s="3" t="n"/>
    </row>
    <row r="11">
      <c r="A11" t="inlineStr">
        <is>
          <t>EBIT</t>
        </is>
      </c>
      <c r="B11" s="3" t="n">
        <v>-92133000</v>
      </c>
      <c r="C11" s="3" t="n">
        <v>-116725000</v>
      </c>
      <c r="D11" s="3" t="n">
        <v>-223230000</v>
      </c>
      <c r="E11" s="3" t="n">
        <v>-140375000</v>
      </c>
      <c r="F11" s="3" t="n"/>
    </row>
    <row r="12">
      <c r="A12" t="inlineStr">
        <is>
          <t>Normalized Income</t>
        </is>
      </c>
      <c r="B12" s="3" t="n">
        <v>5478540</v>
      </c>
      <c r="C12" s="3" t="n">
        <v>-13490000</v>
      </c>
      <c r="D12" s="3" t="n">
        <v>-23866000</v>
      </c>
      <c r="E12" s="3" t="n">
        <v>-78997000</v>
      </c>
      <c r="F12" s="3" t="n"/>
    </row>
    <row r="13">
      <c r="A13" t="inlineStr">
        <is>
          <t>Net Income From Continuing And Discontinued Operation</t>
        </is>
      </c>
      <c r="B13" s="3" t="n">
        <v>-16937000</v>
      </c>
      <c r="C13" s="3" t="n">
        <v>-13490000</v>
      </c>
      <c r="D13" s="3" t="n">
        <v>-23866000</v>
      </c>
      <c r="E13" s="3" t="n">
        <v>-78997000</v>
      </c>
      <c r="F13" s="3" t="n"/>
    </row>
    <row r="14">
      <c r="A14" t="inlineStr">
        <is>
          <t>Total Expenses</t>
        </is>
      </c>
      <c r="B14" s="3" t="n">
        <v>2339055000</v>
      </c>
      <c r="C14" s="3" t="n">
        <v>1904904000</v>
      </c>
      <c r="D14" s="3" t="n">
        <v>1400121000</v>
      </c>
      <c r="E14" s="3" t="n">
        <v>733687000</v>
      </c>
      <c r="F14" s="3" t="n"/>
    </row>
    <row r="15">
      <c r="A15" t="inlineStr">
        <is>
          <t>Total Operating Income As Reported</t>
        </is>
      </c>
      <c r="B15" s="3" t="n">
        <v>-115006000</v>
      </c>
      <c r="C15" s="3" t="n">
        <v>-116725000</v>
      </c>
      <c r="D15" s="3" t="n">
        <v>-223230000</v>
      </c>
      <c r="E15" s="3" t="n">
        <v>-140375000</v>
      </c>
      <c r="F15" s="3" t="n"/>
    </row>
    <row r="16">
      <c r="A16" t="inlineStr">
        <is>
          <t>Diluted Average Shares</t>
        </is>
      </c>
      <c r="B16" s="3" t="n">
        <v>108670159</v>
      </c>
      <c r="C16" s="3" t="n">
        <v>95697368</v>
      </c>
      <c r="D16" s="3" t="n">
        <v>64338580</v>
      </c>
      <c r="E16" s="3" t="n">
        <v>54086381</v>
      </c>
      <c r="F16" s="3" t="n"/>
    </row>
    <row r="17">
      <c r="A17" t="inlineStr">
        <is>
          <t>Basic Average Shares</t>
        </is>
      </c>
      <c r="B17" s="3" t="n">
        <v>108670159</v>
      </c>
      <c r="C17" s="3" t="n">
        <v>95697368</v>
      </c>
      <c r="D17" s="3" t="n">
        <v>64338580</v>
      </c>
      <c r="E17" s="3" t="n">
        <v>54086381</v>
      </c>
      <c r="F17" s="3" t="n"/>
    </row>
    <row r="18">
      <c r="A18" t="inlineStr">
        <is>
          <t>Diluted EPS</t>
        </is>
      </c>
      <c r="B18" s="3" t="n">
        <v>-0.16</v>
      </c>
      <c r="C18" s="3" t="n">
        <v>-0.08</v>
      </c>
      <c r="D18" s="3" t="n">
        <v>-0.37</v>
      </c>
      <c r="E18" s="3" t="n">
        <v>-0.13</v>
      </c>
      <c r="F18" s="3" t="n"/>
    </row>
    <row r="19">
      <c r="A19" t="inlineStr">
        <is>
          <t>Basic EPS</t>
        </is>
      </c>
      <c r="B19" s="3" t="n">
        <v>-0.16</v>
      </c>
      <c r="C19" s="3" t="n">
        <v>-0.08</v>
      </c>
      <c r="D19" s="3" t="n">
        <v>-0.37</v>
      </c>
      <c r="E19" s="3" t="n">
        <v>-0.13</v>
      </c>
      <c r="F19" s="3" t="n"/>
    </row>
    <row r="20">
      <c r="A20" t="inlineStr">
        <is>
          <t>Diluted NI Availto Com Stockholders</t>
        </is>
      </c>
      <c r="B20" s="3" t="n">
        <v>-16937000</v>
      </c>
      <c r="C20" s="3" t="n">
        <v>-13490000</v>
      </c>
      <c r="D20" s="3" t="n">
        <v>-23866000</v>
      </c>
      <c r="E20" s="3" t="n">
        <v>-6863000</v>
      </c>
      <c r="F20" s="3" t="n"/>
    </row>
    <row r="21">
      <c r="A21" t="inlineStr">
        <is>
          <t>Net Income Common Stockholders</t>
        </is>
      </c>
      <c r="B21" s="3" t="n">
        <v>-16937000</v>
      </c>
      <c r="C21" s="3" t="n">
        <v>-13490000</v>
      </c>
      <c r="D21" s="3" t="n">
        <v>-23866000</v>
      </c>
      <c r="E21" s="3" t="n">
        <v>-6863000</v>
      </c>
      <c r="F21" s="3" t="n"/>
    </row>
    <row r="22">
      <c r="A22" t="inlineStr">
        <is>
          <t>Otherunder Preferred Stock Dividend</t>
        </is>
      </c>
      <c r="B22" s="3" t="n"/>
      <c r="C22" s="3" t="n">
        <v>0</v>
      </c>
      <c r="D22" s="3" t="n">
        <v>0</v>
      </c>
      <c r="E22" s="3" t="n">
        <v>-72134000</v>
      </c>
      <c r="F22" s="3" t="n">
        <v>-122314000</v>
      </c>
    </row>
    <row r="23">
      <c r="A23" t="inlineStr">
        <is>
          <t>Preferred Stock Dividends</t>
        </is>
      </c>
      <c r="B23" s="3" t="n"/>
      <c r="C23" s="3" t="n"/>
      <c r="D23" s="3" t="n"/>
      <c r="E23" s="3" t="n"/>
      <c r="F23" s="3" t="n">
        <v>32919000</v>
      </c>
    </row>
    <row r="24">
      <c r="A24" t="inlineStr">
        <is>
          <t>Net Income</t>
        </is>
      </c>
      <c r="B24" s="3" t="n">
        <v>-16937000</v>
      </c>
      <c r="C24" s="3" t="n">
        <v>-13490000</v>
      </c>
      <c r="D24" s="3" t="n">
        <v>-23866000</v>
      </c>
      <c r="E24" s="3" t="n">
        <v>-78997000</v>
      </c>
      <c r="F24" s="3" t="n"/>
    </row>
    <row r="25">
      <c r="A25" t="inlineStr">
        <is>
          <t>Minority Interests</t>
        </is>
      </c>
      <c r="B25" s="3" t="n">
        <v>74095000</v>
      </c>
      <c r="C25" s="3" t="n">
        <v>71182000</v>
      </c>
      <c r="D25" s="3" t="n">
        <v>184028000</v>
      </c>
      <c r="E25" s="3" t="n">
        <v>60092000</v>
      </c>
      <c r="F25" s="3" t="n"/>
    </row>
    <row r="26">
      <c r="A26" t="inlineStr">
        <is>
          <t>Net Income Including Noncontrolling Interests</t>
        </is>
      </c>
      <c r="B26" s="3" t="n">
        <v>-91032000</v>
      </c>
      <c r="C26" s="3" t="n">
        <v>-84672000</v>
      </c>
      <c r="D26" s="3" t="n">
        <v>-207894000</v>
      </c>
      <c r="E26" s="3" t="n">
        <v>-139089000</v>
      </c>
      <c r="F26" s="3" t="n"/>
    </row>
    <row r="27">
      <c r="A27" t="inlineStr">
        <is>
          <t>Net Income Continuous Operations</t>
        </is>
      </c>
      <c r="B27" s="3" t="n">
        <v>-91032000</v>
      </c>
      <c r="C27" s="3" t="n">
        <v>-84672000</v>
      </c>
      <c r="D27" s="3" t="n">
        <v>-207894000</v>
      </c>
      <c r="E27" s="3" t="n">
        <v>-139089000</v>
      </c>
      <c r="F27" s="3" t="n"/>
    </row>
    <row r="28">
      <c r="A28" t="inlineStr">
        <is>
          <t>Earnings From Equity Interest Net Of Tax</t>
        </is>
      </c>
      <c r="B28" s="3" t="n">
        <v>-13716000</v>
      </c>
      <c r="C28" s="3" t="n">
        <v>-777000</v>
      </c>
      <c r="D28" s="3" t="n">
        <v>0</v>
      </c>
      <c r="E28" s="3" t="n">
        <v>0</v>
      </c>
      <c r="F28" s="3" t="n"/>
    </row>
    <row r="29">
      <c r="A29" t="inlineStr">
        <is>
          <t>Tax Provision</t>
        </is>
      </c>
      <c r="B29" s="3" t="n">
        <v>-1627000</v>
      </c>
      <c r="C29" s="3" t="n">
        <v>4212000</v>
      </c>
      <c r="D29" s="3" t="n">
        <v>-4620000</v>
      </c>
      <c r="E29" s="3" t="n">
        <v>0</v>
      </c>
      <c r="F29" s="3" t="n"/>
    </row>
    <row r="30">
      <c r="A30" t="inlineStr">
        <is>
          <t>Pretax Income</t>
        </is>
      </c>
      <c r="B30" s="3" t="n">
        <v>-78943000</v>
      </c>
      <c r="C30" s="3" t="n">
        <v>-79683000</v>
      </c>
      <c r="D30" s="3" t="n">
        <v>-212514000</v>
      </c>
      <c r="E30" s="3" t="n">
        <v>-139089000</v>
      </c>
      <c r="F30" s="3" t="n"/>
    </row>
    <row r="31">
      <c r="A31" t="inlineStr">
        <is>
          <t>Other Income Expense</t>
        </is>
      </c>
      <c r="B31" s="3" t="n">
        <v>13190000</v>
      </c>
      <c r="C31" s="3" t="n">
        <v>37042000</v>
      </c>
      <c r="D31" s="3" t="n">
        <v>10716000</v>
      </c>
      <c r="E31" s="3" t="n">
        <v>1286000</v>
      </c>
      <c r="F31" s="3" t="n"/>
    </row>
    <row r="32">
      <c r="A32" t="inlineStr">
        <is>
          <t>Other Non Operating Income Expenses</t>
        </is>
      </c>
      <c r="B32" s="3" t="n">
        <v>36063000</v>
      </c>
      <c r="C32" s="3" t="n">
        <v>37042000</v>
      </c>
      <c r="D32" s="3" t="n">
        <v>10716000</v>
      </c>
      <c r="E32" s="3" t="n">
        <v>1286000</v>
      </c>
      <c r="F32" s="3" t="n"/>
    </row>
    <row r="33">
      <c r="A33" t="inlineStr">
        <is>
          <t>Special Income Charges</t>
        </is>
      </c>
      <c r="B33" s="3" t="n">
        <v>-22873000</v>
      </c>
      <c r="C33" s="3" t="n">
        <v>0</v>
      </c>
      <c r="D33" s="3" t="n">
        <v>0</v>
      </c>
      <c r="E33" s="3" t="n"/>
      <c r="F33" s="3" t="n"/>
    </row>
    <row r="34">
      <c r="A34" t="inlineStr">
        <is>
          <t>Restructuring And Mergern Acquisition</t>
        </is>
      </c>
      <c r="B34" s="3" t="n">
        <v>22873000</v>
      </c>
      <c r="C34" s="3" t="n">
        <v>0</v>
      </c>
      <c r="D34" s="3" t="n">
        <v>0</v>
      </c>
      <c r="E34" s="3" t="n"/>
      <c r="F34" s="3" t="n"/>
    </row>
    <row r="35">
      <c r="A35" t="inlineStr">
        <is>
          <t>Operating Income</t>
        </is>
      </c>
      <c r="B35" s="3" t="n">
        <v>-92133000</v>
      </c>
      <c r="C35" s="3" t="n">
        <v>-116725000</v>
      </c>
      <c r="D35" s="3" t="n">
        <v>-223230000</v>
      </c>
      <c r="E35" s="3" t="n">
        <v>-140375000</v>
      </c>
      <c r="F35" s="3" t="n"/>
    </row>
    <row r="36">
      <c r="A36" t="inlineStr">
        <is>
          <t>Operating Expense</t>
        </is>
      </c>
      <c r="B36" s="3" t="n">
        <v>514743000</v>
      </c>
      <c r="C36" s="3" t="n">
        <v>362391000</v>
      </c>
      <c r="D36" s="3" t="n">
        <v>412969000</v>
      </c>
      <c r="E36" s="3" t="n">
        <v>240022000</v>
      </c>
      <c r="F36" s="3" t="n"/>
    </row>
    <row r="37">
      <c r="A37" t="inlineStr">
        <is>
          <t>Research And Development</t>
        </is>
      </c>
      <c r="B37" s="3" t="n">
        <v>216013000</v>
      </c>
      <c r="C37" s="3" t="n">
        <v>173457000</v>
      </c>
      <c r="D37" s="3" t="n">
        <v>195042000</v>
      </c>
      <c r="E37" s="3" t="n">
        <v>124141000</v>
      </c>
      <c r="F37" s="3" t="n"/>
    </row>
    <row r="38">
      <c r="A38" t="inlineStr">
        <is>
          <t>Selling General And Administration</t>
        </is>
      </c>
      <c r="B38" s="3" t="n">
        <v>298730000</v>
      </c>
      <c r="C38" s="3" t="n">
        <v>188934000</v>
      </c>
      <c r="D38" s="3" t="n">
        <v>217927000</v>
      </c>
      <c r="E38" s="3" t="n">
        <v>115881000</v>
      </c>
      <c r="F38" s="3" t="n"/>
    </row>
    <row r="39">
      <c r="A39" t="inlineStr">
        <is>
          <t>Gross Profit</t>
        </is>
      </c>
      <c r="B39" s="3" t="n">
        <v>422610000</v>
      </c>
      <c r="C39" s="3" t="n">
        <v>245666000</v>
      </c>
      <c r="D39" s="3" t="n">
        <v>189739000</v>
      </c>
      <c r="E39" s="3" t="n">
        <v>99647000</v>
      </c>
      <c r="F39" s="3" t="n"/>
    </row>
    <row r="40">
      <c r="A40" t="inlineStr">
        <is>
          <t>Cost Of Revenue</t>
        </is>
      </c>
      <c r="B40" s="3" t="n">
        <v>1824312000</v>
      </c>
      <c r="C40" s="3" t="n">
        <v>1542513000</v>
      </c>
      <c r="D40" s="3" t="n">
        <v>987152000</v>
      </c>
      <c r="E40" s="3" t="n">
        <v>493665000</v>
      </c>
      <c r="F40" s="3" t="n"/>
    </row>
    <row r="41">
      <c r="A41" t="inlineStr">
        <is>
          <t>Total Revenue</t>
        </is>
      </c>
      <c r="B41" s="3" t="n">
        <v>2246922000</v>
      </c>
      <c r="C41" s="3" t="n">
        <v>1788179000</v>
      </c>
      <c r="D41" s="3" t="n">
        <v>1176891000</v>
      </c>
      <c r="E41" s="3" t="n">
        <v>593312000</v>
      </c>
      <c r="F41" s="3" t="n"/>
    </row>
    <row r="42">
      <c r="A42" t="inlineStr">
        <is>
          <t>Operating Revenue</t>
        </is>
      </c>
      <c r="B42" s="3" t="n">
        <v>2246922000</v>
      </c>
      <c r="C42" s="3" t="n">
        <v>1788179000</v>
      </c>
      <c r="D42" s="3" t="n">
        <v>1176891000</v>
      </c>
      <c r="E42" s="3" t="n">
        <v>593312000</v>
      </c>
      <c r="F4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-686.4</v>
      </c>
      <c r="C2" s="3" t="n">
        <v>-117612</v>
      </c>
      <c r="D2" s="3" t="n">
        <v>-201254.913421</v>
      </c>
      <c r="E2" s="3" t="n">
        <v>-3435810</v>
      </c>
      <c r="F2" s="3" t="n">
        <v>0</v>
      </c>
    </row>
    <row r="3">
      <c r="A3" t="inlineStr">
        <is>
          <t>Tax Rate For Calcs</t>
        </is>
      </c>
      <c r="B3" s="3" t="n">
        <v>0.0572</v>
      </c>
      <c r="C3" s="3" t="n">
        <v>0.044</v>
      </c>
      <c r="D3" s="3" t="n">
        <v>0.030905</v>
      </c>
      <c r="E3" s="3" t="n">
        <v>0.21</v>
      </c>
      <c r="F3" s="3" t="n">
        <v>0.1242</v>
      </c>
    </row>
    <row r="4">
      <c r="A4" t="inlineStr">
        <is>
          <t>Normalized EBITDA</t>
        </is>
      </c>
      <c r="B4" s="3" t="n">
        <v>19974000</v>
      </c>
      <c r="C4" s="3" t="n">
        <v>21964000</v>
      </c>
      <c r="D4" s="3" t="n">
        <v>1264000</v>
      </c>
      <c r="E4" s="3" t="n">
        <v>10368000</v>
      </c>
      <c r="F4" s="3" t="n">
        <v>-8194000</v>
      </c>
    </row>
    <row r="5">
      <c r="A5" t="inlineStr">
        <is>
          <t>Total Unusual Items</t>
        </is>
      </c>
      <c r="B5" s="3" t="n">
        <v>-12000</v>
      </c>
      <c r="C5" s="3" t="n">
        <v>-2673000</v>
      </c>
      <c r="D5" s="3" t="n">
        <v>-6512000</v>
      </c>
      <c r="E5" s="3" t="n">
        <v>-16361000</v>
      </c>
      <c r="F5" s="3" t="n">
        <v>0</v>
      </c>
    </row>
    <row r="6">
      <c r="A6" t="inlineStr">
        <is>
          <t>Total Unusual Items Excluding Goodwill</t>
        </is>
      </c>
      <c r="B6" s="3" t="n">
        <v>-12000</v>
      </c>
      <c r="C6" s="3" t="n">
        <v>-2673000</v>
      </c>
      <c r="D6" s="3" t="n">
        <v>-6512000</v>
      </c>
      <c r="E6" s="3" t="n">
        <v>-16361000</v>
      </c>
      <c r="F6" s="3" t="n">
        <v>0</v>
      </c>
    </row>
    <row r="7">
      <c r="A7" t="inlineStr">
        <is>
          <t>Net Income From Continuing Operation Net Minority Interest</t>
        </is>
      </c>
      <c r="B7" s="3" t="n">
        <v>1969000</v>
      </c>
      <c r="C7" s="3" t="n">
        <v>2602000</v>
      </c>
      <c r="D7" s="3" t="n">
        <v>-3623000</v>
      </c>
      <c r="E7" s="3" t="n">
        <v>-5913000</v>
      </c>
      <c r="F7" s="3" t="n">
        <v>-1804000</v>
      </c>
    </row>
    <row r="8">
      <c r="A8" t="inlineStr">
        <is>
          <t>Reconciled Depreciation</t>
        </is>
      </c>
      <c r="B8" s="3" t="n">
        <v>13859000</v>
      </c>
      <c r="C8" s="3" t="n">
        <v>10092000</v>
      </c>
      <c r="D8" s="3" t="n">
        <v>10003000</v>
      </c>
      <c r="E8" s="3" t="n">
        <v>14202000</v>
      </c>
      <c r="F8" s="3" t="n">
        <v>12279000</v>
      </c>
    </row>
    <row r="9">
      <c r="A9" t="inlineStr">
        <is>
          <t>Reconciled Cost Of Revenue</t>
        </is>
      </c>
      <c r="B9" s="3" t="n">
        <v>526528000</v>
      </c>
      <c r="C9" s="3" t="n">
        <v>496561000</v>
      </c>
      <c r="D9" s="3" t="n">
        <v>491336000</v>
      </c>
      <c r="E9" s="3" t="n">
        <v>484499000</v>
      </c>
      <c r="F9" s="3" t="n">
        <v>438859000</v>
      </c>
    </row>
    <row r="10">
      <c r="A10" t="inlineStr">
        <is>
          <t>EBITDA</t>
        </is>
      </c>
      <c r="B10" s="3" t="n">
        <v>19962000</v>
      </c>
      <c r="C10" s="3" t="n">
        <v>19291000</v>
      </c>
      <c r="D10" s="3" t="n">
        <v>-5248000</v>
      </c>
      <c r="E10" s="3" t="n">
        <v>-5993000</v>
      </c>
      <c r="F10" s="3" t="n">
        <v>-8194000</v>
      </c>
    </row>
    <row r="11">
      <c r="A11" t="inlineStr">
        <is>
          <t>EBIT</t>
        </is>
      </c>
      <c r="B11" s="3" t="n">
        <v>6103000</v>
      </c>
      <c r="C11" s="3" t="n">
        <v>9199000</v>
      </c>
      <c r="D11" s="3" t="n">
        <v>-15251000</v>
      </c>
      <c r="E11" s="3" t="n">
        <v>-20195000</v>
      </c>
      <c r="F11" s="3" t="n">
        <v>-20473000</v>
      </c>
    </row>
    <row r="12">
      <c r="A12" t="inlineStr">
        <is>
          <t>Normalized Income</t>
        </is>
      </c>
      <c r="B12" s="3" t="n">
        <v>1980313.6</v>
      </c>
      <c r="C12" s="3" t="n">
        <v>5157388</v>
      </c>
      <c r="D12" s="3" t="n">
        <v>2687745.086579</v>
      </c>
      <c r="E12" s="3" t="n">
        <v>7012190</v>
      </c>
      <c r="F12" s="3" t="n">
        <v>-1804000</v>
      </c>
    </row>
    <row r="13">
      <c r="A13" t="inlineStr">
        <is>
          <t>Net Income From Continuing And Discontinued Operation</t>
        </is>
      </c>
      <c r="B13" s="3" t="n">
        <v>1969000</v>
      </c>
      <c r="C13" s="3" t="n">
        <v>2602000</v>
      </c>
      <c r="D13" s="3" t="n">
        <v>-3623000</v>
      </c>
      <c r="E13" s="3" t="n">
        <v>-5913000</v>
      </c>
      <c r="F13" s="3" t="n">
        <v>-1804000</v>
      </c>
    </row>
    <row r="14">
      <c r="A14" t="inlineStr">
        <is>
          <t>Total Expenses</t>
        </is>
      </c>
      <c r="B14" s="3" t="n">
        <v>670377000</v>
      </c>
      <c r="C14" s="3" t="n">
        <v>620786000</v>
      </c>
      <c r="D14" s="3" t="n">
        <v>633708000</v>
      </c>
      <c r="E14" s="3" t="n">
        <v>612316000</v>
      </c>
      <c r="F14" s="3" t="n">
        <v>570124000</v>
      </c>
    </row>
    <row r="15">
      <c r="A15" t="inlineStr">
        <is>
          <t>Total Operating Income As Reported</t>
        </is>
      </c>
      <c r="B15" s="3" t="n">
        <v>6091000</v>
      </c>
      <c r="C15" s="3" t="n">
        <v>6526000</v>
      </c>
      <c r="D15" s="3" t="n">
        <v>-21763000</v>
      </c>
      <c r="E15" s="3" t="n">
        <v>-36556000</v>
      </c>
      <c r="F15" s="3" t="n">
        <v>-20473000</v>
      </c>
    </row>
    <row r="16">
      <c r="A16" t="inlineStr">
        <is>
          <t>Diluted Average Shares</t>
        </is>
      </c>
      <c r="B16" s="3" t="n">
        <v>134364904</v>
      </c>
      <c r="C16" s="3" t="n">
        <v>127870238</v>
      </c>
      <c r="D16" s="3" t="n">
        <v>111697093</v>
      </c>
      <c r="E16" s="3" t="n">
        <v>109201745</v>
      </c>
      <c r="F16" s="3" t="n">
        <v>107726978</v>
      </c>
    </row>
    <row r="17">
      <c r="A17" t="inlineStr">
        <is>
          <t>Basic Average Shares</t>
        </is>
      </c>
      <c r="B17" s="3" t="n">
        <v>125538207</v>
      </c>
      <c r="C17" s="3" t="n">
        <v>115474119</v>
      </c>
      <c r="D17" s="3" t="n">
        <v>111697093</v>
      </c>
      <c r="E17" s="3" t="n">
        <v>109201745</v>
      </c>
      <c r="F17" s="3" t="n">
        <v>107726978</v>
      </c>
    </row>
    <row r="18">
      <c r="A18" t="inlineStr">
        <is>
          <t>Diluted EPS</t>
        </is>
      </c>
      <c r="B18" s="3" t="n">
        <v>0.01</v>
      </c>
      <c r="C18" s="3" t="n">
        <v>0.02</v>
      </c>
      <c r="D18" s="3" t="n">
        <v>-0.03</v>
      </c>
      <c r="E18" s="3" t="n">
        <v>-0.05</v>
      </c>
      <c r="F18" s="3" t="n">
        <v>-0.04</v>
      </c>
    </row>
    <row r="19">
      <c r="A19" t="inlineStr">
        <is>
          <t>Basic EPS</t>
        </is>
      </c>
      <c r="B19" s="3" t="n">
        <v>0.02</v>
      </c>
      <c r="C19" s="3" t="n">
        <v>0.02</v>
      </c>
      <c r="D19" s="3" t="n">
        <v>-0.03</v>
      </c>
      <c r="E19" s="3" t="n">
        <v>-0.05</v>
      </c>
      <c r="F19" s="3" t="n">
        <v>-0.04</v>
      </c>
    </row>
    <row r="20">
      <c r="A20" t="inlineStr">
        <is>
          <t>Diluted NI Availto Com Stockholders</t>
        </is>
      </c>
      <c r="B20" s="3" t="n">
        <v>1969000</v>
      </c>
      <c r="C20" s="3" t="n">
        <v>2602000</v>
      </c>
      <c r="D20" s="3" t="n">
        <v>-3623000</v>
      </c>
      <c r="E20" s="3" t="n">
        <v>-5913000</v>
      </c>
      <c r="F20" s="3" t="n">
        <v>-1804000</v>
      </c>
    </row>
    <row r="21">
      <c r="A21" t="inlineStr">
        <is>
          <t>Net Income Common Stockholders</t>
        </is>
      </c>
      <c r="B21" s="3" t="n">
        <v>1969000</v>
      </c>
      <c r="C21" s="3" t="n">
        <v>2602000</v>
      </c>
      <c r="D21" s="3" t="n">
        <v>-3623000</v>
      </c>
      <c r="E21" s="3" t="n">
        <v>-5913000</v>
      </c>
      <c r="F21" s="3" t="n">
        <v>-1804000</v>
      </c>
    </row>
    <row r="22">
      <c r="A22" t="inlineStr">
        <is>
          <t>Net Income</t>
        </is>
      </c>
      <c r="B22" s="3" t="n">
        <v>1969000</v>
      </c>
      <c r="C22" s="3" t="n">
        <v>2602000</v>
      </c>
      <c r="D22" s="3" t="n">
        <v>-3623000</v>
      </c>
      <c r="E22" s="3" t="n">
        <v>-5913000</v>
      </c>
      <c r="F22" s="3" t="n">
        <v>-1804000</v>
      </c>
    </row>
    <row r="23">
      <c r="A23" t="inlineStr">
        <is>
          <t>Minority Interests</t>
        </is>
      </c>
      <c r="B23" s="3" t="n">
        <v>-7460000</v>
      </c>
      <c r="C23" s="3" t="n">
        <v>-10756000</v>
      </c>
      <c r="D23" s="3" t="n">
        <v>15526000</v>
      </c>
      <c r="E23" s="3" t="n">
        <v>26012000</v>
      </c>
      <c r="F23" s="3" t="n">
        <v>8048000</v>
      </c>
    </row>
    <row r="24">
      <c r="A24" t="inlineStr">
        <is>
          <t>Net Income Including Noncontrolling Interests</t>
        </is>
      </c>
      <c r="B24" s="3" t="n">
        <v>9429000</v>
      </c>
      <c r="C24" s="3" t="n">
        <v>13358000</v>
      </c>
      <c r="D24" s="3" t="n">
        <v>-19149000</v>
      </c>
      <c r="E24" s="3" t="n">
        <v>-31925000</v>
      </c>
      <c r="F24" s="3" t="n">
        <v>-9852000</v>
      </c>
    </row>
    <row r="25">
      <c r="A25" t="inlineStr">
        <is>
          <t>Net Income Continuous Operations</t>
        </is>
      </c>
      <c r="B25" s="3" t="n">
        <v>9429000</v>
      </c>
      <c r="C25" s="3" t="n">
        <v>13358000</v>
      </c>
      <c r="D25" s="3" t="n">
        <v>-19149000</v>
      </c>
      <c r="E25" s="3" t="n">
        <v>-31925000</v>
      </c>
      <c r="F25" s="3" t="n">
        <v>-9852000</v>
      </c>
    </row>
    <row r="26">
      <c r="A26" t="inlineStr">
        <is>
          <t>Earnings From Equity Interest Net Of Tax</t>
        </is>
      </c>
      <c r="B26" s="3" t="n">
        <v>-6945000</v>
      </c>
      <c r="C26" s="3" t="n">
        <v>-5799000</v>
      </c>
      <c r="D26" s="3" t="n">
        <v>-5885000</v>
      </c>
      <c r="E26" s="3" t="n">
        <v>-3776000</v>
      </c>
      <c r="F26" s="3" t="n">
        <v>-2490000</v>
      </c>
    </row>
    <row r="27">
      <c r="A27" t="inlineStr">
        <is>
          <t>Tax Provision</t>
        </is>
      </c>
      <c r="B27" s="3" t="n">
        <v>572000</v>
      </c>
      <c r="C27" s="3" t="n">
        <v>615000</v>
      </c>
      <c r="D27" s="3" t="n">
        <v>-423000</v>
      </c>
      <c r="E27" s="3" t="n">
        <v>44000</v>
      </c>
      <c r="F27" s="3" t="n">
        <v>-1397000</v>
      </c>
    </row>
    <row r="28">
      <c r="A28" t="inlineStr">
        <is>
          <t>Pretax Income</t>
        </is>
      </c>
      <c r="B28" s="3" t="n">
        <v>16946000</v>
      </c>
      <c r="C28" s="3" t="n">
        <v>19772000</v>
      </c>
      <c r="D28" s="3" t="n">
        <v>-13687000</v>
      </c>
      <c r="E28" s="3" t="n">
        <v>-28105000</v>
      </c>
      <c r="F28" s="3" t="n">
        <v>-8759000</v>
      </c>
    </row>
    <row r="29">
      <c r="A29" t="inlineStr">
        <is>
          <t>Other Income Expense</t>
        </is>
      </c>
      <c r="B29" s="3" t="n">
        <v>10843000</v>
      </c>
      <c r="C29" s="3" t="n">
        <v>10573000</v>
      </c>
      <c r="D29" s="3" t="n">
        <v>1564000</v>
      </c>
      <c r="E29" s="3" t="n">
        <v>-7910000</v>
      </c>
      <c r="F29" s="3" t="n">
        <v>11714000</v>
      </c>
    </row>
    <row r="30">
      <c r="A30" t="inlineStr">
        <is>
          <t>Other Non Operating Income Expenses</t>
        </is>
      </c>
      <c r="B30" s="3" t="n">
        <v>10855000</v>
      </c>
      <c r="C30" s="3" t="n">
        <v>13246000</v>
      </c>
      <c r="D30" s="3" t="n">
        <v>8076000</v>
      </c>
      <c r="E30" s="3" t="n">
        <v>8451000</v>
      </c>
      <c r="F30" s="3" t="n">
        <v>11714000</v>
      </c>
    </row>
    <row r="31">
      <c r="A31" t="inlineStr">
        <is>
          <t>Special Income Charges</t>
        </is>
      </c>
      <c r="B31" s="3" t="n">
        <v>-12000</v>
      </c>
      <c r="C31" s="3" t="n">
        <v>-2673000</v>
      </c>
      <c r="D31" s="3" t="n">
        <v>-6512000</v>
      </c>
      <c r="E31" s="3" t="n">
        <v>-16361000</v>
      </c>
      <c r="F31" s="3" t="n">
        <v>0</v>
      </c>
    </row>
    <row r="32">
      <c r="A32" t="inlineStr">
        <is>
          <t>Restructuring And Mergern Acquisition</t>
        </is>
      </c>
      <c r="B32" s="3" t="n">
        <v>12000</v>
      </c>
      <c r="C32" s="3" t="n">
        <v>2673000</v>
      </c>
      <c r="D32" s="3" t="n">
        <v>6512000</v>
      </c>
      <c r="E32" s="3" t="n">
        <v>16361000</v>
      </c>
      <c r="F32" s="3" t="n">
        <v>0</v>
      </c>
    </row>
    <row r="33">
      <c r="A33" t="inlineStr">
        <is>
          <t>Operating Income</t>
        </is>
      </c>
      <c r="B33" s="3" t="n">
        <v>6103000</v>
      </c>
      <c r="C33" s="3" t="n">
        <v>9199000</v>
      </c>
      <c r="D33" s="3" t="n">
        <v>-15251000</v>
      </c>
      <c r="E33" s="3" t="n">
        <v>-20195000</v>
      </c>
      <c r="F33" s="3" t="n">
        <v>-20473000</v>
      </c>
    </row>
    <row r="34">
      <c r="A34" t="inlineStr">
        <is>
          <t>Operating Expense</t>
        </is>
      </c>
      <c r="B34" s="3" t="n">
        <v>143849000</v>
      </c>
      <c r="C34" s="3" t="n">
        <v>124225000</v>
      </c>
      <c r="D34" s="3" t="n">
        <v>142372000</v>
      </c>
      <c r="E34" s="3" t="n">
        <v>127817000</v>
      </c>
      <c r="F34" s="3" t="n">
        <v>131265000</v>
      </c>
    </row>
    <row r="35">
      <c r="A35" t="inlineStr">
        <is>
          <t>Research And Development</t>
        </is>
      </c>
      <c r="B35" s="3" t="n">
        <v>51283000</v>
      </c>
      <c r="C35" s="3" t="n">
        <v>43006000</v>
      </c>
      <c r="D35" s="3" t="n">
        <v>58734000</v>
      </c>
      <c r="E35" s="3" t="n">
        <v>52147000</v>
      </c>
      <c r="F35" s="3" t="n">
        <v>57960000</v>
      </c>
    </row>
    <row r="36">
      <c r="A36" t="inlineStr">
        <is>
          <t>Selling General And Administration</t>
        </is>
      </c>
      <c r="B36" s="3" t="n">
        <v>92566000</v>
      </c>
      <c r="C36" s="3" t="n">
        <v>81219000</v>
      </c>
      <c r="D36" s="3" t="n">
        <v>83638000</v>
      </c>
      <c r="E36" s="3" t="n">
        <v>75670000</v>
      </c>
      <c r="F36" s="3" t="n">
        <v>73305000</v>
      </c>
    </row>
    <row r="37">
      <c r="A37" t="inlineStr">
        <is>
          <t>Gross Profit</t>
        </is>
      </c>
      <c r="B37" s="3" t="n">
        <v>149952000</v>
      </c>
      <c r="C37" s="3" t="n">
        <v>133424000</v>
      </c>
      <c r="D37" s="3" t="n">
        <v>127121000</v>
      </c>
      <c r="E37" s="3" t="n">
        <v>107622000</v>
      </c>
      <c r="F37" s="3" t="n">
        <v>110792000</v>
      </c>
    </row>
    <row r="38">
      <c r="A38" t="inlineStr">
        <is>
          <t>Cost Of Revenue</t>
        </is>
      </c>
      <c r="B38" s="3" t="n">
        <v>526528000</v>
      </c>
      <c r="C38" s="3" t="n">
        <v>496561000</v>
      </c>
      <c r="D38" s="3" t="n">
        <v>491336000</v>
      </c>
      <c r="E38" s="3" t="n">
        <v>484499000</v>
      </c>
      <c r="F38" s="3" t="n">
        <v>438859000</v>
      </c>
    </row>
    <row r="39">
      <c r="A39" t="inlineStr">
        <is>
          <t>Total Revenue</t>
        </is>
      </c>
      <c r="B39" s="3" t="n">
        <v>676480000</v>
      </c>
      <c r="C39" s="3" t="n">
        <v>629985000</v>
      </c>
      <c r="D39" s="3" t="n">
        <v>618457000</v>
      </c>
      <c r="E39" s="3" t="n">
        <v>592121000</v>
      </c>
      <c r="F39" s="3" t="n">
        <v>549651000</v>
      </c>
    </row>
    <row r="40">
      <c r="A40" t="inlineStr">
        <is>
          <t>Operating Revenue</t>
        </is>
      </c>
      <c r="B40" s="3" t="n">
        <v>676480000</v>
      </c>
      <c r="C40" s="3" t="n">
        <v>629985000</v>
      </c>
      <c r="D40" s="3" t="n">
        <v>618457000</v>
      </c>
      <c r="E40" s="3" t="n">
        <v>592121000</v>
      </c>
      <c r="F40" s="3" t="n">
        <v>549651000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112635932</v>
      </c>
      <c r="C3" s="3" t="n">
        <v>104689377</v>
      </c>
      <c r="D3" s="3" t="n">
        <v>82112881</v>
      </c>
      <c r="E3" s="3" t="n">
        <v>57718836</v>
      </c>
      <c r="F3" s="3" t="n"/>
    </row>
    <row r="4">
      <c r="A4" t="inlineStr">
        <is>
          <t>Share Issued</t>
        </is>
      </c>
      <c r="B4" s="3" t="n">
        <v>112635932</v>
      </c>
      <c r="C4" s="3" t="n">
        <v>104689377</v>
      </c>
      <c r="D4" s="3" t="n">
        <v>82112881</v>
      </c>
      <c r="E4" s="3" t="n">
        <v>57718836</v>
      </c>
      <c r="F4" s="3" t="n"/>
    </row>
    <row r="5">
      <c r="A5" t="inlineStr">
        <is>
          <t>Tangible Book Value</t>
        </is>
      </c>
      <c r="B5" s="3" t="n">
        <v>82298000</v>
      </c>
      <c r="C5" s="3" t="n">
        <v>193569000</v>
      </c>
      <c r="D5" s="3" t="n">
        <v>-135000</v>
      </c>
      <c r="E5" s="3" t="n">
        <v>6534000</v>
      </c>
      <c r="F5" s="3" t="n"/>
    </row>
    <row r="6">
      <c r="A6" t="inlineStr">
        <is>
          <t>Invested Capital</t>
        </is>
      </c>
      <c r="B6" s="3" t="n">
        <v>221318000</v>
      </c>
      <c r="C6" s="3" t="n">
        <v>197233000</v>
      </c>
      <c r="D6" s="3" t="n">
        <v>82000</v>
      </c>
      <c r="E6" s="3" t="n">
        <v>7184000</v>
      </c>
      <c r="F6" s="3" t="n"/>
    </row>
    <row r="7">
      <c r="A7" t="inlineStr">
        <is>
          <t>Working Capital</t>
        </is>
      </c>
      <c r="B7" s="3" t="n">
        <v>160905000</v>
      </c>
      <c r="C7" s="3" t="n">
        <v>338391000</v>
      </c>
      <c r="D7" s="3" t="n">
        <v>-33664000</v>
      </c>
      <c r="E7" s="3" t="n">
        <v>82441000</v>
      </c>
      <c r="F7" s="3" t="n"/>
    </row>
    <row r="8">
      <c r="A8" t="inlineStr">
        <is>
          <t>Net Tangible Assets</t>
        </is>
      </c>
      <c r="B8" s="3" t="n">
        <v>82298000</v>
      </c>
      <c r="C8" s="3" t="n">
        <v>193569000</v>
      </c>
      <c r="D8" s="3" t="n">
        <v>-135000</v>
      </c>
      <c r="E8" s="3" t="n">
        <v>6534000</v>
      </c>
      <c r="F8" s="3" t="n"/>
    </row>
    <row r="9">
      <c r="A9" t="inlineStr">
        <is>
          <t>Common Stock Equity</t>
        </is>
      </c>
      <c r="B9" s="3" t="n">
        <v>221318000</v>
      </c>
      <c r="C9" s="3" t="n">
        <v>197233000</v>
      </c>
      <c r="D9" s="3" t="n">
        <v>82000</v>
      </c>
      <c r="E9" s="3" t="n">
        <v>7184000</v>
      </c>
      <c r="F9" s="3" t="n"/>
    </row>
    <row r="10">
      <c r="A10" t="inlineStr">
        <is>
          <t>Total Capitalization</t>
        </is>
      </c>
      <c r="B10" s="3" t="n">
        <v>221318000</v>
      </c>
      <c r="C10" s="3" t="n">
        <v>197233000</v>
      </c>
      <c r="D10" s="3" t="n">
        <v>82000</v>
      </c>
      <c r="E10" s="3" t="n">
        <v>7184000</v>
      </c>
      <c r="F10" s="3" t="n"/>
    </row>
    <row r="11">
      <c r="A11" t="inlineStr">
        <is>
          <t>Total Equity Gross Minority Interest</t>
        </is>
      </c>
      <c r="B11" s="3" t="n">
        <v>483213000</v>
      </c>
      <c r="C11" s="3" t="n">
        <v>390130000</v>
      </c>
      <c r="D11" s="3" t="n">
        <v>-2716000</v>
      </c>
      <c r="E11" s="3" t="n">
        <v>68940000</v>
      </c>
      <c r="F11" s="3" t="n"/>
    </row>
    <row r="12">
      <c r="A12" t="inlineStr">
        <is>
          <t>Minority Interest</t>
        </is>
      </c>
      <c r="B12" s="3" t="n">
        <v>261895000</v>
      </c>
      <c r="C12" s="3" t="n">
        <v>192897000</v>
      </c>
      <c r="D12" s="3" t="n">
        <v>-2798000</v>
      </c>
      <c r="E12" s="3" t="n">
        <v>61756000</v>
      </c>
      <c r="F12" s="3" t="n"/>
    </row>
    <row r="13">
      <c r="A13" t="inlineStr">
        <is>
          <t>Stockholders Equity</t>
        </is>
      </c>
      <c r="B13" s="3" t="n">
        <v>221318000</v>
      </c>
      <c r="C13" s="3" t="n">
        <v>197233000</v>
      </c>
      <c r="D13" s="3" t="n">
        <v>82000</v>
      </c>
      <c r="E13" s="3" t="n">
        <v>7184000</v>
      </c>
      <c r="F13" s="3" t="n"/>
    </row>
    <row r="14">
      <c r="A14" t="inlineStr">
        <is>
          <t>Gains Losses Not Affecting Retained Earnings</t>
        </is>
      </c>
      <c r="B14" s="3" t="n">
        <v>-2695000</v>
      </c>
      <c r="C14" s="3" t="n">
        <v>-2594000</v>
      </c>
      <c r="D14" s="3" t="n">
        <v>-1687000</v>
      </c>
      <c r="E14" s="3" t="n">
        <v>-2294000</v>
      </c>
      <c r="F14" s="3" t="n"/>
    </row>
    <row r="15">
      <c r="A15" t="inlineStr">
        <is>
          <t>Other Equity Adjustments</t>
        </is>
      </c>
      <c r="B15" s="3" t="n">
        <v>-2695000</v>
      </c>
      <c r="C15" s="3" t="n">
        <v>-2594000</v>
      </c>
      <c r="D15" s="3" t="n">
        <v>-1687000</v>
      </c>
      <c r="E15" s="3" t="n">
        <v>-2294000</v>
      </c>
      <c r="F15" s="3" t="n"/>
    </row>
    <row r="16">
      <c r="A16" t="inlineStr">
        <is>
          <t>Retained Earnings</t>
        </is>
      </c>
      <c r="B16" s="3" t="n">
        <v>-1340862000</v>
      </c>
      <c r="C16" s="3" t="n">
        <v>-1323925000</v>
      </c>
      <c r="D16" s="3" t="n">
        <v>-1310435000</v>
      </c>
      <c r="E16" s="3" t="n">
        <v>-1286569000</v>
      </c>
      <c r="F16" s="3" t="n"/>
    </row>
    <row r="17">
      <c r="A17" t="inlineStr">
        <is>
          <t>Additional Paid In Capital</t>
        </is>
      </c>
      <c r="B17" s="3" t="n">
        <v>1564815000</v>
      </c>
      <c r="C17" s="3" t="n">
        <v>1523692000</v>
      </c>
      <c r="D17" s="3" t="n">
        <v>1312148000</v>
      </c>
      <c r="E17" s="3" t="n">
        <v>1295991000</v>
      </c>
      <c r="F17" s="3" t="n"/>
    </row>
    <row r="18">
      <c r="A18" t="inlineStr">
        <is>
          <t>Capital Stock</t>
        </is>
      </c>
      <c r="B18" s="3" t="n">
        <v>60000</v>
      </c>
      <c r="C18" s="3" t="n">
        <v>60000</v>
      </c>
      <c r="D18" s="3" t="n">
        <v>56000</v>
      </c>
      <c r="E18" s="3" t="n">
        <v>56000</v>
      </c>
      <c r="F18" s="3" t="n"/>
    </row>
    <row r="19">
      <c r="A19" t="inlineStr">
        <is>
          <t>Common Stock</t>
        </is>
      </c>
      <c r="B19" s="3" t="n">
        <v>60000</v>
      </c>
      <c r="C19" s="3" t="n">
        <v>60000</v>
      </c>
      <c r="D19" s="3" t="n">
        <v>56000</v>
      </c>
      <c r="E19" s="3" t="n">
        <v>56000</v>
      </c>
      <c r="F19" s="3" t="n"/>
    </row>
    <row r="20">
      <c r="A20" t="inlineStr">
        <is>
          <t>Total Liabilities Net Minority Interest</t>
        </is>
      </c>
      <c r="B20" s="3" t="n">
        <v>1917984000</v>
      </c>
      <c r="C20" s="3" t="n">
        <v>1188422000</v>
      </c>
      <c r="D20" s="3" t="n">
        <v>1053426000</v>
      </c>
      <c r="E20" s="3" t="n">
        <v>562323000</v>
      </c>
      <c r="F20" s="3" t="n"/>
    </row>
    <row r="21">
      <c r="A21" t="inlineStr">
        <is>
          <t>Total Non Current Liabilities Net Minority Interest</t>
        </is>
      </c>
      <c r="B21" s="3" t="n">
        <v>188561000</v>
      </c>
      <c r="C21" s="3" t="n">
        <v>171276000</v>
      </c>
      <c r="D21" s="3" t="n">
        <v>27967000</v>
      </c>
      <c r="E21" s="3" t="n">
        <v>39366000</v>
      </c>
      <c r="F21" s="3" t="n"/>
    </row>
    <row r="22">
      <c r="A22" t="inlineStr">
        <is>
          <t>Other Non Current Liabilities</t>
        </is>
      </c>
      <c r="B22" s="3" t="n">
        <v>63629000</v>
      </c>
      <c r="C22" s="3" t="n">
        <v>42043000</v>
      </c>
      <c r="D22" s="3" t="n">
        <v>27967000</v>
      </c>
      <c r="E22" s="3" t="n">
        <v>7901000</v>
      </c>
      <c r="F22" s="3" t="n"/>
    </row>
    <row r="23">
      <c r="A23" t="inlineStr">
        <is>
          <t>Preferred Securities Outside Stock Equity</t>
        </is>
      </c>
      <c r="B23" s="3" t="n"/>
      <c r="C23" s="3" t="n"/>
      <c r="D23" s="3" t="n"/>
      <c r="E23" s="3" t="n">
        <v>0</v>
      </c>
      <c r="F23" s="3" t="n">
        <v>836260000</v>
      </c>
    </row>
    <row r="24">
      <c r="A24" t="inlineStr">
        <is>
          <t>Non Current Deferred Liabilities</t>
        </is>
      </c>
      <c r="B24" s="3" t="n">
        <v>124932000</v>
      </c>
      <c r="C24" s="3" t="n">
        <v>129233000</v>
      </c>
      <c r="D24" s="3" t="n">
        <v>0</v>
      </c>
      <c r="E24" s="3" t="n">
        <v>31465000</v>
      </c>
      <c r="F24" s="3" t="n"/>
    </row>
    <row r="25">
      <c r="A25" t="inlineStr">
        <is>
          <t>Non Current Deferred Revenue</t>
        </is>
      </c>
      <c r="B25" s="3" t="n">
        <v>124932000</v>
      </c>
      <c r="C25" s="3" t="n">
        <v>129233000</v>
      </c>
      <c r="D25" s="3" t="n">
        <v>0</v>
      </c>
      <c r="E25" s="3" t="n">
        <v>31465000</v>
      </c>
      <c r="F25" s="3" t="n"/>
    </row>
    <row r="26">
      <c r="A26" t="inlineStr">
        <is>
          <t>Current Liabilities</t>
        </is>
      </c>
      <c r="B26" s="3" t="n">
        <v>1729423000</v>
      </c>
      <c r="C26" s="3" t="n">
        <v>1017146000</v>
      </c>
      <c r="D26" s="3" t="n">
        <v>1025459000</v>
      </c>
      <c r="E26" s="3" t="n">
        <v>522957000</v>
      </c>
      <c r="F26" s="3" t="n"/>
    </row>
    <row r="27">
      <c r="A27" t="inlineStr">
        <is>
          <t>Current Deferred Liabilities</t>
        </is>
      </c>
      <c r="B27" s="3" t="n">
        <v>1242312000</v>
      </c>
      <c r="C27" s="3" t="n">
        <v>676314000</v>
      </c>
      <c r="D27" s="3" t="n">
        <v>787227000</v>
      </c>
      <c r="E27" s="3" t="n">
        <v>394244000</v>
      </c>
      <c r="F27" s="3" t="n"/>
    </row>
    <row r="28">
      <c r="A28" t="inlineStr">
        <is>
          <t>Current Deferred Revenue</t>
        </is>
      </c>
      <c r="B28" s="3" t="n">
        <v>1242312000</v>
      </c>
      <c r="C28" s="3" t="n">
        <v>676314000</v>
      </c>
      <c r="D28" s="3" t="n">
        <v>787227000</v>
      </c>
      <c r="E28" s="3" t="n">
        <v>394244000</v>
      </c>
      <c r="F28" s="3" t="n"/>
    </row>
    <row r="29">
      <c r="A29" t="inlineStr">
        <is>
          <t>Payables And Accrued Expenses</t>
        </is>
      </c>
      <c r="B29" s="3" t="n">
        <v>487111000</v>
      </c>
      <c r="C29" s="3" t="n">
        <v>340832000</v>
      </c>
      <c r="D29" s="3" t="n">
        <v>238232000</v>
      </c>
      <c r="E29" s="3" t="n">
        <v>128713000</v>
      </c>
      <c r="F29" s="3" t="n"/>
    </row>
    <row r="30">
      <c r="A30" t="inlineStr">
        <is>
          <t>Current Accrued Expenses</t>
        </is>
      </c>
      <c r="B30" s="3" t="n">
        <v>200442000</v>
      </c>
      <c r="C30" s="3" t="n">
        <v>165644000</v>
      </c>
      <c r="D30" s="3" t="n">
        <v>128314000</v>
      </c>
      <c r="E30" s="3" t="n">
        <v>47312000</v>
      </c>
      <c r="F30" s="3" t="n"/>
    </row>
    <row r="31">
      <c r="A31" t="inlineStr">
        <is>
          <t>Payables</t>
        </is>
      </c>
      <c r="B31" s="3" t="n">
        <v>286669000</v>
      </c>
      <c r="C31" s="3" t="n">
        <v>175188000</v>
      </c>
      <c r="D31" s="3" t="n">
        <v>109918000</v>
      </c>
      <c r="E31" s="3" t="n">
        <v>81401000</v>
      </c>
      <c r="F31" s="3" t="n"/>
    </row>
    <row r="32">
      <c r="A32" t="inlineStr">
        <is>
          <t>Total Tax Payable</t>
        </is>
      </c>
      <c r="B32" s="3" t="n"/>
      <c r="C32" s="3" t="n"/>
      <c r="D32" s="3" t="n">
        <v>28322000</v>
      </c>
      <c r="E32" s="3" t="n">
        <v>12953000</v>
      </c>
      <c r="F32" s="3" t="n">
        <v>18405000</v>
      </c>
    </row>
    <row r="33">
      <c r="A33" t="inlineStr">
        <is>
          <t>Accounts Payable</t>
        </is>
      </c>
      <c r="B33" s="3" t="n">
        <v>286669000</v>
      </c>
      <c r="C33" s="3" t="n">
        <v>175188000</v>
      </c>
      <c r="D33" s="3" t="n">
        <v>109918000</v>
      </c>
      <c r="E33" s="3" t="n">
        <v>68448000</v>
      </c>
      <c r="F33" s="3" t="n"/>
    </row>
    <row r="34">
      <c r="A34" t="inlineStr">
        <is>
          <t>Total Assets</t>
        </is>
      </c>
      <c r="B34" s="3" t="n">
        <v>2401197000</v>
      </c>
      <c r="C34" s="3" t="n">
        <v>1578552000</v>
      </c>
      <c r="D34" s="3" t="n">
        <v>1050710000</v>
      </c>
      <c r="E34" s="3" t="n">
        <v>631263000</v>
      </c>
      <c r="F34" s="3" t="n"/>
    </row>
    <row r="35">
      <c r="A35" t="inlineStr">
        <is>
          <t>Total Non Current Assets</t>
        </is>
      </c>
      <c r="B35" s="3" t="n">
        <v>510869000</v>
      </c>
      <c r="C35" s="3" t="n">
        <v>223015000</v>
      </c>
      <c r="D35" s="3" t="n">
        <v>58915000</v>
      </c>
      <c r="E35" s="3" t="n">
        <v>25865000</v>
      </c>
      <c r="F35" s="3" t="n"/>
    </row>
    <row r="36">
      <c r="A36" t="inlineStr">
        <is>
          <t>Other Non Current Assets</t>
        </is>
      </c>
      <c r="B36" s="3" t="n">
        <v>131166000</v>
      </c>
      <c r="C36" s="3" t="n">
        <v>40953000</v>
      </c>
      <c r="D36" s="3" t="n">
        <v>24191000</v>
      </c>
      <c r="E36" s="3" t="n">
        <v>337000</v>
      </c>
      <c r="F36" s="3" t="n"/>
    </row>
    <row r="37">
      <c r="A37" t="inlineStr">
        <is>
          <t>Investments And Advances</t>
        </is>
      </c>
      <c r="B37" s="3" t="n">
        <v>123034000</v>
      </c>
      <c r="C37" s="3" t="n">
        <v>81289000</v>
      </c>
      <c r="D37" s="3" t="n">
        <v>0</v>
      </c>
      <c r="E37" s="3" t="n"/>
      <c r="F37" s="3" t="n"/>
    </row>
    <row r="38">
      <c r="A38" t="inlineStr">
        <is>
          <t>Long Term Equity Investment</t>
        </is>
      </c>
      <c r="B38" s="3" t="n">
        <v>123034000</v>
      </c>
      <c r="C38" s="3" t="n">
        <v>81289000</v>
      </c>
      <c r="D38" s="3" t="n">
        <v>0</v>
      </c>
      <c r="E38" s="3" t="n"/>
      <c r="F38" s="3" t="n"/>
    </row>
    <row r="39">
      <c r="A39" t="inlineStr">
        <is>
          <t>Investmentsin Joint Venturesat Cost</t>
        </is>
      </c>
      <c r="B39" s="3" t="n"/>
      <c r="C39" s="3" t="n">
        <v>81289000</v>
      </c>
      <c r="D39" s="3" t="n">
        <v>0</v>
      </c>
      <c r="E39" s="3" t="n"/>
      <c r="F39" s="3" t="n"/>
    </row>
    <row r="40">
      <c r="A40" t="inlineStr">
        <is>
          <t>Goodwill And Other Intangible Assets</t>
        </is>
      </c>
      <c r="B40" s="3" t="n">
        <v>139020000</v>
      </c>
      <c r="C40" s="3" t="n">
        <v>3664000</v>
      </c>
      <c r="D40" s="3" t="n">
        <v>217000</v>
      </c>
      <c r="E40" s="3" t="n">
        <v>650000</v>
      </c>
      <c r="F40" s="3" t="n"/>
    </row>
    <row r="41">
      <c r="A41" t="inlineStr">
        <is>
          <t>Other Intangible Assets</t>
        </is>
      </c>
      <c r="B41" s="3" t="n">
        <v>79149000</v>
      </c>
      <c r="C41" s="3" t="n">
        <v>3664000</v>
      </c>
      <c r="D41" s="3" t="n">
        <v>217000</v>
      </c>
      <c r="E41" s="3" t="n">
        <v>650000</v>
      </c>
      <c r="F41" s="3" t="n"/>
    </row>
    <row r="42">
      <c r="A42" t="inlineStr">
        <is>
          <t>Goodwill</t>
        </is>
      </c>
      <c r="B42" s="3" t="n">
        <v>59871000</v>
      </c>
      <c r="C42" s="3" t="n">
        <v>0</v>
      </c>
      <c r="D42" s="3" t="n"/>
      <c r="E42" s="3" t="n"/>
      <c r="F42" s="3" t="n"/>
    </row>
    <row r="43">
      <c r="A43" t="inlineStr">
        <is>
          <t>Net PPE</t>
        </is>
      </c>
      <c r="B43" s="3" t="n">
        <v>117649000</v>
      </c>
      <c r="C43" s="3" t="n">
        <v>97109000</v>
      </c>
      <c r="D43" s="3" t="n">
        <v>34507000</v>
      </c>
      <c r="E43" s="3" t="n">
        <v>24878000</v>
      </c>
      <c r="F43" s="3" t="n"/>
    </row>
    <row r="44">
      <c r="A44" t="inlineStr">
        <is>
          <t>Accumulated Depreciation</t>
        </is>
      </c>
      <c r="B44" s="3" t="n">
        <v>-50311000</v>
      </c>
      <c r="C44" s="3" t="n">
        <v>-34123000</v>
      </c>
      <c r="D44" s="3" t="n">
        <v>-18762000</v>
      </c>
      <c r="E44" s="3" t="n">
        <v>-23844000</v>
      </c>
      <c r="F44" s="3" t="n"/>
    </row>
    <row r="45">
      <c r="A45" t="inlineStr">
        <is>
          <t>Gross PPE</t>
        </is>
      </c>
      <c r="B45" s="3" t="n">
        <v>167960000</v>
      </c>
      <c r="C45" s="3" t="n">
        <v>131232000</v>
      </c>
      <c r="D45" s="3" t="n">
        <v>53269000</v>
      </c>
      <c r="E45" s="3" t="n">
        <v>48722000</v>
      </c>
      <c r="F45" s="3" t="n"/>
    </row>
    <row r="46">
      <c r="A46" t="inlineStr">
        <is>
          <t>Leases</t>
        </is>
      </c>
      <c r="B46" s="3" t="n">
        <v>10641000</v>
      </c>
      <c r="C46" s="3" t="n">
        <v>9576000</v>
      </c>
      <c r="D46" s="3" t="n">
        <v>7194000</v>
      </c>
      <c r="E46" s="3" t="n">
        <v>2904000</v>
      </c>
      <c r="F46" s="3" t="n"/>
    </row>
    <row r="47">
      <c r="A47" t="inlineStr">
        <is>
          <t>Machinery Furniture Equipment</t>
        </is>
      </c>
      <c r="B47" s="3" t="n">
        <v>157319000</v>
      </c>
      <c r="C47" s="3" t="n">
        <v>121656000</v>
      </c>
      <c r="D47" s="3" t="n">
        <v>46075000</v>
      </c>
      <c r="E47" s="3" t="n">
        <v>45818000</v>
      </c>
      <c r="F47" s="3" t="n"/>
    </row>
    <row r="48">
      <c r="A48" t="inlineStr">
        <is>
          <t>Properties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/>
    </row>
    <row r="49">
      <c r="A49" t="inlineStr">
        <is>
          <t>Current Assets</t>
        </is>
      </c>
      <c r="B49" s="3" t="n">
        <v>1890328000</v>
      </c>
      <c r="C49" s="3" t="n">
        <v>1355537000</v>
      </c>
      <c r="D49" s="3" t="n">
        <v>991795000</v>
      </c>
      <c r="E49" s="3" t="n">
        <v>605398000</v>
      </c>
      <c r="F49" s="3" t="n"/>
    </row>
    <row r="50">
      <c r="A50" t="inlineStr">
        <is>
          <t>Other Current Assets</t>
        </is>
      </c>
      <c r="B50" s="3" t="n">
        <v>92050000</v>
      </c>
      <c r="C50" s="3" t="n">
        <v>101252000</v>
      </c>
      <c r="D50" s="3" t="n">
        <v>85236000</v>
      </c>
      <c r="E50" s="3" t="n">
        <v>25663000</v>
      </c>
      <c r="F50" s="3" t="n"/>
    </row>
    <row r="51">
      <c r="A51" t="inlineStr">
        <is>
          <t>Current Deferred Assets</t>
        </is>
      </c>
      <c r="B51" s="3" t="n">
        <v>20532000</v>
      </c>
      <c r="C51" s="3" t="n">
        <v>1058000</v>
      </c>
      <c r="D51" s="3" t="n">
        <v>34577000</v>
      </c>
      <c r="E51" s="3" t="n">
        <v>29150000</v>
      </c>
      <c r="F51" s="3" t="n"/>
    </row>
    <row r="52">
      <c r="A52" t="inlineStr">
        <is>
          <t>Prepaid Assets</t>
        </is>
      </c>
      <c r="B52" s="3" t="n"/>
      <c r="C52" s="3" t="n"/>
      <c r="D52" s="3" t="n"/>
      <c r="E52" s="3" t="n">
        <v>25663000</v>
      </c>
      <c r="F52" s="3" t="n">
        <v>6366000</v>
      </c>
    </row>
    <row r="53">
      <c r="A53" t="inlineStr">
        <is>
          <t>Inventory</t>
        </is>
      </c>
      <c r="B53" s="3" t="n">
        <v>164390000</v>
      </c>
      <c r="C53" s="3" t="n">
        <v>106136000</v>
      </c>
      <c r="D53" s="3" t="n">
        <v>136121000</v>
      </c>
      <c r="E53" s="3" t="n">
        <v>91900000</v>
      </c>
      <c r="F53" s="3" t="n"/>
    </row>
    <row r="54">
      <c r="A54" t="inlineStr">
        <is>
          <t>Finished Goods</t>
        </is>
      </c>
      <c r="B54" s="3" t="n">
        <v>30401000</v>
      </c>
      <c r="C54" s="3" t="n">
        <v>29319000</v>
      </c>
      <c r="D54" s="3" t="n">
        <v>11675000</v>
      </c>
      <c r="E54" s="3" t="n">
        <v>2901000</v>
      </c>
      <c r="F54" s="3" t="n"/>
    </row>
    <row r="55">
      <c r="A55" t="inlineStr">
        <is>
          <t>Work In Process</t>
        </is>
      </c>
      <c r="B55" s="3" t="n">
        <v>0</v>
      </c>
      <c r="C55" s="3" t="n">
        <v>4538000</v>
      </c>
      <c r="D55" s="3" t="n">
        <v>0</v>
      </c>
      <c r="E55" s="3" t="n"/>
      <c r="F55" s="3" t="n"/>
    </row>
    <row r="56">
      <c r="A56" t="inlineStr">
        <is>
          <t>Raw Materials</t>
        </is>
      </c>
      <c r="B56" s="3" t="n">
        <v>133989000</v>
      </c>
      <c r="C56" s="3" t="n">
        <v>72279000</v>
      </c>
      <c r="D56" s="3" t="n">
        <v>124446000</v>
      </c>
      <c r="E56" s="3" t="n">
        <v>88999000</v>
      </c>
      <c r="F56" s="3" t="n"/>
    </row>
    <row r="57">
      <c r="A57" t="inlineStr">
        <is>
          <t>Receivables</t>
        </is>
      </c>
      <c r="B57" s="3" t="n">
        <v>368363000</v>
      </c>
      <c r="C57" s="3" t="n">
        <v>419781000</v>
      </c>
      <c r="D57" s="3" t="n">
        <v>190355000</v>
      </c>
      <c r="E57" s="3" t="n">
        <v>105228000</v>
      </c>
      <c r="F57" s="3" t="n"/>
    </row>
    <row r="58">
      <c r="A58" t="inlineStr">
        <is>
          <t>Other Receivables</t>
        </is>
      </c>
      <c r="B58" s="3" t="n">
        <v>181658000</v>
      </c>
      <c r="C58" s="3" t="n">
        <v>218233000</v>
      </c>
      <c r="D58" s="3" t="n">
        <v>121149000</v>
      </c>
      <c r="E58" s="3" t="n">
        <v>101816000</v>
      </c>
      <c r="F58" s="3" t="n"/>
    </row>
    <row r="59">
      <c r="A59" t="inlineStr">
        <is>
          <t>Accounts Receivable</t>
        </is>
      </c>
      <c r="B59" s="3" t="n">
        <v>186705000</v>
      </c>
      <c r="C59" s="3" t="n">
        <v>201548000</v>
      </c>
      <c r="D59" s="3" t="n">
        <v>69206000</v>
      </c>
      <c r="E59" s="3" t="n">
        <v>3412000</v>
      </c>
      <c r="F59" s="3" t="n"/>
    </row>
    <row r="60">
      <c r="A60" t="inlineStr">
        <is>
          <t>Cash Cash Equivalents And Short Term Investments</t>
        </is>
      </c>
      <c r="B60" s="3" t="n">
        <v>1244993000</v>
      </c>
      <c r="C60" s="3" t="n">
        <v>727310000</v>
      </c>
      <c r="D60" s="3" t="n">
        <v>545506000</v>
      </c>
      <c r="E60" s="3" t="n">
        <v>353457000</v>
      </c>
      <c r="F60" s="3" t="n"/>
    </row>
    <row r="61">
      <c r="A61" t="inlineStr">
        <is>
          <t>Other Short Term Investments</t>
        </is>
      </c>
      <c r="B61" s="3" t="n"/>
      <c r="C61" s="3" t="n">
        <v>0</v>
      </c>
      <c r="D61" s="3" t="n">
        <v>286736000</v>
      </c>
      <c r="E61" s="3" t="n">
        <v>0</v>
      </c>
      <c r="F61" s="3" t="n"/>
    </row>
    <row r="62">
      <c r="A62" t="inlineStr">
        <is>
          <t>Cash And Cash Equivalents</t>
        </is>
      </c>
      <c r="B62" s="3" t="n">
        <v>1244993000</v>
      </c>
      <c r="C62" s="3" t="n">
        <v>727310000</v>
      </c>
      <c r="D62" s="3" t="n">
        <v>258770000</v>
      </c>
      <c r="E62" s="3" t="n">
        <v>353457000</v>
      </c>
      <c r="F6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127015993</v>
      </c>
      <c r="C2" s="3" t="n">
        <v>123225754</v>
      </c>
      <c r="D2" s="3" t="n">
        <v>112635932</v>
      </c>
      <c r="E2" s="3" t="n">
        <v>110252933</v>
      </c>
      <c r="F2" s="3" t="n">
        <v>108380772</v>
      </c>
      <c r="G2" s="3" t="n"/>
    </row>
    <row r="3">
      <c r="A3" t="inlineStr">
        <is>
          <t>Share Issued</t>
        </is>
      </c>
      <c r="B3" s="3" t="n">
        <v>127015993</v>
      </c>
      <c r="C3" s="3" t="n">
        <v>123225754</v>
      </c>
      <c r="D3" s="3" t="n">
        <v>112635932</v>
      </c>
      <c r="E3" s="3" t="n">
        <v>110252933</v>
      </c>
      <c r="F3" s="3" t="n">
        <v>108380772</v>
      </c>
      <c r="G3" s="3" t="n"/>
    </row>
    <row r="4">
      <c r="A4" t="inlineStr">
        <is>
          <t>Tangible Book Value</t>
        </is>
      </c>
      <c r="B4" s="3" t="n">
        <v>539064000</v>
      </c>
      <c r="C4" s="3" t="n">
        <v>528527000</v>
      </c>
      <c r="D4" s="3" t="n">
        <v>82298000</v>
      </c>
      <c r="E4" s="3" t="n">
        <v>67298000</v>
      </c>
      <c r="F4" s="3" t="n">
        <v>10952000</v>
      </c>
      <c r="G4" s="3" t="n"/>
    </row>
    <row r="5">
      <c r="A5" t="inlineStr">
        <is>
          <t>Invested Capital</t>
        </is>
      </c>
      <c r="B5" s="3" t="n">
        <v>686144000</v>
      </c>
      <c r="C5" s="3" t="n">
        <v>663774000</v>
      </c>
      <c r="D5" s="3" t="n">
        <v>221318000</v>
      </c>
      <c r="E5" s="3" t="n">
        <v>210753000</v>
      </c>
      <c r="F5" s="3" t="n">
        <v>205414000</v>
      </c>
      <c r="G5" s="3" t="n"/>
    </row>
    <row r="6">
      <c r="A6" t="inlineStr">
        <is>
          <t>Working Capital</t>
        </is>
      </c>
      <c r="B6" s="3" t="n">
        <v>900729000</v>
      </c>
      <c r="C6" s="3" t="n">
        <v>674524000</v>
      </c>
      <c r="D6" s="3" t="n">
        <v>160905000</v>
      </c>
      <c r="E6" s="3" t="n">
        <v>108797000</v>
      </c>
      <c r="F6" s="3" t="n">
        <v>25387000</v>
      </c>
      <c r="G6" s="3" t="n"/>
    </row>
    <row r="7">
      <c r="A7" t="inlineStr">
        <is>
          <t>Net Tangible Assets</t>
        </is>
      </c>
      <c r="B7" s="3" t="n">
        <v>539064000</v>
      </c>
      <c r="C7" s="3" t="n">
        <v>528527000</v>
      </c>
      <c r="D7" s="3" t="n">
        <v>82298000</v>
      </c>
      <c r="E7" s="3" t="n">
        <v>67298000</v>
      </c>
      <c r="F7" s="3" t="n">
        <v>10952000</v>
      </c>
      <c r="G7" s="3" t="n"/>
    </row>
    <row r="8">
      <c r="A8" t="inlineStr">
        <is>
          <t>Common Stock Equity</t>
        </is>
      </c>
      <c r="B8" s="3" t="n">
        <v>686144000</v>
      </c>
      <c r="C8" s="3" t="n">
        <v>663774000</v>
      </c>
      <c r="D8" s="3" t="n">
        <v>221318000</v>
      </c>
      <c r="E8" s="3" t="n">
        <v>210753000</v>
      </c>
      <c r="F8" s="3" t="n">
        <v>205414000</v>
      </c>
      <c r="G8" s="3" t="n"/>
    </row>
    <row r="9">
      <c r="A9" t="inlineStr">
        <is>
          <t>Total Capitalization</t>
        </is>
      </c>
      <c r="B9" s="3" t="n">
        <v>686144000</v>
      </c>
      <c r="C9" s="3" t="n">
        <v>663774000</v>
      </c>
      <c r="D9" s="3" t="n">
        <v>221318000</v>
      </c>
      <c r="E9" s="3" t="n">
        <v>210753000</v>
      </c>
      <c r="F9" s="3" t="n">
        <v>205414000</v>
      </c>
      <c r="G9" s="3" t="n"/>
    </row>
    <row r="10">
      <c r="A10" t="inlineStr">
        <is>
          <t>Total Equity Gross Minority Interest</t>
        </is>
      </c>
      <c r="B10" s="3" t="n">
        <v>1027665000</v>
      </c>
      <c r="C10" s="3" t="n">
        <v>960211000</v>
      </c>
      <c r="D10" s="3" t="n">
        <v>483213000</v>
      </c>
      <c r="E10" s="3" t="n">
        <v>443412000</v>
      </c>
      <c r="F10" s="3" t="n">
        <v>421574000</v>
      </c>
      <c r="G10" s="3" t="n"/>
    </row>
    <row r="11">
      <c r="A11" t="inlineStr">
        <is>
          <t>Minority Interest</t>
        </is>
      </c>
      <c r="B11" s="3" t="n">
        <v>341521000</v>
      </c>
      <c r="C11" s="3" t="n">
        <v>296437000</v>
      </c>
      <c r="D11" s="3" t="n">
        <v>261895000</v>
      </c>
      <c r="E11" s="3" t="n">
        <v>232659000</v>
      </c>
      <c r="F11" s="3" t="n">
        <v>216160000</v>
      </c>
      <c r="G11" s="3" t="n"/>
    </row>
    <row r="12">
      <c r="A12" t="inlineStr">
        <is>
          <t>Stockholders Equity</t>
        </is>
      </c>
      <c r="B12" s="3" t="n">
        <v>686144000</v>
      </c>
      <c r="C12" s="3" t="n">
        <v>663774000</v>
      </c>
      <c r="D12" s="3" t="n">
        <v>221318000</v>
      </c>
      <c r="E12" s="3" t="n">
        <v>210753000</v>
      </c>
      <c r="F12" s="3" t="n">
        <v>205414000</v>
      </c>
      <c r="G12" s="3" t="n"/>
    </row>
    <row r="13">
      <c r="A13" t="inlineStr">
        <is>
          <t>Gains Losses Not Affecting Retained Earnings</t>
        </is>
      </c>
      <c r="B13" s="3" t="n">
        <v>-2713000</v>
      </c>
      <c r="C13" s="3" t="n">
        <v>-2693000</v>
      </c>
      <c r="D13" s="3" t="n">
        <v>-2695000</v>
      </c>
      <c r="E13" s="3" t="n">
        <v>-2678000</v>
      </c>
      <c r="F13" s="3" t="n">
        <v>-2698000</v>
      </c>
      <c r="G13" s="3" t="n"/>
    </row>
    <row r="14">
      <c r="A14" t="inlineStr">
        <is>
          <t>Other Equity Adjustments</t>
        </is>
      </c>
      <c r="B14" s="3" t="n">
        <v>-2713000</v>
      </c>
      <c r="C14" s="3" t="n">
        <v>-2693000</v>
      </c>
      <c r="D14" s="3" t="n">
        <v>-2695000</v>
      </c>
      <c r="E14" s="3" t="n">
        <v>-2678000</v>
      </c>
      <c r="F14" s="3" t="n">
        <v>-2698000</v>
      </c>
      <c r="G14" s="3" t="n"/>
    </row>
    <row r="15">
      <c r="A15" t="inlineStr">
        <is>
          <t>Retained Earnings</t>
        </is>
      </c>
      <c r="B15" s="3" t="n">
        <v>-1329212000</v>
      </c>
      <c r="C15" s="3" t="n">
        <v>-1331181000</v>
      </c>
      <c r="D15" s="3" t="n">
        <v>-1340862000</v>
      </c>
      <c r="E15" s="3" t="n">
        <v>-1337239000</v>
      </c>
      <c r="F15" s="3" t="n">
        <v>-1331326000</v>
      </c>
      <c r="G15" s="3" t="n"/>
    </row>
    <row r="16">
      <c r="A16" t="inlineStr">
        <is>
          <t>Additional Paid In Capital</t>
        </is>
      </c>
      <c r="B16" s="3" t="n">
        <v>2018008000</v>
      </c>
      <c r="C16" s="3" t="n">
        <v>1997587000</v>
      </c>
      <c r="D16" s="3" t="n">
        <v>1564815000</v>
      </c>
      <c r="E16" s="3" t="n">
        <v>1550610000</v>
      </c>
      <c r="F16" s="3" t="n">
        <v>1539378000</v>
      </c>
      <c r="G16" s="3" t="n"/>
    </row>
    <row r="17">
      <c r="A17" t="inlineStr">
        <is>
          <t>Capital Stock</t>
        </is>
      </c>
      <c r="B17" s="3" t="n">
        <v>61000</v>
      </c>
      <c r="C17" s="3" t="n">
        <v>61000</v>
      </c>
      <c r="D17" s="3" t="n">
        <v>60000</v>
      </c>
      <c r="E17" s="3" t="n">
        <v>60000</v>
      </c>
      <c r="F17" s="3" t="n">
        <v>60000</v>
      </c>
      <c r="G17" s="3" t="n"/>
    </row>
    <row r="18">
      <c r="A18" t="inlineStr">
        <is>
          <t>Common Stock</t>
        </is>
      </c>
      <c r="B18" s="3" t="n">
        <v>61000</v>
      </c>
      <c r="C18" s="3" t="n">
        <v>61000</v>
      </c>
      <c r="D18" s="3" t="n">
        <v>60000</v>
      </c>
      <c r="E18" s="3" t="n">
        <v>60000</v>
      </c>
      <c r="F18" s="3" t="n">
        <v>60000</v>
      </c>
      <c r="G18" s="3" t="n"/>
    </row>
    <row r="19">
      <c r="A19" t="inlineStr">
        <is>
          <t>Total Liabilities Net Minority Interest</t>
        </is>
      </c>
      <c r="B19" s="3" t="n">
        <v>2467790000</v>
      </c>
      <c r="C19" s="3" t="n">
        <v>2033847000</v>
      </c>
      <c r="D19" s="3" t="n">
        <v>1917984000</v>
      </c>
      <c r="E19" s="3" t="n">
        <v>1383999000</v>
      </c>
      <c r="F19" s="3" t="n">
        <v>1542611000</v>
      </c>
      <c r="G19" s="3" t="n"/>
    </row>
    <row r="20">
      <c r="A20" t="inlineStr">
        <is>
          <t>Total Non Current Liabilities Net Minority Interest</t>
        </is>
      </c>
      <c r="B20" s="3" t="n">
        <v>446252000</v>
      </c>
      <c r="C20" s="3" t="n">
        <v>250169000</v>
      </c>
      <c r="D20" s="3" t="n">
        <v>188561000</v>
      </c>
      <c r="E20" s="3" t="n">
        <v>66588000</v>
      </c>
      <c r="F20" s="3" t="n">
        <v>70018000</v>
      </c>
      <c r="G20" s="3" t="n"/>
    </row>
    <row r="21">
      <c r="A21" t="inlineStr">
        <is>
          <t>Other Non Current Liabilities</t>
        </is>
      </c>
      <c r="B21" s="3" t="n">
        <v>62227000</v>
      </c>
      <c r="C21" s="3" t="n">
        <v>61374000</v>
      </c>
      <c r="D21" s="3" t="n">
        <v>63629000</v>
      </c>
      <c r="E21" s="3" t="n">
        <v>61544000</v>
      </c>
      <c r="F21" s="3" t="n">
        <v>61866000</v>
      </c>
      <c r="G21" s="3" t="n"/>
    </row>
    <row r="22">
      <c r="A22" t="inlineStr">
        <is>
          <t>Non Current Deferred Liabilities</t>
        </is>
      </c>
      <c r="B22" s="3" t="n">
        <v>384025000</v>
      </c>
      <c r="C22" s="3" t="n">
        <v>188795000</v>
      </c>
      <c r="D22" s="3" t="n">
        <v>124932000</v>
      </c>
      <c r="E22" s="3" t="n">
        <v>5044000</v>
      </c>
      <c r="F22" s="3" t="n">
        <v>8152000</v>
      </c>
      <c r="G22" s="3" t="n"/>
    </row>
    <row r="23">
      <c r="A23" t="inlineStr">
        <is>
          <t>Non Current Deferred Revenue</t>
        </is>
      </c>
      <c r="B23" s="3" t="n">
        <v>384025000</v>
      </c>
      <c r="C23" s="3" t="n">
        <v>188795000</v>
      </c>
      <c r="D23" s="3" t="n">
        <v>124932000</v>
      </c>
      <c r="E23" s="3" t="n">
        <v>5044000</v>
      </c>
      <c r="F23" s="3" t="n">
        <v>8152000</v>
      </c>
      <c r="G23" s="3" t="n"/>
    </row>
    <row r="24">
      <c r="A24" t="inlineStr">
        <is>
          <t>Current Liabilities</t>
        </is>
      </c>
      <c r="B24" s="3" t="n">
        <v>2021538000</v>
      </c>
      <c r="C24" s="3" t="n">
        <v>1783678000</v>
      </c>
      <c r="D24" s="3" t="n">
        <v>1729423000</v>
      </c>
      <c r="E24" s="3" t="n">
        <v>1317411000</v>
      </c>
      <c r="F24" s="3" t="n">
        <v>1472593000</v>
      </c>
      <c r="G24" s="3" t="n"/>
    </row>
    <row r="25">
      <c r="A25" t="inlineStr">
        <is>
          <t>Current Deferred Liabilities</t>
        </is>
      </c>
      <c r="B25" s="3" t="n">
        <v>1476382000</v>
      </c>
      <c r="C25" s="3" t="n">
        <v>1310702000</v>
      </c>
      <c r="D25" s="3" t="n">
        <v>1242312000</v>
      </c>
      <c r="E25" s="3" t="n">
        <v>918097000</v>
      </c>
      <c r="F25" s="3" t="n">
        <v>1086297000</v>
      </c>
      <c r="G25" s="3" t="n"/>
    </row>
    <row r="26">
      <c r="A26" t="inlineStr">
        <is>
          <t>Current Deferred Revenue</t>
        </is>
      </c>
      <c r="B26" s="3" t="n">
        <v>1476382000</v>
      </c>
      <c r="C26" s="3" t="n">
        <v>1310702000</v>
      </c>
      <c r="D26" s="3" t="n">
        <v>1242312000</v>
      </c>
      <c r="E26" s="3" t="n">
        <v>918097000</v>
      </c>
      <c r="F26" s="3" t="n">
        <v>1086297000</v>
      </c>
      <c r="G26" s="3" t="n"/>
    </row>
    <row r="27">
      <c r="A27" t="inlineStr">
        <is>
          <t>Payables And Accrued Expenses</t>
        </is>
      </c>
      <c r="B27" s="3" t="n">
        <v>545156000</v>
      </c>
      <c r="C27" s="3" t="n">
        <v>472976000</v>
      </c>
      <c r="D27" s="3" t="n">
        <v>487111000</v>
      </c>
      <c r="E27" s="3" t="n">
        <v>399314000</v>
      </c>
      <c r="F27" s="3" t="n">
        <v>386296000</v>
      </c>
      <c r="G27" s="3" t="n"/>
    </row>
    <row r="28">
      <c r="A28" t="inlineStr">
        <is>
          <t>Current Accrued Expenses</t>
        </is>
      </c>
      <c r="B28" s="3" t="n">
        <v>251481000</v>
      </c>
      <c r="C28" s="3" t="n">
        <v>206874000</v>
      </c>
      <c r="D28" s="3" t="n">
        <v>200442000</v>
      </c>
      <c r="E28" s="3" t="n">
        <v>183690000</v>
      </c>
      <c r="F28" s="3" t="n">
        <v>166269000</v>
      </c>
      <c r="G28" s="3" t="n"/>
    </row>
    <row r="29">
      <c r="A29" t="inlineStr">
        <is>
          <t>Payables</t>
        </is>
      </c>
      <c r="B29" s="3" t="n">
        <v>293675000</v>
      </c>
      <c r="C29" s="3" t="n">
        <v>266102000</v>
      </c>
      <c r="D29" s="3" t="n">
        <v>286669000</v>
      </c>
      <c r="E29" s="3" t="n">
        <v>215624000</v>
      </c>
      <c r="F29" s="3" t="n">
        <v>220027000</v>
      </c>
      <c r="G29" s="3" t="n"/>
    </row>
    <row r="30">
      <c r="A30" t="inlineStr">
        <is>
          <t>Accounts Payable</t>
        </is>
      </c>
      <c r="B30" s="3" t="n">
        <v>293675000</v>
      </c>
      <c r="C30" s="3" t="n">
        <v>266102000</v>
      </c>
      <c r="D30" s="3" t="n">
        <v>286669000</v>
      </c>
      <c r="E30" s="3" t="n">
        <v>215624000</v>
      </c>
      <c r="F30" s="3" t="n">
        <v>220027000</v>
      </c>
      <c r="G30" s="3" t="n"/>
    </row>
    <row r="31">
      <c r="A31" t="inlineStr">
        <is>
          <t>Total Assets</t>
        </is>
      </c>
      <c r="B31" s="3" t="n">
        <v>3495455000</v>
      </c>
      <c r="C31" s="3" t="n">
        <v>2994058000</v>
      </c>
      <c r="D31" s="3" t="n">
        <v>2401197000</v>
      </c>
      <c r="E31" s="3" t="n">
        <v>1827411000</v>
      </c>
      <c r="F31" s="3" t="n">
        <v>1964185000</v>
      </c>
      <c r="G31" s="3" t="n"/>
    </row>
    <row r="32">
      <c r="A32" t="inlineStr">
        <is>
          <t>Total Non Current Assets</t>
        </is>
      </c>
      <c r="B32" s="3" t="n">
        <v>573188000</v>
      </c>
      <c r="C32" s="3" t="n">
        <v>535856000</v>
      </c>
      <c r="D32" s="3" t="n">
        <v>510869000</v>
      </c>
      <c r="E32" s="3" t="n">
        <v>401203000</v>
      </c>
      <c r="F32" s="3" t="n">
        <v>466205000</v>
      </c>
      <c r="G32" s="3" t="n"/>
    </row>
    <row r="33">
      <c r="A33" t="inlineStr">
        <is>
          <t>Other Non Current Assets</t>
        </is>
      </c>
      <c r="B33" s="3" t="n">
        <v>143975000</v>
      </c>
      <c r="C33" s="3" t="n">
        <v>141386000</v>
      </c>
      <c r="D33" s="3" t="n">
        <v>131166000</v>
      </c>
      <c r="E33" s="3" t="n">
        <v>79184000</v>
      </c>
      <c r="F33" s="3" t="n">
        <v>62714000</v>
      </c>
      <c r="G33" s="3" t="n"/>
    </row>
    <row r="34">
      <c r="A34" t="inlineStr">
        <is>
          <t>Investments And Advances</t>
        </is>
      </c>
      <c r="B34" s="3" t="n">
        <v>135675000</v>
      </c>
      <c r="C34" s="3" t="n">
        <v>143523000</v>
      </c>
      <c r="D34" s="3" t="n">
        <v>123034000</v>
      </c>
      <c r="E34" s="3" t="n">
        <v>105551000</v>
      </c>
      <c r="F34" s="3" t="n">
        <v>85323000</v>
      </c>
      <c r="G34" s="3" t="n"/>
    </row>
    <row r="35">
      <c r="A35" t="inlineStr">
        <is>
          <t>Long Term Equity Investment</t>
        </is>
      </c>
      <c r="B35" s="3" t="n">
        <v>135675000</v>
      </c>
      <c r="C35" s="3" t="n">
        <v>143523000</v>
      </c>
      <c r="D35" s="3" t="n">
        <v>123034000</v>
      </c>
      <c r="E35" s="3" t="n">
        <v>105551000</v>
      </c>
      <c r="F35" s="3" t="n">
        <v>85323000</v>
      </c>
      <c r="G35" s="3" t="n"/>
    </row>
    <row r="36">
      <c r="A36" t="inlineStr">
        <is>
          <t>Goodwill And Other Intangible Assets</t>
        </is>
      </c>
      <c r="B36" s="3" t="n">
        <v>147080000</v>
      </c>
      <c r="C36" s="3" t="n">
        <v>135247000</v>
      </c>
      <c r="D36" s="3" t="n">
        <v>139020000</v>
      </c>
      <c r="E36" s="3" t="n">
        <v>143455000</v>
      </c>
      <c r="F36" s="3" t="n">
        <v>194462000</v>
      </c>
      <c r="G36" s="3" t="n"/>
    </row>
    <row r="37">
      <c r="A37" t="inlineStr">
        <is>
          <t>Other Intangible Assets</t>
        </is>
      </c>
      <c r="B37" s="3" t="n">
        <v>87209000</v>
      </c>
      <c r="C37" s="3" t="n">
        <v>75376000</v>
      </c>
      <c r="D37" s="3" t="n">
        <v>79149000</v>
      </c>
      <c r="E37" s="3" t="n">
        <v>82921000</v>
      </c>
      <c r="F37" s="3" t="n">
        <v>125793000</v>
      </c>
      <c r="G37" s="3" t="n"/>
    </row>
    <row r="38">
      <c r="A38" t="inlineStr">
        <is>
          <t>Goodwill</t>
        </is>
      </c>
      <c r="B38" s="3" t="n">
        <v>59871000</v>
      </c>
      <c r="C38" s="3" t="n">
        <v>59871000</v>
      </c>
      <c r="D38" s="3" t="n">
        <v>59871000</v>
      </c>
      <c r="E38" s="3" t="n">
        <v>60534000</v>
      </c>
      <c r="F38" s="3" t="n">
        <v>68669000</v>
      </c>
      <c r="G38" s="3" t="n"/>
    </row>
    <row r="39">
      <c r="A39" t="inlineStr">
        <is>
          <t>Net PPE</t>
        </is>
      </c>
      <c r="B39" s="3" t="n">
        <v>146458000</v>
      </c>
      <c r="C39" s="3" t="n">
        <v>115700000</v>
      </c>
      <c r="D39" s="3" t="n">
        <v>117649000</v>
      </c>
      <c r="E39" s="3" t="n">
        <v>73013000</v>
      </c>
      <c r="F39" s="3" t="n">
        <v>123706000</v>
      </c>
      <c r="G39" s="3" t="n"/>
    </row>
    <row r="40">
      <c r="A40" t="inlineStr">
        <is>
          <t>Accumulated Depreciation</t>
        </is>
      </c>
      <c r="B40" s="3" t="n">
        <v>-62651000</v>
      </c>
      <c r="C40" s="3" t="n">
        <v>-55257000</v>
      </c>
      <c r="D40" s="3" t="n">
        <v>-50311000</v>
      </c>
      <c r="E40" s="3" t="n">
        <v>-46359000</v>
      </c>
      <c r="F40" s="3" t="n">
        <v>-46883000</v>
      </c>
      <c r="G40" s="3" t="n"/>
    </row>
    <row r="41">
      <c r="A41" t="inlineStr">
        <is>
          <t>Gross PPE</t>
        </is>
      </c>
      <c r="B41" s="3" t="n">
        <v>209109000</v>
      </c>
      <c r="C41" s="3" t="n">
        <v>170957000</v>
      </c>
      <c r="D41" s="3" t="n">
        <v>167960000</v>
      </c>
      <c r="E41" s="3" t="n">
        <v>119372000</v>
      </c>
      <c r="F41" s="3" t="n">
        <v>170589000</v>
      </c>
      <c r="G41" s="3" t="n"/>
    </row>
    <row r="42">
      <c r="A42" t="inlineStr">
        <is>
          <t>Leases</t>
        </is>
      </c>
      <c r="B42" s="3" t="n">
        <v>12907000</v>
      </c>
      <c r="C42" s="3" t="n">
        <v>12068000</v>
      </c>
      <c r="D42" s="3" t="n">
        <v>10641000</v>
      </c>
      <c r="E42" s="3" t="n">
        <v>10574000</v>
      </c>
      <c r="F42" s="3" t="n">
        <v>10286000</v>
      </c>
      <c r="G42" s="3" t="n"/>
    </row>
    <row r="43">
      <c r="A43" t="inlineStr">
        <is>
          <t>Machinery Furniture Equipment</t>
        </is>
      </c>
      <c r="B43" s="3" t="n">
        <v>196202000</v>
      </c>
      <c r="C43" s="3" t="n">
        <v>158889000</v>
      </c>
      <c r="D43" s="3" t="n">
        <v>157319000</v>
      </c>
      <c r="E43" s="3" t="n">
        <v>108798000</v>
      </c>
      <c r="F43" s="3" t="n">
        <v>160303000</v>
      </c>
      <c r="G43" s="3" t="n"/>
    </row>
    <row r="44">
      <c r="A44" t="inlineStr">
        <is>
          <t>Properties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/>
    </row>
    <row r="45">
      <c r="A45" t="inlineStr">
        <is>
          <t>Current Assets</t>
        </is>
      </c>
      <c r="B45" s="3" t="n">
        <v>2922267000</v>
      </c>
      <c r="C45" s="3" t="n">
        <v>2458202000</v>
      </c>
      <c r="D45" s="3" t="n">
        <v>1890328000</v>
      </c>
      <c r="E45" s="3" t="n">
        <v>1426208000</v>
      </c>
      <c r="F45" s="3" t="n">
        <v>1497980000</v>
      </c>
      <c r="G45" s="3" t="n"/>
    </row>
    <row r="46">
      <c r="A46" t="inlineStr">
        <is>
          <t>Other Current Assets</t>
        </is>
      </c>
      <c r="B46" s="3" t="n">
        <v>82433000</v>
      </c>
      <c r="C46" s="3" t="n">
        <v>70393000</v>
      </c>
      <c r="D46" s="3" t="n">
        <v>92050000</v>
      </c>
      <c r="E46" s="3" t="n">
        <v>101516000</v>
      </c>
      <c r="F46" s="3" t="n">
        <v>93966000</v>
      </c>
      <c r="G46" s="3" t="n"/>
    </row>
    <row r="47">
      <c r="A47" t="inlineStr">
        <is>
          <t>Current Deferred Assets</t>
        </is>
      </c>
      <c r="B47" s="3" t="n">
        <v>43538000</v>
      </c>
      <c r="C47" s="3" t="n">
        <v>27807000</v>
      </c>
      <c r="D47" s="3" t="n">
        <v>20532000</v>
      </c>
      <c r="E47" s="3" t="n">
        <v>35545000</v>
      </c>
      <c r="F47" s="3" t="n">
        <v>4979000</v>
      </c>
      <c r="G47" s="3" t="n"/>
    </row>
    <row r="48">
      <c r="A48" t="inlineStr">
        <is>
          <t>Inventory</t>
        </is>
      </c>
      <c r="B48" s="3" t="n">
        <v>201243000</v>
      </c>
      <c r="C48" s="3" t="n">
        <v>183680000</v>
      </c>
      <c r="D48" s="3" t="n">
        <v>164390000</v>
      </c>
      <c r="E48" s="3" t="n">
        <v>138901000</v>
      </c>
      <c r="F48" s="3" t="n">
        <v>146281000</v>
      </c>
      <c r="G48" s="3" t="n"/>
    </row>
    <row r="49">
      <c r="A49" t="inlineStr">
        <is>
          <t>Finished Goods</t>
        </is>
      </c>
      <c r="B49" s="3" t="n">
        <v>57239000</v>
      </c>
      <c r="C49" s="3" t="n">
        <v>56547000</v>
      </c>
      <c r="D49" s="3" t="n">
        <v>30401000</v>
      </c>
      <c r="E49" s="3" t="n">
        <v>15228000</v>
      </c>
      <c r="F49" s="3" t="n">
        <v>42626000</v>
      </c>
      <c r="G49" s="3" t="n"/>
    </row>
    <row r="50">
      <c r="A50" t="inlineStr">
        <is>
          <t>Work In Process</t>
        </is>
      </c>
      <c r="B50" s="3" t="n"/>
      <c r="C50" s="3" t="n"/>
      <c r="D50" s="3" t="n">
        <v>0</v>
      </c>
      <c r="E50" s="3" t="n">
        <v>0</v>
      </c>
      <c r="F50" s="3" t="n">
        <v>0</v>
      </c>
      <c r="G50" s="3" t="n">
        <v>4435000</v>
      </c>
    </row>
    <row r="51">
      <c r="A51" t="inlineStr">
        <is>
          <t>Raw Materials</t>
        </is>
      </c>
      <c r="B51" s="3" t="n">
        <v>144004000</v>
      </c>
      <c r="C51" s="3" t="n">
        <v>127133000</v>
      </c>
      <c r="D51" s="3" t="n">
        <v>133989000</v>
      </c>
      <c r="E51" s="3" t="n">
        <v>123673000</v>
      </c>
      <c r="F51" s="3" t="n">
        <v>103655000</v>
      </c>
      <c r="G51" s="3" t="n"/>
    </row>
    <row r="52">
      <c r="A52" t="inlineStr">
        <is>
          <t>Receivables</t>
        </is>
      </c>
      <c r="B52" s="3" t="n">
        <v>585618000</v>
      </c>
      <c r="C52" s="3" t="n">
        <v>357220000</v>
      </c>
      <c r="D52" s="3" t="n">
        <v>368363000</v>
      </c>
      <c r="E52" s="3" t="n">
        <v>372670000</v>
      </c>
      <c r="F52" s="3" t="n">
        <v>297810000</v>
      </c>
      <c r="G52" s="3" t="n"/>
    </row>
    <row r="53">
      <c r="A53" t="inlineStr">
        <is>
          <t>Other Receivables</t>
        </is>
      </c>
      <c r="B53" s="3" t="n">
        <v>452995000</v>
      </c>
      <c r="C53" s="3" t="n">
        <v>249589000</v>
      </c>
      <c r="D53" s="3" t="n">
        <v>181658000</v>
      </c>
      <c r="E53" s="3" t="n">
        <v>236433000</v>
      </c>
      <c r="F53" s="3" t="n">
        <v>160248000</v>
      </c>
      <c r="G53" s="3" t="n"/>
    </row>
    <row r="54">
      <c r="A54" t="inlineStr">
        <is>
          <t>Accounts Receivable</t>
        </is>
      </c>
      <c r="B54" s="3" t="n">
        <v>132623000</v>
      </c>
      <c r="C54" s="3" t="n">
        <v>107631000</v>
      </c>
      <c r="D54" s="3" t="n">
        <v>186705000</v>
      </c>
      <c r="E54" s="3" t="n">
        <v>136237000</v>
      </c>
      <c r="F54" s="3" t="n">
        <v>137562000</v>
      </c>
      <c r="G54" s="3" t="n"/>
    </row>
    <row r="55">
      <c r="A55" t="inlineStr">
        <is>
          <t>Cash Cash Equivalents And Short Term Investments</t>
        </is>
      </c>
      <c r="B55" s="3" t="n">
        <v>2009435000</v>
      </c>
      <c r="C55" s="3" t="n">
        <v>1819102000</v>
      </c>
      <c r="D55" s="3" t="n">
        <v>1244993000</v>
      </c>
      <c r="E55" s="3" t="n">
        <v>777576000</v>
      </c>
      <c r="F55" s="3" t="n">
        <v>954944000</v>
      </c>
      <c r="G55" s="3" t="n"/>
    </row>
    <row r="56">
      <c r="A56" t="inlineStr">
        <is>
          <t>Cash And Cash Equivalents</t>
        </is>
      </c>
      <c r="B56" s="3" t="n">
        <v>2009435000</v>
      </c>
      <c r="C56" s="3" t="n">
        <v>1819102000</v>
      </c>
      <c r="D56" s="3" t="n">
        <v>1244993000</v>
      </c>
      <c r="E56" s="3" t="n">
        <v>777576000</v>
      </c>
      <c r="F56" s="3" t="n">
        <v>954944000</v>
      </c>
      <c r="G56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2025-09-30</t>
        </is>
      </c>
      <c r="C1" s="1" t="inlineStr">
        <is>
          <t>2024-09-30</t>
        </is>
      </c>
      <c r="D1" s="1" t="inlineStr">
        <is>
          <t>2023-09-30</t>
        </is>
      </c>
      <c r="E1" s="1" t="inlineStr">
        <is>
          <t>2022-09-30</t>
        </is>
      </c>
      <c r="F1" s="1" t="inlineStr">
        <is>
          <t>2021-09-30</t>
        </is>
      </c>
    </row>
    <row r="2">
      <c r="A2" t="inlineStr">
        <is>
          <t>Free Cash Flow</t>
        </is>
      </c>
      <c r="B2" s="3" t="n">
        <v>787909000</v>
      </c>
      <c r="C2" s="3" t="n">
        <v>-102451000</v>
      </c>
      <c r="D2" s="3" t="n">
        <v>209468000</v>
      </c>
      <c r="E2" s="3" t="n">
        <v>-166197000</v>
      </c>
      <c r="F2" s="3" t="n"/>
    </row>
    <row r="3">
      <c r="A3" t="inlineStr">
        <is>
          <t>Issuance Of Capital Stock</t>
        </is>
      </c>
      <c r="B3" s="3" t="n">
        <v>0</v>
      </c>
      <c r="C3" s="3" t="n">
        <v>257985000</v>
      </c>
      <c r="D3" s="3" t="n">
        <v>0</v>
      </c>
      <c r="E3" s="3" t="n">
        <v>384672000</v>
      </c>
      <c r="F3" s="3" t="n"/>
    </row>
    <row r="4">
      <c r="A4" t="inlineStr">
        <is>
          <t>Capital Expenditure</t>
        </is>
      </c>
      <c r="B4" s="3" t="n">
        <v>-79030000</v>
      </c>
      <c r="C4" s="3" t="n">
        <v>-44374000</v>
      </c>
      <c r="D4" s="3" t="n">
        <v>-21326000</v>
      </c>
      <c r="E4" s="3" t="n">
        <v>-17950000</v>
      </c>
      <c r="F4" s="3" t="n"/>
    </row>
    <row r="5">
      <c r="A5" t="inlineStr">
        <is>
          <t>End Cash Position</t>
        </is>
      </c>
      <c r="B5" s="3" t="n">
        <v>1247193000</v>
      </c>
      <c r="C5" s="3" t="n">
        <v>730354000</v>
      </c>
      <c r="D5" s="3" t="n">
        <v>260918000</v>
      </c>
      <c r="E5" s="3" t="n">
        <v>353457000</v>
      </c>
      <c r="F5" s="3" t="n"/>
    </row>
    <row r="6">
      <c r="A6" t="inlineStr">
        <is>
          <t>Beginning Cash Position</t>
        </is>
      </c>
      <c r="B6" s="3" t="n">
        <v>730354000</v>
      </c>
      <c r="C6" s="3" t="n">
        <v>260918000</v>
      </c>
      <c r="D6" s="3" t="n">
        <v>353457000</v>
      </c>
      <c r="E6" s="3" t="n">
        <v>156634000</v>
      </c>
      <c r="F6" s="3" t="n"/>
    </row>
    <row r="7">
      <c r="A7" t="inlineStr">
        <is>
          <t>Effect Of Exchange Rate Changes</t>
        </is>
      </c>
      <c r="B7" s="3" t="n">
        <v>-26000</v>
      </c>
      <c r="C7" s="3" t="n">
        <v>-4000</v>
      </c>
      <c r="D7" s="3" t="n">
        <v>232000</v>
      </c>
      <c r="E7" s="3" t="n">
        <v>572000</v>
      </c>
      <c r="F7" s="3" t="n"/>
    </row>
    <row r="8">
      <c r="A8" t="inlineStr">
        <is>
          <t>Changes In Cash</t>
        </is>
      </c>
      <c r="B8" s="3" t="n">
        <v>516865000</v>
      </c>
      <c r="C8" s="3" t="n">
        <v>469440000</v>
      </c>
      <c r="D8" s="3" t="n">
        <v>-92771000</v>
      </c>
      <c r="E8" s="3" t="n">
        <v>196251000</v>
      </c>
      <c r="F8" s="3" t="n"/>
    </row>
    <row r="9">
      <c r="A9" t="inlineStr">
        <is>
          <t>Financing Cash Flow</t>
        </is>
      </c>
      <c r="B9" s="3" t="n">
        <v>668000</v>
      </c>
      <c r="C9" s="3" t="n">
        <v>371036000</v>
      </c>
      <c r="D9" s="3" t="n">
        <v>-24101000</v>
      </c>
      <c r="E9" s="3" t="n">
        <v>362448000</v>
      </c>
      <c r="F9" s="3" t="n"/>
    </row>
    <row r="10">
      <c r="A10" t="inlineStr">
        <is>
          <t>Cash Flow From Continuing Financing Activities</t>
        </is>
      </c>
      <c r="B10" s="3" t="n">
        <v>668000</v>
      </c>
      <c r="C10" s="3" t="n">
        <v>371036000</v>
      </c>
      <c r="D10" s="3" t="n">
        <v>-24101000</v>
      </c>
      <c r="E10" s="3" t="n">
        <v>362448000</v>
      </c>
      <c r="F10" s="3" t="n"/>
    </row>
    <row r="11">
      <c r="A11" t="inlineStr">
        <is>
          <t>Net Other Financing Charges</t>
        </is>
      </c>
      <c r="B11" s="3" t="n">
        <v>-4187000</v>
      </c>
      <c r="C11" s="3" t="n">
        <v>-51396000</v>
      </c>
      <c r="D11" s="3" t="n">
        <v>-26674000</v>
      </c>
      <c r="E11" s="3" t="n">
        <v>-300000000</v>
      </c>
      <c r="F11" s="3" t="n"/>
    </row>
    <row r="12">
      <c r="A12" t="inlineStr">
        <is>
          <t>Proceeds From Stock Option Exercised</t>
        </is>
      </c>
      <c r="B12" s="3" t="n">
        <v>4855000</v>
      </c>
      <c r="C12" s="3" t="n">
        <v>164447000</v>
      </c>
      <c r="D12" s="3" t="n">
        <v>2573000</v>
      </c>
      <c r="E12" s="3" t="n">
        <v>277776000</v>
      </c>
      <c r="F12" s="3" t="n"/>
    </row>
    <row r="13">
      <c r="A13" t="inlineStr">
        <is>
          <t>Net Preferred Stock Issuance</t>
        </is>
      </c>
      <c r="B13" s="3" t="n"/>
      <c r="C13" s="3" t="n"/>
      <c r="D13" s="3" t="n"/>
      <c r="E13" s="3" t="n">
        <v>0</v>
      </c>
      <c r="F13" s="3" t="n">
        <v>0</v>
      </c>
    </row>
    <row r="14">
      <c r="A14" t="inlineStr">
        <is>
          <t>Preferred Stock Issuance</t>
        </is>
      </c>
      <c r="B14" s="3" t="n"/>
      <c r="C14" s="3" t="n"/>
      <c r="D14" s="3" t="n"/>
      <c r="E14" s="3" t="n">
        <v>0</v>
      </c>
      <c r="F14" s="3" t="n">
        <v>0</v>
      </c>
    </row>
    <row r="15">
      <c r="A15" t="inlineStr">
        <is>
          <t>Net Common Stock Issuance</t>
        </is>
      </c>
      <c r="B15" s="3" t="n">
        <v>0</v>
      </c>
      <c r="C15" s="3" t="n">
        <v>257985000</v>
      </c>
      <c r="D15" s="3" t="n">
        <v>0</v>
      </c>
      <c r="E15" s="3" t="n">
        <v>384672000</v>
      </c>
      <c r="F15" s="3" t="n"/>
    </row>
    <row r="16">
      <c r="A16" t="inlineStr">
        <is>
          <t>Common Stock Issuance</t>
        </is>
      </c>
      <c r="B16" s="3" t="n">
        <v>0</v>
      </c>
      <c r="C16" s="3" t="n">
        <v>257985000</v>
      </c>
      <c r="D16" s="3" t="n">
        <v>0</v>
      </c>
      <c r="E16" s="3" t="n">
        <v>384672000</v>
      </c>
      <c r="F16" s="3" t="n"/>
    </row>
    <row r="17">
      <c r="A17" t="inlineStr">
        <is>
          <t>Investing Cash Flow</t>
        </is>
      </c>
      <c r="B17" s="3" t="n">
        <v>-350742000</v>
      </c>
      <c r="C17" s="3" t="n">
        <v>156481000</v>
      </c>
      <c r="D17" s="3" t="n">
        <v>-299464000</v>
      </c>
      <c r="E17" s="3" t="n">
        <v>-17950000</v>
      </c>
      <c r="F17" s="3" t="n"/>
    </row>
    <row r="18">
      <c r="A18" t="inlineStr">
        <is>
          <t>Cash Flow From Continuing Investing Activities</t>
        </is>
      </c>
      <c r="B18" s="3" t="n">
        <v>-350742000</v>
      </c>
      <c r="C18" s="3" t="n">
        <v>156481000</v>
      </c>
      <c r="D18" s="3" t="n">
        <v>-299464000</v>
      </c>
      <c r="E18" s="3" t="n">
        <v>-17950000</v>
      </c>
      <c r="F18" s="3" t="n"/>
    </row>
    <row r="19">
      <c r="A19" t="inlineStr">
        <is>
          <t>Net Other Investing Changes</t>
        </is>
      </c>
      <c r="B19" s="3" t="n"/>
      <c r="C19" s="3" t="n"/>
      <c r="D19" s="3" t="n">
        <v>71000</v>
      </c>
      <c r="E19" s="3" t="n"/>
      <c r="F19" s="3" t="n"/>
    </row>
    <row r="20">
      <c r="A20" t="inlineStr">
        <is>
          <t>Net Investment Purchase And Sale</t>
        </is>
      </c>
      <c r="B20" s="3" t="n">
        <v>-129881000</v>
      </c>
      <c r="C20" s="3" t="n">
        <v>200855000</v>
      </c>
      <c r="D20" s="3" t="n">
        <v>-278209000</v>
      </c>
      <c r="E20" s="3" t="n">
        <v>0</v>
      </c>
      <c r="F20" s="3" t="n"/>
    </row>
    <row r="21">
      <c r="A21" t="inlineStr">
        <is>
          <t>Sale Of Investment</t>
        </is>
      </c>
      <c r="B21" s="3" t="n">
        <v>0</v>
      </c>
      <c r="C21" s="3" t="n">
        <v>340000000</v>
      </c>
      <c r="D21" s="3" t="n">
        <v>130000000</v>
      </c>
      <c r="E21" s="3" t="n">
        <v>0</v>
      </c>
      <c r="F21" s="3" t="n"/>
    </row>
    <row r="22">
      <c r="A22" t="inlineStr">
        <is>
          <t>Purchase Of Investment</t>
        </is>
      </c>
      <c r="B22" s="3" t="n">
        <v>-129881000</v>
      </c>
      <c r="C22" s="3" t="n">
        <v>-139145000</v>
      </c>
      <c r="D22" s="3" t="n">
        <v>-408209000</v>
      </c>
      <c r="E22" s="3" t="n">
        <v>0</v>
      </c>
      <c r="F22" s="3" t="n"/>
    </row>
    <row r="23">
      <c r="A23" t="inlineStr">
        <is>
          <t>Net Business Purchase And Sale</t>
        </is>
      </c>
      <c r="B23" s="3" t="n">
        <v>-141831000</v>
      </c>
      <c r="C23" s="3" t="n">
        <v>0</v>
      </c>
      <c r="D23" s="3" t="n">
        <v>0</v>
      </c>
      <c r="E23" s="3" t="n"/>
      <c r="F23" s="3" t="n"/>
    </row>
    <row r="24">
      <c r="A24" t="inlineStr">
        <is>
          <t>Purchase Of Business</t>
        </is>
      </c>
      <c r="B24" s="3" t="n">
        <v>-141831000</v>
      </c>
      <c r="C24" s="3" t="n">
        <v>0</v>
      </c>
      <c r="D24" s="3" t="n">
        <v>0</v>
      </c>
      <c r="E24" s="3" t="n"/>
      <c r="F24" s="3" t="n"/>
    </row>
    <row r="25">
      <c r="A25" t="inlineStr">
        <is>
          <t>Net PPE Purchase And Sale</t>
        </is>
      </c>
      <c r="B25" s="3" t="n">
        <v>-79030000</v>
      </c>
      <c r="C25" s="3" t="n">
        <v>-44374000</v>
      </c>
      <c r="D25" s="3" t="n">
        <v>-21326000</v>
      </c>
      <c r="E25" s="3" t="n">
        <v>-17950000</v>
      </c>
      <c r="F25" s="3" t="n"/>
    </row>
    <row r="26">
      <c r="A26" t="inlineStr">
        <is>
          <t>Purchase Of PPE</t>
        </is>
      </c>
      <c r="B26" s="3" t="n">
        <v>-79030000</v>
      </c>
      <c r="C26" s="3" t="n">
        <v>-44374000</v>
      </c>
      <c r="D26" s="3" t="n">
        <v>-21326000</v>
      </c>
      <c r="E26" s="3" t="n">
        <v>-17950000</v>
      </c>
      <c r="F26" s="3" t="n"/>
    </row>
    <row r="27">
      <c r="A27" t="inlineStr">
        <is>
          <t>Capital Expenditure Reported</t>
        </is>
      </c>
      <c r="B27" s="3" t="n"/>
      <c r="C27" s="3" t="n">
        <v>-2137000</v>
      </c>
      <c r="D27" s="3" t="n">
        <v>-5638000</v>
      </c>
      <c r="E27" s="3" t="n">
        <v>0</v>
      </c>
      <c r="F27" s="3" t="n">
        <v>0</v>
      </c>
    </row>
    <row r="28">
      <c r="A28" t="inlineStr">
        <is>
          <t>Operating Cash Flow</t>
        </is>
      </c>
      <c r="B28" s="3" t="n">
        <v>866939000</v>
      </c>
      <c r="C28" s="3" t="n">
        <v>-58077000</v>
      </c>
      <c r="D28" s="3" t="n">
        <v>230794000</v>
      </c>
      <c r="E28" s="3" t="n">
        <v>-148247000</v>
      </c>
      <c r="F28" s="3" t="n"/>
    </row>
    <row r="29">
      <c r="A29" t="inlineStr">
        <is>
          <t>Cash Flow From Continuing Operating Activities</t>
        </is>
      </c>
      <c r="B29" s="3" t="n">
        <v>866939000</v>
      </c>
      <c r="C29" s="3" t="n">
        <v>-58077000</v>
      </c>
      <c r="D29" s="3" t="n">
        <v>230794000</v>
      </c>
      <c r="E29" s="3" t="n">
        <v>-148247000</v>
      </c>
      <c r="F29" s="3" t="n"/>
    </row>
    <row r="30">
      <c r="A30" t="inlineStr">
        <is>
          <t>Change In Working Capital</t>
        </is>
      </c>
      <c r="B30" s="3" t="n">
        <v>714028000</v>
      </c>
      <c r="C30" s="3" t="n">
        <v>-137362000</v>
      </c>
      <c r="D30" s="3" t="n">
        <v>252583000</v>
      </c>
      <c r="E30" s="3" t="n">
        <v>-47115000</v>
      </c>
      <c r="F30" s="3" t="n"/>
    </row>
    <row r="31">
      <c r="A31" t="inlineStr">
        <is>
          <t>Change In Other Working Capital</t>
        </is>
      </c>
      <c r="B31" s="3" t="n">
        <v>583399000</v>
      </c>
      <c r="C31" s="3" t="n">
        <v>13382000</v>
      </c>
      <c r="D31" s="3" t="n">
        <v>356090000</v>
      </c>
      <c r="E31" s="3" t="n">
        <v>51712000</v>
      </c>
      <c r="F31" s="3" t="n"/>
    </row>
    <row r="32">
      <c r="A32" t="inlineStr">
        <is>
          <t>Change In Other Current Liabilities</t>
        </is>
      </c>
      <c r="B32" s="3" t="n">
        <v>-11912000</v>
      </c>
      <c r="C32" s="3" t="n">
        <v>-1189000</v>
      </c>
      <c r="D32" s="3" t="n">
        <v>20073000</v>
      </c>
      <c r="E32" s="3" t="n">
        <v>3908000</v>
      </c>
      <c r="F32" s="3" t="n"/>
    </row>
    <row r="33">
      <c r="A33" t="inlineStr">
        <is>
          <t>Change In Other Current Assets</t>
        </is>
      </c>
      <c r="B33" s="3" t="n">
        <v>8696000</v>
      </c>
      <c r="C33" s="3" t="n">
        <v>-9040000</v>
      </c>
      <c r="D33" s="3" t="n">
        <v>-18635000</v>
      </c>
      <c r="E33" s="3" t="n">
        <v>49000</v>
      </c>
      <c r="F33" s="3" t="n"/>
    </row>
    <row r="34">
      <c r="A34" t="inlineStr">
        <is>
          <t>Change In Payables And Accrued Expense</t>
        </is>
      </c>
      <c r="B34" s="3" t="n">
        <v>107260000</v>
      </c>
      <c r="C34" s="3" t="n">
        <v>103737000</v>
      </c>
      <c r="D34" s="3" t="n">
        <v>106158000</v>
      </c>
      <c r="E34" s="3" t="n">
        <v>79426000</v>
      </c>
      <c r="F34" s="3" t="n"/>
    </row>
    <row r="35">
      <c r="A35" t="inlineStr">
        <is>
          <t>Change In Accrued Expense</t>
        </is>
      </c>
      <c r="B35" s="3" t="n">
        <v>10356000</v>
      </c>
      <c r="C35" s="3" t="n">
        <v>38467000</v>
      </c>
      <c r="D35" s="3" t="n">
        <v>64743000</v>
      </c>
      <c r="E35" s="3" t="n">
        <v>37898000</v>
      </c>
      <c r="F35" s="3" t="n"/>
    </row>
    <row r="36">
      <c r="A36" t="inlineStr">
        <is>
          <t>Change In Payable</t>
        </is>
      </c>
      <c r="B36" s="3" t="n">
        <v>96904000</v>
      </c>
      <c r="C36" s="3" t="n">
        <v>65270000</v>
      </c>
      <c r="D36" s="3" t="n">
        <v>41415000</v>
      </c>
      <c r="E36" s="3" t="n">
        <v>41528000</v>
      </c>
      <c r="F36" s="3" t="n"/>
    </row>
    <row r="37">
      <c r="A37" t="inlineStr">
        <is>
          <t>Change In Account Payable</t>
        </is>
      </c>
      <c r="B37" s="3" t="n">
        <v>96904000</v>
      </c>
      <c r="C37" s="3" t="n">
        <v>65270000</v>
      </c>
      <c r="D37" s="3" t="n">
        <v>41415000</v>
      </c>
      <c r="E37" s="3" t="n">
        <v>41528000</v>
      </c>
      <c r="F37" s="3" t="n"/>
    </row>
    <row r="38">
      <c r="A38" t="inlineStr">
        <is>
          <t>Change In Prepaid Assets</t>
        </is>
      </c>
      <c r="B38" s="3" t="n">
        <v>70386000</v>
      </c>
      <c r="C38" s="3" t="n">
        <v>-112050000</v>
      </c>
      <c r="D38" s="3" t="n">
        <v>-78906000</v>
      </c>
      <c r="E38" s="3" t="n">
        <v>-121143000</v>
      </c>
      <c r="F38" s="3" t="n"/>
    </row>
    <row r="39">
      <c r="A39" t="inlineStr">
        <is>
          <t>Change In Inventory</t>
        </is>
      </c>
      <c r="B39" s="3" t="n">
        <v>-58876000</v>
      </c>
      <c r="C39" s="3" t="n">
        <v>103000</v>
      </c>
      <c r="D39" s="3" t="n">
        <v>-66380000</v>
      </c>
      <c r="E39" s="3" t="n">
        <v>-60559000</v>
      </c>
      <c r="F39" s="3" t="n"/>
    </row>
    <row r="40">
      <c r="A40" t="inlineStr">
        <is>
          <t>Change In Receivables</t>
        </is>
      </c>
      <c r="B40" s="3" t="n">
        <v>15075000</v>
      </c>
      <c r="C40" s="3" t="n">
        <v>-132305000</v>
      </c>
      <c r="D40" s="3" t="n">
        <v>-65817000</v>
      </c>
      <c r="E40" s="3" t="n">
        <v>-508000</v>
      </c>
      <c r="F40" s="3" t="n"/>
    </row>
    <row r="41">
      <c r="A41" t="inlineStr">
        <is>
          <t>Changes In Account Receivables</t>
        </is>
      </c>
      <c r="B41" s="3" t="n">
        <v>15075000</v>
      </c>
      <c r="C41" s="3" t="n">
        <v>-132305000</v>
      </c>
      <c r="D41" s="3" t="n">
        <v>-65817000</v>
      </c>
      <c r="E41" s="3" t="n">
        <v>-508000</v>
      </c>
      <c r="F41" s="3" t="n"/>
    </row>
    <row r="42">
      <c r="A42" t="inlineStr">
        <is>
          <t>Other Non Cash Items</t>
        </is>
      </c>
      <c r="B42" s="3" t="n">
        <v>3469000</v>
      </c>
      <c r="C42" s="3" t="n"/>
      <c r="D42" s="3" t="n"/>
      <c r="E42" s="3" t="n"/>
      <c r="F42" s="3" t="n"/>
    </row>
    <row r="43">
      <c r="A43" t="inlineStr">
        <is>
          <t>Stock Based Compensation</t>
        </is>
      </c>
      <c r="B43" s="3" t="n">
        <v>183936000</v>
      </c>
      <c r="C43" s="3" t="n">
        <v>112208000</v>
      </c>
      <c r="D43" s="3" t="n">
        <v>154227000</v>
      </c>
      <c r="E43" s="3" t="n">
        <v>26858000</v>
      </c>
      <c r="F43" s="3" t="n"/>
    </row>
    <row r="44">
      <c r="A44" t="inlineStr">
        <is>
          <t>Unrealized Gain Loss On Investment Securities</t>
        </is>
      </c>
      <c r="B44" s="3" t="n">
        <v>-4481000</v>
      </c>
      <c r="C44" s="3" t="n">
        <v>0</v>
      </c>
      <c r="D44" s="3" t="n">
        <v>0</v>
      </c>
      <c r="E44" s="3" t="n"/>
      <c r="F44" s="3" t="n"/>
    </row>
    <row r="45">
      <c r="A45" t="inlineStr">
        <is>
          <t>Provisionand Write Offof Assets</t>
        </is>
      </c>
      <c r="B45" s="3" t="n">
        <v>7148000</v>
      </c>
      <c r="C45" s="3" t="n">
        <v>33330000</v>
      </c>
      <c r="D45" s="3" t="n">
        <v>22276000</v>
      </c>
      <c r="E45" s="3" t="n">
        <v>987000</v>
      </c>
      <c r="F45" s="3" t="n"/>
    </row>
    <row r="46">
      <c r="A46" t="inlineStr">
        <is>
          <t>Deferred Tax</t>
        </is>
      </c>
      <c r="B46" s="3" t="n">
        <v>-4205000</v>
      </c>
      <c r="C46" s="3" t="n">
        <v>3917000</v>
      </c>
      <c r="D46" s="3" t="n">
        <v>-4620000</v>
      </c>
      <c r="E46" s="3" t="n">
        <v>0</v>
      </c>
      <c r="F46" s="3" t="n"/>
    </row>
    <row r="47">
      <c r="A47" t="inlineStr">
        <is>
          <t>Deferred Income Tax</t>
        </is>
      </c>
      <c r="B47" s="3" t="n">
        <v>-4205000</v>
      </c>
      <c r="C47" s="3" t="n">
        <v>3917000</v>
      </c>
      <c r="D47" s="3" t="n">
        <v>-4620000</v>
      </c>
      <c r="E47" s="3" t="n">
        <v>0</v>
      </c>
      <c r="F47" s="3" t="n"/>
    </row>
    <row r="48">
      <c r="A48" t="inlineStr">
        <is>
          <t>Depreciation Amortization Depletion</t>
        </is>
      </c>
      <c r="B48" s="3" t="n">
        <v>44129000</v>
      </c>
      <c r="C48" s="3" t="n">
        <v>23480000</v>
      </c>
      <c r="D48" s="3" t="n">
        <v>11311000</v>
      </c>
      <c r="E48" s="3" t="n">
        <v>5989000</v>
      </c>
      <c r="F48" s="3" t="n"/>
    </row>
    <row r="49">
      <c r="A49" t="inlineStr">
        <is>
          <t>Depreciation And Amortization</t>
        </is>
      </c>
      <c r="B49" s="3" t="n">
        <v>44129000</v>
      </c>
      <c r="C49" s="3" t="n">
        <v>23480000</v>
      </c>
      <c r="D49" s="3" t="n">
        <v>11311000</v>
      </c>
      <c r="E49" s="3" t="n">
        <v>5989000</v>
      </c>
      <c r="F49" s="3" t="n"/>
    </row>
    <row r="50">
      <c r="A50" t="inlineStr">
        <is>
          <t>Amortization Cash Flow</t>
        </is>
      </c>
      <c r="B50" s="3" t="n">
        <v>4525000</v>
      </c>
      <c r="C50" s="3" t="n">
        <v>2633000</v>
      </c>
      <c r="D50" s="3" t="n">
        <v>1835000</v>
      </c>
      <c r="E50" s="3" t="n"/>
      <c r="F50" s="3" t="n"/>
    </row>
    <row r="51">
      <c r="A51" t="inlineStr">
        <is>
          <t>Amortization Of Intangibles</t>
        </is>
      </c>
      <c r="B51" s="3" t="n">
        <v>4525000</v>
      </c>
      <c r="C51" s="3" t="n">
        <v>2633000</v>
      </c>
      <c r="D51" s="3" t="n">
        <v>1835000</v>
      </c>
      <c r="E51" s="3" t="n"/>
      <c r="F51" s="3" t="n"/>
    </row>
    <row r="52">
      <c r="A52" t="inlineStr">
        <is>
          <t>Depreciation</t>
        </is>
      </c>
      <c r="B52" s="3" t="n">
        <v>44129000</v>
      </c>
      <c r="C52" s="3" t="n">
        <v>23480000</v>
      </c>
      <c r="D52" s="3" t="n">
        <v>11311000</v>
      </c>
      <c r="E52" s="3" t="n"/>
      <c r="F52" s="3" t="n"/>
    </row>
    <row r="53">
      <c r="A53" t="inlineStr">
        <is>
          <t>Operating Gains Losses</t>
        </is>
      </c>
      <c r="B53" s="3" t="n">
        <v>13947000</v>
      </c>
      <c r="C53" s="3" t="n">
        <v>-8978000</v>
      </c>
      <c r="D53" s="3" t="n">
        <v>2911000</v>
      </c>
      <c r="E53" s="3" t="n">
        <v>4123000</v>
      </c>
      <c r="F53" s="3" t="n"/>
    </row>
    <row r="54">
      <c r="A54" t="inlineStr">
        <is>
          <t>Earnings Losses From Equity Investments</t>
        </is>
      </c>
      <c r="B54" s="3" t="n">
        <v>13716000</v>
      </c>
      <c r="C54" s="3" t="n">
        <v>777000</v>
      </c>
      <c r="D54" s="3" t="n">
        <v>0</v>
      </c>
      <c r="E54" s="3" t="n"/>
      <c r="F54" s="3" t="n"/>
    </row>
    <row r="55">
      <c r="A55" t="inlineStr">
        <is>
          <t>Gain Loss On Investment Securities</t>
        </is>
      </c>
      <c r="B55" s="3" t="n"/>
      <c r="C55" s="3" t="n">
        <v>-10084000</v>
      </c>
      <c r="D55" s="3" t="n"/>
      <c r="E55" s="3" t="n"/>
      <c r="F55" s="3" t="n"/>
    </row>
    <row r="56">
      <c r="A56" t="inlineStr">
        <is>
          <t>Net Foreign Currency Exchange Gain Loss</t>
        </is>
      </c>
      <c r="B56" s="3" t="n">
        <v>-33000</v>
      </c>
      <c r="C56" s="3" t="n">
        <v>-8000</v>
      </c>
      <c r="D56" s="3" t="n">
        <v>-3000</v>
      </c>
      <c r="E56" s="3" t="n">
        <v>25000</v>
      </c>
      <c r="F56" s="3" t="n"/>
    </row>
    <row r="57">
      <c r="A57" t="inlineStr">
        <is>
          <t>Net Income From Continuing Operations</t>
        </is>
      </c>
      <c r="B57" s="3" t="n">
        <v>-91032000</v>
      </c>
      <c r="C57" s="3" t="n">
        <v>-84672000</v>
      </c>
      <c r="D57" s="3" t="n">
        <v>-207894000</v>
      </c>
      <c r="E57" s="3" t="n">
        <v>-139089000</v>
      </c>
      <c r="F5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217973000</v>
      </c>
      <c r="C2" s="3" t="n">
        <v>189488000</v>
      </c>
      <c r="D2" s="3" t="n">
        <v>494434000</v>
      </c>
      <c r="E2" s="3" t="n">
        <v>-153210000</v>
      </c>
      <c r="F2" s="3" t="n">
        <v>249015000</v>
      </c>
      <c r="G2" s="3" t="n"/>
    </row>
    <row r="3">
      <c r="A3" t="inlineStr">
        <is>
          <t>Issuance Of Capital Stock</t>
        </is>
      </c>
      <c r="B3" s="3" t="n">
        <v>-61000</v>
      </c>
      <c r="C3" s="3" t="n">
        <v>424368000</v>
      </c>
      <c r="D3" s="3" t="n">
        <v>0</v>
      </c>
      <c r="E3" s="3" t="n">
        <v>0</v>
      </c>
      <c r="F3" s="3" t="n">
        <v>0</v>
      </c>
      <c r="G3" s="3" t="n"/>
    </row>
    <row r="4">
      <c r="A4" t="inlineStr">
        <is>
          <t>Capital Expenditure</t>
        </is>
      </c>
      <c r="B4" s="3" t="n">
        <v>-43368000</v>
      </c>
      <c r="C4" s="3" t="n">
        <v>-2052000</v>
      </c>
      <c r="D4" s="3" t="n">
        <v>-36246000</v>
      </c>
      <c r="E4" s="3" t="n">
        <v>-14867000</v>
      </c>
      <c r="F4" s="3" t="n">
        <v>-20560000</v>
      </c>
      <c r="G4" s="3" t="n"/>
    </row>
    <row r="5">
      <c r="A5" t="inlineStr">
        <is>
          <t>End Cash Position</t>
        </is>
      </c>
      <c r="B5" s="3" t="n">
        <v>2011645000</v>
      </c>
      <c r="C5" s="3" t="n">
        <v>1821307000</v>
      </c>
      <c r="D5" s="3" t="n">
        <v>1247193000</v>
      </c>
      <c r="E5" s="3" t="n">
        <v>780640000</v>
      </c>
      <c r="F5" s="3" t="n">
        <v>958002000</v>
      </c>
      <c r="G5" s="3" t="n"/>
    </row>
    <row r="6">
      <c r="A6" t="inlineStr">
        <is>
          <t>Beginning Cash Position</t>
        </is>
      </c>
      <c r="B6" s="3" t="n">
        <v>1821307000</v>
      </c>
      <c r="C6" s="3" t="n">
        <v>1247193000</v>
      </c>
      <c r="D6" s="3" t="n">
        <v>780640000</v>
      </c>
      <c r="E6" s="3" t="n">
        <v>958002000</v>
      </c>
      <c r="F6" s="3" t="n">
        <v>906086000</v>
      </c>
      <c r="G6" s="3" t="n"/>
    </row>
    <row r="7">
      <c r="A7" t="inlineStr">
        <is>
          <t>Effect Of Exchange Rate Changes</t>
        </is>
      </c>
      <c r="B7" s="3" t="n">
        <v>-16000</v>
      </c>
      <c r="C7" s="3" t="n">
        <v>8000</v>
      </c>
      <c r="D7" s="3" t="n">
        <v>-16000</v>
      </c>
      <c r="E7" s="3" t="n">
        <v>24000</v>
      </c>
      <c r="F7" s="3" t="n">
        <v>50000</v>
      </c>
      <c r="G7" s="3" t="n"/>
    </row>
    <row r="8">
      <c r="A8" t="inlineStr">
        <is>
          <t>Changes In Cash</t>
        </is>
      </c>
      <c r="B8" s="3" t="n">
        <v>190354000</v>
      </c>
      <c r="C8" s="3" t="n">
        <v>574106000</v>
      </c>
      <c r="D8" s="3" t="n">
        <v>466569000</v>
      </c>
      <c r="E8" s="3" t="n">
        <v>-177386000</v>
      </c>
      <c r="F8" s="3" t="n">
        <v>51866000</v>
      </c>
      <c r="G8" s="3" t="n"/>
    </row>
    <row r="9">
      <c r="A9" t="inlineStr">
        <is>
          <t>Financing Cash Flow</t>
        </is>
      </c>
      <c r="B9" s="3" t="n">
        <v>3837000</v>
      </c>
      <c r="C9" s="3" t="n">
        <v>423146000</v>
      </c>
      <c r="D9" s="3" t="n">
        <v>1622000</v>
      </c>
      <c r="E9" s="3" t="n">
        <v>57000</v>
      </c>
      <c r="F9" s="3" t="n">
        <v>2851000</v>
      </c>
      <c r="G9" s="3" t="n"/>
    </row>
    <row r="10">
      <c r="A10" t="inlineStr">
        <is>
          <t>Cash Flow From Continuing Financing Activities</t>
        </is>
      </c>
      <c r="B10" s="3" t="n">
        <v>3837000</v>
      </c>
      <c r="C10" s="3" t="n">
        <v>423146000</v>
      </c>
      <c r="D10" s="3" t="n">
        <v>1622000</v>
      </c>
      <c r="E10" s="3" t="n">
        <v>57000</v>
      </c>
      <c r="F10" s="3" t="n">
        <v>2851000</v>
      </c>
      <c r="G10" s="3" t="n"/>
    </row>
    <row r="11">
      <c r="A11" t="inlineStr">
        <is>
          <t>Net Other Financing Charges</t>
        </is>
      </c>
      <c r="B11" s="3" t="n">
        <v>0</v>
      </c>
      <c r="C11" s="3" t="n">
        <v>-1222000</v>
      </c>
      <c r="D11" s="3" t="n">
        <v>0</v>
      </c>
      <c r="E11" s="3" t="n">
        <v>57000</v>
      </c>
      <c r="F11" s="3" t="n">
        <v>-382000</v>
      </c>
      <c r="G11" s="3" t="n"/>
    </row>
    <row r="12">
      <c r="A12" t="inlineStr">
        <is>
          <t>Proceeds From Stock Option Exercised</t>
        </is>
      </c>
      <c r="B12" s="3" t="n"/>
      <c r="C12" s="3" t="n"/>
      <c r="D12" s="3" t="n">
        <v>1622000</v>
      </c>
      <c r="E12" s="3" t="n">
        <v>0</v>
      </c>
      <c r="F12" s="3" t="n">
        <v>3233000</v>
      </c>
      <c r="G12" s="3" t="n">
        <v>0</v>
      </c>
    </row>
    <row r="13">
      <c r="A13" t="inlineStr">
        <is>
          <t>Net Common Stock Issuance</t>
        </is>
      </c>
      <c r="B13" s="3" t="n">
        <v>-61000</v>
      </c>
      <c r="C13" s="3" t="n">
        <v>424368000</v>
      </c>
      <c r="D13" s="3" t="n">
        <v>0</v>
      </c>
      <c r="E13" s="3" t="n">
        <v>0</v>
      </c>
      <c r="F13" s="3" t="n">
        <v>0</v>
      </c>
      <c r="G13" s="3" t="n"/>
    </row>
    <row r="14">
      <c r="A14" t="inlineStr">
        <is>
          <t>Common Stock Issuance</t>
        </is>
      </c>
      <c r="B14" s="3" t="n">
        <v>-61000</v>
      </c>
      <c r="C14" s="3" t="n">
        <v>424368000</v>
      </c>
      <c r="D14" s="3" t="n">
        <v>0</v>
      </c>
      <c r="E14" s="3" t="n">
        <v>0</v>
      </c>
      <c r="F14" s="3" t="n">
        <v>0</v>
      </c>
      <c r="G14" s="3" t="n"/>
    </row>
    <row r="15">
      <c r="A15" t="inlineStr">
        <is>
          <t>Investing Cash Flow</t>
        </is>
      </c>
      <c r="B15" s="3" t="n">
        <v>-74824000</v>
      </c>
      <c r="C15" s="3" t="n">
        <v>-40580000</v>
      </c>
      <c r="D15" s="3" t="n">
        <v>-65733000</v>
      </c>
      <c r="E15" s="3" t="n">
        <v>-39100000</v>
      </c>
      <c r="F15" s="3" t="n">
        <v>-220560000</v>
      </c>
      <c r="G15" s="3" t="n"/>
    </row>
    <row r="16">
      <c r="A16" t="inlineStr">
        <is>
          <t>Cash Flow From Continuing Investing Activities</t>
        </is>
      </c>
      <c r="B16" s="3" t="n">
        <v>-74824000</v>
      </c>
      <c r="C16" s="3" t="n">
        <v>-40580000</v>
      </c>
      <c r="D16" s="3" t="n">
        <v>-65733000</v>
      </c>
      <c r="E16" s="3" t="n">
        <v>-39100000</v>
      </c>
      <c r="F16" s="3" t="n">
        <v>-220560000</v>
      </c>
      <c r="G16" s="3" t="n"/>
    </row>
    <row r="17">
      <c r="A17" t="inlineStr">
        <is>
          <t>Net Investment Purchase And Sale</t>
        </is>
      </c>
      <c r="B17" s="3" t="n">
        <v>-31456000</v>
      </c>
      <c r="C17" s="3" t="n">
        <v>-38528000</v>
      </c>
      <c r="D17" s="3" t="n">
        <v>-87656000</v>
      </c>
      <c r="E17" s="3" t="n">
        <v>-24233000</v>
      </c>
      <c r="F17" s="3" t="n">
        <v>0</v>
      </c>
      <c r="G17" s="3" t="n"/>
    </row>
    <row r="18">
      <c r="A18" t="inlineStr">
        <is>
          <t>Sale Of Investment</t>
        </is>
      </c>
      <c r="B18" s="3" t="n"/>
      <c r="C18" s="3" t="n"/>
      <c r="D18" s="3" t="n">
        <v>0</v>
      </c>
      <c r="E18" s="3" t="n">
        <v>0</v>
      </c>
      <c r="F18" s="3" t="n">
        <v>0</v>
      </c>
      <c r="G18" s="3" t="n">
        <v>0</v>
      </c>
    </row>
    <row r="19">
      <c r="A19" t="inlineStr">
        <is>
          <t>Purchase Of Investment</t>
        </is>
      </c>
      <c r="B19" s="3" t="n">
        <v>-31456000</v>
      </c>
      <c r="C19" s="3" t="n">
        <v>-38528000</v>
      </c>
      <c r="D19" s="3" t="n">
        <v>-87656000</v>
      </c>
      <c r="E19" s="3" t="n">
        <v>-24233000</v>
      </c>
      <c r="F19" s="3" t="n">
        <v>0</v>
      </c>
      <c r="G19" s="3" t="n"/>
    </row>
    <row r="20">
      <c r="A20" t="inlineStr">
        <is>
          <t>Net Business Purchase And Sale</t>
        </is>
      </c>
      <c r="B20" s="3" t="n"/>
      <c r="C20" s="3" t="n"/>
      <c r="D20" s="3" t="n">
        <v>58169000</v>
      </c>
      <c r="E20" s="3" t="n">
        <v>0</v>
      </c>
      <c r="F20" s="3" t="n"/>
      <c r="G20" s="3" t="n"/>
    </row>
    <row r="21">
      <c r="A21" t="inlineStr">
        <is>
          <t>Purchase Of Business</t>
        </is>
      </c>
      <c r="B21" s="3" t="n"/>
      <c r="C21" s="3" t="n"/>
      <c r="D21" s="3" t="n">
        <v>58169000</v>
      </c>
      <c r="E21" s="3" t="n">
        <v>0</v>
      </c>
      <c r="F21" s="3" t="n"/>
      <c r="G21" s="3" t="n"/>
    </row>
    <row r="22">
      <c r="A22" t="inlineStr">
        <is>
          <t>Net PPE Purchase And Sale</t>
        </is>
      </c>
      <c r="B22" s="3" t="n"/>
      <c r="C22" s="3" t="n">
        <v>-2052000</v>
      </c>
      <c r="D22" s="3" t="n">
        <v>-36246000</v>
      </c>
      <c r="E22" s="3" t="n"/>
      <c r="F22" s="3" t="n"/>
      <c r="G22" s="3" t="n">
        <v>-7357000</v>
      </c>
    </row>
    <row r="23">
      <c r="A23" t="inlineStr">
        <is>
          <t>Purchase Of PPE</t>
        </is>
      </c>
      <c r="B23" s="3" t="n"/>
      <c r="C23" s="3" t="n">
        <v>-2052000</v>
      </c>
      <c r="D23" s="3" t="n">
        <v>-36246000</v>
      </c>
      <c r="E23" s="3" t="n"/>
      <c r="F23" s="3" t="n"/>
      <c r="G23" s="3" t="n">
        <v>-7357000</v>
      </c>
    </row>
    <row r="24">
      <c r="A24" t="inlineStr">
        <is>
          <t>Capital Expenditure Reported</t>
        </is>
      </c>
      <c r="B24" s="3" t="n"/>
      <c r="C24" s="3" t="n"/>
      <c r="D24" s="3" t="n"/>
      <c r="E24" s="3" t="n"/>
      <c r="F24" s="3" t="n">
        <v>-27917000</v>
      </c>
      <c r="G24" s="3" t="n">
        <v>0</v>
      </c>
    </row>
    <row r="25">
      <c r="A25" t="inlineStr">
        <is>
          <t>Operating Cash Flow</t>
        </is>
      </c>
      <c r="B25" s="3" t="n">
        <v>261341000</v>
      </c>
      <c r="C25" s="3" t="n">
        <v>191540000</v>
      </c>
      <c r="D25" s="3" t="n">
        <v>530680000</v>
      </c>
      <c r="E25" s="3" t="n">
        <v>-138343000</v>
      </c>
      <c r="F25" s="3" t="n">
        <v>269575000</v>
      </c>
      <c r="G25" s="3" t="n"/>
    </row>
    <row r="26">
      <c r="A26" t="inlineStr">
        <is>
          <t>Cash Flow From Continuing Operating Activities</t>
        </is>
      </c>
      <c r="B26" s="3" t="n">
        <v>261341000</v>
      </c>
      <c r="C26" s="3" t="n">
        <v>191540000</v>
      </c>
      <c r="D26" s="3" t="n">
        <v>530680000</v>
      </c>
      <c r="E26" s="3" t="n">
        <v>-138343000</v>
      </c>
      <c r="F26" s="3" t="n">
        <v>269575000</v>
      </c>
      <c r="G26" s="3" t="n"/>
    </row>
    <row r="27">
      <c r="A27" t="inlineStr">
        <is>
          <t>Change In Working Capital</t>
        </is>
      </c>
      <c r="B27" s="3" t="n">
        <v>177775000</v>
      </c>
      <c r="C27" s="3" t="n">
        <v>113152000</v>
      </c>
      <c r="D27" s="3" t="n">
        <v>467959000</v>
      </c>
      <c r="E27" s="3" t="n">
        <v>-179055000</v>
      </c>
      <c r="F27" s="3" t="n">
        <v>237907000</v>
      </c>
      <c r="G27" s="3" t="n"/>
    </row>
    <row r="28">
      <c r="A28" t="inlineStr">
        <is>
          <t>Change In Other Working Capital</t>
        </is>
      </c>
      <c r="B28" s="3" t="n">
        <v>344631000</v>
      </c>
      <c r="C28" s="3" t="n">
        <v>124969000</v>
      </c>
      <c r="D28" s="3" t="n">
        <v>442529000</v>
      </c>
      <c r="E28" s="3" t="n">
        <v>-143828000</v>
      </c>
      <c r="F28" s="3" t="n">
        <v>228526000</v>
      </c>
      <c r="G28" s="3" t="n"/>
    </row>
    <row r="29">
      <c r="A29" t="inlineStr">
        <is>
          <t>Change In Other Current Liabilities</t>
        </is>
      </c>
      <c r="B29" s="3" t="n">
        <v>76000</v>
      </c>
      <c r="C29" s="3" t="n">
        <v>-2255000</v>
      </c>
      <c r="D29" s="3" t="n">
        <v>-3024000</v>
      </c>
      <c r="E29" s="3" t="n">
        <v>-296000</v>
      </c>
      <c r="F29" s="3" t="n">
        <v>2182000</v>
      </c>
      <c r="G29" s="3" t="n"/>
    </row>
    <row r="30">
      <c r="A30" t="inlineStr">
        <is>
          <t>Change In Other Current Assets</t>
        </is>
      </c>
      <c r="B30" s="3" t="n">
        <v>7288000</v>
      </c>
      <c r="C30" s="3" t="n">
        <v>2335000</v>
      </c>
      <c r="D30" s="3" t="n">
        <v>25624000</v>
      </c>
      <c r="E30" s="3" t="n">
        <v>-9449000</v>
      </c>
      <c r="F30" s="3" t="n">
        <v>-4836000</v>
      </c>
      <c r="G30" s="3" t="n"/>
    </row>
    <row r="31">
      <c r="A31" t="inlineStr">
        <is>
          <t>Change In Payables And Accrued Expense</t>
        </is>
      </c>
      <c r="B31" s="3" t="n">
        <v>82995000</v>
      </c>
      <c r="C31" s="3" t="n">
        <v>-15139000</v>
      </c>
      <c r="D31" s="3" t="n">
        <v>74329000</v>
      </c>
      <c r="E31" s="3" t="n">
        <v>8125000</v>
      </c>
      <c r="F31" s="3" t="n">
        <v>-51879000</v>
      </c>
      <c r="G31" s="3" t="n"/>
    </row>
    <row r="32">
      <c r="A32" t="inlineStr">
        <is>
          <t>Change In Accrued Expense</t>
        </is>
      </c>
      <c r="B32" s="3" t="n">
        <v>41334000</v>
      </c>
      <c r="C32" s="3" t="n">
        <v>8718000</v>
      </c>
      <c r="D32" s="3" t="n">
        <v>17969000</v>
      </c>
      <c r="E32" s="3" t="n">
        <v>12532000</v>
      </c>
      <c r="F32" s="3" t="n">
        <v>-65685000</v>
      </c>
      <c r="G32" s="3" t="n"/>
    </row>
    <row r="33">
      <c r="A33" t="inlineStr">
        <is>
          <t>Change In Payable</t>
        </is>
      </c>
      <c r="B33" s="3" t="n">
        <v>41661000</v>
      </c>
      <c r="C33" s="3" t="n">
        <v>-23857000</v>
      </c>
      <c r="D33" s="3" t="n">
        <v>56360000</v>
      </c>
      <c r="E33" s="3" t="n">
        <v>-4407000</v>
      </c>
      <c r="F33" s="3" t="n">
        <v>13806000</v>
      </c>
      <c r="G33" s="3" t="n"/>
    </row>
    <row r="34">
      <c r="A34" t="inlineStr">
        <is>
          <t>Change In Account Payable</t>
        </is>
      </c>
      <c r="B34" s="3" t="n">
        <v>41661000</v>
      </c>
      <c r="C34" s="3" t="n">
        <v>-23857000</v>
      </c>
      <c r="D34" s="3" t="n">
        <v>56360000</v>
      </c>
      <c r="E34" s="3" t="n">
        <v>-4407000</v>
      </c>
      <c r="F34" s="3" t="n">
        <v>13806000</v>
      </c>
      <c r="G34" s="3" t="n"/>
    </row>
    <row r="35">
      <c r="A35" t="inlineStr">
        <is>
          <t>Change In Prepaid Assets</t>
        </is>
      </c>
      <c r="B35" s="3" t="n">
        <v>-209544000</v>
      </c>
      <c r="C35" s="3" t="n">
        <v>-51726000</v>
      </c>
      <c r="D35" s="3" t="n">
        <v>7685000</v>
      </c>
      <c r="E35" s="3" t="n">
        <v>-38466000</v>
      </c>
      <c r="F35" s="3" t="n">
        <v>90341000</v>
      </c>
      <c r="G35" s="3" t="n"/>
    </row>
    <row r="36">
      <c r="A36" t="inlineStr">
        <is>
          <t>Change In Inventory</t>
        </is>
      </c>
      <c r="B36" s="3" t="n">
        <v>-23184000</v>
      </c>
      <c r="C36" s="3" t="n">
        <v>-24122000</v>
      </c>
      <c r="D36" s="3" t="n">
        <v>-28689000</v>
      </c>
      <c r="E36" s="3" t="n">
        <v>3470000</v>
      </c>
      <c r="F36" s="3" t="n">
        <v>-23232000</v>
      </c>
      <c r="G36" s="3" t="n"/>
    </row>
    <row r="37">
      <c r="A37" t="inlineStr">
        <is>
          <t>Change In Receivables</t>
        </is>
      </c>
      <c r="B37" s="3" t="n">
        <v>-24487000</v>
      </c>
      <c r="C37" s="3" t="n">
        <v>79090000</v>
      </c>
      <c r="D37" s="3" t="n">
        <v>-50495000</v>
      </c>
      <c r="E37" s="3" t="n">
        <v>1389000</v>
      </c>
      <c r="F37" s="3" t="n">
        <v>-3195000</v>
      </c>
      <c r="G37" s="3" t="n"/>
    </row>
    <row r="38">
      <c r="A38" t="inlineStr">
        <is>
          <t>Changes In Account Receivables</t>
        </is>
      </c>
      <c r="B38" s="3" t="n">
        <v>-24487000</v>
      </c>
      <c r="C38" s="3" t="n">
        <v>79090000</v>
      </c>
      <c r="D38" s="3" t="n">
        <v>-50495000</v>
      </c>
      <c r="E38" s="3" t="n">
        <v>1389000</v>
      </c>
      <c r="F38" s="3" t="n">
        <v>-3195000</v>
      </c>
      <c r="G38" s="3" t="n"/>
    </row>
    <row r="39">
      <c r="A39" t="inlineStr">
        <is>
          <t>Stock Based Compensation</t>
        </is>
      </c>
      <c r="B39" s="3" t="n">
        <v>48549000</v>
      </c>
      <c r="C39" s="3" t="n">
        <v>45941000</v>
      </c>
      <c r="D39" s="3" t="n">
        <v>64368000</v>
      </c>
      <c r="E39" s="3" t="n">
        <v>64046000</v>
      </c>
      <c r="F39" s="3" t="n">
        <v>30919000</v>
      </c>
      <c r="G39" s="3" t="n"/>
    </row>
    <row r="40">
      <c r="A40" t="inlineStr">
        <is>
          <t>Unrealized Gain Loss On Investment Securities</t>
        </is>
      </c>
      <c r="B40" s="3" t="n">
        <v>0</v>
      </c>
      <c r="C40" s="3" t="n">
        <v>-1661000</v>
      </c>
      <c r="D40" s="3" t="n">
        <v>0</v>
      </c>
      <c r="E40" s="3" t="n">
        <v>0</v>
      </c>
      <c r="F40" s="3" t="n">
        <v>-4481000</v>
      </c>
      <c r="G40" s="3" t="n"/>
    </row>
    <row r="41">
      <c r="A41" t="inlineStr">
        <is>
          <t>Provisionand Write Offof Assets</t>
        </is>
      </c>
      <c r="B41" s="3" t="n">
        <v>4753000</v>
      </c>
      <c r="C41" s="3" t="n">
        <v>4832000</v>
      </c>
      <c r="D41" s="3" t="n">
        <v>2247000</v>
      </c>
      <c r="E41" s="3" t="n">
        <v>3921000</v>
      </c>
      <c r="F41" s="3" t="n">
        <v>292000</v>
      </c>
      <c r="G41" s="3" t="n"/>
    </row>
    <row r="42">
      <c r="A42" t="inlineStr">
        <is>
          <t>Depreciation Amortization Depletion</t>
        </is>
      </c>
      <c r="B42" s="3" t="n">
        <v>13859000</v>
      </c>
      <c r="C42" s="3" t="n">
        <v>10092000</v>
      </c>
      <c r="D42" s="3" t="n">
        <v>10003000</v>
      </c>
      <c r="E42" s="3" t="n">
        <v>14202000</v>
      </c>
      <c r="F42" s="3" t="n">
        <v>12279000</v>
      </c>
      <c r="G42" s="3" t="n"/>
    </row>
    <row r="43">
      <c r="A43" t="inlineStr">
        <is>
          <t>Depreciation And Amortization</t>
        </is>
      </c>
      <c r="B43" s="3" t="n">
        <v>13859000</v>
      </c>
      <c r="C43" s="3" t="n">
        <v>10092000</v>
      </c>
      <c r="D43" s="3" t="n">
        <v>10003000</v>
      </c>
      <c r="E43" s="3" t="n">
        <v>14202000</v>
      </c>
      <c r="F43" s="3" t="n">
        <v>12279000</v>
      </c>
      <c r="G43" s="3" t="n"/>
    </row>
    <row r="44">
      <c r="A44" t="inlineStr">
        <is>
          <t>Depreciation</t>
        </is>
      </c>
      <c r="B44" s="3" t="n">
        <v>13859000</v>
      </c>
      <c r="C44" s="3" t="n">
        <v>10092000</v>
      </c>
      <c r="D44" s="3" t="n"/>
      <c r="E44" s="3" t="n"/>
      <c r="F44" s="3" t="n">
        <v>12279000</v>
      </c>
      <c r="G44" s="3" t="n">
        <v>7645000</v>
      </c>
    </row>
    <row r="45">
      <c r="A45" t="inlineStr">
        <is>
          <t>Operating Gains Losses</t>
        </is>
      </c>
      <c r="B45" s="3" t="n">
        <v>6976000</v>
      </c>
      <c r="C45" s="3" t="n">
        <v>5826000</v>
      </c>
      <c r="D45" s="3" t="n">
        <v>5988000</v>
      </c>
      <c r="E45" s="3" t="n">
        <v>3715000</v>
      </c>
      <c r="F45" s="3" t="n">
        <v>2511000</v>
      </c>
      <c r="G45" s="3" t="n"/>
    </row>
    <row r="46">
      <c r="A46" t="inlineStr">
        <is>
          <t>Earnings Losses From Equity Investments</t>
        </is>
      </c>
      <c r="B46" s="3" t="n">
        <v>6945000</v>
      </c>
      <c r="C46" s="3" t="n">
        <v>5799000</v>
      </c>
      <c r="D46" s="3" t="n">
        <v>5885000</v>
      </c>
      <c r="E46" s="3" t="n">
        <v>3776000</v>
      </c>
      <c r="F46" s="3" t="n">
        <v>2491000</v>
      </c>
      <c r="G46" s="3" t="n"/>
    </row>
    <row r="47">
      <c r="A47" t="inlineStr">
        <is>
          <t>Net Foreign Currency Exchange Gain Loss</t>
        </is>
      </c>
      <c r="B47" s="3" t="n">
        <v>31000</v>
      </c>
      <c r="C47" s="3" t="n">
        <v>27000</v>
      </c>
      <c r="D47" s="3" t="n">
        <v>40000</v>
      </c>
      <c r="E47" s="3" t="n">
        <v>-61000</v>
      </c>
      <c r="F47" s="3" t="n">
        <v>20000</v>
      </c>
      <c r="G47" s="3" t="n"/>
    </row>
    <row r="48">
      <c r="A48" t="inlineStr">
        <is>
          <t>Net Income From Continuing Operations</t>
        </is>
      </c>
      <c r="B48" s="3" t="n">
        <v>9429000</v>
      </c>
      <c r="C48" s="3" t="n">
        <v>13358000</v>
      </c>
      <c r="D48" s="3" t="n">
        <v>-19149000</v>
      </c>
      <c r="E48" s="3" t="n">
        <v>-45172000</v>
      </c>
      <c r="F48" s="3" t="n">
        <v>-9852000</v>
      </c>
      <c r="G4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2026-08-02T23:43:28Z</dcterms:created>
  <dcterms:modified xsi:type="dcterms:W3CDTF">2026-08-02T23:43:29Z</dcterms:modified>
</cp:coreProperties>
</file>