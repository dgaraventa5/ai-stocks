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FIX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Comfort Systems USA,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Engineering &amp; Construction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69221294080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71836778496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56.8123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36.812992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6.8294625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0.25128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0.07885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0.12073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0.53294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70540000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303920992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1382966000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35183967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1967.41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(annual)'!D44</f>
        <v/>
      </c>
      <c r="C3" s="3">
        <f>'Income stmt (annual)'!C44</f>
        <v/>
      </c>
      <c r="D3" s="3">
        <f>'Income stmt (annual)'!B44</f>
        <v/>
      </c>
      <c r="E3" s="3">
        <f>SUM('Income stmt (quarterly)'!B43:E43)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(annual)'!D42</f>
        <v/>
      </c>
      <c r="C4" s="3">
        <f>'Income stmt (annual)'!C42</f>
        <v/>
      </c>
      <c r="D4" s="3">
        <f>'Income stmt (annual)'!B42</f>
        <v/>
      </c>
      <c r="E4" s="3">
        <f>SUM('Income stmt (quarterly)'!B41:E41)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(annual)'!D39</f>
        <v/>
      </c>
      <c r="C6" s="3">
        <f>'Income stmt (annual)'!C39</f>
        <v/>
      </c>
      <c r="D6" s="3">
        <f>'Income stmt (annual)'!B39</f>
        <v/>
      </c>
      <c r="E6" s="3">
        <f>SUM('Income stmt (quarterly)'!B38:E38)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(annual)'!B5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-6583291</v>
      </c>
      <c r="C2" s="3" t="n">
        <v>-18385056</v>
      </c>
      <c r="D2" s="3" t="n">
        <v>-3557935</v>
      </c>
      <c r="E2" s="3" t="n">
        <v>-679140</v>
      </c>
    </row>
    <row r="3">
      <c r="A3" t="inlineStr">
        <is>
          <t>Tax Rate For Calcs</t>
        </is>
      </c>
      <c r="B3" s="3" t="n">
        <v>0.209</v>
      </c>
      <c r="C3" s="3" t="n">
        <v>0.216</v>
      </c>
      <c r="D3" s="3" t="n">
        <v>0.167</v>
      </c>
      <c r="E3" s="3" t="n">
        <v>0.21</v>
      </c>
    </row>
    <row r="4">
      <c r="A4" t="inlineStr">
        <is>
          <t>Normalized EBITDA</t>
        </is>
      </c>
      <c r="B4" s="3" t="n">
        <v>1473892000</v>
      </c>
      <c r="C4" s="3" t="n">
        <v>902212000</v>
      </c>
      <c r="D4" s="3" t="n">
        <v>499937000</v>
      </c>
      <c r="E4" s="3" t="n">
        <v>332537000</v>
      </c>
    </row>
    <row r="5">
      <c r="A5" t="inlineStr">
        <is>
          <t>Total Unusual Items</t>
        </is>
      </c>
      <c r="B5" s="3" t="n">
        <v>-31499000</v>
      </c>
      <c r="C5" s="3" t="n">
        <v>-85116000</v>
      </c>
      <c r="D5" s="3" t="n">
        <v>-21305000</v>
      </c>
      <c r="E5" s="3" t="n">
        <v>-3234000</v>
      </c>
    </row>
    <row r="6">
      <c r="A6" t="inlineStr">
        <is>
          <t>Total Unusual Items Excluding Goodwill</t>
        </is>
      </c>
      <c r="B6" s="3" t="n">
        <v>-31499000</v>
      </c>
      <c r="C6" s="3" t="n">
        <v>-85116000</v>
      </c>
      <c r="D6" s="3" t="n">
        <v>-21305000</v>
      </c>
      <c r="E6" s="3" t="n">
        <v>-3234000</v>
      </c>
    </row>
    <row r="7">
      <c r="A7" t="inlineStr">
        <is>
          <t>Net Income From Continuing Operation Net Minority Interest</t>
        </is>
      </c>
      <c r="B7" s="3" t="n">
        <v>1022558000</v>
      </c>
      <c r="C7" s="3" t="n">
        <v>522433000</v>
      </c>
      <c r="D7" s="3" t="n">
        <v>323398000</v>
      </c>
      <c r="E7" s="3" t="n">
        <v>245947000</v>
      </c>
    </row>
    <row r="8">
      <c r="A8" t="inlineStr">
        <is>
          <t>Reconciled Depreciation</t>
        </is>
      </c>
      <c r="B8" s="3" t="n">
        <v>141959000</v>
      </c>
      <c r="C8" s="3" t="n">
        <v>145485000</v>
      </c>
      <c r="D8" s="3" t="n">
        <v>81566000</v>
      </c>
      <c r="E8" s="3" t="n">
        <v>81347000</v>
      </c>
    </row>
    <row r="9">
      <c r="A9" t="inlineStr">
        <is>
          <t>Reconciled Cost Of Revenue</t>
        </is>
      </c>
      <c r="B9" s="3" t="n">
        <v>6905742000</v>
      </c>
      <c r="C9" s="3" t="n">
        <v>5551065000</v>
      </c>
      <c r="D9" s="3" t="n">
        <v>4216251000</v>
      </c>
      <c r="E9" s="3" t="n">
        <v>3398756000</v>
      </c>
    </row>
    <row r="10">
      <c r="A10" t="inlineStr">
        <is>
          <t>EBITDA</t>
        </is>
      </c>
      <c r="B10" s="3" t="n">
        <v>1442393000</v>
      </c>
      <c r="C10" s="3" t="n">
        <v>817096000</v>
      </c>
      <c r="D10" s="3" t="n">
        <v>478632000</v>
      </c>
      <c r="E10" s="3" t="n">
        <v>329303000</v>
      </c>
    </row>
    <row r="11">
      <c r="A11" t="inlineStr">
        <is>
          <t>EBIT</t>
        </is>
      </c>
      <c r="B11" s="3" t="n">
        <v>1300434000</v>
      </c>
      <c r="C11" s="3" t="n">
        <v>671611000</v>
      </c>
      <c r="D11" s="3" t="n">
        <v>397066000</v>
      </c>
      <c r="E11" s="3" t="n">
        <v>247956000</v>
      </c>
    </row>
    <row r="12">
      <c r="A12" t="inlineStr">
        <is>
          <t>Net Interest Income</t>
        </is>
      </c>
      <c r="B12" s="3" t="n">
        <v>12595000</v>
      </c>
      <c r="C12" s="3" t="n">
        <v>4906000</v>
      </c>
      <c r="D12" s="3" t="n">
        <v>-6789000</v>
      </c>
      <c r="E12" s="3" t="n">
        <v>-13306000</v>
      </c>
    </row>
    <row r="13">
      <c r="A13" t="inlineStr">
        <is>
          <t>Interest Expense</t>
        </is>
      </c>
      <c r="B13" s="3" t="n">
        <v>6981000</v>
      </c>
      <c r="C13" s="3" t="n">
        <v>5050000</v>
      </c>
      <c r="D13" s="3" t="n">
        <v>8872000</v>
      </c>
      <c r="E13" s="3" t="n">
        <v>12098000</v>
      </c>
    </row>
    <row r="14">
      <c r="A14" t="inlineStr">
        <is>
          <t>Interest Income</t>
        </is>
      </c>
      <c r="B14" s="3" t="n">
        <v>21604000</v>
      </c>
      <c r="C14" s="3" t="n">
        <v>11554000</v>
      </c>
      <c r="D14" s="3" t="n">
        <v>3492000</v>
      </c>
      <c r="E14" s="3" t="n">
        <v>378000</v>
      </c>
    </row>
    <row r="15">
      <c r="A15" t="inlineStr">
        <is>
          <t>Normalized Income</t>
        </is>
      </c>
      <c r="B15" s="3" t="n">
        <v>1047473709</v>
      </c>
      <c r="C15" s="3" t="n">
        <v>589163944</v>
      </c>
      <c r="D15" s="3" t="n">
        <v>341145065</v>
      </c>
      <c r="E15" s="3" t="n">
        <v>248501860</v>
      </c>
    </row>
    <row r="16">
      <c r="A16" t="inlineStr">
        <is>
          <t>Net Income From Continuing And Discontinued Operation</t>
        </is>
      </c>
      <c r="B16" s="3" t="n">
        <v>1022558000</v>
      </c>
      <c r="C16" s="3" t="n">
        <v>522433000</v>
      </c>
      <c r="D16" s="3" t="n">
        <v>323398000</v>
      </c>
      <c r="E16" s="3" t="n">
        <v>245947000</v>
      </c>
    </row>
    <row r="17">
      <c r="A17" t="inlineStr">
        <is>
          <t>Total Expenses</t>
        </is>
      </c>
      <c r="B17" s="3" t="n">
        <v>7789026000</v>
      </c>
      <c r="C17" s="3" t="n">
        <v>6281137000</v>
      </c>
      <c r="D17" s="3" t="n">
        <v>4790674000</v>
      </c>
      <c r="E17" s="3" t="n">
        <v>3888100000</v>
      </c>
    </row>
    <row r="18">
      <c r="A18" t="inlineStr">
        <is>
          <t>Total Operating Income As Reported</t>
        </is>
      </c>
      <c r="B18" s="3" t="n">
        <v>1314589000</v>
      </c>
      <c r="C18" s="3" t="n">
        <v>749369000</v>
      </c>
      <c r="D18" s="3" t="n">
        <v>418388000</v>
      </c>
      <c r="E18" s="3" t="n">
        <v>253849000</v>
      </c>
    </row>
    <row r="19">
      <c r="A19" t="inlineStr">
        <is>
          <t>Diluted Average Shares</t>
        </is>
      </c>
      <c r="B19" s="3" t="n">
        <v>35413000</v>
      </c>
      <c r="C19" s="3" t="n">
        <v>35775000</v>
      </c>
      <c r="D19" s="3" t="n">
        <v>35895000</v>
      </c>
      <c r="E19" s="3" t="n">
        <v>36046000</v>
      </c>
    </row>
    <row r="20">
      <c r="A20" t="inlineStr">
        <is>
          <t>Basic Average Shares</t>
        </is>
      </c>
      <c r="B20" s="3" t="n">
        <v>35349000</v>
      </c>
      <c r="C20" s="3" t="n">
        <v>35689000</v>
      </c>
      <c r="D20" s="3" t="n">
        <v>35802000</v>
      </c>
      <c r="E20" s="3" t="n">
        <v>35932000</v>
      </c>
    </row>
    <row r="21">
      <c r="A21" t="inlineStr">
        <is>
          <t>Diluted EPS</t>
        </is>
      </c>
      <c r="B21" s="3" t="n">
        <v>28.88</v>
      </c>
      <c r="C21" s="3" t="n">
        <v>14.6</v>
      </c>
      <c r="D21" s="3" t="n">
        <v>9.01</v>
      </c>
      <c r="E21" s="3" t="n">
        <v>6.82</v>
      </c>
    </row>
    <row r="22">
      <c r="A22" t="inlineStr">
        <is>
          <t>Basic EPS</t>
        </is>
      </c>
      <c r="B22" s="3" t="n">
        <v>28.93</v>
      </c>
      <c r="C22" s="3" t="n">
        <v>14.64</v>
      </c>
      <c r="D22" s="3" t="n">
        <v>9.029999999999999</v>
      </c>
      <c r="E22" s="3" t="n">
        <v>6.84</v>
      </c>
    </row>
    <row r="23">
      <c r="A23" t="inlineStr">
        <is>
          <t>Diluted NI Availto Com Stockholders</t>
        </is>
      </c>
      <c r="B23" s="3" t="n">
        <v>1022558000</v>
      </c>
      <c r="C23" s="3" t="n">
        <v>522433000</v>
      </c>
      <c r="D23" s="3" t="n">
        <v>323398000</v>
      </c>
      <c r="E23" s="3" t="n">
        <v>245947000</v>
      </c>
    </row>
    <row r="24">
      <c r="A24" t="inlineStr">
        <is>
          <t>Net Income Common Stockholders</t>
        </is>
      </c>
      <c r="B24" s="3" t="n">
        <v>1022558000</v>
      </c>
      <c r="C24" s="3" t="n">
        <v>522433000</v>
      </c>
      <c r="D24" s="3" t="n">
        <v>323398000</v>
      </c>
      <c r="E24" s="3" t="n">
        <v>245947000</v>
      </c>
    </row>
    <row r="25">
      <c r="A25" t="inlineStr">
        <is>
          <t>Net Income</t>
        </is>
      </c>
      <c r="B25" s="3" t="n">
        <v>1022558000</v>
      </c>
      <c r="C25" s="3" t="n">
        <v>522433000</v>
      </c>
      <c r="D25" s="3" t="n">
        <v>323398000</v>
      </c>
      <c r="E25" s="3" t="n">
        <v>245947000</v>
      </c>
    </row>
    <row r="26">
      <c r="A26" t="inlineStr">
        <is>
          <t>Net Income Including Noncontrolling Interests</t>
        </is>
      </c>
      <c r="B26" s="3" t="n">
        <v>1022558000</v>
      </c>
      <c r="C26" s="3" t="n">
        <v>522433000</v>
      </c>
      <c r="D26" s="3" t="n">
        <v>323398000</v>
      </c>
      <c r="E26" s="3" t="n">
        <v>245947000</v>
      </c>
    </row>
    <row r="27">
      <c r="A27" t="inlineStr">
        <is>
          <t>Net Income Continuous Operations</t>
        </is>
      </c>
      <c r="B27" s="3" t="n">
        <v>1022558000</v>
      </c>
      <c r="C27" s="3" t="n">
        <v>522433000</v>
      </c>
      <c r="D27" s="3" t="n">
        <v>323398000</v>
      </c>
      <c r="E27" s="3" t="n">
        <v>245947000</v>
      </c>
    </row>
    <row r="28">
      <c r="A28" t="inlineStr">
        <is>
          <t>Tax Provision</t>
        </is>
      </c>
      <c r="B28" s="3" t="n">
        <v>270895000</v>
      </c>
      <c r="C28" s="3" t="n">
        <v>144128000</v>
      </c>
      <c r="D28" s="3" t="n">
        <v>64796000</v>
      </c>
      <c r="E28" s="3" t="n">
        <v>-10089000</v>
      </c>
    </row>
    <row r="29">
      <c r="A29" t="inlineStr">
        <is>
          <t>Pretax Income</t>
        </is>
      </c>
      <c r="B29" s="3" t="n">
        <v>1293453000</v>
      </c>
      <c r="C29" s="3" t="n">
        <v>666561000</v>
      </c>
      <c r="D29" s="3" t="n">
        <v>388194000</v>
      </c>
      <c r="E29" s="3" t="n">
        <v>235858000</v>
      </c>
    </row>
    <row r="30">
      <c r="A30" t="inlineStr">
        <is>
          <t>Other Income Expense</t>
        </is>
      </c>
      <c r="B30" s="3" t="n">
        <v>-31757000</v>
      </c>
      <c r="C30" s="3" t="n">
        <v>-84684000</v>
      </c>
      <c r="D30" s="3" t="n">
        <v>-21103000</v>
      </c>
      <c r="E30" s="3" t="n">
        <v>-3100000</v>
      </c>
    </row>
    <row r="31">
      <c r="A31" t="inlineStr">
        <is>
          <t>Other Non Operating Income Expenses</t>
        </is>
      </c>
      <c r="B31" s="3" t="n">
        <v>-258000</v>
      </c>
      <c r="C31" s="3" t="n">
        <v>432000</v>
      </c>
      <c r="D31" s="3" t="n">
        <v>202000</v>
      </c>
      <c r="E31" s="3" t="n">
        <v>134000</v>
      </c>
    </row>
    <row r="32">
      <c r="A32" t="inlineStr">
        <is>
          <t>Special Income Charges</t>
        </is>
      </c>
      <c r="B32" s="3" t="n">
        <v>-31499000</v>
      </c>
      <c r="C32" s="3" t="n">
        <v>-85116000</v>
      </c>
      <c r="D32" s="3" t="n">
        <v>-21305000</v>
      </c>
      <c r="E32" s="3" t="n">
        <v>-3234000</v>
      </c>
    </row>
    <row r="33">
      <c r="A33" t="inlineStr">
        <is>
          <t>Gain On Sale Of Ppe</t>
        </is>
      </c>
      <c r="B33" s="3" t="n">
        <v>1974000</v>
      </c>
      <c r="C33" s="3" t="n">
        <v>3030000</v>
      </c>
      <c r="D33" s="3" t="n">
        <v>2302000</v>
      </c>
      <c r="E33" s="3" t="n">
        <v>1585000</v>
      </c>
    </row>
    <row r="34">
      <c r="A34" t="inlineStr">
        <is>
          <t>Restructuring And Mergern Acquisition</t>
        </is>
      </c>
      <c r="B34" s="3" t="n">
        <v>33473000</v>
      </c>
      <c r="C34" s="3" t="n">
        <v>88146000</v>
      </c>
      <c r="D34" s="3" t="n">
        <v>23607000</v>
      </c>
      <c r="E34" s="3" t="n">
        <v>4819000</v>
      </c>
    </row>
    <row r="35">
      <c r="A35" t="inlineStr">
        <is>
          <t>Net Non Operating Interest Income Expense</t>
        </is>
      </c>
      <c r="B35" s="3" t="n">
        <v>12595000</v>
      </c>
      <c r="C35" s="3" t="n">
        <v>4906000</v>
      </c>
      <c r="D35" s="3" t="n">
        <v>-6789000</v>
      </c>
      <c r="E35" s="3" t="n">
        <v>-13306000</v>
      </c>
    </row>
    <row r="36">
      <c r="A36" t="inlineStr">
        <is>
          <t>Total Other Finance Cost</t>
        </is>
      </c>
      <c r="B36" s="3" t="n">
        <v>2028000</v>
      </c>
      <c r="C36" s="3" t="n">
        <v>1598000</v>
      </c>
      <c r="D36" s="3" t="n">
        <v>1409000</v>
      </c>
      <c r="E36" s="3" t="n">
        <v>1586000</v>
      </c>
    </row>
    <row r="37">
      <c r="A37" t="inlineStr">
        <is>
          <t>Interest Expense Non Operating</t>
        </is>
      </c>
      <c r="B37" s="3" t="n">
        <v>6981000</v>
      </c>
      <c r="C37" s="3" t="n">
        <v>5050000</v>
      </c>
      <c r="D37" s="3" t="n">
        <v>8872000</v>
      </c>
      <c r="E37" s="3" t="n">
        <v>12098000</v>
      </c>
    </row>
    <row r="38">
      <c r="A38" t="inlineStr">
        <is>
          <t>Interest Income Non Operating</t>
        </is>
      </c>
      <c r="B38" s="3" t="n">
        <v>21604000</v>
      </c>
      <c r="C38" s="3" t="n">
        <v>11554000</v>
      </c>
      <c r="D38" s="3" t="n">
        <v>3492000</v>
      </c>
      <c r="E38" s="3" t="n">
        <v>378000</v>
      </c>
    </row>
    <row r="39">
      <c r="A39" t="inlineStr">
        <is>
          <t>Operating Income</t>
        </is>
      </c>
      <c r="B39" s="3" t="n">
        <v>1312615000</v>
      </c>
      <c r="C39" s="3" t="n">
        <v>746339000</v>
      </c>
      <c r="D39" s="3" t="n">
        <v>416086000</v>
      </c>
      <c r="E39" s="3" t="n">
        <v>252264000</v>
      </c>
    </row>
    <row r="40">
      <c r="A40" t="inlineStr">
        <is>
          <t>Operating Expense</t>
        </is>
      </c>
      <c r="B40" s="3" t="n">
        <v>883284000</v>
      </c>
      <c r="C40" s="3" t="n">
        <v>730072000</v>
      </c>
      <c r="D40" s="3" t="n">
        <v>574423000</v>
      </c>
      <c r="E40" s="3" t="n">
        <v>489344000</v>
      </c>
    </row>
    <row r="41">
      <c r="A41" t="inlineStr">
        <is>
          <t>Selling General And Administration</t>
        </is>
      </c>
      <c r="B41" s="3" t="n">
        <v>883284000</v>
      </c>
      <c r="C41" s="3" t="n">
        <v>730072000</v>
      </c>
      <c r="D41" s="3" t="n">
        <v>574423000</v>
      </c>
      <c r="E41" s="3" t="n">
        <v>489344000</v>
      </c>
    </row>
    <row r="42">
      <c r="A42" t="inlineStr">
        <is>
          <t>Gross Profit</t>
        </is>
      </c>
      <c r="B42" s="3" t="n">
        <v>2195899000</v>
      </c>
      <c r="C42" s="3" t="n">
        <v>1476411000</v>
      </c>
      <c r="D42" s="3" t="n">
        <v>990509000</v>
      </c>
      <c r="E42" s="3" t="n">
        <v>741608000</v>
      </c>
    </row>
    <row r="43">
      <c r="A43" t="inlineStr">
        <is>
          <t>Cost Of Revenue</t>
        </is>
      </c>
      <c r="B43" s="3" t="n">
        <v>6905742000</v>
      </c>
      <c r="C43" s="3" t="n">
        <v>5551065000</v>
      </c>
      <c r="D43" s="3" t="n">
        <v>4216251000</v>
      </c>
      <c r="E43" s="3" t="n">
        <v>3398756000</v>
      </c>
    </row>
    <row r="44">
      <c r="A44" t="inlineStr">
        <is>
          <t>Total Revenue</t>
        </is>
      </c>
      <c r="B44" s="3" t="n">
        <v>9101641000</v>
      </c>
      <c r="C44" s="3" t="n">
        <v>7027476000</v>
      </c>
      <c r="D44" s="3" t="n">
        <v>5206760000</v>
      </c>
      <c r="E44" s="3" t="n">
        <v>4140364000</v>
      </c>
    </row>
    <row r="45">
      <c r="A45" t="inlineStr">
        <is>
          <t>Operating Revenue</t>
        </is>
      </c>
      <c r="B45" s="3" t="n">
        <v>9101641000</v>
      </c>
      <c r="C45" s="3" t="n">
        <v>7027476000</v>
      </c>
      <c r="D45" s="3" t="n">
        <v>5206760000</v>
      </c>
      <c r="E45" s="3" t="n">
        <v>4140364000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-2335776</v>
      </c>
      <c r="C2" s="3" t="n">
        <v>-2754425.900659</v>
      </c>
      <c r="D2" s="3" t="n">
        <v>-2451965.413083</v>
      </c>
      <c r="E2" s="3" t="n">
        <v>-803835.336814</v>
      </c>
      <c r="F2" s="3" t="n">
        <v>-595572</v>
      </c>
    </row>
    <row r="3">
      <c r="A3" t="inlineStr">
        <is>
          <t>Tax Rate For Calcs</t>
        </is>
      </c>
      <c r="B3" s="3" t="n">
        <v>0.232</v>
      </c>
      <c r="C3" s="3" t="n">
        <v>0.209542</v>
      </c>
      <c r="D3" s="3" t="n">
        <v>0.212826</v>
      </c>
      <c r="E3" s="3" t="n">
        <v>0.221381</v>
      </c>
      <c r="F3" s="3" t="n">
        <v>0.186</v>
      </c>
    </row>
    <row r="4">
      <c r="A4" t="inlineStr">
        <is>
          <t>Normalized EBITDA</t>
        </is>
      </c>
      <c r="B4" s="3" t="n">
        <v>533352000</v>
      </c>
      <c r="C4" s="3" t="n">
        <v>470040000</v>
      </c>
      <c r="D4" s="3" t="n">
        <v>420527000</v>
      </c>
      <c r="E4" s="3" t="n">
        <v>336367000</v>
      </c>
      <c r="F4" s="3" t="n">
        <v>246958000</v>
      </c>
    </row>
    <row r="5">
      <c r="A5" t="inlineStr">
        <is>
          <t>Total Unusual Items</t>
        </is>
      </c>
      <c r="B5" s="3" t="n">
        <v>-10068000</v>
      </c>
      <c r="C5" s="3" t="n">
        <v>-13145000</v>
      </c>
      <c r="D5" s="3" t="n">
        <v>-11521000</v>
      </c>
      <c r="E5" s="3" t="n">
        <v>-3631000</v>
      </c>
      <c r="F5" s="3" t="n">
        <v>-3202000</v>
      </c>
    </row>
    <row r="6">
      <c r="A6" t="inlineStr">
        <is>
          <t>Total Unusual Items Excluding Goodwill</t>
        </is>
      </c>
      <c r="B6" s="3" t="n">
        <v>-10068000</v>
      </c>
      <c r="C6" s="3" t="n">
        <v>-13145000</v>
      </c>
      <c r="D6" s="3" t="n">
        <v>-11521000</v>
      </c>
      <c r="E6" s="3" t="n">
        <v>-3631000</v>
      </c>
      <c r="F6" s="3" t="n">
        <v>-3202000</v>
      </c>
    </row>
    <row r="7">
      <c r="A7" t="inlineStr">
        <is>
          <t>Net Income From Continuing Operation Net Minority Interest</t>
        </is>
      </c>
      <c r="B7" s="3" t="n">
        <v>370378000</v>
      </c>
      <c r="C7" s="3" t="n">
        <v>330806000</v>
      </c>
      <c r="D7" s="3" t="n">
        <v>291615000</v>
      </c>
      <c r="E7" s="3" t="n">
        <v>230848000</v>
      </c>
      <c r="F7" s="3" t="n">
        <v>169289000</v>
      </c>
    </row>
    <row r="8">
      <c r="A8" t="inlineStr">
        <is>
          <t>Reconciled Depreciation</t>
        </is>
      </c>
      <c r="B8" s="3" t="n">
        <v>38960000</v>
      </c>
      <c r="C8" s="3" t="n">
        <v>37613000</v>
      </c>
      <c r="D8" s="3" t="n">
        <v>35574000</v>
      </c>
      <c r="E8" s="3" t="n">
        <v>34647000</v>
      </c>
      <c r="F8" s="3" t="n">
        <v>34125000</v>
      </c>
    </row>
    <row r="9">
      <c r="A9" t="inlineStr">
        <is>
          <t>Reconciled Cost Of Revenue</t>
        </is>
      </c>
      <c r="B9" s="3" t="n">
        <v>2110920000</v>
      </c>
      <c r="C9" s="3" t="n">
        <v>1971352000</v>
      </c>
      <c r="D9" s="3" t="n">
        <v>1843098000</v>
      </c>
      <c r="E9" s="3" t="n">
        <v>1663422000</v>
      </c>
      <c r="F9" s="3" t="n">
        <v>1427870000</v>
      </c>
    </row>
    <row r="10">
      <c r="A10" t="inlineStr">
        <is>
          <t>EBITDA</t>
        </is>
      </c>
      <c r="B10" s="3" t="n">
        <v>523284000</v>
      </c>
      <c r="C10" s="3" t="n">
        <v>456895000</v>
      </c>
      <c r="D10" s="3" t="n">
        <v>409006000</v>
      </c>
      <c r="E10" s="3" t="n">
        <v>332736000</v>
      </c>
      <c r="F10" s="3" t="n">
        <v>243756000</v>
      </c>
    </row>
    <row r="11">
      <c r="A11" t="inlineStr">
        <is>
          <t>EBIT</t>
        </is>
      </c>
      <c r="B11" s="3" t="n">
        <v>484324000</v>
      </c>
      <c r="C11" s="3" t="n">
        <v>419282000</v>
      </c>
      <c r="D11" s="3" t="n">
        <v>373432000</v>
      </c>
      <c r="E11" s="3" t="n">
        <v>298089000</v>
      </c>
      <c r="F11" s="3" t="n">
        <v>209631000</v>
      </c>
    </row>
    <row r="12">
      <c r="A12" t="inlineStr">
        <is>
          <t>Net Interest Income</t>
        </is>
      </c>
      <c r="B12" s="3" t="n">
        <v>6334000</v>
      </c>
      <c r="C12" s="3" t="n">
        <v>5326000</v>
      </c>
      <c r="D12" s="3" t="n">
        <v>3407000</v>
      </c>
      <c r="E12" s="3" t="n">
        <v>1214000</v>
      </c>
      <c r="F12" s="3" t="n">
        <v>2648000</v>
      </c>
    </row>
    <row r="13">
      <c r="A13" t="inlineStr">
        <is>
          <t>Interest Expense</t>
        </is>
      </c>
      <c r="B13" s="3" t="n">
        <v>2178000</v>
      </c>
      <c r="C13" s="3" t="n">
        <v>783000</v>
      </c>
      <c r="D13" s="3" t="n">
        <v>2974000</v>
      </c>
      <c r="E13" s="3" t="n">
        <v>1605000</v>
      </c>
      <c r="F13" s="3" t="n">
        <v>1619000</v>
      </c>
    </row>
    <row r="14">
      <c r="A14" t="inlineStr">
        <is>
          <t>Interest Income</t>
        </is>
      </c>
      <c r="B14" s="3" t="n">
        <v>8512000</v>
      </c>
      <c r="C14" s="3" t="n">
        <v>8137000</v>
      </c>
      <c r="D14" s="3" t="n">
        <v>6381000</v>
      </c>
      <c r="E14" s="3" t="n">
        <v>2819000</v>
      </c>
      <c r="F14" s="3" t="n">
        <v>4267000</v>
      </c>
    </row>
    <row r="15">
      <c r="A15" t="inlineStr">
        <is>
          <t>Normalized Income</t>
        </is>
      </c>
      <c r="B15" s="3" t="n">
        <v>378110224</v>
      </c>
      <c r="C15" s="3" t="n">
        <v>341196574.099341</v>
      </c>
      <c r="D15" s="3" t="n">
        <v>300684034.586917</v>
      </c>
      <c r="E15" s="3" t="n">
        <v>233675164.663186</v>
      </c>
      <c r="F15" s="3" t="n">
        <v>171895428</v>
      </c>
    </row>
    <row r="16">
      <c r="A16" t="inlineStr">
        <is>
          <t>Net Income From Continuing And Discontinued Operation</t>
        </is>
      </c>
      <c r="B16" s="3" t="n">
        <v>370378000</v>
      </c>
      <c r="C16" s="3" t="n">
        <v>330806000</v>
      </c>
      <c r="D16" s="3" t="n">
        <v>291615000</v>
      </c>
      <c r="E16" s="3" t="n">
        <v>230848000</v>
      </c>
      <c r="F16" s="3" t="n">
        <v>169289000</v>
      </c>
    </row>
    <row r="17">
      <c r="A17" t="inlineStr">
        <is>
          <t>Total Expenses</t>
        </is>
      </c>
      <c r="B17" s="3" t="n">
        <v>2379916000</v>
      </c>
      <c r="C17" s="3" t="n">
        <v>2219717000</v>
      </c>
      <c r="D17" s="3" t="n">
        <v>2072677000</v>
      </c>
      <c r="E17" s="3" t="n">
        <v>1873888000</v>
      </c>
      <c r="F17" s="3" t="n">
        <v>1622744000</v>
      </c>
    </row>
    <row r="18">
      <c r="A18" t="inlineStr">
        <is>
          <t>Total Operating Income As Reported</t>
        </is>
      </c>
      <c r="B18" s="3" t="n">
        <v>485718000</v>
      </c>
      <c r="C18" s="3" t="n">
        <v>426744000</v>
      </c>
      <c r="D18" s="3" t="n">
        <v>378874000</v>
      </c>
      <c r="E18" s="3" t="n">
        <v>299873000</v>
      </c>
      <c r="F18" s="3" t="n">
        <v>209098000</v>
      </c>
    </row>
    <row r="19">
      <c r="A19" t="inlineStr">
        <is>
          <t>Diluted Average Shares</t>
        </is>
      </c>
      <c r="B19" s="3" t="n">
        <v>35251000</v>
      </c>
      <c r="C19" s="3" t="n">
        <v>35318000</v>
      </c>
      <c r="D19" s="3" t="n">
        <v>35365000</v>
      </c>
      <c r="E19" s="3" t="n">
        <v>35369000</v>
      </c>
      <c r="F19" s="3" t="n">
        <v>35605000</v>
      </c>
    </row>
    <row r="20">
      <c r="A20" t="inlineStr">
        <is>
          <t>Basic Average Shares</t>
        </is>
      </c>
      <c r="B20" s="3" t="n">
        <v>35207000</v>
      </c>
      <c r="C20" s="3" t="n">
        <v>35260000</v>
      </c>
      <c r="D20" s="3" t="n">
        <v>35307000</v>
      </c>
      <c r="E20" s="3" t="n">
        <v>35307000</v>
      </c>
      <c r="F20" s="3" t="n">
        <v>35524000</v>
      </c>
    </row>
    <row r="21">
      <c r="A21" t="inlineStr">
        <is>
          <t>Diluted EPS</t>
        </is>
      </c>
      <c r="B21" s="3" t="n">
        <v>10.51</v>
      </c>
      <c r="C21" s="3" t="n">
        <v>9.369999999999999</v>
      </c>
      <c r="D21" s="3" t="n">
        <v>8.25</v>
      </c>
      <c r="E21" s="3" t="n">
        <v>6.53</v>
      </c>
      <c r="F21" s="3" t="n">
        <v>4.75</v>
      </c>
    </row>
    <row r="22">
      <c r="A22" t="inlineStr">
        <is>
          <t>Basic EPS</t>
        </is>
      </c>
      <c r="B22" s="3" t="n">
        <v>10.52</v>
      </c>
      <c r="C22" s="3" t="n">
        <v>9.380000000000001</v>
      </c>
      <c r="D22" s="3" t="n">
        <v>8.26</v>
      </c>
      <c r="E22" s="3" t="n">
        <v>6.54</v>
      </c>
      <c r="F22" s="3" t="n">
        <v>4.77</v>
      </c>
    </row>
    <row r="23">
      <c r="A23" t="inlineStr">
        <is>
          <t>Diluted NI Availto Com Stockholders</t>
        </is>
      </c>
      <c r="B23" s="3" t="n">
        <v>370378000</v>
      </c>
      <c r="C23" s="3" t="n">
        <v>330806000</v>
      </c>
      <c r="D23" s="3" t="n">
        <v>291615000</v>
      </c>
      <c r="E23" s="3" t="n">
        <v>230848000</v>
      </c>
      <c r="F23" s="3" t="n">
        <v>169289000</v>
      </c>
    </row>
    <row r="24">
      <c r="A24" t="inlineStr">
        <is>
          <t>Net Income Common Stockholders</t>
        </is>
      </c>
      <c r="B24" s="3" t="n">
        <v>370378000</v>
      </c>
      <c r="C24" s="3" t="n">
        <v>330806000</v>
      </c>
      <c r="D24" s="3" t="n">
        <v>291615000</v>
      </c>
      <c r="E24" s="3" t="n">
        <v>230848000</v>
      </c>
      <c r="F24" s="3" t="n">
        <v>169289000</v>
      </c>
    </row>
    <row r="25">
      <c r="A25" t="inlineStr">
        <is>
          <t>Net Income</t>
        </is>
      </c>
      <c r="B25" s="3" t="n">
        <v>370378000</v>
      </c>
      <c r="C25" s="3" t="n">
        <v>330806000</v>
      </c>
      <c r="D25" s="3" t="n">
        <v>291615000</v>
      </c>
      <c r="E25" s="3" t="n">
        <v>230848000</v>
      </c>
      <c r="F25" s="3" t="n">
        <v>169289000</v>
      </c>
    </row>
    <row r="26">
      <c r="A26" t="inlineStr">
        <is>
          <t>Net Income Including Noncontrolling Interests</t>
        </is>
      </c>
      <c r="B26" s="3" t="n">
        <v>370378000</v>
      </c>
      <c r="C26" s="3" t="n">
        <v>330806000</v>
      </c>
      <c r="D26" s="3" t="n">
        <v>291615000</v>
      </c>
      <c r="E26" s="3" t="n">
        <v>230848000</v>
      </c>
      <c r="F26" s="3" t="n">
        <v>169289000</v>
      </c>
    </row>
    <row r="27">
      <c r="A27" t="inlineStr">
        <is>
          <t>Net Income Continuous Operations</t>
        </is>
      </c>
      <c r="B27" s="3" t="n">
        <v>370378000</v>
      </c>
      <c r="C27" s="3" t="n">
        <v>330806000</v>
      </c>
      <c r="D27" s="3" t="n">
        <v>291615000</v>
      </c>
      <c r="E27" s="3" t="n">
        <v>230848000</v>
      </c>
      <c r="F27" s="3" t="n">
        <v>169289000</v>
      </c>
    </row>
    <row r="28">
      <c r="A28" t="inlineStr">
        <is>
          <t>Tax Provision</t>
        </is>
      </c>
      <c r="B28" s="3" t="n">
        <v>111768000</v>
      </c>
      <c r="C28" s="3" t="n">
        <v>87693000</v>
      </c>
      <c r="D28" s="3" t="n">
        <v>78843000</v>
      </c>
      <c r="E28" s="3" t="n">
        <v>65636000</v>
      </c>
      <c r="F28" s="3" t="n">
        <v>38723000</v>
      </c>
    </row>
    <row r="29">
      <c r="A29" t="inlineStr">
        <is>
          <t>Pretax Income</t>
        </is>
      </c>
      <c r="B29" s="3" t="n">
        <v>482146000</v>
      </c>
      <c r="C29" s="3" t="n">
        <v>418499000</v>
      </c>
      <c r="D29" s="3" t="n">
        <v>370458000</v>
      </c>
      <c r="E29" s="3" t="n">
        <v>296484000</v>
      </c>
      <c r="F29" s="3" t="n">
        <v>208012000</v>
      </c>
    </row>
    <row r="30">
      <c r="A30" t="inlineStr">
        <is>
          <t>Other Income Expense</t>
        </is>
      </c>
      <c r="B30" s="3" t="n">
        <v>-9604000</v>
      </c>
      <c r="C30" s="3" t="n">
        <v>-13177000</v>
      </c>
      <c r="D30" s="3" t="n">
        <v>-11241000</v>
      </c>
      <c r="E30" s="3" t="n">
        <v>-4161000</v>
      </c>
      <c r="F30" s="3" t="n">
        <v>-3178000</v>
      </c>
    </row>
    <row r="31">
      <c r="A31" t="inlineStr">
        <is>
          <t>Other Non Operating Income Expenses</t>
        </is>
      </c>
      <c r="B31" s="3" t="n">
        <v>464000</v>
      </c>
      <c r="C31" s="3" t="n">
        <v>-32000</v>
      </c>
      <c r="D31" s="3" t="n">
        <v>280000</v>
      </c>
      <c r="E31" s="3" t="n">
        <v>-530000</v>
      </c>
      <c r="F31" s="3" t="n">
        <v>24000</v>
      </c>
    </row>
    <row r="32">
      <c r="A32" t="inlineStr">
        <is>
          <t>Special Income Charges</t>
        </is>
      </c>
      <c r="B32" s="3" t="n">
        <v>-10068000</v>
      </c>
      <c r="C32" s="3" t="n">
        <v>-13145000</v>
      </c>
      <c r="D32" s="3" t="n">
        <v>-11521000</v>
      </c>
      <c r="E32" s="3" t="n">
        <v>-3631000</v>
      </c>
      <c r="F32" s="3" t="n">
        <v>-3202000</v>
      </c>
    </row>
    <row r="33">
      <c r="A33" t="inlineStr">
        <is>
          <t>Gain On Sale Of Ppe</t>
        </is>
      </c>
      <c r="B33" s="3" t="n">
        <v>302000</v>
      </c>
      <c r="C33" s="3" t="n">
        <v>394000</v>
      </c>
      <c r="D33" s="3" t="n">
        <v>582000</v>
      </c>
      <c r="E33" s="3" t="n">
        <v>442000</v>
      </c>
      <c r="F33" s="3" t="n">
        <v>556000</v>
      </c>
    </row>
    <row r="34">
      <c r="A34" t="inlineStr">
        <is>
          <t>Restructuring And Mergern Acquisition</t>
        </is>
      </c>
      <c r="B34" s="3" t="n">
        <v>10370000</v>
      </c>
      <c r="C34" s="3" t="n">
        <v>13539000</v>
      </c>
      <c r="D34" s="3" t="n">
        <v>12103000</v>
      </c>
      <c r="E34" s="3" t="n">
        <v>4073000</v>
      </c>
      <c r="F34" s="3" t="n">
        <v>3758000</v>
      </c>
    </row>
    <row r="35">
      <c r="A35" t="inlineStr">
        <is>
          <t>Net Non Operating Interest Income Expense</t>
        </is>
      </c>
      <c r="B35" s="3" t="n">
        <v>6334000</v>
      </c>
      <c r="C35" s="3" t="n">
        <v>5326000</v>
      </c>
      <c r="D35" s="3" t="n">
        <v>3407000</v>
      </c>
      <c r="E35" s="3" t="n">
        <v>1214000</v>
      </c>
      <c r="F35" s="3" t="n">
        <v>2648000</v>
      </c>
    </row>
    <row r="36">
      <c r="A36" t="inlineStr">
        <is>
          <t>Interest Expense Non Operating</t>
        </is>
      </c>
      <c r="B36" s="3" t="n">
        <v>2178000</v>
      </c>
      <c r="C36" s="3" t="n">
        <v>783000</v>
      </c>
      <c r="D36" s="3" t="n">
        <v>2974000</v>
      </c>
      <c r="E36" s="3" t="n">
        <v>1605000</v>
      </c>
      <c r="F36" s="3" t="n">
        <v>1619000</v>
      </c>
    </row>
    <row r="37">
      <c r="A37" t="inlineStr">
        <is>
          <t>Interest Income Non Operating</t>
        </is>
      </c>
      <c r="B37" s="3" t="n">
        <v>8512000</v>
      </c>
      <c r="C37" s="3" t="n">
        <v>8137000</v>
      </c>
      <c r="D37" s="3" t="n">
        <v>6381000</v>
      </c>
      <c r="E37" s="3" t="n">
        <v>2819000</v>
      </c>
      <c r="F37" s="3" t="n">
        <v>4267000</v>
      </c>
    </row>
    <row r="38">
      <c r="A38" t="inlineStr">
        <is>
          <t>Operating Income</t>
        </is>
      </c>
      <c r="B38" s="3" t="n">
        <v>485416000</v>
      </c>
      <c r="C38" s="3" t="n">
        <v>426350000</v>
      </c>
      <c r="D38" s="3" t="n">
        <v>378292000</v>
      </c>
      <c r="E38" s="3" t="n">
        <v>299431000</v>
      </c>
      <c r="F38" s="3" t="n">
        <v>208542000</v>
      </c>
    </row>
    <row r="39">
      <c r="A39" t="inlineStr">
        <is>
          <t>Operating Expense</t>
        </is>
      </c>
      <c r="B39" s="3" t="n">
        <v>268996000</v>
      </c>
      <c r="C39" s="3" t="n">
        <v>248365000</v>
      </c>
      <c r="D39" s="3" t="n">
        <v>229579000</v>
      </c>
      <c r="E39" s="3" t="n">
        <v>210466000</v>
      </c>
      <c r="F39" s="3" t="n">
        <v>194874000</v>
      </c>
    </row>
    <row r="40">
      <c r="A40" t="inlineStr">
        <is>
          <t>Selling General And Administration</t>
        </is>
      </c>
      <c r="B40" s="3" t="n">
        <v>268996000</v>
      </c>
      <c r="C40" s="3" t="n">
        <v>248365000</v>
      </c>
      <c r="D40" s="3" t="n">
        <v>229579000</v>
      </c>
      <c r="E40" s="3" t="n">
        <v>210466000</v>
      </c>
      <c r="F40" s="3" t="n">
        <v>194874000</v>
      </c>
    </row>
    <row r="41">
      <c r="A41" t="inlineStr">
        <is>
          <t>Gross Profit</t>
        </is>
      </c>
      <c r="B41" s="3" t="n">
        <v>754412000</v>
      </c>
      <c r="C41" s="3" t="n">
        <v>674715000</v>
      </c>
      <c r="D41" s="3" t="n">
        <v>607871000</v>
      </c>
      <c r="E41" s="3" t="n">
        <v>509897000</v>
      </c>
      <c r="F41" s="3" t="n">
        <v>403416000</v>
      </c>
    </row>
    <row r="42">
      <c r="A42" t="inlineStr">
        <is>
          <t>Cost Of Revenue</t>
        </is>
      </c>
      <c r="B42" s="3" t="n">
        <v>2110920000</v>
      </c>
      <c r="C42" s="3" t="n">
        <v>1971352000</v>
      </c>
      <c r="D42" s="3" t="n">
        <v>1843098000</v>
      </c>
      <c r="E42" s="3" t="n">
        <v>1663422000</v>
      </c>
      <c r="F42" s="3" t="n">
        <v>1427870000</v>
      </c>
    </row>
    <row r="43">
      <c r="A43" t="inlineStr">
        <is>
          <t>Total Revenue</t>
        </is>
      </c>
      <c r="B43" s="3" t="n">
        <v>2865332000</v>
      </c>
      <c r="C43" s="3" t="n">
        <v>2646067000</v>
      </c>
      <c r="D43" s="3" t="n">
        <v>2450969000</v>
      </c>
      <c r="E43" s="3" t="n">
        <v>2173319000</v>
      </c>
      <c r="F43" s="3" t="n">
        <v>1831286000</v>
      </c>
    </row>
    <row r="44">
      <c r="A44" t="inlineStr">
        <is>
          <t>Operating Revenue</t>
        </is>
      </c>
      <c r="B44" s="3" t="n">
        <v>2865332000</v>
      </c>
      <c r="C44" s="3" t="n">
        <v>2646067000</v>
      </c>
      <c r="D44" s="3" t="n">
        <v>2450969000</v>
      </c>
      <c r="E44" s="3" t="n">
        <v>2173319000</v>
      </c>
      <c r="F44" s="3" t="n">
        <v>1831286000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5946145</v>
      </c>
      <c r="C2" s="3" t="n">
        <v>5562453</v>
      </c>
      <c r="D2" s="3" t="n">
        <v>5438625</v>
      </c>
      <c r="E2" s="3" t="n">
        <v>5362224</v>
      </c>
      <c r="F2" s="3" t="n"/>
    </row>
    <row r="3">
      <c r="A3" t="inlineStr">
        <is>
          <t>Ordinary Shares Number</t>
        </is>
      </c>
      <c r="B3" s="3" t="n">
        <v>35177220</v>
      </c>
      <c r="C3" s="3" t="n">
        <v>35560912</v>
      </c>
      <c r="D3" s="3" t="n">
        <v>35684740</v>
      </c>
      <c r="E3" s="3" t="n">
        <v>35761141</v>
      </c>
      <c r="F3" s="3" t="n"/>
    </row>
    <row r="4">
      <c r="A4" t="inlineStr">
        <is>
          <t>Share Issued</t>
        </is>
      </c>
      <c r="B4" s="3" t="n">
        <v>41123365</v>
      </c>
      <c r="C4" s="3" t="n">
        <v>41123365</v>
      </c>
      <c r="D4" s="3" t="n">
        <v>41123365</v>
      </c>
      <c r="E4" s="3" t="n">
        <v>41123365</v>
      </c>
      <c r="F4" s="3" t="n"/>
    </row>
    <row r="5">
      <c r="A5" t="inlineStr">
        <is>
          <t>Net Debt</t>
        </is>
      </c>
      <c r="B5" s="3" t="n"/>
      <c r="C5" s="3" t="n"/>
      <c r="D5" s="3" t="n"/>
      <c r="E5" s="3" t="n">
        <v>199031000</v>
      </c>
      <c r="F5" s="3" t="n">
        <v>329254000</v>
      </c>
    </row>
    <row r="6">
      <c r="A6" t="inlineStr">
        <is>
          <t>Total Debt</t>
        </is>
      </c>
      <c r="B6" s="3" t="n">
        <v>483358000</v>
      </c>
      <c r="C6" s="3" t="n">
        <v>308600000</v>
      </c>
      <c r="D6" s="3" t="n">
        <v>256774000</v>
      </c>
      <c r="E6" s="3" t="n">
        <v>389140000</v>
      </c>
      <c r="F6" s="3" t="n"/>
    </row>
    <row r="7">
      <c r="A7" t="inlineStr">
        <is>
          <t>Tangible Book Value</t>
        </is>
      </c>
      <c r="B7" s="3" t="n">
        <v>938091000</v>
      </c>
      <c r="C7" s="3" t="n">
        <v>394989000</v>
      </c>
      <c r="D7" s="3" t="n">
        <v>330598000</v>
      </c>
      <c r="E7" s="3" t="n">
        <v>114233000</v>
      </c>
      <c r="F7" s="3" t="n"/>
    </row>
    <row r="8">
      <c r="A8" t="inlineStr">
        <is>
          <t>Invested Capital</t>
        </is>
      </c>
      <c r="B8" s="3" t="n">
        <v>2594000000</v>
      </c>
      <c r="C8" s="3" t="n">
        <v>1773011000</v>
      </c>
      <c r="D8" s="3" t="n">
        <v>1322041000</v>
      </c>
      <c r="E8" s="3" t="n">
        <v>1256168000</v>
      </c>
      <c r="F8" s="3" t="n"/>
    </row>
    <row r="9">
      <c r="A9" t="inlineStr">
        <is>
          <t>Working Capital</t>
        </is>
      </c>
      <c r="B9" s="3" t="n">
        <v>716703000</v>
      </c>
      <c r="C9" s="3" t="n">
        <v>207471000</v>
      </c>
      <c r="D9" s="3" t="n">
        <v>189895000</v>
      </c>
      <c r="E9" s="3" t="n">
        <v>136869000</v>
      </c>
      <c r="F9" s="3" t="n"/>
    </row>
    <row r="10">
      <c r="A10" t="inlineStr">
        <is>
          <t>Net Tangible Assets</t>
        </is>
      </c>
      <c r="B10" s="3" t="n">
        <v>938091000</v>
      </c>
      <c r="C10" s="3" t="n">
        <v>394989000</v>
      </c>
      <c r="D10" s="3" t="n">
        <v>330598000</v>
      </c>
      <c r="E10" s="3" t="n">
        <v>114233000</v>
      </c>
      <c r="F10" s="3" t="n"/>
    </row>
    <row r="11">
      <c r="A11" t="inlineStr">
        <is>
          <t>Capital Lease Obligations</t>
        </is>
      </c>
      <c r="B11" s="3" t="n">
        <v>338132000</v>
      </c>
      <c r="C11" s="3" t="n">
        <v>240265000</v>
      </c>
      <c r="D11" s="3" t="n">
        <v>212562000</v>
      </c>
      <c r="E11" s="3" t="n">
        <v>132895000</v>
      </c>
      <c r="F11" s="3" t="n"/>
    </row>
    <row r="12">
      <c r="A12" t="inlineStr">
        <is>
          <t>Common Stock Equity</t>
        </is>
      </c>
      <c r="B12" s="3" t="n">
        <v>2448774000</v>
      </c>
      <c r="C12" s="3" t="n">
        <v>1704676000</v>
      </c>
      <c r="D12" s="3" t="n">
        <v>1277829000</v>
      </c>
      <c r="E12" s="3" t="n">
        <v>999923000</v>
      </c>
      <c r="F12" s="3" t="n"/>
    </row>
    <row r="13">
      <c r="A13" t="inlineStr">
        <is>
          <t>Total Capitalization</t>
        </is>
      </c>
      <c r="B13" s="3" t="n">
        <v>2587837000</v>
      </c>
      <c r="C13" s="3" t="n">
        <v>1766969000</v>
      </c>
      <c r="D13" s="3" t="n">
        <v>1317174000</v>
      </c>
      <c r="E13" s="3" t="n">
        <v>1247168000</v>
      </c>
      <c r="F13" s="3" t="n"/>
    </row>
    <row r="14">
      <c r="A14" t="inlineStr">
        <is>
          <t>Total Equity Gross Minority Interest</t>
        </is>
      </c>
      <c r="B14" s="3" t="n">
        <v>2448774000</v>
      </c>
      <c r="C14" s="3" t="n">
        <v>1704676000</v>
      </c>
      <c r="D14" s="3" t="n">
        <v>1277829000</v>
      </c>
      <c r="E14" s="3" t="n">
        <v>999923000</v>
      </c>
      <c r="F14" s="3" t="n"/>
    </row>
    <row r="15">
      <c r="A15" t="inlineStr">
        <is>
          <t>Stockholders Equity</t>
        </is>
      </c>
      <c r="B15" s="3" t="n">
        <v>2448774000</v>
      </c>
      <c r="C15" s="3" t="n">
        <v>1704676000</v>
      </c>
      <c r="D15" s="3" t="n">
        <v>1277829000</v>
      </c>
      <c r="E15" s="3" t="n">
        <v>999923000</v>
      </c>
      <c r="F15" s="3" t="n"/>
    </row>
    <row r="16">
      <c r="A16" t="inlineStr">
        <is>
          <t>Treasury Stock</t>
        </is>
      </c>
      <c r="B16" s="3" t="n">
        <v>496006000</v>
      </c>
      <c r="C16" s="3" t="n">
        <v>273799000</v>
      </c>
      <c r="D16" s="3" t="n">
        <v>209807000</v>
      </c>
      <c r="E16" s="3" t="n">
        <v>187212000</v>
      </c>
      <c r="F16" s="3" t="n"/>
    </row>
    <row r="17">
      <c r="A17" t="inlineStr">
        <is>
          <t>Retained Earnings</t>
        </is>
      </c>
      <c r="B17" s="3" t="n">
        <v>2581055000</v>
      </c>
      <c r="C17" s="3" t="n">
        <v>1627330000</v>
      </c>
      <c r="D17" s="3" t="n">
        <v>1147663000</v>
      </c>
      <c r="E17" s="3" t="n">
        <v>854644000</v>
      </c>
      <c r="F17" s="3" t="n"/>
    </row>
    <row r="18">
      <c r="A18" t="inlineStr">
        <is>
          <t>Additional Paid In Capital</t>
        </is>
      </c>
      <c r="B18" s="3" t="n">
        <v>363314000</v>
      </c>
      <c r="C18" s="3" t="n">
        <v>350734000</v>
      </c>
      <c r="D18" s="3" t="n">
        <v>339562000</v>
      </c>
      <c r="E18" s="3" t="n">
        <v>332080000</v>
      </c>
      <c r="F18" s="3" t="n"/>
    </row>
    <row r="19">
      <c r="A19" t="inlineStr">
        <is>
          <t>Capital Stock</t>
        </is>
      </c>
      <c r="B19" s="3" t="n">
        <v>411000</v>
      </c>
      <c r="C19" s="3" t="n">
        <v>411000</v>
      </c>
      <c r="D19" s="3" t="n">
        <v>411000</v>
      </c>
      <c r="E19" s="3" t="n">
        <v>411000</v>
      </c>
      <c r="F19" s="3" t="n"/>
    </row>
    <row r="20">
      <c r="A20" t="inlineStr">
        <is>
          <t>Common Stock</t>
        </is>
      </c>
      <c r="B20" s="3" t="n">
        <v>411000</v>
      </c>
      <c r="C20" s="3" t="n">
        <v>411000</v>
      </c>
      <c r="D20" s="3" t="n">
        <v>411000</v>
      </c>
      <c r="E20" s="3" t="n">
        <v>411000</v>
      </c>
      <c r="F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Total Liabilities Net Minority Interest</t>
        </is>
      </c>
      <c r="B22" s="3" t="n">
        <v>3992395000</v>
      </c>
      <c r="C22" s="3" t="n">
        <v>3006412000</v>
      </c>
      <c r="D22" s="3" t="n">
        <v>2027750000</v>
      </c>
      <c r="E22" s="3" t="n">
        <v>1597555000</v>
      </c>
      <c r="F22" s="3" t="n"/>
    </row>
    <row r="23">
      <c r="A23" t="inlineStr">
        <is>
          <t>Total Non Current Liabilities Net Minority Interest</t>
        </is>
      </c>
      <c r="B23" s="3" t="n">
        <v>598545000</v>
      </c>
      <c r="C23" s="3" t="n">
        <v>423642000</v>
      </c>
      <c r="D23" s="3" t="n">
        <v>306545000</v>
      </c>
      <c r="E23" s="3" t="n">
        <v>426753000</v>
      </c>
      <c r="F23" s="3" t="n"/>
    </row>
    <row r="24">
      <c r="A24" t="inlineStr">
        <is>
          <t>Other Non Current Liabilities</t>
        </is>
      </c>
      <c r="B24" s="3" t="n">
        <v>153000000</v>
      </c>
      <c r="C24" s="3" t="n">
        <v>147017000</v>
      </c>
      <c r="D24" s="3" t="n">
        <v>77944000</v>
      </c>
      <c r="E24" s="3" t="n">
        <v>67764000</v>
      </c>
      <c r="F24" s="3" t="n"/>
    </row>
    <row r="25">
      <c r="A25" t="inlineStr">
        <is>
          <t>Non Current Deferred Liabilities</t>
        </is>
      </c>
      <c r="B25" s="3" t="n">
        <v>3892000</v>
      </c>
      <c r="C25" s="3" t="n">
        <v>2225000</v>
      </c>
      <c r="D25" s="3" t="n">
        <v>1120000</v>
      </c>
      <c r="E25" s="3" t="n">
        <v>0</v>
      </c>
      <c r="F25" s="3" t="n"/>
    </row>
    <row r="26">
      <c r="A26" t="inlineStr">
        <is>
          <t>Non Current Deferred Taxes Liabilities</t>
        </is>
      </c>
      <c r="B26" s="3" t="n">
        <v>3892000</v>
      </c>
      <c r="C26" s="3" t="n">
        <v>2225000</v>
      </c>
      <c r="D26" s="3" t="n">
        <v>1120000</v>
      </c>
      <c r="E26" s="3" t="n">
        <v>0</v>
      </c>
      <c r="F26" s="3" t="n"/>
    </row>
    <row r="27">
      <c r="A27" t="inlineStr">
        <is>
          <t>Long Term Debt And Capital Lease Obligation</t>
        </is>
      </c>
      <c r="B27" s="3" t="n">
        <v>441653000</v>
      </c>
      <c r="C27" s="3" t="n">
        <v>274400000</v>
      </c>
      <c r="D27" s="3" t="n">
        <v>227481000</v>
      </c>
      <c r="E27" s="3" t="n">
        <v>358989000</v>
      </c>
      <c r="F27" s="3" t="n"/>
    </row>
    <row r="28">
      <c r="A28" t="inlineStr">
        <is>
          <t>Long Term Capital Lease Obligation</t>
        </is>
      </c>
      <c r="B28" s="3" t="n">
        <v>302590000</v>
      </c>
      <c r="C28" s="3" t="n">
        <v>212107000</v>
      </c>
      <c r="D28" s="3" t="n">
        <v>188136000</v>
      </c>
      <c r="E28" s="3" t="n">
        <v>111744000</v>
      </c>
      <c r="F28" s="3" t="n"/>
    </row>
    <row r="29">
      <c r="A29" t="inlineStr">
        <is>
          <t>Long Term Debt</t>
        </is>
      </c>
      <c r="B29" s="3" t="n">
        <v>139063000</v>
      </c>
      <c r="C29" s="3" t="n">
        <v>62293000</v>
      </c>
      <c r="D29" s="3" t="n">
        <v>39345000</v>
      </c>
      <c r="E29" s="3" t="n">
        <v>247245000</v>
      </c>
      <c r="F29" s="3" t="n"/>
    </row>
    <row r="30">
      <c r="A30" t="inlineStr">
        <is>
          <t>Current Liabilities</t>
        </is>
      </c>
      <c r="B30" s="3" t="n">
        <v>3393850000</v>
      </c>
      <c r="C30" s="3" t="n">
        <v>2582770000</v>
      </c>
      <c r="D30" s="3" t="n">
        <v>1721205000</v>
      </c>
      <c r="E30" s="3" t="n">
        <v>1170802000</v>
      </c>
      <c r="F30" s="3" t="n"/>
    </row>
    <row r="31">
      <c r="A31" t="inlineStr">
        <is>
          <t>Other Current Liabilities</t>
        </is>
      </c>
      <c r="B31" s="3" t="n">
        <v>125234000</v>
      </c>
      <c r="C31" s="3" t="n">
        <v>180073000</v>
      </c>
      <c r="D31" s="3" t="n">
        <v>104561000</v>
      </c>
      <c r="E31" s="3" t="n">
        <v>81150000</v>
      </c>
      <c r="F31" s="3" t="n"/>
    </row>
    <row r="32">
      <c r="A32" t="inlineStr">
        <is>
          <t>Current Deferred Liabilities</t>
        </is>
      </c>
      <c r="B32" s="3" t="n">
        <v>2120262000</v>
      </c>
      <c r="C32" s="3" t="n">
        <v>1399265000</v>
      </c>
      <c r="D32" s="3" t="n">
        <v>946779000</v>
      </c>
      <c r="E32" s="3" t="n">
        <v>548293000</v>
      </c>
      <c r="F32" s="3" t="n"/>
    </row>
    <row r="33">
      <c r="A33" t="inlineStr">
        <is>
          <t>Current Deferred Revenue</t>
        </is>
      </c>
      <c r="B33" s="3" t="n">
        <v>2120262000</v>
      </c>
      <c r="C33" s="3" t="n">
        <v>1399265000</v>
      </c>
      <c r="D33" s="3" t="n">
        <v>946779000</v>
      </c>
      <c r="E33" s="3" t="n">
        <v>548293000</v>
      </c>
      <c r="F33" s="3" t="n"/>
    </row>
    <row r="34">
      <c r="A34" t="inlineStr">
        <is>
          <t>Current Debt And Capital Lease Obligation</t>
        </is>
      </c>
      <c r="B34" s="3" t="n">
        <v>41705000</v>
      </c>
      <c r="C34" s="3" t="n">
        <v>34200000</v>
      </c>
      <c r="D34" s="3" t="n">
        <v>29293000</v>
      </c>
      <c r="E34" s="3" t="n">
        <v>30151000</v>
      </c>
      <c r="F34" s="3" t="n"/>
    </row>
    <row r="35">
      <c r="A35" t="inlineStr">
        <is>
          <t>Current Capital Lease Obligation</t>
        </is>
      </c>
      <c r="B35" s="3" t="n">
        <v>35542000</v>
      </c>
      <c r="C35" s="3" t="n">
        <v>28158000</v>
      </c>
      <c r="D35" s="3" t="n">
        <v>24426000</v>
      </c>
      <c r="E35" s="3" t="n">
        <v>21151000</v>
      </c>
      <c r="F35" s="3" t="n"/>
    </row>
    <row r="36">
      <c r="A36" t="inlineStr">
        <is>
          <t>Current Debt</t>
        </is>
      </c>
      <c r="B36" s="3" t="n">
        <v>6163000</v>
      </c>
      <c r="C36" s="3" t="n">
        <v>6042000</v>
      </c>
      <c r="D36" s="3" t="n">
        <v>4867000</v>
      </c>
      <c r="E36" s="3" t="n">
        <v>9000000</v>
      </c>
      <c r="F36" s="3" t="n"/>
    </row>
    <row r="37">
      <c r="A37" t="inlineStr">
        <is>
          <t>Other Current Borrowings</t>
        </is>
      </c>
      <c r="B37" s="3" t="n">
        <v>6163000</v>
      </c>
      <c r="C37" s="3" t="n">
        <v>6042000</v>
      </c>
      <c r="D37" s="3" t="n">
        <v>4867000</v>
      </c>
      <c r="E37" s="3" t="n">
        <v>9000000</v>
      </c>
      <c r="F37" s="3" t="n"/>
    </row>
    <row r="38">
      <c r="A38" t="inlineStr">
        <is>
          <t>Pensionand Other Post Retirement Benefit Plans Current</t>
        </is>
      </c>
      <c r="B38" s="3" t="n">
        <v>291722000</v>
      </c>
      <c r="C38" s="3" t="n">
        <v>228622000</v>
      </c>
      <c r="D38" s="3" t="n">
        <v>169136000</v>
      </c>
      <c r="E38" s="3" t="n">
        <v>127765000</v>
      </c>
      <c r="F38" s="3" t="n"/>
    </row>
    <row r="39">
      <c r="A39" t="inlineStr">
        <is>
          <t>Payables And Accrued Expenses</t>
        </is>
      </c>
      <c r="B39" s="3" t="n">
        <v>814927000</v>
      </c>
      <c r="C39" s="3" t="n">
        <v>740610000</v>
      </c>
      <c r="D39" s="3" t="n">
        <v>471436000</v>
      </c>
      <c r="E39" s="3" t="n">
        <v>383443000</v>
      </c>
      <c r="F39" s="3" t="n"/>
    </row>
    <row r="40">
      <c r="A40" t="inlineStr">
        <is>
          <t>Current Accrued Expenses</t>
        </is>
      </c>
      <c r="B40" s="3" t="n">
        <v>109786000</v>
      </c>
      <c r="C40" s="3" t="n">
        <v>80099000</v>
      </c>
      <c r="D40" s="3" t="n">
        <v>44882000</v>
      </c>
      <c r="E40" s="3" t="n">
        <v>40723000</v>
      </c>
      <c r="F40" s="3" t="n"/>
    </row>
    <row r="41">
      <c r="A41" t="inlineStr">
        <is>
          <t>Payables</t>
        </is>
      </c>
      <c r="B41" s="3" t="n">
        <v>705141000</v>
      </c>
      <c r="C41" s="3" t="n">
        <v>660511000</v>
      </c>
      <c r="D41" s="3" t="n">
        <v>426554000</v>
      </c>
      <c r="E41" s="3" t="n">
        <v>342720000</v>
      </c>
      <c r="F41" s="3" t="n"/>
    </row>
    <row r="42">
      <c r="A42" t="inlineStr">
        <is>
          <t>Total Tax Payable</t>
        </is>
      </c>
      <c r="B42" s="3" t="n">
        <v>8793000</v>
      </c>
      <c r="C42" s="3" t="n">
        <v>5568000</v>
      </c>
      <c r="D42" s="3" t="n">
        <v>6592000</v>
      </c>
      <c r="E42" s="3" t="n">
        <v>5335000</v>
      </c>
      <c r="F42" s="3" t="n"/>
    </row>
    <row r="43">
      <c r="A43" t="inlineStr">
        <is>
          <t>Accounts Payable</t>
        </is>
      </c>
      <c r="B43" s="3" t="n">
        <v>696348000</v>
      </c>
      <c r="C43" s="3" t="n">
        <v>654943000</v>
      </c>
      <c r="D43" s="3" t="n">
        <v>419962000</v>
      </c>
      <c r="E43" s="3" t="n">
        <v>337385000</v>
      </c>
      <c r="F43" s="3" t="n"/>
    </row>
    <row r="44">
      <c r="A44" t="inlineStr">
        <is>
          <t>Total Assets</t>
        </is>
      </c>
      <c r="B44" s="3" t="n">
        <v>6441169000</v>
      </c>
      <c r="C44" s="3" t="n">
        <v>4711088000</v>
      </c>
      <c r="D44" s="3" t="n">
        <v>3305579000</v>
      </c>
      <c r="E44" s="3" t="n">
        <v>2597478000</v>
      </c>
      <c r="F44" s="3" t="n"/>
    </row>
    <row r="45">
      <c r="A45" t="inlineStr">
        <is>
          <t>Total Non Current Assets</t>
        </is>
      </c>
      <c r="B45" s="3" t="n">
        <v>2330616000</v>
      </c>
      <c r="C45" s="3" t="n">
        <v>1920847000</v>
      </c>
      <c r="D45" s="3" t="n">
        <v>1394479000</v>
      </c>
      <c r="E45" s="3" t="n">
        <v>1289807000</v>
      </c>
      <c r="F45" s="3" t="n"/>
    </row>
    <row r="46">
      <c r="A46" t="inlineStr">
        <is>
          <t>Other Non Current Assets</t>
        </is>
      </c>
      <c r="B46" s="3" t="n">
        <v>24920000</v>
      </c>
      <c r="C46" s="3" t="n">
        <v>19433000</v>
      </c>
      <c r="D46" s="3" t="n">
        <v>15245000</v>
      </c>
      <c r="E46" s="3" t="n">
        <v>13837000</v>
      </c>
      <c r="F46" s="3" t="n"/>
    </row>
    <row r="47">
      <c r="A47" t="inlineStr">
        <is>
          <t>Non Current Deferred Assets</t>
        </is>
      </c>
      <c r="B47" s="3" t="n">
        <v>84139000</v>
      </c>
      <c r="C47" s="3" t="n">
        <v>85441000</v>
      </c>
      <c r="D47" s="3" t="n">
        <v>17723000</v>
      </c>
      <c r="E47" s="3" t="n">
        <v>115665000</v>
      </c>
      <c r="F47" s="3" t="n"/>
    </row>
    <row r="48">
      <c r="A48" t="inlineStr">
        <is>
          <t>Non Current Deferred Taxes Assets</t>
        </is>
      </c>
      <c r="B48" s="3" t="n">
        <v>84139000</v>
      </c>
      <c r="C48" s="3" t="n">
        <v>85441000</v>
      </c>
      <c r="D48" s="3" t="n">
        <v>17723000</v>
      </c>
      <c r="E48" s="3" t="n">
        <v>115665000</v>
      </c>
      <c r="F48" s="3" t="n"/>
    </row>
    <row r="49">
      <c r="A49" t="inlineStr">
        <is>
          <t>Goodwill And Other Intangible Assets</t>
        </is>
      </c>
      <c r="B49" s="3" t="n">
        <v>1510683000</v>
      </c>
      <c r="C49" s="3" t="n">
        <v>1309687000</v>
      </c>
      <c r="D49" s="3" t="n">
        <v>947231000</v>
      </c>
      <c r="E49" s="3" t="n">
        <v>885690000</v>
      </c>
      <c r="F49" s="3" t="n"/>
    </row>
    <row r="50">
      <c r="A50" t="inlineStr">
        <is>
          <t>Other Intangible Assets</t>
        </is>
      </c>
      <c r="B50" s="3" t="n">
        <v>485168000</v>
      </c>
      <c r="C50" s="3" t="n">
        <v>434417000</v>
      </c>
      <c r="D50" s="3" t="n">
        <v>280397000</v>
      </c>
      <c r="E50" s="3" t="n">
        <v>273901000</v>
      </c>
      <c r="F50" s="3" t="n"/>
    </row>
    <row r="51">
      <c r="A51" t="inlineStr">
        <is>
          <t>Goodwill</t>
        </is>
      </c>
      <c r="B51" s="3" t="n">
        <v>1025515000</v>
      </c>
      <c r="C51" s="3" t="n">
        <v>875270000</v>
      </c>
      <c r="D51" s="3" t="n">
        <v>666834000</v>
      </c>
      <c r="E51" s="3" t="n">
        <v>611789000</v>
      </c>
      <c r="F51" s="3" t="n"/>
    </row>
    <row r="52">
      <c r="A52" t="inlineStr">
        <is>
          <t>Net PPE</t>
        </is>
      </c>
      <c r="B52" s="3" t="n">
        <v>710874000</v>
      </c>
      <c r="C52" s="3" t="n">
        <v>506286000</v>
      </c>
      <c r="D52" s="3" t="n">
        <v>414280000</v>
      </c>
      <c r="E52" s="3" t="n">
        <v>274615000</v>
      </c>
      <c r="F52" s="3" t="n"/>
    </row>
    <row r="53">
      <c r="A53" t="inlineStr">
        <is>
          <t>Accumulated Depreciation</t>
        </is>
      </c>
      <c r="B53" s="3" t="n">
        <v>-292627000</v>
      </c>
      <c r="C53" s="3" t="n">
        <v>-249637000</v>
      </c>
      <c r="D53" s="3" t="n">
        <v>-216949000</v>
      </c>
      <c r="E53" s="3" t="n">
        <v>-189600000</v>
      </c>
      <c r="F53" s="3" t="n"/>
    </row>
    <row r="54">
      <c r="A54" t="inlineStr">
        <is>
          <t>Gross PPE</t>
        </is>
      </c>
      <c r="B54" s="3" t="n">
        <v>1003501000</v>
      </c>
      <c r="C54" s="3" t="n">
        <v>755923000</v>
      </c>
      <c r="D54" s="3" t="n">
        <v>631229000</v>
      </c>
      <c r="E54" s="3" t="n">
        <v>464215000</v>
      </c>
      <c r="F54" s="3" t="n"/>
    </row>
    <row r="55">
      <c r="A55" t="inlineStr">
        <is>
          <t>Construction In Progress</t>
        </is>
      </c>
      <c r="B55" s="3" t="n">
        <v>48024000</v>
      </c>
      <c r="C55" s="3" t="n">
        <v>26233000</v>
      </c>
      <c r="D55" s="3" t="n">
        <v>12645000</v>
      </c>
      <c r="E55" s="3" t="n">
        <v>6717000</v>
      </c>
      <c r="F55" s="3" t="n"/>
    </row>
    <row r="56">
      <c r="A56" t="inlineStr">
        <is>
          <t>Other Properties</t>
        </is>
      </c>
      <c r="B56" s="3" t="n">
        <v>322922000</v>
      </c>
      <c r="C56" s="3" t="n">
        <v>229106000</v>
      </c>
      <c r="D56" s="3" t="n">
        <v>205712000</v>
      </c>
      <c r="E56" s="3" t="n">
        <v>130666000</v>
      </c>
      <c r="F56" s="3" t="n"/>
    </row>
    <row r="57">
      <c r="A57" t="inlineStr">
        <is>
          <t>Machinery Furniture Equipment</t>
        </is>
      </c>
      <c r="B57" s="3" t="n">
        <v>435627000</v>
      </c>
      <c r="C57" s="3" t="n">
        <v>359034000</v>
      </c>
      <c r="D57" s="3" t="n">
        <v>302867000</v>
      </c>
      <c r="E57" s="3" t="n">
        <v>239765000</v>
      </c>
      <c r="F57" s="3" t="n"/>
    </row>
    <row r="58">
      <c r="A58" t="inlineStr">
        <is>
          <t>Buildings And Improvements</t>
        </is>
      </c>
      <c r="B58" s="3" t="n">
        <v>173616000</v>
      </c>
      <c r="C58" s="3" t="n">
        <v>128652000</v>
      </c>
      <c r="D58" s="3" t="n">
        <v>101568000</v>
      </c>
      <c r="E58" s="3" t="n">
        <v>80275000</v>
      </c>
      <c r="F58" s="3" t="n"/>
    </row>
    <row r="59">
      <c r="A59" t="inlineStr">
        <is>
          <t>Land And Improvements</t>
        </is>
      </c>
      <c r="B59" s="3" t="n">
        <v>23312000</v>
      </c>
      <c r="C59" s="3" t="n">
        <v>12898000</v>
      </c>
      <c r="D59" s="3" t="n">
        <v>8437000</v>
      </c>
      <c r="E59" s="3" t="n">
        <v>6792000</v>
      </c>
      <c r="F59" s="3" t="n"/>
    </row>
    <row r="60">
      <c r="A60" t="inlineStr">
        <is>
          <t>Properties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/>
    </row>
    <row r="61">
      <c r="A61" t="inlineStr">
        <is>
          <t>Current Assets</t>
        </is>
      </c>
      <c r="B61" s="3" t="n">
        <v>4110553000</v>
      </c>
      <c r="C61" s="3" t="n">
        <v>2790241000</v>
      </c>
      <c r="D61" s="3" t="n">
        <v>1911100000</v>
      </c>
      <c r="E61" s="3" t="n">
        <v>1307671000</v>
      </c>
      <c r="F61" s="3" t="n"/>
    </row>
    <row r="62">
      <c r="A62" t="inlineStr">
        <is>
          <t>Other Current Assets</t>
        </is>
      </c>
      <c r="B62" s="3" t="n">
        <v>138560000</v>
      </c>
      <c r="C62" s="3" t="n">
        <v>46213000</v>
      </c>
      <c r="D62" s="3" t="n">
        <v>54309000</v>
      </c>
      <c r="E62" s="3" t="n">
        <v>48456000</v>
      </c>
      <c r="F62" s="3" t="n"/>
    </row>
    <row r="63">
      <c r="A63" t="inlineStr">
        <is>
          <t>Prepaid Assets</t>
        </is>
      </c>
      <c r="B63" s="3" t="n"/>
      <c r="C63" s="3" t="n"/>
      <c r="D63" s="3" t="n"/>
      <c r="E63" s="3" t="n"/>
      <c r="F63" s="3" t="n">
        <v>23704000</v>
      </c>
    </row>
    <row r="64">
      <c r="A64" t="inlineStr">
        <is>
          <t>Inventory</t>
        </is>
      </c>
      <c r="B64" s="3" t="n">
        <v>84066000</v>
      </c>
      <c r="C64" s="3" t="n">
        <v>59224000</v>
      </c>
      <c r="D64" s="3" t="n">
        <v>65538000</v>
      </c>
      <c r="E64" s="3" t="n">
        <v>35309000</v>
      </c>
      <c r="F64" s="3" t="n"/>
    </row>
    <row r="65">
      <c r="A65" t="inlineStr">
        <is>
          <t>Receivables</t>
        </is>
      </c>
      <c r="B65" s="3" t="n">
        <v>2906029000</v>
      </c>
      <c r="C65" s="3" t="n">
        <v>2134865000</v>
      </c>
      <c r="D65" s="3" t="n">
        <v>1586103000</v>
      </c>
      <c r="E65" s="3" t="n">
        <v>1166692000</v>
      </c>
      <c r="F65" s="3" t="n"/>
    </row>
    <row r="66">
      <c r="A66" t="inlineStr">
        <is>
          <t>Receivables Adjustments Allowances</t>
        </is>
      </c>
      <c r="B66" s="3" t="n"/>
      <c r="C66" s="3" t="n"/>
      <c r="D66" s="3" t="n">
        <v>-522000</v>
      </c>
      <c r="E66" s="3" t="n">
        <v>-510000</v>
      </c>
      <c r="F66" s="3" t="n">
        <v>-503000</v>
      </c>
    </row>
    <row r="67">
      <c r="A67" t="inlineStr">
        <is>
          <t>Other Receivables</t>
        </is>
      </c>
      <c r="B67" s="3" t="n">
        <v>328171000</v>
      </c>
      <c r="C67" s="3" t="n">
        <v>273653000</v>
      </c>
      <c r="D67" s="3" t="n">
        <v>267177000</v>
      </c>
      <c r="E67" s="3" t="n">
        <v>142610000</v>
      </c>
      <c r="F67" s="3" t="n"/>
    </row>
    <row r="68">
      <c r="A68" t="inlineStr">
        <is>
          <t>Accounts Receivable</t>
        </is>
      </c>
      <c r="B68" s="3" t="n">
        <v>2577858000</v>
      </c>
      <c r="C68" s="3" t="n">
        <v>1861212000</v>
      </c>
      <c r="D68" s="3" t="n">
        <v>1318926000</v>
      </c>
      <c r="E68" s="3" t="n">
        <v>1024082000</v>
      </c>
      <c r="F68" s="3" t="n"/>
    </row>
    <row r="69">
      <c r="A69" t="inlineStr">
        <is>
          <t>Allowance For Doubtful Accounts Receivable</t>
        </is>
      </c>
      <c r="B69" s="3" t="n">
        <v>-19708000</v>
      </c>
      <c r="C69" s="3" t="n">
        <v>-15286000</v>
      </c>
      <c r="D69" s="3" t="n">
        <v>-11926000</v>
      </c>
      <c r="E69" s="3" t="n">
        <v>-10640000</v>
      </c>
      <c r="F69" s="3" t="n"/>
    </row>
    <row r="70">
      <c r="A70" t="inlineStr">
        <is>
          <t>Gross Accounts Receivable</t>
        </is>
      </c>
      <c r="B70" s="3" t="n">
        <v>2597566000</v>
      </c>
      <c r="C70" s="3" t="n">
        <v>1876498000</v>
      </c>
      <c r="D70" s="3" t="n">
        <v>1330852000</v>
      </c>
      <c r="E70" s="3" t="n">
        <v>1034722000</v>
      </c>
      <c r="F70" s="3" t="n"/>
    </row>
    <row r="71">
      <c r="A71" t="inlineStr">
        <is>
          <t>Cash Cash Equivalents And Short Term Investments</t>
        </is>
      </c>
      <c r="B71" s="3" t="n">
        <v>981898000</v>
      </c>
      <c r="C71" s="3" t="n">
        <v>549939000</v>
      </c>
      <c r="D71" s="3" t="n">
        <v>205150000</v>
      </c>
      <c r="E71" s="3" t="n">
        <v>57214000</v>
      </c>
      <c r="F71" s="3" t="n"/>
    </row>
    <row r="72">
      <c r="A72" t="inlineStr">
        <is>
          <t>Cash And Cash Equivalents</t>
        </is>
      </c>
      <c r="B72" s="3" t="n">
        <v>981898000</v>
      </c>
      <c r="C72" s="3" t="n">
        <v>549939000</v>
      </c>
      <c r="D72" s="3" t="n">
        <v>205150000</v>
      </c>
      <c r="E72" s="3" t="n">
        <v>57214000</v>
      </c>
      <c r="F7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Treasury Shares Number</t>
        </is>
      </c>
      <c r="B2" s="3" t="n">
        <v>5936242</v>
      </c>
      <c r="C2" s="3" t="n">
        <v>5946145</v>
      </c>
      <c r="D2" s="3" t="n">
        <v>5851415</v>
      </c>
      <c r="E2" s="3" t="n">
        <v>5841913</v>
      </c>
      <c r="F2" s="3" t="n">
        <v>5815389</v>
      </c>
      <c r="G2" s="3" t="n"/>
    </row>
    <row r="3">
      <c r="A3" t="inlineStr">
        <is>
          <t>Ordinary Shares Number</t>
        </is>
      </c>
      <c r="B3" s="3" t="n">
        <v>35187123</v>
      </c>
      <c r="C3" s="3" t="n">
        <v>35177220</v>
      </c>
      <c r="D3" s="3" t="n">
        <v>35271950</v>
      </c>
      <c r="E3" s="3" t="n">
        <v>35281452</v>
      </c>
      <c r="F3" s="3" t="n">
        <v>35307976</v>
      </c>
      <c r="G3" s="3" t="n"/>
    </row>
    <row r="4">
      <c r="A4" t="inlineStr">
        <is>
          <t>Share Issued</t>
        </is>
      </c>
      <c r="B4" s="3" t="n">
        <v>41123365</v>
      </c>
      <c r="C4" s="3" t="n">
        <v>41123365</v>
      </c>
      <c r="D4" s="3" t="n">
        <v>41123365</v>
      </c>
      <c r="E4" s="3" t="n">
        <v>41123365</v>
      </c>
      <c r="F4" s="3" t="n">
        <v>41123365</v>
      </c>
      <c r="G4" s="3" t="n"/>
    </row>
    <row r="5">
      <c r="A5" t="inlineStr">
        <is>
          <t>Total Debt</t>
        </is>
      </c>
      <c r="B5" s="3" t="n">
        <v>339084000</v>
      </c>
      <c r="C5" s="3" t="n">
        <v>483358000</v>
      </c>
      <c r="D5" s="3" t="n">
        <v>394054000</v>
      </c>
      <c r="E5" s="3" t="n">
        <v>283650000</v>
      </c>
      <c r="F5" s="3" t="n">
        <v>278206000</v>
      </c>
      <c r="G5" s="3" t="n"/>
    </row>
    <row r="6">
      <c r="A6" t="inlineStr">
        <is>
          <t>Tangible Book Value</t>
        </is>
      </c>
      <c r="B6" s="3" t="n">
        <v>1324759000</v>
      </c>
      <c r="C6" s="3" t="n">
        <v>938091000</v>
      </c>
      <c r="D6" s="3" t="n">
        <v>873297000</v>
      </c>
      <c r="E6" s="3" t="n">
        <v>591983000</v>
      </c>
      <c r="F6" s="3" t="n">
        <v>429668000</v>
      </c>
      <c r="G6" s="3" t="n"/>
    </row>
    <row r="7">
      <c r="A7" t="inlineStr">
        <is>
          <t>Invested Capital</t>
        </is>
      </c>
      <c r="B7" s="3" t="n">
        <v>2854127000</v>
      </c>
      <c r="C7" s="3" t="n">
        <v>2594000000</v>
      </c>
      <c r="D7" s="3" t="n">
        <v>2369384000</v>
      </c>
      <c r="E7" s="3" t="n">
        <v>2044229000</v>
      </c>
      <c r="F7" s="3" t="n">
        <v>1844855000</v>
      </c>
      <c r="G7" s="3" t="n"/>
    </row>
    <row r="8">
      <c r="A8" t="inlineStr">
        <is>
          <t>Working Capital</t>
        </is>
      </c>
      <c r="B8" s="3" t="n">
        <v>870138000</v>
      </c>
      <c r="C8" s="3" t="n">
        <v>716703000</v>
      </c>
      <c r="D8" s="3" t="n">
        <v>671305000</v>
      </c>
      <c r="E8" s="3" t="n">
        <v>343680000</v>
      </c>
      <c r="F8" s="3" t="n">
        <v>186255000</v>
      </c>
      <c r="G8" s="3" t="n"/>
    </row>
    <row r="9">
      <c r="A9" t="inlineStr">
        <is>
          <t>Net Tangible Assets</t>
        </is>
      </c>
      <c r="B9" s="3" t="n">
        <v>1324759000</v>
      </c>
      <c r="C9" s="3" t="n">
        <v>938091000</v>
      </c>
      <c r="D9" s="3" t="n">
        <v>873297000</v>
      </c>
      <c r="E9" s="3" t="n">
        <v>591983000</v>
      </c>
      <c r="F9" s="3" t="n">
        <v>429668000</v>
      </c>
      <c r="G9" s="3" t="n"/>
    </row>
    <row r="10">
      <c r="A10" t="inlineStr">
        <is>
          <t>Capital Lease Obligations</t>
        </is>
      </c>
      <c r="B10" s="3" t="n">
        <v>300005000</v>
      </c>
      <c r="C10" s="3" t="n">
        <v>338132000</v>
      </c>
      <c r="D10" s="3" t="n">
        <v>258056000</v>
      </c>
      <c r="E10" s="3" t="n">
        <v>210630000</v>
      </c>
      <c r="F10" s="3" t="n">
        <v>210364000</v>
      </c>
      <c r="G10" s="3" t="n"/>
    </row>
    <row r="11">
      <c r="A11" t="inlineStr">
        <is>
          <t>Common Stock Equity</t>
        </is>
      </c>
      <c r="B11" s="3" t="n">
        <v>2815048000</v>
      </c>
      <c r="C11" s="3" t="n">
        <v>2448774000</v>
      </c>
      <c r="D11" s="3" t="n">
        <v>2233386000</v>
      </c>
      <c r="E11" s="3" t="n">
        <v>1971209000</v>
      </c>
      <c r="F11" s="3" t="n">
        <v>1777013000</v>
      </c>
      <c r="G11" s="3" t="n"/>
    </row>
    <row r="12">
      <c r="A12" t="inlineStr">
        <is>
          <t>Total Capitalization</t>
        </is>
      </c>
      <c r="B12" s="3" t="n">
        <v>2854102000</v>
      </c>
      <c r="C12" s="3" t="n">
        <v>2587837000</v>
      </c>
      <c r="D12" s="3" t="n">
        <v>2364708000</v>
      </c>
      <c r="E12" s="3" t="n">
        <v>2032540000</v>
      </c>
      <c r="F12" s="3" t="n">
        <v>1840789000</v>
      </c>
      <c r="G12" s="3" t="n"/>
    </row>
    <row r="13">
      <c r="A13" t="inlineStr">
        <is>
          <t>Total Equity Gross Minority Interest</t>
        </is>
      </c>
      <c r="B13" s="3" t="n">
        <v>2815048000</v>
      </c>
      <c r="C13" s="3" t="n">
        <v>2448774000</v>
      </c>
      <c r="D13" s="3" t="n">
        <v>2233386000</v>
      </c>
      <c r="E13" s="3" t="n">
        <v>1971209000</v>
      </c>
      <c r="F13" s="3" t="n">
        <v>1777013000</v>
      </c>
      <c r="G13" s="3" t="n"/>
    </row>
    <row r="14">
      <c r="A14" t="inlineStr">
        <is>
          <t>Stockholders Equity</t>
        </is>
      </c>
      <c r="B14" s="3" t="n">
        <v>2815048000</v>
      </c>
      <c r="C14" s="3" t="n">
        <v>2448774000</v>
      </c>
      <c r="D14" s="3" t="n">
        <v>2233386000</v>
      </c>
      <c r="E14" s="3" t="n">
        <v>1971209000</v>
      </c>
      <c r="F14" s="3" t="n">
        <v>1777013000</v>
      </c>
      <c r="G14" s="3" t="n"/>
    </row>
    <row r="15">
      <c r="A15" t="inlineStr">
        <is>
          <t>Treasury Stock</t>
        </is>
      </c>
      <c r="B15" s="3" t="n">
        <v>500449000</v>
      </c>
      <c r="C15" s="3" t="n">
        <v>496006000</v>
      </c>
      <c r="D15" s="3" t="n">
        <v>401121000</v>
      </c>
      <c r="E15" s="3" t="n">
        <v>388298000</v>
      </c>
      <c r="F15" s="3" t="n">
        <v>367508000</v>
      </c>
      <c r="G15" s="3" t="n"/>
    </row>
    <row r="16">
      <c r="A16" t="inlineStr">
        <is>
          <t>Retained Earnings</t>
        </is>
      </c>
      <c r="B16" s="3" t="n">
        <v>2926810000</v>
      </c>
      <c r="C16" s="3" t="n">
        <v>2581055000</v>
      </c>
      <c r="D16" s="3" t="n">
        <v>2271408000</v>
      </c>
      <c r="E16" s="3" t="n">
        <v>1997434000</v>
      </c>
      <c r="F16" s="3" t="n">
        <v>1782457000</v>
      </c>
      <c r="G16" s="3" t="n"/>
    </row>
    <row r="17">
      <c r="A17" t="inlineStr">
        <is>
          <t>Additional Paid In Capital</t>
        </is>
      </c>
      <c r="B17" s="3" t="n">
        <v>388276000</v>
      </c>
      <c r="C17" s="3" t="n">
        <v>363314000</v>
      </c>
      <c r="D17" s="3" t="n">
        <v>362688000</v>
      </c>
      <c r="E17" s="3" t="n">
        <v>361662000</v>
      </c>
      <c r="F17" s="3" t="n">
        <v>361653000</v>
      </c>
      <c r="G17" s="3" t="n"/>
    </row>
    <row r="18">
      <c r="A18" t="inlineStr">
        <is>
          <t>Capital Stock</t>
        </is>
      </c>
      <c r="B18" s="3" t="n">
        <v>411000</v>
      </c>
      <c r="C18" s="3" t="n">
        <v>411000</v>
      </c>
      <c r="D18" s="3" t="n">
        <v>411000</v>
      </c>
      <c r="E18" s="3" t="n">
        <v>411000</v>
      </c>
      <c r="F18" s="3" t="n">
        <v>411000</v>
      </c>
      <c r="G18" s="3" t="n"/>
    </row>
    <row r="19">
      <c r="A19" t="inlineStr">
        <is>
          <t>Common Stock</t>
        </is>
      </c>
      <c r="B19" s="3" t="n">
        <v>411000</v>
      </c>
      <c r="C19" s="3" t="n">
        <v>411000</v>
      </c>
      <c r="D19" s="3" t="n">
        <v>411000</v>
      </c>
      <c r="E19" s="3" t="n">
        <v>411000</v>
      </c>
      <c r="F19" s="3" t="n">
        <v>411000</v>
      </c>
      <c r="G19" s="3" t="n"/>
    </row>
    <row r="20">
      <c r="A20" t="inlineStr">
        <is>
          <t>Preferred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/>
    </row>
    <row r="21">
      <c r="A21" t="inlineStr">
        <is>
          <t>Total Liabilities Net Minority Interest</t>
        </is>
      </c>
      <c r="B21" s="3" t="n">
        <v>4123298000</v>
      </c>
      <c r="C21" s="3" t="n">
        <v>3992395000</v>
      </c>
      <c r="D21" s="3" t="n">
        <v>3544465000</v>
      </c>
      <c r="E21" s="3" t="n">
        <v>3092520000</v>
      </c>
      <c r="F21" s="3" t="n">
        <v>2792205000</v>
      </c>
      <c r="G21" s="3" t="n"/>
    </row>
    <row r="22">
      <c r="A22" t="inlineStr">
        <is>
          <t>Total Non Current Liabilities Net Minority Interest</t>
        </is>
      </c>
      <c r="B22" s="3" t="n">
        <v>492505000</v>
      </c>
      <c r="C22" s="3" t="n">
        <v>598545000</v>
      </c>
      <c r="D22" s="3" t="n">
        <v>512242000</v>
      </c>
      <c r="E22" s="3" t="n">
        <v>392921000</v>
      </c>
      <c r="F22" s="3" t="n">
        <v>380961000</v>
      </c>
      <c r="G22" s="3" t="n"/>
    </row>
    <row r="23">
      <c r="A23" t="inlineStr">
        <is>
          <t>Other Non Current Liabilities</t>
        </is>
      </c>
      <c r="B23" s="3" t="n">
        <v>149554000</v>
      </c>
      <c r="C23" s="3" t="n">
        <v>153000000</v>
      </c>
      <c r="D23" s="3" t="n">
        <v>120639000</v>
      </c>
      <c r="E23" s="3" t="n">
        <v>118735000</v>
      </c>
      <c r="F23" s="3" t="n">
        <v>104596000</v>
      </c>
      <c r="G23" s="3" t="n"/>
    </row>
    <row r="24">
      <c r="A24" t="inlineStr">
        <is>
          <t>Non Current Deferred Liabilities</t>
        </is>
      </c>
      <c r="B24" s="3" t="n">
        <v>3892000</v>
      </c>
      <c r="C24" s="3" t="n">
        <v>3892000</v>
      </c>
      <c r="D24" s="3" t="n">
        <v>2225000</v>
      </c>
      <c r="E24" s="3" t="n">
        <v>2225000</v>
      </c>
      <c r="F24" s="3" t="n">
        <v>2225000</v>
      </c>
      <c r="G24" s="3" t="n"/>
    </row>
    <row r="25">
      <c r="A25" t="inlineStr">
        <is>
          <t>Non Current Deferred Taxes Liabilities</t>
        </is>
      </c>
      <c r="B25" s="3" t="n">
        <v>3892000</v>
      </c>
      <c r="C25" s="3" t="n">
        <v>3892000</v>
      </c>
      <c r="D25" s="3" t="n">
        <v>2225000</v>
      </c>
      <c r="E25" s="3" t="n">
        <v>2225000</v>
      </c>
      <c r="F25" s="3" t="n">
        <v>2225000</v>
      </c>
      <c r="G25" s="3" t="n"/>
    </row>
    <row r="26">
      <c r="A26" t="inlineStr">
        <is>
          <t>Long Term Debt And Capital Lease Obligation</t>
        </is>
      </c>
      <c r="B26" s="3" t="n">
        <v>339059000</v>
      </c>
      <c r="C26" s="3" t="n">
        <v>441653000</v>
      </c>
      <c r="D26" s="3" t="n">
        <v>389378000</v>
      </c>
      <c r="E26" s="3" t="n">
        <v>271961000</v>
      </c>
      <c r="F26" s="3" t="n">
        <v>274140000</v>
      </c>
      <c r="G26" s="3" t="n"/>
    </row>
    <row r="27">
      <c r="A27" t="inlineStr">
        <is>
          <t>Long Term Capital Lease Obligation</t>
        </is>
      </c>
      <c r="B27" s="3" t="n">
        <v>300005000</v>
      </c>
      <c r="C27" s="3" t="n">
        <v>302590000</v>
      </c>
      <c r="D27" s="3" t="n">
        <v>258056000</v>
      </c>
      <c r="E27" s="3" t="n">
        <v>210630000</v>
      </c>
      <c r="F27" s="3" t="n">
        <v>210364000</v>
      </c>
      <c r="G27" s="3" t="n"/>
    </row>
    <row r="28">
      <c r="A28" t="inlineStr">
        <is>
          <t>Long Term Debt</t>
        </is>
      </c>
      <c r="B28" s="3" t="n">
        <v>39054000</v>
      </c>
      <c r="C28" s="3" t="n">
        <v>139063000</v>
      </c>
      <c r="D28" s="3" t="n">
        <v>131322000</v>
      </c>
      <c r="E28" s="3" t="n">
        <v>61331000</v>
      </c>
      <c r="F28" s="3" t="n">
        <v>63776000</v>
      </c>
      <c r="G28" s="3" t="n"/>
    </row>
    <row r="29">
      <c r="A29" t="inlineStr">
        <is>
          <t>Current Liabilities</t>
        </is>
      </c>
      <c r="B29" s="3" t="n">
        <v>3630793000</v>
      </c>
      <c r="C29" s="3" t="n">
        <v>3393850000</v>
      </c>
      <c r="D29" s="3" t="n">
        <v>3032223000</v>
      </c>
      <c r="E29" s="3" t="n">
        <v>2699599000</v>
      </c>
      <c r="F29" s="3" t="n">
        <v>2411244000</v>
      </c>
      <c r="G29" s="3" t="n"/>
    </row>
    <row r="30">
      <c r="A30" t="inlineStr">
        <is>
          <t>Other Current Liabilities</t>
        </is>
      </c>
      <c r="B30" s="3" t="n">
        <v>249784000</v>
      </c>
      <c r="C30" s="3" t="n">
        <v>125234000</v>
      </c>
      <c r="D30" s="3" t="n">
        <v>229756000</v>
      </c>
      <c r="E30" s="3" t="n">
        <v>268721000</v>
      </c>
      <c r="F30" s="3" t="n">
        <v>351779000</v>
      </c>
      <c r="G30" s="3" t="n"/>
    </row>
    <row r="31">
      <c r="A31" t="inlineStr">
        <is>
          <t>Current Deferred Liabilities</t>
        </is>
      </c>
      <c r="B31" s="3" t="n">
        <v>2345279000</v>
      </c>
      <c r="C31" s="3" t="n">
        <v>2120262000</v>
      </c>
      <c r="D31" s="3" t="n">
        <v>1734272000</v>
      </c>
      <c r="E31" s="3" t="n">
        <v>1546306000</v>
      </c>
      <c r="F31" s="3" t="n">
        <v>1267373000</v>
      </c>
      <c r="G31" s="3" t="n"/>
    </row>
    <row r="32">
      <c r="A32" t="inlineStr">
        <is>
          <t>Current Deferred Revenue</t>
        </is>
      </c>
      <c r="B32" s="3" t="n">
        <v>2345279000</v>
      </c>
      <c r="C32" s="3" t="n">
        <v>2120262000</v>
      </c>
      <c r="D32" s="3" t="n">
        <v>1734272000</v>
      </c>
      <c r="E32" s="3" t="n">
        <v>1546306000</v>
      </c>
      <c r="F32" s="3" t="n">
        <v>1267373000</v>
      </c>
      <c r="G32" s="3" t="n"/>
    </row>
    <row r="33">
      <c r="A33" t="inlineStr">
        <is>
          <t>Current Debt And Capital Lease Obligation</t>
        </is>
      </c>
      <c r="B33" s="3" t="n">
        <v>25000</v>
      </c>
      <c r="C33" s="3" t="n">
        <v>41705000</v>
      </c>
      <c r="D33" s="3" t="n">
        <v>4676000</v>
      </c>
      <c r="E33" s="3" t="n">
        <v>11689000</v>
      </c>
      <c r="F33" s="3" t="n">
        <v>4066000</v>
      </c>
      <c r="G33" s="3" t="n"/>
    </row>
    <row r="34">
      <c r="A34" t="inlineStr">
        <is>
          <t>Current Capital Lease Obligation</t>
        </is>
      </c>
      <c r="B34" s="3" t="n"/>
      <c r="C34" s="3" t="n">
        <v>35542000</v>
      </c>
      <c r="D34" s="3" t="n"/>
      <c r="E34" s="3" t="n"/>
      <c r="F34" s="3" t="n"/>
      <c r="G34" s="3" t="n">
        <v>28158000</v>
      </c>
    </row>
    <row r="35">
      <c r="A35" t="inlineStr">
        <is>
          <t>Current Debt</t>
        </is>
      </c>
      <c r="B35" s="3" t="n">
        <v>25000</v>
      </c>
      <c r="C35" s="3" t="n">
        <v>6163000</v>
      </c>
      <c r="D35" s="3" t="n">
        <v>4676000</v>
      </c>
      <c r="E35" s="3" t="n">
        <v>11689000</v>
      </c>
      <c r="F35" s="3" t="n">
        <v>4066000</v>
      </c>
      <c r="G35" s="3" t="n"/>
    </row>
    <row r="36">
      <c r="A36" t="inlineStr">
        <is>
          <t>Other Current Borrowings</t>
        </is>
      </c>
      <c r="B36" s="3" t="n"/>
      <c r="C36" s="3" t="n">
        <v>6163000</v>
      </c>
      <c r="D36" s="3" t="n"/>
      <c r="E36" s="3" t="n"/>
      <c r="F36" s="3" t="n"/>
      <c r="G36" s="3" t="n">
        <v>6042000</v>
      </c>
    </row>
    <row r="37">
      <c r="A37" t="inlineStr">
        <is>
          <t>Pensionand Other Post Retirement Benefit Plans Current</t>
        </is>
      </c>
      <c r="B37" s="3" t="n">
        <v>278182000</v>
      </c>
      <c r="C37" s="3" t="n">
        <v>291722000</v>
      </c>
      <c r="D37" s="3" t="n">
        <v>356397000</v>
      </c>
      <c r="E37" s="3" t="n">
        <v>264495000</v>
      </c>
      <c r="F37" s="3" t="n">
        <v>191950000</v>
      </c>
      <c r="G37" s="3" t="n"/>
    </row>
    <row r="38">
      <c r="A38" t="inlineStr">
        <is>
          <t>Payables And Accrued Expenses</t>
        </is>
      </c>
      <c r="B38" s="3" t="n">
        <v>757523000</v>
      </c>
      <c r="C38" s="3" t="n">
        <v>814927000</v>
      </c>
      <c r="D38" s="3" t="n">
        <v>707122000</v>
      </c>
      <c r="E38" s="3" t="n">
        <v>608388000</v>
      </c>
      <c r="F38" s="3" t="n">
        <v>596076000</v>
      </c>
      <c r="G38" s="3" t="n"/>
    </row>
    <row r="39">
      <c r="A39" t="inlineStr">
        <is>
          <t>Current Accrued Expenses</t>
        </is>
      </c>
      <c r="B39" s="3" t="n">
        <v>37933000</v>
      </c>
      <c r="C39" s="3" t="n">
        <v>109786000</v>
      </c>
      <c r="D39" s="3" t="n">
        <v>41990000</v>
      </c>
      <c r="E39" s="3" t="n">
        <v>35121000</v>
      </c>
      <c r="F39" s="3" t="n">
        <v>35413000</v>
      </c>
      <c r="G39" s="3" t="n"/>
    </row>
    <row r="40">
      <c r="A40" t="inlineStr">
        <is>
          <t>Payables</t>
        </is>
      </c>
      <c r="B40" s="3" t="n">
        <v>719590000</v>
      </c>
      <c r="C40" s="3" t="n">
        <v>705141000</v>
      </c>
      <c r="D40" s="3" t="n">
        <v>665132000</v>
      </c>
      <c r="E40" s="3" t="n">
        <v>573267000</v>
      </c>
      <c r="F40" s="3" t="n">
        <v>560663000</v>
      </c>
      <c r="G40" s="3" t="n"/>
    </row>
    <row r="41">
      <c r="A41" t="inlineStr">
        <is>
          <t>Total Tax Payable</t>
        </is>
      </c>
      <c r="B41" s="3" t="n"/>
      <c r="C41" s="3" t="n">
        <v>8793000</v>
      </c>
      <c r="D41" s="3" t="n"/>
      <c r="E41" s="3" t="n"/>
      <c r="F41" s="3" t="n"/>
      <c r="G41" s="3" t="n">
        <v>5568000</v>
      </c>
    </row>
    <row r="42">
      <c r="A42" t="inlineStr">
        <is>
          <t>Accounts Payable</t>
        </is>
      </c>
      <c r="B42" s="3" t="n">
        <v>719590000</v>
      </c>
      <c r="C42" s="3" t="n">
        <v>696348000</v>
      </c>
      <c r="D42" s="3" t="n">
        <v>665132000</v>
      </c>
      <c r="E42" s="3" t="n">
        <v>573267000</v>
      </c>
      <c r="F42" s="3" t="n">
        <v>560663000</v>
      </c>
      <c r="G42" s="3" t="n"/>
    </row>
    <row r="43">
      <c r="A43" t="inlineStr">
        <is>
          <t>Total Assets</t>
        </is>
      </c>
      <c r="B43" s="3" t="n">
        <v>6938346000</v>
      </c>
      <c r="C43" s="3" t="n">
        <v>6441169000</v>
      </c>
      <c r="D43" s="3" t="n">
        <v>5777851000</v>
      </c>
      <c r="E43" s="3" t="n">
        <v>5063729000</v>
      </c>
      <c r="F43" s="3" t="n">
        <v>4569218000</v>
      </c>
      <c r="G43" s="3" t="n"/>
    </row>
    <row r="44">
      <c r="A44" t="inlineStr">
        <is>
          <t>Total Non Current Assets</t>
        </is>
      </c>
      <c r="B44" s="3" t="n">
        <v>2437415000</v>
      </c>
      <c r="C44" s="3" t="n">
        <v>2330616000</v>
      </c>
      <c r="D44" s="3" t="n">
        <v>2074323000</v>
      </c>
      <c r="E44" s="3" t="n">
        <v>2020450000</v>
      </c>
      <c r="F44" s="3" t="n">
        <v>1971719000</v>
      </c>
      <c r="G44" s="3" t="n"/>
    </row>
    <row r="45">
      <c r="A45" t="inlineStr">
        <is>
          <t>Other Non Current Assets</t>
        </is>
      </c>
      <c r="B45" s="3" t="n">
        <v>26495000</v>
      </c>
      <c r="C45" s="3" t="n">
        <v>24920000</v>
      </c>
      <c r="D45" s="3" t="n">
        <v>24181000</v>
      </c>
      <c r="E45" s="3" t="n">
        <v>19201000</v>
      </c>
      <c r="F45" s="3" t="n">
        <v>19247000</v>
      </c>
      <c r="G45" s="3" t="n"/>
    </row>
    <row r="46">
      <c r="A46" t="inlineStr">
        <is>
          <t>Non Current Deferred Assets</t>
        </is>
      </c>
      <c r="B46" s="3" t="n">
        <v>83183000</v>
      </c>
      <c r="C46" s="3" t="n">
        <v>84139000</v>
      </c>
      <c r="D46" s="3" t="n">
        <v>77904000</v>
      </c>
      <c r="E46" s="3" t="n">
        <v>84344000</v>
      </c>
      <c r="F46" s="3" t="n">
        <v>83409000</v>
      </c>
      <c r="G46" s="3" t="n"/>
    </row>
    <row r="47">
      <c r="A47" t="inlineStr">
        <is>
          <t>Non Current Deferred Taxes Assets</t>
        </is>
      </c>
      <c r="B47" s="3" t="n">
        <v>83183000</v>
      </c>
      <c r="C47" s="3" t="n">
        <v>84139000</v>
      </c>
      <c r="D47" s="3" t="n">
        <v>77904000</v>
      </c>
      <c r="E47" s="3" t="n">
        <v>84344000</v>
      </c>
      <c r="F47" s="3" t="n">
        <v>83409000</v>
      </c>
      <c r="G47" s="3" t="n"/>
    </row>
    <row r="48">
      <c r="A48" t="inlineStr">
        <is>
          <t>Goodwill And Other Intangible Assets</t>
        </is>
      </c>
      <c r="B48" s="3" t="n">
        <v>1490289000</v>
      </c>
      <c r="C48" s="3" t="n">
        <v>1510683000</v>
      </c>
      <c r="D48" s="3" t="n">
        <v>1360089000</v>
      </c>
      <c r="E48" s="3" t="n">
        <v>1379226000</v>
      </c>
      <c r="F48" s="3" t="n">
        <v>1347345000</v>
      </c>
      <c r="G48" s="3" t="n"/>
    </row>
    <row r="49">
      <c r="A49" t="inlineStr">
        <is>
          <t>Other Intangible Assets</t>
        </is>
      </c>
      <c r="B49" s="3" t="n">
        <v>464774000</v>
      </c>
      <c r="C49" s="3" t="n">
        <v>485168000</v>
      </c>
      <c r="D49" s="3" t="n">
        <v>431921000</v>
      </c>
      <c r="E49" s="3" t="n">
        <v>451446000</v>
      </c>
      <c r="F49" s="3" t="n">
        <v>441502000</v>
      </c>
      <c r="G49" s="3" t="n"/>
    </row>
    <row r="50">
      <c r="A50" t="inlineStr">
        <is>
          <t>Goodwill</t>
        </is>
      </c>
      <c r="B50" s="3" t="n">
        <v>1025515000</v>
      </c>
      <c r="C50" s="3" t="n">
        <v>1025515000</v>
      </c>
      <c r="D50" s="3" t="n">
        <v>928168000</v>
      </c>
      <c r="E50" s="3" t="n">
        <v>927780000</v>
      </c>
      <c r="F50" s="3" t="n">
        <v>905843000</v>
      </c>
      <c r="G50" s="3" t="n"/>
    </row>
    <row r="51">
      <c r="A51" t="inlineStr">
        <is>
          <t>Net PPE</t>
        </is>
      </c>
      <c r="B51" s="3" t="n">
        <v>837448000</v>
      </c>
      <c r="C51" s="3" t="n">
        <v>710874000</v>
      </c>
      <c r="D51" s="3" t="n">
        <v>612149000</v>
      </c>
      <c r="E51" s="3" t="n">
        <v>537679000</v>
      </c>
      <c r="F51" s="3" t="n">
        <v>521718000</v>
      </c>
      <c r="G51" s="3" t="n"/>
    </row>
    <row r="52">
      <c r="A52" t="inlineStr">
        <is>
          <t>Accumulated Depreciation</t>
        </is>
      </c>
      <c r="B52" s="3" t="n"/>
      <c r="C52" s="3" t="n">
        <v>-292627000</v>
      </c>
      <c r="D52" s="3" t="n"/>
      <c r="E52" s="3" t="n"/>
      <c r="F52" s="3" t="n"/>
      <c r="G52" s="3" t="n">
        <v>-249637000</v>
      </c>
    </row>
    <row r="53">
      <c r="A53" t="inlineStr">
        <is>
          <t>Gross PPE</t>
        </is>
      </c>
      <c r="B53" s="3" t="n">
        <v>837448000</v>
      </c>
      <c r="C53" s="3" t="n">
        <v>1003501000</v>
      </c>
      <c r="D53" s="3" t="n">
        <v>612149000</v>
      </c>
      <c r="E53" s="3" t="n">
        <v>537679000</v>
      </c>
      <c r="F53" s="3" t="n">
        <v>521718000</v>
      </c>
      <c r="G53" s="3" t="n"/>
    </row>
    <row r="54">
      <c r="A54" t="inlineStr">
        <is>
          <t>Construction In Progress</t>
        </is>
      </c>
      <c r="B54" s="3" t="n"/>
      <c r="C54" s="3" t="n">
        <v>48024000</v>
      </c>
      <c r="D54" s="3" t="n"/>
      <c r="E54" s="3" t="n"/>
      <c r="F54" s="3" t="n"/>
      <c r="G54" s="3" t="n">
        <v>26233000</v>
      </c>
    </row>
    <row r="55">
      <c r="A55" t="inlineStr">
        <is>
          <t>Other Properties</t>
        </is>
      </c>
      <c r="B55" s="3" t="n">
        <v>837448000</v>
      </c>
      <c r="C55" s="3" t="n">
        <v>322922000</v>
      </c>
      <c r="D55" s="3" t="n">
        <v>612149000</v>
      </c>
      <c r="E55" s="3" t="n">
        <v>537679000</v>
      </c>
      <c r="F55" s="3" t="n">
        <v>521718000</v>
      </c>
      <c r="G55" s="3" t="n"/>
    </row>
    <row r="56">
      <c r="A56" t="inlineStr">
        <is>
          <t>Machinery Furniture Equipment</t>
        </is>
      </c>
      <c r="B56" s="3" t="n"/>
      <c r="C56" s="3" t="n">
        <v>435627000</v>
      </c>
      <c r="D56" s="3" t="n"/>
      <c r="E56" s="3" t="n"/>
      <c r="F56" s="3" t="n"/>
      <c r="G56" s="3" t="n">
        <v>359034000</v>
      </c>
    </row>
    <row r="57">
      <c r="A57" t="inlineStr">
        <is>
          <t>Buildings And Improvements</t>
        </is>
      </c>
      <c r="B57" s="3" t="n"/>
      <c r="C57" s="3" t="n">
        <v>173616000</v>
      </c>
      <c r="D57" s="3" t="n"/>
      <c r="E57" s="3" t="n"/>
      <c r="F57" s="3" t="n"/>
      <c r="G57" s="3" t="n">
        <v>128652000</v>
      </c>
    </row>
    <row r="58">
      <c r="A58" t="inlineStr">
        <is>
          <t>Land And Improvements</t>
        </is>
      </c>
      <c r="B58" s="3" t="n"/>
      <c r="C58" s="3" t="n">
        <v>23312000</v>
      </c>
      <c r="D58" s="3" t="n"/>
      <c r="E58" s="3" t="n"/>
      <c r="F58" s="3" t="n"/>
      <c r="G58" s="3" t="n">
        <v>12898000</v>
      </c>
    </row>
    <row r="59">
      <c r="A59" t="inlineStr">
        <is>
          <t>Properties</t>
        </is>
      </c>
      <c r="B59" s="3" t="n"/>
      <c r="C59" s="3" t="n">
        <v>0</v>
      </c>
      <c r="D59" s="3" t="n"/>
      <c r="E59" s="3" t="n"/>
      <c r="F59" s="3" t="n"/>
      <c r="G59" s="3" t="n">
        <v>0</v>
      </c>
    </row>
    <row r="60">
      <c r="A60" t="inlineStr">
        <is>
          <t>Current Assets</t>
        </is>
      </c>
      <c r="B60" s="3" t="n">
        <v>4500931000</v>
      </c>
      <c r="C60" s="3" t="n">
        <v>4110553000</v>
      </c>
      <c r="D60" s="3" t="n">
        <v>3703528000</v>
      </c>
      <c r="E60" s="3" t="n">
        <v>3043279000</v>
      </c>
      <c r="F60" s="3" t="n">
        <v>2597499000</v>
      </c>
      <c r="G60" s="3" t="n"/>
    </row>
    <row r="61">
      <c r="A61" t="inlineStr">
        <is>
          <t>Other Current Assets</t>
        </is>
      </c>
      <c r="B61" s="3" t="n">
        <v>177588000</v>
      </c>
      <c r="C61" s="3" t="n">
        <v>138560000</v>
      </c>
      <c r="D61" s="3" t="n">
        <v>63160000</v>
      </c>
      <c r="E61" s="3" t="n">
        <v>37991000</v>
      </c>
      <c r="F61" s="3" t="n">
        <v>50859000</v>
      </c>
      <c r="G61" s="3" t="n"/>
    </row>
    <row r="62">
      <c r="A62" t="inlineStr">
        <is>
          <t>Inventory</t>
        </is>
      </c>
      <c r="B62" s="3" t="n">
        <v>93947000</v>
      </c>
      <c r="C62" s="3" t="n">
        <v>84066000</v>
      </c>
      <c r="D62" s="3" t="n">
        <v>78830000</v>
      </c>
      <c r="E62" s="3" t="n">
        <v>70732000</v>
      </c>
      <c r="F62" s="3" t="n">
        <v>63045000</v>
      </c>
      <c r="G62" s="3" t="n"/>
    </row>
    <row r="63">
      <c r="A63" t="inlineStr">
        <is>
          <t>Receivables</t>
        </is>
      </c>
      <c r="B63" s="3" t="n">
        <v>3179232000</v>
      </c>
      <c r="C63" s="3" t="n">
        <v>2906029000</v>
      </c>
      <c r="D63" s="3" t="n">
        <v>2701015000</v>
      </c>
      <c r="E63" s="3" t="n">
        <v>2602846000</v>
      </c>
      <c r="F63" s="3" t="n">
        <v>2278837000</v>
      </c>
      <c r="G63" s="3" t="n"/>
    </row>
    <row r="64">
      <c r="A64" t="inlineStr">
        <is>
          <t>Other Receivables</t>
        </is>
      </c>
      <c r="B64" s="3" t="n">
        <v>373962000</v>
      </c>
      <c r="C64" s="3" t="n">
        <v>328171000</v>
      </c>
      <c r="D64" s="3" t="n">
        <v>394720000</v>
      </c>
      <c r="E64" s="3" t="n">
        <v>440501000</v>
      </c>
      <c r="F64" s="3" t="n">
        <v>541861000</v>
      </c>
      <c r="G64" s="3" t="n"/>
    </row>
    <row r="65">
      <c r="A65" t="inlineStr">
        <is>
          <t>Accounts Receivable</t>
        </is>
      </c>
      <c r="B65" s="3" t="n">
        <v>2805270000</v>
      </c>
      <c r="C65" s="3" t="n">
        <v>2577858000</v>
      </c>
      <c r="D65" s="3" t="n">
        <v>2306295000</v>
      </c>
      <c r="E65" s="3" t="n">
        <v>2162345000</v>
      </c>
      <c r="F65" s="3" t="n">
        <v>1736976000</v>
      </c>
      <c r="G65" s="3" t="n"/>
    </row>
    <row r="66">
      <c r="A66" t="inlineStr">
        <is>
          <t>Allowance For Doubtful Accounts Receivable</t>
        </is>
      </c>
      <c r="B66" s="3" t="n">
        <v>-19991000</v>
      </c>
      <c r="C66" s="3" t="n">
        <v>-19708000</v>
      </c>
      <c r="D66" s="3" t="n">
        <v>-18645000</v>
      </c>
      <c r="E66" s="3" t="n">
        <v>-17028000</v>
      </c>
      <c r="F66" s="3" t="n">
        <v>-15632000</v>
      </c>
      <c r="G66" s="3" t="n"/>
    </row>
    <row r="67">
      <c r="A67" t="inlineStr">
        <is>
          <t>Gross Accounts Receivable</t>
        </is>
      </c>
      <c r="B67" s="3" t="n">
        <v>2825261000</v>
      </c>
      <c r="C67" s="3" t="n">
        <v>2597566000</v>
      </c>
      <c r="D67" s="3" t="n">
        <v>2324940000</v>
      </c>
      <c r="E67" s="3" t="n">
        <v>2179373000</v>
      </c>
      <c r="F67" s="3" t="n">
        <v>1752608000</v>
      </c>
      <c r="G67" s="3" t="n"/>
    </row>
    <row r="68">
      <c r="A68" t="inlineStr">
        <is>
          <t>Cash Cash Equivalents And Short Term Investments</t>
        </is>
      </c>
      <c r="B68" s="3" t="n">
        <v>1050164000</v>
      </c>
      <c r="C68" s="3" t="n">
        <v>981898000</v>
      </c>
      <c r="D68" s="3" t="n">
        <v>860523000</v>
      </c>
      <c r="E68" s="3" t="n">
        <v>331710000</v>
      </c>
      <c r="F68" s="3" t="n">
        <v>204758000</v>
      </c>
      <c r="G68" s="3" t="n"/>
    </row>
    <row r="69">
      <c r="A69" t="inlineStr">
        <is>
          <t>Cash And Cash Equivalents</t>
        </is>
      </c>
      <c r="B69" s="3" t="n">
        <v>1050164000</v>
      </c>
      <c r="C69" s="3" t="n">
        <v>981898000</v>
      </c>
      <c r="D69" s="3" t="n">
        <v>860523000</v>
      </c>
      <c r="E69" s="3" t="n">
        <v>331710000</v>
      </c>
      <c r="F69" s="3" t="n">
        <v>204758000</v>
      </c>
      <c r="G6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1031453000</v>
      </c>
      <c r="C2" s="3" t="n">
        <v>737986000</v>
      </c>
      <c r="D2" s="3" t="n">
        <v>544730000</v>
      </c>
      <c r="E2" s="3" t="n">
        <v>253172000</v>
      </c>
      <c r="F2" s="3" t="n"/>
    </row>
    <row r="3">
      <c r="A3" t="inlineStr">
        <is>
          <t>Repurchase Of Capital Stock</t>
        </is>
      </c>
      <c r="B3" s="3" t="n">
        <v>-215999000</v>
      </c>
      <c r="C3" s="3" t="n">
        <v>-57912000</v>
      </c>
      <c r="D3" s="3" t="n">
        <v>-21184000</v>
      </c>
      <c r="E3" s="3" t="n">
        <v>-38216000</v>
      </c>
      <c r="F3" s="3" t="n"/>
    </row>
    <row r="4">
      <c r="A4" t="inlineStr">
        <is>
          <t>Repayment Of Debt</t>
        </is>
      </c>
      <c r="B4" s="3" t="n">
        <v>-143059000</v>
      </c>
      <c r="C4" s="3" t="n">
        <v>-208576000</v>
      </c>
      <c r="D4" s="3" t="n">
        <v>-512033000</v>
      </c>
      <c r="E4" s="3" t="n">
        <v>-693155000</v>
      </c>
      <c r="F4" s="3" t="n"/>
    </row>
    <row r="5">
      <c r="A5" t="inlineStr">
        <is>
          <t>Issuance Of Debt</t>
        </is>
      </c>
      <c r="B5" s="3" t="n">
        <v>200000000</v>
      </c>
      <c r="C5" s="3" t="n">
        <v>182640000</v>
      </c>
      <c r="D5" s="3" t="n">
        <v>285000000</v>
      </c>
      <c r="E5" s="3" t="n">
        <v>555000000</v>
      </c>
      <c r="F5" s="3" t="n"/>
    </row>
    <row r="6">
      <c r="A6" t="inlineStr">
        <is>
          <t>Capital Expenditure</t>
        </is>
      </c>
      <c r="B6" s="3" t="n">
        <v>-154903000</v>
      </c>
      <c r="C6" s="3" t="n">
        <v>-111071000</v>
      </c>
      <c r="D6" s="3" t="n">
        <v>-94838000</v>
      </c>
      <c r="E6" s="3" t="n">
        <v>-48359000</v>
      </c>
      <c r="F6" s="3" t="n"/>
    </row>
    <row r="7">
      <c r="A7" t="inlineStr">
        <is>
          <t>Interest Paid Supplemental Data</t>
        </is>
      </c>
      <c r="B7" s="3" t="n">
        <v>7903000</v>
      </c>
      <c r="C7" s="3" t="n">
        <v>6428000</v>
      </c>
      <c r="D7" s="3" t="n">
        <v>9862000</v>
      </c>
      <c r="E7" s="3" t="n"/>
      <c r="F7" s="3" t="n"/>
    </row>
    <row r="8">
      <c r="A8" t="inlineStr">
        <is>
          <t>Income Tax Paid Supplemental Data</t>
        </is>
      </c>
      <c r="B8" s="3" t="n">
        <v>253549000</v>
      </c>
      <c r="C8" s="3" t="n">
        <v>102819000</v>
      </c>
      <c r="D8" s="3" t="n">
        <v>100254000</v>
      </c>
      <c r="E8" s="3" t="n"/>
      <c r="F8" s="3" t="n"/>
    </row>
    <row r="9">
      <c r="A9" t="inlineStr">
        <is>
          <t>End Cash Position</t>
        </is>
      </c>
      <c r="B9" s="3" t="n">
        <v>981898000</v>
      </c>
      <c r="C9" s="3" t="n">
        <v>549939000</v>
      </c>
      <c r="D9" s="3" t="n">
        <v>205150000</v>
      </c>
      <c r="E9" s="3" t="n">
        <v>57214000</v>
      </c>
      <c r="F9" s="3" t="n"/>
    </row>
    <row r="10">
      <c r="A10" t="inlineStr">
        <is>
          <t>Beginning Cash Position</t>
        </is>
      </c>
      <c r="B10" s="3" t="n">
        <v>549939000</v>
      </c>
      <c r="C10" s="3" t="n">
        <v>205150000</v>
      </c>
      <c r="D10" s="3" t="n">
        <v>57214000</v>
      </c>
      <c r="E10" s="3" t="n">
        <v>58776000</v>
      </c>
      <c r="F10" s="3" t="n"/>
    </row>
    <row r="11">
      <c r="A11" t="inlineStr">
        <is>
          <t>Changes In Cash</t>
        </is>
      </c>
      <c r="B11" s="3" t="n">
        <v>431959000</v>
      </c>
      <c r="C11" s="3" t="n">
        <v>344789000</v>
      </c>
      <c r="D11" s="3" t="n">
        <v>147936000</v>
      </c>
      <c r="E11" s="3" t="n">
        <v>-1562000</v>
      </c>
      <c r="F11" s="3" t="n"/>
    </row>
    <row r="12">
      <c r="A12" t="inlineStr">
        <is>
          <t>Financing Cash Flow</t>
        </is>
      </c>
      <c r="B12" s="3" t="n">
        <v>-287125000</v>
      </c>
      <c r="C12" s="3" t="n">
        <v>-160759000</v>
      </c>
      <c r="D12" s="3" t="n">
        <v>-298624000</v>
      </c>
      <c r="E12" s="3" t="n">
        <v>-205915000</v>
      </c>
      <c r="F12" s="3" t="n"/>
    </row>
    <row r="13">
      <c r="A13" t="inlineStr">
        <is>
          <t>Cash Flow From Continuing Financing Activities</t>
        </is>
      </c>
      <c r="B13" s="3" t="n">
        <v>-287125000</v>
      </c>
      <c r="C13" s="3" t="n">
        <v>-160759000</v>
      </c>
      <c r="D13" s="3" t="n">
        <v>-298624000</v>
      </c>
      <c r="E13" s="3" t="n">
        <v>-205915000</v>
      </c>
      <c r="F13" s="3" t="n"/>
    </row>
    <row r="14">
      <c r="A14" t="inlineStr">
        <is>
          <t>Net Other Financing Charges</t>
        </is>
      </c>
      <c r="B14" s="3" t="n">
        <v>-60027000</v>
      </c>
      <c r="C14" s="3" t="n">
        <v>-34329000</v>
      </c>
      <c r="D14" s="3" t="n">
        <v>-20046000</v>
      </c>
      <c r="E14" s="3" t="n">
        <v>-10553000</v>
      </c>
      <c r="F14" s="3" t="n"/>
    </row>
    <row r="15">
      <c r="A15" t="inlineStr">
        <is>
          <t>Proceeds From Stock Option Exercised</t>
        </is>
      </c>
      <c r="B15" s="3" t="n">
        <v>793000</v>
      </c>
      <c r="C15" s="3" t="n">
        <v>184000</v>
      </c>
      <c r="D15" s="3" t="n">
        <v>18000</v>
      </c>
      <c r="E15" s="3" t="n">
        <v>1086000</v>
      </c>
      <c r="F15" s="3" t="n"/>
    </row>
    <row r="16">
      <c r="A16" t="inlineStr">
        <is>
          <t>Cash Dividends Paid</t>
        </is>
      </c>
      <c r="B16" s="3" t="n">
        <v>-68833000</v>
      </c>
      <c r="C16" s="3" t="n">
        <v>-42766000</v>
      </c>
      <c r="D16" s="3" t="n">
        <v>-30379000</v>
      </c>
      <c r="E16" s="3" t="n">
        <v>-20077000</v>
      </c>
      <c r="F16" s="3" t="n"/>
    </row>
    <row r="17">
      <c r="A17" t="inlineStr">
        <is>
          <t>Common Stock Dividend Paid</t>
        </is>
      </c>
      <c r="B17" s="3" t="n">
        <v>-68833000</v>
      </c>
      <c r="C17" s="3" t="n">
        <v>-42766000</v>
      </c>
      <c r="D17" s="3" t="n">
        <v>-30379000</v>
      </c>
      <c r="E17" s="3" t="n">
        <v>-20077000</v>
      </c>
      <c r="F17" s="3" t="n"/>
    </row>
    <row r="18">
      <c r="A18" t="inlineStr">
        <is>
          <t>Net Common Stock Issuance</t>
        </is>
      </c>
      <c r="B18" s="3" t="n">
        <v>-215999000</v>
      </c>
      <c r="C18" s="3" t="n">
        <v>-57912000</v>
      </c>
      <c r="D18" s="3" t="n">
        <v>-21184000</v>
      </c>
      <c r="E18" s="3" t="n">
        <v>-38216000</v>
      </c>
      <c r="F18" s="3" t="n"/>
    </row>
    <row r="19">
      <c r="A19" t="inlineStr">
        <is>
          <t>Common Stock Payments</t>
        </is>
      </c>
      <c r="B19" s="3" t="n">
        <v>-215999000</v>
      </c>
      <c r="C19" s="3" t="n">
        <v>-57912000</v>
      </c>
      <c r="D19" s="3" t="n">
        <v>-21184000</v>
      </c>
      <c r="E19" s="3" t="n">
        <v>-38216000</v>
      </c>
      <c r="F19" s="3" t="n"/>
    </row>
    <row r="20">
      <c r="A20" t="inlineStr">
        <is>
          <t>Net Issuance Payments Of Debt</t>
        </is>
      </c>
      <c r="B20" s="3" t="n">
        <v>56941000</v>
      </c>
      <c r="C20" s="3" t="n">
        <v>-25936000</v>
      </c>
      <c r="D20" s="3" t="n">
        <v>-227033000</v>
      </c>
      <c r="E20" s="3" t="n">
        <v>-138155000</v>
      </c>
      <c r="F20" s="3" t="n"/>
    </row>
    <row r="21">
      <c r="A21" t="inlineStr">
        <is>
          <t>Net Short Term Debt Issuance</t>
        </is>
      </c>
      <c r="B21" s="3" t="n"/>
      <c r="C21" s="3" t="n"/>
      <c r="D21" s="3" t="n"/>
      <c r="E21" s="3" t="n"/>
      <c r="F21" s="3" t="n">
        <v>150000000</v>
      </c>
    </row>
    <row r="22">
      <c r="A22" t="inlineStr">
        <is>
          <t>Short Term Debt Payments</t>
        </is>
      </c>
      <c r="B22" s="3" t="n"/>
      <c r="C22" s="3" t="n"/>
      <c r="D22" s="3" t="n"/>
      <c r="E22" s="3" t="n"/>
      <c r="F22" s="3" t="n">
        <v>-125000000</v>
      </c>
    </row>
    <row r="23">
      <c r="A23" t="inlineStr">
        <is>
          <t>Short Term Debt Issuance</t>
        </is>
      </c>
      <c r="B23" s="3" t="n"/>
      <c r="C23" s="3" t="n"/>
      <c r="D23" s="3" t="n"/>
      <c r="E23" s="3" t="n"/>
      <c r="F23" s="3" t="n">
        <v>275000000</v>
      </c>
    </row>
    <row r="24">
      <c r="A24" t="inlineStr">
        <is>
          <t>Net Long Term Debt Issuance</t>
        </is>
      </c>
      <c r="B24" s="3" t="n">
        <v>56941000</v>
      </c>
      <c r="C24" s="3" t="n">
        <v>-25936000</v>
      </c>
      <c r="D24" s="3" t="n">
        <v>-227033000</v>
      </c>
      <c r="E24" s="3" t="n">
        <v>-138155000</v>
      </c>
      <c r="F24" s="3" t="n"/>
    </row>
    <row r="25">
      <c r="A25" t="inlineStr">
        <is>
          <t>Long Term Debt Payments</t>
        </is>
      </c>
      <c r="B25" s="3" t="n">
        <v>-143059000</v>
      </c>
      <c r="C25" s="3" t="n">
        <v>-208576000</v>
      </c>
      <c r="D25" s="3" t="n">
        <v>-512033000</v>
      </c>
      <c r="E25" s="3" t="n">
        <v>-693155000</v>
      </c>
      <c r="F25" s="3" t="n"/>
    </row>
    <row r="26">
      <c r="A26" t="inlineStr">
        <is>
          <t>Long Term Debt Issuance</t>
        </is>
      </c>
      <c r="B26" s="3" t="n">
        <v>200000000</v>
      </c>
      <c r="C26" s="3" t="n">
        <v>182640000</v>
      </c>
      <c r="D26" s="3" t="n">
        <v>285000000</v>
      </c>
      <c r="E26" s="3" t="n">
        <v>555000000</v>
      </c>
      <c r="F26" s="3" t="n"/>
    </row>
    <row r="27">
      <c r="A27" t="inlineStr">
        <is>
          <t>Investing Cash Flow</t>
        </is>
      </c>
      <c r="B27" s="3" t="n">
        <v>-467272000</v>
      </c>
      <c r="C27" s="3" t="n">
        <v>-343509000</v>
      </c>
      <c r="D27" s="3" t="n">
        <v>-193008000</v>
      </c>
      <c r="E27" s="3" t="n">
        <v>-97178000</v>
      </c>
      <c r="F27" s="3" t="n"/>
    </row>
    <row r="28">
      <c r="A28" t="inlineStr">
        <is>
          <t>Cash Flow From Continuing Investing Activities</t>
        </is>
      </c>
      <c r="B28" s="3" t="n">
        <v>-467272000</v>
      </c>
      <c r="C28" s="3" t="n">
        <v>-343509000</v>
      </c>
      <c r="D28" s="3" t="n">
        <v>-193008000</v>
      </c>
      <c r="E28" s="3" t="n">
        <v>-97178000</v>
      </c>
      <c r="F28" s="3" t="n"/>
    </row>
    <row r="29">
      <c r="A29" t="inlineStr">
        <is>
          <t>Net Investment Purchase And Sale</t>
        </is>
      </c>
      <c r="B29" s="3" t="n">
        <v>-36454000</v>
      </c>
      <c r="C29" s="3" t="n">
        <v>-2510000</v>
      </c>
      <c r="D29" s="3" t="n">
        <v>-1860000</v>
      </c>
      <c r="E29" s="3" t="n">
        <v>-2460000</v>
      </c>
      <c r="F29" s="3" t="n"/>
    </row>
    <row r="30">
      <c r="A30" t="inlineStr">
        <is>
          <t>Sale Of Investment</t>
        </is>
      </c>
      <c r="B30" s="3" t="n">
        <v>27747000</v>
      </c>
      <c r="C30" s="3" t="n">
        <v>0</v>
      </c>
      <c r="D30" s="3" t="n">
        <v>0</v>
      </c>
      <c r="E30" s="3" t="n"/>
      <c r="F30" s="3" t="n"/>
    </row>
    <row r="31">
      <c r="A31" t="inlineStr">
        <is>
          <t>Purchase Of Investment</t>
        </is>
      </c>
      <c r="B31" s="3" t="n">
        <v>-64201000</v>
      </c>
      <c r="C31" s="3" t="n">
        <v>-2510000</v>
      </c>
      <c r="D31" s="3" t="n">
        <v>-1860000</v>
      </c>
      <c r="E31" s="3" t="n">
        <v>-2460000</v>
      </c>
      <c r="F31" s="3" t="n"/>
    </row>
    <row r="32">
      <c r="A32" t="inlineStr">
        <is>
          <t>Net Business Purchase And Sale</t>
        </is>
      </c>
      <c r="B32" s="3" t="n">
        <v>-279610000</v>
      </c>
      <c r="C32" s="3" t="n">
        <v>-235466000</v>
      </c>
      <c r="D32" s="3" t="n">
        <v>-102261000</v>
      </c>
      <c r="E32" s="3" t="n">
        <v>-49217000</v>
      </c>
      <c r="F32" s="3" t="n"/>
    </row>
    <row r="33">
      <c r="A33" t="inlineStr">
        <is>
          <t>Sale Of Business</t>
        </is>
      </c>
      <c r="B33" s="3" t="n"/>
      <c r="C33" s="3" t="n"/>
      <c r="D33" s="3" t="n"/>
      <c r="E33" s="3" t="n"/>
      <c r="F33" s="3" t="n">
        <v>0</v>
      </c>
    </row>
    <row r="34">
      <c r="A34" t="inlineStr">
        <is>
          <t>Purchase Of Business</t>
        </is>
      </c>
      <c r="B34" s="3" t="n">
        <v>-279610000</v>
      </c>
      <c r="C34" s="3" t="n">
        <v>-235466000</v>
      </c>
      <c r="D34" s="3" t="n">
        <v>-102261000</v>
      </c>
      <c r="E34" s="3" t="n">
        <v>-49217000</v>
      </c>
      <c r="F34" s="3" t="n"/>
    </row>
    <row r="35">
      <c r="A35" t="inlineStr">
        <is>
          <t>Net PPE Purchase And Sale</t>
        </is>
      </c>
      <c r="B35" s="3" t="n">
        <v>-151208000</v>
      </c>
      <c r="C35" s="3" t="n">
        <v>-105533000</v>
      </c>
      <c r="D35" s="3" t="n">
        <v>-88887000</v>
      </c>
      <c r="E35" s="3" t="n">
        <v>-45501000</v>
      </c>
      <c r="F35" s="3" t="n"/>
    </row>
    <row r="36">
      <c r="A36" t="inlineStr">
        <is>
          <t>Sale Of PPE</t>
        </is>
      </c>
      <c r="B36" s="3" t="n">
        <v>3695000</v>
      </c>
      <c r="C36" s="3" t="n">
        <v>5538000</v>
      </c>
      <c r="D36" s="3" t="n">
        <v>5951000</v>
      </c>
      <c r="E36" s="3" t="n">
        <v>2858000</v>
      </c>
      <c r="F36" s="3" t="n"/>
    </row>
    <row r="37">
      <c r="A37" t="inlineStr">
        <is>
          <t>Purchase Of PPE</t>
        </is>
      </c>
      <c r="B37" s="3" t="n">
        <v>-154903000</v>
      </c>
      <c r="C37" s="3" t="n">
        <v>-111071000</v>
      </c>
      <c r="D37" s="3" t="n">
        <v>-94838000</v>
      </c>
      <c r="E37" s="3" t="n">
        <v>-48359000</v>
      </c>
      <c r="F37" s="3" t="n"/>
    </row>
    <row r="38">
      <c r="A38" t="inlineStr">
        <is>
          <t>Operating Cash Flow</t>
        </is>
      </c>
      <c r="B38" s="3" t="n">
        <v>1186356000</v>
      </c>
      <c r="C38" s="3" t="n">
        <v>849057000</v>
      </c>
      <c r="D38" s="3" t="n">
        <v>639568000</v>
      </c>
      <c r="E38" s="3" t="n">
        <v>301531000</v>
      </c>
      <c r="F38" s="3" t="n"/>
    </row>
    <row r="39">
      <c r="A39" t="inlineStr">
        <is>
          <t>Cash Flow From Continuing Operating Activities</t>
        </is>
      </c>
      <c r="B39" s="3" t="n">
        <v>1186356000</v>
      </c>
      <c r="C39" s="3" t="n">
        <v>849057000</v>
      </c>
      <c r="D39" s="3" t="n">
        <v>639568000</v>
      </c>
      <c r="E39" s="3" t="n">
        <v>301531000</v>
      </c>
      <c r="F39" s="3" t="n"/>
    </row>
    <row r="40">
      <c r="A40" t="inlineStr">
        <is>
          <t>Change In Working Capital</t>
        </is>
      </c>
      <c r="B40" s="3" t="n">
        <v>-67667000</v>
      </c>
      <c r="C40" s="3" t="n">
        <v>107401000</v>
      </c>
      <c r="D40" s="3" t="n">
        <v>73471000</v>
      </c>
      <c r="E40" s="3" t="n">
        <v>29963000</v>
      </c>
      <c r="F40" s="3" t="n"/>
    </row>
    <row r="41">
      <c r="A41" t="inlineStr">
        <is>
          <t>Change In Other Working Capital</t>
        </is>
      </c>
      <c r="B41" s="3" t="n">
        <v>910084000</v>
      </c>
      <c r="C41" s="3" t="n">
        <v>32173000</v>
      </c>
      <c r="D41" s="3" t="n">
        <v>349166000</v>
      </c>
      <c r="E41" s="3" t="n">
        <v>226019000</v>
      </c>
      <c r="F41" s="3" t="n"/>
    </row>
    <row r="42">
      <c r="A42" t="inlineStr">
        <is>
          <t>Change In Other Current Liabilities</t>
        </is>
      </c>
      <c r="B42" s="3" t="n">
        <v>28699000</v>
      </c>
      <c r="C42" s="3" t="n">
        <v>-8802000</v>
      </c>
      <c r="D42" s="3" t="n">
        <v>3020000</v>
      </c>
      <c r="E42" s="3" t="n">
        <v>-15617000</v>
      </c>
      <c r="F42" s="3" t="n"/>
    </row>
    <row r="43">
      <c r="A43" t="inlineStr">
        <is>
          <t>Change In Other Current Assets</t>
        </is>
      </c>
      <c r="B43" s="3" t="n">
        <v>-386000</v>
      </c>
      <c r="C43" s="3" t="n">
        <v>-2220000</v>
      </c>
      <c r="D43" s="3" t="n">
        <v>-152000</v>
      </c>
      <c r="E43" s="3" t="n">
        <v>-995000</v>
      </c>
      <c r="F43" s="3" t="n"/>
    </row>
    <row r="44">
      <c r="A44" t="inlineStr">
        <is>
          <t>Change In Payables And Accrued Expense</t>
        </is>
      </c>
      <c r="B44" s="3" t="n">
        <v>-276051000</v>
      </c>
      <c r="C44" s="3" t="n">
        <v>502888000</v>
      </c>
      <c r="D44" s="3" t="n">
        <v>136467000</v>
      </c>
      <c r="E44" s="3" t="n">
        <v>93110000</v>
      </c>
      <c r="F44" s="3" t="n"/>
    </row>
    <row r="45">
      <c r="A45" t="inlineStr">
        <is>
          <t>Change In Payable</t>
        </is>
      </c>
      <c r="B45" s="3" t="n">
        <v>-276051000</v>
      </c>
      <c r="C45" s="3" t="n">
        <v>502888000</v>
      </c>
      <c r="D45" s="3" t="n">
        <v>136467000</v>
      </c>
      <c r="E45" s="3" t="n">
        <v>93110000</v>
      </c>
      <c r="F45" s="3" t="n"/>
    </row>
    <row r="46">
      <c r="A46" t="inlineStr">
        <is>
          <t>Change In Account Payable</t>
        </is>
      </c>
      <c r="B46" s="3" t="n">
        <v>-276051000</v>
      </c>
      <c r="C46" s="3" t="n">
        <v>502888000</v>
      </c>
      <c r="D46" s="3" t="n">
        <v>136467000</v>
      </c>
      <c r="E46" s="3" t="n">
        <v>93110000</v>
      </c>
      <c r="F46" s="3" t="n"/>
    </row>
    <row r="47">
      <c r="A47" t="inlineStr">
        <is>
          <t>Change In Prepaid Assets</t>
        </is>
      </c>
      <c r="B47" s="3" t="n">
        <v>-91359000</v>
      </c>
      <c r="C47" s="3" t="n">
        <v>-7868000</v>
      </c>
      <c r="D47" s="3" t="n">
        <v>-11137000</v>
      </c>
      <c r="E47" s="3" t="n">
        <v>-26238000</v>
      </c>
      <c r="F47" s="3" t="n"/>
    </row>
    <row r="48">
      <c r="A48" t="inlineStr">
        <is>
          <t>Change In Inventory</t>
        </is>
      </c>
      <c r="B48" s="3" t="n">
        <v>-24411000</v>
      </c>
      <c r="C48" s="3" t="n">
        <v>6544000</v>
      </c>
      <c r="D48" s="3" t="n">
        <v>-29688000</v>
      </c>
      <c r="E48" s="3" t="n">
        <v>-13495000</v>
      </c>
      <c r="F48" s="3" t="n"/>
    </row>
    <row r="49">
      <c r="A49" t="inlineStr">
        <is>
          <t>Change In Receivables</t>
        </is>
      </c>
      <c r="B49" s="3" t="n">
        <v>-614243000</v>
      </c>
      <c r="C49" s="3" t="n">
        <v>-415314000</v>
      </c>
      <c r="D49" s="3" t="n">
        <v>-374205000</v>
      </c>
      <c r="E49" s="3" t="n">
        <v>-232821000</v>
      </c>
      <c r="F49" s="3" t="n"/>
    </row>
    <row r="50">
      <c r="A50" t="inlineStr">
        <is>
          <t>Changes In Account Receivables</t>
        </is>
      </c>
      <c r="B50" s="3" t="n">
        <v>-594298000</v>
      </c>
      <c r="C50" s="3" t="n">
        <v>-333233000</v>
      </c>
      <c r="D50" s="3" t="n">
        <v>-381555000</v>
      </c>
      <c r="E50" s="3" t="n">
        <v>-223178000</v>
      </c>
      <c r="F50" s="3" t="n"/>
    </row>
    <row r="51">
      <c r="A51" t="inlineStr">
        <is>
          <t>Other Non Cash Items</t>
        </is>
      </c>
      <c r="B51" s="3" t="n">
        <v>68339000</v>
      </c>
      <c r="C51" s="3" t="n">
        <v>119783000</v>
      </c>
      <c r="D51" s="3" t="n">
        <v>50256000</v>
      </c>
      <c r="E51" s="3" t="n">
        <v>27162000</v>
      </c>
      <c r="F51" s="3" t="n"/>
    </row>
    <row r="52">
      <c r="A52" t="inlineStr">
        <is>
          <t>Stock Based Compensation</t>
        </is>
      </c>
      <c r="B52" s="3" t="n">
        <v>21809000</v>
      </c>
      <c r="C52" s="3" t="n">
        <v>16646000</v>
      </c>
      <c r="D52" s="3" t="n">
        <v>12939000</v>
      </c>
      <c r="E52" s="3" t="n">
        <v>10532000</v>
      </c>
      <c r="F52" s="3" t="n"/>
    </row>
    <row r="53">
      <c r="A53" t="inlineStr">
        <is>
          <t>Asset Impairment Charge</t>
        </is>
      </c>
      <c r="B53" s="3" t="n">
        <v>6609000</v>
      </c>
      <c r="C53" s="3" t="n">
        <v>6952000</v>
      </c>
      <c r="D53" s="3" t="n">
        <v>4944000</v>
      </c>
      <c r="E53" s="3" t="n">
        <v>2670000</v>
      </c>
      <c r="F53" s="3" t="n"/>
    </row>
    <row r="54">
      <c r="A54" t="inlineStr">
        <is>
          <t>Deferred Tax</t>
        </is>
      </c>
      <c r="B54" s="3" t="n">
        <v>-5277000</v>
      </c>
      <c r="C54" s="3" t="n">
        <v>-66613000</v>
      </c>
      <c r="D54" s="3" t="n">
        <v>95296000</v>
      </c>
      <c r="E54" s="3" t="n">
        <v>-94505000</v>
      </c>
      <c r="F54" s="3" t="n"/>
    </row>
    <row r="55">
      <c r="A55" t="inlineStr">
        <is>
          <t>Deferred Income Tax</t>
        </is>
      </c>
      <c r="B55" s="3" t="n">
        <v>-5277000</v>
      </c>
      <c r="C55" s="3" t="n">
        <v>-66613000</v>
      </c>
      <c r="D55" s="3" t="n">
        <v>95296000</v>
      </c>
      <c r="E55" s="3" t="n">
        <v>-94505000</v>
      </c>
      <c r="F55" s="3" t="n"/>
    </row>
    <row r="56">
      <c r="A56" t="inlineStr">
        <is>
          <t>Depreciation Amortization Depletion</t>
        </is>
      </c>
      <c r="B56" s="3" t="n">
        <v>141959000</v>
      </c>
      <c r="C56" s="3" t="n">
        <v>145485000</v>
      </c>
      <c r="D56" s="3" t="n">
        <v>81566000</v>
      </c>
      <c r="E56" s="3" t="n">
        <v>81347000</v>
      </c>
      <c r="F56" s="3" t="n"/>
    </row>
    <row r="57">
      <c r="A57" t="inlineStr">
        <is>
          <t>Depreciation And Amortization</t>
        </is>
      </c>
      <c r="B57" s="3" t="n">
        <v>141959000</v>
      </c>
      <c r="C57" s="3" t="n">
        <v>145485000</v>
      </c>
      <c r="D57" s="3" t="n">
        <v>81566000</v>
      </c>
      <c r="E57" s="3" t="n">
        <v>81347000</v>
      </c>
      <c r="F57" s="3" t="n"/>
    </row>
    <row r="58">
      <c r="A58" t="inlineStr">
        <is>
          <t>Amortization Cash Flow</t>
        </is>
      </c>
      <c r="B58" s="3" t="n">
        <v>79580000</v>
      </c>
      <c r="C58" s="3" t="n">
        <v>97266000</v>
      </c>
      <c r="D58" s="3" t="n">
        <v>43404000</v>
      </c>
      <c r="E58" s="3" t="n">
        <v>47795000</v>
      </c>
      <c r="F58" s="3" t="n"/>
    </row>
    <row r="59">
      <c r="A59" t="inlineStr">
        <is>
          <t>Amortization Of Intangibles</t>
        </is>
      </c>
      <c r="B59" s="3" t="n">
        <v>79580000</v>
      </c>
      <c r="C59" s="3" t="n">
        <v>97266000</v>
      </c>
      <c r="D59" s="3" t="n">
        <v>43404000</v>
      </c>
      <c r="E59" s="3" t="n">
        <v>47795000</v>
      </c>
      <c r="F59" s="3" t="n"/>
    </row>
    <row r="60">
      <c r="A60" t="inlineStr">
        <is>
          <t>Depreciation</t>
        </is>
      </c>
      <c r="B60" s="3" t="n">
        <v>62379000</v>
      </c>
      <c r="C60" s="3" t="n">
        <v>48219000</v>
      </c>
      <c r="D60" s="3" t="n">
        <v>38162000</v>
      </c>
      <c r="E60" s="3" t="n">
        <v>33552000</v>
      </c>
      <c r="F60" s="3" t="n"/>
    </row>
    <row r="61">
      <c r="A61" t="inlineStr">
        <is>
          <t>Operating Gains Losses</t>
        </is>
      </c>
      <c r="B61" s="3" t="n">
        <v>-1974000</v>
      </c>
      <c r="C61" s="3" t="n">
        <v>-3030000</v>
      </c>
      <c r="D61" s="3" t="n">
        <v>-2302000</v>
      </c>
      <c r="E61" s="3" t="n">
        <v>-1585000</v>
      </c>
      <c r="F61" s="3" t="n"/>
    </row>
    <row r="62">
      <c r="A62" t="inlineStr">
        <is>
          <t>Net Income From Continuing Operations</t>
        </is>
      </c>
      <c r="B62" s="3" t="n">
        <v>1022558000</v>
      </c>
      <c r="C62" s="3" t="n">
        <v>522433000</v>
      </c>
      <c r="D62" s="3" t="n">
        <v>323398000</v>
      </c>
      <c r="E62" s="3" t="n">
        <v>245947000</v>
      </c>
      <c r="F6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241355000</v>
      </c>
      <c r="C2" s="3" t="n">
        <v>402450000</v>
      </c>
      <c r="D2" s="3" t="n">
        <v>517939000</v>
      </c>
      <c r="E2" s="3" t="n">
        <v>221222000</v>
      </c>
      <c r="F2" s="3" t="n">
        <v>-110158000</v>
      </c>
      <c r="G2" s="3" t="n"/>
    </row>
    <row r="3">
      <c r="A3" t="inlineStr">
        <is>
          <t>Repurchase Of Capital Stock</t>
        </is>
      </c>
      <c r="B3" s="3" t="n">
        <v>-2548000</v>
      </c>
      <c r="C3" s="3" t="n">
        <v>-91573000</v>
      </c>
      <c r="D3" s="3" t="n">
        <v>-13136000</v>
      </c>
      <c r="E3" s="3" t="n">
        <v>-19921000</v>
      </c>
      <c r="F3" s="3" t="n">
        <v>-91369000</v>
      </c>
      <c r="G3" s="3" t="n"/>
    </row>
    <row r="4">
      <c r="A4" t="inlineStr">
        <is>
          <t>Repayment Of Debt</t>
        </is>
      </c>
      <c r="B4" s="3" t="n">
        <v>-106147000</v>
      </c>
      <c r="C4" s="3" t="n">
        <v>-22000</v>
      </c>
      <c r="D4" s="3" t="n">
        <v>-137022000</v>
      </c>
      <c r="E4" s="3" t="n">
        <v>-22000</v>
      </c>
      <c r="F4" s="3" t="n">
        <v>-5993000</v>
      </c>
      <c r="G4" s="3" t="n"/>
    </row>
    <row r="5">
      <c r="A5" t="inlineStr">
        <is>
          <t>Issuance Of Debt</t>
        </is>
      </c>
      <c r="B5" s="3" t="n"/>
      <c r="C5" s="3" t="n">
        <v>0</v>
      </c>
      <c r="D5" s="3" t="n">
        <v>200000000</v>
      </c>
      <c r="E5" s="3" t="n">
        <v>0</v>
      </c>
      <c r="F5" s="3" t="n">
        <v>0</v>
      </c>
      <c r="G5" s="3" t="n">
        <v>0</v>
      </c>
    </row>
    <row r="6">
      <c r="A6" t="inlineStr">
        <is>
          <t>Capital Expenditure</t>
        </is>
      </c>
      <c r="B6" s="3" t="n">
        <v>-147473000</v>
      </c>
      <c r="C6" s="3" t="n">
        <v>-66090000</v>
      </c>
      <c r="D6" s="3" t="n">
        <v>-35332000</v>
      </c>
      <c r="E6" s="3" t="n">
        <v>-31273000</v>
      </c>
      <c r="F6" s="3" t="n">
        <v>-22208000</v>
      </c>
      <c r="G6" s="3" t="n"/>
    </row>
    <row r="7">
      <c r="A7" t="inlineStr">
        <is>
          <t>End Cash Position</t>
        </is>
      </c>
      <c r="B7" s="3" t="n">
        <v>1050164000</v>
      </c>
      <c r="C7" s="3" t="n">
        <v>981898000</v>
      </c>
      <c r="D7" s="3" t="n">
        <v>860523000</v>
      </c>
      <c r="E7" s="3" t="n">
        <v>331710000</v>
      </c>
      <c r="F7" s="3" t="n">
        <v>204758000</v>
      </c>
      <c r="G7" s="3" t="n"/>
    </row>
    <row r="8">
      <c r="A8" t="inlineStr">
        <is>
          <t>Beginning Cash Position</t>
        </is>
      </c>
      <c r="B8" s="3" t="n">
        <v>981898000</v>
      </c>
      <c r="C8" s="3" t="n">
        <v>860523000</v>
      </c>
      <c r="D8" s="3" t="n">
        <v>331710000</v>
      </c>
      <c r="E8" s="3" t="n">
        <v>204758000</v>
      </c>
      <c r="F8" s="3" t="n">
        <v>549939000</v>
      </c>
      <c r="G8" s="3" t="n"/>
    </row>
    <row r="9">
      <c r="A9" t="inlineStr">
        <is>
          <t>Changes In Cash</t>
        </is>
      </c>
      <c r="B9" s="3" t="n">
        <v>68266000</v>
      </c>
      <c r="C9" s="3" t="n">
        <v>121375000</v>
      </c>
      <c r="D9" s="3" t="n">
        <v>528813000</v>
      </c>
      <c r="E9" s="3" t="n">
        <v>126952000</v>
      </c>
      <c r="F9" s="3" t="n">
        <v>-345181000</v>
      </c>
      <c r="G9" s="3" t="n"/>
    </row>
    <row r="10">
      <c r="A10" t="inlineStr">
        <is>
          <t>Financing Cash Flow</t>
        </is>
      </c>
      <c r="B10" s="3" t="n">
        <v>-136561000</v>
      </c>
      <c r="C10" s="3" t="n">
        <v>-115889000</v>
      </c>
      <c r="D10" s="3" t="n">
        <v>28550000</v>
      </c>
      <c r="E10" s="3" t="n">
        <v>-39338000</v>
      </c>
      <c r="F10" s="3" t="n">
        <v>-160448000</v>
      </c>
      <c r="G10" s="3" t="n"/>
    </row>
    <row r="11">
      <c r="A11" t="inlineStr">
        <is>
          <t>Cash Flow From Continuing Financing Activities</t>
        </is>
      </c>
      <c r="B11" s="3" t="n">
        <v>-136561000</v>
      </c>
      <c r="C11" s="3" t="n">
        <v>-115889000</v>
      </c>
      <c r="D11" s="3" t="n">
        <v>28550000</v>
      </c>
      <c r="E11" s="3" t="n">
        <v>-39338000</v>
      </c>
      <c r="F11" s="3" t="n">
        <v>-160448000</v>
      </c>
      <c r="G11" s="3" t="n"/>
    </row>
    <row r="12">
      <c r="A12" t="inlineStr">
        <is>
          <t>Net Other Financing Charges</t>
        </is>
      </c>
      <c r="B12" s="3" t="n">
        <v>-3626000</v>
      </c>
      <c r="C12" s="3" t="n">
        <v>-3135000</v>
      </c>
      <c r="D12" s="3" t="n">
        <v>-3991000</v>
      </c>
      <c r="E12" s="3" t="n">
        <v>-3977000</v>
      </c>
      <c r="F12" s="3" t="n">
        <v>-48924000</v>
      </c>
      <c r="G12" s="3" t="n"/>
    </row>
    <row r="13">
      <c r="A13" t="inlineStr">
        <is>
          <t>Proceeds From Stock Option Exercised</t>
        </is>
      </c>
      <c r="B13" s="3" t="n">
        <v>383000</v>
      </c>
      <c r="C13" s="3" t="n">
        <v>0</v>
      </c>
      <c r="D13" s="3" t="n">
        <v>340000</v>
      </c>
      <c r="E13" s="3" t="n">
        <v>453000</v>
      </c>
      <c r="F13" s="3" t="n">
        <v>0</v>
      </c>
      <c r="G13" s="3" t="n"/>
    </row>
    <row r="14">
      <c r="A14" t="inlineStr">
        <is>
          <t>Cash Dividends Paid</t>
        </is>
      </c>
      <c r="B14" s="3" t="n">
        <v>-24623000</v>
      </c>
      <c r="C14" s="3" t="n">
        <v>-21159000</v>
      </c>
      <c r="D14" s="3" t="n">
        <v>-17641000</v>
      </c>
      <c r="E14" s="3" t="n">
        <v>-15871000</v>
      </c>
      <c r="F14" s="3" t="n">
        <v>-14162000</v>
      </c>
      <c r="G14" s="3" t="n"/>
    </row>
    <row r="15">
      <c r="A15" t="inlineStr">
        <is>
          <t>Common Stock Dividend Paid</t>
        </is>
      </c>
      <c r="B15" s="3" t="n">
        <v>-24623000</v>
      </c>
      <c r="C15" s="3" t="n">
        <v>-21159000</v>
      </c>
      <c r="D15" s="3" t="n">
        <v>-17641000</v>
      </c>
      <c r="E15" s="3" t="n">
        <v>-15871000</v>
      </c>
      <c r="F15" s="3" t="n">
        <v>-14162000</v>
      </c>
      <c r="G15" s="3" t="n"/>
    </row>
    <row r="16">
      <c r="A16" t="inlineStr">
        <is>
          <t>Net Common Stock Issuance</t>
        </is>
      </c>
      <c r="B16" s="3" t="n">
        <v>-2548000</v>
      </c>
      <c r="C16" s="3" t="n">
        <v>-91573000</v>
      </c>
      <c r="D16" s="3" t="n">
        <v>-13136000</v>
      </c>
      <c r="E16" s="3" t="n">
        <v>-19921000</v>
      </c>
      <c r="F16" s="3" t="n">
        <v>-91369000</v>
      </c>
      <c r="G16" s="3" t="n"/>
    </row>
    <row r="17">
      <c r="A17" t="inlineStr">
        <is>
          <t>Common Stock Payments</t>
        </is>
      </c>
      <c r="B17" s="3" t="n">
        <v>-2548000</v>
      </c>
      <c r="C17" s="3" t="n">
        <v>-91573000</v>
      </c>
      <c r="D17" s="3" t="n">
        <v>-13136000</v>
      </c>
      <c r="E17" s="3" t="n">
        <v>-19921000</v>
      </c>
      <c r="F17" s="3" t="n">
        <v>-91369000</v>
      </c>
      <c r="G17" s="3" t="n"/>
    </row>
    <row r="18">
      <c r="A18" t="inlineStr">
        <is>
          <t>Net Issuance Payments Of Debt</t>
        </is>
      </c>
      <c r="B18" s="3" t="n">
        <v>-106147000</v>
      </c>
      <c r="C18" s="3" t="n">
        <v>-22000</v>
      </c>
      <c r="D18" s="3" t="n">
        <v>62978000</v>
      </c>
      <c r="E18" s="3" t="n">
        <v>-22000</v>
      </c>
      <c r="F18" s="3" t="n">
        <v>-5993000</v>
      </c>
      <c r="G18" s="3" t="n"/>
    </row>
    <row r="19">
      <c r="A19" t="inlineStr">
        <is>
          <t>Net Long Term Debt Issuance</t>
        </is>
      </c>
      <c r="B19" s="3" t="n">
        <v>-106147000</v>
      </c>
      <c r="C19" s="3" t="n">
        <v>-22000</v>
      </c>
      <c r="D19" s="3" t="n">
        <v>62978000</v>
      </c>
      <c r="E19" s="3" t="n">
        <v>-22000</v>
      </c>
      <c r="F19" s="3" t="n">
        <v>-5993000</v>
      </c>
      <c r="G19" s="3" t="n"/>
    </row>
    <row r="20">
      <c r="A20" t="inlineStr">
        <is>
          <t>Long Term Debt Payments</t>
        </is>
      </c>
      <c r="B20" s="3" t="n">
        <v>-106147000</v>
      </c>
      <c r="C20" s="3" t="n">
        <v>-22000</v>
      </c>
      <c r="D20" s="3" t="n">
        <v>-137022000</v>
      </c>
      <c r="E20" s="3" t="n">
        <v>-22000</v>
      </c>
      <c r="F20" s="3" t="n">
        <v>-5993000</v>
      </c>
      <c r="G20" s="3" t="n"/>
    </row>
    <row r="21">
      <c r="A21" t="inlineStr">
        <is>
          <t>Long Term Debt Issuance</t>
        </is>
      </c>
      <c r="B21" s="3" t="n"/>
      <c r="C21" s="3" t="n">
        <v>0</v>
      </c>
      <c r="D21" s="3" t="n">
        <v>200000000</v>
      </c>
      <c r="E21" s="3" t="n">
        <v>0</v>
      </c>
      <c r="F21" s="3" t="n">
        <v>0</v>
      </c>
      <c r="G21" s="3" t="n">
        <v>0</v>
      </c>
    </row>
    <row r="22">
      <c r="A22" t="inlineStr">
        <is>
          <t>Investing Cash Flow</t>
        </is>
      </c>
      <c r="B22" s="3" t="n">
        <v>-184001000</v>
      </c>
      <c r="C22" s="3" t="n">
        <v>-231276000</v>
      </c>
      <c r="D22" s="3" t="n">
        <v>-53008000</v>
      </c>
      <c r="E22" s="3" t="n">
        <v>-86205000</v>
      </c>
      <c r="F22" s="3" t="n">
        <v>-96783000</v>
      </c>
      <c r="G22" s="3" t="n"/>
    </row>
    <row r="23">
      <c r="A23" t="inlineStr">
        <is>
          <t>Cash Flow From Continuing Investing Activities</t>
        </is>
      </c>
      <c r="B23" s="3" t="n">
        <v>-184001000</v>
      </c>
      <c r="C23" s="3" t="n">
        <v>-231276000</v>
      </c>
      <c r="D23" s="3" t="n">
        <v>-53008000</v>
      </c>
      <c r="E23" s="3" t="n">
        <v>-86205000</v>
      </c>
      <c r="F23" s="3" t="n">
        <v>-96783000</v>
      </c>
      <c r="G23" s="3" t="n"/>
    </row>
    <row r="24">
      <c r="A24" t="inlineStr">
        <is>
          <t>Net Investment Purchase And Sale</t>
        </is>
      </c>
      <c r="B24" s="3" t="n">
        <v>-31305000</v>
      </c>
      <c r="C24" s="3" t="n">
        <v>-14713000</v>
      </c>
      <c r="D24" s="3" t="n">
        <v>-14263000</v>
      </c>
      <c r="E24" s="3" t="n">
        <v>-220000</v>
      </c>
      <c r="F24" s="3" t="n">
        <v>-7258000</v>
      </c>
      <c r="G24" s="3" t="n"/>
    </row>
    <row r="25">
      <c r="A25" t="inlineStr">
        <is>
          <t>Sale Of Investment</t>
        </is>
      </c>
      <c r="B25" s="3" t="n">
        <v>13766000</v>
      </c>
      <c r="C25" s="3" t="n">
        <v>20489000</v>
      </c>
      <c r="D25" s="3" t="n"/>
      <c r="E25" s="3" t="n"/>
      <c r="F25" s="3" t="n">
        <v>0</v>
      </c>
      <c r="G25" s="3" t="n"/>
    </row>
    <row r="26">
      <c r="A26" t="inlineStr">
        <is>
          <t>Purchase Of Investment</t>
        </is>
      </c>
      <c r="B26" s="3" t="n">
        <v>-45071000</v>
      </c>
      <c r="C26" s="3" t="n">
        <v>-35202000</v>
      </c>
      <c r="D26" s="3" t="n">
        <v>-21521000</v>
      </c>
      <c r="E26" s="3" t="n">
        <v>-220000</v>
      </c>
      <c r="F26" s="3" t="n">
        <v>-7258000</v>
      </c>
      <c r="G26" s="3" t="n"/>
    </row>
    <row r="27">
      <c r="A27" t="inlineStr">
        <is>
          <t>Net Business Purchase And Sale</t>
        </is>
      </c>
      <c r="B27" s="3" t="n">
        <v>-6097000</v>
      </c>
      <c r="C27" s="3" t="n">
        <v>-151016000</v>
      </c>
      <c r="D27" s="3" t="n">
        <v>-4501000</v>
      </c>
      <c r="E27" s="3" t="n">
        <v>-55681000</v>
      </c>
      <c r="F27" s="3" t="n">
        <v>-68412000</v>
      </c>
      <c r="G27" s="3" t="n"/>
    </row>
    <row r="28">
      <c r="A28" t="inlineStr">
        <is>
          <t>Purchase Of Business</t>
        </is>
      </c>
      <c r="B28" s="3" t="n">
        <v>-6097000</v>
      </c>
      <c r="C28" s="3" t="n">
        <v>-151016000</v>
      </c>
      <c r="D28" s="3" t="n">
        <v>-4501000</v>
      </c>
      <c r="E28" s="3" t="n">
        <v>-55681000</v>
      </c>
      <c r="F28" s="3" t="n">
        <v>-68412000</v>
      </c>
      <c r="G28" s="3" t="n"/>
    </row>
    <row r="29">
      <c r="A29" t="inlineStr">
        <is>
          <t>Net PPE Purchase And Sale</t>
        </is>
      </c>
      <c r="B29" s="3" t="n">
        <v>-146599000</v>
      </c>
      <c r="C29" s="3" t="n">
        <v>-65547000</v>
      </c>
      <c r="D29" s="3" t="n">
        <v>-34244000</v>
      </c>
      <c r="E29" s="3" t="n">
        <v>-30304000</v>
      </c>
      <c r="F29" s="3" t="n">
        <v>-21113000</v>
      </c>
      <c r="G29" s="3" t="n"/>
    </row>
    <row r="30">
      <c r="A30" t="inlineStr">
        <is>
          <t>Sale Of PPE</t>
        </is>
      </c>
      <c r="B30" s="3" t="n">
        <v>874000</v>
      </c>
      <c r="C30" s="3" t="n">
        <v>543000</v>
      </c>
      <c r="D30" s="3" t="n">
        <v>1088000</v>
      </c>
      <c r="E30" s="3" t="n">
        <v>969000</v>
      </c>
      <c r="F30" s="3" t="n">
        <v>1095000</v>
      </c>
      <c r="G30" s="3" t="n"/>
    </row>
    <row r="31">
      <c r="A31" t="inlineStr">
        <is>
          <t>Purchase Of PPE</t>
        </is>
      </c>
      <c r="B31" s="3" t="n">
        <v>-147473000</v>
      </c>
      <c r="C31" s="3" t="n">
        <v>-66090000</v>
      </c>
      <c r="D31" s="3" t="n">
        <v>-35332000</v>
      </c>
      <c r="E31" s="3" t="n">
        <v>-31273000</v>
      </c>
      <c r="F31" s="3" t="n">
        <v>-22208000</v>
      </c>
      <c r="G31" s="3" t="n"/>
    </row>
    <row r="32">
      <c r="A32" t="inlineStr">
        <is>
          <t>Operating Cash Flow</t>
        </is>
      </c>
      <c r="B32" s="3" t="n">
        <v>388828000</v>
      </c>
      <c r="C32" s="3" t="n">
        <v>468540000</v>
      </c>
      <c r="D32" s="3" t="n">
        <v>553271000</v>
      </c>
      <c r="E32" s="3" t="n">
        <v>252495000</v>
      </c>
      <c r="F32" s="3" t="n">
        <v>-87950000</v>
      </c>
      <c r="G32" s="3" t="n"/>
    </row>
    <row r="33">
      <c r="A33" t="inlineStr">
        <is>
          <t>Cash Flow From Continuing Operating Activities</t>
        </is>
      </c>
      <c r="B33" s="3" t="n">
        <v>388828000</v>
      </c>
      <c r="C33" s="3" t="n">
        <v>468540000</v>
      </c>
      <c r="D33" s="3" t="n">
        <v>553271000</v>
      </c>
      <c r="E33" s="3" t="n">
        <v>252495000</v>
      </c>
      <c r="F33" s="3" t="n">
        <v>-87950000</v>
      </c>
      <c r="G33" s="3" t="n"/>
    </row>
    <row r="34">
      <c r="A34" t="inlineStr">
        <is>
          <t>Change In Working Capital</t>
        </is>
      </c>
      <c r="B34" s="3" t="n">
        <v>-64678000</v>
      </c>
      <c r="C34" s="3" t="n">
        <v>81190000</v>
      </c>
      <c r="D34" s="3" t="n">
        <v>194626000</v>
      </c>
      <c r="E34" s="3" t="n">
        <v>-29641000</v>
      </c>
      <c r="F34" s="3" t="n">
        <v>-313842000</v>
      </c>
      <c r="G34" s="3" t="n"/>
    </row>
    <row r="35">
      <c r="A35" t="inlineStr">
        <is>
          <t>Change In Other Working Capital</t>
        </is>
      </c>
      <c r="B35" s="3" t="n">
        <v>225017000</v>
      </c>
      <c r="C35" s="3" t="n">
        <v>345338000</v>
      </c>
      <c r="D35" s="3" t="n">
        <v>187966000</v>
      </c>
      <c r="E35" s="3" t="n">
        <v>273717000</v>
      </c>
      <c r="F35" s="3" t="n">
        <v>103063000</v>
      </c>
      <c r="G35" s="3" t="n"/>
    </row>
    <row r="36">
      <c r="A36" t="inlineStr">
        <is>
          <t>Change In Other Current Liabilities</t>
        </is>
      </c>
      <c r="B36" s="3" t="n">
        <v>-1121000</v>
      </c>
      <c r="C36" s="3" t="n">
        <v>16011000</v>
      </c>
      <c r="D36" s="3" t="n">
        <v>2106000</v>
      </c>
      <c r="E36" s="3" t="n">
        <v>7312000</v>
      </c>
      <c r="F36" s="3" t="n">
        <v>3270000</v>
      </c>
      <c r="G36" s="3" t="n"/>
    </row>
    <row r="37">
      <c r="A37" t="inlineStr">
        <is>
          <t>Change In Other Current Assets</t>
        </is>
      </c>
      <c r="B37" s="3" t="n">
        <v>-597000</v>
      </c>
      <c r="C37" s="3" t="n">
        <v>181000</v>
      </c>
      <c r="D37" s="3" t="n">
        <v>-702000</v>
      </c>
      <c r="E37" s="3" t="n">
        <v>111000</v>
      </c>
      <c r="F37" s="3" t="n">
        <v>24000</v>
      </c>
      <c r="G37" s="3" t="n"/>
    </row>
    <row r="38">
      <c r="A38" t="inlineStr">
        <is>
          <t>Change In Payables And Accrued Expense</t>
        </is>
      </c>
      <c r="B38" s="3" t="n">
        <v>4879000</v>
      </c>
      <c r="C38" s="3" t="n">
        <v>-81336000</v>
      </c>
      <c r="D38" s="3" t="n">
        <v>125415000</v>
      </c>
      <c r="E38" s="3" t="n">
        <v>-7631000</v>
      </c>
      <c r="F38" s="3" t="n">
        <v>-312499000</v>
      </c>
      <c r="G38" s="3" t="n"/>
    </row>
    <row r="39">
      <c r="A39" t="inlineStr">
        <is>
          <t>Change In Payable</t>
        </is>
      </c>
      <c r="B39" s="3" t="n">
        <v>4879000</v>
      </c>
      <c r="C39" s="3" t="n"/>
      <c r="D39" s="3" t="n"/>
      <c r="E39" s="3" t="n">
        <v>-7631000</v>
      </c>
      <c r="F39" s="3" t="n">
        <v>-312499000</v>
      </c>
      <c r="G39" s="3" t="n"/>
    </row>
    <row r="40">
      <c r="A40" t="inlineStr">
        <is>
          <t>Change In Account Payable</t>
        </is>
      </c>
      <c r="B40" s="3" t="n">
        <v>4879000</v>
      </c>
      <c r="C40" s="3" t="n"/>
      <c r="D40" s="3" t="n"/>
      <c r="E40" s="3" t="n">
        <v>-7631000</v>
      </c>
      <c r="F40" s="3" t="n">
        <v>-312499000</v>
      </c>
      <c r="G40" s="3" t="n"/>
    </row>
    <row r="41">
      <c r="A41" t="inlineStr">
        <is>
          <t>Change In Prepaid Assets</t>
        </is>
      </c>
      <c r="B41" s="3" t="n">
        <v>-15666000</v>
      </c>
      <c r="C41" s="3" t="n">
        <v>-78131000</v>
      </c>
      <c r="D41" s="3" t="n">
        <v>-17045000</v>
      </c>
      <c r="E41" s="3" t="n">
        <v>5861000</v>
      </c>
      <c r="F41" s="3" t="n">
        <v>-2044000</v>
      </c>
      <c r="G41" s="3" t="n"/>
    </row>
    <row r="42">
      <c r="A42" t="inlineStr">
        <is>
          <t>Change In Inventory</t>
        </is>
      </c>
      <c r="B42" s="3" t="n">
        <v>-9881000</v>
      </c>
      <c r="C42" s="3" t="n">
        <v>-4893000</v>
      </c>
      <c r="D42" s="3" t="n">
        <v>-8098000</v>
      </c>
      <c r="E42" s="3" t="n">
        <v>-7599000</v>
      </c>
      <c r="F42" s="3" t="n">
        <v>-3821000</v>
      </c>
      <c r="G42" s="3" t="n"/>
    </row>
    <row r="43">
      <c r="A43" t="inlineStr">
        <is>
          <t>Change In Receivables</t>
        </is>
      </c>
      <c r="B43" s="3" t="n">
        <v>-267309000</v>
      </c>
      <c r="C43" s="3" t="n">
        <v>-115980000</v>
      </c>
      <c r="D43" s="3" t="n">
        <v>-95016000</v>
      </c>
      <c r="E43" s="3" t="n">
        <v>-301412000</v>
      </c>
      <c r="F43" s="3" t="n">
        <v>-101835000</v>
      </c>
      <c r="G43" s="3" t="n"/>
    </row>
    <row r="44">
      <c r="A44" t="inlineStr">
        <is>
          <t>Changes In Account Receivables</t>
        </is>
      </c>
      <c r="B44" s="3" t="n">
        <v>-214734000</v>
      </c>
      <c r="C44" s="3" t="n">
        <v>-215654000</v>
      </c>
      <c r="D44" s="3" t="n">
        <v>-138964000</v>
      </c>
      <c r="E44" s="3" t="n">
        <v>-287945000</v>
      </c>
      <c r="F44" s="3" t="n">
        <v>48265000</v>
      </c>
      <c r="G44" s="3" t="n"/>
    </row>
    <row r="45">
      <c r="A45" t="inlineStr">
        <is>
          <t>Other Non Cash Items</t>
        </is>
      </c>
      <c r="B45" s="3" t="n">
        <v>23270000</v>
      </c>
      <c r="C45" s="3" t="n">
        <v>25084000</v>
      </c>
      <c r="D45" s="3" t="n">
        <v>20116000</v>
      </c>
      <c r="E45" s="3" t="n">
        <v>11554000</v>
      </c>
      <c r="F45" s="3" t="n">
        <v>11585000</v>
      </c>
      <c r="G45" s="3" t="n"/>
    </row>
    <row r="46">
      <c r="A46" t="inlineStr">
        <is>
          <t>Stock Based Compensation</t>
        </is>
      </c>
      <c r="B46" s="3" t="n">
        <v>19406000</v>
      </c>
      <c r="C46" s="3" t="n">
        <v>6063000</v>
      </c>
      <c r="D46" s="3" t="n">
        <v>3553000</v>
      </c>
      <c r="E46" s="3" t="n">
        <v>4156000</v>
      </c>
      <c r="F46" s="3" t="n">
        <v>8037000</v>
      </c>
      <c r="G46" s="3" t="n"/>
    </row>
    <row r="47">
      <c r="A47" t="inlineStr">
        <is>
          <t>Asset Impairment Charge</t>
        </is>
      </c>
      <c r="B47" s="3" t="n">
        <v>838000</v>
      </c>
      <c r="C47" s="3" t="n">
        <v>992000</v>
      </c>
      <c r="D47" s="3" t="n">
        <v>1929000</v>
      </c>
      <c r="E47" s="3" t="n">
        <v>2308000</v>
      </c>
      <c r="F47" s="3" t="n">
        <v>1380000</v>
      </c>
      <c r="G47" s="3" t="n"/>
    </row>
    <row r="48">
      <c r="A48" t="inlineStr">
        <is>
          <t>Deferred Tax</t>
        </is>
      </c>
      <c r="B48" s="3" t="n">
        <v>956000</v>
      </c>
      <c r="C48" s="3" t="n">
        <v>-12814000</v>
      </c>
      <c r="D48" s="3" t="n">
        <v>6440000</v>
      </c>
      <c r="E48" s="3" t="n">
        <v>-935000</v>
      </c>
      <c r="F48" s="3" t="n">
        <v>2032000</v>
      </c>
      <c r="G48" s="3" t="n"/>
    </row>
    <row r="49">
      <c r="A49" t="inlineStr">
        <is>
          <t>Deferred Income Tax</t>
        </is>
      </c>
      <c r="B49" s="3" t="n">
        <v>956000</v>
      </c>
      <c r="C49" s="3" t="n">
        <v>-12814000</v>
      </c>
      <c r="D49" s="3" t="n">
        <v>6440000</v>
      </c>
      <c r="E49" s="3" t="n">
        <v>-935000</v>
      </c>
      <c r="F49" s="3" t="n">
        <v>2032000</v>
      </c>
      <c r="G49" s="3" t="n"/>
    </row>
    <row r="50">
      <c r="A50" t="inlineStr">
        <is>
          <t>Depreciation Amortization Depletion</t>
        </is>
      </c>
      <c r="B50" s="3" t="n">
        <v>38960000</v>
      </c>
      <c r="C50" s="3" t="n">
        <v>37613000</v>
      </c>
      <c r="D50" s="3" t="n">
        <v>35574000</v>
      </c>
      <c r="E50" s="3" t="n">
        <v>34647000</v>
      </c>
      <c r="F50" s="3" t="n">
        <v>34125000</v>
      </c>
      <c r="G50" s="3" t="n"/>
    </row>
    <row r="51">
      <c r="A51" t="inlineStr">
        <is>
          <t>Depreciation And Amortization</t>
        </is>
      </c>
      <c r="B51" s="3" t="n">
        <v>38960000</v>
      </c>
      <c r="C51" s="3" t="n">
        <v>37613000</v>
      </c>
      <c r="D51" s="3" t="n">
        <v>35574000</v>
      </c>
      <c r="E51" s="3" t="n">
        <v>34647000</v>
      </c>
      <c r="F51" s="3" t="n">
        <v>34125000</v>
      </c>
      <c r="G51" s="3" t="n"/>
    </row>
    <row r="52">
      <c r="A52" t="inlineStr">
        <is>
          <t>Amortization Cash Flow</t>
        </is>
      </c>
      <c r="B52" s="3" t="n">
        <v>20394000</v>
      </c>
      <c r="C52" s="3" t="n">
        <v>20148000</v>
      </c>
      <c r="D52" s="3" t="n">
        <v>19526000</v>
      </c>
      <c r="E52" s="3" t="n">
        <v>19791000</v>
      </c>
      <c r="F52" s="3" t="n">
        <v>20115000</v>
      </c>
      <c r="G52" s="3" t="n"/>
    </row>
    <row r="53">
      <c r="A53" t="inlineStr">
        <is>
          <t>Amortization Of Intangibles</t>
        </is>
      </c>
      <c r="B53" s="3" t="n">
        <v>20394000</v>
      </c>
      <c r="C53" s="3" t="n">
        <v>20148000</v>
      </c>
      <c r="D53" s="3" t="n">
        <v>19526000</v>
      </c>
      <c r="E53" s="3" t="n">
        <v>19791000</v>
      </c>
      <c r="F53" s="3" t="n">
        <v>20115000</v>
      </c>
      <c r="G53" s="3" t="n"/>
    </row>
    <row r="54">
      <c r="A54" t="inlineStr">
        <is>
          <t>Depreciation</t>
        </is>
      </c>
      <c r="B54" s="3" t="n">
        <v>18566000</v>
      </c>
      <c r="C54" s="3" t="n">
        <v>17465000</v>
      </c>
      <c r="D54" s="3" t="n">
        <v>16048000</v>
      </c>
      <c r="E54" s="3" t="n">
        <v>14856000</v>
      </c>
      <c r="F54" s="3" t="n">
        <v>14010000</v>
      </c>
      <c r="G54" s="3" t="n"/>
    </row>
    <row r="55">
      <c r="A55" t="inlineStr">
        <is>
          <t>Operating Gains Losses</t>
        </is>
      </c>
      <c r="B55" s="3" t="n">
        <v>-302000</v>
      </c>
      <c r="C55" s="3" t="n">
        <v>-394000</v>
      </c>
      <c r="D55" s="3" t="n">
        <v>-582000</v>
      </c>
      <c r="E55" s="3" t="n">
        <v>-442000</v>
      </c>
      <c r="F55" s="3" t="n">
        <v>-556000</v>
      </c>
      <c r="G55" s="3" t="n"/>
    </row>
    <row r="56">
      <c r="A56" t="inlineStr">
        <is>
          <t>Net Income From Continuing Operations</t>
        </is>
      </c>
      <c r="B56" s="3" t="n">
        <v>370378000</v>
      </c>
      <c r="C56" s="3" t="n">
        <v>330806000</v>
      </c>
      <c r="D56" s="3" t="n">
        <v>291615000</v>
      </c>
      <c r="E56" s="3" t="n">
        <v>230848000</v>
      </c>
      <c r="F56" s="3" t="n">
        <v>169289000</v>
      </c>
      <c r="G56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2026-06-20T19:56:48Z</dcterms:created>
  <dcterms:modified xsi:type="dcterms:W3CDTF">2026-06-20T19:56:49Z</dcterms:modified>
</cp:coreProperties>
</file>