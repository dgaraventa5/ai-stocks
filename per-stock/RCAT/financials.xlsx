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RCAT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Red Cat Holdings,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Aerospace &amp; Defense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1146007808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806124992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-20.916666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21.000692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0.07493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-1.76472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-1.3836399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-0.56421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8.491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131919000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13794000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-118329000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152192265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7.53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2023-04-30</t>
        </is>
      </c>
      <c r="C2" t="inlineStr">
        <is>
          <t>2024-04-30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(annual)'!D52</f>
        <v/>
      </c>
      <c r="C3" s="3">
        <f>'Income stmt (annual)'!C52</f>
        <v/>
      </c>
      <c r="D3" s="3">
        <f>'Income stmt (annual)'!B52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(annual)'!D50</f>
        <v/>
      </c>
      <c r="C4" s="3">
        <f>'Income stmt (annual)'!C50</f>
        <v/>
      </c>
      <c r="D4" s="3">
        <f>'Income stmt (annual)'!B50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2024-04-30</t>
        </is>
      </c>
      <c r="D1" s="1" t="inlineStr">
        <is>
          <t>2023-04-30</t>
        </is>
      </c>
      <c r="E1" s="1" t="inlineStr">
        <is>
          <t>2022-04-30</t>
        </is>
      </c>
    </row>
    <row r="2">
      <c r="A2" t="inlineStr">
        <is>
          <t>Tax Effect Of Unusual Items</t>
        </is>
      </c>
      <c r="B2" s="3" t="n">
        <v>674310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0.21</v>
      </c>
      <c r="C3" s="3" t="n">
        <v>0</v>
      </c>
      <c r="D3" s="3" t="n">
        <v>0</v>
      </c>
      <c r="E3" s="3" t="n">
        <v>0</v>
      </c>
    </row>
    <row r="4">
      <c r="A4" t="inlineStr">
        <is>
          <t>Normalized EBITDA</t>
        </is>
      </c>
      <c r="B4" s="3" t="n">
        <v>-67543000</v>
      </c>
      <c r="C4" s="3" t="n">
        <v>-15339000</v>
      </c>
      <c r="D4" s="3" t="n">
        <v>-19800718</v>
      </c>
      <c r="E4" s="3" t="n">
        <v>-12674499</v>
      </c>
    </row>
    <row r="5">
      <c r="A5" t="inlineStr">
        <is>
          <t>Total Unusual Items</t>
        </is>
      </c>
      <c r="B5" s="3" t="n">
        <v>3211000</v>
      </c>
      <c r="C5" s="3" t="n">
        <v>-2124000</v>
      </c>
      <c r="D5" s="3" t="n">
        <v>-2744120</v>
      </c>
      <c r="E5" s="3" t="n">
        <v>1397898</v>
      </c>
    </row>
    <row r="6">
      <c r="A6" t="inlineStr">
        <is>
          <t>Total Unusual Items Excluding Goodwill</t>
        </is>
      </c>
      <c r="B6" s="3" t="n">
        <v>3211000</v>
      </c>
      <c r="C6" s="3" t="n">
        <v>-2124000</v>
      </c>
      <c r="D6" s="3" t="n">
        <v>-2744120</v>
      </c>
      <c r="E6" s="3" t="n">
        <v>1397898</v>
      </c>
    </row>
    <row r="7">
      <c r="A7" t="inlineStr">
        <is>
          <t>Net Income From Continuing Operation Net Minority Interest</t>
        </is>
      </c>
      <c r="B7" s="3" t="n">
        <v>-72075000</v>
      </c>
      <c r="C7" s="3" t="n">
        <v>-21527000</v>
      </c>
      <c r="D7" s="3" t="n">
        <v>-26376643</v>
      </c>
      <c r="E7" s="3" t="n">
        <v>-11689128</v>
      </c>
    </row>
    <row r="8">
      <c r="A8" t="inlineStr">
        <is>
          <t>Reconciled Depreciation</t>
        </is>
      </c>
      <c r="B8" s="3" t="n">
        <v>2265000</v>
      </c>
      <c r="C8" s="3" t="n">
        <v>1423000</v>
      </c>
      <c r="D8" s="3" t="n">
        <v>966072</v>
      </c>
      <c r="E8" s="3" t="n">
        <v>264803</v>
      </c>
    </row>
    <row r="9">
      <c r="A9" t="inlineStr">
        <is>
          <t>Reconciled Cost Of Revenue</t>
        </is>
      </c>
      <c r="B9" s="3" t="n">
        <v>39455000</v>
      </c>
      <c r="C9" s="3" t="n">
        <v>14155000</v>
      </c>
      <c r="D9" s="3" t="n">
        <v>5455145</v>
      </c>
      <c r="E9" s="3" t="n">
        <v>5503448</v>
      </c>
    </row>
    <row r="10">
      <c r="A10" t="inlineStr">
        <is>
          <t>EBITDA</t>
        </is>
      </c>
      <c r="B10" s="3" t="n">
        <v>-64332000</v>
      </c>
      <c r="C10" s="3" t="n">
        <v>-17463000</v>
      </c>
      <c r="D10" s="3" t="n">
        <v>-22544838</v>
      </c>
      <c r="E10" s="3" t="n">
        <v>-11276601</v>
      </c>
    </row>
    <row r="11">
      <c r="A11" t="inlineStr">
        <is>
          <t>EBIT</t>
        </is>
      </c>
      <c r="B11" s="3" t="n">
        <v>-66597000</v>
      </c>
      <c r="C11" s="3" t="n">
        <v>-18886000</v>
      </c>
      <c r="D11" s="3" t="n">
        <v>-23510910</v>
      </c>
      <c r="E11" s="3" t="n">
        <v>-11541404</v>
      </c>
    </row>
    <row r="12">
      <c r="A12" t="inlineStr">
        <is>
          <t>Net Interest Income</t>
        </is>
      </c>
      <c r="B12" s="3" t="n">
        <v>2711000</v>
      </c>
      <c r="C12" s="3" t="n">
        <v>-69000</v>
      </c>
      <c r="D12" s="3" t="n">
        <v>-122004</v>
      </c>
      <c r="E12" s="3" t="n">
        <v>-147724</v>
      </c>
    </row>
    <row r="13">
      <c r="A13" t="inlineStr">
        <is>
          <t>Interest Expense</t>
        </is>
      </c>
      <c r="B13" s="3" t="n"/>
      <c r="C13" s="3" t="n">
        <v>68609</v>
      </c>
      <c r="D13" s="3" t="n">
        <v>122004</v>
      </c>
      <c r="E13" s="3" t="n">
        <v>147724</v>
      </c>
    </row>
    <row r="14">
      <c r="A14" t="inlineStr">
        <is>
          <t>Normalized Income</t>
        </is>
      </c>
      <c r="B14" s="3" t="n">
        <v>-74611690</v>
      </c>
      <c r="C14" s="3" t="n">
        <v>-19403000</v>
      </c>
      <c r="D14" s="3" t="n">
        <v>-23632523</v>
      </c>
      <c r="E14" s="3" t="n">
        <v>-13087026</v>
      </c>
    </row>
    <row r="15">
      <c r="A15" t="inlineStr">
        <is>
          <t>Net Income From Continuing And Discontinued Operation</t>
        </is>
      </c>
      <c r="B15" s="3" t="n">
        <v>-72075000</v>
      </c>
      <c r="C15" s="3" t="n">
        <v>-24053000</v>
      </c>
      <c r="D15" s="3" t="n">
        <v>-28107029</v>
      </c>
      <c r="E15" s="3" t="n">
        <v>-11689128</v>
      </c>
    </row>
    <row r="16">
      <c r="A16" t="inlineStr">
        <is>
          <t>Total Expenses</t>
        </is>
      </c>
      <c r="B16" s="3" t="n">
        <v>107326000</v>
      </c>
      <c r="C16" s="3" t="n">
        <v>36722000</v>
      </c>
      <c r="D16" s="3" t="n">
        <v>28131744</v>
      </c>
      <c r="E16" s="3" t="n">
        <v>19431249</v>
      </c>
    </row>
    <row r="17">
      <c r="A17" t="inlineStr">
        <is>
          <t>Total Operating Income As Reported</t>
        </is>
      </c>
      <c r="B17" s="3" t="n">
        <v>-66597000</v>
      </c>
      <c r="C17" s="3" t="n">
        <v>-19299000</v>
      </c>
      <c r="D17" s="3" t="n">
        <v>-26337828</v>
      </c>
      <c r="E17" s="3" t="n">
        <v>-13002286</v>
      </c>
    </row>
    <row r="18">
      <c r="A18" t="inlineStr">
        <is>
          <t>Diluted Average Shares</t>
        </is>
      </c>
      <c r="B18" s="3" t="n">
        <v>98957000</v>
      </c>
      <c r="C18" s="3" t="n">
        <v>60119000</v>
      </c>
      <c r="D18" s="3" t="n">
        <v>53860199</v>
      </c>
      <c r="E18" s="3" t="n">
        <v>48220265</v>
      </c>
    </row>
    <row r="19">
      <c r="A19" t="inlineStr">
        <is>
          <t>Basic Average Shares</t>
        </is>
      </c>
      <c r="B19" s="3" t="n">
        <v>98957000</v>
      </c>
      <c r="C19" s="3" t="n">
        <v>60119000</v>
      </c>
      <c r="D19" s="3" t="n">
        <v>53860199</v>
      </c>
      <c r="E19" s="3" t="n">
        <v>48220265</v>
      </c>
    </row>
    <row r="20">
      <c r="A20" t="inlineStr">
        <is>
          <t>Diluted EPS</t>
        </is>
      </c>
      <c r="B20" s="3" t="n">
        <v>-0.73</v>
      </c>
      <c r="C20" s="3" t="n">
        <v>-0.4</v>
      </c>
      <c r="D20" s="3" t="n">
        <v>-0.52</v>
      </c>
      <c r="E20" s="3" t="n">
        <v>-0.24</v>
      </c>
    </row>
    <row r="21">
      <c r="A21" t="inlineStr">
        <is>
          <t>Basic EPS</t>
        </is>
      </c>
      <c r="B21" s="3" t="n">
        <v>-0.73</v>
      </c>
      <c r="C21" s="3" t="n">
        <v>-0.4</v>
      </c>
      <c r="D21" s="3" t="n">
        <v>-0.52</v>
      </c>
      <c r="E21" s="3" t="n">
        <v>-0.24</v>
      </c>
    </row>
    <row r="22">
      <c r="A22" t="inlineStr">
        <is>
          <t>Diluted NI Availto Com Stockholders</t>
        </is>
      </c>
      <c r="B22" s="3" t="n">
        <v>-72075000</v>
      </c>
      <c r="C22" s="3" t="n">
        <v>-24053000</v>
      </c>
      <c r="D22" s="3" t="n">
        <v>-28107029</v>
      </c>
      <c r="E22" s="3" t="n">
        <v>-11689128</v>
      </c>
    </row>
    <row r="23">
      <c r="A23" t="inlineStr">
        <is>
          <t>Net Income Common Stockholders</t>
        </is>
      </c>
      <c r="B23" s="3" t="n">
        <v>-72075000</v>
      </c>
      <c r="C23" s="3" t="n">
        <v>-24053000</v>
      </c>
      <c r="D23" s="3" t="n">
        <v>-28107029</v>
      </c>
      <c r="E23" s="3" t="n">
        <v>-11689128</v>
      </c>
    </row>
    <row r="24">
      <c r="A24" t="inlineStr">
        <is>
          <t>Net Income</t>
        </is>
      </c>
      <c r="B24" s="3" t="n">
        <v>-72075000</v>
      </c>
      <c r="C24" s="3" t="n">
        <v>-24053000</v>
      </c>
      <c r="D24" s="3" t="n">
        <v>-28107029</v>
      </c>
      <c r="E24" s="3" t="n">
        <v>-11689128</v>
      </c>
    </row>
    <row r="25">
      <c r="A25" t="inlineStr">
        <is>
          <t>Net Income Including Noncontrolling Interests</t>
        </is>
      </c>
      <c r="B25" s="3" t="n">
        <v>-72075000</v>
      </c>
      <c r="C25" s="3" t="n">
        <v>-24053000</v>
      </c>
      <c r="D25" s="3" t="n">
        <v>-28107029</v>
      </c>
      <c r="E25" s="3" t="n">
        <v>-11689128</v>
      </c>
    </row>
    <row r="26">
      <c r="A26" t="inlineStr">
        <is>
          <t>Net Income Discontinuous Operations</t>
        </is>
      </c>
      <c r="B26" s="3" t="n">
        <v>0</v>
      </c>
      <c r="C26" s="3" t="n">
        <v>-2526000</v>
      </c>
      <c r="D26" s="3" t="n">
        <v>-1730386</v>
      </c>
      <c r="E26" s="3" t="n"/>
    </row>
    <row r="27">
      <c r="A27" t="inlineStr">
        <is>
          <t>Net Income Continuous Operations</t>
        </is>
      </c>
      <c r="B27" s="3" t="n">
        <v>-72075000</v>
      </c>
      <c r="C27" s="3" t="n">
        <v>-21527000</v>
      </c>
      <c r="D27" s="3" t="n">
        <v>-26376643</v>
      </c>
      <c r="E27" s="3" t="n">
        <v>-11689128</v>
      </c>
    </row>
    <row r="28">
      <c r="A28" t="inlineStr">
        <is>
          <t>Tax Provision</t>
        </is>
      </c>
      <c r="B28" s="3" t="n">
        <v>443000</v>
      </c>
      <c r="C28" s="3" t="n">
        <v>0</v>
      </c>
      <c r="D28" s="3" t="n"/>
      <c r="E28" s="3" t="n"/>
    </row>
    <row r="29">
      <c r="A29" t="inlineStr">
        <is>
          <t>Pretax Income</t>
        </is>
      </c>
      <c r="B29" s="3" t="n">
        <v>-71632000</v>
      </c>
      <c r="C29" s="3" t="n">
        <v>-21527000</v>
      </c>
      <c r="D29" s="3" t="n">
        <v>-26376643</v>
      </c>
      <c r="E29" s="3" t="n">
        <v>-11689128</v>
      </c>
    </row>
    <row r="30">
      <c r="A30" t="inlineStr">
        <is>
          <t>Other Income Expense</t>
        </is>
      </c>
      <c r="B30" s="3" t="n">
        <v>-7746000</v>
      </c>
      <c r="C30" s="3" t="n">
        <v>-2572000</v>
      </c>
      <c r="D30" s="3" t="n">
        <v>-2743729</v>
      </c>
      <c r="E30" s="3" t="n">
        <v>1460882</v>
      </c>
    </row>
    <row r="31">
      <c r="A31" t="inlineStr">
        <is>
          <t>Other Non Operating Income Expenses</t>
        </is>
      </c>
      <c r="B31" s="3" t="n">
        <v>-10957000</v>
      </c>
      <c r="C31" s="3" t="n">
        <v>56000</v>
      </c>
      <c r="D31" s="3" t="n">
        <v>391</v>
      </c>
      <c r="E31" s="3" t="n">
        <v>62984</v>
      </c>
    </row>
    <row r="32">
      <c r="A32" t="inlineStr">
        <is>
          <t>Special Income Charges</t>
        </is>
      </c>
      <c r="B32" s="3" t="n">
        <v>3211000</v>
      </c>
      <c r="C32" s="3" t="n">
        <v>-2124000</v>
      </c>
      <c r="D32" s="3" t="n">
        <v>-2826918</v>
      </c>
      <c r="E32" s="3" t="n">
        <v>0</v>
      </c>
    </row>
    <row r="33">
      <c r="A33" t="inlineStr">
        <is>
          <t>Gain On Sale Of Business</t>
        </is>
      </c>
      <c r="B33" s="3" t="n">
        <v>0</v>
      </c>
      <c r="C33" s="3" t="n">
        <v>9643000</v>
      </c>
      <c r="D33" s="3" t="n">
        <v>0</v>
      </c>
      <c r="E33" s="3" t="n"/>
    </row>
    <row r="34">
      <c r="A34" t="inlineStr">
        <is>
          <t>Other Special Charges</t>
        </is>
      </c>
      <c r="B34" s="3" t="n">
        <v>-3211000</v>
      </c>
      <c r="C34" s="3" t="n"/>
      <c r="D34" s="3" t="n"/>
      <c r="E34" s="3" t="n"/>
    </row>
    <row r="35">
      <c r="A35" t="inlineStr">
        <is>
          <t>Write Off</t>
        </is>
      </c>
      <c r="B35" s="3" t="n">
        <v>0</v>
      </c>
      <c r="C35" s="3" t="n">
        <v>11767000</v>
      </c>
      <c r="D35" s="3" t="n">
        <v>2826918</v>
      </c>
      <c r="E35" s="3" t="n">
        <v>0</v>
      </c>
    </row>
    <row r="36">
      <c r="A36" t="inlineStr">
        <is>
          <t>Earnings From Equity Interest</t>
        </is>
      </c>
      <c r="B36" s="3" t="n">
        <v>0</v>
      </c>
      <c r="C36" s="3" t="n">
        <v>-504000</v>
      </c>
      <c r="D36" s="3" t="n">
        <v>0</v>
      </c>
      <c r="E36" s="3" t="n"/>
    </row>
    <row r="37">
      <c r="A37" t="inlineStr">
        <is>
          <t>Gain On Sale Of Security</t>
        </is>
      </c>
      <c r="B37" s="3" t="n"/>
      <c r="C37" s="3" t="n">
        <v>-651943</v>
      </c>
      <c r="D37" s="3" t="n">
        <v>82798</v>
      </c>
      <c r="E37" s="3" t="n">
        <v>1397898</v>
      </c>
    </row>
    <row r="38">
      <c r="A38" t="inlineStr">
        <is>
          <t>Net Non Operating Interest Income Expense</t>
        </is>
      </c>
      <c r="B38" s="3" t="n">
        <v>2711000</v>
      </c>
      <c r="C38" s="3" t="n">
        <v>-69000</v>
      </c>
      <c r="D38" s="3" t="n">
        <v>-122004</v>
      </c>
      <c r="E38" s="3" t="n">
        <v>-147724</v>
      </c>
    </row>
    <row r="39">
      <c r="A39" t="inlineStr">
        <is>
          <t>Total Other Finance Cost</t>
        </is>
      </c>
      <c r="B39" s="3" t="n">
        <v>-2711000</v>
      </c>
      <c r="C39" s="3" t="n">
        <v>69000</v>
      </c>
      <c r="D39" s="3" t="n">
        <v>122004</v>
      </c>
      <c r="E39" s="3" t="n"/>
    </row>
    <row r="40">
      <c r="A40" t="inlineStr">
        <is>
          <t>Interest Expense Non Operating</t>
        </is>
      </c>
      <c r="B40" s="3" t="n"/>
      <c r="C40" s="3" t="n">
        <v>68609</v>
      </c>
      <c r="D40" s="3" t="n">
        <v>122004</v>
      </c>
      <c r="E40" s="3" t="n">
        <v>147724</v>
      </c>
    </row>
    <row r="41">
      <c r="A41" t="inlineStr">
        <is>
          <t>Operating Income</t>
        </is>
      </c>
      <c r="B41" s="3" t="n">
        <v>-66597000</v>
      </c>
      <c r="C41" s="3" t="n">
        <v>-18886000</v>
      </c>
      <c r="D41" s="3" t="n">
        <v>-23510910</v>
      </c>
      <c r="E41" s="3" t="n">
        <v>-13002286</v>
      </c>
    </row>
    <row r="42">
      <c r="A42" t="inlineStr">
        <is>
          <t>Operating Expense</t>
        </is>
      </c>
      <c r="B42" s="3" t="n">
        <v>67871000</v>
      </c>
      <c r="C42" s="3" t="n">
        <v>22567000</v>
      </c>
      <c r="D42" s="3" t="n">
        <v>22676599</v>
      </c>
      <c r="E42" s="3" t="n">
        <v>13927801</v>
      </c>
    </row>
    <row r="43">
      <c r="A43" t="inlineStr">
        <is>
          <t>Other Operating Expenses</t>
        </is>
      </c>
      <c r="B43" s="3" t="n"/>
      <c r="C43" s="3" t="n"/>
      <c r="D43" s="3" t="n">
        <v>4411685</v>
      </c>
      <c r="E43" s="3" t="n">
        <v>1353904</v>
      </c>
    </row>
    <row r="44">
      <c r="A44" t="inlineStr">
        <is>
          <t>Research And Development</t>
        </is>
      </c>
      <c r="B44" s="3" t="n">
        <v>17890000</v>
      </c>
      <c r="C44" s="3" t="n">
        <v>6266000</v>
      </c>
      <c r="D44" s="3" t="n">
        <v>5860189</v>
      </c>
      <c r="E44" s="3" t="n">
        <v>2606141</v>
      </c>
    </row>
    <row r="45">
      <c r="A45" t="inlineStr">
        <is>
          <t>Selling General And Administration</t>
        </is>
      </c>
      <c r="B45" s="3" t="n">
        <v>49981000</v>
      </c>
      <c r="C45" s="3" t="n">
        <v>16301000</v>
      </c>
      <c r="D45" s="3" t="n">
        <v>16816410</v>
      </c>
      <c r="E45" s="3" t="n">
        <v>9967756</v>
      </c>
    </row>
    <row r="46">
      <c r="A46" t="inlineStr">
        <is>
          <t>Selling And Marketing Expense</t>
        </is>
      </c>
      <c r="B46" s="3" t="n">
        <v>13106000</v>
      </c>
      <c r="C46" s="3" t="n">
        <v>5087000</v>
      </c>
      <c r="D46" s="3" t="n">
        <v>4077685</v>
      </c>
      <c r="E46" s="3" t="n">
        <v>1127532</v>
      </c>
    </row>
    <row r="47">
      <c r="A47" t="inlineStr">
        <is>
          <t>General And Administrative Expense</t>
        </is>
      </c>
      <c r="B47" s="3" t="n">
        <v>36875000</v>
      </c>
      <c r="C47" s="3" t="n">
        <v>11214000</v>
      </c>
      <c r="D47" s="3" t="n">
        <v>12738725</v>
      </c>
      <c r="E47" s="3" t="n">
        <v>8840224</v>
      </c>
    </row>
    <row r="48">
      <c r="A48" t="inlineStr">
        <is>
          <t>Other Gand A</t>
        </is>
      </c>
      <c r="B48" s="3" t="n">
        <v>36875000</v>
      </c>
      <c r="C48" s="3" t="n">
        <v>11214000</v>
      </c>
      <c r="D48" s="3" t="n">
        <v>12738725</v>
      </c>
      <c r="E48" s="3" t="n">
        <v>5548589</v>
      </c>
    </row>
    <row r="49">
      <c r="A49" t="inlineStr">
        <is>
          <t>Salaries And Wages</t>
        </is>
      </c>
      <c r="B49" s="3" t="n"/>
      <c r="C49" s="3" t="n"/>
      <c r="D49" s="3" t="n">
        <v>3656724</v>
      </c>
      <c r="E49" s="3" t="n">
        <v>3291635</v>
      </c>
    </row>
    <row r="50">
      <c r="A50" t="inlineStr">
        <is>
          <t>Gross Profit</t>
        </is>
      </c>
      <c r="B50" s="3" t="n">
        <v>1274000</v>
      </c>
      <c r="C50" s="3" t="n">
        <v>3681000</v>
      </c>
      <c r="D50" s="3" t="n">
        <v>-834311</v>
      </c>
      <c r="E50" s="3" t="n">
        <v>925515</v>
      </c>
    </row>
    <row r="51">
      <c r="A51" t="inlineStr">
        <is>
          <t>Cost Of Revenue</t>
        </is>
      </c>
      <c r="B51" s="3" t="n">
        <v>39455000</v>
      </c>
      <c r="C51" s="3" t="n">
        <v>14155000</v>
      </c>
      <c r="D51" s="3" t="n">
        <v>5455145</v>
      </c>
      <c r="E51" s="3" t="n">
        <v>5503448</v>
      </c>
    </row>
    <row r="52">
      <c r="A52" t="inlineStr">
        <is>
          <t>Total Revenue</t>
        </is>
      </c>
      <c r="B52" s="3" t="n">
        <v>40729000</v>
      </c>
      <c r="C52" s="3" t="n">
        <v>17836000</v>
      </c>
      <c r="D52" s="3" t="n">
        <v>4620834</v>
      </c>
      <c r="E52" s="3" t="n">
        <v>6428963</v>
      </c>
    </row>
    <row r="53">
      <c r="A53" t="inlineStr">
        <is>
          <t>Operating Revenue</t>
        </is>
      </c>
      <c r="B53" s="3" t="n">
        <v>40729000</v>
      </c>
      <c r="C53" s="3" t="n">
        <v>17836000</v>
      </c>
      <c r="D53" s="3" t="n">
        <v>4620834</v>
      </c>
      <c r="E53" s="3" t="n">
        <v>6428963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130400</v>
      </c>
      <c r="C2" s="3" t="n">
        <v>9637.391613</v>
      </c>
      <c r="D2" s="3" t="n">
        <v>514148.88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0.4</v>
      </c>
      <c r="C3" s="3" t="n">
        <v>0.012636</v>
      </c>
      <c r="D3" s="3" t="n">
        <v>0.21</v>
      </c>
      <c r="E3" s="3" t="n">
        <v>0</v>
      </c>
      <c r="F3" s="3" t="n">
        <v>0</v>
      </c>
    </row>
    <row r="4">
      <c r="A4" t="inlineStr">
        <is>
          <t>Normalized EBITDA</t>
        </is>
      </c>
      <c r="B4" s="3" t="n">
        <v>-26816000</v>
      </c>
      <c r="C4" s="3" t="n">
        <v>-24092547</v>
      </c>
      <c r="D4" s="3" t="n">
        <v>-19437098</v>
      </c>
      <c r="E4" s="3" t="n">
        <v>-7499821</v>
      </c>
      <c r="F4" s="3" t="n">
        <v>-11890000</v>
      </c>
    </row>
    <row r="5">
      <c r="A5" t="inlineStr">
        <is>
          <t>Total Unusual Items</t>
        </is>
      </c>
      <c r="B5" s="3" t="n">
        <v>326000</v>
      </c>
      <c r="C5" s="3" t="n">
        <v>762672</v>
      </c>
      <c r="D5" s="3" t="n">
        <v>2448328</v>
      </c>
      <c r="E5" s="3" t="n">
        <v>-4623335</v>
      </c>
      <c r="F5" s="3" t="n">
        <v>0</v>
      </c>
    </row>
    <row r="6">
      <c r="A6" t="inlineStr">
        <is>
          <t>Total Unusual Items Excluding Goodwill</t>
        </is>
      </c>
      <c r="B6" s="3" t="n">
        <v>326000</v>
      </c>
      <c r="C6" s="3" t="n">
        <v>762672</v>
      </c>
      <c r="D6" s="3" t="n">
        <v>2448328</v>
      </c>
      <c r="E6" s="3" t="n">
        <v>-4623335</v>
      </c>
      <c r="F6" s="3" t="n">
        <v>0</v>
      </c>
    </row>
    <row r="7">
      <c r="A7" t="inlineStr">
        <is>
          <t>Net Income From Continuing Operation Net Minority Interest</t>
        </is>
      </c>
      <c r="B7" s="3" t="n">
        <v>-26553000</v>
      </c>
      <c r="C7" s="3" t="n">
        <v>-19656241</v>
      </c>
      <c r="D7" s="3" t="n">
        <v>-16016448</v>
      </c>
      <c r="E7" s="3" t="n">
        <v>-13278960</v>
      </c>
      <c r="F7" s="3" t="n">
        <v>-23123000</v>
      </c>
    </row>
    <row r="8">
      <c r="A8" t="inlineStr">
        <is>
          <t>Reconciled Depreciation</t>
        </is>
      </c>
      <c r="B8" s="3" t="n">
        <v>812000</v>
      </c>
      <c r="C8" s="3" t="n">
        <v>611290</v>
      </c>
      <c r="D8" s="3" t="n">
        <v>542319</v>
      </c>
      <c r="E8" s="3" t="n">
        <v>523391</v>
      </c>
      <c r="F8" s="3" t="n">
        <v>588000</v>
      </c>
    </row>
    <row r="9">
      <c r="A9" t="inlineStr">
        <is>
          <t>Reconciled Cost Of Revenue</t>
        </is>
      </c>
      <c r="B9" s="3" t="n">
        <v>13506000</v>
      </c>
      <c r="C9" s="3" t="n">
        <v>25122515</v>
      </c>
      <c r="D9" s="3" t="n">
        <v>9008890</v>
      </c>
      <c r="E9" s="3" t="n">
        <v>2843523</v>
      </c>
      <c r="F9" s="3" t="n">
        <v>2480000</v>
      </c>
    </row>
    <row r="10">
      <c r="A10" t="inlineStr">
        <is>
          <t>EBITDA</t>
        </is>
      </c>
      <c r="B10" s="3" t="n">
        <v>-26490000</v>
      </c>
      <c r="C10" s="3" t="n">
        <v>-23329875</v>
      </c>
      <c r="D10" s="3" t="n">
        <v>-16988770</v>
      </c>
      <c r="E10" s="3" t="n">
        <v>-12123156</v>
      </c>
      <c r="F10" s="3" t="n">
        <v>-11890000</v>
      </c>
    </row>
    <row r="11">
      <c r="A11" t="inlineStr">
        <is>
          <t>EBIT</t>
        </is>
      </c>
      <c r="B11" s="3" t="n">
        <v>-27302000</v>
      </c>
      <c r="C11" s="3" t="n">
        <v>-23941165</v>
      </c>
      <c r="D11" s="3" t="n">
        <v>-17531089</v>
      </c>
      <c r="E11" s="3" t="n">
        <v>-12646547</v>
      </c>
      <c r="F11" s="3" t="n">
        <v>-12478000</v>
      </c>
    </row>
    <row r="12">
      <c r="A12" t="inlineStr">
        <is>
          <t>Net Interest Income</t>
        </is>
      </c>
      <c r="B12" s="3" t="n">
        <v>1295000</v>
      </c>
      <c r="C12" s="3" t="n">
        <v>1730073</v>
      </c>
      <c r="D12" s="3" t="n">
        <v>771101</v>
      </c>
      <c r="E12" s="3" t="n">
        <v>155301</v>
      </c>
      <c r="F12" s="3" t="n">
        <v>55000</v>
      </c>
    </row>
    <row r="13">
      <c r="A13" t="inlineStr">
        <is>
          <t>Normalized Income</t>
        </is>
      </c>
      <c r="B13" s="3" t="n">
        <v>-26748600</v>
      </c>
      <c r="C13" s="3" t="n">
        <v>-20409275.608387</v>
      </c>
      <c r="D13" s="3" t="n">
        <v>-17950627.12</v>
      </c>
      <c r="E13" s="3" t="n">
        <v>-8655625</v>
      </c>
      <c r="F13" s="3" t="n">
        <v>-23123000</v>
      </c>
    </row>
    <row r="14">
      <c r="A14" t="inlineStr">
        <is>
          <t>Net Income From Continuing And Discontinued Operation</t>
        </is>
      </c>
      <c r="B14" s="3" t="n">
        <v>-26553000</v>
      </c>
      <c r="C14" s="3" t="n">
        <v>-19656241</v>
      </c>
      <c r="D14" s="3" t="n">
        <v>-16016448</v>
      </c>
      <c r="E14" s="3" t="n">
        <v>-13278960</v>
      </c>
      <c r="F14" s="3" t="n">
        <v>-23123000</v>
      </c>
    </row>
    <row r="15">
      <c r="A15" t="inlineStr">
        <is>
          <t>Total Expenses</t>
        </is>
      </c>
      <c r="B15" s="3" t="n">
        <v>42773000</v>
      </c>
      <c r="C15" s="3" t="n">
        <v>50175534</v>
      </c>
      <c r="D15" s="3" t="n">
        <v>27177481</v>
      </c>
      <c r="E15" s="3" t="n">
        <v>15865124</v>
      </c>
      <c r="F15" s="3" t="n">
        <v>14108000</v>
      </c>
    </row>
    <row r="16">
      <c r="A16" t="inlineStr">
        <is>
          <t>Total Operating Income As Reported</t>
        </is>
      </c>
      <c r="B16" s="3" t="n">
        <v>-27302000</v>
      </c>
      <c r="C16" s="3" t="n">
        <v>-23941165</v>
      </c>
      <c r="D16" s="3" t="n">
        <v>-17531089</v>
      </c>
      <c r="E16" s="3" t="n">
        <v>-12646547</v>
      </c>
      <c r="F16" s="3" t="n">
        <v>-12478000</v>
      </c>
    </row>
    <row r="17">
      <c r="A17" t="inlineStr">
        <is>
          <t>Diluted Average Shares</t>
        </is>
      </c>
      <c r="B17" s="3" t="n">
        <v>120846000</v>
      </c>
      <c r="C17" s="3" t="n">
        <v>119445000</v>
      </c>
      <c r="D17" s="3" t="n">
        <v>99581172</v>
      </c>
      <c r="E17" s="3" t="n">
        <v>91295342</v>
      </c>
      <c r="F17" s="3" t="n">
        <v>85506000</v>
      </c>
    </row>
    <row r="18">
      <c r="A18" t="inlineStr">
        <is>
          <t>Basic Average Shares</t>
        </is>
      </c>
      <c r="B18" s="3" t="n">
        <v>120846000</v>
      </c>
      <c r="C18" s="3" t="n">
        <v>119445000</v>
      </c>
      <c r="D18" s="3" t="n">
        <v>99581172</v>
      </c>
      <c r="E18" s="3" t="n">
        <v>91295342</v>
      </c>
      <c r="F18" s="3" t="n">
        <v>85506000</v>
      </c>
    </row>
    <row r="19">
      <c r="A19" t="inlineStr">
        <is>
          <t>Diluted EPS</t>
        </is>
      </c>
      <c r="B19" s="3" t="n">
        <v>-0.22</v>
      </c>
      <c r="C19" s="3" t="n">
        <v>-0.17</v>
      </c>
      <c r="D19" s="3" t="n">
        <v>-0.16</v>
      </c>
      <c r="E19" s="3" t="n">
        <v>-0.15</v>
      </c>
      <c r="F19" s="3" t="n">
        <v>-0.27</v>
      </c>
    </row>
    <row r="20">
      <c r="A20" t="inlineStr">
        <is>
          <t>Basic EPS</t>
        </is>
      </c>
      <c r="B20" s="3" t="n">
        <v>-0.22</v>
      </c>
      <c r="C20" s="3" t="n">
        <v>-0.17</v>
      </c>
      <c r="D20" s="3" t="n">
        <v>-0.16</v>
      </c>
      <c r="E20" s="3" t="n">
        <v>-0.15</v>
      </c>
      <c r="F20" s="3" t="n">
        <v>-0.27</v>
      </c>
    </row>
    <row r="21">
      <c r="A21" t="inlineStr">
        <is>
          <t>Diluted NI Availto Com Stockholders</t>
        </is>
      </c>
      <c r="B21" s="3" t="n">
        <v>-26553000</v>
      </c>
      <c r="C21" s="3" t="n">
        <v>-19656241</v>
      </c>
      <c r="D21" s="3" t="n">
        <v>-16016448</v>
      </c>
      <c r="E21" s="3" t="n">
        <v>-13278960</v>
      </c>
      <c r="F21" s="3" t="n">
        <v>-23123000</v>
      </c>
    </row>
    <row r="22">
      <c r="A22" t="inlineStr">
        <is>
          <t>Net Income Common Stockholders</t>
        </is>
      </c>
      <c r="B22" s="3" t="n">
        <v>-26553000</v>
      </c>
      <c r="C22" s="3" t="n">
        <v>-19656241</v>
      </c>
      <c r="D22" s="3" t="n">
        <v>-16016448</v>
      </c>
      <c r="E22" s="3" t="n">
        <v>-13278960</v>
      </c>
      <c r="F22" s="3" t="n">
        <v>-23123000</v>
      </c>
    </row>
    <row r="23">
      <c r="A23" t="inlineStr">
        <is>
          <t>Net Income</t>
        </is>
      </c>
      <c r="B23" s="3" t="n">
        <v>-26553000</v>
      </c>
      <c r="C23" s="3" t="n">
        <v>-19656241</v>
      </c>
      <c r="D23" s="3" t="n">
        <v>-16016448</v>
      </c>
      <c r="E23" s="3" t="n">
        <v>-13278960</v>
      </c>
      <c r="F23" s="3" t="n">
        <v>-23123000</v>
      </c>
    </row>
    <row r="24">
      <c r="A24" t="inlineStr">
        <is>
          <t>Net Income Including Noncontrolling Interests</t>
        </is>
      </c>
      <c r="B24" s="3" t="n">
        <v>-26548000</v>
      </c>
      <c r="C24" s="3" t="n">
        <v>-19656241</v>
      </c>
      <c r="D24" s="3" t="n">
        <v>-16016448</v>
      </c>
      <c r="E24" s="3" t="n">
        <v>-13278960</v>
      </c>
      <c r="F24" s="3" t="n">
        <v>-23123000</v>
      </c>
    </row>
    <row r="25">
      <c r="A25" t="inlineStr">
        <is>
          <t>Net Income Discontinuous Operations</t>
        </is>
      </c>
      <c r="B25" s="3" t="n"/>
      <c r="C25" s="3" t="n">
        <v>0</v>
      </c>
      <c r="D25" s="3" t="n">
        <v>0</v>
      </c>
      <c r="E25" s="3" t="n">
        <v>0</v>
      </c>
      <c r="F25" s="3" t="n">
        <v>0</v>
      </c>
    </row>
    <row r="26">
      <c r="A26" t="inlineStr">
        <is>
          <t>Net Income Continuous Operations</t>
        </is>
      </c>
      <c r="B26" s="3" t="n">
        <v>-26548000</v>
      </c>
      <c r="C26" s="3" t="n">
        <v>-19656241</v>
      </c>
      <c r="D26" s="3" t="n">
        <v>-16016448</v>
      </c>
      <c r="E26" s="3" t="n">
        <v>-13278960</v>
      </c>
      <c r="F26" s="3" t="n">
        <v>-23123000</v>
      </c>
    </row>
    <row r="27">
      <c r="A27" t="inlineStr">
        <is>
          <t>Tax Provision</t>
        </is>
      </c>
      <c r="B27" s="3" t="n">
        <v>5000</v>
      </c>
      <c r="C27" s="3" t="n">
        <v>-251562</v>
      </c>
      <c r="D27" s="3" t="n">
        <v>694562</v>
      </c>
      <c r="E27" s="3" t="n"/>
      <c r="F27" s="3" t="n">
        <v>0</v>
      </c>
    </row>
    <row r="28">
      <c r="A28" t="inlineStr">
        <is>
          <t>Pretax Income</t>
        </is>
      </c>
      <c r="B28" s="3" t="n">
        <v>-26548000</v>
      </c>
      <c r="C28" s="3" t="n">
        <v>-19907803</v>
      </c>
      <c r="D28" s="3" t="n">
        <v>-15321886</v>
      </c>
      <c r="E28" s="3" t="n">
        <v>-13278960</v>
      </c>
      <c r="F28" s="3" t="n">
        <v>-23123000</v>
      </c>
    </row>
    <row r="29">
      <c r="A29" t="inlineStr">
        <is>
          <t>Other Income Expense</t>
        </is>
      </c>
      <c r="B29" s="3" t="n">
        <v>-541000</v>
      </c>
      <c r="C29" s="3" t="n">
        <v>2303289</v>
      </c>
      <c r="D29" s="3" t="n">
        <v>1438102</v>
      </c>
      <c r="E29" s="3" t="n">
        <v>-787714</v>
      </c>
      <c r="F29" s="3" t="n">
        <v>-10700000</v>
      </c>
    </row>
    <row r="30">
      <c r="A30" t="inlineStr">
        <is>
          <t>Other Non Operating Income Expenses</t>
        </is>
      </c>
      <c r="B30" s="3" t="n">
        <v>-867000</v>
      </c>
      <c r="C30" s="3" t="n">
        <v>1540617</v>
      </c>
      <c r="D30" s="3" t="n">
        <v>-1010226</v>
      </c>
      <c r="E30" s="3" t="n">
        <v>3835621</v>
      </c>
      <c r="F30" s="3" t="n">
        <v>-10700000</v>
      </c>
    </row>
    <row r="31">
      <c r="A31" t="inlineStr">
        <is>
          <t>Special Income Charges</t>
        </is>
      </c>
      <c r="B31" s="3" t="n">
        <v>326000</v>
      </c>
      <c r="C31" s="3" t="n">
        <v>762672</v>
      </c>
      <c r="D31" s="3" t="n">
        <v>2448328</v>
      </c>
      <c r="E31" s="3" t="n">
        <v>-4623335</v>
      </c>
      <c r="F31" s="3" t="n">
        <v>0</v>
      </c>
    </row>
    <row r="32">
      <c r="A32" t="inlineStr">
        <is>
          <t>Gain On Sale Of Business</t>
        </is>
      </c>
      <c r="B32" s="3" t="n"/>
      <c r="C32" s="3" t="n">
        <v>0</v>
      </c>
      <c r="D32" s="3" t="n">
        <v>0</v>
      </c>
      <c r="E32" s="3" t="n">
        <v>0</v>
      </c>
      <c r="F32" s="3" t="n">
        <v>0</v>
      </c>
    </row>
    <row r="33">
      <c r="A33" t="inlineStr">
        <is>
          <t>Other Special Charges</t>
        </is>
      </c>
      <c r="B33" s="3" t="n">
        <v>-326000</v>
      </c>
      <c r="C33" s="3" t="n">
        <v>-762672</v>
      </c>
      <c r="D33" s="3" t="n">
        <v>-2448328</v>
      </c>
      <c r="E33" s="3" t="n">
        <v>4623335</v>
      </c>
      <c r="F33" s="3" t="n"/>
    </row>
    <row r="34">
      <c r="A34" t="inlineStr">
        <is>
          <t>Write Off</t>
        </is>
      </c>
      <c r="B34" s="3" t="n"/>
      <c r="C34" s="3" t="n">
        <v>0</v>
      </c>
      <c r="D34" s="3" t="n">
        <v>0</v>
      </c>
      <c r="E34" s="3" t="n">
        <v>0</v>
      </c>
      <c r="F34" s="3" t="n">
        <v>0</v>
      </c>
    </row>
    <row r="35">
      <c r="A35" t="inlineStr">
        <is>
          <t>Earnings From Equity Interest</t>
        </is>
      </c>
      <c r="B35" s="3" t="n"/>
      <c r="C35" s="3" t="n">
        <v>0</v>
      </c>
      <c r="D35" s="3" t="n">
        <v>0</v>
      </c>
      <c r="E35" s="3" t="n">
        <v>0</v>
      </c>
      <c r="F35" s="3" t="n">
        <v>0</v>
      </c>
    </row>
    <row r="36">
      <c r="A36" t="inlineStr">
        <is>
          <t>Net Non Operating Interest Income Expense</t>
        </is>
      </c>
      <c r="B36" s="3" t="n">
        <v>1295000</v>
      </c>
      <c r="C36" s="3" t="n">
        <v>1730073</v>
      </c>
      <c r="D36" s="3" t="n">
        <v>771101</v>
      </c>
      <c r="E36" s="3" t="n">
        <v>155301</v>
      </c>
      <c r="F36" s="3" t="n">
        <v>55000</v>
      </c>
    </row>
    <row r="37">
      <c r="A37" t="inlineStr">
        <is>
          <t>Total Other Finance Cost</t>
        </is>
      </c>
      <c r="B37" s="3" t="n">
        <v>-1295000</v>
      </c>
      <c r="C37" s="3" t="n">
        <v>-1730073</v>
      </c>
      <c r="D37" s="3" t="n">
        <v>-771101</v>
      </c>
      <c r="E37" s="3" t="n">
        <v>-155301</v>
      </c>
      <c r="F37" s="3" t="n">
        <v>-55000</v>
      </c>
    </row>
    <row r="38">
      <c r="A38" t="inlineStr">
        <is>
          <t>Operating Income</t>
        </is>
      </c>
      <c r="B38" s="3" t="n">
        <v>-27302000</v>
      </c>
      <c r="C38" s="3" t="n">
        <v>-23941165</v>
      </c>
      <c r="D38" s="3" t="n">
        <v>-17531089</v>
      </c>
      <c r="E38" s="3" t="n">
        <v>-12646547</v>
      </c>
      <c r="F38" s="3" t="n">
        <v>-12478000</v>
      </c>
    </row>
    <row r="39">
      <c r="A39" t="inlineStr">
        <is>
          <t>Operating Expense</t>
        </is>
      </c>
      <c r="B39" s="3" t="n">
        <v>29267000</v>
      </c>
      <c r="C39" s="3" t="n">
        <v>25053019</v>
      </c>
      <c r="D39" s="3" t="n">
        <v>18168591</v>
      </c>
      <c r="E39" s="3" t="n">
        <v>13021601</v>
      </c>
      <c r="F39" s="3" t="n">
        <v>11628000</v>
      </c>
    </row>
    <row r="40">
      <c r="A40" t="inlineStr">
        <is>
          <t>Research And Development</t>
        </is>
      </c>
      <c r="B40" s="3" t="n">
        <v>7972000</v>
      </c>
      <c r="C40" s="3" t="n">
        <v>4891009</v>
      </c>
      <c r="D40" s="3" t="n">
        <v>5968131</v>
      </c>
      <c r="E40" s="3" t="n">
        <v>3598267</v>
      </c>
      <c r="F40" s="3" t="n">
        <v>3433000</v>
      </c>
    </row>
    <row r="41">
      <c r="A41" t="inlineStr">
        <is>
          <t>Selling General And Administration</t>
        </is>
      </c>
      <c r="B41" s="3" t="n">
        <v>21295000</v>
      </c>
      <c r="C41" s="3" t="n">
        <v>20162010</v>
      </c>
      <c r="D41" s="3" t="n">
        <v>12200460</v>
      </c>
      <c r="E41" s="3" t="n">
        <v>9423334</v>
      </c>
      <c r="F41" s="3" t="n">
        <v>8195000</v>
      </c>
    </row>
    <row r="42">
      <c r="A42" t="inlineStr">
        <is>
          <t>Selling And Marketing Expense</t>
        </is>
      </c>
      <c r="B42" s="3" t="n">
        <v>4577000</v>
      </c>
      <c r="C42" s="3" t="n">
        <v>3618990</v>
      </c>
      <c r="D42" s="3" t="n">
        <v>2984677</v>
      </c>
      <c r="E42" s="3" t="n">
        <v>3187585</v>
      </c>
      <c r="F42" s="3" t="n">
        <v>3315000</v>
      </c>
    </row>
    <row r="43">
      <c r="A43" t="inlineStr">
        <is>
          <t>General And Administrative Expense</t>
        </is>
      </c>
      <c r="B43" s="3" t="n">
        <v>16718000</v>
      </c>
      <c r="C43" s="3" t="n">
        <v>16543020</v>
      </c>
      <c r="D43" s="3" t="n">
        <v>9215783</v>
      </c>
      <c r="E43" s="3" t="n">
        <v>6235749</v>
      </c>
      <c r="F43" s="3" t="n">
        <v>4880000</v>
      </c>
    </row>
    <row r="44">
      <c r="A44" t="inlineStr">
        <is>
          <t>Other Gand A</t>
        </is>
      </c>
      <c r="B44" s="3" t="n">
        <v>16718000</v>
      </c>
      <c r="C44" s="3" t="n">
        <v>16543020</v>
      </c>
      <c r="D44" s="3" t="n">
        <v>9215783</v>
      </c>
      <c r="E44" s="3" t="n">
        <v>6235749</v>
      </c>
      <c r="F44" s="3" t="n">
        <v>4880000</v>
      </c>
    </row>
    <row r="45">
      <c r="A45" t="inlineStr">
        <is>
          <t>Gross Profit</t>
        </is>
      </c>
      <c r="B45" s="3" t="n">
        <v>1965000</v>
      </c>
      <c r="C45" s="3" t="n">
        <v>1111854</v>
      </c>
      <c r="D45" s="3" t="n">
        <v>637502</v>
      </c>
      <c r="E45" s="3" t="n">
        <v>375054</v>
      </c>
      <c r="F45" s="3" t="n">
        <v>-850000</v>
      </c>
    </row>
    <row r="46">
      <c r="A46" t="inlineStr">
        <is>
          <t>Cost Of Revenue</t>
        </is>
      </c>
      <c r="B46" s="3" t="n">
        <v>13506000</v>
      </c>
      <c r="C46" s="3" t="n">
        <v>25122515</v>
      </c>
      <c r="D46" s="3" t="n">
        <v>9008890</v>
      </c>
      <c r="E46" s="3" t="n">
        <v>2843523</v>
      </c>
      <c r="F46" s="3" t="n">
        <v>2480000</v>
      </c>
    </row>
    <row r="47">
      <c r="A47" t="inlineStr">
        <is>
          <t>Total Revenue</t>
        </is>
      </c>
      <c r="B47" s="3" t="n">
        <v>15471000</v>
      </c>
      <c r="C47" s="3" t="n">
        <v>26234369</v>
      </c>
      <c r="D47" s="3" t="n">
        <v>9646392</v>
      </c>
      <c r="E47" s="3" t="n">
        <v>3218577</v>
      </c>
      <c r="F47" s="3" t="n">
        <v>1630000</v>
      </c>
    </row>
    <row r="48">
      <c r="A48" t="inlineStr">
        <is>
          <t>Operating Revenue</t>
        </is>
      </c>
      <c r="B48" s="3" t="n">
        <v>15471000</v>
      </c>
      <c r="C48" s="3" t="n">
        <v>26234369</v>
      </c>
      <c r="D48" s="3" t="n">
        <v>9646392</v>
      </c>
      <c r="E48" s="3" t="n">
        <v>3218577</v>
      </c>
      <c r="F48" s="3" t="n">
        <v>1630000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2024-04-30</t>
        </is>
      </c>
      <c r="E1" s="1" t="inlineStr">
        <is>
          <t>2023-04-30</t>
        </is>
      </c>
      <c r="F1" s="1" t="inlineStr">
        <is>
          <t>2022-04-30</t>
        </is>
      </c>
    </row>
    <row r="2">
      <c r="A2" t="inlineStr">
        <is>
          <t>Ordinary Shares Number</t>
        </is>
      </c>
      <c r="B2" s="3" t="n">
        <v>120070000</v>
      </c>
      <c r="C2" s="3" t="n">
        <v>85215136</v>
      </c>
      <c r="D2" s="3" t="n">
        <v>74289351</v>
      </c>
      <c r="E2" s="3" t="n">
        <v>54568065</v>
      </c>
      <c r="F2" s="3" t="n"/>
    </row>
    <row r="3">
      <c r="A3" t="inlineStr">
        <is>
          <t>Share Issued</t>
        </is>
      </c>
      <c r="B3" s="3" t="n">
        <v>120070000</v>
      </c>
      <c r="C3" s="3" t="n">
        <v>85215136</v>
      </c>
      <c r="D3" s="3" t="n">
        <v>74289351</v>
      </c>
      <c r="E3" s="3" t="n">
        <v>54568065</v>
      </c>
      <c r="F3" s="3" t="n"/>
    </row>
    <row r="4">
      <c r="A4" t="inlineStr">
        <is>
          <t>Total Debt</t>
        </is>
      </c>
      <c r="B4" s="3" t="n">
        <v>18435000</v>
      </c>
      <c r="C4" s="3" t="n">
        <v>1968000</v>
      </c>
      <c r="D4" s="3" t="n">
        <v>2269160</v>
      </c>
      <c r="E4" s="3" t="n">
        <v>2965097</v>
      </c>
      <c r="F4" s="3" t="n"/>
    </row>
    <row r="5">
      <c r="A5" t="inlineStr">
        <is>
          <t>Tangible Book Value</t>
        </is>
      </c>
      <c r="B5" s="3" t="n">
        <v>221242000</v>
      </c>
      <c r="C5" s="3" t="n">
        <v>23995000</v>
      </c>
      <c r="D5" s="3" t="n">
        <v>30681544</v>
      </c>
      <c r="E5" s="3" t="n">
        <v>30852127</v>
      </c>
      <c r="F5" s="3" t="n"/>
    </row>
    <row r="6">
      <c r="A6" t="inlineStr">
        <is>
          <t>Invested Capital</t>
        </is>
      </c>
      <c r="B6" s="3" t="n">
        <v>250700000</v>
      </c>
      <c r="C6" s="3" t="n">
        <v>50469000</v>
      </c>
      <c r="D6" s="3" t="n">
        <v>44316053</v>
      </c>
      <c r="E6" s="3" t="n">
        <v>56081781</v>
      </c>
      <c r="F6" s="3" t="n"/>
    </row>
    <row r="7">
      <c r="A7" t="inlineStr">
        <is>
          <t>Working Capital</t>
        </is>
      </c>
      <c r="B7" s="3" t="n">
        <v>212092000</v>
      </c>
      <c r="C7" s="3" t="n">
        <v>21619000</v>
      </c>
      <c r="D7" s="3" t="n">
        <v>18746419</v>
      </c>
      <c r="E7" s="3" t="n">
        <v>28124975</v>
      </c>
      <c r="F7" s="3" t="n"/>
    </row>
    <row r="8">
      <c r="A8" t="inlineStr">
        <is>
          <t>Net Tangible Assets</t>
        </is>
      </c>
      <c r="B8" s="3" t="n">
        <v>221242000</v>
      </c>
      <c r="C8" s="3" t="n">
        <v>23995000</v>
      </c>
      <c r="D8" s="3" t="n">
        <v>30681591</v>
      </c>
      <c r="E8" s="3" t="n">
        <v>30861994</v>
      </c>
      <c r="F8" s="3" t="n"/>
    </row>
    <row r="9">
      <c r="A9" t="inlineStr">
        <is>
          <t>Capital Lease Obligations</t>
        </is>
      </c>
      <c r="B9" s="3" t="n">
        <v>13567000</v>
      </c>
      <c r="C9" s="3" t="n">
        <v>1618000</v>
      </c>
      <c r="D9" s="3" t="n">
        <v>1517590</v>
      </c>
      <c r="E9" s="3" t="n">
        <v>1641390</v>
      </c>
      <c r="F9" s="3" t="n"/>
    </row>
    <row r="10">
      <c r="A10" t="inlineStr">
        <is>
          <t>Common Stock Equity</t>
        </is>
      </c>
      <c r="B10" s="3" t="n">
        <v>245832000</v>
      </c>
      <c r="C10" s="3" t="n">
        <v>50119000</v>
      </c>
      <c r="D10" s="3" t="n">
        <v>43564483</v>
      </c>
      <c r="E10" s="3" t="n">
        <v>54758074</v>
      </c>
      <c r="F10" s="3" t="n"/>
    </row>
    <row r="11">
      <c r="A11" t="inlineStr">
        <is>
          <t>Preferred Stock Equity</t>
        </is>
      </c>
      <c r="B11" s="3" t="n"/>
      <c r="C11" s="3" t="n"/>
      <c r="D11" s="3" t="n">
        <v>47</v>
      </c>
      <c r="E11" s="3" t="n">
        <v>9867</v>
      </c>
      <c r="F11" s="3" t="n">
        <v>9867</v>
      </c>
    </row>
    <row r="12">
      <c r="A12" t="inlineStr">
        <is>
          <t>Total Capitalization</t>
        </is>
      </c>
      <c r="B12" s="3" t="n">
        <v>245832000</v>
      </c>
      <c r="C12" s="3" t="n">
        <v>50119000</v>
      </c>
      <c r="D12" s="3" t="n">
        <v>43564530</v>
      </c>
      <c r="E12" s="3" t="n">
        <v>55169510</v>
      </c>
      <c r="F12" s="3" t="n"/>
    </row>
    <row r="13">
      <c r="A13" t="inlineStr">
        <is>
          <t>Total Equity Gross Minority Interest</t>
        </is>
      </c>
      <c r="B13" s="3" t="n">
        <v>245832000</v>
      </c>
      <c r="C13" s="3" t="n">
        <v>50119000</v>
      </c>
      <c r="D13" s="3" t="n">
        <v>43564530</v>
      </c>
      <c r="E13" s="3" t="n">
        <v>54767941</v>
      </c>
      <c r="F13" s="3" t="n"/>
    </row>
    <row r="14">
      <c r="A14" t="inlineStr">
        <is>
          <t>Stockholders Equity</t>
        </is>
      </c>
      <c r="B14" s="3" t="n">
        <v>245832000</v>
      </c>
      <c r="C14" s="3" t="n">
        <v>50119000</v>
      </c>
      <c r="D14" s="3" t="n">
        <v>43564530</v>
      </c>
      <c r="E14" s="3" t="n">
        <v>54767941</v>
      </c>
      <c r="F14" s="3" t="n"/>
    </row>
    <row r="15">
      <c r="A15" t="inlineStr">
        <is>
          <t>Gains Losses Not Affecting Retained Earnings</t>
        </is>
      </c>
      <c r="B15" s="3" t="n"/>
      <c r="C15" s="3" t="n"/>
      <c r="D15" s="3" t="n">
        <v>4621</v>
      </c>
      <c r="E15" s="3" t="n">
        <v>-861117</v>
      </c>
      <c r="F15" s="3" t="n">
        <v>-1470272</v>
      </c>
    </row>
    <row r="16">
      <c r="A16" t="inlineStr">
        <is>
          <t>Other Equity Adjustments</t>
        </is>
      </c>
      <c r="B16" s="3" t="n"/>
      <c r="C16" s="3" t="n"/>
      <c r="D16" s="3" t="n">
        <v>4621</v>
      </c>
      <c r="E16" s="3" t="n">
        <v>-861117</v>
      </c>
      <c r="F16" s="3" t="n">
        <v>-1470272</v>
      </c>
    </row>
    <row r="17">
      <c r="A17" t="inlineStr">
        <is>
          <t>Retained Earnings</t>
        </is>
      </c>
      <c r="B17" s="3" t="n">
        <v>-196820000</v>
      </c>
      <c r="C17" s="3" t="n">
        <v>-124745000</v>
      </c>
      <c r="D17" s="3" t="n">
        <v>-81130732</v>
      </c>
      <c r="E17" s="3" t="n">
        <v>-57078103</v>
      </c>
      <c r="F17" s="3" t="n"/>
    </row>
    <row r="18">
      <c r="A18" t="inlineStr">
        <is>
          <t>Additional Paid In Capital</t>
        </is>
      </c>
      <c r="B18" s="3" t="n">
        <v>442532000</v>
      </c>
      <c r="C18" s="3" t="n">
        <v>174779000</v>
      </c>
      <c r="D18" s="3" t="n">
        <v>124616305</v>
      </c>
      <c r="E18" s="3" t="n">
        <v>112642726</v>
      </c>
      <c r="F18" s="3" t="n"/>
    </row>
    <row r="19">
      <c r="A19" t="inlineStr">
        <is>
          <t>Capital Stock</t>
        </is>
      </c>
      <c r="B19" s="3" t="n">
        <v>120000</v>
      </c>
      <c r="C19" s="3" t="n">
        <v>85000</v>
      </c>
      <c r="D19" s="3" t="n">
        <v>74336</v>
      </c>
      <c r="E19" s="3" t="n">
        <v>64435</v>
      </c>
      <c r="F19" s="3" t="n"/>
    </row>
    <row r="20">
      <c r="A20" t="inlineStr">
        <is>
          <t>Common Stock</t>
        </is>
      </c>
      <c r="B20" s="3" t="n">
        <v>120000</v>
      </c>
      <c r="C20" s="3" t="n">
        <v>85000</v>
      </c>
      <c r="D20" s="3" t="n">
        <v>74289</v>
      </c>
      <c r="E20" s="3" t="n">
        <v>54568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47</v>
      </c>
      <c r="E21" s="3" t="n">
        <v>9867</v>
      </c>
      <c r="F21" s="3" t="n"/>
    </row>
    <row r="22">
      <c r="A22" t="inlineStr">
        <is>
          <t>Total Liabilities Net Minority Interest</t>
        </is>
      </c>
      <c r="B22" s="3" t="n">
        <v>27845000</v>
      </c>
      <c r="C22" s="3" t="n">
        <v>5485000</v>
      </c>
      <c r="D22" s="3" t="n">
        <v>4973082</v>
      </c>
      <c r="E22" s="3" t="n">
        <v>5975387</v>
      </c>
      <c r="F22" s="3" t="n"/>
    </row>
    <row r="23">
      <c r="A23" t="inlineStr">
        <is>
          <t>Total Non Current Liabilities Net Minority Interest</t>
        </is>
      </c>
      <c r="B23" s="3" t="n">
        <v>12999000</v>
      </c>
      <c r="C23" s="3" t="n">
        <v>1306000</v>
      </c>
      <c r="D23" s="3" t="n">
        <v>1321952</v>
      </c>
      <c r="E23" s="3" t="n">
        <v>1925350</v>
      </c>
      <c r="F23" s="3" t="n"/>
    </row>
    <row r="24">
      <c r="A24" t="inlineStr">
        <is>
          <t>Liabilities Heldfor Sale Non Current</t>
        </is>
      </c>
      <c r="B24" s="3" t="n"/>
      <c r="C24" s="3" t="n"/>
      <c r="D24" s="3" t="n">
        <v>0</v>
      </c>
      <c r="E24" s="3" t="n">
        <v>41814</v>
      </c>
      <c r="F24" s="3" t="n"/>
    </row>
    <row r="25">
      <c r="A25" t="inlineStr">
        <is>
          <t>Non Current Deferred Liabilities</t>
        </is>
      </c>
      <c r="B25" s="3" t="n">
        <v>443000</v>
      </c>
      <c r="C25" s="3" t="n">
        <v>0</v>
      </c>
      <c r="D25" s="3" t="n"/>
      <c r="E25" s="3" t="n"/>
      <c r="F25" s="3" t="n"/>
    </row>
    <row r="26">
      <c r="A26" t="inlineStr">
        <is>
          <t>Non Current Deferred Taxes Liabilities</t>
        </is>
      </c>
      <c r="B26" s="3" t="n">
        <v>443000</v>
      </c>
      <c r="C26" s="3" t="n">
        <v>0</v>
      </c>
      <c r="D26" s="3" t="n"/>
      <c r="E26" s="3" t="n"/>
      <c r="F26" s="3" t="n"/>
    </row>
    <row r="27">
      <c r="A27" t="inlineStr">
        <is>
          <t>Long Term Debt And Capital Lease Obligation</t>
        </is>
      </c>
      <c r="B27" s="3" t="n">
        <v>12556000</v>
      </c>
      <c r="C27" s="3" t="n">
        <v>1306000</v>
      </c>
      <c r="D27" s="3" t="n">
        <v>1321952</v>
      </c>
      <c r="E27" s="3" t="n">
        <v>1883536</v>
      </c>
      <c r="F27" s="3" t="n"/>
    </row>
    <row r="28">
      <c r="A28" t="inlineStr">
        <is>
          <t>Long Term Capital Lease Obligation</t>
        </is>
      </c>
      <c r="B28" s="3" t="n">
        <v>12556000</v>
      </c>
      <c r="C28" s="3" t="n">
        <v>1306000</v>
      </c>
      <c r="D28" s="3" t="n">
        <v>1321952</v>
      </c>
      <c r="E28" s="3" t="n">
        <v>1481967</v>
      </c>
      <c r="F28" s="3" t="n"/>
    </row>
    <row r="29">
      <c r="A29" t="inlineStr">
        <is>
          <t>Long Term Debt</t>
        </is>
      </c>
      <c r="B29" s="3" t="n"/>
      <c r="C29" s="3" t="n"/>
      <c r="D29" s="3" t="n"/>
      <c r="E29" s="3" t="n">
        <v>401569</v>
      </c>
      <c r="F29" s="3" t="n">
        <v>973707</v>
      </c>
    </row>
    <row r="30">
      <c r="A30" t="inlineStr">
        <is>
          <t>Current Liabilities</t>
        </is>
      </c>
      <c r="B30" s="3" t="n">
        <v>14846000</v>
      </c>
      <c r="C30" s="3" t="n">
        <v>4179000</v>
      </c>
      <c r="D30" s="3" t="n">
        <v>3651130</v>
      </c>
      <c r="E30" s="3" t="n">
        <v>4050037</v>
      </c>
      <c r="F30" s="3" t="n"/>
    </row>
    <row r="31">
      <c r="A31" t="inlineStr">
        <is>
          <t>Other Current Liabilities</t>
        </is>
      </c>
      <c r="B31" s="3" t="n"/>
      <c r="C31" s="3" t="n"/>
      <c r="D31" s="3" t="n"/>
      <c r="E31" s="3" t="n">
        <v>1010501</v>
      </c>
      <c r="F31" s="3" t="n">
        <v>1607497</v>
      </c>
    </row>
    <row r="32">
      <c r="A32" t="inlineStr">
        <is>
          <t>Current Deferred Liabilities</t>
        </is>
      </c>
      <c r="B32" s="3" t="n">
        <v>261000</v>
      </c>
      <c r="C32" s="3" t="n">
        <v>227000</v>
      </c>
      <c r="D32" s="3" t="n">
        <v>53939</v>
      </c>
      <c r="E32" s="3" t="n">
        <v>155986</v>
      </c>
      <c r="F32" s="3" t="n"/>
    </row>
    <row r="33">
      <c r="A33" t="inlineStr">
        <is>
          <t>Current Deferred Revenue</t>
        </is>
      </c>
      <c r="B33" s="3" t="n">
        <v>261000</v>
      </c>
      <c r="C33" s="3" t="n">
        <v>227000</v>
      </c>
      <c r="D33" s="3" t="n">
        <v>53939</v>
      </c>
      <c r="E33" s="3" t="n">
        <v>155986</v>
      </c>
      <c r="F33" s="3" t="n"/>
    </row>
    <row r="34">
      <c r="A34" t="inlineStr">
        <is>
          <t>Current Debt And Capital Lease Obligation</t>
        </is>
      </c>
      <c r="B34" s="3" t="n">
        <v>5879000</v>
      </c>
      <c r="C34" s="3" t="n">
        <v>662000</v>
      </c>
      <c r="D34" s="3" t="n">
        <v>947208</v>
      </c>
      <c r="E34" s="3" t="n">
        <v>1081561</v>
      </c>
      <c r="F34" s="3" t="n"/>
    </row>
    <row r="35">
      <c r="A35" t="inlineStr">
        <is>
          <t>Current Capital Lease Obligation</t>
        </is>
      </c>
      <c r="B35" s="3" t="n">
        <v>1011000</v>
      </c>
      <c r="C35" s="3" t="n">
        <v>312000</v>
      </c>
      <c r="D35" s="3" t="n">
        <v>195638</v>
      </c>
      <c r="E35" s="3" t="n">
        <v>159423</v>
      </c>
      <c r="F35" s="3" t="n"/>
    </row>
    <row r="36">
      <c r="A36" t="inlineStr">
        <is>
          <t>Current Debt</t>
        </is>
      </c>
      <c r="B36" s="3" t="n">
        <v>4868000</v>
      </c>
      <c r="C36" s="3" t="n">
        <v>350000</v>
      </c>
      <c r="D36" s="3" t="n">
        <v>751570</v>
      </c>
      <c r="E36" s="3" t="n">
        <v>922138</v>
      </c>
      <c r="F36" s="3" t="n"/>
    </row>
    <row r="37">
      <c r="A37" t="inlineStr">
        <is>
          <t>Other Current Borrowings</t>
        </is>
      </c>
      <c r="B37" s="3" t="n">
        <v>4868000</v>
      </c>
      <c r="C37" s="3" t="n">
        <v>350000</v>
      </c>
      <c r="D37" s="3" t="n">
        <v>751570</v>
      </c>
      <c r="E37" s="3" t="n">
        <v>922138</v>
      </c>
      <c r="F37" s="3" t="n"/>
    </row>
    <row r="38">
      <c r="A38" t="inlineStr">
        <is>
          <t>Payables And Accrued Expenses</t>
        </is>
      </c>
      <c r="B38" s="3" t="n">
        <v>8706000</v>
      </c>
      <c r="C38" s="3" t="n">
        <v>3290000</v>
      </c>
      <c r="D38" s="3" t="n">
        <v>2649983</v>
      </c>
      <c r="E38" s="3" t="n">
        <v>1801989</v>
      </c>
      <c r="F38" s="3" t="n"/>
    </row>
    <row r="39">
      <c r="A39" t="inlineStr">
        <is>
          <t>Current Accrued Expenses</t>
        </is>
      </c>
      <c r="B39" s="3" t="n">
        <v>5087000</v>
      </c>
      <c r="C39" s="3" t="n">
        <v>1240000</v>
      </c>
      <c r="D39" s="3" t="n">
        <v>1069561</v>
      </c>
      <c r="E39" s="3" t="n">
        <v>409439</v>
      </c>
      <c r="F39" s="3" t="n"/>
    </row>
    <row r="40">
      <c r="A40" t="inlineStr">
        <is>
          <t>Payables</t>
        </is>
      </c>
      <c r="B40" s="3" t="n">
        <v>3619000</v>
      </c>
      <c r="C40" s="3" t="n">
        <v>2050000</v>
      </c>
      <c r="D40" s="3" t="n">
        <v>1580422</v>
      </c>
      <c r="E40" s="3" t="n">
        <v>1392550</v>
      </c>
      <c r="F40" s="3" t="n"/>
    </row>
    <row r="41">
      <c r="A41" t="inlineStr">
        <is>
          <t>Dueto Related Parties Current</t>
        </is>
      </c>
      <c r="B41" s="3" t="n"/>
      <c r="C41" s="3" t="n"/>
      <c r="D41" s="3" t="n"/>
      <c r="E41" s="3" t="n">
        <v>0</v>
      </c>
      <c r="F41" s="3" t="n">
        <v>40057</v>
      </c>
    </row>
    <row r="42">
      <c r="A42" t="inlineStr">
        <is>
          <t>Accounts Payable</t>
        </is>
      </c>
      <c r="B42" s="3" t="n">
        <v>3619000</v>
      </c>
      <c r="C42" s="3" t="n">
        <v>2050000</v>
      </c>
      <c r="D42" s="3" t="n">
        <v>1580422</v>
      </c>
      <c r="E42" s="3" t="n">
        <v>1392550</v>
      </c>
      <c r="F42" s="3" t="n"/>
    </row>
    <row r="43">
      <c r="A43" t="inlineStr">
        <is>
          <t>Total Assets</t>
        </is>
      </c>
      <c r="B43" s="3" t="n">
        <v>273677000</v>
      </c>
      <c r="C43" s="3" t="n">
        <v>55604000</v>
      </c>
      <c r="D43" s="3" t="n">
        <v>48537612</v>
      </c>
      <c r="E43" s="3" t="n">
        <v>60743328</v>
      </c>
      <c r="F43" s="3" t="n"/>
    </row>
    <row r="44">
      <c r="A44" t="inlineStr">
        <is>
          <t>Total Non Current Assets</t>
        </is>
      </c>
      <c r="B44" s="3" t="n">
        <v>46739000</v>
      </c>
      <c r="C44" s="3" t="n">
        <v>29806000</v>
      </c>
      <c r="D44" s="3" t="n">
        <v>26140063</v>
      </c>
      <c r="E44" s="3" t="n">
        <v>28568316</v>
      </c>
      <c r="F44" s="3" t="n"/>
    </row>
    <row r="45">
      <c r="A45" t="inlineStr">
        <is>
          <t>Other Non Current Assets</t>
        </is>
      </c>
      <c r="B45" s="3" t="n"/>
      <c r="C45" s="3" t="n"/>
      <c r="D45" s="3" t="n"/>
      <c r="E45" s="3" t="n">
        <v>108397</v>
      </c>
      <c r="F45" s="3" t="n">
        <v>57033</v>
      </c>
    </row>
    <row r="46">
      <c r="A46" t="inlineStr">
        <is>
          <t>Non Current Prepaid Assets</t>
        </is>
      </c>
      <c r="B46" s="3" t="n">
        <v>535000</v>
      </c>
      <c r="C46" s="3" t="n">
        <v>60000</v>
      </c>
      <c r="D46" s="3" t="n">
        <v>43126</v>
      </c>
      <c r="E46" s="3" t="n">
        <v>53180</v>
      </c>
      <c r="F46" s="3" t="n"/>
    </row>
    <row r="47">
      <c r="A47" t="inlineStr">
        <is>
          <t>Non Current Note Receivables</t>
        </is>
      </c>
      <c r="B47" s="3" t="n"/>
      <c r="C47" s="3" t="n"/>
      <c r="D47" s="3" t="n">
        <v>4000000</v>
      </c>
      <c r="E47" s="3" t="n">
        <v>0</v>
      </c>
      <c r="F47" s="3" t="n"/>
    </row>
    <row r="48">
      <c r="A48" t="inlineStr">
        <is>
          <t>Investments And Advances</t>
        </is>
      </c>
      <c r="B48" s="3" t="n">
        <v>692000</v>
      </c>
      <c r="C48" s="3" t="n">
        <v>250000</v>
      </c>
      <c r="D48" s="3" t="n">
        <v>5392500</v>
      </c>
      <c r="E48" s="3" t="n">
        <v>250000</v>
      </c>
      <c r="F48" s="3" t="n"/>
    </row>
    <row r="49">
      <c r="A49" t="inlineStr">
        <is>
          <t>Investmentin Financial Assets</t>
        </is>
      </c>
      <c r="B49" s="3" t="n">
        <v>692000</v>
      </c>
      <c r="C49" s="3" t="n">
        <v>250000</v>
      </c>
      <c r="D49" s="3" t="n">
        <v>250000</v>
      </c>
      <c r="E49" s="3" t="n">
        <v>250000</v>
      </c>
      <c r="F49" s="3" t="n"/>
    </row>
    <row r="50">
      <c r="A50" t="inlineStr">
        <is>
          <t>Available For Sale Securities</t>
        </is>
      </c>
      <c r="B50" s="3" t="n">
        <v>692000</v>
      </c>
      <c r="C50" s="3" t="n">
        <v>250000</v>
      </c>
      <c r="D50" s="3" t="n">
        <v>250000</v>
      </c>
      <c r="E50" s="3" t="n">
        <v>250000</v>
      </c>
      <c r="F50" s="3" t="n"/>
    </row>
    <row r="51">
      <c r="A51" t="inlineStr">
        <is>
          <t>Long Term Equity Investment</t>
        </is>
      </c>
      <c r="B51" s="3" t="n"/>
      <c r="C51" s="3" t="n"/>
      <c r="D51" s="3" t="n">
        <v>5142500</v>
      </c>
      <c r="E51" s="3" t="n">
        <v>0</v>
      </c>
      <c r="F51" s="3" t="n"/>
    </row>
    <row r="52">
      <c r="A52" t="inlineStr">
        <is>
          <t>Goodwill And Other Intangible Assets</t>
        </is>
      </c>
      <c r="B52" s="3" t="n">
        <v>24590000</v>
      </c>
      <c r="C52" s="3" t="n">
        <v>26124000</v>
      </c>
      <c r="D52" s="3" t="n">
        <v>12882939</v>
      </c>
      <c r="E52" s="3" t="n">
        <v>23905947</v>
      </c>
      <c r="F52" s="3" t="n"/>
    </row>
    <row r="53">
      <c r="A53" t="inlineStr">
        <is>
          <t>Other Intangible Assets</t>
        </is>
      </c>
      <c r="B53" s="3" t="n">
        <v>6919000</v>
      </c>
      <c r="C53" s="3" t="n">
        <v>8453000</v>
      </c>
      <c r="D53" s="3" t="n">
        <v>3794389</v>
      </c>
      <c r="E53" s="3" t="n">
        <v>6893115</v>
      </c>
      <c r="F53" s="3" t="n"/>
    </row>
    <row r="54">
      <c r="A54" t="inlineStr">
        <is>
          <t>Goodwill</t>
        </is>
      </c>
      <c r="B54" s="3" t="n">
        <v>17671000</v>
      </c>
      <c r="C54" s="3" t="n">
        <v>17671000</v>
      </c>
      <c r="D54" s="3" t="n">
        <v>9088550</v>
      </c>
      <c r="E54" s="3" t="n">
        <v>17012832</v>
      </c>
      <c r="F54" s="3" t="n"/>
    </row>
    <row r="55">
      <c r="A55" t="inlineStr">
        <is>
          <t>Net PPE</t>
        </is>
      </c>
      <c r="B55" s="3" t="n">
        <v>20922000</v>
      </c>
      <c r="C55" s="3" t="n">
        <v>3372000</v>
      </c>
      <c r="D55" s="3" t="n">
        <v>3821498</v>
      </c>
      <c r="E55" s="3" t="n">
        <v>4250792</v>
      </c>
      <c r="F55" s="3" t="n"/>
    </row>
    <row r="56">
      <c r="A56" t="inlineStr">
        <is>
          <t>Accumulated Depreciation</t>
        </is>
      </c>
      <c r="B56" s="3" t="n">
        <v>-1490000</v>
      </c>
      <c r="C56" s="3" t="n">
        <v>-1535000</v>
      </c>
      <c r="D56" s="3" t="n">
        <v>-911470</v>
      </c>
      <c r="E56" s="3" t="n">
        <v>-342657</v>
      </c>
      <c r="F56" s="3" t="n"/>
    </row>
    <row r="57">
      <c r="A57" t="inlineStr">
        <is>
          <t>Gross PPE</t>
        </is>
      </c>
      <c r="B57" s="3" t="n">
        <v>22412000</v>
      </c>
      <c r="C57" s="3" t="n">
        <v>4907000</v>
      </c>
      <c r="D57" s="3" t="n">
        <v>4732968</v>
      </c>
      <c r="E57" s="3" t="n">
        <v>4593449</v>
      </c>
      <c r="F57" s="3" t="n"/>
    </row>
    <row r="58">
      <c r="A58" t="inlineStr">
        <is>
          <t>Leases</t>
        </is>
      </c>
      <c r="B58" s="3" t="n">
        <v>1653000</v>
      </c>
      <c r="C58" s="3" t="n">
        <v>1556000</v>
      </c>
      <c r="D58" s="3" t="n">
        <v>1547976</v>
      </c>
      <c r="E58" s="3" t="n">
        <v>1473890</v>
      </c>
      <c r="F58" s="3" t="n"/>
    </row>
    <row r="59">
      <c r="A59" t="inlineStr">
        <is>
          <t>Construction In Progress</t>
        </is>
      </c>
      <c r="B59" s="3" t="n">
        <v>4241000</v>
      </c>
      <c r="C59" s="3" t="n">
        <v>0</v>
      </c>
      <c r="D59" s="3" t="n"/>
      <c r="E59" s="3" t="n"/>
      <c r="F59" s="3" t="n"/>
    </row>
    <row r="60">
      <c r="A60" t="inlineStr">
        <is>
          <t>Other Properties</t>
        </is>
      </c>
      <c r="B60" s="3" t="n">
        <v>15243000</v>
      </c>
      <c r="C60" s="3" t="n">
        <v>3124000</v>
      </c>
      <c r="D60" s="3" t="n">
        <v>3021702</v>
      </c>
      <c r="E60" s="3" t="n">
        <v>2986807</v>
      </c>
      <c r="F60" s="3" t="n"/>
    </row>
    <row r="61">
      <c r="A61" t="inlineStr">
        <is>
          <t>Machinery Furniture Equipment</t>
        </is>
      </c>
      <c r="B61" s="3" t="n">
        <v>1275000</v>
      </c>
      <c r="C61" s="3" t="n">
        <v>227000</v>
      </c>
      <c r="D61" s="3" t="n">
        <v>163290</v>
      </c>
      <c r="E61" s="3" t="n">
        <v>132752</v>
      </c>
      <c r="F61" s="3" t="n"/>
    </row>
    <row r="62">
      <c r="A62" t="inlineStr">
        <is>
          <t>Buildings And Improvements</t>
        </is>
      </c>
      <c r="B62" s="3" t="n"/>
      <c r="C62" s="3" t="n"/>
      <c r="D62" s="3" t="n">
        <v>1480814</v>
      </c>
      <c r="E62" s="3" t="n">
        <v>1600434</v>
      </c>
      <c r="F62" s="3" t="n">
        <v>1019324</v>
      </c>
    </row>
    <row r="63">
      <c r="A63" t="inlineStr">
        <is>
          <t>Properties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/>
    </row>
    <row r="64">
      <c r="A64" t="inlineStr">
        <is>
          <t>Current Assets</t>
        </is>
      </c>
      <c r="B64" s="3" t="n">
        <v>226938000</v>
      </c>
      <c r="C64" s="3" t="n">
        <v>25798000</v>
      </c>
      <c r="D64" s="3" t="n">
        <v>22397549</v>
      </c>
      <c r="E64" s="3" t="n">
        <v>32175012</v>
      </c>
      <c r="F64" s="3" t="n"/>
    </row>
    <row r="65">
      <c r="A65" t="inlineStr">
        <is>
          <t>Other Current Assets</t>
        </is>
      </c>
      <c r="B65" s="3" t="n">
        <v>2524000</v>
      </c>
      <c r="C65" s="3" t="n">
        <v>2562000</v>
      </c>
      <c r="D65" s="3" t="n"/>
      <c r="E65" s="3" t="n"/>
      <c r="F65" s="3" t="n"/>
    </row>
    <row r="66">
      <c r="A66" t="inlineStr">
        <is>
          <t>Assets Held For Sale Current</t>
        </is>
      </c>
      <c r="B66" s="3" t="n"/>
      <c r="C66" s="3" t="n"/>
      <c r="D66" s="3" t="n">
        <v>0</v>
      </c>
      <c r="E66" s="3" t="n">
        <v>5283155</v>
      </c>
      <c r="F66" s="3" t="n"/>
    </row>
    <row r="67">
      <c r="A67" t="inlineStr">
        <is>
          <t>Prepaid Assets</t>
        </is>
      </c>
      <c r="B67" s="3" t="n">
        <v>6942000</v>
      </c>
      <c r="C67" s="3" t="n">
        <v>642000</v>
      </c>
      <c r="D67" s="3" t="n">
        <v>1809194</v>
      </c>
      <c r="E67" s="3" t="n">
        <v>1112064</v>
      </c>
      <c r="F67" s="3" t="n"/>
    </row>
    <row r="68">
      <c r="A68" t="inlineStr">
        <is>
          <t>Inventory</t>
        </is>
      </c>
      <c r="B68" s="3" t="n">
        <v>23452000</v>
      </c>
      <c r="C68" s="3" t="n">
        <v>12951000</v>
      </c>
      <c r="D68" s="3" t="n">
        <v>8007237</v>
      </c>
      <c r="E68" s="3" t="n">
        <v>8920573</v>
      </c>
      <c r="F68" s="3" t="n"/>
    </row>
    <row r="69">
      <c r="A69" t="inlineStr">
        <is>
          <t>Inventories Adjustments Allowances</t>
        </is>
      </c>
      <c r="B69" s="3" t="n">
        <v>-2497000</v>
      </c>
      <c r="C69" s="3" t="n">
        <v>-520000</v>
      </c>
      <c r="D69" s="3" t="n"/>
      <c r="E69" s="3" t="n"/>
      <c r="F69" s="3" t="n"/>
    </row>
    <row r="70">
      <c r="A70" t="inlineStr">
        <is>
          <t>Finished Goods</t>
        </is>
      </c>
      <c r="B70" s="3" t="n">
        <v>2404000</v>
      </c>
      <c r="C70" s="3" t="n">
        <v>4151000</v>
      </c>
      <c r="D70" s="3" t="n">
        <v>966916</v>
      </c>
      <c r="E70" s="3" t="n">
        <v>278996</v>
      </c>
      <c r="F70" s="3" t="n"/>
    </row>
    <row r="71">
      <c r="A71" t="inlineStr">
        <is>
          <t>Work In Process</t>
        </is>
      </c>
      <c r="B71" s="3" t="n">
        <v>3751000</v>
      </c>
      <c r="C71" s="3" t="n">
        <v>899000</v>
      </c>
      <c r="D71" s="3" t="n">
        <v>1289997</v>
      </c>
      <c r="E71" s="3" t="n">
        <v>509381</v>
      </c>
      <c r="F71" s="3" t="n"/>
    </row>
    <row r="72">
      <c r="A72" t="inlineStr">
        <is>
          <t>Raw Materials</t>
        </is>
      </c>
      <c r="B72" s="3" t="n">
        <v>19794000</v>
      </c>
      <c r="C72" s="3" t="n">
        <v>8421000</v>
      </c>
      <c r="D72" s="3" t="n">
        <v>5750324</v>
      </c>
      <c r="E72" s="3" t="n">
        <v>8132196</v>
      </c>
      <c r="F72" s="3" t="n"/>
    </row>
    <row r="73">
      <c r="A73" t="inlineStr">
        <is>
          <t>Receivables</t>
        </is>
      </c>
      <c r="B73" s="3" t="n">
        <v>26155000</v>
      </c>
      <c r="C73" s="3" t="n">
        <v>489000</v>
      </c>
      <c r="D73" s="3" t="n">
        <v>6513949</v>
      </c>
      <c r="E73" s="3" t="n">
        <v>871533</v>
      </c>
      <c r="F73" s="3" t="n"/>
    </row>
    <row r="74">
      <c r="A74" t="inlineStr">
        <is>
          <t>Other Receivables</t>
        </is>
      </c>
      <c r="B74" s="3" t="n"/>
      <c r="C74" s="3" t="n"/>
      <c r="D74" s="3" t="n">
        <v>2152859</v>
      </c>
      <c r="E74" s="3" t="n"/>
      <c r="F74" s="3" t="n"/>
    </row>
    <row r="75">
      <c r="A75" t="inlineStr">
        <is>
          <t>Duefrom Related Parties Current</t>
        </is>
      </c>
      <c r="B75" s="3" t="n"/>
      <c r="C75" s="3" t="n"/>
      <c r="D75" s="3" t="n"/>
      <c r="E75" s="3" t="n">
        <v>0</v>
      </c>
      <c r="F75" s="3" t="n">
        <v>31853</v>
      </c>
    </row>
    <row r="76">
      <c r="A76" t="inlineStr">
        <is>
          <t>Accrued Interest Receivable</t>
        </is>
      </c>
      <c r="B76" s="3" t="n"/>
      <c r="C76" s="3" t="n"/>
      <c r="D76" s="3" t="n">
        <v>0</v>
      </c>
      <c r="E76" s="3" t="n">
        <v>151671</v>
      </c>
      <c r="F76" s="3" t="n">
        <v>385730</v>
      </c>
    </row>
    <row r="77">
      <c r="A77" t="inlineStr">
        <is>
          <t>Accounts Receivable</t>
        </is>
      </c>
      <c r="B77" s="3" t="n">
        <v>26155000</v>
      </c>
      <c r="C77" s="3" t="n">
        <v>489000</v>
      </c>
      <c r="D77" s="3" t="n">
        <v>4361090</v>
      </c>
      <c r="E77" s="3" t="n">
        <v>719862</v>
      </c>
      <c r="F77" s="3" t="n"/>
    </row>
    <row r="78">
      <c r="A78" t="inlineStr">
        <is>
          <t>Allowance For Doubtful Accounts Receivable</t>
        </is>
      </c>
      <c r="B78" s="3" t="n">
        <v>-500000</v>
      </c>
      <c r="C78" s="3" t="n">
        <v>0</v>
      </c>
      <c r="D78" s="3" t="n"/>
      <c r="E78" s="3" t="n"/>
      <c r="F78" s="3" t="n"/>
    </row>
    <row r="79">
      <c r="A79" t="inlineStr">
        <is>
          <t>Gross Accounts Receivable</t>
        </is>
      </c>
      <c r="B79" s="3" t="n">
        <v>26655000</v>
      </c>
      <c r="C79" s="3" t="n">
        <v>489000</v>
      </c>
      <c r="D79" s="3" t="n"/>
      <c r="E79" s="3" t="n"/>
      <c r="F79" s="3" t="n"/>
    </row>
    <row r="80">
      <c r="A80" t="inlineStr">
        <is>
          <t>Cash Cash Equivalents And Short Term Investments</t>
        </is>
      </c>
      <c r="B80" s="3" t="n">
        <v>167865000</v>
      </c>
      <c r="C80" s="3" t="n">
        <v>9154000</v>
      </c>
      <c r="D80" s="3" t="n">
        <v>6067169</v>
      </c>
      <c r="E80" s="3" t="n">
        <v>15987687</v>
      </c>
      <c r="F80" s="3" t="n"/>
    </row>
    <row r="81">
      <c r="A81" t="inlineStr">
        <is>
          <t>Other Short Term Investments</t>
        </is>
      </c>
      <c r="B81" s="3" t="n"/>
      <c r="C81" s="3" t="n"/>
      <c r="D81" s="3" t="n">
        <v>0</v>
      </c>
      <c r="E81" s="3" t="n">
        <v>12814038</v>
      </c>
      <c r="F81" s="3" t="n">
        <v>44790369</v>
      </c>
    </row>
    <row r="82">
      <c r="A82" t="inlineStr">
        <is>
          <t>Cash And Cash Equivalents</t>
        </is>
      </c>
      <c r="B82" s="3" t="n">
        <v>167865000</v>
      </c>
      <c r="C82" s="3" t="n">
        <v>9154000</v>
      </c>
      <c r="D82" s="3" t="n">
        <v>6067169</v>
      </c>
      <c r="E82" s="3" t="n">
        <v>3173649</v>
      </c>
      <c r="F82" s="3" t="n"/>
    </row>
    <row r="83">
      <c r="A83" t="inlineStr">
        <is>
          <t>Cash Financial</t>
        </is>
      </c>
      <c r="B83" s="3" t="n">
        <v>167865000</v>
      </c>
      <c r="C83" s="3" t="n">
        <v>9154000</v>
      </c>
      <c r="D83" s="3" t="n">
        <v>6067169</v>
      </c>
      <c r="E83" s="3" t="n">
        <v>3173649</v>
      </c>
      <c r="F8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Ordinary Shares Number</t>
        </is>
      </c>
      <c r="B2" s="3" t="n">
        <v>121840899</v>
      </c>
      <c r="C2" s="3" t="n">
        <v>120070000</v>
      </c>
      <c r="D2" s="3" t="n">
        <v>118162270</v>
      </c>
      <c r="E2" s="3" t="n">
        <v>98510343</v>
      </c>
      <c r="F2" s="3" t="n">
        <v>85647618</v>
      </c>
    </row>
    <row r="3">
      <c r="A3" t="inlineStr">
        <is>
          <t>Share Issued</t>
        </is>
      </c>
      <c r="B3" s="3" t="n">
        <v>121840899</v>
      </c>
      <c r="C3" s="3" t="n">
        <v>120070000</v>
      </c>
      <c r="D3" s="3" t="n">
        <v>118162270</v>
      </c>
      <c r="E3" s="3" t="n">
        <v>98510343</v>
      </c>
      <c r="F3" s="3" t="n">
        <v>85647618</v>
      </c>
    </row>
    <row r="4">
      <c r="A4" t="inlineStr">
        <is>
          <t>Net Debt</t>
        </is>
      </c>
      <c r="B4" s="3" t="n"/>
      <c r="C4" s="3" t="n"/>
      <c r="D4" s="3" t="n"/>
      <c r="E4" s="3" t="n"/>
      <c r="F4" s="3" t="n">
        <v>17760146</v>
      </c>
    </row>
    <row r="5">
      <c r="A5" t="inlineStr">
        <is>
          <t>Total Debt</t>
        </is>
      </c>
      <c r="B5" s="3" t="n">
        <v>13794000</v>
      </c>
      <c r="C5" s="3" t="n">
        <v>18435000</v>
      </c>
      <c r="D5" s="3" t="n">
        <v>22420387</v>
      </c>
      <c r="E5" s="3" t="n">
        <v>21916356</v>
      </c>
      <c r="F5" s="3" t="n">
        <v>27811750</v>
      </c>
    </row>
    <row r="6">
      <c r="A6" t="inlineStr">
        <is>
          <t>Tangible Book Value</t>
        </is>
      </c>
      <c r="B6" s="3" t="n">
        <v>194727000</v>
      </c>
      <c r="C6" s="3" t="n">
        <v>221242000</v>
      </c>
      <c r="D6" s="3" t="n">
        <v>228307959</v>
      </c>
      <c r="E6" s="3" t="n">
        <v>70222919</v>
      </c>
      <c r="F6" s="3" t="n">
        <v>3192751</v>
      </c>
    </row>
    <row r="7">
      <c r="A7" t="inlineStr">
        <is>
          <t>Invested Capital</t>
        </is>
      </c>
      <c r="B7" s="3" t="n">
        <v>239089000</v>
      </c>
      <c r="C7" s="3" t="n">
        <v>250700000</v>
      </c>
      <c r="D7" s="3" t="n">
        <v>266974822</v>
      </c>
      <c r="E7" s="3" t="n">
        <v>115349079</v>
      </c>
      <c r="F7" s="3" t="n">
        <v>54393757</v>
      </c>
    </row>
    <row r="8">
      <c r="A8" t="inlineStr">
        <is>
          <t>Working Capital</t>
        </is>
      </c>
      <c r="B8" s="3" t="n">
        <v>190581000</v>
      </c>
      <c r="C8" s="3" t="n">
        <v>212092000</v>
      </c>
      <c r="D8" s="3" t="n">
        <v>224915930</v>
      </c>
      <c r="E8" s="3" t="n">
        <v>67444117</v>
      </c>
      <c r="F8" s="3" t="n">
        <v>506116</v>
      </c>
    </row>
    <row r="9">
      <c r="A9" t="inlineStr">
        <is>
          <t>Net Tangible Assets</t>
        </is>
      </c>
      <c r="B9" s="3" t="n">
        <v>194727000</v>
      </c>
      <c r="C9" s="3" t="n">
        <v>221242000</v>
      </c>
      <c r="D9" s="3" t="n">
        <v>228308006</v>
      </c>
      <c r="E9" s="3" t="n">
        <v>70222966</v>
      </c>
      <c r="F9" s="3" t="n">
        <v>3192798</v>
      </c>
    </row>
    <row r="10">
      <c r="A10" t="inlineStr">
        <is>
          <t>Capital Lease Obligations</t>
        </is>
      </c>
      <c r="B10" s="3" t="n">
        <v>13444000</v>
      </c>
      <c r="C10" s="3" t="n">
        <v>13567000</v>
      </c>
      <c r="D10" s="3" t="n">
        <v>8719387</v>
      </c>
      <c r="E10" s="3" t="n">
        <v>2132352</v>
      </c>
      <c r="F10" s="3" t="n">
        <v>2329194</v>
      </c>
    </row>
    <row r="11">
      <c r="A11" t="inlineStr">
        <is>
          <t>Common Stock Equity</t>
        </is>
      </c>
      <c r="B11" s="3" t="n">
        <v>238739000</v>
      </c>
      <c r="C11" s="3" t="n">
        <v>245832000</v>
      </c>
      <c r="D11" s="3" t="n">
        <v>253273822</v>
      </c>
      <c r="E11" s="3" t="n">
        <v>95565075</v>
      </c>
      <c r="F11" s="3" t="n">
        <v>28911201</v>
      </c>
    </row>
    <row r="12">
      <c r="A12" t="inlineStr">
        <is>
          <t>Preferred Stock Equity</t>
        </is>
      </c>
      <c r="B12" s="3" t="n"/>
      <c r="C12" s="3" t="n"/>
      <c r="D12" s="3" t="n">
        <v>47</v>
      </c>
      <c r="E12" s="3" t="n">
        <v>47</v>
      </c>
      <c r="F12" s="3" t="n">
        <v>47</v>
      </c>
    </row>
    <row r="13">
      <c r="A13" t="inlineStr">
        <is>
          <t>Total Capitalization</t>
        </is>
      </c>
      <c r="B13" s="3" t="n">
        <v>238739000</v>
      </c>
      <c r="C13" s="3" t="n">
        <v>245832000</v>
      </c>
      <c r="D13" s="3" t="n">
        <v>253273869</v>
      </c>
      <c r="E13" s="3" t="n">
        <v>95565122</v>
      </c>
      <c r="F13" s="3" t="n">
        <v>28911248</v>
      </c>
    </row>
    <row r="14">
      <c r="A14" t="inlineStr">
        <is>
          <t>Total Equity Gross Minority Interest</t>
        </is>
      </c>
      <c r="B14" s="3" t="n">
        <v>238739000</v>
      </c>
      <c r="C14" s="3" t="n">
        <v>245832000</v>
      </c>
      <c r="D14" s="3" t="n">
        <v>253273869</v>
      </c>
      <c r="E14" s="3" t="n">
        <v>95565122</v>
      </c>
      <c r="F14" s="3" t="n">
        <v>28911248</v>
      </c>
    </row>
    <row r="15">
      <c r="A15" t="inlineStr">
        <is>
          <t>Stockholders Equity</t>
        </is>
      </c>
      <c r="B15" s="3" t="n">
        <v>238739000</v>
      </c>
      <c r="C15" s="3" t="n">
        <v>245832000</v>
      </c>
      <c r="D15" s="3" t="n">
        <v>253273869</v>
      </c>
      <c r="E15" s="3" t="n">
        <v>95565122</v>
      </c>
      <c r="F15" s="3" t="n">
        <v>28911248</v>
      </c>
    </row>
    <row r="16">
      <c r="A16" t="inlineStr">
        <is>
          <t>Retained Earnings</t>
        </is>
      </c>
      <c r="B16" s="3" t="n">
        <v>-223373000</v>
      </c>
      <c r="C16" s="3" t="n">
        <v>-196820000</v>
      </c>
      <c r="D16" s="3" t="n">
        <v>-177163462</v>
      </c>
      <c r="E16" s="3" t="n">
        <v>-161147014</v>
      </c>
      <c r="F16" s="3" t="n">
        <v>-147868054</v>
      </c>
    </row>
    <row r="17">
      <c r="A17" t="inlineStr">
        <is>
          <t>Additional Paid In Capital</t>
        </is>
      </c>
      <c r="B17" s="3" t="n">
        <v>461990000</v>
      </c>
      <c r="C17" s="3" t="n">
        <v>442532000</v>
      </c>
      <c r="D17" s="3" t="n">
        <v>430319122</v>
      </c>
      <c r="E17" s="3" t="n">
        <v>256613579</v>
      </c>
      <c r="F17" s="3" t="n">
        <v>176693607</v>
      </c>
    </row>
    <row r="18">
      <c r="A18" t="inlineStr">
        <is>
          <t>Capital Stock</t>
        </is>
      </c>
      <c r="B18" s="3" t="n">
        <v>122000</v>
      </c>
      <c r="C18" s="3" t="n">
        <v>120000</v>
      </c>
      <c r="D18" s="3" t="n">
        <v>118209</v>
      </c>
      <c r="E18" s="3" t="n">
        <v>98557</v>
      </c>
      <c r="F18" s="3" t="n">
        <v>85695</v>
      </c>
    </row>
    <row r="19">
      <c r="A19" t="inlineStr">
        <is>
          <t>Common Stock</t>
        </is>
      </c>
      <c r="B19" s="3" t="n">
        <v>122000</v>
      </c>
      <c r="C19" s="3" t="n">
        <v>120000</v>
      </c>
      <c r="D19" s="3" t="n">
        <v>118162</v>
      </c>
      <c r="E19" s="3" t="n">
        <v>98510</v>
      </c>
      <c r="F19" s="3" t="n">
        <v>85648</v>
      </c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47</v>
      </c>
      <c r="E20" s="3" t="n">
        <v>47</v>
      </c>
      <c r="F20" s="3" t="n">
        <v>47</v>
      </c>
    </row>
    <row r="21">
      <c r="A21" t="inlineStr">
        <is>
          <t>Total Liabilities Net Minority Interest</t>
        </is>
      </c>
      <c r="B21" s="3" t="n">
        <v>43146000</v>
      </c>
      <c r="C21" s="3" t="n">
        <v>27845000</v>
      </c>
      <c r="D21" s="3" t="n">
        <v>32750497</v>
      </c>
      <c r="E21" s="3" t="n">
        <v>25802729</v>
      </c>
      <c r="F21" s="3" t="n">
        <v>30744600</v>
      </c>
    </row>
    <row r="22">
      <c r="A22" t="inlineStr">
        <is>
          <t>Total Non Current Liabilities Net Minority Interest</t>
        </is>
      </c>
      <c r="B22" s="3" t="n">
        <v>24065000</v>
      </c>
      <c r="C22" s="3" t="n">
        <v>12999000</v>
      </c>
      <c r="D22" s="3" t="n">
        <v>8863929</v>
      </c>
      <c r="E22" s="3" t="n">
        <v>1673213</v>
      </c>
      <c r="F22" s="3" t="n">
        <v>1838228</v>
      </c>
    </row>
    <row r="23">
      <c r="A23" t="inlineStr">
        <is>
          <t>Tradeand Other Payables Non Current</t>
        </is>
      </c>
      <c r="B23" s="3" t="n">
        <v>11312000</v>
      </c>
      <c r="C23" s="3" t="n"/>
      <c r="D23" s="3" t="n"/>
      <c r="E23" s="3" t="n"/>
      <c r="F23" s="3" t="n"/>
    </row>
    <row r="24">
      <c r="A24" t="inlineStr">
        <is>
          <t>Non Current Deferred Liabilities</t>
        </is>
      </c>
      <c r="B24" s="3" t="n">
        <v>443000</v>
      </c>
      <c r="C24" s="3" t="n">
        <v>443000</v>
      </c>
      <c r="D24" s="3" t="n">
        <v>694562</v>
      </c>
      <c r="E24" s="3" t="n"/>
      <c r="F24" s="3" t="n"/>
    </row>
    <row r="25">
      <c r="A25" t="inlineStr">
        <is>
          <t>Non Current Deferred Taxes Liabilities</t>
        </is>
      </c>
      <c r="B25" s="3" t="n">
        <v>443000</v>
      </c>
      <c r="C25" s="3" t="n">
        <v>443000</v>
      </c>
      <c r="D25" s="3" t="n">
        <v>694562</v>
      </c>
      <c r="E25" s="3" t="n"/>
      <c r="F25" s="3" t="n"/>
    </row>
    <row r="26">
      <c r="A26" t="inlineStr">
        <is>
          <t>Long Term Debt And Capital Lease Obligation</t>
        </is>
      </c>
      <c r="B26" s="3" t="n">
        <v>12310000</v>
      </c>
      <c r="C26" s="3" t="n">
        <v>12556000</v>
      </c>
      <c r="D26" s="3" t="n">
        <v>8169367</v>
      </c>
      <c r="E26" s="3" t="n">
        <v>1673213</v>
      </c>
      <c r="F26" s="3" t="n">
        <v>1838228</v>
      </c>
    </row>
    <row r="27">
      <c r="A27" t="inlineStr">
        <is>
          <t>Long Term Capital Lease Obligation</t>
        </is>
      </c>
      <c r="B27" s="3" t="n">
        <v>12310000</v>
      </c>
      <c r="C27" s="3" t="n">
        <v>12556000</v>
      </c>
      <c r="D27" s="3" t="n">
        <v>8169367</v>
      </c>
      <c r="E27" s="3" t="n">
        <v>1673213</v>
      </c>
      <c r="F27" s="3" t="n">
        <v>1838228</v>
      </c>
    </row>
    <row r="28">
      <c r="A28" t="inlineStr">
        <is>
          <t>Current Liabilities</t>
        </is>
      </c>
      <c r="B28" s="3" t="n">
        <v>19081000</v>
      </c>
      <c r="C28" s="3" t="n">
        <v>14846000</v>
      </c>
      <c r="D28" s="3" t="n">
        <v>23886568</v>
      </c>
      <c r="E28" s="3" t="n">
        <v>24129516</v>
      </c>
      <c r="F28" s="3" t="n">
        <v>28906372</v>
      </c>
    </row>
    <row r="29">
      <c r="A29" t="inlineStr">
        <is>
          <t>Current Deferred Liabilities</t>
        </is>
      </c>
      <c r="B29" s="3" t="n">
        <v>281000</v>
      </c>
      <c r="C29" s="3" t="n">
        <v>261000</v>
      </c>
      <c r="D29" s="3" t="n">
        <v>467914</v>
      </c>
      <c r="E29" s="3" t="n">
        <v>565537</v>
      </c>
      <c r="F29" s="3" t="n">
        <v>220517</v>
      </c>
    </row>
    <row r="30">
      <c r="A30" t="inlineStr">
        <is>
          <t>Current Deferred Revenue</t>
        </is>
      </c>
      <c r="B30" s="3" t="n">
        <v>281000</v>
      </c>
      <c r="C30" s="3" t="n">
        <v>261000</v>
      </c>
      <c r="D30" s="3" t="n">
        <v>467914</v>
      </c>
      <c r="E30" s="3" t="n">
        <v>565537</v>
      </c>
      <c r="F30" s="3" t="n">
        <v>220517</v>
      </c>
    </row>
    <row r="31">
      <c r="A31" t="inlineStr">
        <is>
          <t>Current Debt And Capital Lease Obligation</t>
        </is>
      </c>
      <c r="B31" s="3" t="n">
        <v>1484000</v>
      </c>
      <c r="C31" s="3" t="n">
        <v>5879000</v>
      </c>
      <c r="D31" s="3" t="n">
        <v>14251020</v>
      </c>
      <c r="E31" s="3" t="n">
        <v>20243143</v>
      </c>
      <c r="F31" s="3" t="n">
        <v>25973522</v>
      </c>
    </row>
    <row r="32">
      <c r="A32" t="inlineStr">
        <is>
          <t>Current Capital Lease Obligation</t>
        </is>
      </c>
      <c r="B32" s="3" t="n">
        <v>1134000</v>
      </c>
      <c r="C32" s="3" t="n">
        <v>1011000</v>
      </c>
      <c r="D32" s="3" t="n">
        <v>550020</v>
      </c>
      <c r="E32" s="3" t="n">
        <v>459139</v>
      </c>
      <c r="F32" s="3" t="n">
        <v>490966</v>
      </c>
    </row>
    <row r="33">
      <c r="A33" t="inlineStr">
        <is>
          <t>Current Debt</t>
        </is>
      </c>
      <c r="B33" s="3" t="n">
        <v>350000</v>
      </c>
      <c r="C33" s="3" t="n">
        <v>4868000</v>
      </c>
      <c r="D33" s="3" t="n">
        <v>13701000</v>
      </c>
      <c r="E33" s="3" t="n">
        <v>19784004</v>
      </c>
      <c r="F33" s="3" t="n">
        <v>25482556</v>
      </c>
    </row>
    <row r="34">
      <c r="A34" t="inlineStr">
        <is>
          <t>Other Current Borrowings</t>
        </is>
      </c>
      <c r="B34" s="3" t="n">
        <v>350000</v>
      </c>
      <c r="C34" s="3" t="n">
        <v>4868000</v>
      </c>
      <c r="D34" s="3" t="n">
        <v>13701000</v>
      </c>
      <c r="E34" s="3" t="n">
        <v>19784004</v>
      </c>
      <c r="F34" s="3" t="n">
        <v>25132556</v>
      </c>
    </row>
    <row r="35">
      <c r="A35" t="inlineStr">
        <is>
          <t>Current Notes Payable</t>
        </is>
      </c>
      <c r="B35" s="3" t="n"/>
      <c r="C35" s="3" t="n"/>
      <c r="D35" s="3" t="n"/>
      <c r="E35" s="3" t="n"/>
      <c r="F35" s="3" t="n">
        <v>350000</v>
      </c>
    </row>
    <row r="36">
      <c r="A36" t="inlineStr">
        <is>
          <t>Payables And Accrued Expenses</t>
        </is>
      </c>
      <c r="B36" s="3" t="n">
        <v>17316000</v>
      </c>
      <c r="C36" s="3" t="n">
        <v>8706000</v>
      </c>
      <c r="D36" s="3" t="n">
        <v>9167634</v>
      </c>
      <c r="E36" s="3" t="n">
        <v>3320836</v>
      </c>
      <c r="F36" s="3" t="n">
        <v>2712333</v>
      </c>
    </row>
    <row r="37">
      <c r="A37" t="inlineStr">
        <is>
          <t>Current Accrued Expenses</t>
        </is>
      </c>
      <c r="B37" s="3" t="n">
        <v>6389000</v>
      </c>
      <c r="C37" s="3" t="n">
        <v>5087000</v>
      </c>
      <c r="D37" s="3" t="n">
        <v>6192798</v>
      </c>
      <c r="E37" s="3" t="n">
        <v>1839670</v>
      </c>
      <c r="F37" s="3" t="n">
        <v>1193353</v>
      </c>
    </row>
    <row r="38">
      <c r="A38" t="inlineStr">
        <is>
          <t>Payables</t>
        </is>
      </c>
      <c r="B38" s="3" t="n">
        <v>10927000</v>
      </c>
      <c r="C38" s="3" t="n">
        <v>3619000</v>
      </c>
      <c r="D38" s="3" t="n">
        <v>2974836</v>
      </c>
      <c r="E38" s="3" t="n">
        <v>1481166</v>
      </c>
      <c r="F38" s="3" t="n">
        <v>1518980</v>
      </c>
    </row>
    <row r="39">
      <c r="A39" t="inlineStr">
        <is>
          <t>Other Payable</t>
        </is>
      </c>
      <c r="B39" s="3" t="n">
        <v>1685000</v>
      </c>
      <c r="C39" s="3" t="n"/>
      <c r="D39" s="3" t="n"/>
      <c r="E39" s="3" t="n"/>
      <c r="F39" s="3" t="n"/>
    </row>
    <row r="40">
      <c r="A40" t="inlineStr">
        <is>
          <t>Accounts Payable</t>
        </is>
      </c>
      <c r="B40" s="3" t="n">
        <v>9242000</v>
      </c>
      <c r="C40" s="3" t="n">
        <v>3619000</v>
      </c>
      <c r="D40" s="3" t="n">
        <v>2974836</v>
      </c>
      <c r="E40" s="3" t="n">
        <v>1481166</v>
      </c>
      <c r="F40" s="3" t="n">
        <v>1518980</v>
      </c>
    </row>
    <row r="41">
      <c r="A41" t="inlineStr">
        <is>
          <t>Total Assets</t>
        </is>
      </c>
      <c r="B41" s="3" t="n">
        <v>281885000</v>
      </c>
      <c r="C41" s="3" t="n">
        <v>273677000</v>
      </c>
      <c r="D41" s="3" t="n">
        <v>286024366</v>
      </c>
      <c r="E41" s="3" t="n">
        <v>121367851</v>
      </c>
      <c r="F41" s="3" t="n">
        <v>59655848</v>
      </c>
    </row>
    <row r="42">
      <c r="A42" t="inlineStr">
        <is>
          <t>Total Non Current Assets</t>
        </is>
      </c>
      <c r="B42" s="3" t="n">
        <v>72223000</v>
      </c>
      <c r="C42" s="3" t="n">
        <v>46739000</v>
      </c>
      <c r="D42" s="3" t="n">
        <v>37221868</v>
      </c>
      <c r="E42" s="3" t="n">
        <v>29794218</v>
      </c>
      <c r="F42" s="3" t="n">
        <v>30243360</v>
      </c>
    </row>
    <row r="43">
      <c r="A43" t="inlineStr">
        <is>
          <t>Non Current Prepaid Assets</t>
        </is>
      </c>
      <c r="B43" s="3" t="n">
        <v>535000</v>
      </c>
      <c r="C43" s="3" t="n">
        <v>535000</v>
      </c>
      <c r="D43" s="3" t="n">
        <v>935813</v>
      </c>
      <c r="E43" s="3" t="n">
        <v>113054</v>
      </c>
      <c r="F43" s="3" t="n">
        <v>113054</v>
      </c>
    </row>
    <row r="44">
      <c r="A44" t="inlineStr">
        <is>
          <t>Investments And Advances</t>
        </is>
      </c>
      <c r="B44" s="3" t="n">
        <v>692000</v>
      </c>
      <c r="C44" s="3" t="n">
        <v>692000</v>
      </c>
      <c r="D44" s="3" t="n">
        <v>250000</v>
      </c>
      <c r="E44" s="3" t="n">
        <v>250000</v>
      </c>
      <c r="F44" s="3" t="n">
        <v>250000</v>
      </c>
    </row>
    <row r="45">
      <c r="A45" t="inlineStr">
        <is>
          <t>Investmentin Financial Assets</t>
        </is>
      </c>
      <c r="B45" s="3" t="n">
        <v>692000</v>
      </c>
      <c r="C45" s="3" t="n">
        <v>692000</v>
      </c>
      <c r="D45" s="3" t="n">
        <v>250000</v>
      </c>
      <c r="E45" s="3" t="n">
        <v>250000</v>
      </c>
      <c r="F45" s="3" t="n">
        <v>250000</v>
      </c>
    </row>
    <row r="46">
      <c r="A46" t="inlineStr">
        <is>
          <t>Available For Sale Securities</t>
        </is>
      </c>
      <c r="B46" s="3" t="n">
        <v>692000</v>
      </c>
      <c r="C46" s="3" t="n">
        <v>692000</v>
      </c>
      <c r="D46" s="3" t="n">
        <v>250000</v>
      </c>
      <c r="E46" s="3" t="n">
        <v>250000</v>
      </c>
      <c r="F46" s="3" t="n">
        <v>250000</v>
      </c>
    </row>
    <row r="47">
      <c r="A47" t="inlineStr">
        <is>
          <t>Goodwill And Other Intangible Assets</t>
        </is>
      </c>
      <c r="B47" s="3" t="n">
        <v>44012000</v>
      </c>
      <c r="C47" s="3" t="n">
        <v>24590000</v>
      </c>
      <c r="D47" s="3" t="n">
        <v>24965863</v>
      </c>
      <c r="E47" s="3" t="n">
        <v>25342156</v>
      </c>
      <c r="F47" s="3" t="n">
        <v>25718450</v>
      </c>
    </row>
    <row r="48">
      <c r="A48" t="inlineStr">
        <is>
          <t>Other Intangible Assets</t>
        </is>
      </c>
      <c r="B48" s="3" t="n">
        <v>12490000</v>
      </c>
      <c r="C48" s="3" t="n">
        <v>6919000</v>
      </c>
      <c r="D48" s="3" t="n">
        <v>7294798</v>
      </c>
      <c r="E48" s="3" t="n">
        <v>7671091</v>
      </c>
      <c r="F48" s="3" t="n">
        <v>8047385</v>
      </c>
    </row>
    <row r="49">
      <c r="A49" t="inlineStr">
        <is>
          <t>Goodwill</t>
        </is>
      </c>
      <c r="B49" s="3" t="n">
        <v>31522000</v>
      </c>
      <c r="C49" s="3" t="n">
        <v>17671000</v>
      </c>
      <c r="D49" s="3" t="n">
        <v>17671065</v>
      </c>
      <c r="E49" s="3" t="n">
        <v>17671065</v>
      </c>
      <c r="F49" s="3" t="n">
        <v>17671065</v>
      </c>
    </row>
    <row r="50">
      <c r="A50" t="inlineStr">
        <is>
          <t>Net PPE</t>
        </is>
      </c>
      <c r="B50" s="3" t="n">
        <v>26984000</v>
      </c>
      <c r="C50" s="3" t="n">
        <v>20922000</v>
      </c>
      <c r="D50" s="3" t="n">
        <v>11070192</v>
      </c>
      <c r="E50" s="3" t="n">
        <v>4089008</v>
      </c>
      <c r="F50" s="3" t="n">
        <v>4161856</v>
      </c>
    </row>
    <row r="51">
      <c r="A51" t="inlineStr">
        <is>
          <t>Accumulated Depreciation</t>
        </is>
      </c>
      <c r="B51" s="3" t="n">
        <v>-1925000</v>
      </c>
      <c r="C51" s="3" t="n">
        <v>-1490000</v>
      </c>
      <c r="D51" s="3" t="n">
        <v>-1910587</v>
      </c>
      <c r="E51" s="3" t="n">
        <v>-1864414</v>
      </c>
      <c r="F51" s="3" t="n">
        <v>-1716872</v>
      </c>
    </row>
    <row r="52">
      <c r="A52" t="inlineStr">
        <is>
          <t>Gross PPE</t>
        </is>
      </c>
      <c r="B52" s="3" t="n">
        <v>28909000</v>
      </c>
      <c r="C52" s="3" t="n">
        <v>22412000</v>
      </c>
      <c r="D52" s="3" t="n">
        <v>12980779</v>
      </c>
      <c r="E52" s="3" t="n">
        <v>5953422</v>
      </c>
      <c r="F52" s="3" t="n">
        <v>5878728</v>
      </c>
    </row>
    <row r="53">
      <c r="A53" t="inlineStr">
        <is>
          <t>Leases</t>
        </is>
      </c>
      <c r="B53" s="3" t="n">
        <v>3440000</v>
      </c>
      <c r="C53" s="3" t="n">
        <v>1653000</v>
      </c>
      <c r="D53" s="3" t="n">
        <v>1646525</v>
      </c>
      <c r="E53" s="3" t="n">
        <v>1573034</v>
      </c>
      <c r="F53" s="3" t="n">
        <v>1556139</v>
      </c>
    </row>
    <row r="54">
      <c r="A54" t="inlineStr">
        <is>
          <t>Construction In Progress</t>
        </is>
      </c>
      <c r="B54" s="3" t="n">
        <v>4742000</v>
      </c>
      <c r="C54" s="3" t="n">
        <v>4241000</v>
      </c>
      <c r="D54" s="3" t="n"/>
      <c r="E54" s="3" t="n"/>
      <c r="F54" s="3" t="n"/>
    </row>
    <row r="55">
      <c r="A55" t="inlineStr">
        <is>
          <t>Other Properties</t>
        </is>
      </c>
      <c r="B55" s="3" t="n">
        <v>18156000</v>
      </c>
      <c r="C55" s="3" t="n">
        <v>15243000</v>
      </c>
      <c r="D55" s="3" t="n">
        <v>10664391</v>
      </c>
      <c r="E55" s="3" t="n">
        <v>3809904</v>
      </c>
      <c r="F55" s="3" t="n">
        <v>3926922</v>
      </c>
    </row>
    <row r="56">
      <c r="A56" t="inlineStr">
        <is>
          <t>Machinery Furniture Equipment</t>
        </is>
      </c>
      <c r="B56" s="3" t="n">
        <v>2571000</v>
      </c>
      <c r="C56" s="3" t="n">
        <v>1275000</v>
      </c>
      <c r="D56" s="3" t="n">
        <v>669863</v>
      </c>
      <c r="E56" s="3" t="n">
        <v>570484</v>
      </c>
      <c r="F56" s="3" t="n">
        <v>395667</v>
      </c>
    </row>
    <row r="57">
      <c r="A57" t="inlineStr">
        <is>
          <t>Properties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t="inlineStr">
        <is>
          <t>Current Assets</t>
        </is>
      </c>
      <c r="B58" s="3" t="n">
        <v>209662000</v>
      </c>
      <c r="C58" s="3" t="n">
        <v>226938000</v>
      </c>
      <c r="D58" s="3" t="n">
        <v>248802498</v>
      </c>
      <c r="E58" s="3" t="n">
        <v>91573633</v>
      </c>
      <c r="F58" s="3" t="n">
        <v>29412488</v>
      </c>
    </row>
    <row r="59">
      <c r="A59" t="inlineStr">
        <is>
          <t>Other Current Assets</t>
        </is>
      </c>
      <c r="B59" s="3" t="n">
        <v>4482000</v>
      </c>
      <c r="C59" s="3" t="n">
        <v>2524000</v>
      </c>
      <c r="D59" s="3" t="n">
        <v>5673884</v>
      </c>
      <c r="E59" s="3" t="n">
        <v>3633747</v>
      </c>
      <c r="F59" s="3" t="n">
        <v>3027923</v>
      </c>
    </row>
    <row r="60">
      <c r="A60" t="inlineStr">
        <is>
          <t>Prepaid Assets</t>
        </is>
      </c>
      <c r="B60" s="3" t="n">
        <v>12160000</v>
      </c>
      <c r="C60" s="3" t="n">
        <v>6942000</v>
      </c>
      <c r="D60" s="3" t="n">
        <v>7953616</v>
      </c>
      <c r="E60" s="3" t="n">
        <v>4827223</v>
      </c>
      <c r="F60" s="3" t="n">
        <v>3253312</v>
      </c>
    </row>
    <row r="61">
      <c r="A61" t="inlineStr">
        <is>
          <t>Inventory</t>
        </is>
      </c>
      <c r="B61" s="3" t="n">
        <v>50530000</v>
      </c>
      <c r="C61" s="3" t="n">
        <v>23452000</v>
      </c>
      <c r="D61" s="3" t="n">
        <v>22642051</v>
      </c>
      <c r="E61" s="3" t="n">
        <v>16169713</v>
      </c>
      <c r="F61" s="3" t="n">
        <v>13854548</v>
      </c>
    </row>
    <row r="62">
      <c r="A62" t="inlineStr">
        <is>
          <t>Inventories Adjustments Allowances</t>
        </is>
      </c>
      <c r="B62" s="3" t="n">
        <v>-2377000</v>
      </c>
      <c r="C62" s="3" t="n">
        <v>-2497000</v>
      </c>
      <c r="D62" s="3" t="n"/>
      <c r="E62" s="3" t="n"/>
      <c r="F62" s="3" t="n"/>
    </row>
    <row r="63">
      <c r="A63" t="inlineStr">
        <is>
          <t>Finished Goods</t>
        </is>
      </c>
      <c r="B63" s="3" t="n">
        <v>8845000</v>
      </c>
      <c r="C63" s="3" t="n">
        <v>2404000</v>
      </c>
      <c r="D63" s="3" t="n">
        <v>2524554</v>
      </c>
      <c r="E63" s="3" t="n">
        <v>2257605</v>
      </c>
      <c r="F63" s="3" t="n">
        <v>2914106</v>
      </c>
    </row>
    <row r="64">
      <c r="A64" t="inlineStr">
        <is>
          <t>Work In Process</t>
        </is>
      </c>
      <c r="B64" s="3" t="n">
        <v>5604000</v>
      </c>
      <c r="C64" s="3" t="n">
        <v>3751000</v>
      </c>
      <c r="D64" s="3" t="n">
        <v>4003267</v>
      </c>
      <c r="E64" s="3" t="n">
        <v>1232244</v>
      </c>
      <c r="F64" s="3" t="n">
        <v>804589</v>
      </c>
    </row>
    <row r="65">
      <c r="A65" t="inlineStr">
        <is>
          <t>Raw Materials</t>
        </is>
      </c>
      <c r="B65" s="3" t="n">
        <v>38458000</v>
      </c>
      <c r="C65" s="3" t="n">
        <v>19794000</v>
      </c>
      <c r="D65" s="3" t="n">
        <v>16114230</v>
      </c>
      <c r="E65" s="3" t="n">
        <v>12679864</v>
      </c>
      <c r="F65" s="3" t="n">
        <v>10135853</v>
      </c>
    </row>
    <row r="66">
      <c r="A66" t="inlineStr">
        <is>
          <t>Receivables</t>
        </is>
      </c>
      <c r="B66" s="3" t="n">
        <v>10571000</v>
      </c>
      <c r="C66" s="3" t="n">
        <v>26155000</v>
      </c>
      <c r="D66" s="3" t="n">
        <v>6106951</v>
      </c>
      <c r="E66" s="3" t="n">
        <v>1012475</v>
      </c>
      <c r="F66" s="3" t="n">
        <v>1554295</v>
      </c>
    </row>
    <row r="67">
      <c r="A67" t="inlineStr">
        <is>
          <t>Accounts Receivable</t>
        </is>
      </c>
      <c r="B67" s="3" t="n">
        <v>10571000</v>
      </c>
      <c r="C67" s="3" t="n">
        <v>26155000</v>
      </c>
      <c r="D67" s="3" t="n">
        <v>6106951</v>
      </c>
      <c r="E67" s="3" t="n">
        <v>1012475</v>
      </c>
      <c r="F67" s="3" t="n">
        <v>1554295</v>
      </c>
    </row>
    <row r="68">
      <c r="A68" t="inlineStr">
        <is>
          <t>Allowance For Doubtful Accounts Receivable</t>
        </is>
      </c>
      <c r="B68" s="3" t="n"/>
      <c r="C68" s="3" t="n">
        <v>-500000</v>
      </c>
      <c r="D68" s="3" t="n"/>
      <c r="E68" s="3" t="n"/>
      <c r="F68" s="3" t="n"/>
    </row>
    <row r="69">
      <c r="A69" t="inlineStr">
        <is>
          <t>Gross Accounts Receivable</t>
        </is>
      </c>
      <c r="B69" s="3" t="n"/>
      <c r="C69" s="3" t="n">
        <v>26655000</v>
      </c>
      <c r="D69" s="3" t="n"/>
      <c r="E69" s="3" t="n"/>
      <c r="F69" s="3" t="n"/>
    </row>
    <row r="70">
      <c r="A70" t="inlineStr">
        <is>
          <t>Cash Cash Equivalents And Short Term Investments</t>
        </is>
      </c>
      <c r="B70" s="3" t="n">
        <v>131919000</v>
      </c>
      <c r="C70" s="3" t="n">
        <v>167865000</v>
      </c>
      <c r="D70" s="3" t="n">
        <v>206425996</v>
      </c>
      <c r="E70" s="3" t="n">
        <v>65930475</v>
      </c>
      <c r="F70" s="3" t="n">
        <v>7722410</v>
      </c>
    </row>
    <row r="71">
      <c r="A71" t="inlineStr">
        <is>
          <t>Cash And Cash Equivalents</t>
        </is>
      </c>
      <c r="B71" s="3" t="n">
        <v>131919000</v>
      </c>
      <c r="C71" s="3" t="n">
        <v>167865000</v>
      </c>
      <c r="D71" s="3" t="n">
        <v>206425996</v>
      </c>
      <c r="E71" s="3" t="n">
        <v>65930475</v>
      </c>
      <c r="F71" s="3" t="n">
        <v>7722410</v>
      </c>
    </row>
    <row r="72">
      <c r="A72" t="inlineStr">
        <is>
          <t>Cash Financial</t>
        </is>
      </c>
      <c r="B72" s="3" t="n">
        <v>131919000</v>
      </c>
      <c r="C72" s="3" t="n">
        <v>167865000</v>
      </c>
      <c r="D72" s="3" t="n">
        <v>206425996</v>
      </c>
      <c r="E72" s="3" t="n">
        <v>65930475</v>
      </c>
      <c r="F72" s="3" t="n">
        <v>7722410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2024-04-30</t>
        </is>
      </c>
      <c r="D1" s="1" t="inlineStr">
        <is>
          <t>2023-04-30</t>
        </is>
      </c>
      <c r="E1" s="1" t="inlineStr">
        <is>
          <t>2022-04-30</t>
        </is>
      </c>
    </row>
    <row r="2">
      <c r="A2" t="inlineStr">
        <is>
          <t>Free Cash Flow</t>
        </is>
      </c>
      <c r="B2" s="3" t="n">
        <v>-95781000</v>
      </c>
      <c r="C2" s="3" t="n">
        <v>-18854000</v>
      </c>
      <c r="D2" s="3" t="n">
        <v>-27345662</v>
      </c>
      <c r="E2" s="3" t="n">
        <v>-16383009</v>
      </c>
    </row>
    <row r="3">
      <c r="A3" t="inlineStr">
        <is>
          <t>Repayment Of Debt</t>
        </is>
      </c>
      <c r="B3" s="3" t="n">
        <v>-1650000</v>
      </c>
      <c r="C3" s="3" t="n">
        <v>-572000</v>
      </c>
      <c r="D3" s="3" t="n">
        <v>-606897</v>
      </c>
      <c r="E3" s="3" t="n">
        <v>-929952</v>
      </c>
    </row>
    <row r="4">
      <c r="A4" t="inlineStr">
        <is>
          <t>Issuance Of Debt</t>
        </is>
      </c>
      <c r="B4" s="3" t="n">
        <v>15000000</v>
      </c>
      <c r="C4" s="3" t="n">
        <v>0</v>
      </c>
      <c r="D4" s="3" t="n">
        <v>0</v>
      </c>
      <c r="E4" s="3" t="n">
        <v>0</v>
      </c>
    </row>
    <row r="5">
      <c r="A5" t="inlineStr">
        <is>
          <t>Issuance Of Capital Stock</t>
        </is>
      </c>
      <c r="B5" s="3" t="n">
        <v>249249000</v>
      </c>
      <c r="C5" s="3" t="n">
        <v>9209000</v>
      </c>
      <c r="D5" s="3" t="n">
        <v>0</v>
      </c>
      <c r="E5" s="3" t="n">
        <v>70065203</v>
      </c>
    </row>
    <row r="6">
      <c r="A6" t="inlineStr">
        <is>
          <t>Capital Expenditure</t>
        </is>
      </c>
      <c r="B6" s="3" t="n">
        <v>-6647000</v>
      </c>
      <c r="C6" s="3" t="n">
        <v>-259000</v>
      </c>
      <c r="D6" s="3" t="n">
        <v>-2450213</v>
      </c>
      <c r="E6" s="3" t="n">
        <v>-363689</v>
      </c>
    </row>
    <row r="7">
      <c r="A7" t="inlineStr">
        <is>
          <t>Interest Paid Supplemental Data</t>
        </is>
      </c>
      <c r="B7" s="3" t="n">
        <v>0</v>
      </c>
      <c r="C7" s="3" t="n">
        <v>70000</v>
      </c>
      <c r="D7" s="3" t="n">
        <v>122103</v>
      </c>
      <c r="E7" s="3" t="n">
        <v>164573</v>
      </c>
    </row>
    <row r="8">
      <c r="A8" t="inlineStr">
        <is>
          <t>Income Tax Paid Supplemental Data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t="inlineStr">
        <is>
          <t>End Cash Position</t>
        </is>
      </c>
      <c r="B9" s="3" t="n">
        <v>167865000</v>
      </c>
      <c r="C9" s="3" t="n">
        <v>6067000</v>
      </c>
      <c r="D9" s="3" t="n">
        <v>3260305</v>
      </c>
      <c r="E9" s="3" t="n">
        <v>4084815</v>
      </c>
    </row>
    <row r="10">
      <c r="A10" t="inlineStr">
        <is>
          <t>Beginning Cash Position</t>
        </is>
      </c>
      <c r="B10" s="3" t="n">
        <v>9154000</v>
      </c>
      <c r="C10" s="3" t="n">
        <v>3260000</v>
      </c>
      <c r="D10" s="3" t="n">
        <v>4084815</v>
      </c>
      <c r="E10" s="3" t="n">
        <v>277347</v>
      </c>
    </row>
    <row r="11">
      <c r="A11" t="inlineStr">
        <is>
          <t>Changes In Cash</t>
        </is>
      </c>
      <c r="B11" s="3" t="n">
        <v>158711000</v>
      </c>
      <c r="C11" s="3" t="n">
        <v>2807000</v>
      </c>
      <c r="D11" s="3" t="n">
        <v>-824510</v>
      </c>
      <c r="E11" s="3" t="n">
        <v>3807468</v>
      </c>
    </row>
    <row r="12">
      <c r="A12" t="inlineStr">
        <is>
          <t>Cash Flow From Discontinued Operation</t>
        </is>
      </c>
      <c r="B12" s="3" t="n"/>
      <c r="C12" s="3" t="n">
        <v>-875227</v>
      </c>
      <c r="D12" s="3" t="n">
        <v>-4885746</v>
      </c>
      <c r="E12" s="3" t="n"/>
    </row>
    <row r="13">
      <c r="A13" t="inlineStr">
        <is>
          <t>Financing Cash Flow</t>
        </is>
      </c>
      <c r="B13" s="3" t="n">
        <v>254492000</v>
      </c>
      <c r="C13" s="3" t="n">
        <v>7835000</v>
      </c>
      <c r="D13" s="3" t="n">
        <v>-633550</v>
      </c>
      <c r="E13" s="3" t="n">
        <v>66430274</v>
      </c>
    </row>
    <row r="14">
      <c r="A14" t="inlineStr">
        <is>
          <t>Cash From Discontinued Financing Activities</t>
        </is>
      </c>
      <c r="B14" s="3" t="n">
        <v>0</v>
      </c>
      <c r="C14" s="3" t="n">
        <v>0</v>
      </c>
      <c r="D14" s="3" t="n"/>
      <c r="E14" s="3" t="n"/>
    </row>
    <row r="15">
      <c r="A15" t="inlineStr">
        <is>
          <t>Cash Flow From Continuing Financing Activities</t>
        </is>
      </c>
      <c r="B15" s="3" t="n">
        <v>254492000</v>
      </c>
      <c r="C15" s="3" t="n">
        <v>7835000</v>
      </c>
      <c r="D15" s="3" t="n">
        <v>-633550</v>
      </c>
      <c r="E15" s="3" t="n">
        <v>66430274</v>
      </c>
    </row>
    <row r="16">
      <c r="A16" t="inlineStr">
        <is>
          <t>Net Other Financing Charges</t>
        </is>
      </c>
      <c r="B16" s="3" t="n">
        <v>-15477000</v>
      </c>
      <c r="C16" s="3" t="n">
        <v>-804000</v>
      </c>
      <c r="D16" s="3" t="n">
        <v>-26653</v>
      </c>
      <c r="E16" s="3" t="n">
        <v>-2804976</v>
      </c>
    </row>
    <row r="17">
      <c r="A17" t="inlineStr">
        <is>
          <t>Proceeds From Stock Option Exercised</t>
        </is>
      </c>
      <c r="B17" s="3" t="n">
        <v>7370000</v>
      </c>
      <c r="C17" s="3" t="n">
        <v>2000</v>
      </c>
      <c r="D17" s="3" t="n">
        <v>0</v>
      </c>
      <c r="E17" s="3" t="n">
        <v>99999</v>
      </c>
    </row>
    <row r="18">
      <c r="A18" t="inlineStr">
        <is>
          <t>Net Common Stock Issuance</t>
        </is>
      </c>
      <c r="B18" s="3" t="n">
        <v>249249000</v>
      </c>
      <c r="C18" s="3" t="n">
        <v>9209000</v>
      </c>
      <c r="D18" s="3" t="n">
        <v>0</v>
      </c>
      <c r="E18" s="3" t="n">
        <v>70065203</v>
      </c>
    </row>
    <row r="19">
      <c r="A19" t="inlineStr">
        <is>
          <t>Common Stock Issuance</t>
        </is>
      </c>
      <c r="B19" s="3" t="n">
        <v>249249000</v>
      </c>
      <c r="C19" s="3" t="n">
        <v>9209000</v>
      </c>
      <c r="D19" s="3" t="n">
        <v>0</v>
      </c>
      <c r="E19" s="3" t="n">
        <v>70065203</v>
      </c>
    </row>
    <row r="20">
      <c r="A20" t="inlineStr">
        <is>
          <t>Net Issuance Payments Of Debt</t>
        </is>
      </c>
      <c r="B20" s="3" t="n">
        <v>13350000</v>
      </c>
      <c r="C20" s="3" t="n">
        <v>-572000</v>
      </c>
      <c r="D20" s="3" t="n">
        <v>-606897</v>
      </c>
      <c r="E20" s="3" t="n">
        <v>-929952</v>
      </c>
    </row>
    <row r="21">
      <c r="A21" t="inlineStr">
        <is>
          <t>Net Long Term Debt Issuance</t>
        </is>
      </c>
      <c r="B21" s="3" t="n">
        <v>13350000</v>
      </c>
      <c r="C21" s="3" t="n">
        <v>-572000</v>
      </c>
      <c r="D21" s="3" t="n">
        <v>-606897</v>
      </c>
      <c r="E21" s="3" t="n">
        <v>-929952</v>
      </c>
    </row>
    <row r="22">
      <c r="A22" t="inlineStr">
        <is>
          <t>Long Term Debt Payments</t>
        </is>
      </c>
      <c r="B22" s="3" t="n">
        <v>-1650000</v>
      </c>
      <c r="C22" s="3" t="n">
        <v>-572000</v>
      </c>
      <c r="D22" s="3" t="n">
        <v>-606897</v>
      </c>
      <c r="E22" s="3" t="n">
        <v>-929952</v>
      </c>
    </row>
    <row r="23">
      <c r="A23" t="inlineStr">
        <is>
          <t>Long Term Debt Issuance</t>
        </is>
      </c>
      <c r="B23" s="3" t="n">
        <v>15000000</v>
      </c>
      <c r="C23" s="3" t="n">
        <v>0</v>
      </c>
      <c r="D23" s="3" t="n">
        <v>0</v>
      </c>
      <c r="E23" s="3" t="n">
        <v>0</v>
      </c>
    </row>
    <row r="24">
      <c r="A24" t="inlineStr">
        <is>
          <t>Investing Cash Flow</t>
        </is>
      </c>
      <c r="B24" s="3" t="n">
        <v>-6647000</v>
      </c>
      <c r="C24" s="3" t="n">
        <v>13567000</v>
      </c>
      <c r="D24" s="3" t="n">
        <v>29590235</v>
      </c>
      <c r="E24" s="3" t="n">
        <v>-46603486</v>
      </c>
    </row>
    <row r="25">
      <c r="A25" t="inlineStr">
        <is>
          <t>Cash From Discontinued Investing Activities</t>
        </is>
      </c>
      <c r="B25" s="3" t="n">
        <v>0</v>
      </c>
      <c r="C25" s="3" t="n">
        <v>0</v>
      </c>
      <c r="D25" s="3" t="n"/>
      <c r="E25" s="3" t="n"/>
    </row>
    <row r="26">
      <c r="A26" t="inlineStr">
        <is>
          <t>Cash Flow From Continuing Investing Activities</t>
        </is>
      </c>
      <c r="B26" s="3" t="n">
        <v>-6647000</v>
      </c>
      <c r="C26" s="3" t="n">
        <v>13567000</v>
      </c>
      <c r="D26" s="3" t="n">
        <v>29590235</v>
      </c>
      <c r="E26" s="3" t="n">
        <v>-46603486</v>
      </c>
    </row>
    <row r="27">
      <c r="A27" t="inlineStr">
        <is>
          <t>Net Other Investing Changes</t>
        </is>
      </c>
      <c r="B27" s="3" t="n"/>
      <c r="C27" s="3" t="n">
        <v>1000000</v>
      </c>
      <c r="D27" s="3" t="n">
        <v>-250000</v>
      </c>
      <c r="E27" s="3" t="n"/>
    </row>
    <row r="28">
      <c r="A28" t="inlineStr">
        <is>
          <t>Net Investment Purchase And Sale</t>
        </is>
      </c>
      <c r="B28" s="3" t="n">
        <v>0</v>
      </c>
      <c r="C28" s="3" t="n">
        <v>12826000</v>
      </c>
      <c r="D28" s="3" t="n">
        <v>32290448</v>
      </c>
      <c r="E28" s="3" t="n">
        <v>-46264663</v>
      </c>
    </row>
    <row r="29">
      <c r="A29" t="inlineStr">
        <is>
          <t>Sale Of Investment</t>
        </is>
      </c>
      <c r="B29" s="3" t="n">
        <v>0</v>
      </c>
      <c r="C29" s="3" t="n">
        <v>12826000</v>
      </c>
      <c r="D29" s="3" t="n">
        <v>32290448</v>
      </c>
      <c r="E29" s="3" t="n">
        <v>11355218</v>
      </c>
    </row>
    <row r="30">
      <c r="A30" t="inlineStr">
        <is>
          <t>Purchase Of Investment</t>
        </is>
      </c>
      <c r="B30" s="3" t="n"/>
      <c r="C30" s="3" t="n"/>
      <c r="D30" s="3" t="n">
        <v>0</v>
      </c>
      <c r="E30" s="3" t="n">
        <v>-57619881</v>
      </c>
    </row>
    <row r="31">
      <c r="A31" t="inlineStr">
        <is>
          <t>Net Business Purchase And Sale</t>
        </is>
      </c>
      <c r="B31" s="3" t="n">
        <v>0</v>
      </c>
      <c r="C31" s="3" t="n">
        <v>1000000</v>
      </c>
      <c r="D31" s="3" t="n">
        <v>0</v>
      </c>
      <c r="E31" s="3" t="n">
        <v>24866</v>
      </c>
    </row>
    <row r="32">
      <c r="A32" t="inlineStr">
        <is>
          <t>Sale Of Business</t>
        </is>
      </c>
      <c r="B32" s="3" t="n">
        <v>0</v>
      </c>
      <c r="C32" s="3" t="n">
        <v>1000000</v>
      </c>
      <c r="D32" s="3" t="n">
        <v>0</v>
      </c>
      <c r="E32" s="3" t="n">
        <v>24866</v>
      </c>
    </row>
    <row r="33">
      <c r="A33" t="inlineStr">
        <is>
          <t>Purchase Of Business</t>
        </is>
      </c>
      <c r="B33" s="3" t="n"/>
      <c r="C33" s="3" t="n"/>
      <c r="D33" s="3" t="n">
        <v>-250000</v>
      </c>
      <c r="E33" s="3" t="n">
        <v>0</v>
      </c>
    </row>
    <row r="34">
      <c r="A34" t="inlineStr">
        <is>
          <t>Net PPE Purchase And Sale</t>
        </is>
      </c>
      <c r="B34" s="3" t="n">
        <v>-6647000</v>
      </c>
      <c r="C34" s="3" t="n">
        <v>-259000</v>
      </c>
      <c r="D34" s="3" t="n">
        <v>-2450213</v>
      </c>
      <c r="E34" s="3" t="n">
        <v>-363689</v>
      </c>
    </row>
    <row r="35">
      <c r="A35" t="inlineStr">
        <is>
          <t>Purchase Of PPE</t>
        </is>
      </c>
      <c r="B35" s="3" t="n">
        <v>-6647000</v>
      </c>
      <c r="C35" s="3" t="n">
        <v>-259000</v>
      </c>
      <c r="D35" s="3" t="n">
        <v>-2450213</v>
      </c>
      <c r="E35" s="3" t="n">
        <v>-363689</v>
      </c>
    </row>
    <row r="36">
      <c r="A36" t="inlineStr">
        <is>
          <t>Operating Cash Flow</t>
        </is>
      </c>
      <c r="B36" s="3" t="n">
        <v>-89134000</v>
      </c>
      <c r="C36" s="3" t="n">
        <v>-18595000</v>
      </c>
      <c r="D36" s="3" t="n">
        <v>-24895449</v>
      </c>
      <c r="E36" s="3" t="n">
        <v>-16019320</v>
      </c>
    </row>
    <row r="37">
      <c r="A37" t="inlineStr">
        <is>
          <t>Cash From Discontinued Operating Activities</t>
        </is>
      </c>
      <c r="B37" s="3" t="n">
        <v>0</v>
      </c>
      <c r="C37" s="3" t="n">
        <v>-875000</v>
      </c>
      <c r="D37" s="3" t="n"/>
      <c r="E37" s="3" t="n"/>
    </row>
    <row r="38">
      <c r="A38" t="inlineStr">
        <is>
          <t>Cash Flow From Continuing Operating Activities</t>
        </is>
      </c>
      <c r="B38" s="3" t="n">
        <v>-89134000</v>
      </c>
      <c r="C38" s="3" t="n">
        <v>-17720000</v>
      </c>
      <c r="D38" s="3" t="n">
        <v>-26625835</v>
      </c>
      <c r="E38" s="3" t="n">
        <v>-16019320</v>
      </c>
    </row>
    <row r="39">
      <c r="A39" t="inlineStr">
        <is>
          <t>Change In Working Capital</t>
        </is>
      </c>
      <c r="B39" s="3" t="n">
        <v>-37580000</v>
      </c>
      <c r="C39" s="3" t="n">
        <v>-4673000</v>
      </c>
      <c r="D39" s="3" t="n">
        <v>-5721395</v>
      </c>
      <c r="E39" s="3" t="n">
        <v>-7094901</v>
      </c>
    </row>
    <row r="40">
      <c r="A40" t="inlineStr">
        <is>
          <t>Change In Other Working Capital</t>
        </is>
      </c>
      <c r="B40" s="3" t="n">
        <v>349000</v>
      </c>
      <c r="C40" s="3" t="n">
        <v>-106000</v>
      </c>
      <c r="D40" s="3" t="n">
        <v>448765</v>
      </c>
      <c r="E40" s="3" t="n">
        <v>-3281463</v>
      </c>
    </row>
    <row r="41">
      <c r="A41" t="inlineStr">
        <is>
          <t>Change In Payables And Accrued Expense</t>
        </is>
      </c>
      <c r="B41" s="3" t="n">
        <v>5417000</v>
      </c>
      <c r="C41" s="3" t="n">
        <v>849000</v>
      </c>
      <c r="D41" s="3" t="n">
        <v>-173649</v>
      </c>
      <c r="E41" s="3" t="n">
        <v>-1509634</v>
      </c>
    </row>
    <row r="42">
      <c r="A42" t="inlineStr">
        <is>
          <t>Change In Accrued Expense</t>
        </is>
      </c>
      <c r="B42" s="3" t="n">
        <v>3848000</v>
      </c>
      <c r="C42" s="3" t="n">
        <v>661000</v>
      </c>
      <c r="D42" s="3" t="n">
        <v>-608452</v>
      </c>
      <c r="E42" s="3" t="n">
        <v>-336162</v>
      </c>
    </row>
    <row r="43">
      <c r="A43" t="inlineStr">
        <is>
          <t>Change In Payable</t>
        </is>
      </c>
      <c r="B43" s="3" t="n">
        <v>1569000</v>
      </c>
      <c r="C43" s="3" t="n">
        <v>188000</v>
      </c>
      <c r="D43" s="3" t="n">
        <v>434803</v>
      </c>
      <c r="E43" s="3" t="n">
        <v>-1173472</v>
      </c>
    </row>
    <row r="44">
      <c r="A44" t="inlineStr">
        <is>
          <t>Change In Account Payable</t>
        </is>
      </c>
      <c r="B44" s="3" t="n">
        <v>1569000</v>
      </c>
      <c r="C44" s="3" t="n">
        <v>188000</v>
      </c>
      <c r="D44" s="3" t="n">
        <v>434803</v>
      </c>
      <c r="E44" s="3" t="n">
        <v>-1173472</v>
      </c>
    </row>
    <row r="45">
      <c r="A45" t="inlineStr">
        <is>
          <t>Change In Prepaid Assets</t>
        </is>
      </c>
      <c r="B45" s="3" t="n">
        <v>-7179000</v>
      </c>
      <c r="C45" s="3" t="n">
        <v>-2688000</v>
      </c>
      <c r="D45" s="3" t="n"/>
      <c r="E45" s="3" t="n"/>
    </row>
    <row r="46">
      <c r="A46" t="inlineStr">
        <is>
          <t>Change In Inventory</t>
        </is>
      </c>
      <c r="B46" s="3" t="n">
        <v>-10501000</v>
      </c>
      <c r="C46" s="3" t="n">
        <v>913000</v>
      </c>
      <c r="D46" s="3" t="n">
        <v>-5707525</v>
      </c>
      <c r="E46" s="3" t="n">
        <v>-2229487</v>
      </c>
    </row>
    <row r="47">
      <c r="A47" t="inlineStr">
        <is>
          <t>Change In Receivables</t>
        </is>
      </c>
      <c r="B47" s="3" t="n">
        <v>-25666000</v>
      </c>
      <c r="C47" s="3" t="n">
        <v>-3641000</v>
      </c>
      <c r="D47" s="3" t="n">
        <v>-288986</v>
      </c>
      <c r="E47" s="3" t="n">
        <v>-74317</v>
      </c>
    </row>
    <row r="48">
      <c r="A48" t="inlineStr">
        <is>
          <t>Changes In Account Receivables</t>
        </is>
      </c>
      <c r="B48" s="3" t="n">
        <v>-25666000</v>
      </c>
      <c r="C48" s="3" t="n">
        <v>-3641000</v>
      </c>
      <c r="D48" s="3" t="n">
        <v>-288986</v>
      </c>
      <c r="E48" s="3" t="n">
        <v>-74317</v>
      </c>
    </row>
    <row r="49">
      <c r="A49" t="inlineStr">
        <is>
          <t>Other Non Cash Items</t>
        </is>
      </c>
      <c r="B49" s="3" t="n">
        <v>11444000</v>
      </c>
      <c r="C49" s="3" t="n">
        <v>-7116494</v>
      </c>
      <c r="D49" s="3" t="n">
        <v>1769024</v>
      </c>
      <c r="E49" s="3" t="n">
        <v>250400</v>
      </c>
    </row>
    <row r="50">
      <c r="A50" t="inlineStr">
        <is>
          <t>Stock Based Compensation</t>
        </is>
      </c>
      <c r="B50" s="3" t="n">
        <v>10562000</v>
      </c>
      <c r="C50" s="3" t="n">
        <v>3609000</v>
      </c>
      <c r="D50" s="3" t="n">
        <v>3656724</v>
      </c>
      <c r="E50" s="3" t="n">
        <v>3291635</v>
      </c>
    </row>
    <row r="51">
      <c r="A51" t="inlineStr">
        <is>
          <t>Asset Impairment Charge</t>
        </is>
      </c>
      <c r="B51" s="3" t="n">
        <v>0</v>
      </c>
      <c r="C51" s="3" t="n">
        <v>11767000</v>
      </c>
      <c r="D51" s="3" t="n">
        <v>2826918</v>
      </c>
      <c r="E51" s="3" t="n">
        <v>0</v>
      </c>
    </row>
    <row r="52">
      <c r="A52" t="inlineStr">
        <is>
          <t>Deferred Tax</t>
        </is>
      </c>
      <c r="B52" s="3" t="n">
        <v>-539000</v>
      </c>
      <c r="C52" s="3" t="n">
        <v>-32000</v>
      </c>
      <c r="D52" s="3" t="n">
        <v>-581775</v>
      </c>
      <c r="E52" s="3" t="n"/>
    </row>
    <row r="53">
      <c r="A53" t="inlineStr">
        <is>
          <t>Deferred Income Tax</t>
        </is>
      </c>
      <c r="B53" s="3" t="n">
        <v>-539000</v>
      </c>
      <c r="C53" s="3" t="n">
        <v>-32000</v>
      </c>
      <c r="D53" s="3" t="n">
        <v>-581775</v>
      </c>
      <c r="E53" s="3" t="n"/>
    </row>
    <row r="54">
      <c r="A54" t="inlineStr">
        <is>
          <t>Depreciation Amortization Depletion</t>
        </is>
      </c>
      <c r="B54" s="3" t="n">
        <v>2265000</v>
      </c>
      <c r="C54" s="3" t="n">
        <v>1423000</v>
      </c>
      <c r="D54" s="3" t="n">
        <v>966072</v>
      </c>
      <c r="E54" s="3" t="n">
        <v>264803</v>
      </c>
    </row>
    <row r="55">
      <c r="A55" t="inlineStr">
        <is>
          <t>Depreciation And Amortization</t>
        </is>
      </c>
      <c r="B55" s="3" t="n">
        <v>2265000</v>
      </c>
      <c r="C55" s="3" t="n">
        <v>1423000</v>
      </c>
      <c r="D55" s="3" t="n">
        <v>966072</v>
      </c>
      <c r="E55" s="3" t="n">
        <v>264803</v>
      </c>
    </row>
    <row r="56">
      <c r="A56" t="inlineStr">
        <is>
          <t>Amortization Cash Flow</t>
        </is>
      </c>
      <c r="B56" s="3" t="n">
        <v>2265000</v>
      </c>
      <c r="C56" s="3" t="n">
        <v>1423000</v>
      </c>
      <c r="D56" s="3" t="n">
        <v>654527</v>
      </c>
      <c r="E56" s="3" t="n">
        <v>224638</v>
      </c>
    </row>
    <row r="57">
      <c r="A57" t="inlineStr">
        <is>
          <t>Amortization Of Intangibles</t>
        </is>
      </c>
      <c r="B57" s="3" t="n">
        <v>2265000</v>
      </c>
      <c r="C57" s="3" t="n">
        <v>1423000</v>
      </c>
      <c r="D57" s="3" t="n">
        <v>654527</v>
      </c>
      <c r="E57" s="3" t="n">
        <v>224638</v>
      </c>
    </row>
    <row r="58">
      <c r="A58" t="inlineStr">
        <is>
          <t>Depreciation</t>
        </is>
      </c>
      <c r="B58" s="3" t="n"/>
      <c r="C58" s="3" t="n">
        <v>568813</v>
      </c>
      <c r="D58" s="3" t="n">
        <v>311545</v>
      </c>
      <c r="E58" s="3" t="n">
        <v>40165</v>
      </c>
    </row>
    <row r="59">
      <c r="A59" t="inlineStr">
        <is>
          <t>Operating Gains Losses</t>
        </is>
      </c>
      <c r="B59" s="3" t="n">
        <v>-3211000</v>
      </c>
      <c r="C59" s="3" t="n">
        <v>-8287000</v>
      </c>
      <c r="D59" s="3" t="n">
        <v>296012</v>
      </c>
      <c r="E59" s="3" t="n">
        <v>-1042129</v>
      </c>
    </row>
    <row r="60">
      <c r="A60" t="inlineStr">
        <is>
          <t>Earnings Losses From Equity Investments</t>
        </is>
      </c>
      <c r="B60" s="3" t="n">
        <v>0</v>
      </c>
      <c r="C60" s="3" t="n">
        <v>504000</v>
      </c>
      <c r="D60" s="3" t="n">
        <v>0</v>
      </c>
      <c r="E60" s="3" t="n"/>
    </row>
    <row r="61">
      <c r="A61" t="inlineStr">
        <is>
          <t>Gain Loss On Investment Securities</t>
        </is>
      </c>
      <c r="B61" s="3" t="n"/>
      <c r="C61" s="3" t="n">
        <v>852000</v>
      </c>
      <c r="D61" s="3" t="n">
        <v>296012</v>
      </c>
      <c r="E61" s="3" t="n">
        <v>-1042129</v>
      </c>
    </row>
    <row r="62">
      <c r="A62" t="inlineStr">
        <is>
          <t>Gain Loss On Sale Of Business</t>
        </is>
      </c>
      <c r="B62" s="3" t="n">
        <v>0</v>
      </c>
      <c r="C62" s="3" t="n">
        <v>-9643000</v>
      </c>
      <c r="D62" s="3" t="n">
        <v>0</v>
      </c>
      <c r="E62" s="3" t="n"/>
    </row>
    <row r="63">
      <c r="A63" t="inlineStr">
        <is>
          <t>Net Income From Continuing Operations</t>
        </is>
      </c>
      <c r="B63" s="3" t="n">
        <v>-72075000</v>
      </c>
      <c r="C63" s="3" t="n">
        <v>-21527000</v>
      </c>
      <c r="D63" s="3" t="n">
        <v>-28107029</v>
      </c>
      <c r="E63" s="3" t="n">
        <v>-11689128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Free Cash Flow</t>
        </is>
      </c>
      <c r="B2" s="3" t="n">
        <v>-38728000</v>
      </c>
      <c r="C2" s="3" t="n">
        <v>-41875103</v>
      </c>
      <c r="D2" s="3" t="n">
        <v>-24521615</v>
      </c>
      <c r="E2" s="3" t="n">
        <v>-13204282</v>
      </c>
      <c r="F2" s="3" t="n">
        <v>-16180000</v>
      </c>
    </row>
    <row r="3">
      <c r="A3" t="inlineStr">
        <is>
          <t>Repayment Of Debt</t>
        </is>
      </c>
      <c r="B3" s="3" t="n"/>
      <c r="C3" s="3" t="n">
        <v>0</v>
      </c>
      <c r="D3" s="3" t="n">
        <v>0</v>
      </c>
      <c r="E3" s="3" t="n">
        <v>-1650000</v>
      </c>
      <c r="F3" s="3" t="n">
        <v>0</v>
      </c>
    </row>
    <row r="4">
      <c r="A4" t="inlineStr">
        <is>
          <t>Issuance Of Debt</t>
        </is>
      </c>
      <c r="B4" s="3" t="n">
        <v>0</v>
      </c>
      <c r="C4" s="3" t="n">
        <v>0</v>
      </c>
      <c r="D4" s="3" t="n">
        <v>567121</v>
      </c>
      <c r="E4" s="3" t="n">
        <v>-567121</v>
      </c>
      <c r="F4" s="3" t="n">
        <v>15000000</v>
      </c>
    </row>
    <row r="5">
      <c r="A5" t="inlineStr">
        <is>
          <t>Issuance Of Capital Stock</t>
        </is>
      </c>
      <c r="B5" s="3" t="n"/>
      <c r="C5" s="3" t="n">
        <v>92</v>
      </c>
      <c r="D5" s="3" t="n">
        <v>177480864</v>
      </c>
      <c r="E5" s="3" t="n"/>
      <c r="F5" s="3" t="n"/>
    </row>
    <row r="6">
      <c r="A6" t="inlineStr">
        <is>
          <t>Capital Expenditure</t>
        </is>
      </c>
      <c r="B6" s="3" t="n">
        <v>-6783000</v>
      </c>
      <c r="C6" s="3" t="n">
        <v>-5397783</v>
      </c>
      <c r="D6" s="3" t="n">
        <v>-669591</v>
      </c>
      <c r="E6" s="3" t="n">
        <v>-306626</v>
      </c>
      <c r="F6" s="3" t="n">
        <v>-273000</v>
      </c>
    </row>
    <row r="7">
      <c r="A7" t="inlineStr">
        <is>
          <t>Interest Paid Supplemental Data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t="inlineStr">
        <is>
          <t>Income Tax Paid Supplemental Data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t="inlineStr">
        <is>
          <t>End Cash Position</t>
        </is>
      </c>
      <c r="B9" s="3" t="n">
        <v>131919000</v>
      </c>
      <c r="C9" s="3" t="n">
        <v>167865000</v>
      </c>
      <c r="D9" s="3" t="n">
        <v>206425996</v>
      </c>
      <c r="E9" s="3" t="n">
        <v>65930475</v>
      </c>
      <c r="F9" s="3" t="n">
        <v>7723000</v>
      </c>
    </row>
    <row r="10">
      <c r="A10" t="inlineStr">
        <is>
          <t>Beginning Cash Position</t>
        </is>
      </c>
      <c r="B10" s="3" t="n">
        <v>167865000</v>
      </c>
      <c r="C10" s="3" t="n">
        <v>206425996</v>
      </c>
      <c r="D10" s="3" t="n">
        <v>65930475</v>
      </c>
      <c r="E10" s="3" t="n">
        <v>7723000</v>
      </c>
      <c r="F10" s="3" t="n">
        <v>9154000</v>
      </c>
    </row>
    <row r="11">
      <c r="A11" t="inlineStr">
        <is>
          <t>Changes In Cash</t>
        </is>
      </c>
      <c r="B11" s="3" t="n">
        <v>-35946000</v>
      </c>
      <c r="C11" s="3" t="n">
        <v>-38560699</v>
      </c>
      <c r="D11" s="3" t="n">
        <v>140495521</v>
      </c>
      <c r="E11" s="3" t="n">
        <v>58207178</v>
      </c>
      <c r="F11" s="3" t="n">
        <v>-1431000</v>
      </c>
    </row>
    <row r="12">
      <c r="A12" t="inlineStr">
        <is>
          <t>Cash Flow From Discontinued Operation</t>
        </is>
      </c>
      <c r="B12" s="3" t="n"/>
      <c r="C12" s="3" t="n"/>
      <c r="D12" s="3" t="n"/>
      <c r="E12" s="3" t="n"/>
      <c r="F12" s="3" t="n">
        <v>0</v>
      </c>
    </row>
    <row r="13">
      <c r="A13" t="inlineStr">
        <is>
          <t>Financing Cash Flow</t>
        </is>
      </c>
      <c r="B13" s="3" t="n">
        <v>2782000</v>
      </c>
      <c r="C13" s="3" t="n">
        <v>3314404</v>
      </c>
      <c r="D13" s="3" t="n">
        <v>165017136</v>
      </c>
      <c r="E13" s="3" t="n">
        <v>71411460</v>
      </c>
      <c r="F13" s="3" t="n">
        <v>14749000</v>
      </c>
    </row>
    <row r="14">
      <c r="A14" t="inlineStr">
        <is>
          <t>Cash From Discontinued Financing Activities</t>
        </is>
      </c>
      <c r="B14" s="3" t="n"/>
      <c r="C14" s="3" t="n">
        <v>0</v>
      </c>
      <c r="D14" s="3" t="n">
        <v>0</v>
      </c>
      <c r="E14" s="3" t="n"/>
      <c r="F14" s="3" t="n"/>
    </row>
    <row r="15">
      <c r="A15" t="inlineStr">
        <is>
          <t>Cash Flow From Continuing Financing Activities</t>
        </is>
      </c>
      <c r="B15" s="3" t="n">
        <v>2782000</v>
      </c>
      <c r="C15" s="3" t="n">
        <v>4563621</v>
      </c>
      <c r="D15" s="3" t="n">
        <v>163767919</v>
      </c>
      <c r="E15" s="3" t="n">
        <v>71411460</v>
      </c>
      <c r="F15" s="3" t="n">
        <v>14749000</v>
      </c>
    </row>
    <row r="16">
      <c r="A16" t="inlineStr">
        <is>
          <t>Net Other Financing Charges</t>
        </is>
      </c>
      <c r="B16" s="3" t="n">
        <v>-239000</v>
      </c>
      <c r="C16" s="3" t="n">
        <v>-9477</v>
      </c>
      <c r="D16" s="3" t="n"/>
      <c r="E16" s="3" t="n"/>
      <c r="F16" s="3" t="n">
        <v>-567000</v>
      </c>
    </row>
    <row r="17">
      <c r="A17" t="inlineStr">
        <is>
          <t>Proceeds From Stock Option Exercised</t>
        </is>
      </c>
      <c r="B17" s="3" t="n">
        <v>3021000</v>
      </c>
      <c r="C17" s="3" t="n">
        <v>3323789</v>
      </c>
      <c r="D17" s="3" t="n">
        <v>2436674</v>
      </c>
      <c r="E17" s="3" t="n">
        <v>1293537</v>
      </c>
      <c r="F17" s="3" t="n">
        <v>316000</v>
      </c>
    </row>
    <row r="18">
      <c r="A18" t="inlineStr">
        <is>
          <t>Net Common Stock Issuance</t>
        </is>
      </c>
      <c r="B18" s="3" t="n"/>
      <c r="C18" s="3" t="n">
        <v>92</v>
      </c>
      <c r="D18" s="3" t="n">
        <v>177480864</v>
      </c>
      <c r="E18" s="3" t="n"/>
      <c r="F18" s="3" t="n"/>
    </row>
    <row r="19">
      <c r="A19" t="inlineStr">
        <is>
          <t>Common Stock Issuance</t>
        </is>
      </c>
      <c r="B19" s="3" t="n"/>
      <c r="C19" s="3" t="n">
        <v>92</v>
      </c>
      <c r="D19" s="3" t="n">
        <v>177480864</v>
      </c>
      <c r="E19" s="3" t="n"/>
      <c r="F19" s="3" t="n"/>
    </row>
    <row r="20">
      <c r="A20" t="inlineStr">
        <is>
          <t>Net Issuance Payments Of Debt</t>
        </is>
      </c>
      <c r="B20" s="3" t="n">
        <v>0</v>
      </c>
      <c r="C20" s="3" t="n">
        <v>0</v>
      </c>
      <c r="D20" s="3" t="n">
        <v>567121</v>
      </c>
      <c r="E20" s="3" t="n">
        <v>-2217121</v>
      </c>
      <c r="F20" s="3" t="n">
        <v>15000000</v>
      </c>
    </row>
    <row r="21">
      <c r="A21" t="inlineStr">
        <is>
          <t>Net Short Term Debt Issuance</t>
        </is>
      </c>
      <c r="B21" s="3" t="n">
        <v>0</v>
      </c>
      <c r="C21" s="3" t="n"/>
      <c r="D21" s="3" t="n"/>
      <c r="E21" s="3" t="n"/>
      <c r="F21" s="3" t="n">
        <v>15000000</v>
      </c>
    </row>
    <row r="22">
      <c r="A22" t="inlineStr">
        <is>
          <t>Short Term Debt Issuance</t>
        </is>
      </c>
      <c r="B22" s="3" t="n">
        <v>0</v>
      </c>
      <c r="C22" s="3" t="n"/>
      <c r="D22" s="3" t="n"/>
      <c r="E22" s="3" t="n"/>
      <c r="F22" s="3" t="n">
        <v>15000000</v>
      </c>
    </row>
    <row r="23">
      <c r="A23" t="inlineStr">
        <is>
          <t>Net Long Term Debt Issuance</t>
        </is>
      </c>
      <c r="B23" s="3" t="n"/>
      <c r="C23" s="3" t="n">
        <v>13350000</v>
      </c>
      <c r="D23" s="3" t="n">
        <v>-12782879</v>
      </c>
      <c r="E23" s="3" t="n">
        <v>12782879</v>
      </c>
      <c r="F23" s="3" t="n">
        <v>0</v>
      </c>
    </row>
    <row r="24">
      <c r="A24" t="inlineStr">
        <is>
          <t>Long Term Debt Payments</t>
        </is>
      </c>
      <c r="B24" s="3" t="n"/>
      <c r="C24" s="3" t="n">
        <v>-1650000</v>
      </c>
      <c r="D24" s="3" t="n">
        <v>1650000</v>
      </c>
      <c r="E24" s="3" t="n">
        <v>-1650000</v>
      </c>
      <c r="F24" s="3" t="n">
        <v>0</v>
      </c>
    </row>
    <row r="25">
      <c r="A25" t="inlineStr">
        <is>
          <t>Investing Cash Flow</t>
        </is>
      </c>
      <c r="B25" s="3" t="n">
        <v>-6783000</v>
      </c>
      <c r="C25" s="3" t="n">
        <v>-5397783</v>
      </c>
      <c r="D25" s="3" t="n">
        <v>-669591</v>
      </c>
      <c r="E25" s="3" t="n">
        <v>-306626</v>
      </c>
      <c r="F25" s="3" t="n">
        <v>-273000</v>
      </c>
    </row>
    <row r="26">
      <c r="A26" t="inlineStr">
        <is>
          <t>Cash From Discontinued Investing Activities</t>
        </is>
      </c>
      <c r="B26" s="3" t="n"/>
      <c r="C26" s="3" t="n">
        <v>0</v>
      </c>
      <c r="D26" s="3" t="n">
        <v>0</v>
      </c>
      <c r="E26" s="3" t="n"/>
      <c r="F26" s="3" t="n"/>
    </row>
    <row r="27">
      <c r="A27" t="inlineStr">
        <is>
          <t>Cash Flow From Continuing Investing Activities</t>
        </is>
      </c>
      <c r="B27" s="3" t="n">
        <v>-6783000</v>
      </c>
      <c r="C27" s="3" t="n">
        <v>-5397783</v>
      </c>
      <c r="D27" s="3" t="n">
        <v>-669591</v>
      </c>
      <c r="E27" s="3" t="n">
        <v>-306626</v>
      </c>
      <c r="F27" s="3" t="n">
        <v>-273000</v>
      </c>
    </row>
    <row r="28">
      <c r="A28" t="inlineStr">
        <is>
          <t>Net Business Purchase And Sale</t>
        </is>
      </c>
      <c r="B28" s="3" t="n"/>
      <c r="C28" s="3" t="n">
        <v>0</v>
      </c>
      <c r="D28" s="3" t="n">
        <v>0</v>
      </c>
      <c r="E28" s="3" t="n">
        <v>0</v>
      </c>
      <c r="F28" s="3" t="n">
        <v>0</v>
      </c>
    </row>
    <row r="29">
      <c r="A29" t="inlineStr">
        <is>
          <t>Sale Of Business</t>
        </is>
      </c>
      <c r="B29" s="3" t="n"/>
      <c r="C29" s="3" t="n">
        <v>0</v>
      </c>
      <c r="D29" s="3" t="n">
        <v>0</v>
      </c>
      <c r="E29" s="3" t="n">
        <v>0</v>
      </c>
      <c r="F29" s="3" t="n">
        <v>0</v>
      </c>
    </row>
    <row r="30">
      <c r="A30" t="inlineStr">
        <is>
          <t>Net PPE Purchase And Sale</t>
        </is>
      </c>
      <c r="B30" s="3" t="n">
        <v>-6783000</v>
      </c>
      <c r="C30" s="3" t="n">
        <v>-5397783</v>
      </c>
      <c r="D30" s="3" t="n">
        <v>-669591</v>
      </c>
      <c r="E30" s="3" t="n">
        <v>-306626</v>
      </c>
      <c r="F30" s="3" t="n">
        <v>-273000</v>
      </c>
    </row>
    <row r="31">
      <c r="A31" t="inlineStr">
        <is>
          <t>Purchase Of PPE</t>
        </is>
      </c>
      <c r="B31" s="3" t="n">
        <v>-6783000</v>
      </c>
      <c r="C31" s="3" t="n">
        <v>-5397783</v>
      </c>
      <c r="D31" s="3" t="n">
        <v>-669591</v>
      </c>
      <c r="E31" s="3" t="n">
        <v>-306626</v>
      </c>
      <c r="F31" s="3" t="n">
        <v>-273000</v>
      </c>
    </row>
    <row r="32">
      <c r="A32" t="inlineStr">
        <is>
          <t>Operating Cash Flow</t>
        </is>
      </c>
      <c r="B32" s="3" t="n">
        <v>-31945000</v>
      </c>
      <c r="C32" s="3" t="n">
        <v>-36477320</v>
      </c>
      <c r="D32" s="3" t="n">
        <v>-23852024</v>
      </c>
      <c r="E32" s="3" t="n">
        <v>-12897656</v>
      </c>
      <c r="F32" s="3" t="n">
        <v>-15907000</v>
      </c>
    </row>
    <row r="33">
      <c r="A33" t="inlineStr">
        <is>
          <t>Cash From Discontinued Operating Activities</t>
        </is>
      </c>
      <c r="B33" s="3" t="n"/>
      <c r="C33" s="3" t="n">
        <v>0</v>
      </c>
      <c r="D33" s="3" t="n">
        <v>0</v>
      </c>
      <c r="E33" s="3" t="n"/>
      <c r="F33" s="3" t="n"/>
    </row>
    <row r="34">
      <c r="A34" t="inlineStr">
        <is>
          <t>Cash Flow From Continuing Operating Activities</t>
        </is>
      </c>
      <c r="B34" s="3" t="n">
        <v>-31945000</v>
      </c>
      <c r="C34" s="3" t="n">
        <v>-36477320</v>
      </c>
      <c r="D34" s="3" t="n">
        <v>-23852024</v>
      </c>
      <c r="E34" s="3" t="n">
        <v>-12897656</v>
      </c>
      <c r="F34" s="3" t="n">
        <v>-15907000</v>
      </c>
    </row>
    <row r="35">
      <c r="A35" t="inlineStr">
        <is>
          <t>Change In Working Capital</t>
        </is>
      </c>
      <c r="B35" s="3" t="n">
        <v>-11562000</v>
      </c>
      <c r="C35" s="3" t="n">
        <v>-17247328</v>
      </c>
      <c r="D35" s="3" t="n">
        <v>-11697512</v>
      </c>
      <c r="E35" s="3" t="n">
        <v>-2964160</v>
      </c>
      <c r="F35" s="3" t="n">
        <v>-5671000</v>
      </c>
    </row>
    <row r="36">
      <c r="A36" t="inlineStr">
        <is>
          <t>Change In Other Working Capital</t>
        </is>
      </c>
      <c r="B36" s="3" t="n">
        <v>183000</v>
      </c>
      <c r="C36" s="3" t="n">
        <v>-48860</v>
      </c>
      <c r="D36" s="3" t="n">
        <v>11793</v>
      </c>
      <c r="E36" s="3" t="n">
        <v>380067</v>
      </c>
      <c r="F36" s="3" t="n">
        <v>6000</v>
      </c>
    </row>
    <row r="37">
      <c r="A37" t="inlineStr">
        <is>
          <t>Change In Payables And Accrued Expense</t>
        </is>
      </c>
      <c r="B37" s="3" t="n">
        <v>6925000</v>
      </c>
      <c r="C37" s="3" t="n">
        <v>-461000</v>
      </c>
      <c r="D37" s="3" t="n">
        <v>5846798</v>
      </c>
      <c r="E37" s="3" t="n">
        <v>609202</v>
      </c>
      <c r="F37" s="3" t="n">
        <v>-578000</v>
      </c>
    </row>
    <row r="38">
      <c r="A38" t="inlineStr">
        <is>
          <t>Change In Accrued Expense</t>
        </is>
      </c>
      <c r="B38" s="3" t="n">
        <v>1302000</v>
      </c>
      <c r="C38" s="3" t="n">
        <v>-1104683</v>
      </c>
      <c r="D38" s="3" t="n">
        <v>4353128</v>
      </c>
      <c r="E38" s="3" t="n">
        <v>646555</v>
      </c>
      <c r="F38" s="3" t="n">
        <v>-47000</v>
      </c>
    </row>
    <row r="39">
      <c r="A39" t="inlineStr">
        <is>
          <t>Change In Payable</t>
        </is>
      </c>
      <c r="B39" s="3" t="n">
        <v>5623000</v>
      </c>
      <c r="C39" s="3" t="n">
        <v>643683</v>
      </c>
      <c r="D39" s="3" t="n">
        <v>1493670</v>
      </c>
      <c r="E39" s="3" t="n">
        <v>-37353</v>
      </c>
      <c r="F39" s="3" t="n">
        <v>-531000</v>
      </c>
    </row>
    <row r="40">
      <c r="A40" t="inlineStr">
        <is>
          <t>Change In Account Payable</t>
        </is>
      </c>
      <c r="B40" s="3" t="n">
        <v>5623000</v>
      </c>
      <c r="C40" s="3" t="n">
        <v>643683</v>
      </c>
      <c r="D40" s="3" t="n">
        <v>1493670</v>
      </c>
      <c r="E40" s="3" t="n">
        <v>-37353</v>
      </c>
      <c r="F40" s="3" t="n">
        <v>-531000</v>
      </c>
    </row>
    <row r="41">
      <c r="A41" t="inlineStr">
        <is>
          <t>Change In Prepaid Assets</t>
        </is>
      </c>
      <c r="B41" s="3" t="n">
        <v>-7176000</v>
      </c>
      <c r="C41" s="3" t="n">
        <v>4120787</v>
      </c>
      <c r="D41" s="3" t="n">
        <v>-5989289</v>
      </c>
      <c r="E41" s="3" t="n">
        <v>-2180498</v>
      </c>
      <c r="F41" s="3" t="n">
        <v>-3130000</v>
      </c>
    </row>
    <row r="42">
      <c r="A42" t="inlineStr">
        <is>
          <t>Change In Inventory</t>
        </is>
      </c>
      <c r="B42" s="3" t="n">
        <v>-27078000</v>
      </c>
      <c r="C42" s="3" t="n">
        <v>-809890</v>
      </c>
      <c r="D42" s="3" t="n">
        <v>-6472338</v>
      </c>
      <c r="E42" s="3" t="n">
        <v>-2314772</v>
      </c>
      <c r="F42" s="3" t="n">
        <v>-904000</v>
      </c>
    </row>
    <row r="43">
      <c r="A43" t="inlineStr">
        <is>
          <t>Change In Receivables</t>
        </is>
      </c>
      <c r="B43" s="3" t="n">
        <v>15584000</v>
      </c>
      <c r="C43" s="3" t="n">
        <v>-20048365</v>
      </c>
      <c r="D43" s="3" t="n">
        <v>-5094476</v>
      </c>
      <c r="E43" s="3" t="n">
        <v>541841</v>
      </c>
      <c r="F43" s="3" t="n">
        <v>-1065000</v>
      </c>
    </row>
    <row r="44">
      <c r="A44" t="inlineStr">
        <is>
          <t>Changes In Account Receivables</t>
        </is>
      </c>
      <c r="B44" s="3" t="n">
        <v>15584000</v>
      </c>
      <c r="C44" s="3" t="n">
        <v>-20048365</v>
      </c>
      <c r="D44" s="3" t="n">
        <v>-5094476</v>
      </c>
      <c r="E44" s="3" t="n">
        <v>541841</v>
      </c>
      <c r="F44" s="3" t="n">
        <v>-1065000</v>
      </c>
    </row>
    <row r="45">
      <c r="A45" t="inlineStr">
        <is>
          <t>Other Non Cash Items</t>
        </is>
      </c>
      <c r="B45" s="3" t="n">
        <v>867000</v>
      </c>
      <c r="C45" s="3" t="n">
        <v>-1495387</v>
      </c>
      <c r="D45" s="3" t="n">
        <v>6075331</v>
      </c>
      <c r="E45" s="3" t="n">
        <v>-3835944</v>
      </c>
      <c r="F45" s="3" t="n">
        <v>10700000</v>
      </c>
    </row>
    <row r="46">
      <c r="A46" t="inlineStr">
        <is>
          <t>Stock Based Compensation</t>
        </is>
      </c>
      <c r="B46" s="3" t="n">
        <v>4817000</v>
      </c>
      <c r="C46" s="3" t="n">
        <v>3306580</v>
      </c>
      <c r="D46" s="3" t="n">
        <v>3621387</v>
      </c>
      <c r="E46" s="3" t="n">
        <v>2035033</v>
      </c>
      <c r="F46" s="3" t="n">
        <v>1599000</v>
      </c>
    </row>
    <row r="47">
      <c r="A47" t="inlineStr">
        <is>
          <t>Asset Impairment Charge</t>
        </is>
      </c>
      <c r="B47" s="3" t="n"/>
      <c r="C47" s="3" t="n">
        <v>0</v>
      </c>
      <c r="D47" s="3" t="n">
        <v>0</v>
      </c>
      <c r="E47" s="3" t="n">
        <v>0</v>
      </c>
      <c r="F47" s="3" t="n">
        <v>0</v>
      </c>
    </row>
    <row r="48">
      <c r="A48" t="inlineStr">
        <is>
          <t>Deferred Tax</t>
        </is>
      </c>
      <c r="B48" s="3" t="n"/>
      <c r="C48" s="3" t="n">
        <v>-1233562</v>
      </c>
      <c r="D48" s="3" t="n">
        <v>694562</v>
      </c>
      <c r="E48" s="3" t="n">
        <v>0</v>
      </c>
      <c r="F48" s="3" t="n">
        <v>0</v>
      </c>
    </row>
    <row r="49">
      <c r="A49" t="inlineStr">
        <is>
          <t>Deferred Income Tax</t>
        </is>
      </c>
      <c r="B49" s="3" t="n"/>
      <c r="C49" s="3" t="n">
        <v>-1233562</v>
      </c>
      <c r="D49" s="3" t="n">
        <v>694562</v>
      </c>
      <c r="E49" s="3" t="n">
        <v>0</v>
      </c>
      <c r="F49" s="3" t="n">
        <v>0</v>
      </c>
    </row>
    <row r="50">
      <c r="A50" t="inlineStr">
        <is>
          <t>Depreciation Amortization Depletion</t>
        </is>
      </c>
      <c r="B50" s="3" t="n">
        <v>812000</v>
      </c>
      <c r="C50" s="3" t="n">
        <v>611290</v>
      </c>
      <c r="D50" s="3" t="n">
        <v>542319</v>
      </c>
      <c r="E50" s="3" t="n">
        <v>523391</v>
      </c>
      <c r="F50" s="3" t="n">
        <v>588000</v>
      </c>
    </row>
    <row r="51">
      <c r="A51" t="inlineStr">
        <is>
          <t>Depreciation And Amortization</t>
        </is>
      </c>
      <c r="B51" s="3" t="n">
        <v>812000</v>
      </c>
      <c r="C51" s="3" t="n">
        <v>611290</v>
      </c>
      <c r="D51" s="3" t="n">
        <v>542319</v>
      </c>
      <c r="E51" s="3" t="n">
        <v>523391</v>
      </c>
      <c r="F51" s="3" t="n">
        <v>588000</v>
      </c>
    </row>
    <row r="52">
      <c r="A52" t="inlineStr">
        <is>
          <t>Amortization Cash Flow</t>
        </is>
      </c>
      <c r="B52" s="3" t="n">
        <v>812000</v>
      </c>
      <c r="C52" s="3" t="n">
        <v>1106730</v>
      </c>
      <c r="D52" s="3" t="n">
        <v>376293</v>
      </c>
      <c r="E52" s="3" t="n">
        <v>193977</v>
      </c>
      <c r="F52" s="3" t="n">
        <v>588000</v>
      </c>
    </row>
    <row r="53">
      <c r="A53" t="inlineStr">
        <is>
          <t>Amortization Of Intangibles</t>
        </is>
      </c>
      <c r="B53" s="3" t="n">
        <v>812000</v>
      </c>
      <c r="C53" s="3" t="n">
        <v>1106730</v>
      </c>
      <c r="D53" s="3" t="n">
        <v>376293</v>
      </c>
      <c r="E53" s="3" t="n">
        <v>193977</v>
      </c>
      <c r="F53" s="3" t="n">
        <v>588000</v>
      </c>
    </row>
    <row r="54">
      <c r="A54" t="inlineStr">
        <is>
          <t>Depreciation</t>
        </is>
      </c>
      <c r="B54" s="3" t="n"/>
      <c r="C54" s="3" t="n"/>
      <c r="D54" s="3" t="n">
        <v>166026</v>
      </c>
      <c r="E54" s="3" t="n">
        <v>147542</v>
      </c>
      <c r="F54" s="3" t="n">
        <v>181872</v>
      </c>
    </row>
    <row r="55">
      <c r="A55" t="inlineStr">
        <is>
          <t>Operating Gains Losses</t>
        </is>
      </c>
      <c r="B55" s="3" t="n">
        <v>-326000</v>
      </c>
      <c r="C55" s="3" t="n">
        <v>-762672</v>
      </c>
      <c r="D55" s="3" t="n">
        <v>-7071663</v>
      </c>
      <c r="E55" s="3" t="n"/>
      <c r="F55" s="3" t="n"/>
    </row>
    <row r="56">
      <c r="A56" t="inlineStr">
        <is>
          <t>Earnings Losses From Equity Investments</t>
        </is>
      </c>
      <c r="B56" s="3" t="n"/>
      <c r="C56" s="3" t="n">
        <v>0</v>
      </c>
      <c r="D56" s="3" t="n">
        <v>0</v>
      </c>
      <c r="E56" s="3" t="n">
        <v>0</v>
      </c>
      <c r="F56" s="3" t="n">
        <v>0</v>
      </c>
    </row>
    <row r="57">
      <c r="A57" t="inlineStr">
        <is>
          <t>Gain Loss On Sale Of Business</t>
        </is>
      </c>
      <c r="B57" s="3" t="n"/>
      <c r="C57" s="3" t="n">
        <v>0</v>
      </c>
      <c r="D57" s="3" t="n">
        <v>0</v>
      </c>
      <c r="E57" s="3" t="n"/>
      <c r="F57" s="3" t="n"/>
    </row>
    <row r="58">
      <c r="A58" t="inlineStr">
        <is>
          <t>Net Income From Continuing Operations</t>
        </is>
      </c>
      <c r="B58" s="3" t="n">
        <v>-26553000</v>
      </c>
      <c r="C58" s="3" t="n">
        <v>-19656241</v>
      </c>
      <c r="D58" s="3" t="n">
        <v>-16016448</v>
      </c>
      <c r="E58" s="3" t="n">
        <v>-13279311</v>
      </c>
      <c r="F58" s="3" t="n">
        <v>-23123000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2026-08-02T23:44:28Z</dcterms:created>
  <dcterms:modified xsi:type="dcterms:W3CDTF">2026-08-02T23:44:29Z</dcterms:modified>
</cp:coreProperties>
</file>