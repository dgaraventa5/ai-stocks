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ISRG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Intuitive Surgical,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Healthcare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Medical Instruments &amp; Supplies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126590377984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119736827904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40.473083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29.27139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11.47234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0.66679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0.33603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0.28445998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0.17423001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0.185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5216200192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3222600000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358278038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353.33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2026-06-30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(annual)'!D36</f>
        <v/>
      </c>
      <c r="C3" s="3">
        <f>'Income stmt (annual)'!C36</f>
        <v/>
      </c>
      <c r="D3" s="3">
        <f>'Income stmt (annual)'!B36</f>
        <v/>
      </c>
      <c r="E3" s="3">
        <f>SUM('Income stmt (quarterly)'!B36:E36)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(annual)'!D34</f>
        <v/>
      </c>
      <c r="C4" s="3">
        <f>'Income stmt (annual)'!C34</f>
        <v/>
      </c>
      <c r="D4" s="3">
        <f>'Income stmt (annual)'!B34</f>
        <v/>
      </c>
      <c r="E4" s="3">
        <f>SUM('Income stmt (quarterly)'!B34:E34)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(annual)'!D30</f>
        <v/>
      </c>
      <c r="C6" s="3">
        <f>'Income stmt (annual)'!C30</f>
        <v/>
      </c>
      <c r="D6" s="3">
        <f>'Income stmt (annual)'!B30</f>
        <v/>
      </c>
      <c r="E6" s="3">
        <f>SUM('Income stmt (quarterly)'!B30:E30)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(annual)'!D8</f>
        <v/>
      </c>
      <c r="C8" s="3">
        <f>'Income stmt (annual)'!C8</f>
        <v/>
      </c>
      <c r="D8" s="3">
        <f>'Income stmt (annual)'!B8</f>
        <v/>
      </c>
      <c r="E8" s="3">
        <f>SUM('Income stmt (quarterly)'!B8:E8)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(annual)'!D4</f>
        <v/>
      </c>
      <c r="C11" s="3">
        <f>-'Cash flow (annual)'!C4</f>
        <v/>
      </c>
      <c r="D11" s="3">
        <f>-'Cash flow (annual)'!B4</f>
        <v/>
      </c>
      <c r="E11" s="3">
        <f>-SUM('Cash flow (quarterly)'!B4:E4)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t="inlineStr">
        <is>
          <t>Tax Rate For Calcs</t>
        </is>
      </c>
      <c r="B3" s="3" t="n">
        <v>0.131</v>
      </c>
      <c r="C3" s="3" t="n">
        <v>0.126</v>
      </c>
      <c r="D3" s="3" t="n">
        <v>0.07199999999999999</v>
      </c>
      <c r="E3" s="3" t="n">
        <v>0.163</v>
      </c>
    </row>
    <row r="4">
      <c r="A4" t="inlineStr">
        <is>
          <t>Normalized EBITDA</t>
        </is>
      </c>
      <c r="B4" s="3" t="n">
        <v>3622600000</v>
      </c>
      <c r="C4" s="3" t="n">
        <v>2848600000</v>
      </c>
      <c r="D4" s="3" t="n">
        <v>2221600000</v>
      </c>
      <c r="E4" s="3" t="n">
        <v>1942900000</v>
      </c>
    </row>
    <row r="5">
      <c r="A5" t="inlineStr">
        <is>
          <t>Net Income From Continuing Operation Net Minority Interest</t>
        </is>
      </c>
      <c r="B5" s="3" t="n">
        <v>2856000000</v>
      </c>
      <c r="C5" s="3" t="n">
        <v>2322600000</v>
      </c>
      <c r="D5" s="3" t="n">
        <v>1798000000</v>
      </c>
      <c r="E5" s="3" t="n">
        <v>1322300000</v>
      </c>
    </row>
    <row r="6">
      <c r="A6" t="inlineStr">
        <is>
          <t>Reconciled Depreciation</t>
        </is>
      </c>
      <c r="B6" s="3" t="n">
        <v>677100000</v>
      </c>
      <c r="C6" s="3" t="n">
        <v>499700000</v>
      </c>
      <c r="D6" s="3" t="n">
        <v>454800000</v>
      </c>
      <c r="E6" s="3" t="n">
        <v>365800000</v>
      </c>
    </row>
    <row r="7">
      <c r="A7" t="inlineStr">
        <is>
          <t>Reconciled Cost Of Revenue</t>
        </is>
      </c>
      <c r="B7" s="3" t="n">
        <v>3422400000</v>
      </c>
      <c r="C7" s="3" t="n">
        <v>2717900000</v>
      </c>
      <c r="D7" s="3" t="n">
        <v>2394600000</v>
      </c>
      <c r="E7" s="3" t="n">
        <v>2026200000</v>
      </c>
    </row>
    <row r="8">
      <c r="A8" t="inlineStr">
        <is>
          <t>EBITDA</t>
        </is>
      </c>
      <c r="B8" s="3" t="n">
        <v>3622600000</v>
      </c>
      <c r="C8" s="3" t="n">
        <v>2848600000</v>
      </c>
      <c r="D8" s="3" t="n">
        <v>2221600000</v>
      </c>
      <c r="E8" s="3" t="n">
        <v>1942900000</v>
      </c>
    </row>
    <row r="9">
      <c r="A9" t="inlineStr">
        <is>
          <t>EBIT</t>
        </is>
      </c>
      <c r="B9" s="3" t="n">
        <v>2945500000</v>
      </c>
      <c r="C9" s="3" t="n">
        <v>2348900000</v>
      </c>
      <c r="D9" s="3" t="n">
        <v>1766800000</v>
      </c>
      <c r="E9" s="3" t="n">
        <v>1577100000</v>
      </c>
    </row>
    <row r="10">
      <c r="A10" t="inlineStr">
        <is>
          <t>Net Interest Income</t>
        </is>
      </c>
      <c r="B10" s="3" t="n">
        <v>365900000</v>
      </c>
      <c r="C10" s="3" t="n">
        <v>324900000</v>
      </c>
      <c r="D10" s="3" t="n">
        <v>192100000</v>
      </c>
      <c r="E10" s="3" t="n">
        <v>29700000</v>
      </c>
    </row>
    <row r="11">
      <c r="A11" t="inlineStr">
        <is>
          <t>Interest Income</t>
        </is>
      </c>
      <c r="B11" s="3" t="n">
        <v>365900000</v>
      </c>
      <c r="C11" s="3" t="n">
        <v>324900000</v>
      </c>
      <c r="D11" s="3" t="n">
        <v>192100000</v>
      </c>
      <c r="E11" s="3" t="n">
        <v>29700000</v>
      </c>
    </row>
    <row r="12">
      <c r="A12" t="inlineStr">
        <is>
          <t>Normalized Income</t>
        </is>
      </c>
      <c r="B12" s="3" t="n">
        <v>2856000000</v>
      </c>
      <c r="C12" s="3" t="n">
        <v>2322600000</v>
      </c>
      <c r="D12" s="3" t="n">
        <v>1798000000</v>
      </c>
      <c r="E12" s="3" t="n">
        <v>1322300000</v>
      </c>
    </row>
    <row r="13">
      <c r="A13" t="inlineStr">
        <is>
          <t>Net Income From Continuing And Discontinued Operation</t>
        </is>
      </c>
      <c r="B13" s="3" t="n">
        <v>2856000000</v>
      </c>
      <c r="C13" s="3" t="n">
        <v>2322600000</v>
      </c>
      <c r="D13" s="3" t="n">
        <v>1798000000</v>
      </c>
      <c r="E13" s="3" t="n">
        <v>1322300000</v>
      </c>
    </row>
    <row r="14">
      <c r="A14" t="inlineStr">
        <is>
          <t>Total Expenses</t>
        </is>
      </c>
      <c r="B14" s="3" t="n">
        <v>7119200000</v>
      </c>
      <c r="C14" s="3" t="n">
        <v>6003200000</v>
      </c>
      <c r="D14" s="3" t="n">
        <v>5357300000</v>
      </c>
      <c r="E14" s="3" t="n">
        <v>4645100000</v>
      </c>
    </row>
    <row r="15">
      <c r="A15" t="inlineStr">
        <is>
          <t>Total Operating Income As Reported</t>
        </is>
      </c>
      <c r="B15" s="3" t="n">
        <v>2945500000</v>
      </c>
      <c r="C15" s="3" t="n">
        <v>2348900000</v>
      </c>
      <c r="D15" s="3" t="n">
        <v>1766800000</v>
      </c>
      <c r="E15" s="3" t="n">
        <v>1577100000</v>
      </c>
    </row>
    <row r="16">
      <c r="A16" t="inlineStr">
        <is>
          <t>Diluted Average Shares</t>
        </is>
      </c>
      <c r="B16" s="3" t="n">
        <v>362700000</v>
      </c>
      <c r="C16" s="3" t="n">
        <v>362000000</v>
      </c>
      <c r="D16" s="3" t="n">
        <v>357400000</v>
      </c>
      <c r="E16" s="3" t="n">
        <v>362000000</v>
      </c>
    </row>
    <row r="17">
      <c r="A17" t="inlineStr">
        <is>
          <t>Basic Average Shares</t>
        </is>
      </c>
      <c r="B17" s="3" t="n">
        <v>356900000</v>
      </c>
      <c r="C17" s="3" t="n">
        <v>355200000</v>
      </c>
      <c r="D17" s="3" t="n">
        <v>351200000</v>
      </c>
      <c r="E17" s="3" t="n">
        <v>355700000</v>
      </c>
    </row>
    <row r="18">
      <c r="A18" t="inlineStr">
        <is>
          <t>Diluted EPS</t>
        </is>
      </c>
      <c r="B18" s="3" t="n">
        <v>7.87</v>
      </c>
      <c r="C18" s="3" t="n">
        <v>6.42</v>
      </c>
      <c r="D18" s="3" t="n">
        <v>5.03</v>
      </c>
      <c r="E18" s="3" t="n">
        <v>3.65</v>
      </c>
    </row>
    <row r="19">
      <c r="A19" t="inlineStr">
        <is>
          <t>Basic EPS</t>
        </is>
      </c>
      <c r="B19" s="3" t="n">
        <v>8</v>
      </c>
      <c r="C19" s="3" t="n">
        <v>6.54</v>
      </c>
      <c r="D19" s="3" t="n">
        <v>5.12</v>
      </c>
      <c r="E19" s="3" t="n">
        <v>3.72</v>
      </c>
    </row>
    <row r="20">
      <c r="A20" t="inlineStr">
        <is>
          <t>Diluted NI Availto Com Stockholders</t>
        </is>
      </c>
      <c r="B20" s="3" t="n">
        <v>2856000000</v>
      </c>
      <c r="C20" s="3" t="n">
        <v>2322600000</v>
      </c>
      <c r="D20" s="3" t="n">
        <v>1798000000</v>
      </c>
      <c r="E20" s="3" t="n">
        <v>1322300000</v>
      </c>
    </row>
    <row r="21">
      <c r="A21" t="inlineStr">
        <is>
          <t>Net Income Common Stockholders</t>
        </is>
      </c>
      <c r="B21" s="3" t="n">
        <v>2856000000</v>
      </c>
      <c r="C21" s="3" t="n">
        <v>2322600000</v>
      </c>
      <c r="D21" s="3" t="n">
        <v>1798000000</v>
      </c>
      <c r="E21" s="3" t="n">
        <v>1322300000</v>
      </c>
    </row>
    <row r="22">
      <c r="A22" t="inlineStr">
        <is>
          <t>Net Income</t>
        </is>
      </c>
      <c r="B22" s="3" t="n">
        <v>2856000000</v>
      </c>
      <c r="C22" s="3" t="n">
        <v>2322600000</v>
      </c>
      <c r="D22" s="3" t="n">
        <v>1798000000</v>
      </c>
      <c r="E22" s="3" t="n">
        <v>1322300000</v>
      </c>
    </row>
    <row r="23">
      <c r="A23" t="inlineStr">
        <is>
          <t>Minority Interests</t>
        </is>
      </c>
      <c r="B23" s="3" t="n">
        <v>-20600000</v>
      </c>
      <c r="C23" s="3" t="n">
        <v>-14900000</v>
      </c>
      <c r="D23" s="3" t="n">
        <v>-19300000</v>
      </c>
      <c r="E23" s="3" t="n">
        <v>-22100000</v>
      </c>
    </row>
    <row r="24">
      <c r="A24" t="inlineStr">
        <is>
          <t>Net Income Including Noncontrolling Interests</t>
        </is>
      </c>
      <c r="B24" s="3" t="n">
        <v>2876600000</v>
      </c>
      <c r="C24" s="3" t="n">
        <v>2337500000</v>
      </c>
      <c r="D24" s="3" t="n">
        <v>1817300000</v>
      </c>
      <c r="E24" s="3" t="n">
        <v>1344400000</v>
      </c>
    </row>
    <row r="25">
      <c r="A25" t="inlineStr">
        <is>
          <t>Net Income Continuous Operations</t>
        </is>
      </c>
      <c r="B25" s="3" t="n">
        <v>2876600000</v>
      </c>
      <c r="C25" s="3" t="n">
        <v>2337500000</v>
      </c>
      <c r="D25" s="3" t="n">
        <v>1817300000</v>
      </c>
      <c r="E25" s="3" t="n">
        <v>1344400000</v>
      </c>
    </row>
    <row r="26">
      <c r="A26" t="inlineStr">
        <is>
          <t>Tax Provision</t>
        </is>
      </c>
      <c r="B26" s="3" t="n">
        <v>434800000</v>
      </c>
      <c r="C26" s="3" t="n">
        <v>336300000</v>
      </c>
      <c r="D26" s="3" t="n">
        <v>141600000</v>
      </c>
      <c r="E26" s="3" t="n">
        <v>262400000</v>
      </c>
    </row>
    <row r="27">
      <c r="A27" t="inlineStr">
        <is>
          <t>Pretax Income</t>
        </is>
      </c>
      <c r="B27" s="3" t="n">
        <v>3311400000</v>
      </c>
      <c r="C27" s="3" t="n">
        <v>2673800000</v>
      </c>
      <c r="D27" s="3" t="n">
        <v>1958900000</v>
      </c>
      <c r="E27" s="3" t="n">
        <v>1606800000</v>
      </c>
    </row>
    <row r="28">
      <c r="A28" t="inlineStr">
        <is>
          <t>Net Non Operating Interest Income Expense</t>
        </is>
      </c>
      <c r="B28" s="3" t="n">
        <v>365900000</v>
      </c>
      <c r="C28" s="3" t="n">
        <v>324900000</v>
      </c>
      <c r="D28" s="3" t="n">
        <v>192100000</v>
      </c>
      <c r="E28" s="3" t="n">
        <v>29700000</v>
      </c>
    </row>
    <row r="29">
      <c r="A29" t="inlineStr">
        <is>
          <t>Interest Income Non Operating</t>
        </is>
      </c>
      <c r="B29" s="3" t="n">
        <v>365900000</v>
      </c>
      <c r="C29" s="3" t="n">
        <v>324900000</v>
      </c>
      <c r="D29" s="3" t="n">
        <v>192100000</v>
      </c>
      <c r="E29" s="3" t="n">
        <v>29700000</v>
      </c>
    </row>
    <row r="30">
      <c r="A30" t="inlineStr">
        <is>
          <t>Operating Income</t>
        </is>
      </c>
      <c r="B30" s="3" t="n">
        <v>2945500000</v>
      </c>
      <c r="C30" s="3" t="n">
        <v>2348900000</v>
      </c>
      <c r="D30" s="3" t="n">
        <v>1766800000</v>
      </c>
      <c r="E30" s="3" t="n">
        <v>1577100000</v>
      </c>
    </row>
    <row r="31">
      <c r="A31" t="inlineStr">
        <is>
          <t>Operating Expense</t>
        </is>
      </c>
      <c r="B31" s="3" t="n">
        <v>3696800000</v>
      </c>
      <c r="C31" s="3" t="n">
        <v>3285300000</v>
      </c>
      <c r="D31" s="3" t="n">
        <v>2962700000</v>
      </c>
      <c r="E31" s="3" t="n">
        <v>2618900000</v>
      </c>
    </row>
    <row r="32">
      <c r="A32" t="inlineStr">
        <is>
          <t>Research And Development</t>
        </is>
      </c>
      <c r="B32" s="3" t="n">
        <v>1311800000</v>
      </c>
      <c r="C32" s="3" t="n">
        <v>1145300000</v>
      </c>
      <c r="D32" s="3" t="n">
        <v>998800000</v>
      </c>
      <c r="E32" s="3" t="n">
        <v>879000000</v>
      </c>
    </row>
    <row r="33">
      <c r="A33" t="inlineStr">
        <is>
          <t>Selling General And Administration</t>
        </is>
      </c>
      <c r="B33" s="3" t="n">
        <v>2385000000</v>
      </c>
      <c r="C33" s="3" t="n">
        <v>2140000000</v>
      </c>
      <c r="D33" s="3" t="n">
        <v>1963900000</v>
      </c>
      <c r="E33" s="3" t="n">
        <v>1739900000</v>
      </c>
    </row>
    <row r="34">
      <c r="A34" t="inlineStr">
        <is>
          <t>Gross Profit</t>
        </is>
      </c>
      <c r="B34" s="3" t="n">
        <v>6642300000</v>
      </c>
      <c r="C34" s="3" t="n">
        <v>5634200000</v>
      </c>
      <c r="D34" s="3" t="n">
        <v>4729500000</v>
      </c>
      <c r="E34" s="3" t="n">
        <v>4196000000</v>
      </c>
    </row>
    <row r="35">
      <c r="A35" t="inlineStr">
        <is>
          <t>Cost Of Revenue</t>
        </is>
      </c>
      <c r="B35" s="3" t="n">
        <v>3422400000</v>
      </c>
      <c r="C35" s="3" t="n">
        <v>2717900000</v>
      </c>
      <c r="D35" s="3" t="n">
        <v>2394600000</v>
      </c>
      <c r="E35" s="3" t="n">
        <v>2026200000</v>
      </c>
    </row>
    <row r="36">
      <c r="A36" t="inlineStr">
        <is>
          <t>Total Revenue</t>
        </is>
      </c>
      <c r="B36" s="3" t="n">
        <v>10064700000</v>
      </c>
      <c r="C36" s="3" t="n">
        <v>8352100000</v>
      </c>
      <c r="D36" s="3" t="n">
        <v>7124100000</v>
      </c>
      <c r="E36" s="3" t="n">
        <v>6222200000</v>
      </c>
    </row>
    <row r="37">
      <c r="A37" t="inlineStr">
        <is>
          <t>Operating Revenue</t>
        </is>
      </c>
      <c r="B37" s="3" t="n">
        <v>10064700000</v>
      </c>
      <c r="C37" s="3" t="n">
        <v>8352100000</v>
      </c>
      <c r="D37" s="3" t="n">
        <v>7124100000</v>
      </c>
      <c r="E37" s="3" t="n">
        <v>6222200000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2026-06-30</t>
        </is>
      </c>
      <c r="C1" s="1" t="inlineStr">
        <is>
          <t>2026-03-31</t>
        </is>
      </c>
      <c r="D1" s="1" t="inlineStr">
        <is>
          <t>2025-12-31</t>
        </is>
      </c>
      <c r="E1" s="1" t="inlineStr">
        <is>
          <t>2025-09-30</t>
        </is>
      </c>
      <c r="F1" s="1" t="inlineStr">
        <is>
          <t>2025-06-30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t="inlineStr">
        <is>
          <t>Tax Rate For Calcs</t>
        </is>
      </c>
      <c r="B3" s="3" t="n">
        <v>0.219</v>
      </c>
      <c r="C3" s="3" t="n">
        <v>0.122</v>
      </c>
      <c r="D3" s="3" t="n">
        <v>0.163353</v>
      </c>
      <c r="E3" s="3" t="n">
        <v>0.171</v>
      </c>
      <c r="F3" s="3" t="n">
        <v>0.202</v>
      </c>
    </row>
    <row r="4">
      <c r="A4" t="inlineStr">
        <is>
          <t>Normalized EBITDA</t>
        </is>
      </c>
      <c r="B4" s="3" t="n">
        <v>1203000000</v>
      </c>
      <c r="C4" s="3" t="n">
        <v>1055300000</v>
      </c>
      <c r="D4" s="3" t="n">
        <v>1085200000</v>
      </c>
      <c r="E4" s="3" t="n">
        <v>901900000</v>
      </c>
      <c r="F4" s="3" t="n">
        <v>907800000</v>
      </c>
    </row>
    <row r="5">
      <c r="A5" t="inlineStr">
        <is>
          <t>Net Income From Continuing Operation Net Minority Interest</t>
        </is>
      </c>
      <c r="B5" s="3" t="n">
        <v>818100000</v>
      </c>
      <c r="C5" s="3" t="n">
        <v>821500000</v>
      </c>
      <c r="D5" s="3" t="n">
        <v>794800000</v>
      </c>
      <c r="E5" s="3" t="n">
        <v>704400000</v>
      </c>
      <c r="F5" s="3" t="n">
        <v>658400000</v>
      </c>
    </row>
    <row r="6">
      <c r="A6" t="inlineStr">
        <is>
          <t>Reconciled Depreciation</t>
        </is>
      </c>
      <c r="B6" s="3" t="n">
        <v>231100000</v>
      </c>
      <c r="C6" s="3" t="n">
        <v>200000000</v>
      </c>
      <c r="D6" s="3" t="n">
        <v>220900000</v>
      </c>
      <c r="E6" s="3" t="n">
        <v>142200000</v>
      </c>
      <c r="F6" s="3" t="n">
        <v>164400000</v>
      </c>
    </row>
    <row r="7">
      <c r="A7" t="inlineStr">
        <is>
          <t>Reconciled Cost Of Revenue</t>
        </is>
      </c>
      <c r="B7" s="3" t="n">
        <v>931900000</v>
      </c>
      <c r="C7" s="3" t="n">
        <v>940300000</v>
      </c>
      <c r="D7" s="3" t="n">
        <v>961900000</v>
      </c>
      <c r="E7" s="3" t="n">
        <v>842700000</v>
      </c>
      <c r="F7" s="3" t="n">
        <v>822100000</v>
      </c>
    </row>
    <row r="8">
      <c r="A8" t="inlineStr">
        <is>
          <t>EBITDA</t>
        </is>
      </c>
      <c r="B8" s="3" t="n">
        <v>1203000000</v>
      </c>
      <c r="C8" s="3" t="n">
        <v>1055300000</v>
      </c>
      <c r="D8" s="3" t="n">
        <v>1085200000</v>
      </c>
      <c r="E8" s="3" t="n">
        <v>901900000</v>
      </c>
      <c r="F8" s="3" t="n">
        <v>907800000</v>
      </c>
    </row>
    <row r="9">
      <c r="A9" t="inlineStr">
        <is>
          <t>EBIT</t>
        </is>
      </c>
      <c r="B9" s="3" t="n">
        <v>971900000</v>
      </c>
      <c r="C9" s="3" t="n">
        <v>855300000</v>
      </c>
      <c r="D9" s="3" t="n">
        <v>864300000</v>
      </c>
      <c r="E9" s="3" t="n">
        <v>759700000</v>
      </c>
      <c r="F9" s="3" t="n">
        <v>743400000</v>
      </c>
    </row>
    <row r="10">
      <c r="A10" t="inlineStr">
        <is>
          <t>Net Interest Income</t>
        </is>
      </c>
      <c r="B10" s="3" t="n">
        <v>82700000</v>
      </c>
      <c r="C10" s="3" t="n">
        <v>85100000</v>
      </c>
      <c r="D10" s="3" t="n">
        <v>91300000</v>
      </c>
      <c r="E10" s="3" t="n">
        <v>95500000</v>
      </c>
      <c r="F10" s="3" t="n">
        <v>88700000</v>
      </c>
    </row>
    <row r="11">
      <c r="A11" t="inlineStr">
        <is>
          <t>Interest Income</t>
        </is>
      </c>
      <c r="B11" s="3" t="n">
        <v>82700000</v>
      </c>
      <c r="C11" s="3" t="n">
        <v>85100000</v>
      </c>
      <c r="D11" s="3" t="n">
        <v>91300000</v>
      </c>
      <c r="E11" s="3" t="n">
        <v>95500000</v>
      </c>
      <c r="F11" s="3" t="n">
        <v>88700000</v>
      </c>
    </row>
    <row r="12">
      <c r="A12" t="inlineStr">
        <is>
          <t>Normalized Income</t>
        </is>
      </c>
      <c r="B12" s="3" t="n">
        <v>818100000</v>
      </c>
      <c r="C12" s="3" t="n">
        <v>821500000</v>
      </c>
      <c r="D12" s="3" t="n">
        <v>794800000</v>
      </c>
      <c r="E12" s="3" t="n">
        <v>704400000</v>
      </c>
      <c r="F12" s="3" t="n">
        <v>658400000</v>
      </c>
    </row>
    <row r="13">
      <c r="A13" t="inlineStr">
        <is>
          <t>Net Income From Continuing And Discontinued Operation</t>
        </is>
      </c>
      <c r="B13" s="3" t="n">
        <v>818100000</v>
      </c>
      <c r="C13" s="3" t="n">
        <v>821500000</v>
      </c>
      <c r="D13" s="3" t="n">
        <v>794800000</v>
      </c>
      <c r="E13" s="3" t="n">
        <v>704400000</v>
      </c>
      <c r="F13" s="3" t="n">
        <v>658400000</v>
      </c>
    </row>
    <row r="14">
      <c r="A14" t="inlineStr">
        <is>
          <t>Total Expenses</t>
        </is>
      </c>
      <c r="B14" s="3" t="n">
        <v>1920400000</v>
      </c>
      <c r="C14" s="3" t="n">
        <v>1915500000</v>
      </c>
      <c r="D14" s="3" t="n">
        <v>2001900000</v>
      </c>
      <c r="E14" s="3" t="n">
        <v>1745400000</v>
      </c>
      <c r="F14" s="3" t="n">
        <v>1696600000</v>
      </c>
    </row>
    <row r="15">
      <c r="A15" t="inlineStr">
        <is>
          <t>Total Operating Income As Reported</t>
        </is>
      </c>
      <c r="B15" s="3" t="n">
        <v>971900000</v>
      </c>
      <c r="C15" s="3" t="n">
        <v>855300000</v>
      </c>
      <c r="D15" s="3" t="n">
        <v>864300000</v>
      </c>
      <c r="E15" s="3" t="n">
        <v>759700000</v>
      </c>
      <c r="F15" s="3" t="n">
        <v>743400000</v>
      </c>
    </row>
    <row r="16">
      <c r="A16" t="inlineStr">
        <is>
          <t>Diluted Average Shares</t>
        </is>
      </c>
      <c r="B16" s="3" t="n">
        <v>357300000</v>
      </c>
      <c r="C16" s="3" t="n">
        <v>359800000</v>
      </c>
      <c r="D16" s="3" t="n">
        <v>360400000</v>
      </c>
      <c r="E16" s="3" t="n">
        <v>361800000</v>
      </c>
      <c r="F16" s="3" t="n">
        <v>364100000</v>
      </c>
    </row>
    <row r="17">
      <c r="A17" t="inlineStr">
        <is>
          <t>Basic Average Shares</t>
        </is>
      </c>
      <c r="B17" s="3" t="n">
        <v>354100000</v>
      </c>
      <c r="C17" s="3" t="n">
        <v>354900000</v>
      </c>
      <c r="D17" s="3" t="n">
        <v>354900000</v>
      </c>
      <c r="E17" s="3" t="n">
        <v>356600000</v>
      </c>
      <c r="F17" s="3" t="n">
        <v>358500000</v>
      </c>
    </row>
    <row r="18">
      <c r="A18" t="inlineStr">
        <is>
          <t>Diluted EPS</t>
        </is>
      </c>
      <c r="B18" s="3" t="n">
        <v>2.29</v>
      </c>
      <c r="C18" s="3" t="n">
        <v>2.28</v>
      </c>
      <c r="D18" s="3" t="n">
        <v>2.21</v>
      </c>
      <c r="E18" s="3" t="n">
        <v>1.95</v>
      </c>
      <c r="F18" s="3" t="n">
        <v>1.81</v>
      </c>
    </row>
    <row r="19">
      <c r="A19" t="inlineStr">
        <is>
          <t>Basic EPS</t>
        </is>
      </c>
      <c r="B19" s="3" t="n">
        <v>2.31</v>
      </c>
      <c r="C19" s="3" t="n">
        <v>2.31</v>
      </c>
      <c r="D19" s="3" t="n">
        <v>2.24</v>
      </c>
      <c r="E19" s="3" t="n">
        <v>1.98</v>
      </c>
      <c r="F19" s="3" t="n">
        <v>1.84</v>
      </c>
    </row>
    <row r="20">
      <c r="A20" t="inlineStr">
        <is>
          <t>Diluted NI Availto Com Stockholders</t>
        </is>
      </c>
      <c r="B20" s="3" t="n">
        <v>818100000</v>
      </c>
      <c r="C20" s="3" t="n">
        <v>821500000</v>
      </c>
      <c r="D20" s="3" t="n">
        <v>794800000</v>
      </c>
      <c r="E20" s="3" t="n">
        <v>704400000</v>
      </c>
      <c r="F20" s="3" t="n">
        <v>658400000</v>
      </c>
    </row>
    <row r="21">
      <c r="A21" t="inlineStr">
        <is>
          <t>Net Income Common Stockholders</t>
        </is>
      </c>
      <c r="B21" s="3" t="n">
        <v>818100000</v>
      </c>
      <c r="C21" s="3" t="n">
        <v>821500000</v>
      </c>
      <c r="D21" s="3" t="n">
        <v>794800000</v>
      </c>
      <c r="E21" s="3" t="n">
        <v>704400000</v>
      </c>
      <c r="F21" s="3" t="n">
        <v>658400000</v>
      </c>
    </row>
    <row r="22">
      <c r="A22" t="inlineStr">
        <is>
          <t>Net Income</t>
        </is>
      </c>
      <c r="B22" s="3" t="n">
        <v>818100000</v>
      </c>
      <c r="C22" s="3" t="n">
        <v>821500000</v>
      </c>
      <c r="D22" s="3" t="n">
        <v>794800000</v>
      </c>
      <c r="E22" s="3" t="n">
        <v>704400000</v>
      </c>
      <c r="F22" s="3" t="n">
        <v>658400000</v>
      </c>
    </row>
    <row r="23">
      <c r="A23" t="inlineStr">
        <is>
          <t>Minority Interests</t>
        </is>
      </c>
      <c r="B23" s="3" t="n">
        <v>-5100000</v>
      </c>
      <c r="C23" s="3" t="n">
        <v>-4500000</v>
      </c>
      <c r="D23" s="3" t="n">
        <v>-4700000</v>
      </c>
      <c r="E23" s="3" t="n">
        <v>-4800000</v>
      </c>
      <c r="F23" s="3" t="n">
        <v>-5800000</v>
      </c>
    </row>
    <row r="24">
      <c r="A24" t="inlineStr">
        <is>
          <t>Net Income Including Noncontrolling Interests</t>
        </is>
      </c>
      <c r="B24" s="3" t="n">
        <v>823200000</v>
      </c>
      <c r="C24" s="3" t="n">
        <v>826000000</v>
      </c>
      <c r="D24" s="3" t="n">
        <v>799500000</v>
      </c>
      <c r="E24" s="3" t="n">
        <v>709200000</v>
      </c>
      <c r="F24" s="3" t="n">
        <v>664200000</v>
      </c>
    </row>
    <row r="25">
      <c r="A25" t="inlineStr">
        <is>
          <t>Net Income Continuous Operations</t>
        </is>
      </c>
      <c r="B25" s="3" t="n">
        <v>823200000</v>
      </c>
      <c r="C25" s="3" t="n">
        <v>826000000</v>
      </c>
      <c r="D25" s="3" t="n">
        <v>799500000</v>
      </c>
      <c r="E25" s="3" t="n">
        <v>709200000</v>
      </c>
      <c r="F25" s="3" t="n">
        <v>664200000</v>
      </c>
    </row>
    <row r="26">
      <c r="A26" t="inlineStr">
        <is>
          <t>Tax Provision</t>
        </is>
      </c>
      <c r="B26" s="3" t="n">
        <v>231400000</v>
      </c>
      <c r="C26" s="3" t="n">
        <v>114400000</v>
      </c>
      <c r="D26" s="3" t="n">
        <v>156100000</v>
      </c>
      <c r="E26" s="3" t="n">
        <v>146000000</v>
      </c>
      <c r="F26" s="3" t="n">
        <v>167900000</v>
      </c>
    </row>
    <row r="27">
      <c r="A27" t="inlineStr">
        <is>
          <t>Pretax Income</t>
        </is>
      </c>
      <c r="B27" s="3" t="n">
        <v>1054600000</v>
      </c>
      <c r="C27" s="3" t="n">
        <v>940400000</v>
      </c>
      <c r="D27" s="3" t="n">
        <v>955600000</v>
      </c>
      <c r="E27" s="3" t="n">
        <v>855200000</v>
      </c>
      <c r="F27" s="3" t="n">
        <v>832100000</v>
      </c>
    </row>
    <row r="28">
      <c r="A28" t="inlineStr">
        <is>
          <t>Net Non Operating Interest Income Expense</t>
        </is>
      </c>
      <c r="B28" s="3" t="n">
        <v>82700000</v>
      </c>
      <c r="C28" s="3" t="n">
        <v>85100000</v>
      </c>
      <c r="D28" s="3" t="n">
        <v>91300000</v>
      </c>
      <c r="E28" s="3" t="n">
        <v>95500000</v>
      </c>
      <c r="F28" s="3" t="n">
        <v>88700000</v>
      </c>
    </row>
    <row r="29">
      <c r="A29" t="inlineStr">
        <is>
          <t>Interest Income Non Operating</t>
        </is>
      </c>
      <c r="B29" s="3" t="n">
        <v>82700000</v>
      </c>
      <c r="C29" s="3" t="n">
        <v>85100000</v>
      </c>
      <c r="D29" s="3" t="n">
        <v>91300000</v>
      </c>
      <c r="E29" s="3" t="n">
        <v>95500000</v>
      </c>
      <c r="F29" s="3" t="n">
        <v>88700000</v>
      </c>
    </row>
    <row r="30">
      <c r="A30" t="inlineStr">
        <is>
          <t>Operating Income</t>
        </is>
      </c>
      <c r="B30" s="3" t="n">
        <v>971900000</v>
      </c>
      <c r="C30" s="3" t="n">
        <v>855300000</v>
      </c>
      <c r="D30" s="3" t="n">
        <v>864300000</v>
      </c>
      <c r="E30" s="3" t="n">
        <v>759700000</v>
      </c>
      <c r="F30" s="3" t="n">
        <v>743400000</v>
      </c>
    </row>
    <row r="31">
      <c r="A31" t="inlineStr">
        <is>
          <t>Operating Expense</t>
        </is>
      </c>
      <c r="B31" s="3" t="n">
        <v>988500000</v>
      </c>
      <c r="C31" s="3" t="n">
        <v>975200000</v>
      </c>
      <c r="D31" s="3" t="n">
        <v>1040000000</v>
      </c>
      <c r="E31" s="3" t="n">
        <v>902700000</v>
      </c>
      <c r="F31" s="3" t="n">
        <v>874500000</v>
      </c>
    </row>
    <row r="32">
      <c r="A32" t="inlineStr">
        <is>
          <t>Research And Development</t>
        </is>
      </c>
      <c r="B32" s="3" t="n">
        <v>370600000</v>
      </c>
      <c r="C32" s="3" t="n">
        <v>361900000</v>
      </c>
      <c r="D32" s="3" t="n">
        <v>352900000</v>
      </c>
      <c r="E32" s="3" t="n">
        <v>329400000</v>
      </c>
      <c r="F32" s="3" t="n">
        <v>313300000</v>
      </c>
    </row>
    <row r="33">
      <c r="A33" t="inlineStr">
        <is>
          <t>Selling General And Administration</t>
        </is>
      </c>
      <c r="B33" s="3" t="n">
        <v>617900000</v>
      </c>
      <c r="C33" s="3" t="n">
        <v>613300000</v>
      </c>
      <c r="D33" s="3" t="n">
        <v>687100000</v>
      </c>
      <c r="E33" s="3" t="n">
        <v>573300000</v>
      </c>
      <c r="F33" s="3" t="n">
        <v>561200000</v>
      </c>
    </row>
    <row r="34">
      <c r="A34" t="inlineStr">
        <is>
          <t>Gross Profit</t>
        </is>
      </c>
      <c r="B34" s="3" t="n">
        <v>1960400000</v>
      </c>
      <c r="C34" s="3" t="n">
        <v>1830500000</v>
      </c>
      <c r="D34" s="3" t="n">
        <v>1904300000</v>
      </c>
      <c r="E34" s="3" t="n">
        <v>1662400000</v>
      </c>
      <c r="F34" s="3" t="n">
        <v>1617900000</v>
      </c>
    </row>
    <row r="35">
      <c r="A35" t="inlineStr">
        <is>
          <t>Cost Of Revenue</t>
        </is>
      </c>
      <c r="B35" s="3" t="n">
        <v>931900000</v>
      </c>
      <c r="C35" s="3" t="n">
        <v>940300000</v>
      </c>
      <c r="D35" s="3" t="n">
        <v>961900000</v>
      </c>
      <c r="E35" s="3" t="n">
        <v>842700000</v>
      </c>
      <c r="F35" s="3" t="n">
        <v>822100000</v>
      </c>
    </row>
    <row r="36">
      <c r="A36" t="inlineStr">
        <is>
          <t>Total Revenue</t>
        </is>
      </c>
      <c r="B36" s="3" t="n">
        <v>2892300000</v>
      </c>
      <c r="C36" s="3" t="n">
        <v>2770800000</v>
      </c>
      <c r="D36" s="3" t="n">
        <v>2866200000</v>
      </c>
      <c r="E36" s="3" t="n">
        <v>2505100000</v>
      </c>
      <c r="F36" s="3" t="n">
        <v>2440000000</v>
      </c>
    </row>
    <row r="37">
      <c r="A37" t="inlineStr">
        <is>
          <t>Operating Revenue</t>
        </is>
      </c>
      <c r="B37" s="3" t="n">
        <v>2892300000</v>
      </c>
      <c r="C37" s="3" t="n">
        <v>2770800000</v>
      </c>
      <c r="D37" s="3" t="n">
        <v>2866200000</v>
      </c>
      <c r="E37" s="3" t="n">
        <v>2505100000</v>
      </c>
      <c r="F37" s="3" t="n">
        <v>2440000000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355100000</v>
      </c>
      <c r="C2" s="3" t="n">
        <v>356600000</v>
      </c>
      <c r="D2" s="3" t="n">
        <v>352299592</v>
      </c>
      <c r="E2" s="3" t="n">
        <v>350000000</v>
      </c>
      <c r="F2" s="3" t="n"/>
    </row>
    <row r="3">
      <c r="A3" t="inlineStr">
        <is>
          <t>Share Issued</t>
        </is>
      </c>
      <c r="B3" s="3" t="n">
        <v>355100000</v>
      </c>
      <c r="C3" s="3" t="n">
        <v>356600000</v>
      </c>
      <c r="D3" s="3" t="n">
        <v>352299592</v>
      </c>
      <c r="E3" s="3" t="n">
        <v>350000000</v>
      </c>
      <c r="F3" s="3" t="n"/>
    </row>
    <row r="4">
      <c r="A4" t="inlineStr">
        <is>
          <t>Total Debt</t>
        </is>
      </c>
      <c r="B4" s="3" t="n"/>
      <c r="C4" s="3" t="n"/>
      <c r="D4" s="3" t="n"/>
      <c r="E4" s="3" t="n"/>
      <c r="F4" s="3" t="n">
        <v>87000000</v>
      </c>
    </row>
    <row r="5">
      <c r="A5" t="inlineStr">
        <is>
          <t>Tangible Book Value</t>
        </is>
      </c>
      <c r="B5" s="3" t="n">
        <v>17442600000</v>
      </c>
      <c r="C5" s="3" t="n">
        <v>16063200000</v>
      </c>
      <c r="D5" s="3" t="n">
        <v>12919800000</v>
      </c>
      <c r="E5" s="3" t="n">
        <v>10643600000</v>
      </c>
      <c r="F5" s="3" t="n"/>
    </row>
    <row r="6">
      <c r="A6" t="inlineStr">
        <is>
          <t>Invested Capital</t>
        </is>
      </c>
      <c r="B6" s="3" t="n">
        <v>17824000000</v>
      </c>
      <c r="C6" s="3" t="n">
        <v>16433700000</v>
      </c>
      <c r="D6" s="3" t="n">
        <v>13307600000</v>
      </c>
      <c r="E6" s="3" t="n">
        <v>11041900000</v>
      </c>
      <c r="F6" s="3" t="n"/>
    </row>
    <row r="7">
      <c r="A7" t="inlineStr">
        <is>
          <t>Working Capital</t>
        </is>
      </c>
      <c r="B7" s="3" t="n">
        <v>7773300000</v>
      </c>
      <c r="C7" s="3" t="n">
        <v>5365700000</v>
      </c>
      <c r="D7" s="3" t="n">
        <v>6229300000</v>
      </c>
      <c r="E7" s="3" t="n">
        <v>4830900000</v>
      </c>
      <c r="F7" s="3" t="n"/>
    </row>
    <row r="8">
      <c r="A8" t="inlineStr">
        <is>
          <t>Net Tangible Assets</t>
        </is>
      </c>
      <c r="B8" s="3" t="n">
        <v>17442600000</v>
      </c>
      <c r="C8" s="3" t="n">
        <v>16063200000</v>
      </c>
      <c r="D8" s="3" t="n">
        <v>12919800000</v>
      </c>
      <c r="E8" s="3" t="n">
        <v>10643600000</v>
      </c>
      <c r="F8" s="3" t="n"/>
    </row>
    <row r="9">
      <c r="A9" t="inlineStr">
        <is>
          <t>Capital Lease Obligations</t>
        </is>
      </c>
      <c r="B9" s="3" t="n"/>
      <c r="C9" s="3" t="n"/>
      <c r="D9" s="3" t="n"/>
      <c r="E9" s="3" t="n"/>
      <c r="F9" s="3" t="n">
        <v>87000000</v>
      </c>
    </row>
    <row r="10">
      <c r="A10" t="inlineStr">
        <is>
          <t>Common Stock Equity</t>
        </is>
      </c>
      <c r="B10" s="3" t="n">
        <v>17824000000</v>
      </c>
      <c r="C10" s="3" t="n">
        <v>16433700000</v>
      </c>
      <c r="D10" s="3" t="n">
        <v>13307600000</v>
      </c>
      <c r="E10" s="3" t="n">
        <v>11041900000</v>
      </c>
      <c r="F10" s="3" t="n"/>
    </row>
    <row r="11">
      <c r="A11" t="inlineStr">
        <is>
          <t>Total Capitalization</t>
        </is>
      </c>
      <c r="B11" s="3" t="n">
        <v>17824000000</v>
      </c>
      <c r="C11" s="3" t="n">
        <v>16433700000</v>
      </c>
      <c r="D11" s="3" t="n">
        <v>13307600000</v>
      </c>
      <c r="E11" s="3" t="n">
        <v>11041900000</v>
      </c>
      <c r="F11" s="3" t="n"/>
    </row>
    <row r="12">
      <c r="A12" t="inlineStr">
        <is>
          <t>Total Equity Gross Minority Interest</t>
        </is>
      </c>
      <c r="B12" s="3" t="n">
        <v>17941700000</v>
      </c>
      <c r="C12" s="3" t="n">
        <v>16529600000</v>
      </c>
      <c r="D12" s="3" t="n">
        <v>13397300000</v>
      </c>
      <c r="E12" s="3" t="n">
        <v>11112600000</v>
      </c>
      <c r="F12" s="3" t="n"/>
    </row>
    <row r="13">
      <c r="A13" t="inlineStr">
        <is>
          <t>Minority Interest</t>
        </is>
      </c>
      <c r="B13" s="3" t="n">
        <v>117700000</v>
      </c>
      <c r="C13" s="3" t="n">
        <v>95900000</v>
      </c>
      <c r="D13" s="3" t="n">
        <v>89700000</v>
      </c>
      <c r="E13" s="3" t="n">
        <v>70700000</v>
      </c>
      <c r="F13" s="3" t="n"/>
    </row>
    <row r="14">
      <c r="A14" t="inlineStr">
        <is>
          <t>Stockholders Equity</t>
        </is>
      </c>
      <c r="B14" s="3" t="n">
        <v>17824000000</v>
      </c>
      <c r="C14" s="3" t="n">
        <v>16433700000</v>
      </c>
      <c r="D14" s="3" t="n">
        <v>13307600000</v>
      </c>
      <c r="E14" s="3" t="n">
        <v>11041900000</v>
      </c>
      <c r="F14" s="3" t="n"/>
    </row>
    <row r="15">
      <c r="A15" t="inlineStr">
        <is>
          <t>Gains Losses Not Affecting Retained Earnings</t>
        </is>
      </c>
      <c r="B15" s="3" t="n">
        <v>43300000</v>
      </c>
      <c r="C15" s="3" t="n">
        <v>-51300000</v>
      </c>
      <c r="D15" s="3" t="n">
        <v>-12200000</v>
      </c>
      <c r="E15" s="3" t="n">
        <v>-162500000</v>
      </c>
      <c r="F15" s="3" t="n"/>
    </row>
    <row r="16">
      <c r="A16" t="inlineStr">
        <is>
          <t>Other Equity Adjustments</t>
        </is>
      </c>
      <c r="B16" s="3" t="n">
        <v>43300000</v>
      </c>
      <c r="C16" s="3" t="n">
        <v>-51300000</v>
      </c>
      <c r="D16" s="3" t="n">
        <v>-12200000</v>
      </c>
      <c r="E16" s="3" t="n">
        <v>-162500000</v>
      </c>
      <c r="F16" s="3" t="n"/>
    </row>
    <row r="17">
      <c r="A17" t="inlineStr">
        <is>
          <t>Retained Earnings</t>
        </is>
      </c>
      <c r="B17" s="3" t="n">
        <v>7011800000</v>
      </c>
      <c r="C17" s="3" t="n">
        <v>6803300000</v>
      </c>
      <c r="D17" s="3" t="n">
        <v>4743000000</v>
      </c>
      <c r="E17" s="3" t="n">
        <v>3500100000</v>
      </c>
      <c r="F17" s="3" t="n"/>
    </row>
    <row r="18">
      <c r="A18" t="inlineStr">
        <is>
          <t>Additional Paid In Capital</t>
        </is>
      </c>
      <c r="B18" s="3" t="n">
        <v>10768500000</v>
      </c>
      <c r="C18" s="3" t="n">
        <v>9681300000</v>
      </c>
      <c r="D18" s="3" t="n">
        <v>8576400000</v>
      </c>
      <c r="E18" s="3" t="n">
        <v>7703900000</v>
      </c>
      <c r="F18" s="3" t="n"/>
    </row>
    <row r="19">
      <c r="A19" t="inlineStr">
        <is>
          <t>Capital Stock</t>
        </is>
      </c>
      <c r="B19" s="3" t="n">
        <v>400000</v>
      </c>
      <c r="C19" s="3" t="n">
        <v>400000</v>
      </c>
      <c r="D19" s="3" t="n">
        <v>400000</v>
      </c>
      <c r="E19" s="3" t="n">
        <v>400000</v>
      </c>
      <c r="F19" s="3" t="n"/>
    </row>
    <row r="20">
      <c r="A20" t="inlineStr">
        <is>
          <t>Common Stock</t>
        </is>
      </c>
      <c r="B20" s="3" t="n">
        <v>400000</v>
      </c>
      <c r="C20" s="3" t="n">
        <v>400000</v>
      </c>
      <c r="D20" s="3" t="n">
        <v>400000</v>
      </c>
      <c r="E20" s="3" t="n">
        <v>400000</v>
      </c>
      <c r="F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/>
    </row>
    <row r="22">
      <c r="A22" t="inlineStr">
        <is>
          <t>Total Liabilities Net Minority Interest</t>
        </is>
      </c>
      <c r="B22" s="3" t="n">
        <v>2517000000</v>
      </c>
      <c r="C22" s="3" t="n">
        <v>2213600000</v>
      </c>
      <c r="D22" s="3" t="n">
        <v>2044200000</v>
      </c>
      <c r="E22" s="3" t="n">
        <v>1861400000</v>
      </c>
      <c r="F22" s="3" t="n"/>
    </row>
    <row r="23">
      <c r="A23" t="inlineStr">
        <is>
          <t>Total Non Current Liabilities Net Minority Interest</t>
        </is>
      </c>
      <c r="B23" s="3" t="n">
        <v>510800000</v>
      </c>
      <c r="C23" s="3" t="n">
        <v>468300000</v>
      </c>
      <c r="D23" s="3" t="n">
        <v>385500000</v>
      </c>
      <c r="E23" s="3" t="n">
        <v>439300000</v>
      </c>
      <c r="F23" s="3" t="n"/>
    </row>
    <row r="24">
      <c r="A24" t="inlineStr">
        <is>
          <t>Other Non Current Liabilities</t>
        </is>
      </c>
      <c r="B24" s="3" t="n">
        <v>225800000</v>
      </c>
      <c r="C24" s="3" t="n">
        <v>175200000</v>
      </c>
      <c r="D24" s="3" t="n">
        <v>106100000</v>
      </c>
      <c r="E24" s="3" t="n">
        <v>110300000</v>
      </c>
      <c r="F24" s="3" t="n"/>
    </row>
    <row r="25">
      <c r="A25" t="inlineStr">
        <is>
          <t>Tradeand Other Payables Non Current</t>
        </is>
      </c>
      <c r="B25" s="3" t="n">
        <v>193600000</v>
      </c>
      <c r="C25" s="3" t="n">
        <v>239000000</v>
      </c>
      <c r="D25" s="3" t="n">
        <v>233800000</v>
      </c>
      <c r="E25" s="3" t="n">
        <v>288000000</v>
      </c>
      <c r="F25" s="3" t="n"/>
    </row>
    <row r="26">
      <c r="A26" t="inlineStr">
        <is>
          <t>Non Current Deferred Liabilities</t>
        </is>
      </c>
      <c r="B26" s="3" t="n">
        <v>91400000</v>
      </c>
      <c r="C26" s="3" t="n">
        <v>54100000</v>
      </c>
      <c r="D26" s="3" t="n">
        <v>45600000</v>
      </c>
      <c r="E26" s="3" t="n">
        <v>41000000</v>
      </c>
      <c r="F26" s="3" t="n"/>
    </row>
    <row r="27">
      <c r="A27" t="inlineStr">
        <is>
          <t>Non Current Deferred Revenue</t>
        </is>
      </c>
      <c r="B27" s="3" t="n">
        <v>91400000</v>
      </c>
      <c r="C27" s="3" t="n">
        <v>54100000</v>
      </c>
      <c r="D27" s="3" t="n">
        <v>45600000</v>
      </c>
      <c r="E27" s="3" t="n">
        <v>41000000</v>
      </c>
      <c r="F27" s="3" t="n"/>
    </row>
    <row r="28">
      <c r="A28" t="inlineStr">
        <is>
          <t>Long Term Debt And Capital Lease Obligation</t>
        </is>
      </c>
      <c r="B28" s="3" t="n"/>
      <c r="C28" s="3" t="n"/>
      <c r="D28" s="3" t="n"/>
      <c r="E28" s="3" t="n"/>
      <c r="F28" s="3" t="n">
        <v>87000000</v>
      </c>
    </row>
    <row r="29">
      <c r="A29" t="inlineStr">
        <is>
          <t>Long Term Capital Lease Obligation</t>
        </is>
      </c>
      <c r="B29" s="3" t="n"/>
      <c r="C29" s="3" t="n"/>
      <c r="D29" s="3" t="n"/>
      <c r="E29" s="3" t="n"/>
      <c r="F29" s="3" t="n">
        <v>87000000</v>
      </c>
    </row>
    <row r="30">
      <c r="A30" t="inlineStr">
        <is>
          <t>Current Liabilities</t>
        </is>
      </c>
      <c r="B30" s="3" t="n">
        <v>2006200000</v>
      </c>
      <c r="C30" s="3" t="n">
        <v>1745300000</v>
      </c>
      <c r="D30" s="3" t="n">
        <v>1658700000</v>
      </c>
      <c r="E30" s="3" t="n">
        <v>1422100000</v>
      </c>
      <c r="F30" s="3" t="n"/>
    </row>
    <row r="31">
      <c r="A31" t="inlineStr">
        <is>
          <t>Current Deferred Liabilities</t>
        </is>
      </c>
      <c r="B31" s="3" t="n">
        <v>506700000</v>
      </c>
      <c r="C31" s="3" t="n">
        <v>468800000</v>
      </c>
      <c r="D31" s="3" t="n">
        <v>446100000</v>
      </c>
      <c r="E31" s="3" t="n">
        <v>397300000</v>
      </c>
      <c r="F31" s="3" t="n"/>
    </row>
    <row r="32">
      <c r="A32" t="inlineStr">
        <is>
          <t>Current Deferred Revenue</t>
        </is>
      </c>
      <c r="B32" s="3" t="n">
        <v>506700000</v>
      </c>
      <c r="C32" s="3" t="n">
        <v>468800000</v>
      </c>
      <c r="D32" s="3" t="n">
        <v>446100000</v>
      </c>
      <c r="E32" s="3" t="n">
        <v>397300000</v>
      </c>
      <c r="F32" s="3" t="n"/>
    </row>
    <row r="33">
      <c r="A33" t="inlineStr">
        <is>
          <t>Pensionand Other Post Retirement Benefit Plans Current</t>
        </is>
      </c>
      <c r="B33" s="3" t="n">
        <v>648400000</v>
      </c>
      <c r="C33" s="3" t="n">
        <v>535600000</v>
      </c>
      <c r="D33" s="3" t="n">
        <v>436400000</v>
      </c>
      <c r="E33" s="3" t="n">
        <v>401600000</v>
      </c>
      <c r="F33" s="3" t="n"/>
    </row>
    <row r="34">
      <c r="A34" t="inlineStr">
        <is>
          <t>Payables And Accrued Expenses</t>
        </is>
      </c>
      <c r="B34" s="3" t="n">
        <v>851100000</v>
      </c>
      <c r="C34" s="3" t="n">
        <v>740900000</v>
      </c>
      <c r="D34" s="3" t="n">
        <v>776200000</v>
      </c>
      <c r="E34" s="3" t="n">
        <v>623200000</v>
      </c>
      <c r="F34" s="3" t="n"/>
    </row>
    <row r="35">
      <c r="A35" t="inlineStr">
        <is>
          <t>Current Accrued Expenses</t>
        </is>
      </c>
      <c r="B35" s="3" t="n">
        <v>470600000</v>
      </c>
      <c r="C35" s="3" t="n">
        <v>393100000</v>
      </c>
      <c r="D35" s="3" t="n">
        <v>476100000</v>
      </c>
      <c r="E35" s="3" t="n">
        <v>380100000</v>
      </c>
      <c r="F35" s="3" t="n"/>
    </row>
    <row r="36">
      <c r="A36" t="inlineStr">
        <is>
          <t>Payables</t>
        </is>
      </c>
      <c r="B36" s="3" t="n">
        <v>380500000</v>
      </c>
      <c r="C36" s="3" t="n">
        <v>347800000</v>
      </c>
      <c r="D36" s="3" t="n">
        <v>300100000</v>
      </c>
      <c r="E36" s="3" t="n">
        <v>243100000</v>
      </c>
      <c r="F36" s="3" t="n"/>
    </row>
    <row r="37">
      <c r="A37" t="inlineStr">
        <is>
          <t>Total Tax Payable</t>
        </is>
      </c>
      <c r="B37" s="3" t="n">
        <v>125400000</v>
      </c>
      <c r="C37" s="3" t="n">
        <v>154400000</v>
      </c>
      <c r="D37" s="3" t="n">
        <v>111400000</v>
      </c>
      <c r="E37" s="3" t="n">
        <v>96100000</v>
      </c>
      <c r="F37" s="3" t="n"/>
    </row>
    <row r="38">
      <c r="A38" t="inlineStr">
        <is>
          <t>Accounts Payable</t>
        </is>
      </c>
      <c r="B38" s="3" t="n">
        <v>255100000</v>
      </c>
      <c r="C38" s="3" t="n">
        <v>193400000</v>
      </c>
      <c r="D38" s="3" t="n">
        <v>188700000</v>
      </c>
      <c r="E38" s="3" t="n">
        <v>147000000</v>
      </c>
      <c r="F38" s="3" t="n"/>
    </row>
    <row r="39">
      <c r="A39" t="inlineStr">
        <is>
          <t>Total Assets</t>
        </is>
      </c>
      <c r="B39" s="3" t="n">
        <v>20458700000</v>
      </c>
      <c r="C39" s="3" t="n">
        <v>18743200000</v>
      </c>
      <c r="D39" s="3" t="n">
        <v>15441500000</v>
      </c>
      <c r="E39" s="3" t="n">
        <v>12974000000</v>
      </c>
      <c r="F39" s="3" t="n"/>
    </row>
    <row r="40">
      <c r="A40" t="inlineStr">
        <is>
          <t>Total Non Current Assets</t>
        </is>
      </c>
      <c r="B40" s="3" t="n">
        <v>10679200000</v>
      </c>
      <c r="C40" s="3" t="n">
        <v>11632200000</v>
      </c>
      <c r="D40" s="3" t="n">
        <v>7553500000</v>
      </c>
      <c r="E40" s="3" t="n">
        <v>6721000000</v>
      </c>
      <c r="F40" s="3" t="n"/>
    </row>
    <row r="41">
      <c r="A41" t="inlineStr">
        <is>
          <t>Other Non Current Assets</t>
        </is>
      </c>
      <c r="B41" s="3" t="n">
        <v>837600000</v>
      </c>
      <c r="C41" s="3" t="n">
        <v>750900000</v>
      </c>
      <c r="D41" s="3" t="n">
        <v>597600000</v>
      </c>
      <c r="E41" s="3" t="n">
        <v>660300000</v>
      </c>
      <c r="F41" s="3" t="n"/>
    </row>
    <row r="42">
      <c r="A42" t="inlineStr">
        <is>
          <t>Non Current Deferred Assets</t>
        </is>
      </c>
      <c r="B42" s="3" t="n">
        <v>1018600000</v>
      </c>
      <c r="C42" s="3" t="n">
        <v>1045100000</v>
      </c>
      <c r="D42" s="3" t="n">
        <v>910500000</v>
      </c>
      <c r="E42" s="3" t="n">
        <v>664600000</v>
      </c>
      <c r="F42" s="3" t="n"/>
    </row>
    <row r="43">
      <c r="A43" t="inlineStr">
        <is>
          <t>Non Current Deferred Taxes Assets</t>
        </is>
      </c>
      <c r="B43" s="3" t="n">
        <v>1018600000</v>
      </c>
      <c r="C43" s="3" t="n">
        <v>1045100000</v>
      </c>
      <c r="D43" s="3" t="n">
        <v>910500000</v>
      </c>
      <c r="E43" s="3" t="n">
        <v>664600000</v>
      </c>
      <c r="F43" s="3" t="n"/>
    </row>
    <row r="44">
      <c r="A44" t="inlineStr">
        <is>
          <t>Investments And Advances</t>
        </is>
      </c>
      <c r="B44" s="3" t="n">
        <v>3099200000</v>
      </c>
      <c r="C44" s="3" t="n">
        <v>4819100000</v>
      </c>
      <c r="D44" s="3" t="n">
        <v>2120000000</v>
      </c>
      <c r="E44" s="3" t="n">
        <v>2623600000</v>
      </c>
      <c r="F44" s="3" t="n"/>
    </row>
    <row r="45">
      <c r="A45" t="inlineStr">
        <is>
          <t>Investmentin Financial Assets</t>
        </is>
      </c>
      <c r="B45" s="3" t="n">
        <v>3099200000</v>
      </c>
      <c r="C45" s="3" t="n">
        <v>4819100000</v>
      </c>
      <c r="D45" s="3" t="n">
        <v>2120000000</v>
      </c>
      <c r="E45" s="3" t="n"/>
      <c r="F45" s="3" t="n"/>
    </row>
    <row r="46">
      <c r="A46" t="inlineStr">
        <is>
          <t>Available For Sale Securities</t>
        </is>
      </c>
      <c r="B46" s="3" t="n">
        <v>3099200000</v>
      </c>
      <c r="C46" s="3" t="n">
        <v>4819100000</v>
      </c>
      <c r="D46" s="3" t="n">
        <v>2120000000</v>
      </c>
      <c r="E46" s="3" t="n"/>
      <c r="F46" s="3" t="n"/>
    </row>
    <row r="47">
      <c r="A47" t="inlineStr">
        <is>
          <t>Goodwill And Other Intangible Assets</t>
        </is>
      </c>
      <c r="B47" s="3" t="n">
        <v>381400000</v>
      </c>
      <c r="C47" s="3" t="n">
        <v>370500000</v>
      </c>
      <c r="D47" s="3" t="n">
        <v>387800000</v>
      </c>
      <c r="E47" s="3" t="n">
        <v>398300000</v>
      </c>
      <c r="F47" s="3" t="n"/>
    </row>
    <row r="48">
      <c r="A48" t="inlineStr">
        <is>
          <t>Other Intangible Assets</t>
        </is>
      </c>
      <c r="B48" s="3" t="n">
        <v>11100000</v>
      </c>
      <c r="C48" s="3" t="n">
        <v>23000000</v>
      </c>
      <c r="D48" s="3" t="n">
        <v>39100000</v>
      </c>
      <c r="E48" s="3" t="n">
        <v>49800000</v>
      </c>
      <c r="F48" s="3" t="n"/>
    </row>
    <row r="49">
      <c r="A49" t="inlineStr">
        <is>
          <t>Goodwill</t>
        </is>
      </c>
      <c r="B49" s="3" t="n">
        <v>370300000</v>
      </c>
      <c r="C49" s="3" t="n">
        <v>347500000</v>
      </c>
      <c r="D49" s="3" t="n">
        <v>348700000</v>
      </c>
      <c r="E49" s="3" t="n">
        <v>348500000</v>
      </c>
      <c r="F49" s="3" t="n"/>
    </row>
    <row r="50">
      <c r="A50" t="inlineStr">
        <is>
          <t>Net PPE</t>
        </is>
      </c>
      <c r="B50" s="3" t="n">
        <v>5342400000</v>
      </c>
      <c r="C50" s="3" t="n">
        <v>4646600000</v>
      </c>
      <c r="D50" s="3" t="n">
        <v>3537600000</v>
      </c>
      <c r="E50" s="3" t="n">
        <v>2374200000</v>
      </c>
      <c r="F50" s="3" t="n"/>
    </row>
    <row r="51">
      <c r="A51" t="inlineStr">
        <is>
          <t>Accumulated Depreciation</t>
        </is>
      </c>
      <c r="B51" s="3" t="n">
        <v>-2276500000</v>
      </c>
      <c r="C51" s="3" t="n">
        <v>-1881300000</v>
      </c>
      <c r="D51" s="3" t="n">
        <v>-1562000000</v>
      </c>
      <c r="E51" s="3" t="n">
        <v>-1237900000</v>
      </c>
      <c r="F51" s="3" t="n"/>
    </row>
    <row r="52">
      <c r="A52" t="inlineStr">
        <is>
          <t>Gross PPE</t>
        </is>
      </c>
      <c r="B52" s="3" t="n">
        <v>7618900000</v>
      </c>
      <c r="C52" s="3" t="n">
        <v>6527900000</v>
      </c>
      <c r="D52" s="3" t="n">
        <v>5099600000</v>
      </c>
      <c r="E52" s="3" t="n">
        <v>3612100000</v>
      </c>
      <c r="F52" s="3" t="n"/>
    </row>
    <row r="53">
      <c r="A53" t="inlineStr">
        <is>
          <t>Construction In Progress</t>
        </is>
      </c>
      <c r="B53" s="3" t="n">
        <v>638100000</v>
      </c>
      <c r="C53" s="3" t="n">
        <v>1631600000</v>
      </c>
      <c r="D53" s="3" t="n">
        <v>1354700000</v>
      </c>
      <c r="E53" s="3" t="n">
        <v>608600000</v>
      </c>
      <c r="F53" s="3" t="n"/>
    </row>
    <row r="54">
      <c r="A54" t="inlineStr">
        <is>
          <t>Other Properties</t>
        </is>
      </c>
      <c r="B54" s="3" t="n">
        <v>2096600000</v>
      </c>
      <c r="C54" s="3" t="n">
        <v>1579100000</v>
      </c>
      <c r="D54" s="3" t="n">
        <v>1149700000</v>
      </c>
      <c r="E54" s="3" t="n">
        <v>806400000</v>
      </c>
      <c r="F54" s="3" t="n"/>
    </row>
    <row r="55">
      <c r="A55" t="inlineStr">
        <is>
          <t>Machinery Furniture Equipment</t>
        </is>
      </c>
      <c r="B55" s="3" t="n">
        <v>1570600000</v>
      </c>
      <c r="C55" s="3" t="n">
        <v>1354500000</v>
      </c>
      <c r="D55" s="3" t="n">
        <v>1135800000</v>
      </c>
      <c r="E55" s="3" t="n">
        <v>942000000</v>
      </c>
      <c r="F55" s="3" t="n"/>
    </row>
    <row r="56">
      <c r="A56" t="inlineStr">
        <is>
          <t>Buildings And Improvements</t>
        </is>
      </c>
      <c r="B56" s="3" t="n">
        <v>2833900000</v>
      </c>
      <c r="C56" s="3" t="n">
        <v>1486300000</v>
      </c>
      <c r="D56" s="3" t="n">
        <v>1002100000</v>
      </c>
      <c r="E56" s="3" t="n">
        <v>866500000</v>
      </c>
      <c r="F56" s="3" t="n"/>
    </row>
    <row r="57">
      <c r="A57" t="inlineStr">
        <is>
          <t>Land And Improvements</t>
        </is>
      </c>
      <c r="B57" s="3" t="n">
        <v>479700000</v>
      </c>
      <c r="C57" s="3" t="n">
        <v>476400000</v>
      </c>
      <c r="D57" s="3" t="n">
        <v>457300000</v>
      </c>
      <c r="E57" s="3" t="n">
        <v>388600000</v>
      </c>
      <c r="F57" s="3" t="n"/>
    </row>
    <row r="58">
      <c r="A58" t="inlineStr">
        <is>
          <t>Properties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/>
    </row>
    <row r="59">
      <c r="A59" t="inlineStr">
        <is>
          <t>Current Assets</t>
        </is>
      </c>
      <c r="B59" s="3" t="n">
        <v>9779500000</v>
      </c>
      <c r="C59" s="3" t="n">
        <v>7111000000</v>
      </c>
      <c r="D59" s="3" t="n">
        <v>7888000000</v>
      </c>
      <c r="E59" s="3" t="n">
        <v>6253000000</v>
      </c>
      <c r="F59" s="3" t="n"/>
    </row>
    <row r="60">
      <c r="A60" t="inlineStr">
        <is>
          <t>Other Current Assets</t>
        </is>
      </c>
      <c r="B60" s="3" t="n">
        <v>376400000</v>
      </c>
      <c r="C60" s="3" t="n">
        <v>253700000</v>
      </c>
      <c r="D60" s="3" t="n">
        <v>176700000</v>
      </c>
      <c r="E60" s="3" t="n">
        <v>168600000</v>
      </c>
      <c r="F60" s="3" t="n"/>
    </row>
    <row r="61">
      <c r="A61" t="inlineStr">
        <is>
          <t>Prepaid Assets</t>
        </is>
      </c>
      <c r="B61" s="3" t="n"/>
      <c r="C61" s="3" t="n"/>
      <c r="D61" s="3" t="n"/>
      <c r="E61" s="3" t="n"/>
      <c r="F61" s="3" t="n">
        <v>133900000</v>
      </c>
    </row>
    <row r="62">
      <c r="A62" t="inlineStr">
        <is>
          <t>Inventory</t>
        </is>
      </c>
      <c r="B62" s="3" t="n">
        <v>1840000000</v>
      </c>
      <c r="C62" s="3" t="n">
        <v>1487200000</v>
      </c>
      <c r="D62" s="3" t="n">
        <v>1220600000</v>
      </c>
      <c r="E62" s="3" t="n">
        <v>893200000</v>
      </c>
      <c r="F62" s="3" t="n"/>
    </row>
    <row r="63">
      <c r="A63" t="inlineStr">
        <is>
          <t>Finished Goods</t>
        </is>
      </c>
      <c r="B63" s="3" t="n">
        <v>991000000</v>
      </c>
      <c r="C63" s="3" t="n">
        <v>717600000</v>
      </c>
      <c r="D63" s="3" t="n">
        <v>606000000</v>
      </c>
      <c r="E63" s="3" t="n">
        <v>350400000</v>
      </c>
      <c r="F63" s="3" t="n"/>
    </row>
    <row r="64">
      <c r="A64" t="inlineStr">
        <is>
          <t>Work In Process</t>
        </is>
      </c>
      <c r="B64" s="3" t="n">
        <v>287900000</v>
      </c>
      <c r="C64" s="3" t="n">
        <v>205700000</v>
      </c>
      <c r="D64" s="3" t="n">
        <v>159900000</v>
      </c>
      <c r="E64" s="3" t="n">
        <v>159900000</v>
      </c>
      <c r="F64" s="3" t="n"/>
    </row>
    <row r="65">
      <c r="A65" t="inlineStr">
        <is>
          <t>Raw Materials</t>
        </is>
      </c>
      <c r="B65" s="3" t="n">
        <v>561100000</v>
      </c>
      <c r="C65" s="3" t="n">
        <v>563900000</v>
      </c>
      <c r="D65" s="3" t="n">
        <v>454700000</v>
      </c>
      <c r="E65" s="3" t="n">
        <v>382900000</v>
      </c>
      <c r="F65" s="3" t="n"/>
    </row>
    <row r="66">
      <c r="A66" t="inlineStr">
        <is>
          <t>Receivables</t>
        </is>
      </c>
      <c r="B66" s="3" t="n">
        <v>1628200000</v>
      </c>
      <c r="C66" s="3" t="n">
        <v>1356800000</v>
      </c>
      <c r="D66" s="3" t="n">
        <v>1267500000</v>
      </c>
      <c r="E66" s="3" t="n">
        <v>1073300000</v>
      </c>
      <c r="F66" s="3" t="n"/>
    </row>
    <row r="67">
      <c r="A67" t="inlineStr">
        <is>
          <t>Other Receivables</t>
        </is>
      </c>
      <c r="B67" s="3" t="n">
        <v>100900000</v>
      </c>
      <c r="C67" s="3" t="n">
        <v>131400000</v>
      </c>
      <c r="D67" s="3" t="n">
        <v>137300000</v>
      </c>
      <c r="E67" s="3" t="n">
        <v>131200000</v>
      </c>
      <c r="F67" s="3" t="n"/>
    </row>
    <row r="68">
      <c r="A68" t="inlineStr">
        <is>
          <t>Accounts Receivable</t>
        </is>
      </c>
      <c r="B68" s="3" t="n">
        <v>1527300000</v>
      </c>
      <c r="C68" s="3" t="n">
        <v>1225400000</v>
      </c>
      <c r="D68" s="3" t="n">
        <v>1130200000</v>
      </c>
      <c r="E68" s="3" t="n">
        <v>942100000</v>
      </c>
      <c r="F68" s="3" t="n"/>
    </row>
    <row r="69">
      <c r="A69" t="inlineStr">
        <is>
          <t>Allowance For Doubtful Accounts Receivable</t>
        </is>
      </c>
      <c r="B69" s="3" t="n">
        <v>-29900000</v>
      </c>
      <c r="C69" s="3" t="n">
        <v>-30700000</v>
      </c>
      <c r="D69" s="3" t="n">
        <v>-27100000</v>
      </c>
      <c r="E69" s="3" t="n">
        <v>-22400000</v>
      </c>
      <c r="F69" s="3" t="n"/>
    </row>
    <row r="70">
      <c r="A70" t="inlineStr">
        <is>
          <t>Gross Accounts Receivable</t>
        </is>
      </c>
      <c r="B70" s="3" t="n">
        <v>1557200000</v>
      </c>
      <c r="C70" s="3" t="n">
        <v>1256100000</v>
      </c>
      <c r="D70" s="3" t="n">
        <v>1157300000</v>
      </c>
      <c r="E70" s="3" t="n">
        <v>964500000</v>
      </c>
      <c r="F70" s="3" t="n"/>
    </row>
    <row r="71">
      <c r="A71" t="inlineStr">
        <is>
          <t>Cash Cash Equivalents And Short Term Investments</t>
        </is>
      </c>
      <c r="B71" s="3" t="n">
        <v>5934900000</v>
      </c>
      <c r="C71" s="3" t="n">
        <v>4013300000</v>
      </c>
      <c r="D71" s="3" t="n">
        <v>5223200000</v>
      </c>
      <c r="E71" s="3" t="n">
        <v>4117900000</v>
      </c>
      <c r="F71" s="3" t="n"/>
    </row>
    <row r="72">
      <c r="A72" t="inlineStr">
        <is>
          <t>Other Short Term Investments</t>
        </is>
      </c>
      <c r="B72" s="3" t="n">
        <v>2566900000</v>
      </c>
      <c r="C72" s="3" t="n">
        <v>1985900000</v>
      </c>
      <c r="D72" s="3" t="n">
        <v>2473100000</v>
      </c>
      <c r="E72" s="3" t="n">
        <v>2536700000</v>
      </c>
      <c r="F72" s="3" t="n"/>
    </row>
    <row r="73">
      <c r="A73" t="inlineStr">
        <is>
          <t>Cash And Cash Equivalents</t>
        </is>
      </c>
      <c r="B73" s="3" t="n">
        <v>3368000000</v>
      </c>
      <c r="C73" s="3" t="n">
        <v>2027400000</v>
      </c>
      <c r="D73" s="3" t="n">
        <v>2750100000</v>
      </c>
      <c r="E73" s="3" t="n">
        <v>1581200000</v>
      </c>
      <c r="F73" s="3" t="n"/>
    </row>
    <row r="74">
      <c r="A74" t="inlineStr">
        <is>
          <t>Cash Equivalents</t>
        </is>
      </c>
      <c r="B74" s="3" t="n">
        <v>2853100000</v>
      </c>
      <c r="C74" s="3" t="n">
        <v>1548000000</v>
      </c>
      <c r="D74" s="3" t="n">
        <v>2223900000</v>
      </c>
      <c r="E74" s="3" t="n">
        <v>1084000000</v>
      </c>
      <c r="F74" s="3" t="n"/>
    </row>
    <row r="75">
      <c r="A75" t="inlineStr">
        <is>
          <t>Cash Financial</t>
        </is>
      </c>
      <c r="B75" s="3" t="n">
        <v>514900000</v>
      </c>
      <c r="C75" s="3" t="n">
        <v>479400000</v>
      </c>
      <c r="D75" s="3" t="n">
        <v>526200000</v>
      </c>
      <c r="E75" s="3" t="n">
        <v>497200000</v>
      </c>
      <c r="F7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2026-06-30</t>
        </is>
      </c>
      <c r="C1" s="1" t="inlineStr">
        <is>
          <t>2026-03-31</t>
        </is>
      </c>
      <c r="D1" s="1" t="inlineStr">
        <is>
          <t>2025-12-31</t>
        </is>
      </c>
      <c r="E1" s="1" t="inlineStr">
        <is>
          <t>2025-09-30</t>
        </is>
      </c>
      <c r="F1" s="1" t="inlineStr">
        <is>
          <t>2025-06-30</t>
        </is>
      </c>
      <c r="G1" s="1" t="inlineStr">
        <is>
          <t>2025-03-31</t>
        </is>
      </c>
      <c r="H1" s="1" t="inlineStr">
        <is>
          <t>2024-12-31</t>
        </is>
      </c>
    </row>
    <row r="2">
      <c r="A2" t="inlineStr">
        <is>
          <t>Ordinary Shares Number</t>
        </is>
      </c>
      <c r="B2" s="3" t="n">
        <v>353900000</v>
      </c>
      <c r="C2" s="3" t="n">
        <v>354400000</v>
      </c>
      <c r="D2" s="3" t="n">
        <v>355100000</v>
      </c>
      <c r="E2" s="3" t="n">
        <v>354900000</v>
      </c>
      <c r="F2" s="3" t="n">
        <v>358418255</v>
      </c>
      <c r="G2" s="3" t="n"/>
      <c r="H2" s="3" t="n"/>
    </row>
    <row r="3">
      <c r="A3" t="inlineStr">
        <is>
          <t>Share Issued</t>
        </is>
      </c>
      <c r="B3" s="3" t="n">
        <v>353900000</v>
      </c>
      <c r="C3" s="3" t="n">
        <v>354400000</v>
      </c>
      <c r="D3" s="3" t="n">
        <v>355100000</v>
      </c>
      <c r="E3" s="3" t="n">
        <v>354900000</v>
      </c>
      <c r="F3" s="3" t="n">
        <v>358418255</v>
      </c>
      <c r="G3" s="3" t="n"/>
      <c r="H3" s="3" t="n"/>
    </row>
    <row r="4">
      <c r="A4" t="inlineStr">
        <is>
          <t>Tangible Book Value</t>
        </is>
      </c>
      <c r="B4" s="3" t="n">
        <v>17389800000</v>
      </c>
      <c r="C4" s="3" t="n">
        <v>16693800000</v>
      </c>
      <c r="D4" s="3" t="n">
        <v>17442600000</v>
      </c>
      <c r="E4" s="3" t="n">
        <v>16567100000</v>
      </c>
      <c r="F4" s="3" t="n">
        <v>17479100000</v>
      </c>
      <c r="G4" s="3" t="n"/>
      <c r="H4" s="3" t="n"/>
    </row>
    <row r="5">
      <c r="A5" t="inlineStr">
        <is>
          <t>Invested Capital</t>
        </is>
      </c>
      <c r="B5" s="3" t="n">
        <v>18168400000</v>
      </c>
      <c r="C5" s="3" t="n">
        <v>17474500000</v>
      </c>
      <c r="D5" s="3" t="n">
        <v>17824000000</v>
      </c>
      <c r="E5" s="3" t="n">
        <v>16929700000</v>
      </c>
      <c r="F5" s="3" t="n">
        <v>17845700000</v>
      </c>
      <c r="G5" s="3" t="n"/>
      <c r="H5" s="3" t="n"/>
    </row>
    <row r="6">
      <c r="A6" t="inlineStr">
        <is>
          <t>Working Capital</t>
        </is>
      </c>
      <c r="B6" s="3" t="n">
        <v>7619800000</v>
      </c>
      <c r="C6" s="3" t="n">
        <v>6898500000</v>
      </c>
      <c r="D6" s="3" t="n">
        <v>7773300000</v>
      </c>
      <c r="E6" s="3" t="n">
        <v>6722100000</v>
      </c>
      <c r="F6" s="3" t="n">
        <v>7053300000</v>
      </c>
      <c r="G6" s="3" t="n"/>
      <c r="H6" s="3" t="n"/>
    </row>
    <row r="7">
      <c r="A7" t="inlineStr">
        <is>
          <t>Net Tangible Assets</t>
        </is>
      </c>
      <c r="B7" s="3" t="n">
        <v>17389800000</v>
      </c>
      <c r="C7" s="3" t="n">
        <v>16693800000</v>
      </c>
      <c r="D7" s="3" t="n">
        <v>17442600000</v>
      </c>
      <c r="E7" s="3" t="n">
        <v>16567100000</v>
      </c>
      <c r="F7" s="3" t="n">
        <v>17479100000</v>
      </c>
      <c r="G7" s="3" t="n"/>
      <c r="H7" s="3" t="n"/>
    </row>
    <row r="8">
      <c r="A8" t="inlineStr">
        <is>
          <t>Common Stock Equity</t>
        </is>
      </c>
      <c r="B8" s="3" t="n">
        <v>18168400000</v>
      </c>
      <c r="C8" s="3" t="n">
        <v>17474500000</v>
      </c>
      <c r="D8" s="3" t="n">
        <v>17824000000</v>
      </c>
      <c r="E8" s="3" t="n">
        <v>16929700000</v>
      </c>
      <c r="F8" s="3" t="n">
        <v>17845700000</v>
      </c>
      <c r="G8" s="3" t="n"/>
      <c r="H8" s="3" t="n"/>
    </row>
    <row r="9">
      <c r="A9" t="inlineStr">
        <is>
          <t>Total Capitalization</t>
        </is>
      </c>
      <c r="B9" s="3" t="n">
        <v>18168400000</v>
      </c>
      <c r="C9" s="3" t="n">
        <v>17474500000</v>
      </c>
      <c r="D9" s="3" t="n">
        <v>17824000000</v>
      </c>
      <c r="E9" s="3" t="n">
        <v>16929700000</v>
      </c>
      <c r="F9" s="3" t="n">
        <v>17845700000</v>
      </c>
      <c r="G9" s="3" t="n"/>
      <c r="H9" s="3" t="n"/>
    </row>
    <row r="10">
      <c r="A10" t="inlineStr">
        <is>
          <t>Total Equity Gross Minority Interest</t>
        </is>
      </c>
      <c r="B10" s="3" t="n">
        <v>18297700000</v>
      </c>
      <c r="C10" s="3" t="n">
        <v>17597200000</v>
      </c>
      <c r="D10" s="3" t="n">
        <v>17941700000</v>
      </c>
      <c r="E10" s="3" t="n">
        <v>17042100000</v>
      </c>
      <c r="F10" s="3" t="n">
        <v>17953100000</v>
      </c>
      <c r="G10" s="3" t="n"/>
      <c r="H10" s="3" t="n"/>
    </row>
    <row r="11">
      <c r="A11" t="inlineStr">
        <is>
          <t>Minority Interest</t>
        </is>
      </c>
      <c r="B11" s="3" t="n">
        <v>129300000</v>
      </c>
      <c r="C11" s="3" t="n">
        <v>122700000</v>
      </c>
      <c r="D11" s="3" t="n">
        <v>117700000</v>
      </c>
      <c r="E11" s="3" t="n">
        <v>112400000</v>
      </c>
      <c r="F11" s="3" t="n">
        <v>107400000</v>
      </c>
      <c r="G11" s="3" t="n"/>
      <c r="H11" s="3" t="n"/>
    </row>
    <row r="12">
      <c r="A12" t="inlineStr">
        <is>
          <t>Stockholders Equity</t>
        </is>
      </c>
      <c r="B12" s="3" t="n">
        <v>18168400000</v>
      </c>
      <c r="C12" s="3" t="n">
        <v>17474500000</v>
      </c>
      <c r="D12" s="3" t="n">
        <v>17824000000</v>
      </c>
      <c r="E12" s="3" t="n">
        <v>16929700000</v>
      </c>
      <c r="F12" s="3" t="n">
        <v>17845700000</v>
      </c>
      <c r="G12" s="3" t="n"/>
      <c r="H12" s="3" t="n"/>
    </row>
    <row r="13">
      <c r="A13" t="inlineStr">
        <is>
          <t>Gains Losses Not Affecting Retained Earnings</t>
        </is>
      </c>
      <c r="B13" s="3" t="n">
        <v>5800000</v>
      </c>
      <c r="C13" s="3" t="n">
        <v>16500000</v>
      </c>
      <c r="D13" s="3" t="n">
        <v>43300000</v>
      </c>
      <c r="E13" s="3" t="n">
        <v>26500000</v>
      </c>
      <c r="F13" s="3" t="n">
        <v>3000000</v>
      </c>
      <c r="G13" s="3" t="n"/>
      <c r="H13" s="3" t="n"/>
    </row>
    <row r="14">
      <c r="A14" t="inlineStr">
        <is>
          <t>Other Equity Adjustments</t>
        </is>
      </c>
      <c r="B14" s="3" t="n">
        <v>5800000</v>
      </c>
      <c r="C14" s="3" t="n">
        <v>16500000</v>
      </c>
      <c r="D14" s="3" t="n">
        <v>43300000</v>
      </c>
      <c r="E14" s="3" t="n">
        <v>26500000</v>
      </c>
      <c r="F14" s="3" t="n">
        <v>3000000</v>
      </c>
      <c r="G14" s="3" t="n"/>
      <c r="H14" s="3" t="n"/>
    </row>
    <row r="15">
      <c r="A15" t="inlineStr">
        <is>
          <t>Retained Earnings</t>
        </is>
      </c>
      <c r="B15" s="3" t="n">
        <v>6837200000</v>
      </c>
      <c r="C15" s="3" t="n">
        <v>6397700000</v>
      </c>
      <c r="D15" s="3" t="n">
        <v>7011800000</v>
      </c>
      <c r="E15" s="3" t="n">
        <v>6424000000</v>
      </c>
      <c r="F15" s="3" t="n">
        <v>7605500000</v>
      </c>
      <c r="G15" s="3" t="n"/>
      <c r="H15" s="3" t="n"/>
    </row>
    <row r="16">
      <c r="A16" t="inlineStr">
        <is>
          <t>Additional Paid In Capital</t>
        </is>
      </c>
      <c r="B16" s="3" t="n">
        <v>11325000000</v>
      </c>
      <c r="C16" s="3" t="n">
        <v>11059900000</v>
      </c>
      <c r="D16" s="3" t="n">
        <v>10768500000</v>
      </c>
      <c r="E16" s="3" t="n">
        <v>10478800000</v>
      </c>
      <c r="F16" s="3" t="n">
        <v>10236800000</v>
      </c>
      <c r="G16" s="3" t="n"/>
      <c r="H16" s="3" t="n"/>
    </row>
    <row r="17">
      <c r="A17" t="inlineStr">
        <is>
          <t>Capital Stock</t>
        </is>
      </c>
      <c r="B17" s="3" t="n">
        <v>400000</v>
      </c>
      <c r="C17" s="3" t="n">
        <v>400000</v>
      </c>
      <c r="D17" s="3" t="n">
        <v>400000</v>
      </c>
      <c r="E17" s="3" t="n">
        <v>400000</v>
      </c>
      <c r="F17" s="3" t="n">
        <v>400000</v>
      </c>
      <c r="G17" s="3" t="n"/>
      <c r="H17" s="3" t="n"/>
    </row>
    <row r="18">
      <c r="A18" t="inlineStr">
        <is>
          <t>Common Stock</t>
        </is>
      </c>
      <c r="B18" s="3" t="n">
        <v>400000</v>
      </c>
      <c r="C18" s="3" t="n">
        <v>400000</v>
      </c>
      <c r="D18" s="3" t="n">
        <v>400000</v>
      </c>
      <c r="E18" s="3" t="n">
        <v>400000</v>
      </c>
      <c r="F18" s="3" t="n">
        <v>400000</v>
      </c>
      <c r="G18" s="3" t="n"/>
      <c r="H18" s="3" t="n"/>
    </row>
    <row r="19">
      <c r="A19" t="inlineStr">
        <is>
          <t>Preferred Stock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/>
      <c r="H19" s="3" t="n"/>
    </row>
    <row r="20">
      <c r="A20" t="inlineStr">
        <is>
          <t>Total Liabilities Net Minority Interest</t>
        </is>
      </c>
      <c r="B20" s="3" t="n">
        <v>2578900000</v>
      </c>
      <c r="C20" s="3" t="n">
        <v>2513800000</v>
      </c>
      <c r="D20" s="3" t="n">
        <v>2517000000</v>
      </c>
      <c r="E20" s="3" t="n">
        <v>2309700000</v>
      </c>
      <c r="F20" s="3" t="n">
        <v>2210100000</v>
      </c>
      <c r="G20" s="3" t="n"/>
      <c r="H20" s="3" t="n"/>
    </row>
    <row r="21">
      <c r="A21" t="inlineStr">
        <is>
          <t>Total Non Current Liabilities Net Minority Interest</t>
        </is>
      </c>
      <c r="B21" s="3" t="n">
        <v>656000000</v>
      </c>
      <c r="C21" s="3" t="n">
        <v>602800000</v>
      </c>
      <c r="D21" s="3" t="n">
        <v>510800000</v>
      </c>
      <c r="E21" s="3" t="n">
        <v>506500000</v>
      </c>
      <c r="F21" s="3" t="n">
        <v>517500000</v>
      </c>
      <c r="G21" s="3" t="n"/>
      <c r="H21" s="3" t="n"/>
    </row>
    <row r="22">
      <c r="A22" t="inlineStr">
        <is>
          <t>Other Non Current Liabilities</t>
        </is>
      </c>
      <c r="B22" s="3" t="n">
        <v>301100000</v>
      </c>
      <c r="C22" s="3" t="n">
        <v>278500000</v>
      </c>
      <c r="D22" s="3" t="n">
        <v>225800000</v>
      </c>
      <c r="E22" s="3" t="n">
        <v>195900000</v>
      </c>
      <c r="F22" s="3" t="n">
        <v>195800000</v>
      </c>
      <c r="G22" s="3" t="n"/>
      <c r="H22" s="3" t="n"/>
    </row>
    <row r="23">
      <c r="A23" t="inlineStr">
        <is>
          <t>Tradeand Other Payables Non Current</t>
        </is>
      </c>
      <c r="B23" s="3" t="n">
        <v>242300000</v>
      </c>
      <c r="C23" s="3" t="n">
        <v>220300000</v>
      </c>
      <c r="D23" s="3" t="n">
        <v>193600000</v>
      </c>
      <c r="E23" s="3" t="n">
        <v>231200000</v>
      </c>
      <c r="F23" s="3" t="n">
        <v>249900000</v>
      </c>
      <c r="G23" s="3" t="n"/>
      <c r="H23" s="3" t="n"/>
    </row>
    <row r="24">
      <c r="A24" t="inlineStr">
        <is>
          <t>Non Current Deferred Liabilities</t>
        </is>
      </c>
      <c r="B24" s="3" t="n">
        <v>112600000</v>
      </c>
      <c r="C24" s="3" t="n">
        <v>104000000</v>
      </c>
      <c r="D24" s="3" t="n">
        <v>91400000</v>
      </c>
      <c r="E24" s="3" t="n">
        <v>79400000</v>
      </c>
      <c r="F24" s="3" t="n">
        <v>71800000</v>
      </c>
      <c r="G24" s="3" t="n"/>
      <c r="H24" s="3" t="n"/>
    </row>
    <row r="25">
      <c r="A25" t="inlineStr">
        <is>
          <t>Non Current Deferred Revenue</t>
        </is>
      </c>
      <c r="B25" s="3" t="n">
        <v>112600000</v>
      </c>
      <c r="C25" s="3" t="n">
        <v>104000000</v>
      </c>
      <c r="D25" s="3" t="n">
        <v>91400000</v>
      </c>
      <c r="E25" s="3" t="n">
        <v>79400000</v>
      </c>
      <c r="F25" s="3" t="n">
        <v>71800000</v>
      </c>
      <c r="G25" s="3" t="n"/>
      <c r="H25" s="3" t="n"/>
    </row>
    <row r="26">
      <c r="A26" t="inlineStr">
        <is>
          <t>Current Liabilities</t>
        </is>
      </c>
      <c r="B26" s="3" t="n">
        <v>1922900000</v>
      </c>
      <c r="C26" s="3" t="n">
        <v>1911000000</v>
      </c>
      <c r="D26" s="3" t="n">
        <v>2006200000</v>
      </c>
      <c r="E26" s="3" t="n">
        <v>1803200000</v>
      </c>
      <c r="F26" s="3" t="n">
        <v>1692600000</v>
      </c>
      <c r="G26" s="3" t="n"/>
      <c r="H26" s="3" t="n"/>
    </row>
    <row r="27">
      <c r="A27" t="inlineStr">
        <is>
          <t>Current Deferred Liabilities</t>
        </is>
      </c>
      <c r="B27" s="3" t="n">
        <v>549400000</v>
      </c>
      <c r="C27" s="3" t="n">
        <v>559500000</v>
      </c>
      <c r="D27" s="3" t="n">
        <v>506700000</v>
      </c>
      <c r="E27" s="3" t="n">
        <v>491100000</v>
      </c>
      <c r="F27" s="3" t="n">
        <v>499900000</v>
      </c>
      <c r="G27" s="3" t="n"/>
      <c r="H27" s="3" t="n"/>
    </row>
    <row r="28">
      <c r="A28" t="inlineStr">
        <is>
          <t>Current Deferred Revenue</t>
        </is>
      </c>
      <c r="B28" s="3" t="n">
        <v>549400000</v>
      </c>
      <c r="C28" s="3" t="n">
        <v>559500000</v>
      </c>
      <c r="D28" s="3" t="n">
        <v>506700000</v>
      </c>
      <c r="E28" s="3" t="n">
        <v>491100000</v>
      </c>
      <c r="F28" s="3" t="n">
        <v>499900000</v>
      </c>
      <c r="G28" s="3" t="n"/>
      <c r="H28" s="3" t="n"/>
    </row>
    <row r="29">
      <c r="A29" t="inlineStr">
        <is>
          <t>Pensionand Other Post Retirement Benefit Plans Current</t>
        </is>
      </c>
      <c r="B29" s="3" t="n">
        <v>425700000</v>
      </c>
      <c r="C29" s="3" t="n">
        <v>370700000</v>
      </c>
      <c r="D29" s="3" t="n">
        <v>648400000</v>
      </c>
      <c r="E29" s="3" t="n">
        <v>455500000</v>
      </c>
      <c r="F29" s="3" t="n">
        <v>420800000</v>
      </c>
      <c r="G29" s="3" t="n"/>
      <c r="H29" s="3" t="n"/>
    </row>
    <row r="30">
      <c r="A30" t="inlineStr">
        <is>
          <t>Payables And Accrued Expenses</t>
        </is>
      </c>
      <c r="B30" s="3" t="n">
        <v>947800000</v>
      </c>
      <c r="C30" s="3" t="n">
        <v>980800000</v>
      </c>
      <c r="D30" s="3" t="n">
        <v>851100000</v>
      </c>
      <c r="E30" s="3" t="n">
        <v>856600000</v>
      </c>
      <c r="F30" s="3" t="n">
        <v>771900000</v>
      </c>
      <c r="G30" s="3" t="n"/>
      <c r="H30" s="3" t="n"/>
    </row>
    <row r="31">
      <c r="A31" t="inlineStr">
        <is>
          <t>Current Accrued Expenses</t>
        </is>
      </c>
      <c r="B31" s="3" t="n">
        <v>505300000</v>
      </c>
      <c r="C31" s="3" t="n">
        <v>492200000</v>
      </c>
      <c r="D31" s="3" t="n">
        <v>470600000</v>
      </c>
      <c r="E31" s="3" t="n">
        <v>437300000</v>
      </c>
      <c r="F31" s="3" t="n">
        <v>411400000</v>
      </c>
      <c r="G31" s="3" t="n"/>
      <c r="H31" s="3" t="n"/>
    </row>
    <row r="32">
      <c r="A32" t="inlineStr">
        <is>
          <t>Payables</t>
        </is>
      </c>
      <c r="B32" s="3" t="n">
        <v>442500000</v>
      </c>
      <c r="C32" s="3" t="n">
        <v>488600000</v>
      </c>
      <c r="D32" s="3" t="n">
        <v>380500000</v>
      </c>
      <c r="E32" s="3" t="n">
        <v>419300000</v>
      </c>
      <c r="F32" s="3" t="n">
        <v>360500000</v>
      </c>
      <c r="G32" s="3" t="n"/>
      <c r="H32" s="3" t="n"/>
    </row>
    <row r="33">
      <c r="A33" t="inlineStr">
        <is>
          <t>Total Tax Payable</t>
        </is>
      </c>
      <c r="B33" s="3" t="n">
        <v>165300000</v>
      </c>
      <c r="C33" s="3" t="n">
        <v>155700000</v>
      </c>
      <c r="D33" s="3" t="n">
        <v>125400000</v>
      </c>
      <c r="E33" s="3" t="n">
        <v>128100000</v>
      </c>
      <c r="F33" s="3" t="n">
        <v>93700000</v>
      </c>
      <c r="G33" s="3" t="n"/>
      <c r="H33" s="3" t="n"/>
    </row>
    <row r="34">
      <c r="A34" t="inlineStr">
        <is>
          <t>Accounts Payable</t>
        </is>
      </c>
      <c r="B34" s="3" t="n">
        <v>277200000</v>
      </c>
      <c r="C34" s="3" t="n">
        <v>332900000</v>
      </c>
      <c r="D34" s="3" t="n">
        <v>255100000</v>
      </c>
      <c r="E34" s="3" t="n">
        <v>291200000</v>
      </c>
      <c r="F34" s="3" t="n">
        <v>266800000</v>
      </c>
      <c r="G34" s="3" t="n"/>
      <c r="H34" s="3" t="n"/>
    </row>
    <row r="35">
      <c r="A35" t="inlineStr">
        <is>
          <t>Total Assets</t>
        </is>
      </c>
      <c r="B35" s="3" t="n">
        <v>20876600000</v>
      </c>
      <c r="C35" s="3" t="n">
        <v>20111000000</v>
      </c>
      <c r="D35" s="3" t="n">
        <v>20458700000</v>
      </c>
      <c r="E35" s="3" t="n">
        <v>19351800000</v>
      </c>
      <c r="F35" s="3" t="n">
        <v>20163200000</v>
      </c>
      <c r="G35" s="3" t="n"/>
      <c r="H35" s="3" t="n"/>
    </row>
    <row r="36">
      <c r="A36" t="inlineStr">
        <is>
          <t>Total Non Current Assets</t>
        </is>
      </c>
      <c r="B36" s="3" t="n">
        <v>11333900000</v>
      </c>
      <c r="C36" s="3" t="n">
        <v>11301500000</v>
      </c>
      <c r="D36" s="3" t="n">
        <v>10679200000</v>
      </c>
      <c r="E36" s="3" t="n">
        <v>10826500000</v>
      </c>
      <c r="F36" s="3" t="n">
        <v>11417300000</v>
      </c>
      <c r="G36" s="3" t="n"/>
      <c r="H36" s="3" t="n"/>
    </row>
    <row r="37">
      <c r="A37" t="inlineStr">
        <is>
          <t>Other Non Current Assets</t>
        </is>
      </c>
      <c r="B37" s="3" t="n">
        <v>942100000</v>
      </c>
      <c r="C37" s="3" t="n">
        <v>927200000</v>
      </c>
      <c r="D37" s="3" t="n">
        <v>837600000</v>
      </c>
      <c r="E37" s="3" t="n">
        <v>810400000</v>
      </c>
      <c r="F37" s="3" t="n">
        <v>789100000</v>
      </c>
      <c r="G37" s="3" t="n"/>
      <c r="H37" s="3" t="n"/>
    </row>
    <row r="38">
      <c r="A38" t="inlineStr">
        <is>
          <t>Non Current Deferred Assets</t>
        </is>
      </c>
      <c r="B38" s="3" t="n">
        <v>652400000</v>
      </c>
      <c r="C38" s="3" t="n">
        <v>683800000</v>
      </c>
      <c r="D38" s="3" t="n">
        <v>1018600000</v>
      </c>
      <c r="E38" s="3" t="n">
        <v>978900000</v>
      </c>
      <c r="F38" s="3" t="n">
        <v>1070300000</v>
      </c>
      <c r="G38" s="3" t="n"/>
      <c r="H38" s="3" t="n"/>
    </row>
    <row r="39">
      <c r="A39" t="inlineStr">
        <is>
          <t>Non Current Deferred Taxes Assets</t>
        </is>
      </c>
      <c r="B39" s="3" t="n">
        <v>652400000</v>
      </c>
      <c r="C39" s="3" t="n">
        <v>683800000</v>
      </c>
      <c r="D39" s="3" t="n">
        <v>1018600000</v>
      </c>
      <c r="E39" s="3" t="n">
        <v>978900000</v>
      </c>
      <c r="F39" s="3" t="n">
        <v>1070300000</v>
      </c>
      <c r="G39" s="3" t="n"/>
      <c r="H39" s="3" t="n"/>
    </row>
    <row r="40">
      <c r="A40" t="inlineStr">
        <is>
          <t>Investments And Advances</t>
        </is>
      </c>
      <c r="B40" s="3" t="n">
        <v>3409300000</v>
      </c>
      <c r="C40" s="3" t="n">
        <v>3461900000</v>
      </c>
      <c r="D40" s="3" t="n">
        <v>3099200000</v>
      </c>
      <c r="E40" s="3" t="n">
        <v>3523700000</v>
      </c>
      <c r="F40" s="3" t="n">
        <v>4206000000</v>
      </c>
      <c r="G40" s="3" t="n"/>
      <c r="H40" s="3" t="n"/>
    </row>
    <row r="41">
      <c r="A41" t="inlineStr">
        <is>
          <t>Investmentin Financial Assets</t>
        </is>
      </c>
      <c r="B41" s="3" t="n">
        <v>3409300000</v>
      </c>
      <c r="C41" s="3" t="n">
        <v>3461900000</v>
      </c>
      <c r="D41" s="3" t="n">
        <v>3099200000</v>
      </c>
      <c r="E41" s="3" t="n">
        <v>3523700000</v>
      </c>
      <c r="F41" s="3" t="n">
        <v>4206000000</v>
      </c>
      <c r="G41" s="3" t="n"/>
      <c r="H41" s="3" t="n"/>
    </row>
    <row r="42">
      <c r="A42" t="inlineStr">
        <is>
          <t>Available For Sale Securities</t>
        </is>
      </c>
      <c r="B42" s="3" t="n">
        <v>3409300000</v>
      </c>
      <c r="C42" s="3" t="n">
        <v>3461900000</v>
      </c>
      <c r="D42" s="3" t="n">
        <v>3099200000</v>
      </c>
      <c r="E42" s="3" t="n">
        <v>3523700000</v>
      </c>
      <c r="F42" s="3" t="n">
        <v>4206000000</v>
      </c>
      <c r="G42" s="3" t="n"/>
      <c r="H42" s="3" t="n"/>
    </row>
    <row r="43">
      <c r="A43" t="inlineStr">
        <is>
          <t>Goodwill And Other Intangible Assets</t>
        </is>
      </c>
      <c r="B43" s="3" t="n">
        <v>778600000</v>
      </c>
      <c r="C43" s="3" t="n">
        <v>780700000</v>
      </c>
      <c r="D43" s="3" t="n">
        <v>381400000</v>
      </c>
      <c r="E43" s="3" t="n">
        <v>362600000</v>
      </c>
      <c r="F43" s="3" t="n">
        <v>366600000</v>
      </c>
      <c r="G43" s="3" t="n"/>
      <c r="H43" s="3" t="n"/>
    </row>
    <row r="44">
      <c r="A44" t="inlineStr">
        <is>
          <t>Other Intangible Assets</t>
        </is>
      </c>
      <c r="B44" s="3" t="n">
        <v>198000000</v>
      </c>
      <c r="C44" s="3" t="n">
        <v>167500000</v>
      </c>
      <c r="D44" s="3" t="n">
        <v>11100000</v>
      </c>
      <c r="E44" s="3" t="n">
        <v>14500000</v>
      </c>
      <c r="F44" s="3" t="n">
        <v>17900000</v>
      </c>
      <c r="G44" s="3" t="n"/>
      <c r="H44" s="3" t="n"/>
    </row>
    <row r="45">
      <c r="A45" t="inlineStr">
        <is>
          <t>Goodwill</t>
        </is>
      </c>
      <c r="B45" s="3" t="n">
        <v>580600000</v>
      </c>
      <c r="C45" s="3" t="n">
        <v>613200000</v>
      </c>
      <c r="D45" s="3" t="n">
        <v>370300000</v>
      </c>
      <c r="E45" s="3" t="n">
        <v>348100000</v>
      </c>
      <c r="F45" s="3" t="n">
        <v>348700000</v>
      </c>
      <c r="G45" s="3" t="n"/>
      <c r="H45" s="3" t="n"/>
    </row>
    <row r="46">
      <c r="A46" t="inlineStr">
        <is>
          <t>Net PPE</t>
        </is>
      </c>
      <c r="B46" s="3" t="n">
        <v>5551500000</v>
      </c>
      <c r="C46" s="3" t="n">
        <v>5447900000</v>
      </c>
      <c r="D46" s="3" t="n">
        <v>5342400000</v>
      </c>
      <c r="E46" s="3" t="n">
        <v>5150900000</v>
      </c>
      <c r="F46" s="3" t="n">
        <v>4985300000</v>
      </c>
      <c r="G46" s="3" t="n"/>
      <c r="H46" s="3" t="n"/>
    </row>
    <row r="47">
      <c r="A47" t="inlineStr">
        <is>
          <t>Accumulated Depreciation</t>
        </is>
      </c>
      <c r="B47" s="3" t="n"/>
      <c r="C47" s="3" t="n"/>
      <c r="D47" s="3" t="n">
        <v>-2276500000</v>
      </c>
      <c r="E47" s="3" t="n"/>
      <c r="F47" s="3" t="n"/>
      <c r="G47" s="3" t="n"/>
      <c r="H47" s="3" t="n">
        <v>-1881300000</v>
      </c>
    </row>
    <row r="48">
      <c r="A48" t="inlineStr">
        <is>
          <t>Gross PPE</t>
        </is>
      </c>
      <c r="B48" s="3" t="n"/>
      <c r="C48" s="3" t="n"/>
      <c r="D48" s="3" t="n">
        <v>7618900000</v>
      </c>
      <c r="E48" s="3" t="n"/>
      <c r="F48" s="3" t="n"/>
      <c r="G48" s="3" t="n"/>
      <c r="H48" s="3" t="n">
        <v>6527900000</v>
      </c>
    </row>
    <row r="49">
      <c r="A49" t="inlineStr">
        <is>
          <t>Construction In Progress</t>
        </is>
      </c>
      <c r="B49" s="3" t="n"/>
      <c r="C49" s="3" t="n"/>
      <c r="D49" s="3" t="n">
        <v>638100000</v>
      </c>
      <c r="E49" s="3" t="n"/>
      <c r="F49" s="3" t="n"/>
      <c r="G49" s="3" t="n"/>
      <c r="H49" s="3" t="n">
        <v>1631600000</v>
      </c>
    </row>
    <row r="50">
      <c r="A50" t="inlineStr">
        <is>
          <t>Other Properties</t>
        </is>
      </c>
      <c r="B50" s="3" t="n"/>
      <c r="C50" s="3" t="n"/>
      <c r="D50" s="3" t="n">
        <v>2096600000</v>
      </c>
      <c r="E50" s="3" t="n"/>
      <c r="F50" s="3" t="n"/>
      <c r="G50" s="3" t="n"/>
      <c r="H50" s="3" t="n">
        <v>1579100000</v>
      </c>
    </row>
    <row r="51">
      <c r="A51" t="inlineStr">
        <is>
          <t>Machinery Furniture Equipment</t>
        </is>
      </c>
      <c r="B51" s="3" t="n"/>
      <c r="C51" s="3" t="n"/>
      <c r="D51" s="3" t="n">
        <v>1570600000</v>
      </c>
      <c r="E51" s="3" t="n"/>
      <c r="F51" s="3" t="n"/>
      <c r="G51" s="3" t="n"/>
      <c r="H51" s="3" t="n">
        <v>1354500000</v>
      </c>
    </row>
    <row r="52">
      <c r="A52" t="inlineStr">
        <is>
          <t>Buildings And Improvements</t>
        </is>
      </c>
      <c r="B52" s="3" t="n"/>
      <c r="C52" s="3" t="n"/>
      <c r="D52" s="3" t="n">
        <v>2833900000</v>
      </c>
      <c r="E52" s="3" t="n"/>
      <c r="F52" s="3" t="n"/>
      <c r="G52" s="3" t="n"/>
      <c r="H52" s="3" t="n">
        <v>1486300000</v>
      </c>
    </row>
    <row r="53">
      <c r="A53" t="inlineStr">
        <is>
          <t>Land And Improvements</t>
        </is>
      </c>
      <c r="B53" s="3" t="n"/>
      <c r="C53" s="3" t="n"/>
      <c r="D53" s="3" t="n">
        <v>479700000</v>
      </c>
      <c r="E53" s="3" t="n"/>
      <c r="F53" s="3" t="n"/>
      <c r="G53" s="3" t="n"/>
      <c r="H53" s="3" t="n">
        <v>476400000</v>
      </c>
    </row>
    <row r="54">
      <c r="A54" t="inlineStr">
        <is>
          <t>Properties</t>
        </is>
      </c>
      <c r="B54" s="3" t="n"/>
      <c r="C54" s="3" t="n"/>
      <c r="D54" s="3" t="n">
        <v>0</v>
      </c>
      <c r="E54" s="3" t="n"/>
      <c r="F54" s="3" t="n"/>
      <c r="G54" s="3" t="n"/>
      <c r="H54" s="3" t="n">
        <v>0</v>
      </c>
    </row>
    <row r="55">
      <c r="A55" t="inlineStr">
        <is>
          <t>Current Assets</t>
        </is>
      </c>
      <c r="B55" s="3" t="n">
        <v>9542700000</v>
      </c>
      <c r="C55" s="3" t="n">
        <v>8809500000</v>
      </c>
      <c r="D55" s="3" t="n">
        <v>9779500000</v>
      </c>
      <c r="E55" s="3" t="n">
        <v>8525300000</v>
      </c>
      <c r="F55" s="3" t="n">
        <v>8745900000</v>
      </c>
      <c r="G55" s="3" t="n"/>
      <c r="H55" s="3" t="n"/>
    </row>
    <row r="56">
      <c r="A56" t="inlineStr">
        <is>
          <t>Other Current Assets</t>
        </is>
      </c>
      <c r="B56" s="3" t="n">
        <v>343700000</v>
      </c>
      <c r="C56" s="3" t="n">
        <v>337200000</v>
      </c>
      <c r="D56" s="3" t="n">
        <v>376400000</v>
      </c>
      <c r="E56" s="3" t="n">
        <v>282700000</v>
      </c>
      <c r="F56" s="3" t="n">
        <v>358200000</v>
      </c>
      <c r="G56" s="3" t="n"/>
      <c r="H56" s="3" t="n"/>
    </row>
    <row r="57">
      <c r="A57" t="inlineStr">
        <is>
          <t>Prepaid Assets</t>
        </is>
      </c>
      <c r="B57" s="3" t="n">
        <v>179400000</v>
      </c>
      <c r="C57" s="3" t="n">
        <v>298800000</v>
      </c>
      <c r="D57" s="3" t="n"/>
      <c r="E57" s="3" t="n">
        <v>168000000</v>
      </c>
      <c r="F57" s="3" t="n"/>
      <c r="G57" s="3" t="n"/>
      <c r="H57" s="3" t="n"/>
    </row>
    <row r="58">
      <c r="A58" t="inlineStr">
        <is>
          <t>Inventory</t>
        </is>
      </c>
      <c r="B58" s="3" t="n">
        <v>2028700000</v>
      </c>
      <c r="C58" s="3" t="n">
        <v>1945100000</v>
      </c>
      <c r="D58" s="3" t="n">
        <v>1840000000</v>
      </c>
      <c r="E58" s="3" t="n">
        <v>1781900000</v>
      </c>
      <c r="F58" s="3" t="n">
        <v>1667000000</v>
      </c>
      <c r="G58" s="3" t="n"/>
      <c r="H58" s="3" t="n"/>
    </row>
    <row r="59">
      <c r="A59" t="inlineStr">
        <is>
          <t>Finished Goods</t>
        </is>
      </c>
      <c r="B59" s="3" t="n">
        <v>1088200000</v>
      </c>
      <c r="C59" s="3" t="n">
        <v>1046800000</v>
      </c>
      <c r="D59" s="3" t="n">
        <v>991000000</v>
      </c>
      <c r="E59" s="3" t="n">
        <v>1025500000</v>
      </c>
      <c r="F59" s="3" t="n">
        <v>910800000</v>
      </c>
      <c r="G59" s="3" t="n"/>
      <c r="H59" s="3" t="n"/>
    </row>
    <row r="60">
      <c r="A60" t="inlineStr">
        <is>
          <t>Work In Process</t>
        </is>
      </c>
      <c r="B60" s="3" t="n">
        <v>332300000</v>
      </c>
      <c r="C60" s="3" t="n">
        <v>306900000</v>
      </c>
      <c r="D60" s="3" t="n">
        <v>287900000</v>
      </c>
      <c r="E60" s="3" t="n">
        <v>225200000</v>
      </c>
      <c r="F60" s="3" t="n">
        <v>230800000</v>
      </c>
      <c r="G60" s="3" t="n"/>
      <c r="H60" s="3" t="n"/>
    </row>
    <row r="61">
      <c r="A61" t="inlineStr">
        <is>
          <t>Raw Materials</t>
        </is>
      </c>
      <c r="B61" s="3" t="n">
        <v>608200000</v>
      </c>
      <c r="C61" s="3" t="n">
        <v>591400000</v>
      </c>
      <c r="D61" s="3" t="n">
        <v>561100000</v>
      </c>
      <c r="E61" s="3" t="n">
        <v>531200000</v>
      </c>
      <c r="F61" s="3" t="n">
        <v>525400000</v>
      </c>
      <c r="G61" s="3" t="n"/>
      <c r="H61" s="3" t="n"/>
    </row>
    <row r="62">
      <c r="A62" t="inlineStr">
        <is>
          <t>Receivables</t>
        </is>
      </c>
      <c r="B62" s="3" t="n">
        <v>1774700000</v>
      </c>
      <c r="C62" s="3" t="n">
        <v>1711100000</v>
      </c>
      <c r="D62" s="3" t="n">
        <v>1628200000</v>
      </c>
      <c r="E62" s="3" t="n">
        <v>1383900000</v>
      </c>
      <c r="F62" s="3" t="n">
        <v>1394200000</v>
      </c>
      <c r="G62" s="3" t="n"/>
      <c r="H62" s="3" t="n"/>
    </row>
    <row r="63">
      <c r="A63" t="inlineStr">
        <is>
          <t>Receivables Adjustments Allowances</t>
        </is>
      </c>
      <c r="B63" s="3" t="n">
        <v>-28900000</v>
      </c>
      <c r="C63" s="3" t="n">
        <v>-32700000</v>
      </c>
      <c r="D63" s="3" t="n"/>
      <c r="E63" s="3" t="n">
        <v>-24900000</v>
      </c>
      <c r="F63" s="3" t="n">
        <v>-22900000</v>
      </c>
      <c r="G63" s="3" t="n">
        <v>-24000000</v>
      </c>
      <c r="H63" s="3" t="n"/>
    </row>
    <row r="64">
      <c r="A64" t="inlineStr">
        <is>
          <t>Other Receivables</t>
        </is>
      </c>
      <c r="B64" s="3" t="n">
        <v>370200000</v>
      </c>
      <c r="C64" s="3" t="n">
        <v>352700000</v>
      </c>
      <c r="D64" s="3" t="n">
        <v>100900000</v>
      </c>
      <c r="E64" s="3" t="n">
        <v>288800000</v>
      </c>
      <c r="F64" s="3" t="n">
        <v>285100000</v>
      </c>
      <c r="G64" s="3" t="n"/>
      <c r="H64" s="3" t="n"/>
    </row>
    <row r="65">
      <c r="A65" t="inlineStr">
        <is>
          <t>Accounts Receivable</t>
        </is>
      </c>
      <c r="B65" s="3" t="n">
        <v>1433400000</v>
      </c>
      <c r="C65" s="3" t="n">
        <v>1391100000</v>
      </c>
      <c r="D65" s="3" t="n">
        <v>1527300000</v>
      </c>
      <c r="E65" s="3" t="n">
        <v>1120000000</v>
      </c>
      <c r="F65" s="3" t="n">
        <v>1132000000</v>
      </c>
      <c r="G65" s="3" t="n"/>
      <c r="H65" s="3" t="n"/>
    </row>
    <row r="66">
      <c r="A66" t="inlineStr">
        <is>
          <t>Allowance For Doubtful Accounts Receivable</t>
        </is>
      </c>
      <c r="B66" s="3" t="n"/>
      <c r="C66" s="3" t="n"/>
      <c r="D66" s="3" t="n">
        <v>-29900000</v>
      </c>
      <c r="E66" s="3" t="n"/>
      <c r="F66" s="3" t="n"/>
      <c r="G66" s="3" t="n"/>
      <c r="H66" s="3" t="n">
        <v>-30700000</v>
      </c>
    </row>
    <row r="67">
      <c r="A67" t="inlineStr">
        <is>
          <t>Gross Accounts Receivable</t>
        </is>
      </c>
      <c r="B67" s="3" t="n"/>
      <c r="C67" s="3" t="n"/>
      <c r="D67" s="3" t="n">
        <v>1557200000</v>
      </c>
      <c r="E67" s="3" t="n"/>
      <c r="F67" s="3" t="n"/>
      <c r="G67" s="3" t="n"/>
      <c r="H67" s="3" t="n">
        <v>1256100000</v>
      </c>
    </row>
    <row r="68">
      <c r="A68" t="inlineStr">
        <is>
          <t>Cash Cash Equivalents And Short Term Investments</t>
        </is>
      </c>
      <c r="B68" s="3" t="n">
        <v>5216200000</v>
      </c>
      <c r="C68" s="3" t="n">
        <v>4517300000</v>
      </c>
      <c r="D68" s="3" t="n">
        <v>5934900000</v>
      </c>
      <c r="E68" s="3" t="n">
        <v>4908800000</v>
      </c>
      <c r="F68" s="3" t="n">
        <v>5326500000</v>
      </c>
      <c r="G68" s="3" t="n"/>
      <c r="H68" s="3" t="n"/>
    </row>
    <row r="69">
      <c r="A69" t="inlineStr">
        <is>
          <t>Other Short Term Investments</t>
        </is>
      </c>
      <c r="B69" s="3" t="n">
        <v>2455800000</v>
      </c>
      <c r="C69" s="3" t="n">
        <v>2510800000</v>
      </c>
      <c r="D69" s="3" t="n">
        <v>2566900000</v>
      </c>
      <c r="E69" s="3" t="n">
        <v>2102200000</v>
      </c>
      <c r="F69" s="3" t="n">
        <v>1923400000</v>
      </c>
      <c r="G69" s="3" t="n"/>
      <c r="H69" s="3" t="n"/>
    </row>
    <row r="70">
      <c r="A70" t="inlineStr">
        <is>
          <t>Cash And Cash Equivalents</t>
        </is>
      </c>
      <c r="B70" s="3" t="n">
        <v>2760400000</v>
      </c>
      <c r="C70" s="3" t="n">
        <v>2006500000</v>
      </c>
      <c r="D70" s="3" t="n">
        <v>3368000000</v>
      </c>
      <c r="E70" s="3" t="n">
        <v>2806600000</v>
      </c>
      <c r="F70" s="3" t="n">
        <v>3403100000</v>
      </c>
      <c r="G70" s="3" t="n"/>
      <c r="H70" s="3" t="n"/>
    </row>
    <row r="71">
      <c r="A71" t="inlineStr">
        <is>
          <t>Cash Equivalents</t>
        </is>
      </c>
      <c r="B71" s="3" t="n">
        <v>2159400000</v>
      </c>
      <c r="C71" s="3" t="n">
        <v>1206900000</v>
      </c>
      <c r="D71" s="3" t="n">
        <v>2853100000</v>
      </c>
      <c r="E71" s="3" t="n">
        <v>2233900000</v>
      </c>
      <c r="F71" s="3" t="n">
        <v>2875100000</v>
      </c>
      <c r="G71" s="3" t="n"/>
      <c r="H71" s="3" t="n"/>
    </row>
    <row r="72">
      <c r="A72" t="inlineStr">
        <is>
          <t>Cash Financial</t>
        </is>
      </c>
      <c r="B72" s="3" t="n">
        <v>601000000</v>
      </c>
      <c r="C72" s="3" t="n">
        <v>799600000</v>
      </c>
      <c r="D72" s="3" t="n">
        <v>514900000</v>
      </c>
      <c r="E72" s="3" t="n">
        <v>572700000</v>
      </c>
      <c r="F72" s="3" t="n">
        <v>528000000</v>
      </c>
      <c r="G72" s="3" t="n"/>
      <c r="H7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2490700000</v>
      </c>
      <c r="C2" s="3" t="n">
        <v>1303800000</v>
      </c>
      <c r="D2" s="3" t="n">
        <v>749600000</v>
      </c>
      <c r="E2" s="3" t="n">
        <v>958400000</v>
      </c>
      <c r="F2" s="3" t="n"/>
    </row>
    <row r="3">
      <c r="A3" t="inlineStr">
        <is>
          <t>Repurchase Of Capital Stock</t>
        </is>
      </c>
      <c r="B3" s="3" t="n">
        <v>-2295300000</v>
      </c>
      <c r="C3" s="3" t="n">
        <v>0</v>
      </c>
      <c r="D3" s="3" t="n">
        <v>-416300000</v>
      </c>
      <c r="E3" s="3" t="n">
        <v>-2607400000</v>
      </c>
      <c r="F3" s="3" t="n"/>
    </row>
    <row r="4">
      <c r="A4" t="inlineStr">
        <is>
          <t>Capital Expenditure</t>
        </is>
      </c>
      <c r="B4" s="3" t="n">
        <v>-539800000</v>
      </c>
      <c r="C4" s="3" t="n">
        <v>-1111200000</v>
      </c>
      <c r="D4" s="3" t="n">
        <v>-1064200000</v>
      </c>
      <c r="E4" s="3" t="n">
        <v>-532400000</v>
      </c>
      <c r="F4" s="3" t="n"/>
    </row>
    <row r="5">
      <c r="A5" t="inlineStr">
        <is>
          <t>Income Tax Paid Supplemental Data</t>
        </is>
      </c>
      <c r="B5" s="3" t="n">
        <v>537900000</v>
      </c>
      <c r="C5" s="3" t="n">
        <v>466500000</v>
      </c>
      <c r="D5" s="3" t="n">
        <v>447800000</v>
      </c>
      <c r="E5" s="3" t="n">
        <v>444200000</v>
      </c>
      <c r="F5" s="3" t="n"/>
    </row>
    <row r="6">
      <c r="A6" t="inlineStr">
        <is>
          <t>End Cash Position</t>
        </is>
      </c>
      <c r="B6" s="3" t="n">
        <v>3407400000</v>
      </c>
      <c r="C6" s="3" t="n">
        <v>2062400000</v>
      </c>
      <c r="D6" s="3" t="n">
        <v>2770100000</v>
      </c>
      <c r="E6" s="3" t="n">
        <v>1600700000</v>
      </c>
      <c r="F6" s="3" t="n"/>
    </row>
    <row r="7">
      <c r="A7" t="inlineStr">
        <is>
          <t>Beginning Cash Position</t>
        </is>
      </c>
      <c r="B7" s="3" t="n">
        <v>2062400000</v>
      </c>
      <c r="C7" s="3" t="n">
        <v>2770100000</v>
      </c>
      <c r="D7" s="3" t="n">
        <v>1600700000</v>
      </c>
      <c r="E7" s="3" t="n">
        <v>1306000000</v>
      </c>
      <c r="F7" s="3" t="n"/>
    </row>
    <row r="8">
      <c r="A8" t="inlineStr">
        <is>
          <t>Effect Of Exchange Rate Changes</t>
        </is>
      </c>
      <c r="B8" s="3" t="n">
        <v>12800000</v>
      </c>
      <c r="C8" s="3" t="n">
        <v>-800000</v>
      </c>
      <c r="D8" s="3" t="n">
        <v>3300000</v>
      </c>
      <c r="E8" s="3" t="n">
        <v>5400000</v>
      </c>
      <c r="F8" s="3" t="n"/>
    </row>
    <row r="9">
      <c r="A9" t="inlineStr">
        <is>
          <t>Changes In Cash</t>
        </is>
      </c>
      <c r="B9" s="3" t="n">
        <v>1332200000</v>
      </c>
      <c r="C9" s="3" t="n">
        <v>-706900000</v>
      </c>
      <c r="D9" s="3" t="n">
        <v>1166100000</v>
      </c>
      <c r="E9" s="3" t="n">
        <v>289300000</v>
      </c>
      <c r="F9" s="3" t="n"/>
    </row>
    <row r="10">
      <c r="A10" t="inlineStr">
        <is>
          <t>Financing Cash Flow</t>
        </is>
      </c>
      <c r="B10" s="3" t="n">
        <v>-2364100000</v>
      </c>
      <c r="C10" s="3" t="n">
        <v>150900000</v>
      </c>
      <c r="D10" s="3" t="n">
        <v>-287600000</v>
      </c>
      <c r="E10" s="3" t="n">
        <v>-2572300000</v>
      </c>
      <c r="F10" s="3" t="n"/>
    </row>
    <row r="11">
      <c r="A11" t="inlineStr">
        <is>
          <t>Cash Flow From Continuing Financing Activities</t>
        </is>
      </c>
      <c r="B11" s="3" t="n">
        <v>-2364100000</v>
      </c>
      <c r="C11" s="3" t="n">
        <v>150900000</v>
      </c>
      <c r="D11" s="3" t="n">
        <v>-287600000</v>
      </c>
      <c r="E11" s="3" t="n">
        <v>-2572300000</v>
      </c>
      <c r="F11" s="3" t="n"/>
    </row>
    <row r="12">
      <c r="A12" t="inlineStr">
        <is>
          <t>Net Other Financing Charges</t>
        </is>
      </c>
      <c r="B12" s="3" t="n">
        <v>-419100000</v>
      </c>
      <c r="C12" s="3" t="n">
        <v>-278500000</v>
      </c>
      <c r="D12" s="3" t="n">
        <v>-167600000</v>
      </c>
      <c r="E12" s="3" t="n">
        <v>-198700000</v>
      </c>
      <c r="F12" s="3" t="n"/>
    </row>
    <row r="13">
      <c r="A13" t="inlineStr">
        <is>
          <t>Proceeds From Stock Option Exercised</t>
        </is>
      </c>
      <c r="B13" s="3" t="n">
        <v>350300000</v>
      </c>
      <c r="C13" s="3" t="n">
        <v>429400000</v>
      </c>
      <c r="D13" s="3" t="n">
        <v>296300000</v>
      </c>
      <c r="E13" s="3" t="n">
        <v>233800000</v>
      </c>
      <c r="F13" s="3" t="n"/>
    </row>
    <row r="14">
      <c r="A14" t="inlineStr">
        <is>
          <t>Net Common Stock Issuance</t>
        </is>
      </c>
      <c r="B14" s="3" t="n">
        <v>-2295300000</v>
      </c>
      <c r="C14" s="3" t="n">
        <v>0</v>
      </c>
      <c r="D14" s="3" t="n">
        <v>-416300000</v>
      </c>
      <c r="E14" s="3" t="n">
        <v>-2607400000</v>
      </c>
      <c r="F14" s="3" t="n"/>
    </row>
    <row r="15">
      <c r="A15" t="inlineStr">
        <is>
          <t>Common Stock Payments</t>
        </is>
      </c>
      <c r="B15" s="3" t="n">
        <v>-2295300000</v>
      </c>
      <c r="C15" s="3" t="n">
        <v>0</v>
      </c>
      <c r="D15" s="3" t="n">
        <v>-416300000</v>
      </c>
      <c r="E15" s="3" t="n">
        <v>-2607400000</v>
      </c>
      <c r="F15" s="3" t="n"/>
    </row>
    <row r="16">
      <c r="A16" t="inlineStr">
        <is>
          <t>Investing Cash Flow</t>
        </is>
      </c>
      <c r="B16" s="3" t="n">
        <v>665800000</v>
      </c>
      <c r="C16" s="3" t="n">
        <v>-3272800000</v>
      </c>
      <c r="D16" s="3" t="n">
        <v>-360100000</v>
      </c>
      <c r="E16" s="3" t="n">
        <v>1370800000</v>
      </c>
      <c r="F16" s="3" t="n"/>
    </row>
    <row r="17">
      <c r="A17" t="inlineStr">
        <is>
          <t>Cash Flow From Continuing Investing Activities</t>
        </is>
      </c>
      <c r="B17" s="3" t="n">
        <v>665800000</v>
      </c>
      <c r="C17" s="3" t="n">
        <v>-3272800000</v>
      </c>
      <c r="D17" s="3" t="n">
        <v>-360100000</v>
      </c>
      <c r="E17" s="3" t="n">
        <v>1370800000</v>
      </c>
      <c r="F17" s="3" t="n"/>
    </row>
    <row r="18">
      <c r="A18" t="inlineStr">
        <is>
          <t>Net Investment Purchase And Sale</t>
        </is>
      </c>
      <c r="B18" s="3" t="n">
        <v>1219500000</v>
      </c>
      <c r="C18" s="3" t="n">
        <v>-2160600000</v>
      </c>
      <c r="D18" s="3" t="n">
        <v>713000000</v>
      </c>
      <c r="E18" s="3" t="n">
        <v>1916000000</v>
      </c>
      <c r="F18" s="3" t="n"/>
    </row>
    <row r="19">
      <c r="A19" t="inlineStr">
        <is>
          <t>Sale Of Investment</t>
        </is>
      </c>
      <c r="B19" s="3" t="n">
        <v>2435400000</v>
      </c>
      <c r="C19" s="3" t="n">
        <v>2979000000</v>
      </c>
      <c r="D19" s="3" t="n">
        <v>2920400000</v>
      </c>
      <c r="E19" s="3" t="n">
        <v>3315500000</v>
      </c>
      <c r="F19" s="3" t="n"/>
    </row>
    <row r="20">
      <c r="A20" t="inlineStr">
        <is>
          <t>Purchase Of Investment</t>
        </is>
      </c>
      <c r="B20" s="3" t="n">
        <v>-1215900000</v>
      </c>
      <c r="C20" s="3" t="n">
        <v>-5139600000</v>
      </c>
      <c r="D20" s="3" t="n">
        <v>-2207400000</v>
      </c>
      <c r="E20" s="3" t="n">
        <v>-1399500000</v>
      </c>
      <c r="F20" s="3" t="n"/>
    </row>
    <row r="21">
      <c r="A21" t="inlineStr">
        <is>
          <t>Net Business Purchase And Sale</t>
        </is>
      </c>
      <c r="B21" s="3" t="n">
        <v>-13900000</v>
      </c>
      <c r="C21" s="3" t="n">
        <v>-1000000</v>
      </c>
      <c r="D21" s="3" t="n">
        <v>-8900000</v>
      </c>
      <c r="E21" s="3" t="n">
        <v>-12800000</v>
      </c>
      <c r="F21" s="3" t="n"/>
    </row>
    <row r="22">
      <c r="A22" t="inlineStr">
        <is>
          <t>Purchase Of Business</t>
        </is>
      </c>
      <c r="B22" s="3" t="n">
        <v>-13900000</v>
      </c>
      <c r="C22" s="3" t="n">
        <v>-1000000</v>
      </c>
      <c r="D22" s="3" t="n">
        <v>-8900000</v>
      </c>
      <c r="E22" s="3" t="n">
        <v>-12800000</v>
      </c>
      <c r="F22" s="3" t="n"/>
    </row>
    <row r="23">
      <c r="A23" t="inlineStr">
        <is>
          <t>Net PPE Purchase And Sale</t>
        </is>
      </c>
      <c r="B23" s="3" t="n">
        <v>-539800000</v>
      </c>
      <c r="C23" s="3" t="n">
        <v>-1111200000</v>
      </c>
      <c r="D23" s="3" t="n">
        <v>-1064200000</v>
      </c>
      <c r="E23" s="3" t="n">
        <v>-532400000</v>
      </c>
      <c r="F23" s="3" t="n"/>
    </row>
    <row r="24">
      <c r="A24" t="inlineStr">
        <is>
          <t>Purchase Of PPE</t>
        </is>
      </c>
      <c r="B24" s="3" t="n">
        <v>-539800000</v>
      </c>
      <c r="C24" s="3" t="n">
        <v>-1111200000</v>
      </c>
      <c r="D24" s="3" t="n">
        <v>-1064200000</v>
      </c>
      <c r="E24" s="3" t="n">
        <v>-532400000</v>
      </c>
      <c r="F24" s="3" t="n"/>
    </row>
    <row r="25">
      <c r="A25" t="inlineStr">
        <is>
          <t>Operating Cash Flow</t>
        </is>
      </c>
      <c r="B25" s="3" t="n">
        <v>3030500000</v>
      </c>
      <c r="C25" s="3" t="n">
        <v>2415000000</v>
      </c>
      <c r="D25" s="3" t="n">
        <v>1813800000</v>
      </c>
      <c r="E25" s="3" t="n">
        <v>1490800000</v>
      </c>
      <c r="F25" s="3" t="n"/>
    </row>
    <row r="26">
      <c r="A26" t="inlineStr">
        <is>
          <t>Cash Flow From Continuing Operating Activities</t>
        </is>
      </c>
      <c r="B26" s="3" t="n">
        <v>3030500000</v>
      </c>
      <c r="C26" s="3" t="n">
        <v>2415000000</v>
      </c>
      <c r="D26" s="3" t="n">
        <v>1813800000</v>
      </c>
      <c r="E26" s="3" t="n">
        <v>1490800000</v>
      </c>
      <c r="F26" s="3" t="n"/>
    </row>
    <row r="27">
      <c r="A27" t="inlineStr">
        <is>
          <t>Change In Working Capital</t>
        </is>
      </c>
      <c r="B27" s="3" t="n">
        <v>-1272300000</v>
      </c>
      <c r="C27" s="3" t="n">
        <v>-919300000</v>
      </c>
      <c r="D27" s="3" t="n">
        <v>-777600000</v>
      </c>
      <c r="E27" s="3" t="n">
        <v>-619100000</v>
      </c>
      <c r="F27" s="3" t="n"/>
    </row>
    <row r="28">
      <c r="A28" t="inlineStr">
        <is>
          <t>Change In Other Working Capital</t>
        </is>
      </c>
      <c r="B28" s="3" t="n">
        <v>187900000</v>
      </c>
      <c r="C28" s="3" t="n">
        <v>130500000</v>
      </c>
      <c r="D28" s="3" t="n">
        <v>88200000</v>
      </c>
      <c r="E28" s="3" t="n">
        <v>73000000</v>
      </c>
      <c r="F28" s="3" t="n"/>
    </row>
    <row r="29">
      <c r="A29" t="inlineStr">
        <is>
          <t>Change In Other Current Liabilities</t>
        </is>
      </c>
      <c r="B29" s="3" t="n">
        <v>34100000</v>
      </c>
      <c r="C29" s="3" t="n">
        <v>108300000</v>
      </c>
      <c r="D29" s="3" t="n">
        <v>-32900000</v>
      </c>
      <c r="E29" s="3" t="n">
        <v>121700000</v>
      </c>
      <c r="F29" s="3" t="n"/>
    </row>
    <row r="30">
      <c r="A30" t="inlineStr">
        <is>
          <t>Change In Payables And Accrued Expense</t>
        </is>
      </c>
      <c r="B30" s="3" t="n">
        <v>57900000</v>
      </c>
      <c r="C30" s="3" t="n">
        <v>-400000</v>
      </c>
      <c r="D30" s="3" t="n">
        <v>41700000</v>
      </c>
      <c r="E30" s="3" t="n">
        <v>21300000</v>
      </c>
      <c r="F30" s="3" t="n"/>
    </row>
    <row r="31">
      <c r="A31" t="inlineStr">
        <is>
          <t>Change In Payable</t>
        </is>
      </c>
      <c r="B31" s="3" t="n">
        <v>57900000</v>
      </c>
      <c r="C31" s="3" t="n">
        <v>-400000</v>
      </c>
      <c r="D31" s="3" t="n">
        <v>41700000</v>
      </c>
      <c r="E31" s="3" t="n">
        <v>21300000</v>
      </c>
      <c r="F31" s="3" t="n"/>
    </row>
    <row r="32">
      <c r="A32" t="inlineStr">
        <is>
          <t>Change In Account Payable</t>
        </is>
      </c>
      <c r="B32" s="3" t="n">
        <v>57900000</v>
      </c>
      <c r="C32" s="3" t="n">
        <v>-400000</v>
      </c>
      <c r="D32" s="3" t="n">
        <v>41700000</v>
      </c>
      <c r="E32" s="3" t="n">
        <v>21300000</v>
      </c>
      <c r="F32" s="3" t="n"/>
    </row>
    <row r="33">
      <c r="A33" t="inlineStr">
        <is>
          <t>Change In Prepaid Assets</t>
        </is>
      </c>
      <c r="B33" s="3" t="n">
        <v>-187100000</v>
      </c>
      <c r="C33" s="3" t="n">
        <v>-231800000</v>
      </c>
      <c r="D33" s="3" t="n">
        <v>24200000</v>
      </c>
      <c r="E33" s="3" t="n">
        <v>-129200000</v>
      </c>
      <c r="F33" s="3" t="n"/>
    </row>
    <row r="34">
      <c r="A34" t="inlineStr">
        <is>
          <t>Change In Inventory</t>
        </is>
      </c>
      <c r="B34" s="3" t="n">
        <v>-1063400000</v>
      </c>
      <c r="C34" s="3" t="n">
        <v>-830000000</v>
      </c>
      <c r="D34" s="3" t="n">
        <v>-712500000</v>
      </c>
      <c r="E34" s="3" t="n">
        <v>-546600000</v>
      </c>
      <c r="F34" s="3" t="n"/>
    </row>
    <row r="35">
      <c r="A35" t="inlineStr">
        <is>
          <t>Change In Receivables</t>
        </is>
      </c>
      <c r="B35" s="3" t="n">
        <v>-301700000</v>
      </c>
      <c r="C35" s="3" t="n">
        <v>-95900000</v>
      </c>
      <c r="D35" s="3" t="n">
        <v>-186300000</v>
      </c>
      <c r="E35" s="3" t="n">
        <v>-159300000</v>
      </c>
      <c r="F35" s="3" t="n"/>
    </row>
    <row r="36">
      <c r="A36" t="inlineStr">
        <is>
          <t>Changes In Account Receivables</t>
        </is>
      </c>
      <c r="B36" s="3" t="n">
        <v>-301700000</v>
      </c>
      <c r="C36" s="3" t="n">
        <v>-95900000</v>
      </c>
      <c r="D36" s="3" t="n">
        <v>-186300000</v>
      </c>
      <c r="E36" s="3" t="n">
        <v>-159300000</v>
      </c>
      <c r="F36" s="3" t="n"/>
    </row>
    <row r="37">
      <c r="A37" t="inlineStr">
        <is>
          <t>Other Non Cash Items</t>
        </is>
      </c>
      <c r="B37" s="3" t="n"/>
      <c r="C37" s="3" t="n">
        <v>37700000</v>
      </c>
      <c r="D37" s="3" t="n">
        <v>33000000</v>
      </c>
      <c r="E37" s="3" t="n">
        <v>26600000</v>
      </c>
      <c r="F37" s="3" t="n">
        <v>22000000</v>
      </c>
    </row>
    <row r="38">
      <c r="A38" t="inlineStr">
        <is>
          <t>Stock Based Compensation</t>
        </is>
      </c>
      <c r="B38" s="3" t="n">
        <v>788200000</v>
      </c>
      <c r="C38" s="3" t="n">
        <v>676800000</v>
      </c>
      <c r="D38" s="3" t="n">
        <v>592800000</v>
      </c>
      <c r="E38" s="3" t="n">
        <v>513200000</v>
      </c>
      <c r="F38" s="3" t="n"/>
    </row>
    <row r="39">
      <c r="A39" t="inlineStr">
        <is>
          <t>Deferred Tax</t>
        </is>
      </c>
      <c r="B39" s="3" t="n">
        <v>19100000</v>
      </c>
      <c r="C39" s="3" t="n">
        <v>-135300000</v>
      </c>
      <c r="D39" s="3" t="n">
        <v>-280800000</v>
      </c>
      <c r="E39" s="3" t="n">
        <v>-185300000</v>
      </c>
      <c r="F39" s="3" t="n"/>
    </row>
    <row r="40">
      <c r="A40" t="inlineStr">
        <is>
          <t>Deferred Income Tax</t>
        </is>
      </c>
      <c r="B40" s="3" t="n">
        <v>19100000</v>
      </c>
      <c r="C40" s="3" t="n">
        <v>-135300000</v>
      </c>
      <c r="D40" s="3" t="n">
        <v>-280800000</v>
      </c>
      <c r="E40" s="3" t="n">
        <v>-185300000</v>
      </c>
      <c r="F40" s="3" t="n"/>
    </row>
    <row r="41">
      <c r="A41" t="inlineStr">
        <is>
          <t>Depreciation Amortization Depletion</t>
        </is>
      </c>
      <c r="B41" s="3" t="n">
        <v>677100000</v>
      </c>
      <c r="C41" s="3" t="n">
        <v>499700000</v>
      </c>
      <c r="D41" s="3" t="n">
        <v>454800000</v>
      </c>
      <c r="E41" s="3" t="n">
        <v>365800000</v>
      </c>
      <c r="F41" s="3" t="n"/>
    </row>
    <row r="42">
      <c r="A42" t="inlineStr">
        <is>
          <t>Depreciation And Amortization</t>
        </is>
      </c>
      <c r="B42" s="3" t="n">
        <v>677100000</v>
      </c>
      <c r="C42" s="3" t="n">
        <v>499700000</v>
      </c>
      <c r="D42" s="3" t="n">
        <v>454800000</v>
      </c>
      <c r="E42" s="3" t="n">
        <v>365800000</v>
      </c>
      <c r="F42" s="3" t="n"/>
    </row>
    <row r="43">
      <c r="A43" t="inlineStr">
        <is>
          <t>Amortization Cash Flow</t>
        </is>
      </c>
      <c r="B43" s="3" t="n">
        <v>62400000</v>
      </c>
      <c r="C43" s="3" t="n">
        <v>54400000</v>
      </c>
      <c r="D43" s="3" t="n">
        <v>53200000</v>
      </c>
      <c r="E43" s="3" t="n">
        <v>27800000</v>
      </c>
      <c r="F43" s="3" t="n"/>
    </row>
    <row r="44">
      <c r="A44" t="inlineStr">
        <is>
          <t>Amortization Of Intangibles</t>
        </is>
      </c>
      <c r="B44" s="3" t="n">
        <v>62400000</v>
      </c>
      <c r="C44" s="3" t="n">
        <v>54400000</v>
      </c>
      <c r="D44" s="3" t="n">
        <v>53200000</v>
      </c>
      <c r="E44" s="3" t="n">
        <v>27800000</v>
      </c>
      <c r="F44" s="3" t="n"/>
    </row>
    <row r="45">
      <c r="A45" t="inlineStr">
        <is>
          <t>Depreciation</t>
        </is>
      </c>
      <c r="B45" s="3" t="n">
        <v>614700000</v>
      </c>
      <c r="C45" s="3" t="n">
        <v>445300000</v>
      </c>
      <c r="D45" s="3" t="n">
        <v>401600000</v>
      </c>
      <c r="E45" s="3" t="n">
        <v>338000000</v>
      </c>
      <c r="F45" s="3" t="n"/>
    </row>
    <row r="46">
      <c r="A46" t="inlineStr">
        <is>
          <t>Operating Gains Losses</t>
        </is>
      </c>
      <c r="B46" s="3" t="n">
        <v>-58200000</v>
      </c>
      <c r="C46" s="3" t="n">
        <v>-44400000</v>
      </c>
      <c r="D46" s="3" t="n">
        <v>7300000</v>
      </c>
      <c r="E46" s="3" t="n">
        <v>45200000</v>
      </c>
      <c r="F46" s="3" t="n"/>
    </row>
    <row r="47">
      <c r="A47" t="inlineStr">
        <is>
          <t>Gain Loss On Investment Securities</t>
        </is>
      </c>
      <c r="B47" s="3" t="n">
        <v>-57200000</v>
      </c>
      <c r="C47" s="3" t="n">
        <v>-43300000</v>
      </c>
      <c r="D47" s="3" t="n">
        <v>7300000</v>
      </c>
      <c r="E47" s="3" t="n">
        <v>49000000</v>
      </c>
      <c r="F47" s="3" t="n"/>
    </row>
    <row r="48">
      <c r="A48" t="inlineStr">
        <is>
          <t>Gain Loss On Sale Of Business</t>
        </is>
      </c>
      <c r="B48" s="3" t="n">
        <v>-1000000</v>
      </c>
      <c r="C48" s="3" t="n">
        <v>-1100000</v>
      </c>
      <c r="D48" s="3" t="n">
        <v>0</v>
      </c>
      <c r="E48" s="3" t="n">
        <v>-3800000</v>
      </c>
      <c r="F48" s="3" t="n"/>
    </row>
    <row r="49">
      <c r="A49" t="inlineStr">
        <is>
          <t>Net Income From Continuing Operations</t>
        </is>
      </c>
      <c r="B49" s="3" t="n">
        <v>2876600000</v>
      </c>
      <c r="C49" s="3" t="n">
        <v>2337500000</v>
      </c>
      <c r="D49" s="3" t="n">
        <v>1817300000</v>
      </c>
      <c r="E49" s="3" t="n">
        <v>1344400000</v>
      </c>
      <c r="F49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2026-06-30</t>
        </is>
      </c>
      <c r="C1" s="1" t="inlineStr">
        <is>
          <t>2026-03-31</t>
        </is>
      </c>
      <c r="D1" s="1" t="inlineStr">
        <is>
          <t>2025-12-31</t>
        </is>
      </c>
      <c r="E1" s="1" t="inlineStr">
        <is>
          <t>2025-09-30</t>
        </is>
      </c>
      <c r="F1" s="1" t="inlineStr">
        <is>
          <t>2025-06-30</t>
        </is>
      </c>
      <c r="G1" s="1" t="inlineStr">
        <is>
          <t>2025-03-31</t>
        </is>
      </c>
      <c r="H1" s="1" t="inlineStr">
        <is>
          <t>2024-12-31</t>
        </is>
      </c>
    </row>
    <row r="2">
      <c r="A2" t="inlineStr">
        <is>
          <t>Free Cash Flow</t>
        </is>
      </c>
      <c r="B2" s="3" t="n">
        <v>948400000</v>
      </c>
      <c r="C2" s="3" t="n">
        <v>808600000</v>
      </c>
      <c r="D2" s="3" t="n">
        <v>730000000</v>
      </c>
      <c r="E2" s="3" t="n">
        <v>735600000</v>
      </c>
      <c r="F2" s="3" t="n">
        <v>560100000</v>
      </c>
      <c r="G2" s="3" t="n"/>
      <c r="H2" s="3" t="n"/>
    </row>
    <row r="3">
      <c r="A3" t="inlineStr">
        <is>
          <t>Repurchase Of Capital Stock</t>
        </is>
      </c>
      <c r="B3" s="3" t="n">
        <v>-320300000</v>
      </c>
      <c r="C3" s="3" t="n">
        <v>-1123200000</v>
      </c>
      <c r="D3" s="3" t="n">
        <v>-201000000</v>
      </c>
      <c r="E3" s="3" t="n">
        <v>-1913300000</v>
      </c>
      <c r="F3" s="3" t="n">
        <v>-181000000</v>
      </c>
      <c r="G3" s="3" t="n"/>
      <c r="H3" s="3" t="n"/>
    </row>
    <row r="4">
      <c r="A4" t="inlineStr">
        <is>
          <t>Capital Expenditure</t>
        </is>
      </c>
      <c r="B4" s="3" t="n">
        <v>-112600000</v>
      </c>
      <c r="C4" s="3" t="n">
        <v>-103300000</v>
      </c>
      <c r="D4" s="3" t="n">
        <v>-162500000</v>
      </c>
      <c r="E4" s="3" t="n">
        <v>-105400000</v>
      </c>
      <c r="F4" s="3" t="n">
        <v>-155300000</v>
      </c>
      <c r="G4" s="3" t="n"/>
      <c r="H4" s="3" t="n"/>
    </row>
    <row r="5">
      <c r="A5" t="inlineStr">
        <is>
          <t>End Cash Position</t>
        </is>
      </c>
      <c r="B5" s="3" t="n">
        <v>2805700000</v>
      </c>
      <c r="C5" s="3" t="n">
        <v>2052100000</v>
      </c>
      <c r="D5" s="3" t="n">
        <v>3407400000</v>
      </c>
      <c r="E5" s="3" t="n">
        <v>2849500000</v>
      </c>
      <c r="F5" s="3" t="n">
        <v>3446500000</v>
      </c>
      <c r="G5" s="3" t="n"/>
      <c r="H5" s="3" t="n"/>
    </row>
    <row r="6">
      <c r="A6" t="inlineStr">
        <is>
          <t>Beginning Cash Position</t>
        </is>
      </c>
      <c r="B6" s="3" t="n">
        <v>2052100000</v>
      </c>
      <c r="C6" s="3" t="n">
        <v>3407400000</v>
      </c>
      <c r="D6" s="3" t="n">
        <v>2849500000</v>
      </c>
      <c r="E6" s="3" t="n">
        <v>3446500000</v>
      </c>
      <c r="F6" s="3" t="n">
        <v>2617200000</v>
      </c>
      <c r="G6" s="3" t="n"/>
      <c r="H6" s="3" t="n"/>
    </row>
    <row r="7">
      <c r="A7" t="inlineStr">
        <is>
          <t>Effect Of Exchange Rate Changes</t>
        </is>
      </c>
      <c r="B7" s="3" t="n">
        <v>7100000</v>
      </c>
      <c r="C7" s="3" t="n">
        <v>1000000</v>
      </c>
      <c r="D7" s="3" t="n">
        <v>12300000</v>
      </c>
      <c r="E7" s="3" t="n">
        <v>4000000</v>
      </c>
      <c r="F7" s="3" t="n">
        <v>1000000</v>
      </c>
      <c r="G7" s="3" t="n"/>
      <c r="H7" s="3" t="n"/>
    </row>
    <row r="8">
      <c r="A8" t="inlineStr">
        <is>
          <t>Changes In Cash</t>
        </is>
      </c>
      <c r="B8" s="3" t="n">
        <v>746500000</v>
      </c>
      <c r="C8" s="3" t="n">
        <v>-1356300000</v>
      </c>
      <c r="D8" s="3" t="n">
        <v>545600000</v>
      </c>
      <c r="E8" s="3" t="n">
        <v>-601000000</v>
      </c>
      <c r="F8" s="3" t="n">
        <v>828300000</v>
      </c>
      <c r="G8" s="3" t="n"/>
      <c r="H8" s="3" t="n"/>
    </row>
    <row r="9">
      <c r="A9" t="inlineStr">
        <is>
          <t>Financing Cash Flow</t>
        </is>
      </c>
      <c r="B9" s="3" t="n">
        <v>-287900000</v>
      </c>
      <c r="C9" s="3" t="n">
        <v>-1353700000</v>
      </c>
      <c r="D9" s="3" t="n">
        <v>-137500000</v>
      </c>
      <c r="E9" s="3" t="n">
        <v>-1843000000</v>
      </c>
      <c r="F9" s="3" t="n">
        <v>-147800000</v>
      </c>
      <c r="G9" s="3" t="n"/>
      <c r="H9" s="3" t="n"/>
    </row>
    <row r="10">
      <c r="A10" t="inlineStr">
        <is>
          <t>Cash Flow From Continuing Financing Activities</t>
        </is>
      </c>
      <c r="B10" s="3" t="n">
        <v>-287900000</v>
      </c>
      <c r="C10" s="3" t="n">
        <v>-1353700000</v>
      </c>
      <c r="D10" s="3" t="n">
        <v>-137500000</v>
      </c>
      <c r="E10" s="3" t="n">
        <v>-1843000000</v>
      </c>
      <c r="F10" s="3" t="n">
        <v>-147800000</v>
      </c>
      <c r="G10" s="3" t="n"/>
      <c r="H10" s="3" t="n"/>
    </row>
    <row r="11">
      <c r="A11" t="inlineStr">
        <is>
          <t>Net Other Financing Charges</t>
        </is>
      </c>
      <c r="B11" s="3" t="n">
        <v>-33200000</v>
      </c>
      <c r="C11" s="3" t="n">
        <v>-352300000</v>
      </c>
      <c r="D11" s="3" t="n">
        <v>-13100000</v>
      </c>
      <c r="E11" s="3" t="n">
        <v>-19700000</v>
      </c>
      <c r="F11" s="3" t="n">
        <v>-16200000</v>
      </c>
      <c r="G11" s="3" t="n"/>
      <c r="H11" s="3" t="n"/>
    </row>
    <row r="12">
      <c r="A12" t="inlineStr">
        <is>
          <t>Proceeds From Stock Option Exercised</t>
        </is>
      </c>
      <c r="B12" s="3" t="n">
        <v>65600000</v>
      </c>
      <c r="C12" s="3" t="n">
        <v>121800000</v>
      </c>
      <c r="D12" s="3" t="n">
        <v>76600000</v>
      </c>
      <c r="E12" s="3" t="n">
        <v>90000000</v>
      </c>
      <c r="F12" s="3" t="n">
        <v>49400000</v>
      </c>
      <c r="G12" s="3" t="n"/>
      <c r="H12" s="3" t="n"/>
    </row>
    <row r="13">
      <c r="A13" t="inlineStr">
        <is>
          <t>Net Common Stock Issuance</t>
        </is>
      </c>
      <c r="B13" s="3" t="n">
        <v>-320300000</v>
      </c>
      <c r="C13" s="3" t="n">
        <v>-1123200000</v>
      </c>
      <c r="D13" s="3" t="n">
        <v>-201000000</v>
      </c>
      <c r="E13" s="3" t="n">
        <v>-1913300000</v>
      </c>
      <c r="F13" s="3" t="n">
        <v>-181000000</v>
      </c>
      <c r="G13" s="3" t="n"/>
      <c r="H13" s="3" t="n"/>
    </row>
    <row r="14">
      <c r="A14" t="inlineStr">
        <is>
          <t>Common Stock Payments</t>
        </is>
      </c>
      <c r="B14" s="3" t="n">
        <v>-320300000</v>
      </c>
      <c r="C14" s="3" t="n">
        <v>-1123200000</v>
      </c>
      <c r="D14" s="3" t="n">
        <v>-201000000</v>
      </c>
      <c r="E14" s="3" t="n">
        <v>-1913300000</v>
      </c>
      <c r="F14" s="3" t="n">
        <v>-181000000</v>
      </c>
      <c r="G14" s="3" t="n"/>
      <c r="H14" s="3" t="n"/>
    </row>
    <row r="15">
      <c r="A15" t="inlineStr">
        <is>
          <t>Investing Cash Flow</t>
        </is>
      </c>
      <c r="B15" s="3" t="n">
        <v>-26600000</v>
      </c>
      <c r="C15" s="3" t="n">
        <v>-914500000</v>
      </c>
      <c r="D15" s="3" t="n">
        <v>-209400000</v>
      </c>
      <c r="E15" s="3" t="n">
        <v>401000000</v>
      </c>
      <c r="F15" s="3" t="n">
        <v>260700000</v>
      </c>
      <c r="G15" s="3" t="n"/>
      <c r="H15" s="3" t="n"/>
    </row>
    <row r="16">
      <c r="A16" t="inlineStr">
        <is>
          <t>Cash Flow From Continuing Investing Activities</t>
        </is>
      </c>
      <c r="B16" s="3" t="n">
        <v>-26600000</v>
      </c>
      <c r="C16" s="3" t="n">
        <v>-914500000</v>
      </c>
      <c r="D16" s="3" t="n">
        <v>-209400000</v>
      </c>
      <c r="E16" s="3" t="n">
        <v>401000000</v>
      </c>
      <c r="F16" s="3" t="n">
        <v>260700000</v>
      </c>
      <c r="G16" s="3" t="n"/>
      <c r="H16" s="3" t="n"/>
    </row>
    <row r="17">
      <c r="A17" t="inlineStr">
        <is>
          <t>Net Investment Purchase And Sale</t>
        </is>
      </c>
      <c r="B17" s="3" t="n">
        <v>86000000</v>
      </c>
      <c r="C17" s="3" t="n">
        <v>-329000000</v>
      </c>
      <c r="D17" s="3" t="n">
        <v>-34200000</v>
      </c>
      <c r="E17" s="3" t="n">
        <v>506400000</v>
      </c>
      <c r="F17" s="3" t="n">
        <v>417200000</v>
      </c>
      <c r="G17" s="3" t="n"/>
      <c r="H17" s="3" t="n"/>
    </row>
    <row r="18">
      <c r="A18" t="inlineStr">
        <is>
          <t>Sale Of Investment</t>
        </is>
      </c>
      <c r="B18" s="3" t="n">
        <v>523800000</v>
      </c>
      <c r="C18" s="3" t="n">
        <v>582300000</v>
      </c>
      <c r="D18" s="3" t="n">
        <v>390800000</v>
      </c>
      <c r="E18" s="3" t="n">
        <v>605500000</v>
      </c>
      <c r="F18" s="3" t="n">
        <v>589200000</v>
      </c>
      <c r="G18" s="3" t="n"/>
      <c r="H18" s="3" t="n"/>
    </row>
    <row r="19">
      <c r="A19" t="inlineStr">
        <is>
          <t>Purchase Of Investment</t>
        </is>
      </c>
      <c r="B19" s="3" t="n">
        <v>-437800000</v>
      </c>
      <c r="C19" s="3" t="n">
        <v>-911300000</v>
      </c>
      <c r="D19" s="3" t="n">
        <v>-425000000</v>
      </c>
      <c r="E19" s="3" t="n">
        <v>-99100000</v>
      </c>
      <c r="F19" s="3" t="n">
        <v>-172000000</v>
      </c>
      <c r="G19" s="3" t="n"/>
      <c r="H19" s="3" t="n"/>
    </row>
    <row r="20">
      <c r="A20" t="inlineStr">
        <is>
          <t>Net Business Purchase And Sale</t>
        </is>
      </c>
      <c r="B20" s="3" t="n">
        <v>0</v>
      </c>
      <c r="C20" s="3" t="n">
        <v>-482200000</v>
      </c>
      <c r="D20" s="3" t="n">
        <v>-12700000</v>
      </c>
      <c r="E20" s="3" t="n">
        <v>0</v>
      </c>
      <c r="F20" s="3" t="n">
        <v>-1200000</v>
      </c>
      <c r="G20" s="3" t="n"/>
      <c r="H20" s="3" t="n"/>
    </row>
    <row r="21">
      <c r="A21" t="inlineStr">
        <is>
          <t>Sale Of Business</t>
        </is>
      </c>
      <c r="B21" s="3" t="n">
        <v>0</v>
      </c>
      <c r="C21" s="3" t="n">
        <v>46000000</v>
      </c>
      <c r="D21" s="3" t="n"/>
      <c r="E21" s="3" t="n"/>
      <c r="F21" s="3" t="n">
        <v>0</v>
      </c>
      <c r="G21" s="3" t="n">
        <v>0</v>
      </c>
      <c r="H21" s="3" t="n"/>
    </row>
    <row r="22">
      <c r="A22" t="inlineStr">
        <is>
          <t>Purchase Of Business</t>
        </is>
      </c>
      <c r="B22" s="3" t="n">
        <v>0</v>
      </c>
      <c r="C22" s="3" t="n">
        <v>-528200000</v>
      </c>
      <c r="D22" s="3" t="n">
        <v>-12700000</v>
      </c>
      <c r="E22" s="3" t="n">
        <v>0</v>
      </c>
      <c r="F22" s="3" t="n">
        <v>-1200000</v>
      </c>
      <c r="G22" s="3" t="n"/>
      <c r="H22" s="3" t="n"/>
    </row>
    <row r="23">
      <c r="A23" t="inlineStr">
        <is>
          <t>Net PPE Purchase And Sale</t>
        </is>
      </c>
      <c r="B23" s="3" t="n">
        <v>-112600000</v>
      </c>
      <c r="C23" s="3" t="n">
        <v>-103300000</v>
      </c>
      <c r="D23" s="3" t="n">
        <v>-162500000</v>
      </c>
      <c r="E23" s="3" t="n">
        <v>-105400000</v>
      </c>
      <c r="F23" s="3" t="n">
        <v>-155300000</v>
      </c>
      <c r="G23" s="3" t="n"/>
      <c r="H23" s="3" t="n"/>
    </row>
    <row r="24">
      <c r="A24" t="inlineStr">
        <is>
          <t>Purchase Of PPE</t>
        </is>
      </c>
      <c r="B24" s="3" t="n">
        <v>-112600000</v>
      </c>
      <c r="C24" s="3" t="n">
        <v>-103300000</v>
      </c>
      <c r="D24" s="3" t="n">
        <v>-162500000</v>
      </c>
      <c r="E24" s="3" t="n">
        <v>-105400000</v>
      </c>
      <c r="F24" s="3" t="n">
        <v>-155300000</v>
      </c>
      <c r="G24" s="3" t="n"/>
      <c r="H24" s="3" t="n"/>
    </row>
    <row r="25">
      <c r="A25" t="inlineStr">
        <is>
          <t>Operating Cash Flow</t>
        </is>
      </c>
      <c r="B25" s="3" t="n">
        <v>1061000000</v>
      </c>
      <c r="C25" s="3" t="n">
        <v>911900000</v>
      </c>
      <c r="D25" s="3" t="n">
        <v>892500000</v>
      </c>
      <c r="E25" s="3" t="n">
        <v>841000000</v>
      </c>
      <c r="F25" s="3" t="n">
        <v>715400000</v>
      </c>
      <c r="G25" s="3" t="n"/>
      <c r="H25" s="3" t="n"/>
    </row>
    <row r="26">
      <c r="A26" t="inlineStr">
        <is>
          <t>Cash Flow From Continuing Operating Activities</t>
        </is>
      </c>
      <c r="B26" s="3" t="n">
        <v>1061000000</v>
      </c>
      <c r="C26" s="3" t="n">
        <v>911900000</v>
      </c>
      <c r="D26" s="3" t="n">
        <v>892500000</v>
      </c>
      <c r="E26" s="3" t="n">
        <v>841000000</v>
      </c>
      <c r="F26" s="3" t="n">
        <v>715400000</v>
      </c>
      <c r="G26" s="3" t="n"/>
      <c r="H26" s="3" t="n"/>
    </row>
    <row r="27">
      <c r="A27" t="inlineStr">
        <is>
          <t>Change In Working Capital</t>
        </is>
      </c>
      <c r="B27" s="3" t="n">
        <v>-225400000</v>
      </c>
      <c r="C27" s="3" t="n">
        <v>-644800000</v>
      </c>
      <c r="D27" s="3" t="n">
        <v>-248400000</v>
      </c>
      <c r="E27" s="3" t="n">
        <v>-314400000</v>
      </c>
      <c r="F27" s="3" t="n">
        <v>-270200000</v>
      </c>
      <c r="G27" s="3" t="n"/>
      <c r="H27" s="3" t="n"/>
    </row>
    <row r="28">
      <c r="A28" t="inlineStr">
        <is>
          <t>Change In Other Working Capital</t>
        </is>
      </c>
      <c r="B28" s="3" t="n">
        <v>-1400000</v>
      </c>
      <c r="C28" s="3" t="n">
        <v>46100000</v>
      </c>
      <c r="D28" s="3" t="n">
        <v>140300000</v>
      </c>
      <c r="E28" s="3" t="n">
        <v>-1200000</v>
      </c>
      <c r="F28" s="3" t="n">
        <v>11800000</v>
      </c>
      <c r="G28" s="3" t="n"/>
      <c r="H28" s="3" t="n"/>
    </row>
    <row r="29">
      <c r="A29" t="inlineStr">
        <is>
          <t>Change In Other Current Liabilities</t>
        </is>
      </c>
      <c r="B29" s="3" t="n">
        <v>6100000</v>
      </c>
      <c r="C29" s="3" t="n">
        <v>30700000</v>
      </c>
      <c r="D29" s="3" t="n">
        <v>28900000</v>
      </c>
      <c r="E29" s="3" t="n">
        <v>40900000</v>
      </c>
      <c r="F29" s="3" t="n">
        <v>82400000</v>
      </c>
      <c r="G29" s="3" t="n"/>
      <c r="H29" s="3" t="n"/>
    </row>
    <row r="30">
      <c r="A30" t="inlineStr">
        <is>
          <t>Change In Payables And Accrued Expense</t>
        </is>
      </c>
      <c r="B30" s="3" t="n">
        <v>2500000</v>
      </c>
      <c r="C30" s="3" t="n">
        <v>-210800000</v>
      </c>
      <c r="D30" s="3" t="n">
        <v>41100000</v>
      </c>
      <c r="E30" s="3" t="n">
        <v>59300000</v>
      </c>
      <c r="F30" s="3" t="n">
        <v>100400000</v>
      </c>
      <c r="G30" s="3" t="n"/>
      <c r="H30" s="3" t="n"/>
    </row>
    <row r="31">
      <c r="A31" t="inlineStr">
        <is>
          <t>Change In Accrued Expense</t>
        </is>
      </c>
      <c r="B31" s="3" t="n">
        <v>55000000</v>
      </c>
      <c r="C31" s="3" t="n">
        <v>-284700000</v>
      </c>
      <c r="D31" s="3" t="n"/>
      <c r="E31" s="3" t="n">
        <v>34700000</v>
      </c>
      <c r="F31" s="3" t="n">
        <v>111100000</v>
      </c>
      <c r="G31" s="3" t="n">
        <v>-226000000</v>
      </c>
      <c r="H31" s="3" t="n"/>
    </row>
    <row r="32">
      <c r="A32" t="inlineStr">
        <is>
          <t>Change In Payable</t>
        </is>
      </c>
      <c r="B32" s="3" t="n">
        <v>-52500000</v>
      </c>
      <c r="C32" s="3" t="n">
        <v>73900000</v>
      </c>
      <c r="D32" s="3" t="n">
        <v>-39100000</v>
      </c>
      <c r="E32" s="3" t="n">
        <v>24600000</v>
      </c>
      <c r="F32" s="3" t="n">
        <v>-10700000</v>
      </c>
      <c r="G32" s="3" t="n"/>
      <c r="H32" s="3" t="n"/>
    </row>
    <row r="33">
      <c r="A33" t="inlineStr">
        <is>
          <t>Change In Account Payable</t>
        </is>
      </c>
      <c r="B33" s="3" t="n">
        <v>-52500000</v>
      </c>
      <c r="C33" s="3" t="n">
        <v>73900000</v>
      </c>
      <c r="D33" s="3" t="n">
        <v>-39100000</v>
      </c>
      <c r="E33" s="3" t="n">
        <v>24600000</v>
      </c>
      <c r="F33" s="3" t="n">
        <v>-10700000</v>
      </c>
      <c r="G33" s="3" t="n"/>
      <c r="H33" s="3" t="n"/>
    </row>
    <row r="34">
      <c r="A34" t="inlineStr">
        <is>
          <t>Change In Prepaid Assets</t>
        </is>
      </c>
      <c r="B34" s="3" t="n">
        <v>90300000</v>
      </c>
      <c r="C34" s="3" t="n">
        <v>-269300000</v>
      </c>
      <c r="D34" s="3" t="n">
        <v>61800000</v>
      </c>
      <c r="E34" s="3" t="n">
        <v>-107100000</v>
      </c>
      <c r="F34" s="3" t="n">
        <v>-134000000</v>
      </c>
      <c r="G34" s="3" t="n"/>
      <c r="H34" s="3" t="n"/>
    </row>
    <row r="35">
      <c r="A35" t="inlineStr">
        <is>
          <t>Change In Inventory</t>
        </is>
      </c>
      <c r="B35" s="3" t="n">
        <v>-248000000</v>
      </c>
      <c r="C35" s="3" t="n">
        <v>-266600000</v>
      </c>
      <c r="D35" s="3" t="n">
        <v>-253000000</v>
      </c>
      <c r="E35" s="3" t="n">
        <v>-316200000</v>
      </c>
      <c r="F35" s="3" t="n">
        <v>-283100000</v>
      </c>
      <c r="G35" s="3" t="n"/>
      <c r="H35" s="3" t="n"/>
    </row>
    <row r="36">
      <c r="A36" t="inlineStr">
        <is>
          <t>Change In Receivables</t>
        </is>
      </c>
      <c r="B36" s="3" t="n">
        <v>-74900000</v>
      </c>
      <c r="C36" s="3" t="n">
        <v>25100000</v>
      </c>
      <c r="D36" s="3" t="n">
        <v>-267500000</v>
      </c>
      <c r="E36" s="3" t="n">
        <v>9900000</v>
      </c>
      <c r="F36" s="3" t="n">
        <v>-47700000</v>
      </c>
      <c r="G36" s="3" t="n"/>
      <c r="H36" s="3" t="n"/>
    </row>
    <row r="37">
      <c r="A37" t="inlineStr">
        <is>
          <t>Changes In Account Receivables</t>
        </is>
      </c>
      <c r="B37" s="3" t="n">
        <v>-74900000</v>
      </c>
      <c r="C37" s="3" t="n">
        <v>25100000</v>
      </c>
      <c r="D37" s="3" t="n">
        <v>-267500000</v>
      </c>
      <c r="E37" s="3" t="n">
        <v>9900000</v>
      </c>
      <c r="F37" s="3" t="n">
        <v>-47700000</v>
      </c>
      <c r="G37" s="3" t="n"/>
      <c r="H37" s="3" t="n"/>
    </row>
    <row r="38">
      <c r="A38" t="inlineStr">
        <is>
          <t>Other Non Cash Items</t>
        </is>
      </c>
      <c r="B38" s="3" t="n"/>
      <c r="C38" s="3" t="n"/>
      <c r="D38" s="3" t="n"/>
      <c r="E38" s="3" t="n">
        <v>9600000</v>
      </c>
      <c r="F38" s="3" t="n">
        <v>9100000</v>
      </c>
      <c r="G38" s="3" t="n">
        <v>8700000</v>
      </c>
      <c r="H38" s="3" t="n">
        <v>10700000</v>
      </c>
    </row>
    <row r="39">
      <c r="A39" t="inlineStr">
        <is>
          <t>Stock Based Compensation</t>
        </is>
      </c>
      <c r="B39" s="3" t="n">
        <v>209900000</v>
      </c>
      <c r="C39" s="3" t="n">
        <v>209500000</v>
      </c>
      <c r="D39" s="3" t="n">
        <v>203300000</v>
      </c>
      <c r="E39" s="3" t="n">
        <v>203500000</v>
      </c>
      <c r="F39" s="3" t="n">
        <v>196200000</v>
      </c>
      <c r="G39" s="3" t="n"/>
      <c r="H39" s="3" t="n"/>
    </row>
    <row r="40">
      <c r="A40" t="inlineStr">
        <is>
          <t>Deferred Tax</t>
        </is>
      </c>
      <c r="B40" s="3" t="n">
        <v>31000000</v>
      </c>
      <c r="C40" s="3" t="n">
        <v>339300000</v>
      </c>
      <c r="D40" s="3" t="n">
        <v>-39500000</v>
      </c>
      <c r="E40" s="3" t="n">
        <v>88000000</v>
      </c>
      <c r="F40" s="3" t="n">
        <v>-29500000</v>
      </c>
      <c r="G40" s="3" t="n"/>
      <c r="H40" s="3" t="n"/>
    </row>
    <row r="41">
      <c r="A41" t="inlineStr">
        <is>
          <t>Deferred Income Tax</t>
        </is>
      </c>
      <c r="B41" s="3" t="n">
        <v>31000000</v>
      </c>
      <c r="C41" s="3" t="n">
        <v>339300000</v>
      </c>
      <c r="D41" s="3" t="n">
        <v>-39500000</v>
      </c>
      <c r="E41" s="3" t="n">
        <v>88000000</v>
      </c>
      <c r="F41" s="3" t="n">
        <v>-29500000</v>
      </c>
      <c r="G41" s="3" t="n"/>
      <c r="H41" s="3" t="n"/>
    </row>
    <row r="42">
      <c r="A42" t="inlineStr">
        <is>
          <t>Depreciation Amortization Depletion</t>
        </is>
      </c>
      <c r="B42" s="3" t="n">
        <v>231100000</v>
      </c>
      <c r="C42" s="3" t="n">
        <v>200000000</v>
      </c>
      <c r="D42" s="3" t="n">
        <v>220900000</v>
      </c>
      <c r="E42" s="3" t="n">
        <v>142200000</v>
      </c>
      <c r="F42" s="3" t="n">
        <v>164400000</v>
      </c>
      <c r="G42" s="3" t="n"/>
      <c r="H42" s="3" t="n"/>
    </row>
    <row r="43">
      <c r="A43" t="inlineStr">
        <is>
          <t>Depreciation And Amortization</t>
        </is>
      </c>
      <c r="B43" s="3" t="n">
        <v>231100000</v>
      </c>
      <c r="C43" s="3" t="n">
        <v>200000000</v>
      </c>
      <c r="D43" s="3" t="n">
        <v>220900000</v>
      </c>
      <c r="E43" s="3" t="n">
        <v>142200000</v>
      </c>
      <c r="F43" s="3" t="n">
        <v>164400000</v>
      </c>
      <c r="G43" s="3" t="n"/>
      <c r="H43" s="3" t="n"/>
    </row>
    <row r="44">
      <c r="A44" t="inlineStr">
        <is>
          <t>Amortization Cash Flow</t>
        </is>
      </c>
      <c r="B44" s="3" t="n">
        <v>38800000</v>
      </c>
      <c r="C44" s="3" t="n">
        <v>21100000</v>
      </c>
      <c r="D44" s="3" t="n">
        <v>52500000</v>
      </c>
      <c r="E44" s="3" t="n">
        <v>-14500000</v>
      </c>
      <c r="F44" s="3" t="n">
        <v>12300000</v>
      </c>
      <c r="G44" s="3" t="n"/>
      <c r="H44" s="3" t="n"/>
    </row>
    <row r="45">
      <c r="A45" t="inlineStr">
        <is>
          <t>Amortization Of Intangibles</t>
        </is>
      </c>
      <c r="B45" s="3" t="n">
        <v>38800000</v>
      </c>
      <c r="C45" s="3" t="n">
        <v>21100000</v>
      </c>
      <c r="D45" s="3" t="n">
        <v>52500000</v>
      </c>
      <c r="E45" s="3" t="n">
        <v>-14500000</v>
      </c>
      <c r="F45" s="3" t="n">
        <v>12300000</v>
      </c>
      <c r="G45" s="3" t="n"/>
      <c r="H45" s="3" t="n"/>
    </row>
    <row r="46">
      <c r="A46" t="inlineStr">
        <is>
          <t>Depreciation</t>
        </is>
      </c>
      <c r="B46" s="3" t="n">
        <v>192300000</v>
      </c>
      <c r="C46" s="3" t="n">
        <v>178900000</v>
      </c>
      <c r="D46" s="3" t="n">
        <v>168400000</v>
      </c>
      <c r="E46" s="3" t="n">
        <v>156700000</v>
      </c>
      <c r="F46" s="3" t="n">
        <v>152100000</v>
      </c>
      <c r="G46" s="3" t="n"/>
      <c r="H46" s="3" t="n"/>
    </row>
    <row r="47">
      <c r="A47" t="inlineStr">
        <is>
          <t>Operating Gains Losses</t>
        </is>
      </c>
      <c r="B47" s="3" t="n">
        <v>-8800000</v>
      </c>
      <c r="C47" s="3" t="n">
        <v>-18100000</v>
      </c>
      <c r="D47" s="3" t="n">
        <v>-15900000</v>
      </c>
      <c r="E47" s="3" t="n">
        <v>-14900000</v>
      </c>
      <c r="F47" s="3" t="n">
        <v>-9700000</v>
      </c>
      <c r="G47" s="3" t="n"/>
      <c r="H47" s="3" t="n"/>
    </row>
    <row r="48">
      <c r="A48" t="inlineStr">
        <is>
          <t>Gain Loss On Investment Securities</t>
        </is>
      </c>
      <c r="B48" s="3" t="n">
        <v>-8800000</v>
      </c>
      <c r="C48" s="3" t="n">
        <v>-10200000</v>
      </c>
      <c r="D48" s="3" t="n">
        <v>-14900000</v>
      </c>
      <c r="E48" s="3" t="n">
        <v>-14900000</v>
      </c>
      <c r="F48" s="3" t="n">
        <v>-9700000</v>
      </c>
      <c r="G48" s="3" t="n"/>
      <c r="H48" s="3" t="n"/>
    </row>
    <row r="49">
      <c r="A49" t="inlineStr">
        <is>
          <t>Gain Loss On Sale Of Business</t>
        </is>
      </c>
      <c r="B49" s="3" t="n">
        <v>0</v>
      </c>
      <c r="C49" s="3" t="n">
        <v>-7900000</v>
      </c>
      <c r="D49" s="3" t="n"/>
      <c r="E49" s="3" t="n"/>
      <c r="F49" s="3" t="n">
        <v>0</v>
      </c>
      <c r="G49" s="3" t="n">
        <v>0</v>
      </c>
      <c r="H49" s="3" t="n"/>
    </row>
    <row r="50">
      <c r="A50" t="inlineStr">
        <is>
          <t>Net Income From Continuing Operations</t>
        </is>
      </c>
      <c r="B50" s="3" t="n">
        <v>823200000</v>
      </c>
      <c r="C50" s="3" t="n">
        <v>826000000</v>
      </c>
      <c r="D50" s="3" t="n">
        <v>799500000</v>
      </c>
      <c r="E50" s="3" t="n">
        <v>709200000</v>
      </c>
      <c r="F50" s="3" t="n">
        <v>664200000</v>
      </c>
      <c r="G50" s="3" t="n"/>
      <c r="H5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FY Summary</t>
        </is>
      </c>
      <c r="B2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2026-08-02T23:43:38Z</dcterms:created>
  <dcterms:modified xsi:type="dcterms:W3CDTF">2026-08-02T23:43:39Z</dcterms:modified>
</cp:coreProperties>
</file>