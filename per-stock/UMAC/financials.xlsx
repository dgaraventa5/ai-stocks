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UMAC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Unusual Machines,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Computer Hardware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1011319424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731050560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-105.799995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58.617863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0.35149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-0.89663005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-0.32716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-0.032479998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2.964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283596672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3327827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-31673392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47793923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21.16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(quarterly)'!B49:E49)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(quarterly)'!B47:E47)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(annual)'!D4</f>
        <v/>
      </c>
      <c r="C11" s="3">
        <f>-'Cash flow (annual)'!C4</f>
        <v/>
      </c>
      <c r="D11" s="3">
        <f>-'Cash flow (annual)'!B4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7774.3554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0.0019</v>
      </c>
      <c r="C3" s="3" t="n">
        <v>0</v>
      </c>
      <c r="D3" s="3" t="n">
        <v>0</v>
      </c>
      <c r="E3" s="3" t="n">
        <v>0</v>
      </c>
      <c r="F3" s="3" t="n"/>
    </row>
    <row r="4">
      <c r="A4" t="inlineStr">
        <is>
          <t>Normalized EBITDA</t>
        </is>
      </c>
      <c r="B4" s="3" t="n">
        <v>-23179849</v>
      </c>
      <c r="C4" s="3" t="n">
        <v>-6845134</v>
      </c>
      <c r="D4" s="3" t="n">
        <v>-2377862</v>
      </c>
      <c r="E4" s="3" t="n">
        <v>-1171040</v>
      </c>
      <c r="F4" s="3" t="n"/>
    </row>
    <row r="5">
      <c r="A5" t="inlineStr">
        <is>
          <t>Total Unusual Items</t>
        </is>
      </c>
      <c r="B5" s="3" t="n">
        <v>4091766</v>
      </c>
      <c r="C5" s="3" t="n">
        <v>-24959552</v>
      </c>
      <c r="D5" s="3" t="n">
        <v>0</v>
      </c>
      <c r="E5" s="3" t="n"/>
      <c r="F5" s="3" t="n"/>
    </row>
    <row r="6">
      <c r="A6" t="inlineStr">
        <is>
          <t>Total Unusual Items Excluding Goodwill</t>
        </is>
      </c>
      <c r="B6" s="3" t="n">
        <v>4091766</v>
      </c>
      <c r="C6" s="3" t="n">
        <v>-24959552</v>
      </c>
      <c r="D6" s="3" t="n">
        <v>0</v>
      </c>
      <c r="E6" s="3" t="n"/>
      <c r="F6" s="3" t="n"/>
    </row>
    <row r="7">
      <c r="A7" t="inlineStr">
        <is>
          <t>Net Income From Continuing Operation Net Minority Interest</t>
        </is>
      </c>
      <c r="B7" s="3" t="n">
        <v>-19193617</v>
      </c>
      <c r="C7" s="3" t="n">
        <v>-31980468</v>
      </c>
      <c r="D7" s="3" t="n">
        <v>-2383462</v>
      </c>
      <c r="E7" s="3" t="n">
        <v>-1171777</v>
      </c>
      <c r="F7" s="3" t="n"/>
    </row>
    <row r="8">
      <c r="A8" t="inlineStr">
        <is>
          <t>Reconciled Depreciation</t>
        </is>
      </c>
      <c r="B8" s="3" t="n">
        <v>141267</v>
      </c>
      <c r="C8" s="3" t="n">
        <v>72161</v>
      </c>
      <c r="D8" s="3" t="n">
        <v>5600</v>
      </c>
      <c r="E8" s="3" t="n">
        <v>885</v>
      </c>
      <c r="F8" s="3" t="n"/>
    </row>
    <row r="9">
      <c r="A9" t="inlineStr">
        <is>
          <t>Reconciled Cost Of Revenue</t>
        </is>
      </c>
      <c r="B9" s="3" t="n">
        <v>7292370</v>
      </c>
      <c r="C9" s="3" t="n">
        <v>4019068</v>
      </c>
      <c r="D9" s="3" t="n">
        <v>0</v>
      </c>
      <c r="E9" s="3" t="n">
        <v>0</v>
      </c>
      <c r="F9" s="3" t="n"/>
    </row>
    <row r="10">
      <c r="A10" t="inlineStr">
        <is>
          <t>EBITDA</t>
        </is>
      </c>
      <c r="B10" s="3" t="n">
        <v>-19088083</v>
      </c>
      <c r="C10" s="3" t="n">
        <v>-31804686</v>
      </c>
      <c r="D10" s="3" t="n">
        <v>-2377862</v>
      </c>
      <c r="E10" s="3" t="n">
        <v>-1171040</v>
      </c>
      <c r="F10" s="3" t="n"/>
    </row>
    <row r="11">
      <c r="A11" t="inlineStr">
        <is>
          <t>EBIT</t>
        </is>
      </c>
      <c r="B11" s="3" t="n">
        <v>-19229350</v>
      </c>
      <c r="C11" s="3" t="n">
        <v>-31876847</v>
      </c>
      <c r="D11" s="3" t="n">
        <v>-2383462</v>
      </c>
      <c r="E11" s="3" t="n">
        <v>-1171925</v>
      </c>
      <c r="F11" s="3" t="n"/>
    </row>
    <row r="12">
      <c r="A12" t="inlineStr">
        <is>
          <t>Net Interest Income</t>
        </is>
      </c>
      <c r="B12" s="3" t="n">
        <v>1830425</v>
      </c>
      <c r="C12" s="3" t="n">
        <v>-115835</v>
      </c>
      <c r="D12" s="3" t="n">
        <v>0</v>
      </c>
      <c r="E12" s="3" t="n">
        <v>148</v>
      </c>
      <c r="F12" s="3" t="n"/>
    </row>
    <row r="13">
      <c r="A13" t="inlineStr">
        <is>
          <t>Interest Expense</t>
        </is>
      </c>
      <c r="B13" s="3" t="n">
        <v>519</v>
      </c>
      <c r="C13" s="3" t="n">
        <v>116981</v>
      </c>
      <c r="D13" s="3" t="n">
        <v>0</v>
      </c>
      <c r="E13" s="3" t="n"/>
      <c r="F13" s="3" t="n"/>
    </row>
    <row r="14">
      <c r="A14" t="inlineStr">
        <is>
          <t>Interest Income</t>
        </is>
      </c>
      <c r="B14" s="3" t="n">
        <v>1830944</v>
      </c>
      <c r="C14" s="3" t="n">
        <v>1146</v>
      </c>
      <c r="D14" s="3" t="n">
        <v>0</v>
      </c>
      <c r="E14" s="3" t="n">
        <v>148</v>
      </c>
      <c r="F14" s="3" t="n"/>
    </row>
    <row r="15">
      <c r="A15" t="inlineStr">
        <is>
          <t>Normalized Income</t>
        </is>
      </c>
      <c r="B15" s="3" t="n">
        <v>-23277608.6446</v>
      </c>
      <c r="C15" s="3" t="n">
        <v>-7020916</v>
      </c>
      <c r="D15" s="3" t="n">
        <v>-2383462</v>
      </c>
      <c r="E15" s="3" t="n">
        <v>-1171777</v>
      </c>
      <c r="F15" s="3" t="n"/>
    </row>
    <row r="16">
      <c r="A16" t="inlineStr">
        <is>
          <t>Net Income From Continuing And Discontinued Operation</t>
        </is>
      </c>
      <c r="B16" s="3" t="n">
        <v>-19193617</v>
      </c>
      <c r="C16" s="3" t="n">
        <v>-31980468</v>
      </c>
      <c r="D16" s="3" t="n">
        <v>-2383462</v>
      </c>
      <c r="E16" s="3" t="n">
        <v>-1171777</v>
      </c>
      <c r="F16" s="3" t="n"/>
    </row>
    <row r="17">
      <c r="A17" t="inlineStr">
        <is>
          <t>Total Expenses</t>
        </is>
      </c>
      <c r="B17" s="3" t="n">
        <v>36351277</v>
      </c>
      <c r="C17" s="3" t="n">
        <v>12483760</v>
      </c>
      <c r="D17" s="3" t="n">
        <v>2383462</v>
      </c>
      <c r="E17" s="3" t="n">
        <v>1171925</v>
      </c>
      <c r="F17" s="3" t="n"/>
    </row>
    <row r="18">
      <c r="A18" t="inlineStr">
        <is>
          <t>Total Operating Income As Reported</t>
        </is>
      </c>
      <c r="B18" s="3" t="n">
        <v>-25152060</v>
      </c>
      <c r="C18" s="3" t="n">
        <v>-16991767</v>
      </c>
      <c r="D18" s="3" t="n">
        <v>-2383462</v>
      </c>
      <c r="E18" s="3" t="n">
        <v>-1171925</v>
      </c>
      <c r="F18" s="3" t="n"/>
    </row>
    <row r="19">
      <c r="A19" t="inlineStr">
        <is>
          <t>Diluted Average Shares</t>
        </is>
      </c>
      <c r="B19" s="3" t="n">
        <v>26015541</v>
      </c>
      <c r="C19" s="3" t="n">
        <v>8325128</v>
      </c>
      <c r="D19" s="3" t="n">
        <v>7617255</v>
      </c>
      <c r="E19" s="3" t="n">
        <v>8717255</v>
      </c>
      <c r="F19" s="3" t="n"/>
    </row>
    <row r="20">
      <c r="A20" t="inlineStr">
        <is>
          <t>Basic Average Shares</t>
        </is>
      </c>
      <c r="B20" s="3" t="n">
        <v>26015541</v>
      </c>
      <c r="C20" s="3" t="n">
        <v>8325128</v>
      </c>
      <c r="D20" s="3" t="n">
        <v>7617255</v>
      </c>
      <c r="E20" s="3" t="n">
        <v>7617255</v>
      </c>
      <c r="F20" s="3" t="n"/>
    </row>
    <row r="21">
      <c r="A21" t="inlineStr">
        <is>
          <t>Diluted EPS</t>
        </is>
      </c>
      <c r="B21" s="3" t="n">
        <v>-0.74</v>
      </c>
      <c r="C21" s="3" t="n">
        <v>-3.84</v>
      </c>
      <c r="D21" s="3" t="n">
        <v>-0.312903</v>
      </c>
      <c r="E21" s="3" t="n">
        <v>-0.153832</v>
      </c>
      <c r="F21" s="3" t="n"/>
    </row>
    <row r="22">
      <c r="A22" t="inlineStr">
        <is>
          <t>Basic EPS</t>
        </is>
      </c>
      <c r="B22" s="3" t="n">
        <v>-0.74</v>
      </c>
      <c r="C22" s="3" t="n">
        <v>-3.84</v>
      </c>
      <c r="D22" s="3" t="n">
        <v>-0.312903</v>
      </c>
      <c r="E22" s="3" t="n">
        <v>-0.153832</v>
      </c>
      <c r="F22" s="3" t="n"/>
    </row>
    <row r="23">
      <c r="A23" t="inlineStr">
        <is>
          <t>Diluted NI Availto Com Stockholders</t>
        </is>
      </c>
      <c r="B23" s="3" t="n">
        <v>-19193617</v>
      </c>
      <c r="C23" s="3" t="n">
        <v>-31980468</v>
      </c>
      <c r="D23" s="3" t="n">
        <v>-2383462</v>
      </c>
      <c r="E23" s="3" t="n">
        <v>-1171777</v>
      </c>
      <c r="F23" s="3" t="n"/>
    </row>
    <row r="24">
      <c r="A24" t="inlineStr">
        <is>
          <t>Net Income Common Stockholders</t>
        </is>
      </c>
      <c r="B24" s="3" t="n">
        <v>-19193617</v>
      </c>
      <c r="C24" s="3" t="n">
        <v>-31980468</v>
      </c>
      <c r="D24" s="3" t="n">
        <v>-2383462</v>
      </c>
      <c r="E24" s="3" t="n">
        <v>-1171777</v>
      </c>
      <c r="F24" s="3" t="n"/>
    </row>
    <row r="25">
      <c r="A25" t="inlineStr">
        <is>
          <t>Net Income</t>
        </is>
      </c>
      <c r="B25" s="3" t="n">
        <v>-19193617</v>
      </c>
      <c r="C25" s="3" t="n">
        <v>-31980468</v>
      </c>
      <c r="D25" s="3" t="n">
        <v>-2383462</v>
      </c>
      <c r="E25" s="3" t="n">
        <v>-1171777</v>
      </c>
      <c r="F25" s="3" t="n"/>
    </row>
    <row r="26">
      <c r="A26" t="inlineStr">
        <is>
          <t>Net Income Including Noncontrolling Interests</t>
        </is>
      </c>
      <c r="B26" s="3" t="n">
        <v>-19193617</v>
      </c>
      <c r="C26" s="3" t="n">
        <v>-31980468</v>
      </c>
      <c r="D26" s="3" t="n">
        <v>-2383462</v>
      </c>
      <c r="E26" s="3" t="n">
        <v>-1171777</v>
      </c>
      <c r="F26" s="3" t="n"/>
    </row>
    <row r="27">
      <c r="A27" t="inlineStr">
        <is>
          <t>Net Income Continuous Operations</t>
        </is>
      </c>
      <c r="B27" s="3" t="n">
        <v>-19193617</v>
      </c>
      <c r="C27" s="3" t="n">
        <v>-31980468</v>
      </c>
      <c r="D27" s="3" t="n">
        <v>-2383462</v>
      </c>
      <c r="E27" s="3" t="n">
        <v>-1171777</v>
      </c>
      <c r="F27" s="3" t="n"/>
    </row>
    <row r="28">
      <c r="A28" t="inlineStr">
        <is>
          <t>Tax Provision</t>
        </is>
      </c>
      <c r="B28" s="3" t="n">
        <v>-36252</v>
      </c>
      <c r="C28" s="3" t="n">
        <v>-13360</v>
      </c>
      <c r="D28" s="3" t="n">
        <v>0</v>
      </c>
      <c r="E28" s="3" t="n">
        <v>0</v>
      </c>
      <c r="F28" s="3" t="n"/>
    </row>
    <row r="29">
      <c r="A29" t="inlineStr">
        <is>
          <t>Pretax Income</t>
        </is>
      </c>
      <c r="B29" s="3" t="n">
        <v>-19229869</v>
      </c>
      <c r="C29" s="3" t="n">
        <v>-31993828</v>
      </c>
      <c r="D29" s="3" t="n">
        <v>-2383462</v>
      </c>
      <c r="E29" s="3" t="n">
        <v>-1171777</v>
      </c>
      <c r="F29" s="3" t="n"/>
    </row>
    <row r="30">
      <c r="A30" t="inlineStr">
        <is>
          <t>Other Income Expense</t>
        </is>
      </c>
      <c r="B30" s="3" t="n">
        <v>4091766</v>
      </c>
      <c r="C30" s="3" t="n">
        <v>-24959552</v>
      </c>
      <c r="D30" s="3" t="n"/>
      <c r="E30" s="3" t="n"/>
      <c r="F30" s="3" t="n"/>
    </row>
    <row r="31">
      <c r="A31" t="inlineStr">
        <is>
          <t>Special Income Charges</t>
        </is>
      </c>
      <c r="B31" s="3" t="n">
        <v>0</v>
      </c>
      <c r="C31" s="3" t="n">
        <v>-8813347</v>
      </c>
      <c r="D31" s="3" t="n">
        <v>0</v>
      </c>
      <c r="E31" s="3" t="n"/>
      <c r="F31" s="3" t="n"/>
    </row>
    <row r="32">
      <c r="A32" t="inlineStr">
        <is>
          <t>Other Special Charges</t>
        </is>
      </c>
      <c r="B32" s="3" t="n"/>
      <c r="C32" s="3" t="n">
        <v>-1259979</v>
      </c>
      <c r="D32" s="3" t="n"/>
      <c r="E32" s="3" t="n"/>
      <c r="F32" s="3" t="n"/>
    </row>
    <row r="33">
      <c r="A33" t="inlineStr">
        <is>
          <t>Impairment Of Capital Assets</t>
        </is>
      </c>
      <c r="B33" s="3" t="n">
        <v>0</v>
      </c>
      <c r="C33" s="3" t="n">
        <v>10073326</v>
      </c>
      <c r="D33" s="3" t="n">
        <v>0</v>
      </c>
      <c r="E33" s="3" t="n"/>
      <c r="F33" s="3" t="n"/>
    </row>
    <row r="34">
      <c r="A34" t="inlineStr">
        <is>
          <t>Gain On Sale Of Security</t>
        </is>
      </c>
      <c r="B34" s="3" t="n">
        <v>4091766</v>
      </c>
      <c r="C34" s="3" t="n">
        <v>-16146205</v>
      </c>
      <c r="D34" s="3" t="n"/>
      <c r="E34" s="3" t="n"/>
      <c r="F34" s="3" t="n"/>
    </row>
    <row r="35">
      <c r="A35" t="inlineStr">
        <is>
          <t>Net Non Operating Interest Income Expense</t>
        </is>
      </c>
      <c r="B35" s="3" t="n">
        <v>1830425</v>
      </c>
      <c r="C35" s="3" t="n">
        <v>-115835</v>
      </c>
      <c r="D35" s="3" t="n">
        <v>0</v>
      </c>
      <c r="E35" s="3" t="n">
        <v>148</v>
      </c>
      <c r="F35" s="3" t="n"/>
    </row>
    <row r="36">
      <c r="A36" t="inlineStr">
        <is>
          <t>Interest Expense Non Operating</t>
        </is>
      </c>
      <c r="B36" s="3" t="n">
        <v>519</v>
      </c>
      <c r="C36" s="3" t="n">
        <v>116981</v>
      </c>
      <c r="D36" s="3" t="n">
        <v>0</v>
      </c>
      <c r="E36" s="3" t="n"/>
      <c r="F36" s="3" t="n"/>
    </row>
    <row r="37">
      <c r="A37" t="inlineStr">
        <is>
          <t>Interest Income Non Operating</t>
        </is>
      </c>
      <c r="B37" s="3" t="n">
        <v>1830944</v>
      </c>
      <c r="C37" s="3" t="n">
        <v>1146</v>
      </c>
      <c r="D37" s="3" t="n">
        <v>0</v>
      </c>
      <c r="E37" s="3" t="n">
        <v>148</v>
      </c>
      <c r="F37" s="3" t="n"/>
    </row>
    <row r="38">
      <c r="A38" t="inlineStr">
        <is>
          <t>Operating Income</t>
        </is>
      </c>
      <c r="B38" s="3" t="n">
        <v>-25152060</v>
      </c>
      <c r="C38" s="3" t="n">
        <v>-6918441</v>
      </c>
      <c r="D38" s="3" t="n">
        <v>-2383462</v>
      </c>
      <c r="E38" s="3" t="n">
        <v>-1171925</v>
      </c>
      <c r="F38" s="3" t="n"/>
    </row>
    <row r="39">
      <c r="A39" t="inlineStr">
        <is>
          <t>Operating Expense</t>
        </is>
      </c>
      <c r="B39" s="3" t="n">
        <v>29058907</v>
      </c>
      <c r="C39" s="3" t="n">
        <v>8464692</v>
      </c>
      <c r="D39" s="3" t="n">
        <v>2383462</v>
      </c>
      <c r="E39" s="3" t="n">
        <v>1171925</v>
      </c>
      <c r="F39" s="3" t="n"/>
    </row>
    <row r="40">
      <c r="A40" t="inlineStr">
        <is>
          <t>Other Operating Expenses</t>
        </is>
      </c>
      <c r="B40" s="3" t="n">
        <v>3234706</v>
      </c>
      <c r="C40" s="3" t="n">
        <v>959740</v>
      </c>
      <c r="D40" s="3" t="n"/>
      <c r="E40" s="3" t="n"/>
      <c r="F40" s="3" t="n"/>
    </row>
    <row r="41">
      <c r="A41" t="inlineStr">
        <is>
          <t>Depreciation Amortization Depletion Income Statement</t>
        </is>
      </c>
      <c r="B41" s="3" t="n">
        <v>141267</v>
      </c>
      <c r="C41" s="3" t="n">
        <v>72161</v>
      </c>
      <c r="D41" s="3" t="n">
        <v>5600</v>
      </c>
      <c r="E41" s="3" t="n">
        <v>885</v>
      </c>
      <c r="F41" s="3" t="n"/>
    </row>
    <row r="42">
      <c r="A42" t="inlineStr">
        <is>
          <t>Depreciation And Amortization In Income Statement</t>
        </is>
      </c>
      <c r="B42" s="3" t="n">
        <v>141267</v>
      </c>
      <c r="C42" s="3" t="n">
        <v>72161</v>
      </c>
      <c r="D42" s="3" t="n">
        <v>5600</v>
      </c>
      <c r="E42" s="3" t="n">
        <v>885</v>
      </c>
      <c r="F42" s="3" t="n"/>
    </row>
    <row r="43">
      <c r="A43" t="inlineStr">
        <is>
          <t>Depreciation Income Statement</t>
        </is>
      </c>
      <c r="B43" s="3" t="n"/>
      <c r="C43" s="3" t="n">
        <v>72161</v>
      </c>
      <c r="D43" s="3" t="n">
        <v>5600</v>
      </c>
      <c r="E43" s="3" t="n">
        <v>885</v>
      </c>
      <c r="F43" s="3" t="n">
        <v>0</v>
      </c>
    </row>
    <row r="44">
      <c r="A44" t="inlineStr">
        <is>
          <t>Research And Development</t>
        </is>
      </c>
      <c r="B44" s="3" t="n">
        <v>202585</v>
      </c>
      <c r="C44" s="3" t="n">
        <v>90584</v>
      </c>
      <c r="D44" s="3" t="n">
        <v>0</v>
      </c>
      <c r="E44" s="3" t="n">
        <v>91325</v>
      </c>
      <c r="F44" s="3" t="n"/>
    </row>
    <row r="45">
      <c r="A45" t="inlineStr">
        <is>
          <t>Selling General And Administration</t>
        </is>
      </c>
      <c r="B45" s="3" t="n">
        <v>25480349</v>
      </c>
      <c r="C45" s="3" t="n">
        <v>7342207</v>
      </c>
      <c r="D45" s="3" t="n">
        <v>2377862</v>
      </c>
      <c r="E45" s="3" t="n">
        <v>1079715</v>
      </c>
      <c r="F45" s="3" t="n"/>
    </row>
    <row r="46">
      <c r="A46" t="inlineStr">
        <is>
          <t>Selling And Marketing Expense</t>
        </is>
      </c>
      <c r="B46" s="3" t="n">
        <v>1581716</v>
      </c>
      <c r="C46" s="3" t="n">
        <v>1091268</v>
      </c>
      <c r="D46" s="3" t="n">
        <v>0</v>
      </c>
      <c r="E46" s="3" t="n"/>
      <c r="F46" s="3" t="n"/>
    </row>
    <row r="47">
      <c r="A47" t="inlineStr">
        <is>
          <t>General And Administrative Expense</t>
        </is>
      </c>
      <c r="B47" s="3" t="n">
        <v>23898633</v>
      </c>
      <c r="C47" s="3" t="n">
        <v>6250939</v>
      </c>
      <c r="D47" s="3" t="n">
        <v>2377862</v>
      </c>
      <c r="E47" s="3" t="n">
        <v>1079715</v>
      </c>
      <c r="F47" s="3" t="n"/>
    </row>
    <row r="48">
      <c r="A48" t="inlineStr">
        <is>
          <t>Other Gand A</t>
        </is>
      </c>
      <c r="B48" s="3" t="n">
        <v>23898633</v>
      </c>
      <c r="C48" s="3" t="n">
        <v>6250939</v>
      </c>
      <c r="D48" s="3" t="n">
        <v>2377862</v>
      </c>
      <c r="E48" s="3" t="n">
        <v>1079715</v>
      </c>
      <c r="F48" s="3" t="n"/>
    </row>
    <row r="49">
      <c r="A49" t="inlineStr">
        <is>
          <t>Gross Profit</t>
        </is>
      </c>
      <c r="B49" s="3" t="n">
        <v>3906847</v>
      </c>
      <c r="C49" s="3" t="n">
        <v>1546251</v>
      </c>
      <c r="D49" s="3" t="n">
        <v>0</v>
      </c>
      <c r="E49" s="3" t="n">
        <v>0</v>
      </c>
      <c r="F49" s="3" t="n"/>
    </row>
    <row r="50">
      <c r="A50" t="inlineStr">
        <is>
          <t>Cost Of Revenue</t>
        </is>
      </c>
      <c r="B50" s="3" t="n">
        <v>7292370</v>
      </c>
      <c r="C50" s="3" t="n">
        <v>4019068</v>
      </c>
      <c r="D50" s="3" t="n">
        <v>0</v>
      </c>
      <c r="E50" s="3" t="n">
        <v>0</v>
      </c>
      <c r="F50" s="3" t="n"/>
    </row>
    <row r="51">
      <c r="A51" t="inlineStr">
        <is>
          <t>Total Revenue</t>
        </is>
      </c>
      <c r="B51" s="3" t="n">
        <v>11199217</v>
      </c>
      <c r="C51" s="3" t="n">
        <v>5565319</v>
      </c>
      <c r="D51" s="3" t="n">
        <v>0</v>
      </c>
      <c r="E51" s="3" t="n">
        <v>0</v>
      </c>
      <c r="F51" s="3" t="n"/>
    </row>
    <row r="52">
      <c r="A52" t="inlineStr">
        <is>
          <t>Operating Revenue</t>
        </is>
      </c>
      <c r="B52" s="3" t="n">
        <v>11199217</v>
      </c>
      <c r="C52" s="3" t="n">
        <v>5565319</v>
      </c>
      <c r="D52" s="3" t="n">
        <v>0</v>
      </c>
      <c r="E52" s="3" t="n">
        <v>0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1228439.73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</v>
      </c>
      <c r="C3" s="3" t="n">
        <v>0</v>
      </c>
      <c r="D3" s="3" t="n">
        <v>0.21</v>
      </c>
      <c r="E3" s="3" t="n">
        <v>0</v>
      </c>
      <c r="F3" s="3" t="n">
        <v>0</v>
      </c>
      <c r="G3" s="3" t="n"/>
    </row>
    <row r="4">
      <c r="A4" t="inlineStr">
        <is>
          <t>Normalized EBITDA</t>
        </is>
      </c>
      <c r="B4" s="3" t="n">
        <v>-6402096</v>
      </c>
      <c r="C4" s="3" t="n">
        <v>-8766217</v>
      </c>
      <c r="D4" s="3" t="n">
        <v>-4223799</v>
      </c>
      <c r="E4" s="3" t="n">
        <v>-6944146</v>
      </c>
      <c r="F4" s="3" t="n">
        <v>-3245686</v>
      </c>
      <c r="G4" s="3" t="n"/>
    </row>
    <row r="5">
      <c r="A5" t="inlineStr">
        <is>
          <t>Total Unusual Items</t>
        </is>
      </c>
      <c r="B5" s="3" t="n">
        <v>16750271</v>
      </c>
      <c r="C5" s="3" t="n">
        <v>-1757947</v>
      </c>
      <c r="D5" s="3" t="n">
        <v>5849713</v>
      </c>
      <c r="E5" s="3" t="n"/>
      <c r="F5" s="3" t="n"/>
      <c r="G5" s="3" t="n">
        <v>-24317639</v>
      </c>
    </row>
    <row r="6">
      <c r="A6" t="inlineStr">
        <is>
          <t>Total Unusual Items Excluding Goodwill</t>
        </is>
      </c>
      <c r="B6" s="3" t="n">
        <v>16750271</v>
      </c>
      <c r="C6" s="3" t="n">
        <v>-1757947</v>
      </c>
      <c r="D6" s="3" t="n">
        <v>5849713</v>
      </c>
      <c r="E6" s="3" t="n"/>
      <c r="F6" s="3" t="n"/>
      <c r="G6" s="3" t="n">
        <v>-24317639</v>
      </c>
    </row>
    <row r="7">
      <c r="A7" t="inlineStr">
        <is>
          <t>Net Income From Continuing Operation Net Minority Interest</t>
        </is>
      </c>
      <c r="B7" s="3" t="n">
        <v>10282994</v>
      </c>
      <c r="C7" s="3" t="n">
        <v>-10566064</v>
      </c>
      <c r="D7" s="3" t="n">
        <v>1603465</v>
      </c>
      <c r="E7" s="3" t="n">
        <v>-6964739</v>
      </c>
      <c r="F7" s="3" t="n">
        <v>-3266279</v>
      </c>
      <c r="G7" s="3" t="n"/>
    </row>
    <row r="8">
      <c r="A8" t="inlineStr">
        <is>
          <t>Reconciled Depreciation</t>
        </is>
      </c>
      <c r="B8" s="3" t="n">
        <v>64813</v>
      </c>
      <c r="C8" s="3" t="n">
        <v>77632</v>
      </c>
      <c r="D8" s="3" t="n">
        <v>22449</v>
      </c>
      <c r="E8" s="3" t="n">
        <v>20593</v>
      </c>
      <c r="F8" s="3" t="n">
        <v>20593</v>
      </c>
      <c r="G8" s="3" t="n"/>
    </row>
    <row r="9">
      <c r="A9" t="inlineStr">
        <is>
          <t>Reconciled Cost Of Revenue</t>
        </is>
      </c>
      <c r="B9" s="3" t="n">
        <v>5441729</v>
      </c>
      <c r="C9" s="3" t="n">
        <v>3123386</v>
      </c>
      <c r="D9" s="3" t="n">
        <v>1294200</v>
      </c>
      <c r="E9" s="3" t="n">
        <v>1329291</v>
      </c>
      <c r="F9" s="3" t="n">
        <v>1545493</v>
      </c>
      <c r="G9" s="3" t="n"/>
    </row>
    <row r="10">
      <c r="A10" t="inlineStr">
        <is>
          <t>EBITDA</t>
        </is>
      </c>
      <c r="B10" s="3" t="n">
        <v>10348175</v>
      </c>
      <c r="C10" s="3" t="n">
        <v>-10524164</v>
      </c>
      <c r="D10" s="3" t="n">
        <v>1625914</v>
      </c>
      <c r="E10" s="3" t="n">
        <v>-6944146</v>
      </c>
      <c r="F10" s="3" t="n">
        <v>-3245686</v>
      </c>
      <c r="G10" s="3" t="n"/>
    </row>
    <row r="11">
      <c r="A11" t="inlineStr">
        <is>
          <t>EBIT</t>
        </is>
      </c>
      <c r="B11" s="3" t="n">
        <v>10283362</v>
      </c>
      <c r="C11" s="3" t="n">
        <v>-10601796</v>
      </c>
      <c r="D11" s="3" t="n">
        <v>1603465</v>
      </c>
      <c r="E11" s="3" t="n">
        <v>-6964739</v>
      </c>
      <c r="F11" s="3" t="n">
        <v>-3266279</v>
      </c>
      <c r="G11" s="3" t="n"/>
    </row>
    <row r="12">
      <c r="A12" t="inlineStr">
        <is>
          <t>Net Interest Income</t>
        </is>
      </c>
      <c r="B12" s="3" t="n">
        <v>791710</v>
      </c>
      <c r="C12" s="3" t="n">
        <v>887670</v>
      </c>
      <c r="D12" s="3" t="n">
        <v>715489</v>
      </c>
      <c r="E12" s="3" t="n">
        <v>225734</v>
      </c>
      <c r="F12" s="3" t="n">
        <v>1532</v>
      </c>
      <c r="G12" s="3" t="n"/>
    </row>
    <row r="13">
      <c r="A13" t="inlineStr">
        <is>
          <t>Interest Expense</t>
        </is>
      </c>
      <c r="B13" s="3" t="n">
        <v>368</v>
      </c>
      <c r="C13" s="3" t="n">
        <v>519</v>
      </c>
      <c r="D13" s="3" t="n">
        <v>0</v>
      </c>
      <c r="E13" s="3" t="n">
        <v>0</v>
      </c>
      <c r="F13" s="3" t="n">
        <v>0</v>
      </c>
      <c r="G13" s="3" t="n"/>
    </row>
    <row r="14">
      <c r="A14" t="inlineStr">
        <is>
          <t>Interest Income</t>
        </is>
      </c>
      <c r="B14" s="3" t="n">
        <v>792078</v>
      </c>
      <c r="C14" s="3" t="n">
        <v>888189</v>
      </c>
      <c r="D14" s="3" t="n">
        <v>715489</v>
      </c>
      <c r="E14" s="3" t="n">
        <v>225734</v>
      </c>
      <c r="F14" s="3" t="n">
        <v>1532</v>
      </c>
      <c r="G14" s="3" t="n"/>
    </row>
    <row r="15">
      <c r="A15" t="inlineStr">
        <is>
          <t>Normalized Income</t>
        </is>
      </c>
      <c r="B15" s="3" t="n">
        <v>-6467277</v>
      </c>
      <c r="C15" s="3" t="n">
        <v>-8808117</v>
      </c>
      <c r="D15" s="3" t="n">
        <v>-3017808.27</v>
      </c>
      <c r="E15" s="3" t="n">
        <v>-6964739</v>
      </c>
      <c r="F15" s="3" t="n">
        <v>-3266279</v>
      </c>
      <c r="G15" s="3" t="n"/>
    </row>
    <row r="16">
      <c r="A16" t="inlineStr">
        <is>
          <t>Net Income From Continuing And Discontinued Operation</t>
        </is>
      </c>
      <c r="B16" s="3" t="n">
        <v>10282994</v>
      </c>
      <c r="C16" s="3" t="n">
        <v>-10566064</v>
      </c>
      <c r="D16" s="3" t="n">
        <v>1603465</v>
      </c>
      <c r="E16" s="3" t="n">
        <v>-6964739</v>
      </c>
      <c r="F16" s="3" t="n">
        <v>-3266279</v>
      </c>
      <c r="G16" s="3" t="n"/>
    </row>
    <row r="17">
      <c r="A17" t="inlineStr">
        <is>
          <t>Total Expenses</t>
        </is>
      </c>
      <c r="B17" s="3" t="n">
        <v>15354823</v>
      </c>
      <c r="C17" s="3" t="n">
        <v>14630398</v>
      </c>
      <c r="D17" s="3" t="n">
        <v>7096325</v>
      </c>
      <c r="E17" s="3" t="n">
        <v>9314443</v>
      </c>
      <c r="F17" s="3" t="n">
        <v>5310111</v>
      </c>
      <c r="G17" s="3" t="n"/>
    </row>
    <row r="18">
      <c r="A18" t="inlineStr">
        <is>
          <t>Total Operating Income As Reported</t>
        </is>
      </c>
      <c r="B18" s="3" t="n">
        <v>-7258987</v>
      </c>
      <c r="C18" s="3" t="n">
        <v>-9732039</v>
      </c>
      <c r="D18" s="3" t="n">
        <v>-4961737</v>
      </c>
      <c r="E18" s="3" t="n">
        <v>-7190473</v>
      </c>
      <c r="F18" s="3" t="n">
        <v>-3267811</v>
      </c>
      <c r="G18" s="3" t="n"/>
    </row>
    <row r="19">
      <c r="A19" t="inlineStr">
        <is>
          <t>Diluted Average Shares</t>
        </is>
      </c>
      <c r="B19" s="3" t="n">
        <v>48134348</v>
      </c>
      <c r="C19" s="3" t="n"/>
      <c r="D19" s="3" t="n">
        <v>30581194</v>
      </c>
      <c r="E19" s="3" t="n">
        <v>21771954</v>
      </c>
      <c r="F19" s="3" t="n">
        <v>15902473</v>
      </c>
      <c r="G19" s="3" t="n"/>
    </row>
    <row r="20">
      <c r="A20" t="inlineStr">
        <is>
          <t>Basic Average Shares</t>
        </is>
      </c>
      <c r="B20" s="3" t="n">
        <v>46708842</v>
      </c>
      <c r="C20" s="3" t="n"/>
      <c r="D20" s="3" t="n">
        <v>30002179</v>
      </c>
      <c r="E20" s="3" t="n">
        <v>21771954</v>
      </c>
      <c r="F20" s="3" t="n">
        <v>15902473</v>
      </c>
      <c r="G20" s="3" t="n"/>
    </row>
    <row r="21">
      <c r="A21" t="inlineStr">
        <is>
          <t>Diluted EPS</t>
        </is>
      </c>
      <c r="B21" s="3" t="n">
        <v>0.21</v>
      </c>
      <c r="C21" s="3" t="n"/>
      <c r="D21" s="3" t="n">
        <v>0.05</v>
      </c>
      <c r="E21" s="3" t="n">
        <v>-0.32</v>
      </c>
      <c r="F21" s="3" t="n">
        <v>-0.21</v>
      </c>
      <c r="G21" s="3" t="n"/>
    </row>
    <row r="22">
      <c r="A22" t="inlineStr">
        <is>
          <t>Basic EPS</t>
        </is>
      </c>
      <c r="B22" s="3" t="n">
        <v>0.22</v>
      </c>
      <c r="C22" s="3" t="n"/>
      <c r="D22" s="3" t="n">
        <v>0.05</v>
      </c>
      <c r="E22" s="3" t="n">
        <v>-0.32</v>
      </c>
      <c r="F22" s="3" t="n">
        <v>-0.21</v>
      </c>
      <c r="G22" s="3" t="n"/>
    </row>
    <row r="23">
      <c r="A23" t="inlineStr">
        <is>
          <t>Diluted NI Availto Com Stockholders</t>
        </is>
      </c>
      <c r="B23" s="3" t="n">
        <v>10282994</v>
      </c>
      <c r="C23" s="3" t="n">
        <v>-10566064</v>
      </c>
      <c r="D23" s="3" t="n">
        <v>1603465</v>
      </c>
      <c r="E23" s="3" t="n">
        <v>-6964739</v>
      </c>
      <c r="F23" s="3" t="n">
        <v>-3266279</v>
      </c>
      <c r="G23" s="3" t="n"/>
    </row>
    <row r="24">
      <c r="A24" t="inlineStr">
        <is>
          <t>Net Income Common Stockholders</t>
        </is>
      </c>
      <c r="B24" s="3" t="n">
        <v>10282994</v>
      </c>
      <c r="C24" s="3" t="n">
        <v>-10566064</v>
      </c>
      <c r="D24" s="3" t="n">
        <v>1603465</v>
      </c>
      <c r="E24" s="3" t="n">
        <v>-6964739</v>
      </c>
      <c r="F24" s="3" t="n">
        <v>-3266279</v>
      </c>
      <c r="G24" s="3" t="n"/>
    </row>
    <row r="25">
      <c r="A25" t="inlineStr">
        <is>
          <t>Net Income</t>
        </is>
      </c>
      <c r="B25" s="3" t="n">
        <v>10282994</v>
      </c>
      <c r="C25" s="3" t="n">
        <v>-10566064</v>
      </c>
      <c r="D25" s="3" t="n">
        <v>1603465</v>
      </c>
      <c r="E25" s="3" t="n">
        <v>-6964739</v>
      </c>
      <c r="F25" s="3" t="n">
        <v>-3266279</v>
      </c>
      <c r="G25" s="3" t="n"/>
    </row>
    <row r="26">
      <c r="A26" t="inlineStr">
        <is>
          <t>Net Income Including Noncontrolling Interests</t>
        </is>
      </c>
      <c r="B26" s="3" t="n">
        <v>10282994</v>
      </c>
      <c r="C26" s="3" t="n">
        <v>-10566063</v>
      </c>
      <c r="D26" s="3" t="n">
        <v>1603465</v>
      </c>
      <c r="E26" s="3" t="n">
        <v>-6964739</v>
      </c>
      <c r="F26" s="3" t="n">
        <v>-3266279</v>
      </c>
      <c r="G26" s="3" t="n"/>
    </row>
    <row r="27">
      <c r="A27" t="inlineStr">
        <is>
          <t>Net Income Continuous Operations</t>
        </is>
      </c>
      <c r="B27" s="3" t="n">
        <v>10282994</v>
      </c>
      <c r="C27" s="3" t="n">
        <v>-10566063</v>
      </c>
      <c r="D27" s="3" t="n">
        <v>1603465</v>
      </c>
      <c r="E27" s="3" t="n">
        <v>-6964739</v>
      </c>
      <c r="F27" s="3" t="n">
        <v>-3266279</v>
      </c>
      <c r="G27" s="3" t="n"/>
    </row>
    <row r="28">
      <c r="A28" t="inlineStr">
        <is>
          <t>Tax Provision</t>
        </is>
      </c>
      <c r="B28" s="3" t="n">
        <v>0</v>
      </c>
      <c r="C28" s="3" t="n"/>
      <c r="D28" s="3" t="n"/>
      <c r="E28" s="3" t="n"/>
      <c r="F28" s="3" t="n">
        <v>0</v>
      </c>
      <c r="G28" s="3" t="n"/>
    </row>
    <row r="29">
      <c r="A29" t="inlineStr">
        <is>
          <t>Pretax Income</t>
        </is>
      </c>
      <c r="B29" s="3" t="n">
        <v>10282994</v>
      </c>
      <c r="C29" s="3" t="n">
        <v>-10602315</v>
      </c>
      <c r="D29" s="3" t="n">
        <v>1603465</v>
      </c>
      <c r="E29" s="3" t="n">
        <v>-6964739</v>
      </c>
      <c r="F29" s="3" t="n">
        <v>-3266279</v>
      </c>
      <c r="G29" s="3" t="n"/>
    </row>
    <row r="30">
      <c r="A30" t="inlineStr">
        <is>
          <t>Other Income Expense</t>
        </is>
      </c>
      <c r="B30" s="3" t="n">
        <v>16750271</v>
      </c>
      <c r="C30" s="3" t="n">
        <v>-1757947</v>
      </c>
      <c r="D30" s="3" t="n">
        <v>5849713</v>
      </c>
      <c r="E30" s="3" t="n"/>
      <c r="F30" s="3" t="n"/>
      <c r="G30" s="3" t="n">
        <v>-24317639</v>
      </c>
    </row>
    <row r="31">
      <c r="A31" t="inlineStr">
        <is>
          <t>Special Income Charges</t>
        </is>
      </c>
      <c r="B31" s="3" t="n"/>
      <c r="C31" s="3" t="n">
        <v>0</v>
      </c>
      <c r="D31" s="3" t="n">
        <v>0</v>
      </c>
      <c r="E31" s="3" t="n"/>
      <c r="F31" s="3" t="n"/>
      <c r="G31" s="3" t="n">
        <v>-8128196</v>
      </c>
    </row>
    <row r="32">
      <c r="A32" t="inlineStr">
        <is>
          <t>Other Special Charges</t>
        </is>
      </c>
      <c r="B32" s="3" t="n"/>
      <c r="C32" s="3" t="n"/>
      <c r="D32" s="3" t="n"/>
      <c r="E32" s="3" t="n"/>
      <c r="F32" s="3" t="n"/>
      <c r="G32" s="3" t="n">
        <v>-1945130</v>
      </c>
    </row>
    <row r="33">
      <c r="A33" t="inlineStr">
        <is>
          <t>Gain On Sale Of Security</t>
        </is>
      </c>
      <c r="B33" s="3" t="n">
        <v>16750271</v>
      </c>
      <c r="C33" s="3" t="n">
        <v>-1757947</v>
      </c>
      <c r="D33" s="3" t="n">
        <v>5849713</v>
      </c>
      <c r="E33" s="3" t="n"/>
      <c r="F33" s="3" t="n"/>
      <c r="G33" s="3" t="n">
        <v>-16189443</v>
      </c>
    </row>
    <row r="34">
      <c r="A34" t="inlineStr">
        <is>
          <t>Net Non Operating Interest Income Expense</t>
        </is>
      </c>
      <c r="B34" s="3" t="n">
        <v>791710</v>
      </c>
      <c r="C34" s="3" t="n">
        <v>887670</v>
      </c>
      <c r="D34" s="3" t="n">
        <v>715489</v>
      </c>
      <c r="E34" s="3" t="n">
        <v>225734</v>
      </c>
      <c r="F34" s="3" t="n">
        <v>1532</v>
      </c>
      <c r="G34" s="3" t="n"/>
    </row>
    <row r="35">
      <c r="A35" t="inlineStr">
        <is>
          <t>Interest Expense Non Operating</t>
        </is>
      </c>
      <c r="B35" s="3" t="n">
        <v>368</v>
      </c>
      <c r="C35" s="3" t="n">
        <v>519</v>
      </c>
      <c r="D35" s="3" t="n">
        <v>0</v>
      </c>
      <c r="E35" s="3" t="n">
        <v>0</v>
      </c>
      <c r="F35" s="3" t="n">
        <v>0</v>
      </c>
      <c r="G35" s="3" t="n"/>
    </row>
    <row r="36">
      <c r="A36" t="inlineStr">
        <is>
          <t>Interest Income Non Operating</t>
        </is>
      </c>
      <c r="B36" s="3" t="n">
        <v>792078</v>
      </c>
      <c r="C36" s="3" t="n">
        <v>888189</v>
      </c>
      <c r="D36" s="3" t="n">
        <v>715489</v>
      </c>
      <c r="E36" s="3" t="n">
        <v>225734</v>
      </c>
      <c r="F36" s="3" t="n">
        <v>1532</v>
      </c>
      <c r="G36" s="3" t="n"/>
    </row>
    <row r="37">
      <c r="A37" t="inlineStr">
        <is>
          <t>Operating Income</t>
        </is>
      </c>
      <c r="B37" s="3" t="n">
        <v>-7258987</v>
      </c>
      <c r="C37" s="3" t="n">
        <v>-9732038</v>
      </c>
      <c r="D37" s="3" t="n">
        <v>-4961737</v>
      </c>
      <c r="E37" s="3" t="n">
        <v>-7190473</v>
      </c>
      <c r="F37" s="3" t="n">
        <v>-3267811</v>
      </c>
      <c r="G37" s="3" t="n"/>
    </row>
    <row r="38">
      <c r="A38" t="inlineStr">
        <is>
          <t>Operating Expense</t>
        </is>
      </c>
      <c r="B38" s="3" t="n">
        <v>9913094</v>
      </c>
      <c r="C38" s="3" t="n">
        <v>11507012</v>
      </c>
      <c r="D38" s="3" t="n">
        <v>5802125</v>
      </c>
      <c r="E38" s="3" t="n">
        <v>7985152</v>
      </c>
      <c r="F38" s="3" t="n">
        <v>3764618</v>
      </c>
      <c r="G38" s="3" t="n"/>
    </row>
    <row r="39">
      <c r="A39" t="inlineStr">
        <is>
          <t>Other Operating Expenses</t>
        </is>
      </c>
      <c r="B39" s="3" t="n">
        <v>1948899</v>
      </c>
      <c r="C39" s="3" t="n">
        <v>1891122</v>
      </c>
      <c r="D39" s="3" t="n">
        <v>636705</v>
      </c>
      <c r="E39" s="3" t="n">
        <v>404277</v>
      </c>
      <c r="F39" s="3" t="n">
        <v>302602</v>
      </c>
      <c r="G39" s="3" t="n"/>
    </row>
    <row r="40">
      <c r="A40" t="inlineStr">
        <is>
          <t>Depreciation Amortization Depletion Income Statement</t>
        </is>
      </c>
      <c r="B40" s="3" t="n">
        <v>64813</v>
      </c>
      <c r="C40" s="3" t="n">
        <v>77632</v>
      </c>
      <c r="D40" s="3" t="n">
        <v>22449</v>
      </c>
      <c r="E40" s="3" t="n">
        <v>20593</v>
      </c>
      <c r="F40" s="3" t="n">
        <v>20593</v>
      </c>
      <c r="G40" s="3" t="n"/>
    </row>
    <row r="41">
      <c r="A41" t="inlineStr">
        <is>
          <t>Depreciation And Amortization In Income Statement</t>
        </is>
      </c>
      <c r="B41" s="3" t="n">
        <v>64813</v>
      </c>
      <c r="C41" s="3" t="n">
        <v>77632</v>
      </c>
      <c r="D41" s="3" t="n">
        <v>22449</v>
      </c>
      <c r="E41" s="3" t="n">
        <v>20593</v>
      </c>
      <c r="F41" s="3" t="n">
        <v>20593</v>
      </c>
      <c r="G41" s="3" t="n"/>
    </row>
    <row r="42">
      <c r="A42" t="inlineStr">
        <is>
          <t>Research And Development</t>
        </is>
      </c>
      <c r="B42" s="3" t="n">
        <v>91143</v>
      </c>
      <c r="C42" s="3" t="n">
        <v>92583</v>
      </c>
      <c r="D42" s="3" t="n">
        <v>39369</v>
      </c>
      <c r="E42" s="3" t="n">
        <v>62731</v>
      </c>
      <c r="F42" s="3" t="n">
        <v>7903</v>
      </c>
      <c r="G42" s="3" t="n"/>
    </row>
    <row r="43">
      <c r="A43" t="inlineStr">
        <is>
          <t>Selling General And Administration</t>
        </is>
      </c>
      <c r="B43" s="3" t="n">
        <v>7808239</v>
      </c>
      <c r="C43" s="3" t="n">
        <v>9445675</v>
      </c>
      <c r="D43" s="3" t="n">
        <v>5103602</v>
      </c>
      <c r="E43" s="3" t="n">
        <v>7497551</v>
      </c>
      <c r="F43" s="3" t="n">
        <v>3433520</v>
      </c>
      <c r="G43" s="3" t="n"/>
    </row>
    <row r="44">
      <c r="A44" t="inlineStr">
        <is>
          <t>Selling And Marketing Expense</t>
        </is>
      </c>
      <c r="B44" s="3" t="n">
        <v>580039</v>
      </c>
      <c r="C44" s="3" t="n">
        <v>698202</v>
      </c>
      <c r="D44" s="3" t="n">
        <v>373539</v>
      </c>
      <c r="E44" s="3" t="n">
        <v>302358</v>
      </c>
      <c r="F44" s="3" t="n">
        <v>207616</v>
      </c>
      <c r="G44" s="3" t="n"/>
    </row>
    <row r="45">
      <c r="A45" t="inlineStr">
        <is>
          <t>General And Administrative Expense</t>
        </is>
      </c>
      <c r="B45" s="3" t="n">
        <v>7228200</v>
      </c>
      <c r="C45" s="3" t="n">
        <v>8747473</v>
      </c>
      <c r="D45" s="3" t="n">
        <v>4730063</v>
      </c>
      <c r="E45" s="3" t="n">
        <v>7195193</v>
      </c>
      <c r="F45" s="3" t="n">
        <v>3225904</v>
      </c>
      <c r="G45" s="3" t="n"/>
    </row>
    <row r="46">
      <c r="A46" t="inlineStr">
        <is>
          <t>Other Gand A</t>
        </is>
      </c>
      <c r="B46" s="3" t="n">
        <v>7228200</v>
      </c>
      <c r="C46" s="3" t="n">
        <v>8747473</v>
      </c>
      <c r="D46" s="3" t="n">
        <v>4730063</v>
      </c>
      <c r="E46" s="3" t="n">
        <v>7195193</v>
      </c>
      <c r="F46" s="3" t="n">
        <v>3225904</v>
      </c>
      <c r="G46" s="3" t="n"/>
    </row>
    <row r="47">
      <c r="A47" t="inlineStr">
        <is>
          <t>Gross Profit</t>
        </is>
      </c>
      <c r="B47" s="3" t="n">
        <v>2654107</v>
      </c>
      <c r="C47" s="3" t="n">
        <v>1774974</v>
      </c>
      <c r="D47" s="3" t="n">
        <v>840388</v>
      </c>
      <c r="E47" s="3" t="n">
        <v>794679</v>
      </c>
      <c r="F47" s="3" t="n">
        <v>496807</v>
      </c>
      <c r="G47" s="3" t="n"/>
    </row>
    <row r="48">
      <c r="A48" t="inlineStr">
        <is>
          <t>Cost Of Revenue</t>
        </is>
      </c>
      <c r="B48" s="3" t="n">
        <v>5441729</v>
      </c>
      <c r="C48" s="3" t="n">
        <v>3123386</v>
      </c>
      <c r="D48" s="3" t="n">
        <v>1294200</v>
      </c>
      <c r="E48" s="3" t="n">
        <v>1329291</v>
      </c>
      <c r="F48" s="3" t="n">
        <v>1545493</v>
      </c>
      <c r="G48" s="3" t="n"/>
    </row>
    <row r="49">
      <c r="A49" t="inlineStr">
        <is>
          <t>Total Revenue</t>
        </is>
      </c>
      <c r="B49" s="3" t="n">
        <v>8095836</v>
      </c>
      <c r="C49" s="3" t="n">
        <v>4898360</v>
      </c>
      <c r="D49" s="3" t="n">
        <v>2134588</v>
      </c>
      <c r="E49" s="3" t="n">
        <v>2123970</v>
      </c>
      <c r="F49" s="3" t="n">
        <v>2042300</v>
      </c>
      <c r="G49" s="3" t="n"/>
    </row>
    <row r="50">
      <c r="A50" t="inlineStr">
        <is>
          <t>Operating Revenue</t>
        </is>
      </c>
      <c r="B50" s="3" t="n">
        <v>8095836</v>
      </c>
      <c r="C50" s="3" t="n">
        <v>4898360</v>
      </c>
      <c r="D50" s="3" t="n">
        <v>2134588</v>
      </c>
      <c r="E50" s="3" t="n">
        <v>2123970</v>
      </c>
      <c r="F50" s="3" t="n">
        <v>2042300</v>
      </c>
      <c r="G5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37759911</v>
      </c>
      <c r="C2" s="3" t="n">
        <v>15122018</v>
      </c>
      <c r="D2" s="3" t="n">
        <v>7617255</v>
      </c>
      <c r="E2" s="3" t="n">
        <v>7617250</v>
      </c>
      <c r="F2" s="3" t="n"/>
    </row>
    <row r="3">
      <c r="A3" t="inlineStr">
        <is>
          <t>Share Issued</t>
        </is>
      </c>
      <c r="B3" s="3" t="n">
        <v>37759911</v>
      </c>
      <c r="C3" s="3" t="n">
        <v>15122018</v>
      </c>
      <c r="D3" s="3" t="n">
        <v>7617255</v>
      </c>
      <c r="E3" s="3" t="n">
        <v>7617250</v>
      </c>
      <c r="F3" s="3" t="n"/>
    </row>
    <row r="4">
      <c r="A4" t="inlineStr">
        <is>
          <t>Total Debt</t>
        </is>
      </c>
      <c r="B4" s="3" t="n">
        <v>2630055</v>
      </c>
      <c r="C4" s="3" t="n">
        <v>329991</v>
      </c>
      <c r="D4" s="3" t="n">
        <v>0</v>
      </c>
      <c r="E4" s="3" t="n"/>
      <c r="F4" s="3" t="n"/>
    </row>
    <row r="5">
      <c r="A5" t="inlineStr">
        <is>
          <t>Tangible Book Value</t>
        </is>
      </c>
      <c r="B5" s="3" t="n">
        <v>156781669</v>
      </c>
      <c r="C5" s="3" t="n">
        <v>5189506</v>
      </c>
      <c r="D5" s="3" t="n">
        <v>1414917</v>
      </c>
      <c r="E5" s="3" t="n">
        <v>3198380</v>
      </c>
      <c r="F5" s="3" t="n"/>
    </row>
    <row r="6">
      <c r="A6" t="inlineStr">
        <is>
          <t>Invested Capital</t>
        </is>
      </c>
      <c r="B6" s="3" t="n">
        <v>174939669</v>
      </c>
      <c r="C6" s="3" t="n">
        <v>14817942</v>
      </c>
      <c r="D6" s="3" t="n">
        <v>1414917</v>
      </c>
      <c r="E6" s="3" t="n">
        <v>3198380</v>
      </c>
      <c r="F6" s="3" t="n"/>
    </row>
    <row r="7">
      <c r="A7" t="inlineStr">
        <is>
          <t>Working Capital</t>
        </is>
      </c>
      <c r="B7" s="3" t="n">
        <v>156910135</v>
      </c>
      <c r="C7" s="3" t="n">
        <v>5161960</v>
      </c>
      <c r="D7" s="3" t="n">
        <v>900907</v>
      </c>
      <c r="E7" s="3" t="n">
        <v>3006866</v>
      </c>
      <c r="F7" s="3" t="n"/>
    </row>
    <row r="8">
      <c r="A8" t="inlineStr">
        <is>
          <t>Net Tangible Assets</t>
        </is>
      </c>
      <c r="B8" s="3" t="n">
        <v>156781669</v>
      </c>
      <c r="C8" s="3" t="n">
        <v>5189506</v>
      </c>
      <c r="D8" s="3" t="n">
        <v>1414919</v>
      </c>
      <c r="E8" s="3" t="n">
        <v>3198381</v>
      </c>
      <c r="F8" s="3" t="n"/>
    </row>
    <row r="9">
      <c r="A9" t="inlineStr">
        <is>
          <t>Capital Lease Obligations</t>
        </is>
      </c>
      <c r="B9" s="3" t="n">
        <v>2630055</v>
      </c>
      <c r="C9" s="3" t="n">
        <v>329991</v>
      </c>
      <c r="D9" s="3" t="n">
        <v>0</v>
      </c>
      <c r="E9" s="3" t="n"/>
      <c r="F9" s="3" t="n"/>
    </row>
    <row r="10">
      <c r="A10" t="inlineStr">
        <is>
          <t>Common Stock Equity</t>
        </is>
      </c>
      <c r="B10" s="3" t="n">
        <v>174939669</v>
      </c>
      <c r="C10" s="3" t="n">
        <v>14817942</v>
      </c>
      <c r="D10" s="3" t="n">
        <v>1414917</v>
      </c>
      <c r="E10" s="3" t="n">
        <v>3198380</v>
      </c>
      <c r="F10" s="3" t="n"/>
    </row>
    <row r="11">
      <c r="A11" t="inlineStr">
        <is>
          <t>Preferred Stock Equity</t>
        </is>
      </c>
      <c r="B11" s="3" t="n"/>
      <c r="C11" s="3" t="n"/>
      <c r="D11" s="3" t="n">
        <v>2</v>
      </c>
      <c r="E11" s="3" t="n">
        <v>1</v>
      </c>
      <c r="F11" s="3" t="n"/>
    </row>
    <row r="12">
      <c r="A12" t="inlineStr">
        <is>
          <t>Total Capitalization</t>
        </is>
      </c>
      <c r="B12" s="3" t="n">
        <v>174939669</v>
      </c>
      <c r="C12" s="3" t="n">
        <v>14817942</v>
      </c>
      <c r="D12" s="3" t="n">
        <v>1414919</v>
      </c>
      <c r="E12" s="3" t="n">
        <v>3198381</v>
      </c>
      <c r="F12" s="3" t="n"/>
    </row>
    <row r="13">
      <c r="A13" t="inlineStr">
        <is>
          <t>Total Equity Gross Minority Interest</t>
        </is>
      </c>
      <c r="B13" s="3" t="n">
        <v>174939669</v>
      </c>
      <c r="C13" s="3" t="n">
        <v>14817942</v>
      </c>
      <c r="D13" s="3" t="n">
        <v>1414919</v>
      </c>
      <c r="E13" s="3" t="n">
        <v>3198381</v>
      </c>
      <c r="F13" s="3" t="n"/>
    </row>
    <row r="14">
      <c r="A14" t="inlineStr">
        <is>
          <t>Stockholders Equity</t>
        </is>
      </c>
      <c r="B14" s="3" t="n">
        <v>174939669</v>
      </c>
      <c r="C14" s="3" t="n">
        <v>14817942</v>
      </c>
      <c r="D14" s="3" t="n">
        <v>1414919</v>
      </c>
      <c r="E14" s="3" t="n">
        <v>3198381</v>
      </c>
      <c r="F14" s="3" t="n"/>
    </row>
    <row r="15">
      <c r="A15" t="inlineStr">
        <is>
          <t>Other Equity Interest</t>
        </is>
      </c>
      <c r="B15" s="3" t="n"/>
      <c r="C15" s="3" t="n"/>
      <c r="D15" s="3" t="n"/>
      <c r="E15" s="3" t="n"/>
      <c r="F15" s="3" t="n">
        <v>1892065</v>
      </c>
    </row>
    <row r="16">
      <c r="A16" t="inlineStr">
        <is>
          <t>Gains Losses Not Affecting Retained Earnings</t>
        </is>
      </c>
      <c r="B16" s="3" t="n">
        <v>3470</v>
      </c>
      <c r="C16" s="3" t="n">
        <v>0</v>
      </c>
      <c r="D16" s="3" t="n"/>
      <c r="E16" s="3" t="n"/>
      <c r="F16" s="3" t="n"/>
    </row>
    <row r="17">
      <c r="A17" t="inlineStr">
        <is>
          <t>Other Equity Adjustments</t>
        </is>
      </c>
      <c r="B17" s="3" t="n">
        <v>3470</v>
      </c>
      <c r="C17" s="3" t="n"/>
      <c r="D17" s="3" t="n"/>
      <c r="E17" s="3" t="n"/>
      <c r="F17" s="3" t="n"/>
    </row>
    <row r="18">
      <c r="A18" t="inlineStr">
        <is>
          <t>Retained Earnings</t>
        </is>
      </c>
      <c r="B18" s="3" t="n">
        <v>-55107131</v>
      </c>
      <c r="C18" s="3" t="n">
        <v>-35913514</v>
      </c>
      <c r="D18" s="3" t="n">
        <v>-3933046</v>
      </c>
      <c r="E18" s="3" t="n">
        <v>-1549584</v>
      </c>
      <c r="F18" s="3" t="n"/>
    </row>
    <row r="19">
      <c r="A19" t="inlineStr">
        <is>
          <t>Additional Paid In Capital</t>
        </is>
      </c>
      <c r="B19" s="3" t="n">
        <v>229665734</v>
      </c>
      <c r="C19" s="3" t="n">
        <v>50580235</v>
      </c>
      <c r="D19" s="3" t="n">
        <v>5315790</v>
      </c>
      <c r="E19" s="3" t="n">
        <v>4714041</v>
      </c>
      <c r="F19" s="3" t="n"/>
    </row>
    <row r="20">
      <c r="A20" t="inlineStr">
        <is>
          <t>Capital Stock</t>
        </is>
      </c>
      <c r="B20" s="3" t="n">
        <v>377596</v>
      </c>
      <c r="C20" s="3" t="n">
        <v>151221</v>
      </c>
      <c r="D20" s="3" t="n">
        <v>32175</v>
      </c>
      <c r="E20" s="3" t="n">
        <v>33924</v>
      </c>
      <c r="F20" s="3" t="n"/>
    </row>
    <row r="21">
      <c r="A21" t="inlineStr">
        <is>
          <t>Common Stock</t>
        </is>
      </c>
      <c r="B21" s="3" t="n">
        <v>377596</v>
      </c>
      <c r="C21" s="3" t="n">
        <v>151221</v>
      </c>
      <c r="D21" s="3" t="n">
        <v>32173</v>
      </c>
      <c r="E21" s="3" t="n">
        <v>33923</v>
      </c>
      <c r="F21" s="3" t="n"/>
    </row>
    <row r="22">
      <c r="A22" t="inlineStr">
        <is>
          <t>Preferred Stock</t>
        </is>
      </c>
      <c r="B22" s="3" t="n"/>
      <c r="C22" s="3" t="n">
        <v>0</v>
      </c>
      <c r="D22" s="3" t="n">
        <v>2</v>
      </c>
      <c r="E22" s="3" t="n">
        <v>1</v>
      </c>
      <c r="F22" s="3" t="n">
        <v>0</v>
      </c>
    </row>
    <row r="23">
      <c r="A23" t="inlineStr">
        <is>
          <t>Total Liabilities Net Minority Interest</t>
        </is>
      </c>
      <c r="B23" s="3" t="n">
        <v>7768745</v>
      </c>
      <c r="C23" s="3" t="n">
        <v>1289633</v>
      </c>
      <c r="D23" s="3" t="n">
        <v>114497</v>
      </c>
      <c r="E23" s="3" t="n">
        <v>131931</v>
      </c>
      <c r="F23" s="3" t="n"/>
    </row>
    <row r="24">
      <c r="A24" t="inlineStr">
        <is>
          <t>Total Non Current Liabilities Net Minority Interest</t>
        </is>
      </c>
      <c r="B24" s="3" t="n">
        <v>5167398</v>
      </c>
      <c r="C24" s="3" t="n">
        <v>355964</v>
      </c>
      <c r="D24" s="3" t="n">
        <v>0</v>
      </c>
      <c r="E24" s="3" t="n">
        <v>0</v>
      </c>
      <c r="F24" s="3" t="n"/>
    </row>
    <row r="25">
      <c r="A25" t="inlineStr">
        <is>
          <t>Other Non Current Liabilities</t>
        </is>
      </c>
      <c r="B25" s="3" t="n">
        <v>2847000</v>
      </c>
      <c r="C25" s="3" t="n"/>
      <c r="D25" s="3" t="n"/>
      <c r="E25" s="3" t="n"/>
      <c r="F25" s="3" t="n"/>
    </row>
    <row r="26">
      <c r="A26" t="inlineStr">
        <is>
          <t>Non Current Deferred Liabilities</t>
        </is>
      </c>
      <c r="B26" s="3" t="n">
        <v>146772</v>
      </c>
      <c r="C26" s="3" t="n">
        <v>93793</v>
      </c>
      <c r="D26" s="3" t="n">
        <v>0</v>
      </c>
      <c r="E26" s="3" t="n"/>
      <c r="F26" s="3" t="n"/>
    </row>
    <row r="27">
      <c r="A27" t="inlineStr">
        <is>
          <t>Non Current Deferred Taxes Liabilities</t>
        </is>
      </c>
      <c r="B27" s="3" t="n">
        <v>146772</v>
      </c>
      <c r="C27" s="3" t="n">
        <v>93793</v>
      </c>
      <c r="D27" s="3" t="n">
        <v>0</v>
      </c>
      <c r="E27" s="3" t="n"/>
      <c r="F27" s="3" t="n"/>
    </row>
    <row r="28">
      <c r="A28" t="inlineStr">
        <is>
          <t>Long Term Debt And Capital Lease Obligation</t>
        </is>
      </c>
      <c r="B28" s="3" t="n">
        <v>2173626</v>
      </c>
      <c r="C28" s="3" t="n">
        <v>262171</v>
      </c>
      <c r="D28" s="3" t="n">
        <v>0</v>
      </c>
      <c r="E28" s="3" t="n"/>
      <c r="F28" s="3" t="n"/>
    </row>
    <row r="29">
      <c r="A29" t="inlineStr">
        <is>
          <t>Long Term Capital Lease Obligation</t>
        </is>
      </c>
      <c r="B29" s="3" t="n">
        <v>2173626</v>
      </c>
      <c r="C29" s="3" t="n">
        <v>262171</v>
      </c>
      <c r="D29" s="3" t="n">
        <v>0</v>
      </c>
      <c r="E29" s="3" t="n"/>
      <c r="F29" s="3" t="n"/>
    </row>
    <row r="30">
      <c r="A30" t="inlineStr">
        <is>
          <t>Current Liabilities</t>
        </is>
      </c>
      <c r="B30" s="3" t="n">
        <v>2601347</v>
      </c>
      <c r="C30" s="3" t="n">
        <v>933669</v>
      </c>
      <c r="D30" s="3" t="n">
        <v>114497</v>
      </c>
      <c r="E30" s="3" t="n">
        <v>131931</v>
      </c>
      <c r="F30" s="3" t="n"/>
    </row>
    <row r="31">
      <c r="A31" t="inlineStr">
        <is>
          <t>Current Deferred Liabilities</t>
        </is>
      </c>
      <c r="B31" s="3" t="n">
        <v>638125</v>
      </c>
      <c r="C31" s="3" t="n">
        <v>197117</v>
      </c>
      <c r="D31" s="3" t="n">
        <v>0</v>
      </c>
      <c r="E31" s="3" t="n"/>
      <c r="F31" s="3" t="n"/>
    </row>
    <row r="32">
      <c r="A32" t="inlineStr">
        <is>
          <t>Current Deferred Revenue</t>
        </is>
      </c>
      <c r="B32" s="3" t="n">
        <v>638125</v>
      </c>
      <c r="C32" s="3" t="n">
        <v>197117</v>
      </c>
      <c r="D32" s="3" t="n">
        <v>0</v>
      </c>
      <c r="E32" s="3" t="n"/>
      <c r="F32" s="3" t="n"/>
    </row>
    <row r="33">
      <c r="A33" t="inlineStr">
        <is>
          <t>Current Debt And Capital Lease Obligation</t>
        </is>
      </c>
      <c r="B33" s="3" t="n">
        <v>456429</v>
      </c>
      <c r="C33" s="3" t="n">
        <v>67820</v>
      </c>
      <c r="D33" s="3" t="n"/>
      <c r="E33" s="3" t="n"/>
      <c r="F33" s="3" t="n"/>
    </row>
    <row r="34">
      <c r="A34" t="inlineStr">
        <is>
          <t>Current Capital Lease Obligation</t>
        </is>
      </c>
      <c r="B34" s="3" t="n">
        <v>456429</v>
      </c>
      <c r="C34" s="3" t="n">
        <v>67820</v>
      </c>
      <c r="D34" s="3" t="n">
        <v>0</v>
      </c>
      <c r="E34" s="3" t="n"/>
      <c r="F34" s="3" t="n"/>
    </row>
    <row r="35">
      <c r="A35" t="inlineStr">
        <is>
          <t>Payables And Accrued Expenses</t>
        </is>
      </c>
      <c r="B35" s="3" t="n">
        <v>1506793</v>
      </c>
      <c r="C35" s="3" t="n">
        <v>668732</v>
      </c>
      <c r="D35" s="3" t="n">
        <v>114497</v>
      </c>
      <c r="E35" s="3" t="n">
        <v>131931</v>
      </c>
      <c r="F35" s="3" t="n"/>
    </row>
    <row r="36">
      <c r="A36" t="inlineStr">
        <is>
          <t>Total Assets</t>
        </is>
      </c>
      <c r="B36" s="3" t="n">
        <v>182708414</v>
      </c>
      <c r="C36" s="3" t="n">
        <v>16107575</v>
      </c>
      <c r="D36" s="3" t="n">
        <v>1529416</v>
      </c>
      <c r="E36" s="3" t="n">
        <v>3330312</v>
      </c>
      <c r="F36" s="3" t="n"/>
    </row>
    <row r="37">
      <c r="A37" t="inlineStr">
        <is>
          <t>Total Non Current Assets</t>
        </is>
      </c>
      <c r="B37" s="3" t="n">
        <v>23196932</v>
      </c>
      <c r="C37" s="3" t="n">
        <v>10011946</v>
      </c>
      <c r="D37" s="3" t="n">
        <v>514012</v>
      </c>
      <c r="E37" s="3" t="n">
        <v>191515</v>
      </c>
      <c r="F37" s="3" t="n"/>
    </row>
    <row r="38">
      <c r="A38" t="inlineStr">
        <is>
          <t>Other Non Current Assets</t>
        </is>
      </c>
      <c r="B38" s="3" t="n">
        <v>197785</v>
      </c>
      <c r="C38" s="3" t="n">
        <v>59426</v>
      </c>
      <c r="D38" s="3" t="n"/>
      <c r="E38" s="3" t="n"/>
      <c r="F38" s="3" t="n"/>
    </row>
    <row r="39">
      <c r="A39" t="inlineStr">
        <is>
          <t>Non Current Prepaid Assets</t>
        </is>
      </c>
      <c r="B39" s="3" t="n"/>
      <c r="C39" s="3" t="n"/>
      <c r="D39" s="3" t="n">
        <v>0</v>
      </c>
      <c r="E39" s="3" t="n">
        <v>100000</v>
      </c>
      <c r="F39" s="3" t="n"/>
    </row>
    <row r="40">
      <c r="A40" t="inlineStr">
        <is>
          <t>Non Current Deferred Assets</t>
        </is>
      </c>
      <c r="B40" s="3" t="n"/>
      <c r="C40" s="3" t="n">
        <v>0</v>
      </c>
      <c r="D40" s="3" t="n">
        <v>512758</v>
      </c>
      <c r="E40" s="3" t="n">
        <v>87825</v>
      </c>
      <c r="F40" s="3" t="n"/>
    </row>
    <row r="41">
      <c r="A41" t="inlineStr">
        <is>
          <t>Goodwill And Other Intangible Assets</t>
        </is>
      </c>
      <c r="B41" s="3" t="n">
        <v>18158000</v>
      </c>
      <c r="C41" s="3" t="n">
        <v>9628436</v>
      </c>
      <c r="D41" s="3" t="n">
        <v>0</v>
      </c>
      <c r="E41" s="3" t="n"/>
      <c r="F41" s="3" t="n"/>
    </row>
    <row r="42">
      <c r="A42" t="inlineStr">
        <is>
          <t>Other Intangible Assets</t>
        </is>
      </c>
      <c r="B42" s="3" t="n">
        <v>2561895</v>
      </c>
      <c r="C42" s="3" t="n">
        <v>2225530</v>
      </c>
      <c r="D42" s="3" t="n"/>
      <c r="E42" s="3" t="n"/>
      <c r="F42" s="3" t="n"/>
    </row>
    <row r="43">
      <c r="A43" t="inlineStr">
        <is>
          <t>Goodwill</t>
        </is>
      </c>
      <c r="B43" s="3" t="n">
        <v>15596105</v>
      </c>
      <c r="C43" s="3" t="n">
        <v>7402906</v>
      </c>
      <c r="D43" s="3" t="n">
        <v>0</v>
      </c>
      <c r="E43" s="3" t="n"/>
      <c r="F43" s="3" t="n"/>
    </row>
    <row r="44">
      <c r="A44" t="inlineStr">
        <is>
          <t>Net PPE</t>
        </is>
      </c>
      <c r="B44" s="3" t="n">
        <v>4841147</v>
      </c>
      <c r="C44" s="3" t="n">
        <v>324084</v>
      </c>
      <c r="D44" s="3" t="n">
        <v>1254</v>
      </c>
      <c r="E44" s="3" t="n">
        <v>3690</v>
      </c>
      <c r="F44" s="3" t="n"/>
    </row>
    <row r="45">
      <c r="A45" t="inlineStr">
        <is>
          <t>Accumulated Depreciation</t>
        </is>
      </c>
      <c r="B45" s="3" t="n">
        <v>-34716</v>
      </c>
      <c r="C45" s="3" t="n">
        <v>-7168</v>
      </c>
      <c r="D45" s="3" t="n">
        <v>-6484</v>
      </c>
      <c r="E45" s="3" t="n">
        <v>-885</v>
      </c>
      <c r="F45" s="3" t="n"/>
    </row>
    <row r="46">
      <c r="A46" t="inlineStr">
        <is>
          <t>Gross PPE</t>
        </is>
      </c>
      <c r="B46" s="3" t="n">
        <v>4875863</v>
      </c>
      <c r="C46" s="3" t="n">
        <v>331252</v>
      </c>
      <c r="D46" s="3" t="n">
        <v>7738</v>
      </c>
      <c r="E46" s="3" t="n">
        <v>4575</v>
      </c>
      <c r="F46" s="3" t="n"/>
    </row>
    <row r="47">
      <c r="A47" t="inlineStr">
        <is>
          <t>Leases</t>
        </is>
      </c>
      <c r="B47" s="3" t="n">
        <v>149280</v>
      </c>
      <c r="C47" s="3" t="n">
        <v>0</v>
      </c>
      <c r="D47" s="3" t="n"/>
      <c r="E47" s="3" t="n"/>
      <c r="F47" s="3" t="n"/>
    </row>
    <row r="48">
      <c r="A48" t="inlineStr">
        <is>
          <t>Machinery Furniture Equipment</t>
        </is>
      </c>
      <c r="B48" s="3" t="n">
        <v>2119327</v>
      </c>
      <c r="C48" s="3" t="n">
        <v>7738</v>
      </c>
      <c r="D48" s="3" t="n">
        <v>7738</v>
      </c>
      <c r="E48" s="3" t="n">
        <v>4575</v>
      </c>
      <c r="F48" s="3" t="n"/>
    </row>
    <row r="49">
      <c r="A49" t="inlineStr">
        <is>
          <t>Buildings And Improvements</t>
        </is>
      </c>
      <c r="B49" s="3" t="n">
        <v>2607256</v>
      </c>
      <c r="C49" s="3" t="n">
        <v>323514</v>
      </c>
      <c r="D49" s="3" t="n">
        <v>0</v>
      </c>
      <c r="E49" s="3" t="n"/>
      <c r="F49" s="3" t="n"/>
    </row>
    <row r="50">
      <c r="A50" t="inlineStr">
        <is>
          <t>Properties</t>
        </is>
      </c>
      <c r="B50" s="3" t="n">
        <v>0</v>
      </c>
      <c r="C50" s="3" t="n">
        <v>0</v>
      </c>
      <c r="D50" s="3" t="n">
        <v>0</v>
      </c>
      <c r="E50" s="3" t="n"/>
      <c r="F50" s="3" t="n"/>
    </row>
    <row r="51">
      <c r="A51" t="inlineStr">
        <is>
          <t>Current Assets</t>
        </is>
      </c>
      <c r="B51" s="3" t="n">
        <v>159511482</v>
      </c>
      <c r="C51" s="3" t="n">
        <v>6095629</v>
      </c>
      <c r="D51" s="3" t="n">
        <v>1015404</v>
      </c>
      <c r="E51" s="3" t="n">
        <v>3138797</v>
      </c>
      <c r="F51" s="3" t="n"/>
    </row>
    <row r="52">
      <c r="A52" t="inlineStr">
        <is>
          <t>Current Deferred Assets</t>
        </is>
      </c>
      <c r="B52" s="3" t="n"/>
      <c r="C52" s="3" t="n"/>
      <c r="D52" s="3" t="n">
        <v>512758</v>
      </c>
      <c r="E52" s="3" t="n">
        <v>87825</v>
      </c>
      <c r="F52" s="3" t="n">
        <v>0</v>
      </c>
    </row>
    <row r="53">
      <c r="A53" t="inlineStr">
        <is>
          <t>Prepaid Assets</t>
        </is>
      </c>
      <c r="B53" s="3" t="n">
        <v>9939105</v>
      </c>
      <c r="C53" s="3" t="n">
        <v>936228</v>
      </c>
      <c r="D53" s="3" t="n">
        <v>120631</v>
      </c>
      <c r="E53" s="3" t="n">
        <v>39375</v>
      </c>
      <c r="F53" s="3" t="n"/>
    </row>
    <row r="54">
      <c r="A54" t="inlineStr">
        <is>
          <t>Inventory</t>
        </is>
      </c>
      <c r="B54" s="3" t="n">
        <v>5316648</v>
      </c>
      <c r="C54" s="3" t="n">
        <v>1335503</v>
      </c>
      <c r="D54" s="3" t="n">
        <v>0</v>
      </c>
      <c r="E54" s="3" t="n"/>
      <c r="F54" s="3" t="n"/>
    </row>
    <row r="55">
      <c r="A55" t="inlineStr">
        <is>
          <t>Finished Goods</t>
        </is>
      </c>
      <c r="B55" s="3" t="n">
        <v>1083874</v>
      </c>
      <c r="C55" s="3" t="n">
        <v>1335503</v>
      </c>
      <c r="D55" s="3" t="n"/>
      <c r="E55" s="3" t="n"/>
      <c r="F55" s="3" t="n"/>
    </row>
    <row r="56">
      <c r="A56" t="inlineStr">
        <is>
          <t>Raw Materials</t>
        </is>
      </c>
      <c r="B56" s="3" t="n">
        <v>4232774</v>
      </c>
      <c r="C56" s="3" t="n">
        <v>0</v>
      </c>
      <c r="D56" s="3" t="n"/>
      <c r="E56" s="3" t="n"/>
      <c r="F56" s="3" t="n"/>
    </row>
    <row r="57">
      <c r="A57" t="inlineStr">
        <is>
          <t>Receivables</t>
        </is>
      </c>
      <c r="B57" s="3" t="n">
        <v>1779423</v>
      </c>
      <c r="C57" s="3" t="n">
        <v>66575</v>
      </c>
      <c r="D57" s="3" t="n">
        <v>0</v>
      </c>
      <c r="E57" s="3" t="n">
        <v>0</v>
      </c>
      <c r="F57" s="3" t="n"/>
    </row>
    <row r="58">
      <c r="A58" t="inlineStr">
        <is>
          <t>Duefrom Related Parties Current</t>
        </is>
      </c>
      <c r="B58" s="3" t="n">
        <v>214684</v>
      </c>
      <c r="C58" s="3" t="n">
        <v>0</v>
      </c>
      <c r="D58" s="3" t="n"/>
      <c r="E58" s="3" t="n"/>
      <c r="F58" s="3" t="n"/>
    </row>
    <row r="59">
      <c r="A59" t="inlineStr">
        <is>
          <t>Notes Receivable</t>
        </is>
      </c>
      <c r="B59" s="3" t="n"/>
      <c r="C59" s="3" t="n"/>
      <c r="D59" s="3" t="n"/>
      <c r="E59" s="3" t="n">
        <v>0</v>
      </c>
      <c r="F59" s="3" t="n">
        <v>115222</v>
      </c>
    </row>
    <row r="60">
      <c r="A60" t="inlineStr">
        <is>
          <t>Accounts Receivable</t>
        </is>
      </c>
      <c r="B60" s="3" t="n">
        <v>1564739</v>
      </c>
      <c r="C60" s="3" t="n">
        <v>66575</v>
      </c>
      <c r="D60" s="3" t="n">
        <v>0</v>
      </c>
      <c r="E60" s="3" t="n">
        <v>0</v>
      </c>
      <c r="F60" s="3" t="n"/>
    </row>
    <row r="61">
      <c r="A61" t="inlineStr">
        <is>
          <t>Cash Cash Equivalents And Short Term Investments</t>
        </is>
      </c>
      <c r="B61" s="3" t="n">
        <v>142476306</v>
      </c>
      <c r="C61" s="3" t="n">
        <v>3757323</v>
      </c>
      <c r="D61" s="3" t="n">
        <v>894773</v>
      </c>
      <c r="E61" s="3" t="n">
        <v>3099422</v>
      </c>
      <c r="F61" s="3" t="n"/>
    </row>
    <row r="62">
      <c r="A62" t="inlineStr">
        <is>
          <t>Other Short Term Investments</t>
        </is>
      </c>
      <c r="B62" s="3" t="n">
        <v>39214909</v>
      </c>
      <c r="C62" s="3" t="n">
        <v>0</v>
      </c>
      <c r="D62" s="3" t="n"/>
      <c r="E62" s="3" t="n"/>
      <c r="F62" s="3" t="n"/>
    </row>
    <row r="63">
      <c r="A63" t="inlineStr">
        <is>
          <t>Cash And Cash Equivalents</t>
        </is>
      </c>
      <c r="B63" s="3" t="n">
        <v>103261397</v>
      </c>
      <c r="C63" s="3" t="n">
        <v>3757323</v>
      </c>
      <c r="D63" s="3" t="n">
        <v>894773</v>
      </c>
      <c r="E63" s="3" t="n">
        <v>3099422</v>
      </c>
      <c r="F63" s="3" t="n"/>
    </row>
    <row r="64">
      <c r="A64" t="inlineStr">
        <is>
          <t>Cash Financial</t>
        </is>
      </c>
      <c r="B64" s="3" t="n"/>
      <c r="C64" s="3" t="n"/>
      <c r="D64" s="3" t="n">
        <v>894773</v>
      </c>
      <c r="E64" s="3" t="n">
        <v>3099422</v>
      </c>
      <c r="F6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47793923</v>
      </c>
      <c r="C2" s="3" t="n">
        <v>37759911</v>
      </c>
      <c r="D2" s="3" t="n">
        <v>31568949</v>
      </c>
      <c r="E2" s="3" t="n">
        <v>25287786</v>
      </c>
      <c r="F2" s="3" t="n">
        <v>16830170</v>
      </c>
      <c r="G2" s="3" t="n"/>
    </row>
    <row r="3">
      <c r="A3" t="inlineStr">
        <is>
          <t>Share Issued</t>
        </is>
      </c>
      <c r="B3" s="3" t="n">
        <v>47793923</v>
      </c>
      <c r="C3" s="3" t="n">
        <v>37759911</v>
      </c>
      <c r="D3" s="3" t="n">
        <v>31568949</v>
      </c>
      <c r="E3" s="3" t="n">
        <v>25287786</v>
      </c>
      <c r="F3" s="3" t="n">
        <v>16830170</v>
      </c>
      <c r="G3" s="3" t="n"/>
    </row>
    <row r="4">
      <c r="A4" t="inlineStr">
        <is>
          <t>Total Debt</t>
        </is>
      </c>
      <c r="B4" s="3" t="n">
        <v>3327827</v>
      </c>
      <c r="C4" s="3" t="n">
        <v>2630055</v>
      </c>
      <c r="D4" s="3" t="n">
        <v>1283132</v>
      </c>
      <c r="E4" s="3" t="n">
        <v>297331</v>
      </c>
      <c r="F4" s="3" t="n">
        <v>313896</v>
      </c>
      <c r="G4" s="3" t="n"/>
    </row>
    <row r="5">
      <c r="A5" t="inlineStr">
        <is>
          <t>Tangible Book Value</t>
        </is>
      </c>
      <c r="B5" s="3" t="n">
        <v>313538034</v>
      </c>
      <c r="C5" s="3" t="n">
        <v>156781669</v>
      </c>
      <c r="D5" s="3" t="n">
        <v>96448745</v>
      </c>
      <c r="E5" s="3" t="n">
        <v>41719869</v>
      </c>
      <c r="F5" s="3" t="n">
        <v>6286988</v>
      </c>
      <c r="G5" s="3" t="n"/>
    </row>
    <row r="6">
      <c r="A6" t="inlineStr">
        <is>
          <t>Invested Capital</t>
        </is>
      </c>
      <c r="B6" s="3" t="n">
        <v>331637401</v>
      </c>
      <c r="C6" s="3" t="n">
        <v>174939669</v>
      </c>
      <c r="D6" s="3" t="n">
        <v>106015915</v>
      </c>
      <c r="E6" s="3" t="n">
        <v>51307461</v>
      </c>
      <c r="F6" s="3" t="n">
        <v>15895002</v>
      </c>
      <c r="G6" s="3" t="n"/>
    </row>
    <row r="7">
      <c r="A7" t="inlineStr">
        <is>
          <t>Working Capital</t>
        </is>
      </c>
      <c r="B7" s="3" t="n">
        <v>312747378</v>
      </c>
      <c r="C7" s="3" t="n">
        <v>156910135</v>
      </c>
      <c r="D7" s="3" t="n">
        <v>85770113</v>
      </c>
      <c r="E7" s="3" t="n">
        <v>41401236</v>
      </c>
      <c r="F7" s="3" t="n">
        <v>6257948</v>
      </c>
      <c r="G7" s="3" t="n"/>
    </row>
    <row r="8">
      <c r="A8" t="inlineStr">
        <is>
          <t>Net Tangible Assets</t>
        </is>
      </c>
      <c r="B8" s="3" t="n">
        <v>313538034</v>
      </c>
      <c r="C8" s="3" t="n">
        <v>156781669</v>
      </c>
      <c r="D8" s="3" t="n">
        <v>96448745</v>
      </c>
      <c r="E8" s="3" t="n">
        <v>41719869</v>
      </c>
      <c r="F8" s="3" t="n">
        <v>6286988</v>
      </c>
      <c r="G8" s="3" t="n"/>
    </row>
    <row r="9">
      <c r="A9" t="inlineStr">
        <is>
          <t>Capital Lease Obligations</t>
        </is>
      </c>
      <c r="B9" s="3" t="n">
        <v>3327827</v>
      </c>
      <c r="C9" s="3" t="n">
        <v>2630055</v>
      </c>
      <c r="D9" s="3" t="n">
        <v>1283132</v>
      </c>
      <c r="E9" s="3" t="n">
        <v>297331</v>
      </c>
      <c r="F9" s="3" t="n">
        <v>313896</v>
      </c>
      <c r="G9" s="3" t="n"/>
    </row>
    <row r="10">
      <c r="A10" t="inlineStr">
        <is>
          <t>Common Stock Equity</t>
        </is>
      </c>
      <c r="B10" s="3" t="n">
        <v>331637401</v>
      </c>
      <c r="C10" s="3" t="n">
        <v>174939669</v>
      </c>
      <c r="D10" s="3" t="n">
        <v>106015915</v>
      </c>
      <c r="E10" s="3" t="n">
        <v>51307461</v>
      </c>
      <c r="F10" s="3" t="n">
        <v>15895002</v>
      </c>
      <c r="G10" s="3" t="n"/>
    </row>
    <row r="11">
      <c r="A11" t="inlineStr">
        <is>
          <t>Total Capitalization</t>
        </is>
      </c>
      <c r="B11" s="3" t="n">
        <v>331637401</v>
      </c>
      <c r="C11" s="3" t="n">
        <v>174939669</v>
      </c>
      <c r="D11" s="3" t="n">
        <v>106015915</v>
      </c>
      <c r="E11" s="3" t="n">
        <v>51307461</v>
      </c>
      <c r="F11" s="3" t="n">
        <v>15895002</v>
      </c>
      <c r="G11" s="3" t="n"/>
    </row>
    <row r="12">
      <c r="A12" t="inlineStr">
        <is>
          <t>Total Equity Gross Minority Interest</t>
        </is>
      </c>
      <c r="B12" s="3" t="n">
        <v>331637401</v>
      </c>
      <c r="C12" s="3" t="n">
        <v>174939669</v>
      </c>
      <c r="D12" s="3" t="n">
        <v>106015915</v>
      </c>
      <c r="E12" s="3" t="n">
        <v>51307461</v>
      </c>
      <c r="F12" s="3" t="n">
        <v>15895002</v>
      </c>
      <c r="G12" s="3" t="n"/>
    </row>
    <row r="13">
      <c r="A13" t="inlineStr">
        <is>
          <t>Stockholders Equity</t>
        </is>
      </c>
      <c r="B13" s="3" t="n">
        <v>331637401</v>
      </c>
      <c r="C13" s="3" t="n">
        <v>174939669</v>
      </c>
      <c r="D13" s="3" t="n">
        <v>106015915</v>
      </c>
      <c r="E13" s="3" t="n">
        <v>51307461</v>
      </c>
      <c r="F13" s="3" t="n">
        <v>15895002</v>
      </c>
      <c r="G13" s="3" t="n"/>
    </row>
    <row r="14">
      <c r="A14" t="inlineStr">
        <is>
          <t>Gains Losses Not Affecting Retained Earnings</t>
        </is>
      </c>
      <c r="B14" s="3" t="n">
        <v>22901</v>
      </c>
      <c r="C14" s="3" t="n">
        <v>3470</v>
      </c>
      <c r="D14" s="3" t="n">
        <v>2278</v>
      </c>
      <c r="E14" s="3" t="n"/>
      <c r="F14" s="3" t="n"/>
      <c r="G14" s="3" t="n">
        <v>0</v>
      </c>
    </row>
    <row r="15">
      <c r="A15" t="inlineStr">
        <is>
          <t>Other Equity Adjustments</t>
        </is>
      </c>
      <c r="B15" s="3" t="n">
        <v>22901</v>
      </c>
      <c r="C15" s="3" t="n">
        <v>3470</v>
      </c>
      <c r="D15" s="3" t="n"/>
      <c r="E15" s="3" t="n"/>
      <c r="F15" s="3" t="n"/>
      <c r="G15" s="3" t="n"/>
    </row>
    <row r="16">
      <c r="A16" t="inlineStr">
        <is>
          <t>Foreign Currency Translation Adjustments</t>
        </is>
      </c>
      <c r="B16" s="3" t="n"/>
      <c r="C16" s="3" t="n"/>
      <c r="D16" s="3" t="n">
        <v>2278</v>
      </c>
      <c r="E16" s="3" t="n"/>
      <c r="F16" s="3" t="n"/>
      <c r="G16" s="3" t="n"/>
    </row>
    <row r="17">
      <c r="A17" t="inlineStr">
        <is>
          <t>Retained Earnings</t>
        </is>
      </c>
      <c r="B17" s="3" t="n">
        <v>-44824137</v>
      </c>
      <c r="C17" s="3" t="n">
        <v>-55107131</v>
      </c>
      <c r="D17" s="3" t="n">
        <v>-44541067</v>
      </c>
      <c r="E17" s="3" t="n">
        <v>-46144532</v>
      </c>
      <c r="F17" s="3" t="n">
        <v>-39179793</v>
      </c>
      <c r="G17" s="3" t="n"/>
    </row>
    <row r="18">
      <c r="A18" t="inlineStr">
        <is>
          <t>Additional Paid In Capital</t>
        </is>
      </c>
      <c r="B18" s="3" t="n">
        <v>375960699</v>
      </c>
      <c r="C18" s="3" t="n">
        <v>229665734</v>
      </c>
      <c r="D18" s="3" t="n">
        <v>150239016</v>
      </c>
      <c r="E18" s="3" t="n">
        <v>97199116</v>
      </c>
      <c r="F18" s="3" t="n">
        <v>54906493</v>
      </c>
      <c r="G18" s="3" t="n"/>
    </row>
    <row r="19">
      <c r="A19" t="inlineStr">
        <is>
          <t>Capital Stock</t>
        </is>
      </c>
      <c r="B19" s="3" t="n">
        <v>477938</v>
      </c>
      <c r="C19" s="3" t="n">
        <v>377596</v>
      </c>
      <c r="D19" s="3" t="n">
        <v>315688</v>
      </c>
      <c r="E19" s="3" t="n">
        <v>252877</v>
      </c>
      <c r="F19" s="3" t="n">
        <v>168302</v>
      </c>
      <c r="G19" s="3" t="n"/>
    </row>
    <row r="20">
      <c r="A20" t="inlineStr">
        <is>
          <t>Common Stock</t>
        </is>
      </c>
      <c r="B20" s="3" t="n">
        <v>477938</v>
      </c>
      <c r="C20" s="3" t="n">
        <v>377596</v>
      </c>
      <c r="D20" s="3" t="n">
        <v>315688</v>
      </c>
      <c r="E20" s="3" t="n">
        <v>252877</v>
      </c>
      <c r="F20" s="3" t="n">
        <v>168302</v>
      </c>
      <c r="G20" s="3" t="n"/>
    </row>
    <row r="21">
      <c r="A21" t="inlineStr">
        <is>
          <t>Preferred Stock</t>
        </is>
      </c>
      <c r="B21" s="3" t="n"/>
      <c r="C21" s="3" t="n"/>
      <c r="D21" s="3" t="n">
        <v>0</v>
      </c>
      <c r="E21" s="3" t="n">
        <v>0</v>
      </c>
      <c r="F21" s="3" t="n">
        <v>0</v>
      </c>
      <c r="G21" s="3" t="n">
        <v>0</v>
      </c>
    </row>
    <row r="22">
      <c r="A22" t="inlineStr">
        <is>
          <t>Total Liabilities Net Minority Interest</t>
        </is>
      </c>
      <c r="B22" s="3" t="n">
        <v>8065652</v>
      </c>
      <c r="C22" s="3" t="n">
        <v>7768745</v>
      </c>
      <c r="D22" s="3" t="n">
        <v>7062903</v>
      </c>
      <c r="E22" s="3" t="n">
        <v>1139253</v>
      </c>
      <c r="F22" s="3" t="n">
        <v>1385414</v>
      </c>
      <c r="G22" s="3" t="n"/>
    </row>
    <row r="23">
      <c r="A23" t="inlineStr">
        <is>
          <t>Total Non Current Liabilities Net Minority Interest</t>
        </is>
      </c>
      <c r="B23" s="3" t="n">
        <v>5607459</v>
      </c>
      <c r="C23" s="3" t="n">
        <v>5167398</v>
      </c>
      <c r="D23" s="3" t="n">
        <v>1128968</v>
      </c>
      <c r="E23" s="3" t="n">
        <v>317555</v>
      </c>
      <c r="F23" s="3" t="n">
        <v>337035</v>
      </c>
      <c r="G23" s="3" t="n"/>
    </row>
    <row r="24">
      <c r="A24" t="inlineStr">
        <is>
          <t>Other Non Current Liabilities</t>
        </is>
      </c>
      <c r="B24" s="3" t="n">
        <v>2846999</v>
      </c>
      <c r="C24" s="3" t="n">
        <v>2847000</v>
      </c>
      <c r="D24" s="3" t="n"/>
      <c r="E24" s="3" t="n"/>
      <c r="F24" s="3" t="n"/>
      <c r="G24" s="3" t="n"/>
    </row>
    <row r="25">
      <c r="A25" t="inlineStr">
        <is>
          <t>Non Current Deferred Liabilities</t>
        </is>
      </c>
      <c r="B25" s="3" t="n">
        <v>146772</v>
      </c>
      <c r="C25" s="3" t="n">
        <v>146772</v>
      </c>
      <c r="D25" s="3" t="n">
        <v>93793</v>
      </c>
      <c r="E25" s="3" t="n">
        <v>93793</v>
      </c>
      <c r="F25" s="3" t="n">
        <v>93793</v>
      </c>
      <c r="G25" s="3" t="n"/>
    </row>
    <row r="26">
      <c r="A26" t="inlineStr">
        <is>
          <t>Non Current Deferred Taxes Liabilities</t>
        </is>
      </c>
      <c r="B26" s="3" t="n">
        <v>146772</v>
      </c>
      <c r="C26" s="3" t="n">
        <v>146772</v>
      </c>
      <c r="D26" s="3" t="n">
        <v>93793</v>
      </c>
      <c r="E26" s="3" t="n">
        <v>93793</v>
      </c>
      <c r="F26" s="3" t="n">
        <v>93793</v>
      </c>
      <c r="G26" s="3" t="n"/>
    </row>
    <row r="27">
      <c r="A27" t="inlineStr">
        <is>
          <t>Long Term Debt And Capital Lease Obligation</t>
        </is>
      </c>
      <c r="B27" s="3" t="n">
        <v>2613688</v>
      </c>
      <c r="C27" s="3" t="n">
        <v>2173626</v>
      </c>
      <c r="D27" s="3" t="n">
        <v>1035175</v>
      </c>
      <c r="E27" s="3" t="n">
        <v>223762</v>
      </c>
      <c r="F27" s="3" t="n">
        <v>243242</v>
      </c>
      <c r="G27" s="3" t="n"/>
    </row>
    <row r="28">
      <c r="A28" t="inlineStr">
        <is>
          <t>Long Term Capital Lease Obligation</t>
        </is>
      </c>
      <c r="B28" s="3" t="n">
        <v>2613688</v>
      </c>
      <c r="C28" s="3" t="n">
        <v>2173626</v>
      </c>
      <c r="D28" s="3" t="n">
        <v>1035175</v>
      </c>
      <c r="E28" s="3" t="n">
        <v>223762</v>
      </c>
      <c r="F28" s="3" t="n">
        <v>243242</v>
      </c>
      <c r="G28" s="3" t="n"/>
    </row>
    <row r="29">
      <c r="A29" t="inlineStr">
        <is>
          <t>Current Liabilities</t>
        </is>
      </c>
      <c r="B29" s="3" t="n">
        <v>2458193</v>
      </c>
      <c r="C29" s="3" t="n">
        <v>2601347</v>
      </c>
      <c r="D29" s="3" t="n">
        <v>5933935</v>
      </c>
      <c r="E29" s="3" t="n">
        <v>821698</v>
      </c>
      <c r="F29" s="3" t="n">
        <v>1048379</v>
      </c>
      <c r="G29" s="3" t="n"/>
    </row>
    <row r="30">
      <c r="A30" t="inlineStr">
        <is>
          <t>Other Current Liabilities</t>
        </is>
      </c>
      <c r="B30" s="3" t="n"/>
      <c r="C30" s="3" t="n"/>
      <c r="D30" s="3" t="n">
        <v>3000000</v>
      </c>
      <c r="E30" s="3" t="n"/>
      <c r="F30" s="3" t="n"/>
      <c r="G30" s="3" t="n"/>
    </row>
    <row r="31">
      <c r="A31" t="inlineStr">
        <is>
          <t>Current Deferred Liabilities</t>
        </is>
      </c>
      <c r="B31" s="3" t="n">
        <v>672568</v>
      </c>
      <c r="C31" s="3" t="n">
        <v>638125</v>
      </c>
      <c r="D31" s="3" t="n">
        <v>1518736</v>
      </c>
      <c r="E31" s="3" t="n">
        <v>139435</v>
      </c>
      <c r="F31" s="3" t="n">
        <v>117171</v>
      </c>
      <c r="G31" s="3" t="n"/>
    </row>
    <row r="32">
      <c r="A32" t="inlineStr">
        <is>
          <t>Current Deferred Revenue</t>
        </is>
      </c>
      <c r="B32" s="3" t="n">
        <v>672568</v>
      </c>
      <c r="C32" s="3" t="n">
        <v>638125</v>
      </c>
      <c r="D32" s="3" t="n">
        <v>1518736</v>
      </c>
      <c r="E32" s="3" t="n">
        <v>139435</v>
      </c>
      <c r="F32" s="3" t="n">
        <v>117171</v>
      </c>
      <c r="G32" s="3" t="n"/>
    </row>
    <row r="33">
      <c r="A33" t="inlineStr">
        <is>
          <t>Current Debt And Capital Lease Obligation</t>
        </is>
      </c>
      <c r="B33" s="3" t="n">
        <v>714139</v>
      </c>
      <c r="C33" s="3" t="n">
        <v>456429</v>
      </c>
      <c r="D33" s="3" t="n">
        <v>247957</v>
      </c>
      <c r="E33" s="3" t="n">
        <v>73569</v>
      </c>
      <c r="F33" s="3" t="n">
        <v>70654</v>
      </c>
      <c r="G33" s="3" t="n"/>
    </row>
    <row r="34">
      <c r="A34" t="inlineStr">
        <is>
          <t>Current Capital Lease Obligation</t>
        </is>
      </c>
      <c r="B34" s="3" t="n">
        <v>714139</v>
      </c>
      <c r="C34" s="3" t="n">
        <v>456429</v>
      </c>
      <c r="D34" s="3" t="n">
        <v>247957</v>
      </c>
      <c r="E34" s="3" t="n">
        <v>73569</v>
      </c>
      <c r="F34" s="3" t="n">
        <v>70654</v>
      </c>
      <c r="G34" s="3" t="n"/>
    </row>
    <row r="35">
      <c r="A35" t="inlineStr">
        <is>
          <t>Payables And Accrued Expenses</t>
        </is>
      </c>
      <c r="B35" s="3" t="n">
        <v>1071486</v>
      </c>
      <c r="C35" s="3" t="n">
        <v>1506793</v>
      </c>
      <c r="D35" s="3" t="n">
        <v>1167242</v>
      </c>
      <c r="E35" s="3" t="n">
        <v>608694</v>
      </c>
      <c r="F35" s="3" t="n">
        <v>860554</v>
      </c>
      <c r="G35" s="3" t="n"/>
    </row>
    <row r="36">
      <c r="A36" t="inlineStr">
        <is>
          <t>Total Assets</t>
        </is>
      </c>
      <c r="B36" s="3" t="n">
        <v>339703053</v>
      </c>
      <c r="C36" s="3" t="n">
        <v>182708414</v>
      </c>
      <c r="D36" s="3" t="n">
        <v>113078818</v>
      </c>
      <c r="E36" s="3" t="n">
        <v>52446714</v>
      </c>
      <c r="F36" s="3" t="n">
        <v>17280416</v>
      </c>
      <c r="G36" s="3" t="n"/>
    </row>
    <row r="37">
      <c r="A37" t="inlineStr">
        <is>
          <t>Total Non Current Assets</t>
        </is>
      </c>
      <c r="B37" s="3" t="n">
        <v>24497482</v>
      </c>
      <c r="C37" s="3" t="n">
        <v>23196932</v>
      </c>
      <c r="D37" s="3" t="n">
        <v>21374770</v>
      </c>
      <c r="E37" s="3" t="n">
        <v>10223780</v>
      </c>
      <c r="F37" s="3" t="n">
        <v>9974089</v>
      </c>
      <c r="G37" s="3" t="n"/>
    </row>
    <row r="38">
      <c r="A38" t="inlineStr">
        <is>
          <t>Other Non Current Assets</t>
        </is>
      </c>
      <c r="B38" s="3" t="n">
        <v>198734</v>
      </c>
      <c r="C38" s="3" t="n">
        <v>197785</v>
      </c>
      <c r="D38" s="3" t="n">
        <v>8725968</v>
      </c>
      <c r="E38" s="3" t="n"/>
      <c r="F38" s="3" t="n"/>
      <c r="G38" s="3" t="n">
        <v>59426</v>
      </c>
    </row>
    <row r="39">
      <c r="A39" t="inlineStr">
        <is>
          <t>Non Current Prepaid Assets</t>
        </is>
      </c>
      <c r="B39" s="3" t="n"/>
      <c r="C39" s="3" t="n"/>
      <c r="D39" s="3" t="n">
        <v>84693</v>
      </c>
      <c r="E39" s="3" t="n">
        <v>84693</v>
      </c>
      <c r="F39" s="3" t="n">
        <v>59426</v>
      </c>
      <c r="G39" s="3" t="n"/>
    </row>
    <row r="40">
      <c r="A40" t="inlineStr">
        <is>
          <t>Non Current Deferred Assets</t>
        </is>
      </c>
      <c r="B40" s="3" t="n"/>
      <c r="C40" s="3" t="n"/>
      <c r="D40" s="3" t="n"/>
      <c r="E40" s="3" t="n"/>
      <c r="F40" s="3" t="n"/>
      <c r="G40" s="3" t="n">
        <v>0</v>
      </c>
    </row>
    <row r="41">
      <c r="A41" t="inlineStr">
        <is>
          <t>Goodwill And Other Intangible Assets</t>
        </is>
      </c>
      <c r="B41" s="3" t="n">
        <v>18099367</v>
      </c>
      <c r="C41" s="3" t="n">
        <v>18158000</v>
      </c>
      <c r="D41" s="3" t="n">
        <v>9567170</v>
      </c>
      <c r="E41" s="3" t="n">
        <v>9587592</v>
      </c>
      <c r="F41" s="3" t="n">
        <v>9608014</v>
      </c>
      <c r="G41" s="3" t="n"/>
    </row>
    <row r="42">
      <c r="A42" t="inlineStr">
        <is>
          <t>Other Intangible Assets</t>
        </is>
      </c>
      <c r="B42" s="3" t="n">
        <v>2503262</v>
      </c>
      <c r="C42" s="3" t="n">
        <v>2561895</v>
      </c>
      <c r="D42" s="3" t="n">
        <v>2164264</v>
      </c>
      <c r="E42" s="3" t="n">
        <v>2184686</v>
      </c>
      <c r="F42" s="3" t="n">
        <v>2205108</v>
      </c>
      <c r="G42" s="3" t="n"/>
    </row>
    <row r="43">
      <c r="A43" t="inlineStr">
        <is>
          <t>Goodwill</t>
        </is>
      </c>
      <c r="B43" s="3" t="n">
        <v>15596105</v>
      </c>
      <c r="C43" s="3" t="n">
        <v>15596105</v>
      </c>
      <c r="D43" s="3" t="n">
        <v>7402906</v>
      </c>
      <c r="E43" s="3" t="n">
        <v>7402906</v>
      </c>
      <c r="F43" s="3" t="n">
        <v>7402906</v>
      </c>
      <c r="G43" s="3" t="n"/>
    </row>
    <row r="44">
      <c r="A44" t="inlineStr">
        <is>
          <t>Net PPE</t>
        </is>
      </c>
      <c r="B44" s="3" t="n">
        <v>6199381</v>
      </c>
      <c r="C44" s="3" t="n">
        <v>4841147</v>
      </c>
      <c r="D44" s="3" t="n">
        <v>2996939</v>
      </c>
      <c r="E44" s="3" t="n">
        <v>551495</v>
      </c>
      <c r="F44" s="3" t="n">
        <v>306649</v>
      </c>
      <c r="G44" s="3" t="n"/>
    </row>
    <row r="45">
      <c r="A45" t="inlineStr">
        <is>
          <t>Accumulated Depreciation</t>
        </is>
      </c>
      <c r="B45" s="3" t="n">
        <v>-78813</v>
      </c>
      <c r="C45" s="3" t="n">
        <v>-34716</v>
      </c>
      <c r="D45" s="3" t="n">
        <v>-192372</v>
      </c>
      <c r="E45" s="3" t="n">
        <v>-97424</v>
      </c>
      <c r="F45" s="3" t="n">
        <v>-79519</v>
      </c>
      <c r="G45" s="3" t="n"/>
    </row>
    <row r="46">
      <c r="A46" t="inlineStr">
        <is>
          <t>Gross PPE</t>
        </is>
      </c>
      <c r="B46" s="3" t="n">
        <v>6278194</v>
      </c>
      <c r="C46" s="3" t="n">
        <v>4875863</v>
      </c>
      <c r="D46" s="3" t="n">
        <v>3189311</v>
      </c>
      <c r="E46" s="3" t="n">
        <v>648919</v>
      </c>
      <c r="F46" s="3" t="n">
        <v>386168</v>
      </c>
      <c r="G46" s="3" t="n"/>
    </row>
    <row r="47">
      <c r="A47" t="inlineStr">
        <is>
          <t>Leases</t>
        </is>
      </c>
      <c r="B47" s="3" t="n">
        <v>181429</v>
      </c>
      <c r="C47" s="3" t="n">
        <v>149280</v>
      </c>
      <c r="D47" s="3" t="n">
        <v>114785</v>
      </c>
      <c r="E47" s="3" t="n">
        <v>15317</v>
      </c>
      <c r="F47" s="3" t="n"/>
      <c r="G47" s="3" t="n">
        <v>0</v>
      </c>
    </row>
    <row r="48">
      <c r="A48" t="inlineStr">
        <is>
          <t>Machinery Furniture Equipment</t>
        </is>
      </c>
      <c r="B48" s="3" t="n">
        <v>2823332</v>
      </c>
      <c r="C48" s="3" t="n">
        <v>2119327</v>
      </c>
      <c r="D48" s="3" t="n">
        <v>1623420</v>
      </c>
      <c r="E48" s="3" t="n">
        <v>255172</v>
      </c>
      <c r="F48" s="3" t="n">
        <v>7738</v>
      </c>
      <c r="G48" s="3" t="n"/>
    </row>
    <row r="49">
      <c r="A49" t="inlineStr">
        <is>
          <t>Buildings And Improvements</t>
        </is>
      </c>
      <c r="B49" s="3" t="n">
        <v>3273433</v>
      </c>
      <c r="C49" s="3" t="n">
        <v>2607256</v>
      </c>
      <c r="D49" s="3" t="n">
        <v>1451106</v>
      </c>
      <c r="E49" s="3" t="n">
        <v>378430</v>
      </c>
      <c r="F49" s="3" t="n">
        <v>378430</v>
      </c>
      <c r="G49" s="3" t="n"/>
    </row>
    <row r="50">
      <c r="A50" t="inlineStr">
        <is>
          <t>Properties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/>
    </row>
    <row r="51">
      <c r="A51" t="inlineStr">
        <is>
          <t>Current Assets</t>
        </is>
      </c>
      <c r="B51" s="3" t="n">
        <v>315205571</v>
      </c>
      <c r="C51" s="3" t="n">
        <v>159511482</v>
      </c>
      <c r="D51" s="3" t="n">
        <v>91704048</v>
      </c>
      <c r="E51" s="3" t="n">
        <v>42222934</v>
      </c>
      <c r="F51" s="3" t="n">
        <v>7306327</v>
      </c>
      <c r="G51" s="3" t="n"/>
    </row>
    <row r="52">
      <c r="A52" t="inlineStr">
        <is>
          <t>Other Current Assets</t>
        </is>
      </c>
      <c r="B52" s="3" t="n"/>
      <c r="C52" s="3" t="n"/>
      <c r="D52" s="3" t="n">
        <v>21583</v>
      </c>
      <c r="E52" s="3" t="n">
        <v>2000</v>
      </c>
      <c r="F52" s="3" t="n"/>
      <c r="G52" s="3" t="n"/>
    </row>
    <row r="53">
      <c r="A53" t="inlineStr">
        <is>
          <t>Prepaid Assets</t>
        </is>
      </c>
      <c r="B53" s="3" t="n">
        <v>14184704</v>
      </c>
      <c r="C53" s="3" t="n">
        <v>9939105</v>
      </c>
      <c r="D53" s="3" t="n">
        <v>7118967</v>
      </c>
      <c r="E53" s="3" t="n">
        <v>1505370</v>
      </c>
      <c r="F53" s="3" t="n">
        <v>1040426</v>
      </c>
      <c r="G53" s="3" t="n"/>
    </row>
    <row r="54">
      <c r="A54" t="inlineStr">
        <is>
          <t>Inventory</t>
        </is>
      </c>
      <c r="B54" s="3" t="n">
        <v>13827189</v>
      </c>
      <c r="C54" s="3" t="n">
        <v>5316648</v>
      </c>
      <c r="D54" s="3" t="n">
        <v>3118491</v>
      </c>
      <c r="E54" s="3" t="n">
        <v>1609117</v>
      </c>
      <c r="F54" s="3" t="n">
        <v>1214290</v>
      </c>
      <c r="G54" s="3" t="n"/>
    </row>
    <row r="55">
      <c r="A55" t="inlineStr">
        <is>
          <t>Finished Goods</t>
        </is>
      </c>
      <c r="B55" s="3" t="n">
        <v>1633654</v>
      </c>
      <c r="C55" s="3" t="n">
        <v>1083874</v>
      </c>
      <c r="D55" s="3" t="n">
        <v>2400584</v>
      </c>
      <c r="E55" s="3" t="n">
        <v>1609117</v>
      </c>
      <c r="F55" s="3" t="n">
        <v>1214290</v>
      </c>
      <c r="G55" s="3" t="n"/>
    </row>
    <row r="56">
      <c r="A56" t="inlineStr">
        <is>
          <t>Work In Process</t>
        </is>
      </c>
      <c r="B56" s="3" t="n"/>
      <c r="C56" s="3" t="n"/>
      <c r="D56" s="3" t="n">
        <v>0</v>
      </c>
      <c r="E56" s="3" t="n"/>
      <c r="F56" s="3" t="n"/>
      <c r="G56" s="3" t="n"/>
    </row>
    <row r="57">
      <c r="A57" t="inlineStr">
        <is>
          <t>Raw Materials</t>
        </is>
      </c>
      <c r="B57" s="3" t="n">
        <v>12193535</v>
      </c>
      <c r="C57" s="3" t="n">
        <v>4232774</v>
      </c>
      <c r="D57" s="3" t="n">
        <v>717907</v>
      </c>
      <c r="E57" s="3" t="n"/>
      <c r="F57" s="3" t="n"/>
      <c r="G57" s="3" t="n">
        <v>0</v>
      </c>
    </row>
    <row r="58">
      <c r="A58" t="inlineStr">
        <is>
          <t>Receivables</t>
        </is>
      </c>
      <c r="B58" s="3" t="n">
        <v>3597021</v>
      </c>
      <c r="C58" s="3" t="n">
        <v>1779423</v>
      </c>
      <c r="D58" s="3" t="n">
        <v>309544</v>
      </c>
      <c r="E58" s="3" t="n">
        <v>173388</v>
      </c>
      <c r="F58" s="3" t="n">
        <v>50950</v>
      </c>
      <c r="G58" s="3" t="n"/>
    </row>
    <row r="59">
      <c r="A59" t="inlineStr">
        <is>
          <t>Duefrom Related Parties Current</t>
        </is>
      </c>
      <c r="B59" s="3" t="n">
        <v>468136</v>
      </c>
      <c r="C59" s="3" t="n">
        <v>214684</v>
      </c>
      <c r="D59" s="3" t="n"/>
      <c r="E59" s="3" t="n"/>
      <c r="F59" s="3" t="n"/>
      <c r="G59" s="3" t="n">
        <v>0</v>
      </c>
    </row>
    <row r="60">
      <c r="A60" t="inlineStr">
        <is>
          <t>Accounts Receivable</t>
        </is>
      </c>
      <c r="B60" s="3" t="n">
        <v>3128885</v>
      </c>
      <c r="C60" s="3" t="n">
        <v>1564739</v>
      </c>
      <c r="D60" s="3" t="n">
        <v>309544</v>
      </c>
      <c r="E60" s="3" t="n">
        <v>173388</v>
      </c>
      <c r="F60" s="3" t="n">
        <v>50950</v>
      </c>
      <c r="G60" s="3" t="n"/>
    </row>
    <row r="61">
      <c r="A61" t="inlineStr">
        <is>
          <t>Cash Cash Equivalents And Short Term Investments</t>
        </is>
      </c>
      <c r="B61" s="3" t="n">
        <v>283596657</v>
      </c>
      <c r="C61" s="3" t="n">
        <v>142476306</v>
      </c>
      <c r="D61" s="3" t="n">
        <v>81135463</v>
      </c>
      <c r="E61" s="3" t="n">
        <v>38933059</v>
      </c>
      <c r="F61" s="3" t="n">
        <v>5000661</v>
      </c>
      <c r="G61" s="3" t="n"/>
    </row>
    <row r="62">
      <c r="A62" t="inlineStr">
        <is>
          <t>Other Short Term Investments</t>
        </is>
      </c>
      <c r="B62" s="3" t="n">
        <v>60656983</v>
      </c>
      <c r="C62" s="3" t="n">
        <v>39214909</v>
      </c>
      <c r="D62" s="3" t="n">
        <v>16849713</v>
      </c>
      <c r="E62" s="3" t="n"/>
      <c r="F62" s="3" t="n"/>
      <c r="G62" s="3" t="n">
        <v>0</v>
      </c>
    </row>
    <row r="63">
      <c r="A63" t="inlineStr">
        <is>
          <t>Cash And Cash Equivalents</t>
        </is>
      </c>
      <c r="B63" s="3" t="n">
        <v>222939674</v>
      </c>
      <c r="C63" s="3" t="n">
        <v>103261397</v>
      </c>
      <c r="D63" s="3" t="n">
        <v>64285750</v>
      </c>
      <c r="E63" s="3" t="n">
        <v>38933059</v>
      </c>
      <c r="F63" s="3" t="n">
        <v>5000661</v>
      </c>
      <c r="G6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-23239801</v>
      </c>
      <c r="C2" s="3" t="n">
        <v>-3996367</v>
      </c>
      <c r="D2" s="3" t="n">
        <v>-1779716</v>
      </c>
      <c r="E2" s="3" t="n">
        <v>-1193766</v>
      </c>
      <c r="F2" s="3" t="n"/>
    </row>
    <row r="3">
      <c r="A3" t="inlineStr">
        <is>
          <t>Issuance Of Capital Stock</t>
        </is>
      </c>
      <c r="B3" s="3" t="n">
        <v>160645636</v>
      </c>
      <c r="C3" s="3" t="n">
        <v>7047105</v>
      </c>
      <c r="D3" s="3" t="n">
        <v>0</v>
      </c>
      <c r="E3" s="3" t="n">
        <v>549900</v>
      </c>
      <c r="F3" s="3" t="n"/>
    </row>
    <row r="4">
      <c r="A4" t="inlineStr">
        <is>
          <t>Capital Expenditure</t>
        </is>
      </c>
      <c r="B4" s="3" t="n">
        <v>-2062181</v>
      </c>
      <c r="C4" s="3" t="n"/>
      <c r="D4" s="3" t="n">
        <v>-3164</v>
      </c>
      <c r="E4" s="3" t="n">
        <v>-4575</v>
      </c>
      <c r="F4" s="3" t="n"/>
    </row>
    <row r="5">
      <c r="A5" t="inlineStr">
        <is>
          <t>Interest Paid Supplemental Data</t>
        </is>
      </c>
      <c r="B5" s="3" t="n"/>
      <c r="C5" s="3" t="n"/>
      <c r="D5" s="3" t="n">
        <v>0</v>
      </c>
      <c r="E5" s="3" t="n">
        <v>0</v>
      </c>
      <c r="F5" s="3" t="n">
        <v>0</v>
      </c>
    </row>
    <row r="6">
      <c r="A6" t="inlineStr">
        <is>
          <t>Income Tax Paid Supplemental Data</t>
        </is>
      </c>
      <c r="B6" s="3" t="n"/>
      <c r="C6" s="3" t="n"/>
      <c r="D6" s="3" t="n">
        <v>0</v>
      </c>
      <c r="E6" s="3" t="n">
        <v>0</v>
      </c>
      <c r="F6" s="3" t="n">
        <v>0</v>
      </c>
    </row>
    <row r="7">
      <c r="A7" t="inlineStr">
        <is>
          <t>End Cash Position</t>
        </is>
      </c>
      <c r="B7" s="3" t="n">
        <v>103261397</v>
      </c>
      <c r="C7" s="3" t="n">
        <v>3757323</v>
      </c>
      <c r="D7" s="3" t="n">
        <v>894773</v>
      </c>
      <c r="E7" s="3" t="n">
        <v>3099422</v>
      </c>
      <c r="F7" s="3" t="n"/>
    </row>
    <row r="8">
      <c r="A8" t="inlineStr">
        <is>
          <t>Beginning Cash Position</t>
        </is>
      </c>
      <c r="B8" s="3" t="n">
        <v>3757323</v>
      </c>
      <c r="C8" s="3" t="n">
        <v>894773</v>
      </c>
      <c r="D8" s="3" t="n">
        <v>3099422</v>
      </c>
      <c r="E8" s="3" t="n">
        <v>3785891</v>
      </c>
      <c r="F8" s="3" t="n"/>
    </row>
    <row r="9">
      <c r="A9" t="inlineStr">
        <is>
          <t>Effect Of Exchange Rate Changes</t>
        </is>
      </c>
      <c r="B9" s="3" t="n">
        <v>3470</v>
      </c>
      <c r="C9" s="3" t="n">
        <v>0</v>
      </c>
      <c r="D9" s="3" t="n"/>
      <c r="E9" s="3" t="n"/>
      <c r="F9" s="3" t="n"/>
    </row>
    <row r="10">
      <c r="A10" t="inlineStr">
        <is>
          <t>Changes In Cash</t>
        </is>
      </c>
      <c r="B10" s="3" t="n">
        <v>99500604</v>
      </c>
      <c r="C10" s="3" t="n">
        <v>2862550</v>
      </c>
      <c r="D10" s="3" t="n">
        <v>-2204649</v>
      </c>
      <c r="E10" s="3" t="n">
        <v>-686469</v>
      </c>
      <c r="F10" s="3" t="n"/>
    </row>
    <row r="11">
      <c r="A11" t="inlineStr">
        <is>
          <t>Financing Cash Flow</t>
        </is>
      </c>
      <c r="B11" s="3" t="n">
        <v>157769034</v>
      </c>
      <c r="C11" s="3" t="n">
        <v>7711718</v>
      </c>
      <c r="D11" s="3" t="n">
        <v>-424933</v>
      </c>
      <c r="E11" s="3" t="n">
        <v>462075</v>
      </c>
      <c r="F11" s="3" t="n"/>
    </row>
    <row r="12">
      <c r="A12" t="inlineStr">
        <is>
          <t>Cash Flow From Continuing Financing Activities</t>
        </is>
      </c>
      <c r="B12" s="3" t="n">
        <v>157769034</v>
      </c>
      <c r="C12" s="3" t="n">
        <v>7711718</v>
      </c>
      <c r="D12" s="3" t="n">
        <v>-424933</v>
      </c>
      <c r="E12" s="3" t="n">
        <v>462075</v>
      </c>
      <c r="F12" s="3" t="n"/>
    </row>
    <row r="13">
      <c r="A13" t="inlineStr">
        <is>
          <t>Net Other Financing Charges</t>
        </is>
      </c>
      <c r="B13" s="3" t="n">
        <v>-9268101</v>
      </c>
      <c r="C13" s="3" t="n">
        <v>-859087</v>
      </c>
      <c r="D13" s="3" t="n">
        <v>-424933</v>
      </c>
      <c r="E13" s="3" t="n">
        <v>-87825</v>
      </c>
      <c r="F13" s="3" t="n"/>
    </row>
    <row r="14">
      <c r="A14" t="inlineStr">
        <is>
          <t>Proceeds From Stock Option Exercised</t>
        </is>
      </c>
      <c r="B14" s="3" t="n">
        <v>6391499</v>
      </c>
      <c r="C14" s="3" t="n">
        <v>1523700</v>
      </c>
      <c r="D14" s="3" t="n">
        <v>0</v>
      </c>
      <c r="E14" s="3" t="n"/>
      <c r="F14" s="3" t="n"/>
    </row>
    <row r="15">
      <c r="A15" t="inlineStr">
        <is>
          <t>Net Common Stock Issuance</t>
        </is>
      </c>
      <c r="B15" s="3" t="n">
        <v>160645636</v>
      </c>
      <c r="C15" s="3" t="n">
        <v>7047105</v>
      </c>
      <c r="D15" s="3" t="n">
        <v>0</v>
      </c>
      <c r="E15" s="3" t="n">
        <v>549900</v>
      </c>
      <c r="F15" s="3" t="n"/>
    </row>
    <row r="16">
      <c r="A16" t="inlineStr">
        <is>
          <t>Common Stock Issuance</t>
        </is>
      </c>
      <c r="B16" s="3" t="n">
        <v>160645636</v>
      </c>
      <c r="C16" s="3" t="n">
        <v>7047105</v>
      </c>
      <c r="D16" s="3" t="n">
        <v>0</v>
      </c>
      <c r="E16" s="3" t="n">
        <v>549900</v>
      </c>
      <c r="F16" s="3" t="n"/>
    </row>
    <row r="17">
      <c r="A17" t="inlineStr">
        <is>
          <t>Investing Cash Flow</t>
        </is>
      </c>
      <c r="B17" s="3" t="n">
        <v>-37090810</v>
      </c>
      <c r="C17" s="3" t="n">
        <v>-852801</v>
      </c>
      <c r="D17" s="3" t="n">
        <v>-3164</v>
      </c>
      <c r="E17" s="3" t="n">
        <v>40647</v>
      </c>
      <c r="F17" s="3" t="n"/>
    </row>
    <row r="18">
      <c r="A18" t="inlineStr">
        <is>
          <t>Cash Flow From Continuing Investing Activities</t>
        </is>
      </c>
      <c r="B18" s="3" t="n">
        <v>-37090810</v>
      </c>
      <c r="C18" s="3" t="n">
        <v>-852801</v>
      </c>
      <c r="D18" s="3" t="n">
        <v>-3164</v>
      </c>
      <c r="E18" s="3" t="n">
        <v>40647</v>
      </c>
      <c r="F18" s="3" t="n"/>
    </row>
    <row r="19">
      <c r="A19" t="inlineStr">
        <is>
          <t>Net Other Investing Changes</t>
        </is>
      </c>
      <c r="B19" s="3" t="n"/>
      <c r="C19" s="3" t="n"/>
      <c r="D19" s="3" t="n"/>
      <c r="E19" s="3" t="n">
        <v>45222</v>
      </c>
      <c r="F19" s="3" t="n"/>
    </row>
    <row r="20">
      <c r="A20" t="inlineStr">
        <is>
          <t>Net Investment Purchase And Sale</t>
        </is>
      </c>
      <c r="B20" s="3" t="n">
        <v>-35121683</v>
      </c>
      <c r="C20" s="3" t="n">
        <v>0</v>
      </c>
      <c r="D20" s="3" t="n"/>
      <c r="E20" s="3" t="n"/>
      <c r="F20" s="3" t="n"/>
    </row>
    <row r="21">
      <c r="A21" t="inlineStr">
        <is>
          <t>Sale Of Investment</t>
        </is>
      </c>
      <c r="B21" s="3" t="n">
        <v>3428317</v>
      </c>
      <c r="C21" s="3" t="n">
        <v>0</v>
      </c>
      <c r="D21" s="3" t="n"/>
      <c r="E21" s="3" t="n"/>
      <c r="F21" s="3" t="n"/>
    </row>
    <row r="22">
      <c r="A22" t="inlineStr">
        <is>
          <t>Purchase Of Investment</t>
        </is>
      </c>
      <c r="B22" s="3" t="n">
        <v>-38550000</v>
      </c>
      <c r="C22" s="3" t="n">
        <v>0</v>
      </c>
      <c r="D22" s="3" t="n"/>
      <c r="E22" s="3" t="n"/>
      <c r="F22" s="3" t="n"/>
    </row>
    <row r="23">
      <c r="A23" t="inlineStr">
        <is>
          <t>Net Business Purchase And Sale</t>
        </is>
      </c>
      <c r="B23" s="3" t="n">
        <v>93054</v>
      </c>
      <c r="C23" s="3" t="n">
        <v>-852801</v>
      </c>
      <c r="D23" s="3" t="n">
        <v>0</v>
      </c>
      <c r="E23" s="3" t="n"/>
      <c r="F23" s="3" t="n"/>
    </row>
    <row r="24">
      <c r="A24" t="inlineStr">
        <is>
          <t>Sale Of Business</t>
        </is>
      </c>
      <c r="B24" s="3" t="n">
        <v>93054</v>
      </c>
      <c r="C24" s="3" t="n"/>
      <c r="D24" s="3" t="n"/>
      <c r="E24" s="3" t="n"/>
      <c r="F24" s="3" t="n"/>
    </row>
    <row r="25">
      <c r="A25" t="inlineStr">
        <is>
          <t>Purchase Of Business</t>
        </is>
      </c>
      <c r="B25" s="3" t="n"/>
      <c r="C25" s="3" t="n">
        <v>-852801</v>
      </c>
      <c r="D25" s="3" t="n">
        <v>0</v>
      </c>
      <c r="E25" s="3" t="n"/>
      <c r="F25" s="3" t="n"/>
    </row>
    <row r="26">
      <c r="A26" t="inlineStr">
        <is>
          <t>Net PPE Purchase And Sale</t>
        </is>
      </c>
      <c r="B26" s="3" t="n">
        <v>-2062181</v>
      </c>
      <c r="C26" s="3" t="n">
        <v>0</v>
      </c>
      <c r="D26" s="3" t="n">
        <v>-3164</v>
      </c>
      <c r="E26" s="3" t="n">
        <v>-4575</v>
      </c>
      <c r="F26" s="3" t="n"/>
    </row>
    <row r="27">
      <c r="A27" t="inlineStr">
        <is>
          <t>Purchase Of PPE</t>
        </is>
      </c>
      <c r="B27" s="3" t="n">
        <v>-2062181</v>
      </c>
      <c r="C27" s="3" t="n">
        <v>0</v>
      </c>
      <c r="D27" s="3" t="n">
        <v>-3164</v>
      </c>
      <c r="E27" s="3" t="n">
        <v>-4575</v>
      </c>
      <c r="F27" s="3" t="n"/>
    </row>
    <row r="28">
      <c r="A28" t="inlineStr">
        <is>
          <t>Operating Cash Flow</t>
        </is>
      </c>
      <c r="B28" s="3" t="n">
        <v>-21177620</v>
      </c>
      <c r="C28" s="3" t="n">
        <v>-3996367</v>
      </c>
      <c r="D28" s="3" t="n">
        <v>-1776552</v>
      </c>
      <c r="E28" s="3" t="n">
        <v>-1189191</v>
      </c>
      <c r="F28" s="3" t="n"/>
    </row>
    <row r="29">
      <c r="A29" t="inlineStr">
        <is>
          <t>Cash Flow From Continuing Operating Activities</t>
        </is>
      </c>
      <c r="B29" s="3" t="n">
        <v>-21177619</v>
      </c>
      <c r="C29" s="3" t="n">
        <v>-3996367</v>
      </c>
      <c r="D29" s="3" t="n">
        <v>-1776552</v>
      </c>
      <c r="E29" s="3" t="n">
        <v>-1189191</v>
      </c>
      <c r="F29" s="3" t="n"/>
    </row>
    <row r="30">
      <c r="A30" t="inlineStr">
        <is>
          <t>Change In Working Capital</t>
        </is>
      </c>
      <c r="B30" s="3" t="n">
        <v>-13633843</v>
      </c>
      <c r="C30" s="3" t="n">
        <v>667443</v>
      </c>
      <c r="D30" s="3" t="n">
        <v>1310</v>
      </c>
      <c r="E30" s="3" t="n">
        <v>-18299</v>
      </c>
      <c r="F30" s="3" t="n"/>
    </row>
    <row r="31">
      <c r="A31" t="inlineStr">
        <is>
          <t>Change In Other Working Capital</t>
        </is>
      </c>
      <c r="B31" s="3" t="n">
        <v>257342</v>
      </c>
      <c r="C31" s="3" t="n">
        <v>82676</v>
      </c>
      <c r="D31" s="3" t="n">
        <v>-424933</v>
      </c>
      <c r="E31" s="3" t="n">
        <v>-87825</v>
      </c>
      <c r="F31" s="3" t="n"/>
    </row>
    <row r="32">
      <c r="A32" t="inlineStr">
        <is>
          <t>Change In Other Current Liabilities</t>
        </is>
      </c>
      <c r="B32" s="3" t="n">
        <v>2240020</v>
      </c>
      <c r="C32" s="3" t="n">
        <v>-48438</v>
      </c>
      <c r="D32" s="3" t="n">
        <v>0</v>
      </c>
      <c r="E32" s="3" t="n"/>
      <c r="F32" s="3" t="n"/>
    </row>
    <row r="33">
      <c r="A33" t="inlineStr">
        <is>
          <t>Change In Other Current Assets</t>
        </is>
      </c>
      <c r="B33" s="3" t="n">
        <v>-2490591</v>
      </c>
      <c r="C33" s="3" t="n">
        <v>54940</v>
      </c>
      <c r="D33" s="3" t="n">
        <v>18744</v>
      </c>
      <c r="E33" s="3" t="n">
        <v>-139375</v>
      </c>
      <c r="F33" s="3" t="n"/>
    </row>
    <row r="34">
      <c r="A34" t="inlineStr">
        <is>
          <t>Change In Payables And Accrued Expense</t>
        </is>
      </c>
      <c r="B34" s="3" t="n">
        <v>745949</v>
      </c>
      <c r="C34" s="3" t="n">
        <v>266690</v>
      </c>
      <c r="D34" s="3" t="n">
        <v>-17434</v>
      </c>
      <c r="E34" s="3" t="n">
        <v>120131</v>
      </c>
      <c r="F34" s="3" t="n"/>
    </row>
    <row r="35">
      <c r="A35" t="inlineStr">
        <is>
          <t>Change In Prepaid Assets</t>
        </is>
      </c>
      <c r="B35" s="3" t="n">
        <v>-8843755</v>
      </c>
      <c r="C35" s="3" t="n">
        <v>-83749</v>
      </c>
      <c r="D35" s="3" t="n">
        <v>0</v>
      </c>
      <c r="E35" s="3" t="n"/>
      <c r="F35" s="3" t="n"/>
    </row>
    <row r="36">
      <c r="A36" t="inlineStr">
        <is>
          <t>Change In Inventory</t>
        </is>
      </c>
      <c r="B36" s="3" t="n">
        <v>-3944257</v>
      </c>
      <c r="C36" s="3" t="n">
        <v>455101</v>
      </c>
      <c r="D36" s="3" t="n">
        <v>0</v>
      </c>
      <c r="E36" s="3" t="n"/>
      <c r="F36" s="3" t="n"/>
    </row>
    <row r="37">
      <c r="A37" t="inlineStr">
        <is>
          <t>Change In Receivables</t>
        </is>
      </c>
      <c r="B37" s="3" t="n">
        <v>-1598551</v>
      </c>
      <c r="C37" s="3" t="n">
        <v>-59777</v>
      </c>
      <c r="D37" s="3" t="n">
        <v>0</v>
      </c>
      <c r="E37" s="3" t="n">
        <v>945</v>
      </c>
      <c r="F37" s="3" t="n"/>
    </row>
    <row r="38">
      <c r="A38" t="inlineStr">
        <is>
          <t>Changes In Account Receivables</t>
        </is>
      </c>
      <c r="B38" s="3" t="n">
        <v>-1598551</v>
      </c>
      <c r="C38" s="3" t="n">
        <v>-59777</v>
      </c>
      <c r="D38" s="3" t="n">
        <v>0</v>
      </c>
      <c r="E38" s="3" t="n">
        <v>945</v>
      </c>
      <c r="F38" s="3" t="n"/>
    </row>
    <row r="39">
      <c r="A39" t="inlineStr">
        <is>
          <t>Other Non Cash Items</t>
        </is>
      </c>
      <c r="B39" s="3" t="n">
        <v>-1</v>
      </c>
      <c r="C39" s="3" t="n"/>
      <c r="D39" s="3" t="n"/>
      <c r="E39" s="3" t="n"/>
      <c r="F39" s="3" t="n"/>
    </row>
    <row r="40">
      <c r="A40" t="inlineStr">
        <is>
          <t>Stock Based Compensation</t>
        </is>
      </c>
      <c r="B40" s="3" t="n">
        <v>15619929</v>
      </c>
      <c r="C40" s="3" t="n">
        <v>2320206</v>
      </c>
      <c r="D40" s="3" t="n">
        <v>600000</v>
      </c>
      <c r="E40" s="3" t="n"/>
      <c r="F40" s="3" t="n"/>
    </row>
    <row r="41">
      <c r="A41" t="inlineStr">
        <is>
          <t>Provisionand Write Offof Assets</t>
        </is>
      </c>
      <c r="B41" s="3" t="n">
        <v>18122</v>
      </c>
      <c r="C41" s="3" t="n">
        <v>0</v>
      </c>
      <c r="D41" s="3" t="n"/>
      <c r="E41" s="3" t="n"/>
      <c r="F41" s="3" t="n"/>
    </row>
    <row r="42">
      <c r="A42" t="inlineStr">
        <is>
          <t>Asset Impairment Charge</t>
        </is>
      </c>
      <c r="B42" s="3" t="n">
        <v>0</v>
      </c>
      <c r="C42" s="3" t="n">
        <v>10073326</v>
      </c>
      <c r="D42" s="3" t="n">
        <v>0</v>
      </c>
      <c r="E42" s="3" t="n"/>
      <c r="F42" s="3" t="n"/>
    </row>
    <row r="43">
      <c r="A43" t="inlineStr">
        <is>
          <t>Deferred Tax</t>
        </is>
      </c>
      <c r="B43" s="3" t="n">
        <v>-36252</v>
      </c>
      <c r="C43" s="3" t="n">
        <v>-13360</v>
      </c>
      <c r="D43" s="3" t="n">
        <v>0</v>
      </c>
      <c r="E43" s="3" t="n"/>
      <c r="F43" s="3" t="n"/>
    </row>
    <row r="44">
      <c r="A44" t="inlineStr">
        <is>
          <t>Deferred Income Tax</t>
        </is>
      </c>
      <c r="B44" s="3" t="n">
        <v>-36252</v>
      </c>
      <c r="C44" s="3" t="n">
        <v>-13360</v>
      </c>
      <c r="D44" s="3" t="n">
        <v>0</v>
      </c>
      <c r="E44" s="3" t="n"/>
      <c r="F44" s="3" t="n"/>
    </row>
    <row r="45">
      <c r="A45" t="inlineStr">
        <is>
          <t>Depreciation Amortization Depletion</t>
        </is>
      </c>
      <c r="B45" s="3" t="n">
        <v>141267</v>
      </c>
      <c r="C45" s="3" t="n">
        <v>72161</v>
      </c>
      <c r="D45" s="3" t="n">
        <v>5600</v>
      </c>
      <c r="E45" s="3" t="n">
        <v>885</v>
      </c>
      <c r="F45" s="3" t="n"/>
    </row>
    <row r="46">
      <c r="A46" t="inlineStr">
        <is>
          <t>Depreciation And Amortization</t>
        </is>
      </c>
      <c r="B46" s="3" t="n">
        <v>141267</v>
      </c>
      <c r="C46" s="3" t="n">
        <v>72161</v>
      </c>
      <c r="D46" s="3" t="n">
        <v>5600</v>
      </c>
      <c r="E46" s="3" t="n">
        <v>885</v>
      </c>
      <c r="F46" s="3" t="n"/>
    </row>
    <row r="47">
      <c r="A47" t="inlineStr">
        <is>
          <t>Depreciation</t>
        </is>
      </c>
      <c r="B47" s="3" t="n"/>
      <c r="C47" s="3" t="n"/>
      <c r="D47" s="3" t="n">
        <v>5600</v>
      </c>
      <c r="E47" s="3" t="n">
        <v>885</v>
      </c>
      <c r="F47" s="3" t="n">
        <v>0</v>
      </c>
    </row>
    <row r="48">
      <c r="A48" t="inlineStr">
        <is>
          <t>Operating Gains Losses</t>
        </is>
      </c>
      <c r="B48" s="3" t="n">
        <v>-4093225</v>
      </c>
      <c r="C48" s="3" t="n">
        <v>14864325</v>
      </c>
      <c r="D48" s="3" t="n"/>
      <c r="E48" s="3" t="n"/>
      <c r="F48" s="3" t="n"/>
    </row>
    <row r="49">
      <c r="A49" t="inlineStr">
        <is>
          <t>Gain Loss On Investment Securities</t>
        </is>
      </c>
      <c r="B49" s="3" t="n">
        <v>-4093225</v>
      </c>
      <c r="C49" s="3" t="n">
        <v>16146205</v>
      </c>
      <c r="D49" s="3" t="n"/>
      <c r="E49" s="3" t="n"/>
      <c r="F49" s="3" t="n"/>
    </row>
    <row r="50">
      <c r="A50" t="inlineStr">
        <is>
          <t>Net Income From Continuing Operations</t>
        </is>
      </c>
      <c r="B50" s="3" t="n">
        <v>-19193617</v>
      </c>
      <c r="C50" s="3" t="n">
        <v>-31980468</v>
      </c>
      <c r="D50" s="3" t="n">
        <v>-2383462</v>
      </c>
      <c r="E50" s="3" t="n">
        <v>-1171777</v>
      </c>
      <c r="F5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-18111224</v>
      </c>
      <c r="C2" s="3" t="n">
        <v>-10294820</v>
      </c>
      <c r="D2" s="3" t="n">
        <v>-8819881</v>
      </c>
      <c r="E2" s="3" t="n">
        <v>-2931472</v>
      </c>
      <c r="F2" s="3" t="n">
        <v>-1193628</v>
      </c>
      <c r="G2" s="3" t="n"/>
    </row>
    <row r="3">
      <c r="A3" t="inlineStr">
        <is>
          <t>Issuance Of Capital Stock</t>
        </is>
      </c>
      <c r="B3" s="3" t="n">
        <v>149999993</v>
      </c>
      <c r="C3" s="3" t="n">
        <v>72145636</v>
      </c>
      <c r="D3" s="3" t="n">
        <v>46063034</v>
      </c>
      <c r="E3" s="3" t="n">
        <v>42436966</v>
      </c>
      <c r="F3" s="3" t="n">
        <v>0</v>
      </c>
      <c r="G3" s="3" t="n"/>
    </row>
    <row r="4">
      <c r="A4" t="inlineStr">
        <is>
          <t>Capital Expenditure</t>
        </is>
      </c>
      <c r="B4" s="3" t="n">
        <v>-698237</v>
      </c>
      <c r="C4" s="3" t="n">
        <v>-511494</v>
      </c>
      <c r="D4" s="3" t="n">
        <v>-1287936</v>
      </c>
      <c r="E4" s="3" t="n"/>
      <c r="F4" s="3" t="n"/>
      <c r="G4" s="3" t="n"/>
    </row>
    <row r="5">
      <c r="A5" t="inlineStr">
        <is>
          <t>End Cash Position</t>
        </is>
      </c>
      <c r="B5" s="3" t="n">
        <v>222939674</v>
      </c>
      <c r="C5" s="3" t="n">
        <v>103261397</v>
      </c>
      <c r="D5" s="3" t="n">
        <v>64285750</v>
      </c>
      <c r="E5" s="3" t="n">
        <v>38933059</v>
      </c>
      <c r="F5" s="3" t="n">
        <v>5000661</v>
      </c>
      <c r="G5" s="3" t="n"/>
    </row>
    <row r="6">
      <c r="A6" t="inlineStr">
        <is>
          <t>Beginning Cash Position</t>
        </is>
      </c>
      <c r="B6" s="3" t="n">
        <v>103261397</v>
      </c>
      <c r="C6" s="3" t="n">
        <v>64285750</v>
      </c>
      <c r="D6" s="3" t="n">
        <v>38933059</v>
      </c>
      <c r="E6" s="3" t="n">
        <v>5000661</v>
      </c>
      <c r="F6" s="3" t="n">
        <v>3757323</v>
      </c>
      <c r="G6" s="3" t="n"/>
    </row>
    <row r="7">
      <c r="A7" t="inlineStr">
        <is>
          <t>Effect Of Exchange Rate Changes</t>
        </is>
      </c>
      <c r="B7" s="3" t="n">
        <v>19431</v>
      </c>
      <c r="C7" s="3" t="n">
        <v>1192</v>
      </c>
      <c r="D7" s="3" t="n"/>
      <c r="E7" s="3" t="n"/>
      <c r="F7" s="3" t="n">
        <v>0</v>
      </c>
      <c r="G7" s="3" t="n"/>
    </row>
    <row r="8">
      <c r="A8" t="inlineStr">
        <is>
          <t>Changes In Cash</t>
        </is>
      </c>
      <c r="B8" s="3" t="n">
        <v>119658846</v>
      </c>
      <c r="C8" s="3" t="n">
        <v>38974455</v>
      </c>
      <c r="D8" s="3" t="n">
        <v>25350413</v>
      </c>
      <c r="E8" s="3" t="n">
        <v>33932398</v>
      </c>
      <c r="F8" s="3" t="n">
        <v>1243338</v>
      </c>
      <c r="G8" s="3" t="n"/>
    </row>
    <row r="9">
      <c r="A9" t="inlineStr">
        <is>
          <t>Financing Cash Flow</t>
        </is>
      </c>
      <c r="B9" s="3" t="n">
        <v>142455327</v>
      </c>
      <c r="C9" s="3" t="n">
        <v>73390958</v>
      </c>
      <c r="D9" s="3" t="n">
        <v>45077240</v>
      </c>
      <c r="E9" s="3" t="n">
        <v>36863870</v>
      </c>
      <c r="F9" s="3" t="n">
        <v>2436966</v>
      </c>
      <c r="G9" s="3" t="n"/>
    </row>
    <row r="10">
      <c r="A10" t="inlineStr">
        <is>
          <t>Cash Flow From Continuing Financing Activities</t>
        </is>
      </c>
      <c r="B10" s="3" t="n">
        <v>142455327</v>
      </c>
      <c r="C10" s="3" t="n">
        <v>73390958</v>
      </c>
      <c r="D10" s="3" t="n">
        <v>45077240</v>
      </c>
      <c r="E10" s="3" t="n">
        <v>36863870</v>
      </c>
      <c r="F10" s="3" t="n">
        <v>2436966</v>
      </c>
      <c r="G10" s="3" t="n"/>
    </row>
    <row r="11">
      <c r="A11" t="inlineStr">
        <is>
          <t>Net Other Financing Charges</t>
        </is>
      </c>
      <c r="B11" s="3" t="n">
        <v>-11200000</v>
      </c>
      <c r="C11" s="3" t="n">
        <v>-2165101</v>
      </c>
      <c r="D11" s="3" t="n">
        <v>-3599000</v>
      </c>
      <c r="E11" s="3" t="n"/>
      <c r="F11" s="3" t="n"/>
      <c r="G11" s="3" t="n">
        <v>-221400</v>
      </c>
    </row>
    <row r="12">
      <c r="A12" t="inlineStr">
        <is>
          <t>Proceeds From Stock Option Exercised</t>
        </is>
      </c>
      <c r="B12" s="3" t="n">
        <v>3655334</v>
      </c>
      <c r="C12" s="3" t="n">
        <v>3410423</v>
      </c>
      <c r="D12" s="3" t="n">
        <v>2613206</v>
      </c>
      <c r="E12" s="3" t="n">
        <v>-2069096</v>
      </c>
      <c r="F12" s="3" t="n">
        <v>2436966</v>
      </c>
      <c r="G12" s="3" t="n"/>
    </row>
    <row r="13">
      <c r="A13" t="inlineStr">
        <is>
          <t>Net Common Stock Issuance</t>
        </is>
      </c>
      <c r="B13" s="3" t="n">
        <v>149999993</v>
      </c>
      <c r="C13" s="3" t="n">
        <v>72145636</v>
      </c>
      <c r="D13" s="3" t="n">
        <v>46063034</v>
      </c>
      <c r="E13" s="3" t="n">
        <v>42436966</v>
      </c>
      <c r="F13" s="3" t="n">
        <v>0</v>
      </c>
      <c r="G13" s="3" t="n"/>
    </row>
    <row r="14">
      <c r="A14" t="inlineStr">
        <is>
          <t>Common Stock Issuance</t>
        </is>
      </c>
      <c r="B14" s="3" t="n">
        <v>149999993</v>
      </c>
      <c r="C14" s="3" t="n">
        <v>72145636</v>
      </c>
      <c r="D14" s="3" t="n">
        <v>46063034</v>
      </c>
      <c r="E14" s="3" t="n">
        <v>42436966</v>
      </c>
      <c r="F14" s="3" t="n">
        <v>0</v>
      </c>
      <c r="G14" s="3" t="n"/>
    </row>
    <row r="15">
      <c r="A15" t="inlineStr">
        <is>
          <t>Investing Cash Flow</t>
        </is>
      </c>
      <c r="B15" s="3" t="n">
        <v>-5383494</v>
      </c>
      <c r="C15" s="3" t="n">
        <v>-24633177</v>
      </c>
      <c r="D15" s="3" t="n">
        <v>-12194882</v>
      </c>
      <c r="E15" s="3" t="n">
        <v>-262751</v>
      </c>
      <c r="F15" s="3" t="n">
        <v>0</v>
      </c>
      <c r="G15" s="3" t="n"/>
    </row>
    <row r="16">
      <c r="A16" t="inlineStr">
        <is>
          <t>Cash Flow From Continuing Investing Activities</t>
        </is>
      </c>
      <c r="B16" s="3" t="n">
        <v>-5383494</v>
      </c>
      <c r="C16" s="3" t="n">
        <v>-24633177</v>
      </c>
      <c r="D16" s="3" t="n">
        <v>-12194882</v>
      </c>
      <c r="E16" s="3" t="n">
        <v>-262751</v>
      </c>
      <c r="F16" s="3" t="n">
        <v>0</v>
      </c>
      <c r="G16" s="3" t="n"/>
    </row>
    <row r="17">
      <c r="A17" t="inlineStr">
        <is>
          <t>Net Investment Purchase And Sale</t>
        </is>
      </c>
      <c r="B17" s="3" t="n">
        <v>-4685257</v>
      </c>
      <c r="C17" s="3" t="n">
        <v>-24121683</v>
      </c>
      <c r="D17" s="3" t="n"/>
      <c r="E17" s="3" t="n"/>
      <c r="F17" s="3" t="n">
        <v>0</v>
      </c>
      <c r="G17" s="3" t="n"/>
    </row>
    <row r="18">
      <c r="A18" t="inlineStr">
        <is>
          <t>Sale Of Investment</t>
        </is>
      </c>
      <c r="B18" s="3" t="n">
        <v>12814743</v>
      </c>
      <c r="C18" s="3" t="n"/>
      <c r="D18" s="3" t="n"/>
      <c r="E18" s="3" t="n"/>
      <c r="F18" s="3" t="n">
        <v>0</v>
      </c>
      <c r="G18" s="3" t="n"/>
    </row>
    <row r="19">
      <c r="A19" t="inlineStr">
        <is>
          <t>Purchase Of Investment</t>
        </is>
      </c>
      <c r="B19" s="3" t="n">
        <v>-17500000</v>
      </c>
      <c r="C19" s="3" t="n">
        <v>-27550000</v>
      </c>
      <c r="D19" s="3" t="n"/>
      <c r="E19" s="3" t="n"/>
      <c r="F19" s="3" t="n">
        <v>0</v>
      </c>
      <c r="G19" s="3" t="n"/>
    </row>
    <row r="20">
      <c r="A20" t="inlineStr">
        <is>
          <t>Net Business Purchase And Sale</t>
        </is>
      </c>
      <c r="B20" s="3" t="n"/>
      <c r="C20" s="3" t="n">
        <v>0</v>
      </c>
      <c r="D20" s="3" t="n">
        <v>93054</v>
      </c>
      <c r="E20" s="3" t="n">
        <v>0</v>
      </c>
      <c r="F20" s="3" t="n">
        <v>0</v>
      </c>
      <c r="G20" s="3" t="n">
        <v>0</v>
      </c>
    </row>
    <row r="21">
      <c r="A21" t="inlineStr">
        <is>
          <t>Sale Of Business</t>
        </is>
      </c>
      <c r="B21" s="3" t="n"/>
      <c r="C21" s="3" t="n">
        <v>0</v>
      </c>
      <c r="D21" s="3" t="n"/>
      <c r="E21" s="3" t="n"/>
      <c r="F21" s="3" t="n"/>
      <c r="G21" s="3" t="n"/>
    </row>
    <row r="22">
      <c r="A22" t="inlineStr">
        <is>
          <t>Purchase Of Business</t>
        </is>
      </c>
      <c r="B22" s="3" t="n"/>
      <c r="C22" s="3" t="n"/>
      <c r="D22" s="3" t="n"/>
      <c r="E22" s="3" t="n">
        <v>0</v>
      </c>
      <c r="F22" s="3" t="n">
        <v>0</v>
      </c>
      <c r="G22" s="3" t="n">
        <v>0</v>
      </c>
    </row>
    <row r="23">
      <c r="A23" t="inlineStr">
        <is>
          <t>Net PPE Purchase And Sale</t>
        </is>
      </c>
      <c r="B23" s="3" t="n">
        <v>-698237</v>
      </c>
      <c r="C23" s="3" t="n">
        <v>-511494</v>
      </c>
      <c r="D23" s="3" t="n">
        <v>-1287936</v>
      </c>
      <c r="E23" s="3" t="n">
        <v>-262751</v>
      </c>
      <c r="F23" s="3" t="n">
        <v>0</v>
      </c>
      <c r="G23" s="3" t="n"/>
    </row>
    <row r="24">
      <c r="A24" t="inlineStr">
        <is>
          <t>Purchase Of PPE</t>
        </is>
      </c>
      <c r="B24" s="3" t="n">
        <v>-698237</v>
      </c>
      <c r="C24" s="3" t="n">
        <v>-511494</v>
      </c>
      <c r="D24" s="3" t="n">
        <v>-1287936</v>
      </c>
      <c r="E24" s="3" t="n">
        <v>-262751</v>
      </c>
      <c r="F24" s="3" t="n">
        <v>0</v>
      </c>
      <c r="G24" s="3" t="n"/>
    </row>
    <row r="25">
      <c r="A25" t="inlineStr">
        <is>
          <t>Operating Cash Flow</t>
        </is>
      </c>
      <c r="B25" s="3" t="n">
        <v>-17412987</v>
      </c>
      <c r="C25" s="3" t="n">
        <v>-9783326</v>
      </c>
      <c r="D25" s="3" t="n">
        <v>-7531945</v>
      </c>
      <c r="E25" s="3" t="n">
        <v>-2668721</v>
      </c>
      <c r="F25" s="3" t="n">
        <v>-1193628</v>
      </c>
      <c r="G25" s="3" t="n"/>
    </row>
    <row r="26">
      <c r="A26" t="inlineStr">
        <is>
          <t>Cash Flow From Continuing Operating Activities</t>
        </is>
      </c>
      <c r="B26" s="3" t="n">
        <v>-17412988</v>
      </c>
      <c r="C26" s="3" t="n">
        <v>-9783327</v>
      </c>
      <c r="D26" s="3" t="n">
        <v>-7531943</v>
      </c>
      <c r="E26" s="3" t="n">
        <v>-2668721</v>
      </c>
      <c r="F26" s="3" t="n">
        <v>-1193628</v>
      </c>
      <c r="G26" s="3" t="n"/>
    </row>
    <row r="27">
      <c r="A27" t="inlineStr">
        <is>
          <t>Change In Working Capital</t>
        </is>
      </c>
      <c r="B27" s="3" t="n">
        <v>-14943955</v>
      </c>
      <c r="C27" s="3" t="n">
        <v>-7118775</v>
      </c>
      <c r="D27" s="3" t="n">
        <v>-5410704</v>
      </c>
      <c r="E27" s="3" t="n">
        <v>-1250049</v>
      </c>
      <c r="F27" s="3" t="n">
        <v>145685</v>
      </c>
      <c r="G27" s="3" t="n"/>
    </row>
    <row r="28">
      <c r="A28" t="inlineStr">
        <is>
          <t>Change In Other Working Capital</t>
        </is>
      </c>
      <c r="B28" s="3" t="n">
        <v>-632682</v>
      </c>
      <c r="C28" s="3" t="n">
        <v>-952813</v>
      </c>
      <c r="D28" s="3" t="n">
        <v>1267837</v>
      </c>
      <c r="E28" s="3" t="n">
        <v>5000</v>
      </c>
      <c r="F28" s="3" t="n">
        <v>-62682</v>
      </c>
      <c r="G28" s="3" t="n"/>
    </row>
    <row r="29">
      <c r="A29" t="inlineStr">
        <is>
          <t>Change In Other Current Liabilities</t>
        </is>
      </c>
      <c r="B29" s="3" t="n">
        <v>697772</v>
      </c>
      <c r="C29" s="3" t="n">
        <v>2320366</v>
      </c>
      <c r="D29" s="3" t="n">
        <v>-47686</v>
      </c>
      <c r="E29" s="3" t="n">
        <v>-16565</v>
      </c>
      <c r="F29" s="3" t="n">
        <v>-16095</v>
      </c>
      <c r="G29" s="3" t="n"/>
    </row>
    <row r="30">
      <c r="A30" t="inlineStr">
        <is>
          <t>Change In Other Current Assets</t>
        </is>
      </c>
      <c r="B30" s="3" t="n">
        <v>-428004</v>
      </c>
      <c r="C30" s="3" t="n">
        <v>-2325062</v>
      </c>
      <c r="D30" s="3" t="n">
        <v>-13982</v>
      </c>
      <c r="E30" s="3" t="n">
        <v>22100</v>
      </c>
      <c r="F30" s="3" t="n">
        <v>-173647</v>
      </c>
      <c r="G30" s="3" t="n"/>
    </row>
    <row r="31">
      <c r="A31" t="inlineStr">
        <is>
          <t>Change In Payables And Accrued Expense</t>
        </is>
      </c>
      <c r="B31" s="3" t="n">
        <v>-435307</v>
      </c>
      <c r="C31" s="3" t="n">
        <v>339550</v>
      </c>
      <c r="D31" s="3" t="n">
        <v>466437</v>
      </c>
      <c r="E31" s="3" t="n">
        <v>-251860</v>
      </c>
      <c r="F31" s="3" t="n">
        <v>191822</v>
      </c>
      <c r="G31" s="3" t="n"/>
    </row>
    <row r="32">
      <c r="A32" t="inlineStr">
        <is>
          <t>Change In Prepaid Assets</t>
        </is>
      </c>
      <c r="B32" s="3" t="n">
        <v>-3817595</v>
      </c>
      <c r="C32" s="3" t="n">
        <v>-2826804</v>
      </c>
      <c r="D32" s="3" t="n">
        <v>-5607087</v>
      </c>
      <c r="E32" s="3" t="n">
        <v>-479313</v>
      </c>
      <c r="F32" s="3" t="n">
        <v>69449</v>
      </c>
      <c r="G32" s="3" t="n"/>
    </row>
    <row r="33">
      <c r="A33" t="inlineStr">
        <is>
          <t>Change In Inventory</t>
        </is>
      </c>
      <c r="B33" s="3" t="n">
        <v>-8510541</v>
      </c>
      <c r="C33" s="3" t="n">
        <v>-2198157</v>
      </c>
      <c r="D33" s="3" t="n">
        <v>-1472486</v>
      </c>
      <c r="E33" s="3" t="n">
        <v>-394827</v>
      </c>
      <c r="F33" s="3" t="n">
        <v>121213</v>
      </c>
      <c r="G33" s="3" t="n"/>
    </row>
    <row r="34">
      <c r="A34" t="inlineStr">
        <is>
          <t>Change In Receivables</t>
        </is>
      </c>
      <c r="B34" s="3" t="n">
        <v>-1817598</v>
      </c>
      <c r="C34" s="3" t="n">
        <v>-1475855</v>
      </c>
      <c r="D34" s="3" t="n">
        <v>-3737</v>
      </c>
      <c r="E34" s="3" t="n">
        <v>-134584</v>
      </c>
      <c r="F34" s="3" t="n">
        <v>15625</v>
      </c>
      <c r="G34" s="3" t="n"/>
    </row>
    <row r="35">
      <c r="A35" t="inlineStr">
        <is>
          <t>Changes In Account Receivables</t>
        </is>
      </c>
      <c r="B35" s="3" t="n">
        <v>-1817598</v>
      </c>
      <c r="C35" s="3" t="n">
        <v>-1475855</v>
      </c>
      <c r="D35" s="3" t="n">
        <v>-3737</v>
      </c>
      <c r="E35" s="3" t="n">
        <v>-134584</v>
      </c>
      <c r="F35" s="3" t="n">
        <v>15625</v>
      </c>
      <c r="G35" s="3" t="n"/>
    </row>
    <row r="36">
      <c r="A36" t="inlineStr">
        <is>
          <t>Other Non Cash Items</t>
        </is>
      </c>
      <c r="B36" s="3" t="n">
        <v>1</v>
      </c>
      <c r="C36" s="3" t="n">
        <v>1</v>
      </c>
      <c r="D36" s="3" t="n"/>
      <c r="E36" s="3" t="n"/>
      <c r="F36" s="3" t="n"/>
      <c r="G36" s="3" t="n"/>
    </row>
    <row r="37">
      <c r="A37" t="inlineStr">
        <is>
          <t>Stock Based Compensation</t>
        </is>
      </c>
      <c r="B37" s="3" t="n">
        <v>3939979</v>
      </c>
      <c r="C37" s="3" t="n">
        <v>6097668</v>
      </c>
      <c r="D37" s="3" t="n">
        <v>2102560</v>
      </c>
      <c r="E37" s="3" t="n">
        <v>5513328</v>
      </c>
      <c r="F37" s="3" t="n">
        <v>1906373</v>
      </c>
      <c r="G37" s="3" t="n"/>
    </row>
    <row r="38">
      <c r="A38" t="inlineStr">
        <is>
          <t>Asset Impairment Charge</t>
        </is>
      </c>
      <c r="B38" s="3" t="n"/>
      <c r="C38" s="3" t="n">
        <v>-12146</v>
      </c>
      <c r="D38" s="3" t="n">
        <v>0</v>
      </c>
      <c r="E38" s="3" t="n"/>
      <c r="F38" s="3" t="n"/>
      <c r="G38" s="3" t="n"/>
    </row>
    <row r="39">
      <c r="A39" t="inlineStr">
        <is>
          <t>Depreciation Amortization Depletion</t>
        </is>
      </c>
      <c r="B39" s="3" t="n">
        <v>64813</v>
      </c>
      <c r="C39" s="3" t="n">
        <v>77632</v>
      </c>
      <c r="D39" s="3" t="n">
        <v>22449</v>
      </c>
      <c r="E39" s="3" t="n">
        <v>20593</v>
      </c>
      <c r="F39" s="3" t="n">
        <v>20593</v>
      </c>
      <c r="G39" s="3" t="n"/>
    </row>
    <row r="40">
      <c r="A40" t="inlineStr">
        <is>
          <t>Depreciation And Amortization</t>
        </is>
      </c>
      <c r="B40" s="3" t="n">
        <v>64813</v>
      </c>
      <c r="C40" s="3" t="n">
        <v>77632</v>
      </c>
      <c r="D40" s="3" t="n">
        <v>22449</v>
      </c>
      <c r="E40" s="3" t="n">
        <v>20593</v>
      </c>
      <c r="F40" s="3" t="n">
        <v>20593</v>
      </c>
      <c r="G40" s="3" t="n"/>
    </row>
    <row r="41">
      <c r="A41" t="inlineStr">
        <is>
          <t>Operating Gains Losses</t>
        </is>
      </c>
      <c r="B41" s="3" t="n">
        <v>-16756819</v>
      </c>
      <c r="C41" s="3" t="n">
        <v>1756488</v>
      </c>
      <c r="D41" s="3" t="n"/>
      <c r="E41" s="3" t="n"/>
      <c r="F41" s="3" t="n"/>
      <c r="G41" s="3" t="n">
        <v>14244314</v>
      </c>
    </row>
    <row r="42">
      <c r="A42" t="inlineStr">
        <is>
          <t>Gain Loss On Investment Securities</t>
        </is>
      </c>
      <c r="B42" s="3" t="n">
        <v>-16756819</v>
      </c>
      <c r="C42" s="3" t="n">
        <v>1756488</v>
      </c>
      <c r="D42" s="3" t="n"/>
      <c r="E42" s="3" t="n"/>
      <c r="F42" s="3" t="n"/>
      <c r="G42" s="3" t="n">
        <v>16189444</v>
      </c>
    </row>
    <row r="43">
      <c r="A43" t="inlineStr">
        <is>
          <t>Net Income From Continuing Operations</t>
        </is>
      </c>
      <c r="B43" s="3" t="n">
        <v>10282994</v>
      </c>
      <c r="C43" s="3" t="n">
        <v>-10566064</v>
      </c>
      <c r="D43" s="3" t="n">
        <v>1603465</v>
      </c>
      <c r="E43" s="3" t="n">
        <v>-6964739</v>
      </c>
      <c r="F43" s="3" t="n">
        <v>-3266279</v>
      </c>
      <c r="G4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2026-08-02T23:44:33Z</dcterms:created>
  <dcterms:modified xsi:type="dcterms:W3CDTF">2026-08-02T23:44:33Z</dcterms:modified>
</cp:coreProperties>
</file>