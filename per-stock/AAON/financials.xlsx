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Y Summary" sheetId="2" state="visible" r:id="rId2"/>
    <sheet name="Income stmt (annual)" sheetId="3" state="visible" r:id="rId3"/>
    <sheet name="Income stmt (quarterly)" sheetId="4" state="visible" r:id="rId4"/>
    <sheet name="Balance sheet (annual)" sheetId="5" state="visible" r:id="rId5"/>
    <sheet name="Balance sheet (quarterly)" sheetId="6" state="visible" r:id="rId6"/>
    <sheet name="Cash flow (annual)" sheetId="7" state="visible" r:id="rId7"/>
    <sheet name="Cash flow (quarterly)" sheetId="8" state="visible" r:id="rId8"/>
    <sheet name="Data flag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&quot;x&quot;"/>
    <numFmt numFmtId="166" formatCode="#,##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10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36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Source / formula</t>
        </is>
      </c>
    </row>
    <row r="2">
      <c r="A2" t="inlineStr">
        <is>
          <t>Ticker</t>
        </is>
      </c>
      <c r="B2" t="inlineStr">
        <is>
          <t>AAON</t>
        </is>
      </c>
      <c r="C2" t="inlineStr">
        <is>
          <t>input</t>
        </is>
      </c>
    </row>
    <row r="3">
      <c r="A3" t="inlineStr">
        <is>
          <t>Name</t>
        </is>
      </c>
      <c r="B3" t="inlineStr">
        <is>
          <t>AAON, Inc.</t>
        </is>
      </c>
      <c r="C3" t="inlineStr">
        <is>
          <t>yfinance info.longName</t>
        </is>
      </c>
    </row>
    <row r="4">
      <c r="A4" t="inlineStr">
        <is>
          <t>Sector</t>
        </is>
      </c>
      <c r="B4" t="inlineStr">
        <is>
          <t>Industrials</t>
        </is>
      </c>
      <c r="C4" t="inlineStr">
        <is>
          <t>yfinance info.sector</t>
        </is>
      </c>
    </row>
    <row r="5">
      <c r="A5" t="inlineStr">
        <is>
          <t>Industry</t>
        </is>
      </c>
      <c r="B5" t="inlineStr">
        <is>
          <t>Building Products &amp; Equipment</t>
        </is>
      </c>
      <c r="C5" t="inlineStr">
        <is>
          <t>yfinance info.industry</t>
        </is>
      </c>
    </row>
    <row r="6">
      <c r="A6" t="inlineStr">
        <is>
          <t>Market cap ($)</t>
        </is>
      </c>
      <c r="B6" t="n">
        <v>11198969856</v>
      </c>
      <c r="C6" t="inlineStr">
        <is>
          <t>yfinance info.marketCap</t>
        </is>
      </c>
    </row>
    <row r="7">
      <c r="A7" t="inlineStr">
        <is>
          <t>Enterprise value ($)</t>
        </is>
      </c>
      <c r="B7" t="n">
        <v>11642288128</v>
      </c>
      <c r="C7" t="inlineStr">
        <is>
          <t>yfinance info.enterpriseValue</t>
        </is>
      </c>
    </row>
    <row r="8">
      <c r="A8" t="inlineStr">
        <is>
          <t>Trailing P/E</t>
        </is>
      </c>
      <c r="B8" t="n">
        <v>96.28169</v>
      </c>
      <c r="C8" t="inlineStr">
        <is>
          <t>yfinance info.trailingPE</t>
        </is>
      </c>
    </row>
    <row r="9">
      <c r="A9" t="inlineStr">
        <is>
          <t>Forward P/E</t>
        </is>
      </c>
      <c r="B9" t="n">
        <v>41.530983</v>
      </c>
      <c r="C9" t="inlineStr">
        <is>
          <t>yfinance info.forwardPE</t>
        </is>
      </c>
    </row>
    <row r="10">
      <c r="A10" t="inlineStr">
        <is>
          <t>P/S (TTM)</t>
        </is>
      </c>
      <c r="B10" t="n">
        <v>6.92595</v>
      </c>
      <c r="C10" t="inlineStr">
        <is>
          <t>yfinance</t>
        </is>
      </c>
    </row>
    <row r="11">
      <c r="A11" t="inlineStr">
        <is>
          <t>Gross margin (TTM)</t>
        </is>
      </c>
      <c r="B11" t="n">
        <v>0.26242</v>
      </c>
      <c r="C11" t="inlineStr">
        <is>
          <t>yfinance info.grossMargins</t>
        </is>
      </c>
    </row>
    <row r="12">
      <c r="A12" t="inlineStr">
        <is>
          <t>Operating margin (TTM)</t>
        </is>
      </c>
      <c r="B12" t="n">
        <v>0.11552</v>
      </c>
      <c r="C12" t="inlineStr">
        <is>
          <t>yfinance info.operatingMargins</t>
        </is>
      </c>
    </row>
    <row r="13">
      <c r="A13" t="inlineStr">
        <is>
          <t>Net margin (TTM)</t>
        </is>
      </c>
      <c r="B13" t="n">
        <v>0.07305</v>
      </c>
      <c r="C13" t="inlineStr">
        <is>
          <t>yfinance info.profitMargins</t>
        </is>
      </c>
    </row>
    <row r="14">
      <c r="A14" t="inlineStr">
        <is>
          <t>ROE</t>
        </is>
      </c>
      <c r="B14" t="n">
        <v>0.13498999</v>
      </c>
      <c r="C14" t="inlineStr">
        <is>
          <t>yfinance info.returnOnEquity</t>
        </is>
      </c>
    </row>
    <row r="15">
      <c r="A15" t="inlineStr">
        <is>
          <t>Revenue growth (YoY)</t>
        </is>
      </c>
      <c r="B15" t="n">
        <v>0.543</v>
      </c>
      <c r="C15" t="inlineStr">
        <is>
          <t>yfinance info.revenueGrowth</t>
        </is>
      </c>
    </row>
    <row r="16">
      <c r="A16" t="inlineStr">
        <is>
          <t>Total cash ($)</t>
        </is>
      </c>
      <c r="B16" t="n">
        <v>13000</v>
      </c>
      <c r="C16" t="inlineStr">
        <is>
          <t>yfinance info.totalCash</t>
        </is>
      </c>
    </row>
    <row r="17">
      <c r="A17" t="inlineStr">
        <is>
          <t>Total debt ($)</t>
        </is>
      </c>
      <c r="B17" t="n">
        <v>443332000</v>
      </c>
      <c r="C17" t="inlineStr">
        <is>
          <t>yfinance info.totalDebt</t>
        </is>
      </c>
    </row>
    <row r="18">
      <c r="A18" t="inlineStr">
        <is>
          <t>FCF (TTM, $)</t>
        </is>
      </c>
      <c r="B18" t="n">
        <v>-183581000</v>
      </c>
      <c r="C18" t="inlineStr">
        <is>
          <t>statement: TTM OCF - |capex| (yfinance quarterly_cashflow)</t>
        </is>
      </c>
    </row>
    <row r="19">
      <c r="A19" t="inlineStr">
        <is>
          <t>Shares outstanding</t>
        </is>
      </c>
      <c r="B19" t="n">
        <v>81911710</v>
      </c>
      <c r="C19" t="inlineStr">
        <is>
          <t>yfinance info.sharesOutstanding</t>
        </is>
      </c>
    </row>
    <row r="20">
      <c r="A20" t="inlineStr">
        <is>
          <t>Current price ($)</t>
        </is>
      </c>
      <c r="B20" t="n">
        <v>136.72</v>
      </c>
      <c r="C20" t="inlineStr">
        <is>
          <t>yfinance info.currentPrice</t>
        </is>
      </c>
    </row>
    <row r="21">
      <c r="A21" t="inlineStr">
        <is>
          <t>FCF yield</t>
        </is>
      </c>
      <c r="B21" s="2">
        <f>IFERROR(B18/B6,"")</f>
        <v/>
      </c>
      <c r="C21">
        <f>B18/B6</f>
        <v/>
      </c>
    </row>
    <row r="22">
      <c r="A22" t="inlineStr">
        <is>
          <t>FCF / EV</t>
        </is>
      </c>
      <c r="B22" s="2">
        <f>IFERROR(B18/B7,"")</f>
        <v/>
      </c>
      <c r="C22">
        <f>B18/B7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  <col width="15" customWidth="1" min="4" max="4"/>
    <col width="15" customWidth="1" min="5" max="5"/>
    <col width="52" customWidth="1" min="6" max="6"/>
  </cols>
  <sheetData>
    <row r="1">
      <c r="A1" s="1" t="inlineStr">
        <is>
          <t>Fiscal-year summary (GAAP, $ except where noted)</t>
        </is>
      </c>
      <c r="B1" s="1" t="inlineStr">
        <is>
          <t>FY-3</t>
        </is>
      </c>
      <c r="C1" s="1" t="inlineStr">
        <is>
          <t>FY-2</t>
        </is>
      </c>
      <c r="D1" s="1" t="inlineStr">
        <is>
          <t>FY-1</t>
        </is>
      </c>
      <c r="E1" s="1" t="inlineStr">
        <is>
          <t>TTM</t>
        </is>
      </c>
      <c r="F1" s="1" t="inlineStr">
        <is>
          <t>Source / formula</t>
        </is>
      </c>
    </row>
    <row r="2">
      <c r="A2" t="inlineStr">
        <is>
          <t>Fiscal period end</t>
        </is>
      </c>
      <c r="B2" t="inlineStr">
        <is>
          <t>2023-12-31</t>
        </is>
      </c>
      <c r="C2" t="inlineStr">
        <is>
          <t>2024-12-31</t>
        </is>
      </c>
      <c r="D2" t="inlineStr">
        <is>
          <t>2025-12-31</t>
        </is>
      </c>
      <c r="E2" t="inlineStr">
        <is>
          <t>TTM → 2026-03-31</t>
        </is>
      </c>
      <c r="F2" t="inlineStr">
        <is>
          <t>annual statement headers; TTM = Σ last 4 quarters</t>
        </is>
      </c>
    </row>
    <row r="3">
      <c r="A3" t="inlineStr">
        <is>
          <t>Revenue</t>
        </is>
      </c>
      <c r="B3" s="3">
        <f>'Income stmt (annual)'!D51</f>
        <v/>
      </c>
      <c r="C3" s="3">
        <f>'Income stmt (annual)'!C51</f>
        <v/>
      </c>
      <c r="D3" s="3">
        <f>'Income stmt (annual)'!B51</f>
        <v/>
      </c>
      <c r="E3" s="3">
        <f>SUM('Income stmt (quarterly)'!B48:E48)</f>
        <v/>
      </c>
      <c r="F3" t="inlineStr">
        <is>
          <t>Total Revenue</t>
        </is>
      </c>
    </row>
    <row r="4">
      <c r="A4" t="inlineStr">
        <is>
          <t>Gross profit</t>
        </is>
      </c>
      <c r="B4" s="3">
        <f>'Income stmt (annual)'!D49</f>
        <v/>
      </c>
      <c r="C4" s="3">
        <f>'Income stmt (annual)'!C49</f>
        <v/>
      </c>
      <c r="D4" s="3">
        <f>'Income stmt (annual)'!B49</f>
        <v/>
      </c>
      <c r="E4" s="3">
        <f>SUM('Income stmt (quarterly)'!B46:E46)</f>
        <v/>
      </c>
      <c r="F4" t="inlineStr">
        <is>
          <t>Gross Profit (GAAP)</t>
        </is>
      </c>
    </row>
    <row r="5">
      <c r="A5" t="inlineStr">
        <is>
          <t>Gross margin %</t>
        </is>
      </c>
      <c r="B5" s="4">
        <f>IFERROR(B4/B3,"")</f>
        <v/>
      </c>
      <c r="C5" s="4">
        <f>IFERROR(C4/C3,"")</f>
        <v/>
      </c>
      <c r="D5" s="4">
        <f>IFERROR(D4/D3,"")</f>
        <v/>
      </c>
      <c r="E5" s="4">
        <f>IFERROR(E4/E3,"")</f>
        <v/>
      </c>
      <c r="F5" t="inlineStr">
        <is>
          <t>GAAP = gross profit / revenue</t>
        </is>
      </c>
    </row>
    <row r="6">
      <c r="A6" t="inlineStr">
        <is>
          <t>Operating income</t>
        </is>
      </c>
      <c r="B6" s="3">
        <f>'Income stmt (annual)'!D38</f>
        <v/>
      </c>
      <c r="C6" s="3">
        <f>'Income stmt (annual)'!C38</f>
        <v/>
      </c>
      <c r="D6" s="3">
        <f>'Income stmt (annual)'!B38</f>
        <v/>
      </c>
      <c r="E6" s="3">
        <f>SUM('Income stmt (quarterly)'!B36:E36)</f>
        <v/>
      </c>
      <c r="F6" t="inlineStr">
        <is>
          <t>Operating Income</t>
        </is>
      </c>
    </row>
    <row r="7">
      <c r="A7" t="inlineStr">
        <is>
          <t>Operating margin %</t>
        </is>
      </c>
      <c r="B7" s="4">
        <f>IFERROR(B6/B3,"")</f>
        <v/>
      </c>
      <c r="C7" s="4">
        <f>IFERROR(C6/C3,"")</f>
        <v/>
      </c>
      <c r="D7" s="4">
        <f>IFERROR(D6/D3,"")</f>
        <v/>
      </c>
      <c r="E7" s="4">
        <f>IFERROR(E6/E3,"")</f>
        <v/>
      </c>
      <c r="F7">
        <f> operating income / revenue</f>
        <v/>
      </c>
    </row>
    <row r="8">
      <c r="A8" t="inlineStr">
        <is>
          <t>EBITDA</t>
        </is>
      </c>
      <c r="B8" s="3">
        <f>'Income stmt (annual)'!D10</f>
        <v/>
      </c>
      <c r="C8" s="3">
        <f>'Income stmt (annual)'!C10</f>
        <v/>
      </c>
      <c r="D8" s="3">
        <f>'Income stmt (annual)'!B10</f>
        <v/>
      </c>
      <c r="E8" s="3">
        <f>SUM('Income stmt (quarterly)'!B10:E10)</f>
        <v/>
      </c>
      <c r="F8" t="inlineStr">
        <is>
          <t>EBITDA</t>
        </is>
      </c>
    </row>
    <row r="9">
      <c r="A9" t="inlineStr">
        <is>
          <t>Free cash flow</t>
        </is>
      </c>
      <c r="B9" s="3">
        <f>'Cash flow (annual)'!D2</f>
        <v/>
      </c>
      <c r="C9" s="3">
        <f>'Cash flow (annual)'!C2</f>
        <v/>
      </c>
      <c r="D9" s="3">
        <f>'Cash flow (annual)'!B2</f>
        <v/>
      </c>
      <c r="E9" s="3">
        <f>SUM('Cash flow (quarterly)'!B2:E2)</f>
        <v/>
      </c>
      <c r="F9" t="inlineStr">
        <is>
          <t>FCF = OCF − capex</t>
        </is>
      </c>
    </row>
    <row r="10">
      <c r="A10" t="inlineStr">
        <is>
          <t>FCF margin %</t>
        </is>
      </c>
      <c r="B10" s="4">
        <f>IFERROR(B9/B3,"")</f>
        <v/>
      </c>
      <c r="C10" s="4">
        <f>IFERROR(C9/C3,"")</f>
        <v/>
      </c>
      <c r="D10" s="4">
        <f>IFERROR(D9/D3,"")</f>
        <v/>
      </c>
      <c r="E10" s="4">
        <f>IFERROR(E9/E3,"")</f>
        <v/>
      </c>
      <c r="F10">
        <f> FCF / revenue</f>
        <v/>
      </c>
    </row>
    <row r="11">
      <c r="A11" t="inlineStr">
        <is>
          <t>Capex</t>
        </is>
      </c>
      <c r="B11" s="3">
        <f>-'Cash flow (annual)'!D6</f>
        <v/>
      </c>
      <c r="C11" s="3">
        <f>-'Cash flow (annual)'!C6</f>
        <v/>
      </c>
      <c r="D11" s="3">
        <f>-'Cash flow (annual)'!B6</f>
        <v/>
      </c>
      <c r="E11" s="3">
        <f>-SUM('Cash flow (quarterly)'!B6:E6)</f>
        <v/>
      </c>
      <c r="F11" t="inlineStr">
        <is>
          <t>Capex (shown positive)</t>
        </is>
      </c>
    </row>
    <row r="12">
      <c r="A12" t="inlineStr">
        <is>
          <t>Capex / revenue %</t>
        </is>
      </c>
      <c r="B12" s="4">
        <f>IFERROR(B11/B3,"")</f>
        <v/>
      </c>
      <c r="C12" s="4">
        <f>IFERROR(C11/C3,"")</f>
        <v/>
      </c>
      <c r="D12" s="4">
        <f>IFERROR(D11/D3,"")</f>
        <v/>
      </c>
      <c r="E12" s="4">
        <f>IFERROR(E11/E3,"")</f>
        <v/>
      </c>
      <c r="F12">
        <f> capex / revenue</f>
        <v/>
      </c>
    </row>
    <row r="13">
      <c r="A13" t="inlineStr">
        <is>
          <t>Net debt</t>
        </is>
      </c>
      <c r="B13" s="3">
        <f>'Balance sheet (annual)'!D4</f>
        <v/>
      </c>
      <c r="C13" s="3">
        <f>'Balance sheet (annual)'!C4</f>
        <v/>
      </c>
      <c r="D13" s="3">
        <f>'Balance sheet (annual)'!B4</f>
        <v/>
      </c>
      <c r="E13" s="3">
        <f>'Balance sheet (quarterly)'!B4</f>
        <v/>
      </c>
      <c r="F13" t="inlineStr">
        <is>
          <t>Net debt; TTM = MRQ</t>
        </is>
      </c>
    </row>
    <row r="14">
      <c r="A14" t="inlineStr">
        <is>
          <t>Net debt / EBITDA</t>
        </is>
      </c>
      <c r="B14" s="5">
        <f>IFERROR(B13/B8,"")</f>
        <v/>
      </c>
      <c r="C14" s="5">
        <f>IFERROR(C13/C8,"")</f>
        <v/>
      </c>
      <c r="D14" s="5">
        <f>IFERROR(D13/D8,"")</f>
        <v/>
      </c>
      <c r="E14" s="5">
        <f>IFERROR(E13/E8,"")</f>
        <v/>
      </c>
      <c r="F14">
        <f> net debt / EBITDA</f>
        <v/>
      </c>
    </row>
    <row r="15">
      <c r="A15" t="inlineStr">
        <is>
          <t>Share count (period-end, M)</t>
        </is>
      </c>
      <c r="B15" s="6">
        <f>'Balance sheet (annual)'!D2/1e6</f>
        <v/>
      </c>
      <c r="C15" s="6">
        <f>'Balance sheet (annual)'!C2/1e6</f>
        <v/>
      </c>
      <c r="D15" s="6">
        <f>'Balance sheet (annual)'!B2/1e6</f>
        <v/>
      </c>
      <c r="E15" s="6">
        <f>'Balance sheet (quarterly)'!B2/1e6</f>
        <v/>
      </c>
      <c r="F15" t="inlineStr">
        <is>
          <t>shares ÷ 1e6; TTM = MRQ</t>
        </is>
      </c>
    </row>
    <row r="16">
      <c r="A16" t="inlineStr">
        <is>
          <t>Share count YoY %</t>
        </is>
      </c>
      <c r="B16" s="4" t="inlineStr"/>
      <c r="C16" s="4">
        <f>IFERROR(C15/B15-1,"")</f>
        <v/>
      </c>
      <c r="D16" s="4">
        <f>IFERROR(D15/C15-1,"")</f>
        <v/>
      </c>
      <c r="E16" s="4">
        <f>IFERROR(E15/D15-1,"")</f>
        <v/>
      </c>
      <c r="F16" t="inlineStr">
        <is>
          <t>vs prior 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Tax Effect Of Unusual Items</t>
        </is>
      </c>
      <c r="B2" s="3" t="n">
        <v>-1000564</v>
      </c>
      <c r="C2" s="3" t="n">
        <v>4232</v>
      </c>
      <c r="D2" s="3" t="n">
        <v>2652</v>
      </c>
      <c r="E2" s="3" t="n">
        <v>2328</v>
      </c>
      <c r="F2" s="3" t="n"/>
    </row>
    <row r="3">
      <c r="A3" t="inlineStr">
        <is>
          <t>Tax Rate For Calcs</t>
        </is>
      </c>
      <c r="B3" s="3" t="n">
        <v>0.164</v>
      </c>
      <c r="C3" s="3" t="n">
        <v>0.184</v>
      </c>
      <c r="D3" s="3" t="n">
        <v>0.204</v>
      </c>
      <c r="E3" s="3" t="n">
        <v>0.194</v>
      </c>
      <c r="F3" s="3" t="n"/>
    </row>
    <row r="4">
      <c r="A4" t="inlineStr">
        <is>
          <t>Normalized EBITDA</t>
        </is>
      </c>
      <c r="B4" s="3" t="n">
        <v>231936000</v>
      </c>
      <c r="C4" s="3" t="n">
        <v>230015000</v>
      </c>
      <c r="D4" s="3" t="n">
        <v>241745000</v>
      </c>
      <c r="E4" s="3" t="n">
        <v>162578000</v>
      </c>
      <c r="F4" s="3" t="n"/>
    </row>
    <row r="5">
      <c r="A5" t="inlineStr">
        <is>
          <t>Total Unusual Items</t>
        </is>
      </c>
      <c r="B5" s="3" t="n">
        <v>-6101000</v>
      </c>
      <c r="C5" s="3" t="n">
        <v>23000</v>
      </c>
      <c r="D5" s="3" t="n">
        <v>13000</v>
      </c>
      <c r="E5" s="3" t="n">
        <v>12000</v>
      </c>
      <c r="F5" s="3" t="n"/>
    </row>
    <row r="6">
      <c r="A6" t="inlineStr">
        <is>
          <t>Total Unusual Items Excluding Goodwill</t>
        </is>
      </c>
      <c r="B6" s="3" t="n">
        <v>-6101000</v>
      </c>
      <c r="C6" s="3" t="n">
        <v>23000</v>
      </c>
      <c r="D6" s="3" t="n">
        <v>13000</v>
      </c>
      <c r="E6" s="3" t="n">
        <v>12000</v>
      </c>
      <c r="F6" s="3" t="n"/>
    </row>
    <row r="7">
      <c r="A7" t="inlineStr">
        <is>
          <t>Net Income From Continuing Operation Net Minority Interest</t>
        </is>
      </c>
      <c r="B7" s="3" t="n">
        <v>107593000</v>
      </c>
      <c r="C7" s="3" t="n">
        <v>168559000</v>
      </c>
      <c r="D7" s="3" t="n">
        <v>177623000</v>
      </c>
      <c r="E7" s="3" t="n">
        <v>100376000</v>
      </c>
      <c r="F7" s="3" t="n"/>
    </row>
    <row r="8">
      <c r="A8" t="inlineStr">
        <is>
          <t>Reconciled Depreciation</t>
        </is>
      </c>
      <c r="B8" s="3" t="n">
        <v>79357000</v>
      </c>
      <c r="C8" s="3" t="n">
        <v>189000</v>
      </c>
      <c r="D8" s="3" t="n">
        <v>324000</v>
      </c>
      <c r="E8" s="3" t="n">
        <v>324000</v>
      </c>
      <c r="F8" s="3" t="n"/>
    </row>
    <row r="9">
      <c r="A9" t="inlineStr">
        <is>
          <t>Reconciled Cost Of Revenue</t>
        </is>
      </c>
      <c r="B9" s="3" t="n">
        <v>1004709000</v>
      </c>
      <c r="C9" s="3" t="n">
        <v>823879000</v>
      </c>
      <c r="D9" s="3" t="n">
        <v>769498000</v>
      </c>
      <c r="E9" s="3" t="n">
        <v>651216000</v>
      </c>
      <c r="F9" s="3" t="n"/>
    </row>
    <row r="10">
      <c r="A10" t="inlineStr">
        <is>
          <t>EBITDA</t>
        </is>
      </c>
      <c r="B10" s="3" t="n">
        <v>225835000</v>
      </c>
      <c r="C10" s="3" t="n">
        <v>230038000</v>
      </c>
      <c r="D10" s="3" t="n">
        <v>241758000</v>
      </c>
      <c r="E10" s="3" t="n">
        <v>162590000</v>
      </c>
      <c r="F10" s="3" t="n"/>
    </row>
    <row r="11">
      <c r="A11" t="inlineStr">
        <is>
          <t>EBIT</t>
        </is>
      </c>
      <c r="B11" s="3" t="n">
        <v>146478000</v>
      </c>
      <c r="C11" s="3" t="n">
        <v>209496000</v>
      </c>
      <c r="D11" s="3" t="n">
        <v>227997000</v>
      </c>
      <c r="E11" s="3" t="n">
        <v>127160000</v>
      </c>
      <c r="F11" s="3" t="n"/>
    </row>
    <row r="12">
      <c r="A12" t="inlineStr">
        <is>
          <t>Net Interest Income</t>
        </is>
      </c>
      <c r="B12" s="3" t="n">
        <v>-17726000</v>
      </c>
      <c r="C12" s="3" t="n">
        <v>-2905000</v>
      </c>
      <c r="D12" s="3" t="n">
        <v>-4843000</v>
      </c>
      <c r="E12" s="3" t="n">
        <v>-2627000</v>
      </c>
      <c r="F12" s="3" t="n"/>
    </row>
    <row r="13">
      <c r="A13" t="inlineStr">
        <is>
          <t>Interest Expense</t>
        </is>
      </c>
      <c r="B13" s="3" t="n">
        <v>17726000</v>
      </c>
      <c r="C13" s="3" t="n">
        <v>2905000</v>
      </c>
      <c r="D13" s="3" t="n">
        <v>4843000</v>
      </c>
      <c r="E13" s="3" t="n">
        <v>2627000</v>
      </c>
      <c r="F13" s="3" t="n"/>
    </row>
    <row r="14">
      <c r="A14" t="inlineStr">
        <is>
          <t>Normalized Income</t>
        </is>
      </c>
      <c r="B14" s="3" t="n">
        <v>112693436</v>
      </c>
      <c r="C14" s="3" t="n">
        <v>168540232</v>
      </c>
      <c r="D14" s="3" t="n">
        <v>177612652</v>
      </c>
      <c r="E14" s="3" t="n">
        <v>100366328</v>
      </c>
      <c r="F14" s="3" t="n"/>
    </row>
    <row r="15">
      <c r="A15" t="inlineStr">
        <is>
          <t>Net Income From Continuing And Discontinued Operation</t>
        </is>
      </c>
      <c r="B15" s="3" t="n">
        <v>107593000</v>
      </c>
      <c r="C15" s="3" t="n">
        <v>168559000</v>
      </c>
      <c r="D15" s="3" t="n">
        <v>177623000</v>
      </c>
      <c r="E15" s="3" t="n">
        <v>100376000</v>
      </c>
      <c r="F15" s="3" t="n"/>
    </row>
    <row r="16">
      <c r="A16" t="inlineStr">
        <is>
          <t>Total Expenses</t>
        </is>
      </c>
      <c r="B16" s="3" t="n">
        <v>1289727000</v>
      </c>
      <c r="C16" s="3" t="n">
        <v>991540000</v>
      </c>
      <c r="D16" s="3" t="n">
        <v>941037000</v>
      </c>
      <c r="E16" s="3" t="n">
        <v>762039000</v>
      </c>
      <c r="F16" s="3" t="n"/>
    </row>
    <row r="17">
      <c r="A17" t="inlineStr">
        <is>
          <t>Total Operating Income As Reported</t>
        </is>
      </c>
      <c r="B17" s="3" t="n">
        <v>146248000</v>
      </c>
      <c r="C17" s="3" t="n">
        <v>209118000</v>
      </c>
      <c r="D17" s="3" t="n">
        <v>227494000</v>
      </c>
      <c r="E17" s="3" t="n">
        <v>126761000</v>
      </c>
      <c r="F17" s="3" t="n"/>
    </row>
    <row r="18">
      <c r="A18" t="inlineStr">
        <is>
          <t>Diluted Average Shares</t>
        </is>
      </c>
      <c r="B18" s="3" t="n">
        <v>83105538</v>
      </c>
      <c r="C18" s="3" t="n">
        <v>83629502</v>
      </c>
      <c r="D18" s="3" t="n">
        <v>83295290</v>
      </c>
      <c r="E18" s="3" t="n">
        <v>81145608</v>
      </c>
      <c r="F18" s="3" t="n"/>
    </row>
    <row r="19">
      <c r="A19" t="inlineStr">
        <is>
          <t>Basic Average Shares</t>
        </is>
      </c>
      <c r="B19" s="3" t="n">
        <v>81529140</v>
      </c>
      <c r="C19" s="3" t="n">
        <v>81473131</v>
      </c>
      <c r="D19" s="3" t="n">
        <v>81156114</v>
      </c>
      <c r="E19" s="3" t="n">
        <v>79582479</v>
      </c>
      <c r="F19" s="3" t="n"/>
    </row>
    <row r="20">
      <c r="A20" t="inlineStr">
        <is>
          <t>Diluted EPS</t>
        </is>
      </c>
      <c r="B20" s="3" t="n">
        <v>1.29</v>
      </c>
      <c r="C20" s="3" t="n">
        <v>2.02</v>
      </c>
      <c r="D20" s="3" t="n">
        <v>2.13</v>
      </c>
      <c r="E20" s="3" t="n">
        <v>1.24</v>
      </c>
      <c r="F20" s="3" t="n"/>
    </row>
    <row r="21">
      <c r="A21" t="inlineStr">
        <is>
          <t>Basic EPS</t>
        </is>
      </c>
      <c r="B21" s="3" t="n">
        <v>1.32</v>
      </c>
      <c r="C21" s="3" t="n">
        <v>2.07</v>
      </c>
      <c r="D21" s="3" t="n">
        <v>2.19</v>
      </c>
      <c r="E21" s="3" t="n">
        <v>1.26</v>
      </c>
      <c r="F21" s="3" t="n"/>
    </row>
    <row r="22">
      <c r="A22" t="inlineStr">
        <is>
          <t>Diluted NI Availto Com Stockholders</t>
        </is>
      </c>
      <c r="B22" s="3" t="n">
        <v>107593000</v>
      </c>
      <c r="C22" s="3" t="n">
        <v>168559000</v>
      </c>
      <c r="D22" s="3" t="n">
        <v>177623000</v>
      </c>
      <c r="E22" s="3" t="n">
        <v>100376000</v>
      </c>
      <c r="F22" s="3" t="n"/>
    </row>
    <row r="23">
      <c r="A23" t="inlineStr">
        <is>
          <t>Net Income Common Stockholders</t>
        </is>
      </c>
      <c r="B23" s="3" t="n">
        <v>107593000</v>
      </c>
      <c r="C23" s="3" t="n">
        <v>168559000</v>
      </c>
      <c r="D23" s="3" t="n">
        <v>177623000</v>
      </c>
      <c r="E23" s="3" t="n">
        <v>100376000</v>
      </c>
      <c r="F23" s="3" t="n"/>
    </row>
    <row r="24">
      <c r="A24" t="inlineStr">
        <is>
          <t>Net Income</t>
        </is>
      </c>
      <c r="B24" s="3" t="n">
        <v>107593000</v>
      </c>
      <c r="C24" s="3" t="n">
        <v>168559000</v>
      </c>
      <c r="D24" s="3" t="n">
        <v>177623000</v>
      </c>
      <c r="E24" s="3" t="n">
        <v>100376000</v>
      </c>
      <c r="F24" s="3" t="n"/>
    </row>
    <row r="25">
      <c r="A25" t="inlineStr">
        <is>
          <t>Net Income Including Noncontrolling Interests</t>
        </is>
      </c>
      <c r="B25" s="3" t="n">
        <v>107593000</v>
      </c>
      <c r="C25" s="3" t="n">
        <v>168559000</v>
      </c>
      <c r="D25" s="3" t="n">
        <v>177623000</v>
      </c>
      <c r="E25" s="3" t="n">
        <v>100376000</v>
      </c>
      <c r="F25" s="3" t="n"/>
    </row>
    <row r="26">
      <c r="A26" t="inlineStr">
        <is>
          <t>Net Income Continuous Operations</t>
        </is>
      </c>
      <c r="B26" s="3" t="n">
        <v>107593000</v>
      </c>
      <c r="C26" s="3" t="n">
        <v>168559000</v>
      </c>
      <c r="D26" s="3" t="n">
        <v>177623000</v>
      </c>
      <c r="E26" s="3" t="n">
        <v>100376000</v>
      </c>
      <c r="F26" s="3" t="n"/>
    </row>
    <row r="27">
      <c r="A27" t="inlineStr">
        <is>
          <t>Tax Provision</t>
        </is>
      </c>
      <c r="B27" s="3" t="n">
        <v>21159000</v>
      </c>
      <c r="C27" s="3" t="n">
        <v>38032000</v>
      </c>
      <c r="D27" s="3" t="n">
        <v>45531000</v>
      </c>
      <c r="E27" s="3" t="n">
        <v>24157000</v>
      </c>
      <c r="F27" s="3" t="n"/>
    </row>
    <row r="28">
      <c r="A28" t="inlineStr">
        <is>
          <t>Pretax Income</t>
        </is>
      </c>
      <c r="B28" s="3" t="n">
        <v>128752000</v>
      </c>
      <c r="C28" s="3" t="n">
        <v>206591000</v>
      </c>
      <c r="D28" s="3" t="n">
        <v>223154000</v>
      </c>
      <c r="E28" s="3" t="n">
        <v>124533000</v>
      </c>
      <c r="F28" s="3" t="n"/>
    </row>
    <row r="29">
      <c r="A29" t="inlineStr">
        <is>
          <t>Other Income Expense</t>
        </is>
      </c>
      <c r="B29" s="3" t="n">
        <v>-5871000</v>
      </c>
      <c r="C29" s="3" t="n">
        <v>401000</v>
      </c>
      <c r="D29" s="3" t="n">
        <v>516000</v>
      </c>
      <c r="E29" s="3" t="n">
        <v>411000</v>
      </c>
      <c r="F29" s="3" t="n"/>
    </row>
    <row r="30">
      <c r="A30" t="inlineStr">
        <is>
          <t>Other Non Operating Income Expenses</t>
        </is>
      </c>
      <c r="B30" s="3" t="n">
        <v>230000</v>
      </c>
      <c r="C30" s="3" t="n">
        <v>378000</v>
      </c>
      <c r="D30" s="3" t="n">
        <v>503000</v>
      </c>
      <c r="E30" s="3" t="n">
        <v>399000</v>
      </c>
      <c r="F30" s="3" t="n"/>
    </row>
    <row r="31">
      <c r="A31" t="inlineStr">
        <is>
          <t>Special Income Charges</t>
        </is>
      </c>
      <c r="B31" s="3" t="n">
        <v>-6101000</v>
      </c>
      <c r="C31" s="3" t="n">
        <v>23000</v>
      </c>
      <c r="D31" s="3" t="n">
        <v>13000</v>
      </c>
      <c r="E31" s="3" t="n">
        <v>12000</v>
      </c>
      <c r="F31" s="3" t="n"/>
    </row>
    <row r="32">
      <c r="A32" t="inlineStr">
        <is>
          <t>Gain On Sale Of Ppe</t>
        </is>
      </c>
      <c r="B32" s="3" t="n">
        <v>4000</v>
      </c>
      <c r="C32" s="3" t="n">
        <v>23000</v>
      </c>
      <c r="D32" s="3" t="n">
        <v>13000</v>
      </c>
      <c r="E32" s="3" t="n">
        <v>12000</v>
      </c>
      <c r="F32" s="3" t="n"/>
    </row>
    <row r="33">
      <c r="A33" t="inlineStr">
        <is>
          <t>Other Special Charges</t>
        </is>
      </c>
      <c r="B33" s="3" t="n"/>
      <c r="C33" s="3" t="n"/>
      <c r="D33" s="3" t="n"/>
      <c r="E33" s="3" t="n">
        <v>1134000</v>
      </c>
      <c r="F33" s="3" t="n">
        <v>738000</v>
      </c>
    </row>
    <row r="34">
      <c r="A34" t="inlineStr">
        <is>
          <t>Restructuring And Mergern Acquisition</t>
        </is>
      </c>
      <c r="B34" s="3" t="n">
        <v>6105000</v>
      </c>
      <c r="C34" s="3" t="n">
        <v>0</v>
      </c>
      <c r="D34" s="3" t="n"/>
      <c r="E34" s="3" t="n"/>
      <c r="F34" s="3" t="n"/>
    </row>
    <row r="35">
      <c r="A35" t="inlineStr">
        <is>
          <t>Net Non Operating Interest Income Expense</t>
        </is>
      </c>
      <c r="B35" s="3" t="n">
        <v>-17726000</v>
      </c>
      <c r="C35" s="3" t="n">
        <v>-2905000</v>
      </c>
      <c r="D35" s="3" t="n">
        <v>-4843000</v>
      </c>
      <c r="E35" s="3" t="n">
        <v>-2627000</v>
      </c>
      <c r="F35" s="3" t="n"/>
    </row>
    <row r="36">
      <c r="A36" t="inlineStr">
        <is>
          <t>Total Other Finance Cost</t>
        </is>
      </c>
      <c r="B36" s="3" t="n"/>
      <c r="C36" s="3" t="n"/>
      <c r="D36" s="3" t="n"/>
      <c r="E36" s="3" t="n">
        <v>2627000</v>
      </c>
      <c r="F36" s="3" t="n">
        <v>132000</v>
      </c>
    </row>
    <row r="37">
      <c r="A37" t="inlineStr">
        <is>
          <t>Interest Expense Non Operating</t>
        </is>
      </c>
      <c r="B37" s="3" t="n">
        <v>17726000</v>
      </c>
      <c r="C37" s="3" t="n">
        <v>2905000</v>
      </c>
      <c r="D37" s="3" t="n">
        <v>4843000</v>
      </c>
      <c r="E37" s="3" t="n">
        <v>2627000</v>
      </c>
      <c r="F37" s="3" t="n"/>
    </row>
    <row r="38">
      <c r="A38" t="inlineStr">
        <is>
          <t>Operating Income</t>
        </is>
      </c>
      <c r="B38" s="3" t="n">
        <v>152349000</v>
      </c>
      <c r="C38" s="3" t="n">
        <v>209095000</v>
      </c>
      <c r="D38" s="3" t="n">
        <v>227481000</v>
      </c>
      <c r="E38" s="3" t="n">
        <v>126749000</v>
      </c>
      <c r="F38" s="3" t="n"/>
    </row>
    <row r="39">
      <c r="A39" t="inlineStr">
        <is>
          <t>Operating Expense</t>
        </is>
      </c>
      <c r="B39" s="3" t="n">
        <v>233375000</v>
      </c>
      <c r="C39" s="3" t="n">
        <v>188014000</v>
      </c>
      <c r="D39" s="3" t="n">
        <v>171539000</v>
      </c>
      <c r="E39" s="3" t="n">
        <v>110823000</v>
      </c>
      <c r="F39" s="3" t="n"/>
    </row>
    <row r="40">
      <c r="A40" t="inlineStr">
        <is>
          <t>Depreciation Amortization Depletion Income Statement</t>
        </is>
      </c>
      <c r="B40" s="3" t="n">
        <v>27714000</v>
      </c>
      <c r="C40" s="3" t="n">
        <v>20542000</v>
      </c>
      <c r="D40" s="3" t="n">
        <v>13761000</v>
      </c>
      <c r="E40" s="3" t="n">
        <v>8050000</v>
      </c>
      <c r="F40" s="3" t="n"/>
    </row>
    <row r="41">
      <c r="A41" t="inlineStr">
        <is>
          <t>Depreciation And Amortization In Income Statement</t>
        </is>
      </c>
      <c r="B41" s="3" t="n">
        <v>27714000</v>
      </c>
      <c r="C41" s="3" t="n">
        <v>20542000</v>
      </c>
      <c r="D41" s="3" t="n">
        <v>13761000</v>
      </c>
      <c r="E41" s="3" t="n">
        <v>8050000</v>
      </c>
      <c r="F41" s="3" t="n"/>
    </row>
    <row r="42">
      <c r="A42" t="inlineStr">
        <is>
          <t>Depreciation Income Statement</t>
        </is>
      </c>
      <c r="B42" s="3" t="n"/>
      <c r="C42" s="3" t="n"/>
      <c r="D42" s="3" t="n"/>
      <c r="E42" s="3" t="n"/>
      <c r="F42" s="3" t="n">
        <v>2924000</v>
      </c>
    </row>
    <row r="43">
      <c r="A43" t="inlineStr">
        <is>
          <t>Selling General And Administration</t>
        </is>
      </c>
      <c r="B43" s="3" t="n">
        <v>205661000</v>
      </c>
      <c r="C43" s="3" t="n">
        <v>167472000</v>
      </c>
      <c r="D43" s="3" t="n">
        <v>171539000</v>
      </c>
      <c r="E43" s="3" t="n">
        <v>110823000</v>
      </c>
      <c r="F43" s="3" t="n"/>
    </row>
    <row r="44">
      <c r="A44" t="inlineStr">
        <is>
          <t>Selling And Marketing Expense</t>
        </is>
      </c>
      <c r="B44" s="3" t="n">
        <v>3844000</v>
      </c>
      <c r="C44" s="3" t="n">
        <v>3281000</v>
      </c>
      <c r="D44" s="3" t="n">
        <v>2594000</v>
      </c>
      <c r="E44" s="3" t="n">
        <v>2353000</v>
      </c>
      <c r="F44" s="3" t="n"/>
    </row>
    <row r="45">
      <c r="A45" t="inlineStr">
        <is>
          <t>General And Administrative Expense</t>
        </is>
      </c>
      <c r="B45" s="3" t="n">
        <v>201817000</v>
      </c>
      <c r="C45" s="3" t="n">
        <v>164191000</v>
      </c>
      <c r="D45" s="3" t="n">
        <v>155184000</v>
      </c>
      <c r="E45" s="3" t="n">
        <v>100420000</v>
      </c>
      <c r="F45" s="3" t="n"/>
    </row>
    <row r="46">
      <c r="A46" t="inlineStr">
        <is>
          <t>Other Gand A</t>
        </is>
      </c>
      <c r="B46" s="3" t="n">
        <v>94448000</v>
      </c>
      <c r="C46" s="3" t="n">
        <v>67396000</v>
      </c>
      <c r="D46" s="3" t="n">
        <v>62641000</v>
      </c>
      <c r="E46" s="3" t="n">
        <v>34280000</v>
      </c>
      <c r="F46" s="3" t="n"/>
    </row>
    <row r="47">
      <c r="A47" t="inlineStr">
        <is>
          <t>Insurance And Claims</t>
        </is>
      </c>
      <c r="B47" s="3" t="n">
        <v>8533000</v>
      </c>
      <c r="C47" s="3" t="n">
        <v>8303000</v>
      </c>
      <c r="D47" s="3" t="n">
        <v>5354000</v>
      </c>
      <c r="E47" s="3" t="n">
        <v>3755000</v>
      </c>
      <c r="F47" s="3" t="n"/>
    </row>
    <row r="48">
      <c r="A48" t="inlineStr">
        <is>
          <t>Salaries And Wages</t>
        </is>
      </c>
      <c r="B48" s="3" t="n">
        <v>98836000</v>
      </c>
      <c r="C48" s="3" t="n">
        <v>88492000</v>
      </c>
      <c r="D48" s="3" t="n">
        <v>87189000</v>
      </c>
      <c r="E48" s="3" t="n">
        <v>62385000</v>
      </c>
      <c r="F48" s="3" t="n"/>
    </row>
    <row r="49">
      <c r="A49" t="inlineStr">
        <is>
          <t>Gross Profit</t>
        </is>
      </c>
      <c r="B49" s="3" t="n">
        <v>385724000</v>
      </c>
      <c r="C49" s="3" t="n">
        <v>397109000</v>
      </c>
      <c r="D49" s="3" t="n">
        <v>399020000</v>
      </c>
      <c r="E49" s="3" t="n">
        <v>237572000</v>
      </c>
      <c r="F49" s="3" t="n"/>
    </row>
    <row r="50">
      <c r="A50" t="inlineStr">
        <is>
          <t>Cost Of Revenue</t>
        </is>
      </c>
      <c r="B50" s="3" t="n">
        <v>1056352000</v>
      </c>
      <c r="C50" s="3" t="n">
        <v>803526000</v>
      </c>
      <c r="D50" s="3" t="n">
        <v>769498000</v>
      </c>
      <c r="E50" s="3" t="n">
        <v>651216000</v>
      </c>
      <c r="F50" s="3" t="n"/>
    </row>
    <row r="51">
      <c r="A51" t="inlineStr">
        <is>
          <t>Total Revenue</t>
        </is>
      </c>
      <c r="B51" s="3" t="n">
        <v>1442076000</v>
      </c>
      <c r="C51" s="3" t="n">
        <v>1200635000</v>
      </c>
      <c r="D51" s="3" t="n">
        <v>1168518000</v>
      </c>
      <c r="E51" s="3" t="n">
        <v>888788000</v>
      </c>
      <c r="F51" s="3" t="n"/>
    </row>
    <row r="52">
      <c r="A52" t="inlineStr">
        <is>
          <t>Operating Revenue</t>
        </is>
      </c>
      <c r="B52" s="3" t="n">
        <v>1442076000</v>
      </c>
      <c r="C52" s="3" t="n">
        <v>1200635000</v>
      </c>
      <c r="D52" s="3" t="n">
        <v>1168518000</v>
      </c>
      <c r="E52" s="3" t="n">
        <v>888788000</v>
      </c>
      <c r="F52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</row>
    <row r="2">
      <c r="A2" t="inlineStr">
        <is>
          <t>Tax Effect Of Unusual Items</t>
        </is>
      </c>
      <c r="B2" s="3" t="n">
        <v>0</v>
      </c>
      <c r="C2" s="3" t="n">
        <v>0</v>
      </c>
      <c r="D2" s="3" t="n">
        <v>-7164</v>
      </c>
      <c r="E2" s="3" t="n">
        <v>-701430</v>
      </c>
      <c r="F2" s="3" t="n">
        <v>-261307.760983</v>
      </c>
      <c r="G2" s="3" t="n"/>
    </row>
    <row r="3">
      <c r="A3" t="inlineStr">
        <is>
          <t>Tax Rate For Calcs</t>
        </is>
      </c>
      <c r="B3" s="3" t="n">
        <v>0.236</v>
      </c>
      <c r="C3" s="3" t="n">
        <v>0.164135</v>
      </c>
      <c r="D3" s="3" t="n">
        <v>0.199</v>
      </c>
      <c r="E3" s="3" t="n">
        <v>0.206</v>
      </c>
      <c r="F3" s="3" t="n">
        <v>0.098236</v>
      </c>
      <c r="G3" s="3" t="n"/>
    </row>
    <row r="4">
      <c r="A4" t="inlineStr">
        <is>
          <t>Normalized EBITDA</t>
        </is>
      </c>
      <c r="B4" s="3" t="n">
        <v>78079000</v>
      </c>
      <c r="C4" s="3" t="n">
        <v>64485000</v>
      </c>
      <c r="D4" s="3" t="n">
        <v>63639000</v>
      </c>
      <c r="E4" s="3" t="n">
        <v>34261000</v>
      </c>
      <c r="F4" s="3" t="n">
        <v>56913000</v>
      </c>
      <c r="G4" s="3" t="n"/>
    </row>
    <row r="5">
      <c r="A5" t="inlineStr">
        <is>
          <t>Total Unusual Items</t>
        </is>
      </c>
      <c r="B5" s="3" t="n">
        <v>0</v>
      </c>
      <c r="C5" s="3" t="n">
        <v>0</v>
      </c>
      <c r="D5" s="3" t="n">
        <v>-36000</v>
      </c>
      <c r="E5" s="3" t="n">
        <v>-3405000</v>
      </c>
      <c r="F5" s="3" t="n">
        <v>-2660000</v>
      </c>
      <c r="G5" s="3" t="n"/>
    </row>
    <row r="6">
      <c r="A6" t="inlineStr">
        <is>
          <t>Total Unusual Items Excluding Goodwill</t>
        </is>
      </c>
      <c r="B6" s="3" t="n">
        <v>0</v>
      </c>
      <c r="C6" s="3" t="n">
        <v>0</v>
      </c>
      <c r="D6" s="3" t="n">
        <v>-36000</v>
      </c>
      <c r="E6" s="3" t="n">
        <v>-3405000</v>
      </c>
      <c r="F6" s="3" t="n">
        <v>-2660000</v>
      </c>
      <c r="G6" s="3" t="n"/>
    </row>
    <row r="7">
      <c r="A7" t="inlineStr">
        <is>
          <t>Net Income From Continuing Operation Net Minority Interest</t>
        </is>
      </c>
      <c r="B7" s="3" t="n">
        <v>39815000</v>
      </c>
      <c r="C7" s="3" t="n">
        <v>32032000</v>
      </c>
      <c r="D7" s="3" t="n">
        <v>30782000</v>
      </c>
      <c r="E7" s="3" t="n">
        <v>15487000</v>
      </c>
      <c r="F7" s="3" t="n">
        <v>29292000</v>
      </c>
      <c r="G7" s="3" t="n"/>
    </row>
    <row r="8">
      <c r="A8" t="inlineStr">
        <is>
          <t>Reconciled Depreciation</t>
        </is>
      </c>
      <c r="B8" s="3" t="n">
        <v>20943000</v>
      </c>
      <c r="C8" s="3" t="n">
        <v>20401000</v>
      </c>
      <c r="D8" s="3" t="n">
        <v>20008000</v>
      </c>
      <c r="E8" s="3" t="n">
        <v>44000</v>
      </c>
      <c r="F8" s="3" t="n">
        <v>25000</v>
      </c>
      <c r="G8" s="3" t="n"/>
    </row>
    <row r="9">
      <c r="A9" t="inlineStr">
        <is>
          <t>Reconciled Cost Of Revenue</t>
        </is>
      </c>
      <c r="B9" s="3" t="n">
        <v>357734000</v>
      </c>
      <c r="C9" s="3" t="n">
        <v>300696000</v>
      </c>
      <c r="D9" s="3" t="n">
        <v>264205000</v>
      </c>
      <c r="E9" s="3" t="n">
        <v>236136000</v>
      </c>
      <c r="F9" s="3" t="n">
        <v>242551000</v>
      </c>
      <c r="G9" s="3" t="n"/>
    </row>
    <row r="10">
      <c r="A10" t="inlineStr">
        <is>
          <t>EBITDA</t>
        </is>
      </c>
      <c r="B10" s="3" t="n">
        <v>78079000</v>
      </c>
      <c r="C10" s="3" t="n">
        <v>64485000</v>
      </c>
      <c r="D10" s="3" t="n">
        <v>63603000</v>
      </c>
      <c r="E10" s="3" t="n">
        <v>30856000</v>
      </c>
      <c r="F10" s="3" t="n">
        <v>42171000</v>
      </c>
      <c r="G10" s="3" t="n"/>
    </row>
    <row r="11">
      <c r="A11" t="inlineStr">
        <is>
          <t>EBIT</t>
        </is>
      </c>
      <c r="B11" s="3" t="n">
        <v>57136000</v>
      </c>
      <c r="C11" s="3" t="n">
        <v>44084000</v>
      </c>
      <c r="D11" s="3" t="n">
        <v>43595000</v>
      </c>
      <c r="E11" s="3" t="n">
        <v>23514000</v>
      </c>
      <c r="F11" s="3" t="n">
        <v>35285000</v>
      </c>
      <c r="G11" s="3" t="n"/>
    </row>
    <row r="12">
      <c r="A12" t="inlineStr">
        <is>
          <t>Net Interest Income</t>
        </is>
      </c>
      <c r="B12" s="3" t="n">
        <v>-5055000</v>
      </c>
      <c r="C12" s="3" t="n">
        <v>-5762000</v>
      </c>
      <c r="D12" s="3" t="n">
        <v>-5153000</v>
      </c>
      <c r="E12" s="3" t="n">
        <v>-4009000</v>
      </c>
      <c r="F12" s="3" t="n">
        <v>-2802000</v>
      </c>
      <c r="G12" s="3" t="n"/>
    </row>
    <row r="13">
      <c r="A13" t="inlineStr">
        <is>
          <t>Interest Expense</t>
        </is>
      </c>
      <c r="B13" s="3" t="n">
        <v>5055000</v>
      </c>
      <c r="C13" s="3" t="n">
        <v>5762000</v>
      </c>
      <c r="D13" s="3" t="n">
        <v>5153000</v>
      </c>
      <c r="E13" s="3" t="n">
        <v>4009000</v>
      </c>
      <c r="F13" s="3" t="n">
        <v>2802000</v>
      </c>
      <c r="G13" s="3" t="n"/>
    </row>
    <row r="14">
      <c r="A14" t="inlineStr">
        <is>
          <t>Normalized Income</t>
        </is>
      </c>
      <c r="B14" s="3" t="n">
        <v>39815000</v>
      </c>
      <c r="C14" s="3" t="n">
        <v>32032000</v>
      </c>
      <c r="D14" s="3" t="n">
        <v>30810836</v>
      </c>
      <c r="E14" s="3" t="n">
        <v>18190570</v>
      </c>
      <c r="F14" s="3" t="n">
        <v>31690692.239017</v>
      </c>
      <c r="G14" s="3" t="n"/>
    </row>
    <row r="15">
      <c r="A15" t="inlineStr">
        <is>
          <t>Net Income From Continuing And Discontinued Operation</t>
        </is>
      </c>
      <c r="B15" s="3" t="n">
        <v>39815000</v>
      </c>
      <c r="C15" s="3" t="n">
        <v>32032000</v>
      </c>
      <c r="D15" s="3" t="n">
        <v>30782000</v>
      </c>
      <c r="E15" s="3" t="n">
        <v>15487000</v>
      </c>
      <c r="F15" s="3" t="n">
        <v>29292000</v>
      </c>
      <c r="G15" s="3" t="n"/>
    </row>
    <row r="16">
      <c r="A16" t="inlineStr">
        <is>
          <t>Total Expenses</t>
        </is>
      </c>
      <c r="B16" s="3" t="n">
        <v>439877000</v>
      </c>
      <c r="C16" s="3" t="n">
        <v>380257000</v>
      </c>
      <c r="D16" s="3" t="n">
        <v>340607000</v>
      </c>
      <c r="E16" s="3" t="n">
        <v>284580000</v>
      </c>
      <c r="F16" s="3" t="n">
        <v>284283000</v>
      </c>
      <c r="G16" s="3" t="n"/>
    </row>
    <row r="17">
      <c r="A17" t="inlineStr">
        <is>
          <t>Total Operating Income As Reported</t>
        </is>
      </c>
      <c r="B17" s="3" t="n">
        <v>57059000</v>
      </c>
      <c r="C17" s="3" t="n">
        <v>43960000</v>
      </c>
      <c r="D17" s="3" t="n">
        <v>43595000</v>
      </c>
      <c r="E17" s="3" t="n">
        <v>23582000</v>
      </c>
      <c r="F17" s="3" t="n">
        <v>35111000</v>
      </c>
      <c r="G17" s="3" t="n"/>
    </row>
    <row r="18">
      <c r="A18" t="inlineStr">
        <is>
          <t>Diluted Average Shares</t>
        </is>
      </c>
      <c r="B18" s="3" t="n">
        <v>83179954</v>
      </c>
      <c r="C18" s="3" t="n">
        <v>83160224</v>
      </c>
      <c r="D18" s="3" t="n">
        <v>82952049</v>
      </c>
      <c r="E18" s="3" t="n">
        <v>82956213</v>
      </c>
      <c r="F18" s="3" t="n">
        <v>83351536</v>
      </c>
      <c r="G18" s="3" t="n"/>
    </row>
    <row r="19">
      <c r="A19" t="inlineStr">
        <is>
          <t>Basic Average Shares</t>
        </is>
      </c>
      <c r="B19" s="3" t="n">
        <v>81756604</v>
      </c>
      <c r="C19" s="3" t="n">
        <v>81657463</v>
      </c>
      <c r="D19" s="3" t="n">
        <v>81543105</v>
      </c>
      <c r="E19" s="3" t="n">
        <v>81441511</v>
      </c>
      <c r="F19" s="3" t="n">
        <v>81472351</v>
      </c>
      <c r="G19" s="3" t="n"/>
    </row>
    <row r="20">
      <c r="A20" t="inlineStr">
        <is>
          <t>Diluted EPS</t>
        </is>
      </c>
      <c r="B20" s="3" t="n">
        <v>0.48</v>
      </c>
      <c r="C20" s="3" t="n">
        <v>0.39</v>
      </c>
      <c r="D20" s="3" t="n">
        <v>0.37</v>
      </c>
      <c r="E20" s="3" t="n">
        <v>0.19</v>
      </c>
      <c r="F20" s="3" t="n">
        <v>0.35</v>
      </c>
      <c r="G20" s="3" t="n"/>
    </row>
    <row r="21">
      <c r="A21" t="inlineStr">
        <is>
          <t>Basic EPS</t>
        </is>
      </c>
      <c r="B21" s="3" t="n">
        <v>0.49</v>
      </c>
      <c r="C21" s="3" t="n">
        <v>0.39</v>
      </c>
      <c r="D21" s="3" t="n">
        <v>0.38</v>
      </c>
      <c r="E21" s="3" t="n">
        <v>0.19</v>
      </c>
      <c r="F21" s="3" t="n">
        <v>0.36</v>
      </c>
      <c r="G21" s="3" t="n"/>
    </row>
    <row r="22">
      <c r="A22" t="inlineStr">
        <is>
          <t>Diluted NI Availto Com Stockholders</t>
        </is>
      </c>
      <c r="B22" s="3" t="n">
        <v>39815000</v>
      </c>
      <c r="C22" s="3" t="n">
        <v>32032000</v>
      </c>
      <c r="D22" s="3" t="n">
        <v>30782000</v>
      </c>
      <c r="E22" s="3" t="n">
        <v>15487000</v>
      </c>
      <c r="F22" s="3" t="n">
        <v>29292000</v>
      </c>
      <c r="G22" s="3" t="n"/>
    </row>
    <row r="23">
      <c r="A23" t="inlineStr">
        <is>
          <t>Net Income Common Stockholders</t>
        </is>
      </c>
      <c r="B23" s="3" t="n">
        <v>39815000</v>
      </c>
      <c r="C23" s="3" t="n">
        <v>32032000</v>
      </c>
      <c r="D23" s="3" t="n">
        <v>30782000</v>
      </c>
      <c r="E23" s="3" t="n">
        <v>15487000</v>
      </c>
      <c r="F23" s="3" t="n">
        <v>29292000</v>
      </c>
      <c r="G23" s="3" t="n"/>
    </row>
    <row r="24">
      <c r="A24" t="inlineStr">
        <is>
          <t>Net Income</t>
        </is>
      </c>
      <c r="B24" s="3" t="n">
        <v>39815000</v>
      </c>
      <c r="C24" s="3" t="n">
        <v>32032000</v>
      </c>
      <c r="D24" s="3" t="n">
        <v>30782000</v>
      </c>
      <c r="E24" s="3" t="n">
        <v>15487000</v>
      </c>
      <c r="F24" s="3" t="n">
        <v>29292000</v>
      </c>
      <c r="G24" s="3" t="n"/>
    </row>
    <row r="25">
      <c r="A25" t="inlineStr">
        <is>
          <t>Net Income Including Noncontrolling Interests</t>
        </is>
      </c>
      <c r="B25" s="3" t="n">
        <v>39815000</v>
      </c>
      <c r="C25" s="3" t="n">
        <v>32032000</v>
      </c>
      <c r="D25" s="3" t="n">
        <v>30782000</v>
      </c>
      <c r="E25" s="3" t="n">
        <v>15487000</v>
      </c>
      <c r="F25" s="3" t="n">
        <v>29292000</v>
      </c>
      <c r="G25" s="3" t="n"/>
    </row>
    <row r="26">
      <c r="A26" t="inlineStr">
        <is>
          <t>Net Income Continuous Operations</t>
        </is>
      </c>
      <c r="B26" s="3" t="n">
        <v>39815000</v>
      </c>
      <c r="C26" s="3" t="n">
        <v>32032000</v>
      </c>
      <c r="D26" s="3" t="n">
        <v>30782000</v>
      </c>
      <c r="E26" s="3" t="n">
        <v>15487000</v>
      </c>
      <c r="F26" s="3" t="n">
        <v>29292000</v>
      </c>
      <c r="G26" s="3" t="n"/>
    </row>
    <row r="27">
      <c r="A27" t="inlineStr">
        <is>
          <t>Tax Provision</t>
        </is>
      </c>
      <c r="B27" s="3" t="n">
        <v>12266000</v>
      </c>
      <c r="C27" s="3" t="n">
        <v>6290000</v>
      </c>
      <c r="D27" s="3" t="n">
        <v>7660000</v>
      </c>
      <c r="E27" s="3" t="n">
        <v>4018000</v>
      </c>
      <c r="F27" s="3" t="n">
        <v>3191000</v>
      </c>
      <c r="G27" s="3" t="n"/>
    </row>
    <row r="28">
      <c r="A28" t="inlineStr">
        <is>
          <t>Pretax Income</t>
        </is>
      </c>
      <c r="B28" s="3" t="n">
        <v>52081000</v>
      </c>
      <c r="C28" s="3" t="n">
        <v>38322000</v>
      </c>
      <c r="D28" s="3" t="n">
        <v>38442000</v>
      </c>
      <c r="E28" s="3" t="n">
        <v>19505000</v>
      </c>
      <c r="F28" s="3" t="n">
        <v>32483000</v>
      </c>
      <c r="G28" s="3" t="n"/>
    </row>
    <row r="29">
      <c r="A29" t="inlineStr">
        <is>
          <t>Other Income Expense</t>
        </is>
      </c>
      <c r="B29" s="3" t="n">
        <v>77000</v>
      </c>
      <c r="C29" s="3" t="n">
        <v>124000</v>
      </c>
      <c r="D29" s="3" t="n">
        <v>-36000</v>
      </c>
      <c r="E29" s="3" t="n">
        <v>-3473000</v>
      </c>
      <c r="F29" s="3" t="n">
        <v>-2486000</v>
      </c>
      <c r="G29" s="3" t="n"/>
    </row>
    <row r="30">
      <c r="A30" t="inlineStr">
        <is>
          <t>Other Non Operating Income Expenses</t>
        </is>
      </c>
      <c r="B30" s="3" t="n">
        <v>77000</v>
      </c>
      <c r="C30" s="3" t="n">
        <v>124000</v>
      </c>
      <c r="D30" s="3" t="n"/>
      <c r="E30" s="3" t="n">
        <v>-68000</v>
      </c>
      <c r="F30" s="3" t="n">
        <v>174000</v>
      </c>
      <c r="G30" s="3" t="n">
        <v>45000</v>
      </c>
    </row>
    <row r="31">
      <c r="A31" t="inlineStr">
        <is>
          <t>Special Income Charges</t>
        </is>
      </c>
      <c r="B31" s="3" t="n">
        <v>0</v>
      </c>
      <c r="C31" s="3" t="n">
        <v>0</v>
      </c>
      <c r="D31" s="3" t="n">
        <v>-36000</v>
      </c>
      <c r="E31" s="3" t="n">
        <v>-3405000</v>
      </c>
      <c r="F31" s="3" t="n">
        <v>-2660000</v>
      </c>
      <c r="G31" s="3" t="n"/>
    </row>
    <row r="32">
      <c r="A32" t="inlineStr">
        <is>
          <t>Gain On Sale Of Ppe</t>
        </is>
      </c>
      <c r="B32" s="3" t="n">
        <v>0</v>
      </c>
      <c r="C32" s="3" t="n">
        <v>0</v>
      </c>
      <c r="D32" s="3" t="n">
        <v>-36000</v>
      </c>
      <c r="E32" s="3" t="n">
        <v>0</v>
      </c>
      <c r="F32" s="3" t="n">
        <v>40000</v>
      </c>
      <c r="G32" s="3" t="n"/>
    </row>
    <row r="33">
      <c r="A33" t="inlineStr">
        <is>
          <t>Restructuring And Mergern Acquisition</t>
        </is>
      </c>
      <c r="B33" s="3" t="n">
        <v>0</v>
      </c>
      <c r="C33" s="3" t="n">
        <v>0</v>
      </c>
      <c r="D33" s="3" t="n">
        <v>0</v>
      </c>
      <c r="E33" s="3" t="n">
        <v>3405000</v>
      </c>
      <c r="F33" s="3" t="n">
        <v>2700000</v>
      </c>
      <c r="G33" s="3" t="n"/>
    </row>
    <row r="34">
      <c r="A34" t="inlineStr">
        <is>
          <t>Net Non Operating Interest Income Expense</t>
        </is>
      </c>
      <c r="B34" s="3" t="n">
        <v>-5055000</v>
      </c>
      <c r="C34" s="3" t="n">
        <v>-5762000</v>
      </c>
      <c r="D34" s="3" t="n">
        <v>-5153000</v>
      </c>
      <c r="E34" s="3" t="n">
        <v>-4009000</v>
      </c>
      <c r="F34" s="3" t="n">
        <v>-2802000</v>
      </c>
      <c r="G34" s="3" t="n"/>
    </row>
    <row r="35">
      <c r="A35" t="inlineStr">
        <is>
          <t>Interest Expense Non Operating</t>
        </is>
      </c>
      <c r="B35" s="3" t="n">
        <v>5055000</v>
      </c>
      <c r="C35" s="3" t="n">
        <v>5762000</v>
      </c>
      <c r="D35" s="3" t="n">
        <v>5153000</v>
      </c>
      <c r="E35" s="3" t="n">
        <v>4009000</v>
      </c>
      <c r="F35" s="3" t="n">
        <v>2802000</v>
      </c>
      <c r="G35" s="3" t="n"/>
    </row>
    <row r="36">
      <c r="A36" t="inlineStr">
        <is>
          <t>Operating Income</t>
        </is>
      </c>
      <c r="B36" s="3" t="n">
        <v>57059000</v>
      </c>
      <c r="C36" s="3" t="n">
        <v>43960000</v>
      </c>
      <c r="D36" s="3" t="n">
        <v>43631000</v>
      </c>
      <c r="E36" s="3" t="n">
        <v>26987000</v>
      </c>
      <c r="F36" s="3" t="n">
        <v>37771000</v>
      </c>
      <c r="G36" s="3" t="n"/>
    </row>
    <row r="37">
      <c r="A37" t="inlineStr">
        <is>
          <t>Operating Expense</t>
        </is>
      </c>
      <c r="B37" s="3" t="n">
        <v>67906000</v>
      </c>
      <c r="C37" s="3" t="n">
        <v>65810000</v>
      </c>
      <c r="D37" s="3" t="n">
        <v>63230000</v>
      </c>
      <c r="E37" s="3" t="n">
        <v>55742000</v>
      </c>
      <c r="F37" s="3" t="n">
        <v>48593000</v>
      </c>
      <c r="G37" s="3" t="n"/>
    </row>
    <row r="38">
      <c r="A38" t="inlineStr">
        <is>
          <t>Depreciation Amortization Depletion Income Statement</t>
        </is>
      </c>
      <c r="B38" s="3" t="n">
        <v>6706000</v>
      </c>
      <c r="C38" s="3" t="n">
        <v>6650000</v>
      </c>
      <c r="D38" s="3" t="n">
        <v>6836000</v>
      </c>
      <c r="E38" s="3" t="n">
        <v>7342000</v>
      </c>
      <c r="F38" s="3" t="n">
        <v>6886000</v>
      </c>
      <c r="G38" s="3" t="n"/>
    </row>
    <row r="39">
      <c r="A39" t="inlineStr">
        <is>
          <t>Depreciation And Amortization In Income Statement</t>
        </is>
      </c>
      <c r="B39" s="3" t="n">
        <v>6706000</v>
      </c>
      <c r="C39" s="3" t="n">
        <v>6650000</v>
      </c>
      <c r="D39" s="3" t="n">
        <v>6836000</v>
      </c>
      <c r="E39" s="3" t="n">
        <v>7342000</v>
      </c>
      <c r="F39" s="3" t="n">
        <v>6886000</v>
      </c>
      <c r="G39" s="3" t="n"/>
    </row>
    <row r="40">
      <c r="A40" t="inlineStr">
        <is>
          <t>Selling General And Administration</t>
        </is>
      </c>
      <c r="B40" s="3" t="n">
        <v>61200000</v>
      </c>
      <c r="C40" s="3" t="n">
        <v>59160000</v>
      </c>
      <c r="D40" s="3" t="n">
        <v>56394000</v>
      </c>
      <c r="E40" s="3" t="n">
        <v>48400000</v>
      </c>
      <c r="F40" s="3" t="n">
        <v>41707000</v>
      </c>
      <c r="G40" s="3" t="n"/>
    </row>
    <row r="41">
      <c r="A41" t="inlineStr">
        <is>
          <t>Selling And Marketing Expense</t>
        </is>
      </c>
      <c r="B41" s="3" t="n">
        <v>727000</v>
      </c>
      <c r="C41" s="3" t="n">
        <v>487000</v>
      </c>
      <c r="D41" s="3" t="n">
        <v>686000</v>
      </c>
      <c r="E41" s="3" t="n">
        <v>2120000</v>
      </c>
      <c r="F41" s="3" t="n">
        <v>551000</v>
      </c>
      <c r="G41" s="3" t="n"/>
    </row>
    <row r="42">
      <c r="A42" t="inlineStr">
        <is>
          <t>General And Administrative Expense</t>
        </is>
      </c>
      <c r="B42" s="3" t="n">
        <v>60473000</v>
      </c>
      <c r="C42" s="3" t="n">
        <v>58673000</v>
      </c>
      <c r="D42" s="3" t="n">
        <v>55708000</v>
      </c>
      <c r="E42" s="3" t="n">
        <v>46280000</v>
      </c>
      <c r="F42" s="3" t="n">
        <v>41156000</v>
      </c>
      <c r="G42" s="3" t="n"/>
    </row>
    <row r="43">
      <c r="A43" t="inlineStr">
        <is>
          <t>Other Gand A</t>
        </is>
      </c>
      <c r="B43" s="3" t="n">
        <v>25526000</v>
      </c>
      <c r="C43" s="3" t="n">
        <v>29007000</v>
      </c>
      <c r="D43" s="3" t="n">
        <v>26808000</v>
      </c>
      <c r="E43" s="3" t="n">
        <v>21873000</v>
      </c>
      <c r="F43" s="3" t="n">
        <v>16760000</v>
      </c>
      <c r="G43" s="3" t="n"/>
    </row>
    <row r="44">
      <c r="A44" t="inlineStr">
        <is>
          <t>Insurance And Claims</t>
        </is>
      </c>
      <c r="B44" s="3" t="n">
        <v>2695000</v>
      </c>
      <c r="C44" s="3" t="n">
        <v>2269000</v>
      </c>
      <c r="D44" s="3" t="n">
        <v>2097000</v>
      </c>
      <c r="E44" s="3" t="n">
        <v>2111000</v>
      </c>
      <c r="F44" s="3" t="n">
        <v>2056000</v>
      </c>
      <c r="G44" s="3" t="n"/>
    </row>
    <row r="45">
      <c r="A45" t="inlineStr">
        <is>
          <t>Salaries And Wages</t>
        </is>
      </c>
      <c r="B45" s="3" t="n">
        <v>32252000</v>
      </c>
      <c r="C45" s="3" t="n">
        <v>27397000</v>
      </c>
      <c r="D45" s="3" t="n">
        <v>26803000</v>
      </c>
      <c r="E45" s="3" t="n">
        <v>22296000</v>
      </c>
      <c r="F45" s="3" t="n">
        <v>22340000</v>
      </c>
      <c r="G45" s="3" t="n"/>
    </row>
    <row r="46">
      <c r="A46" t="inlineStr">
        <is>
          <t>Gross Profit</t>
        </is>
      </c>
      <c r="B46" s="3" t="n">
        <v>124965000</v>
      </c>
      <c r="C46" s="3" t="n">
        <v>109770000</v>
      </c>
      <c r="D46" s="3" t="n">
        <v>106861000</v>
      </c>
      <c r="E46" s="3" t="n">
        <v>82729000</v>
      </c>
      <c r="F46" s="3" t="n">
        <v>86364000</v>
      </c>
      <c r="G46" s="3" t="n"/>
    </row>
    <row r="47">
      <c r="A47" t="inlineStr">
        <is>
          <t>Cost Of Revenue</t>
        </is>
      </c>
      <c r="B47" s="3" t="n">
        <v>371971000</v>
      </c>
      <c r="C47" s="3" t="n">
        <v>314447000</v>
      </c>
      <c r="D47" s="3" t="n">
        <v>277377000</v>
      </c>
      <c r="E47" s="3" t="n">
        <v>228838000</v>
      </c>
      <c r="F47" s="3" t="n">
        <v>235690000</v>
      </c>
      <c r="G47" s="3" t="n"/>
    </row>
    <row r="48">
      <c r="A48" t="inlineStr">
        <is>
          <t>Total Revenue</t>
        </is>
      </c>
      <c r="B48" s="3" t="n">
        <v>496936000</v>
      </c>
      <c r="C48" s="3" t="n">
        <v>424217000</v>
      </c>
      <c r="D48" s="3" t="n">
        <v>384238000</v>
      </c>
      <c r="E48" s="3" t="n">
        <v>311567000</v>
      </c>
      <c r="F48" s="3" t="n">
        <v>322054000</v>
      </c>
      <c r="G48" s="3" t="n"/>
    </row>
    <row r="49">
      <c r="A49" t="inlineStr">
        <is>
          <t>Operating Revenue</t>
        </is>
      </c>
      <c r="B49" s="3" t="n">
        <v>496936000</v>
      </c>
      <c r="C49" s="3" t="n">
        <v>424217000</v>
      </c>
      <c r="D49" s="3" t="n">
        <v>384238000</v>
      </c>
      <c r="E49" s="3" t="n">
        <v>311567000</v>
      </c>
      <c r="F49" s="3" t="n">
        <v>322054000</v>
      </c>
      <c r="G49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Ordinary Shares Number</t>
        </is>
      </c>
      <c r="B2" s="3" t="n">
        <v>81691075</v>
      </c>
      <c r="C2" s="3" t="n">
        <v>81436594</v>
      </c>
      <c r="D2" s="3" t="n">
        <v>81508381</v>
      </c>
      <c r="E2" s="3" t="n">
        <v>80137776</v>
      </c>
      <c r="F2" s="3" t="n"/>
    </row>
    <row r="3">
      <c r="A3" t="inlineStr">
        <is>
          <t>Share Issued</t>
        </is>
      </c>
      <c r="B3" s="3" t="n">
        <v>81691075</v>
      </c>
      <c r="C3" s="3" t="n">
        <v>81436594</v>
      </c>
      <c r="D3" s="3" t="n">
        <v>81508381</v>
      </c>
      <c r="E3" s="3" t="n">
        <v>80137776</v>
      </c>
      <c r="F3" s="3" t="n"/>
    </row>
    <row r="4">
      <c r="A4" t="inlineStr">
        <is>
          <t>Net Debt</t>
        </is>
      </c>
      <c r="B4" s="3" t="n">
        <v>405842000</v>
      </c>
      <c r="C4" s="3" t="n">
        <v>154877000</v>
      </c>
      <c r="D4" s="3" t="n">
        <v>38041000</v>
      </c>
      <c r="E4" s="3" t="n">
        <v>65553000</v>
      </c>
      <c r="F4" s="3" t="n"/>
    </row>
    <row r="5">
      <c r="A5" t="inlineStr">
        <is>
          <t>Total Debt</t>
        </is>
      </c>
      <c r="B5" s="3" t="n">
        <v>424646000</v>
      </c>
      <c r="C5" s="3" t="n">
        <v>170964000</v>
      </c>
      <c r="D5" s="3" t="n">
        <v>50550000</v>
      </c>
      <c r="E5" s="3" t="n">
        <v>78251000</v>
      </c>
      <c r="F5" s="3" t="n"/>
    </row>
    <row r="6">
      <c r="A6" t="inlineStr">
        <is>
          <t>Tangible Book Value</t>
        </is>
      </c>
      <c r="B6" s="3" t="n">
        <v>729186000</v>
      </c>
      <c r="C6" s="3" t="n">
        <v>664430000</v>
      </c>
      <c r="D6" s="3" t="n">
        <v>585279000</v>
      </c>
      <c r="E6" s="3" t="n">
        <v>414216000</v>
      </c>
      <c r="F6" s="3" t="n"/>
    </row>
    <row r="7">
      <c r="A7" t="inlineStr">
        <is>
          <t>Invested Capital</t>
        </is>
      </c>
      <c r="B7" s="3" t="n">
        <v>1300840000</v>
      </c>
      <c r="C7" s="3" t="n">
        <v>979473000</v>
      </c>
      <c r="D7" s="3" t="n">
        <v>773552000</v>
      </c>
      <c r="E7" s="3" t="n">
        <v>631718000</v>
      </c>
      <c r="F7" s="3" t="n"/>
    </row>
    <row r="8">
      <c r="A8" t="inlineStr">
        <is>
          <t>Working Capital</t>
        </is>
      </c>
      <c r="B8" s="3" t="n">
        <v>538325000</v>
      </c>
      <c r="C8" s="3" t="n">
        <v>313307000</v>
      </c>
      <c r="D8" s="3" t="n">
        <v>282205000</v>
      </c>
      <c r="E8" s="3" t="n">
        <v>203549000</v>
      </c>
      <c r="F8" s="3" t="n"/>
    </row>
    <row r="9">
      <c r="A9" t="inlineStr">
        <is>
          <t>Net Tangible Assets</t>
        </is>
      </c>
      <c r="B9" s="3" t="n">
        <v>729186000</v>
      </c>
      <c r="C9" s="3" t="n">
        <v>664430000</v>
      </c>
      <c r="D9" s="3" t="n">
        <v>585279000</v>
      </c>
      <c r="E9" s="3" t="n">
        <v>414216000</v>
      </c>
      <c r="F9" s="3" t="n"/>
    </row>
    <row r="10">
      <c r="A10" t="inlineStr">
        <is>
          <t>Capital Lease Obligations</t>
        </is>
      </c>
      <c r="B10" s="3" t="n">
        <v>18791000</v>
      </c>
      <c r="C10" s="3" t="n">
        <v>16073000</v>
      </c>
      <c r="D10" s="3" t="n">
        <v>12222000</v>
      </c>
      <c r="E10" s="3" t="n">
        <v>7247000</v>
      </c>
      <c r="F10" s="3" t="n"/>
    </row>
    <row r="11">
      <c r="A11" t="inlineStr">
        <is>
          <t>Common Stock Equity</t>
        </is>
      </c>
      <c r="B11" s="3" t="n">
        <v>894985000</v>
      </c>
      <c r="C11" s="3" t="n">
        <v>824582000</v>
      </c>
      <c r="D11" s="3" t="n">
        <v>735224000</v>
      </c>
      <c r="E11" s="3" t="n">
        <v>560714000</v>
      </c>
      <c r="F11" s="3" t="n"/>
    </row>
    <row r="12">
      <c r="A12" t="inlineStr">
        <is>
          <t>Total Capitalization</t>
        </is>
      </c>
      <c r="B12" s="3" t="n">
        <v>1293305000</v>
      </c>
      <c r="C12" s="3" t="n">
        <v>963473000</v>
      </c>
      <c r="D12" s="3" t="n">
        <v>773552000</v>
      </c>
      <c r="E12" s="3" t="n">
        <v>631718000</v>
      </c>
      <c r="F12" s="3" t="n"/>
    </row>
    <row r="13">
      <c r="A13" t="inlineStr">
        <is>
          <t>Total Equity Gross Minority Interest</t>
        </is>
      </c>
      <c r="B13" s="3" t="n">
        <v>894985000</v>
      </c>
      <c r="C13" s="3" t="n">
        <v>824582000</v>
      </c>
      <c r="D13" s="3" t="n">
        <v>735224000</v>
      </c>
      <c r="E13" s="3" t="n">
        <v>560714000</v>
      </c>
      <c r="F13" s="3" t="n"/>
    </row>
    <row r="14">
      <c r="A14" t="inlineStr">
        <is>
          <t>Stockholders Equity</t>
        </is>
      </c>
      <c r="B14" s="3" t="n">
        <v>894985000</v>
      </c>
      <c r="C14" s="3" t="n">
        <v>824582000</v>
      </c>
      <c r="D14" s="3" t="n">
        <v>735224000</v>
      </c>
      <c r="E14" s="3" t="n">
        <v>560714000</v>
      </c>
      <c r="F14" s="3" t="n"/>
    </row>
    <row r="15">
      <c r="A15" t="inlineStr">
        <is>
          <t>Retained Earnings</t>
        </is>
      </c>
      <c r="B15" s="3" t="n">
        <v>830300000</v>
      </c>
      <c r="C15" s="3" t="n">
        <v>755310000</v>
      </c>
      <c r="D15" s="3" t="n">
        <v>612835000</v>
      </c>
      <c r="E15" s="3" t="n">
        <v>461657000</v>
      </c>
      <c r="F15" s="3" t="n"/>
    </row>
    <row r="16">
      <c r="A16" t="inlineStr">
        <is>
          <t>Additional Paid In Capital</t>
        </is>
      </c>
      <c r="B16" s="3" t="n">
        <v>64358000</v>
      </c>
      <c r="C16" s="3" t="n">
        <v>68946000</v>
      </c>
      <c r="D16" s="3" t="n">
        <v>122063000</v>
      </c>
      <c r="E16" s="3" t="n">
        <v>98735000</v>
      </c>
      <c r="F16" s="3" t="n"/>
    </row>
    <row r="17">
      <c r="A17" t="inlineStr">
        <is>
          <t>Capital Stock</t>
        </is>
      </c>
      <c r="B17" s="3" t="n">
        <v>327000</v>
      </c>
      <c r="C17" s="3" t="n">
        <v>326000</v>
      </c>
      <c r="D17" s="3" t="n">
        <v>326000</v>
      </c>
      <c r="E17" s="3" t="n">
        <v>322000</v>
      </c>
      <c r="F17" s="3" t="n"/>
    </row>
    <row r="18">
      <c r="A18" t="inlineStr">
        <is>
          <t>Common Stock</t>
        </is>
      </c>
      <c r="B18" s="3" t="n">
        <v>327000</v>
      </c>
      <c r="C18" s="3" t="n">
        <v>326000</v>
      </c>
      <c r="D18" s="3" t="n">
        <v>326000</v>
      </c>
      <c r="E18" s="3" t="n">
        <v>322000</v>
      </c>
      <c r="F18" s="3" t="n"/>
    </row>
    <row r="19">
      <c r="A19" t="inlineStr">
        <is>
          <t>Preferred Stock</t>
        </is>
      </c>
      <c r="B19" s="3" t="n">
        <v>0</v>
      </c>
      <c r="C19" s="3" t="n">
        <v>0</v>
      </c>
      <c r="D19" s="3" t="n">
        <v>0</v>
      </c>
      <c r="E19" s="3" t="n">
        <v>0</v>
      </c>
      <c r="F19" s="3" t="n"/>
    </row>
    <row r="20">
      <c r="A20" t="inlineStr">
        <is>
          <t>Total Liabilities Net Minority Interest</t>
        </is>
      </c>
      <c r="B20" s="3" t="n">
        <v>791525000</v>
      </c>
      <c r="C20" s="3" t="n">
        <v>350652000</v>
      </c>
      <c r="D20" s="3" t="n">
        <v>206212000</v>
      </c>
      <c r="E20" s="3" t="n">
        <v>253189000</v>
      </c>
      <c r="F20" s="3" t="n"/>
    </row>
    <row r="21">
      <c r="A21" t="inlineStr">
        <is>
          <t>Total Non Current Liabilities Net Minority Interest</t>
        </is>
      </c>
      <c r="B21" s="3" t="n">
        <v>460670000</v>
      </c>
      <c r="C21" s="3" t="n">
        <v>175747000</v>
      </c>
      <c r="D21" s="3" t="n">
        <v>79463000</v>
      </c>
      <c r="E21" s="3" t="n">
        <v>107622000</v>
      </c>
      <c r="F21" s="3" t="n"/>
    </row>
    <row r="22">
      <c r="A22" t="inlineStr">
        <is>
          <t>Other Non Current Liabilities</t>
        </is>
      </c>
      <c r="B22" s="3" t="n">
        <v>7770000</v>
      </c>
      <c r="C22" s="3" t="n">
        <v>7151000</v>
      </c>
      <c r="D22" s="3" t="n">
        <v>6606000</v>
      </c>
      <c r="E22" s="3" t="n">
        <v>5515000</v>
      </c>
      <c r="F22" s="3" t="n"/>
    </row>
    <row r="23">
      <c r="A23" t="inlineStr">
        <is>
          <t>Tradeand Other Payables Non Current</t>
        </is>
      </c>
      <c r="B23" s="3" t="n">
        <v>8738000</v>
      </c>
      <c r="C23" s="3" t="n">
        <v>16113000</v>
      </c>
      <c r="D23" s="3" t="n">
        <v>12194000</v>
      </c>
      <c r="E23" s="3" t="n">
        <v>6449000</v>
      </c>
      <c r="F23" s="3" t="n"/>
    </row>
    <row r="24">
      <c r="A24" t="inlineStr">
        <is>
          <t>Non Current Deferred Liabilities</t>
        </is>
      </c>
      <c r="B24" s="3" t="n">
        <v>30313000</v>
      </c>
      <c r="C24" s="3" t="n">
        <v>0</v>
      </c>
      <c r="D24" s="3" t="n">
        <v>12134000</v>
      </c>
      <c r="E24" s="3" t="n">
        <v>18661000</v>
      </c>
      <c r="F24" s="3" t="n"/>
    </row>
    <row r="25">
      <c r="A25" t="inlineStr">
        <is>
          <t>Non Current Deferred Taxes Liabilities</t>
        </is>
      </c>
      <c r="B25" s="3" t="n">
        <v>30313000</v>
      </c>
      <c r="C25" s="3" t="n">
        <v>0</v>
      </c>
      <c r="D25" s="3" t="n">
        <v>12134000</v>
      </c>
      <c r="E25" s="3" t="n">
        <v>18661000</v>
      </c>
      <c r="F25" s="3" t="n"/>
    </row>
    <row r="26">
      <c r="A26" t="inlineStr">
        <is>
          <t>Long Term Debt And Capital Lease Obligation</t>
        </is>
      </c>
      <c r="B26" s="3" t="n">
        <v>413849000</v>
      </c>
      <c r="C26" s="3" t="n">
        <v>152483000</v>
      </c>
      <c r="D26" s="3" t="n">
        <v>48529000</v>
      </c>
      <c r="E26" s="3" t="n">
        <v>76997000</v>
      </c>
      <c r="F26" s="3" t="n"/>
    </row>
    <row r="27">
      <c r="A27" t="inlineStr">
        <is>
          <t>Long Term Capital Lease Obligation</t>
        </is>
      </c>
      <c r="B27" s="3" t="n">
        <v>15529000</v>
      </c>
      <c r="C27" s="3" t="n">
        <v>13592000</v>
      </c>
      <c r="D27" s="3" t="n">
        <v>10201000</v>
      </c>
      <c r="E27" s="3" t="n">
        <v>5993000</v>
      </c>
      <c r="F27" s="3" t="n"/>
    </row>
    <row r="28">
      <c r="A28" t="inlineStr">
        <is>
          <t>Long Term Debt</t>
        </is>
      </c>
      <c r="B28" s="3" t="n">
        <v>398320000</v>
      </c>
      <c r="C28" s="3" t="n">
        <v>138891000</v>
      </c>
      <c r="D28" s="3" t="n">
        <v>38328000</v>
      </c>
      <c r="E28" s="3" t="n">
        <v>71004000</v>
      </c>
      <c r="F28" s="3" t="n"/>
    </row>
    <row r="29">
      <c r="A29" t="inlineStr">
        <is>
          <t>Current Liabilities</t>
        </is>
      </c>
      <c r="B29" s="3" t="n">
        <v>330855000</v>
      </c>
      <c r="C29" s="3" t="n">
        <v>174905000</v>
      </c>
      <c r="D29" s="3" t="n">
        <v>126749000</v>
      </c>
      <c r="E29" s="3" t="n">
        <v>145567000</v>
      </c>
      <c r="F29" s="3" t="n"/>
    </row>
    <row r="30">
      <c r="A30" t="inlineStr">
        <is>
          <t>Other Current Liabilities</t>
        </is>
      </c>
      <c r="B30" s="3" t="n"/>
      <c r="C30" s="3" t="n"/>
      <c r="D30" s="3" t="n"/>
      <c r="E30" s="3" t="n"/>
      <c r="F30" s="3" t="n">
        <v>3968000</v>
      </c>
    </row>
    <row r="31">
      <c r="A31" t="inlineStr">
        <is>
          <t>Current Deferred Liabilities</t>
        </is>
      </c>
      <c r="B31" s="3" t="n">
        <v>87526000</v>
      </c>
      <c r="C31" s="3" t="n">
        <v>22627000</v>
      </c>
      <c r="D31" s="3" t="n">
        <v>16378000</v>
      </c>
      <c r="E31" s="3" t="n">
        <v>25174000</v>
      </c>
      <c r="F31" s="3" t="n"/>
    </row>
    <row r="32">
      <c r="A32" t="inlineStr">
        <is>
          <t>Current Deferred Revenue</t>
        </is>
      </c>
      <c r="B32" s="3" t="n">
        <v>87526000</v>
      </c>
      <c r="C32" s="3" t="n">
        <v>22627000</v>
      </c>
      <c r="D32" s="3" t="n">
        <v>16378000</v>
      </c>
      <c r="E32" s="3" t="n">
        <v>25174000</v>
      </c>
      <c r="F32" s="3" t="n"/>
    </row>
    <row r="33">
      <c r="A33" t="inlineStr">
        <is>
          <t>Current Debt And Capital Lease Obligation</t>
        </is>
      </c>
      <c r="B33" s="3" t="n">
        <v>10797000</v>
      </c>
      <c r="C33" s="3" t="n">
        <v>18481000</v>
      </c>
      <c r="D33" s="3" t="n">
        <v>2021000</v>
      </c>
      <c r="E33" s="3" t="n">
        <v>1254000</v>
      </c>
      <c r="F33" s="3" t="n"/>
    </row>
    <row r="34">
      <c r="A34" t="inlineStr">
        <is>
          <t>Current Capital Lease Obligation</t>
        </is>
      </c>
      <c r="B34" s="3" t="n">
        <v>3262000</v>
      </c>
      <c r="C34" s="3" t="n">
        <v>2481000</v>
      </c>
      <c r="D34" s="3" t="n">
        <v>2021000</v>
      </c>
      <c r="E34" s="3" t="n">
        <v>1254000</v>
      </c>
      <c r="F34" s="3" t="n"/>
    </row>
    <row r="35">
      <c r="A35" t="inlineStr">
        <is>
          <t>Current Debt</t>
        </is>
      </c>
      <c r="B35" s="3" t="n">
        <v>7535000</v>
      </c>
      <c r="C35" s="3" t="n">
        <v>16000000</v>
      </c>
      <c r="D35" s="3" t="n"/>
      <c r="E35" s="3" t="n"/>
      <c r="F35" s="3" t="n"/>
    </row>
    <row r="36">
      <c r="A36" t="inlineStr">
        <is>
          <t>Other Current Borrowings</t>
        </is>
      </c>
      <c r="B36" s="3" t="n">
        <v>7535000</v>
      </c>
      <c r="C36" s="3" t="n">
        <v>16000000</v>
      </c>
      <c r="D36" s="3" t="n"/>
      <c r="E36" s="3" t="n"/>
      <c r="F36" s="3" t="n"/>
    </row>
    <row r="37">
      <c r="A37" t="inlineStr">
        <is>
          <t>Pensionand Other Post Retirement Benefit Plans Current</t>
        </is>
      </c>
      <c r="B37" s="3" t="n">
        <v>19268000</v>
      </c>
      <c r="C37" s="3" t="n">
        <v>15320000</v>
      </c>
      <c r="D37" s="3" t="n">
        <v>18249000</v>
      </c>
      <c r="E37" s="3" t="n">
        <v>12147000</v>
      </c>
      <c r="F37" s="3" t="n"/>
    </row>
    <row r="38">
      <c r="A38" t="inlineStr">
        <is>
          <t>Payables And Accrued Expenses</t>
        </is>
      </c>
      <c r="B38" s="3" t="n">
        <v>213264000</v>
      </c>
      <c r="C38" s="3" t="n">
        <v>118477000</v>
      </c>
      <c r="D38" s="3" t="n">
        <v>90101000</v>
      </c>
      <c r="E38" s="3" t="n">
        <v>106992000</v>
      </c>
      <c r="F38" s="3" t="n"/>
    </row>
    <row r="39">
      <c r="A39" t="inlineStr">
        <is>
          <t>Current Accrued Expenses</t>
        </is>
      </c>
      <c r="B39" s="3" t="n">
        <v>72231000</v>
      </c>
      <c r="C39" s="3" t="n">
        <v>52024000</v>
      </c>
      <c r="D39" s="3" t="n">
        <v>47019000</v>
      </c>
      <c r="E39" s="3" t="n">
        <v>33462000</v>
      </c>
      <c r="F39" s="3" t="n"/>
    </row>
    <row r="40">
      <c r="A40" t="inlineStr">
        <is>
          <t>Payables</t>
        </is>
      </c>
      <c r="B40" s="3" t="n">
        <v>141033000</v>
      </c>
      <c r="C40" s="3" t="n">
        <v>66453000</v>
      </c>
      <c r="D40" s="3" t="n">
        <v>43082000</v>
      </c>
      <c r="E40" s="3" t="n">
        <v>73530000</v>
      </c>
      <c r="F40" s="3" t="n"/>
    </row>
    <row r="41">
      <c r="A41" t="inlineStr">
        <is>
          <t>Other Payable</t>
        </is>
      </c>
      <c r="B41" s="3" t="n">
        <v>30453000</v>
      </c>
      <c r="C41" s="3" t="n">
        <v>21808000</v>
      </c>
      <c r="D41" s="3" t="n">
        <v>14428000</v>
      </c>
      <c r="E41" s="3" t="n">
        <v>15545000</v>
      </c>
      <c r="F41" s="3" t="n"/>
    </row>
    <row r="42">
      <c r="A42" t="inlineStr">
        <is>
          <t>Total Tax Payable</t>
        </is>
      </c>
      <c r="B42" s="3" t="n">
        <v>143000</v>
      </c>
      <c r="C42" s="3" t="n">
        <v>0</v>
      </c>
      <c r="D42" s="3" t="n">
        <v>1170000</v>
      </c>
      <c r="E42" s="3" t="n">
        <v>12472000</v>
      </c>
      <c r="F42" s="3" t="n"/>
    </row>
    <row r="43">
      <c r="A43" t="inlineStr">
        <is>
          <t>Income Tax Payable</t>
        </is>
      </c>
      <c r="B43" s="3" t="n">
        <v>143000</v>
      </c>
      <c r="C43" s="3" t="n">
        <v>0</v>
      </c>
      <c r="D43" s="3" t="n">
        <v>1170000</v>
      </c>
      <c r="E43" s="3" t="n">
        <v>12472000</v>
      </c>
      <c r="F43" s="3" t="n"/>
    </row>
    <row r="44">
      <c r="A44" t="inlineStr">
        <is>
          <t>Accounts Payable</t>
        </is>
      </c>
      <c r="B44" s="3" t="n">
        <v>110437000</v>
      </c>
      <c r="C44" s="3" t="n">
        <v>44645000</v>
      </c>
      <c r="D44" s="3" t="n">
        <v>27484000</v>
      </c>
      <c r="E44" s="3" t="n">
        <v>45513000</v>
      </c>
      <c r="F44" s="3" t="n"/>
    </row>
    <row r="45">
      <c r="A45" t="inlineStr">
        <is>
          <t>Total Assets</t>
        </is>
      </c>
      <c r="B45" s="3" t="n">
        <v>1686510000</v>
      </c>
      <c r="C45" s="3" t="n">
        <v>1175234000</v>
      </c>
      <c r="D45" s="3" t="n">
        <v>941436000</v>
      </c>
      <c r="E45" s="3" t="n">
        <v>813903000</v>
      </c>
      <c r="F45" s="3" t="n"/>
    </row>
    <row r="46">
      <c r="A46" t="inlineStr">
        <is>
          <t>Total Non Current Assets</t>
        </is>
      </c>
      <c r="B46" s="3" t="n">
        <v>817330000</v>
      </c>
      <c r="C46" s="3" t="n">
        <v>687022000</v>
      </c>
      <c r="D46" s="3" t="n">
        <v>532482000</v>
      </c>
      <c r="E46" s="3" t="n">
        <v>464787000</v>
      </c>
      <c r="F46" s="3" t="n"/>
    </row>
    <row r="47">
      <c r="A47" t="inlineStr">
        <is>
          <t>Other Non Current Assets</t>
        </is>
      </c>
      <c r="B47" s="3" t="n">
        <v>2281000</v>
      </c>
      <c r="C47" s="3" t="n">
        <v>242000</v>
      </c>
      <c r="D47" s="3" t="n">
        <v>816000</v>
      </c>
      <c r="E47" s="3" t="n">
        <v>6421000</v>
      </c>
      <c r="F47" s="3" t="n"/>
    </row>
    <row r="48">
      <c r="A48" t="inlineStr">
        <is>
          <t>Non Current Deferred Assets</t>
        </is>
      </c>
      <c r="B48" s="3" t="n">
        <v>0</v>
      </c>
      <c r="C48" s="3" t="n">
        <v>836000</v>
      </c>
      <c r="D48" s="3" t="n">
        <v>0</v>
      </c>
      <c r="E48" s="3" t="n"/>
      <c r="F48" s="3" t="n"/>
    </row>
    <row r="49">
      <c r="A49" t="inlineStr">
        <is>
          <t>Non Current Deferred Taxes Assets</t>
        </is>
      </c>
      <c r="B49" s="3" t="n">
        <v>0</v>
      </c>
      <c r="C49" s="3" t="n">
        <v>836000</v>
      </c>
      <c r="D49" s="3" t="n">
        <v>0</v>
      </c>
      <c r="E49" s="3" t="n"/>
      <c r="F49" s="3" t="n"/>
    </row>
    <row r="50">
      <c r="A50" t="inlineStr">
        <is>
          <t>Goodwill And Other Intangible Assets</t>
        </is>
      </c>
      <c r="B50" s="3" t="n">
        <v>165799000</v>
      </c>
      <c r="C50" s="3" t="n">
        <v>160152000</v>
      </c>
      <c r="D50" s="3" t="n">
        <v>149945000</v>
      </c>
      <c r="E50" s="3" t="n">
        <v>146498000</v>
      </c>
      <c r="F50" s="3" t="n"/>
    </row>
    <row r="51">
      <c r="A51" t="inlineStr">
        <is>
          <t>Other Intangible Assets</t>
        </is>
      </c>
      <c r="B51" s="3" t="n">
        <v>83907000</v>
      </c>
      <c r="C51" s="3" t="n">
        <v>78260000</v>
      </c>
      <c r="D51" s="3" t="n">
        <v>68053000</v>
      </c>
      <c r="E51" s="3" t="n">
        <v>64606000</v>
      </c>
      <c r="F51" s="3" t="n"/>
    </row>
    <row r="52">
      <c r="A52" t="inlineStr">
        <is>
          <t>Goodwill</t>
        </is>
      </c>
      <c r="B52" s="3" t="n">
        <v>81892000</v>
      </c>
      <c r="C52" s="3" t="n">
        <v>81892000</v>
      </c>
      <c r="D52" s="3" t="n">
        <v>81892000</v>
      </c>
      <c r="E52" s="3" t="n">
        <v>81892000</v>
      </c>
      <c r="F52" s="3" t="n"/>
    </row>
    <row r="53">
      <c r="A53" t="inlineStr">
        <is>
          <t>Net PPE</t>
        </is>
      </c>
      <c r="B53" s="3" t="n">
        <v>649250000</v>
      </c>
      <c r="C53" s="3" t="n">
        <v>525792000</v>
      </c>
      <c r="D53" s="3" t="n">
        <v>381721000</v>
      </c>
      <c r="E53" s="3" t="n">
        <v>311868000</v>
      </c>
      <c r="F53" s="3" t="n"/>
    </row>
    <row r="54">
      <c r="A54" t="inlineStr">
        <is>
          <t>Accumulated Depreciation</t>
        </is>
      </c>
      <c r="B54" s="3" t="n">
        <v>-372515000</v>
      </c>
      <c r="C54" s="3" t="n">
        <v>-309642000</v>
      </c>
      <c r="D54" s="3" t="n">
        <v>-283485000</v>
      </c>
      <c r="E54" s="3" t="n">
        <v>-245026000</v>
      </c>
      <c r="F54" s="3" t="n"/>
    </row>
    <row r="55">
      <c r="A55" t="inlineStr">
        <is>
          <t>Gross PPE</t>
        </is>
      </c>
      <c r="B55" s="3" t="n">
        <v>1021765000</v>
      </c>
      <c r="C55" s="3" t="n">
        <v>835434000</v>
      </c>
      <c r="D55" s="3" t="n">
        <v>665206000</v>
      </c>
      <c r="E55" s="3" t="n">
        <v>556894000</v>
      </c>
      <c r="F55" s="3" t="n"/>
    </row>
    <row r="56">
      <c r="A56" t="inlineStr">
        <is>
          <t>Other Properties</t>
        </is>
      </c>
      <c r="B56" s="3" t="n">
        <v>17988000</v>
      </c>
      <c r="C56" s="3" t="n">
        <v>15436000</v>
      </c>
      <c r="D56" s="3" t="n">
        <v>11774000</v>
      </c>
      <c r="E56" s="3" t="n">
        <v>7123000</v>
      </c>
      <c r="F56" s="3" t="n"/>
    </row>
    <row r="57">
      <c r="A57" t="inlineStr">
        <is>
          <t>Machinery Furniture Equipment</t>
        </is>
      </c>
      <c r="B57" s="3" t="n">
        <v>619710000</v>
      </c>
      <c r="C57" s="3" t="n">
        <v>486996000</v>
      </c>
      <c r="D57" s="3" t="n">
        <v>432153000</v>
      </c>
      <c r="E57" s="3" t="n">
        <v>372078000</v>
      </c>
      <c r="F57" s="3" t="n"/>
    </row>
    <row r="58">
      <c r="A58" t="inlineStr">
        <is>
          <t>Buildings And Improvements</t>
        </is>
      </c>
      <c r="B58" s="3" t="n">
        <v>366919000</v>
      </c>
      <c r="C58" s="3" t="n">
        <v>315854000</v>
      </c>
      <c r="D58" s="3" t="n">
        <v>205841000</v>
      </c>
      <c r="E58" s="3" t="n">
        <v>169156000</v>
      </c>
      <c r="F58" s="3" t="n"/>
    </row>
    <row r="59">
      <c r="A59" t="inlineStr">
        <is>
          <t>Land And Improvements</t>
        </is>
      </c>
      <c r="B59" s="3" t="n">
        <v>17148000</v>
      </c>
      <c r="C59" s="3" t="n">
        <v>17148000</v>
      </c>
      <c r="D59" s="3" t="n">
        <v>15438000</v>
      </c>
      <c r="E59" s="3" t="n">
        <v>8537000</v>
      </c>
      <c r="F59" s="3" t="n"/>
    </row>
    <row r="60">
      <c r="A60" t="inlineStr">
        <is>
          <t>Properties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/>
    </row>
    <row r="61">
      <c r="A61" t="inlineStr">
        <is>
          <t>Current Assets</t>
        </is>
      </c>
      <c r="B61" s="3" t="n">
        <v>869180000</v>
      </c>
      <c r="C61" s="3" t="n">
        <v>488212000</v>
      </c>
      <c r="D61" s="3" t="n">
        <v>408954000</v>
      </c>
      <c r="E61" s="3" t="n">
        <v>349116000</v>
      </c>
      <c r="F61" s="3" t="n"/>
    </row>
    <row r="62">
      <c r="A62" t="inlineStr">
        <is>
          <t>Other Current Assets</t>
        </is>
      </c>
      <c r="B62" s="3" t="n">
        <v>17921000</v>
      </c>
      <c r="C62" s="3" t="n">
        <v>7308000</v>
      </c>
      <c r="D62" s="3" t="n">
        <v>3097000</v>
      </c>
      <c r="E62" s="3" t="n">
        <v>1919000</v>
      </c>
      <c r="F62" s="3" t="n"/>
    </row>
    <row r="63">
      <c r="A63" t="inlineStr">
        <is>
          <t>Restricted Cash</t>
        </is>
      </c>
      <c r="B63" s="3" t="n">
        <v>1226000</v>
      </c>
      <c r="C63" s="3" t="n">
        <v>6500000</v>
      </c>
      <c r="D63" s="3" t="n">
        <v>8736000</v>
      </c>
      <c r="E63" s="3" t="n">
        <v>498000</v>
      </c>
      <c r="F63" s="3" t="n"/>
    </row>
    <row r="64">
      <c r="A64" t="inlineStr">
        <is>
          <t>Prepaid Assets</t>
        </is>
      </c>
      <c r="B64" s="3" t="n"/>
      <c r="C64" s="3" t="n"/>
      <c r="D64" s="3" t="n"/>
      <c r="E64" s="3" t="n"/>
      <c r="F64" s="3" t="n">
        <v>2071000</v>
      </c>
    </row>
    <row r="65">
      <c r="A65" t="inlineStr">
        <is>
          <t>Inventory</t>
        </is>
      </c>
      <c r="B65" s="3" t="n">
        <v>261151000</v>
      </c>
      <c r="C65" s="3" t="n">
        <v>187420000</v>
      </c>
      <c r="D65" s="3" t="n">
        <v>213532000</v>
      </c>
      <c r="E65" s="3" t="n">
        <v>198939000</v>
      </c>
      <c r="F65" s="3" t="n"/>
    </row>
    <row r="66">
      <c r="A66" t="inlineStr">
        <is>
          <t>Inventories Adjustments Allowances</t>
        </is>
      </c>
      <c r="B66" s="3" t="n">
        <v>-5344000</v>
      </c>
      <c r="C66" s="3" t="n">
        <v>-5192000</v>
      </c>
      <c r="D66" s="3" t="n">
        <v>-6160000</v>
      </c>
      <c r="E66" s="3" t="n">
        <v>-4527000</v>
      </c>
      <c r="F66" s="3" t="n"/>
    </row>
    <row r="67">
      <c r="A67" t="inlineStr">
        <is>
          <t>Finished Goods</t>
        </is>
      </c>
      <c r="B67" s="3" t="n">
        <v>593000</v>
      </c>
      <c r="C67" s="3" t="n">
        <v>456000</v>
      </c>
      <c r="D67" s="3" t="n">
        <v>2910000</v>
      </c>
      <c r="E67" s="3" t="n">
        <v>5806000</v>
      </c>
      <c r="F67" s="3" t="n"/>
    </row>
    <row r="68">
      <c r="A68" t="inlineStr">
        <is>
          <t>Work In Process</t>
        </is>
      </c>
      <c r="B68" s="3" t="n">
        <v>475000</v>
      </c>
      <c r="C68" s="3" t="n">
        <v>20000</v>
      </c>
      <c r="D68" s="3" t="n">
        <v>5523000</v>
      </c>
      <c r="E68" s="3" t="n">
        <v>3501000</v>
      </c>
      <c r="F68" s="3" t="n"/>
    </row>
    <row r="69">
      <c r="A69" t="inlineStr">
        <is>
          <t>Raw Materials</t>
        </is>
      </c>
      <c r="B69" s="3" t="n">
        <v>265427000</v>
      </c>
      <c r="C69" s="3" t="n">
        <v>192136000</v>
      </c>
      <c r="D69" s="3" t="n">
        <v>211259000</v>
      </c>
      <c r="E69" s="3" t="n">
        <v>194159000</v>
      </c>
      <c r="F69" s="3" t="n"/>
    </row>
    <row r="70">
      <c r="A70" t="inlineStr">
        <is>
          <t>Receivables</t>
        </is>
      </c>
      <c r="B70" s="3" t="n">
        <v>588869000</v>
      </c>
      <c r="C70" s="3" t="n">
        <v>286970000</v>
      </c>
      <c r="D70" s="3" t="n">
        <v>183302000</v>
      </c>
      <c r="E70" s="3" t="n">
        <v>142309000</v>
      </c>
      <c r="F70" s="3" t="n"/>
    </row>
    <row r="71">
      <c r="A71" t="inlineStr">
        <is>
          <t>Other Receivables</t>
        </is>
      </c>
      <c r="B71" s="3" t="n">
        <v>247037000</v>
      </c>
      <c r="C71" s="3" t="n">
        <v>135421000</v>
      </c>
      <c r="D71" s="3" t="n">
        <v>45194000</v>
      </c>
      <c r="E71" s="3" t="n">
        <v>15151000</v>
      </c>
      <c r="F71" s="3" t="n"/>
    </row>
    <row r="72">
      <c r="A72" t="inlineStr">
        <is>
          <t>Taxes Receivable</t>
        </is>
      </c>
      <c r="B72" s="3" t="n">
        <v>27445000</v>
      </c>
      <c r="C72" s="3" t="n">
        <v>4115000</v>
      </c>
      <c r="D72" s="3" t="n">
        <v>0</v>
      </c>
      <c r="E72" s="3" t="n">
        <v>0</v>
      </c>
      <c r="F72" s="3" t="n"/>
    </row>
    <row r="73">
      <c r="A73" t="inlineStr">
        <is>
          <t>Accounts Receivable</t>
        </is>
      </c>
      <c r="B73" s="3" t="n">
        <v>314387000</v>
      </c>
      <c r="C73" s="3" t="n">
        <v>147434000</v>
      </c>
      <c r="D73" s="3" t="n">
        <v>138108000</v>
      </c>
      <c r="E73" s="3" t="n">
        <v>127158000</v>
      </c>
      <c r="F73" s="3" t="n"/>
    </row>
    <row r="74">
      <c r="A74" t="inlineStr">
        <is>
          <t>Allowance For Doubtful Accounts Receivable</t>
        </is>
      </c>
      <c r="B74" s="3" t="n">
        <v>-1308000</v>
      </c>
      <c r="C74" s="3" t="n">
        <v>-1038000</v>
      </c>
      <c r="D74" s="3" t="n">
        <v>-323000</v>
      </c>
      <c r="E74" s="3" t="n">
        <v>-477000</v>
      </c>
      <c r="F74" s="3" t="n"/>
    </row>
    <row r="75">
      <c r="A75" t="inlineStr">
        <is>
          <t>Gross Accounts Receivable</t>
        </is>
      </c>
      <c r="B75" s="3" t="n">
        <v>315695000</v>
      </c>
      <c r="C75" s="3" t="n">
        <v>148472000</v>
      </c>
      <c r="D75" s="3" t="n">
        <v>138431000</v>
      </c>
      <c r="E75" s="3" t="n">
        <v>127635000</v>
      </c>
      <c r="F75" s="3" t="n"/>
    </row>
    <row r="76">
      <c r="A76" t="inlineStr">
        <is>
          <t>Cash Cash Equivalents And Short Term Investments</t>
        </is>
      </c>
      <c r="B76" s="3" t="n">
        <v>13000</v>
      </c>
      <c r="C76" s="3" t="n">
        <v>14000</v>
      </c>
      <c r="D76" s="3" t="n">
        <v>287000</v>
      </c>
      <c r="E76" s="3" t="n">
        <v>5451000</v>
      </c>
      <c r="F76" s="3" t="n"/>
    </row>
    <row r="77">
      <c r="A77" t="inlineStr">
        <is>
          <t>Cash And Cash Equivalents</t>
        </is>
      </c>
      <c r="B77" s="3" t="n">
        <v>13000</v>
      </c>
      <c r="C77" s="3" t="n">
        <v>14000</v>
      </c>
      <c r="D77" s="3" t="n">
        <v>287000</v>
      </c>
      <c r="E77" s="3" t="n">
        <v>5451000</v>
      </c>
      <c r="F77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  <c r="H1" s="1" t="inlineStr">
        <is>
          <t>2024-09-30</t>
        </is>
      </c>
    </row>
    <row r="2">
      <c r="A2" t="inlineStr">
        <is>
          <t>Ordinary Shares Number</t>
        </is>
      </c>
      <c r="B2" s="3" t="n">
        <v>81851483</v>
      </c>
      <c r="C2" s="3" t="n">
        <v>81691075</v>
      </c>
      <c r="D2" s="3" t="n">
        <v>81593092</v>
      </c>
      <c r="E2" s="3" t="n">
        <v>81509387</v>
      </c>
      <c r="F2" s="3" t="n">
        <v>81348131</v>
      </c>
      <c r="G2" s="3" t="n"/>
      <c r="H2" s="3" t="n"/>
    </row>
    <row r="3">
      <c r="A3" t="inlineStr">
        <is>
          <t>Share Issued</t>
        </is>
      </c>
      <c r="B3" s="3" t="n">
        <v>81851483</v>
      </c>
      <c r="C3" s="3" t="n">
        <v>81691075</v>
      </c>
      <c r="D3" s="3" t="n">
        <v>81593092</v>
      </c>
      <c r="E3" s="3" t="n">
        <v>81509387</v>
      </c>
      <c r="F3" s="3" t="n">
        <v>81348131</v>
      </c>
      <c r="G3" s="3" t="n"/>
      <c r="H3" s="3" t="n"/>
    </row>
    <row r="4">
      <c r="A4" t="inlineStr">
        <is>
          <t>Net Debt</t>
        </is>
      </c>
      <c r="B4" s="3" t="n">
        <v>432676000</v>
      </c>
      <c r="C4" s="3" t="n">
        <v>405842000</v>
      </c>
      <c r="D4" s="3" t="n">
        <v>359101000</v>
      </c>
      <c r="E4" s="3" t="n">
        <v>317263000</v>
      </c>
      <c r="F4" s="3" t="n">
        <v>251423000</v>
      </c>
      <c r="G4" s="3" t="n"/>
      <c r="H4" s="3" t="n"/>
    </row>
    <row r="5">
      <c r="A5" t="inlineStr">
        <is>
          <t>Total Debt</t>
        </is>
      </c>
      <c r="B5" s="3" t="n">
        <v>450867000</v>
      </c>
      <c r="C5" s="3" t="n">
        <v>424646000</v>
      </c>
      <c r="D5" s="3" t="n">
        <v>377947000</v>
      </c>
      <c r="E5" s="3" t="n">
        <v>335778000</v>
      </c>
      <c r="F5" s="3" t="n">
        <v>267830000</v>
      </c>
      <c r="G5" s="3" t="n"/>
      <c r="H5" s="3" t="n"/>
    </row>
    <row r="6">
      <c r="A6" t="inlineStr">
        <is>
          <t>Tangible Book Value</t>
        </is>
      </c>
      <c r="B6" s="3" t="n">
        <v>762296000</v>
      </c>
      <c r="C6" s="3" t="n">
        <v>729186000</v>
      </c>
      <c r="D6" s="3" t="n">
        <v>699224000</v>
      </c>
      <c r="E6" s="3" t="n">
        <v>670439000</v>
      </c>
      <c r="F6" s="3" t="n">
        <v>655239000</v>
      </c>
      <c r="G6" s="3" t="n"/>
      <c r="H6" s="3" t="n"/>
    </row>
    <row r="7">
      <c r="A7" t="inlineStr">
        <is>
          <t>Invested Capital</t>
        </is>
      </c>
      <c r="B7" s="3" t="n">
        <v>1366898000</v>
      </c>
      <c r="C7" s="3" t="n">
        <v>1300840000</v>
      </c>
      <c r="D7" s="3" t="n">
        <v>1223252000</v>
      </c>
      <c r="E7" s="3" t="n">
        <v>1150023000</v>
      </c>
      <c r="F7" s="3" t="n">
        <v>1068269000</v>
      </c>
      <c r="G7" s="3" t="n"/>
      <c r="H7" s="3" t="n"/>
    </row>
    <row r="8">
      <c r="A8" t="inlineStr">
        <is>
          <t>Working Capital</t>
        </is>
      </c>
      <c r="B8" s="3" t="n">
        <v>584066000</v>
      </c>
      <c r="C8" s="3" t="n">
        <v>538325000</v>
      </c>
      <c r="D8" s="3" t="n">
        <v>509150000</v>
      </c>
      <c r="E8" s="3" t="n">
        <v>443425000</v>
      </c>
      <c r="F8" s="3" t="n">
        <v>365127000</v>
      </c>
      <c r="G8" s="3" t="n"/>
      <c r="H8" s="3" t="n"/>
    </row>
    <row r="9">
      <c r="A9" t="inlineStr">
        <is>
          <t>Net Tangible Assets</t>
        </is>
      </c>
      <c r="B9" s="3" t="n">
        <v>762296000</v>
      </c>
      <c r="C9" s="3" t="n">
        <v>729186000</v>
      </c>
      <c r="D9" s="3" t="n">
        <v>699224000</v>
      </c>
      <c r="E9" s="3" t="n">
        <v>670439000</v>
      </c>
      <c r="F9" s="3" t="n">
        <v>655239000</v>
      </c>
      <c r="G9" s="3" t="n"/>
      <c r="H9" s="3" t="n"/>
    </row>
    <row r="10">
      <c r="A10" t="inlineStr">
        <is>
          <t>Capital Lease Obligations</t>
        </is>
      </c>
      <c r="B10" s="3" t="n">
        <v>18178000</v>
      </c>
      <c r="C10" s="3" t="n">
        <v>18791000</v>
      </c>
      <c r="D10" s="3" t="n">
        <v>17805000</v>
      </c>
      <c r="E10" s="3" t="n">
        <v>18501000</v>
      </c>
      <c r="F10" s="3" t="n">
        <v>15413000</v>
      </c>
      <c r="G10" s="3" t="n"/>
      <c r="H10" s="3" t="n"/>
    </row>
    <row r="11">
      <c r="A11" t="inlineStr">
        <is>
          <t>Common Stock Equity</t>
        </is>
      </c>
      <c r="B11" s="3" t="n">
        <v>934209000</v>
      </c>
      <c r="C11" s="3" t="n">
        <v>894985000</v>
      </c>
      <c r="D11" s="3" t="n">
        <v>863110000</v>
      </c>
      <c r="E11" s="3" t="n">
        <v>832746000</v>
      </c>
      <c r="F11" s="3" t="n">
        <v>815852000</v>
      </c>
      <c r="G11" s="3" t="n"/>
      <c r="H11" s="3" t="n"/>
    </row>
    <row r="12">
      <c r="A12" t="inlineStr">
        <is>
          <t>Total Capitalization</t>
        </is>
      </c>
      <c r="B12" s="3" t="n">
        <v>1359363000</v>
      </c>
      <c r="C12" s="3" t="n">
        <v>1293305000</v>
      </c>
      <c r="D12" s="3" t="n">
        <v>1223252000</v>
      </c>
      <c r="E12" s="3" t="n">
        <v>1150023000</v>
      </c>
      <c r="F12" s="3" t="n">
        <v>1052269000</v>
      </c>
      <c r="G12" s="3" t="n"/>
      <c r="H12" s="3" t="n"/>
    </row>
    <row r="13">
      <c r="A13" t="inlineStr">
        <is>
          <t>Total Equity Gross Minority Interest</t>
        </is>
      </c>
      <c r="B13" s="3" t="n">
        <v>934209000</v>
      </c>
      <c r="C13" s="3" t="n">
        <v>894985000</v>
      </c>
      <c r="D13" s="3" t="n">
        <v>863110000</v>
      </c>
      <c r="E13" s="3" t="n">
        <v>832746000</v>
      </c>
      <c r="F13" s="3" t="n">
        <v>815852000</v>
      </c>
      <c r="G13" s="3" t="n"/>
      <c r="H13" s="3" t="n"/>
    </row>
    <row r="14">
      <c r="A14" t="inlineStr">
        <is>
          <t>Stockholders Equity</t>
        </is>
      </c>
      <c r="B14" s="3" t="n">
        <v>934209000</v>
      </c>
      <c r="C14" s="3" t="n">
        <v>894985000</v>
      </c>
      <c r="D14" s="3" t="n">
        <v>863110000</v>
      </c>
      <c r="E14" s="3" t="n">
        <v>832746000</v>
      </c>
      <c r="F14" s="3" t="n">
        <v>815852000</v>
      </c>
      <c r="G14" s="3" t="n"/>
      <c r="H14" s="3" t="n"/>
    </row>
    <row r="15">
      <c r="A15" t="inlineStr">
        <is>
          <t>Retained Earnings</t>
        </is>
      </c>
      <c r="B15" s="3" t="n">
        <v>861969000</v>
      </c>
      <c r="C15" s="3" t="n">
        <v>830300000</v>
      </c>
      <c r="D15" s="3" t="n">
        <v>806434000</v>
      </c>
      <c r="E15" s="3" t="n">
        <v>783813000</v>
      </c>
      <c r="F15" s="3" t="n">
        <v>776507000</v>
      </c>
      <c r="G15" s="3" t="n"/>
      <c r="H15" s="3" t="n"/>
    </row>
    <row r="16">
      <c r="A16" t="inlineStr">
        <is>
          <t>Additional Paid In Capital</t>
        </is>
      </c>
      <c r="B16" s="3" t="n">
        <v>71913000</v>
      </c>
      <c r="C16" s="3" t="n">
        <v>64358000</v>
      </c>
      <c r="D16" s="3" t="n">
        <v>56350000</v>
      </c>
      <c r="E16" s="3" t="n">
        <v>48607000</v>
      </c>
      <c r="F16" s="3" t="n">
        <v>39020000</v>
      </c>
      <c r="G16" s="3" t="n"/>
      <c r="H16" s="3" t="n"/>
    </row>
    <row r="17">
      <c r="A17" t="inlineStr">
        <is>
          <t>Capital Stock</t>
        </is>
      </c>
      <c r="B17" s="3" t="n">
        <v>327000</v>
      </c>
      <c r="C17" s="3" t="n">
        <v>327000</v>
      </c>
      <c r="D17" s="3" t="n">
        <v>326000</v>
      </c>
      <c r="E17" s="3" t="n">
        <v>326000</v>
      </c>
      <c r="F17" s="3" t="n">
        <v>325000</v>
      </c>
      <c r="G17" s="3" t="n"/>
      <c r="H17" s="3" t="n"/>
    </row>
    <row r="18">
      <c r="A18" t="inlineStr">
        <is>
          <t>Common Stock</t>
        </is>
      </c>
      <c r="B18" s="3" t="n">
        <v>327000</v>
      </c>
      <c r="C18" s="3" t="n">
        <v>327000</v>
      </c>
      <c r="D18" s="3" t="n">
        <v>326000</v>
      </c>
      <c r="E18" s="3" t="n">
        <v>326000</v>
      </c>
      <c r="F18" s="3" t="n">
        <v>325000</v>
      </c>
      <c r="G18" s="3" t="n"/>
      <c r="H18" s="3" t="n"/>
    </row>
    <row r="19">
      <c r="A19" t="inlineStr">
        <is>
          <t>Preferred Stock</t>
        </is>
      </c>
      <c r="B19" s="3" t="n">
        <v>0</v>
      </c>
      <c r="C19" s="3" t="n">
        <v>0</v>
      </c>
      <c r="D19" s="3" t="n">
        <v>0</v>
      </c>
      <c r="E19" s="3" t="n">
        <v>0</v>
      </c>
      <c r="F19" s="3" t="n">
        <v>0</v>
      </c>
      <c r="G19" s="3" t="n"/>
      <c r="H19" s="3" t="n"/>
    </row>
    <row r="20">
      <c r="A20" t="inlineStr">
        <is>
          <t>Total Liabilities Net Minority Interest</t>
        </is>
      </c>
      <c r="B20" s="3" t="n">
        <v>855503000</v>
      </c>
      <c r="C20" s="3" t="n">
        <v>791525000</v>
      </c>
      <c r="D20" s="3" t="n">
        <v>670961000</v>
      </c>
      <c r="E20" s="3" t="n">
        <v>566667000</v>
      </c>
      <c r="F20" s="3" t="n">
        <v>484341000</v>
      </c>
      <c r="G20" s="3" t="n"/>
      <c r="H20" s="3" t="n"/>
    </row>
    <row r="21">
      <c r="A21" t="inlineStr">
        <is>
          <t>Total Non Current Liabilities Net Minority Interest</t>
        </is>
      </c>
      <c r="B21" s="3" t="n">
        <v>495869000</v>
      </c>
      <c r="C21" s="3" t="n">
        <v>460670000</v>
      </c>
      <c r="D21" s="3" t="n">
        <v>420779000</v>
      </c>
      <c r="E21" s="3" t="n">
        <v>355941000</v>
      </c>
      <c r="F21" s="3" t="n">
        <v>277724000</v>
      </c>
      <c r="G21" s="3" t="n"/>
      <c r="H21" s="3" t="n"/>
    </row>
    <row r="22">
      <c r="A22" t="inlineStr">
        <is>
          <t>Other Non Current Liabilities</t>
        </is>
      </c>
      <c r="B22" s="3" t="n">
        <v>12213000</v>
      </c>
      <c r="C22" s="3" t="n">
        <v>7770000</v>
      </c>
      <c r="D22" s="3" t="n">
        <v>7303000</v>
      </c>
      <c r="E22" s="3" t="n">
        <v>6824000</v>
      </c>
      <c r="F22" s="3" t="n">
        <v>7043000</v>
      </c>
      <c r="G22" s="3" t="n"/>
      <c r="H22" s="3" t="n"/>
    </row>
    <row r="23">
      <c r="A23" t="inlineStr">
        <is>
          <t>Tradeand Other Payables Non Current</t>
        </is>
      </c>
      <c r="B23" s="3" t="n">
        <v>8778000</v>
      </c>
      <c r="C23" s="3" t="n">
        <v>8738000</v>
      </c>
      <c r="D23" s="3" t="n">
        <v>16233000</v>
      </c>
      <c r="E23" s="3" t="n">
        <v>16193000</v>
      </c>
      <c r="F23" s="3" t="n">
        <v>16153000</v>
      </c>
      <c r="G23" s="3" t="n"/>
      <c r="H23" s="3" t="n"/>
    </row>
    <row r="24">
      <c r="A24" t="inlineStr">
        <is>
          <t>Non Current Deferred Liabilities</t>
        </is>
      </c>
      <c r="B24" s="3" t="n">
        <v>34899000</v>
      </c>
      <c r="C24" s="3" t="n">
        <v>30313000</v>
      </c>
      <c r="D24" s="3" t="n">
        <v>22199000</v>
      </c>
      <c r="E24" s="3" t="n"/>
      <c r="F24" s="3" t="n">
        <v>5140000</v>
      </c>
      <c r="G24" s="3" t="n">
        <v>0</v>
      </c>
      <c r="H24" s="3" t="n"/>
    </row>
    <row r="25">
      <c r="A25" t="inlineStr">
        <is>
          <t>Non Current Deferred Taxes Liabilities</t>
        </is>
      </c>
      <c r="B25" s="3" t="n">
        <v>34899000</v>
      </c>
      <c r="C25" s="3" t="n">
        <v>30313000</v>
      </c>
      <c r="D25" s="3" t="n">
        <v>22199000</v>
      </c>
      <c r="E25" s="3" t="n"/>
      <c r="F25" s="3" t="n">
        <v>5140000</v>
      </c>
      <c r="G25" s="3" t="n">
        <v>0</v>
      </c>
      <c r="H25" s="3" t="n"/>
    </row>
    <row r="26">
      <c r="A26" t="inlineStr">
        <is>
          <t>Long Term Debt And Capital Lease Obligation</t>
        </is>
      </c>
      <c r="B26" s="3" t="n">
        <v>439979000</v>
      </c>
      <c r="C26" s="3" t="n">
        <v>413849000</v>
      </c>
      <c r="D26" s="3" t="n">
        <v>375044000</v>
      </c>
      <c r="E26" s="3" t="n">
        <v>332924000</v>
      </c>
      <c r="F26" s="3" t="n">
        <v>249388000</v>
      </c>
      <c r="G26" s="3" t="n"/>
      <c r="H26" s="3" t="n"/>
    </row>
    <row r="27">
      <c r="A27" t="inlineStr">
        <is>
          <t>Long Term Capital Lease Obligation</t>
        </is>
      </c>
      <c r="B27" s="3" t="n">
        <v>14825000</v>
      </c>
      <c r="C27" s="3" t="n">
        <v>15529000</v>
      </c>
      <c r="D27" s="3" t="n">
        <v>14902000</v>
      </c>
      <c r="E27" s="3" t="n">
        <v>15647000</v>
      </c>
      <c r="F27" s="3" t="n">
        <v>12971000</v>
      </c>
      <c r="G27" s="3" t="n"/>
      <c r="H27" s="3" t="n"/>
    </row>
    <row r="28">
      <c r="A28" t="inlineStr">
        <is>
          <t>Long Term Debt</t>
        </is>
      </c>
      <c r="B28" s="3" t="n">
        <v>425154000</v>
      </c>
      <c r="C28" s="3" t="n">
        <v>398320000</v>
      </c>
      <c r="D28" s="3" t="n">
        <v>360142000</v>
      </c>
      <c r="E28" s="3" t="n">
        <v>317277000</v>
      </c>
      <c r="F28" s="3" t="n">
        <v>236417000</v>
      </c>
      <c r="G28" s="3" t="n"/>
      <c r="H28" s="3" t="n"/>
    </row>
    <row r="29">
      <c r="A29" t="inlineStr">
        <is>
          <t>Current Liabilities</t>
        </is>
      </c>
      <c r="B29" s="3" t="n">
        <v>359634000</v>
      </c>
      <c r="C29" s="3" t="n">
        <v>330855000</v>
      </c>
      <c r="D29" s="3" t="n">
        <v>250182000</v>
      </c>
      <c r="E29" s="3" t="n">
        <v>210726000</v>
      </c>
      <c r="F29" s="3" t="n">
        <v>206617000</v>
      </c>
      <c r="G29" s="3" t="n"/>
      <c r="H29" s="3" t="n"/>
    </row>
    <row r="30">
      <c r="A30" t="inlineStr">
        <is>
          <t>Current Deferred Liabilities</t>
        </is>
      </c>
      <c r="B30" s="3" t="n">
        <v>57335000</v>
      </c>
      <c r="C30" s="3" t="n">
        <v>87526000</v>
      </c>
      <c r="D30" s="3" t="n">
        <v>24007000</v>
      </c>
      <c r="E30" s="3" t="n">
        <v>37233000</v>
      </c>
      <c r="F30" s="3" t="n">
        <v>21657000</v>
      </c>
      <c r="G30" s="3" t="n"/>
      <c r="H30" s="3" t="n"/>
    </row>
    <row r="31">
      <c r="A31" t="inlineStr">
        <is>
          <t>Current Deferred Revenue</t>
        </is>
      </c>
      <c r="B31" s="3" t="n">
        <v>57335000</v>
      </c>
      <c r="C31" s="3" t="n">
        <v>87526000</v>
      </c>
      <c r="D31" s="3" t="n">
        <v>24007000</v>
      </c>
      <c r="E31" s="3" t="n">
        <v>37233000</v>
      </c>
      <c r="F31" s="3" t="n">
        <v>21657000</v>
      </c>
      <c r="G31" s="3" t="n"/>
      <c r="H31" s="3" t="n"/>
    </row>
    <row r="32">
      <c r="A32" t="inlineStr">
        <is>
          <t>Current Debt And Capital Lease Obligation</t>
        </is>
      </c>
      <c r="B32" s="3" t="n">
        <v>10888000</v>
      </c>
      <c r="C32" s="3" t="n">
        <v>10797000</v>
      </c>
      <c r="D32" s="3" t="n">
        <v>2903000</v>
      </c>
      <c r="E32" s="3" t="n">
        <v>2854000</v>
      </c>
      <c r="F32" s="3" t="n">
        <v>18442000</v>
      </c>
      <c r="G32" s="3" t="n"/>
      <c r="H32" s="3" t="n"/>
    </row>
    <row r="33">
      <c r="A33" t="inlineStr">
        <is>
          <t>Current Capital Lease Obligation</t>
        </is>
      </c>
      <c r="B33" s="3" t="n">
        <v>3353000</v>
      </c>
      <c r="C33" s="3" t="n">
        <v>3262000</v>
      </c>
      <c r="D33" s="3" t="n">
        <v>2903000</v>
      </c>
      <c r="E33" s="3" t="n">
        <v>2854000</v>
      </c>
      <c r="F33" s="3" t="n">
        <v>2442000</v>
      </c>
      <c r="G33" s="3" t="n"/>
      <c r="H33" s="3" t="n"/>
    </row>
    <row r="34">
      <c r="A34" t="inlineStr">
        <is>
          <t>Current Debt</t>
        </is>
      </c>
      <c r="B34" s="3" t="n">
        <v>7535000</v>
      </c>
      <c r="C34" s="3" t="n">
        <v>7535000</v>
      </c>
      <c r="D34" s="3" t="n"/>
      <c r="E34" s="3" t="n"/>
      <c r="F34" s="3" t="n">
        <v>16000000</v>
      </c>
      <c r="G34" s="3" t="n">
        <v>16000000</v>
      </c>
      <c r="H34" s="3" t="n"/>
    </row>
    <row r="35">
      <c r="A35" t="inlineStr">
        <is>
          <t>Other Current Borrowings</t>
        </is>
      </c>
      <c r="B35" s="3" t="n">
        <v>7535000</v>
      </c>
      <c r="C35" s="3" t="n">
        <v>7535000</v>
      </c>
      <c r="D35" s="3" t="n"/>
      <c r="E35" s="3" t="n"/>
      <c r="F35" s="3" t="n">
        <v>16000000</v>
      </c>
      <c r="G35" s="3" t="n">
        <v>16000000</v>
      </c>
      <c r="H35" s="3" t="n"/>
    </row>
    <row r="36">
      <c r="A36" t="inlineStr">
        <is>
          <t>Pensionand Other Post Retirement Benefit Plans Current</t>
        </is>
      </c>
      <c r="B36" s="3" t="n">
        <v>22553000</v>
      </c>
      <c r="C36" s="3" t="n">
        <v>19268000</v>
      </c>
      <c r="D36" s="3" t="n">
        <v>18721000</v>
      </c>
      <c r="E36" s="3" t="n">
        <v>16117000</v>
      </c>
      <c r="F36" s="3" t="n">
        <v>16253000</v>
      </c>
      <c r="G36" s="3" t="n"/>
      <c r="H36" s="3" t="n"/>
    </row>
    <row r="37">
      <c r="A37" t="inlineStr">
        <is>
          <t>Payables And Accrued Expenses</t>
        </is>
      </c>
      <c r="B37" s="3" t="n">
        <v>268858000</v>
      </c>
      <c r="C37" s="3" t="n">
        <v>213264000</v>
      </c>
      <c r="D37" s="3" t="n">
        <v>204551000</v>
      </c>
      <c r="E37" s="3" t="n">
        <v>154522000</v>
      </c>
      <c r="F37" s="3" t="n">
        <v>150265000</v>
      </c>
      <c r="G37" s="3" t="n"/>
      <c r="H37" s="3" t="n"/>
    </row>
    <row r="38">
      <c r="A38" t="inlineStr">
        <is>
          <t>Current Accrued Expenses</t>
        </is>
      </c>
      <c r="B38" s="3" t="n">
        <v>71535000</v>
      </c>
      <c r="C38" s="3" t="n">
        <v>72231000</v>
      </c>
      <c r="D38" s="3" t="n">
        <v>66408000</v>
      </c>
      <c r="E38" s="3" t="n">
        <v>47634000</v>
      </c>
      <c r="F38" s="3" t="n">
        <v>52340000</v>
      </c>
      <c r="G38" s="3" t="n"/>
      <c r="H38" s="3" t="n"/>
    </row>
    <row r="39">
      <c r="A39" t="inlineStr">
        <is>
          <t>Payables</t>
        </is>
      </c>
      <c r="B39" s="3" t="n">
        <v>197323000</v>
      </c>
      <c r="C39" s="3" t="n">
        <v>141033000</v>
      </c>
      <c r="D39" s="3" t="n">
        <v>138143000</v>
      </c>
      <c r="E39" s="3" t="n">
        <v>106888000</v>
      </c>
      <c r="F39" s="3" t="n">
        <v>97925000</v>
      </c>
      <c r="G39" s="3" t="n"/>
      <c r="H39" s="3" t="n"/>
    </row>
    <row r="40">
      <c r="A40" t="inlineStr">
        <is>
          <t>Other Payable</t>
        </is>
      </c>
      <c r="B40" s="3" t="n">
        <v>35299000</v>
      </c>
      <c r="C40" s="3" t="n">
        <v>30453000</v>
      </c>
      <c r="D40" s="3" t="n">
        <v>23431000</v>
      </c>
      <c r="E40" s="3" t="n">
        <v>22197000</v>
      </c>
      <c r="F40" s="3" t="n">
        <v>19181000</v>
      </c>
      <c r="G40" s="3" t="n"/>
      <c r="H40" s="3" t="n"/>
    </row>
    <row r="41">
      <c r="A41" t="inlineStr">
        <is>
          <t>Total Tax Payable</t>
        </is>
      </c>
      <c r="B41" s="3" t="n">
        <v>1885000</v>
      </c>
      <c r="C41" s="3" t="n">
        <v>143000</v>
      </c>
      <c r="D41" s="3" t="n">
        <v>4972000</v>
      </c>
      <c r="E41" s="3" t="n">
        <v>3049000</v>
      </c>
      <c r="F41" s="3" t="n">
        <v>1589000</v>
      </c>
      <c r="G41" s="3" t="n"/>
      <c r="H41" s="3" t="n"/>
    </row>
    <row r="42">
      <c r="A42" t="inlineStr">
        <is>
          <t>Income Tax Payable</t>
        </is>
      </c>
      <c r="B42" s="3" t="n">
        <v>1885000</v>
      </c>
      <c r="C42" s="3" t="n">
        <v>143000</v>
      </c>
      <c r="D42" s="3" t="n"/>
      <c r="E42" s="3" t="n"/>
      <c r="F42" s="3" t="n"/>
      <c r="G42" s="3" t="n">
        <v>0</v>
      </c>
      <c r="H42" s="3" t="n">
        <v>0</v>
      </c>
    </row>
    <row r="43">
      <c r="A43" t="inlineStr">
        <is>
          <t>Accounts Payable</t>
        </is>
      </c>
      <c r="B43" s="3" t="n">
        <v>160139000</v>
      </c>
      <c r="C43" s="3" t="n">
        <v>110437000</v>
      </c>
      <c r="D43" s="3" t="n">
        <v>109740000</v>
      </c>
      <c r="E43" s="3" t="n">
        <v>81642000</v>
      </c>
      <c r="F43" s="3" t="n">
        <v>77155000</v>
      </c>
      <c r="G43" s="3" t="n"/>
      <c r="H43" s="3" t="n"/>
    </row>
    <row r="44">
      <c r="A44" t="inlineStr">
        <is>
          <t>Total Assets</t>
        </is>
      </c>
      <c r="B44" s="3" t="n">
        <v>1789712000</v>
      </c>
      <c r="C44" s="3" t="n">
        <v>1686510000</v>
      </c>
      <c r="D44" s="3" t="n">
        <v>1534071000</v>
      </c>
      <c r="E44" s="3" t="n">
        <v>1399413000</v>
      </c>
      <c r="F44" s="3" t="n">
        <v>1300193000</v>
      </c>
      <c r="G44" s="3" t="n"/>
      <c r="H44" s="3" t="n"/>
    </row>
    <row r="45">
      <c r="A45" t="inlineStr">
        <is>
          <t>Total Non Current Assets</t>
        </is>
      </c>
      <c r="B45" s="3" t="n">
        <v>846012000</v>
      </c>
      <c r="C45" s="3" t="n">
        <v>817330000</v>
      </c>
      <c r="D45" s="3" t="n">
        <v>774739000</v>
      </c>
      <c r="E45" s="3" t="n">
        <v>745262000</v>
      </c>
      <c r="F45" s="3" t="n">
        <v>728449000</v>
      </c>
      <c r="G45" s="3" t="n"/>
      <c r="H45" s="3" t="n"/>
    </row>
    <row r="46">
      <c r="A46" t="inlineStr">
        <is>
          <t>Other Non Current Assets</t>
        </is>
      </c>
      <c r="B46" s="3" t="n">
        <v>1907000</v>
      </c>
      <c r="C46" s="3" t="n">
        <v>2281000</v>
      </c>
      <c r="D46" s="3" t="n">
        <v>2151000</v>
      </c>
      <c r="E46" s="3" t="n">
        <v>2422000</v>
      </c>
      <c r="F46" s="3" t="n">
        <v>808000</v>
      </c>
      <c r="G46" s="3" t="n"/>
      <c r="H46" s="3" t="n"/>
    </row>
    <row r="47">
      <c r="A47" t="inlineStr">
        <is>
          <t>Non Current Deferred Assets</t>
        </is>
      </c>
      <c r="B47" s="3" t="n"/>
      <c r="C47" s="3" t="n">
        <v>0</v>
      </c>
      <c r="D47" s="3" t="n">
        <v>0</v>
      </c>
      <c r="E47" s="3" t="n">
        <v>3259000</v>
      </c>
      <c r="F47" s="3" t="n">
        <v>0</v>
      </c>
      <c r="G47" s="3" t="n">
        <v>836000</v>
      </c>
      <c r="H47" s="3" t="n"/>
    </row>
    <row r="48">
      <c r="A48" t="inlineStr">
        <is>
          <t>Non Current Deferred Taxes Assets</t>
        </is>
      </c>
      <c r="B48" s="3" t="n"/>
      <c r="C48" s="3" t="n">
        <v>0</v>
      </c>
      <c r="D48" s="3" t="n">
        <v>0</v>
      </c>
      <c r="E48" s="3" t="n">
        <v>3259000</v>
      </c>
      <c r="F48" s="3" t="n">
        <v>0</v>
      </c>
      <c r="G48" s="3" t="n">
        <v>836000</v>
      </c>
      <c r="H48" s="3" t="n"/>
    </row>
    <row r="49">
      <c r="A49" t="inlineStr">
        <is>
          <t>Goodwill And Other Intangible Assets</t>
        </is>
      </c>
      <c r="B49" s="3" t="n">
        <v>171913000</v>
      </c>
      <c r="C49" s="3" t="n">
        <v>165799000</v>
      </c>
      <c r="D49" s="3" t="n">
        <v>163886000</v>
      </c>
      <c r="E49" s="3" t="n">
        <v>162307000</v>
      </c>
      <c r="F49" s="3" t="n">
        <v>160613000</v>
      </c>
      <c r="G49" s="3" t="n"/>
      <c r="H49" s="3" t="n"/>
    </row>
    <row r="50">
      <c r="A50" t="inlineStr">
        <is>
          <t>Other Intangible Assets</t>
        </is>
      </c>
      <c r="B50" s="3" t="n">
        <v>90021000</v>
      </c>
      <c r="C50" s="3" t="n">
        <v>83907000</v>
      </c>
      <c r="D50" s="3" t="n">
        <v>81994000</v>
      </c>
      <c r="E50" s="3" t="n">
        <v>80415000</v>
      </c>
      <c r="F50" s="3" t="n">
        <v>78721000</v>
      </c>
      <c r="G50" s="3" t="n"/>
      <c r="H50" s="3" t="n"/>
    </row>
    <row r="51">
      <c r="A51" t="inlineStr">
        <is>
          <t>Goodwill</t>
        </is>
      </c>
      <c r="B51" s="3" t="n">
        <v>81892000</v>
      </c>
      <c r="C51" s="3" t="n">
        <v>81892000</v>
      </c>
      <c r="D51" s="3" t="n">
        <v>81892000</v>
      </c>
      <c r="E51" s="3" t="n">
        <v>81892000</v>
      </c>
      <c r="F51" s="3" t="n">
        <v>81892000</v>
      </c>
      <c r="G51" s="3" t="n"/>
      <c r="H51" s="3" t="n"/>
    </row>
    <row r="52">
      <c r="A52" t="inlineStr">
        <is>
          <t>Net PPE</t>
        </is>
      </c>
      <c r="B52" s="3" t="n">
        <v>672192000</v>
      </c>
      <c r="C52" s="3" t="n">
        <v>649250000</v>
      </c>
      <c r="D52" s="3" t="n">
        <v>608702000</v>
      </c>
      <c r="E52" s="3" t="n">
        <v>577274000</v>
      </c>
      <c r="F52" s="3" t="n">
        <v>567028000</v>
      </c>
      <c r="G52" s="3" t="n"/>
      <c r="H52" s="3" t="n"/>
    </row>
    <row r="53">
      <c r="A53" t="inlineStr">
        <is>
          <t>Accumulated Depreciation</t>
        </is>
      </c>
      <c r="B53" s="3" t="n">
        <v>-380492000</v>
      </c>
      <c r="C53" s="3" t="n">
        <v>-372515000</v>
      </c>
      <c r="D53" s="3" t="n">
        <v>-355826000</v>
      </c>
      <c r="E53" s="3" t="n">
        <v>-338933000</v>
      </c>
      <c r="F53" s="3" t="n">
        <v>-324846000</v>
      </c>
      <c r="G53" s="3" t="n"/>
      <c r="H53" s="3" t="n"/>
    </row>
    <row r="54">
      <c r="A54" t="inlineStr">
        <is>
          <t>Gross PPE</t>
        </is>
      </c>
      <c r="B54" s="3" t="n">
        <v>1052684000</v>
      </c>
      <c r="C54" s="3" t="n">
        <v>1021765000</v>
      </c>
      <c r="D54" s="3" t="n">
        <v>964528000</v>
      </c>
      <c r="E54" s="3" t="n">
        <v>916207000</v>
      </c>
      <c r="F54" s="3" t="n">
        <v>891874000</v>
      </c>
      <c r="G54" s="3" t="n"/>
      <c r="H54" s="3" t="n"/>
    </row>
    <row r="55">
      <c r="A55" t="inlineStr">
        <is>
          <t>Other Properties</t>
        </is>
      </c>
      <c r="B55" s="3" t="n">
        <v>17335000</v>
      </c>
      <c r="C55" s="3" t="n">
        <v>17988000</v>
      </c>
      <c r="D55" s="3" t="n">
        <v>17050000</v>
      </c>
      <c r="E55" s="3" t="n">
        <v>17795000</v>
      </c>
      <c r="F55" s="3" t="n">
        <v>14751000</v>
      </c>
      <c r="G55" s="3" t="n"/>
      <c r="H55" s="3" t="n"/>
    </row>
    <row r="56">
      <c r="A56" t="inlineStr">
        <is>
          <t>Machinery Furniture Equipment</t>
        </is>
      </c>
      <c r="B56" s="3" t="n">
        <v>648835000</v>
      </c>
      <c r="C56" s="3" t="n">
        <v>619710000</v>
      </c>
      <c r="D56" s="3" t="n">
        <v>586685000</v>
      </c>
      <c r="E56" s="3" t="n">
        <v>552054000</v>
      </c>
      <c r="F56" s="3" t="n">
        <v>535891000</v>
      </c>
      <c r="G56" s="3" t="n"/>
      <c r="H56" s="3" t="n"/>
    </row>
    <row r="57">
      <c r="A57" t="inlineStr">
        <is>
          <t>Buildings And Improvements</t>
        </is>
      </c>
      <c r="B57" s="3" t="n">
        <v>369366000</v>
      </c>
      <c r="C57" s="3" t="n">
        <v>366919000</v>
      </c>
      <c r="D57" s="3" t="n">
        <v>343645000</v>
      </c>
      <c r="E57" s="3" t="n">
        <v>329210000</v>
      </c>
      <c r="F57" s="3" t="n">
        <v>324084000</v>
      </c>
      <c r="G57" s="3" t="n"/>
      <c r="H57" s="3" t="n"/>
    </row>
    <row r="58">
      <c r="A58" t="inlineStr">
        <is>
          <t>Land And Improvements</t>
        </is>
      </c>
      <c r="B58" s="3" t="n">
        <v>17148000</v>
      </c>
      <c r="C58" s="3" t="n">
        <v>17148000</v>
      </c>
      <c r="D58" s="3" t="n">
        <v>17148000</v>
      </c>
      <c r="E58" s="3" t="n">
        <v>17148000</v>
      </c>
      <c r="F58" s="3" t="n">
        <v>17148000</v>
      </c>
      <c r="G58" s="3" t="n"/>
      <c r="H58" s="3" t="n"/>
    </row>
    <row r="59">
      <c r="A59" t="inlineStr">
        <is>
          <t>Properties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/>
      <c r="H59" s="3" t="n"/>
    </row>
    <row r="60">
      <c r="A60" t="inlineStr">
        <is>
          <t>Current Assets</t>
        </is>
      </c>
      <c r="B60" s="3" t="n">
        <v>943700000</v>
      </c>
      <c r="C60" s="3" t="n">
        <v>869180000</v>
      </c>
      <c r="D60" s="3" t="n">
        <v>759332000</v>
      </c>
      <c r="E60" s="3" t="n">
        <v>654151000</v>
      </c>
      <c r="F60" s="3" t="n">
        <v>571744000</v>
      </c>
      <c r="G60" s="3" t="n"/>
      <c r="H60" s="3" t="n"/>
    </row>
    <row r="61">
      <c r="A61" t="inlineStr">
        <is>
          <t>Other Current Assets</t>
        </is>
      </c>
      <c r="B61" s="3" t="n">
        <v>21177000</v>
      </c>
      <c r="C61" s="3" t="n">
        <v>17921000</v>
      </c>
      <c r="D61" s="3" t="n">
        <v>7668000</v>
      </c>
      <c r="E61" s="3" t="n">
        <v>6791000</v>
      </c>
      <c r="F61" s="3" t="n">
        <v>9438000</v>
      </c>
      <c r="G61" s="3" t="n"/>
      <c r="H61" s="3" t="n"/>
    </row>
    <row r="62">
      <c r="A62" t="inlineStr">
        <is>
          <t>Restricted Cash</t>
        </is>
      </c>
      <c r="B62" s="3" t="n">
        <v>1087000</v>
      </c>
      <c r="C62" s="3" t="n">
        <v>1226000</v>
      </c>
      <c r="D62" s="3" t="n">
        <v>1226000</v>
      </c>
      <c r="E62" s="3" t="n">
        <v>1307000</v>
      </c>
      <c r="F62" s="3" t="n">
        <v>1389000</v>
      </c>
      <c r="G62" s="3" t="n"/>
      <c r="H62" s="3" t="n"/>
    </row>
    <row r="63">
      <c r="A63" t="inlineStr">
        <is>
          <t>Inventory</t>
        </is>
      </c>
      <c r="B63" s="3" t="n">
        <v>313203000</v>
      </c>
      <c r="C63" s="3" t="n">
        <v>261151000</v>
      </c>
      <c r="D63" s="3" t="n">
        <v>250511000</v>
      </c>
      <c r="E63" s="3" t="n">
        <v>234980000</v>
      </c>
      <c r="F63" s="3" t="n">
        <v>198852000</v>
      </c>
      <c r="G63" s="3" t="n"/>
      <c r="H63" s="3" t="n"/>
    </row>
    <row r="64">
      <c r="A64" t="inlineStr">
        <is>
          <t>Inventories Adjustments Allowances</t>
        </is>
      </c>
      <c r="B64" s="3" t="n">
        <v>-6045000</v>
      </c>
      <c r="C64" s="3" t="n">
        <v>-5344000</v>
      </c>
      <c r="D64" s="3" t="n">
        <v>-6217000</v>
      </c>
      <c r="E64" s="3" t="n">
        <v>-5480000</v>
      </c>
      <c r="F64" s="3" t="n">
        <v>-5249000</v>
      </c>
      <c r="G64" s="3" t="n"/>
      <c r="H64" s="3" t="n"/>
    </row>
    <row r="65">
      <c r="A65" t="inlineStr">
        <is>
          <t>Finished Goods</t>
        </is>
      </c>
      <c r="B65" s="3" t="n">
        <v>511000</v>
      </c>
      <c r="C65" s="3" t="n">
        <v>593000</v>
      </c>
      <c r="D65" s="3" t="n">
        <v>971000</v>
      </c>
      <c r="E65" s="3" t="n">
        <v>892000</v>
      </c>
      <c r="F65" s="3" t="n">
        <v>606000</v>
      </c>
      <c r="G65" s="3" t="n"/>
      <c r="H65" s="3" t="n"/>
    </row>
    <row r="66">
      <c r="A66" t="inlineStr">
        <is>
          <t>Work In Process</t>
        </is>
      </c>
      <c r="B66" s="3" t="n">
        <v>1482000</v>
      </c>
      <c r="C66" s="3" t="n">
        <v>475000</v>
      </c>
      <c r="D66" s="3" t="n">
        <v>13000</v>
      </c>
      <c r="E66" s="3" t="n">
        <v>4000</v>
      </c>
      <c r="F66" s="3" t="n">
        <v>0</v>
      </c>
      <c r="G66" s="3" t="n"/>
      <c r="H66" s="3" t="n"/>
    </row>
    <row r="67">
      <c r="A67" t="inlineStr">
        <is>
          <t>Raw Materials</t>
        </is>
      </c>
      <c r="B67" s="3" t="n">
        <v>317255000</v>
      </c>
      <c r="C67" s="3" t="n">
        <v>265427000</v>
      </c>
      <c r="D67" s="3" t="n">
        <v>255744000</v>
      </c>
      <c r="E67" s="3" t="n">
        <v>239564000</v>
      </c>
      <c r="F67" s="3" t="n">
        <v>203495000</v>
      </c>
      <c r="G67" s="3" t="n"/>
      <c r="H67" s="3" t="n"/>
    </row>
    <row r="68">
      <c r="A68" t="inlineStr">
        <is>
          <t>Receivables</t>
        </is>
      </c>
      <c r="B68" s="3" t="n">
        <v>608220000</v>
      </c>
      <c r="C68" s="3" t="n">
        <v>588869000</v>
      </c>
      <c r="D68" s="3" t="n">
        <v>498886000</v>
      </c>
      <c r="E68" s="3" t="n">
        <v>411059000</v>
      </c>
      <c r="F68" s="3" t="n">
        <v>361071000</v>
      </c>
      <c r="G68" s="3" t="n"/>
      <c r="H68" s="3" t="n"/>
    </row>
    <row r="69">
      <c r="A69" t="inlineStr">
        <is>
          <t>Other Receivables</t>
        </is>
      </c>
      <c r="B69" s="3" t="n">
        <v>298368000</v>
      </c>
      <c r="C69" s="3" t="n">
        <v>247037000</v>
      </c>
      <c r="D69" s="3" t="n">
        <v>207140000</v>
      </c>
      <c r="E69" s="3" t="n">
        <v>233184000</v>
      </c>
      <c r="F69" s="3" t="n">
        <v>188656000</v>
      </c>
      <c r="G69" s="3" t="n"/>
      <c r="H69" s="3" t="n"/>
    </row>
    <row r="70">
      <c r="A70" t="inlineStr">
        <is>
          <t>Taxes Receivable</t>
        </is>
      </c>
      <c r="B70" s="3" t="n">
        <v>19691000</v>
      </c>
      <c r="C70" s="3" t="n">
        <v>27445000</v>
      </c>
      <c r="D70" s="3" t="n">
        <v>25508000</v>
      </c>
      <c r="E70" s="3" t="n">
        <v>7302000</v>
      </c>
      <c r="F70" s="3" t="n">
        <v>7438000</v>
      </c>
      <c r="G70" s="3" t="n"/>
      <c r="H70" s="3" t="n"/>
    </row>
    <row r="71">
      <c r="A71" t="inlineStr">
        <is>
          <t>Accounts Receivable</t>
        </is>
      </c>
      <c r="B71" s="3" t="n">
        <v>290161000</v>
      </c>
      <c r="C71" s="3" t="n">
        <v>314387000</v>
      </c>
      <c r="D71" s="3" t="n">
        <v>266238000</v>
      </c>
      <c r="E71" s="3" t="n">
        <v>170573000</v>
      </c>
      <c r="F71" s="3" t="n">
        <v>164977000</v>
      </c>
      <c r="G71" s="3" t="n"/>
      <c r="H71" s="3" t="n"/>
    </row>
    <row r="72">
      <c r="A72" t="inlineStr">
        <is>
          <t>Allowance For Doubtful Accounts Receivable</t>
        </is>
      </c>
      <c r="B72" s="3" t="n">
        <v>-1188000</v>
      </c>
      <c r="C72" s="3" t="n">
        <v>-1308000</v>
      </c>
      <c r="D72" s="3" t="n">
        <v>-1330000</v>
      </c>
      <c r="E72" s="3" t="n">
        <v>-1308000</v>
      </c>
      <c r="F72" s="3" t="n">
        <v>-1126000</v>
      </c>
      <c r="G72" s="3" t="n"/>
      <c r="H72" s="3" t="n"/>
    </row>
    <row r="73">
      <c r="A73" t="inlineStr">
        <is>
          <t>Gross Accounts Receivable</t>
        </is>
      </c>
      <c r="B73" s="3" t="n">
        <v>291349000</v>
      </c>
      <c r="C73" s="3" t="n">
        <v>315695000</v>
      </c>
      <c r="D73" s="3" t="n">
        <v>267568000</v>
      </c>
      <c r="E73" s="3" t="n">
        <v>171881000</v>
      </c>
      <c r="F73" s="3" t="n">
        <v>166103000</v>
      </c>
      <c r="G73" s="3" t="n"/>
      <c r="H73" s="3" t="n"/>
    </row>
    <row r="74">
      <c r="A74" t="inlineStr">
        <is>
          <t>Cash Cash Equivalents And Short Term Investments</t>
        </is>
      </c>
      <c r="B74" s="3" t="n">
        <v>13000</v>
      </c>
      <c r="C74" s="3" t="n">
        <v>13000</v>
      </c>
      <c r="D74" s="3" t="n">
        <v>1041000</v>
      </c>
      <c r="E74" s="3" t="n">
        <v>14000</v>
      </c>
      <c r="F74" s="3" t="n">
        <v>994000</v>
      </c>
      <c r="G74" s="3" t="n"/>
      <c r="H74" s="3" t="n"/>
    </row>
    <row r="75">
      <c r="A75" t="inlineStr">
        <is>
          <t>Cash And Cash Equivalents</t>
        </is>
      </c>
      <c r="B75" s="3" t="n">
        <v>13000</v>
      </c>
      <c r="C75" s="3" t="n">
        <v>13000</v>
      </c>
      <c r="D75" s="3" t="n">
        <v>1041000</v>
      </c>
      <c r="E75" s="3" t="n">
        <v>14000</v>
      </c>
      <c r="F75" s="3" t="n">
        <v>994000</v>
      </c>
      <c r="G75" s="3" t="n"/>
      <c r="H75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Free Cash Flow</t>
        </is>
      </c>
      <c r="B2" s="3" t="n">
        <v>-204358000</v>
      </c>
      <c r="C2" s="3" t="n">
        <v>-83354000</v>
      </c>
      <c r="D2" s="3" t="n">
        <v>2936000</v>
      </c>
      <c r="E2" s="3" t="n">
        <v>-49812000</v>
      </c>
      <c r="F2" s="3" t="n"/>
    </row>
    <row r="3">
      <c r="A3" t="inlineStr">
        <is>
          <t>Repurchase Of Capital Stock</t>
        </is>
      </c>
      <c r="B3" s="3" t="n">
        <v>-29995000</v>
      </c>
      <c r="C3" s="3" t="n">
        <v>-100034000</v>
      </c>
      <c r="D3" s="3" t="n">
        <v>-25009000</v>
      </c>
      <c r="E3" s="3" t="n">
        <v>-12737000</v>
      </c>
      <c r="F3" s="3" t="n"/>
    </row>
    <row r="4">
      <c r="A4" t="inlineStr">
        <is>
          <t>Repayment Of Debt</t>
        </is>
      </c>
      <c r="B4" s="3" t="n">
        <v>-672204000</v>
      </c>
      <c r="C4" s="3" t="n">
        <v>-601091000</v>
      </c>
      <c r="D4" s="3" t="n">
        <v>-629787000</v>
      </c>
      <c r="E4" s="3" t="n">
        <v>-194869000</v>
      </c>
      <c r="F4" s="3" t="n"/>
    </row>
    <row r="5">
      <c r="A5" t="inlineStr">
        <is>
          <t>Issuance Of Debt</t>
        </is>
      </c>
      <c r="B5" s="3" t="n">
        <v>915391000</v>
      </c>
      <c r="C5" s="3" t="n">
        <v>717897000</v>
      </c>
      <c r="D5" s="3" t="n">
        <v>597111000</v>
      </c>
      <c r="E5" s="3" t="n">
        <v>225758000</v>
      </c>
      <c r="F5" s="3" t="n"/>
    </row>
    <row r="6">
      <c r="A6" t="inlineStr">
        <is>
          <t>Capital Expenditure</t>
        </is>
      </c>
      <c r="B6" s="3" t="n">
        <v>-204892000</v>
      </c>
      <c r="C6" s="3" t="n">
        <v>-213151000</v>
      </c>
      <c r="D6" s="3" t="n">
        <v>-109491000</v>
      </c>
      <c r="E6" s="3" t="n">
        <v>-76024000</v>
      </c>
      <c r="F6" s="3" t="n"/>
    </row>
    <row r="7">
      <c r="A7" t="inlineStr">
        <is>
          <t>Interest Paid Supplemental Data</t>
        </is>
      </c>
      <c r="B7" s="3" t="n">
        <v>16605000</v>
      </c>
      <c r="C7" s="3" t="n">
        <v>2811000</v>
      </c>
      <c r="D7" s="3" t="n">
        <v>4817000</v>
      </c>
      <c r="E7" s="3" t="n">
        <v>2412000</v>
      </c>
      <c r="F7" s="3" t="n"/>
    </row>
    <row r="8">
      <c r="A8" t="inlineStr">
        <is>
          <t>Income Tax Paid Supplemental Data</t>
        </is>
      </c>
      <c r="B8" s="3" t="n">
        <v>9854000</v>
      </c>
      <c r="C8" s="3" t="n">
        <v>39394000</v>
      </c>
      <c r="D8" s="3" t="n">
        <v>50200000</v>
      </c>
      <c r="E8" s="3" t="n">
        <v>19293000</v>
      </c>
      <c r="F8" s="3" t="n"/>
    </row>
    <row r="9">
      <c r="A9" t="inlineStr">
        <is>
          <t>End Cash Position</t>
        </is>
      </c>
      <c r="B9" s="3" t="n">
        <v>1239000</v>
      </c>
      <c r="C9" s="3" t="n">
        <v>6514000</v>
      </c>
      <c r="D9" s="3" t="n">
        <v>9023000</v>
      </c>
      <c r="E9" s="3" t="n">
        <v>5949000</v>
      </c>
      <c r="F9" s="3" t="n"/>
    </row>
    <row r="10">
      <c r="A10" t="inlineStr">
        <is>
          <t>Beginning Cash Position</t>
        </is>
      </c>
      <c r="B10" s="3" t="n">
        <v>6514000</v>
      </c>
      <c r="C10" s="3" t="n">
        <v>9023000</v>
      </c>
      <c r="D10" s="3" t="n">
        <v>5949000</v>
      </c>
      <c r="E10" s="3" t="n">
        <v>3487000</v>
      </c>
      <c r="F10" s="3" t="n"/>
    </row>
    <row r="11">
      <c r="A11" t="inlineStr">
        <is>
          <t>Changes In Cash</t>
        </is>
      </c>
      <c r="B11" s="3" t="n">
        <v>-5275000</v>
      </c>
      <c r="C11" s="3" t="n">
        <v>-2509000</v>
      </c>
      <c r="D11" s="3" t="n">
        <v>3074000</v>
      </c>
      <c r="E11" s="3" t="n">
        <v>2462000</v>
      </c>
      <c r="F11" s="3" t="n"/>
    </row>
    <row r="12">
      <c r="A12" t="inlineStr">
        <is>
          <t>Financing Cash Flow</t>
        </is>
      </c>
      <c r="B12" s="3" t="n">
        <v>186608000</v>
      </c>
      <c r="C12" s="3" t="n">
        <v>18034000</v>
      </c>
      <c r="D12" s="3" t="n">
        <v>-46510000</v>
      </c>
      <c r="E12" s="3" t="n">
        <v>17357000</v>
      </c>
      <c r="F12" s="3" t="n"/>
    </row>
    <row r="13">
      <c r="A13" t="inlineStr">
        <is>
          <t>Cash Flow From Continuing Financing Activities</t>
        </is>
      </c>
      <c r="B13" s="3" t="n">
        <v>186608000</v>
      </c>
      <c r="C13" s="3" t="n">
        <v>18034000</v>
      </c>
      <c r="D13" s="3" t="n">
        <v>-46510000</v>
      </c>
      <c r="E13" s="3" t="n">
        <v>17357000</v>
      </c>
      <c r="F13" s="3" t="n"/>
    </row>
    <row r="14">
      <c r="A14" t="inlineStr">
        <is>
          <t>Net Other Financing Charges</t>
        </is>
      </c>
      <c r="B14" s="3" t="n">
        <v>-11125000</v>
      </c>
      <c r="C14" s="3" t="n">
        <v>-4515000</v>
      </c>
      <c r="D14" s="3" t="n">
        <v>4361000</v>
      </c>
      <c r="E14" s="3" t="n">
        <v>-1018000</v>
      </c>
      <c r="F14" s="3" t="n"/>
    </row>
    <row r="15">
      <c r="A15" t="inlineStr">
        <is>
          <t>Proceeds From Stock Option Exercised</t>
        </is>
      </c>
      <c r="B15" s="3" t="n">
        <v>17144000</v>
      </c>
      <c r="C15" s="3" t="n">
        <v>31861000</v>
      </c>
      <c r="D15" s="3" t="n">
        <v>33259000</v>
      </c>
      <c r="E15" s="3" t="n">
        <v>23140000</v>
      </c>
      <c r="F15" s="3" t="n"/>
    </row>
    <row r="16">
      <c r="A16" t="inlineStr">
        <is>
          <t>Cash Dividends Paid</t>
        </is>
      </c>
      <c r="B16" s="3" t="n">
        <v>-32603000</v>
      </c>
      <c r="C16" s="3" t="n">
        <v>-26084000</v>
      </c>
      <c r="D16" s="3" t="n">
        <v>-26445000</v>
      </c>
      <c r="E16" s="3" t="n">
        <v>-22917000</v>
      </c>
      <c r="F16" s="3" t="n"/>
    </row>
    <row r="17">
      <c r="A17" t="inlineStr">
        <is>
          <t>Common Stock Dividend Paid</t>
        </is>
      </c>
      <c r="B17" s="3" t="n">
        <v>-32603000</v>
      </c>
      <c r="C17" s="3" t="n">
        <v>-26084000</v>
      </c>
      <c r="D17" s="3" t="n">
        <v>-26445000</v>
      </c>
      <c r="E17" s="3" t="n">
        <v>-22917000</v>
      </c>
      <c r="F17" s="3" t="n"/>
    </row>
    <row r="18">
      <c r="A18" t="inlineStr">
        <is>
          <t>Net Common Stock Issuance</t>
        </is>
      </c>
      <c r="B18" s="3" t="n">
        <v>-29995000</v>
      </c>
      <c r="C18" s="3" t="n">
        <v>-100034000</v>
      </c>
      <c r="D18" s="3" t="n">
        <v>-25009000</v>
      </c>
      <c r="E18" s="3" t="n">
        <v>-12737000</v>
      </c>
      <c r="F18" s="3" t="n"/>
    </row>
    <row r="19">
      <c r="A19" t="inlineStr">
        <is>
          <t>Common Stock Payments</t>
        </is>
      </c>
      <c r="B19" s="3" t="n">
        <v>-29995000</v>
      </c>
      <c r="C19" s="3" t="n">
        <v>-100034000</v>
      </c>
      <c r="D19" s="3" t="n">
        <v>-25009000</v>
      </c>
      <c r="E19" s="3" t="n">
        <v>-12737000</v>
      </c>
      <c r="F19" s="3" t="n"/>
    </row>
    <row r="20">
      <c r="A20" t="inlineStr">
        <is>
          <t>Net Issuance Payments Of Debt</t>
        </is>
      </c>
      <c r="B20" s="3" t="n">
        <v>243187000</v>
      </c>
      <c r="C20" s="3" t="n">
        <v>116806000</v>
      </c>
      <c r="D20" s="3" t="n">
        <v>-32676000</v>
      </c>
      <c r="E20" s="3" t="n">
        <v>30889000</v>
      </c>
      <c r="F20" s="3" t="n"/>
    </row>
    <row r="21">
      <c r="A21" t="inlineStr">
        <is>
          <t>Net Short Term Debt Issuance</t>
        </is>
      </c>
      <c r="B21" s="3" t="n"/>
      <c r="C21" s="3" t="n"/>
      <c r="D21" s="3" t="n"/>
      <c r="E21" s="3" t="n"/>
      <c r="F21" s="3" t="n">
        <v>40000000</v>
      </c>
    </row>
    <row r="22">
      <c r="A22" t="inlineStr">
        <is>
          <t>Short Term Debt Issuance</t>
        </is>
      </c>
      <c r="B22" s="3" t="n"/>
      <c r="C22" s="3" t="n"/>
      <c r="D22" s="3" t="n"/>
      <c r="E22" s="3" t="n"/>
      <c r="F22" s="3" t="n">
        <v>40000000</v>
      </c>
    </row>
    <row r="23">
      <c r="A23" t="inlineStr">
        <is>
          <t>Net Long Term Debt Issuance</t>
        </is>
      </c>
      <c r="B23" s="3" t="n">
        <v>243187000</v>
      </c>
      <c r="C23" s="3" t="n">
        <v>116806000</v>
      </c>
      <c r="D23" s="3" t="n">
        <v>-32676000</v>
      </c>
      <c r="E23" s="3" t="n">
        <v>30889000</v>
      </c>
      <c r="F23" s="3" t="n"/>
    </row>
    <row r="24">
      <c r="A24" t="inlineStr">
        <is>
          <t>Long Term Debt Payments</t>
        </is>
      </c>
      <c r="B24" s="3" t="n">
        <v>-672204000</v>
      </c>
      <c r="C24" s="3" t="n">
        <v>-601091000</v>
      </c>
      <c r="D24" s="3" t="n">
        <v>-629787000</v>
      </c>
      <c r="E24" s="3" t="n">
        <v>-194869000</v>
      </c>
      <c r="F24" s="3" t="n"/>
    </row>
    <row r="25">
      <c r="A25" t="inlineStr">
        <is>
          <t>Long Term Debt Issuance</t>
        </is>
      </c>
      <c r="B25" s="3" t="n">
        <v>915391000</v>
      </c>
      <c r="C25" s="3" t="n">
        <v>717897000</v>
      </c>
      <c r="D25" s="3" t="n">
        <v>597111000</v>
      </c>
      <c r="E25" s="3" t="n">
        <v>225758000</v>
      </c>
      <c r="F25" s="3" t="n"/>
    </row>
    <row r="26">
      <c r="A26" t="inlineStr">
        <is>
          <t>Investing Cash Flow</t>
        </is>
      </c>
      <c r="B26" s="3" t="n">
        <v>-192417000</v>
      </c>
      <c r="C26" s="3" t="n">
        <v>-213075000</v>
      </c>
      <c r="D26" s="3" t="n">
        <v>-109311000</v>
      </c>
      <c r="E26" s="3" t="n">
        <v>-76213000</v>
      </c>
      <c r="F26" s="3" t="n"/>
    </row>
    <row r="27">
      <c r="A27" t="inlineStr">
        <is>
          <t>Cash Flow From Continuing Investing Activities</t>
        </is>
      </c>
      <c r="B27" s="3" t="n">
        <v>-192417000</v>
      </c>
      <c r="C27" s="3" t="n">
        <v>-213075000</v>
      </c>
      <c r="D27" s="3" t="n">
        <v>-109311000</v>
      </c>
      <c r="E27" s="3" t="n">
        <v>-76213000</v>
      </c>
      <c r="F27" s="3" t="n"/>
    </row>
    <row r="28">
      <c r="A28" t="inlineStr">
        <is>
          <t>Net Other Investing Changes</t>
        </is>
      </c>
      <c r="B28" s="3" t="n">
        <v>12435000</v>
      </c>
      <c r="C28" s="3" t="n">
        <v>51000</v>
      </c>
      <c r="D28" s="3" t="n">
        <v>51000</v>
      </c>
      <c r="E28" s="3" t="n">
        <v>48000</v>
      </c>
      <c r="F28" s="3" t="n"/>
    </row>
    <row r="29">
      <c r="A29" t="inlineStr">
        <is>
          <t>Net Investment Purchase And Sale</t>
        </is>
      </c>
      <c r="B29" s="3" t="n"/>
      <c r="C29" s="3" t="n"/>
      <c r="D29" s="3" t="n"/>
      <c r="E29" s="3" t="n"/>
      <c r="F29" s="3" t="n">
        <v>0</v>
      </c>
    </row>
    <row r="30">
      <c r="A30" t="inlineStr">
        <is>
          <t>Sale Of Investment</t>
        </is>
      </c>
      <c r="B30" s="3" t="n"/>
      <c r="C30" s="3" t="n"/>
      <c r="D30" s="3" t="n"/>
      <c r="E30" s="3" t="n"/>
      <c r="F30" s="3" t="n">
        <v>0</v>
      </c>
    </row>
    <row r="31">
      <c r="A31" t="inlineStr">
        <is>
          <t>Purchase Of Investment</t>
        </is>
      </c>
      <c r="B31" s="3" t="n"/>
      <c r="C31" s="3" t="n"/>
      <c r="D31" s="3" t="n"/>
      <c r="E31" s="3" t="n"/>
      <c r="F31" s="3" t="n">
        <v>0</v>
      </c>
    </row>
    <row r="32">
      <c r="A32" t="inlineStr">
        <is>
          <t>Net Business Purchase And Sale</t>
        </is>
      </c>
      <c r="B32" s="3" t="n"/>
      <c r="C32" s="3" t="n">
        <v>0</v>
      </c>
      <c r="D32" s="3" t="n">
        <v>0</v>
      </c>
      <c r="E32" s="3" t="n">
        <v>-249000</v>
      </c>
      <c r="F32" s="3" t="n">
        <v>-103430000</v>
      </c>
    </row>
    <row r="33">
      <c r="A33" t="inlineStr">
        <is>
          <t>Purchase Of Business</t>
        </is>
      </c>
      <c r="B33" s="3" t="n"/>
      <c r="C33" s="3" t="n">
        <v>0</v>
      </c>
      <c r="D33" s="3" t="n">
        <v>0</v>
      </c>
      <c r="E33" s="3" t="n">
        <v>-249000</v>
      </c>
      <c r="F33" s="3" t="n">
        <v>-103430000</v>
      </c>
    </row>
    <row r="34">
      <c r="A34" t="inlineStr">
        <is>
          <t>Net Intangibles Purchase And Sale</t>
        </is>
      </c>
      <c r="B34" s="3" t="n">
        <v>-14329000</v>
      </c>
      <c r="C34" s="3" t="n">
        <v>-17491000</v>
      </c>
      <c r="D34" s="3" t="n">
        <v>-5197000</v>
      </c>
      <c r="E34" s="3" t="n">
        <v>0</v>
      </c>
      <c r="F34" s="3" t="n"/>
    </row>
    <row r="35">
      <c r="A35" t="inlineStr">
        <is>
          <t>Purchase Of Intangibles</t>
        </is>
      </c>
      <c r="B35" s="3" t="n">
        <v>-14329000</v>
      </c>
      <c r="C35" s="3" t="n">
        <v>-17491000</v>
      </c>
      <c r="D35" s="3" t="n">
        <v>-5197000</v>
      </c>
      <c r="E35" s="3" t="n">
        <v>0</v>
      </c>
      <c r="F35" s="3" t="n"/>
    </row>
    <row r="36">
      <c r="A36" t="inlineStr">
        <is>
          <t>Net PPE Purchase And Sale</t>
        </is>
      </c>
      <c r="B36" s="3" t="n">
        <v>40000</v>
      </c>
      <c r="C36" s="3" t="n">
        <v>25000</v>
      </c>
      <c r="D36" s="3" t="n">
        <v>129000</v>
      </c>
      <c r="E36" s="3" t="n">
        <v>12000</v>
      </c>
      <c r="F36" s="3" t="n"/>
    </row>
    <row r="37">
      <c r="A37" t="inlineStr">
        <is>
          <t>Sale Of PPE</t>
        </is>
      </c>
      <c r="B37" s="3" t="n">
        <v>40000</v>
      </c>
      <c r="C37" s="3" t="n">
        <v>25000</v>
      </c>
      <c r="D37" s="3" t="n">
        <v>129000</v>
      </c>
      <c r="E37" s="3" t="n">
        <v>12000</v>
      </c>
      <c r="F37" s="3" t="n"/>
    </row>
    <row r="38">
      <c r="A38" t="inlineStr">
        <is>
          <t>Purchase Of PPE</t>
        </is>
      </c>
      <c r="B38" s="3" t="n"/>
      <c r="C38" s="3" t="n"/>
      <c r="D38" s="3" t="n">
        <v>0</v>
      </c>
      <c r="E38" s="3" t="n">
        <v>-22000000</v>
      </c>
      <c r="F38" s="3" t="n">
        <v>0</v>
      </c>
    </row>
    <row r="39">
      <c r="A39" t="inlineStr">
        <is>
          <t>Capital Expenditure Reported</t>
        </is>
      </c>
      <c r="B39" s="3" t="n">
        <v>-190563000</v>
      </c>
      <c r="C39" s="3" t="n">
        <v>-195660000</v>
      </c>
      <c r="D39" s="3" t="n">
        <v>-104294000</v>
      </c>
      <c r="E39" s="3" t="n">
        <v>-76024000</v>
      </c>
      <c r="F39" s="3" t="n"/>
    </row>
    <row r="40">
      <c r="A40" t="inlineStr">
        <is>
          <t>Operating Cash Flow</t>
        </is>
      </c>
      <c r="B40" s="3" t="n">
        <v>534000</v>
      </c>
      <c r="C40" s="3" t="n">
        <v>129797000</v>
      </c>
      <c r="D40" s="3" t="n">
        <v>112427000</v>
      </c>
      <c r="E40" s="3" t="n">
        <v>26212000</v>
      </c>
      <c r="F40" s="3" t="n"/>
    </row>
    <row r="41">
      <c r="A41" t="inlineStr">
        <is>
          <t>Cash Flow From Continuing Operating Activities</t>
        </is>
      </c>
      <c r="B41" s="3" t="n">
        <v>534000</v>
      </c>
      <c r="C41" s="3" t="n">
        <v>129797000</v>
      </c>
      <c r="D41" s="3" t="n">
        <v>112427000</v>
      </c>
      <c r="E41" s="3" t="n">
        <v>26212000</v>
      </c>
      <c r="F41" s="3" t="n"/>
    </row>
    <row r="42">
      <c r="A42" t="inlineStr">
        <is>
          <t>Change In Working Capital</t>
        </is>
      </c>
      <c r="B42" s="3" t="n">
        <v>-236360000</v>
      </c>
      <c r="C42" s="3" t="n">
        <v>-49370000</v>
      </c>
      <c r="D42" s="3" t="n">
        <v>-76894000</v>
      </c>
      <c r="E42" s="3" t="n">
        <v>-77574000</v>
      </c>
      <c r="F42" s="3" t="n"/>
    </row>
    <row r="43">
      <c r="A43" t="inlineStr">
        <is>
          <t>Change In Other Working Capital</t>
        </is>
      </c>
      <c r="B43" s="3" t="n">
        <v>66588000</v>
      </c>
      <c r="C43" s="3" t="n">
        <v>2991000</v>
      </c>
      <c r="D43" s="3" t="n">
        <v>-5067000</v>
      </c>
      <c r="E43" s="3" t="n">
        <v>15196000</v>
      </c>
      <c r="F43" s="3" t="n"/>
    </row>
    <row r="44">
      <c r="A44" t="inlineStr">
        <is>
          <t>Change In Payables And Accrued Expense</t>
        </is>
      </c>
      <c r="B44" s="3" t="n">
        <v>84777000</v>
      </c>
      <c r="C44" s="3" t="n">
        <v>30218000</v>
      </c>
      <c r="D44" s="3" t="n">
        <v>-3230000</v>
      </c>
      <c r="E44" s="3" t="n">
        <v>28519000</v>
      </c>
      <c r="F44" s="3" t="n"/>
    </row>
    <row r="45">
      <c r="A45" t="inlineStr">
        <is>
          <t>Change In Accrued Expense</t>
        </is>
      </c>
      <c r="B45" s="3" t="n">
        <v>31873000</v>
      </c>
      <c r="C45" s="3" t="n">
        <v>13259000</v>
      </c>
      <c r="D45" s="3" t="n">
        <v>15086000</v>
      </c>
      <c r="E45" s="3" t="n">
        <v>16945000</v>
      </c>
      <c r="F45" s="3" t="n"/>
    </row>
    <row r="46">
      <c r="A46" t="inlineStr">
        <is>
          <t>Change In Payable</t>
        </is>
      </c>
      <c r="B46" s="3" t="n">
        <v>52904000</v>
      </c>
      <c r="C46" s="3" t="n">
        <v>16959000</v>
      </c>
      <c r="D46" s="3" t="n">
        <v>-18316000</v>
      </c>
      <c r="E46" s="3" t="n">
        <v>11574000</v>
      </c>
      <c r="F46" s="3" t="n"/>
    </row>
    <row r="47">
      <c r="A47" t="inlineStr">
        <is>
          <t>Change In Account Payable</t>
        </is>
      </c>
      <c r="B47" s="3" t="n">
        <v>52904000</v>
      </c>
      <c r="C47" s="3" t="n">
        <v>16959000</v>
      </c>
      <c r="D47" s="3" t="n">
        <v>-18316000</v>
      </c>
      <c r="E47" s="3" t="n">
        <v>11574000</v>
      </c>
      <c r="F47" s="3" t="n"/>
    </row>
    <row r="48">
      <c r="A48" t="inlineStr">
        <is>
          <t>Change In Prepaid Assets</t>
        </is>
      </c>
      <c r="B48" s="3" t="n">
        <v>-11673000</v>
      </c>
      <c r="C48" s="3" t="n">
        <v>-3707000</v>
      </c>
      <c r="D48" s="3" t="n">
        <v>-1048000</v>
      </c>
      <c r="E48" s="3" t="n">
        <v>-2367000</v>
      </c>
      <c r="F48" s="3" t="n"/>
    </row>
    <row r="49">
      <c r="A49" t="inlineStr">
        <is>
          <t>Change In Inventory</t>
        </is>
      </c>
      <c r="B49" s="3" t="n">
        <v>-73883000</v>
      </c>
      <c r="C49" s="3" t="n">
        <v>27080000</v>
      </c>
      <c r="D49" s="3" t="n">
        <v>-16226000</v>
      </c>
      <c r="E49" s="3" t="n">
        <v>-71409000</v>
      </c>
      <c r="F49" s="3" t="n"/>
    </row>
    <row r="50">
      <c r="A50" t="inlineStr">
        <is>
          <t>Change In Receivables</t>
        </is>
      </c>
      <c r="B50" s="3" t="n">
        <v>-302169000</v>
      </c>
      <c r="C50" s="3" t="n">
        <v>-105952000</v>
      </c>
      <c r="D50" s="3" t="n">
        <v>-51323000</v>
      </c>
      <c r="E50" s="3" t="n">
        <v>-47513000</v>
      </c>
      <c r="F50" s="3" t="n"/>
    </row>
    <row r="51">
      <c r="A51" t="inlineStr">
        <is>
          <t>Changes In Account Receivables</t>
        </is>
      </c>
      <c r="B51" s="3" t="n">
        <v>-167023000</v>
      </c>
      <c r="C51" s="3" t="n">
        <v>-10041000</v>
      </c>
      <c r="D51" s="3" t="n">
        <v>-9978000</v>
      </c>
      <c r="E51" s="3" t="n">
        <v>-56306000</v>
      </c>
      <c r="F51" s="3" t="n"/>
    </row>
    <row r="52">
      <c r="A52" t="inlineStr">
        <is>
          <t>Other Non Cash Items</t>
        </is>
      </c>
      <c r="B52" s="3" t="n">
        <v>379000</v>
      </c>
      <c r="C52" s="3" t="n">
        <v>150000</v>
      </c>
      <c r="D52" s="3" t="n">
        <v>38000</v>
      </c>
      <c r="E52" s="3" t="n">
        <v>50000</v>
      </c>
      <c r="F52" s="3" t="n"/>
    </row>
    <row r="53">
      <c r="A53" t="inlineStr">
        <is>
          <t>Stock Based Compensation</t>
        </is>
      </c>
      <c r="B53" s="3" t="n">
        <v>17994000</v>
      </c>
      <c r="C53" s="3" t="n">
        <v>16729000</v>
      </c>
      <c r="D53" s="3" t="n">
        <v>16384000</v>
      </c>
      <c r="E53" s="3" t="n">
        <v>13700000</v>
      </c>
      <c r="F53" s="3" t="n"/>
    </row>
    <row r="54">
      <c r="A54" t="inlineStr">
        <is>
          <t>Provisionand Write Offof Assets</t>
        </is>
      </c>
      <c r="B54" s="3" t="n">
        <v>422000</v>
      </c>
      <c r="C54" s="3" t="n">
        <v>146000</v>
      </c>
      <c r="D54" s="3" t="n">
        <v>1479000</v>
      </c>
      <c r="E54" s="3" t="n">
        <v>2668000</v>
      </c>
      <c r="F54" s="3" t="n"/>
    </row>
    <row r="55">
      <c r="A55" t="inlineStr">
        <is>
          <t>Deferred Tax</t>
        </is>
      </c>
      <c r="B55" s="3" t="n">
        <v>31149000</v>
      </c>
      <c r="C55" s="3" t="n">
        <v>-6606000</v>
      </c>
      <c r="D55" s="3" t="n">
        <v>-6527000</v>
      </c>
      <c r="E55" s="3" t="n">
        <v>-13332000</v>
      </c>
      <c r="F55" s="3" t="n"/>
    </row>
    <row r="56">
      <c r="A56" t="inlineStr">
        <is>
          <t>Deferred Income Tax</t>
        </is>
      </c>
      <c r="B56" s="3" t="n">
        <v>31149000</v>
      </c>
      <c r="C56" s="3" t="n">
        <v>-6606000</v>
      </c>
      <c r="D56" s="3" t="n">
        <v>-6527000</v>
      </c>
      <c r="E56" s="3" t="n">
        <v>-13332000</v>
      </c>
      <c r="F56" s="3" t="n"/>
    </row>
    <row r="57">
      <c r="A57" t="inlineStr">
        <is>
          <t>Depreciation Amortization Depletion</t>
        </is>
      </c>
      <c r="B57" s="3" t="n">
        <v>79357000</v>
      </c>
      <c r="C57" s="3" t="n">
        <v>189000</v>
      </c>
      <c r="D57" s="3" t="n">
        <v>324000</v>
      </c>
      <c r="E57" s="3" t="n">
        <v>324000</v>
      </c>
      <c r="F57" s="3" t="n"/>
    </row>
    <row r="58">
      <c r="A58" t="inlineStr">
        <is>
          <t>Depreciation And Amortization</t>
        </is>
      </c>
      <c r="B58" s="3" t="n">
        <v>79357000</v>
      </c>
      <c r="C58" s="3" t="n">
        <v>189000</v>
      </c>
      <c r="D58" s="3" t="n">
        <v>324000</v>
      </c>
      <c r="E58" s="3" t="n">
        <v>324000</v>
      </c>
      <c r="F58" s="3" t="n"/>
    </row>
    <row r="59">
      <c r="A59" t="inlineStr">
        <is>
          <t>Depreciation</t>
        </is>
      </c>
      <c r="B59" s="3" t="n">
        <v>79357000</v>
      </c>
      <c r="C59" s="3" t="n">
        <v>189000</v>
      </c>
      <c r="D59" s="3" t="n">
        <v>324000</v>
      </c>
      <c r="E59" s="3" t="n">
        <v>324000</v>
      </c>
      <c r="F59" s="3" t="n"/>
    </row>
    <row r="60">
      <c r="A60" t="inlineStr">
        <is>
          <t>Operating Gains Losses</t>
        </is>
      </c>
      <c r="B60" s="3" t="n"/>
      <c r="C60" s="3" t="n"/>
      <c r="D60" s="3" t="n">
        <v>-23000</v>
      </c>
      <c r="E60" s="3" t="n">
        <v>29000</v>
      </c>
      <c r="F60" s="3" t="n">
        <v>-22000</v>
      </c>
    </row>
    <row r="61">
      <c r="A61" t="inlineStr">
        <is>
          <t>Net Foreign Currency Exchange Gain Loss</t>
        </is>
      </c>
      <c r="B61" s="3" t="n"/>
      <c r="C61" s="3" t="n"/>
      <c r="D61" s="3" t="n">
        <v>-10000</v>
      </c>
      <c r="E61" s="3" t="n">
        <v>41000</v>
      </c>
      <c r="F61" s="3" t="n">
        <v>-1000</v>
      </c>
    </row>
    <row r="62">
      <c r="A62" t="inlineStr">
        <is>
          <t>Net Income From Continuing Operations</t>
        </is>
      </c>
      <c r="B62" s="3" t="n">
        <v>107593000</v>
      </c>
      <c r="C62" s="3" t="n">
        <v>168559000</v>
      </c>
      <c r="D62" s="3" t="n">
        <v>177623000</v>
      </c>
      <c r="E62" s="3" t="n">
        <v>100376000</v>
      </c>
      <c r="F62" s="3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  <c r="H1" s="1" t="inlineStr">
        <is>
          <t>2024-09-30</t>
        </is>
      </c>
    </row>
    <row r="2">
      <c r="A2" t="inlineStr">
        <is>
          <t>Free Cash Flow</t>
        </is>
      </c>
      <c r="B2" s="3" t="n">
        <v>-18941000</v>
      </c>
      <c r="C2" s="3" t="n">
        <v>-46639000</v>
      </c>
      <c r="D2" s="3" t="n">
        <v>-37122000</v>
      </c>
      <c r="E2" s="3" t="n">
        <v>-80879000</v>
      </c>
      <c r="F2" s="3" t="n">
        <v>-78597000</v>
      </c>
      <c r="G2" s="3" t="n"/>
      <c r="H2" s="3" t="n"/>
    </row>
    <row r="3">
      <c r="A3" t="inlineStr">
        <is>
          <t>Repurchase Of Capital Stock</t>
        </is>
      </c>
      <c r="B3" s="3" t="n">
        <v>0</v>
      </c>
      <c r="C3" s="3" t="n">
        <v>-3000</v>
      </c>
      <c r="D3" s="3" t="n">
        <v>0</v>
      </c>
      <c r="E3" s="3" t="n">
        <v>1544000</v>
      </c>
      <c r="F3" s="3" t="n">
        <v>-31536000</v>
      </c>
      <c r="G3" s="3" t="n"/>
      <c r="H3" s="3" t="n"/>
    </row>
    <row r="4">
      <c r="A4" t="inlineStr">
        <is>
          <t>Repayment Of Debt</t>
        </is>
      </c>
      <c r="B4" s="3" t="n">
        <v>-226033000</v>
      </c>
      <c r="C4" s="3" t="n">
        <v>-218755000</v>
      </c>
      <c r="D4" s="3" t="n">
        <v>-200467000</v>
      </c>
      <c r="E4" s="3" t="n">
        <v>-114571000</v>
      </c>
      <c r="F4" s="3" t="n">
        <v>-138411000</v>
      </c>
      <c r="G4" s="3" t="n"/>
      <c r="H4" s="3" t="n"/>
    </row>
    <row r="5">
      <c r="A5" t="inlineStr">
        <is>
          <t>Issuance Of Debt</t>
        </is>
      </c>
      <c r="B5" s="3" t="n">
        <v>252867000</v>
      </c>
      <c r="C5" s="3" t="n">
        <v>256933000</v>
      </c>
      <c r="D5" s="3" t="n">
        <v>243332000</v>
      </c>
      <c r="E5" s="3" t="n">
        <v>179201000</v>
      </c>
      <c r="F5" s="3" t="n">
        <v>235925000</v>
      </c>
      <c r="G5" s="3" t="n"/>
      <c r="H5" s="3" t="n"/>
    </row>
    <row r="6">
      <c r="A6" t="inlineStr">
        <is>
          <t>Capital Expenditure</t>
        </is>
      </c>
      <c r="B6" s="3" t="n">
        <v>-52935000</v>
      </c>
      <c r="C6" s="3" t="n">
        <v>-65957000</v>
      </c>
      <c r="D6" s="3" t="n">
        <v>-49378000</v>
      </c>
      <c r="E6" s="3" t="n">
        <v>-39117000</v>
      </c>
      <c r="F6" s="3" t="n">
        <v>-50440000</v>
      </c>
      <c r="G6" s="3" t="n"/>
      <c r="H6" s="3" t="n"/>
    </row>
    <row r="7">
      <c r="A7" t="inlineStr">
        <is>
          <t>Interest Paid Supplemental Data</t>
        </is>
      </c>
      <c r="B7" s="3" t="n">
        <v>4929000</v>
      </c>
      <c r="C7" s="3" t="n">
        <v>5548000</v>
      </c>
      <c r="D7" s="3" t="n">
        <v>4831000</v>
      </c>
      <c r="E7" s="3" t="n">
        <v>3713000</v>
      </c>
      <c r="F7" s="3" t="n">
        <v>2513000</v>
      </c>
      <c r="G7" s="3" t="n"/>
      <c r="H7" s="3" t="n"/>
    </row>
    <row r="8">
      <c r="A8" t="inlineStr">
        <is>
          <t>Income Tax Paid Supplemental Data</t>
        </is>
      </c>
      <c r="B8" s="3" t="n"/>
      <c r="C8" s="3" t="n">
        <v>-2973000</v>
      </c>
      <c r="D8" s="3" t="n">
        <v>9000</v>
      </c>
      <c r="E8" s="3" t="n">
        <v>12280000</v>
      </c>
      <c r="F8" s="3" t="n">
        <v>538000</v>
      </c>
      <c r="G8" s="3" t="n">
        <v>9060000</v>
      </c>
      <c r="H8" s="3" t="n"/>
    </row>
    <row r="9">
      <c r="A9" t="inlineStr">
        <is>
          <t>End Cash Position</t>
        </is>
      </c>
      <c r="B9" s="3" t="n">
        <v>1100000</v>
      </c>
      <c r="C9" s="3" t="n">
        <v>1239000</v>
      </c>
      <c r="D9" s="3" t="n">
        <v>2267000</v>
      </c>
      <c r="E9" s="3" t="n">
        <v>1321000</v>
      </c>
      <c r="F9" s="3" t="n">
        <v>2383000</v>
      </c>
      <c r="G9" s="3" t="n"/>
      <c r="H9" s="3" t="n"/>
    </row>
    <row r="10">
      <c r="A10" t="inlineStr">
        <is>
          <t>Beginning Cash Position</t>
        </is>
      </c>
      <c r="B10" s="3" t="n">
        <v>1239000</v>
      </c>
      <c r="C10" s="3" t="n">
        <v>2267000</v>
      </c>
      <c r="D10" s="3" t="n">
        <v>1321000</v>
      </c>
      <c r="E10" s="3" t="n">
        <v>2383000</v>
      </c>
      <c r="F10" s="3" t="n">
        <v>6514000</v>
      </c>
      <c r="G10" s="3" t="n"/>
      <c r="H10" s="3" t="n"/>
    </row>
    <row r="11">
      <c r="A11" t="inlineStr">
        <is>
          <t>Changes In Cash</t>
        </is>
      </c>
      <c r="B11" s="3" t="n">
        <v>-139000</v>
      </c>
      <c r="C11" s="3" t="n">
        <v>-1028000</v>
      </c>
      <c r="D11" s="3" t="n">
        <v>946000</v>
      </c>
      <c r="E11" s="3" t="n">
        <v>-1062000</v>
      </c>
      <c r="F11" s="3" t="n">
        <v>-4131000</v>
      </c>
      <c r="G11" s="3" t="n"/>
      <c r="H11" s="3" t="n"/>
    </row>
    <row r="12">
      <c r="A12" t="inlineStr">
        <is>
          <t>Financing Cash Flow</t>
        </is>
      </c>
      <c r="B12" s="3" t="n">
        <v>17152000</v>
      </c>
      <c r="C12" s="3" t="n">
        <v>33448000</v>
      </c>
      <c r="D12" s="3" t="n">
        <v>37821000</v>
      </c>
      <c r="E12" s="3" t="n">
        <v>59868000</v>
      </c>
      <c r="F12" s="3" t="n">
        <v>55471000</v>
      </c>
      <c r="G12" s="3" t="n"/>
      <c r="H12" s="3" t="n"/>
    </row>
    <row r="13">
      <c r="A13" t="inlineStr">
        <is>
          <t>Cash Flow From Continuing Financing Activities</t>
        </is>
      </c>
      <c r="B13" s="3" t="n">
        <v>17152000</v>
      </c>
      <c r="C13" s="3" t="n">
        <v>33448000</v>
      </c>
      <c r="D13" s="3" t="n">
        <v>37821000</v>
      </c>
      <c r="E13" s="3" t="n">
        <v>59868000</v>
      </c>
      <c r="F13" s="3" t="n">
        <v>55471000</v>
      </c>
      <c r="G13" s="3" t="n"/>
      <c r="H13" s="3" t="n"/>
    </row>
    <row r="14">
      <c r="A14" t="inlineStr">
        <is>
          <t>Net Other Financing Charges</t>
        </is>
      </c>
      <c r="B14" s="3" t="n">
        <v>-4598000</v>
      </c>
      <c r="C14" s="3" t="n">
        <v>-9730000</v>
      </c>
      <c r="D14" s="3" t="n">
        <v>9167000</v>
      </c>
      <c r="E14" s="3" t="n">
        <v>-3794000</v>
      </c>
      <c r="F14" s="3" t="n">
        <v>-6768000</v>
      </c>
      <c r="G14" s="3" t="n"/>
      <c r="H14" s="3" t="n"/>
    </row>
    <row r="15">
      <c r="A15" t="inlineStr">
        <is>
          <t>Proceeds From Stock Option Exercised</t>
        </is>
      </c>
      <c r="B15" s="3" t="n">
        <v>3062000</v>
      </c>
      <c r="C15" s="3" t="n">
        <v>13169000</v>
      </c>
      <c r="D15" s="3" t="n">
        <v>-6050000</v>
      </c>
      <c r="E15" s="3" t="n">
        <v>5669000</v>
      </c>
      <c r="F15" s="3" t="n">
        <v>4356000</v>
      </c>
      <c r="G15" s="3" t="n"/>
      <c r="H15" s="3" t="n"/>
    </row>
    <row r="16">
      <c r="A16" t="inlineStr">
        <is>
          <t>Cash Dividends Paid</t>
        </is>
      </c>
      <c r="B16" s="3" t="n">
        <v>-8146000</v>
      </c>
      <c r="C16" s="3" t="n">
        <v>-8166000</v>
      </c>
      <c r="D16" s="3" t="n">
        <v>-8161000</v>
      </c>
      <c r="E16" s="3" t="n">
        <v>-8181000</v>
      </c>
      <c r="F16" s="3" t="n">
        <v>-8095000</v>
      </c>
      <c r="G16" s="3" t="n"/>
      <c r="H16" s="3" t="n"/>
    </row>
    <row r="17">
      <c r="A17" t="inlineStr">
        <is>
          <t>Common Stock Dividend Paid</t>
        </is>
      </c>
      <c r="B17" s="3" t="n">
        <v>-8146000</v>
      </c>
      <c r="C17" s="3" t="n">
        <v>-8166000</v>
      </c>
      <c r="D17" s="3" t="n">
        <v>-8161000</v>
      </c>
      <c r="E17" s="3" t="n">
        <v>-8181000</v>
      </c>
      <c r="F17" s="3" t="n">
        <v>-8095000</v>
      </c>
      <c r="G17" s="3" t="n"/>
      <c r="H17" s="3" t="n"/>
    </row>
    <row r="18">
      <c r="A18" t="inlineStr">
        <is>
          <t>Net Common Stock Issuance</t>
        </is>
      </c>
      <c r="B18" s="3" t="n">
        <v>0</v>
      </c>
      <c r="C18" s="3" t="n">
        <v>-3000</v>
      </c>
      <c r="D18" s="3" t="n">
        <v>0</v>
      </c>
      <c r="E18" s="3" t="n">
        <v>1544000</v>
      </c>
      <c r="F18" s="3" t="n">
        <v>-31536000</v>
      </c>
      <c r="G18" s="3" t="n"/>
      <c r="H18" s="3" t="n"/>
    </row>
    <row r="19">
      <c r="A19" t="inlineStr">
        <is>
          <t>Common Stock Payments</t>
        </is>
      </c>
      <c r="B19" s="3" t="n">
        <v>0</v>
      </c>
      <c r="C19" s="3" t="n">
        <v>-3000</v>
      </c>
      <c r="D19" s="3" t="n">
        <v>0</v>
      </c>
      <c r="E19" s="3" t="n">
        <v>1544000</v>
      </c>
      <c r="F19" s="3" t="n">
        <v>-31536000</v>
      </c>
      <c r="G19" s="3" t="n"/>
      <c r="H19" s="3" t="n"/>
    </row>
    <row r="20">
      <c r="A20" t="inlineStr">
        <is>
          <t>Net Issuance Payments Of Debt</t>
        </is>
      </c>
      <c r="B20" s="3" t="n">
        <v>26834000</v>
      </c>
      <c r="C20" s="3" t="n">
        <v>38178000</v>
      </c>
      <c r="D20" s="3" t="n">
        <v>42865000</v>
      </c>
      <c r="E20" s="3" t="n">
        <v>64630000</v>
      </c>
      <c r="F20" s="3" t="n">
        <v>97514000</v>
      </c>
      <c r="G20" s="3" t="n"/>
      <c r="H20" s="3" t="n"/>
    </row>
    <row r="21">
      <c r="A21" t="inlineStr">
        <is>
          <t>Net Long Term Debt Issuance</t>
        </is>
      </c>
      <c r="B21" s="3" t="n">
        <v>26834000</v>
      </c>
      <c r="C21" s="3" t="n">
        <v>38178000</v>
      </c>
      <c r="D21" s="3" t="n">
        <v>42865000</v>
      </c>
      <c r="E21" s="3" t="n">
        <v>64630000</v>
      </c>
      <c r="F21" s="3" t="n">
        <v>97514000</v>
      </c>
      <c r="G21" s="3" t="n"/>
      <c r="H21" s="3" t="n"/>
    </row>
    <row r="22">
      <c r="A22" t="inlineStr">
        <is>
          <t>Long Term Debt Payments</t>
        </is>
      </c>
      <c r="B22" s="3" t="n">
        <v>-226033000</v>
      </c>
      <c r="C22" s="3" t="n">
        <v>-218755000</v>
      </c>
      <c r="D22" s="3" t="n">
        <v>-200467000</v>
      </c>
      <c r="E22" s="3" t="n">
        <v>-114571000</v>
      </c>
      <c r="F22" s="3" t="n">
        <v>-138411000</v>
      </c>
      <c r="G22" s="3" t="n"/>
      <c r="H22" s="3" t="n"/>
    </row>
    <row r="23">
      <c r="A23" t="inlineStr">
        <is>
          <t>Long Term Debt Issuance</t>
        </is>
      </c>
      <c r="B23" s="3" t="n">
        <v>252867000</v>
      </c>
      <c r="C23" s="3" t="n">
        <v>256933000</v>
      </c>
      <c r="D23" s="3" t="n">
        <v>243332000</v>
      </c>
      <c r="E23" s="3" t="n">
        <v>179201000</v>
      </c>
      <c r="F23" s="3" t="n">
        <v>235925000</v>
      </c>
      <c r="G23" s="3" t="n"/>
      <c r="H23" s="3" t="n"/>
    </row>
    <row r="24">
      <c r="A24" t="inlineStr">
        <is>
          <t>Investing Cash Flow</t>
        </is>
      </c>
      <c r="B24" s="3" t="n">
        <v>-51285000</v>
      </c>
      <c r="C24" s="3" t="n">
        <v>-53794000</v>
      </c>
      <c r="D24" s="3" t="n">
        <v>-49131000</v>
      </c>
      <c r="E24" s="3" t="n">
        <v>-39104000</v>
      </c>
      <c r="F24" s="3" t="n">
        <v>-50388000</v>
      </c>
      <c r="G24" s="3" t="n"/>
      <c r="H24" s="3" t="n"/>
    </row>
    <row r="25">
      <c r="A25" t="inlineStr">
        <is>
          <t>Cash Flow From Continuing Investing Activities</t>
        </is>
      </c>
      <c r="B25" s="3" t="n">
        <v>-51285000</v>
      </c>
      <c r="C25" s="3" t="n">
        <v>-53794000</v>
      </c>
      <c r="D25" s="3" t="n">
        <v>-49131000</v>
      </c>
      <c r="E25" s="3" t="n">
        <v>-39104000</v>
      </c>
      <c r="F25" s="3" t="n">
        <v>-50388000</v>
      </c>
      <c r="G25" s="3" t="n"/>
      <c r="H25" s="3" t="n"/>
    </row>
    <row r="26">
      <c r="A26" t="inlineStr">
        <is>
          <t>Net Other Investing Changes</t>
        </is>
      </c>
      <c r="B26" s="3" t="n">
        <v>1650000</v>
      </c>
      <c r="C26" s="3" t="n">
        <v>12398000</v>
      </c>
      <c r="D26" s="3" t="n">
        <v>12000</v>
      </c>
      <c r="E26" s="3" t="n">
        <v>13000</v>
      </c>
      <c r="F26" s="3" t="n">
        <v>12000</v>
      </c>
      <c r="G26" s="3" t="n"/>
      <c r="H26" s="3" t="n"/>
    </row>
    <row r="27">
      <c r="A27" t="inlineStr">
        <is>
          <t>Net Intangibles Purchase And Sale</t>
        </is>
      </c>
      <c r="B27" s="3" t="n">
        <v>-7808000</v>
      </c>
      <c r="C27" s="3" t="n"/>
      <c r="D27" s="3" t="n"/>
      <c r="E27" s="3" t="n"/>
      <c r="F27" s="3" t="n">
        <v>-3717000</v>
      </c>
      <c r="G27" s="3" t="n"/>
      <c r="H27" s="3" t="n"/>
    </row>
    <row r="28">
      <c r="A28" t="inlineStr">
        <is>
          <t>Purchase Of Intangibles</t>
        </is>
      </c>
      <c r="B28" s="3" t="n">
        <v>-7808000</v>
      </c>
      <c r="C28" s="3" t="n"/>
      <c r="D28" s="3" t="n"/>
      <c r="E28" s="3" t="n"/>
      <c r="F28" s="3" t="n">
        <v>-3717000</v>
      </c>
      <c r="G28" s="3" t="n"/>
      <c r="H28" s="3" t="n"/>
    </row>
    <row r="29">
      <c r="A29" t="inlineStr">
        <is>
          <t>Net PPE Purchase And Sale</t>
        </is>
      </c>
      <c r="B29" s="3" t="n">
        <v>0</v>
      </c>
      <c r="C29" s="3" t="n">
        <v>-235000</v>
      </c>
      <c r="D29" s="3" t="n">
        <v>235000</v>
      </c>
      <c r="E29" s="3" t="n">
        <v>0</v>
      </c>
      <c r="F29" s="3" t="n">
        <v>40000</v>
      </c>
      <c r="G29" s="3" t="n"/>
      <c r="H29" s="3" t="n"/>
    </row>
    <row r="30">
      <c r="A30" t="inlineStr">
        <is>
          <t>Sale Of PPE</t>
        </is>
      </c>
      <c r="B30" s="3" t="n">
        <v>0</v>
      </c>
      <c r="C30" s="3" t="n">
        <v>-235000</v>
      </c>
      <c r="D30" s="3" t="n">
        <v>235000</v>
      </c>
      <c r="E30" s="3" t="n">
        <v>0</v>
      </c>
      <c r="F30" s="3" t="n">
        <v>40000</v>
      </c>
      <c r="G30" s="3" t="n"/>
      <c r="H30" s="3" t="n"/>
    </row>
    <row r="31">
      <c r="A31" t="inlineStr">
        <is>
          <t>Capital Expenditure Reported</t>
        </is>
      </c>
      <c r="B31" s="3" t="n">
        <v>-45127000</v>
      </c>
      <c r="C31" s="3" t="n">
        <v>-51628000</v>
      </c>
      <c r="D31" s="3" t="n">
        <v>-49378000</v>
      </c>
      <c r="E31" s="3" t="n">
        <v>-42834000</v>
      </c>
      <c r="F31" s="3" t="n">
        <v>-46723000</v>
      </c>
      <c r="G31" s="3" t="n"/>
      <c r="H31" s="3" t="n"/>
    </row>
    <row r="32">
      <c r="A32" t="inlineStr">
        <is>
          <t>Operating Cash Flow</t>
        </is>
      </c>
      <c r="B32" s="3" t="n">
        <v>33994000</v>
      </c>
      <c r="C32" s="3" t="n">
        <v>19318000</v>
      </c>
      <c r="D32" s="3" t="n">
        <v>12256000</v>
      </c>
      <c r="E32" s="3" t="n">
        <v>-41762000</v>
      </c>
      <c r="F32" s="3" t="n">
        <v>-28157000</v>
      </c>
      <c r="G32" s="3" t="n"/>
      <c r="H32" s="3" t="n"/>
    </row>
    <row r="33">
      <c r="A33" t="inlineStr">
        <is>
          <t>Cash Flow From Continuing Operating Activities</t>
        </is>
      </c>
      <c r="B33" s="3" t="n">
        <v>33994000</v>
      </c>
      <c r="C33" s="3" t="n">
        <v>19318000</v>
      </c>
      <c r="D33" s="3" t="n">
        <v>12256000</v>
      </c>
      <c r="E33" s="3" t="n">
        <v>-41762000</v>
      </c>
      <c r="F33" s="3" t="n">
        <v>-28157000</v>
      </c>
      <c r="G33" s="3" t="n"/>
      <c r="H33" s="3" t="n"/>
    </row>
    <row r="34">
      <c r="A34" t="inlineStr">
        <is>
          <t>Change In Working Capital</t>
        </is>
      </c>
      <c r="B34" s="3" t="n">
        <v>-39667000</v>
      </c>
      <c r="C34" s="3" t="n">
        <v>-45068000</v>
      </c>
      <c r="D34" s="3" t="n">
        <v>-69338000</v>
      </c>
      <c r="E34" s="3" t="n">
        <v>-54331000</v>
      </c>
      <c r="F34" s="3" t="n">
        <v>-67623000</v>
      </c>
      <c r="G34" s="3" t="n"/>
      <c r="H34" s="3" t="n"/>
    </row>
    <row r="35">
      <c r="A35" t="inlineStr">
        <is>
          <t>Change In Other Working Capital</t>
        </is>
      </c>
      <c r="B35" s="3" t="n">
        <v>-21054000</v>
      </c>
      <c r="C35" s="3" t="n">
        <v>61096000</v>
      </c>
      <c r="D35" s="3" t="n">
        <v>-13199000</v>
      </c>
      <c r="E35" s="3" t="n">
        <v>17146000</v>
      </c>
      <c r="F35" s="3" t="n">
        <v>1545000</v>
      </c>
      <c r="G35" s="3" t="n"/>
      <c r="H35" s="3" t="n"/>
    </row>
    <row r="36">
      <c r="A36" t="inlineStr">
        <is>
          <t>Change In Payables And Accrued Expense</t>
        </is>
      </c>
      <c r="B36" s="3" t="n">
        <v>54858000</v>
      </c>
      <c r="C36" s="3" t="n">
        <v>4466000</v>
      </c>
      <c r="D36" s="3" t="n">
        <v>48481000</v>
      </c>
      <c r="E36" s="3" t="n">
        <v>12617000</v>
      </c>
      <c r="F36" s="3" t="n">
        <v>19213000</v>
      </c>
      <c r="G36" s="3" t="n"/>
      <c r="H36" s="3" t="n"/>
    </row>
    <row r="37">
      <c r="A37" t="inlineStr">
        <is>
          <t>Change In Accrued Expense</t>
        </is>
      </c>
      <c r="B37" s="3" t="n">
        <v>4483000</v>
      </c>
      <c r="C37" s="3" t="n">
        <v>11453000</v>
      </c>
      <c r="D37" s="3" t="n">
        <v>24987000</v>
      </c>
      <c r="E37" s="3" t="n">
        <v>-2155000</v>
      </c>
      <c r="F37" s="3" t="n">
        <v>-2412000</v>
      </c>
      <c r="G37" s="3" t="n"/>
      <c r="H37" s="3" t="n"/>
    </row>
    <row r="38">
      <c r="A38" t="inlineStr">
        <is>
          <t>Change In Payable</t>
        </is>
      </c>
      <c r="B38" s="3" t="n">
        <v>50375000</v>
      </c>
      <c r="C38" s="3" t="n">
        <v>-6987000</v>
      </c>
      <c r="D38" s="3" t="n">
        <v>23494000</v>
      </c>
      <c r="E38" s="3" t="n">
        <v>14772000</v>
      </c>
      <c r="F38" s="3" t="n">
        <v>21625000</v>
      </c>
      <c r="G38" s="3" t="n"/>
      <c r="H38" s="3" t="n"/>
    </row>
    <row r="39">
      <c r="A39" t="inlineStr">
        <is>
          <t>Change In Account Payable</t>
        </is>
      </c>
      <c r="B39" s="3" t="n">
        <v>50375000</v>
      </c>
      <c r="C39" s="3" t="n">
        <v>-6987000</v>
      </c>
      <c r="D39" s="3" t="n">
        <v>23494000</v>
      </c>
      <c r="E39" s="3" t="n">
        <v>14772000</v>
      </c>
      <c r="F39" s="3" t="n">
        <v>21625000</v>
      </c>
      <c r="G39" s="3" t="n"/>
      <c r="H39" s="3" t="n"/>
    </row>
    <row r="40">
      <c r="A40" t="inlineStr">
        <is>
          <t>Change In Prepaid Assets</t>
        </is>
      </c>
      <c r="B40" s="3" t="n">
        <v>-1487000</v>
      </c>
      <c r="C40" s="3" t="n">
        <v>-10902000</v>
      </c>
      <c r="D40" s="3" t="n">
        <v>-703000</v>
      </c>
      <c r="E40" s="3" t="n">
        <v>2635000</v>
      </c>
      <c r="F40" s="3" t="n">
        <v>-2703000</v>
      </c>
      <c r="G40" s="3" t="n"/>
      <c r="H40" s="3" t="n"/>
    </row>
    <row r="41">
      <c r="A41" t="inlineStr">
        <is>
          <t>Change In Inventory</t>
        </is>
      </c>
      <c r="B41" s="3" t="n">
        <v>-52753000</v>
      </c>
      <c r="C41" s="3" t="n">
        <v>-9767000</v>
      </c>
      <c r="D41" s="3" t="n">
        <v>-16268000</v>
      </c>
      <c r="E41" s="3" t="n">
        <v>-36359000</v>
      </c>
      <c r="F41" s="3" t="n">
        <v>-11489000</v>
      </c>
      <c r="G41" s="3" t="n"/>
      <c r="H41" s="3" t="n"/>
    </row>
    <row r="42">
      <c r="A42" t="inlineStr">
        <is>
          <t>Change In Receivables</t>
        </is>
      </c>
      <c r="B42" s="3" t="n">
        <v>-19231000</v>
      </c>
      <c r="C42" s="3" t="n">
        <v>-89961000</v>
      </c>
      <c r="D42" s="3" t="n">
        <v>-87649000</v>
      </c>
      <c r="E42" s="3" t="n">
        <v>-50370000</v>
      </c>
      <c r="F42" s="3" t="n">
        <v>-74189000</v>
      </c>
      <c r="G42" s="3" t="n"/>
      <c r="H42" s="3" t="n"/>
    </row>
    <row r="43">
      <c r="A43" t="inlineStr">
        <is>
          <t>Changes In Account Receivables</t>
        </is>
      </c>
      <c r="B43" s="3" t="n">
        <v>24346000</v>
      </c>
      <c r="C43" s="3" t="n">
        <v>-48127000</v>
      </c>
      <c r="D43" s="3" t="n">
        <v>-95487000</v>
      </c>
      <c r="E43" s="3" t="n">
        <v>-5778000</v>
      </c>
      <c r="F43" s="3" t="n">
        <v>-17631000</v>
      </c>
      <c r="G43" s="3" t="n"/>
      <c r="H43" s="3" t="n"/>
    </row>
    <row r="44">
      <c r="A44" t="inlineStr">
        <is>
          <t>Other Non Cash Items</t>
        </is>
      </c>
      <c r="B44" s="3" t="n">
        <v>40000</v>
      </c>
      <c r="C44" s="3" t="n">
        <v>161000</v>
      </c>
      <c r="D44" s="3" t="n">
        <v>161000</v>
      </c>
      <c r="E44" s="3" t="n">
        <v>50000</v>
      </c>
      <c r="F44" s="3" t="n">
        <v>7000</v>
      </c>
      <c r="G44" s="3" t="n"/>
      <c r="H44" s="3" t="n"/>
    </row>
    <row r="45">
      <c r="A45" t="inlineStr">
        <is>
          <t>Stock Based Compensation</t>
        </is>
      </c>
      <c r="B45" s="3" t="n">
        <v>7696000</v>
      </c>
      <c r="C45" s="3" t="n">
        <v>4573000</v>
      </c>
      <c r="D45" s="3" t="n">
        <v>4626000</v>
      </c>
      <c r="E45" s="3" t="n">
        <v>4774000</v>
      </c>
      <c r="F45" s="3" t="n">
        <v>4021000</v>
      </c>
      <c r="G45" s="3" t="n"/>
      <c r="H45" s="3" t="n"/>
    </row>
    <row r="46">
      <c r="A46" t="inlineStr">
        <is>
          <t>Provisionand Write Offof Assets</t>
        </is>
      </c>
      <c r="B46" s="3" t="n">
        <v>581000</v>
      </c>
      <c r="C46" s="3" t="n">
        <v>-895000</v>
      </c>
      <c r="D46" s="3" t="n">
        <v>559000</v>
      </c>
      <c r="E46" s="3" t="n">
        <v>613000</v>
      </c>
      <c r="F46" s="3" t="n">
        <v>145000</v>
      </c>
      <c r="G46" s="3" t="n"/>
      <c r="H46" s="3" t="n"/>
    </row>
    <row r="47">
      <c r="A47" t="inlineStr">
        <is>
          <t>Deferred Tax</t>
        </is>
      </c>
      <c r="B47" s="3" t="n">
        <v>4586000</v>
      </c>
      <c r="C47" s="3" t="n">
        <v>8114000</v>
      </c>
      <c r="D47" s="3" t="n">
        <v>25458000</v>
      </c>
      <c r="E47" s="3" t="n">
        <v>-8399000</v>
      </c>
      <c r="F47" s="3" t="n">
        <v>5976000</v>
      </c>
      <c r="G47" s="3" t="n"/>
      <c r="H47" s="3" t="n"/>
    </row>
    <row r="48">
      <c r="A48" t="inlineStr">
        <is>
          <t>Deferred Income Tax</t>
        </is>
      </c>
      <c r="B48" s="3" t="n">
        <v>4586000</v>
      </c>
      <c r="C48" s="3" t="n">
        <v>8114000</v>
      </c>
      <c r="D48" s="3" t="n">
        <v>25458000</v>
      </c>
      <c r="E48" s="3" t="n">
        <v>-8399000</v>
      </c>
      <c r="F48" s="3" t="n">
        <v>5976000</v>
      </c>
      <c r="G48" s="3" t="n"/>
      <c r="H48" s="3" t="n"/>
    </row>
    <row r="49">
      <c r="A49" t="inlineStr">
        <is>
          <t>Depreciation Amortization Depletion</t>
        </is>
      </c>
      <c r="B49" s="3" t="n">
        <v>20943000</v>
      </c>
      <c r="C49" s="3" t="n">
        <v>20401000</v>
      </c>
      <c r="D49" s="3" t="n">
        <v>20008000</v>
      </c>
      <c r="E49" s="3" t="n">
        <v>44000</v>
      </c>
      <c r="F49" s="3" t="n">
        <v>25000</v>
      </c>
      <c r="G49" s="3" t="n"/>
      <c r="H49" s="3" t="n"/>
    </row>
    <row r="50">
      <c r="A50" t="inlineStr">
        <is>
          <t>Depreciation And Amortization</t>
        </is>
      </c>
      <c r="B50" s="3" t="n">
        <v>20943000</v>
      </c>
      <c r="C50" s="3" t="n">
        <v>20401000</v>
      </c>
      <c r="D50" s="3" t="n">
        <v>20008000</v>
      </c>
      <c r="E50" s="3" t="n">
        <v>44000</v>
      </c>
      <c r="F50" s="3" t="n">
        <v>25000</v>
      </c>
      <c r="G50" s="3" t="n"/>
      <c r="H50" s="3" t="n"/>
    </row>
    <row r="51">
      <c r="A51" t="inlineStr">
        <is>
          <t>Depreciation</t>
        </is>
      </c>
      <c r="B51" s="3" t="n">
        <v>20943000</v>
      </c>
      <c r="C51" s="3" t="n">
        <v>25685000</v>
      </c>
      <c r="D51" s="3" t="n">
        <v>14724000</v>
      </c>
      <c r="E51" s="3" t="n">
        <v>44000</v>
      </c>
      <c r="F51" s="3" t="n">
        <v>25000</v>
      </c>
      <c r="G51" s="3" t="n"/>
      <c r="H51" s="3" t="n"/>
    </row>
    <row r="52">
      <c r="A52" t="inlineStr">
        <is>
          <t>Operating Gains Losses</t>
        </is>
      </c>
      <c r="B52" s="3" t="n"/>
      <c r="C52" s="3" t="n"/>
      <c r="D52" s="3" t="n"/>
      <c r="E52" s="3" t="n"/>
      <c r="F52" s="3" t="n"/>
      <c r="G52" s="3" t="n"/>
      <c r="H52" s="3" t="n">
        <v>-4000</v>
      </c>
    </row>
    <row r="53">
      <c r="A53" t="inlineStr">
        <is>
          <t>Net Foreign Currency Exchange Gain Loss</t>
        </is>
      </c>
      <c r="B53" s="3" t="n"/>
      <c r="C53" s="3" t="n"/>
      <c r="D53" s="3" t="n"/>
      <c r="E53" s="3" t="n"/>
      <c r="F53" s="3" t="n"/>
      <c r="G53" s="3" t="n"/>
      <c r="H53" s="3" t="n">
        <v>-5000</v>
      </c>
    </row>
    <row r="54">
      <c r="A54" t="inlineStr">
        <is>
          <t>Net Income From Continuing Operations</t>
        </is>
      </c>
      <c r="B54" s="3" t="n">
        <v>39815000</v>
      </c>
      <c r="C54" s="3" t="n">
        <v>32032000</v>
      </c>
      <c r="D54" s="3" t="n">
        <v>30782000</v>
      </c>
      <c r="E54" s="3" t="n">
        <v>15487000</v>
      </c>
      <c r="F54" s="3" t="n">
        <v>29292000</v>
      </c>
      <c r="G54" s="3" t="n"/>
      <c r="H54" s="3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Issue</t>
        </is>
      </c>
    </row>
    <row r="2">
      <c r="A2" t="inlineStr">
        <is>
          <t>—</t>
        </is>
      </c>
      <c r="B2" t="inlineStr">
        <is>
          <t>no gaps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2026-06-20T19:55:46Z</dcterms:created>
  <dcterms:modified xsi:type="dcterms:W3CDTF">2026-06-20T19:55:48Z</dcterms:modified>
</cp:coreProperties>
</file>