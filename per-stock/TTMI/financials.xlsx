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TTMI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TTM Technologies, Inc.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Technology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Electronic Components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22477305856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23112335360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117.63043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40.081482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7.2422094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0.21004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0.08599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0.06290999999999999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0.114029996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0.304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414279008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1049308032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-11815000</v>
      </c>
      <c r="C18" t="inlineStr">
        <is>
          <t>statement: TTM OCF - |capex| (yfinance quarterly_cashflow)</t>
        </is>
      </c>
    </row>
    <row r="19">
      <c r="A19" t="inlineStr">
        <is>
          <t>Shares outstanding</t>
        </is>
      </c>
      <c r="B19" t="n">
        <v>103850059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216.44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2023-12-31</t>
        </is>
      </c>
      <c r="C2" t="inlineStr">
        <is>
          <t>2024-12-31</t>
        </is>
      </c>
      <c r="D2" t="inlineStr">
        <is>
          <t>2025-12-31</t>
        </is>
      </c>
      <c r="E2" t="inlineStr">
        <is>
          <t>TTM → 2026-03-31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(annual)'!D53</f>
        <v/>
      </c>
      <c r="C3" s="3">
        <f>'Income stmt (annual)'!C53</f>
        <v/>
      </c>
      <c r="D3" s="3">
        <f>'Income stmt (annual)'!B53</f>
        <v/>
      </c>
      <c r="E3" s="3">
        <f>SUM('Income stmt (quarterly)'!B50:E50)</f>
        <v/>
      </c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(annual)'!D51</f>
        <v/>
      </c>
      <c r="C4" s="3">
        <f>'Income stmt (annual)'!C51</f>
        <v/>
      </c>
      <c r="D4" s="3">
        <f>'Income stmt (annual)'!B51</f>
        <v/>
      </c>
      <c r="E4" s="3">
        <f>SUM('Income stmt (quarterly)'!B48:E48)</f>
        <v/>
      </c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(annual)'!D40</f>
        <v/>
      </c>
      <c r="C6" s="3">
        <f>'Income stmt (annual)'!C40</f>
        <v/>
      </c>
      <c r="D6" s="3">
        <f>'Income stmt (annual)'!B40</f>
        <v/>
      </c>
      <c r="E6" s="3">
        <f>SUM('Income stmt (quarterly)'!B37:E37)</f>
        <v/>
      </c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(annual)'!D10</f>
        <v/>
      </c>
      <c r="C8" s="3">
        <f>'Income stmt (annual)'!C10</f>
        <v/>
      </c>
      <c r="D8" s="3">
        <f>'Income stmt (annual)'!B10</f>
        <v/>
      </c>
      <c r="E8" s="3">
        <f>SUM('Income stmt (quarterly)'!B10:E10)</f>
        <v/>
      </c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>
        <f>SUM('Cash flow (quarterly)'!B2:E2)</f>
        <v/>
      </c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(annual)'!D6</f>
        <v/>
      </c>
      <c r="C11" s="3">
        <f>-'Cash flow (annual)'!C6</f>
        <v/>
      </c>
      <c r="D11" s="3">
        <f>-'Cash flow (annual)'!B6</f>
        <v/>
      </c>
      <c r="E11" s="3">
        <f>-SUM('Cash flow (quarterly)'!B6:E6)</f>
        <v/>
      </c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>
        <f>'Balance sheet (annual)'!D5</f>
        <v/>
      </c>
      <c r="C13" s="3">
        <f>'Balance sheet (annual)'!C5</f>
        <v/>
      </c>
      <c r="D13" s="3">
        <f>'Balance sheet (annual)'!B5</f>
        <v/>
      </c>
      <c r="E13" s="3">
        <f>'Balance sheet (quarterly)'!B5</f>
        <v/>
      </c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(annual)'!D3/1e6</f>
        <v/>
      </c>
      <c r="C15" s="6">
        <f>'Balance sheet (annual)'!C3/1e6</f>
        <v/>
      </c>
      <c r="D15" s="6">
        <f>'Balance sheet (annual)'!B3/1e6</f>
        <v/>
      </c>
      <c r="E15" s="6">
        <f>'Balance sheet (quarterly)'!B3/1e6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Tax Effect Of Unusual Items</t>
        </is>
      </c>
      <c r="B2" s="3" t="n">
        <v>-445166.485212</v>
      </c>
      <c r="C2" s="3" t="n">
        <v>-14426258.799986</v>
      </c>
      <c r="D2" s="3" t="n">
        <v>-14350560</v>
      </c>
      <c r="E2" s="3" t="n">
        <v>10019100</v>
      </c>
      <c r="F2" s="3" t="n"/>
    </row>
    <row r="3">
      <c r="A3" t="inlineStr">
        <is>
          <t>Tax Rate For Calcs</t>
        </is>
      </c>
      <c r="B3" s="3" t="n">
        <v>0.156363</v>
      </c>
      <c r="C3" s="3" t="n">
        <v>0.329367</v>
      </c>
      <c r="D3" s="3" t="n">
        <v>0.21</v>
      </c>
      <c r="E3" s="3" t="n">
        <v>0.21</v>
      </c>
      <c r="F3" s="3" t="n"/>
    </row>
    <row r="4">
      <c r="A4" t="inlineStr">
        <is>
          <t>Normalized EBITDA</t>
        </is>
      </c>
      <c r="B4" s="3" t="n">
        <v>405689000</v>
      </c>
      <c r="C4" s="3" t="n">
        <v>325389000</v>
      </c>
      <c r="D4" s="3" t="n">
        <v>277488000</v>
      </c>
      <c r="E4" s="3" t="n">
        <v>314577000</v>
      </c>
      <c r="F4" s="3" t="n"/>
    </row>
    <row r="5">
      <c r="A5" t="inlineStr">
        <is>
          <t>Total Unusual Items</t>
        </is>
      </c>
      <c r="B5" s="3" t="n">
        <v>-2847000</v>
      </c>
      <c r="C5" s="3" t="n">
        <v>-43800000</v>
      </c>
      <c r="D5" s="3" t="n">
        <v>-68336000</v>
      </c>
      <c r="E5" s="3" t="n">
        <v>47710000</v>
      </c>
      <c r="F5" s="3" t="n"/>
    </row>
    <row r="6">
      <c r="A6" t="inlineStr">
        <is>
          <t>Total Unusual Items Excluding Goodwill</t>
        </is>
      </c>
      <c r="B6" s="3" t="n">
        <v>-2847000</v>
      </c>
      <c r="C6" s="3" t="n">
        <v>-43800000</v>
      </c>
      <c r="D6" s="3" t="n">
        <v>-68336000</v>
      </c>
      <c r="E6" s="3" t="n">
        <v>47710000</v>
      </c>
      <c r="F6" s="3" t="n"/>
    </row>
    <row r="7">
      <c r="A7" t="inlineStr">
        <is>
          <t>Net Income From Continuing Operation Net Minority Interest</t>
        </is>
      </c>
      <c r="B7" s="3" t="n">
        <v>177448000</v>
      </c>
      <c r="C7" s="3" t="n">
        <v>56299000</v>
      </c>
      <c r="D7" s="3" t="n">
        <v>-18718000</v>
      </c>
      <c r="E7" s="3" t="n">
        <v>94583000</v>
      </c>
      <c r="F7" s="3" t="n"/>
    </row>
    <row r="8">
      <c r="A8" t="inlineStr">
        <is>
          <t>Reconciled Depreciation</t>
        </is>
      </c>
      <c r="B8" s="3" t="n">
        <v>147171000</v>
      </c>
      <c r="C8" s="3" t="n">
        <v>150125000</v>
      </c>
      <c r="D8" s="3" t="n">
        <v>160731000</v>
      </c>
      <c r="E8" s="3" t="n">
        <v>133907000</v>
      </c>
      <c r="F8" s="3" t="n"/>
    </row>
    <row r="9">
      <c r="A9" t="inlineStr">
        <is>
          <t>Reconciled Cost Of Revenue</t>
        </is>
      </c>
      <c r="B9" s="3" t="n">
        <v>2185042000</v>
      </c>
      <c r="C9" s="3" t="n">
        <v>1850803000</v>
      </c>
      <c r="D9" s="3" t="n">
        <v>1707243000</v>
      </c>
      <c r="E9" s="3" t="n">
        <v>1940271000</v>
      </c>
      <c r="F9" s="3" t="n"/>
    </row>
    <row r="10">
      <c r="A10" t="inlineStr">
        <is>
          <t>EBITDA</t>
        </is>
      </c>
      <c r="B10" s="3" t="n">
        <v>402842000</v>
      </c>
      <c r="C10" s="3" t="n">
        <v>281589000</v>
      </c>
      <c r="D10" s="3" t="n">
        <v>209152000</v>
      </c>
      <c r="E10" s="3" t="n">
        <v>362287000</v>
      </c>
      <c r="F10" s="3" t="n"/>
    </row>
    <row r="11">
      <c r="A11" t="inlineStr">
        <is>
          <t>EBIT</t>
        </is>
      </c>
      <c r="B11" s="3" t="n">
        <v>255671000</v>
      </c>
      <c r="C11" s="3" t="n">
        <v>131464000</v>
      </c>
      <c r="D11" s="3" t="n">
        <v>48421000</v>
      </c>
      <c r="E11" s="3" t="n">
        <v>228380000</v>
      </c>
      <c r="F11" s="3" t="n"/>
    </row>
    <row r="12">
      <c r="A12" t="inlineStr">
        <is>
          <t>Net Interest Income</t>
        </is>
      </c>
      <c r="B12" s="3" t="n">
        <v>-45334000</v>
      </c>
      <c r="C12" s="3" t="n">
        <v>-47515000</v>
      </c>
      <c r="D12" s="3" t="n">
        <v>-48124000</v>
      </c>
      <c r="E12" s="3" t="n">
        <v>-45517000</v>
      </c>
      <c r="F12" s="3" t="n"/>
    </row>
    <row r="13">
      <c r="A13" t="inlineStr">
        <is>
          <t>Interest Expense</t>
        </is>
      </c>
      <c r="B13" s="3" t="n">
        <v>45334000</v>
      </c>
      <c r="C13" s="3" t="n">
        <v>47515000</v>
      </c>
      <c r="D13" s="3" t="n">
        <v>48124000</v>
      </c>
      <c r="E13" s="3" t="n">
        <v>45517000</v>
      </c>
      <c r="F13" s="3" t="n"/>
    </row>
    <row r="14">
      <c r="A14" t="inlineStr">
        <is>
          <t>Normalized Income</t>
        </is>
      </c>
      <c r="B14" s="3" t="n">
        <v>179849833.514788</v>
      </c>
      <c r="C14" s="3" t="n">
        <v>85672741.200014</v>
      </c>
      <c r="D14" s="3" t="n">
        <v>35267440</v>
      </c>
      <c r="E14" s="3" t="n">
        <v>56892100</v>
      </c>
      <c r="F14" s="3" t="n"/>
    </row>
    <row r="15">
      <c r="A15" t="inlineStr">
        <is>
          <t>Net Income From Continuing And Discontinued Operation</t>
        </is>
      </c>
      <c r="B15" s="3" t="n">
        <v>177448000</v>
      </c>
      <c r="C15" s="3" t="n">
        <v>56299000</v>
      </c>
      <c r="D15" s="3" t="n">
        <v>-18718000</v>
      </c>
      <c r="E15" s="3" t="n">
        <v>94583000</v>
      </c>
      <c r="F15" s="3" t="n"/>
    </row>
    <row r="16">
      <c r="A16" t="inlineStr">
        <is>
          <t>Total Expenses</t>
        </is>
      </c>
      <c r="B16" s="3" t="n">
        <v>2638814000</v>
      </c>
      <c r="C16" s="3" t="n">
        <v>2282910000</v>
      </c>
      <c r="D16" s="3" t="n">
        <v>2121799000</v>
      </c>
      <c r="E16" s="3" t="n">
        <v>2332348000</v>
      </c>
      <c r="F16" s="3" t="n"/>
    </row>
    <row r="17">
      <c r="A17" t="inlineStr">
        <is>
          <t>Total Operating Income As Reported</t>
        </is>
      </c>
      <c r="B17" s="3" t="n">
        <v>264684000</v>
      </c>
      <c r="C17" s="3" t="n">
        <v>116043000</v>
      </c>
      <c r="D17" s="3" t="n">
        <v>42316000</v>
      </c>
      <c r="E17" s="3" t="n">
        <v>210408000</v>
      </c>
      <c r="F17" s="3" t="n"/>
    </row>
    <row r="18">
      <c r="A18" t="inlineStr">
        <is>
          <t>Diluted Average Shares</t>
        </is>
      </c>
      <c r="B18" s="3" t="n">
        <v>105453000</v>
      </c>
      <c r="C18" s="3" t="n">
        <v>104098000</v>
      </c>
      <c r="D18" s="3" t="n">
        <v>102744000</v>
      </c>
      <c r="E18" s="3" t="n">
        <v>103866000</v>
      </c>
      <c r="F18" s="3" t="n"/>
    </row>
    <row r="19">
      <c r="A19" t="inlineStr">
        <is>
          <t>Basic Average Shares</t>
        </is>
      </c>
      <c r="B19" s="3" t="n">
        <v>102598000</v>
      </c>
      <c r="C19" s="3" t="n">
        <v>101781000</v>
      </c>
      <c r="D19" s="3" t="n">
        <v>102744000</v>
      </c>
      <c r="E19" s="3" t="n">
        <v>102074000</v>
      </c>
      <c r="F19" s="3" t="n"/>
    </row>
    <row r="20">
      <c r="A20" t="inlineStr">
        <is>
          <t>Diluted EPS</t>
        </is>
      </c>
      <c r="B20" s="3" t="n">
        <v>1.68</v>
      </c>
      <c r="C20" s="3" t="n">
        <v>0.54</v>
      </c>
      <c r="D20" s="3" t="n">
        <v>-0.18</v>
      </c>
      <c r="E20" s="3" t="n">
        <v>0.91</v>
      </c>
      <c r="F20" s="3" t="n"/>
    </row>
    <row r="21">
      <c r="A21" t="inlineStr">
        <is>
          <t>Basic EPS</t>
        </is>
      </c>
      <c r="B21" s="3" t="n">
        <v>1.73</v>
      </c>
      <c r="C21" s="3" t="n">
        <v>0.55</v>
      </c>
      <c r="D21" s="3" t="n">
        <v>-0.18</v>
      </c>
      <c r="E21" s="3" t="n">
        <v>0.93</v>
      </c>
      <c r="F21" s="3" t="n"/>
    </row>
    <row r="22">
      <c r="A22" t="inlineStr">
        <is>
          <t>Diluted NI Availto Com Stockholders</t>
        </is>
      </c>
      <c r="B22" s="3" t="n">
        <v>177448000</v>
      </c>
      <c r="C22" s="3" t="n">
        <v>56299000</v>
      </c>
      <c r="D22" s="3" t="n">
        <v>-18718000</v>
      </c>
      <c r="E22" s="3" t="n">
        <v>94583000</v>
      </c>
      <c r="F22" s="3" t="n"/>
    </row>
    <row r="23">
      <c r="A23" t="inlineStr">
        <is>
          <t>Net Income Common Stockholders</t>
        </is>
      </c>
      <c r="B23" s="3" t="n">
        <v>177448000</v>
      </c>
      <c r="C23" s="3" t="n">
        <v>56299000</v>
      </c>
      <c r="D23" s="3" t="n">
        <v>-18718000</v>
      </c>
      <c r="E23" s="3" t="n">
        <v>94583000</v>
      </c>
      <c r="F23" s="3" t="n"/>
    </row>
    <row r="24">
      <c r="A24" t="inlineStr">
        <is>
          <t>Net Income</t>
        </is>
      </c>
      <c r="B24" s="3" t="n">
        <v>177448000</v>
      </c>
      <c r="C24" s="3" t="n">
        <v>56299000</v>
      </c>
      <c r="D24" s="3" t="n">
        <v>-18718000</v>
      </c>
      <c r="E24" s="3" t="n">
        <v>94583000</v>
      </c>
      <c r="F24" s="3" t="n"/>
    </row>
    <row r="25">
      <c r="A25" t="inlineStr">
        <is>
          <t>Net Income Including Noncontrolling Interests</t>
        </is>
      </c>
      <c r="B25" s="3" t="n">
        <v>177448000</v>
      </c>
      <c r="C25" s="3" t="n">
        <v>56299000</v>
      </c>
      <c r="D25" s="3" t="n">
        <v>-18718000</v>
      </c>
      <c r="E25" s="3" t="n">
        <v>94583000</v>
      </c>
      <c r="F25" s="3" t="n"/>
    </row>
    <row r="26">
      <c r="A26" t="inlineStr">
        <is>
          <t>Net Income Discontinuous Operations</t>
        </is>
      </c>
      <c r="B26" s="3" t="n"/>
      <c r="C26" s="3" t="n"/>
      <c r="D26" s="3" t="n"/>
      <c r="E26" s="3" t="n">
        <v>0</v>
      </c>
      <c r="F26" s="3" t="n">
        <v>0</v>
      </c>
    </row>
    <row r="27">
      <c r="A27" t="inlineStr">
        <is>
          <t>Net Income Continuous Operations</t>
        </is>
      </c>
      <c r="B27" s="3" t="n">
        <v>177448000</v>
      </c>
      <c r="C27" s="3" t="n">
        <v>56299000</v>
      </c>
      <c r="D27" s="3" t="n">
        <v>-18718000</v>
      </c>
      <c r="E27" s="3" t="n">
        <v>94583000</v>
      </c>
      <c r="F27" s="3" t="n"/>
    </row>
    <row r="28">
      <c r="A28" t="inlineStr">
        <is>
          <t>Tax Provision</t>
        </is>
      </c>
      <c r="B28" s="3" t="n">
        <v>32889000</v>
      </c>
      <c r="C28" s="3" t="n">
        <v>27650000</v>
      </c>
      <c r="D28" s="3" t="n">
        <v>19015000</v>
      </c>
      <c r="E28" s="3" t="n">
        <v>88280000</v>
      </c>
      <c r="F28" s="3" t="n"/>
    </row>
    <row r="29">
      <c r="A29" t="inlineStr">
        <is>
          <t>Pretax Income</t>
        </is>
      </c>
      <c r="B29" s="3" t="n">
        <v>210337000</v>
      </c>
      <c r="C29" s="3" t="n">
        <v>83949000</v>
      </c>
      <c r="D29" s="3" t="n">
        <v>297000</v>
      </c>
      <c r="E29" s="3" t="n">
        <v>182863000</v>
      </c>
      <c r="F29" s="3" t="n"/>
    </row>
    <row r="30">
      <c r="A30" t="inlineStr">
        <is>
          <t>Other Income Expense</t>
        </is>
      </c>
      <c r="B30" s="3" t="n">
        <v>-11860000</v>
      </c>
      <c r="C30" s="3" t="n">
        <v>-28379000</v>
      </c>
      <c r="D30" s="3" t="n">
        <v>-62347000</v>
      </c>
      <c r="E30" s="3" t="n">
        <v>65682000</v>
      </c>
      <c r="F30" s="3" t="n"/>
    </row>
    <row r="31">
      <c r="A31" t="inlineStr">
        <is>
          <t>Other Non Operating Income Expenses</t>
        </is>
      </c>
      <c r="B31" s="3" t="n">
        <v>-9013000</v>
      </c>
      <c r="C31" s="3" t="n">
        <v>15421000</v>
      </c>
      <c r="D31" s="3" t="n">
        <v>5989000</v>
      </c>
      <c r="E31" s="3" t="n">
        <v>17972000</v>
      </c>
      <c r="F31" s="3" t="n"/>
    </row>
    <row r="32">
      <c r="A32" t="inlineStr">
        <is>
          <t>Special Income Charges</t>
        </is>
      </c>
      <c r="B32" s="3" t="n">
        <v>-2847000</v>
      </c>
      <c r="C32" s="3" t="n">
        <v>-43800000</v>
      </c>
      <c r="D32" s="3" t="n">
        <v>-68336000</v>
      </c>
      <c r="E32" s="3" t="n">
        <v>47710000</v>
      </c>
      <c r="F32" s="3" t="n"/>
    </row>
    <row r="33">
      <c r="A33" t="inlineStr">
        <is>
          <t>Gain On Sale Of Ppe</t>
        </is>
      </c>
      <c r="B33" s="3" t="n"/>
      <c r="C33" s="3" t="n">
        <v>0</v>
      </c>
      <c r="D33" s="3" t="n">
        <v>0</v>
      </c>
      <c r="E33" s="3" t="n">
        <v>51804000</v>
      </c>
      <c r="F33" s="3" t="n">
        <v>0</v>
      </c>
    </row>
    <row r="34">
      <c r="A34" t="inlineStr">
        <is>
          <t>Gain On Sale Of Business</t>
        </is>
      </c>
      <c r="B34" s="3" t="n">
        <v>0</v>
      </c>
      <c r="C34" s="3" t="n">
        <v>0</v>
      </c>
      <c r="D34" s="3" t="n">
        <v>1270000</v>
      </c>
      <c r="E34" s="3" t="n">
        <v>0</v>
      </c>
      <c r="F34" s="3" t="n"/>
    </row>
    <row r="35">
      <c r="A35" t="inlineStr">
        <is>
          <t>Other Special Charges</t>
        </is>
      </c>
      <c r="B35" s="3" t="n"/>
      <c r="C35" s="3" t="n"/>
      <c r="D35" s="3" t="n">
        <v>1154000</v>
      </c>
      <c r="E35" s="3" t="n"/>
      <c r="F35" s="3" t="n">
        <v>15217000</v>
      </c>
    </row>
    <row r="36">
      <c r="A36" t="inlineStr">
        <is>
          <t>Impairment Of Capital Assets</t>
        </is>
      </c>
      <c r="B36" s="3" t="n">
        <v>0</v>
      </c>
      <c r="C36" s="3" t="n">
        <v>32600000</v>
      </c>
      <c r="D36" s="3" t="n">
        <v>44100000</v>
      </c>
      <c r="E36" s="3" t="n">
        <v>0</v>
      </c>
      <c r="F36" s="3" t="n"/>
    </row>
    <row r="37">
      <c r="A37" t="inlineStr">
        <is>
          <t>Restructuring And Mergern Acquisition</t>
        </is>
      </c>
      <c r="B37" s="3" t="n">
        <v>2847000</v>
      </c>
      <c r="C37" s="3" t="n">
        <v>11200000</v>
      </c>
      <c r="D37" s="3" t="n">
        <v>24352000</v>
      </c>
      <c r="E37" s="3" t="n">
        <v>4094000</v>
      </c>
      <c r="F37" s="3" t="n"/>
    </row>
    <row r="38">
      <c r="A38" t="inlineStr">
        <is>
          <t>Net Non Operating Interest Income Expense</t>
        </is>
      </c>
      <c r="B38" s="3" t="n">
        <v>-45334000</v>
      </c>
      <c r="C38" s="3" t="n">
        <v>-47515000</v>
      </c>
      <c r="D38" s="3" t="n">
        <v>-48124000</v>
      </c>
      <c r="E38" s="3" t="n">
        <v>-45517000</v>
      </c>
      <c r="F38" s="3" t="n"/>
    </row>
    <row r="39">
      <c r="A39" t="inlineStr">
        <is>
          <t>Interest Expense Non Operating</t>
        </is>
      </c>
      <c r="B39" s="3" t="n">
        <v>45334000</v>
      </c>
      <c r="C39" s="3" t="n">
        <v>47515000</v>
      </c>
      <c r="D39" s="3" t="n">
        <v>48124000</v>
      </c>
      <c r="E39" s="3" t="n">
        <v>45517000</v>
      </c>
      <c r="F39" s="3" t="n"/>
    </row>
    <row r="40">
      <c r="A40" t="inlineStr">
        <is>
          <t>Operating Income</t>
        </is>
      </c>
      <c r="B40" s="3" t="n">
        <v>267531000</v>
      </c>
      <c r="C40" s="3" t="n">
        <v>159843000</v>
      </c>
      <c r="D40" s="3" t="n">
        <v>110768000</v>
      </c>
      <c r="E40" s="3" t="n">
        <v>162698000</v>
      </c>
      <c r="F40" s="3" t="n"/>
    </row>
    <row r="41">
      <c r="A41" t="inlineStr">
        <is>
          <t>Operating Expense</t>
        </is>
      </c>
      <c r="B41" s="3" t="n">
        <v>334155000</v>
      </c>
      <c r="C41" s="3" t="n">
        <v>317532000</v>
      </c>
      <c r="D41" s="3" t="n">
        <v>302500000</v>
      </c>
      <c r="E41" s="3" t="n">
        <v>295267000</v>
      </c>
      <c r="F41" s="3" t="n"/>
    </row>
    <row r="42">
      <c r="A42" t="inlineStr">
        <is>
          <t>Depreciation Amortization Depletion Income Statement</t>
        </is>
      </c>
      <c r="B42" s="3" t="n">
        <v>27554000</v>
      </c>
      <c r="C42" s="3" t="n">
        <v>35550000</v>
      </c>
      <c r="D42" s="3" t="n">
        <v>48675000</v>
      </c>
      <c r="E42" s="3" t="n">
        <v>37097000</v>
      </c>
      <c r="F42" s="3" t="n"/>
    </row>
    <row r="43">
      <c r="A43" t="inlineStr">
        <is>
          <t>Depreciation And Amortization In Income Statement</t>
        </is>
      </c>
      <c r="B43" s="3" t="n">
        <v>27554000</v>
      </c>
      <c r="C43" s="3" t="n">
        <v>35550000</v>
      </c>
      <c r="D43" s="3" t="n">
        <v>48675000</v>
      </c>
      <c r="E43" s="3" t="n">
        <v>37097000</v>
      </c>
      <c r="F43" s="3" t="n"/>
    </row>
    <row r="44">
      <c r="A44" t="inlineStr">
        <is>
          <t>Amortization</t>
        </is>
      </c>
      <c r="B44" s="3" t="n">
        <v>27554000</v>
      </c>
      <c r="C44" s="3" t="n">
        <v>35550000</v>
      </c>
      <c r="D44" s="3" t="n">
        <v>48675000</v>
      </c>
      <c r="E44" s="3" t="n">
        <v>37097000</v>
      </c>
      <c r="F44" s="3" t="n"/>
    </row>
    <row r="45">
      <c r="A45" t="inlineStr">
        <is>
          <t>Amortization Of Intangibles Income Statement</t>
        </is>
      </c>
      <c r="B45" s="3" t="n">
        <v>27554000</v>
      </c>
      <c r="C45" s="3" t="n">
        <v>35550000</v>
      </c>
      <c r="D45" s="3" t="n">
        <v>48675000</v>
      </c>
      <c r="E45" s="3" t="n">
        <v>37097000</v>
      </c>
      <c r="F45" s="3" t="n"/>
    </row>
    <row r="46">
      <c r="A46" t="inlineStr">
        <is>
          <t>Research And Development</t>
        </is>
      </c>
      <c r="B46" s="3" t="n">
        <v>28992000</v>
      </c>
      <c r="C46" s="3" t="n">
        <v>31845000</v>
      </c>
      <c r="D46" s="3" t="n">
        <v>27272000</v>
      </c>
      <c r="E46" s="3" t="n">
        <v>24808000</v>
      </c>
      <c r="F46" s="3" t="n"/>
    </row>
    <row r="47">
      <c r="A47" t="inlineStr">
        <is>
          <t>Selling General And Administration</t>
        </is>
      </c>
      <c r="B47" s="3" t="n">
        <v>277609000</v>
      </c>
      <c r="C47" s="3" t="n">
        <v>250137000</v>
      </c>
      <c r="D47" s="3" t="n">
        <v>226553000</v>
      </c>
      <c r="E47" s="3" t="n">
        <v>233362000</v>
      </c>
      <c r="F47" s="3" t="n"/>
    </row>
    <row r="48">
      <c r="A48" t="inlineStr">
        <is>
          <t>Selling And Marketing Expense</t>
        </is>
      </c>
      <c r="B48" s="3" t="n">
        <v>85460000</v>
      </c>
      <c r="C48" s="3" t="n">
        <v>80030000</v>
      </c>
      <c r="D48" s="3" t="n">
        <v>76922000</v>
      </c>
      <c r="E48" s="3" t="n">
        <v>75182000</v>
      </c>
      <c r="F48" s="3" t="n"/>
    </row>
    <row r="49">
      <c r="A49" t="inlineStr">
        <is>
          <t>General And Administrative Expense</t>
        </is>
      </c>
      <c r="B49" s="3" t="n">
        <v>192149000</v>
      </c>
      <c r="C49" s="3" t="n">
        <v>170107000</v>
      </c>
      <c r="D49" s="3" t="n">
        <v>149631000</v>
      </c>
      <c r="E49" s="3" t="n">
        <v>158180000</v>
      </c>
      <c r="F49" s="3" t="n"/>
    </row>
    <row r="50">
      <c r="A50" t="inlineStr">
        <is>
          <t>Other Gand A</t>
        </is>
      </c>
      <c r="B50" s="3" t="n">
        <v>192149000</v>
      </c>
      <c r="C50" s="3" t="n">
        <v>170107000</v>
      </c>
      <c r="D50" s="3" t="n">
        <v>149631000</v>
      </c>
      <c r="E50" s="3" t="n">
        <v>158180000</v>
      </c>
      <c r="F50" s="3" t="n"/>
    </row>
    <row r="51">
      <c r="A51" t="inlineStr">
        <is>
          <t>Gross Profit</t>
        </is>
      </c>
      <c r="B51" s="3" t="n">
        <v>601686000</v>
      </c>
      <c r="C51" s="3" t="n">
        <v>477375000</v>
      </c>
      <c r="D51" s="3" t="n">
        <v>413268000</v>
      </c>
      <c r="E51" s="3" t="n">
        <v>457965000</v>
      </c>
      <c r="F51" s="3" t="n"/>
    </row>
    <row r="52">
      <c r="A52" t="inlineStr">
        <is>
          <t>Cost Of Revenue</t>
        </is>
      </c>
      <c r="B52" s="3" t="n">
        <v>2304659000</v>
      </c>
      <c r="C52" s="3" t="n">
        <v>1965378000</v>
      </c>
      <c r="D52" s="3" t="n">
        <v>1819299000</v>
      </c>
      <c r="E52" s="3" t="n">
        <v>2037081000</v>
      </c>
      <c r="F52" s="3" t="n"/>
    </row>
    <row r="53">
      <c r="A53" t="inlineStr">
        <is>
          <t>Total Revenue</t>
        </is>
      </c>
      <c r="B53" s="3" t="n">
        <v>2906345000</v>
      </c>
      <c r="C53" s="3" t="n">
        <v>2442753000</v>
      </c>
      <c r="D53" s="3" t="n">
        <v>2232567000</v>
      </c>
      <c r="E53" s="3" t="n">
        <v>2495046000</v>
      </c>
      <c r="F53" s="3" t="n"/>
    </row>
    <row r="54">
      <c r="A54" t="inlineStr">
        <is>
          <t>Operating Revenue</t>
        </is>
      </c>
      <c r="B54" s="3" t="n">
        <v>2906345000</v>
      </c>
      <c r="C54" s="3" t="n">
        <v>2442753000</v>
      </c>
      <c r="D54" s="3" t="n">
        <v>2232567000</v>
      </c>
      <c r="E54" s="3" t="n">
        <v>2495046000</v>
      </c>
      <c r="F54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Tax Effect Of Unusual Items</t>
        </is>
      </c>
      <c r="B2" s="3" t="n">
        <v>-43177.308842</v>
      </c>
      <c r="C2" s="3" t="n"/>
      <c r="D2" s="3" t="n">
        <v>-72117.87164500001</v>
      </c>
      <c r="E2" s="3" t="n">
        <v>-123557.605711</v>
      </c>
      <c r="F2" s="3" t="n">
        <v>-153508.8678</v>
      </c>
      <c r="G2" s="3" t="n">
        <v>-7860930</v>
      </c>
      <c r="H2" s="3" t="n"/>
    </row>
    <row r="3">
      <c r="A3" t="inlineStr">
        <is>
          <t>Tax Rate For Calcs</t>
        </is>
      </c>
      <c r="B3" s="3" t="n">
        <v>0.145869</v>
      </c>
      <c r="C3" s="3" t="n">
        <v>0.182605</v>
      </c>
      <c r="D3" s="3" t="n">
        <v>0.141685</v>
      </c>
      <c r="E3" s="3" t="n">
        <v>0.087754</v>
      </c>
      <c r="F3" s="3" t="n">
        <v>0.214998</v>
      </c>
      <c r="G3" s="3" t="n"/>
      <c r="H3" s="3" t="n"/>
    </row>
    <row r="4">
      <c r="A4" t="inlineStr">
        <is>
          <t>Normalized EBITDA</t>
        </is>
      </c>
      <c r="B4" s="3" t="n">
        <v>107937000</v>
      </c>
      <c r="C4" s="3" t="n">
        <v>111963000</v>
      </c>
      <c r="D4" s="3" t="n">
        <v>109526000</v>
      </c>
      <c r="E4" s="3" t="n">
        <v>94944000</v>
      </c>
      <c r="F4" s="3" t="n">
        <v>89256000</v>
      </c>
      <c r="G4" s="3" t="n"/>
      <c r="H4" s="3" t="n"/>
    </row>
    <row r="5">
      <c r="A5" t="inlineStr">
        <is>
          <t>Total Unusual Items</t>
        </is>
      </c>
      <c r="B5" s="3" t="n">
        <v>-296000</v>
      </c>
      <c r="C5" s="3" t="n">
        <v>-216000</v>
      </c>
      <c r="D5" s="3" t="n">
        <v>-509000</v>
      </c>
      <c r="E5" s="3" t="n">
        <v>-1408000</v>
      </c>
      <c r="F5" s="3" t="n">
        <v>-714000</v>
      </c>
      <c r="G5" s="3" t="n"/>
      <c r="H5" s="3" t="n"/>
    </row>
    <row r="6">
      <c r="A6" t="inlineStr">
        <is>
          <t>Total Unusual Items Excluding Goodwill</t>
        </is>
      </c>
      <c r="B6" s="3" t="n">
        <v>-296000</v>
      </c>
      <c r="C6" s="3" t="n">
        <v>-216000</v>
      </c>
      <c r="D6" s="3" t="n">
        <v>-509000</v>
      </c>
      <c r="E6" s="3" t="n">
        <v>-1408000</v>
      </c>
      <c r="F6" s="3" t="n">
        <v>-714000</v>
      </c>
      <c r="G6" s="3" t="n"/>
      <c r="H6" s="3" t="n"/>
    </row>
    <row r="7">
      <c r="A7" t="inlineStr">
        <is>
          <t>Net Income From Continuing Operation Net Minority Interest</t>
        </is>
      </c>
      <c r="B7" s="3" t="n">
        <v>49988000</v>
      </c>
      <c r="C7" s="3" t="n">
        <v>50685000</v>
      </c>
      <c r="D7" s="3" t="n">
        <v>53055000</v>
      </c>
      <c r="E7" s="3" t="n">
        <v>41530000</v>
      </c>
      <c r="F7" s="3" t="n">
        <v>32178000</v>
      </c>
      <c r="G7" s="3" t="n"/>
      <c r="H7" s="3" t="n"/>
    </row>
    <row r="8">
      <c r="A8" t="inlineStr">
        <is>
          <t>Reconciled Depreciation</t>
        </is>
      </c>
      <c r="B8" s="3" t="n">
        <v>38516000</v>
      </c>
      <c r="C8" s="3" t="n">
        <v>37363000</v>
      </c>
      <c r="D8" s="3" t="n">
        <v>36805000</v>
      </c>
      <c r="E8" s="3" t="n">
        <v>36916000</v>
      </c>
      <c r="F8" s="3" t="n">
        <v>36087000</v>
      </c>
      <c r="G8" s="3" t="n"/>
      <c r="H8" s="3" t="n"/>
    </row>
    <row r="9">
      <c r="A9" t="inlineStr">
        <is>
          <t>Reconciled Cost Of Revenue</t>
        </is>
      </c>
      <c r="B9" s="3" t="n">
        <v>633168000</v>
      </c>
      <c r="C9" s="3" t="n">
        <v>577976000</v>
      </c>
      <c r="D9" s="3" t="n">
        <v>566084000</v>
      </c>
      <c r="E9" s="3" t="n">
        <v>552484000</v>
      </c>
      <c r="F9" s="3" t="n">
        <v>488498000</v>
      </c>
      <c r="G9" s="3" t="n"/>
      <c r="H9" s="3" t="n"/>
    </row>
    <row r="10">
      <c r="A10" t="inlineStr">
        <is>
          <t>EBITDA</t>
        </is>
      </c>
      <c r="B10" s="3" t="n">
        <v>107641000</v>
      </c>
      <c r="C10" s="3" t="n">
        <v>111747000</v>
      </c>
      <c r="D10" s="3" t="n">
        <v>109017000</v>
      </c>
      <c r="E10" s="3" t="n">
        <v>93536000</v>
      </c>
      <c r="F10" s="3" t="n">
        <v>88542000</v>
      </c>
      <c r="G10" s="3" t="n"/>
      <c r="H10" s="3" t="n"/>
    </row>
    <row r="11">
      <c r="A11" t="inlineStr">
        <is>
          <t>EBIT</t>
        </is>
      </c>
      <c r="B11" s="3" t="n">
        <v>69125000</v>
      </c>
      <c r="C11" s="3" t="n">
        <v>74384000</v>
      </c>
      <c r="D11" s="3" t="n">
        <v>72212000</v>
      </c>
      <c r="E11" s="3" t="n">
        <v>56620000</v>
      </c>
      <c r="F11" s="3" t="n">
        <v>52455000</v>
      </c>
      <c r="G11" s="3" t="n"/>
      <c r="H11" s="3" t="n"/>
    </row>
    <row r="12">
      <c r="A12" t="inlineStr">
        <is>
          <t>Net Interest Income</t>
        </is>
      </c>
      <c r="B12" s="3" t="n">
        <v>-10600000</v>
      </c>
      <c r="C12" s="3" t="n">
        <v>-12376000</v>
      </c>
      <c r="D12" s="3" t="n">
        <v>-10399000</v>
      </c>
      <c r="E12" s="3" t="n">
        <v>-11095000</v>
      </c>
      <c r="F12" s="3" t="n">
        <v>-11464000</v>
      </c>
      <c r="G12" s="3" t="n"/>
      <c r="H12" s="3" t="n"/>
    </row>
    <row r="13">
      <c r="A13" t="inlineStr">
        <is>
          <t>Interest Expense</t>
        </is>
      </c>
      <c r="B13" s="3" t="n">
        <v>10600000</v>
      </c>
      <c r="C13" s="3" t="n">
        <v>12376000</v>
      </c>
      <c r="D13" s="3" t="n">
        <v>10399000</v>
      </c>
      <c r="E13" s="3" t="n">
        <v>11095000</v>
      </c>
      <c r="F13" s="3" t="n">
        <v>11464000</v>
      </c>
      <c r="G13" s="3" t="n"/>
      <c r="H13" s="3" t="n"/>
    </row>
    <row r="14">
      <c r="A14" t="inlineStr">
        <is>
          <t>Normalized Income</t>
        </is>
      </c>
      <c r="B14" s="3" t="n">
        <v>50240822.691158</v>
      </c>
      <c r="C14" s="3" t="n">
        <v>50861557.218423</v>
      </c>
      <c r="D14" s="3" t="n">
        <v>53491882.128355</v>
      </c>
      <c r="E14" s="3" t="n">
        <v>42814442.394289</v>
      </c>
      <c r="F14" s="3" t="n">
        <v>32738491.1322</v>
      </c>
      <c r="G14" s="3" t="n"/>
      <c r="H14" s="3" t="n"/>
    </row>
    <row r="15">
      <c r="A15" t="inlineStr">
        <is>
          <t>Net Income From Continuing And Discontinued Operation</t>
        </is>
      </c>
      <c r="B15" s="3" t="n">
        <v>49988000</v>
      </c>
      <c r="C15" s="3" t="n">
        <v>50685000</v>
      </c>
      <c r="D15" s="3" t="n">
        <v>53055000</v>
      </c>
      <c r="E15" s="3" t="n">
        <v>41530000</v>
      </c>
      <c r="F15" s="3" t="n">
        <v>32178000</v>
      </c>
      <c r="G15" s="3" t="n"/>
      <c r="H15" s="3" t="n"/>
    </row>
    <row r="16">
      <c r="A16" t="inlineStr">
        <is>
          <t>Total Expenses</t>
        </is>
      </c>
      <c r="B16" s="3" t="n">
        <v>773231000</v>
      </c>
      <c r="C16" s="3" t="n">
        <v>693355000</v>
      </c>
      <c r="D16" s="3" t="n">
        <v>680321000</v>
      </c>
      <c r="E16" s="3" t="n">
        <v>667444000</v>
      </c>
      <c r="F16" s="3" t="n">
        <v>597694000</v>
      </c>
      <c r="G16" s="3" t="n"/>
      <c r="H16" s="3" t="n"/>
    </row>
    <row r="17">
      <c r="A17" t="inlineStr">
        <is>
          <t>Total Operating Income As Reported</t>
        </is>
      </c>
      <c r="B17" s="3" t="n">
        <v>72449000</v>
      </c>
      <c r="C17" s="3" t="n">
        <v>80749000</v>
      </c>
      <c r="D17" s="3" t="n">
        <v>71906000</v>
      </c>
      <c r="E17" s="3" t="n">
        <v>61769000</v>
      </c>
      <c r="F17" s="3" t="n">
        <v>50260000</v>
      </c>
      <c r="G17" s="3" t="n"/>
      <c r="H17" s="3" t="n"/>
    </row>
    <row r="18">
      <c r="A18" t="inlineStr">
        <is>
          <t>Diluted Average Shares</t>
        </is>
      </c>
      <c r="B18" s="3" t="n">
        <v>107084000</v>
      </c>
      <c r="C18" s="3" t="n">
        <v>106596000</v>
      </c>
      <c r="D18" s="3" t="n">
        <v>105812000</v>
      </c>
      <c r="E18" s="3" t="n">
        <v>104873000</v>
      </c>
      <c r="F18" s="3" t="n">
        <v>104530000</v>
      </c>
      <c r="G18" s="3" t="n"/>
      <c r="H18" s="3" t="n"/>
    </row>
    <row r="19">
      <c r="A19" t="inlineStr">
        <is>
          <t>Basic Average Shares</t>
        </is>
      </c>
      <c r="B19" s="3" t="n">
        <v>103832000</v>
      </c>
      <c r="C19" s="3" t="n">
        <v>103351000</v>
      </c>
      <c r="D19" s="3" t="n">
        <v>103321000</v>
      </c>
      <c r="E19" s="3" t="n">
        <v>101857000</v>
      </c>
      <c r="F19" s="3" t="n">
        <v>101866000</v>
      </c>
      <c r="G19" s="3" t="n"/>
      <c r="H19" s="3" t="n"/>
    </row>
    <row r="20">
      <c r="A20" t="inlineStr">
        <is>
          <t>Diluted EPS</t>
        </is>
      </c>
      <c r="B20" s="3" t="n">
        <v>0.47</v>
      </c>
      <c r="C20" s="3" t="n">
        <v>0.48</v>
      </c>
      <c r="D20" s="3" t="n">
        <v>0.5</v>
      </c>
      <c r="E20" s="3" t="n">
        <v>0.4</v>
      </c>
      <c r="F20" s="3" t="n">
        <v>0.31</v>
      </c>
      <c r="G20" s="3" t="n"/>
      <c r="H20" s="3" t="n"/>
    </row>
    <row r="21">
      <c r="A21" t="inlineStr">
        <is>
          <t>Basic EPS</t>
        </is>
      </c>
      <c r="B21" s="3" t="n">
        <v>0.48</v>
      </c>
      <c r="C21" s="3" t="n">
        <v>0.49</v>
      </c>
      <c r="D21" s="3" t="n">
        <v>0.51</v>
      </c>
      <c r="E21" s="3" t="n">
        <v>0.41</v>
      </c>
      <c r="F21" s="3" t="n">
        <v>0.32</v>
      </c>
      <c r="G21" s="3" t="n"/>
      <c r="H21" s="3" t="n"/>
    </row>
    <row r="22">
      <c r="A22" t="inlineStr">
        <is>
          <t>Diluted NI Availto Com Stockholders</t>
        </is>
      </c>
      <c r="B22" s="3" t="n">
        <v>49988000</v>
      </c>
      <c r="C22" s="3" t="n">
        <v>50685000</v>
      </c>
      <c r="D22" s="3" t="n">
        <v>53055000</v>
      </c>
      <c r="E22" s="3" t="n">
        <v>41530000</v>
      </c>
      <c r="F22" s="3" t="n">
        <v>32178000</v>
      </c>
      <c r="G22" s="3" t="n"/>
      <c r="H22" s="3" t="n"/>
    </row>
    <row r="23">
      <c r="A23" t="inlineStr">
        <is>
          <t>Net Income Common Stockholders</t>
        </is>
      </c>
      <c r="B23" s="3" t="n">
        <v>49988000</v>
      </c>
      <c r="C23" s="3" t="n">
        <v>50685000</v>
      </c>
      <c r="D23" s="3" t="n">
        <v>53055000</v>
      </c>
      <c r="E23" s="3" t="n">
        <v>41530000</v>
      </c>
      <c r="F23" s="3" t="n">
        <v>32178000</v>
      </c>
      <c r="G23" s="3" t="n"/>
      <c r="H23" s="3" t="n"/>
    </row>
    <row r="24">
      <c r="A24" t="inlineStr">
        <is>
          <t>Net Income</t>
        </is>
      </c>
      <c r="B24" s="3" t="n">
        <v>49988000</v>
      </c>
      <c r="C24" s="3" t="n">
        <v>50685000</v>
      </c>
      <c r="D24" s="3" t="n">
        <v>53055000</v>
      </c>
      <c r="E24" s="3" t="n">
        <v>41530000</v>
      </c>
      <c r="F24" s="3" t="n">
        <v>32178000</v>
      </c>
      <c r="G24" s="3" t="n"/>
      <c r="H24" s="3" t="n"/>
    </row>
    <row r="25">
      <c r="A25" t="inlineStr">
        <is>
          <t>Net Income Including Noncontrolling Interests</t>
        </is>
      </c>
      <c r="B25" s="3" t="n">
        <v>49988000</v>
      </c>
      <c r="C25" s="3" t="n">
        <v>50685000</v>
      </c>
      <c r="D25" s="3" t="n">
        <v>53055000</v>
      </c>
      <c r="E25" s="3" t="n">
        <v>41530000</v>
      </c>
      <c r="F25" s="3" t="n">
        <v>32178000</v>
      </c>
      <c r="G25" s="3" t="n"/>
      <c r="H25" s="3" t="n"/>
    </row>
    <row r="26">
      <c r="A26" t="inlineStr">
        <is>
          <t>Net Income Continuous Operations</t>
        </is>
      </c>
      <c r="B26" s="3" t="n">
        <v>49988000</v>
      </c>
      <c r="C26" s="3" t="n">
        <v>50685000</v>
      </c>
      <c r="D26" s="3" t="n">
        <v>53055000</v>
      </c>
      <c r="E26" s="3" t="n">
        <v>41530000</v>
      </c>
      <c r="F26" s="3" t="n">
        <v>32178000</v>
      </c>
      <c r="G26" s="3" t="n"/>
      <c r="H26" s="3" t="n"/>
    </row>
    <row r="27">
      <c r="A27" t="inlineStr">
        <is>
          <t>Tax Provision</t>
        </is>
      </c>
      <c r="B27" s="3" t="n">
        <v>8537000</v>
      </c>
      <c r="C27" s="3" t="n">
        <v>11323000</v>
      </c>
      <c r="D27" s="3" t="n">
        <v>8758000</v>
      </c>
      <c r="E27" s="3" t="n">
        <v>3995000</v>
      </c>
      <c r="F27" s="3" t="n">
        <v>8813000</v>
      </c>
      <c r="G27" s="3" t="n"/>
      <c r="H27" s="3" t="n"/>
    </row>
    <row r="28">
      <c r="A28" t="inlineStr">
        <is>
          <t>Pretax Income</t>
        </is>
      </c>
      <c r="B28" s="3" t="n">
        <v>58525000</v>
      </c>
      <c r="C28" s="3" t="n">
        <v>62008000</v>
      </c>
      <c r="D28" s="3" t="n">
        <v>61813000</v>
      </c>
      <c r="E28" s="3" t="n">
        <v>45525000</v>
      </c>
      <c r="F28" s="3" t="n">
        <v>40991000</v>
      </c>
      <c r="G28" s="3" t="n"/>
      <c r="H28" s="3" t="n"/>
    </row>
    <row r="29">
      <c r="A29" t="inlineStr">
        <is>
          <t>Other Income Expense</t>
        </is>
      </c>
      <c r="B29" s="3" t="n">
        <v>-3620000</v>
      </c>
      <c r="C29" s="3" t="n">
        <v>-6581000</v>
      </c>
      <c r="D29" s="3" t="n">
        <v>-203000</v>
      </c>
      <c r="E29" s="3" t="n">
        <v>-6557000</v>
      </c>
      <c r="F29" s="3" t="n">
        <v>1481000</v>
      </c>
      <c r="G29" s="3" t="n"/>
      <c r="H29" s="3" t="n"/>
    </row>
    <row r="30">
      <c r="A30" t="inlineStr">
        <is>
          <t>Other Non Operating Income Expenses</t>
        </is>
      </c>
      <c r="B30" s="3" t="n">
        <v>-3324000</v>
      </c>
      <c r="C30" s="3" t="n">
        <v>-6365000</v>
      </c>
      <c r="D30" s="3" t="n">
        <v>306000</v>
      </c>
      <c r="E30" s="3" t="n">
        <v>-5149000</v>
      </c>
      <c r="F30" s="3" t="n">
        <v>2195000</v>
      </c>
      <c r="G30" s="3" t="n"/>
      <c r="H30" s="3" t="n"/>
    </row>
    <row r="31">
      <c r="A31" t="inlineStr">
        <is>
          <t>Special Income Charges</t>
        </is>
      </c>
      <c r="B31" s="3" t="n">
        <v>-296000</v>
      </c>
      <c r="C31" s="3" t="n">
        <v>-216000</v>
      </c>
      <c r="D31" s="3" t="n">
        <v>-509000</v>
      </c>
      <c r="E31" s="3" t="n">
        <v>-1408000</v>
      </c>
      <c r="F31" s="3" t="n">
        <v>-714000</v>
      </c>
      <c r="G31" s="3" t="n"/>
      <c r="H31" s="3" t="n"/>
    </row>
    <row r="32">
      <c r="A32" t="inlineStr">
        <is>
          <t>Gain On Sale Of Business</t>
        </is>
      </c>
      <c r="B32" s="3" t="n"/>
      <c r="C32" s="3" t="n"/>
      <c r="D32" s="3" t="n"/>
      <c r="E32" s="3" t="n"/>
      <c r="F32" s="3" t="n"/>
      <c r="G32" s="3" t="n">
        <v>0</v>
      </c>
      <c r="H32" s="3" t="n">
        <v>0</v>
      </c>
    </row>
    <row r="33">
      <c r="A33" t="inlineStr">
        <is>
          <t>Impairment Of Capital Assets</t>
        </is>
      </c>
      <c r="B33" s="3" t="n"/>
      <c r="C33" s="3" t="n"/>
      <c r="D33" s="3" t="n"/>
      <c r="E33" s="3" t="n"/>
      <c r="F33" s="3" t="n"/>
      <c r="G33" s="3" t="n">
        <v>32600000</v>
      </c>
      <c r="H33" s="3" t="n">
        <v>0</v>
      </c>
    </row>
    <row r="34">
      <c r="A34" t="inlineStr">
        <is>
          <t>Restructuring And Mergern Acquisition</t>
        </is>
      </c>
      <c r="B34" s="3" t="n">
        <v>296000</v>
      </c>
      <c r="C34" s="3" t="n">
        <v>216000</v>
      </c>
      <c r="D34" s="3" t="n">
        <v>509000</v>
      </c>
      <c r="E34" s="3" t="n">
        <v>1408000</v>
      </c>
      <c r="F34" s="3" t="n">
        <v>714000</v>
      </c>
      <c r="G34" s="3" t="n"/>
      <c r="H34" s="3" t="n"/>
    </row>
    <row r="35">
      <c r="A35" t="inlineStr">
        <is>
          <t>Net Non Operating Interest Income Expense</t>
        </is>
      </c>
      <c r="B35" s="3" t="n">
        <v>-10600000</v>
      </c>
      <c r="C35" s="3" t="n">
        <v>-12376000</v>
      </c>
      <c r="D35" s="3" t="n">
        <v>-10399000</v>
      </c>
      <c r="E35" s="3" t="n">
        <v>-11095000</v>
      </c>
      <c r="F35" s="3" t="n">
        <v>-11464000</v>
      </c>
      <c r="G35" s="3" t="n"/>
      <c r="H35" s="3" t="n"/>
    </row>
    <row r="36">
      <c r="A36" t="inlineStr">
        <is>
          <t>Interest Expense Non Operating</t>
        </is>
      </c>
      <c r="B36" s="3" t="n">
        <v>10600000</v>
      </c>
      <c r="C36" s="3" t="n">
        <v>12376000</v>
      </c>
      <c r="D36" s="3" t="n">
        <v>10399000</v>
      </c>
      <c r="E36" s="3" t="n">
        <v>11095000</v>
      </c>
      <c r="F36" s="3" t="n">
        <v>11464000</v>
      </c>
      <c r="G36" s="3" t="n"/>
      <c r="H36" s="3" t="n"/>
    </row>
    <row r="37">
      <c r="A37" t="inlineStr">
        <is>
          <t>Operating Income</t>
        </is>
      </c>
      <c r="B37" s="3" t="n">
        <v>72745000</v>
      </c>
      <c r="C37" s="3" t="n">
        <v>80965000</v>
      </c>
      <c r="D37" s="3" t="n">
        <v>72415000</v>
      </c>
      <c r="E37" s="3" t="n">
        <v>63177000</v>
      </c>
      <c r="F37" s="3" t="n">
        <v>50974000</v>
      </c>
      <c r="G37" s="3" t="n"/>
      <c r="H37" s="3" t="n"/>
    </row>
    <row r="38">
      <c r="A38" t="inlineStr">
        <is>
          <t>Operating Expense</t>
        </is>
      </c>
      <c r="B38" s="3" t="n">
        <v>108436000</v>
      </c>
      <c r="C38" s="3" t="n">
        <v>84904000</v>
      </c>
      <c r="D38" s="3" t="n">
        <v>84321000</v>
      </c>
      <c r="E38" s="3" t="n">
        <v>84932000</v>
      </c>
      <c r="F38" s="3" t="n">
        <v>79998000</v>
      </c>
      <c r="G38" s="3" t="n"/>
      <c r="H38" s="3" t="n"/>
    </row>
    <row r="39">
      <c r="A39" t="inlineStr">
        <is>
          <t>Depreciation Amortization Depletion Income Statement</t>
        </is>
      </c>
      <c r="B39" s="3" t="n">
        <v>6889000</v>
      </c>
      <c r="C39" s="3" t="n">
        <v>6888000</v>
      </c>
      <c r="D39" s="3" t="n">
        <v>6889000</v>
      </c>
      <c r="E39" s="3" t="n">
        <v>6888000</v>
      </c>
      <c r="F39" s="3" t="n">
        <v>6889000</v>
      </c>
      <c r="G39" s="3" t="n"/>
      <c r="H39" s="3" t="n"/>
    </row>
    <row r="40">
      <c r="A40" t="inlineStr">
        <is>
          <t>Depreciation And Amortization In Income Statement</t>
        </is>
      </c>
      <c r="B40" s="3" t="n">
        <v>6889000</v>
      </c>
      <c r="C40" s="3" t="n">
        <v>6888000</v>
      </c>
      <c r="D40" s="3" t="n">
        <v>6889000</v>
      </c>
      <c r="E40" s="3" t="n">
        <v>6888000</v>
      </c>
      <c r="F40" s="3" t="n">
        <v>6889000</v>
      </c>
      <c r="G40" s="3" t="n"/>
      <c r="H40" s="3" t="n"/>
    </row>
    <row r="41">
      <c r="A41" t="inlineStr">
        <is>
          <t>Amortization</t>
        </is>
      </c>
      <c r="B41" s="3" t="n">
        <v>6889000</v>
      </c>
      <c r="C41" s="3" t="n">
        <v>6888000</v>
      </c>
      <c r="D41" s="3" t="n">
        <v>6889000</v>
      </c>
      <c r="E41" s="3" t="n">
        <v>6888000</v>
      </c>
      <c r="F41" s="3" t="n">
        <v>6889000</v>
      </c>
      <c r="G41" s="3" t="n"/>
      <c r="H41" s="3" t="n"/>
    </row>
    <row r="42">
      <c r="A42" t="inlineStr">
        <is>
          <t>Amortization Of Intangibles Income Statement</t>
        </is>
      </c>
      <c r="B42" s="3" t="n">
        <v>6889000</v>
      </c>
      <c r="C42" s="3" t="n">
        <v>6888000</v>
      </c>
      <c r="D42" s="3" t="n">
        <v>6889000</v>
      </c>
      <c r="E42" s="3" t="n">
        <v>6888000</v>
      </c>
      <c r="F42" s="3" t="n">
        <v>6889000</v>
      </c>
      <c r="G42" s="3" t="n"/>
      <c r="H42" s="3" t="n"/>
    </row>
    <row r="43">
      <c r="A43" t="inlineStr">
        <is>
          <t>Research And Development</t>
        </is>
      </c>
      <c r="B43" s="3" t="n">
        <v>7808000</v>
      </c>
      <c r="C43" s="3" t="n">
        <v>6881000</v>
      </c>
      <c r="D43" s="3" t="n">
        <v>7038000</v>
      </c>
      <c r="E43" s="3" t="n">
        <v>7009000</v>
      </c>
      <c r="F43" s="3" t="n">
        <v>8064000</v>
      </c>
      <c r="G43" s="3" t="n"/>
      <c r="H43" s="3" t="n"/>
    </row>
    <row r="44">
      <c r="A44" t="inlineStr">
        <is>
          <t>Selling General And Administration</t>
        </is>
      </c>
      <c r="B44" s="3" t="n">
        <v>93739000</v>
      </c>
      <c r="C44" s="3" t="n">
        <v>71135000</v>
      </c>
      <c r="D44" s="3" t="n">
        <v>70394000</v>
      </c>
      <c r="E44" s="3" t="n">
        <v>71035000</v>
      </c>
      <c r="F44" s="3" t="n">
        <v>65045000</v>
      </c>
      <c r="G44" s="3" t="n"/>
      <c r="H44" s="3" t="n"/>
    </row>
    <row r="45">
      <c r="A45" t="inlineStr">
        <is>
          <t>Selling And Marketing Expense</t>
        </is>
      </c>
      <c r="B45" s="3" t="n">
        <v>24994000</v>
      </c>
      <c r="C45" s="3" t="n">
        <v>21077000</v>
      </c>
      <c r="D45" s="3" t="n">
        <v>21796000</v>
      </c>
      <c r="E45" s="3" t="n">
        <v>21316000</v>
      </c>
      <c r="F45" s="3" t="n">
        <v>21271000</v>
      </c>
      <c r="G45" s="3" t="n"/>
      <c r="H45" s="3" t="n"/>
    </row>
    <row r="46">
      <c r="A46" t="inlineStr">
        <is>
          <t>General And Administrative Expense</t>
        </is>
      </c>
      <c r="B46" s="3" t="n">
        <v>68745000</v>
      </c>
      <c r="C46" s="3" t="n">
        <v>50058000</v>
      </c>
      <c r="D46" s="3" t="n">
        <v>48598000</v>
      </c>
      <c r="E46" s="3" t="n">
        <v>49719000</v>
      </c>
      <c r="F46" s="3" t="n">
        <v>43774000</v>
      </c>
      <c r="G46" s="3" t="n"/>
      <c r="H46" s="3" t="n"/>
    </row>
    <row r="47">
      <c r="A47" t="inlineStr">
        <is>
          <t>Other Gand A</t>
        </is>
      </c>
      <c r="B47" s="3" t="n">
        <v>68745000</v>
      </c>
      <c r="C47" s="3" t="n">
        <v>50058000</v>
      </c>
      <c r="D47" s="3" t="n">
        <v>48598000</v>
      </c>
      <c r="E47" s="3" t="n">
        <v>49719000</v>
      </c>
      <c r="F47" s="3" t="n">
        <v>43774000</v>
      </c>
      <c r="G47" s="3" t="n"/>
      <c r="H47" s="3" t="n"/>
    </row>
    <row r="48">
      <c r="A48" t="inlineStr">
        <is>
          <t>Gross Profit</t>
        </is>
      </c>
      <c r="B48" s="3" t="n">
        <v>181181000</v>
      </c>
      <c r="C48" s="3" t="n">
        <v>165869000</v>
      </c>
      <c r="D48" s="3" t="n">
        <v>156736000</v>
      </c>
      <c r="E48" s="3" t="n">
        <v>148109000</v>
      </c>
      <c r="F48" s="3" t="n">
        <v>130972000</v>
      </c>
      <c r="G48" s="3" t="n"/>
      <c r="H48" s="3" t="n"/>
    </row>
    <row r="49">
      <c r="A49" t="inlineStr">
        <is>
          <t>Cost Of Revenue</t>
        </is>
      </c>
      <c r="B49" s="3" t="n">
        <v>664795000</v>
      </c>
      <c r="C49" s="3" t="n">
        <v>608451000</v>
      </c>
      <c r="D49" s="3" t="n">
        <v>596000000</v>
      </c>
      <c r="E49" s="3" t="n">
        <v>582512000</v>
      </c>
      <c r="F49" s="3" t="n">
        <v>517696000</v>
      </c>
      <c r="G49" s="3" t="n"/>
      <c r="H49" s="3" t="n"/>
    </row>
    <row r="50">
      <c r="A50" t="inlineStr">
        <is>
          <t>Total Revenue</t>
        </is>
      </c>
      <c r="B50" s="3" t="n">
        <v>845976000</v>
      </c>
      <c r="C50" s="3" t="n">
        <v>774320000</v>
      </c>
      <c r="D50" s="3" t="n">
        <v>752736000</v>
      </c>
      <c r="E50" s="3" t="n">
        <v>730621000</v>
      </c>
      <c r="F50" s="3" t="n">
        <v>648668000</v>
      </c>
      <c r="G50" s="3" t="n"/>
      <c r="H50" s="3" t="n"/>
    </row>
    <row r="51">
      <c r="A51" t="inlineStr">
        <is>
          <t>Operating Revenue</t>
        </is>
      </c>
      <c r="B51" s="3" t="n">
        <v>845976000</v>
      </c>
      <c r="C51" s="3" t="n">
        <v>774320000</v>
      </c>
      <c r="D51" s="3" t="n">
        <v>752736000</v>
      </c>
      <c r="E51" s="3" t="n">
        <v>730621000</v>
      </c>
      <c r="F51" s="3" t="n">
        <v>648668000</v>
      </c>
      <c r="G51" s="3" t="n"/>
      <c r="H51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Treasury Shares Number</t>
        </is>
      </c>
      <c r="B2" s="3" t="n">
        <v>11818000</v>
      </c>
      <c r="C2" s="3" t="n">
        <v>11164000</v>
      </c>
      <c r="D2" s="3" t="n">
        <v>9174000</v>
      </c>
      <c r="E2" s="3" t="n">
        <v>7370000</v>
      </c>
      <c r="F2" s="3" t="n"/>
    </row>
    <row r="3">
      <c r="A3" t="inlineStr">
        <is>
          <t>Ordinary Shares Number</t>
        </is>
      </c>
      <c r="B3" s="3" t="n">
        <v>103379000</v>
      </c>
      <c r="C3" s="3" t="n">
        <v>101997000</v>
      </c>
      <c r="D3" s="3" t="n">
        <v>102108000</v>
      </c>
      <c r="E3" s="3" t="n">
        <v>102228000</v>
      </c>
      <c r="F3" s="3" t="n"/>
    </row>
    <row r="4">
      <c r="A4" t="inlineStr">
        <is>
          <t>Share Issued</t>
        </is>
      </c>
      <c r="B4" s="3" t="n">
        <v>115197000</v>
      </c>
      <c r="C4" s="3" t="n">
        <v>113161000</v>
      </c>
      <c r="D4" s="3" t="n">
        <v>111282000</v>
      </c>
      <c r="E4" s="3" t="n">
        <v>109598000</v>
      </c>
      <c r="F4" s="3" t="n"/>
    </row>
    <row r="5">
      <c r="A5" t="inlineStr">
        <is>
          <t>Net Debt</t>
        </is>
      </c>
      <c r="B5" s="3" t="n">
        <v>414917000</v>
      </c>
      <c r="C5" s="3" t="n">
        <v>414222000</v>
      </c>
      <c r="D5" s="3" t="n">
        <v>467628000</v>
      </c>
      <c r="E5" s="3" t="n">
        <v>526658000</v>
      </c>
      <c r="F5" s="3" t="n"/>
    </row>
    <row r="6">
      <c r="A6" t="inlineStr">
        <is>
          <t>Total Debt</t>
        </is>
      </c>
      <c r="B6" s="3" t="n">
        <v>1028413000</v>
      </c>
      <c r="C6" s="3" t="n">
        <v>1015204000</v>
      </c>
      <c r="D6" s="3" t="n">
        <v>1019854000</v>
      </c>
      <c r="E6" s="3" t="n">
        <v>962603000</v>
      </c>
      <c r="F6" s="3" t="n"/>
    </row>
    <row r="7">
      <c r="A7" t="inlineStr">
        <is>
          <t>Tangible Book Value</t>
        </is>
      </c>
      <c r="B7" s="3" t="n">
        <v>937196000</v>
      </c>
      <c r="C7" s="3" t="n">
        <v>701870000</v>
      </c>
      <c r="D7" s="3" t="n">
        <v>571593000</v>
      </c>
      <c r="E7" s="3" t="n">
        <v>487105000</v>
      </c>
      <c r="F7" s="3" t="n"/>
    </row>
    <row r="8">
      <c r="A8" t="inlineStr">
        <is>
          <t>Invested Capital</t>
        </is>
      </c>
      <c r="B8" s="3" t="n">
        <v>2678404000</v>
      </c>
      <c r="C8" s="3" t="n">
        <v>2481978000</v>
      </c>
      <c r="D8" s="3" t="n">
        <v>2428875000</v>
      </c>
      <c r="E8" s="3" t="n">
        <v>2464986000</v>
      </c>
      <c r="F8" s="3" t="n"/>
    </row>
    <row r="9">
      <c r="A9" t="inlineStr">
        <is>
          <t>Working Capital</t>
        </is>
      </c>
      <c r="B9" s="3" t="n">
        <v>893209000</v>
      </c>
      <c r="C9" s="3" t="n">
        <v>797690000</v>
      </c>
      <c r="D9" s="3" t="n">
        <v>725703000</v>
      </c>
      <c r="E9" s="3" t="n">
        <v>731731000</v>
      </c>
      <c r="F9" s="3" t="n"/>
    </row>
    <row r="10">
      <c r="A10" t="inlineStr">
        <is>
          <t>Net Tangible Assets</t>
        </is>
      </c>
      <c r="B10" s="3" t="n">
        <v>937196000</v>
      </c>
      <c r="C10" s="3" t="n">
        <v>701870000</v>
      </c>
      <c r="D10" s="3" t="n">
        <v>571593000</v>
      </c>
      <c r="E10" s="3" t="n">
        <v>487105000</v>
      </c>
      <c r="F10" s="3" t="n"/>
    </row>
    <row r="11">
      <c r="A11" t="inlineStr">
        <is>
          <t>Capital Lease Obligations</t>
        </is>
      </c>
      <c r="B11" s="3" t="n">
        <v>112262000</v>
      </c>
      <c r="C11" s="3" t="n">
        <v>97050000</v>
      </c>
      <c r="D11" s="3" t="n">
        <v>102018000</v>
      </c>
      <c r="E11" s="3" t="n">
        <v>33196000</v>
      </c>
      <c r="F11" s="3" t="n"/>
    </row>
    <row r="12">
      <c r="A12" t="inlineStr">
        <is>
          <t>Common Stock Equity</t>
        </is>
      </c>
      <c r="B12" s="3" t="n">
        <v>1762253000</v>
      </c>
      <c r="C12" s="3" t="n">
        <v>1563824000</v>
      </c>
      <c r="D12" s="3" t="n">
        <v>1511039000</v>
      </c>
      <c r="E12" s="3" t="n">
        <v>1535579000</v>
      </c>
      <c r="F12" s="3" t="n"/>
    </row>
    <row r="13">
      <c r="A13" t="inlineStr">
        <is>
          <t>Total Capitalization</t>
        </is>
      </c>
      <c r="B13" s="3" t="n">
        <v>2674589000</v>
      </c>
      <c r="C13" s="3" t="n">
        <v>2478183000</v>
      </c>
      <c r="D13" s="3" t="n">
        <v>2425375000</v>
      </c>
      <c r="E13" s="3" t="n">
        <v>2414986000</v>
      </c>
      <c r="F13" s="3" t="n"/>
    </row>
    <row r="14">
      <c r="A14" t="inlineStr">
        <is>
          <t>Total Equity Gross Minority Interest</t>
        </is>
      </c>
      <c r="B14" s="3" t="n">
        <v>1762253000</v>
      </c>
      <c r="C14" s="3" t="n">
        <v>1563824000</v>
      </c>
      <c r="D14" s="3" t="n">
        <v>1511039000</v>
      </c>
      <c r="E14" s="3" t="n">
        <v>1535579000</v>
      </c>
      <c r="F14" s="3" t="n"/>
    </row>
    <row r="15">
      <c r="A15" t="inlineStr">
        <is>
          <t>Stockholders Equity</t>
        </is>
      </c>
      <c r="B15" s="3" t="n">
        <v>1762253000</v>
      </c>
      <c r="C15" s="3" t="n">
        <v>1563824000</v>
      </c>
      <c r="D15" s="3" t="n">
        <v>1511039000</v>
      </c>
      <c r="E15" s="3" t="n">
        <v>1535579000</v>
      </c>
      <c r="F15" s="3" t="n"/>
    </row>
    <row r="16">
      <c r="A16" t="inlineStr">
        <is>
          <t>Gains Losses Not Affecting Retained Earnings</t>
        </is>
      </c>
      <c r="B16" s="3" t="n">
        <v>-30930000</v>
      </c>
      <c r="C16" s="3" t="n">
        <v>-27882000</v>
      </c>
      <c r="D16" s="3" t="n">
        <v>-29067000</v>
      </c>
      <c r="E16" s="3" t="n">
        <v>-24790000</v>
      </c>
      <c r="F16" s="3" t="n"/>
    </row>
    <row r="17">
      <c r="A17" t="inlineStr">
        <is>
          <t>Other Equity Adjustments</t>
        </is>
      </c>
      <c r="B17" s="3" t="n">
        <v>-30930000</v>
      </c>
      <c r="C17" s="3" t="n">
        <v>-27882000</v>
      </c>
      <c r="D17" s="3" t="n">
        <v>-29067000</v>
      </c>
      <c r="E17" s="3" t="n">
        <v>-24790000</v>
      </c>
      <c r="F17" s="3" t="n"/>
    </row>
    <row r="18">
      <c r="A18" t="inlineStr">
        <is>
          <t>Treasury Stock</t>
        </is>
      </c>
      <c r="B18" s="3" t="n">
        <v>174744000</v>
      </c>
      <c r="C18" s="3" t="n">
        <v>157570000</v>
      </c>
      <c r="D18" s="3" t="n">
        <v>123091000</v>
      </c>
      <c r="E18" s="3" t="n">
        <v>98659000</v>
      </c>
      <c r="F18" s="3" t="n"/>
    </row>
    <row r="19">
      <c r="A19" t="inlineStr">
        <is>
          <t>Retained Earnings</t>
        </is>
      </c>
      <c r="B19" s="3" t="n">
        <v>1015870000</v>
      </c>
      <c r="C19" s="3" t="n">
        <v>838422000</v>
      </c>
      <c r="D19" s="3" t="n">
        <v>782123000</v>
      </c>
      <c r="E19" s="3" t="n">
        <v>800841000</v>
      </c>
      <c r="F19" s="3" t="n"/>
    </row>
    <row r="20">
      <c r="A20" t="inlineStr">
        <is>
          <t>Additional Paid In Capital</t>
        </is>
      </c>
      <c r="B20" s="3" t="n">
        <v>951942000</v>
      </c>
      <c r="C20" s="3" t="n">
        <v>910741000</v>
      </c>
      <c r="D20" s="3" t="n">
        <v>880963000</v>
      </c>
      <c r="E20" s="3" t="n">
        <v>858077000</v>
      </c>
      <c r="F20" s="3" t="n"/>
    </row>
    <row r="21">
      <c r="A21" t="inlineStr">
        <is>
          <t>Capital Stock</t>
        </is>
      </c>
      <c r="B21" s="3" t="n">
        <v>115000</v>
      </c>
      <c r="C21" s="3" t="n">
        <v>113000</v>
      </c>
      <c r="D21" s="3" t="n">
        <v>111000</v>
      </c>
      <c r="E21" s="3" t="n">
        <v>110000</v>
      </c>
      <c r="F21" s="3" t="n"/>
    </row>
    <row r="22">
      <c r="A22" t="inlineStr">
        <is>
          <t>Common Stock</t>
        </is>
      </c>
      <c r="B22" s="3" t="n">
        <v>115000</v>
      </c>
      <c r="C22" s="3" t="n">
        <v>113000</v>
      </c>
      <c r="D22" s="3" t="n">
        <v>111000</v>
      </c>
      <c r="E22" s="3" t="n">
        <v>110000</v>
      </c>
      <c r="F22" s="3" t="n"/>
    </row>
    <row r="23">
      <c r="A23" t="inlineStr">
        <is>
          <t>Total Liabilities Net Minority Interest</t>
        </is>
      </c>
      <c r="B23" s="3" t="n">
        <v>2078078000</v>
      </c>
      <c r="C23" s="3" t="n">
        <v>1908670000</v>
      </c>
      <c r="D23" s="3" t="n">
        <v>1812624000</v>
      </c>
      <c r="E23" s="3" t="n">
        <v>1788025000</v>
      </c>
      <c r="F23" s="3" t="n"/>
    </row>
    <row r="24">
      <c r="A24" t="inlineStr">
        <is>
          <t>Total Non Current Liabilities Net Minority Interest</t>
        </is>
      </c>
      <c r="B24" s="3" t="n">
        <v>1115881000</v>
      </c>
      <c r="C24" s="3" t="n">
        <v>1099616000</v>
      </c>
      <c r="D24" s="3" t="n">
        <v>1108640000</v>
      </c>
      <c r="E24" s="3" t="n">
        <v>1026700000</v>
      </c>
      <c r="F24" s="3" t="n"/>
    </row>
    <row r="25">
      <c r="A25" t="inlineStr">
        <is>
          <t>Other Non Current Liabilities</t>
        </is>
      </c>
      <c r="B25" s="3" t="n">
        <v>30393000</v>
      </c>
      <c r="C25" s="3" t="n">
        <v>26011000</v>
      </c>
      <c r="D25" s="3" t="n">
        <v>26661000</v>
      </c>
      <c r="E25" s="3" t="n">
        <v>25976000</v>
      </c>
      <c r="F25" s="3" t="n"/>
    </row>
    <row r="26">
      <c r="A26" t="inlineStr">
        <is>
          <t>Derivative Product Liabilities</t>
        </is>
      </c>
      <c r="B26" s="3" t="n"/>
      <c r="C26" s="3" t="n"/>
      <c r="D26" s="3" t="n">
        <v>1476000</v>
      </c>
      <c r="E26" s="3" t="n">
        <v>0</v>
      </c>
      <c r="F26" s="3" t="n">
        <v>0</v>
      </c>
    </row>
    <row r="27">
      <c r="A27" t="inlineStr">
        <is>
          <t>Employee Benefits</t>
        </is>
      </c>
      <c r="B27" s="3" t="n"/>
      <c r="C27" s="3" t="n"/>
      <c r="D27" s="3" t="n">
        <v>836000</v>
      </c>
      <c r="E27" s="3" t="n">
        <v>2471000</v>
      </c>
      <c r="F27" s="3" t="n">
        <v>5276000</v>
      </c>
    </row>
    <row r="28">
      <c r="A28" t="inlineStr">
        <is>
          <t>Non Current Pension And Other Postretirement Benefit Plans</t>
        </is>
      </c>
      <c r="B28" s="3" t="n"/>
      <c r="C28" s="3" t="n"/>
      <c r="D28" s="3" t="n">
        <v>836000</v>
      </c>
      <c r="E28" s="3" t="n">
        <v>2471000</v>
      </c>
      <c r="F28" s="3" t="n">
        <v>5276000</v>
      </c>
    </row>
    <row r="29">
      <c r="A29" t="inlineStr">
        <is>
          <t>Non Current Deferred Liabilities</t>
        </is>
      </c>
      <c r="B29" s="3" t="n">
        <v>69799000</v>
      </c>
      <c r="C29" s="3" t="n">
        <v>69752000</v>
      </c>
      <c r="D29" s="3" t="n">
        <v>74058000</v>
      </c>
      <c r="E29" s="3" t="n">
        <v>93018000</v>
      </c>
      <c r="F29" s="3" t="n"/>
    </row>
    <row r="30">
      <c r="A30" t="inlineStr">
        <is>
          <t>Non Current Deferred Revenue</t>
        </is>
      </c>
      <c r="B30" s="3" t="n">
        <v>23465000</v>
      </c>
      <c r="C30" s="3" t="n">
        <v>28390000</v>
      </c>
      <c r="D30" s="3" t="n">
        <v>29820000</v>
      </c>
      <c r="E30" s="3" t="n">
        <v>38750000</v>
      </c>
      <c r="F30" s="3" t="n"/>
    </row>
    <row r="31">
      <c r="A31" t="inlineStr">
        <is>
          <t>Non Current Deferred Taxes Liabilities</t>
        </is>
      </c>
      <c r="B31" s="3" t="n">
        <v>46334000</v>
      </c>
      <c r="C31" s="3" t="n">
        <v>41362000</v>
      </c>
      <c r="D31" s="3" t="n">
        <v>44238000</v>
      </c>
      <c r="E31" s="3" t="n">
        <v>54268000</v>
      </c>
      <c r="F31" s="3" t="n"/>
    </row>
    <row r="32">
      <c r="A32" t="inlineStr">
        <is>
          <t>Long Term Debt And Capital Lease Obligation</t>
        </is>
      </c>
      <c r="B32" s="3" t="n">
        <v>1015689000</v>
      </c>
      <c r="C32" s="3" t="n">
        <v>1003853000</v>
      </c>
      <c r="D32" s="3" t="n">
        <v>1007921000</v>
      </c>
      <c r="E32" s="3" t="n">
        <v>905235000</v>
      </c>
      <c r="F32" s="3" t="n"/>
    </row>
    <row r="33">
      <c r="A33" t="inlineStr">
        <is>
          <t>Long Term Capital Lease Obligation</t>
        </is>
      </c>
      <c r="B33" s="3" t="n">
        <v>103353000</v>
      </c>
      <c r="C33" s="3" t="n">
        <v>89494000</v>
      </c>
      <c r="D33" s="3" t="n">
        <v>93585000</v>
      </c>
      <c r="E33" s="3" t="n">
        <v>25828000</v>
      </c>
      <c r="F33" s="3" t="n"/>
    </row>
    <row r="34">
      <c r="A34" t="inlineStr">
        <is>
          <t>Long Term Debt</t>
        </is>
      </c>
      <c r="B34" s="3" t="n">
        <v>912336000</v>
      </c>
      <c r="C34" s="3" t="n">
        <v>914359000</v>
      </c>
      <c r="D34" s="3" t="n">
        <v>914336000</v>
      </c>
      <c r="E34" s="3" t="n">
        <v>879407000</v>
      </c>
      <c r="F34" s="3" t="n"/>
    </row>
    <row r="35">
      <c r="A35" t="inlineStr">
        <is>
          <t>Current Liabilities</t>
        </is>
      </c>
      <c r="B35" s="3" t="n">
        <v>962197000</v>
      </c>
      <c r="C35" s="3" t="n">
        <v>809054000</v>
      </c>
      <c r="D35" s="3" t="n">
        <v>703984000</v>
      </c>
      <c r="E35" s="3" t="n">
        <v>761325000</v>
      </c>
      <c r="F35" s="3" t="n"/>
    </row>
    <row r="36">
      <c r="A36" t="inlineStr">
        <is>
          <t>Other Current Liabilities</t>
        </is>
      </c>
      <c r="B36" s="3" t="n">
        <v>58595000</v>
      </c>
      <c r="C36" s="3" t="n">
        <v>67229000</v>
      </c>
      <c r="D36" s="3" t="n">
        <v>58477000</v>
      </c>
      <c r="E36" s="3" t="n">
        <v>63022000</v>
      </c>
      <c r="F36" s="3" t="n"/>
    </row>
    <row r="37">
      <c r="A37" t="inlineStr">
        <is>
          <t>Current Deferred Liabilities</t>
        </is>
      </c>
      <c r="B37" s="3" t="n">
        <v>175627000</v>
      </c>
      <c r="C37" s="3" t="n">
        <v>170915000</v>
      </c>
      <c r="D37" s="3" t="n">
        <v>126508000</v>
      </c>
      <c r="E37" s="3" t="n">
        <v>103981000</v>
      </c>
      <c r="F37" s="3" t="n"/>
    </row>
    <row r="38">
      <c r="A38" t="inlineStr">
        <is>
          <t>Current Deferred Revenue</t>
        </is>
      </c>
      <c r="B38" s="3" t="n">
        <v>175627000</v>
      </c>
      <c r="C38" s="3" t="n">
        <v>170915000</v>
      </c>
      <c r="D38" s="3" t="n">
        <v>126508000</v>
      </c>
      <c r="E38" s="3" t="n">
        <v>103981000</v>
      </c>
      <c r="F38" s="3" t="n"/>
    </row>
    <row r="39">
      <c r="A39" t="inlineStr">
        <is>
          <t>Current Debt And Capital Lease Obligation</t>
        </is>
      </c>
      <c r="B39" s="3" t="n">
        <v>12724000</v>
      </c>
      <c r="C39" s="3" t="n">
        <v>11351000</v>
      </c>
      <c r="D39" s="3" t="n">
        <v>11933000</v>
      </c>
      <c r="E39" s="3" t="n">
        <v>57368000</v>
      </c>
      <c r="F39" s="3" t="n"/>
    </row>
    <row r="40">
      <c r="A40" t="inlineStr">
        <is>
          <t>Current Capital Lease Obligation</t>
        </is>
      </c>
      <c r="B40" s="3" t="n">
        <v>8909000</v>
      </c>
      <c r="C40" s="3" t="n">
        <v>7556000</v>
      </c>
      <c r="D40" s="3" t="n">
        <v>8433000</v>
      </c>
      <c r="E40" s="3" t="n">
        <v>7368000</v>
      </c>
      <c r="F40" s="3" t="n"/>
    </row>
    <row r="41">
      <c r="A41" t="inlineStr">
        <is>
          <t>Current Debt</t>
        </is>
      </c>
      <c r="B41" s="3" t="n">
        <v>3815000</v>
      </c>
      <c r="C41" s="3" t="n">
        <v>3795000</v>
      </c>
      <c r="D41" s="3" t="n">
        <v>3500000</v>
      </c>
      <c r="E41" s="3" t="n">
        <v>50000000</v>
      </c>
      <c r="F41" s="3" t="n"/>
    </row>
    <row r="42">
      <c r="A42" t="inlineStr">
        <is>
          <t>Other Current Borrowings</t>
        </is>
      </c>
      <c r="B42" s="3" t="n">
        <v>3815000</v>
      </c>
      <c r="C42" s="3" t="n">
        <v>3795000</v>
      </c>
      <c r="D42" s="3" t="n">
        <v>3500000</v>
      </c>
      <c r="E42" s="3" t="n">
        <v>50000000</v>
      </c>
      <c r="F42" s="3" t="n"/>
    </row>
    <row r="43">
      <c r="A43" t="inlineStr">
        <is>
          <t>Current Provisions</t>
        </is>
      </c>
      <c r="B43" s="3" t="n">
        <v>7855000</v>
      </c>
      <c r="C43" s="3" t="n">
        <v>7685000</v>
      </c>
      <c r="D43" s="3" t="n">
        <v>10557000</v>
      </c>
      <c r="E43" s="3" t="n">
        <v>8045000</v>
      </c>
      <c r="F43" s="3" t="n"/>
    </row>
    <row r="44">
      <c r="A44" t="inlineStr">
        <is>
          <t>Payables And Accrued Expenses</t>
        </is>
      </c>
      <c r="B44" s="3" t="n">
        <v>707396000</v>
      </c>
      <c r="C44" s="3" t="n">
        <v>551874000</v>
      </c>
      <c r="D44" s="3" t="n">
        <v>496509000</v>
      </c>
      <c r="E44" s="3" t="n">
        <v>528909000</v>
      </c>
      <c r="F44" s="3" t="n"/>
    </row>
    <row r="45">
      <c r="A45" t="inlineStr">
        <is>
          <t>Current Accrued Expenses</t>
        </is>
      </c>
      <c r="B45" s="3" t="n">
        <v>155778000</v>
      </c>
      <c r="C45" s="3" t="n">
        <v>129734000</v>
      </c>
      <c r="D45" s="3" t="n">
        <v>156434000</v>
      </c>
      <c r="E45" s="3" t="n">
        <v>139064000</v>
      </c>
      <c r="F45" s="3" t="n"/>
    </row>
    <row r="46">
      <c r="A46" t="inlineStr">
        <is>
          <t>Interest Payable</t>
        </is>
      </c>
      <c r="B46" s="3" t="n">
        <v>8792000</v>
      </c>
      <c r="C46" s="3" t="n">
        <v>9054000</v>
      </c>
      <c r="D46" s="3" t="n">
        <v>9399000</v>
      </c>
      <c r="E46" s="3" t="n">
        <v>9336000</v>
      </c>
      <c r="F46" s="3" t="n"/>
    </row>
    <row r="47">
      <c r="A47" t="inlineStr">
        <is>
          <t>Payables</t>
        </is>
      </c>
      <c r="B47" s="3" t="n">
        <v>551618000</v>
      </c>
      <c r="C47" s="3" t="n">
        <v>422140000</v>
      </c>
      <c r="D47" s="3" t="n">
        <v>340075000</v>
      </c>
      <c r="E47" s="3" t="n">
        <v>389845000</v>
      </c>
      <c r="F47" s="3" t="n"/>
    </row>
    <row r="48">
      <c r="A48" t="inlineStr">
        <is>
          <t>Total Tax Payable</t>
        </is>
      </c>
      <c r="B48" s="3" t="n">
        <v>8080000</v>
      </c>
      <c r="C48" s="3" t="n">
        <v>15919000</v>
      </c>
      <c r="D48" s="3" t="n">
        <v>5466000</v>
      </c>
      <c r="E48" s="3" t="n">
        <v>28057000</v>
      </c>
      <c r="F48" s="3" t="n"/>
    </row>
    <row r="49">
      <c r="A49" t="inlineStr">
        <is>
          <t>Income Tax Payable</t>
        </is>
      </c>
      <c r="B49" s="3" t="n">
        <v>8080000</v>
      </c>
      <c r="C49" s="3" t="n">
        <v>15919000</v>
      </c>
      <c r="D49" s="3" t="n">
        <v>5466000</v>
      </c>
      <c r="E49" s="3" t="n">
        <v>28057000</v>
      </c>
      <c r="F49" s="3" t="n"/>
    </row>
    <row r="50">
      <c r="A50" t="inlineStr">
        <is>
          <t>Accounts Payable</t>
        </is>
      </c>
      <c r="B50" s="3" t="n">
        <v>543538000</v>
      </c>
      <c r="C50" s="3" t="n">
        <v>406221000</v>
      </c>
      <c r="D50" s="3" t="n">
        <v>334609000</v>
      </c>
      <c r="E50" s="3" t="n">
        <v>361788000</v>
      </c>
      <c r="F50" s="3" t="n"/>
    </row>
    <row r="51">
      <c r="A51" t="inlineStr">
        <is>
          <t>Total Assets</t>
        </is>
      </c>
      <c r="B51" s="3" t="n">
        <v>3840331000</v>
      </c>
      <c r="C51" s="3" t="n">
        <v>3472494000</v>
      </c>
      <c r="D51" s="3" t="n">
        <v>3323663000</v>
      </c>
      <c r="E51" s="3" t="n">
        <v>3323604000</v>
      </c>
      <c r="F51" s="3" t="n"/>
    </row>
    <row r="52">
      <c r="A52" t="inlineStr">
        <is>
          <t>Total Non Current Assets</t>
        </is>
      </c>
      <c r="B52" s="3" t="n">
        <v>1984925000</v>
      </c>
      <c r="C52" s="3" t="n">
        <v>1865750000</v>
      </c>
      <c r="D52" s="3" t="n">
        <v>1893976000</v>
      </c>
      <c r="E52" s="3" t="n">
        <v>1830548000</v>
      </c>
      <c r="F52" s="3" t="n"/>
    </row>
    <row r="53">
      <c r="A53" t="inlineStr">
        <is>
          <t>Other Non Current Assets</t>
        </is>
      </c>
      <c r="B53" s="3" t="n">
        <v>68244000</v>
      </c>
      <c r="C53" s="3" t="n">
        <v>55587000</v>
      </c>
      <c r="D53" s="3" t="n">
        <v>60577000</v>
      </c>
      <c r="E53" s="3" t="n">
        <v>39008000</v>
      </c>
      <c r="F53" s="3" t="n"/>
    </row>
    <row r="54">
      <c r="A54" t="inlineStr">
        <is>
          <t>Non Current Prepaid Assets</t>
        </is>
      </c>
      <c r="B54" s="3" t="n"/>
      <c r="C54" s="3" t="n"/>
      <c r="D54" s="3" t="n"/>
      <c r="E54" s="3" t="n">
        <v>39008000</v>
      </c>
      <c r="F54" s="3" t="n">
        <v>54335000</v>
      </c>
    </row>
    <row r="55">
      <c r="A55" t="inlineStr">
        <is>
          <t>Goodwill And Other Intangible Assets</t>
        </is>
      </c>
      <c r="B55" s="3" t="n">
        <v>825057000</v>
      </c>
      <c r="C55" s="3" t="n">
        <v>861954000</v>
      </c>
      <c r="D55" s="3" t="n">
        <v>939446000</v>
      </c>
      <c r="E55" s="3" t="n">
        <v>1048474000</v>
      </c>
      <c r="F55" s="3" t="n"/>
    </row>
    <row r="56">
      <c r="A56" t="inlineStr">
        <is>
          <t>Other Intangible Assets</t>
        </is>
      </c>
      <c r="B56" s="3" t="n">
        <v>154922000</v>
      </c>
      <c r="C56" s="3" t="n">
        <v>191819000</v>
      </c>
      <c r="D56" s="3" t="n">
        <v>236711000</v>
      </c>
      <c r="E56" s="3" t="n">
        <v>288037000</v>
      </c>
      <c r="F56" s="3" t="n"/>
    </row>
    <row r="57">
      <c r="A57" t="inlineStr">
        <is>
          <t>Goodwill</t>
        </is>
      </c>
      <c r="B57" s="3" t="n">
        <v>670135000</v>
      </c>
      <c r="C57" s="3" t="n">
        <v>670135000</v>
      </c>
      <c r="D57" s="3" t="n">
        <v>702735000</v>
      </c>
      <c r="E57" s="3" t="n">
        <v>760437000</v>
      </c>
      <c r="F57" s="3" t="n"/>
    </row>
    <row r="58">
      <c r="A58" t="inlineStr">
        <is>
          <t>Net PPE</t>
        </is>
      </c>
      <c r="B58" s="3" t="n">
        <v>1091624000</v>
      </c>
      <c r="C58" s="3" t="n">
        <v>948209000</v>
      </c>
      <c r="D58" s="3" t="n">
        <v>893953000</v>
      </c>
      <c r="E58" s="3" t="n">
        <v>743066000</v>
      </c>
      <c r="F58" s="3" t="n"/>
    </row>
    <row r="59">
      <c r="A59" t="inlineStr">
        <is>
          <t>Accumulated Depreciation</t>
        </is>
      </c>
      <c r="B59" s="3" t="n">
        <v>-997191000</v>
      </c>
      <c r="C59" s="3" t="n">
        <v>-918879000</v>
      </c>
      <c r="D59" s="3" t="n">
        <v>-863236000</v>
      </c>
      <c r="E59" s="3" t="n">
        <v>-824996000</v>
      </c>
      <c r="F59" s="3" t="n"/>
    </row>
    <row r="60">
      <c r="A60" t="inlineStr">
        <is>
          <t>Gross PPE</t>
        </is>
      </c>
      <c r="B60" s="3" t="n">
        <v>2088815000</v>
      </c>
      <c r="C60" s="3" t="n">
        <v>1867088000</v>
      </c>
      <c r="D60" s="3" t="n">
        <v>1757189000</v>
      </c>
      <c r="E60" s="3" t="n">
        <v>1568062000</v>
      </c>
      <c r="F60" s="3" t="n"/>
    </row>
    <row r="61">
      <c r="A61" t="inlineStr">
        <is>
          <t>Construction In Progress</t>
        </is>
      </c>
      <c r="B61" s="3" t="n">
        <v>101945000</v>
      </c>
      <c r="C61" s="3" t="n">
        <v>75502000</v>
      </c>
      <c r="D61" s="3" t="n">
        <v>90940000</v>
      </c>
      <c r="E61" s="3" t="n">
        <v>27774000</v>
      </c>
      <c r="F61" s="3" t="n"/>
    </row>
    <row r="62">
      <c r="A62" t="inlineStr">
        <is>
          <t>Other Properties</t>
        </is>
      </c>
      <c r="B62" s="3" t="n">
        <v>80914000</v>
      </c>
      <c r="C62" s="3" t="n">
        <v>78252000</v>
      </c>
      <c r="D62" s="3" t="n">
        <v>86286000</v>
      </c>
      <c r="E62" s="3" t="n">
        <v>18862000</v>
      </c>
      <c r="F62" s="3" t="n"/>
    </row>
    <row r="63">
      <c r="A63" t="inlineStr">
        <is>
          <t>Machinery Furniture Equipment</t>
        </is>
      </c>
      <c r="B63" s="3" t="n">
        <v>1198829000</v>
      </c>
      <c r="C63" s="3" t="n">
        <v>1127773000</v>
      </c>
      <c r="D63" s="3" t="n">
        <v>996684000</v>
      </c>
      <c r="E63" s="3" t="n">
        <v>1001262000</v>
      </c>
      <c r="F63" s="3" t="n"/>
    </row>
    <row r="64">
      <c r="A64" t="inlineStr">
        <is>
          <t>Buildings And Improvements</t>
        </is>
      </c>
      <c r="B64" s="3" t="n">
        <v>634785000</v>
      </c>
      <c r="C64" s="3" t="n">
        <v>515773000</v>
      </c>
      <c r="D64" s="3" t="n">
        <v>512148000</v>
      </c>
      <c r="E64" s="3" t="n">
        <v>443353000</v>
      </c>
      <c r="F64" s="3" t="n"/>
    </row>
    <row r="65">
      <c r="A65" t="inlineStr">
        <is>
          <t>Land And Improvements</t>
        </is>
      </c>
      <c r="B65" s="3" t="n">
        <v>72342000</v>
      </c>
      <c r="C65" s="3" t="n">
        <v>69788000</v>
      </c>
      <c r="D65" s="3" t="n">
        <v>71131000</v>
      </c>
      <c r="E65" s="3" t="n">
        <v>76811000</v>
      </c>
      <c r="F65" s="3" t="n"/>
    </row>
    <row r="66">
      <c r="A66" t="inlineStr">
        <is>
          <t>Properties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/>
    </row>
    <row r="67">
      <c r="A67" t="inlineStr">
        <is>
          <t>Current Assets</t>
        </is>
      </c>
      <c r="B67" s="3" t="n">
        <v>1855406000</v>
      </c>
      <c r="C67" s="3" t="n">
        <v>1606744000</v>
      </c>
      <c r="D67" s="3" t="n">
        <v>1429687000</v>
      </c>
      <c r="E67" s="3" t="n">
        <v>1493056000</v>
      </c>
      <c r="F67" s="3" t="n"/>
    </row>
    <row r="68">
      <c r="A68" t="inlineStr">
        <is>
          <t>Other Current Assets</t>
        </is>
      </c>
      <c r="B68" s="3" t="n">
        <v>72368000</v>
      </c>
      <c r="C68" s="3" t="n">
        <v>47834000</v>
      </c>
      <c r="D68" s="3" t="n">
        <v>54060000</v>
      </c>
      <c r="E68" s="3" t="n">
        <v>41415000</v>
      </c>
      <c r="F68" s="3" t="n"/>
    </row>
    <row r="69">
      <c r="A69" t="inlineStr">
        <is>
          <t>Prepaid Assets</t>
        </is>
      </c>
      <c r="B69" s="3" t="n"/>
      <c r="C69" s="3" t="n"/>
      <c r="D69" s="3" t="n"/>
      <c r="E69" s="3" t="n">
        <v>41415000</v>
      </c>
      <c r="F69" s="3" t="n">
        <v>30914000</v>
      </c>
    </row>
    <row r="70">
      <c r="A70" t="inlineStr">
        <is>
          <t>Inventory</t>
        </is>
      </c>
      <c r="B70" s="3" t="n">
        <v>250057000</v>
      </c>
      <c r="C70" s="3" t="n">
        <v>224985000</v>
      </c>
      <c r="D70" s="3" t="n">
        <v>213075000</v>
      </c>
      <c r="E70" s="3" t="n">
        <v>170639000</v>
      </c>
      <c r="F70" s="3" t="n"/>
    </row>
    <row r="71">
      <c r="A71" t="inlineStr">
        <is>
          <t>Finished Goods</t>
        </is>
      </c>
      <c r="B71" s="3" t="n">
        <v>4290000</v>
      </c>
      <c r="C71" s="3" t="n">
        <v>1339000</v>
      </c>
      <c r="D71" s="3" t="n">
        <v>1915000</v>
      </c>
      <c r="E71" s="3" t="n">
        <v>4964000</v>
      </c>
      <c r="F71" s="3" t="n"/>
    </row>
    <row r="72">
      <c r="A72" t="inlineStr">
        <is>
          <t>Work In Process</t>
        </is>
      </c>
      <c r="B72" s="3" t="n">
        <v>48236000</v>
      </c>
      <c r="C72" s="3" t="n">
        <v>45580000</v>
      </c>
      <c r="D72" s="3" t="n">
        <v>45494000</v>
      </c>
      <c r="E72" s="3" t="n">
        <v>20114000</v>
      </c>
      <c r="F72" s="3" t="n"/>
    </row>
    <row r="73">
      <c r="A73" t="inlineStr">
        <is>
          <t>Raw Materials</t>
        </is>
      </c>
      <c r="B73" s="3" t="n">
        <v>197531000</v>
      </c>
      <c r="C73" s="3" t="n">
        <v>178066000</v>
      </c>
      <c r="D73" s="3" t="n">
        <v>165666000</v>
      </c>
      <c r="E73" s="3" t="n">
        <v>145561000</v>
      </c>
      <c r="F73" s="3" t="n"/>
    </row>
    <row r="74">
      <c r="A74" t="inlineStr">
        <is>
          <t>Receivables</t>
        </is>
      </c>
      <c r="B74" s="3" t="n">
        <v>1031747000</v>
      </c>
      <c r="C74" s="3" t="n">
        <v>829993000</v>
      </c>
      <c r="D74" s="3" t="n">
        <v>712344000</v>
      </c>
      <c r="E74" s="3" t="n">
        <v>878253000</v>
      </c>
      <c r="F74" s="3" t="n"/>
    </row>
    <row r="75">
      <c r="A75" t="inlineStr">
        <is>
          <t>Other Receivables</t>
        </is>
      </c>
      <c r="B75" s="3" t="n">
        <v>468006000</v>
      </c>
      <c r="C75" s="3" t="n">
        <v>381382000</v>
      </c>
      <c r="D75" s="3" t="n">
        <v>298787000</v>
      </c>
      <c r="E75" s="3" t="n">
        <v>405028000</v>
      </c>
      <c r="F75" s="3" t="n"/>
    </row>
    <row r="76">
      <c r="A76" t="inlineStr">
        <is>
          <t>Duefrom Related Parties Current</t>
        </is>
      </c>
      <c r="B76" s="3" t="n"/>
      <c r="C76" s="3" t="n"/>
      <c r="D76" s="3" t="n"/>
      <c r="E76" s="3" t="n">
        <v>69240000</v>
      </c>
      <c r="F76" s="3" t="n">
        <v>0</v>
      </c>
    </row>
    <row r="77">
      <c r="A77" t="inlineStr">
        <is>
          <t>Accounts Receivable</t>
        </is>
      </c>
      <c r="B77" s="3" t="n">
        <v>563741000</v>
      </c>
      <c r="C77" s="3" t="n">
        <v>448611000</v>
      </c>
      <c r="D77" s="3" t="n">
        <v>413557000</v>
      </c>
      <c r="E77" s="3" t="n">
        <v>473225000</v>
      </c>
      <c r="F77" s="3" t="n"/>
    </row>
    <row r="78">
      <c r="A78" t="inlineStr">
        <is>
          <t>Cash Cash Equivalents And Short Term Investments</t>
        </is>
      </c>
      <c r="B78" s="3" t="n">
        <v>501234000</v>
      </c>
      <c r="C78" s="3" t="n">
        <v>503932000</v>
      </c>
      <c r="D78" s="3" t="n">
        <v>450208000</v>
      </c>
      <c r="E78" s="3" t="n">
        <v>402749000</v>
      </c>
      <c r="F78" s="3" t="n"/>
    </row>
    <row r="79">
      <c r="A79" t="inlineStr">
        <is>
          <t>Cash And Cash Equivalents</t>
        </is>
      </c>
      <c r="B79" s="3" t="n">
        <v>501234000</v>
      </c>
      <c r="C79" s="3" t="n">
        <v>503932000</v>
      </c>
      <c r="D79" s="3" t="n">
        <v>450208000</v>
      </c>
      <c r="E79" s="3" t="n">
        <v>402749000</v>
      </c>
      <c r="F79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Treasury Shares Number</t>
        </is>
      </c>
      <c r="B2" s="3" t="n">
        <v>11354000</v>
      </c>
      <c r="C2" s="3" t="n">
        <v>11818000</v>
      </c>
      <c r="D2" s="3" t="n">
        <v>11864000</v>
      </c>
      <c r="E2" s="3" t="n">
        <v>11864000</v>
      </c>
      <c r="F2" s="3" t="n">
        <v>11864000</v>
      </c>
      <c r="G2" s="3" t="n"/>
      <c r="H2" s="3" t="n"/>
    </row>
    <row r="3">
      <c r="A3" t="inlineStr">
        <is>
          <t>Ordinary Shares Number</t>
        </is>
      </c>
      <c r="B3" s="3" t="n">
        <v>103843000</v>
      </c>
      <c r="C3" s="3" t="n">
        <v>103379000</v>
      </c>
      <c r="D3" s="3" t="n">
        <v>103331000</v>
      </c>
      <c r="E3" s="3" t="n">
        <v>103309000</v>
      </c>
      <c r="F3" s="3" t="n">
        <v>101622000</v>
      </c>
      <c r="G3" s="3" t="n"/>
      <c r="H3" s="3" t="n"/>
    </row>
    <row r="4">
      <c r="A4" t="inlineStr">
        <is>
          <t>Share Issued</t>
        </is>
      </c>
      <c r="B4" s="3" t="n">
        <v>115197000</v>
      </c>
      <c r="C4" s="3" t="n">
        <v>115197000</v>
      </c>
      <c r="D4" s="3" t="n">
        <v>115195000</v>
      </c>
      <c r="E4" s="3" t="n">
        <v>115173000</v>
      </c>
      <c r="F4" s="3" t="n">
        <v>113486000</v>
      </c>
      <c r="G4" s="3" t="n"/>
      <c r="H4" s="3" t="n"/>
    </row>
    <row r="5">
      <c r="A5" t="inlineStr">
        <is>
          <t>Net Debt</t>
        </is>
      </c>
      <c r="B5" s="3" t="n">
        <v>505644000</v>
      </c>
      <c r="C5" s="3" t="n">
        <v>414917000</v>
      </c>
      <c r="D5" s="3" t="n">
        <v>425525000</v>
      </c>
      <c r="E5" s="3" t="n">
        <v>469177000</v>
      </c>
      <c r="F5" s="3" t="n">
        <v>506386000</v>
      </c>
      <c r="G5" s="3" t="n"/>
      <c r="H5" s="3" t="n"/>
    </row>
    <row r="6">
      <c r="A6" t="inlineStr">
        <is>
          <t>Total Debt</t>
        </is>
      </c>
      <c r="B6" s="3" t="n">
        <v>1049308000</v>
      </c>
      <c r="C6" s="3" t="n">
        <v>1028413000</v>
      </c>
      <c r="D6" s="3" t="n">
        <v>1025421000</v>
      </c>
      <c r="E6" s="3" t="n">
        <v>1027608000</v>
      </c>
      <c r="F6" s="3" t="n">
        <v>1019658000</v>
      </c>
      <c r="G6" s="3" t="n"/>
      <c r="H6" s="3" t="n"/>
    </row>
    <row r="7">
      <c r="A7" t="inlineStr">
        <is>
          <t>Tangible Book Value</t>
        </is>
      </c>
      <c r="B7" s="3" t="n">
        <v>1021828000</v>
      </c>
      <c r="C7" s="3" t="n">
        <v>937196000</v>
      </c>
      <c r="D7" s="3" t="n">
        <v>867167000</v>
      </c>
      <c r="E7" s="3" t="n">
        <v>793414000</v>
      </c>
      <c r="F7" s="3" t="n">
        <v>734271000</v>
      </c>
      <c r="G7" s="3" t="n"/>
      <c r="H7" s="3" t="n"/>
    </row>
    <row r="8">
      <c r="A8" t="inlineStr">
        <is>
          <t>Invested Capital</t>
        </is>
      </c>
      <c r="B8" s="3" t="n">
        <v>2753354000</v>
      </c>
      <c r="C8" s="3" t="n">
        <v>2678404000</v>
      </c>
      <c r="D8" s="3" t="n">
        <v>2618093000</v>
      </c>
      <c r="E8" s="3" t="n">
        <v>2554064000</v>
      </c>
      <c r="F8" s="3" t="n">
        <v>2504647000</v>
      </c>
      <c r="G8" s="3" t="n"/>
      <c r="H8" s="3" t="n"/>
    </row>
    <row r="9">
      <c r="A9" t="inlineStr">
        <is>
          <t>Working Capital</t>
        </is>
      </c>
      <c r="B9" s="3" t="n">
        <v>898311000</v>
      </c>
      <c r="C9" s="3" t="n">
        <v>893209000</v>
      </c>
      <c r="D9" s="3" t="n">
        <v>850412000</v>
      </c>
      <c r="E9" s="3" t="n">
        <v>848696000</v>
      </c>
      <c r="F9" s="3" t="n">
        <v>819812000</v>
      </c>
      <c r="G9" s="3" t="n"/>
      <c r="H9" s="3" t="n"/>
    </row>
    <row r="10">
      <c r="A10" t="inlineStr">
        <is>
          <t>Net Tangible Assets</t>
        </is>
      </c>
      <c r="B10" s="3" t="n">
        <v>1021828000</v>
      </c>
      <c r="C10" s="3" t="n">
        <v>937196000</v>
      </c>
      <c r="D10" s="3" t="n">
        <v>867167000</v>
      </c>
      <c r="E10" s="3" t="n">
        <v>793414000</v>
      </c>
      <c r="F10" s="3" t="n">
        <v>734271000</v>
      </c>
      <c r="G10" s="3" t="n"/>
      <c r="H10" s="3" t="n"/>
    </row>
    <row r="11">
      <c r="A11" t="inlineStr">
        <is>
          <t>Capital Lease Obligations</t>
        </is>
      </c>
      <c r="B11" s="3" t="n">
        <v>133615000</v>
      </c>
      <c r="C11" s="3" t="n">
        <v>112262000</v>
      </c>
      <c r="D11" s="3" t="n">
        <v>108776000</v>
      </c>
      <c r="E11" s="3" t="n">
        <v>110464000</v>
      </c>
      <c r="F11" s="3" t="n">
        <v>102012000</v>
      </c>
      <c r="G11" s="3" t="n"/>
      <c r="H11" s="3" t="n"/>
    </row>
    <row r="12">
      <c r="A12" t="inlineStr">
        <is>
          <t>Common Stock Equity</t>
        </is>
      </c>
      <c r="B12" s="3" t="n">
        <v>1837661000</v>
      </c>
      <c r="C12" s="3" t="n">
        <v>1762253000</v>
      </c>
      <c r="D12" s="3" t="n">
        <v>1701448000</v>
      </c>
      <c r="E12" s="3" t="n">
        <v>1636920000</v>
      </c>
      <c r="F12" s="3" t="n">
        <v>1587001000</v>
      </c>
      <c r="G12" s="3" t="n"/>
      <c r="H12" s="3" t="n"/>
    </row>
    <row r="13">
      <c r="A13" t="inlineStr">
        <is>
          <t>Total Capitalization</t>
        </is>
      </c>
      <c r="B13" s="3" t="n">
        <v>2749503000</v>
      </c>
      <c r="C13" s="3" t="n">
        <v>2674589000</v>
      </c>
      <c r="D13" s="3" t="n">
        <v>2614283000</v>
      </c>
      <c r="E13" s="3" t="n">
        <v>2550259000</v>
      </c>
      <c r="F13" s="3" t="n">
        <v>2500847000</v>
      </c>
      <c r="G13" s="3" t="n"/>
      <c r="H13" s="3" t="n"/>
    </row>
    <row r="14">
      <c r="A14" t="inlineStr">
        <is>
          <t>Total Equity Gross Minority Interest</t>
        </is>
      </c>
      <c r="B14" s="3" t="n">
        <v>1837661000</v>
      </c>
      <c r="C14" s="3" t="n">
        <v>1762253000</v>
      </c>
      <c r="D14" s="3" t="n">
        <v>1701448000</v>
      </c>
      <c r="E14" s="3" t="n">
        <v>1636920000</v>
      </c>
      <c r="F14" s="3" t="n">
        <v>1587001000</v>
      </c>
      <c r="G14" s="3" t="n"/>
      <c r="H14" s="3" t="n"/>
    </row>
    <row r="15">
      <c r="A15" t="inlineStr">
        <is>
          <t>Stockholders Equity</t>
        </is>
      </c>
      <c r="B15" s="3" t="n">
        <v>1837661000</v>
      </c>
      <c r="C15" s="3" t="n"/>
      <c r="D15" s="3" t="n">
        <v>1701448000</v>
      </c>
      <c r="E15" s="3" t="n">
        <v>1636920000</v>
      </c>
      <c r="F15" s="3" t="n">
        <v>1587001000</v>
      </c>
      <c r="G15" s="3" t="n">
        <v>1563824000</v>
      </c>
      <c r="H15" s="3" t="n"/>
    </row>
    <row r="16">
      <c r="A16" t="inlineStr">
        <is>
          <t>Gains Losses Not Affecting Retained Earnings</t>
        </is>
      </c>
      <c r="B16" s="3" t="n">
        <v>-29866000</v>
      </c>
      <c r="C16" s="3" t="n">
        <v>-30930000</v>
      </c>
      <c r="D16" s="3" t="n">
        <v>-28732000</v>
      </c>
      <c r="E16" s="3" t="n">
        <v>-28594000</v>
      </c>
      <c r="F16" s="3" t="n">
        <v>-27795000</v>
      </c>
      <c r="G16" s="3" t="n"/>
      <c r="H16" s="3" t="n"/>
    </row>
    <row r="17">
      <c r="A17" t="inlineStr">
        <is>
          <t>Other Equity Adjustments</t>
        </is>
      </c>
      <c r="B17" s="3" t="n">
        <v>-29866000</v>
      </c>
      <c r="C17" s="3" t="n">
        <v>-30930000</v>
      </c>
      <c r="D17" s="3" t="n">
        <v>-28732000</v>
      </c>
      <c r="E17" s="3" t="n">
        <v>-28594000</v>
      </c>
      <c r="F17" s="3" t="n">
        <v>-27795000</v>
      </c>
      <c r="G17" s="3" t="n"/>
      <c r="H17" s="3" t="n"/>
    </row>
    <row r="18">
      <c r="A18" t="inlineStr">
        <is>
          <t>Treasury Stock</t>
        </is>
      </c>
      <c r="B18" s="3" t="n">
        <v>167976000</v>
      </c>
      <c r="C18" s="3" t="n">
        <v>174744000</v>
      </c>
      <c r="D18" s="3" t="n">
        <v>175445000</v>
      </c>
      <c r="E18" s="3" t="n">
        <v>175445000</v>
      </c>
      <c r="F18" s="3" t="n">
        <v>175445000</v>
      </c>
      <c r="G18" s="3" t="n"/>
      <c r="H18" s="3" t="n"/>
    </row>
    <row r="19">
      <c r="A19" t="inlineStr">
        <is>
          <t>Retained Earnings</t>
        </is>
      </c>
      <c r="B19" s="3" t="n">
        <v>1065858000</v>
      </c>
      <c r="C19" s="3" t="n">
        <v>1015870000</v>
      </c>
      <c r="D19" s="3" t="n">
        <v>965185000</v>
      </c>
      <c r="E19" s="3" t="n">
        <v>912130000</v>
      </c>
      <c r="F19" s="3" t="n">
        <v>870600000</v>
      </c>
      <c r="G19" s="3" t="n"/>
      <c r="H19" s="3" t="n"/>
    </row>
    <row r="20">
      <c r="A20" t="inlineStr">
        <is>
          <t>Additional Paid In Capital</t>
        </is>
      </c>
      <c r="B20" s="3" t="n">
        <v>969530000</v>
      </c>
      <c r="C20" s="3" t="n">
        <v>951942000</v>
      </c>
      <c r="D20" s="3" t="n">
        <v>940325000</v>
      </c>
      <c r="E20" s="3" t="n">
        <v>928714000</v>
      </c>
      <c r="F20" s="3" t="n">
        <v>919528000</v>
      </c>
      <c r="G20" s="3" t="n"/>
      <c r="H20" s="3" t="n"/>
    </row>
    <row r="21">
      <c r="A21" t="inlineStr">
        <is>
          <t>Capital Stock</t>
        </is>
      </c>
      <c r="B21" s="3" t="n">
        <v>115000</v>
      </c>
      <c r="C21" s="3" t="n">
        <v>115000</v>
      </c>
      <c r="D21" s="3" t="n">
        <v>115000</v>
      </c>
      <c r="E21" s="3" t="n">
        <v>115000</v>
      </c>
      <c r="F21" s="3" t="n">
        <v>113000</v>
      </c>
      <c r="G21" s="3" t="n"/>
      <c r="H21" s="3" t="n"/>
    </row>
    <row r="22">
      <c r="A22" t="inlineStr">
        <is>
          <t>Common Stock</t>
        </is>
      </c>
      <c r="B22" s="3" t="n">
        <v>115000</v>
      </c>
      <c r="C22" s="3" t="n">
        <v>115000</v>
      </c>
      <c r="D22" s="3" t="n">
        <v>115000</v>
      </c>
      <c r="E22" s="3" t="n">
        <v>115000</v>
      </c>
      <c r="F22" s="3" t="n">
        <v>113000</v>
      </c>
      <c r="G22" s="3" t="n"/>
      <c r="H22" s="3" t="n"/>
    </row>
    <row r="23">
      <c r="A23" t="inlineStr">
        <is>
          <t>Total Liabilities Net Minority Interest</t>
        </is>
      </c>
      <c r="B23" s="3" t="n">
        <v>2143369000</v>
      </c>
      <c r="C23" s="3" t="n">
        <v>2078078000</v>
      </c>
      <c r="D23" s="3" t="n">
        <v>2019080000</v>
      </c>
      <c r="E23" s="3" t="n">
        <v>1941036000</v>
      </c>
      <c r="F23" s="3" t="n">
        <v>1867598000</v>
      </c>
      <c r="G23" s="3" t="n"/>
      <c r="H23" s="3" t="n"/>
    </row>
    <row r="24">
      <c r="A24" t="inlineStr">
        <is>
          <t>Total Non Current Liabilities Net Minority Interest</t>
        </is>
      </c>
      <c r="B24" s="3" t="n">
        <v>1127874000</v>
      </c>
      <c r="C24" s="3" t="n">
        <v>1115881000</v>
      </c>
      <c r="D24" s="3" t="n">
        <v>1113877000</v>
      </c>
      <c r="E24" s="3" t="n">
        <v>1113283000</v>
      </c>
      <c r="F24" s="3" t="n">
        <v>1103062000</v>
      </c>
      <c r="G24" s="3" t="n"/>
      <c r="H24" s="3" t="n"/>
    </row>
    <row r="25">
      <c r="A25" t="inlineStr">
        <is>
          <t>Other Non Current Liabilities</t>
        </is>
      </c>
      <c r="B25" s="3" t="n">
        <v>26882000</v>
      </c>
      <c r="C25" s="3" t="n">
        <v>30393000</v>
      </c>
      <c r="D25" s="3" t="n">
        <v>27652000</v>
      </c>
      <c r="E25" s="3" t="n">
        <v>26630000</v>
      </c>
      <c r="F25" s="3" t="n">
        <v>25210000</v>
      </c>
      <c r="G25" s="3" t="n"/>
      <c r="H25" s="3" t="n"/>
    </row>
    <row r="26">
      <c r="A26" t="inlineStr">
        <is>
          <t>Derivative Product Liabilities</t>
        </is>
      </c>
      <c r="B26" s="3" t="n"/>
      <c r="C26" s="3" t="n"/>
      <c r="D26" s="3" t="n"/>
      <c r="E26" s="3" t="n"/>
      <c r="F26" s="3" t="n"/>
      <c r="G26" s="3" t="n"/>
      <c r="H26" s="3" t="n">
        <v>1414000</v>
      </c>
    </row>
    <row r="27">
      <c r="A27" t="inlineStr">
        <is>
          <t>Employee Benefits</t>
        </is>
      </c>
      <c r="B27" s="3" t="n"/>
      <c r="C27" s="3" t="n"/>
      <c r="D27" s="3" t="n"/>
      <c r="E27" s="3" t="n"/>
      <c r="F27" s="3" t="n"/>
      <c r="G27" s="3" t="n"/>
      <c r="H27" s="3" t="n">
        <v>704000</v>
      </c>
    </row>
    <row r="28">
      <c r="A28" t="inlineStr">
        <is>
          <t>Non Current Pension And Other Postretirement Benefit Plans</t>
        </is>
      </c>
      <c r="B28" s="3" t="n"/>
      <c r="C28" s="3" t="n"/>
      <c r="D28" s="3" t="n"/>
      <c r="E28" s="3" t="n"/>
      <c r="F28" s="3" t="n"/>
      <c r="G28" s="3" t="n"/>
      <c r="H28" s="3" t="n">
        <v>704000</v>
      </c>
    </row>
    <row r="29">
      <c r="A29" t="inlineStr">
        <is>
          <t>Non Current Deferred Liabilities</t>
        </is>
      </c>
      <c r="B29" s="3" t="n">
        <v>65763000</v>
      </c>
      <c r="C29" s="3" t="n">
        <v>69799000</v>
      </c>
      <c r="D29" s="3" t="n">
        <v>72940000</v>
      </c>
      <c r="E29" s="3" t="n">
        <v>71146000</v>
      </c>
      <c r="F29" s="3" t="n">
        <v>69910000</v>
      </c>
      <c r="G29" s="3" t="n"/>
      <c r="H29" s="3" t="n"/>
    </row>
    <row r="30">
      <c r="A30" t="inlineStr">
        <is>
          <t>Non Current Deferred Revenue</t>
        </is>
      </c>
      <c r="B30" s="3" t="n">
        <v>17965000</v>
      </c>
      <c r="C30" s="3" t="n">
        <v>23465000</v>
      </c>
      <c r="D30" s="3" t="n">
        <v>30105000</v>
      </c>
      <c r="E30" s="3" t="n">
        <v>28390000</v>
      </c>
      <c r="F30" s="3" t="n">
        <v>28390000</v>
      </c>
      <c r="G30" s="3" t="n"/>
      <c r="H30" s="3" t="n"/>
    </row>
    <row r="31">
      <c r="A31" t="inlineStr">
        <is>
          <t>Non Current Deferred Taxes Liabilities</t>
        </is>
      </c>
      <c r="B31" s="3" t="n">
        <v>47798000</v>
      </c>
      <c r="C31" s="3" t="n">
        <v>46334000</v>
      </c>
      <c r="D31" s="3" t="n">
        <v>42835000</v>
      </c>
      <c r="E31" s="3" t="n">
        <v>42756000</v>
      </c>
      <c r="F31" s="3" t="n">
        <v>41520000</v>
      </c>
      <c r="G31" s="3" t="n"/>
      <c r="H31" s="3" t="n"/>
    </row>
    <row r="32">
      <c r="A32" t="inlineStr">
        <is>
          <t>Long Term Debt And Capital Lease Obligation</t>
        </is>
      </c>
      <c r="B32" s="3" t="n">
        <v>1035229000</v>
      </c>
      <c r="C32" s="3" t="n">
        <v>1015689000</v>
      </c>
      <c r="D32" s="3" t="n">
        <v>1013285000</v>
      </c>
      <c r="E32" s="3" t="n">
        <v>1015507000</v>
      </c>
      <c r="F32" s="3" t="n">
        <v>1007942000</v>
      </c>
      <c r="G32" s="3" t="n"/>
      <c r="H32" s="3" t="n"/>
    </row>
    <row r="33">
      <c r="A33" t="inlineStr">
        <is>
          <t>Long Term Capital Lease Obligation</t>
        </is>
      </c>
      <c r="B33" s="3" t="n">
        <v>123387000</v>
      </c>
      <c r="C33" s="3" t="n">
        <v>103353000</v>
      </c>
      <c r="D33" s="3" t="n">
        <v>100450000</v>
      </c>
      <c r="E33" s="3" t="n">
        <v>102168000</v>
      </c>
      <c r="F33" s="3" t="n">
        <v>94096000</v>
      </c>
      <c r="G33" s="3" t="n"/>
      <c r="H33" s="3" t="n"/>
    </row>
    <row r="34">
      <c r="A34" t="inlineStr">
        <is>
          <t>Long Term Debt</t>
        </is>
      </c>
      <c r="B34" s="3" t="n">
        <v>911842000</v>
      </c>
      <c r="C34" s="3" t="n">
        <v>912336000</v>
      </c>
      <c r="D34" s="3" t="n">
        <v>912835000</v>
      </c>
      <c r="E34" s="3" t="n">
        <v>913339000</v>
      </c>
      <c r="F34" s="3" t="n">
        <v>913846000</v>
      </c>
      <c r="G34" s="3" t="n"/>
      <c r="H34" s="3" t="n"/>
    </row>
    <row r="35">
      <c r="A35" t="inlineStr">
        <is>
          <t>Current Liabilities</t>
        </is>
      </c>
      <c r="B35" s="3" t="n">
        <v>1015495000</v>
      </c>
      <c r="C35" s="3" t="n">
        <v>962197000</v>
      </c>
      <c r="D35" s="3" t="n">
        <v>905203000</v>
      </c>
      <c r="E35" s="3" t="n">
        <v>827753000</v>
      </c>
      <c r="F35" s="3" t="n">
        <v>764536000</v>
      </c>
      <c r="G35" s="3" t="n"/>
      <c r="H35" s="3" t="n"/>
    </row>
    <row r="36">
      <c r="A36" t="inlineStr">
        <is>
          <t>Other Current Liabilities</t>
        </is>
      </c>
      <c r="B36" s="3" t="n">
        <v>63252000</v>
      </c>
      <c r="C36" s="3" t="n">
        <v>58595000</v>
      </c>
      <c r="D36" s="3" t="n">
        <v>55523000</v>
      </c>
      <c r="E36" s="3" t="n">
        <v>55895000</v>
      </c>
      <c r="F36" s="3" t="n">
        <v>53799000</v>
      </c>
      <c r="G36" s="3" t="n"/>
      <c r="H36" s="3" t="n"/>
    </row>
    <row r="37">
      <c r="A37" t="inlineStr">
        <is>
          <t>Current Deferred Liabilities</t>
        </is>
      </c>
      <c r="B37" s="3" t="n">
        <v>174529000</v>
      </c>
      <c r="C37" s="3" t="n">
        <v>175627000</v>
      </c>
      <c r="D37" s="3" t="n">
        <v>149368000</v>
      </c>
      <c r="E37" s="3" t="n">
        <v>162130000</v>
      </c>
      <c r="F37" s="3" t="n">
        <v>175400000</v>
      </c>
      <c r="G37" s="3" t="n"/>
      <c r="H37" s="3" t="n"/>
    </row>
    <row r="38">
      <c r="A38" t="inlineStr">
        <is>
          <t>Current Deferred Revenue</t>
        </is>
      </c>
      <c r="B38" s="3" t="n">
        <v>174529000</v>
      </c>
      <c r="C38" s="3" t="n">
        <v>175627000</v>
      </c>
      <c r="D38" s="3" t="n">
        <v>149368000</v>
      </c>
      <c r="E38" s="3" t="n">
        <v>162130000</v>
      </c>
      <c r="F38" s="3" t="n">
        <v>175400000</v>
      </c>
      <c r="G38" s="3" t="n"/>
      <c r="H38" s="3" t="n"/>
    </row>
    <row r="39">
      <c r="A39" t="inlineStr">
        <is>
          <t>Current Debt And Capital Lease Obligation</t>
        </is>
      </c>
      <c r="B39" s="3" t="n">
        <v>14079000</v>
      </c>
      <c r="C39" s="3" t="n">
        <v>12724000</v>
      </c>
      <c r="D39" s="3" t="n">
        <v>12136000</v>
      </c>
      <c r="E39" s="3" t="n">
        <v>12101000</v>
      </c>
      <c r="F39" s="3" t="n">
        <v>11716000</v>
      </c>
      <c r="G39" s="3" t="n"/>
      <c r="H39" s="3" t="n"/>
    </row>
    <row r="40">
      <c r="A40" t="inlineStr">
        <is>
          <t>Current Capital Lease Obligation</t>
        </is>
      </c>
      <c r="B40" s="3" t="n">
        <v>10228000</v>
      </c>
      <c r="C40" s="3" t="n">
        <v>8909000</v>
      </c>
      <c r="D40" s="3" t="n">
        <v>8326000</v>
      </c>
      <c r="E40" s="3" t="n">
        <v>8296000</v>
      </c>
      <c r="F40" s="3" t="n">
        <v>7916000</v>
      </c>
      <c r="G40" s="3" t="n"/>
      <c r="H40" s="3" t="n"/>
    </row>
    <row r="41">
      <c r="A41" t="inlineStr">
        <is>
          <t>Current Debt</t>
        </is>
      </c>
      <c r="B41" s="3" t="n">
        <v>3851000</v>
      </c>
      <c r="C41" s="3" t="n">
        <v>3815000</v>
      </c>
      <c r="D41" s="3" t="n">
        <v>3810000</v>
      </c>
      <c r="E41" s="3" t="n">
        <v>3805000</v>
      </c>
      <c r="F41" s="3" t="n">
        <v>3800000</v>
      </c>
      <c r="G41" s="3" t="n"/>
      <c r="H41" s="3" t="n"/>
    </row>
    <row r="42">
      <c r="A42" t="inlineStr">
        <is>
          <t>Other Current Borrowings</t>
        </is>
      </c>
      <c r="B42" s="3" t="n">
        <v>3851000</v>
      </c>
      <c r="C42" s="3" t="n">
        <v>3815000</v>
      </c>
      <c r="D42" s="3" t="n">
        <v>3810000</v>
      </c>
      <c r="E42" s="3" t="n">
        <v>3805000</v>
      </c>
      <c r="F42" s="3" t="n">
        <v>3800000</v>
      </c>
      <c r="G42" s="3" t="n"/>
      <c r="H42" s="3" t="n"/>
    </row>
    <row r="43">
      <c r="A43" t="inlineStr">
        <is>
          <t>Current Provisions</t>
        </is>
      </c>
      <c r="B43" s="3" t="n">
        <v>7080000</v>
      </c>
      <c r="C43" s="3" t="n">
        <v>7855000</v>
      </c>
      <c r="D43" s="3" t="n">
        <v>10223000</v>
      </c>
      <c r="E43" s="3" t="n">
        <v>11412000</v>
      </c>
      <c r="F43" s="3" t="n">
        <v>8099000</v>
      </c>
      <c r="G43" s="3" t="n"/>
      <c r="H43" s="3" t="n"/>
    </row>
    <row r="44">
      <c r="A44" t="inlineStr">
        <is>
          <t>Payables And Accrued Expenses</t>
        </is>
      </c>
      <c r="B44" s="3" t="n">
        <v>756555000</v>
      </c>
      <c r="C44" s="3" t="n">
        <v>707396000</v>
      </c>
      <c r="D44" s="3" t="n">
        <v>677953000</v>
      </c>
      <c r="E44" s="3" t="n">
        <v>586215000</v>
      </c>
      <c r="F44" s="3" t="n">
        <v>515522000</v>
      </c>
      <c r="G44" s="3" t="n"/>
      <c r="H44" s="3" t="n"/>
    </row>
    <row r="45">
      <c r="A45" t="inlineStr">
        <is>
          <t>Current Accrued Expenses</t>
        </is>
      </c>
      <c r="B45" s="3" t="n">
        <v>136393000</v>
      </c>
      <c r="C45" s="3" t="n">
        <v>155778000</v>
      </c>
      <c r="D45" s="3" t="n">
        <v>149172000</v>
      </c>
      <c r="E45" s="3" t="n">
        <v>124967000</v>
      </c>
      <c r="F45" s="3" t="n">
        <v>108658000</v>
      </c>
      <c r="G45" s="3" t="n"/>
      <c r="H45" s="3" t="n"/>
    </row>
    <row r="46">
      <c r="A46" t="inlineStr">
        <is>
          <t>Interest Payable</t>
        </is>
      </c>
      <c r="B46" s="3" t="n">
        <v>3727000</v>
      </c>
      <c r="C46" s="3" t="n">
        <v>8792000</v>
      </c>
      <c r="D46" s="3" t="n">
        <v>3867000</v>
      </c>
      <c r="E46" s="3" t="n">
        <v>8569000</v>
      </c>
      <c r="F46" s="3" t="n">
        <v>3593000</v>
      </c>
      <c r="G46" s="3" t="n"/>
      <c r="H46" s="3" t="n"/>
    </row>
    <row r="47">
      <c r="A47" t="inlineStr">
        <is>
          <t>Payables</t>
        </is>
      </c>
      <c r="B47" s="3" t="n">
        <v>620162000</v>
      </c>
      <c r="C47" s="3" t="n">
        <v>551618000</v>
      </c>
      <c r="D47" s="3" t="n">
        <v>528781000</v>
      </c>
      <c r="E47" s="3" t="n">
        <v>461248000</v>
      </c>
      <c r="F47" s="3" t="n">
        <v>406864000</v>
      </c>
      <c r="G47" s="3" t="n"/>
      <c r="H47" s="3" t="n"/>
    </row>
    <row r="48">
      <c r="A48" t="inlineStr">
        <is>
          <t>Total Tax Payable</t>
        </is>
      </c>
      <c r="B48" s="3" t="n">
        <v>12266000</v>
      </c>
      <c r="C48" s="3" t="n">
        <v>8080000</v>
      </c>
      <c r="D48" s="3" t="n">
        <v>22395000</v>
      </c>
      <c r="E48" s="3" t="n">
        <v>13185000</v>
      </c>
      <c r="F48" s="3" t="n">
        <v>11737000</v>
      </c>
      <c r="G48" s="3" t="n"/>
      <c r="H48" s="3" t="n"/>
    </row>
    <row r="49">
      <c r="A49" t="inlineStr">
        <is>
          <t>Income Tax Payable</t>
        </is>
      </c>
      <c r="B49" s="3" t="n">
        <v>12266000</v>
      </c>
      <c r="C49" s="3" t="n">
        <v>8080000</v>
      </c>
      <c r="D49" s="3" t="n">
        <v>22395000</v>
      </c>
      <c r="E49" s="3" t="n">
        <v>13185000</v>
      </c>
      <c r="F49" s="3" t="n">
        <v>11737000</v>
      </c>
      <c r="G49" s="3" t="n"/>
      <c r="H49" s="3" t="n"/>
    </row>
    <row r="50">
      <c r="A50" t="inlineStr">
        <is>
          <t>Accounts Payable</t>
        </is>
      </c>
      <c r="B50" s="3" t="n">
        <v>607896000</v>
      </c>
      <c r="C50" s="3" t="n">
        <v>543538000</v>
      </c>
      <c r="D50" s="3" t="n">
        <v>506386000</v>
      </c>
      <c r="E50" s="3" t="n">
        <v>448063000</v>
      </c>
      <c r="F50" s="3" t="n">
        <v>395127000</v>
      </c>
      <c r="G50" s="3" t="n"/>
      <c r="H50" s="3" t="n"/>
    </row>
    <row r="51">
      <c r="A51" t="inlineStr">
        <is>
          <t>Total Assets</t>
        </is>
      </c>
      <c r="B51" s="3" t="n">
        <v>3981030000</v>
      </c>
      <c r="C51" s="3" t="n">
        <v>3840331000</v>
      </c>
      <c r="D51" s="3" t="n">
        <v>3720528000</v>
      </c>
      <c r="E51" s="3" t="n">
        <v>3577956000</v>
      </c>
      <c r="F51" s="3" t="n">
        <v>3454599000</v>
      </c>
      <c r="G51" s="3" t="n"/>
      <c r="H51" s="3" t="n"/>
    </row>
    <row r="52">
      <c r="A52" t="inlineStr">
        <is>
          <t>Total Non Current Assets</t>
        </is>
      </c>
      <c r="B52" s="3" t="n">
        <v>2067224000</v>
      </c>
      <c r="C52" s="3" t="n">
        <v>1984925000</v>
      </c>
      <c r="D52" s="3" t="n">
        <v>1964913000</v>
      </c>
      <c r="E52" s="3" t="n">
        <v>1901507000</v>
      </c>
      <c r="F52" s="3" t="n">
        <v>1870251000</v>
      </c>
      <c r="G52" s="3" t="n"/>
      <c r="H52" s="3" t="n"/>
    </row>
    <row r="53">
      <c r="A53" t="inlineStr">
        <is>
          <t>Other Non Current Assets</t>
        </is>
      </c>
      <c r="B53" s="3" t="n">
        <v>82813000</v>
      </c>
      <c r="C53" s="3" t="n">
        <v>68244000</v>
      </c>
      <c r="D53" s="3" t="n">
        <v>57534000</v>
      </c>
      <c r="E53" s="3" t="n">
        <v>56019000</v>
      </c>
      <c r="F53" s="3" t="n">
        <v>51359000</v>
      </c>
      <c r="G53" s="3" t="n"/>
      <c r="H53" s="3" t="n"/>
    </row>
    <row r="54">
      <c r="A54" t="inlineStr">
        <is>
          <t>Goodwill And Other Intangible Assets</t>
        </is>
      </c>
      <c r="B54" s="3" t="n">
        <v>815833000</v>
      </c>
      <c r="C54" s="3" t="n">
        <v>825057000</v>
      </c>
      <c r="D54" s="3" t="n">
        <v>834281000</v>
      </c>
      <c r="E54" s="3" t="n">
        <v>843506000</v>
      </c>
      <c r="F54" s="3" t="n">
        <v>852730000</v>
      </c>
      <c r="G54" s="3" t="n"/>
      <c r="H54" s="3" t="n"/>
    </row>
    <row r="55">
      <c r="A55" t="inlineStr">
        <is>
          <t>Other Intangible Assets</t>
        </is>
      </c>
      <c r="B55" s="3" t="n">
        <v>145698000</v>
      </c>
      <c r="C55" s="3" t="n">
        <v>154922000</v>
      </c>
      <c r="D55" s="3" t="n">
        <v>164146000</v>
      </c>
      <c r="E55" s="3" t="n">
        <v>173371000</v>
      </c>
      <c r="F55" s="3" t="n">
        <v>182595000</v>
      </c>
      <c r="G55" s="3" t="n"/>
      <c r="H55" s="3" t="n"/>
    </row>
    <row r="56">
      <c r="A56" t="inlineStr">
        <is>
          <t>Goodwill</t>
        </is>
      </c>
      <c r="B56" s="3" t="n">
        <v>670135000</v>
      </c>
      <c r="C56" s="3" t="n">
        <v>670135000</v>
      </c>
      <c r="D56" s="3" t="n">
        <v>670135000</v>
      </c>
      <c r="E56" s="3" t="n">
        <v>670135000</v>
      </c>
      <c r="F56" s="3" t="n">
        <v>670135000</v>
      </c>
      <c r="G56" s="3" t="n"/>
      <c r="H56" s="3" t="n"/>
    </row>
    <row r="57">
      <c r="A57" t="inlineStr">
        <is>
          <t>Net PPE</t>
        </is>
      </c>
      <c r="B57" s="3" t="n">
        <v>1168578000</v>
      </c>
      <c r="C57" s="3" t="n">
        <v>1091624000</v>
      </c>
      <c r="D57" s="3" t="n">
        <v>1073098000</v>
      </c>
      <c r="E57" s="3" t="n">
        <v>1001982000</v>
      </c>
      <c r="F57" s="3" t="n">
        <v>966162000</v>
      </c>
      <c r="G57" s="3" t="n"/>
      <c r="H57" s="3" t="n"/>
    </row>
    <row r="58">
      <c r="A58" t="inlineStr">
        <is>
          <t>Accumulated Depreciation</t>
        </is>
      </c>
      <c r="B58" s="3" t="n">
        <v>-1017604000</v>
      </c>
      <c r="C58" s="3" t="n">
        <v>-997191000</v>
      </c>
      <c r="D58" s="3" t="n">
        <v>-982566000</v>
      </c>
      <c r="E58" s="3" t="n">
        <v>-958644000</v>
      </c>
      <c r="F58" s="3" t="n">
        <v>-939766000</v>
      </c>
      <c r="G58" s="3" t="n"/>
      <c r="H58" s="3" t="n"/>
    </row>
    <row r="59">
      <c r="A59" t="inlineStr">
        <is>
          <t>Gross PPE</t>
        </is>
      </c>
      <c r="B59" s="3" t="n">
        <v>2186182000</v>
      </c>
      <c r="C59" s="3" t="n">
        <v>2088815000</v>
      </c>
      <c r="D59" s="3" t="n">
        <v>2055664000</v>
      </c>
      <c r="E59" s="3" t="n">
        <v>1960626000</v>
      </c>
      <c r="F59" s="3" t="n">
        <v>1905928000</v>
      </c>
      <c r="G59" s="3" t="n"/>
      <c r="H59" s="3" t="n"/>
    </row>
    <row r="60">
      <c r="A60" t="inlineStr">
        <is>
          <t>Construction In Progress</t>
        </is>
      </c>
      <c r="B60" s="3" t="n">
        <v>156520000</v>
      </c>
      <c r="C60" s="3" t="n">
        <v>101945000</v>
      </c>
      <c r="D60" s="3" t="n">
        <v>156982000</v>
      </c>
      <c r="E60" s="3" t="n">
        <v>116126000</v>
      </c>
      <c r="F60" s="3" t="n">
        <v>81493000</v>
      </c>
      <c r="G60" s="3" t="n"/>
      <c r="H60" s="3" t="n"/>
    </row>
    <row r="61">
      <c r="A61" t="inlineStr">
        <is>
          <t>Other Properties</t>
        </is>
      </c>
      <c r="B61" s="3" t="n">
        <v>101325000</v>
      </c>
      <c r="C61" s="3" t="n">
        <v>80914000</v>
      </c>
      <c r="D61" s="3" t="n">
        <v>80905000</v>
      </c>
      <c r="E61" s="3" t="n">
        <v>82763000</v>
      </c>
      <c r="F61" s="3" t="n">
        <v>78076000</v>
      </c>
      <c r="G61" s="3" t="n"/>
      <c r="H61" s="3" t="n"/>
    </row>
    <row r="62">
      <c r="A62" t="inlineStr">
        <is>
          <t>Machinery Furniture Equipment</t>
        </is>
      </c>
      <c r="B62" s="3" t="n">
        <v>1226653000</v>
      </c>
      <c r="C62" s="3" t="n">
        <v>1198829000</v>
      </c>
      <c r="D62" s="3" t="n">
        <v>1193023000</v>
      </c>
      <c r="E62" s="3" t="n">
        <v>1167265000</v>
      </c>
      <c r="F62" s="3" t="n">
        <v>1152993000</v>
      </c>
      <c r="G62" s="3" t="n"/>
      <c r="H62" s="3" t="n"/>
    </row>
    <row r="63">
      <c r="A63" t="inlineStr">
        <is>
          <t>Buildings And Improvements</t>
        </is>
      </c>
      <c r="B63" s="3" t="n">
        <v>629342000</v>
      </c>
      <c r="C63" s="3" t="n">
        <v>634785000</v>
      </c>
      <c r="D63" s="3" t="n">
        <v>554679000</v>
      </c>
      <c r="E63" s="3" t="n">
        <v>526374000</v>
      </c>
      <c r="F63" s="3" t="n">
        <v>523768000</v>
      </c>
      <c r="G63" s="3" t="n"/>
      <c r="H63" s="3" t="n"/>
    </row>
    <row r="64">
      <c r="A64" t="inlineStr">
        <is>
          <t>Land And Improvements</t>
        </is>
      </c>
      <c r="B64" s="3" t="n">
        <v>72342000</v>
      </c>
      <c r="C64" s="3" t="n">
        <v>72342000</v>
      </c>
      <c r="D64" s="3" t="n">
        <v>70075000</v>
      </c>
      <c r="E64" s="3" t="n">
        <v>68098000</v>
      </c>
      <c r="F64" s="3" t="n">
        <v>69598000</v>
      </c>
      <c r="G64" s="3" t="n"/>
      <c r="H64" s="3" t="n"/>
    </row>
    <row r="65">
      <c r="A65" t="inlineStr">
        <is>
          <t>Properties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/>
      <c r="H65" s="3" t="n"/>
    </row>
    <row r="66">
      <c r="A66" t="inlineStr">
        <is>
          <t>Current Assets</t>
        </is>
      </c>
      <c r="B66" s="3" t="n">
        <v>1913806000</v>
      </c>
      <c r="C66" s="3" t="n">
        <v>1855406000</v>
      </c>
      <c r="D66" s="3" t="n">
        <v>1755615000</v>
      </c>
      <c r="E66" s="3" t="n">
        <v>1676449000</v>
      </c>
      <c r="F66" s="3" t="n">
        <v>1584348000</v>
      </c>
      <c r="G66" s="3" t="n"/>
      <c r="H66" s="3" t="n"/>
    </row>
    <row r="67">
      <c r="A67" t="inlineStr">
        <is>
          <t>Other Current Assets</t>
        </is>
      </c>
      <c r="B67" s="3" t="n">
        <v>92436000</v>
      </c>
      <c r="C67" s="3" t="n">
        <v>72368000</v>
      </c>
      <c r="D67" s="3" t="n">
        <v>63694000</v>
      </c>
      <c r="E67" s="3" t="n">
        <v>57818000</v>
      </c>
      <c r="F67" s="3" t="n">
        <v>51820000</v>
      </c>
      <c r="G67" s="3" t="n"/>
      <c r="H67" s="3" t="n"/>
    </row>
    <row r="68">
      <c r="A68" t="inlineStr">
        <is>
          <t>Inventory</t>
        </is>
      </c>
      <c r="B68" s="3" t="n">
        <v>280210000</v>
      </c>
      <c r="C68" s="3" t="n">
        <v>250057000</v>
      </c>
      <c r="D68" s="3" t="n">
        <v>253687000</v>
      </c>
      <c r="E68" s="3" t="n">
        <v>250339000</v>
      </c>
      <c r="F68" s="3" t="n">
        <v>246837000</v>
      </c>
      <c r="G68" s="3" t="n"/>
      <c r="H68" s="3" t="n"/>
    </row>
    <row r="69">
      <c r="A69" t="inlineStr">
        <is>
          <t>Finished Goods</t>
        </is>
      </c>
      <c r="B69" s="3" t="n">
        <v>4173000</v>
      </c>
      <c r="C69" s="3" t="n">
        <v>4290000</v>
      </c>
      <c r="D69" s="3" t="n">
        <v>4774000</v>
      </c>
      <c r="E69" s="3" t="n">
        <v>5696000</v>
      </c>
      <c r="F69" s="3" t="n">
        <v>3330000</v>
      </c>
      <c r="G69" s="3" t="n"/>
      <c r="H69" s="3" t="n"/>
    </row>
    <row r="70">
      <c r="A70" t="inlineStr">
        <is>
          <t>Work In Process</t>
        </is>
      </c>
      <c r="B70" s="3" t="n">
        <v>50622000</v>
      </c>
      <c r="C70" s="3" t="n">
        <v>48236000</v>
      </c>
      <c r="D70" s="3" t="n">
        <v>50840000</v>
      </c>
      <c r="E70" s="3" t="n">
        <v>51611000</v>
      </c>
      <c r="F70" s="3" t="n">
        <v>50519000</v>
      </c>
      <c r="G70" s="3" t="n"/>
      <c r="H70" s="3" t="n"/>
    </row>
    <row r="71">
      <c r="A71" t="inlineStr">
        <is>
          <t>Raw Materials</t>
        </is>
      </c>
      <c r="B71" s="3" t="n">
        <v>225415000</v>
      </c>
      <c r="C71" s="3" t="n">
        <v>197531000</v>
      </c>
      <c r="D71" s="3" t="n">
        <v>198073000</v>
      </c>
      <c r="E71" s="3" t="n">
        <v>193032000</v>
      </c>
      <c r="F71" s="3" t="n">
        <v>192988000</v>
      </c>
      <c r="G71" s="3" t="n"/>
      <c r="H71" s="3" t="n"/>
    </row>
    <row r="72">
      <c r="A72" t="inlineStr">
        <is>
          <t>Receivables</t>
        </is>
      </c>
      <c r="B72" s="3" t="n">
        <v>1131111000</v>
      </c>
      <c r="C72" s="3" t="n">
        <v>1031747000</v>
      </c>
      <c r="D72" s="3" t="n">
        <v>947114000</v>
      </c>
      <c r="E72" s="3" t="n">
        <v>920325000</v>
      </c>
      <c r="F72" s="3" t="n">
        <v>874431000</v>
      </c>
      <c r="G72" s="3" t="n"/>
      <c r="H72" s="3" t="n"/>
    </row>
    <row r="73">
      <c r="A73" t="inlineStr">
        <is>
          <t>Other Receivables</t>
        </is>
      </c>
      <c r="B73" s="3" t="n">
        <v>513029000</v>
      </c>
      <c r="C73" s="3" t="n">
        <v>468006000</v>
      </c>
      <c r="D73" s="3" t="n">
        <v>446967000</v>
      </c>
      <c r="E73" s="3" t="n">
        <v>424973000</v>
      </c>
      <c r="F73" s="3" t="n">
        <v>378215000</v>
      </c>
      <c r="G73" s="3" t="n"/>
      <c r="H73" s="3" t="n"/>
    </row>
    <row r="74">
      <c r="A74" t="inlineStr">
        <is>
          <t>Accounts Receivable</t>
        </is>
      </c>
      <c r="B74" s="3" t="n">
        <v>618082000</v>
      </c>
      <c r="C74" s="3" t="n">
        <v>563741000</v>
      </c>
      <c r="D74" s="3" t="n">
        <v>500147000</v>
      </c>
      <c r="E74" s="3" t="n">
        <v>495352000</v>
      </c>
      <c r="F74" s="3" t="n">
        <v>496216000</v>
      </c>
      <c r="G74" s="3" t="n"/>
      <c r="H74" s="3" t="n"/>
    </row>
    <row r="75">
      <c r="A75" t="inlineStr">
        <is>
          <t>Cash Cash Equivalents And Short Term Investments</t>
        </is>
      </c>
      <c r="B75" s="3" t="n">
        <v>410049000</v>
      </c>
      <c r="C75" s="3" t="n">
        <v>501234000</v>
      </c>
      <c r="D75" s="3" t="n">
        <v>491120000</v>
      </c>
      <c r="E75" s="3" t="n">
        <v>447967000</v>
      </c>
      <c r="F75" s="3" t="n">
        <v>411260000</v>
      </c>
      <c r="G75" s="3" t="n"/>
      <c r="H75" s="3" t="n"/>
    </row>
    <row r="76">
      <c r="A76" t="inlineStr">
        <is>
          <t>Cash And Cash Equivalents</t>
        </is>
      </c>
      <c r="B76" s="3" t="n">
        <v>410049000</v>
      </c>
      <c r="C76" s="3" t="n">
        <v>501234000</v>
      </c>
      <c r="D76" s="3" t="n">
        <v>491120000</v>
      </c>
      <c r="E76" s="3" t="n">
        <v>447967000</v>
      </c>
      <c r="F76" s="3" t="n">
        <v>411260000</v>
      </c>
      <c r="G76" s="3" t="n"/>
      <c r="H76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-683000</v>
      </c>
      <c r="C2" s="3" t="n">
        <v>51155000</v>
      </c>
      <c r="D2" s="3" t="n">
        <v>27042000</v>
      </c>
      <c r="E2" s="3" t="n">
        <v>169989000</v>
      </c>
      <c r="F2" s="3" t="n"/>
    </row>
    <row r="3">
      <c r="A3" t="inlineStr">
        <is>
          <t>Repurchase Of Capital Stock</t>
        </is>
      </c>
      <c r="B3" s="3" t="n">
        <v>-17875000</v>
      </c>
      <c r="C3" s="3" t="n">
        <v>-34479000</v>
      </c>
      <c r="D3" s="3" t="n">
        <v>-24432000</v>
      </c>
      <c r="E3" s="3" t="n">
        <v>-35424000</v>
      </c>
      <c r="F3" s="3" t="n"/>
    </row>
    <row r="4">
      <c r="A4" t="inlineStr">
        <is>
          <t>Repayment Of Debt</t>
        </is>
      </c>
      <c r="B4" s="3" t="n"/>
      <c r="C4" s="3" t="n">
        <v>-9596000</v>
      </c>
      <c r="D4" s="3" t="n">
        <v>-291572000</v>
      </c>
      <c r="E4" s="3" t="n">
        <v>-50000000</v>
      </c>
      <c r="F4" s="3" t="n">
        <v>-425838000</v>
      </c>
    </row>
    <row r="5">
      <c r="A5" t="inlineStr">
        <is>
          <t>Issuance Of Debt</t>
        </is>
      </c>
      <c r="B5" s="3" t="n">
        <v>0</v>
      </c>
      <c r="C5" s="3" t="n">
        <v>8416000</v>
      </c>
      <c r="D5" s="3" t="n">
        <v>284818000</v>
      </c>
      <c r="E5" s="3" t="n">
        <v>50000000</v>
      </c>
      <c r="F5" s="3" t="n"/>
    </row>
    <row r="6">
      <c r="A6" t="inlineStr">
        <is>
          <t>Capital Expenditure</t>
        </is>
      </c>
      <c r="B6" s="3" t="n">
        <v>-292565000</v>
      </c>
      <c r="C6" s="3" t="n">
        <v>-185739000</v>
      </c>
      <c r="D6" s="3" t="n">
        <v>-160242000</v>
      </c>
      <c r="E6" s="3" t="n">
        <v>-102884000</v>
      </c>
      <c r="F6" s="3" t="n"/>
    </row>
    <row r="7">
      <c r="A7" t="inlineStr">
        <is>
          <t>Interest Paid Supplemental Data</t>
        </is>
      </c>
      <c r="B7" s="3" t="n">
        <v>46197000</v>
      </c>
      <c r="C7" s="3" t="n">
        <v>48988000</v>
      </c>
      <c r="D7" s="3" t="n">
        <v>47884000</v>
      </c>
      <c r="E7" s="3" t="n">
        <v>42844000</v>
      </c>
      <c r="F7" s="3" t="n"/>
    </row>
    <row r="8">
      <c r="A8" t="inlineStr">
        <is>
          <t>Income Tax Paid Supplemental Data</t>
        </is>
      </c>
      <c r="B8" s="3" t="n">
        <v>37437000</v>
      </c>
      <c r="C8" s="3" t="n">
        <v>18766000</v>
      </c>
      <c r="D8" s="3" t="n">
        <v>53751000</v>
      </c>
      <c r="E8" s="3" t="n">
        <v>4574000</v>
      </c>
      <c r="F8" s="3" t="n"/>
    </row>
    <row r="9">
      <c r="A9" t="inlineStr">
        <is>
          <t>End Cash Position</t>
        </is>
      </c>
      <c r="B9" s="3" t="n"/>
      <c r="C9" s="3" t="n">
        <v>503932000</v>
      </c>
      <c r="D9" s="3" t="n">
        <v>450208000</v>
      </c>
      <c r="E9" s="3" t="n">
        <v>402749000</v>
      </c>
      <c r="F9" s="3" t="n">
        <v>537678000</v>
      </c>
    </row>
    <row r="10">
      <c r="A10" t="inlineStr">
        <is>
          <t>Beginning Cash Position</t>
        </is>
      </c>
      <c r="B10" s="3" t="n">
        <v>503932000</v>
      </c>
      <c r="C10" s="3" t="n">
        <v>450208000</v>
      </c>
      <c r="D10" s="3" t="n">
        <v>402749000</v>
      </c>
      <c r="E10" s="3" t="n">
        <v>537678000</v>
      </c>
      <c r="F10" s="3" t="n"/>
    </row>
    <row r="11">
      <c r="A11" t="inlineStr">
        <is>
          <t>Effect Of Exchange Rate Changes</t>
        </is>
      </c>
      <c r="B11" s="3" t="n"/>
      <c r="C11" s="3" t="n">
        <v>-139000</v>
      </c>
      <c r="D11" s="3" t="n">
        <v>-122000</v>
      </c>
      <c r="E11" s="3" t="n">
        <v>-1033000</v>
      </c>
      <c r="F11" s="3" t="n">
        <v>856000</v>
      </c>
    </row>
    <row r="12">
      <c r="A12" t="inlineStr">
        <is>
          <t>Changes In Cash</t>
        </is>
      </c>
      <c r="B12" s="3" t="n">
        <v>-2979000</v>
      </c>
      <c r="C12" s="3" t="n">
        <v>53863000</v>
      </c>
      <c r="D12" s="3" t="n">
        <v>47581000</v>
      </c>
      <c r="E12" s="3" t="n">
        <v>-133896000</v>
      </c>
      <c r="F12" s="3" t="n"/>
    </row>
    <row r="13">
      <c r="A13" t="inlineStr">
        <is>
          <t>Financing Cash Flow</t>
        </is>
      </c>
      <c r="B13" s="3" t="n">
        <v>-20921000</v>
      </c>
      <c r="C13" s="3" t="n">
        <v>-36821000</v>
      </c>
      <c r="D13" s="3" t="n">
        <v>-47673000</v>
      </c>
      <c r="E13" s="3" t="n">
        <v>-11311000</v>
      </c>
      <c r="F13" s="3" t="n"/>
    </row>
    <row r="14">
      <c r="A14" t="inlineStr">
        <is>
          <t>Cash Flow From Continuing Financing Activities</t>
        </is>
      </c>
      <c r="B14" s="3" t="n">
        <v>-20921000</v>
      </c>
      <c r="C14" s="3" t="n">
        <v>-36821000</v>
      </c>
      <c r="D14" s="3" t="n">
        <v>-47673000</v>
      </c>
      <c r="E14" s="3" t="n">
        <v>-11311000</v>
      </c>
      <c r="F14" s="3" t="n"/>
    </row>
    <row r="15">
      <c r="A15" t="inlineStr">
        <is>
          <t>Net Other Financing Charges</t>
        </is>
      </c>
      <c r="B15" s="3" t="n">
        <v>513000</v>
      </c>
      <c r="C15" s="3" t="n">
        <v>-1162000</v>
      </c>
      <c r="D15" s="3" t="n">
        <v>-16487000</v>
      </c>
      <c r="E15" s="3" t="n">
        <v>25000000</v>
      </c>
      <c r="F15" s="3" t="n"/>
    </row>
    <row r="16">
      <c r="A16" t="inlineStr">
        <is>
          <t>Proceeds From Stock Option Exercised</t>
        </is>
      </c>
      <c r="B16" s="3" t="n">
        <v>236000</v>
      </c>
      <c r="C16" s="3" t="n">
        <v>0</v>
      </c>
      <c r="D16" s="3" t="n">
        <v>0</v>
      </c>
      <c r="E16" s="3" t="n">
        <v>-887000</v>
      </c>
      <c r="F16" s="3" t="n"/>
    </row>
    <row r="17">
      <c r="A17" t="inlineStr">
        <is>
          <t>Net Common Stock Issuance</t>
        </is>
      </c>
      <c r="B17" s="3" t="n">
        <v>-17875000</v>
      </c>
      <c r="C17" s="3" t="n">
        <v>-34479000</v>
      </c>
      <c r="D17" s="3" t="n">
        <v>-24432000</v>
      </c>
      <c r="E17" s="3" t="n">
        <v>-35424000</v>
      </c>
      <c r="F17" s="3" t="n"/>
    </row>
    <row r="18">
      <c r="A18" t="inlineStr">
        <is>
          <t>Common Stock Payments</t>
        </is>
      </c>
      <c r="B18" s="3" t="n">
        <v>-17875000</v>
      </c>
      <c r="C18" s="3" t="n">
        <v>-34479000</v>
      </c>
      <c r="D18" s="3" t="n">
        <v>-24432000</v>
      </c>
      <c r="E18" s="3" t="n">
        <v>-35424000</v>
      </c>
      <c r="F18" s="3" t="n"/>
    </row>
    <row r="19">
      <c r="A19" t="inlineStr">
        <is>
          <t>Net Issuance Payments Of Debt</t>
        </is>
      </c>
      <c r="B19" s="3" t="n">
        <v>-3795000</v>
      </c>
      <c r="C19" s="3" t="n">
        <v>-1180000</v>
      </c>
      <c r="D19" s="3" t="n">
        <v>-6754000</v>
      </c>
      <c r="E19" s="3" t="n">
        <v>0</v>
      </c>
      <c r="F19" s="3" t="n"/>
    </row>
    <row r="20">
      <c r="A20" t="inlineStr">
        <is>
          <t>Net Long Term Debt Issuance</t>
        </is>
      </c>
      <c r="B20" s="3" t="n"/>
      <c r="C20" s="3" t="n">
        <v>-1180000</v>
      </c>
      <c r="D20" s="3" t="n">
        <v>-6754000</v>
      </c>
      <c r="E20" s="3" t="n">
        <v>0</v>
      </c>
      <c r="F20" s="3" t="n">
        <v>74162000</v>
      </c>
    </row>
    <row r="21">
      <c r="A21" t="inlineStr">
        <is>
          <t>Long Term Debt Payments</t>
        </is>
      </c>
      <c r="B21" s="3" t="n">
        <v>-3795000</v>
      </c>
      <c r="C21" s="3" t="n">
        <v>-9596000</v>
      </c>
      <c r="D21" s="3" t="n">
        <v>-291572000</v>
      </c>
      <c r="E21" s="3" t="n">
        <v>-50000000</v>
      </c>
      <c r="F21" s="3" t="n"/>
    </row>
    <row r="22">
      <c r="A22" t="inlineStr">
        <is>
          <t>Long Term Debt Issuance</t>
        </is>
      </c>
      <c r="B22" s="3" t="n">
        <v>0</v>
      </c>
      <c r="C22" s="3" t="n">
        <v>8416000</v>
      </c>
      <c r="D22" s="3" t="n">
        <v>284818000</v>
      </c>
      <c r="E22" s="3" t="n">
        <v>50000000</v>
      </c>
      <c r="F22" s="3" t="n"/>
    </row>
    <row r="23">
      <c r="A23" t="inlineStr">
        <is>
          <t>Investing Cash Flow</t>
        </is>
      </c>
      <c r="B23" s="3" t="n">
        <v>-273940000</v>
      </c>
      <c r="C23" s="3" t="n">
        <v>-146210000</v>
      </c>
      <c r="D23" s="3" t="n">
        <v>-92030000</v>
      </c>
      <c r="E23" s="3" t="n">
        <v>-395458000</v>
      </c>
      <c r="F23" s="3" t="n"/>
    </row>
    <row r="24">
      <c r="A24" t="inlineStr">
        <is>
          <t>Cash Flow From Continuing Investing Activities</t>
        </is>
      </c>
      <c r="B24" s="3" t="n">
        <v>-273940000</v>
      </c>
      <c r="C24" s="3" t="n">
        <v>-146210000</v>
      </c>
      <c r="D24" s="3" t="n">
        <v>-92030000</v>
      </c>
      <c r="E24" s="3" t="n">
        <v>-395458000</v>
      </c>
      <c r="F24" s="3" t="n"/>
    </row>
    <row r="25">
      <c r="A25" t="inlineStr">
        <is>
          <t>Net Other Investing Changes</t>
        </is>
      </c>
      <c r="B25" s="3" t="n">
        <v>17844000</v>
      </c>
      <c r="C25" s="3" t="n">
        <v>-76000</v>
      </c>
      <c r="D25" s="3" t="n">
        <v>-101000</v>
      </c>
      <c r="E25" s="3" t="n">
        <v>-245000</v>
      </c>
      <c r="F25" s="3" t="n"/>
    </row>
    <row r="26">
      <c r="A26" t="inlineStr">
        <is>
          <t>Net Business Purchase And Sale</t>
        </is>
      </c>
      <c r="B26" s="3" t="n">
        <v>0</v>
      </c>
      <c r="C26" s="3" t="n">
        <v>0</v>
      </c>
      <c r="D26" s="3" t="n">
        <v>6039000</v>
      </c>
      <c r="E26" s="3" t="n">
        <v>-298339000</v>
      </c>
      <c r="F26" s="3" t="n"/>
    </row>
    <row r="27">
      <c r="A27" t="inlineStr">
        <is>
          <t>Sale Of Business</t>
        </is>
      </c>
      <c r="B27" s="3" t="n">
        <v>0</v>
      </c>
      <c r="C27" s="3" t="n">
        <v>0</v>
      </c>
      <c r="D27" s="3" t="n">
        <v>6039000</v>
      </c>
      <c r="E27" s="3" t="n">
        <v>0</v>
      </c>
      <c r="F27" s="3" t="n"/>
    </row>
    <row r="28">
      <c r="A28" t="inlineStr">
        <is>
          <t>Purchase Of Business</t>
        </is>
      </c>
      <c r="B28" s="3" t="n"/>
      <c r="C28" s="3" t="n">
        <v>0</v>
      </c>
      <c r="D28" s="3" t="n">
        <v>0</v>
      </c>
      <c r="E28" s="3" t="n">
        <v>-298339000</v>
      </c>
      <c r="F28" s="3" t="n">
        <v>-3188000</v>
      </c>
    </row>
    <row r="29">
      <c r="A29" t="inlineStr">
        <is>
          <t>Net PPE Purchase And Sale</t>
        </is>
      </c>
      <c r="B29" s="3" t="n">
        <v>-291784000</v>
      </c>
      <c r="C29" s="3" t="n">
        <v>-146134000</v>
      </c>
      <c r="D29" s="3" t="n">
        <v>-97968000</v>
      </c>
      <c r="E29" s="3" t="n">
        <v>-96874000</v>
      </c>
      <c r="F29" s="3" t="n"/>
    </row>
    <row r="30">
      <c r="A30" t="inlineStr">
        <is>
          <t>Sale Of PPE</t>
        </is>
      </c>
      <c r="B30" s="3" t="n">
        <v>781000</v>
      </c>
      <c r="C30" s="3" t="n">
        <v>39605000</v>
      </c>
      <c r="D30" s="3" t="n">
        <v>62274000</v>
      </c>
      <c r="E30" s="3" t="n">
        <v>6010000</v>
      </c>
      <c r="F30" s="3" t="n"/>
    </row>
    <row r="31">
      <c r="A31" t="inlineStr">
        <is>
          <t>Purchase Of PPE</t>
        </is>
      </c>
      <c r="B31" s="3" t="n">
        <v>-292565000</v>
      </c>
      <c r="C31" s="3" t="n">
        <v>-185739000</v>
      </c>
      <c r="D31" s="3" t="n">
        <v>-160242000</v>
      </c>
      <c r="E31" s="3" t="n">
        <v>-102884000</v>
      </c>
      <c r="F31" s="3" t="n"/>
    </row>
    <row r="32">
      <c r="A32" t="inlineStr">
        <is>
          <t>Operating Cash Flow</t>
        </is>
      </c>
      <c r="B32" s="3" t="n">
        <v>291882000</v>
      </c>
      <c r="C32" s="3" t="n">
        <v>236894000</v>
      </c>
      <c r="D32" s="3" t="n">
        <v>187284000</v>
      </c>
      <c r="E32" s="3" t="n">
        <v>272873000</v>
      </c>
      <c r="F32" s="3" t="n"/>
    </row>
    <row r="33">
      <c r="A33" t="inlineStr">
        <is>
          <t>Cash Flow From Continuing Operating Activities</t>
        </is>
      </c>
      <c r="B33" s="3" t="n">
        <v>291882000</v>
      </c>
      <c r="C33" s="3" t="n">
        <v>236894000</v>
      </c>
      <c r="D33" s="3" t="n">
        <v>187284000</v>
      </c>
      <c r="E33" s="3" t="n">
        <v>272873000</v>
      </c>
      <c r="F33" s="3" t="n"/>
    </row>
    <row r="34">
      <c r="A34" t="inlineStr">
        <is>
          <t>Change In Working Capital</t>
        </is>
      </c>
      <c r="B34" s="3" t="n">
        <v>-85287000</v>
      </c>
      <c r="C34" s="3" t="n">
        <v>-30331000</v>
      </c>
      <c r="D34" s="3" t="n">
        <v>-11942000</v>
      </c>
      <c r="E34" s="3" t="n">
        <v>18385000</v>
      </c>
      <c r="F34" s="3" t="n"/>
    </row>
    <row r="35">
      <c r="A35" t="inlineStr">
        <is>
          <t>Change In Other Working Capital</t>
        </is>
      </c>
      <c r="B35" s="3" t="n">
        <v>4712000</v>
      </c>
      <c r="C35" s="3" t="n">
        <v>44407000</v>
      </c>
      <c r="D35" s="3" t="n">
        <v>22527000</v>
      </c>
      <c r="E35" s="3" t="n">
        <v>24530000</v>
      </c>
      <c r="F35" s="3" t="n"/>
    </row>
    <row r="36">
      <c r="A36" t="inlineStr">
        <is>
          <t>Change In Other Current Liabilities</t>
        </is>
      </c>
      <c r="B36" s="3" t="n">
        <v>-3693000</v>
      </c>
      <c r="C36" s="3" t="n">
        <v>4939000</v>
      </c>
      <c r="D36" s="3" t="n">
        <v>-24539000</v>
      </c>
      <c r="E36" s="3" t="n">
        <v>33285000</v>
      </c>
      <c r="F36" s="3" t="n"/>
    </row>
    <row r="37">
      <c r="A37" t="inlineStr">
        <is>
          <t>Change In Payables And Accrued Expense</t>
        </is>
      </c>
      <c r="B37" s="3" t="n">
        <v>163009000</v>
      </c>
      <c r="C37" s="3" t="n">
        <v>59307000</v>
      </c>
      <c r="D37" s="3" t="n">
        <v>-51029000</v>
      </c>
      <c r="E37" s="3" t="n">
        <v>658000</v>
      </c>
      <c r="F37" s="3" t="n"/>
    </row>
    <row r="38">
      <c r="A38" t="inlineStr">
        <is>
          <t>Change In Accrued Expense</t>
        </is>
      </c>
      <c r="B38" s="3" t="n">
        <v>24038000</v>
      </c>
      <c r="C38" s="3" t="n">
        <v>9588000</v>
      </c>
      <c r="D38" s="3" t="n">
        <v>-16447000</v>
      </c>
      <c r="E38" s="3" t="n">
        <v>15462000</v>
      </c>
      <c r="F38" s="3" t="n"/>
    </row>
    <row r="39">
      <c r="A39" t="inlineStr">
        <is>
          <t>Change In Payable</t>
        </is>
      </c>
      <c r="B39" s="3" t="n">
        <v>138971000</v>
      </c>
      <c r="C39" s="3" t="n">
        <v>49719000</v>
      </c>
      <c r="D39" s="3" t="n">
        <v>-34582000</v>
      </c>
      <c r="E39" s="3" t="n">
        <v>-14804000</v>
      </c>
      <c r="F39" s="3" t="n"/>
    </row>
    <row r="40">
      <c r="A40" t="inlineStr">
        <is>
          <t>Change In Account Payable</t>
        </is>
      </c>
      <c r="B40" s="3" t="n">
        <v>138971000</v>
      </c>
      <c r="C40" s="3" t="n">
        <v>49719000</v>
      </c>
      <c r="D40" s="3" t="n">
        <v>-34582000</v>
      </c>
      <c r="E40" s="3" t="n">
        <v>-14804000</v>
      </c>
      <c r="F40" s="3" t="n"/>
    </row>
    <row r="41">
      <c r="A41" t="inlineStr">
        <is>
          <t>Change In Prepaid Assets</t>
        </is>
      </c>
      <c r="B41" s="3" t="n">
        <v>-22489000</v>
      </c>
      <c r="C41" s="3" t="n">
        <v>-2688000</v>
      </c>
      <c r="D41" s="3" t="n">
        <v>-6034000</v>
      </c>
      <c r="E41" s="3" t="n">
        <v>-15473000</v>
      </c>
      <c r="F41" s="3" t="n"/>
    </row>
    <row r="42">
      <c r="A42" t="inlineStr">
        <is>
          <t>Change In Inventory</t>
        </is>
      </c>
      <c r="B42" s="3" t="n">
        <v>-25072000</v>
      </c>
      <c r="C42" s="3" t="n">
        <v>-11910000</v>
      </c>
      <c r="D42" s="3" t="n">
        <v>-45392000</v>
      </c>
      <c r="E42" s="3" t="n">
        <v>-4411000</v>
      </c>
      <c r="F42" s="3" t="n"/>
    </row>
    <row r="43">
      <c r="A43" t="inlineStr">
        <is>
          <t>Change In Receivables</t>
        </is>
      </c>
      <c r="B43" s="3" t="n">
        <v>-201754000</v>
      </c>
      <c r="C43" s="3" t="n">
        <v>-124386000</v>
      </c>
      <c r="D43" s="3" t="n">
        <v>92525000</v>
      </c>
      <c r="E43" s="3" t="n">
        <v>-20204000</v>
      </c>
      <c r="F43" s="3" t="n"/>
    </row>
    <row r="44">
      <c r="A44" t="inlineStr">
        <is>
          <t>Changes In Account Receivables</t>
        </is>
      </c>
      <c r="B44" s="3" t="n">
        <v>-115130000</v>
      </c>
      <c r="C44" s="3" t="n">
        <v>-35054000</v>
      </c>
      <c r="D44" s="3" t="n">
        <v>49936000</v>
      </c>
      <c r="E44" s="3" t="n">
        <v>-35738000</v>
      </c>
      <c r="F44" s="3" t="n"/>
    </row>
    <row r="45">
      <c r="A45" t="inlineStr">
        <is>
          <t>Other Non Cash Items</t>
        </is>
      </c>
      <c r="B45" s="3" t="n">
        <v>7533000</v>
      </c>
      <c r="C45" s="3" t="n">
        <v>143000</v>
      </c>
      <c r="D45" s="3" t="n">
        <v>1689000</v>
      </c>
      <c r="E45" s="3" t="n">
        <v>-3027000</v>
      </c>
      <c r="F45" s="3" t="n"/>
    </row>
    <row r="46">
      <c r="A46" t="inlineStr">
        <is>
          <t>Stock Based Compensation</t>
        </is>
      </c>
      <c r="B46" s="3" t="n">
        <v>41668000</v>
      </c>
      <c r="C46" s="3" t="n">
        <v>29780000</v>
      </c>
      <c r="D46" s="3" t="n">
        <v>22887000</v>
      </c>
      <c r="E46" s="3" t="n">
        <v>19525000</v>
      </c>
      <c r="F46" s="3" t="n"/>
    </row>
    <row r="47">
      <c r="A47" t="inlineStr">
        <is>
          <t>Asset Impairment Charge</t>
        </is>
      </c>
      <c r="B47" s="3" t="n">
        <v>0</v>
      </c>
      <c r="C47" s="3" t="n">
        <v>32600000</v>
      </c>
      <c r="D47" s="3" t="n">
        <v>44100000</v>
      </c>
      <c r="E47" s="3" t="n">
        <v>0</v>
      </c>
      <c r="F47" s="3" t="n"/>
    </row>
    <row r="48">
      <c r="A48" t="inlineStr">
        <is>
          <t>Deferred Tax</t>
        </is>
      </c>
      <c r="B48" s="3" t="n">
        <v>3349000</v>
      </c>
      <c r="C48" s="3" t="n">
        <v>-1722000</v>
      </c>
      <c r="D48" s="3" t="n">
        <v>-11347000</v>
      </c>
      <c r="E48" s="3" t="n">
        <v>61304000</v>
      </c>
      <c r="F48" s="3" t="n"/>
    </row>
    <row r="49">
      <c r="A49" t="inlineStr">
        <is>
          <t>Deferred Income Tax</t>
        </is>
      </c>
      <c r="B49" s="3" t="n">
        <v>3349000</v>
      </c>
      <c r="C49" s="3" t="n">
        <v>-1722000</v>
      </c>
      <c r="D49" s="3" t="n">
        <v>-11347000</v>
      </c>
      <c r="E49" s="3" t="n">
        <v>61304000</v>
      </c>
      <c r="F49" s="3" t="n"/>
    </row>
    <row r="50">
      <c r="A50" t="inlineStr">
        <is>
          <t>Depreciation Amortization Depletion</t>
        </is>
      </c>
      <c r="B50" s="3" t="n">
        <v>147171000</v>
      </c>
      <c r="C50" s="3" t="n">
        <v>150125000</v>
      </c>
      <c r="D50" s="3" t="n">
        <v>160731000</v>
      </c>
      <c r="E50" s="3" t="n">
        <v>133907000</v>
      </c>
      <c r="F50" s="3" t="n"/>
    </row>
    <row r="51">
      <c r="A51" t="inlineStr">
        <is>
          <t>Depreciation And Amortization</t>
        </is>
      </c>
      <c r="B51" s="3" t="n">
        <v>147171000</v>
      </c>
      <c r="C51" s="3" t="n">
        <v>150125000</v>
      </c>
      <c r="D51" s="3" t="n">
        <v>160731000</v>
      </c>
      <c r="E51" s="3" t="n">
        <v>133907000</v>
      </c>
      <c r="F51" s="3" t="n"/>
    </row>
    <row r="52">
      <c r="A52" t="inlineStr">
        <is>
          <t>Amortization Cash Flow</t>
        </is>
      </c>
      <c r="B52" s="3" t="n">
        <v>36897000</v>
      </c>
      <c r="C52" s="3" t="n">
        <v>44892000</v>
      </c>
      <c r="D52" s="3" t="n">
        <v>61576000</v>
      </c>
      <c r="E52" s="3" t="n">
        <v>42631000</v>
      </c>
      <c r="F52" s="3" t="n"/>
    </row>
    <row r="53">
      <c r="A53" t="inlineStr">
        <is>
          <t>Amortization Of Intangibles</t>
        </is>
      </c>
      <c r="B53" s="3" t="n">
        <v>36897000</v>
      </c>
      <c r="C53" s="3" t="n">
        <v>44892000</v>
      </c>
      <c r="D53" s="3" t="n">
        <v>61576000</v>
      </c>
      <c r="E53" s="3" t="n">
        <v>42631000</v>
      </c>
      <c r="F53" s="3" t="n"/>
    </row>
    <row r="54">
      <c r="A54" t="inlineStr">
        <is>
          <t>Depreciation</t>
        </is>
      </c>
      <c r="B54" s="3" t="n">
        <v>110274000</v>
      </c>
      <c r="C54" s="3" t="n">
        <v>105233000</v>
      </c>
      <c r="D54" s="3" t="n">
        <v>99155000</v>
      </c>
      <c r="E54" s="3" t="n">
        <v>91276000</v>
      </c>
      <c r="F54" s="3" t="n"/>
    </row>
    <row r="55">
      <c r="A55" t="inlineStr">
        <is>
          <t>Operating Gains Losses</t>
        </is>
      </c>
      <c r="B55" s="3" t="n"/>
      <c r="C55" s="3" t="n"/>
      <c r="D55" s="3" t="n">
        <v>-116000</v>
      </c>
      <c r="E55" s="3" t="n">
        <v>-51804000</v>
      </c>
      <c r="F55" s="3" t="n">
        <v>15217000</v>
      </c>
    </row>
    <row r="56">
      <c r="A56" t="inlineStr">
        <is>
          <t>Gain Loss On Sale Of PPE</t>
        </is>
      </c>
      <c r="B56" s="3" t="n"/>
      <c r="C56" s="3" t="n">
        <v>0</v>
      </c>
      <c r="D56" s="3" t="n">
        <v>0</v>
      </c>
      <c r="E56" s="3" t="n">
        <v>-51804000</v>
      </c>
      <c r="F56" s="3" t="n">
        <v>0</v>
      </c>
    </row>
    <row r="57">
      <c r="A57" t="inlineStr">
        <is>
          <t>Gain Loss On Sale Of Business</t>
        </is>
      </c>
      <c r="B57" s="3" t="n">
        <v>0</v>
      </c>
      <c r="C57" s="3" t="n">
        <v>0</v>
      </c>
      <c r="D57" s="3" t="n">
        <v>-1270000</v>
      </c>
      <c r="E57" s="3" t="n">
        <v>0</v>
      </c>
      <c r="F57" s="3" t="n"/>
    </row>
    <row r="58">
      <c r="A58" t="inlineStr">
        <is>
          <t>Net Income From Continuing Operations</t>
        </is>
      </c>
      <c r="B58" s="3" t="n">
        <v>177448000</v>
      </c>
      <c r="C58" s="3" t="n">
        <v>56299000</v>
      </c>
      <c r="D58" s="3" t="n">
        <v>-18718000</v>
      </c>
      <c r="E58" s="3" t="n">
        <v>94583000</v>
      </c>
      <c r="F58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Free Cash Flow</t>
        </is>
      </c>
      <c r="B2" s="3" t="n">
        <v>-85105000</v>
      </c>
      <c r="C2" s="3" t="n">
        <v>-6459000</v>
      </c>
      <c r="D2" s="3" t="n">
        <v>42353000</v>
      </c>
      <c r="E2" s="3" t="n">
        <v>37396000</v>
      </c>
      <c r="F2" s="3" t="n">
        <v>-73973000</v>
      </c>
      <c r="G2" s="3" t="n"/>
      <c r="H2" s="3" t="n"/>
    </row>
    <row r="3">
      <c r="A3" t="inlineStr">
        <is>
          <t>Repurchase Of Capital Stock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-17875000</v>
      </c>
      <c r="G3" s="3" t="n"/>
      <c r="H3" s="3" t="n"/>
    </row>
    <row r="4">
      <c r="A4" t="inlineStr">
        <is>
          <t>Repayment Of Debt</t>
        </is>
      </c>
      <c r="B4" s="3" t="n">
        <v>-5922000</v>
      </c>
      <c r="C4" s="3" t="n">
        <v>-950000</v>
      </c>
      <c r="D4" s="3" t="n">
        <v>-950000</v>
      </c>
      <c r="E4" s="3" t="n">
        <v>-948000</v>
      </c>
      <c r="F4" s="3" t="n">
        <v>-947000</v>
      </c>
      <c r="G4" s="3" t="n"/>
      <c r="H4" s="3" t="n"/>
    </row>
    <row r="5">
      <c r="A5" t="inlineStr">
        <is>
          <t>Issuance Of Debt</t>
        </is>
      </c>
      <c r="B5" s="3" t="n"/>
      <c r="C5" s="3" t="n">
        <v>0</v>
      </c>
      <c r="D5" s="3" t="n"/>
      <c r="E5" s="3" t="n"/>
      <c r="F5" s="3" t="n"/>
      <c r="G5" s="3" t="n">
        <v>2311000</v>
      </c>
      <c r="H5" s="3" t="n">
        <v>6105000</v>
      </c>
    </row>
    <row r="6">
      <c r="A6" t="inlineStr">
        <is>
          <t>Capital Expenditure</t>
        </is>
      </c>
      <c r="B6" s="3" t="n">
        <v>-106848000</v>
      </c>
      <c r="C6" s="3" t="n">
        <v>-69389000</v>
      </c>
      <c r="D6" s="3" t="n">
        <v>-99450000</v>
      </c>
      <c r="E6" s="3" t="n">
        <v>-60408000</v>
      </c>
      <c r="F6" s="3" t="n">
        <v>-63318000</v>
      </c>
      <c r="G6" s="3" t="n"/>
      <c r="H6" s="3" t="n"/>
    </row>
    <row r="7">
      <c r="A7" t="inlineStr">
        <is>
          <t>Interest Paid Supplemental Data</t>
        </is>
      </c>
      <c r="B7" s="3" t="n">
        <v>16259000</v>
      </c>
      <c r="C7" s="3" t="n">
        <v>6390000</v>
      </c>
      <c r="D7" s="3" t="n">
        <v>16232000</v>
      </c>
      <c r="E7" s="3" t="n">
        <v>6574000</v>
      </c>
      <c r="F7" s="3" t="n">
        <v>17001000</v>
      </c>
      <c r="G7" s="3" t="n"/>
      <c r="H7" s="3" t="n"/>
    </row>
    <row r="8">
      <c r="A8" t="inlineStr">
        <is>
          <t>Income Tax Paid Supplemental Data</t>
        </is>
      </c>
      <c r="B8" s="3" t="n">
        <v>5305000</v>
      </c>
      <c r="C8" s="3" t="n">
        <v>18011000</v>
      </c>
      <c r="D8" s="3" t="n">
        <v>4003000</v>
      </c>
      <c r="E8" s="3" t="n">
        <v>5017000</v>
      </c>
      <c r="F8" s="3" t="n">
        <v>10406000</v>
      </c>
      <c r="G8" s="3" t="n"/>
      <c r="H8" s="3" t="n"/>
    </row>
    <row r="9">
      <c r="A9" t="inlineStr">
        <is>
          <t>End Cash Position</t>
        </is>
      </c>
      <c r="B9" s="3" t="n">
        <v>410049000</v>
      </c>
      <c r="C9" s="3" t="n">
        <v>501234000</v>
      </c>
      <c r="D9" s="3" t="n">
        <v>491120000</v>
      </c>
      <c r="E9" s="3" t="n">
        <v>447967000</v>
      </c>
      <c r="F9" s="3" t="n">
        <v>411260000</v>
      </c>
      <c r="G9" s="3" t="n"/>
      <c r="H9" s="3" t="n"/>
    </row>
    <row r="10">
      <c r="A10" t="inlineStr">
        <is>
          <t>Beginning Cash Position</t>
        </is>
      </c>
      <c r="B10" s="3" t="n">
        <v>501234000</v>
      </c>
      <c r="C10" s="3" t="n">
        <v>491120000</v>
      </c>
      <c r="D10" s="3" t="n">
        <v>447967000</v>
      </c>
      <c r="E10" s="3" t="n">
        <v>411260000</v>
      </c>
      <c r="F10" s="3" t="n">
        <v>503932000</v>
      </c>
      <c r="G10" s="3" t="n"/>
      <c r="H10" s="3" t="n"/>
    </row>
    <row r="11">
      <c r="A11" t="inlineStr">
        <is>
          <t>Effect Of Exchange Rate Changes</t>
        </is>
      </c>
      <c r="B11" s="3" t="n">
        <v>74000</v>
      </c>
      <c r="C11" s="3" t="n">
        <v>138000</v>
      </c>
      <c r="D11" s="3" t="n">
        <v>33000</v>
      </c>
      <c r="E11" s="3" t="n">
        <v>85000</v>
      </c>
      <c r="F11" s="3" t="n">
        <v>25000</v>
      </c>
      <c r="G11" s="3" t="n"/>
      <c r="H11" s="3" t="n"/>
    </row>
    <row r="12">
      <c r="A12" t="inlineStr">
        <is>
          <t>Changes In Cash</t>
        </is>
      </c>
      <c r="B12" s="3" t="n">
        <v>-91259000</v>
      </c>
      <c r="C12" s="3" t="n">
        <v>9976000</v>
      </c>
      <c r="D12" s="3" t="n">
        <v>43120000</v>
      </c>
      <c r="E12" s="3" t="n">
        <v>36622000</v>
      </c>
      <c r="F12" s="3" t="n">
        <v>-92697000</v>
      </c>
      <c r="G12" s="3" t="n"/>
      <c r="H12" s="3" t="n"/>
    </row>
    <row r="13">
      <c r="A13" t="inlineStr">
        <is>
          <t>Financing Cash Flow</t>
        </is>
      </c>
      <c r="B13" s="3" t="n">
        <v>-6201000</v>
      </c>
      <c r="C13" s="3" t="n">
        <v>-1701000</v>
      </c>
      <c r="D13" s="3" t="n">
        <v>550000</v>
      </c>
      <c r="E13" s="3" t="n">
        <v>-948000</v>
      </c>
      <c r="F13" s="3" t="n">
        <v>-18822000</v>
      </c>
      <c r="G13" s="3" t="n"/>
      <c r="H13" s="3" t="n"/>
    </row>
    <row r="14">
      <c r="A14" t="inlineStr">
        <is>
          <t>Cash Flow From Continuing Financing Activities</t>
        </is>
      </c>
      <c r="B14" s="3" t="n">
        <v>-6201000</v>
      </c>
      <c r="C14" s="3" t="n">
        <v>-1701000</v>
      </c>
      <c r="D14" s="3" t="n">
        <v>550000</v>
      </c>
      <c r="E14" s="3" t="n">
        <v>-948000</v>
      </c>
      <c r="F14" s="3" t="n">
        <v>-18822000</v>
      </c>
      <c r="G14" s="3" t="n"/>
      <c r="H14" s="3" t="n"/>
    </row>
    <row r="15">
      <c r="A15" t="inlineStr">
        <is>
          <t>Net Other Financing Charges</t>
        </is>
      </c>
      <c r="B15" s="3" t="n">
        <v>-279000</v>
      </c>
      <c r="C15" s="3" t="n">
        <v>-987000</v>
      </c>
      <c r="D15" s="3" t="n"/>
      <c r="E15" s="3" t="n"/>
      <c r="F15" s="3" t="n"/>
      <c r="G15" s="3" t="n">
        <v>-49000</v>
      </c>
      <c r="H15" s="3" t="n"/>
    </row>
    <row r="16">
      <c r="A16" t="inlineStr">
        <is>
          <t>Net Common Stock Issuance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-17875000</v>
      </c>
      <c r="G16" s="3" t="n"/>
      <c r="H16" s="3" t="n"/>
    </row>
    <row r="17">
      <c r="A17" t="inlineStr">
        <is>
          <t>Common Stock Payments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-17875000</v>
      </c>
      <c r="G17" s="3" t="n"/>
      <c r="H17" s="3" t="n"/>
    </row>
    <row r="18">
      <c r="A18" t="inlineStr">
        <is>
          <t>Net Issuance Payments Of Debt</t>
        </is>
      </c>
      <c r="B18" s="3" t="n">
        <v>-5922000</v>
      </c>
      <c r="C18" s="3" t="n">
        <v>-950000</v>
      </c>
      <c r="D18" s="3" t="n">
        <v>-950000</v>
      </c>
      <c r="E18" s="3" t="n">
        <v>-948000</v>
      </c>
      <c r="F18" s="3" t="n">
        <v>-947000</v>
      </c>
      <c r="G18" s="3" t="n"/>
      <c r="H18" s="3" t="n"/>
    </row>
    <row r="19">
      <c r="A19" t="inlineStr">
        <is>
          <t>Net Long Term Debt Issuance</t>
        </is>
      </c>
      <c r="B19" s="3" t="n">
        <v>-5922000</v>
      </c>
      <c r="C19" s="3" t="n">
        <v>-950000</v>
      </c>
      <c r="D19" s="3" t="n">
        <v>-950000</v>
      </c>
      <c r="E19" s="3" t="n">
        <v>-948000</v>
      </c>
      <c r="F19" s="3" t="n">
        <v>-947000</v>
      </c>
      <c r="G19" s="3" t="n"/>
      <c r="H19" s="3" t="n"/>
    </row>
    <row r="20">
      <c r="A20" t="inlineStr">
        <is>
          <t>Long Term Debt Payments</t>
        </is>
      </c>
      <c r="B20" s="3" t="n">
        <v>-5922000</v>
      </c>
      <c r="C20" s="3" t="n">
        <v>-950000</v>
      </c>
      <c r="D20" s="3" t="n">
        <v>-950000</v>
      </c>
      <c r="E20" s="3" t="n">
        <v>-948000</v>
      </c>
      <c r="F20" s="3" t="n">
        <v>-947000</v>
      </c>
      <c r="G20" s="3" t="n"/>
      <c r="H20" s="3" t="n"/>
    </row>
    <row r="21">
      <c r="A21" t="inlineStr">
        <is>
          <t>Long Term Debt Issuance</t>
        </is>
      </c>
      <c r="B21" s="3" t="n"/>
      <c r="C21" s="3" t="n">
        <v>0</v>
      </c>
      <c r="D21" s="3" t="n"/>
      <c r="E21" s="3" t="n"/>
      <c r="F21" s="3" t="n"/>
      <c r="G21" s="3" t="n">
        <v>2311000</v>
      </c>
      <c r="H21" s="3" t="n">
        <v>6105000</v>
      </c>
    </row>
    <row r="22">
      <c r="A22" t="inlineStr">
        <is>
          <t>Investing Cash Flow</t>
        </is>
      </c>
      <c r="B22" s="3" t="n">
        <v>-106801000</v>
      </c>
      <c r="C22" s="3" t="n">
        <v>-51253000</v>
      </c>
      <c r="D22" s="3" t="n">
        <v>-99233000</v>
      </c>
      <c r="E22" s="3" t="n">
        <v>-60234000</v>
      </c>
      <c r="F22" s="3" t="n">
        <v>-63220000</v>
      </c>
      <c r="G22" s="3" t="n"/>
      <c r="H22" s="3" t="n"/>
    </row>
    <row r="23">
      <c r="A23" t="inlineStr">
        <is>
          <t>Cash Flow From Continuing Investing Activities</t>
        </is>
      </c>
      <c r="B23" s="3" t="n">
        <v>-106801000</v>
      </c>
      <c r="C23" s="3" t="n">
        <v>-51253000</v>
      </c>
      <c r="D23" s="3" t="n">
        <v>-99233000</v>
      </c>
      <c r="E23" s="3" t="n">
        <v>-60234000</v>
      </c>
      <c r="F23" s="3" t="n">
        <v>-63220000</v>
      </c>
      <c r="G23" s="3" t="n"/>
      <c r="H23" s="3" t="n"/>
    </row>
    <row r="24">
      <c r="A24" t="inlineStr">
        <is>
          <t>Net Other Investing Changes</t>
        </is>
      </c>
      <c r="B24" s="3" t="n"/>
      <c r="C24" s="3" t="n"/>
      <c r="D24" s="3" t="n"/>
      <c r="E24" s="3" t="n"/>
      <c r="F24" s="3" t="n"/>
      <c r="G24" s="3" t="n">
        <v>0</v>
      </c>
      <c r="H24" s="3" t="n"/>
    </row>
    <row r="25">
      <c r="A25" t="inlineStr">
        <is>
          <t>Net Business Purchase And Sale</t>
        </is>
      </c>
      <c r="B25" s="3" t="n"/>
      <c r="C25" s="3" t="n"/>
      <c r="D25" s="3" t="n"/>
      <c r="E25" s="3" t="n"/>
      <c r="F25" s="3" t="n"/>
      <c r="G25" s="3" t="n">
        <v>0</v>
      </c>
      <c r="H25" s="3" t="n">
        <v>0</v>
      </c>
    </row>
    <row r="26">
      <c r="A26" t="inlineStr">
        <is>
          <t>Sale Of Business</t>
        </is>
      </c>
      <c r="B26" s="3" t="n"/>
      <c r="C26" s="3" t="n"/>
      <c r="D26" s="3" t="n"/>
      <c r="E26" s="3" t="n"/>
      <c r="F26" s="3" t="n"/>
      <c r="G26" s="3" t="n">
        <v>0</v>
      </c>
      <c r="H26" s="3" t="n">
        <v>0</v>
      </c>
    </row>
    <row r="27">
      <c r="A27" t="inlineStr">
        <is>
          <t>Net PPE Purchase And Sale</t>
        </is>
      </c>
      <c r="B27" s="3" t="n">
        <v>-106801000</v>
      </c>
      <c r="C27" s="3" t="n">
        <v>-69097000</v>
      </c>
      <c r="D27" s="3" t="n">
        <v>-99233000</v>
      </c>
      <c r="E27" s="3" t="n">
        <v>-60234000</v>
      </c>
      <c r="F27" s="3" t="n">
        <v>-63220000</v>
      </c>
      <c r="G27" s="3" t="n"/>
      <c r="H27" s="3" t="n"/>
    </row>
    <row r="28">
      <c r="A28" t="inlineStr">
        <is>
          <t>Sale Of PPE</t>
        </is>
      </c>
      <c r="B28" s="3" t="n">
        <v>47000</v>
      </c>
      <c r="C28" s="3" t="n">
        <v>292000</v>
      </c>
      <c r="D28" s="3" t="n">
        <v>217000</v>
      </c>
      <c r="E28" s="3" t="n">
        <v>174000</v>
      </c>
      <c r="F28" s="3" t="n">
        <v>98000</v>
      </c>
      <c r="G28" s="3" t="n"/>
      <c r="H28" s="3" t="n"/>
    </row>
    <row r="29">
      <c r="A29" t="inlineStr">
        <is>
          <t>Purchase Of PPE</t>
        </is>
      </c>
      <c r="B29" s="3" t="n">
        <v>-106848000</v>
      </c>
      <c r="C29" s="3" t="n">
        <v>-69389000</v>
      </c>
      <c r="D29" s="3" t="n">
        <v>-99450000</v>
      </c>
      <c r="E29" s="3" t="n">
        <v>-60408000</v>
      </c>
      <c r="F29" s="3" t="n">
        <v>-63318000</v>
      </c>
      <c r="G29" s="3" t="n"/>
      <c r="H29" s="3" t="n"/>
    </row>
    <row r="30">
      <c r="A30" t="inlineStr">
        <is>
          <t>Operating Cash Flow</t>
        </is>
      </c>
      <c r="B30" s="3" t="n">
        <v>21743000</v>
      </c>
      <c r="C30" s="3" t="n">
        <v>62930000</v>
      </c>
      <c r="D30" s="3" t="n">
        <v>141803000</v>
      </c>
      <c r="E30" s="3" t="n">
        <v>97804000</v>
      </c>
      <c r="F30" s="3" t="n">
        <v>-10655000</v>
      </c>
      <c r="G30" s="3" t="n"/>
      <c r="H30" s="3" t="n"/>
    </row>
    <row r="31">
      <c r="A31" t="inlineStr">
        <is>
          <t>Cash Flow From Continuing Operating Activities</t>
        </is>
      </c>
      <c r="B31" s="3" t="n">
        <v>21743000</v>
      </c>
      <c r="C31" s="3" t="n">
        <v>62930000</v>
      </c>
      <c r="D31" s="3" t="n">
        <v>141803000</v>
      </c>
      <c r="E31" s="3" t="n">
        <v>97804000</v>
      </c>
      <c r="F31" s="3" t="n">
        <v>-10655000</v>
      </c>
      <c r="G31" s="3" t="n"/>
      <c r="H31" s="3" t="n"/>
    </row>
    <row r="32">
      <c r="A32" t="inlineStr">
        <is>
          <t>Change In Working Capital</t>
        </is>
      </c>
      <c r="B32" s="3" t="n">
        <v>-96348000</v>
      </c>
      <c r="C32" s="3" t="n">
        <v>-39500000</v>
      </c>
      <c r="D32" s="3" t="n">
        <v>41524000</v>
      </c>
      <c r="E32" s="3" t="n">
        <v>3092000</v>
      </c>
      <c r="F32" s="3" t="n">
        <v>-90403000</v>
      </c>
      <c r="G32" s="3" t="n"/>
      <c r="H32" s="3" t="n"/>
    </row>
    <row r="33">
      <c r="A33" t="inlineStr">
        <is>
          <t>Change In Other Working Capital</t>
        </is>
      </c>
      <c r="B33" s="3" t="n">
        <v>-1098000</v>
      </c>
      <c r="C33" s="3" t="n">
        <v>26259000</v>
      </c>
      <c r="D33" s="3" t="n">
        <v>-12762000</v>
      </c>
      <c r="E33" s="3" t="n">
        <v>-13270000</v>
      </c>
      <c r="F33" s="3" t="n">
        <v>4485000</v>
      </c>
      <c r="G33" s="3" t="n"/>
      <c r="H33" s="3" t="n"/>
    </row>
    <row r="34">
      <c r="A34" t="inlineStr">
        <is>
          <t>Change In Other Current Liabilities</t>
        </is>
      </c>
      <c r="B34" s="3" t="n">
        <v>1953000</v>
      </c>
      <c r="C34" s="3" t="n">
        <v>-11746000</v>
      </c>
      <c r="D34" s="3" t="n">
        <v>4243000</v>
      </c>
      <c r="E34" s="3" t="n">
        <v>13416000</v>
      </c>
      <c r="F34" s="3" t="n">
        <v>-9606000</v>
      </c>
      <c r="G34" s="3" t="n"/>
      <c r="H34" s="3" t="n"/>
    </row>
    <row r="35">
      <c r="A35" t="inlineStr">
        <is>
          <t>Change In Payables And Accrued Expense</t>
        </is>
      </c>
      <c r="B35" s="3" t="n">
        <v>37312000</v>
      </c>
      <c r="C35" s="3" t="n">
        <v>37812000</v>
      </c>
      <c r="D35" s="3" t="n">
        <v>83971000</v>
      </c>
      <c r="E35" s="3" t="n">
        <v>57784000</v>
      </c>
      <c r="F35" s="3" t="n">
        <v>-16558000</v>
      </c>
      <c r="G35" s="3" t="n"/>
      <c r="H35" s="3" t="n"/>
    </row>
    <row r="36">
      <c r="A36" t="inlineStr">
        <is>
          <t>Change In Accrued Expense</t>
        </is>
      </c>
      <c r="B36" s="3" t="n">
        <v>-17110000</v>
      </c>
      <c r="C36" s="3" t="n">
        <v>1094000</v>
      </c>
      <c r="D36" s="3" t="n">
        <v>29176000</v>
      </c>
      <c r="E36" s="3" t="n">
        <v>10323000</v>
      </c>
      <c r="F36" s="3" t="n">
        <v>-16555000</v>
      </c>
      <c r="G36" s="3" t="n"/>
      <c r="H36" s="3" t="n"/>
    </row>
    <row r="37">
      <c r="A37" t="inlineStr">
        <is>
          <t>Change In Payable</t>
        </is>
      </c>
      <c r="B37" s="3" t="n">
        <v>54422000</v>
      </c>
      <c r="C37" s="3" t="n">
        <v>36718000</v>
      </c>
      <c r="D37" s="3" t="n">
        <v>54795000</v>
      </c>
      <c r="E37" s="3" t="n">
        <v>47461000</v>
      </c>
      <c r="F37" s="3" t="n">
        <v>-3000</v>
      </c>
      <c r="G37" s="3" t="n"/>
      <c r="H37" s="3" t="n"/>
    </row>
    <row r="38">
      <c r="A38" t="inlineStr">
        <is>
          <t>Change In Account Payable</t>
        </is>
      </c>
      <c r="B38" s="3" t="n">
        <v>54422000</v>
      </c>
      <c r="C38" s="3" t="n">
        <v>36718000</v>
      </c>
      <c r="D38" s="3" t="n">
        <v>54795000</v>
      </c>
      <c r="E38" s="3" t="n">
        <v>47461000</v>
      </c>
      <c r="F38" s="3" t="n">
        <v>-3000</v>
      </c>
      <c r="G38" s="3" t="n"/>
      <c r="H38" s="3" t="n"/>
    </row>
    <row r="39">
      <c r="A39" t="inlineStr">
        <is>
          <t>Change In Prepaid Assets</t>
        </is>
      </c>
      <c r="B39" s="3" t="n">
        <v>-4998000</v>
      </c>
      <c r="C39" s="3" t="n">
        <v>-10822000</v>
      </c>
      <c r="D39" s="3" t="n">
        <v>-3791000</v>
      </c>
      <c r="E39" s="3" t="n">
        <v>-5442000</v>
      </c>
      <c r="F39" s="3" t="n">
        <v>-2434000</v>
      </c>
      <c r="G39" s="3" t="n"/>
      <c r="H39" s="3" t="n"/>
    </row>
    <row r="40">
      <c r="A40" t="inlineStr">
        <is>
          <t>Change In Inventory</t>
        </is>
      </c>
      <c r="B40" s="3" t="n">
        <v>-30153000</v>
      </c>
      <c r="C40" s="3" t="n">
        <v>3630000</v>
      </c>
      <c r="D40" s="3" t="n">
        <v>-3348000</v>
      </c>
      <c r="E40" s="3" t="n">
        <v>-3502000</v>
      </c>
      <c r="F40" s="3" t="n">
        <v>-21852000</v>
      </c>
      <c r="G40" s="3" t="n"/>
      <c r="H40" s="3" t="n"/>
    </row>
    <row r="41">
      <c r="A41" t="inlineStr">
        <is>
          <t>Change In Receivables</t>
        </is>
      </c>
      <c r="B41" s="3" t="n">
        <v>-99364000</v>
      </c>
      <c r="C41" s="3" t="n">
        <v>-84633000</v>
      </c>
      <c r="D41" s="3" t="n">
        <v>-26789000</v>
      </c>
      <c r="E41" s="3" t="n">
        <v>-45894000</v>
      </c>
      <c r="F41" s="3" t="n">
        <v>-44438000</v>
      </c>
      <c r="G41" s="3" t="n"/>
      <c r="H41" s="3" t="n"/>
    </row>
    <row r="42">
      <c r="A42" t="inlineStr">
        <is>
          <t>Changes In Account Receivables</t>
        </is>
      </c>
      <c r="B42" s="3" t="n">
        <v>-54341000</v>
      </c>
      <c r="C42" s="3" t="n">
        <v>-63594000</v>
      </c>
      <c r="D42" s="3" t="n">
        <v>-4795000</v>
      </c>
      <c r="E42" s="3" t="n">
        <v>864000</v>
      </c>
      <c r="F42" s="3" t="n">
        <v>-47605000</v>
      </c>
      <c r="G42" s="3" t="n"/>
      <c r="H42" s="3" t="n"/>
    </row>
    <row r="43">
      <c r="A43" t="inlineStr">
        <is>
          <t>Other Non Cash Items</t>
        </is>
      </c>
      <c r="B43" s="3" t="n">
        <v>3773000</v>
      </c>
      <c r="C43" s="3" t="n">
        <v>412000</v>
      </c>
      <c r="D43" s="3" t="n">
        <v>-1264000</v>
      </c>
      <c r="E43" s="3" t="n">
        <v>5846000</v>
      </c>
      <c r="F43" s="3" t="n">
        <v>2539000</v>
      </c>
      <c r="G43" s="3" t="n"/>
      <c r="H43" s="3" t="n"/>
    </row>
    <row r="44">
      <c r="A44" t="inlineStr">
        <is>
          <t>Stock Based Compensation</t>
        </is>
      </c>
      <c r="B44" s="3" t="n">
        <v>24356000</v>
      </c>
      <c r="C44" s="3" t="n">
        <v>12082000</v>
      </c>
      <c r="D44" s="3" t="n">
        <v>11611000</v>
      </c>
      <c r="E44" s="3" t="n">
        <v>9188000</v>
      </c>
      <c r="F44" s="3" t="n">
        <v>8787000</v>
      </c>
      <c r="G44" s="3" t="n"/>
      <c r="H44" s="3" t="n"/>
    </row>
    <row r="45">
      <c r="A45" t="inlineStr">
        <is>
          <t>Asset Impairment Charge</t>
        </is>
      </c>
      <c r="B45" s="3" t="n"/>
      <c r="C45" s="3" t="n"/>
      <c r="D45" s="3" t="n"/>
      <c r="E45" s="3" t="n"/>
      <c r="F45" s="3" t="n"/>
      <c r="G45" s="3" t="n">
        <v>32600000</v>
      </c>
      <c r="H45" s="3" t="n"/>
    </row>
    <row r="46">
      <c r="A46" t="inlineStr">
        <is>
          <t>Deferred Tax</t>
        </is>
      </c>
      <c r="B46" s="3" t="n">
        <v>1458000</v>
      </c>
      <c r="C46" s="3" t="n">
        <v>1888000</v>
      </c>
      <c r="D46" s="3" t="n">
        <v>72000</v>
      </c>
      <c r="E46" s="3" t="n">
        <v>1232000</v>
      </c>
      <c r="F46" s="3" t="n">
        <v>157000</v>
      </c>
      <c r="G46" s="3" t="n"/>
      <c r="H46" s="3" t="n"/>
    </row>
    <row r="47">
      <c r="A47" t="inlineStr">
        <is>
          <t>Deferred Income Tax</t>
        </is>
      </c>
      <c r="B47" s="3" t="n">
        <v>1458000</v>
      </c>
      <c r="C47" s="3" t="n">
        <v>1888000</v>
      </c>
      <c r="D47" s="3" t="n">
        <v>72000</v>
      </c>
      <c r="E47" s="3" t="n">
        <v>1232000</v>
      </c>
      <c r="F47" s="3" t="n">
        <v>157000</v>
      </c>
      <c r="G47" s="3" t="n"/>
      <c r="H47" s="3" t="n"/>
    </row>
    <row r="48">
      <c r="A48" t="inlineStr">
        <is>
          <t>Depreciation Amortization Depletion</t>
        </is>
      </c>
      <c r="B48" s="3" t="n">
        <v>38516000</v>
      </c>
      <c r="C48" s="3" t="n">
        <v>37363000</v>
      </c>
      <c r="D48" s="3" t="n">
        <v>36805000</v>
      </c>
      <c r="E48" s="3" t="n">
        <v>36916000</v>
      </c>
      <c r="F48" s="3" t="n">
        <v>36087000</v>
      </c>
      <c r="G48" s="3" t="n"/>
      <c r="H48" s="3" t="n"/>
    </row>
    <row r="49">
      <c r="A49" t="inlineStr">
        <is>
          <t>Depreciation And Amortization</t>
        </is>
      </c>
      <c r="B49" s="3" t="n">
        <v>38516000</v>
      </c>
      <c r="C49" s="3" t="n">
        <v>37363000</v>
      </c>
      <c r="D49" s="3" t="n">
        <v>36805000</v>
      </c>
      <c r="E49" s="3" t="n">
        <v>36916000</v>
      </c>
      <c r="F49" s="3" t="n">
        <v>36087000</v>
      </c>
      <c r="G49" s="3" t="n"/>
      <c r="H49" s="3" t="n"/>
    </row>
    <row r="50">
      <c r="A50" t="inlineStr">
        <is>
          <t>Amortization Cash Flow</t>
        </is>
      </c>
      <c r="B50" s="3" t="n">
        <v>9224000</v>
      </c>
      <c r="C50" s="3" t="n">
        <v>9224000</v>
      </c>
      <c r="D50" s="3" t="n">
        <v>9225000</v>
      </c>
      <c r="E50" s="3" t="n">
        <v>9224000</v>
      </c>
      <c r="F50" s="3" t="n">
        <v>9224000</v>
      </c>
      <c r="G50" s="3" t="n"/>
      <c r="H50" s="3" t="n"/>
    </row>
    <row r="51">
      <c r="A51" t="inlineStr">
        <is>
          <t>Amortization Of Intangibles</t>
        </is>
      </c>
      <c r="B51" s="3" t="n">
        <v>9224000</v>
      </c>
      <c r="C51" s="3" t="n">
        <v>9224000</v>
      </c>
      <c r="D51" s="3" t="n">
        <v>9225000</v>
      </c>
      <c r="E51" s="3" t="n">
        <v>9224000</v>
      </c>
      <c r="F51" s="3" t="n">
        <v>9224000</v>
      </c>
      <c r="G51" s="3" t="n"/>
      <c r="H51" s="3" t="n"/>
    </row>
    <row r="52">
      <c r="A52" t="inlineStr">
        <is>
          <t>Depreciation</t>
        </is>
      </c>
      <c r="B52" s="3" t="n">
        <v>29292000</v>
      </c>
      <c r="C52" s="3" t="n">
        <v>28139000</v>
      </c>
      <c r="D52" s="3" t="n">
        <v>27580000</v>
      </c>
      <c r="E52" s="3" t="n">
        <v>27692000</v>
      </c>
      <c r="F52" s="3" t="n">
        <v>26863000</v>
      </c>
      <c r="G52" s="3" t="n"/>
      <c r="H52" s="3" t="n"/>
    </row>
    <row r="53">
      <c r="A53" t="inlineStr">
        <is>
          <t>Gain Loss On Sale Of Business</t>
        </is>
      </c>
      <c r="B53" s="3" t="n"/>
      <c r="C53" s="3" t="n"/>
      <c r="D53" s="3" t="n"/>
      <c r="E53" s="3" t="n"/>
      <c r="F53" s="3" t="n"/>
      <c r="G53" s="3" t="n">
        <v>0</v>
      </c>
      <c r="H53" s="3" t="n">
        <v>0</v>
      </c>
    </row>
    <row r="54">
      <c r="A54" t="inlineStr">
        <is>
          <t>Net Income From Continuing Operations</t>
        </is>
      </c>
      <c r="B54" s="3" t="n">
        <v>49988000</v>
      </c>
      <c r="C54" s="3" t="n">
        <v>50685000</v>
      </c>
      <c r="D54" s="3" t="n">
        <v>53055000</v>
      </c>
      <c r="E54" s="3" t="n">
        <v>41530000</v>
      </c>
      <c r="F54" s="3" t="n">
        <v>32178000</v>
      </c>
      <c r="G54" s="3" t="n"/>
      <c r="H54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—</t>
        </is>
      </c>
      <c r="B2" t="inlineStr">
        <is>
          <t>no gaps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2026-06-20T19:57:36Z</dcterms:created>
  <dcterms:modified xsi:type="dcterms:W3CDTF">2026-06-20T19:57:39Z</dcterms:modified>
</cp:coreProperties>
</file>