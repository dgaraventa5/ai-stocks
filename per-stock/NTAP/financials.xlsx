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NTAP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NetApp,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Software - Infrastructure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30893631488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29786957824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24.832283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16.01884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4.461174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0.70744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0.27259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0.18426001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1.06734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0.125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3584000000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2732999936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1869000000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195919927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157.685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2024-04-30</t>
        </is>
      </c>
      <c r="C2" t="inlineStr">
        <is>
          <t>2025-04-30</t>
        </is>
      </c>
      <c r="D2" t="inlineStr">
        <is>
          <t>2026-04-30</t>
        </is>
      </c>
      <c r="E2" t="inlineStr">
        <is>
          <t>TTM → 2026-04-30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(annual)'!D47</f>
        <v/>
      </c>
      <c r="C3" s="3">
        <f>'Income stmt (annual)'!C47</f>
        <v/>
      </c>
      <c r="D3" s="3">
        <f>'Income stmt (annual)'!B47</f>
        <v/>
      </c>
      <c r="E3" s="3">
        <f>SUM('Income stmt (quarterly)'!B46:E46)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(annual)'!D45</f>
        <v/>
      </c>
      <c r="C4" s="3">
        <f>'Income stmt (annual)'!C45</f>
        <v/>
      </c>
      <c r="D4" s="3">
        <f>'Income stmt (annual)'!B45</f>
        <v/>
      </c>
      <c r="E4" s="3">
        <f>SUM('Income stmt (quarterly)'!B44:E44)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(annual)'!D38</f>
        <v/>
      </c>
      <c r="C6" s="3">
        <f>'Income stmt (annual)'!C38</f>
        <v/>
      </c>
      <c r="D6" s="3">
        <f>'Income stmt (annual)'!B38</f>
        <v/>
      </c>
      <c r="E6" s="3">
        <f>SUM('Income stmt (quarterly)'!B37:E37)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(annual)'!D6</f>
        <v/>
      </c>
      <c r="C11" s="3">
        <f>-'Cash flow (annual)'!C6</f>
        <v/>
      </c>
      <c r="D11" s="3">
        <f>-'Cash flow (annual)'!B6</f>
        <v/>
      </c>
      <c r="E11" s="3">
        <f>-SUM('Cash flow (quarterly)'!B5:E5)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(annual)'!D4</f>
        <v/>
      </c>
      <c r="C13" s="3">
        <f>'Balance sheet (annual)'!C4</f>
        <v/>
      </c>
      <c r="D13" s="3">
        <f>'Balance sheet (annual)'!B4</f>
        <v/>
      </c>
      <c r="E13" s="3">
        <f>'Balance sheet (quarterly)'!B4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(annual)'!D2/1e6</f>
        <v/>
      </c>
      <c r="C15" s="6">
        <f>'Balance sheet (annual)'!C2/1e6</f>
        <v/>
      </c>
      <c r="D15" s="6">
        <f>'Balance sheet (annual)'!B2/1e6</f>
        <v/>
      </c>
      <c r="E15" s="6">
        <f>'Balance sheet (quarterly)'!B2/1e6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2026-04-30</t>
        </is>
      </c>
      <c r="C1" s="1" t="inlineStr">
        <is>
          <t>2025-04-30</t>
        </is>
      </c>
      <c r="D1" s="1" t="inlineStr">
        <is>
          <t>2024-04-30</t>
        </is>
      </c>
      <c r="E1" s="1" t="inlineStr">
        <is>
          <t>2023-04-30</t>
        </is>
      </c>
      <c r="F1" s="1" t="inlineStr">
        <is>
          <t>2022-04-30</t>
        </is>
      </c>
    </row>
    <row r="2">
      <c r="A2" t="inlineStr">
        <is>
          <t>Tax Effect Of Unusual Items</t>
        </is>
      </c>
      <c r="B2" s="3" t="n">
        <v>-4740291.262136</v>
      </c>
      <c r="C2" s="3" t="n">
        <v>-12535068.691251</v>
      </c>
      <c r="D2" s="3" t="n">
        <v>-11826000</v>
      </c>
      <c r="E2" s="3" t="n">
        <v>-29610000</v>
      </c>
      <c r="F2" s="3" t="n"/>
    </row>
    <row r="3">
      <c r="A3" t="inlineStr">
        <is>
          <t>Tax Rate For Calcs</t>
        </is>
      </c>
      <c r="B3" s="3" t="n">
        <v>0.225728</v>
      </c>
      <c r="C3" s="3" t="n">
        <v>0.142444</v>
      </c>
      <c r="D3" s="3" t="n">
        <v>0.219</v>
      </c>
      <c r="E3" s="3" t="n">
        <v>0.21</v>
      </c>
      <c r="F3" s="3" t="n"/>
    </row>
    <row r="4">
      <c r="A4" t="inlineStr">
        <is>
          <t>Normalized EBITDA</t>
        </is>
      </c>
      <c r="B4" s="3" t="n">
        <v>1978000000</v>
      </c>
      <c r="C4" s="3" t="n">
        <v>1778000000</v>
      </c>
      <c r="D4" s="3" t="n">
        <v>1636000000</v>
      </c>
      <c r="E4" s="3" t="n">
        <v>1522000000</v>
      </c>
      <c r="F4" s="3" t="n"/>
    </row>
    <row r="5">
      <c r="A5" t="inlineStr">
        <is>
          <t>Total Unusual Items</t>
        </is>
      </c>
      <c r="B5" s="3" t="n">
        <v>-21000000</v>
      </c>
      <c r="C5" s="3" t="n">
        <v>-88000000</v>
      </c>
      <c r="D5" s="3" t="n">
        <v>-54000000</v>
      </c>
      <c r="E5" s="3" t="n">
        <v>-141000000</v>
      </c>
      <c r="F5" s="3" t="n"/>
    </row>
    <row r="6">
      <c r="A6" t="inlineStr">
        <is>
          <t>Total Unusual Items Excluding Goodwill</t>
        </is>
      </c>
      <c r="B6" s="3" t="n">
        <v>-21000000</v>
      </c>
      <c r="C6" s="3" t="n">
        <v>-88000000</v>
      </c>
      <c r="D6" s="3" t="n">
        <v>-54000000</v>
      </c>
      <c r="E6" s="3" t="n">
        <v>-141000000</v>
      </c>
      <c r="F6" s="3" t="n"/>
    </row>
    <row r="7">
      <c r="A7" t="inlineStr">
        <is>
          <t>Net Income From Continuing Operation Net Minority Interest</t>
        </is>
      </c>
      <c r="B7" s="3" t="n">
        <v>1276000000</v>
      </c>
      <c r="C7" s="3" t="n">
        <v>1186000000</v>
      </c>
      <c r="D7" s="3" t="n">
        <v>986000000</v>
      </c>
      <c r="E7" s="3" t="n">
        <v>1274000000</v>
      </c>
      <c r="F7" s="3" t="n"/>
    </row>
    <row r="8">
      <c r="A8" t="inlineStr">
        <is>
          <t>Reconciled Depreciation</t>
        </is>
      </c>
      <c r="B8" s="3" t="n">
        <v>200000000</v>
      </c>
      <c r="C8" s="3" t="n">
        <v>243000000</v>
      </c>
      <c r="D8" s="3" t="n">
        <v>255000000</v>
      </c>
      <c r="E8" s="3" t="n">
        <v>248000000</v>
      </c>
      <c r="F8" s="3" t="n"/>
    </row>
    <row r="9">
      <c r="A9" t="inlineStr">
        <is>
          <t>Reconciled Cost Of Revenue</t>
        </is>
      </c>
      <c r="B9" s="3" t="n">
        <v>2026000000</v>
      </c>
      <c r="C9" s="3" t="n">
        <v>1959000000</v>
      </c>
      <c r="D9" s="3" t="n">
        <v>1835000000</v>
      </c>
      <c r="E9" s="3" t="n">
        <v>2153000000</v>
      </c>
      <c r="F9" s="3" t="n"/>
    </row>
    <row r="10">
      <c r="A10" t="inlineStr">
        <is>
          <t>EBITDA</t>
        </is>
      </c>
      <c r="B10" s="3" t="n">
        <v>1957000000</v>
      </c>
      <c r="C10" s="3" t="n">
        <v>1690000000</v>
      </c>
      <c r="D10" s="3" t="n">
        <v>1582000000</v>
      </c>
      <c r="E10" s="3" t="n">
        <v>1381000000</v>
      </c>
      <c r="F10" s="3" t="n"/>
    </row>
    <row r="11">
      <c r="A11" t="inlineStr">
        <is>
          <t>EBIT</t>
        </is>
      </c>
      <c r="B11" s="3" t="n">
        <v>1757000000</v>
      </c>
      <c r="C11" s="3" t="n">
        <v>1447000000</v>
      </c>
      <c r="D11" s="3" t="n">
        <v>1327000000</v>
      </c>
      <c r="E11" s="3" t="n">
        <v>1133000000</v>
      </c>
      <c r="F11" s="3" t="n"/>
    </row>
    <row r="12">
      <c r="A12" t="inlineStr">
        <is>
          <t>Net Interest Income</t>
        </is>
      </c>
      <c r="B12" s="3" t="n">
        <v>4000000</v>
      </c>
      <c r="C12" s="3" t="n">
        <v>48000000</v>
      </c>
      <c r="D12" s="3" t="n">
        <v>48000000</v>
      </c>
      <c r="E12" s="3" t="n">
        <v>2000000</v>
      </c>
      <c r="F12" s="3" t="n"/>
    </row>
    <row r="13">
      <c r="A13" t="inlineStr">
        <is>
          <t>Interest Expense</t>
        </is>
      </c>
      <c r="B13" s="3" t="n">
        <v>109000000</v>
      </c>
      <c r="C13" s="3" t="n">
        <v>64000000</v>
      </c>
      <c r="D13" s="3" t="n">
        <v>64000000</v>
      </c>
      <c r="E13" s="3" t="n">
        <v>67000000</v>
      </c>
      <c r="F13" s="3" t="n"/>
    </row>
    <row r="14">
      <c r="A14" t="inlineStr">
        <is>
          <t>Interest Income</t>
        </is>
      </c>
      <c r="B14" s="3" t="n">
        <v>113000000</v>
      </c>
      <c r="C14" s="3" t="n">
        <v>112000000</v>
      </c>
      <c r="D14" s="3" t="n">
        <v>112000000</v>
      </c>
      <c r="E14" s="3" t="n">
        <v>69000000</v>
      </c>
      <c r="F14" s="3" t="n"/>
    </row>
    <row r="15">
      <c r="A15" t="inlineStr">
        <is>
          <t>Normalized Income</t>
        </is>
      </c>
      <c r="B15" s="3" t="n">
        <v>1292259708.737864</v>
      </c>
      <c r="C15" s="3" t="n">
        <v>1261464931.308749</v>
      </c>
      <c r="D15" s="3" t="n">
        <v>1028174000</v>
      </c>
      <c r="E15" s="3" t="n">
        <v>1385390000</v>
      </c>
      <c r="F15" s="3" t="n"/>
    </row>
    <row r="16">
      <c r="A16" t="inlineStr">
        <is>
          <t>Net Income From Continuing And Discontinued Operation</t>
        </is>
      </c>
      <c r="B16" s="3" t="n">
        <v>1276000000</v>
      </c>
      <c r="C16" s="3" t="n">
        <v>1186000000</v>
      </c>
      <c r="D16" s="3" t="n">
        <v>986000000</v>
      </c>
      <c r="E16" s="3" t="n">
        <v>1274000000</v>
      </c>
      <c r="F16" s="3" t="n"/>
    </row>
    <row r="17">
      <c r="A17" t="inlineStr">
        <is>
          <t>Total Expenses</t>
        </is>
      </c>
      <c r="B17" s="3" t="n">
        <v>5230000000</v>
      </c>
      <c r="C17" s="3" t="n">
        <v>5147000000</v>
      </c>
      <c r="D17" s="3" t="n">
        <v>5000000000</v>
      </c>
      <c r="E17" s="3" t="n">
        <v>5203000000</v>
      </c>
      <c r="F17" s="3" t="n"/>
    </row>
    <row r="18">
      <c r="A18" t="inlineStr">
        <is>
          <t>Total Operating Income As Reported</t>
        </is>
      </c>
      <c r="B18" s="3" t="n">
        <v>1674000000</v>
      </c>
      <c r="C18" s="3" t="n">
        <v>1337000000</v>
      </c>
      <c r="D18" s="3" t="n">
        <v>1214000000</v>
      </c>
      <c r="E18" s="3" t="n">
        <v>1018000000</v>
      </c>
      <c r="F18" s="3" t="n"/>
    </row>
    <row r="19">
      <c r="A19" t="inlineStr">
        <is>
          <t>Diluted Average Shares</t>
        </is>
      </c>
      <c r="B19" s="3" t="n">
        <v>201000000</v>
      </c>
      <c r="C19" s="3" t="n">
        <v>209000000</v>
      </c>
      <c r="D19" s="3" t="n">
        <v>213000000</v>
      </c>
      <c r="E19" s="3" t="n">
        <v>220000000</v>
      </c>
      <c r="F19" s="3" t="n"/>
    </row>
    <row r="20">
      <c r="A20" t="inlineStr">
        <is>
          <t>Basic Average Shares</t>
        </is>
      </c>
      <c r="B20" s="3" t="n">
        <v>199000000</v>
      </c>
      <c r="C20" s="3" t="n">
        <v>204000000</v>
      </c>
      <c r="D20" s="3" t="n">
        <v>208000000</v>
      </c>
      <c r="E20" s="3" t="n">
        <v>217000000</v>
      </c>
      <c r="F20" s="3" t="n"/>
    </row>
    <row r="21">
      <c r="A21" t="inlineStr">
        <is>
          <t>Diluted EPS</t>
        </is>
      </c>
      <c r="B21" s="3" t="n">
        <v>6.35</v>
      </c>
      <c r="C21" s="3" t="n">
        <v>5.67</v>
      </c>
      <c r="D21" s="3" t="n">
        <v>4.63</v>
      </c>
      <c r="E21" s="3" t="n">
        <v>5.79</v>
      </c>
      <c r="F21" s="3" t="n"/>
    </row>
    <row r="22">
      <c r="A22" t="inlineStr">
        <is>
          <t>Basic EPS</t>
        </is>
      </c>
      <c r="B22" s="3" t="n">
        <v>6.41</v>
      </c>
      <c r="C22" s="3" t="n">
        <v>5.81</v>
      </c>
      <c r="D22" s="3" t="n">
        <v>4.74</v>
      </c>
      <c r="E22" s="3" t="n">
        <v>5.87</v>
      </c>
      <c r="F22" s="3" t="n"/>
    </row>
    <row r="23">
      <c r="A23" t="inlineStr">
        <is>
          <t>Diluted NI Availto Com Stockholders</t>
        </is>
      </c>
      <c r="B23" s="3" t="n">
        <v>1276000000</v>
      </c>
      <c r="C23" s="3" t="n">
        <v>1186000000</v>
      </c>
      <c r="D23" s="3" t="n">
        <v>986000000</v>
      </c>
      <c r="E23" s="3" t="n">
        <v>1274000000</v>
      </c>
      <c r="F23" s="3" t="n"/>
    </row>
    <row r="24">
      <c r="A24" t="inlineStr">
        <is>
          <t>Net Income Common Stockholders</t>
        </is>
      </c>
      <c r="B24" s="3" t="n">
        <v>1276000000</v>
      </c>
      <c r="C24" s="3" t="n">
        <v>1186000000</v>
      </c>
      <c r="D24" s="3" t="n">
        <v>986000000</v>
      </c>
      <c r="E24" s="3" t="n">
        <v>1274000000</v>
      </c>
      <c r="F24" s="3" t="n"/>
    </row>
    <row r="25">
      <c r="A25" t="inlineStr">
        <is>
          <t>Net Income</t>
        </is>
      </c>
      <c r="B25" s="3" t="n">
        <v>1276000000</v>
      </c>
      <c r="C25" s="3" t="n">
        <v>1186000000</v>
      </c>
      <c r="D25" s="3" t="n">
        <v>986000000</v>
      </c>
      <c r="E25" s="3" t="n">
        <v>1274000000</v>
      </c>
      <c r="F25" s="3" t="n"/>
    </row>
    <row r="26">
      <c r="A26" t="inlineStr">
        <is>
          <t>Net Income Including Noncontrolling Interests</t>
        </is>
      </c>
      <c r="B26" s="3" t="n">
        <v>1276000000</v>
      </c>
      <c r="C26" s="3" t="n">
        <v>1186000000</v>
      </c>
      <c r="D26" s="3" t="n">
        <v>986000000</v>
      </c>
      <c r="E26" s="3" t="n">
        <v>1274000000</v>
      </c>
      <c r="F26" s="3" t="n"/>
    </row>
    <row r="27">
      <c r="A27" t="inlineStr">
        <is>
          <t>Net Income Continuous Operations</t>
        </is>
      </c>
      <c r="B27" s="3" t="n">
        <v>1276000000</v>
      </c>
      <c r="C27" s="3" t="n">
        <v>1186000000</v>
      </c>
      <c r="D27" s="3" t="n">
        <v>986000000</v>
      </c>
      <c r="E27" s="3" t="n">
        <v>1274000000</v>
      </c>
      <c r="F27" s="3" t="n"/>
    </row>
    <row r="28">
      <c r="A28" t="inlineStr">
        <is>
          <t>Tax Provision</t>
        </is>
      </c>
      <c r="B28" s="3" t="n">
        <v>372000000</v>
      </c>
      <c r="C28" s="3" t="n">
        <v>197000000</v>
      </c>
      <c r="D28" s="3" t="n">
        <v>277000000</v>
      </c>
      <c r="E28" s="3" t="n">
        <v>-208000000</v>
      </c>
      <c r="F28" s="3" t="n"/>
    </row>
    <row r="29">
      <c r="A29" t="inlineStr">
        <is>
          <t>Pretax Income</t>
        </is>
      </c>
      <c r="B29" s="3" t="n">
        <v>1648000000</v>
      </c>
      <c r="C29" s="3" t="n">
        <v>1383000000</v>
      </c>
      <c r="D29" s="3" t="n">
        <v>1263000000</v>
      </c>
      <c r="E29" s="3" t="n">
        <v>1066000000</v>
      </c>
      <c r="F29" s="3" t="n"/>
    </row>
    <row r="30">
      <c r="A30" t="inlineStr">
        <is>
          <t>Other Income Expense</t>
        </is>
      </c>
      <c r="B30" s="3" t="n">
        <v>-51000000</v>
      </c>
      <c r="C30" s="3" t="n">
        <v>-90000000</v>
      </c>
      <c r="D30" s="3" t="n">
        <v>-53000000</v>
      </c>
      <c r="E30" s="3" t="n">
        <v>-95000000</v>
      </c>
      <c r="F30" s="3" t="n"/>
    </row>
    <row r="31">
      <c r="A31" t="inlineStr">
        <is>
          <t>Other Non Operating Income Expenses</t>
        </is>
      </c>
      <c r="B31" s="3" t="n">
        <v>-30000000</v>
      </c>
      <c r="C31" s="3" t="n">
        <v>-2000000</v>
      </c>
      <c r="D31" s="3" t="n">
        <v>1000000</v>
      </c>
      <c r="E31" s="3" t="n">
        <v>46000000</v>
      </c>
      <c r="F31" s="3" t="n"/>
    </row>
    <row r="32">
      <c r="A32" t="inlineStr">
        <is>
          <t>Special Income Charges</t>
        </is>
      </c>
      <c r="B32" s="3" t="n">
        <v>-21000000</v>
      </c>
      <c r="C32" s="3" t="n">
        <v>-88000000</v>
      </c>
      <c r="D32" s="3" t="n">
        <v>-54000000</v>
      </c>
      <c r="E32" s="3" t="n">
        <v>-141000000</v>
      </c>
      <c r="F32" s="3" t="n"/>
    </row>
    <row r="33">
      <c r="A33" t="inlineStr">
        <is>
          <t>Gain On Sale Of Ppe</t>
        </is>
      </c>
      <c r="B33" s="3" t="n"/>
      <c r="C33" s="3" t="n"/>
      <c r="D33" s="3" t="n"/>
      <c r="E33" s="3" t="n">
        <v>0</v>
      </c>
      <c r="F33" s="3" t="n">
        <v>0</v>
      </c>
    </row>
    <row r="34">
      <c r="A34" t="inlineStr">
        <is>
          <t>Restructuring And Mergern Acquisition</t>
        </is>
      </c>
      <c r="B34" s="3" t="n">
        <v>21000000</v>
      </c>
      <c r="C34" s="3" t="n">
        <v>88000000</v>
      </c>
      <c r="D34" s="3" t="n">
        <v>54000000</v>
      </c>
      <c r="E34" s="3" t="n">
        <v>141000000</v>
      </c>
      <c r="F34" s="3" t="n"/>
    </row>
    <row r="35">
      <c r="A35" t="inlineStr">
        <is>
          <t>Net Non Operating Interest Income Expense</t>
        </is>
      </c>
      <c r="B35" s="3" t="n">
        <v>4000000</v>
      </c>
      <c r="C35" s="3" t="n">
        <v>48000000</v>
      </c>
      <c r="D35" s="3" t="n">
        <v>48000000</v>
      </c>
      <c r="E35" s="3" t="n">
        <v>2000000</v>
      </c>
      <c r="F35" s="3" t="n"/>
    </row>
    <row r="36">
      <c r="A36" t="inlineStr">
        <is>
          <t>Interest Expense Non Operating</t>
        </is>
      </c>
      <c r="B36" s="3" t="n">
        <v>109000000</v>
      </c>
      <c r="C36" s="3" t="n">
        <v>64000000</v>
      </c>
      <c r="D36" s="3" t="n">
        <v>64000000</v>
      </c>
      <c r="E36" s="3" t="n">
        <v>67000000</v>
      </c>
      <c r="F36" s="3" t="n"/>
    </row>
    <row r="37">
      <c r="A37" t="inlineStr">
        <is>
          <t>Interest Income Non Operating</t>
        </is>
      </c>
      <c r="B37" s="3" t="n">
        <v>113000000</v>
      </c>
      <c r="C37" s="3" t="n">
        <v>112000000</v>
      </c>
      <c r="D37" s="3" t="n">
        <v>112000000</v>
      </c>
      <c r="E37" s="3" t="n">
        <v>69000000</v>
      </c>
      <c r="F37" s="3" t="n"/>
    </row>
    <row r="38">
      <c r="A38" t="inlineStr">
        <is>
          <t>Operating Income</t>
        </is>
      </c>
      <c r="B38" s="3" t="n">
        <v>1695000000</v>
      </c>
      <c r="C38" s="3" t="n">
        <v>1425000000</v>
      </c>
      <c r="D38" s="3" t="n">
        <v>1268000000</v>
      </c>
      <c r="E38" s="3" t="n">
        <v>1159000000</v>
      </c>
      <c r="F38" s="3" t="n"/>
    </row>
    <row r="39">
      <c r="A39" t="inlineStr">
        <is>
          <t>Operating Expense</t>
        </is>
      </c>
      <c r="B39" s="3" t="n">
        <v>3204000000</v>
      </c>
      <c r="C39" s="3" t="n">
        <v>3188000000</v>
      </c>
      <c r="D39" s="3" t="n">
        <v>3165000000</v>
      </c>
      <c r="E39" s="3" t="n">
        <v>3050000000</v>
      </c>
      <c r="F39" s="3" t="n"/>
    </row>
    <row r="40">
      <c r="A40" t="inlineStr">
        <is>
          <t>Research And Development</t>
        </is>
      </c>
      <c r="B40" s="3" t="n">
        <v>991000000</v>
      </c>
      <c r="C40" s="3" t="n">
        <v>1012000000</v>
      </c>
      <c r="D40" s="3" t="n">
        <v>1029000000</v>
      </c>
      <c r="E40" s="3" t="n">
        <v>956000000</v>
      </c>
      <c r="F40" s="3" t="n"/>
    </row>
    <row r="41">
      <c r="A41" t="inlineStr">
        <is>
          <t>Selling General And Administration</t>
        </is>
      </c>
      <c r="B41" s="3" t="n">
        <v>2213000000</v>
      </c>
      <c r="C41" s="3" t="n">
        <v>2176000000</v>
      </c>
      <c r="D41" s="3" t="n">
        <v>2136000000</v>
      </c>
      <c r="E41" s="3" t="n">
        <v>2094000000</v>
      </c>
      <c r="F41" s="3" t="n"/>
    </row>
    <row r="42">
      <c r="A42" t="inlineStr">
        <is>
          <t>Selling And Marketing Expense</t>
        </is>
      </c>
      <c r="B42" s="3" t="n">
        <v>1869000000</v>
      </c>
      <c r="C42" s="3" t="n">
        <v>1865000000</v>
      </c>
      <c r="D42" s="3" t="n">
        <v>1828000000</v>
      </c>
      <c r="E42" s="3" t="n">
        <v>1829000000</v>
      </c>
      <c r="F42" s="3" t="n"/>
    </row>
    <row r="43">
      <c r="A43" t="inlineStr">
        <is>
          <t>General And Administrative Expense</t>
        </is>
      </c>
      <c r="B43" s="3" t="n">
        <v>344000000</v>
      </c>
      <c r="C43" s="3" t="n">
        <v>311000000</v>
      </c>
      <c r="D43" s="3" t="n">
        <v>308000000</v>
      </c>
      <c r="E43" s="3" t="n">
        <v>265000000</v>
      </c>
      <c r="F43" s="3" t="n"/>
    </row>
    <row r="44">
      <c r="A44" t="inlineStr">
        <is>
          <t>Other Gand A</t>
        </is>
      </c>
      <c r="B44" s="3" t="n">
        <v>344000000</v>
      </c>
      <c r="C44" s="3" t="n">
        <v>311000000</v>
      </c>
      <c r="D44" s="3" t="n">
        <v>308000000</v>
      </c>
      <c r="E44" s="3" t="n">
        <v>265000000</v>
      </c>
      <c r="F44" s="3" t="n"/>
    </row>
    <row r="45">
      <c r="A45" t="inlineStr">
        <is>
          <t>Gross Profit</t>
        </is>
      </c>
      <c r="B45" s="3" t="n">
        <v>4899000000</v>
      </c>
      <c r="C45" s="3" t="n">
        <v>4613000000</v>
      </c>
      <c r="D45" s="3" t="n">
        <v>4433000000</v>
      </c>
      <c r="E45" s="3" t="n">
        <v>4209000000</v>
      </c>
      <c r="F45" s="3" t="n"/>
    </row>
    <row r="46">
      <c r="A46" t="inlineStr">
        <is>
          <t>Cost Of Revenue</t>
        </is>
      </c>
      <c r="B46" s="3" t="n">
        <v>2026000000</v>
      </c>
      <c r="C46" s="3" t="n">
        <v>1959000000</v>
      </c>
      <c r="D46" s="3" t="n">
        <v>1835000000</v>
      </c>
      <c r="E46" s="3" t="n">
        <v>2153000000</v>
      </c>
      <c r="F46" s="3" t="n"/>
    </row>
    <row r="47">
      <c r="A47" t="inlineStr">
        <is>
          <t>Total Revenue</t>
        </is>
      </c>
      <c r="B47" s="3" t="n">
        <v>6925000000</v>
      </c>
      <c r="C47" s="3" t="n">
        <v>6572000000</v>
      </c>
      <c r="D47" s="3" t="n">
        <v>6268000000</v>
      </c>
      <c r="E47" s="3" t="n">
        <v>6362000000</v>
      </c>
      <c r="F47" s="3" t="n"/>
    </row>
    <row r="48">
      <c r="A48" t="inlineStr">
        <is>
          <t>Operating Revenue</t>
        </is>
      </c>
      <c r="B48" s="3" t="n">
        <v>6925000000</v>
      </c>
      <c r="C48" s="3" t="n">
        <v>6572000000</v>
      </c>
      <c r="D48" s="3" t="n">
        <v>6268000000</v>
      </c>
      <c r="E48" s="3" t="n">
        <v>6362000000</v>
      </c>
      <c r="F48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2026-04-30</t>
        </is>
      </c>
      <c r="C1" s="1" t="inlineStr">
        <is>
          <t>2026-01-31</t>
        </is>
      </c>
      <c r="D1" s="1" t="inlineStr">
        <is>
          <t>2025-10-31</t>
        </is>
      </c>
      <c r="E1" s="1" t="inlineStr">
        <is>
          <t>2025-07-31</t>
        </is>
      </c>
      <c r="F1" s="1" t="inlineStr">
        <is>
          <t>2025-04-30</t>
        </is>
      </c>
      <c r="G1" s="1" t="inlineStr">
        <is>
          <t>2024-10-31</t>
        </is>
      </c>
    </row>
    <row r="2">
      <c r="A2" t="inlineStr">
        <is>
          <t>Tax Effect Of Unusual Items</t>
        </is>
      </c>
      <c r="B2" s="3" t="n">
        <v>220077.220077</v>
      </c>
      <c r="C2" s="3" t="n">
        <v>687000</v>
      </c>
      <c r="D2" s="3" t="n">
        <v>-5152000</v>
      </c>
      <c r="E2" s="3" t="n">
        <v>-467105.263158</v>
      </c>
      <c r="F2" s="3" t="n">
        <v>-1819209.039548</v>
      </c>
      <c r="G2" s="3" t="n"/>
    </row>
    <row r="3">
      <c r="A3" t="inlineStr">
        <is>
          <t>Tax Rate For Calcs</t>
        </is>
      </c>
      <c r="B3" s="3" t="n">
        <v>0.220077</v>
      </c>
      <c r="C3" s="3" t="n">
        <v>0.229</v>
      </c>
      <c r="D3" s="3" t="n">
        <v>0.224</v>
      </c>
      <c r="E3" s="3" t="n">
        <v>0.233553</v>
      </c>
      <c r="F3" s="3" t="n">
        <v>0.039548</v>
      </c>
      <c r="G3" s="3" t="n"/>
    </row>
    <row r="4">
      <c r="A4" t="inlineStr">
        <is>
          <t>Normalized EBITDA</t>
        </is>
      </c>
      <c r="B4" s="3" t="n">
        <v>594000000</v>
      </c>
      <c r="C4" s="3" t="n">
        <v>504000000</v>
      </c>
      <c r="D4" s="3" t="n">
        <v>494000000</v>
      </c>
      <c r="E4" s="3" t="n">
        <v>386000000</v>
      </c>
      <c r="F4" s="3" t="n">
        <v>474000000</v>
      </c>
      <c r="G4" s="3" t="n"/>
    </row>
    <row r="5">
      <c r="A5" t="inlineStr">
        <is>
          <t>Total Unusual Items</t>
        </is>
      </c>
      <c r="B5" s="3" t="n">
        <v>1000000</v>
      </c>
      <c r="C5" s="3" t="n">
        <v>3000000</v>
      </c>
      <c r="D5" s="3" t="n">
        <v>-23000000</v>
      </c>
      <c r="E5" s="3" t="n">
        <v>-2000000</v>
      </c>
      <c r="F5" s="3" t="n">
        <v>-46000000</v>
      </c>
      <c r="G5" s="3" t="n"/>
    </row>
    <row r="6">
      <c r="A6" t="inlineStr">
        <is>
          <t>Total Unusual Items Excluding Goodwill</t>
        </is>
      </c>
      <c r="B6" s="3" t="n">
        <v>1000000</v>
      </c>
      <c r="C6" s="3" t="n">
        <v>3000000</v>
      </c>
      <c r="D6" s="3" t="n">
        <v>-23000000</v>
      </c>
      <c r="E6" s="3" t="n">
        <v>-2000000</v>
      </c>
      <c r="F6" s="3" t="n">
        <v>-46000000</v>
      </c>
      <c r="G6" s="3" t="n"/>
    </row>
    <row r="7">
      <c r="A7" t="inlineStr">
        <is>
          <t>Net Income From Continuing Operation Net Minority Interest</t>
        </is>
      </c>
      <c r="B7" s="3" t="n">
        <v>404000000</v>
      </c>
      <c r="C7" s="3" t="n">
        <v>334000000</v>
      </c>
      <c r="D7" s="3" t="n">
        <v>305000000</v>
      </c>
      <c r="E7" s="3" t="n">
        <v>233000000</v>
      </c>
      <c r="F7" s="3" t="n">
        <v>340000000</v>
      </c>
      <c r="G7" s="3" t="n"/>
    </row>
    <row r="8">
      <c r="A8" t="inlineStr">
        <is>
          <t>Reconciled Depreciation</t>
        </is>
      </c>
      <c r="B8" s="3" t="n">
        <v>49000000</v>
      </c>
      <c r="C8" s="3" t="n">
        <v>48000000</v>
      </c>
      <c r="D8" s="3" t="n">
        <v>52000000</v>
      </c>
      <c r="E8" s="3" t="n">
        <v>51000000</v>
      </c>
      <c r="F8" s="3" t="n">
        <v>53000000</v>
      </c>
      <c r="G8" s="3" t="n"/>
    </row>
    <row r="9">
      <c r="A9" t="inlineStr">
        <is>
          <t>Reconciled Cost Of Revenue</t>
        </is>
      </c>
      <c r="B9" s="3" t="n">
        <v>583000000</v>
      </c>
      <c r="C9" s="3" t="n">
        <v>504000000</v>
      </c>
      <c r="D9" s="3" t="n">
        <v>478000000</v>
      </c>
      <c r="E9" s="3" t="n">
        <v>461000000</v>
      </c>
      <c r="F9" s="3" t="n">
        <v>539000000</v>
      </c>
      <c r="G9" s="3" t="n"/>
    </row>
    <row r="10">
      <c r="A10" t="inlineStr">
        <is>
          <t>EBITDA</t>
        </is>
      </c>
      <c r="B10" s="3" t="n">
        <v>595000000</v>
      </c>
      <c r="C10" s="3" t="n">
        <v>507000000</v>
      </c>
      <c r="D10" s="3" t="n">
        <v>471000000</v>
      </c>
      <c r="E10" s="3" t="n">
        <v>384000000</v>
      </c>
      <c r="F10" s="3" t="n">
        <v>428000000</v>
      </c>
      <c r="G10" s="3" t="n"/>
    </row>
    <row r="11">
      <c r="A11" t="inlineStr">
        <is>
          <t>EBIT</t>
        </is>
      </c>
      <c r="B11" s="3" t="n">
        <v>546000000</v>
      </c>
      <c r="C11" s="3" t="n">
        <v>459000000</v>
      </c>
      <c r="D11" s="3" t="n">
        <v>419000000</v>
      </c>
      <c r="E11" s="3" t="n">
        <v>333000000</v>
      </c>
      <c r="F11" s="3" t="n">
        <v>375000000</v>
      </c>
      <c r="G11" s="3" t="n"/>
    </row>
    <row r="12">
      <c r="A12" t="inlineStr">
        <is>
          <t>Net Interest Income</t>
        </is>
      </c>
      <c r="B12" s="3" t="n">
        <v>-3000000</v>
      </c>
      <c r="C12" s="3" t="n">
        <v>-1000000</v>
      </c>
      <c r="D12" s="3" t="n">
        <v>1000000</v>
      </c>
      <c r="E12" s="3" t="n">
        <v>7000000</v>
      </c>
      <c r="F12" s="3" t="n">
        <v>8000000</v>
      </c>
      <c r="G12" s="3" t="n"/>
    </row>
    <row r="13">
      <c r="A13" t="inlineStr">
        <is>
          <t>Interest Expense</t>
        </is>
      </c>
      <c r="B13" s="3" t="n">
        <v>28000000</v>
      </c>
      <c r="C13" s="3" t="n">
        <v>26000000</v>
      </c>
      <c r="D13" s="3" t="n">
        <v>26000000</v>
      </c>
      <c r="E13" s="3" t="n">
        <v>29000000</v>
      </c>
      <c r="F13" s="3" t="n">
        <v>21000000</v>
      </c>
      <c r="G13" s="3" t="n"/>
    </row>
    <row r="14">
      <c r="A14" t="inlineStr">
        <is>
          <t>Interest Income</t>
        </is>
      </c>
      <c r="B14" s="3" t="n">
        <v>25000000</v>
      </c>
      <c r="C14" s="3" t="n">
        <v>25000000</v>
      </c>
      <c r="D14" s="3" t="n">
        <v>27000000</v>
      </c>
      <c r="E14" s="3" t="n">
        <v>36000000</v>
      </c>
      <c r="F14" s="3" t="n">
        <v>29000000</v>
      </c>
      <c r="G14" s="3" t="n"/>
    </row>
    <row r="15">
      <c r="A15" t="inlineStr">
        <is>
          <t>Normalized Income</t>
        </is>
      </c>
      <c r="B15" s="3" t="n">
        <v>403220077.220077</v>
      </c>
      <c r="C15" s="3" t="n">
        <v>331687000</v>
      </c>
      <c r="D15" s="3" t="n">
        <v>322848000</v>
      </c>
      <c r="E15" s="3" t="n">
        <v>234532894.736842</v>
      </c>
      <c r="F15" s="3" t="n">
        <v>384180790.960452</v>
      </c>
      <c r="G15" s="3" t="n"/>
    </row>
    <row r="16">
      <c r="A16" t="inlineStr">
        <is>
          <t>Net Income From Continuing And Discontinued Operation</t>
        </is>
      </c>
      <c r="B16" s="3" t="n">
        <v>404000000</v>
      </c>
      <c r="C16" s="3" t="n">
        <v>334000000</v>
      </c>
      <c r="D16" s="3" t="n">
        <v>305000000</v>
      </c>
      <c r="E16" s="3" t="n">
        <v>233000000</v>
      </c>
      <c r="F16" s="3" t="n">
        <v>340000000</v>
      </c>
      <c r="G16" s="3" t="n"/>
    </row>
    <row r="17">
      <c r="A17" t="inlineStr">
        <is>
          <t>Total Expenses</t>
        </is>
      </c>
      <c r="B17" s="3" t="n">
        <v>1417000000</v>
      </c>
      <c r="C17" s="3" t="n">
        <v>1282000000</v>
      </c>
      <c r="D17" s="3" t="n">
        <v>1283000000</v>
      </c>
      <c r="E17" s="3" t="n">
        <v>1248000000</v>
      </c>
      <c r="F17" s="3" t="n">
        <v>1338000000</v>
      </c>
      <c r="G17" s="3" t="n"/>
    </row>
    <row r="18">
      <c r="A18" t="inlineStr">
        <is>
          <t>Total Operating Income As Reported</t>
        </is>
      </c>
      <c r="B18" s="3" t="n">
        <v>532000000</v>
      </c>
      <c r="C18" s="3" t="n">
        <v>434000000</v>
      </c>
      <c r="D18" s="3" t="n">
        <v>399000000</v>
      </c>
      <c r="E18" s="3" t="n">
        <v>309000000</v>
      </c>
      <c r="F18" s="3" t="n">
        <v>348000000</v>
      </c>
      <c r="G18" s="3" t="n"/>
    </row>
    <row r="19">
      <c r="A19" t="inlineStr">
        <is>
          <t>Diluted Average Shares</t>
        </is>
      </c>
      <c r="B19" s="3" t="n">
        <v>199000000</v>
      </c>
      <c r="C19" s="3" t="n">
        <v>200000000</v>
      </c>
      <c r="D19" s="3" t="n">
        <v>202000000</v>
      </c>
      <c r="E19" s="3" t="n">
        <v>203000000</v>
      </c>
      <c r="F19" s="3" t="n">
        <v>206000000</v>
      </c>
      <c r="G19" s="3" t="n"/>
    </row>
    <row r="20">
      <c r="A20" t="inlineStr">
        <is>
          <t>Basic Average Shares</t>
        </is>
      </c>
      <c r="B20" s="3" t="n">
        <v>197000000</v>
      </c>
      <c r="C20" s="3" t="n">
        <v>198000000</v>
      </c>
      <c r="D20" s="3" t="n">
        <v>199000000</v>
      </c>
      <c r="E20" s="3" t="n">
        <v>201000000</v>
      </c>
      <c r="F20" s="3" t="n">
        <v>203000000</v>
      </c>
      <c r="G20" s="3" t="n"/>
    </row>
    <row r="21">
      <c r="A21" t="inlineStr">
        <is>
          <t>Diluted EPS</t>
        </is>
      </c>
      <c r="B21" s="3" t="n">
        <v>2.03</v>
      </c>
      <c r="C21" s="3" t="n">
        <v>1.67</v>
      </c>
      <c r="D21" s="3" t="n">
        <v>1.51</v>
      </c>
      <c r="E21" s="3" t="n">
        <v>1.15</v>
      </c>
      <c r="F21" s="3" t="n">
        <v>1.65</v>
      </c>
      <c r="G21" s="3" t="n"/>
    </row>
    <row r="22">
      <c r="A22" t="inlineStr">
        <is>
          <t>Basic EPS</t>
        </is>
      </c>
      <c r="B22" s="3" t="n">
        <v>2.05</v>
      </c>
      <c r="C22" s="3" t="n">
        <v>1.69</v>
      </c>
      <c r="D22" s="3" t="n">
        <v>1.53</v>
      </c>
      <c r="E22" s="3" t="n">
        <v>1.16</v>
      </c>
      <c r="F22" s="3" t="n">
        <v>1.67</v>
      </c>
      <c r="G22" s="3" t="n"/>
    </row>
    <row r="23">
      <c r="A23" t="inlineStr">
        <is>
          <t>Diluted NI Availto Com Stockholders</t>
        </is>
      </c>
      <c r="B23" s="3" t="n">
        <v>404000000</v>
      </c>
      <c r="C23" s="3" t="n">
        <v>334000000</v>
      </c>
      <c r="D23" s="3" t="n">
        <v>305000000</v>
      </c>
      <c r="E23" s="3" t="n">
        <v>233000000</v>
      </c>
      <c r="F23" s="3" t="n">
        <v>340000000</v>
      </c>
      <c r="G23" s="3" t="n"/>
    </row>
    <row r="24">
      <c r="A24" t="inlineStr">
        <is>
          <t>Net Income Common Stockholders</t>
        </is>
      </c>
      <c r="B24" s="3" t="n">
        <v>404000000</v>
      </c>
      <c r="C24" s="3" t="n">
        <v>334000000</v>
      </c>
      <c r="D24" s="3" t="n">
        <v>305000000</v>
      </c>
      <c r="E24" s="3" t="n">
        <v>233000000</v>
      </c>
      <c r="F24" s="3" t="n">
        <v>340000000</v>
      </c>
      <c r="G24" s="3" t="n"/>
    </row>
    <row r="25">
      <c r="A25" t="inlineStr">
        <is>
          <t>Net Income</t>
        </is>
      </c>
      <c r="B25" s="3" t="n">
        <v>404000000</v>
      </c>
      <c r="C25" s="3" t="n">
        <v>334000000</v>
      </c>
      <c r="D25" s="3" t="n">
        <v>305000000</v>
      </c>
      <c r="E25" s="3" t="n">
        <v>233000000</v>
      </c>
      <c r="F25" s="3" t="n">
        <v>340000000</v>
      </c>
      <c r="G25" s="3" t="n"/>
    </row>
    <row r="26">
      <c r="A26" t="inlineStr">
        <is>
          <t>Net Income Including Noncontrolling Interests</t>
        </is>
      </c>
      <c r="B26" s="3" t="n">
        <v>404000000</v>
      </c>
      <c r="C26" s="3" t="n">
        <v>334000000</v>
      </c>
      <c r="D26" s="3" t="n">
        <v>305000000</v>
      </c>
      <c r="E26" s="3" t="n">
        <v>233000000</v>
      </c>
      <c r="F26" s="3" t="n">
        <v>340000000</v>
      </c>
      <c r="G26" s="3" t="n"/>
    </row>
    <row r="27">
      <c r="A27" t="inlineStr">
        <is>
          <t>Net Income Continuous Operations</t>
        </is>
      </c>
      <c r="B27" s="3" t="n">
        <v>404000000</v>
      </c>
      <c r="C27" s="3" t="n">
        <v>334000000</v>
      </c>
      <c r="D27" s="3" t="n">
        <v>305000000</v>
      </c>
      <c r="E27" s="3" t="n">
        <v>233000000</v>
      </c>
      <c r="F27" s="3" t="n">
        <v>340000000</v>
      </c>
      <c r="G27" s="3" t="n"/>
    </row>
    <row r="28">
      <c r="A28" t="inlineStr">
        <is>
          <t>Tax Provision</t>
        </is>
      </c>
      <c r="B28" s="3" t="n">
        <v>114000000</v>
      </c>
      <c r="C28" s="3" t="n">
        <v>99000000</v>
      </c>
      <c r="D28" s="3" t="n">
        <v>88000000</v>
      </c>
      <c r="E28" s="3" t="n">
        <v>71000000</v>
      </c>
      <c r="F28" s="3" t="n">
        <v>14000000</v>
      </c>
      <c r="G28" s="3" t="n"/>
    </row>
    <row r="29">
      <c r="A29" t="inlineStr">
        <is>
          <t>Pretax Income</t>
        </is>
      </c>
      <c r="B29" s="3" t="n">
        <v>518000000</v>
      </c>
      <c r="C29" s="3" t="n">
        <v>433000000</v>
      </c>
      <c r="D29" s="3" t="n">
        <v>393000000</v>
      </c>
      <c r="E29" s="3" t="n">
        <v>304000000</v>
      </c>
      <c r="F29" s="3" t="n">
        <v>354000000</v>
      </c>
      <c r="G29" s="3" t="n"/>
    </row>
    <row r="30">
      <c r="A30" t="inlineStr">
        <is>
          <t>Other Income Expense</t>
        </is>
      </c>
      <c r="B30" s="3" t="n">
        <v>-10000000</v>
      </c>
      <c r="C30" s="3" t="n">
        <v>3000000</v>
      </c>
      <c r="D30" s="3" t="n">
        <v>-30000000</v>
      </c>
      <c r="E30" s="3" t="n">
        <v>-14000000</v>
      </c>
      <c r="F30" s="3" t="n">
        <v>-48000000</v>
      </c>
      <c r="G30" s="3" t="n"/>
    </row>
    <row r="31">
      <c r="A31" t="inlineStr">
        <is>
          <t>Other Non Operating Income Expenses</t>
        </is>
      </c>
      <c r="B31" s="3" t="n">
        <v>-11000000</v>
      </c>
      <c r="C31" s="3" t="n"/>
      <c r="D31" s="3" t="n">
        <v>-7000000</v>
      </c>
      <c r="E31" s="3" t="n">
        <v>-12000000</v>
      </c>
      <c r="F31" s="3" t="n"/>
      <c r="G31" s="3" t="n">
        <v>3000000</v>
      </c>
    </row>
    <row r="32">
      <c r="A32" t="inlineStr">
        <is>
          <t>Special Income Charges</t>
        </is>
      </c>
      <c r="B32" s="3" t="n">
        <v>1000000</v>
      </c>
      <c r="C32" s="3" t="n">
        <v>3000000</v>
      </c>
      <c r="D32" s="3" t="n">
        <v>-23000000</v>
      </c>
      <c r="E32" s="3" t="n">
        <v>-2000000</v>
      </c>
      <c r="F32" s="3" t="n">
        <v>-46000000</v>
      </c>
      <c r="G32" s="3" t="n"/>
    </row>
    <row r="33">
      <c r="A33" t="inlineStr">
        <is>
          <t>Restructuring And Mergern Acquisition</t>
        </is>
      </c>
      <c r="B33" s="3" t="n">
        <v>-1000000</v>
      </c>
      <c r="C33" s="3" t="n">
        <v>-3000000</v>
      </c>
      <c r="D33" s="3" t="n">
        <v>23000000</v>
      </c>
      <c r="E33" s="3" t="n">
        <v>2000000</v>
      </c>
      <c r="F33" s="3" t="n">
        <v>46000000</v>
      </c>
      <c r="G33" s="3" t="n"/>
    </row>
    <row r="34">
      <c r="A34" t="inlineStr">
        <is>
          <t>Net Non Operating Interest Income Expense</t>
        </is>
      </c>
      <c r="B34" s="3" t="n">
        <v>-3000000</v>
      </c>
      <c r="C34" s="3" t="n">
        <v>-1000000</v>
      </c>
      <c r="D34" s="3" t="n">
        <v>1000000</v>
      </c>
      <c r="E34" s="3" t="n">
        <v>7000000</v>
      </c>
      <c r="F34" s="3" t="n">
        <v>8000000</v>
      </c>
      <c r="G34" s="3" t="n"/>
    </row>
    <row r="35">
      <c r="A35" t="inlineStr">
        <is>
          <t>Interest Expense Non Operating</t>
        </is>
      </c>
      <c r="B35" s="3" t="n">
        <v>28000000</v>
      </c>
      <c r="C35" s="3" t="n">
        <v>26000000</v>
      </c>
      <c r="D35" s="3" t="n">
        <v>26000000</v>
      </c>
      <c r="E35" s="3" t="n">
        <v>29000000</v>
      </c>
      <c r="F35" s="3" t="n">
        <v>21000000</v>
      </c>
      <c r="G35" s="3" t="n"/>
    </row>
    <row r="36">
      <c r="A36" t="inlineStr">
        <is>
          <t>Interest Income Non Operating</t>
        </is>
      </c>
      <c r="B36" s="3" t="n">
        <v>25000000</v>
      </c>
      <c r="C36" s="3" t="n">
        <v>25000000</v>
      </c>
      <c r="D36" s="3" t="n">
        <v>27000000</v>
      </c>
      <c r="E36" s="3" t="n">
        <v>36000000</v>
      </c>
      <c r="F36" s="3" t="n">
        <v>29000000</v>
      </c>
      <c r="G36" s="3" t="n"/>
    </row>
    <row r="37">
      <c r="A37" t="inlineStr">
        <is>
          <t>Operating Income</t>
        </is>
      </c>
      <c r="B37" s="3" t="n">
        <v>531000000</v>
      </c>
      <c r="C37" s="3" t="n">
        <v>431000000</v>
      </c>
      <c r="D37" s="3" t="n">
        <v>422000000</v>
      </c>
      <c r="E37" s="3" t="n">
        <v>311000000</v>
      </c>
      <c r="F37" s="3" t="n">
        <v>394000000</v>
      </c>
      <c r="G37" s="3" t="n"/>
    </row>
    <row r="38">
      <c r="A38" t="inlineStr">
        <is>
          <t>Operating Expense</t>
        </is>
      </c>
      <c r="B38" s="3" t="n">
        <v>834000000</v>
      </c>
      <c r="C38" s="3" t="n">
        <v>778000000</v>
      </c>
      <c r="D38" s="3" t="n">
        <v>805000000</v>
      </c>
      <c r="E38" s="3" t="n">
        <v>787000000</v>
      </c>
      <c r="F38" s="3" t="n">
        <v>799000000</v>
      </c>
      <c r="G38" s="3" t="n"/>
    </row>
    <row r="39">
      <c r="A39" t="inlineStr">
        <is>
          <t>Research And Development</t>
        </is>
      </c>
      <c r="B39" s="3" t="n">
        <v>261000000</v>
      </c>
      <c r="C39" s="3" t="n">
        <v>237000000</v>
      </c>
      <c r="D39" s="3" t="n">
        <v>251000000</v>
      </c>
      <c r="E39" s="3" t="n">
        <v>242000000</v>
      </c>
      <c r="F39" s="3" t="n">
        <v>256000000</v>
      </c>
      <c r="G39" s="3" t="n"/>
    </row>
    <row r="40">
      <c r="A40" t="inlineStr">
        <is>
          <t>Selling General And Administration</t>
        </is>
      </c>
      <c r="B40" s="3" t="n">
        <v>573000000</v>
      </c>
      <c r="C40" s="3" t="n">
        <v>541000000</v>
      </c>
      <c r="D40" s="3" t="n">
        <v>554000000</v>
      </c>
      <c r="E40" s="3" t="n">
        <v>545000000</v>
      </c>
      <c r="F40" s="3" t="n">
        <v>543000000</v>
      </c>
      <c r="G40" s="3" t="n"/>
    </row>
    <row r="41">
      <c r="A41" t="inlineStr">
        <is>
          <t>Selling And Marketing Expense</t>
        </is>
      </c>
      <c r="B41" s="3" t="n">
        <v>488000000</v>
      </c>
      <c r="C41" s="3" t="n">
        <v>455000000</v>
      </c>
      <c r="D41" s="3" t="n">
        <v>465000000</v>
      </c>
      <c r="E41" s="3" t="n">
        <v>461000000</v>
      </c>
      <c r="F41" s="3" t="n">
        <v>458000000</v>
      </c>
      <c r="G41" s="3" t="n"/>
    </row>
    <row r="42">
      <c r="A42" t="inlineStr">
        <is>
          <t>General And Administrative Expense</t>
        </is>
      </c>
      <c r="B42" s="3" t="n">
        <v>85000000</v>
      </c>
      <c r="C42" s="3" t="n">
        <v>86000000</v>
      </c>
      <c r="D42" s="3" t="n">
        <v>89000000</v>
      </c>
      <c r="E42" s="3" t="n">
        <v>84000000</v>
      </c>
      <c r="F42" s="3" t="n">
        <v>85000000</v>
      </c>
      <c r="G42" s="3" t="n"/>
    </row>
    <row r="43">
      <c r="A43" t="inlineStr">
        <is>
          <t>Other Gand A</t>
        </is>
      </c>
      <c r="B43" s="3" t="n">
        <v>85000000</v>
      </c>
      <c r="C43" s="3" t="n">
        <v>86000000</v>
      </c>
      <c r="D43" s="3" t="n">
        <v>89000000</v>
      </c>
      <c r="E43" s="3" t="n">
        <v>84000000</v>
      </c>
      <c r="F43" s="3" t="n">
        <v>85000000</v>
      </c>
      <c r="G43" s="3" t="n"/>
    </row>
    <row r="44">
      <c r="A44" t="inlineStr">
        <is>
          <t>Gross Profit</t>
        </is>
      </c>
      <c r="B44" s="3" t="n">
        <v>1365000000</v>
      </c>
      <c r="C44" s="3" t="n">
        <v>1209000000</v>
      </c>
      <c r="D44" s="3" t="n">
        <v>1227000000</v>
      </c>
      <c r="E44" s="3" t="n">
        <v>1098000000</v>
      </c>
      <c r="F44" s="3" t="n">
        <v>1193000000</v>
      </c>
      <c r="G44" s="3" t="n"/>
    </row>
    <row r="45">
      <c r="A45" t="inlineStr">
        <is>
          <t>Cost Of Revenue</t>
        </is>
      </c>
      <c r="B45" s="3" t="n">
        <v>583000000</v>
      </c>
      <c r="C45" s="3" t="n">
        <v>504000000</v>
      </c>
      <c r="D45" s="3" t="n">
        <v>478000000</v>
      </c>
      <c r="E45" s="3" t="n">
        <v>461000000</v>
      </c>
      <c r="F45" s="3" t="n">
        <v>539000000</v>
      </c>
      <c r="G45" s="3" t="n"/>
    </row>
    <row r="46">
      <c r="A46" t="inlineStr">
        <is>
          <t>Total Revenue</t>
        </is>
      </c>
      <c r="B46" s="3" t="n">
        <v>1948000000</v>
      </c>
      <c r="C46" s="3" t="n">
        <v>1713000000</v>
      </c>
      <c r="D46" s="3" t="n">
        <v>1705000000</v>
      </c>
      <c r="E46" s="3" t="n">
        <v>1559000000</v>
      </c>
      <c r="F46" s="3" t="n">
        <v>1732000000</v>
      </c>
      <c r="G46" s="3" t="n"/>
    </row>
    <row r="47">
      <c r="A47" t="inlineStr">
        <is>
          <t>Operating Revenue</t>
        </is>
      </c>
      <c r="B47" s="3" t="n">
        <v>1948000000</v>
      </c>
      <c r="C47" s="3" t="n">
        <v>1713000000</v>
      </c>
      <c r="D47" s="3" t="n">
        <v>1705000000</v>
      </c>
      <c r="E47" s="3" t="n">
        <v>1559000000</v>
      </c>
      <c r="F47" s="3" t="n">
        <v>1732000000</v>
      </c>
      <c r="G47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2026-04-30</t>
        </is>
      </c>
      <c r="C1" s="1" t="inlineStr">
        <is>
          <t>2025-04-30</t>
        </is>
      </c>
      <c r="D1" s="1" t="inlineStr">
        <is>
          <t>2024-04-30</t>
        </is>
      </c>
      <c r="E1" s="1" t="inlineStr">
        <is>
          <t>2023-04-30</t>
        </is>
      </c>
      <c r="F1" s="1" t="inlineStr">
        <is>
          <t>2022-04-30</t>
        </is>
      </c>
    </row>
    <row r="2">
      <c r="A2" t="inlineStr">
        <is>
          <t>Ordinary Shares Number</t>
        </is>
      </c>
      <c r="B2" s="3" t="n">
        <v>196000000</v>
      </c>
      <c r="C2" s="3" t="n">
        <v>201000000</v>
      </c>
      <c r="D2" s="3" t="n">
        <v>206376661</v>
      </c>
      <c r="E2" s="3" t="n">
        <v>212000000</v>
      </c>
      <c r="F2" s="3" t="n"/>
    </row>
    <row r="3">
      <c r="A3" t="inlineStr">
        <is>
          <t>Share Issued</t>
        </is>
      </c>
      <c r="B3" s="3" t="n">
        <v>196000000</v>
      </c>
      <c r="C3" s="3" t="n">
        <v>201000000</v>
      </c>
      <c r="D3" s="3" t="n">
        <v>206376661</v>
      </c>
      <c r="E3" s="3" t="n">
        <v>212000000</v>
      </c>
      <c r="F3" s="3" t="n"/>
    </row>
    <row r="4">
      <c r="A4" t="inlineStr">
        <is>
          <t>Net Debt</t>
        </is>
      </c>
      <c r="B4" s="3" t="n">
        <v>417000000</v>
      </c>
      <c r="C4" s="3" t="n">
        <v>493000000</v>
      </c>
      <c r="D4" s="3" t="n">
        <v>489000000</v>
      </c>
      <c r="E4" s="3" t="n">
        <v>73000000</v>
      </c>
      <c r="F4" s="3" t="n"/>
    </row>
    <row r="5">
      <c r="A5" t="inlineStr">
        <is>
          <t>Total Debt</t>
        </is>
      </c>
      <c r="B5" s="3" t="n">
        <v>2733000000</v>
      </c>
      <c r="C5" s="3" t="n">
        <v>3491000000</v>
      </c>
      <c r="D5" s="3" t="n">
        <v>2652000000</v>
      </c>
      <c r="E5" s="3" t="n">
        <v>2684000000</v>
      </c>
      <c r="F5" s="3" t="n"/>
    </row>
    <row r="6">
      <c r="A6" t="inlineStr">
        <is>
          <t>Tangible Book Value</t>
        </is>
      </c>
      <c r="B6" s="3" t="n">
        <v>-1443000000</v>
      </c>
      <c r="C6" s="3" t="n">
        <v>-1726000000</v>
      </c>
      <c r="D6" s="3" t="n">
        <v>-1737000000</v>
      </c>
      <c r="E6" s="3" t="n">
        <v>-1781000000</v>
      </c>
      <c r="F6" s="3" t="n"/>
    </row>
    <row r="7">
      <c r="A7" t="inlineStr">
        <is>
          <t>Invested Capital</t>
        </is>
      </c>
      <c r="B7" s="3" t="n">
        <v>3838000000</v>
      </c>
      <c r="C7" s="3" t="n">
        <v>4275000000</v>
      </c>
      <c r="D7" s="3" t="n">
        <v>3538000000</v>
      </c>
      <c r="E7" s="3" t="n">
        <v>3548000000</v>
      </c>
      <c r="F7" s="3" t="n"/>
    </row>
    <row r="8">
      <c r="A8" t="inlineStr">
        <is>
          <t>Working Capital</t>
        </is>
      </c>
      <c r="B8" s="3" t="n">
        <v>1755000000</v>
      </c>
      <c r="C8" s="3" t="n">
        <v>1189000000</v>
      </c>
      <c r="D8" s="3" t="n">
        <v>791000000</v>
      </c>
      <c r="E8" s="3" t="n">
        <v>1213000000</v>
      </c>
      <c r="F8" s="3" t="n"/>
    </row>
    <row r="9">
      <c r="A9" t="inlineStr">
        <is>
          <t>Net Tangible Assets</t>
        </is>
      </c>
      <c r="B9" s="3" t="n">
        <v>-1443000000</v>
      </c>
      <c r="C9" s="3" t="n">
        <v>-1726000000</v>
      </c>
      <c r="D9" s="3" t="n">
        <v>-1737000000</v>
      </c>
      <c r="E9" s="3" t="n">
        <v>-1781000000</v>
      </c>
      <c r="F9" s="3" t="n"/>
    </row>
    <row r="10">
      <c r="A10" t="inlineStr">
        <is>
          <t>Capital Lease Obligations</t>
        </is>
      </c>
      <c r="B10" s="3" t="n">
        <v>246000000</v>
      </c>
      <c r="C10" s="3" t="n">
        <v>256000000</v>
      </c>
      <c r="D10" s="3" t="n">
        <v>260000000</v>
      </c>
      <c r="E10" s="3" t="n">
        <v>295000000</v>
      </c>
      <c r="F10" s="3" t="n"/>
    </row>
    <row r="11">
      <c r="A11" t="inlineStr">
        <is>
          <t>Common Stock Equity</t>
        </is>
      </c>
      <c r="B11" s="3" t="n">
        <v>1351000000</v>
      </c>
      <c r="C11" s="3" t="n">
        <v>1040000000</v>
      </c>
      <c r="D11" s="3" t="n">
        <v>1146000000</v>
      </c>
      <c r="E11" s="3" t="n">
        <v>1159000000</v>
      </c>
      <c r="F11" s="3" t="n"/>
    </row>
    <row r="12">
      <c r="A12" t="inlineStr">
        <is>
          <t>Total Capitalization</t>
        </is>
      </c>
      <c r="B12" s="3" t="n">
        <v>3838000000</v>
      </c>
      <c r="C12" s="3" t="n">
        <v>3525000000</v>
      </c>
      <c r="D12" s="3" t="n">
        <v>3138000000</v>
      </c>
      <c r="E12" s="3" t="n">
        <v>3548000000</v>
      </c>
      <c r="F12" s="3" t="n"/>
    </row>
    <row r="13">
      <c r="A13" t="inlineStr">
        <is>
          <t>Total Equity Gross Minority Interest</t>
        </is>
      </c>
      <c r="B13" s="3" t="n">
        <v>1351000000</v>
      </c>
      <c r="C13" s="3" t="n">
        <v>1040000000</v>
      </c>
      <c r="D13" s="3" t="n">
        <v>1146000000</v>
      </c>
      <c r="E13" s="3" t="n">
        <v>1159000000</v>
      </c>
      <c r="F13" s="3" t="n"/>
    </row>
    <row r="14">
      <c r="A14" t="inlineStr">
        <is>
          <t>Stockholders Equity</t>
        </is>
      </c>
      <c r="B14" s="3" t="n">
        <v>1351000000</v>
      </c>
      <c r="C14" s="3" t="n">
        <v>1040000000</v>
      </c>
      <c r="D14" s="3" t="n">
        <v>1146000000</v>
      </c>
      <c r="E14" s="3" t="n">
        <v>1159000000</v>
      </c>
      <c r="F14" s="3" t="n"/>
    </row>
    <row r="15">
      <c r="A15" t="inlineStr">
        <is>
          <t>Gains Losses Not Affecting Retained Earnings</t>
        </is>
      </c>
      <c r="B15" s="3" t="n">
        <v>-11000000</v>
      </c>
      <c r="C15" s="3" t="n">
        <v>-66000000</v>
      </c>
      <c r="D15" s="3" t="n">
        <v>-59000000</v>
      </c>
      <c r="E15" s="3" t="n">
        <v>-51000000</v>
      </c>
      <c r="F15" s="3" t="n"/>
    </row>
    <row r="16">
      <c r="A16" t="inlineStr">
        <is>
          <t>Other Equity Adjustments</t>
        </is>
      </c>
      <c r="B16" s="3" t="n">
        <v>-11000000</v>
      </c>
      <c r="C16" s="3" t="n">
        <v>-66000000</v>
      </c>
      <c r="D16" s="3" t="n">
        <v>-59000000</v>
      </c>
      <c r="E16" s="3" t="n">
        <v>-51000000</v>
      </c>
      <c r="F16" s="3" t="n"/>
    </row>
    <row r="17">
      <c r="A17" t="inlineStr">
        <is>
          <t>Retained Earnings</t>
        </is>
      </c>
      <c r="B17" s="3" t="n">
        <v>153000000</v>
      </c>
      <c r="C17" s="3" t="n">
        <v>0</v>
      </c>
      <c r="D17" s="3" t="n">
        <v>208000000</v>
      </c>
      <c r="E17" s="3" t="n">
        <v>265000000</v>
      </c>
      <c r="F17" s="3" t="n"/>
    </row>
    <row r="18">
      <c r="A18" t="inlineStr">
        <is>
          <t>Capital Stock</t>
        </is>
      </c>
      <c r="B18" s="3" t="n">
        <v>1209000000</v>
      </c>
      <c r="C18" s="3" t="n">
        <v>1106000000</v>
      </c>
      <c r="D18" s="3" t="n">
        <v>997000000</v>
      </c>
      <c r="E18" s="3" t="n">
        <v>945000000</v>
      </c>
      <c r="F18" s="3" t="n"/>
    </row>
    <row r="19">
      <c r="A19" t="inlineStr">
        <is>
          <t>Common Stock</t>
        </is>
      </c>
      <c r="B19" s="3" t="n">
        <v>1209000000</v>
      </c>
      <c r="C19" s="3" t="n">
        <v>1106000000</v>
      </c>
      <c r="D19" s="3" t="n">
        <v>997000000</v>
      </c>
      <c r="E19" s="3" t="n">
        <v>945000000</v>
      </c>
      <c r="F19" s="3" t="n"/>
    </row>
    <row r="20">
      <c r="A20" t="inlineStr">
        <is>
          <t>Preferred Stock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/>
    </row>
    <row r="21">
      <c r="A21" t="inlineStr">
        <is>
          <t>Total Liabilities Net Minority Interest</t>
        </is>
      </c>
      <c r="B21" s="3" t="n">
        <v>9393000000</v>
      </c>
      <c r="C21" s="3" t="n">
        <v>9783000000</v>
      </c>
      <c r="D21" s="3" t="n">
        <v>8741000000</v>
      </c>
      <c r="E21" s="3" t="n">
        <v>8659000000</v>
      </c>
      <c r="F21" s="3" t="n"/>
    </row>
    <row r="22">
      <c r="A22" t="inlineStr">
        <is>
          <t>Total Non Current Liabilities Net Minority Interest</t>
        </is>
      </c>
      <c r="B22" s="3" t="n">
        <v>5372000000</v>
      </c>
      <c r="C22" s="3" t="n">
        <v>5121000000</v>
      </c>
      <c r="D22" s="3" t="n">
        <v>4635000000</v>
      </c>
      <c r="E22" s="3" t="n">
        <v>5192000000</v>
      </c>
      <c r="F22" s="3" t="n"/>
    </row>
    <row r="23">
      <c r="A23" t="inlineStr">
        <is>
          <t>Other Non Current Liabilities</t>
        </is>
      </c>
      <c r="B23" s="3" t="n">
        <v>118000000</v>
      </c>
      <c r="C23" s="3" t="n">
        <v>118000000</v>
      </c>
      <c r="D23" s="3" t="n">
        <v>103000000</v>
      </c>
      <c r="E23" s="3" t="n">
        <v>93000000</v>
      </c>
      <c r="F23" s="3" t="n"/>
    </row>
    <row r="24">
      <c r="A24" t="inlineStr">
        <is>
          <t>Tradeand Other Payables Non Current</t>
        </is>
      </c>
      <c r="B24" s="3" t="n"/>
      <c r="C24" s="3" t="n">
        <v>0</v>
      </c>
      <c r="D24" s="3" t="n">
        <v>100000000</v>
      </c>
      <c r="E24" s="3" t="n">
        <v>215000000</v>
      </c>
      <c r="F24" s="3" t="n">
        <v>303000000</v>
      </c>
    </row>
    <row r="25">
      <c r="A25" t="inlineStr">
        <is>
          <t>Non Current Deferred Liabilities</t>
        </is>
      </c>
      <c r="B25" s="3" t="n">
        <v>2563000000</v>
      </c>
      <c r="C25" s="3" t="n">
        <v>2302000000</v>
      </c>
      <c r="D25" s="3" t="n">
        <v>2211000000</v>
      </c>
      <c r="E25" s="3" t="n">
        <v>2239000000</v>
      </c>
      <c r="F25" s="3" t="n"/>
    </row>
    <row r="26">
      <c r="A26" t="inlineStr">
        <is>
          <t>Non Current Deferred Revenue</t>
        </is>
      </c>
      <c r="B26" s="3" t="n">
        <v>2525000000</v>
      </c>
      <c r="C26" s="3" t="n">
        <v>2257000000</v>
      </c>
      <c r="D26" s="3" t="n">
        <v>2058000000</v>
      </c>
      <c r="E26" s="3" t="n">
        <v>2095000000</v>
      </c>
      <c r="F26" s="3" t="n"/>
    </row>
    <row r="27">
      <c r="A27" t="inlineStr">
        <is>
          <t>Non Current Deferred Taxes Liabilities</t>
        </is>
      </c>
      <c r="B27" s="3" t="n">
        <v>38000000</v>
      </c>
      <c r="C27" s="3" t="n">
        <v>45000000</v>
      </c>
      <c r="D27" s="3" t="n">
        <v>153000000</v>
      </c>
      <c r="E27" s="3" t="n">
        <v>144000000</v>
      </c>
      <c r="F27" s="3" t="n"/>
    </row>
    <row r="28">
      <c r="A28" t="inlineStr">
        <is>
          <t>Long Term Debt And Capital Lease Obligation</t>
        </is>
      </c>
      <c r="B28" s="3" t="n">
        <v>2691000000</v>
      </c>
      <c r="C28" s="3" t="n">
        <v>2701000000</v>
      </c>
      <c r="D28" s="3" t="n">
        <v>2212000000</v>
      </c>
      <c r="E28" s="3" t="n">
        <v>2637000000</v>
      </c>
      <c r="F28" s="3" t="n"/>
    </row>
    <row r="29">
      <c r="A29" t="inlineStr">
        <is>
          <t>Long Term Capital Lease Obligation</t>
        </is>
      </c>
      <c r="B29" s="3" t="n">
        <v>204000000</v>
      </c>
      <c r="C29" s="3" t="n">
        <v>216000000</v>
      </c>
      <c r="D29" s="3" t="n">
        <v>220000000</v>
      </c>
      <c r="E29" s="3" t="n">
        <v>248000000</v>
      </c>
      <c r="F29" s="3" t="n"/>
    </row>
    <row r="30">
      <c r="A30" t="inlineStr">
        <is>
          <t>Long Term Debt</t>
        </is>
      </c>
      <c r="B30" s="3" t="n">
        <v>2487000000</v>
      </c>
      <c r="C30" s="3" t="n">
        <v>2485000000</v>
      </c>
      <c r="D30" s="3" t="n">
        <v>1992000000</v>
      </c>
      <c r="E30" s="3" t="n">
        <v>2389000000</v>
      </c>
      <c r="F30" s="3" t="n"/>
    </row>
    <row r="31">
      <c r="A31" t="inlineStr">
        <is>
          <t>Long Term Provisions</t>
        </is>
      </c>
      <c r="B31" s="3" t="n"/>
      <c r="C31" s="3" t="n">
        <v>9000000</v>
      </c>
      <c r="D31" s="3" t="n">
        <v>9000000</v>
      </c>
      <c r="E31" s="3" t="n">
        <v>8000000</v>
      </c>
      <c r="F31" s="3" t="n">
        <v>9000000</v>
      </c>
    </row>
    <row r="32">
      <c r="A32" t="inlineStr">
        <is>
          <t>Current Liabilities</t>
        </is>
      </c>
      <c r="B32" s="3" t="n">
        <v>4021000000</v>
      </c>
      <c r="C32" s="3" t="n">
        <v>4662000000</v>
      </c>
      <c r="D32" s="3" t="n">
        <v>4106000000</v>
      </c>
      <c r="E32" s="3" t="n">
        <v>3467000000</v>
      </c>
      <c r="F32" s="3" t="n"/>
    </row>
    <row r="33">
      <c r="A33" t="inlineStr">
        <is>
          <t>Other Current Liabilities</t>
        </is>
      </c>
      <c r="B33" s="3" t="n">
        <v>537000000</v>
      </c>
      <c r="C33" s="3" t="n">
        <v>423000000</v>
      </c>
      <c r="D33" s="3" t="n">
        <v>417000000</v>
      </c>
      <c r="E33" s="3" t="n">
        <v>430000000</v>
      </c>
      <c r="F33" s="3" t="n"/>
    </row>
    <row r="34">
      <c r="A34" t="inlineStr">
        <is>
          <t>Current Deferred Liabilities</t>
        </is>
      </c>
      <c r="B34" s="3" t="n">
        <v>2320000000</v>
      </c>
      <c r="C34" s="3" t="n">
        <v>2279000000</v>
      </c>
      <c r="D34" s="3" t="n">
        <v>2176000000</v>
      </c>
      <c r="E34" s="3" t="n">
        <v>2218000000</v>
      </c>
      <c r="F34" s="3" t="n"/>
    </row>
    <row r="35">
      <c r="A35" t="inlineStr">
        <is>
          <t>Current Deferred Revenue</t>
        </is>
      </c>
      <c r="B35" s="3" t="n">
        <v>2320000000</v>
      </c>
      <c r="C35" s="3" t="n">
        <v>2279000000</v>
      </c>
      <c r="D35" s="3" t="n">
        <v>2176000000</v>
      </c>
      <c r="E35" s="3" t="n">
        <v>2218000000</v>
      </c>
      <c r="F35" s="3" t="n"/>
    </row>
    <row r="36">
      <c r="A36" t="inlineStr">
        <is>
          <t>Current Debt And Capital Lease Obligation</t>
        </is>
      </c>
      <c r="B36" s="3" t="n">
        <v>42000000</v>
      </c>
      <c r="C36" s="3" t="n">
        <v>790000000</v>
      </c>
      <c r="D36" s="3" t="n">
        <v>440000000</v>
      </c>
      <c r="E36" s="3" t="n">
        <v>47000000</v>
      </c>
      <c r="F36" s="3" t="n"/>
    </row>
    <row r="37">
      <c r="A37" t="inlineStr">
        <is>
          <t>Current Capital Lease Obligation</t>
        </is>
      </c>
      <c r="B37" s="3" t="n">
        <v>42000000</v>
      </c>
      <c r="C37" s="3" t="n">
        <v>40000000</v>
      </c>
      <c r="D37" s="3" t="n">
        <v>40000000</v>
      </c>
      <c r="E37" s="3" t="n">
        <v>47000000</v>
      </c>
      <c r="F37" s="3" t="n"/>
    </row>
    <row r="38">
      <c r="A38" t="inlineStr">
        <is>
          <t>Current Debt</t>
        </is>
      </c>
      <c r="B38" s="3" t="n"/>
      <c r="C38" s="3" t="n">
        <v>750000000</v>
      </c>
      <c r="D38" s="3" t="n">
        <v>400000000</v>
      </c>
      <c r="E38" s="3" t="n"/>
      <c r="F38" s="3" t="n">
        <v>250000000</v>
      </c>
    </row>
    <row r="39">
      <c r="A39" t="inlineStr">
        <is>
          <t>Other Current Borrowings</t>
        </is>
      </c>
      <c r="B39" s="3" t="n"/>
      <c r="C39" s="3" t="n">
        <v>750000000</v>
      </c>
      <c r="D39" s="3" t="n">
        <v>400000000</v>
      </c>
      <c r="E39" s="3" t="n"/>
      <c r="F39" s="3" t="n">
        <v>250000000</v>
      </c>
    </row>
    <row r="40">
      <c r="A40" t="inlineStr">
        <is>
          <t>Pensionand Other Post Retirement Benefit Plans Current</t>
        </is>
      </c>
      <c r="B40" s="3" t="n">
        <v>543000000</v>
      </c>
      <c r="C40" s="3" t="n">
        <v>513000000</v>
      </c>
      <c r="D40" s="3" t="n">
        <v>538000000</v>
      </c>
      <c r="E40" s="3" t="n">
        <v>363000000</v>
      </c>
      <c r="F40" s="3" t="n"/>
    </row>
    <row r="41">
      <c r="A41" t="inlineStr">
        <is>
          <t>Current Provisions</t>
        </is>
      </c>
      <c r="B41" s="3" t="n"/>
      <c r="C41" s="3" t="n">
        <v>18000000</v>
      </c>
      <c r="D41" s="3" t="n">
        <v>18000000</v>
      </c>
      <c r="E41" s="3" t="n">
        <v>17000000</v>
      </c>
      <c r="F41" s="3" t="n">
        <v>17000000</v>
      </c>
    </row>
    <row r="42">
      <c r="A42" t="inlineStr">
        <is>
          <t>Payables And Accrued Expenses</t>
        </is>
      </c>
      <c r="B42" s="3" t="n">
        <v>579000000</v>
      </c>
      <c r="C42" s="3" t="n">
        <v>657000000</v>
      </c>
      <c r="D42" s="3" t="n">
        <v>517000000</v>
      </c>
      <c r="E42" s="3" t="n">
        <v>392000000</v>
      </c>
      <c r="F42" s="3" t="n"/>
    </row>
    <row r="43">
      <c r="A43" t="inlineStr">
        <is>
          <t>Payables</t>
        </is>
      </c>
      <c r="B43" s="3" t="n">
        <v>579000000</v>
      </c>
      <c r="C43" s="3" t="n">
        <v>657000000</v>
      </c>
      <c r="D43" s="3" t="n">
        <v>517000000</v>
      </c>
      <c r="E43" s="3" t="n">
        <v>392000000</v>
      </c>
      <c r="F43" s="3" t="n"/>
    </row>
    <row r="44">
      <c r="A44" t="inlineStr">
        <is>
          <t>Total Tax Payable</t>
        </is>
      </c>
      <c r="B44" s="3" t="n">
        <v>29000000</v>
      </c>
      <c r="C44" s="3" t="n">
        <v>146000000</v>
      </c>
      <c r="D44" s="3" t="n"/>
      <c r="E44" s="3" t="n"/>
      <c r="F44" s="3" t="n"/>
    </row>
    <row r="45">
      <c r="A45" t="inlineStr">
        <is>
          <t>Income Tax Payable</t>
        </is>
      </c>
      <c r="B45" s="3" t="n">
        <v>29000000</v>
      </c>
      <c r="C45" s="3" t="n">
        <v>146000000</v>
      </c>
      <c r="D45" s="3" t="n"/>
      <c r="E45" s="3" t="n"/>
      <c r="F45" s="3" t="n"/>
    </row>
    <row r="46">
      <c r="A46" t="inlineStr">
        <is>
          <t>Accounts Payable</t>
        </is>
      </c>
      <c r="B46" s="3" t="n">
        <v>550000000</v>
      </c>
      <c r="C46" s="3" t="n">
        <v>511000000</v>
      </c>
      <c r="D46" s="3" t="n">
        <v>517000000</v>
      </c>
      <c r="E46" s="3" t="n">
        <v>392000000</v>
      </c>
      <c r="F46" s="3" t="n"/>
    </row>
    <row r="47">
      <c r="A47" t="inlineStr">
        <is>
          <t>Total Assets</t>
        </is>
      </c>
      <c r="B47" s="3" t="n">
        <v>10744000000</v>
      </c>
      <c r="C47" s="3" t="n">
        <v>10823000000</v>
      </c>
      <c r="D47" s="3" t="n">
        <v>9887000000</v>
      </c>
      <c r="E47" s="3" t="n">
        <v>9818000000</v>
      </c>
      <c r="F47" s="3" t="n"/>
    </row>
    <row r="48">
      <c r="A48" t="inlineStr">
        <is>
          <t>Total Non Current Assets</t>
        </is>
      </c>
      <c r="B48" s="3" t="n">
        <v>4968000000</v>
      </c>
      <c r="C48" s="3" t="n">
        <v>4972000000</v>
      </c>
      <c r="D48" s="3" t="n">
        <v>4990000000</v>
      </c>
      <c r="E48" s="3" t="n">
        <v>5138000000</v>
      </c>
      <c r="F48" s="3" t="n"/>
    </row>
    <row r="49">
      <c r="A49" t="inlineStr">
        <is>
          <t>Other Non Current Assets</t>
        </is>
      </c>
      <c r="B49" s="3" t="n">
        <v>397000000</v>
      </c>
      <c r="C49" s="3" t="n">
        <v>316000000</v>
      </c>
      <c r="D49" s="3" t="n">
        <v>275000000</v>
      </c>
      <c r="E49" s="3" t="n">
        <v>319000000</v>
      </c>
      <c r="F49" s="3" t="n"/>
    </row>
    <row r="50">
      <c r="A50" t="inlineStr">
        <is>
          <t>Non Current Deferred Assets</t>
        </is>
      </c>
      <c r="B50" s="3" t="n">
        <v>859000000</v>
      </c>
      <c r="C50" s="3" t="n">
        <v>994000000</v>
      </c>
      <c r="D50" s="3" t="n">
        <v>896000000</v>
      </c>
      <c r="E50" s="3" t="n">
        <v>948000000</v>
      </c>
      <c r="F50" s="3" t="n"/>
    </row>
    <row r="51">
      <c r="A51" t="inlineStr">
        <is>
          <t>Non Current Deferred Taxes Assets</t>
        </is>
      </c>
      <c r="B51" s="3" t="n">
        <v>859000000</v>
      </c>
      <c r="C51" s="3" t="n">
        <v>994000000</v>
      </c>
      <c r="D51" s="3" t="n">
        <v>896000000</v>
      </c>
      <c r="E51" s="3" t="n">
        <v>948000000</v>
      </c>
      <c r="F51" s="3" t="n"/>
    </row>
    <row r="52">
      <c r="A52" t="inlineStr">
        <is>
          <t>Investments And Advances</t>
        </is>
      </c>
      <c r="B52" s="3" t="n">
        <v>98000000</v>
      </c>
      <c r="C52" s="3" t="n">
        <v>92000000</v>
      </c>
      <c r="D52" s="3" t="n">
        <v>85000000</v>
      </c>
      <c r="E52" s="3" t="n"/>
      <c r="F52" s="3" t="n"/>
    </row>
    <row r="53">
      <c r="A53" t="inlineStr">
        <is>
          <t>Other Investments</t>
        </is>
      </c>
      <c r="B53" s="3" t="n">
        <v>98000000</v>
      </c>
      <c r="C53" s="3" t="n">
        <v>92000000</v>
      </c>
      <c r="D53" s="3" t="n">
        <v>85000000</v>
      </c>
      <c r="E53" s="3" t="n"/>
      <c r="F53" s="3" t="n"/>
    </row>
    <row r="54">
      <c r="A54" t="inlineStr">
        <is>
          <t>Goodwill And Other Intangible Assets</t>
        </is>
      </c>
      <c r="B54" s="3" t="n">
        <v>2794000000</v>
      </c>
      <c r="C54" s="3" t="n">
        <v>2766000000</v>
      </c>
      <c r="D54" s="3" t="n">
        <v>2883000000</v>
      </c>
      <c r="E54" s="3" t="n">
        <v>2940000000</v>
      </c>
      <c r="F54" s="3" t="n"/>
    </row>
    <row r="55">
      <c r="A55" t="inlineStr">
        <is>
          <t>Other Intangible Assets</t>
        </is>
      </c>
      <c r="B55" s="3" t="n">
        <v>22000000</v>
      </c>
      <c r="C55" s="3" t="n">
        <v>43000000</v>
      </c>
      <c r="D55" s="3" t="n">
        <v>124000000</v>
      </c>
      <c r="E55" s="3" t="n">
        <v>181000000</v>
      </c>
      <c r="F55" s="3" t="n"/>
    </row>
    <row r="56">
      <c r="A56" t="inlineStr">
        <is>
          <t>Goodwill</t>
        </is>
      </c>
      <c r="B56" s="3" t="n">
        <v>2772000000</v>
      </c>
      <c r="C56" s="3" t="n">
        <v>2723000000</v>
      </c>
      <c r="D56" s="3" t="n">
        <v>2759000000</v>
      </c>
      <c r="E56" s="3" t="n">
        <v>2759000000</v>
      </c>
      <c r="F56" s="3" t="n"/>
    </row>
    <row r="57">
      <c r="A57" t="inlineStr">
        <is>
          <t>Net PPE</t>
        </is>
      </c>
      <c r="B57" s="3" t="n">
        <v>820000000</v>
      </c>
      <c r="C57" s="3" t="n">
        <v>804000000</v>
      </c>
      <c r="D57" s="3" t="n">
        <v>851000000</v>
      </c>
      <c r="E57" s="3" t="n">
        <v>931000000</v>
      </c>
      <c r="F57" s="3" t="n"/>
    </row>
    <row r="58">
      <c r="A58" t="inlineStr">
        <is>
          <t>Accumulated Depreciation</t>
        </is>
      </c>
      <c r="B58" s="3" t="n">
        <v>-1394000000</v>
      </c>
      <c r="C58" s="3" t="n">
        <v>-1572000000</v>
      </c>
      <c r="D58" s="3" t="n">
        <v>-1478000000</v>
      </c>
      <c r="E58" s="3" t="n">
        <v>-1363000000</v>
      </c>
      <c r="F58" s="3" t="n"/>
    </row>
    <row r="59">
      <c r="A59" t="inlineStr">
        <is>
          <t>Gross PPE</t>
        </is>
      </c>
      <c r="B59" s="3" t="n">
        <v>2214000000</v>
      </c>
      <c r="C59" s="3" t="n">
        <v>2376000000</v>
      </c>
      <c r="D59" s="3" t="n">
        <v>2329000000</v>
      </c>
      <c r="E59" s="3" t="n">
        <v>2294000000</v>
      </c>
      <c r="F59" s="3" t="n"/>
    </row>
    <row r="60">
      <c r="A60" t="inlineStr">
        <is>
          <t>Leases</t>
        </is>
      </c>
      <c r="B60" s="3" t="n">
        <v>114000000</v>
      </c>
      <c r="C60" s="3" t="n">
        <v>103000000</v>
      </c>
      <c r="D60" s="3" t="n">
        <v>81000000</v>
      </c>
      <c r="E60" s="3" t="n">
        <v>91000000</v>
      </c>
      <c r="F60" s="3" t="n"/>
    </row>
    <row r="61">
      <c r="A61" t="inlineStr">
        <is>
          <t>Construction In Progress</t>
        </is>
      </c>
      <c r="B61" s="3" t="n">
        <v>58000000</v>
      </c>
      <c r="C61" s="3" t="n">
        <v>49000000</v>
      </c>
      <c r="D61" s="3" t="n">
        <v>70000000</v>
      </c>
      <c r="E61" s="3" t="n">
        <v>55000000</v>
      </c>
      <c r="F61" s="3" t="n"/>
    </row>
    <row r="62">
      <c r="A62" t="inlineStr">
        <is>
          <t>Other Properties</t>
        </is>
      </c>
      <c r="B62" s="3" t="n">
        <v>228000000</v>
      </c>
      <c r="C62" s="3" t="n">
        <v>241000000</v>
      </c>
      <c r="D62" s="3" t="n">
        <v>247000000</v>
      </c>
      <c r="E62" s="3" t="n">
        <v>281000000</v>
      </c>
      <c r="F62" s="3" t="n"/>
    </row>
    <row r="63">
      <c r="A63" t="inlineStr">
        <is>
          <t>Machinery Furniture Equipment</t>
        </is>
      </c>
      <c r="B63" s="3" t="n">
        <v>1391000000</v>
      </c>
      <c r="C63" s="3" t="n">
        <v>1563000000</v>
      </c>
      <c r="D63" s="3" t="n">
        <v>1518000000</v>
      </c>
      <c r="E63" s="3" t="n">
        <v>1462000000</v>
      </c>
      <c r="F63" s="3" t="n"/>
    </row>
    <row r="64">
      <c r="A64" t="inlineStr">
        <is>
          <t>Buildings And Improvements</t>
        </is>
      </c>
      <c r="B64" s="3" t="n">
        <v>377000000</v>
      </c>
      <c r="C64" s="3" t="n">
        <v>374000000</v>
      </c>
      <c r="D64" s="3" t="n">
        <v>367000000</v>
      </c>
      <c r="E64" s="3" t="n">
        <v>359000000</v>
      </c>
      <c r="F64" s="3" t="n"/>
    </row>
    <row r="65">
      <c r="A65" t="inlineStr">
        <is>
          <t>Land And Improvements</t>
        </is>
      </c>
      <c r="B65" s="3" t="n">
        <v>46000000</v>
      </c>
      <c r="C65" s="3" t="n">
        <v>46000000</v>
      </c>
      <c r="D65" s="3" t="n">
        <v>46000000</v>
      </c>
      <c r="E65" s="3" t="n">
        <v>46000000</v>
      </c>
      <c r="F65" s="3" t="n"/>
    </row>
    <row r="66">
      <c r="A66" t="inlineStr">
        <is>
          <t>Properties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/>
    </row>
    <row r="67">
      <c r="A67" t="inlineStr">
        <is>
          <t>Current Assets</t>
        </is>
      </c>
      <c r="B67" s="3" t="n">
        <v>5776000000</v>
      </c>
      <c r="C67" s="3" t="n">
        <v>5851000000</v>
      </c>
      <c r="D67" s="3" t="n">
        <v>4897000000</v>
      </c>
      <c r="E67" s="3" t="n">
        <v>4680000000</v>
      </c>
      <c r="F67" s="3" t="n"/>
    </row>
    <row r="68">
      <c r="A68" t="inlineStr">
        <is>
          <t>Other Current Assets</t>
        </is>
      </c>
      <c r="B68" s="3" t="n">
        <v>708000000</v>
      </c>
      <c r="C68" s="3" t="n">
        <v>573000000</v>
      </c>
      <c r="D68" s="3" t="n">
        <v>452000000</v>
      </c>
      <c r="E68" s="3" t="n">
        <v>456000000</v>
      </c>
      <c r="F68" s="3" t="n"/>
    </row>
    <row r="69">
      <c r="A69" t="inlineStr">
        <is>
          <t>Inventory</t>
        </is>
      </c>
      <c r="B69" s="3" t="n">
        <v>198000000</v>
      </c>
      <c r="C69" s="3" t="n">
        <v>186000000</v>
      </c>
      <c r="D69" s="3" t="n">
        <v>186000000</v>
      </c>
      <c r="E69" s="3" t="n">
        <v>167000000</v>
      </c>
      <c r="F69" s="3" t="n"/>
    </row>
    <row r="70">
      <c r="A70" t="inlineStr">
        <is>
          <t>Finished Goods</t>
        </is>
      </c>
      <c r="B70" s="3" t="n">
        <v>184000000</v>
      </c>
      <c r="C70" s="3" t="n">
        <v>105000000</v>
      </c>
      <c r="D70" s="3" t="n">
        <v>70000000</v>
      </c>
      <c r="E70" s="3" t="n">
        <v>102000000</v>
      </c>
      <c r="F70" s="3" t="n"/>
    </row>
    <row r="71">
      <c r="A71" t="inlineStr">
        <is>
          <t>Raw Materials</t>
        </is>
      </c>
      <c r="B71" s="3" t="n">
        <v>14000000</v>
      </c>
      <c r="C71" s="3" t="n">
        <v>81000000</v>
      </c>
      <c r="D71" s="3" t="n">
        <v>116000000</v>
      </c>
      <c r="E71" s="3" t="n">
        <v>65000000</v>
      </c>
      <c r="F71" s="3" t="n"/>
    </row>
    <row r="72">
      <c r="A72" t="inlineStr">
        <is>
          <t>Receivables</t>
        </is>
      </c>
      <c r="B72" s="3" t="n">
        <v>1286000000</v>
      </c>
      <c r="C72" s="3" t="n">
        <v>1246000000</v>
      </c>
      <c r="D72" s="3" t="n">
        <v>1007000000</v>
      </c>
      <c r="E72" s="3" t="n">
        <v>987000000</v>
      </c>
      <c r="F72" s="3" t="n"/>
    </row>
    <row r="73">
      <c r="A73" t="inlineStr">
        <is>
          <t>Accounts Receivable</t>
        </is>
      </c>
      <c r="B73" s="3" t="n">
        <v>1286000000</v>
      </c>
      <c r="C73" s="3" t="n">
        <v>1246000000</v>
      </c>
      <c r="D73" s="3" t="n">
        <v>1007000000</v>
      </c>
      <c r="E73" s="3" t="n">
        <v>987000000</v>
      </c>
      <c r="F73" s="3" t="n"/>
    </row>
    <row r="74">
      <c r="A74" t="inlineStr">
        <is>
          <t>Cash Cash Equivalents And Short Term Investments</t>
        </is>
      </c>
      <c r="B74" s="3" t="n">
        <v>3584000000</v>
      </c>
      <c r="C74" s="3" t="n">
        <v>3846000000</v>
      </c>
      <c r="D74" s="3" t="n">
        <v>3252000000</v>
      </c>
      <c r="E74" s="3" t="n">
        <v>3070000000</v>
      </c>
      <c r="F74" s="3" t="n"/>
    </row>
    <row r="75">
      <c r="A75" t="inlineStr">
        <is>
          <t>Other Short Term Investments</t>
        </is>
      </c>
      <c r="B75" s="3" t="n">
        <v>1514000000</v>
      </c>
      <c r="C75" s="3" t="n">
        <v>1104000000</v>
      </c>
      <c r="D75" s="3" t="n">
        <v>1349000000</v>
      </c>
      <c r="E75" s="3" t="n">
        <v>754000000</v>
      </c>
      <c r="F75" s="3" t="n"/>
    </row>
    <row r="76">
      <c r="A76" t="inlineStr">
        <is>
          <t>Cash And Cash Equivalents</t>
        </is>
      </c>
      <c r="B76" s="3" t="n">
        <v>2070000000</v>
      </c>
      <c r="C76" s="3" t="n">
        <v>2742000000</v>
      </c>
      <c r="D76" s="3" t="n">
        <v>1903000000</v>
      </c>
      <c r="E76" s="3" t="n">
        <v>2316000000</v>
      </c>
      <c r="F76" s="3" t="n"/>
    </row>
    <row r="77">
      <c r="A77" t="inlineStr">
        <is>
          <t>Cash Equivalents</t>
        </is>
      </c>
      <c r="B77" s="3" t="n">
        <v>1492000000</v>
      </c>
      <c r="C77" s="3" t="n">
        <v>2071000000</v>
      </c>
      <c r="D77" s="3" t="n">
        <v>1173000000</v>
      </c>
      <c r="E77" s="3" t="n">
        <v>853000000</v>
      </c>
      <c r="F77" s="3" t="n"/>
    </row>
    <row r="78">
      <c r="A78" t="inlineStr">
        <is>
          <t>Cash Financial</t>
        </is>
      </c>
      <c r="B78" s="3" t="n">
        <v>578000000</v>
      </c>
      <c r="C78" s="3" t="n">
        <v>671000000</v>
      </c>
      <c r="D78" s="3" t="n">
        <v>730000000</v>
      </c>
      <c r="E78" s="3" t="n">
        <v>1463000000</v>
      </c>
      <c r="F78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2026-04-30</t>
        </is>
      </c>
      <c r="C1" s="1" t="inlineStr">
        <is>
          <t>2026-01-31</t>
        </is>
      </c>
      <c r="D1" s="1" t="inlineStr">
        <is>
          <t>2025-10-31</t>
        </is>
      </c>
      <c r="E1" s="1" t="inlineStr">
        <is>
          <t>2025-07-31</t>
        </is>
      </c>
      <c r="F1" s="1" t="inlineStr">
        <is>
          <t>2025-04-30</t>
        </is>
      </c>
      <c r="G1" s="1" t="inlineStr">
        <is>
          <t>2025-01-31</t>
        </is>
      </c>
      <c r="H1" s="1" t="inlineStr">
        <is>
          <t>2024-10-31</t>
        </is>
      </c>
    </row>
    <row r="2">
      <c r="A2" t="inlineStr">
        <is>
          <t>Ordinary Shares Number</t>
        </is>
      </c>
      <c r="B2" s="3" t="n">
        <v>196000000</v>
      </c>
      <c r="C2" s="3" t="n">
        <v>198000000</v>
      </c>
      <c r="D2" s="3" t="n">
        <v>198000000</v>
      </c>
      <c r="E2" s="3" t="n">
        <v>200000000</v>
      </c>
      <c r="F2" s="3" t="n">
        <v>201000000</v>
      </c>
      <c r="G2" s="3" t="n"/>
      <c r="H2" s="3" t="n"/>
    </row>
    <row r="3">
      <c r="A3" t="inlineStr">
        <is>
          <t>Share Issued</t>
        </is>
      </c>
      <c r="B3" s="3" t="n">
        <v>196000000</v>
      </c>
      <c r="C3" s="3" t="n">
        <v>198000000</v>
      </c>
      <c r="D3" s="3" t="n">
        <v>198000000</v>
      </c>
      <c r="E3" s="3" t="n">
        <v>200000000</v>
      </c>
      <c r="F3" s="3" t="n">
        <v>201000000</v>
      </c>
      <c r="G3" s="3" t="n"/>
      <c r="H3" s="3" t="n"/>
    </row>
    <row r="4">
      <c r="A4" t="inlineStr">
        <is>
          <t>Net Debt</t>
        </is>
      </c>
      <c r="B4" s="3" t="n">
        <v>417000000</v>
      </c>
      <c r="C4" s="3" t="n">
        <v>857000000</v>
      </c>
      <c r="D4" s="3" t="n">
        <v>414000000</v>
      </c>
      <c r="E4" s="3" t="n">
        <v>400000000</v>
      </c>
      <c r="F4" s="3" t="n">
        <v>493000000</v>
      </c>
      <c r="G4" s="3" t="n"/>
      <c r="H4" s="3" t="n"/>
    </row>
    <row r="5">
      <c r="A5" t="inlineStr">
        <is>
          <t>Total Debt</t>
        </is>
      </c>
      <c r="B5" s="3" t="n">
        <v>2733000000</v>
      </c>
      <c r="C5" s="3" t="n">
        <v>2734000000</v>
      </c>
      <c r="D5" s="3" t="n">
        <v>2739000000</v>
      </c>
      <c r="E5" s="3" t="n">
        <v>2745000000</v>
      </c>
      <c r="F5" s="3" t="n">
        <v>3491000000</v>
      </c>
      <c r="G5" s="3" t="n"/>
      <c r="H5" s="3" t="n"/>
    </row>
    <row r="6">
      <c r="A6" t="inlineStr">
        <is>
          <t>Tangible Book Value</t>
        </is>
      </c>
      <c r="B6" s="3" t="n">
        <v>-1443000000</v>
      </c>
      <c r="C6" s="3" t="n">
        <v>-1624000000</v>
      </c>
      <c r="D6" s="3" t="n">
        <v>-1776000000</v>
      </c>
      <c r="E6" s="3" t="n">
        <v>-1796000000</v>
      </c>
      <c r="F6" s="3" t="n">
        <v>-1726000000</v>
      </c>
      <c r="G6" s="3" t="n"/>
      <c r="H6" s="3" t="n"/>
    </row>
    <row r="7">
      <c r="A7" t="inlineStr">
        <is>
          <t>Invested Capital</t>
        </is>
      </c>
      <c r="B7" s="3" t="n">
        <v>3838000000</v>
      </c>
      <c r="C7" s="3" t="n">
        <v>3644000000</v>
      </c>
      <c r="D7" s="3" t="n">
        <v>3472000000</v>
      </c>
      <c r="E7" s="3" t="n">
        <v>3460000000</v>
      </c>
      <c r="F7" s="3" t="n">
        <v>4275000000</v>
      </c>
      <c r="G7" s="3" t="n"/>
      <c r="H7" s="3" t="n"/>
    </row>
    <row r="8">
      <c r="A8" t="inlineStr">
        <is>
          <t>Working Capital</t>
        </is>
      </c>
      <c r="B8" s="3" t="n">
        <v>1755000000</v>
      </c>
      <c r="C8" s="3" t="n">
        <v>1402000000</v>
      </c>
      <c r="D8" s="3" t="n">
        <v>1184000000</v>
      </c>
      <c r="E8" s="3" t="n">
        <v>1118000000</v>
      </c>
      <c r="F8" s="3" t="n">
        <v>1189000000</v>
      </c>
      <c r="G8" s="3" t="n"/>
      <c r="H8" s="3" t="n"/>
    </row>
    <row r="9">
      <c r="A9" t="inlineStr">
        <is>
          <t>Net Tangible Assets</t>
        </is>
      </c>
      <c r="B9" s="3" t="n">
        <v>-1443000000</v>
      </c>
      <c r="C9" s="3" t="n">
        <v>-1624000000</v>
      </c>
      <c r="D9" s="3" t="n">
        <v>-1776000000</v>
      </c>
      <c r="E9" s="3" t="n">
        <v>-1796000000</v>
      </c>
      <c r="F9" s="3" t="n">
        <v>-1726000000</v>
      </c>
      <c r="G9" s="3" t="n"/>
      <c r="H9" s="3" t="n"/>
    </row>
    <row r="10">
      <c r="A10" t="inlineStr">
        <is>
          <t>Capital Lease Obligations</t>
        </is>
      </c>
      <c r="B10" s="3" t="n">
        <v>246000000</v>
      </c>
      <c r="C10" s="3" t="n">
        <v>248000000</v>
      </c>
      <c r="D10" s="3" t="n">
        <v>253000000</v>
      </c>
      <c r="E10" s="3" t="n">
        <v>260000000</v>
      </c>
      <c r="F10" s="3" t="n">
        <v>256000000</v>
      </c>
      <c r="G10" s="3" t="n"/>
      <c r="H10" s="3" t="n"/>
    </row>
    <row r="11">
      <c r="A11" t="inlineStr">
        <is>
          <t>Common Stock Equity</t>
        </is>
      </c>
      <c r="B11" s="3" t="n">
        <v>1351000000</v>
      </c>
      <c r="C11" s="3" t="n">
        <v>1158000000</v>
      </c>
      <c r="D11" s="3" t="n">
        <v>986000000</v>
      </c>
      <c r="E11" s="3" t="n">
        <v>975000000</v>
      </c>
      <c r="F11" s="3" t="n">
        <v>1040000000</v>
      </c>
      <c r="G11" s="3" t="n"/>
      <c r="H11" s="3" t="n"/>
    </row>
    <row r="12">
      <c r="A12" t="inlineStr">
        <is>
          <t>Total Capitalization</t>
        </is>
      </c>
      <c r="B12" s="3" t="n">
        <v>3838000000</v>
      </c>
      <c r="C12" s="3" t="n">
        <v>3644000000</v>
      </c>
      <c r="D12" s="3" t="n">
        <v>3472000000</v>
      </c>
      <c r="E12" s="3" t="n">
        <v>3460000000</v>
      </c>
      <c r="F12" s="3" t="n">
        <v>3525000000</v>
      </c>
      <c r="G12" s="3" t="n"/>
      <c r="H12" s="3" t="n"/>
    </row>
    <row r="13">
      <c r="A13" t="inlineStr">
        <is>
          <t>Total Equity Gross Minority Interest</t>
        </is>
      </c>
      <c r="B13" s="3" t="n">
        <v>1351000000</v>
      </c>
      <c r="C13" s="3" t="n">
        <v>1158000000</v>
      </c>
      <c r="D13" s="3" t="n">
        <v>986000000</v>
      </c>
      <c r="E13" s="3" t="n">
        <v>975000000</v>
      </c>
      <c r="F13" s="3" t="n">
        <v>1040000000</v>
      </c>
      <c r="G13" s="3" t="n"/>
      <c r="H13" s="3" t="n"/>
    </row>
    <row r="14">
      <c r="A14" t="inlineStr">
        <is>
          <t>Stockholders Equity</t>
        </is>
      </c>
      <c r="B14" s="3" t="n">
        <v>1351000000</v>
      </c>
      <c r="C14" s="3" t="n">
        <v>1158000000</v>
      </c>
      <c r="D14" s="3" t="n">
        <v>986000000</v>
      </c>
      <c r="E14" s="3" t="n">
        <v>975000000</v>
      </c>
      <c r="F14" s="3" t="n">
        <v>1040000000</v>
      </c>
      <c r="G14" s="3" t="n"/>
      <c r="H14" s="3" t="n"/>
    </row>
    <row r="15">
      <c r="A15" t="inlineStr">
        <is>
          <t>Gains Losses Not Affecting Retained Earnings</t>
        </is>
      </c>
      <c r="B15" s="3" t="n">
        <v>-11000000</v>
      </c>
      <c r="C15" s="3" t="n">
        <v>-29000000</v>
      </c>
      <c r="D15" s="3" t="n">
        <v>-50000000</v>
      </c>
      <c r="E15" s="3" t="n">
        <v>-40000000</v>
      </c>
      <c r="F15" s="3" t="n">
        <v>-66000000</v>
      </c>
      <c r="G15" s="3" t="n"/>
      <c r="H15" s="3" t="n"/>
    </row>
    <row r="16">
      <c r="A16" t="inlineStr">
        <is>
          <t>Other Equity Adjustments</t>
        </is>
      </c>
      <c r="B16" s="3" t="n">
        <v>-11000000</v>
      </c>
      <c r="C16" s="3" t="n">
        <v>-29000000</v>
      </c>
      <c r="D16" s="3" t="n">
        <v>-50000000</v>
      </c>
      <c r="E16" s="3" t="n">
        <v>-40000000</v>
      </c>
      <c r="F16" s="3" t="n">
        <v>-66000000</v>
      </c>
      <c r="G16" s="3" t="n"/>
      <c r="H16" s="3" t="n"/>
    </row>
    <row r="17">
      <c r="A17" t="inlineStr">
        <is>
          <t>Retained Earnings</t>
        </is>
      </c>
      <c r="B17" s="3" t="n">
        <v>153000000</v>
      </c>
      <c r="C17" s="3" t="n">
        <v>40000000</v>
      </c>
      <c r="D17" s="3" t="n">
        <v>0</v>
      </c>
      <c r="E17" s="3" t="n">
        <v>0</v>
      </c>
      <c r="F17" s="3" t="n">
        <v>0</v>
      </c>
      <c r="G17" s="3" t="n"/>
      <c r="H17" s="3" t="n"/>
    </row>
    <row r="18">
      <c r="A18" t="inlineStr">
        <is>
          <t>Capital Stock</t>
        </is>
      </c>
      <c r="B18" s="3" t="n">
        <v>1209000000</v>
      </c>
      <c r="C18" s="3" t="n">
        <v>1147000000</v>
      </c>
      <c r="D18" s="3" t="n">
        <v>1036000000</v>
      </c>
      <c r="E18" s="3" t="n">
        <v>1015000000</v>
      </c>
      <c r="F18" s="3" t="n">
        <v>1106000000</v>
      </c>
      <c r="G18" s="3" t="n"/>
      <c r="H18" s="3" t="n"/>
    </row>
    <row r="19">
      <c r="A19" t="inlineStr">
        <is>
          <t>Common Stock</t>
        </is>
      </c>
      <c r="B19" s="3" t="n">
        <v>1209000000</v>
      </c>
      <c r="C19" s="3" t="n">
        <v>1147000000</v>
      </c>
      <c r="D19" s="3" t="n">
        <v>1036000000</v>
      </c>
      <c r="E19" s="3" t="n">
        <v>1015000000</v>
      </c>
      <c r="F19" s="3" t="n">
        <v>1106000000</v>
      </c>
      <c r="G19" s="3" t="n"/>
      <c r="H19" s="3" t="n"/>
    </row>
    <row r="20">
      <c r="A20" t="inlineStr">
        <is>
          <t>Preferred Stock</t>
        </is>
      </c>
      <c r="B20" s="3" t="n">
        <v>0</v>
      </c>
      <c r="C20" s="3" t="n"/>
      <c r="D20" s="3" t="n"/>
      <c r="E20" s="3" t="n"/>
      <c r="F20" s="3" t="n">
        <v>0</v>
      </c>
      <c r="G20" s="3" t="n"/>
      <c r="H20" s="3" t="n"/>
    </row>
    <row r="21">
      <c r="A21" t="inlineStr">
        <is>
          <t>Total Liabilities Net Minority Interest</t>
        </is>
      </c>
      <c r="B21" s="3" t="n">
        <v>9393000000</v>
      </c>
      <c r="C21" s="3" t="n">
        <v>8813000000</v>
      </c>
      <c r="D21" s="3" t="n">
        <v>8644000000</v>
      </c>
      <c r="E21" s="3" t="n">
        <v>8704000000</v>
      </c>
      <c r="F21" s="3" t="n">
        <v>9783000000</v>
      </c>
      <c r="G21" s="3" t="n"/>
      <c r="H21" s="3" t="n"/>
    </row>
    <row r="22">
      <c r="A22" t="inlineStr">
        <is>
          <t>Total Non Current Liabilities Net Minority Interest</t>
        </is>
      </c>
      <c r="B22" s="3" t="n">
        <v>5372000000</v>
      </c>
      <c r="C22" s="3" t="n">
        <v>5219000000</v>
      </c>
      <c r="D22" s="3" t="n">
        <v>5174000000</v>
      </c>
      <c r="E22" s="3" t="n">
        <v>5135000000</v>
      </c>
      <c r="F22" s="3" t="n">
        <v>5121000000</v>
      </c>
      <c r="G22" s="3" t="n"/>
      <c r="H22" s="3" t="n"/>
    </row>
    <row r="23">
      <c r="A23" t="inlineStr">
        <is>
          <t>Other Non Current Liabilities</t>
        </is>
      </c>
      <c r="B23" s="3" t="n">
        <v>118000000</v>
      </c>
      <c r="C23" s="3" t="n">
        <v>111000000</v>
      </c>
      <c r="D23" s="3" t="n">
        <v>118000000</v>
      </c>
      <c r="E23" s="3" t="n">
        <v>118000000</v>
      </c>
      <c r="F23" s="3" t="n">
        <v>118000000</v>
      </c>
      <c r="G23" s="3" t="n"/>
      <c r="H23" s="3" t="n"/>
    </row>
    <row r="24">
      <c r="A24" t="inlineStr">
        <is>
          <t>Tradeand Other Payables Non Current</t>
        </is>
      </c>
      <c r="B24" s="3" t="n"/>
      <c r="C24" s="3" t="n"/>
      <c r="D24" s="3" t="n"/>
      <c r="E24" s="3" t="n"/>
      <c r="F24" s="3" t="n">
        <v>0</v>
      </c>
      <c r="G24" s="3" t="n">
        <v>0</v>
      </c>
      <c r="H24" s="3" t="n">
        <v>0</v>
      </c>
    </row>
    <row r="25">
      <c r="A25" t="inlineStr">
        <is>
          <t>Non Current Deferred Liabilities</t>
        </is>
      </c>
      <c r="B25" s="3" t="n">
        <v>2563000000</v>
      </c>
      <c r="C25" s="3" t="n">
        <v>2406000000</v>
      </c>
      <c r="D25" s="3" t="n">
        <v>2350000000</v>
      </c>
      <c r="E25" s="3" t="n">
        <v>2304000000</v>
      </c>
      <c r="F25" s="3" t="n">
        <v>2302000000</v>
      </c>
      <c r="G25" s="3" t="n"/>
      <c r="H25" s="3" t="n"/>
    </row>
    <row r="26">
      <c r="A26" t="inlineStr">
        <is>
          <t>Non Current Deferred Revenue</t>
        </is>
      </c>
      <c r="B26" s="3" t="n">
        <v>2525000000</v>
      </c>
      <c r="C26" s="3" t="n">
        <v>2358000000</v>
      </c>
      <c r="D26" s="3" t="n">
        <v>2301000000</v>
      </c>
      <c r="E26" s="3" t="n">
        <v>2256000000</v>
      </c>
      <c r="F26" s="3" t="n">
        <v>2257000000</v>
      </c>
      <c r="G26" s="3" t="n"/>
      <c r="H26" s="3" t="n"/>
    </row>
    <row r="27">
      <c r="A27" t="inlineStr">
        <is>
          <t>Non Current Deferred Taxes Liabilities</t>
        </is>
      </c>
      <c r="B27" s="3" t="n">
        <v>38000000</v>
      </c>
      <c r="C27" s="3" t="n">
        <v>48000000</v>
      </c>
      <c r="D27" s="3" t="n">
        <v>49000000</v>
      </c>
      <c r="E27" s="3" t="n">
        <v>48000000</v>
      </c>
      <c r="F27" s="3" t="n">
        <v>45000000</v>
      </c>
      <c r="G27" s="3" t="n"/>
      <c r="H27" s="3" t="n"/>
    </row>
    <row r="28">
      <c r="A28" t="inlineStr">
        <is>
          <t>Long Term Debt And Capital Lease Obligation</t>
        </is>
      </c>
      <c r="B28" s="3" t="n">
        <v>2691000000</v>
      </c>
      <c r="C28" s="3" t="n">
        <v>2693000000</v>
      </c>
      <c r="D28" s="3" t="n">
        <v>2697000000</v>
      </c>
      <c r="E28" s="3" t="n">
        <v>2704000000</v>
      </c>
      <c r="F28" s="3" t="n">
        <v>2701000000</v>
      </c>
      <c r="G28" s="3" t="n"/>
      <c r="H28" s="3" t="n"/>
    </row>
    <row r="29">
      <c r="A29" t="inlineStr">
        <is>
          <t>Long Term Capital Lease Obligation</t>
        </is>
      </c>
      <c r="B29" s="3" t="n">
        <v>204000000</v>
      </c>
      <c r="C29" s="3" t="n">
        <v>207000000</v>
      </c>
      <c r="D29" s="3" t="n">
        <v>211000000</v>
      </c>
      <c r="E29" s="3" t="n">
        <v>219000000</v>
      </c>
      <c r="F29" s="3" t="n">
        <v>216000000</v>
      </c>
      <c r="G29" s="3" t="n"/>
      <c r="H29" s="3" t="n"/>
    </row>
    <row r="30">
      <c r="A30" t="inlineStr">
        <is>
          <t>Long Term Debt</t>
        </is>
      </c>
      <c r="B30" s="3" t="n">
        <v>2487000000</v>
      </c>
      <c r="C30" s="3" t="n">
        <v>2486000000</v>
      </c>
      <c r="D30" s="3" t="n">
        <v>2486000000</v>
      </c>
      <c r="E30" s="3" t="n">
        <v>2485000000</v>
      </c>
      <c r="F30" s="3" t="n">
        <v>2485000000</v>
      </c>
      <c r="G30" s="3" t="n"/>
      <c r="H30" s="3" t="n"/>
    </row>
    <row r="31">
      <c r="A31" t="inlineStr">
        <is>
          <t>Long Term Provisions</t>
        </is>
      </c>
      <c r="B31" s="3" t="n"/>
      <c r="C31" s="3" t="n">
        <v>9000000</v>
      </c>
      <c r="D31" s="3" t="n">
        <v>9000000</v>
      </c>
      <c r="E31" s="3" t="n">
        <v>9000000</v>
      </c>
      <c r="F31" s="3" t="n">
        <v>9000000</v>
      </c>
      <c r="G31" s="3" t="n">
        <v>9000000</v>
      </c>
      <c r="H31" s="3" t="n"/>
    </row>
    <row r="32">
      <c r="A32" t="inlineStr">
        <is>
          <t>Current Liabilities</t>
        </is>
      </c>
      <c r="B32" s="3" t="n">
        <v>4021000000</v>
      </c>
      <c r="C32" s="3" t="n">
        <v>3594000000</v>
      </c>
      <c r="D32" s="3" t="n">
        <v>3470000000</v>
      </c>
      <c r="E32" s="3" t="n">
        <v>3569000000</v>
      </c>
      <c r="F32" s="3" t="n">
        <v>4662000000</v>
      </c>
      <c r="G32" s="3" t="n"/>
      <c r="H32" s="3" t="n"/>
    </row>
    <row r="33">
      <c r="A33" t="inlineStr">
        <is>
          <t>Other Current Liabilities</t>
        </is>
      </c>
      <c r="B33" s="3" t="n">
        <v>537000000</v>
      </c>
      <c r="C33" s="3" t="n">
        <v>475000000</v>
      </c>
      <c r="D33" s="3" t="n">
        <v>406000000</v>
      </c>
      <c r="E33" s="3" t="n">
        <v>505000000</v>
      </c>
      <c r="F33" s="3" t="n">
        <v>423000000</v>
      </c>
      <c r="G33" s="3" t="n"/>
      <c r="H33" s="3" t="n"/>
    </row>
    <row r="34">
      <c r="A34" t="inlineStr">
        <is>
          <t>Current Deferred Liabilities</t>
        </is>
      </c>
      <c r="B34" s="3" t="n">
        <v>2320000000</v>
      </c>
      <c r="C34" s="3" t="n">
        <v>2273000000</v>
      </c>
      <c r="D34" s="3" t="n">
        <v>2144000000</v>
      </c>
      <c r="E34" s="3" t="n">
        <v>2270000000</v>
      </c>
      <c r="F34" s="3" t="n">
        <v>2279000000</v>
      </c>
      <c r="G34" s="3" t="n"/>
      <c r="H34" s="3" t="n"/>
    </row>
    <row r="35">
      <c r="A35" t="inlineStr">
        <is>
          <t>Current Deferred Revenue</t>
        </is>
      </c>
      <c r="B35" s="3" t="n">
        <v>2320000000</v>
      </c>
      <c r="C35" s="3" t="n">
        <v>2273000000</v>
      </c>
      <c r="D35" s="3" t="n">
        <v>2144000000</v>
      </c>
      <c r="E35" s="3" t="n">
        <v>2270000000</v>
      </c>
      <c r="F35" s="3" t="n">
        <v>2279000000</v>
      </c>
      <c r="G35" s="3" t="n"/>
      <c r="H35" s="3" t="n"/>
    </row>
    <row r="36">
      <c r="A36" t="inlineStr">
        <is>
          <t>Current Debt And Capital Lease Obligation</t>
        </is>
      </c>
      <c r="B36" s="3" t="n">
        <v>42000000</v>
      </c>
      <c r="C36" s="3" t="n">
        <v>41000000</v>
      </c>
      <c r="D36" s="3" t="n">
        <v>42000000</v>
      </c>
      <c r="E36" s="3" t="n">
        <v>41000000</v>
      </c>
      <c r="F36" s="3" t="n">
        <v>790000000</v>
      </c>
      <c r="G36" s="3" t="n"/>
      <c r="H36" s="3" t="n"/>
    </row>
    <row r="37">
      <c r="A37" t="inlineStr">
        <is>
          <t>Current Capital Lease Obligation</t>
        </is>
      </c>
      <c r="B37" s="3" t="n">
        <v>42000000</v>
      </c>
      <c r="C37" s="3" t="n">
        <v>41000000</v>
      </c>
      <c r="D37" s="3" t="n">
        <v>42000000</v>
      </c>
      <c r="E37" s="3" t="n">
        <v>41000000</v>
      </c>
      <c r="F37" s="3" t="n">
        <v>40000000</v>
      </c>
      <c r="G37" s="3" t="n"/>
      <c r="H37" s="3" t="n"/>
    </row>
    <row r="38">
      <c r="A38" t="inlineStr">
        <is>
          <t>Current Debt</t>
        </is>
      </c>
      <c r="B38" s="3" t="n"/>
      <c r="C38" s="3" t="n"/>
      <c r="D38" s="3" t="n"/>
      <c r="E38" s="3" t="n"/>
      <c r="F38" s="3" t="n">
        <v>750000000</v>
      </c>
      <c r="G38" s="3" t="n">
        <v>750000000</v>
      </c>
      <c r="H38" s="3" t="n">
        <v>749000000</v>
      </c>
    </row>
    <row r="39">
      <c r="A39" t="inlineStr">
        <is>
          <t>Other Current Borrowings</t>
        </is>
      </c>
      <c r="B39" s="3" t="n"/>
      <c r="C39" s="3" t="n"/>
      <c r="D39" s="3" t="n"/>
      <c r="E39" s="3" t="n"/>
      <c r="F39" s="3" t="n">
        <v>750000000</v>
      </c>
      <c r="G39" s="3" t="n">
        <v>750000000</v>
      </c>
      <c r="H39" s="3" t="n">
        <v>749000000</v>
      </c>
    </row>
    <row r="40">
      <c r="A40" t="inlineStr">
        <is>
          <t>Pensionand Other Post Retirement Benefit Plans Current</t>
        </is>
      </c>
      <c r="B40" s="3" t="n">
        <v>543000000</v>
      </c>
      <c r="C40" s="3" t="n">
        <v>376000000</v>
      </c>
      <c r="D40" s="3" t="n">
        <v>425000000</v>
      </c>
      <c r="E40" s="3" t="n">
        <v>332000000</v>
      </c>
      <c r="F40" s="3" t="n">
        <v>513000000</v>
      </c>
      <c r="G40" s="3" t="n"/>
      <c r="H40" s="3" t="n"/>
    </row>
    <row r="41">
      <c r="A41" t="inlineStr">
        <is>
          <t>Current Provisions</t>
        </is>
      </c>
      <c r="B41" s="3" t="n"/>
      <c r="C41" s="3" t="n">
        <v>16000000</v>
      </c>
      <c r="D41" s="3" t="n">
        <v>17000000</v>
      </c>
      <c r="E41" s="3" t="n">
        <v>17000000</v>
      </c>
      <c r="F41" s="3" t="n">
        <v>18000000</v>
      </c>
      <c r="G41" s="3" t="n">
        <v>19000000</v>
      </c>
      <c r="H41" s="3" t="n"/>
    </row>
    <row r="42">
      <c r="A42" t="inlineStr">
        <is>
          <t>Payables And Accrued Expenses</t>
        </is>
      </c>
      <c r="B42" s="3" t="n">
        <v>579000000</v>
      </c>
      <c r="C42" s="3" t="n">
        <v>413000000</v>
      </c>
      <c r="D42" s="3" t="n">
        <v>436000000</v>
      </c>
      <c r="E42" s="3" t="n">
        <v>404000000</v>
      </c>
      <c r="F42" s="3" t="n">
        <v>657000000</v>
      </c>
      <c r="G42" s="3" t="n"/>
      <c r="H42" s="3" t="n"/>
    </row>
    <row r="43">
      <c r="A43" t="inlineStr">
        <is>
          <t>Payables</t>
        </is>
      </c>
      <c r="B43" s="3" t="n">
        <v>579000000</v>
      </c>
      <c r="C43" s="3" t="n">
        <v>413000000</v>
      </c>
      <c r="D43" s="3" t="n">
        <v>436000000</v>
      </c>
      <c r="E43" s="3" t="n">
        <v>404000000</v>
      </c>
      <c r="F43" s="3" t="n">
        <v>657000000</v>
      </c>
      <c r="G43" s="3" t="n"/>
      <c r="H43" s="3" t="n"/>
    </row>
    <row r="44">
      <c r="A44" t="inlineStr">
        <is>
          <t>Total Tax Payable</t>
        </is>
      </c>
      <c r="B44" s="3" t="n">
        <v>29000000</v>
      </c>
      <c r="C44" s="3" t="n"/>
      <c r="D44" s="3" t="n"/>
      <c r="E44" s="3" t="n"/>
      <c r="F44" s="3" t="n">
        <v>146000000</v>
      </c>
      <c r="G44" s="3" t="n"/>
      <c r="H44" s="3" t="n"/>
    </row>
    <row r="45">
      <c r="A45" t="inlineStr">
        <is>
          <t>Income Tax Payable</t>
        </is>
      </c>
      <c r="B45" s="3" t="n">
        <v>29000000</v>
      </c>
      <c r="C45" s="3" t="n"/>
      <c r="D45" s="3" t="n"/>
      <c r="E45" s="3" t="n"/>
      <c r="F45" s="3" t="n">
        <v>146000000</v>
      </c>
      <c r="G45" s="3" t="n"/>
      <c r="H45" s="3" t="n"/>
    </row>
    <row r="46">
      <c r="A46" t="inlineStr">
        <is>
          <t>Accounts Payable</t>
        </is>
      </c>
      <c r="B46" s="3" t="n">
        <v>550000000</v>
      </c>
      <c r="C46" s="3" t="n">
        <v>413000000</v>
      </c>
      <c r="D46" s="3" t="n">
        <v>436000000</v>
      </c>
      <c r="E46" s="3" t="n">
        <v>404000000</v>
      </c>
      <c r="F46" s="3" t="n">
        <v>511000000</v>
      </c>
      <c r="G46" s="3" t="n"/>
      <c r="H46" s="3" t="n"/>
    </row>
    <row r="47">
      <c r="A47" t="inlineStr">
        <is>
          <t>Total Assets</t>
        </is>
      </c>
      <c r="B47" s="3" t="n">
        <v>10744000000</v>
      </c>
      <c r="C47" s="3" t="n">
        <v>9971000000</v>
      </c>
      <c r="D47" s="3" t="n">
        <v>9630000000</v>
      </c>
      <c r="E47" s="3" t="n">
        <v>9679000000</v>
      </c>
      <c r="F47" s="3" t="n">
        <v>10823000000</v>
      </c>
      <c r="G47" s="3" t="n"/>
      <c r="H47" s="3" t="n"/>
    </row>
    <row r="48">
      <c r="A48" t="inlineStr">
        <is>
          <t>Total Non Current Assets</t>
        </is>
      </c>
      <c r="B48" s="3" t="n">
        <v>4968000000</v>
      </c>
      <c r="C48" s="3" t="n">
        <v>4975000000</v>
      </c>
      <c r="D48" s="3" t="n">
        <v>4976000000</v>
      </c>
      <c r="E48" s="3" t="n">
        <v>4992000000</v>
      </c>
      <c r="F48" s="3" t="n">
        <v>4972000000</v>
      </c>
      <c r="G48" s="3" t="n"/>
      <c r="H48" s="3" t="n"/>
    </row>
    <row r="49">
      <c r="A49" t="inlineStr">
        <is>
          <t>Other Non Current Assets</t>
        </is>
      </c>
      <c r="B49" s="3" t="n">
        <v>397000000</v>
      </c>
      <c r="C49" s="3" t="n">
        <v>440000000</v>
      </c>
      <c r="D49" s="3" t="n">
        <v>341000000</v>
      </c>
      <c r="E49" s="3" t="n">
        <v>329000000</v>
      </c>
      <c r="F49" s="3" t="n">
        <v>316000000</v>
      </c>
      <c r="G49" s="3" t="n"/>
      <c r="H49" s="3" t="n"/>
    </row>
    <row r="50">
      <c r="A50" t="inlineStr">
        <is>
          <t>Non Current Deferred Assets</t>
        </is>
      </c>
      <c r="B50" s="3" t="n">
        <v>859000000</v>
      </c>
      <c r="C50" s="3" t="n">
        <v>946000000</v>
      </c>
      <c r="D50" s="3" t="n">
        <v>975000000</v>
      </c>
      <c r="E50" s="3" t="n">
        <v>985000000</v>
      </c>
      <c r="F50" s="3" t="n">
        <v>994000000</v>
      </c>
      <c r="G50" s="3" t="n"/>
      <c r="H50" s="3" t="n"/>
    </row>
    <row r="51">
      <c r="A51" t="inlineStr">
        <is>
          <t>Non Current Deferred Taxes Assets</t>
        </is>
      </c>
      <c r="B51" s="3" t="n">
        <v>859000000</v>
      </c>
      <c r="C51" s="3" t="n">
        <v>946000000</v>
      </c>
      <c r="D51" s="3" t="n">
        <v>975000000</v>
      </c>
      <c r="E51" s="3" t="n">
        <v>985000000</v>
      </c>
      <c r="F51" s="3" t="n">
        <v>994000000</v>
      </c>
      <c r="G51" s="3" t="n"/>
      <c r="H51" s="3" t="n"/>
    </row>
    <row r="52">
      <c r="A52" t="inlineStr">
        <is>
          <t>Investments And Advances</t>
        </is>
      </c>
      <c r="B52" s="3" t="n">
        <v>98000000</v>
      </c>
      <c r="C52" s="3" t="n"/>
      <c r="D52" s="3" t="n">
        <v>94000000</v>
      </c>
      <c r="E52" s="3" t="n">
        <v>93000000</v>
      </c>
      <c r="F52" s="3" t="n">
        <v>92000000</v>
      </c>
      <c r="G52" s="3" t="n"/>
      <c r="H52" s="3" t="n"/>
    </row>
    <row r="53">
      <c r="A53" t="inlineStr">
        <is>
          <t>Other Investments</t>
        </is>
      </c>
      <c r="B53" s="3" t="n">
        <v>98000000</v>
      </c>
      <c r="C53" s="3" t="n"/>
      <c r="D53" s="3" t="n">
        <v>94000000</v>
      </c>
      <c r="E53" s="3" t="n">
        <v>93000000</v>
      </c>
      <c r="F53" s="3" t="n">
        <v>92000000</v>
      </c>
      <c r="G53" s="3" t="n"/>
      <c r="H53" s="3" t="n"/>
    </row>
    <row r="54">
      <c r="A54" t="inlineStr">
        <is>
          <t>Goodwill And Other Intangible Assets</t>
        </is>
      </c>
      <c r="B54" s="3" t="n">
        <v>2794000000</v>
      </c>
      <c r="C54" s="3" t="n">
        <v>2782000000</v>
      </c>
      <c r="D54" s="3" t="n">
        <v>2762000000</v>
      </c>
      <c r="E54" s="3" t="n">
        <v>2771000000</v>
      </c>
      <c r="F54" s="3" t="n">
        <v>2766000000</v>
      </c>
      <c r="G54" s="3" t="n"/>
      <c r="H54" s="3" t="n"/>
    </row>
    <row r="55">
      <c r="A55" t="inlineStr">
        <is>
          <t>Other Intangible Assets</t>
        </is>
      </c>
      <c r="B55" s="3" t="n">
        <v>22000000</v>
      </c>
      <c r="C55" s="3" t="n">
        <v>26000000</v>
      </c>
      <c r="D55" s="3" t="n">
        <v>31000000</v>
      </c>
      <c r="E55" s="3" t="n">
        <v>37000000</v>
      </c>
      <c r="F55" s="3" t="n">
        <v>43000000</v>
      </c>
      <c r="G55" s="3" t="n"/>
      <c r="H55" s="3" t="n"/>
    </row>
    <row r="56">
      <c r="A56" t="inlineStr">
        <is>
          <t>Goodwill</t>
        </is>
      </c>
      <c r="B56" s="3" t="n">
        <v>2772000000</v>
      </c>
      <c r="C56" s="3" t="n">
        <v>2756000000</v>
      </c>
      <c r="D56" s="3" t="n">
        <v>2731000000</v>
      </c>
      <c r="E56" s="3" t="n">
        <v>2734000000</v>
      </c>
      <c r="F56" s="3" t="n">
        <v>2723000000</v>
      </c>
      <c r="G56" s="3" t="n"/>
      <c r="H56" s="3" t="n"/>
    </row>
    <row r="57">
      <c r="A57" t="inlineStr">
        <is>
          <t>Net PPE</t>
        </is>
      </c>
      <c r="B57" s="3" t="n">
        <v>820000000</v>
      </c>
      <c r="C57" s="3" t="n">
        <v>807000000</v>
      </c>
      <c r="D57" s="3" t="n">
        <v>804000000</v>
      </c>
      <c r="E57" s="3" t="n">
        <v>814000000</v>
      </c>
      <c r="F57" s="3" t="n">
        <v>804000000</v>
      </c>
      <c r="G57" s="3" t="n"/>
      <c r="H57" s="3" t="n"/>
    </row>
    <row r="58">
      <c r="A58" t="inlineStr">
        <is>
          <t>Accumulated Depreciation</t>
        </is>
      </c>
      <c r="B58" s="3" t="n">
        <v>-1394000000</v>
      </c>
      <c r="C58" s="3" t="n">
        <v>-1654000000</v>
      </c>
      <c r="D58" s="3" t="n">
        <v>-1624000000</v>
      </c>
      <c r="E58" s="3" t="n">
        <v>-1600000000</v>
      </c>
      <c r="F58" s="3" t="n">
        <v>-1572000000</v>
      </c>
      <c r="G58" s="3" t="n"/>
      <c r="H58" s="3" t="n"/>
    </row>
    <row r="59">
      <c r="A59" t="inlineStr">
        <is>
          <t>Gross PPE</t>
        </is>
      </c>
      <c r="B59" s="3" t="n">
        <v>2214000000</v>
      </c>
      <c r="C59" s="3" t="n">
        <v>2461000000</v>
      </c>
      <c r="D59" s="3" t="n">
        <v>2428000000</v>
      </c>
      <c r="E59" s="3" t="n">
        <v>2414000000</v>
      </c>
      <c r="F59" s="3" t="n">
        <v>2376000000</v>
      </c>
      <c r="G59" s="3" t="n"/>
      <c r="H59" s="3" t="n"/>
    </row>
    <row r="60">
      <c r="A60" t="inlineStr">
        <is>
          <t>Leases</t>
        </is>
      </c>
      <c r="B60" s="3" t="n">
        <v>114000000</v>
      </c>
      <c r="C60" s="3" t="n">
        <v>114000000</v>
      </c>
      <c r="D60" s="3" t="n">
        <v>106000000</v>
      </c>
      <c r="E60" s="3" t="n">
        <v>106000000</v>
      </c>
      <c r="F60" s="3" t="n">
        <v>103000000</v>
      </c>
      <c r="G60" s="3" t="n"/>
      <c r="H60" s="3" t="n"/>
    </row>
    <row r="61">
      <c r="A61" t="inlineStr">
        <is>
          <t>Construction In Progress</t>
        </is>
      </c>
      <c r="B61" s="3" t="n">
        <v>58000000</v>
      </c>
      <c r="C61" s="3" t="n">
        <v>55000000</v>
      </c>
      <c r="D61" s="3" t="n">
        <v>57000000</v>
      </c>
      <c r="E61" s="3" t="n">
        <v>55000000</v>
      </c>
      <c r="F61" s="3" t="n">
        <v>49000000</v>
      </c>
      <c r="G61" s="3" t="n"/>
      <c r="H61" s="3" t="n"/>
    </row>
    <row r="62">
      <c r="A62" t="inlineStr">
        <is>
          <t>Other Properties</t>
        </is>
      </c>
      <c r="B62" s="3" t="n">
        <v>228000000</v>
      </c>
      <c r="C62" s="3" t="n">
        <v>231000000</v>
      </c>
      <c r="D62" s="3" t="n">
        <v>236000000</v>
      </c>
      <c r="E62" s="3" t="n">
        <v>244000000</v>
      </c>
      <c r="F62" s="3" t="n">
        <v>241000000</v>
      </c>
      <c r="G62" s="3" t="n"/>
      <c r="H62" s="3" t="n"/>
    </row>
    <row r="63">
      <c r="A63" t="inlineStr">
        <is>
          <t>Machinery Furniture Equipment</t>
        </is>
      </c>
      <c r="B63" s="3" t="n">
        <v>1391000000</v>
      </c>
      <c r="C63" s="3" t="n">
        <v>1639000000</v>
      </c>
      <c r="D63" s="3" t="n">
        <v>1606000000</v>
      </c>
      <c r="E63" s="3" t="n">
        <v>1589000000</v>
      </c>
      <c r="F63" s="3" t="n">
        <v>1563000000</v>
      </c>
      <c r="G63" s="3" t="n"/>
      <c r="H63" s="3" t="n"/>
    </row>
    <row r="64">
      <c r="A64" t="inlineStr">
        <is>
          <t>Buildings And Improvements</t>
        </is>
      </c>
      <c r="B64" s="3" t="n">
        <v>377000000</v>
      </c>
      <c r="C64" s="3" t="n">
        <v>376000000</v>
      </c>
      <c r="D64" s="3" t="n">
        <v>377000000</v>
      </c>
      <c r="E64" s="3" t="n">
        <v>374000000</v>
      </c>
      <c r="F64" s="3" t="n">
        <v>374000000</v>
      </c>
      <c r="G64" s="3" t="n"/>
      <c r="H64" s="3" t="n"/>
    </row>
    <row r="65">
      <c r="A65" t="inlineStr">
        <is>
          <t>Land And Improvements</t>
        </is>
      </c>
      <c r="B65" s="3" t="n">
        <v>46000000</v>
      </c>
      <c r="C65" s="3" t="n">
        <v>46000000</v>
      </c>
      <c r="D65" s="3" t="n">
        <v>46000000</v>
      </c>
      <c r="E65" s="3" t="n">
        <v>46000000</v>
      </c>
      <c r="F65" s="3" t="n">
        <v>46000000</v>
      </c>
      <c r="G65" s="3" t="n"/>
      <c r="H65" s="3" t="n"/>
    </row>
    <row r="66">
      <c r="A66" t="inlineStr">
        <is>
          <t>Properties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/>
      <c r="H66" s="3" t="n"/>
    </row>
    <row r="67">
      <c r="A67" t="inlineStr">
        <is>
          <t>Current Assets</t>
        </is>
      </c>
      <c r="B67" s="3" t="n">
        <v>5776000000</v>
      </c>
      <c r="C67" s="3" t="n">
        <v>4996000000</v>
      </c>
      <c r="D67" s="3" t="n">
        <v>4654000000</v>
      </c>
      <c r="E67" s="3" t="n">
        <v>4687000000</v>
      </c>
      <c r="F67" s="3" t="n">
        <v>5851000000</v>
      </c>
      <c r="G67" s="3" t="n"/>
      <c r="H67" s="3" t="n"/>
    </row>
    <row r="68">
      <c r="A68" t="inlineStr">
        <is>
          <t>Other Current Assets</t>
        </is>
      </c>
      <c r="B68" s="3" t="n">
        <v>708000000</v>
      </c>
      <c r="C68" s="3" t="n">
        <v>565000000</v>
      </c>
      <c r="D68" s="3" t="n">
        <v>525000000</v>
      </c>
      <c r="E68" s="3" t="n">
        <v>443000000</v>
      </c>
      <c r="F68" s="3" t="n">
        <v>573000000</v>
      </c>
      <c r="G68" s="3" t="n"/>
      <c r="H68" s="3" t="n"/>
    </row>
    <row r="69">
      <c r="A69" t="inlineStr">
        <is>
          <t>Inventory</t>
        </is>
      </c>
      <c r="B69" s="3" t="n">
        <v>198000000</v>
      </c>
      <c r="C69" s="3" t="n">
        <v>109000000</v>
      </c>
      <c r="D69" s="3" t="n">
        <v>127000000</v>
      </c>
      <c r="E69" s="3" t="n">
        <v>133000000</v>
      </c>
      <c r="F69" s="3" t="n">
        <v>186000000</v>
      </c>
      <c r="G69" s="3" t="n"/>
      <c r="H69" s="3" t="n"/>
    </row>
    <row r="70">
      <c r="A70" t="inlineStr">
        <is>
          <t>Finished Goods</t>
        </is>
      </c>
      <c r="B70" s="3" t="n">
        <v>184000000</v>
      </c>
      <c r="C70" s="3" t="n">
        <v>77000000</v>
      </c>
      <c r="D70" s="3" t="n">
        <v>84000000</v>
      </c>
      <c r="E70" s="3" t="n">
        <v>67000000</v>
      </c>
      <c r="F70" s="3" t="n">
        <v>105000000</v>
      </c>
      <c r="G70" s="3" t="n"/>
      <c r="H70" s="3" t="n"/>
    </row>
    <row r="71">
      <c r="A71" t="inlineStr">
        <is>
          <t>Raw Materials</t>
        </is>
      </c>
      <c r="B71" s="3" t="n">
        <v>14000000</v>
      </c>
      <c r="C71" s="3" t="n">
        <v>32000000</v>
      </c>
      <c r="D71" s="3" t="n">
        <v>43000000</v>
      </c>
      <c r="E71" s="3" t="n">
        <v>66000000</v>
      </c>
      <c r="F71" s="3" t="n">
        <v>81000000</v>
      </c>
      <c r="G71" s="3" t="n"/>
      <c r="H71" s="3" t="n"/>
    </row>
    <row r="72">
      <c r="A72" t="inlineStr">
        <is>
          <t>Receivables</t>
        </is>
      </c>
      <c r="B72" s="3" t="n">
        <v>1286000000</v>
      </c>
      <c r="C72" s="3" t="n">
        <v>1314000000</v>
      </c>
      <c r="D72" s="3" t="n">
        <v>988000000</v>
      </c>
      <c r="E72" s="3" t="n">
        <v>787000000</v>
      </c>
      <c r="F72" s="3" t="n">
        <v>1246000000</v>
      </c>
      <c r="G72" s="3" t="n"/>
      <c r="H72" s="3" t="n"/>
    </row>
    <row r="73">
      <c r="A73" t="inlineStr">
        <is>
          <t>Accounts Receivable</t>
        </is>
      </c>
      <c r="B73" s="3" t="n">
        <v>1286000000</v>
      </c>
      <c r="C73" s="3" t="n">
        <v>1314000000</v>
      </c>
      <c r="D73" s="3" t="n">
        <v>988000000</v>
      </c>
      <c r="E73" s="3" t="n">
        <v>787000000</v>
      </c>
      <c r="F73" s="3" t="n">
        <v>1246000000</v>
      </c>
      <c r="G73" s="3" t="n"/>
      <c r="H73" s="3" t="n"/>
    </row>
    <row r="74">
      <c r="A74" t="inlineStr">
        <is>
          <t>Cash Cash Equivalents And Short Term Investments</t>
        </is>
      </c>
      <c r="B74" s="3" t="n">
        <v>3584000000</v>
      </c>
      <c r="C74" s="3" t="n">
        <v>3008000000</v>
      </c>
      <c r="D74" s="3" t="n">
        <v>3014000000</v>
      </c>
      <c r="E74" s="3" t="n">
        <v>3324000000</v>
      </c>
      <c r="F74" s="3" t="n">
        <v>3846000000</v>
      </c>
      <c r="G74" s="3" t="n"/>
      <c r="H74" s="3" t="n"/>
    </row>
    <row r="75">
      <c r="A75" t="inlineStr">
        <is>
          <t>Other Short Term Investments</t>
        </is>
      </c>
      <c r="B75" s="3" t="n">
        <v>1514000000</v>
      </c>
      <c r="C75" s="3" t="n">
        <v>1379000000</v>
      </c>
      <c r="D75" s="3" t="n">
        <v>942000000</v>
      </c>
      <c r="E75" s="3" t="n">
        <v>1239000000</v>
      </c>
      <c r="F75" s="3" t="n">
        <v>1104000000</v>
      </c>
      <c r="G75" s="3" t="n"/>
      <c r="H75" s="3" t="n"/>
    </row>
    <row r="76">
      <c r="A76" t="inlineStr">
        <is>
          <t>Cash And Cash Equivalents</t>
        </is>
      </c>
      <c r="B76" s="3" t="n">
        <v>2070000000</v>
      </c>
      <c r="C76" s="3" t="n">
        <v>1629000000</v>
      </c>
      <c r="D76" s="3" t="n">
        <v>2072000000</v>
      </c>
      <c r="E76" s="3" t="n">
        <v>2085000000</v>
      </c>
      <c r="F76" s="3" t="n">
        <v>2742000000</v>
      </c>
      <c r="G76" s="3" t="n"/>
      <c r="H76" s="3" t="n"/>
    </row>
    <row r="77">
      <c r="A77" t="inlineStr">
        <is>
          <t>Cash Equivalents</t>
        </is>
      </c>
      <c r="B77" s="3" t="n">
        <v>1492000000</v>
      </c>
      <c r="C77" s="3" t="n">
        <v>923000000</v>
      </c>
      <c r="D77" s="3" t="n">
        <v>1397000000</v>
      </c>
      <c r="E77" s="3" t="n">
        <v>1414000000</v>
      </c>
      <c r="F77" s="3" t="n">
        <v>2071000000</v>
      </c>
      <c r="G77" s="3" t="n"/>
      <c r="H77" s="3" t="n"/>
    </row>
    <row r="78">
      <c r="A78" t="inlineStr">
        <is>
          <t>Cash Financial</t>
        </is>
      </c>
      <c r="B78" s="3" t="n">
        <v>578000000</v>
      </c>
      <c r="C78" s="3" t="n">
        <v>706000000</v>
      </c>
      <c r="D78" s="3" t="n">
        <v>675000000</v>
      </c>
      <c r="E78" s="3" t="n">
        <v>671000000</v>
      </c>
      <c r="F78" s="3" t="n">
        <v>671000000</v>
      </c>
      <c r="G78" s="3" t="n"/>
      <c r="H78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2026-04-30</t>
        </is>
      </c>
      <c r="C1" s="1" t="inlineStr">
        <is>
          <t>2025-04-30</t>
        </is>
      </c>
      <c r="D1" s="1" t="inlineStr">
        <is>
          <t>2024-04-30</t>
        </is>
      </c>
      <c r="E1" s="1" t="inlineStr">
        <is>
          <t>2023-04-30</t>
        </is>
      </c>
      <c r="F1" s="1" t="inlineStr">
        <is>
          <t>2022-04-30</t>
        </is>
      </c>
    </row>
    <row r="2">
      <c r="A2" t="inlineStr">
        <is>
          <t>Free Cash Flow</t>
        </is>
      </c>
      <c r="B2" s="3" t="n">
        <v>1869000000</v>
      </c>
      <c r="C2" s="3" t="n">
        <v>1338000000</v>
      </c>
      <c r="D2" s="3" t="n">
        <v>1530000000</v>
      </c>
      <c r="E2" s="3" t="n">
        <v>868000000</v>
      </c>
      <c r="F2" s="3" t="n"/>
    </row>
    <row r="3">
      <c r="A3" t="inlineStr">
        <is>
          <t>Repurchase Of Capital Stock</t>
        </is>
      </c>
      <c r="B3" s="3" t="n">
        <v>-950000000</v>
      </c>
      <c r="C3" s="3" t="n">
        <v>-1150000000</v>
      </c>
      <c r="D3" s="3" t="n">
        <v>-900000000</v>
      </c>
      <c r="E3" s="3" t="n">
        <v>-850000000</v>
      </c>
      <c r="F3" s="3" t="n"/>
    </row>
    <row r="4">
      <c r="A4" t="inlineStr">
        <is>
          <t>Repayment Of Debt</t>
        </is>
      </c>
      <c r="B4" s="3" t="n">
        <v>-750000000</v>
      </c>
      <c r="C4" s="3" t="n">
        <v>-400000000</v>
      </c>
      <c r="D4" s="3" t="n">
        <v>0</v>
      </c>
      <c r="E4" s="3" t="n">
        <v>-250000000</v>
      </c>
      <c r="F4" s="3" t="n"/>
    </row>
    <row r="5">
      <c r="A5" t="inlineStr">
        <is>
          <t>Issuance Of Debt</t>
        </is>
      </c>
      <c r="B5" s="3" t="n">
        <v>0</v>
      </c>
      <c r="C5" s="3" t="n">
        <v>1240000000</v>
      </c>
      <c r="D5" s="3" t="n">
        <v>0</v>
      </c>
      <c r="E5" s="3" t="n">
        <v>0</v>
      </c>
      <c r="F5" s="3" t="n"/>
    </row>
    <row r="6">
      <c r="A6" t="inlineStr">
        <is>
          <t>Capital Expenditure</t>
        </is>
      </c>
      <c r="B6" s="3" t="n">
        <v>-198000000</v>
      </c>
      <c r="C6" s="3" t="n">
        <v>-168000000</v>
      </c>
      <c r="D6" s="3" t="n">
        <v>-155000000</v>
      </c>
      <c r="E6" s="3" t="n">
        <v>-239000000</v>
      </c>
      <c r="F6" s="3" t="n"/>
    </row>
    <row r="7">
      <c r="A7" t="inlineStr">
        <is>
          <t>Interest Paid Supplemental Data</t>
        </is>
      </c>
      <c r="B7" s="3" t="n">
        <v>109000000</v>
      </c>
      <c r="C7" s="3" t="n">
        <v>53000000</v>
      </c>
      <c r="D7" s="3" t="n">
        <v>59000000</v>
      </c>
      <c r="E7" s="3" t="n">
        <v>65000000</v>
      </c>
      <c r="F7" s="3" t="n"/>
    </row>
    <row r="8">
      <c r="A8" t="inlineStr">
        <is>
          <t>Income Tax Paid Supplemental Data</t>
        </is>
      </c>
      <c r="B8" s="3" t="n">
        <v>435000000</v>
      </c>
      <c r="C8" s="3" t="n">
        <v>412000000</v>
      </c>
      <c r="D8" s="3" t="n">
        <v>357000000</v>
      </c>
      <c r="E8" s="3" t="n">
        <v>386000000</v>
      </c>
      <c r="F8" s="3" t="n"/>
    </row>
    <row r="9">
      <c r="A9" t="inlineStr">
        <is>
          <t>End Cash Position</t>
        </is>
      </c>
      <c r="B9" s="3" t="n">
        <v>2075000000</v>
      </c>
      <c r="C9" s="3" t="n">
        <v>2749000000</v>
      </c>
      <c r="D9" s="3" t="n">
        <v>1909000000</v>
      </c>
      <c r="E9" s="3" t="n">
        <v>2322000000</v>
      </c>
      <c r="F9" s="3" t="n"/>
    </row>
    <row r="10">
      <c r="A10" t="inlineStr">
        <is>
          <t>Beginning Cash Position</t>
        </is>
      </c>
      <c r="B10" s="3" t="n">
        <v>2749000000</v>
      </c>
      <c r="C10" s="3" t="n">
        <v>1909000000</v>
      </c>
      <c r="D10" s="3" t="n">
        <v>2322000000</v>
      </c>
      <c r="E10" s="3" t="n">
        <v>4119000000</v>
      </c>
      <c r="F10" s="3" t="n"/>
    </row>
    <row r="11">
      <c r="A11" t="inlineStr">
        <is>
          <t>Effect Of Exchange Rate Changes</t>
        </is>
      </c>
      <c r="B11" s="3" t="n">
        <v>1000000</v>
      </c>
      <c r="C11" s="3" t="n">
        <v>15000000</v>
      </c>
      <c r="D11" s="3" t="n">
        <v>-19000000</v>
      </c>
      <c r="E11" s="3" t="n">
        <v>-1000000</v>
      </c>
      <c r="F11" s="3" t="n"/>
    </row>
    <row r="12">
      <c r="A12" t="inlineStr">
        <is>
          <t>Changes In Cash</t>
        </is>
      </c>
      <c r="B12" s="3" t="n">
        <v>-675000000</v>
      </c>
      <c r="C12" s="3" t="n">
        <v>825000000</v>
      </c>
      <c r="D12" s="3" t="n">
        <v>-394000000</v>
      </c>
      <c r="E12" s="3" t="n">
        <v>-1796000000</v>
      </c>
      <c r="F12" s="3" t="n"/>
    </row>
    <row r="13">
      <c r="A13" t="inlineStr">
        <is>
          <t>Financing Cash Flow</t>
        </is>
      </c>
      <c r="B13" s="3" t="n">
        <v>-2147000000</v>
      </c>
      <c r="C13" s="3" t="n">
        <v>-828000000</v>
      </c>
      <c r="D13" s="3" t="n">
        <v>-1344000000</v>
      </c>
      <c r="E13" s="3" t="n">
        <v>-1513000000</v>
      </c>
      <c r="F13" s="3" t="n"/>
    </row>
    <row r="14">
      <c r="A14" t="inlineStr">
        <is>
          <t>Cash Flow From Continuing Financing Activities</t>
        </is>
      </c>
      <c r="B14" s="3" t="n">
        <v>-2147000000</v>
      </c>
      <c r="C14" s="3" t="n">
        <v>-828000000</v>
      </c>
      <c r="D14" s="3" t="n">
        <v>-1344000000</v>
      </c>
      <c r="E14" s="3" t="n">
        <v>-1513000000</v>
      </c>
      <c r="F14" s="3" t="n"/>
    </row>
    <row r="15">
      <c r="A15" t="inlineStr">
        <is>
          <t>Net Other Financing Charges</t>
        </is>
      </c>
      <c r="B15" s="3" t="n">
        <v>-137000000</v>
      </c>
      <c r="C15" s="3" t="n">
        <v>-202000000</v>
      </c>
      <c r="D15" s="3" t="n">
        <v>-128000000</v>
      </c>
      <c r="E15" s="3" t="n">
        <v>-89000000</v>
      </c>
      <c r="F15" s="3" t="n"/>
    </row>
    <row r="16">
      <c r="A16" t="inlineStr">
        <is>
          <t>Proceeds From Stock Option Exercised</t>
        </is>
      </c>
      <c r="B16" s="3" t="n">
        <v>103000000</v>
      </c>
      <c r="C16" s="3" t="n">
        <v>108000000</v>
      </c>
      <c r="D16" s="3" t="n">
        <v>100000000</v>
      </c>
      <c r="E16" s="3" t="n">
        <v>108000000</v>
      </c>
      <c r="F16" s="3" t="n"/>
    </row>
    <row r="17">
      <c r="A17" t="inlineStr">
        <is>
          <t>Cash Dividends Paid</t>
        </is>
      </c>
      <c r="B17" s="3" t="n">
        <v>-413000000</v>
      </c>
      <c r="C17" s="3" t="n">
        <v>-424000000</v>
      </c>
      <c r="D17" s="3" t="n">
        <v>-416000000</v>
      </c>
      <c r="E17" s="3" t="n">
        <v>-432000000</v>
      </c>
      <c r="F17" s="3" t="n"/>
    </row>
    <row r="18">
      <c r="A18" t="inlineStr">
        <is>
          <t>Common Stock Dividend Paid</t>
        </is>
      </c>
      <c r="B18" s="3" t="n">
        <v>-413000000</v>
      </c>
      <c r="C18" s="3" t="n">
        <v>-424000000</v>
      </c>
      <c r="D18" s="3" t="n">
        <v>-416000000</v>
      </c>
      <c r="E18" s="3" t="n">
        <v>-432000000</v>
      </c>
      <c r="F18" s="3" t="n"/>
    </row>
    <row r="19">
      <c r="A19" t="inlineStr">
        <is>
          <t>Net Common Stock Issuance</t>
        </is>
      </c>
      <c r="B19" s="3" t="n">
        <v>-950000000</v>
      </c>
      <c r="C19" s="3" t="n">
        <v>-1150000000</v>
      </c>
      <c r="D19" s="3" t="n">
        <v>-900000000</v>
      </c>
      <c r="E19" s="3" t="n">
        <v>-850000000</v>
      </c>
      <c r="F19" s="3" t="n"/>
    </row>
    <row r="20">
      <c r="A20" t="inlineStr">
        <is>
          <t>Common Stock Payments</t>
        </is>
      </c>
      <c r="B20" s="3" t="n">
        <v>-950000000</v>
      </c>
      <c r="C20" s="3" t="n">
        <v>-1150000000</v>
      </c>
      <c r="D20" s="3" t="n">
        <v>-900000000</v>
      </c>
      <c r="E20" s="3" t="n">
        <v>-850000000</v>
      </c>
      <c r="F20" s="3" t="n"/>
    </row>
    <row r="21">
      <c r="A21" t="inlineStr">
        <is>
          <t>Net Issuance Payments Of Debt</t>
        </is>
      </c>
      <c r="B21" s="3" t="n">
        <v>-750000000</v>
      </c>
      <c r="C21" s="3" t="n">
        <v>840000000</v>
      </c>
      <c r="D21" s="3" t="n">
        <v>0</v>
      </c>
      <c r="E21" s="3" t="n">
        <v>-250000000</v>
      </c>
      <c r="F21" s="3" t="n"/>
    </row>
    <row r="22">
      <c r="A22" t="inlineStr">
        <is>
          <t>Net Short Term Debt Issuance</t>
        </is>
      </c>
      <c r="B22" s="3" t="n"/>
      <c r="C22" s="3" t="n"/>
      <c r="D22" s="3" t="n"/>
      <c r="E22" s="3" t="n">
        <v>0</v>
      </c>
      <c r="F22" s="3" t="n">
        <v>0</v>
      </c>
    </row>
    <row r="23">
      <c r="A23" t="inlineStr">
        <is>
          <t>Short Term Debt Payments</t>
        </is>
      </c>
      <c r="B23" s="3" t="n"/>
      <c r="C23" s="3" t="n"/>
      <c r="D23" s="3" t="n"/>
      <c r="E23" s="3" t="n">
        <v>0</v>
      </c>
      <c r="F23" s="3" t="n">
        <v>0</v>
      </c>
    </row>
    <row r="24">
      <c r="A24" t="inlineStr">
        <is>
          <t>Net Long Term Debt Issuance</t>
        </is>
      </c>
      <c r="B24" s="3" t="n">
        <v>-750000000</v>
      </c>
      <c r="C24" s="3" t="n">
        <v>840000000</v>
      </c>
      <c r="D24" s="3" t="n">
        <v>0</v>
      </c>
      <c r="E24" s="3" t="n">
        <v>-250000000</v>
      </c>
      <c r="F24" s="3" t="n"/>
    </row>
    <row r="25">
      <c r="A25" t="inlineStr">
        <is>
          <t>Long Term Debt Payments</t>
        </is>
      </c>
      <c r="B25" s="3" t="n">
        <v>-750000000</v>
      </c>
      <c r="C25" s="3" t="n">
        <v>-400000000</v>
      </c>
      <c r="D25" s="3" t="n">
        <v>0</v>
      </c>
      <c r="E25" s="3" t="n">
        <v>-250000000</v>
      </c>
      <c r="F25" s="3" t="n"/>
    </row>
    <row r="26">
      <c r="A26" t="inlineStr">
        <is>
          <t>Long Term Debt Issuance</t>
        </is>
      </c>
      <c r="B26" s="3" t="n">
        <v>0</v>
      </c>
      <c r="C26" s="3" t="n">
        <v>1240000000</v>
      </c>
      <c r="D26" s="3" t="n">
        <v>0</v>
      </c>
      <c r="E26" s="3" t="n">
        <v>0</v>
      </c>
      <c r="F26" s="3" t="n"/>
    </row>
    <row r="27">
      <c r="A27" t="inlineStr">
        <is>
          <t>Investing Cash Flow</t>
        </is>
      </c>
      <c r="B27" s="3" t="n">
        <v>-595000000</v>
      </c>
      <c r="C27" s="3" t="n">
        <v>147000000</v>
      </c>
      <c r="D27" s="3" t="n">
        <v>-735000000</v>
      </c>
      <c r="E27" s="3" t="n">
        <v>-1390000000</v>
      </c>
      <c r="F27" s="3" t="n"/>
    </row>
    <row r="28">
      <c r="A28" t="inlineStr">
        <is>
          <t>Cash Flow From Continuing Investing Activities</t>
        </is>
      </c>
      <c r="B28" s="3" t="n">
        <v>-595000000</v>
      </c>
      <c r="C28" s="3" t="n">
        <v>147000000</v>
      </c>
      <c r="D28" s="3" t="n">
        <v>-735000000</v>
      </c>
      <c r="E28" s="3" t="n">
        <v>-1390000000</v>
      </c>
      <c r="F28" s="3" t="n"/>
    </row>
    <row r="29">
      <c r="A29" t="inlineStr">
        <is>
          <t>Net Other Investing Changes</t>
        </is>
      </c>
      <c r="B29" s="3" t="n">
        <v>15000000</v>
      </c>
      <c r="C29" s="3" t="n">
        <v>70000000</v>
      </c>
      <c r="D29" s="3" t="n"/>
      <c r="E29" s="3" t="n">
        <v>59000000</v>
      </c>
      <c r="F29" s="3" t="n"/>
    </row>
    <row r="30">
      <c r="A30" t="inlineStr">
        <is>
          <t>Net Investment Purchase And Sale</t>
        </is>
      </c>
      <c r="B30" s="3" t="n">
        <v>-412000000</v>
      </c>
      <c r="C30" s="3" t="n">
        <v>245000000</v>
      </c>
      <c r="D30" s="3" t="n">
        <v>-580000000</v>
      </c>
      <c r="E30" s="3" t="n">
        <v>-719000000</v>
      </c>
      <c r="F30" s="3" t="n"/>
    </row>
    <row r="31">
      <c r="A31" t="inlineStr">
        <is>
          <t>Sale Of Investment</t>
        </is>
      </c>
      <c r="B31" s="3" t="n">
        <v>2346000000</v>
      </c>
      <c r="C31" s="3" t="n">
        <v>2027000000</v>
      </c>
      <c r="D31" s="3" t="n">
        <v>2055000000</v>
      </c>
      <c r="E31" s="3" t="n">
        <v>550000000</v>
      </c>
      <c r="F31" s="3" t="n"/>
    </row>
    <row r="32">
      <c r="A32" t="inlineStr">
        <is>
          <t>Purchase Of Investment</t>
        </is>
      </c>
      <c r="B32" s="3" t="n">
        <v>-2758000000</v>
      </c>
      <c r="C32" s="3" t="n">
        <v>-1782000000</v>
      </c>
      <c r="D32" s="3" t="n">
        <v>-2635000000</v>
      </c>
      <c r="E32" s="3" t="n">
        <v>-1269000000</v>
      </c>
      <c r="F32" s="3" t="n"/>
    </row>
    <row r="33">
      <c r="A33" t="inlineStr">
        <is>
          <t>Net Business Purchase And Sale</t>
        </is>
      </c>
      <c r="B33" s="3" t="n"/>
      <c r="C33" s="3" t="n">
        <v>0</v>
      </c>
      <c r="D33" s="3" t="n">
        <v>0</v>
      </c>
      <c r="E33" s="3" t="n">
        <v>-491000000</v>
      </c>
      <c r="F33" s="3" t="n">
        <v>-380000000</v>
      </c>
    </row>
    <row r="34">
      <c r="A34" t="inlineStr">
        <is>
          <t>Purchase Of Business</t>
        </is>
      </c>
      <c r="B34" s="3" t="n"/>
      <c r="C34" s="3" t="n">
        <v>0</v>
      </c>
      <c r="D34" s="3" t="n">
        <v>0</v>
      </c>
      <c r="E34" s="3" t="n">
        <v>-491000000</v>
      </c>
      <c r="F34" s="3" t="n">
        <v>-380000000</v>
      </c>
    </row>
    <row r="35">
      <c r="A35" t="inlineStr">
        <is>
          <t>Net PPE Purchase And Sale</t>
        </is>
      </c>
      <c r="B35" s="3" t="n">
        <v>-198000000</v>
      </c>
      <c r="C35" s="3" t="n">
        <v>-168000000</v>
      </c>
      <c r="D35" s="3" t="n">
        <v>-155000000</v>
      </c>
      <c r="E35" s="3" t="n">
        <v>-239000000</v>
      </c>
      <c r="F35" s="3" t="n"/>
    </row>
    <row r="36">
      <c r="A36" t="inlineStr">
        <is>
          <t>Sale Of PPE</t>
        </is>
      </c>
      <c r="B36" s="3" t="n"/>
      <c r="C36" s="3" t="n"/>
      <c r="D36" s="3" t="n"/>
      <c r="E36" s="3" t="n">
        <v>0</v>
      </c>
      <c r="F36" s="3" t="n">
        <v>0</v>
      </c>
    </row>
    <row r="37">
      <c r="A37" t="inlineStr">
        <is>
          <t>Purchase Of PPE</t>
        </is>
      </c>
      <c r="B37" s="3" t="n">
        <v>-198000000</v>
      </c>
      <c r="C37" s="3" t="n">
        <v>-168000000</v>
      </c>
      <c r="D37" s="3" t="n">
        <v>-155000000</v>
      </c>
      <c r="E37" s="3" t="n">
        <v>-239000000</v>
      </c>
      <c r="F37" s="3" t="n"/>
    </row>
    <row r="38">
      <c r="A38" t="inlineStr">
        <is>
          <t>Operating Cash Flow</t>
        </is>
      </c>
      <c r="B38" s="3" t="n">
        <v>2067000000</v>
      </c>
      <c r="C38" s="3" t="n">
        <v>1506000000</v>
      </c>
      <c r="D38" s="3" t="n">
        <v>1685000000</v>
      </c>
      <c r="E38" s="3" t="n">
        <v>1107000000</v>
      </c>
      <c r="F38" s="3" t="n"/>
    </row>
    <row r="39">
      <c r="A39" t="inlineStr">
        <is>
          <t>Cash Flow From Continuing Operating Activities</t>
        </is>
      </c>
      <c r="B39" s="3" t="n">
        <v>2067000000</v>
      </c>
      <c r="C39" s="3" t="n">
        <v>1506000000</v>
      </c>
      <c r="D39" s="3" t="n">
        <v>1685000000</v>
      </c>
      <c r="E39" s="3" t="n">
        <v>1107000000</v>
      </c>
      <c r="F39" s="3" t="n"/>
    </row>
    <row r="40">
      <c r="A40" t="inlineStr">
        <is>
          <t>Change In Working Capital</t>
        </is>
      </c>
      <c r="B40" s="3" t="n">
        <v>-23000000</v>
      </c>
      <c r="C40" s="3" t="n">
        <v>-250000000</v>
      </c>
      <c r="D40" s="3" t="n">
        <v>2000000</v>
      </c>
      <c r="E40" s="3" t="n">
        <v>-106000000</v>
      </c>
      <c r="F40" s="3" t="n"/>
    </row>
    <row r="41">
      <c r="A41" t="inlineStr">
        <is>
          <t>Change In Other Working Capital</t>
        </is>
      </c>
      <c r="B41" s="3" t="n">
        <v>281000000</v>
      </c>
      <c r="C41" s="3" t="n">
        <v>208000000</v>
      </c>
      <c r="D41" s="3" t="n">
        <v>-14000000</v>
      </c>
      <c r="E41" s="3" t="n">
        <v>46000000</v>
      </c>
      <c r="F41" s="3" t="n"/>
    </row>
    <row r="42">
      <c r="A42" t="inlineStr">
        <is>
          <t>Change In Other Current Liabilities</t>
        </is>
      </c>
      <c r="B42" s="3" t="n">
        <v>-9000000</v>
      </c>
      <c r="C42" s="3" t="n">
        <v>2000000</v>
      </c>
      <c r="D42" s="3" t="n">
        <v>-1000000</v>
      </c>
      <c r="E42" s="3" t="n">
        <v>0</v>
      </c>
      <c r="F42" s="3" t="n"/>
    </row>
    <row r="43">
      <c r="A43" t="inlineStr">
        <is>
          <t>Change In Other Current Assets</t>
        </is>
      </c>
      <c r="B43" s="3" t="n">
        <v>-248000000</v>
      </c>
      <c r="C43" s="3" t="n">
        <v>-87000000</v>
      </c>
      <c r="D43" s="3" t="n">
        <v>-62000000</v>
      </c>
      <c r="E43" s="3" t="n">
        <v>-63000000</v>
      </c>
      <c r="F43" s="3" t="n"/>
    </row>
    <row r="44">
      <c r="A44" t="inlineStr">
        <is>
          <t>Change In Payables And Accrued Expense</t>
        </is>
      </c>
      <c r="B44" s="3" t="n">
        <v>1000000</v>
      </c>
      <c r="C44" s="3" t="n">
        <v>-153000000</v>
      </c>
      <c r="D44" s="3" t="n">
        <v>130000000</v>
      </c>
      <c r="E44" s="3" t="n">
        <v>-386000000</v>
      </c>
      <c r="F44" s="3" t="n"/>
    </row>
    <row r="45">
      <c r="A45" t="inlineStr">
        <is>
          <t>Change In Accrued Expense</t>
        </is>
      </c>
      <c r="B45" s="3" t="n">
        <v>-23000000</v>
      </c>
      <c r="C45" s="3" t="n">
        <v>62000000</v>
      </c>
      <c r="D45" s="3" t="n">
        <v>113000000</v>
      </c>
      <c r="E45" s="3" t="n">
        <v>-103000000</v>
      </c>
      <c r="F45" s="3" t="n"/>
    </row>
    <row r="46">
      <c r="A46" t="inlineStr">
        <is>
          <t>Change In Payable</t>
        </is>
      </c>
      <c r="B46" s="3" t="n">
        <v>24000000</v>
      </c>
      <c r="C46" s="3" t="n">
        <v>-215000000</v>
      </c>
      <c r="D46" s="3" t="n">
        <v>17000000</v>
      </c>
      <c r="E46" s="3" t="n">
        <v>-283000000</v>
      </c>
      <c r="F46" s="3" t="n"/>
    </row>
    <row r="47">
      <c r="A47" t="inlineStr">
        <is>
          <t>Change In Account Payable</t>
        </is>
      </c>
      <c r="B47" s="3" t="n">
        <v>31000000</v>
      </c>
      <c r="C47" s="3" t="n">
        <v>-8000000</v>
      </c>
      <c r="D47" s="3" t="n">
        <v>123000000</v>
      </c>
      <c r="E47" s="3" t="n">
        <v>-207000000</v>
      </c>
      <c r="F47" s="3" t="n"/>
    </row>
    <row r="48">
      <c r="A48" t="inlineStr">
        <is>
          <t>Change In Tax Payable</t>
        </is>
      </c>
      <c r="B48" s="3" t="n">
        <v>-7000000</v>
      </c>
      <c r="C48" s="3" t="n">
        <v>-207000000</v>
      </c>
      <c r="D48" s="3" t="n">
        <v>-106000000</v>
      </c>
      <c r="E48" s="3" t="n">
        <v>-76000000</v>
      </c>
      <c r="F48" s="3" t="n"/>
    </row>
    <row r="49">
      <c r="A49" t="inlineStr">
        <is>
          <t>Change In Income Tax Payable</t>
        </is>
      </c>
      <c r="B49" s="3" t="n">
        <v>-7000000</v>
      </c>
      <c r="C49" s="3" t="n">
        <v>-207000000</v>
      </c>
      <c r="D49" s="3" t="n">
        <v>-106000000</v>
      </c>
      <c r="E49" s="3" t="n">
        <v>-76000000</v>
      </c>
      <c r="F49" s="3" t="n"/>
    </row>
    <row r="50">
      <c r="A50" t="inlineStr">
        <is>
          <t>Change In Inventory</t>
        </is>
      </c>
      <c r="B50" s="3" t="n">
        <v>-12000000</v>
      </c>
      <c r="C50" s="3" t="n">
        <v>-1000000</v>
      </c>
      <c r="D50" s="3" t="n">
        <v>-18000000</v>
      </c>
      <c r="E50" s="3" t="n">
        <v>37000000</v>
      </c>
      <c r="F50" s="3" t="n"/>
    </row>
    <row r="51">
      <c r="A51" t="inlineStr">
        <is>
          <t>Change In Receivables</t>
        </is>
      </c>
      <c r="B51" s="3" t="n">
        <v>-36000000</v>
      </c>
      <c r="C51" s="3" t="n">
        <v>-219000000</v>
      </c>
      <c r="D51" s="3" t="n">
        <v>-33000000</v>
      </c>
      <c r="E51" s="3" t="n">
        <v>260000000</v>
      </c>
      <c r="F51" s="3" t="n"/>
    </row>
    <row r="52">
      <c r="A52" t="inlineStr">
        <is>
          <t>Changes In Account Receivables</t>
        </is>
      </c>
      <c r="B52" s="3" t="n">
        <v>-36000000</v>
      </c>
      <c r="C52" s="3" t="n">
        <v>-219000000</v>
      </c>
      <c r="D52" s="3" t="n">
        <v>-33000000</v>
      </c>
      <c r="E52" s="3" t="n">
        <v>260000000</v>
      </c>
      <c r="F52" s="3" t="n"/>
    </row>
    <row r="53">
      <c r="A53" t="inlineStr">
        <is>
          <t>Other Non Cash Items</t>
        </is>
      </c>
      <c r="B53" s="3" t="n">
        <v>97000000</v>
      </c>
      <c r="C53" s="3" t="n">
        <v>41000000</v>
      </c>
      <c r="D53" s="3" t="n">
        <v>32000000</v>
      </c>
      <c r="E53" s="3" t="n">
        <v>-15000000</v>
      </c>
      <c r="F53" s="3" t="n"/>
    </row>
    <row r="54">
      <c r="A54" t="inlineStr">
        <is>
          <t>Stock Based Compensation</t>
        </is>
      </c>
      <c r="B54" s="3" t="n">
        <v>382000000</v>
      </c>
      <c r="C54" s="3" t="n">
        <v>386000000</v>
      </c>
      <c r="D54" s="3" t="n">
        <v>357000000</v>
      </c>
      <c r="E54" s="3" t="n">
        <v>312000000</v>
      </c>
      <c r="F54" s="3" t="n"/>
    </row>
    <row r="55">
      <c r="A55" t="inlineStr">
        <is>
          <t>Deferred Tax</t>
        </is>
      </c>
      <c r="B55" s="3" t="n">
        <v>135000000</v>
      </c>
      <c r="C55" s="3" t="n">
        <v>-100000000</v>
      </c>
      <c r="D55" s="3" t="n">
        <v>53000000</v>
      </c>
      <c r="E55" s="3" t="n">
        <v>-606000000</v>
      </c>
      <c r="F55" s="3" t="n"/>
    </row>
    <row r="56">
      <c r="A56" t="inlineStr">
        <is>
          <t>Deferred Income Tax</t>
        </is>
      </c>
      <c r="B56" s="3" t="n">
        <v>135000000</v>
      </c>
      <c r="C56" s="3" t="n">
        <v>-100000000</v>
      </c>
      <c r="D56" s="3" t="n">
        <v>53000000</v>
      </c>
      <c r="E56" s="3" t="n">
        <v>-606000000</v>
      </c>
      <c r="F56" s="3" t="n"/>
    </row>
    <row r="57">
      <c r="A57" t="inlineStr">
        <is>
          <t>Depreciation Amortization Depletion</t>
        </is>
      </c>
      <c r="B57" s="3" t="n">
        <v>200000000</v>
      </c>
      <c r="C57" s="3" t="n">
        <v>243000000</v>
      </c>
      <c r="D57" s="3" t="n">
        <v>255000000</v>
      </c>
      <c r="E57" s="3" t="n">
        <v>248000000</v>
      </c>
      <c r="F57" s="3" t="n"/>
    </row>
    <row r="58">
      <c r="A58" t="inlineStr">
        <is>
          <t>Depreciation And Amortization</t>
        </is>
      </c>
      <c r="B58" s="3" t="n">
        <v>200000000</v>
      </c>
      <c r="C58" s="3" t="n">
        <v>243000000</v>
      </c>
      <c r="D58" s="3" t="n">
        <v>255000000</v>
      </c>
      <c r="E58" s="3" t="n">
        <v>248000000</v>
      </c>
      <c r="F58" s="3" t="n"/>
    </row>
    <row r="59">
      <c r="A59" t="inlineStr">
        <is>
          <t>Amortization Cash Flow</t>
        </is>
      </c>
      <c r="B59" s="3" t="n">
        <v>21000000</v>
      </c>
      <c r="C59" s="3" t="n">
        <v>47000000</v>
      </c>
      <c r="D59" s="3" t="n">
        <v>57000000</v>
      </c>
      <c r="E59" s="3" t="n">
        <v>68000000</v>
      </c>
      <c r="F59" s="3" t="n"/>
    </row>
    <row r="60">
      <c r="A60" t="inlineStr">
        <is>
          <t>Amortization Of Intangibles</t>
        </is>
      </c>
      <c r="B60" s="3" t="n">
        <v>21000000</v>
      </c>
      <c r="C60" s="3" t="n">
        <v>47000000</v>
      </c>
      <c r="D60" s="3" t="n">
        <v>57000000</v>
      </c>
      <c r="E60" s="3" t="n">
        <v>68000000</v>
      </c>
      <c r="F60" s="3" t="n"/>
    </row>
    <row r="61">
      <c r="A61" t="inlineStr">
        <is>
          <t>Depreciation</t>
        </is>
      </c>
      <c r="B61" s="3" t="n">
        <v>179000000</v>
      </c>
      <c r="C61" s="3" t="n">
        <v>196000000</v>
      </c>
      <c r="D61" s="3" t="n">
        <v>198000000</v>
      </c>
      <c r="E61" s="3" t="n">
        <v>181000000</v>
      </c>
      <c r="F61" s="3" t="n"/>
    </row>
    <row r="62">
      <c r="A62" t="inlineStr">
        <is>
          <t>Net Income From Continuing Operations</t>
        </is>
      </c>
      <c r="B62" s="3" t="n">
        <v>1276000000</v>
      </c>
      <c r="C62" s="3" t="n">
        <v>1186000000</v>
      </c>
      <c r="D62" s="3" t="n">
        <v>986000000</v>
      </c>
      <c r="E62" s="3" t="n">
        <v>1274000000</v>
      </c>
      <c r="F62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2026-04-30</t>
        </is>
      </c>
      <c r="C1" s="1" t="inlineStr">
        <is>
          <t>2026-01-31</t>
        </is>
      </c>
      <c r="D1" s="1" t="inlineStr">
        <is>
          <t>2025-10-31</t>
        </is>
      </c>
      <c r="E1" s="1" t="inlineStr">
        <is>
          <t>2025-07-31</t>
        </is>
      </c>
      <c r="F1" s="1" t="inlineStr">
        <is>
          <t>2025-04-30</t>
        </is>
      </c>
    </row>
    <row r="2">
      <c r="A2" t="inlineStr">
        <is>
          <t>Free Cash Flow</t>
        </is>
      </c>
      <c r="B2" s="3" t="n">
        <v>900000000</v>
      </c>
      <c r="C2" s="3" t="n">
        <v>271000000</v>
      </c>
      <c r="D2" s="3" t="n">
        <v>78000000</v>
      </c>
      <c r="E2" s="3" t="n">
        <v>620000000</v>
      </c>
      <c r="F2" s="3" t="n">
        <v>640000000</v>
      </c>
    </row>
    <row r="3">
      <c r="A3" t="inlineStr">
        <is>
          <t>Repurchase Of Capital Stock</t>
        </is>
      </c>
      <c r="B3" s="3" t="n">
        <v>-200000000</v>
      </c>
      <c r="C3" s="3" t="n">
        <v>-200000000</v>
      </c>
      <c r="D3" s="3" t="n">
        <v>-250000000</v>
      </c>
      <c r="E3" s="3" t="n">
        <v>-300000000</v>
      </c>
      <c r="F3" s="3" t="n">
        <v>-250000000</v>
      </c>
    </row>
    <row r="4">
      <c r="A4" t="inlineStr">
        <is>
          <t>Repayment Of Debt</t>
        </is>
      </c>
      <c r="B4" s="3" t="n">
        <v>0</v>
      </c>
      <c r="C4" s="3" t="n"/>
      <c r="D4" s="3" t="n"/>
      <c r="E4" s="3" t="n"/>
      <c r="F4" s="3" t="n">
        <v>0</v>
      </c>
    </row>
    <row r="5">
      <c r="A5" t="inlineStr">
        <is>
          <t>Capital Expenditure</t>
        </is>
      </c>
      <c r="B5" s="3" t="n">
        <v>-50000000</v>
      </c>
      <c r="C5" s="3" t="n">
        <v>-46000000</v>
      </c>
      <c r="D5" s="3" t="n">
        <v>-49000000</v>
      </c>
      <c r="E5" s="3" t="n">
        <v>-53000000</v>
      </c>
      <c r="F5" s="3" t="n">
        <v>-35000000</v>
      </c>
    </row>
    <row r="6">
      <c r="A6" t="inlineStr">
        <is>
          <t>Interest Paid Supplemental Data</t>
        </is>
      </c>
      <c r="B6" s="3" t="n">
        <v>35000000</v>
      </c>
      <c r="C6" s="3" t="n">
        <v>16000000</v>
      </c>
      <c r="D6" s="3" t="n">
        <v>35000000</v>
      </c>
      <c r="E6" s="3" t="n">
        <v>23000000</v>
      </c>
      <c r="F6" s="3" t="n">
        <v>0</v>
      </c>
    </row>
    <row r="7">
      <c r="A7" t="inlineStr">
        <is>
          <t>Income Tax Paid Supplemental Data</t>
        </is>
      </c>
      <c r="B7" s="3" t="n">
        <v>105000000</v>
      </c>
      <c r="C7" s="3" t="n">
        <v>45000000</v>
      </c>
      <c r="D7" s="3" t="n">
        <v>274000000</v>
      </c>
      <c r="E7" s="3" t="n">
        <v>11000000</v>
      </c>
      <c r="F7" s="3" t="n">
        <v>125000000</v>
      </c>
    </row>
    <row r="8">
      <c r="A8" t="inlineStr">
        <is>
          <t>End Cash Position</t>
        </is>
      </c>
      <c r="B8" s="3" t="n">
        <v>2075000000</v>
      </c>
      <c r="C8" s="3" t="n">
        <v>1635000000</v>
      </c>
      <c r="D8" s="3" t="n">
        <v>2079000000</v>
      </c>
      <c r="E8" s="3" t="n">
        <v>2091000000</v>
      </c>
      <c r="F8" s="3" t="n">
        <v>2749000000</v>
      </c>
    </row>
    <row r="9">
      <c r="A9" t="inlineStr">
        <is>
          <t>Beginning Cash Position</t>
        </is>
      </c>
      <c r="B9" s="3" t="n">
        <v>1635000000</v>
      </c>
      <c r="C9" s="3" t="n">
        <v>2079000000</v>
      </c>
      <c r="D9" s="3" t="n">
        <v>2091000000</v>
      </c>
      <c r="E9" s="3" t="n">
        <v>2749000000</v>
      </c>
      <c r="F9" s="3" t="n">
        <v>1518000000</v>
      </c>
    </row>
    <row r="10">
      <c r="A10" t="inlineStr">
        <is>
          <t>Effect Of Exchange Rate Changes</t>
        </is>
      </c>
      <c r="B10" s="3" t="n">
        <v>-2000000</v>
      </c>
      <c r="C10" s="3" t="n">
        <v>1000000</v>
      </c>
      <c r="D10" s="3" t="n">
        <v>-5000000</v>
      </c>
      <c r="E10" s="3" t="n">
        <v>7000000</v>
      </c>
      <c r="F10" s="3" t="n">
        <v>18000000</v>
      </c>
    </row>
    <row r="11">
      <c r="A11" t="inlineStr">
        <is>
          <t>Changes In Cash</t>
        </is>
      </c>
      <c r="B11" s="3" t="n">
        <v>442000000</v>
      </c>
      <c r="C11" s="3" t="n">
        <v>-445000000</v>
      </c>
      <c r="D11" s="3" t="n">
        <v>-7000000</v>
      </c>
      <c r="E11" s="3" t="n">
        <v>-665000000</v>
      </c>
      <c r="F11" s="3" t="n">
        <v>1213000000</v>
      </c>
    </row>
    <row r="12">
      <c r="A12" t="inlineStr">
        <is>
          <t>Financing Cash Flow</t>
        </is>
      </c>
      <c r="B12" s="3" t="n">
        <v>-328000000</v>
      </c>
      <c r="C12" s="3" t="n">
        <v>-279000000</v>
      </c>
      <c r="D12" s="3" t="n">
        <v>-383000000</v>
      </c>
      <c r="E12" s="3" t="n">
        <v>-1157000000</v>
      </c>
      <c r="F12" s="3" t="n">
        <v>851000000</v>
      </c>
    </row>
    <row r="13">
      <c r="A13" t="inlineStr">
        <is>
          <t>Cash Flow From Continuing Financing Activities</t>
        </is>
      </c>
      <c r="B13" s="3" t="n">
        <v>-328000000</v>
      </c>
      <c r="C13" s="3" t="n">
        <v>-279000000</v>
      </c>
      <c r="D13" s="3" t="n">
        <v>-383000000</v>
      </c>
      <c r="E13" s="3" t="n">
        <v>-1157000000</v>
      </c>
      <c r="F13" s="3" t="n">
        <v>851000000</v>
      </c>
    </row>
    <row r="14">
      <c r="A14" t="inlineStr">
        <is>
          <t>Net Other Financing Charges</t>
        </is>
      </c>
      <c r="B14" s="3" t="n">
        <v>-25000000</v>
      </c>
      <c r="C14" s="3" t="n">
        <v>725000000</v>
      </c>
      <c r="D14" s="3" t="n">
        <v>-30000000</v>
      </c>
      <c r="E14" s="3" t="n">
        <v>-807000000</v>
      </c>
      <c r="F14" s="3" t="n">
        <v>-34000000</v>
      </c>
    </row>
    <row r="15">
      <c r="A15" t="inlineStr">
        <is>
          <t>Proceeds From Stock Option Exercised</t>
        </is>
      </c>
      <c r="B15" s="3" t="n">
        <v>0</v>
      </c>
      <c r="C15" s="3" t="n">
        <v>49000000</v>
      </c>
      <c r="D15" s="3" t="n">
        <v>0</v>
      </c>
      <c r="E15" s="3" t="n">
        <v>54000000</v>
      </c>
      <c r="F15" s="3" t="n">
        <v>0</v>
      </c>
    </row>
    <row r="16">
      <c r="A16" t="inlineStr">
        <is>
          <t>Cash Dividends Paid</t>
        </is>
      </c>
      <c r="B16" s="3" t="n">
        <v>-103000000</v>
      </c>
      <c r="C16" s="3" t="n">
        <v>-103000000</v>
      </c>
      <c r="D16" s="3" t="n">
        <v>-103000000</v>
      </c>
      <c r="E16" s="3" t="n">
        <v>-104000000</v>
      </c>
      <c r="F16" s="3" t="n">
        <v>-105000000</v>
      </c>
    </row>
    <row r="17">
      <c r="A17" t="inlineStr">
        <is>
          <t>Common Stock Dividend Paid</t>
        </is>
      </c>
      <c r="B17" s="3" t="n">
        <v>-103000000</v>
      </c>
      <c r="C17" s="3" t="n">
        <v>-103000000</v>
      </c>
      <c r="D17" s="3" t="n">
        <v>-103000000</v>
      </c>
      <c r="E17" s="3" t="n">
        <v>-104000000</v>
      </c>
      <c r="F17" s="3" t="n">
        <v>-105000000</v>
      </c>
    </row>
    <row r="18">
      <c r="A18" t="inlineStr">
        <is>
          <t>Net Common Stock Issuance</t>
        </is>
      </c>
      <c r="B18" s="3" t="n">
        <v>-200000000</v>
      </c>
      <c r="C18" s="3" t="n">
        <v>-200000000</v>
      </c>
      <c r="D18" s="3" t="n">
        <v>-250000000</v>
      </c>
      <c r="E18" s="3" t="n">
        <v>-300000000</v>
      </c>
      <c r="F18" s="3" t="n">
        <v>-250000000</v>
      </c>
    </row>
    <row r="19">
      <c r="A19" t="inlineStr">
        <is>
          <t>Common Stock Payments</t>
        </is>
      </c>
      <c r="B19" s="3" t="n">
        <v>-200000000</v>
      </c>
      <c r="C19" s="3" t="n">
        <v>-200000000</v>
      </c>
      <c r="D19" s="3" t="n">
        <v>-250000000</v>
      </c>
      <c r="E19" s="3" t="n">
        <v>-300000000</v>
      </c>
      <c r="F19" s="3" t="n">
        <v>-250000000</v>
      </c>
    </row>
    <row r="20">
      <c r="A20" t="inlineStr">
        <is>
          <t>Net Issuance Payments Of Debt</t>
        </is>
      </c>
      <c r="B20" s="3" t="n">
        <v>0</v>
      </c>
      <c r="C20" s="3" t="n"/>
      <c r="D20" s="3" t="n"/>
      <c r="E20" s="3" t="n"/>
      <c r="F20" s="3" t="n">
        <v>1240000000</v>
      </c>
    </row>
    <row r="21">
      <c r="A21" t="inlineStr">
        <is>
          <t>Net Long Term Debt Issuance</t>
        </is>
      </c>
      <c r="B21" s="3" t="n">
        <v>0</v>
      </c>
      <c r="C21" s="3" t="n"/>
      <c r="D21" s="3" t="n"/>
      <c r="E21" s="3" t="n"/>
      <c r="F21" s="3" t="n">
        <v>1240000000</v>
      </c>
    </row>
    <row r="22">
      <c r="A22" t="inlineStr">
        <is>
          <t>Long Term Debt Payments</t>
        </is>
      </c>
      <c r="B22" s="3" t="n">
        <v>0</v>
      </c>
      <c r="C22" s="3" t="n"/>
      <c r="D22" s="3" t="n"/>
      <c r="E22" s="3" t="n"/>
      <c r="F22" s="3" t="n">
        <v>0</v>
      </c>
    </row>
    <row r="23">
      <c r="A23" t="inlineStr">
        <is>
          <t>Investing Cash Flow</t>
        </is>
      </c>
      <c r="B23" s="3" t="n">
        <v>-180000000</v>
      </c>
      <c r="C23" s="3" t="n">
        <v>-483000000</v>
      </c>
      <c r="D23" s="3" t="n">
        <v>249000000</v>
      </c>
      <c r="E23" s="3" t="n">
        <v>-181000000</v>
      </c>
      <c r="F23" s="3" t="n">
        <v>-313000000</v>
      </c>
    </row>
    <row r="24">
      <c r="A24" t="inlineStr">
        <is>
          <t>Cash Flow From Continuing Investing Activities</t>
        </is>
      </c>
      <c r="B24" s="3" t="n">
        <v>-180000000</v>
      </c>
      <c r="C24" s="3" t="n">
        <v>-483000000</v>
      </c>
      <c r="D24" s="3" t="n">
        <v>249000000</v>
      </c>
      <c r="E24" s="3" t="n">
        <v>-181000000</v>
      </c>
      <c r="F24" s="3" t="n">
        <v>-313000000</v>
      </c>
    </row>
    <row r="25">
      <c r="A25" t="inlineStr">
        <is>
          <t>Net Other Investing Changes</t>
        </is>
      </c>
      <c r="B25" s="3" t="n">
        <v>0</v>
      </c>
      <c r="C25" s="3" t="n">
        <v>0</v>
      </c>
      <c r="D25" s="3" t="n">
        <v>0</v>
      </c>
      <c r="E25" s="3" t="n">
        <v>15000000</v>
      </c>
      <c r="F25" s="3" t="n">
        <v>67000000</v>
      </c>
    </row>
    <row r="26">
      <c r="A26" t="inlineStr">
        <is>
          <t>Net Investment Purchase And Sale</t>
        </is>
      </c>
      <c r="B26" s="3" t="n">
        <v>-130000000</v>
      </c>
      <c r="C26" s="3" t="n">
        <v>-437000000</v>
      </c>
      <c r="D26" s="3" t="n">
        <v>298000000</v>
      </c>
      <c r="E26" s="3" t="n">
        <v>-143000000</v>
      </c>
      <c r="F26" s="3" t="n">
        <v>-345000000</v>
      </c>
    </row>
    <row r="27">
      <c r="A27" t="inlineStr">
        <is>
          <t>Sale Of Investment</t>
        </is>
      </c>
      <c r="B27" s="3" t="n">
        <v>365000000</v>
      </c>
      <c r="C27" s="3" t="n">
        <v>641000000</v>
      </c>
      <c r="D27" s="3" t="n">
        <v>742000000</v>
      </c>
      <c r="E27" s="3" t="n">
        <v>598000000</v>
      </c>
      <c r="F27" s="3" t="n">
        <v>149000000</v>
      </c>
    </row>
    <row r="28">
      <c r="A28" t="inlineStr">
        <is>
          <t>Purchase Of Investment</t>
        </is>
      </c>
      <c r="B28" s="3" t="n">
        <v>-495000000</v>
      </c>
      <c r="C28" s="3" t="n">
        <v>-1078000000</v>
      </c>
      <c r="D28" s="3" t="n">
        <v>-444000000</v>
      </c>
      <c r="E28" s="3" t="n">
        <v>-741000000</v>
      </c>
      <c r="F28" s="3" t="n">
        <v>-494000000</v>
      </c>
    </row>
    <row r="29">
      <c r="A29" t="inlineStr">
        <is>
          <t>Net PPE Purchase And Sale</t>
        </is>
      </c>
      <c r="B29" s="3" t="n">
        <v>-50000000</v>
      </c>
      <c r="C29" s="3" t="n">
        <v>-46000000</v>
      </c>
      <c r="D29" s="3" t="n">
        <v>-49000000</v>
      </c>
      <c r="E29" s="3" t="n">
        <v>-53000000</v>
      </c>
      <c r="F29" s="3" t="n">
        <v>-35000000</v>
      </c>
    </row>
    <row r="30">
      <c r="A30" t="inlineStr">
        <is>
          <t>Purchase Of PPE</t>
        </is>
      </c>
      <c r="B30" s="3" t="n">
        <v>-50000000</v>
      </c>
      <c r="C30" s="3" t="n">
        <v>-46000000</v>
      </c>
      <c r="D30" s="3" t="n">
        <v>-49000000</v>
      </c>
      <c r="E30" s="3" t="n">
        <v>-53000000</v>
      </c>
      <c r="F30" s="3" t="n">
        <v>-35000000</v>
      </c>
    </row>
    <row r="31">
      <c r="A31" t="inlineStr">
        <is>
          <t>Operating Cash Flow</t>
        </is>
      </c>
      <c r="B31" s="3" t="n">
        <v>950000000</v>
      </c>
      <c r="C31" s="3" t="n">
        <v>317000000</v>
      </c>
      <c r="D31" s="3" t="n">
        <v>127000000</v>
      </c>
      <c r="E31" s="3" t="n">
        <v>673000000</v>
      </c>
      <c r="F31" s="3" t="n">
        <v>675000000</v>
      </c>
    </row>
    <row r="32">
      <c r="A32" t="inlineStr">
        <is>
          <t>Cash Flow From Continuing Operating Activities</t>
        </is>
      </c>
      <c r="B32" s="3" t="n">
        <v>950000000</v>
      </c>
      <c r="C32" s="3" t="n">
        <v>317000000</v>
      </c>
      <c r="D32" s="3" t="n">
        <v>127000000</v>
      </c>
      <c r="E32" s="3" t="n">
        <v>673000000</v>
      </c>
      <c r="F32" s="3" t="n">
        <v>675000000</v>
      </c>
    </row>
    <row r="33">
      <c r="A33" t="inlineStr">
        <is>
          <t>Change In Working Capital</t>
        </is>
      </c>
      <c r="B33" s="3" t="n">
        <v>303000000</v>
      </c>
      <c r="C33" s="3" t="n">
        <v>-185000000</v>
      </c>
      <c r="D33" s="3" t="n">
        <v>-381000000</v>
      </c>
      <c r="E33" s="3" t="n">
        <v>240000000</v>
      </c>
      <c r="F33" s="3" t="n">
        <v>142000000</v>
      </c>
    </row>
    <row r="34">
      <c r="A34" t="inlineStr">
        <is>
          <t>Change In Other Working Capital</t>
        </is>
      </c>
      <c r="B34" s="3" t="n">
        <v>215000000</v>
      </c>
      <c r="C34" s="3" t="n">
        <v>173000000</v>
      </c>
      <c r="D34" s="3" t="n">
        <v>-59000000</v>
      </c>
      <c r="E34" s="3" t="n">
        <v>-48000000</v>
      </c>
      <c r="F34" s="3" t="n">
        <v>300000000</v>
      </c>
    </row>
    <row r="35">
      <c r="A35" t="inlineStr">
        <is>
          <t>Change In Other Current Liabilities</t>
        </is>
      </c>
      <c r="B35" s="3" t="n">
        <v>0</v>
      </c>
      <c r="C35" s="3" t="n">
        <v>-9000000</v>
      </c>
      <c r="D35" s="3" t="n">
        <v>-3000000</v>
      </c>
      <c r="E35" s="3" t="n">
        <v>3000000</v>
      </c>
      <c r="F35" s="3" t="n">
        <v>1000000</v>
      </c>
    </row>
    <row r="36">
      <c r="A36" t="inlineStr">
        <is>
          <t>Change In Other Current Assets</t>
        </is>
      </c>
      <c r="B36" s="3" t="n">
        <v>-194000000</v>
      </c>
      <c r="C36" s="3" t="n">
        <v>-46000000</v>
      </c>
      <c r="D36" s="3" t="n">
        <v>-118000000</v>
      </c>
      <c r="E36" s="3" t="n">
        <v>110000000</v>
      </c>
      <c r="F36" s="3" t="n">
        <v>-19000000</v>
      </c>
    </row>
    <row r="37">
      <c r="A37" t="inlineStr">
        <is>
          <t>Change In Payables And Accrued Expense</t>
        </is>
      </c>
      <c r="B37" s="3" t="n">
        <v>344000000</v>
      </c>
      <c r="C37" s="3" t="n">
        <v>4000000</v>
      </c>
      <c r="D37" s="3" t="n">
        <v>-2000000</v>
      </c>
      <c r="E37" s="3" t="n">
        <v>-345000000</v>
      </c>
      <c r="F37" s="3" t="n">
        <v>102000000</v>
      </c>
    </row>
    <row r="38">
      <c r="A38" t="inlineStr">
        <is>
          <t>Change In Accrued Expense</t>
        </is>
      </c>
      <c r="B38" s="3" t="n">
        <v>225000000</v>
      </c>
      <c r="C38" s="3" t="n">
        <v>29000000</v>
      </c>
      <c r="D38" s="3" t="n">
        <v>-37000000</v>
      </c>
      <c r="E38" s="3" t="n">
        <v>-240000000</v>
      </c>
      <c r="F38" s="3" t="n">
        <v>156000000</v>
      </c>
    </row>
    <row r="39">
      <c r="A39" t="inlineStr">
        <is>
          <t>Change In Payable</t>
        </is>
      </c>
      <c r="B39" s="3" t="n">
        <v>119000000</v>
      </c>
      <c r="C39" s="3" t="n">
        <v>-25000000</v>
      </c>
      <c r="D39" s="3" t="n">
        <v>35000000</v>
      </c>
      <c r="E39" s="3" t="n">
        <v>-105000000</v>
      </c>
      <c r="F39" s="3" t="n">
        <v>-54000000</v>
      </c>
    </row>
    <row r="40">
      <c r="A40" t="inlineStr">
        <is>
          <t>Change In Account Payable</t>
        </is>
      </c>
      <c r="B40" s="3" t="n">
        <v>129000000</v>
      </c>
      <c r="C40" s="3" t="n">
        <v>-25000000</v>
      </c>
      <c r="D40" s="3" t="n">
        <v>34000000</v>
      </c>
      <c r="E40" s="3" t="n">
        <v>-107000000</v>
      </c>
      <c r="F40" s="3" t="n">
        <v>69000000</v>
      </c>
    </row>
    <row r="41">
      <c r="A41" t="inlineStr">
        <is>
          <t>Change In Tax Payable</t>
        </is>
      </c>
      <c r="B41" s="3" t="n">
        <v>-10000000</v>
      </c>
      <c r="C41" s="3" t="n">
        <v>0</v>
      </c>
      <c r="D41" s="3" t="n">
        <v>1000000</v>
      </c>
      <c r="E41" s="3" t="n">
        <v>2000000</v>
      </c>
      <c r="F41" s="3" t="n">
        <v>-123000000</v>
      </c>
    </row>
    <row r="42">
      <c r="A42" t="inlineStr">
        <is>
          <t>Change In Income Tax Payable</t>
        </is>
      </c>
      <c r="B42" s="3" t="n">
        <v>-10000000</v>
      </c>
      <c r="C42" s="3" t="n">
        <v>0</v>
      </c>
      <c r="D42" s="3" t="n">
        <v>1000000</v>
      </c>
      <c r="E42" s="3" t="n">
        <v>2000000</v>
      </c>
      <c r="F42" s="3" t="n">
        <v>-123000000</v>
      </c>
    </row>
    <row r="43">
      <c r="A43" t="inlineStr">
        <is>
          <t>Change In Inventory</t>
        </is>
      </c>
      <c r="B43" s="3" t="n">
        <v>-89000000</v>
      </c>
      <c r="C43" s="3" t="n">
        <v>17000000</v>
      </c>
      <c r="D43" s="3" t="n">
        <v>6000000</v>
      </c>
      <c r="E43" s="3" t="n">
        <v>54000000</v>
      </c>
      <c r="F43" s="3" t="n">
        <v>81000000</v>
      </c>
    </row>
    <row r="44">
      <c r="A44" t="inlineStr">
        <is>
          <t>Change In Receivables</t>
        </is>
      </c>
      <c r="B44" s="3" t="n">
        <v>27000000</v>
      </c>
      <c r="C44" s="3" t="n">
        <v>-324000000</v>
      </c>
      <c r="D44" s="3" t="n">
        <v>-205000000</v>
      </c>
      <c r="E44" s="3" t="n">
        <v>466000000</v>
      </c>
      <c r="F44" s="3" t="n">
        <v>-323000000</v>
      </c>
    </row>
    <row r="45">
      <c r="A45" t="inlineStr">
        <is>
          <t>Changes In Account Receivables</t>
        </is>
      </c>
      <c r="B45" s="3" t="n">
        <v>27000000</v>
      </c>
      <c r="C45" s="3" t="n">
        <v>-324000000</v>
      </c>
      <c r="D45" s="3" t="n">
        <v>-205000000</v>
      </c>
      <c r="E45" s="3" t="n">
        <v>466000000</v>
      </c>
      <c r="F45" s="3" t="n">
        <v>-323000000</v>
      </c>
    </row>
    <row r="46">
      <c r="A46" t="inlineStr">
        <is>
          <t>Other Non Cash Items</t>
        </is>
      </c>
      <c r="B46" s="3" t="n">
        <v>7000000</v>
      </c>
      <c r="C46" s="3" t="n">
        <v>-6000000</v>
      </c>
      <c r="D46" s="3" t="n">
        <v>39000000</v>
      </c>
      <c r="E46" s="3" t="n">
        <v>57000000</v>
      </c>
      <c r="F46" s="3" t="n">
        <v>35000000</v>
      </c>
    </row>
    <row r="47">
      <c r="A47" t="inlineStr">
        <is>
          <t>Stock Based Compensation</t>
        </is>
      </c>
      <c r="B47" s="3" t="n">
        <v>100000000</v>
      </c>
      <c r="C47" s="3" t="n">
        <v>97000000</v>
      </c>
      <c r="D47" s="3" t="n">
        <v>102000000</v>
      </c>
      <c r="E47" s="3" t="n">
        <v>83000000</v>
      </c>
      <c r="F47" s="3" t="n">
        <v>95000000</v>
      </c>
    </row>
    <row r="48">
      <c r="A48" t="inlineStr">
        <is>
          <t>Deferred Tax</t>
        </is>
      </c>
      <c r="B48" s="3" t="n">
        <v>87000000</v>
      </c>
      <c r="C48" s="3" t="n">
        <v>29000000</v>
      </c>
      <c r="D48" s="3" t="n">
        <v>10000000</v>
      </c>
      <c r="E48" s="3" t="n">
        <v>9000000</v>
      </c>
      <c r="F48" s="3" t="n">
        <v>10000000</v>
      </c>
    </row>
    <row r="49">
      <c r="A49" t="inlineStr">
        <is>
          <t>Deferred Income Tax</t>
        </is>
      </c>
      <c r="B49" s="3" t="n">
        <v>87000000</v>
      </c>
      <c r="C49" s="3" t="n">
        <v>29000000</v>
      </c>
      <c r="D49" s="3" t="n">
        <v>10000000</v>
      </c>
      <c r="E49" s="3" t="n">
        <v>9000000</v>
      </c>
      <c r="F49" s="3" t="n">
        <v>10000000</v>
      </c>
    </row>
    <row r="50">
      <c r="A50" t="inlineStr">
        <is>
          <t>Depreciation Amortization Depletion</t>
        </is>
      </c>
      <c r="B50" s="3" t="n">
        <v>49000000</v>
      </c>
      <c r="C50" s="3" t="n">
        <v>48000000</v>
      </c>
      <c r="D50" s="3" t="n">
        <v>52000000</v>
      </c>
      <c r="E50" s="3" t="n">
        <v>51000000</v>
      </c>
      <c r="F50" s="3" t="n">
        <v>53000000</v>
      </c>
    </row>
    <row r="51">
      <c r="A51" t="inlineStr">
        <is>
          <t>Depreciation And Amortization</t>
        </is>
      </c>
      <c r="B51" s="3" t="n">
        <v>49000000</v>
      </c>
      <c r="C51" s="3" t="n">
        <v>48000000</v>
      </c>
      <c r="D51" s="3" t="n">
        <v>52000000</v>
      </c>
      <c r="E51" s="3" t="n">
        <v>51000000</v>
      </c>
      <c r="F51" s="3" t="n">
        <v>53000000</v>
      </c>
    </row>
    <row r="52">
      <c r="A52" t="inlineStr">
        <is>
          <t>Net Income From Continuing Operations</t>
        </is>
      </c>
      <c r="B52" s="3" t="n">
        <v>404000000</v>
      </c>
      <c r="C52" s="3" t="n">
        <v>334000000</v>
      </c>
      <c r="D52" s="3" t="n">
        <v>305000000</v>
      </c>
      <c r="E52" s="3" t="n">
        <v>233000000</v>
      </c>
      <c r="F52" s="3" t="n">
        <v>340000000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2026-07-02T15:41:19Z</dcterms:created>
  <dcterms:modified xsi:type="dcterms:W3CDTF">2026-07-02T15:41:20Z</dcterms:modified>
</cp:coreProperties>
</file>