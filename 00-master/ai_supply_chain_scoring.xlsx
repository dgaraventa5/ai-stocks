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50</v>
      </c>
      <c r="L6" s="62" t="n">
        <v>72.7</v>
      </c>
      <c r="M6" s="62" t="n">
        <v>31</v>
      </c>
      <c r="N6" s="61" t="n">
        <v>-0.3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2026-06-24</t>
        </is>
      </c>
      <c r="E70" s="33" t="n">
        <v>22.083448</v>
      </c>
      <c r="F70" s="33" t="n"/>
      <c r="G70" s="33" t="n"/>
      <c r="H70" s="33" t="n"/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2026-06-24</t>
        </is>
      </c>
      <c r="E74" s="33" t="n">
        <v>34.35461</v>
      </c>
      <c r="F74" s="33" t="n"/>
      <c r="G74" s="33" t="n"/>
      <c r="H74" s="33" t="n"/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t="inlineStr">
        <is>
          <t>SKYT</t>
        </is>
      </c>
      <c r="B170" t="inlineStr">
        <is>
          <t>SkyWater Technology, Inc.</t>
        </is>
      </c>
      <c r="C170" t="inlineStr">
        <is>
          <t>05 Fabs &amp; Foundries</t>
        </is>
      </c>
      <c r="D170" t="inlineStr">
        <is>
          <t>2026-07-02</t>
        </is>
      </c>
      <c r="E170" t="n">
        <v>-168.1749</v>
      </c>
      <c r="F170" t="n">
        <v>48.202</v>
      </c>
      <c r="G170" t="n">
        <v>-4.7</v>
      </c>
      <c r="H170" t="n">
        <v>3.107038</v>
      </c>
      <c r="I170">
        <f>IF(OR(E170="",R170="",R170&lt;=0,E170&lt;0),"",E170/R170)</f>
        <v/>
      </c>
      <c r="J170">
        <f>IFERROR(AVERAGE(IFERROR(IF(E170="","",IF(E170&lt;0,5,IF(E170&lt;=15,90,IF(E170&lt;=20,75,IF(E170&lt;=25,60,IF(E170&lt;=30,45,IF(E170&lt;=40,30,IF(E170&lt;=60,15,5)))))))),""),IFERROR(IF(F170="","",IF(F170&lt;0,5,IF(F170&lt;=10,90,IF(F170&lt;=15,75,IF(F170&lt;=20,60,IF(F170&lt;=25,45,IF(F170&lt;=35,30,IF(F170&lt;=50,15,5)))))))),""),IFERROR(IF(G170="","",IF(G170&gt;=8,100,IF(G170&gt;=6,90,IF(G170&gt;=4,75,IF(G170&gt;=2,60,IF(G170&gt;=1,45,IF(G170&gt;=0,30,15))))))),""),IFERROR(IF(H170="","",IF(H170&lt;=2,90,IF(H170&lt;=4,75,IF(H170&lt;=7,60,IF(H170&lt;=10,45,IF(H170&lt;=15,30,IF(H170&lt;=25,15,5))))))),""),IFERROR(IF(I170="","",IF(I170&lt;=0.5,100,IF(I170&lt;=1,90,IF(I170&lt;=1.5,75,IF(I170&lt;=2,60,IF(I170&lt;=2.5,45,IF(I170&lt;=3,30,15))))))),"")),"")</f>
        <v/>
      </c>
      <c r="L170" t="n">
        <v>19.36</v>
      </c>
      <c r="M170" t="n">
        <v>-14.62</v>
      </c>
      <c r="N170" t="n">
        <v>5.38</v>
      </c>
      <c r="O170">
        <f>IFERROR(AVERAGE(IFERROR(IF(K170="","",IF(K170&gt;=25,100,IF(K170&gt;=20,90,IF(K170&gt;=15,75,IF(K170&gt;=10,60,IF(K170&gt;=5,45,IF(K170&gt;=0,30,15))))))),""),IFERROR(IF(L170="","",IF(L170&gt;=60,100,IF(L170&gt;=50,90,IF(L170&gt;=40,75,IF(L170&gt;=30,60,IF(L170&gt;=20,45,IF(L170&gt;=10,30,15))))))),""),IFERROR(IF(M170="","",IF(M170&gt;=25,100,IF(M170&gt;=20,90,IF(M170&gt;=15,75,IF(M170&gt;=10,60,IF(M170&gt;=5,45,IF(M170&gt;=0,30,15))))))),""),IFERROR(IF(N170="","",IF(N170&lt;=0,100,IF(N170&lt;=1,90,IF(N170&lt;=2,75,IF(N170&lt;=3,60,IF(N170&lt;=4,45,IF(N170&lt;=5,30,15))))))),"")),"")</f>
        <v/>
      </c>
      <c r="P170" t="n">
        <v>27.58</v>
      </c>
      <c r="Q170" t="n">
        <v>162.1</v>
      </c>
      <c r="S170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Y170">
        <f>IFERROR(AVERAGE(T170,U170,V170,W170,X170)*20,"")</f>
        <v/>
      </c>
      <c r="AI170">
        <f>IFERROR(AVERAGE(AE170,AF170,AG170,AH170,AL170)*20,"")</f>
        <v/>
      </c>
      <c r="AJ170">
        <f>IFERROR(J170*Weights!$B$4 + O170*Weights!$B$5 + S170*Weights!$B$6 + Y170*Weights!$B$7 + AD170*Weights!$B$8 + AI170*Weights!$B$9,"")</f>
        <v/>
      </c>
    </row>
    <row r="171">
      <c r="A171" t="inlineStr">
        <is>
          <t>NTAP</t>
        </is>
      </c>
      <c r="B171" t="inlineStr">
        <is>
          <t>NetApp, Inc.</t>
        </is>
      </c>
      <c r="C171" t="inlineStr">
        <is>
          <t>08 Servers, Systems &amp; Liquid Cooling / Storage infrastructure</t>
        </is>
      </c>
      <c r="D171" t="inlineStr">
        <is>
          <t>2026-07-02</t>
        </is>
      </c>
      <c r="E171" t="n">
        <v>16.01884</v>
      </c>
      <c r="F171" t="n">
        <v>15.81</v>
      </c>
      <c r="G171" t="n">
        <v>6.05</v>
      </c>
      <c r="H171" t="n">
        <v>4.461174</v>
      </c>
      <c r="I171">
        <f>IF(OR(E171="",R171="",R171&lt;=0,E171&lt;0),"",E171/R171)</f>
        <v/>
      </c>
      <c r="J171">
        <f>IFERROR(AVERAGE(IFERROR(IF(E171="","",IF(E171&lt;0,5,IF(E171&lt;=15,90,IF(E171&lt;=20,75,IF(E171&lt;=25,60,IF(E171&lt;=30,45,IF(E171&lt;=40,30,IF(E171&lt;=60,15,5)))))))),""),IFERROR(IF(F171="","",IF(F171&lt;0,5,IF(F171&lt;=10,90,IF(F171&lt;=15,75,IF(F171&lt;=20,60,IF(F171&lt;=25,45,IF(F171&lt;=35,30,IF(F171&lt;=50,15,5)))))))),""),IFERROR(IF(G171="","",IF(G171&gt;=8,100,IF(G171&gt;=6,90,IF(G171&gt;=4,75,IF(G171&gt;=2,60,IF(G171&gt;=1,45,IF(G171&gt;=0,30,15))))))),""),IFERROR(IF(H171="","",IF(H171&lt;=2,90,IF(H171&lt;=4,75,IF(H171&lt;=7,60,IF(H171&lt;=10,45,IF(H171&lt;=15,30,IF(H171&lt;=25,15,5))))))),""),IFERROR(IF(I171="","",IF(I171&lt;=0.5,100,IF(I171&lt;=1,90,IF(I171&lt;=1.5,75,IF(I171&lt;=2,60,IF(I171&lt;=2.5,45,IF(I171&lt;=3,30,15))))))),"")),"")</f>
        <v/>
      </c>
      <c r="L171" t="n">
        <v>70.73999999999999</v>
      </c>
      <c r="M171" t="n">
        <v>26.99</v>
      </c>
      <c r="N171" t="n">
        <v>-0.45</v>
      </c>
      <c r="O171">
        <f>IFERROR(AVERAGE(IFERROR(IF(K171="","",IF(K171&gt;=25,100,IF(K171&gt;=20,90,IF(K171&gt;=15,75,IF(K171&gt;=10,60,IF(K171&gt;=5,45,IF(K171&gt;=0,30,15))))))),""),IFERROR(IF(L171="","",IF(L171&gt;=60,100,IF(L171&gt;=50,90,IF(L171&gt;=40,75,IF(L171&gt;=30,60,IF(L171&gt;=20,45,IF(L171&gt;=10,30,15))))))),""),IFERROR(IF(M171="","",IF(M171&gt;=25,100,IF(M171&gt;=20,90,IF(M171&gt;=15,75,IF(M171&gt;=10,60,IF(M171&gt;=5,45,IF(M171&gt;=0,30,15))))))),""),IFERROR(IF(N171="","",IF(N171&lt;=0,100,IF(N171&lt;=1,90,IF(N171&lt;=2,75,IF(N171&lt;=3,60,IF(N171&lt;=4,45,IF(N171&lt;=5,30,15))))))),"")),"")</f>
        <v/>
      </c>
      <c r="P171" t="n">
        <v>2.87</v>
      </c>
      <c r="Q171" t="n">
        <v>12.5</v>
      </c>
      <c r="R171" t="n">
        <v>18.8</v>
      </c>
      <c r="S171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>
        <f>IFERROR(AVERAGE(T171,U171,V171,W171,X171)*20,"")</f>
        <v/>
      </c>
      <c r="AI171">
        <f>IFERROR(AVERAGE(AE171,AF171,AG171,AH171,AL171)*20,"")</f>
        <v/>
      </c>
      <c r="AJ171">
        <f>IFERROR(J171*Weights!$B$4 + O171*Weights!$B$5 + S171*Weights!$B$6 + Y171*Weights!$B$7 + AD171*Weights!$B$8 + AI171*Weights!$B$9,"")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2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2026-07-02T15:41:20Z</dcterms:modified>
  <cp:revision>0</cp:revision>
</cp:coreProperties>
</file>