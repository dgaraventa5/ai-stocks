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EADME" sheetId="1" state="visible" r:id="rId1"/>
    <sheet name="Weights" sheetId="2" state="visible" r:id="rId2"/>
    <sheet name="Methodology" sheetId="3" state="visible" r:id="rId3"/>
    <sheet name="Watchlist" sheetId="4" state="visible" r:id="rId4"/>
    <sheet name="Rating Audit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0.0%"/>
    <numFmt numFmtId="165" formatCode="0.0\x"/>
    <numFmt numFmtId="166" formatCode="0.0\%"/>
    <numFmt numFmtId="167" formatCode="0.0"/>
    <numFmt numFmtId="168" formatCode="yyyy-mm-dd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FF"/>
      <sz val="10"/>
    </font>
    <font>
      <name val="Arial"/>
      <charset val="1"/>
      <family val="0"/>
      <i val="1"/>
      <sz val="10"/>
    </font>
    <font>
      <name val="Arial"/>
      <charset val="1"/>
      <family val="0"/>
      <i val="1"/>
      <color rgb="FFC00000"/>
      <sz val="10"/>
    </font>
    <font>
      <name val="Arial"/>
      <charset val="1"/>
      <family val="0"/>
      <i val="1"/>
      <color rgb="FF808080"/>
      <sz val="9"/>
    </font>
    <font>
      <name val="Arial"/>
      <charset val="1"/>
      <family val="0"/>
      <sz val="9"/>
    </font>
    <font>
      <name val="Arial"/>
      <charset val="1"/>
      <family val="0"/>
      <color rgb="FF000000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sz val="12"/>
    </font>
    <font>
      <b val="1"/>
      <color rgb="00FFFFFF"/>
    </font>
    <font>
      <b val="1"/>
    </font>
  </fonts>
  <fills count="22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F2F2F2"/>
      </patternFill>
    </fill>
    <fill>
      <patternFill patternType="solid">
        <fgColor rgb="FF4472C4"/>
        <bgColor rgb="FF2E75B6"/>
      </patternFill>
    </fill>
    <fill>
      <patternFill patternType="solid">
        <fgColor rgb="FF8FAADC"/>
        <bgColor rgb="FF969696"/>
      </patternFill>
    </fill>
    <fill>
      <patternFill patternType="solid">
        <fgColor rgb="FF2E75B6"/>
        <bgColor rgb="FF4472C4"/>
      </patternFill>
    </fill>
    <fill>
      <patternFill patternType="solid">
        <fgColor rgb="FFA9D18E"/>
        <bgColor rgb="FFC9C9C9"/>
      </patternFill>
    </fill>
    <fill>
      <patternFill patternType="solid">
        <fgColor rgb="FF548235"/>
        <bgColor rgb="FF339966"/>
      </patternFill>
    </fill>
    <fill>
      <patternFill patternType="solid">
        <fgColor rgb="FFFFD966"/>
        <bgColor rgb="FFFFE699"/>
      </patternFill>
    </fill>
    <fill>
      <patternFill patternType="solid">
        <fgColor rgb="FFBF8F00"/>
        <bgColor rgb="FFC65911"/>
      </patternFill>
    </fill>
    <fill>
      <patternFill patternType="solid">
        <fgColor rgb="FFF4B084"/>
        <bgColor rgb="FFD5A6BD"/>
      </patternFill>
    </fill>
    <fill>
      <patternFill patternType="solid">
        <fgColor rgb="FFC65911"/>
        <bgColor rgb="FF993300"/>
      </patternFill>
    </fill>
    <fill>
      <patternFill patternType="solid">
        <fgColor rgb="FFC9C9C9"/>
        <bgColor rgb="FFD9E1F2"/>
      </patternFill>
    </fill>
    <fill>
      <patternFill patternType="solid">
        <fgColor rgb="FF595959"/>
        <bgColor rgb="FF548235"/>
      </patternFill>
    </fill>
    <fill>
      <patternFill patternType="solid">
        <fgColor rgb="FFD5A6BD"/>
        <bgColor rgb="FFF4B084"/>
      </patternFill>
    </fill>
    <fill>
      <patternFill patternType="solid">
        <fgColor rgb="FFA64D79"/>
        <bgColor rgb="FF993366"/>
      </patternFill>
    </fill>
    <fill>
      <patternFill patternType="solid">
        <fgColor rgb="FFFFC000"/>
        <bgColor rgb="FFFFD966"/>
      </patternFill>
    </fill>
    <fill>
      <patternFill patternType="solid">
        <fgColor rgb="FFFFE699"/>
        <bgColor rgb="FFFFD966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3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15" fillId="21" borderId="0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0" fontId="16" fillId="0" borderId="0" pivotButton="0" quotePrefix="0" xfId="0"/>
    <xf numFmtId="167" fontId="7" fillId="0" borderId="1" applyAlignment="1" pivotButton="0" quotePrefix="0" xfId="0">
      <alignment horizontal="center" vertical="bottom"/>
    </xf>
    <xf numFmtId="167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C9C9C9"/>
      <rgbColor rgb="FF808080"/>
      <rgbColor rgb="FF8FAADC"/>
      <rgbColor rgb="FFA64D79"/>
      <rgbColor rgb="FFF2F2F2"/>
      <rgbColor rgb="FFCCFFFF"/>
      <rgbColor rgb="FF660066"/>
      <rgbColor rgb="FFFF8080"/>
      <rgbColor rgb="FF2E75B6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A9D18E"/>
      <rgbColor rgb="FFF4B084"/>
      <rgbColor rgb="FFD5A6BD"/>
      <rgbColor rgb="FFFFD966"/>
      <rgbColor rgb="FF4472C4"/>
      <rgbColor rgb="FF33CCCC"/>
      <rgbColor rgb="FF99CC00"/>
      <rgbColor rgb="FFFFC000"/>
      <rgbColor rgb="FFBF8F00"/>
      <rgbColor rgb="FFC65911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5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5" customWidth="1" style="33" min="1" max="1"/>
  </cols>
  <sheetData>
    <row r="1" ht="15" customHeight="1" s="34">
      <c r="A1" s="35" t="inlineStr">
        <is>
          <t>AI Infrastructure Stock Scoring System</t>
        </is>
      </c>
    </row>
    <row r="2" ht="15" customHeight="1" s="34">
      <c r="A2" s="36" t="n"/>
    </row>
    <row r="3" ht="15" customHeight="1" s="34">
      <c r="A3" s="35" t="inlineStr">
        <is>
          <t>PURPOSE</t>
        </is>
      </c>
    </row>
    <row r="4" ht="15" customHeight="1" s="34">
      <c r="A4" s="36" t="inlineStr">
        <is>
          <t>Rank AI supply chain stocks on a 0-100 scale to prioritize which names deserve a deep-dive.</t>
        </is>
      </c>
    </row>
    <row r="5" ht="15" customHeight="1" s="34">
      <c r="A5" s="36" t="inlineStr">
        <is>
          <t>The score is NOT a buy/sell signal. It's a triage tool.</t>
        </is>
      </c>
    </row>
    <row r="6" ht="15" customHeight="1" s="34">
      <c r="A6" s="36" t="n"/>
    </row>
    <row r="7" ht="15" customHeight="1" s="34">
      <c r="A7" s="35" t="inlineStr">
        <is>
          <t>HOW IT WORKS</t>
        </is>
      </c>
    </row>
    <row r="8" ht="15" customHeight="1" s="34">
      <c r="A8" s="36" t="inlineStr">
        <is>
          <t>6 categories, each scored 0-100, then weighted into a single total.</t>
        </is>
      </c>
    </row>
    <row r="9" ht="15" customHeight="1" s="34">
      <c r="A9" s="36" t="inlineStr">
        <is>
          <t>Each category has 3-5 sub-metrics with thresholds defined on the Methodology sheet.</t>
        </is>
      </c>
    </row>
    <row r="10" ht="15" customHeight="1" s="34">
      <c r="A10" s="36" t="n"/>
    </row>
    <row r="11" ht="15" customHeight="1" s="34">
      <c r="A11" s="35" t="inlineStr">
        <is>
          <t>CATEGORIES &amp; DEFAULT WEIGHTS</t>
        </is>
      </c>
    </row>
    <row r="12" ht="15" customHeight="1" s="34">
      <c r="A12" s="36" t="inlineStr">
        <is>
          <t>Value (20%)       - Is the price reasonable vs. fundamentals?</t>
        </is>
      </c>
    </row>
    <row r="13" ht="15" customHeight="1" s="34">
      <c r="A13" s="36" t="inlineStr">
        <is>
          <t>Quality (20%)     - Is the business well-run and financially sound?</t>
        </is>
      </c>
    </row>
    <row r="14" ht="15" customHeight="1" s="34">
      <c r="A14" s="36" t="inlineStr">
        <is>
          <t>Growth (15%)      - Is the company growing meaningfully?</t>
        </is>
      </c>
    </row>
    <row r="15" ht="15" customHeight="1" s="34">
      <c r="A15" s="36" t="inlineStr">
        <is>
          <t>AI Thesis (20%)   - How strong is the AI infrastructure exposure?</t>
        </is>
      </c>
    </row>
    <row r="16" ht="15" customHeight="1" s="34">
      <c r="A16" s="36" t="inlineStr">
        <is>
          <t>Momentum (10%)    - Are estimates rising and price acting well?</t>
        </is>
      </c>
    </row>
    <row r="17" ht="15" customHeight="1" s="34">
      <c r="A17" s="36" t="inlineStr">
        <is>
          <t>Risk (15%)        - What concentration / geographic / regulatory risk exists?</t>
        </is>
      </c>
    </row>
    <row r="18" ht="15" customHeight="1" s="34">
      <c r="A18" s="36" t="n"/>
    </row>
    <row r="19" ht="15" customHeight="1" s="34">
      <c r="A19" s="36" t="inlineStr">
        <is>
          <t>Weights are adjustable on the Weights sheet. Sum must equal 100%.</t>
        </is>
      </c>
    </row>
    <row r="20" ht="15" customHeight="1" s="34">
      <c r="A20" s="36" t="n"/>
    </row>
    <row r="21" ht="15" customHeight="1" s="34">
      <c r="A21" s="35" t="inlineStr">
        <is>
          <t>CONVICTION TIERS (from Total Score)</t>
        </is>
      </c>
    </row>
    <row r="22" ht="15" customHeight="1" s="34">
      <c r="A22" s="36" t="inlineStr">
        <is>
          <t>85-100   ✓✓✓  Top tier - deep-dive immediately, candidate for core position</t>
        </is>
      </c>
    </row>
    <row r="23" ht="15" customHeight="1" s="34">
      <c r="A23" s="36" t="inlineStr">
        <is>
          <t>70-84    ✓✓   Strong - add to active watchlist, consider initiating</t>
        </is>
      </c>
    </row>
    <row r="24" ht="15" customHeight="1" s="34">
      <c r="A24" s="36" t="inlineStr">
        <is>
          <t>55-69    ✓    Average - monitor for catalysts</t>
        </is>
      </c>
    </row>
    <row r="25" ht="15" customHeight="1" s="34">
      <c r="A25" s="36" t="inlineStr">
        <is>
          <t>40-54    ?    Below average - skip unless specific catalyst</t>
        </is>
      </c>
    </row>
    <row r="26" ht="15" customHeight="1" s="34">
      <c r="A26" s="36" t="inlineStr">
        <is>
          <t>0-39     ✗    Avoid</t>
        </is>
      </c>
    </row>
    <row r="27" ht="15" customHeight="1" s="34">
      <c r="A27" s="36" t="n"/>
    </row>
    <row r="28" ht="15" customHeight="1" s="34">
      <c r="A28" s="35" t="inlineStr">
        <is>
          <t>HOW TO USE</t>
        </is>
      </c>
    </row>
    <row r="29" ht="15" customHeight="1" s="34">
      <c r="A29" s="36" t="inlineStr">
        <is>
          <t>1. On the Watchlist sheet, add ticker, company, and layer in columns A-C.</t>
        </is>
      </c>
    </row>
    <row r="30" ht="15" customHeight="1" s="34">
      <c r="A30" s="36" t="inlineStr">
        <is>
          <t>2. Fill in BLUE input cells with raw financial data (use Cowork to fetch from EDGAR/FMP).</t>
        </is>
      </c>
    </row>
    <row r="31" ht="15" customHeight="1" s="34">
      <c r="A31" s="36" t="inlineStr">
        <is>
          <t>3. Fill in 1-5 subjective ratings for AI Thesis, Momentum, and Risk columns.</t>
        </is>
      </c>
    </row>
    <row r="32" ht="15" customHeight="1" s="34">
      <c r="A32" s="36" t="inlineStr">
        <is>
          <t>4. Subscores and Total Score calculate automatically.</t>
        </is>
      </c>
    </row>
    <row r="33" ht="15" customHeight="1" s="34">
      <c r="A33" s="36" t="inlineStr">
        <is>
          <t>5. Sort the Watchlist by Total Score (descending) to see your priority queue.</t>
        </is>
      </c>
    </row>
    <row r="34" ht="15" customHeight="1" s="34">
      <c r="A34" s="36" t="inlineStr">
        <is>
          <t>6. Re-run quarterly. Track score changes over time to see thesis strength evolving.</t>
        </is>
      </c>
    </row>
    <row r="35" ht="15" customHeight="1" s="34">
      <c r="A35" s="36" t="n"/>
    </row>
    <row r="36" ht="15" customHeight="1" s="34">
      <c r="A36" s="35" t="inlineStr">
        <is>
          <t>INPUT COLOR CODES</t>
        </is>
      </c>
    </row>
    <row r="37" ht="15" customHeight="1" s="34">
      <c r="A37" s="36" t="inlineStr">
        <is>
          <t>Blue text       = inputs you provide</t>
        </is>
      </c>
    </row>
    <row r="38" ht="15" customHeight="1" s="34">
      <c r="A38" s="36" t="inlineStr">
        <is>
          <t>Black text      = formulas (don't edit)</t>
        </is>
      </c>
    </row>
    <row r="39" ht="15" customHeight="1" s="34">
      <c r="A39" s="36" t="inlineStr">
        <is>
          <t>Yellow shaded   = key assumption / needs attention</t>
        </is>
      </c>
    </row>
    <row r="40" ht="15" customHeight="1" s="34">
      <c r="A40" s="36" t="n"/>
    </row>
    <row r="41" ht="15" customHeight="1" s="34">
      <c r="A41" s="35" t="inlineStr">
        <is>
          <t>DATA SOURCES (suggested for Cowork to pull from)</t>
        </is>
      </c>
    </row>
    <row r="42" ht="15" customHeight="1" s="34">
      <c r="A42" s="36" t="inlineStr">
        <is>
          <t>SEC EDGAR        - 10-K, 10-Q, 8-K filings (free)</t>
        </is>
      </c>
    </row>
    <row r="43" ht="15" customHeight="1" s="34">
      <c r="A43" s="36" t="inlineStr">
        <is>
          <t>FMP API          - financial ratios, valuation multiples (~$15-30/mo)</t>
        </is>
      </c>
    </row>
    <row r="44" ht="15" customHeight="1" s="34">
      <c r="A44" s="36" t="inlineStr">
        <is>
          <t>Polygon.io       - similar coverage, alternative to FMP</t>
        </is>
      </c>
    </row>
    <row r="45" ht="15" customHeight="1" s="34">
      <c r="A45" s="36" t="inlineStr">
        <is>
          <t>Company IR pages - earnings calls, investor presentations</t>
        </is>
      </c>
    </row>
    <row r="46" ht="15" customHeight="1" s="34">
      <c r="A46" s="36" t="n"/>
    </row>
    <row r="47" ht="15" customHeight="1" s="34">
      <c r="A47" s="35" t="inlineStr">
        <is>
          <t>IMPORTANT</t>
        </is>
      </c>
    </row>
    <row r="48" ht="15" customHeight="1" s="34">
      <c r="A48" s="36" t="inlineStr">
        <is>
          <t>This scoring system is a triage tool. It does not replace judgment.</t>
        </is>
      </c>
    </row>
    <row r="49" ht="15" customHeight="1" s="34">
      <c r="A49" s="36" t="inlineStr">
        <is>
          <t>A high score means 'worth your time to dig in,' not 'buy now.'</t>
        </is>
      </c>
    </row>
    <row r="50" ht="15" customHeight="1" s="34">
      <c r="A50" s="36" t="inlineStr">
        <is>
          <t>A low score might still warrant a position if you have specific insight.</t>
        </is>
      </c>
    </row>
    <row r="51" ht="15" customHeight="1" s="34">
      <c r="A51" s="36" t="inlineStr">
        <is>
          <t>Quarterly: re-run the scores, and grade yourself on whether last quarter's picks worked.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8" customWidth="1" style="33" min="1" max="1"/>
    <col width="13" customWidth="1" style="33" min="2" max="2"/>
    <col width="45" customWidth="1" style="33" min="3" max="3"/>
  </cols>
  <sheetData>
    <row r="1" ht="15" customHeight="1" s="34">
      <c r="A1" s="37" t="inlineStr">
        <is>
          <t>Category Weights</t>
        </is>
      </c>
    </row>
    <row r="3" ht="15" customHeight="1" s="34">
      <c r="A3" s="38" t="inlineStr">
        <is>
          <t>Category</t>
        </is>
      </c>
      <c r="B3" s="38" t="inlineStr">
        <is>
          <t>Weight (%)</t>
        </is>
      </c>
      <c r="C3" s="38" t="inlineStr">
        <is>
          <t>Notes</t>
        </is>
      </c>
    </row>
    <row r="4" ht="15" customHeight="1" s="34">
      <c r="A4" s="35" t="inlineStr">
        <is>
          <t>Value</t>
        </is>
      </c>
      <c r="B4" s="39" t="n">
        <v>0.2</v>
      </c>
      <c r="C4" s="40" t="inlineStr">
        <is>
          <t>Is the price reasonable?</t>
        </is>
      </c>
    </row>
    <row r="5" ht="15" customHeight="1" s="34">
      <c r="A5" s="35" t="inlineStr">
        <is>
          <t>Quality</t>
        </is>
      </c>
      <c r="B5" s="39" t="n">
        <v>0.2</v>
      </c>
      <c r="C5" s="40" t="inlineStr">
        <is>
          <t>Is the business well-run?</t>
        </is>
      </c>
    </row>
    <row r="6" ht="15" customHeight="1" s="34">
      <c r="A6" s="35" t="inlineStr">
        <is>
          <t>Growth</t>
        </is>
      </c>
      <c r="B6" s="39" t="n">
        <v>0.15</v>
      </c>
      <c r="C6" s="40" t="inlineStr">
        <is>
          <t>Is it growing?</t>
        </is>
      </c>
    </row>
    <row r="7" ht="15" customHeight="1" s="34">
      <c r="A7" s="35" t="inlineStr">
        <is>
          <t>AI Thesis</t>
        </is>
      </c>
      <c r="B7" s="39" t="n">
        <v>0.2</v>
      </c>
      <c r="C7" s="40" t="inlineStr">
        <is>
          <t>How strong is AI exposure?</t>
        </is>
      </c>
    </row>
    <row r="8" ht="15" customHeight="1" s="34">
      <c r="A8" s="35" t="inlineStr">
        <is>
          <t>Momentum</t>
        </is>
      </c>
      <c r="B8" s="39" t="n">
        <v>0.1</v>
      </c>
      <c r="C8" s="40" t="inlineStr">
        <is>
          <t>Are estimates and price improving?</t>
        </is>
      </c>
    </row>
    <row r="9" ht="15" customHeight="1" s="34">
      <c r="A9" s="35" t="inlineStr">
        <is>
          <t>Risk</t>
        </is>
      </c>
      <c r="B9" s="39" t="n">
        <v>0.15</v>
      </c>
      <c r="C9" s="40" t="inlineStr">
        <is>
          <t>Concentration / geographic / regulatory</t>
        </is>
      </c>
    </row>
    <row r="10" ht="15" customHeight="1" s="34">
      <c r="A10" s="35" t="inlineStr">
        <is>
          <t>TOTAL</t>
        </is>
      </c>
      <c r="B10" s="41">
        <f>SUM(B4:B9)</f>
        <v/>
      </c>
    </row>
    <row r="12" ht="15" customHeight="1" s="34">
      <c r="A12" s="42" t="inlineStr">
        <is>
          <t>⚠️ Weights must sum to 100%. Adjust the yellow cells above.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4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0" customWidth="1" style="33" min="1" max="1"/>
    <col width="14" customWidth="1" style="33" min="2" max="8"/>
    <col width="50" customWidth="1" style="34" min="10" max="10"/>
  </cols>
  <sheetData>
    <row r="1" ht="15" customHeight="1" s="34">
      <c r="A1" s="37" t="inlineStr">
        <is>
          <t>Scoring Methodology - Threshold Bands</t>
        </is>
      </c>
    </row>
    <row r="3" ht="15" customHeight="1" s="34">
      <c r="A3" s="33" t="inlineStr">
        <is>
          <t>Each metric is converted to a 0-100 score using the bands below.</t>
        </is>
      </c>
    </row>
    <row r="4" ht="15" customHeight="1" s="34">
      <c r="A4" s="33" t="inlineStr">
        <is>
          <t>Subscores are computed as the average of the metrics within each category.</t>
        </is>
      </c>
    </row>
    <row r="5" ht="18" customHeight="1" s="34">
      <c r="A5" s="33" t="inlineStr">
        <is>
          <t>Edit the threshold cells (blue) if you want to tighten or loosen any standard.</t>
        </is>
      </c>
    </row>
    <row r="7" ht="15" customHeight="1" s="34">
      <c r="A7" s="43" t="inlineStr">
        <is>
          <t>VALUE</t>
        </is>
      </c>
      <c r="J7" s="69" t="inlineStr">
        <is>
          <t>Negative-value note</t>
        </is>
      </c>
    </row>
    <row r="8" ht="15" customHeight="1" s="34">
      <c r="A8" s="33" t="inlineStr">
        <is>
          <t xml:space="preserve">  └ Layer 10 carve-out (rule 10, 2026-05-26): col F holds EV/FCF (statement TTM FCF)</t>
        </is>
      </c>
      <c r="B8" s="33" t="inlineStr">
        <is>
          <t>Threshold:</t>
        </is>
      </c>
      <c r="C8" s="33" t="inlineStr">
        <is>
          <t>≤20 → 100</t>
        </is>
      </c>
      <c r="D8" s="33" t="inlineStr">
        <is>
          <t>≤30 → 90</t>
        </is>
      </c>
      <c r="E8" s="33" t="inlineStr">
        <is>
          <t>≤40 → 75</t>
        </is>
      </c>
      <c r="F8" s="33" t="inlineStr">
        <is>
          <t>≤55 → 60</t>
        </is>
      </c>
      <c r="G8" s="33" t="inlineStr">
        <is>
          <t>≤75 → 45</t>
        </is>
      </c>
      <c r="H8" s="33" t="inlineStr">
        <is>
          <t>≤100 → 30</t>
        </is>
      </c>
      <c r="I8" s="33" t="inlineStr">
        <is>
          <t>&gt;100 → 15</t>
        </is>
      </c>
      <c r="J8" s="33" t="inlineStr">
        <is>
          <t>Negative FCF → 5. Bands were documented in CLAUDE.md 2026-05-26 but only implemented in formulas 2026-06-12 (rebuild_watchlist_formulas.py).</t>
        </is>
      </c>
    </row>
    <row r="9" ht="15" customHeight="1" s="34">
      <c r="A9" s="33" t="inlineStr">
        <is>
          <t xml:space="preserve">  └ Layer 9 capacity carve-out (rule 13, 2026-06-12): col F holds EV / secured gross MW ($M/MW)</t>
        </is>
      </c>
      <c r="B9" s="33" t="inlineStr">
        <is>
          <t>Threshold:</t>
        </is>
      </c>
      <c r="C9" s="33" t="inlineStr">
        <is>
          <t>≤2 → 100</t>
        </is>
      </c>
      <c r="D9" s="33" t="inlineStr">
        <is>
          <t>≤4 → 90</t>
        </is>
      </c>
      <c r="E9" s="33" t="inlineStr">
        <is>
          <t>≤6 → 75</t>
        </is>
      </c>
      <c r="F9" s="33" t="inlineStr">
        <is>
          <t>≤9 → 60</t>
        </is>
      </c>
      <c r="G9" s="33" t="inlineStr">
        <is>
          <t>≤12 → 45</t>
        </is>
      </c>
      <c r="H9" s="33" t="inlineStr">
        <is>
          <t>≤18 → 30</t>
        </is>
      </c>
      <c r="I9" s="33" t="inlineStr">
        <is>
          <t>&gt;18 → 15</t>
        </is>
      </c>
      <c r="J9" s="33" t="inlineStr">
        <is>
          <t>Cohort: Layer 9 bitcoin-miner pivots + neoclouds (hyperscalers excluded). MW data + provenance: 00-master/capacity-mw.json. Anchor: ~$9-10M/gross-MW AI DC replacement cost at the 45/60 boundary. IT-load-only disclosures converted ×1.25 (flagged in json).</t>
        </is>
      </c>
    </row>
    <row r="10" ht="15" customHeight="1" s="34">
      <c r="A10" s="40" t="inlineStr">
        <is>
          <t>Forward P/E (lower = better)</t>
        </is>
      </c>
      <c r="B10" s="44" t="inlineStr">
        <is>
          <t>Threshold:</t>
        </is>
      </c>
      <c r="C10" s="45" t="inlineStr">
        <is>
          <t>≥0 → 100</t>
        </is>
      </c>
      <c r="D10" s="45" t="inlineStr">
        <is>
          <t>≥15 → 90</t>
        </is>
      </c>
      <c r="E10" s="45" t="inlineStr">
        <is>
          <t>≥20 → 75</t>
        </is>
      </c>
      <c r="F10" s="45" t="inlineStr">
        <is>
          <t>≥25 → 60</t>
        </is>
      </c>
      <c r="G10" s="45" t="inlineStr">
        <is>
          <t>≥30 → 45</t>
        </is>
      </c>
      <c r="H10" s="45" t="inlineStr">
        <is>
          <t>≥40 → 30</t>
        </is>
      </c>
      <c r="I10" s="45" t="inlineStr">
        <is>
          <t>≥60 → 15</t>
        </is>
      </c>
      <c r="J10" s="68" t="inlineStr">
        <is>
          <t>If Fwd P/E &lt; 0 (forward EPS estimate negative — losing money), returns 5 (worst band). Patched 2026-05-18.</t>
        </is>
      </c>
    </row>
    <row r="11" ht="15" customHeight="1" s="34">
      <c r="A11" s="40" t="inlineStr">
        <is>
          <t>EV/EBITDA (lower = better)</t>
        </is>
      </c>
      <c r="B11" s="44" t="inlineStr">
        <is>
          <t>Threshold:</t>
        </is>
      </c>
      <c r="C11" s="45" t="inlineStr">
        <is>
          <t>≥0 → 100</t>
        </is>
      </c>
      <c r="D11" s="45" t="inlineStr">
        <is>
          <t>≥10 → 90</t>
        </is>
      </c>
      <c r="E11" s="45" t="inlineStr">
        <is>
          <t>≥15 → 75</t>
        </is>
      </c>
      <c r="F11" s="45" t="inlineStr">
        <is>
          <t>≥20 → 60</t>
        </is>
      </c>
      <c r="G11" s="45" t="inlineStr">
        <is>
          <t>≥25 → 45</t>
        </is>
      </c>
      <c r="H11" s="45" t="inlineStr">
        <is>
          <t>≥35 → 30</t>
        </is>
      </c>
      <c r="I11" s="45" t="inlineStr">
        <is>
          <t>≥50 → 15</t>
        </is>
      </c>
      <c r="J11" s="68" t="inlineStr">
        <is>
          <t>If EV/EBITDA &lt; 0 (negative EBITDA — operations unprofitable), returns 5 (worst band). Patched 2026-05-18.</t>
        </is>
      </c>
    </row>
    <row r="12">
      <c r="A12" s="40" t="inlineStr">
        <is>
          <t>FCF Yield % (higher = better)</t>
        </is>
      </c>
      <c r="B12" s="44" t="inlineStr">
        <is>
          <t>Threshold:</t>
        </is>
      </c>
      <c r="C12" s="45" t="inlineStr">
        <is>
          <t>≥8 → 100</t>
        </is>
      </c>
      <c r="D12" s="45" t="inlineStr">
        <is>
          <t>≥6 → 90</t>
        </is>
      </c>
      <c r="E12" s="45" t="inlineStr">
        <is>
          <t>≥4 → 75</t>
        </is>
      </c>
      <c r="F12" s="45" t="inlineStr">
        <is>
          <t>≥2 → 60</t>
        </is>
      </c>
      <c r="G12" s="45" t="inlineStr">
        <is>
          <t>≥1 → 45</t>
        </is>
      </c>
      <c r="H12" s="45" t="inlineStr">
        <is>
          <t>≥0 → 30</t>
        </is>
      </c>
      <c r="I12" s="45" t="inlineStr">
        <is>
          <t>≥-2 → 15</t>
        </is>
      </c>
    </row>
    <row r="13" ht="15" customHeight="1" s="34">
      <c r="A13" s="40" t="inlineStr">
        <is>
          <t>Price / Sales (lower = better)</t>
        </is>
      </c>
      <c r="I13" s="45" t="inlineStr">
        <is>
          <t>≥25 → 15</t>
        </is>
      </c>
    </row>
    <row r="14" ht="15" customHeight="1" s="34">
      <c r="A14" s="33" t="inlineStr">
        <is>
          <t>PEG Ratio (lower = better)</t>
        </is>
      </c>
      <c r="B14" s="33" t="inlineStr">
        <is>
          <t>Threshold:</t>
        </is>
      </c>
      <c r="C14" s="33" t="inlineStr">
        <is>
          <t>≤0.5 → 100</t>
        </is>
      </c>
      <c r="D14" s="33" t="inlineStr">
        <is>
          <t>≤1.0 → 90</t>
        </is>
      </c>
      <c r="E14" s="33" t="inlineStr">
        <is>
          <t>≤1.5 → 75</t>
        </is>
      </c>
      <c r="F14" s="33" t="inlineStr">
        <is>
          <t>≤2.0 → 60</t>
        </is>
      </c>
      <c r="G14" s="33" t="inlineStr">
        <is>
          <t>≤2.5 → 45</t>
        </is>
      </c>
      <c r="H14" s="33" t="inlineStr">
        <is>
          <t>≤3.0 → 30</t>
        </is>
      </c>
      <c r="I14" s="33" t="inlineStr">
        <is>
          <t>&gt;3.0 → 15</t>
        </is>
      </c>
      <c r="J14" s="33" t="inlineStr">
        <is>
          <t>PEG = Fwd P/E ÷ EPS Growth %. Undefined when EPS growth ≤ 0 (excluded from avg).</t>
        </is>
      </c>
    </row>
    <row r="15" ht="15" customHeight="1" s="34"/>
    <row r="16" ht="15" customHeight="1" s="34">
      <c r="A16" s="43" t="inlineStr">
        <is>
          <t>QUALITY</t>
        </is>
      </c>
    </row>
    <row r="17" ht="15" customHeight="1" s="34">
      <c r="A17" s="40" t="inlineStr">
        <is>
          <t>ROIC % (higher = better)</t>
        </is>
      </c>
      <c r="B17" s="44" t="inlineStr">
        <is>
          <t>Threshold:</t>
        </is>
      </c>
      <c r="C17" s="45" t="inlineStr">
        <is>
          <t>≥25 → 100</t>
        </is>
      </c>
      <c r="D17" s="45" t="inlineStr">
        <is>
          <t>≥20 → 90</t>
        </is>
      </c>
      <c r="E17" s="45" t="inlineStr">
        <is>
          <t>≥15 → 75</t>
        </is>
      </c>
      <c r="F17" s="45" t="inlineStr">
        <is>
          <t>≥10 → 60</t>
        </is>
      </c>
      <c r="G17" s="45" t="inlineStr">
        <is>
          <t>≥5 → 45</t>
        </is>
      </c>
      <c r="H17" s="45" t="inlineStr">
        <is>
          <t>≥0 → 30</t>
        </is>
      </c>
      <c r="I17" s="45" t="inlineStr">
        <is>
          <t>≥-5 → 15</t>
        </is>
      </c>
    </row>
    <row r="18">
      <c r="A18" s="40" t="inlineStr">
        <is>
          <t>Gross Margin % (higher = better)</t>
        </is>
      </c>
      <c r="B18" s="44" t="inlineStr">
        <is>
          <t>Threshold:</t>
        </is>
      </c>
      <c r="C18" s="45" t="inlineStr">
        <is>
          <t>≥60 → 100</t>
        </is>
      </c>
      <c r="D18" s="45" t="inlineStr">
        <is>
          <t>≥50 → 90</t>
        </is>
      </c>
      <c r="E18" s="45" t="inlineStr">
        <is>
          <t>≥40 → 75</t>
        </is>
      </c>
      <c r="F18" s="45" t="inlineStr">
        <is>
          <t>≥30 → 60</t>
        </is>
      </c>
      <c r="G18" s="45" t="inlineStr">
        <is>
          <t>≥20 → 45</t>
        </is>
      </c>
      <c r="H18" s="45" t="inlineStr">
        <is>
          <t>≥10 → 30</t>
        </is>
      </c>
      <c r="I18" s="45" t="inlineStr">
        <is>
          <t>≥0 → 15</t>
        </is>
      </c>
    </row>
    <row r="19" ht="15" customHeight="1" s="34">
      <c r="A19" s="40" t="inlineStr">
        <is>
          <t>FCF Margin % (higher = better)</t>
        </is>
      </c>
      <c r="I19" s="45" t="inlineStr">
        <is>
          <t>≥-10 → 15</t>
        </is>
      </c>
    </row>
    <row r="20" ht="15" customHeight="1" s="34">
      <c r="A20" s="40" t="inlineStr">
        <is>
          <t>Net Debt / EBITDA (lower = better)</t>
        </is>
      </c>
      <c r="B20" s="44" t="inlineStr">
        <is>
          <t>Threshold:</t>
        </is>
      </c>
      <c r="C20" s="45" t="inlineStr">
        <is>
          <t>≥0 → 100</t>
        </is>
      </c>
      <c r="D20" s="45" t="inlineStr">
        <is>
          <t>≥1 → 90</t>
        </is>
      </c>
      <c r="E20" s="45" t="inlineStr">
        <is>
          <t>≥2 → 75</t>
        </is>
      </c>
      <c r="F20" s="45" t="inlineStr">
        <is>
          <t>≥3 → 60</t>
        </is>
      </c>
      <c r="G20" s="45" t="inlineStr">
        <is>
          <t>≥4 → 45</t>
        </is>
      </c>
      <c r="H20" s="45" t="inlineStr">
        <is>
          <t>≥5 → 30</t>
        </is>
      </c>
      <c r="I20" s="45" t="inlineStr">
        <is>
          <t>≥7 → 15</t>
        </is>
      </c>
      <c r="J20" s="68" t="inlineStr">
        <is>
          <t>ND/EBITDA can be negative two ways: (a) net cash with positive EBITDA = 100 (correct); (b) negative EBITDA = treated as 100 (WRONG — see batch_score.py guard that excludes when EBITDA&lt;0).</t>
        </is>
      </c>
    </row>
    <row r="21" ht="15" customHeight="1" s="34"/>
    <row r="22" ht="15" customHeight="1" s="34">
      <c r="A22" s="43" t="inlineStr">
        <is>
          <t>GROWTH</t>
        </is>
      </c>
    </row>
    <row r="23">
      <c r="A23" s="40" t="inlineStr">
        <is>
          <t>Revenue 3yr CAGR % (higher = better)</t>
        </is>
      </c>
      <c r="B23" s="44" t="inlineStr">
        <is>
          <t>Threshold:</t>
        </is>
      </c>
      <c r="C23" s="45" t="inlineStr">
        <is>
          <t>≥40 → 100</t>
        </is>
      </c>
      <c r="D23" s="45" t="inlineStr">
        <is>
          <t>≥30 → 90</t>
        </is>
      </c>
      <c r="E23" s="45" t="inlineStr">
        <is>
          <t>≥20 → 75</t>
        </is>
      </c>
      <c r="F23" s="45" t="inlineStr">
        <is>
          <t>≥15 → 60</t>
        </is>
      </c>
      <c r="G23" s="45" t="inlineStr">
        <is>
          <t>≥10 → 45</t>
        </is>
      </c>
      <c r="H23" s="45" t="inlineStr">
        <is>
          <t>≥5 → 30</t>
        </is>
      </c>
      <c r="I23" s="45" t="inlineStr">
        <is>
          <t>≥0 → 15</t>
        </is>
      </c>
    </row>
    <row r="24" ht="15" customHeight="1" s="34">
      <c r="A24" s="40" t="inlineStr">
        <is>
          <t>Revenue YoY % most recent qtr</t>
        </is>
      </c>
      <c r="I24" s="45" t="inlineStr">
        <is>
          <t>≥-10 → 15</t>
        </is>
      </c>
    </row>
    <row r="25" ht="15" customHeight="1" s="34">
      <c r="A25" s="40" t="inlineStr">
        <is>
          <t>EPS Growth YoY %</t>
        </is>
      </c>
      <c r="B25" s="44" t="inlineStr">
        <is>
          <t>Threshold:</t>
        </is>
      </c>
      <c r="C25" s="45" t="inlineStr">
        <is>
          <t>≥40 → 100</t>
        </is>
      </c>
      <c r="D25" s="45" t="inlineStr">
        <is>
          <t>≥30 → 90</t>
        </is>
      </c>
      <c r="E25" s="45" t="inlineStr">
        <is>
          <t>≥20 → 75</t>
        </is>
      </c>
      <c r="F25" s="45" t="inlineStr">
        <is>
          <t>≥10 → 60</t>
        </is>
      </c>
      <c r="G25" s="45" t="inlineStr">
        <is>
          <t>≥0 → 45</t>
        </is>
      </c>
      <c r="H25" s="45" t="inlineStr">
        <is>
          <t>≥-10 → 30</t>
        </is>
      </c>
      <c r="I25" s="45" t="inlineStr">
        <is>
          <t>≥-25 → 15</t>
        </is>
      </c>
      <c r="J25" s="33" t="inlineStr">
        <is>
          <t>Rule 15 (2026-06-12): blank this input when the YoY change is dominated by disclosed non-operating one-time items (divestiture gains, FV swings) — applied on documented evidence per name, not mechanically on magnitude. First application: GEV (Prolec gain).</t>
        </is>
      </c>
    </row>
    <row r="26" ht="15" customHeight="1" s="34"/>
    <row r="27" ht="15" customHeight="1" s="34">
      <c r="A27" s="43" t="inlineStr">
        <is>
          <t>AI THESIS (subjective 1-5, score = rating × 20)</t>
        </is>
      </c>
    </row>
    <row r="28" ht="15" customHeight="1" s="34">
      <c r="A28" s="40" t="inlineStr">
        <is>
          <t>AI Revenue % of total (1=&lt;5%, 5=&gt;50%)</t>
        </is>
      </c>
    </row>
    <row r="29" ht="15" customHeight="1" s="34">
      <c r="A29" s="40" t="inlineStr">
        <is>
          <t>Supply Chain Position (1=downstream/commodity, 5=upstream/bottleneck)</t>
        </is>
      </c>
    </row>
    <row r="30">
      <c r="A30" s="40" t="inlineStr">
        <is>
          <t>Moat Strength (1=none, 5=durable)</t>
        </is>
      </c>
    </row>
    <row r="31" ht="15" customHeight="1" s="34">
      <c r="A31" s="40" t="inlineStr">
        <is>
          <t>Capacity Expansion (1=shrinking, 5=major buildout)</t>
        </is>
      </c>
    </row>
    <row r="32" ht="15" customHeight="1" s="34">
      <c r="A32" s="40" t="inlineStr">
        <is>
          <t>Hyperscaler Exposure (1=none, 5=multiple anchor customers)</t>
        </is>
      </c>
    </row>
    <row r="33" ht="15" customHeight="1" s="34"/>
    <row r="34" ht="15" customHeight="1" s="34">
      <c r="A34" s="43" t="inlineStr">
        <is>
          <t>MOMENTUM (subjective 1-5 except 50DMA %, which is objective and banded)</t>
        </is>
      </c>
    </row>
    <row r="35">
      <c r="A35" s="40" t="inlineStr">
        <is>
          <t>EPS Revisions last 90d (1=cuts, 5=raises)</t>
        </is>
      </c>
    </row>
    <row r="36" ht="15" customHeight="1" s="34">
      <c r="A36" s="40" t="inlineStr">
        <is>
          <t>Relative Strength vs Sector (1=lagging, 5=leading)</t>
        </is>
      </c>
    </row>
    <row r="37" ht="15" customHeight="1" s="34">
      <c r="A37" s="40" t="inlineStr">
        <is>
          <t>Insider Activity (1=heavy selling, 3=neutral, 5=buying)</t>
        </is>
      </c>
    </row>
    <row r="38" ht="15" customHeight="1" s="34">
      <c r="A38" s="40" t="inlineStr">
        <is>
          <t>% days above 50-DMA, last 120 trading days (higher = better)</t>
        </is>
      </c>
      <c r="B38" s="44" t="inlineStr">
        <is>
          <t>Threshold:</t>
        </is>
      </c>
      <c r="C38" s="45" t="inlineStr">
        <is>
          <t>≥85 → 100</t>
        </is>
      </c>
      <c r="D38" s="45" t="inlineStr">
        <is>
          <t>≥70 → 90</t>
        </is>
      </c>
      <c r="E38" s="45" t="inlineStr">
        <is>
          <t>≥55 → 75</t>
        </is>
      </c>
      <c r="F38" s="45" t="inlineStr">
        <is>
          <t>≥40 → 60</t>
        </is>
      </c>
      <c r="G38" s="45" t="inlineStr">
        <is>
          <t>≥25 → 40</t>
        </is>
      </c>
      <c r="H38" s="45" t="inlineStr">
        <is>
          <t>&lt;25 → 20</t>
        </is>
      </c>
      <c r="J38" s="33" t="inlineStr">
        <is>
          <t>Added 2026-06-09. Share of last 120 trading days with close &gt; 50-day SMA, from yfinance price history (scripts/momentum_50dma.py). Separates consistent uptrends from one-bounce moves. Names with &lt;60 days of valid history are left blank and flagged.</t>
        </is>
      </c>
    </row>
    <row r="39" ht="15" customHeight="1" s="34"/>
    <row r="40" ht="15" customHeight="1" s="34">
      <c r="A40" s="43" t="inlineStr">
        <is>
          <t>RISK (subjective 1-5; 5 = LOW risk)</t>
        </is>
      </c>
    </row>
    <row r="41">
      <c r="A41" s="40" t="inlineStr">
        <is>
          <t>Customer Concentration (1=top customer&gt;50%, 5=diversified)</t>
        </is>
      </c>
    </row>
    <row r="42">
      <c r="A42" s="40" t="inlineStr">
        <is>
          <t>Geographic/Export Risk (1=high China/export, 5=domestic safe)</t>
        </is>
      </c>
    </row>
    <row r="43">
      <c r="A43" s="40" t="inlineStr">
        <is>
          <t>Balance Sheet Risk (1=stressed, 5=fortress)</t>
        </is>
      </c>
    </row>
    <row r="44">
      <c r="A44" s="40" t="inlineStr">
        <is>
          <t>Regulatory/Litigation Risk (1=major overhang, 5=clean)</t>
        </is>
      </c>
    </row>
    <row r="45">
      <c r="A45" s="33" t="inlineStr">
        <is>
          <t>Disruption Risk / business-model durability (1=AI directly produces output+active erosion, 5=no credible disruption; DEFAULT 5 non-Layer-10) [added 2026-06-17, rule 16]</t>
        </is>
      </c>
    </row>
  </sheetData>
  <mergeCells count="6">
    <mergeCell ref="A7:H7"/>
    <mergeCell ref="A24:H24"/>
    <mergeCell ref="A19:H19"/>
    <mergeCell ref="A13:H13"/>
    <mergeCell ref="A37:H37"/>
    <mergeCell ref="A31:H3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L17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33" min="1" max="1"/>
    <col width="22" customWidth="1" style="33" min="2" max="3"/>
    <col width="12" customWidth="1" style="33" min="4" max="4"/>
    <col width="9" customWidth="1" style="33" min="5" max="5"/>
    <col width="10" customWidth="1" style="33" min="6" max="6"/>
    <col width="11" customWidth="1" style="33" min="7" max="7"/>
    <col width="7" customWidth="1" style="33" min="8" max="8"/>
    <col width="11" customWidth="1" style="33" min="9" max="9"/>
    <col width="8" customWidth="1" style="33" min="10" max="10"/>
    <col width="11" customWidth="1" style="33" min="11" max="11"/>
    <col width="10" customWidth="1" style="33" min="12" max="13"/>
    <col width="12" customWidth="1" style="33" min="14" max="14"/>
    <col width="13" customWidth="1" style="33" min="15" max="15"/>
    <col width="10" customWidth="1" style="33" min="16" max="17"/>
    <col width="12" customWidth="1" style="33" min="18" max="18"/>
    <col width="9" customWidth="1" style="33" min="19" max="20"/>
    <col width="7" customWidth="1" style="33" min="21" max="21"/>
    <col width="9" customWidth="1" style="33" min="22" max="25"/>
    <col width="8" customWidth="1" style="33" min="26" max="27"/>
    <col width="14" customWidth="1" style="33" min="28" max="28"/>
    <col width="14" customWidth="1" style="33" min="29" max="29"/>
    <col width="9" customWidth="1" style="33" min="30" max="32"/>
    <col width="11" customWidth="1" style="33" min="33" max="33"/>
    <col width="9" customWidth="1" style="33" min="34" max="34"/>
    <col width="7" customWidth="1" style="33" min="35" max="35"/>
  </cols>
  <sheetData>
    <row r="1" ht="31.5" customHeight="1" s="34">
      <c r="A1" s="46" t="inlineStr">
        <is>
          <t>Ticker</t>
        </is>
      </c>
      <c r="B1" s="46" t="inlineStr">
        <is>
          <t>Company</t>
        </is>
      </c>
      <c r="C1" s="46" t="inlineStr">
        <is>
          <t>Layer</t>
        </is>
      </c>
      <c r="D1" s="46" t="inlineStr">
        <is>
          <t>Last Updated</t>
        </is>
      </c>
      <c r="E1" s="47" t="inlineStr">
        <is>
          <t>Fwd P/E</t>
        </is>
      </c>
      <c r="F1" s="47" t="inlineStr">
        <is>
          <t>EV/EBITDA</t>
        </is>
      </c>
      <c r="G1" s="47" t="inlineStr">
        <is>
          <t>FCF Yield %</t>
        </is>
      </c>
      <c r="H1" s="47" t="inlineStr">
        <is>
          <t>P/S</t>
        </is>
      </c>
      <c r="I1" s="33" t="inlineStr">
        <is>
          <t>PEG</t>
        </is>
      </c>
      <c r="J1" s="48" t="inlineStr">
        <is>
          <t>Value Score</t>
        </is>
      </c>
      <c r="K1" s="49" t="inlineStr">
        <is>
          <t>ROIC %</t>
        </is>
      </c>
      <c r="L1" s="49" t="inlineStr">
        <is>
          <t>Gross Mgn %</t>
        </is>
      </c>
      <c r="M1" s="49" t="inlineStr">
        <is>
          <t>FCF Mgn %</t>
        </is>
      </c>
      <c r="N1" s="49" t="inlineStr">
        <is>
          <t>ND/EBITDA</t>
        </is>
      </c>
      <c r="O1" s="50" t="inlineStr">
        <is>
          <t>Quality Score</t>
        </is>
      </c>
      <c r="P1" s="51" t="inlineStr">
        <is>
          <t>Rev 3y CAGR %</t>
        </is>
      </c>
      <c r="Q1" s="51" t="inlineStr">
        <is>
          <t>Rev YoY %</t>
        </is>
      </c>
      <c r="R1" s="51" t="inlineStr">
        <is>
          <t>EPS YoY %</t>
        </is>
      </c>
      <c r="S1" s="52" t="inlineStr">
        <is>
          <t>Growth Score</t>
        </is>
      </c>
      <c r="T1" s="53" t="inlineStr">
        <is>
          <t>AI Rev %</t>
        </is>
      </c>
      <c r="U1" s="53" t="inlineStr">
        <is>
          <t>Position</t>
        </is>
      </c>
      <c r="V1" s="53" t="inlineStr">
        <is>
          <t>Moat</t>
        </is>
      </c>
      <c r="W1" s="53" t="inlineStr">
        <is>
          <t>Capacity</t>
        </is>
      </c>
      <c r="X1" s="53" t="inlineStr">
        <is>
          <t>Hypersc.</t>
        </is>
      </c>
      <c r="Y1" s="54" t="inlineStr">
        <is>
          <t>AI Score</t>
        </is>
      </c>
      <c r="Z1" s="55" t="inlineStr">
        <is>
          <t>EPS Rev</t>
        </is>
      </c>
      <c r="AA1" s="55" t="inlineStr">
        <is>
          <t>Rel Str</t>
        </is>
      </c>
      <c r="AB1" s="55" t="inlineStr">
        <is>
          <t>Insider</t>
        </is>
      </c>
      <c r="AC1" s="55" t="inlineStr">
        <is>
          <t>50DMA %</t>
        </is>
      </c>
      <c r="AD1" s="56" t="inlineStr">
        <is>
          <t>Momentum Score</t>
        </is>
      </c>
      <c r="AE1" s="57" t="inlineStr">
        <is>
          <t>Cust Conc</t>
        </is>
      </c>
      <c r="AF1" s="57" t="inlineStr">
        <is>
          <t>Geo Risk</t>
        </is>
      </c>
      <c r="AG1" s="57" t="inlineStr">
        <is>
          <t>BS Risk</t>
        </is>
      </c>
      <c r="AH1" s="57" t="inlineStr">
        <is>
          <t>Reg Risk</t>
        </is>
      </c>
      <c r="AI1" s="58" t="inlineStr">
        <is>
          <t>Risk Score</t>
        </is>
      </c>
      <c r="AJ1" s="59" t="inlineStr">
        <is>
          <t>TOTAL</t>
        </is>
      </c>
      <c r="AK1" s="59" t="inlineStr">
        <is>
          <t>Tier</t>
        </is>
      </c>
      <c r="AL1" s="33" t="inlineStr">
        <is>
          <t>Disrupt Risk</t>
        </is>
      </c>
    </row>
    <row r="2" ht="15" customHeight="1" s="34">
      <c r="A2" s="60" t="inlineStr">
        <is>
          <t>BE</t>
        </is>
      </c>
      <c r="B2" s="60" t="inlineStr">
        <is>
          <t>Bloom Energy</t>
        </is>
      </c>
      <c r="C2" s="60" t="inlineStr">
        <is>
          <t>01 Power - Distributed</t>
        </is>
      </c>
      <c r="D2" s="60" t="inlineStr">
        <is>
          <t>2026-06-24</t>
        </is>
      </c>
      <c r="E2" s="61" t="n">
        <v>74.75387000000001</v>
      </c>
      <c r="F2" s="61" t="n">
        <v>402.74</v>
      </c>
      <c r="G2" s="62" t="n">
        <v>0.25</v>
      </c>
      <c r="H2" s="61" t="n">
        <v>37.885555</v>
      </c>
      <c r="I2" s="33">
        <f>IF(OR(E2="",R2="",R2&lt;=0,E2&lt;0),"",E2/R2)</f>
        <v/>
      </c>
      <c r="J2" s="63">
        <f>IFERROR(AVERAGE(IFERROR(IF(E2="","",IF(E2&lt;0,5,IF(E2&lt;=15,90,IF(E2&lt;=20,75,IF(E2&lt;=25,60,IF(E2&lt;=30,45,IF(E2&lt;=40,30,IF(E2&lt;=60,15,5)))))))),""),IFERROR(IF(F2="","",IF(F2&lt;0,5,IF(F2&lt;=10,90,IF(F2&lt;=15,75,IF(F2&lt;=20,60,IF(F2&lt;=25,45,IF(F2&lt;=35,30,IF(F2&lt;=50,15,5)))))))),""),IFERROR(IF(G2="","",IF(G2&gt;=8,100,IF(G2&gt;=6,90,IF(G2&gt;=4,75,IF(G2&gt;=2,60,IF(G2&gt;=1,45,IF(G2&gt;=0,30,15))))))),""),IFERROR(IF(H2="","",IF(H2&lt;=2,90,IF(H2&lt;=4,75,IF(H2&lt;=7,60,IF(H2&lt;=10,45,IF(H2&lt;=15,30,IF(H2&lt;=25,15,5))))))),""),IFERROR(IF(I2="","",IF(I2&lt;=0.5,100,IF(I2&lt;=1,90,IF(I2&lt;=1.5,75,IF(I2&lt;=2,60,IF(I2&lt;=2.5,45,IF(I2&lt;=3,30,15))))))),"")),"")</f>
        <v/>
      </c>
      <c r="K2" s="62" t="n">
        <v>1.5</v>
      </c>
      <c r="L2" s="62" t="n">
        <v>30.09</v>
      </c>
      <c r="M2" s="62" t="n">
        <v>9.369999999999999</v>
      </c>
      <c r="N2" s="61" t="n">
        <v>1.99</v>
      </c>
      <c r="O2" s="63">
        <f>IFERROR(AVERAGE(IFERROR(IF(K2="","",IF(K2&gt;=25,100,IF(K2&gt;=20,90,IF(K2&gt;=15,75,IF(K2&gt;=10,60,IF(K2&gt;=5,45,IF(K2&gt;=0,30,15))))))),""),IFERROR(IF(L2="","",IF(L2&gt;=60,100,IF(L2&gt;=50,90,IF(L2&gt;=40,75,IF(L2&gt;=30,60,IF(L2&gt;=20,45,IF(L2&gt;=10,30,15))))))),""),IFERROR(IF(M2="","",IF(M2&gt;=25,100,IF(M2&gt;=20,90,IF(M2&gt;=15,75,IF(M2&gt;=10,60,IF(M2&gt;=5,45,IF(M2&gt;=0,30,15))))))),""),IFERROR(IF(N2="","",IF(N2&lt;=0,100,IF(N2&lt;=1,90,IF(N2&lt;=2,75,IF(N2&lt;=3,60,IF(N2&lt;=4,45,IF(N2&lt;=5,30,15))))))),"")),"")</f>
        <v/>
      </c>
      <c r="P2" s="62" t="n">
        <v>19.06</v>
      </c>
      <c r="Q2" s="62" t="n">
        <v>130.4</v>
      </c>
      <c r="R2" s="62" t="n">
        <v>60</v>
      </c>
      <c r="S2" s="63">
        <f>IFERROR(AVERAGE(IFERROR(IF(P2="","",IF(P2&gt;=40,100,IF(P2&gt;=30,90,IF(P2&gt;=20,75,IF(P2&gt;=15,60,IF(P2&gt;=10,45,IF(P2&gt;=5,30,15))))))),""),IFERROR(IF(Q2="","",IF(Q2&gt;=40,100,IF(Q2&gt;=30,90,IF(Q2&gt;=20,75,IF(Q2&gt;=10,60,IF(Q2&gt;=5,45,IF(Q2&gt;=0,30,15))))))),""),IFERROR(IF(R2="","",IF(R2&gt;=40,100,IF(R2&gt;=30,90,IF(R2&gt;=20,75,IF(R2&gt;=10,60,IF(R2&gt;=0,45,IF(R2&gt;=-10,30,15))))))),"")),"")</f>
        <v/>
      </c>
      <c r="T2" s="60" t="n">
        <v>5</v>
      </c>
      <c r="U2" s="60" t="n">
        <v>4</v>
      </c>
      <c r="V2" s="60" t="n">
        <v>4</v>
      </c>
      <c r="W2" s="60" t="n">
        <v>5</v>
      </c>
      <c r="X2" s="60" t="n">
        <v>4</v>
      </c>
      <c r="Y2" s="63">
        <f>IFERROR(AVERAGE(T2,U2,V2,W2,X2)*20,"")</f>
        <v/>
      </c>
      <c r="Z2" s="60" t="n">
        <v>5</v>
      </c>
      <c r="AA2" s="60" t="n">
        <v>5</v>
      </c>
      <c r="AB2" s="60" t="n">
        <v>3</v>
      </c>
      <c r="AC2" s="70" t="n">
        <v>84.2</v>
      </c>
      <c r="AD2" s="63">
        <f>IFERROR(AVERAGE(IFERROR(IF(Z2="","",Z2*20),""),IFERROR(IF(AA2="","",AA2*20),""),IFERROR(IF(AB2="","",AB2*20),""),IFERROR(IF(AC2="","",IF(AC2&gt;=85,100,IF(AC2&gt;=70,90,IF(AC2&gt;=55,75,IF(AC2&gt;=40,60,IF(AC2&gt;=25,40,20)))))),"")),"")</f>
        <v/>
      </c>
      <c r="AE2" s="60" t="n">
        <v>3</v>
      </c>
      <c r="AF2" s="60" t="n">
        <v>4</v>
      </c>
      <c r="AG2" s="60" t="n">
        <v>3</v>
      </c>
      <c r="AH2" s="60" t="n">
        <v>4</v>
      </c>
      <c r="AI2" s="63">
        <f>IFERROR(AVERAGE(AE2,AF2,AG2,AH2,AL2)*20,"")</f>
        <v/>
      </c>
      <c r="AJ2" s="64">
        <f>IFERROR(J2*Weights!$B$4 + O2*Weights!$B$5 + S2*Weights!$B$6 + Y2*Weights!$B$7 + AD2*Weights!$B$8 + AI2*Weights!$B$9,"")</f>
        <v/>
      </c>
      <c r="AK2" s="65">
        <f>IF(AJ2="","",IF(AJ2&gt;=85,"✓✓✓",IF(AJ2&gt;=70,"✓✓",IF(AJ2&gt;=55,"✓",IF(AJ2&gt;=40,"?","✗")))))</f>
        <v/>
      </c>
      <c r="AL2" s="33" t="n">
        <v>5</v>
      </c>
    </row>
    <row r="3" ht="15" customHeight="1" s="34">
      <c r="A3" s="60" t="inlineStr">
        <is>
          <t>CRWV</t>
        </is>
      </c>
      <c r="B3" s="60" t="inlineStr">
        <is>
          <t>CoreWeave</t>
        </is>
      </c>
      <c r="C3" s="60" t="inlineStr">
        <is>
          <t>09 Cloud - Neocloud</t>
        </is>
      </c>
      <c r="D3" s="60" t="inlineStr">
        <is>
          <t>2026-06-24</t>
        </is>
      </c>
      <c r="E3" s="61" t="n">
        <v>-124.50785</v>
      </c>
      <c r="F3" s="61" t="n">
        <v>25.1</v>
      </c>
      <c r="G3" s="62" t="n">
        <v>-19.29</v>
      </c>
      <c r="H3" s="61" t="n">
        <v>8.838468000000001</v>
      </c>
      <c r="I3" s="33">
        <f>IF(OR(E3="",R3="",R3&lt;=0,E3&lt;0),"",E3/R3)</f>
        <v/>
      </c>
      <c r="J3" s="63">
        <f>IFERROR(AVERAGE(IFERROR(IF(E3="","",IF(E3&lt;0,5,IF(E3&lt;=15,90,IF(E3&lt;=20,75,IF(E3&lt;=25,60,IF(E3&lt;=30,45,IF(E3&lt;=40,30,IF(E3&lt;=60,15,5)))))))),""),IFERROR(IF(F3="","",IF(F3&lt;=2,100,IF(F3&lt;=4,90,IF(F3&lt;=6,75,IF(F3&lt;=9,60,IF(F3&lt;=12,45,IF(F3&lt;=18,30,15))))))),""),IFERROR(IF(G3="","",IF(G3&gt;=8,100,IF(G3&gt;=6,90,IF(G3&gt;=4,75,IF(G3&gt;=2,60,IF(G3&gt;=1,45,IF(G3&gt;=0,30,15))))))),""),IFERROR(IF(H3="","",IF(H3&lt;=2,90,IF(H3&lt;=4,75,IF(H3&lt;=7,60,IF(H3&lt;=10,45,IF(H3&lt;=15,30,IF(H3&lt;=25,15,5))))))),""),IFERROR(IF(I3="","",IF(I3&lt;=0.5,100,IF(I3&lt;=1,90,IF(I3&lt;=1.5,75,IF(I3&lt;=2,60,IF(I3&lt;=2.5,45,IF(I3&lt;=3,30,15))))))),"")),"")</f>
        <v/>
      </c>
      <c r="K3" s="62" t="n">
        <v>0</v>
      </c>
      <c r="L3" s="62" t="n">
        <v>69.38</v>
      </c>
      <c r="M3" s="62" t="n">
        <v>-170.48</v>
      </c>
      <c r="N3" s="61" t="n">
        <v>10.87</v>
      </c>
      <c r="O3" s="63">
        <f>IFERROR(AVERAGE(IFERROR(IF(K3="","",IF(K3&gt;=25,100,IF(K3&gt;=20,90,IF(K3&gt;=15,75,IF(K3&gt;=10,60,IF(K3&gt;=5,45,IF(K3&gt;=0,30,15))))))),""),IFERROR(IF(L3="","",IF(L3&gt;=60,100,IF(L3&gt;=50,90,IF(L3&gt;=40,75,IF(L3&gt;=30,60,IF(L3&gt;=20,45,IF(L3&gt;=10,30,15))))))),""),IFERROR(IF(M3="","",IF(M3&gt;=25,100,IF(M3&gt;=20,90,IF(M3&gt;=15,75,IF(M3&gt;=10,60,IF(M3&gt;=5,45,IF(M3&gt;=0,30,15))))))),""),IFERROR(IF(N3="","",IF(N3&lt;=0,100,IF(N3&lt;=1,90,IF(N3&lt;=2,75,IF(N3&lt;=3,60,IF(N3&lt;=4,45,IF(N3&lt;=5,30,15))))))),"")),"")</f>
        <v/>
      </c>
      <c r="P3" s="62" t="n">
        <v>586.92</v>
      </c>
      <c r="Q3" s="62" t="n">
        <v>111.6</v>
      </c>
      <c r="R3" s="62" t="n">
        <v>80</v>
      </c>
      <c r="S3" s="63">
        <f>IFERROR(AVERAGE(IFERROR(IF(P3="","",IF(P3&gt;=40,100,IF(P3&gt;=30,90,IF(P3&gt;=20,75,IF(P3&gt;=15,60,IF(P3&gt;=10,45,IF(P3&gt;=5,30,15))))))),""),IFERROR(IF(Q3="","",IF(Q3&gt;=40,100,IF(Q3&gt;=30,90,IF(Q3&gt;=20,75,IF(Q3&gt;=10,60,IF(Q3&gt;=5,45,IF(Q3&gt;=0,30,15))))))),""),IFERROR(IF(R3="","",IF(R3&gt;=40,100,IF(R3&gt;=30,90,IF(R3&gt;=20,75,IF(R3&gt;=10,60,IF(R3&gt;=0,45,IF(R3&gt;=-10,30,15))))))),"")),"")</f>
        <v/>
      </c>
      <c r="T3" s="60" t="n">
        <v>5</v>
      </c>
      <c r="U3" s="60" t="n">
        <v>4</v>
      </c>
      <c r="V3" s="60" t="n">
        <v>3</v>
      </c>
      <c r="W3" s="60" t="n">
        <v>5</v>
      </c>
      <c r="X3" s="60" t="n">
        <v>5</v>
      </c>
      <c r="Y3" s="63">
        <f>IFERROR(AVERAGE(T3,U3,V3,W3,X3)*20,"")</f>
        <v/>
      </c>
      <c r="Z3" s="60" t="n">
        <v>5</v>
      </c>
      <c r="AA3" s="60" t="n">
        <v>5</v>
      </c>
      <c r="AB3" s="60" t="n">
        <v>2</v>
      </c>
      <c r="AC3" s="70" t="n">
        <v>60.8</v>
      </c>
      <c r="AD3" s="63">
        <f>IFERROR(AVERAGE(IFERROR(IF(Z3="","",Z3*20),""),IFERROR(IF(AA3="","",AA3*20),""),IFERROR(IF(AB3="","",AB3*20),""),IFERROR(IF(AC3="","",IF(AC3&gt;=85,100,IF(AC3&gt;=70,90,IF(AC3&gt;=55,75,IF(AC3&gt;=40,60,IF(AC3&gt;=25,40,20)))))),"")),"")</f>
        <v/>
      </c>
      <c r="AE3" s="60" t="n">
        <v>1</v>
      </c>
      <c r="AF3" s="60" t="n">
        <v>5</v>
      </c>
      <c r="AG3" s="60" t="n">
        <v>2</v>
      </c>
      <c r="AH3" s="60" t="n">
        <v>4</v>
      </c>
      <c r="AI3" s="63">
        <f>IFERROR(AVERAGE(AE3,AF3,AG3,AH3,AL3)*20,"")</f>
        <v/>
      </c>
      <c r="AJ3" s="64">
        <f>IFERROR(J3*Weights!$B$4 + O3*Weights!$B$5 + S3*Weights!$B$6 + Y3*Weights!$B$7 + AD3*Weights!$B$8 + AI3*Weights!$B$9,"")</f>
        <v/>
      </c>
      <c r="AK3" s="65">
        <f>IF(AJ3="","",IF(AJ3&gt;=85,"✓✓✓",IF(AJ3&gt;=70,"✓✓",IF(AJ3&gt;=55,"✓",IF(AJ3&gt;=40,"?","✗")))))</f>
        <v/>
      </c>
      <c r="AL3" s="33" t="n">
        <v>5</v>
      </c>
    </row>
    <row r="4" ht="15" customHeight="1" s="34">
      <c r="A4" s="60" t="inlineStr">
        <is>
          <t>VRT</t>
        </is>
      </c>
      <c r="B4" s="60" t="inlineStr">
        <is>
          <t>Vertiv Holdings</t>
        </is>
      </c>
      <c r="C4" s="60" t="inlineStr">
        <is>
          <t>03 DC Infrastructure</t>
        </is>
      </c>
      <c r="D4" s="60" t="inlineStr">
        <is>
          <t>2026-06-24</t>
        </is>
      </c>
      <c r="E4" s="61" t="n">
        <v>35.750195</v>
      </c>
      <c r="F4" s="61" t="n">
        <v>51.325</v>
      </c>
      <c r="G4" s="62" t="n">
        <v>1.87</v>
      </c>
      <c r="H4" s="61" t="n">
        <v>11.208988</v>
      </c>
      <c r="I4" s="33">
        <f>IF(OR(E4="",R4="",R4&lt;=0,E4&lt;0),"",E4/R4)</f>
        <v/>
      </c>
      <c r="J4" s="63">
        <f>IFERROR(AVERAGE(IFERROR(IF(E4="","",IF(E4&lt;0,5,IF(E4&lt;=15,90,IF(E4&lt;=20,75,IF(E4&lt;=25,60,IF(E4&lt;=30,45,IF(E4&lt;=40,30,IF(E4&lt;=60,15,5)))))))),""),IFERROR(IF(F4="","",IF(F4&lt;0,5,IF(F4&lt;=10,90,IF(F4&lt;=15,75,IF(F4&lt;=20,60,IF(F4&lt;=25,45,IF(F4&lt;=35,30,IF(F4&lt;=50,15,5)))))))),""),IFERROR(IF(G4="","",IF(G4&gt;=8,100,IF(G4&gt;=6,90,IF(G4&gt;=4,75,IF(G4&gt;=2,60,IF(G4&gt;=1,45,IF(G4&gt;=0,30,15))))))),""),IFERROR(IF(H4="","",IF(H4&lt;=2,90,IF(H4&lt;=4,75,IF(H4&lt;=7,60,IF(H4&lt;=10,45,IF(H4&lt;=15,30,IF(H4&lt;=25,15,5))))))),""),IFERROR(IF(I4="","",IF(I4&lt;=0.5,100,IF(I4&lt;=1,90,IF(I4&lt;=1.5,75,IF(I4&lt;=2,60,IF(I4&lt;=2.5,45,IF(I4&lt;=3,30,15))))))),"")),"")</f>
        <v/>
      </c>
      <c r="K4" s="62" t="n">
        <v>19.5</v>
      </c>
      <c r="L4" s="62" t="n">
        <v>37.15</v>
      </c>
      <c r="M4" s="62" t="n">
        <v>20.99</v>
      </c>
      <c r="N4" s="61" t="n">
        <v>0.32</v>
      </c>
      <c r="O4" s="63">
        <f>IFERROR(AVERAGE(IFERROR(IF(K4="","",IF(K4&gt;=25,100,IF(K4&gt;=20,90,IF(K4&gt;=15,75,IF(K4&gt;=10,60,IF(K4&gt;=5,45,IF(K4&gt;=0,30,15))))))),""),IFERROR(IF(L4="","",IF(L4&gt;=60,100,IF(L4&gt;=50,90,IF(L4&gt;=40,75,IF(L4&gt;=30,60,IF(L4&gt;=20,45,IF(L4&gt;=10,30,15))))))),""),IFERROR(IF(M4="","",IF(M4&gt;=25,100,IF(M4&gt;=20,90,IF(M4&gt;=15,75,IF(M4&gt;=10,60,IF(M4&gt;=5,45,IF(M4&gt;=0,30,15))))))),""),IFERROR(IF(N4="","",IF(N4&lt;=0,100,IF(N4&lt;=1,90,IF(N4&lt;=2,75,IF(N4&lt;=3,60,IF(N4&lt;=4,45,IF(N4&lt;=5,30,15))))))),"")),"")</f>
        <v/>
      </c>
      <c r="P4" s="62" t="n">
        <v>21.59</v>
      </c>
      <c r="Q4" s="62" t="n">
        <v>30.1</v>
      </c>
      <c r="R4" s="62" t="n">
        <v>137.1</v>
      </c>
      <c r="S4" s="63">
        <f>IFERROR(AVERAGE(IFERROR(IF(P4="","",IF(P4&gt;=40,100,IF(P4&gt;=30,90,IF(P4&gt;=20,75,IF(P4&gt;=15,60,IF(P4&gt;=10,45,IF(P4&gt;=5,30,15))))))),""),IFERROR(IF(Q4="","",IF(Q4&gt;=40,100,IF(Q4&gt;=30,90,IF(Q4&gt;=20,75,IF(Q4&gt;=10,60,IF(Q4&gt;=5,45,IF(Q4&gt;=0,30,15))))))),""),IFERROR(IF(R4="","",IF(R4&gt;=40,100,IF(R4&gt;=30,90,IF(R4&gt;=20,75,IF(R4&gt;=10,60,IF(R4&gt;=0,45,IF(R4&gt;=-10,30,15))))))),"")),"")</f>
        <v/>
      </c>
      <c r="T4" s="60" t="n">
        <v>4</v>
      </c>
      <c r="U4" s="60" t="n">
        <v>4</v>
      </c>
      <c r="V4" s="60" t="n">
        <v>4</v>
      </c>
      <c r="W4" s="60" t="n">
        <v>4</v>
      </c>
      <c r="X4" s="60" t="n">
        <v>5</v>
      </c>
      <c r="Y4" s="63">
        <f>IFERROR(AVERAGE(T4,U4,V4,W4,X4)*20,"")</f>
        <v/>
      </c>
      <c r="Z4" s="60" t="n">
        <v>5</v>
      </c>
      <c r="AA4" s="60" t="n">
        <v>4</v>
      </c>
      <c r="AB4" s="60" t="n">
        <v>3</v>
      </c>
      <c r="AC4" s="70" t="n">
        <v>85</v>
      </c>
      <c r="AD4" s="63">
        <f>IFERROR(AVERAGE(IFERROR(IF(Z4="","",Z4*20),""),IFERROR(IF(AA4="","",AA4*20),""),IFERROR(IF(AB4="","",AB4*20),""),IFERROR(IF(AC4="","",IF(AC4&gt;=85,100,IF(AC4&gt;=70,90,IF(AC4&gt;=55,75,IF(AC4&gt;=40,60,IF(AC4&gt;=25,40,20)))))),"")),"")</f>
        <v/>
      </c>
      <c r="AE4" s="60" t="n">
        <v>3</v>
      </c>
      <c r="AF4" s="60" t="n">
        <v>4</v>
      </c>
      <c r="AG4" s="60" t="n">
        <v>4</v>
      </c>
      <c r="AH4" s="60" t="n">
        <v>5</v>
      </c>
      <c r="AI4" s="63">
        <f>IFERROR(AVERAGE(AE4,AF4,AG4,AH4,AL4)*20,"")</f>
        <v/>
      </c>
      <c r="AJ4" s="64">
        <f>IFERROR(J4*Weights!$B$4 + O4*Weights!$B$5 + S4*Weights!$B$6 + Y4*Weights!$B$7 + AD4*Weights!$B$8 + AI4*Weights!$B$9,"")</f>
        <v/>
      </c>
      <c r="AK4" s="65">
        <f>IF(AJ4="","",IF(AJ4&gt;=85,"✓✓✓",IF(AJ4&gt;=70,"✓✓",IF(AJ4&gt;=55,"✓",IF(AJ4&gt;=40,"?","✗")))))</f>
        <v/>
      </c>
      <c r="AL4" s="33" t="n">
        <v>5</v>
      </c>
    </row>
    <row r="5" ht="15" customHeight="1" s="34">
      <c r="A5" s="60" t="inlineStr">
        <is>
          <t>GEV</t>
        </is>
      </c>
      <c r="B5" s="60" t="inlineStr">
        <is>
          <t>GE Vernova</t>
        </is>
      </c>
      <c r="C5" s="60" t="inlineStr">
        <is>
          <t>02 Grid Equipment</t>
        </is>
      </c>
      <c r="D5" s="60" t="inlineStr">
        <is>
          <t>2026-06-24</t>
        </is>
      </c>
      <c r="E5" s="61" t="n">
        <v>43.148483</v>
      </c>
      <c r="F5" s="61" t="n">
        <v>81.797</v>
      </c>
      <c r="G5" s="62" t="n">
        <v>2.65</v>
      </c>
      <c r="H5" s="61" t="n">
        <v>7.2180753</v>
      </c>
      <c r="I5" s="33">
        <f>IF(OR(E5="",R5="",R5&lt;=0,E5&lt;0),"",E5/R5)</f>
        <v/>
      </c>
      <c r="J5" s="63">
        <f>IFERROR(AVERAGE(IFERROR(IF(E5="","",IF(E5&lt;0,5,IF(E5&lt;=15,90,IF(E5&lt;=20,75,IF(E5&lt;=25,60,IF(E5&lt;=30,45,IF(E5&lt;=40,30,IF(E5&lt;=60,15,5)))))))),""),IFERROR(IF(F5="","",IF(F5&lt;0,5,IF(F5&lt;=10,90,IF(F5&lt;=15,75,IF(F5&lt;=20,60,IF(F5&lt;=25,45,IF(F5&lt;=35,30,IF(F5&lt;=50,15,5)))))))),""),IFERROR(IF(G5="","",IF(G5&gt;=8,100,IF(G5&gt;=6,90,IF(G5&gt;=4,75,IF(G5&gt;=2,60,IF(G5&gt;=1,45,IF(G5&gt;=0,30,15))))))),""),IFERROR(IF(H5="","",IF(H5&lt;=2,90,IF(H5&lt;=4,75,IF(H5&lt;=7,60,IF(H5&lt;=10,45,IF(H5&lt;=15,30,IF(H5&lt;=25,15,5))))))),""),IFERROR(IF(I5="","",IF(I5&lt;=0.5,100,IF(I5&lt;=1,90,IF(I5&lt;=1.5,75,IF(I5&lt;=2,60,IF(I5&lt;=2.5,45,IF(I5&lt;=3,30,15))))))),"")),"")</f>
        <v/>
      </c>
      <c r="K5" s="62" t="n">
        <v>11.2</v>
      </c>
      <c r="L5" s="62" t="n">
        <v>20.28</v>
      </c>
      <c r="M5" s="62" t="n">
        <v>19.11</v>
      </c>
      <c r="N5" s="61" t="n">
        <v>-1.76</v>
      </c>
      <c r="O5" s="63">
        <f>IFERROR(AVERAGE(IFERROR(IF(K5="","",IF(K5&gt;=25,100,IF(K5&gt;=20,90,IF(K5&gt;=15,75,IF(K5&gt;=10,60,IF(K5&gt;=5,45,IF(K5&gt;=0,30,15))))))),""),IFERROR(IF(L5="","",IF(L5&gt;=60,100,IF(L5&gt;=50,90,IF(L5&gt;=40,75,IF(L5&gt;=30,60,IF(L5&gt;=20,45,IF(L5&gt;=10,30,15))))))),""),IFERROR(IF(M5="","",IF(M5&gt;=25,100,IF(M5&gt;=20,90,IF(M5&gt;=15,75,IF(M5&gt;=10,60,IF(M5&gt;=5,45,IF(M5&gt;=0,30,15))))))),""),IFERROR(IF(N5="","",IF(N5&lt;=0,100,IF(N5&lt;=1,90,IF(N5&lt;=2,75,IF(N5&lt;=3,60,IF(N5&lt;=4,45,IF(N5&lt;=5,30,15))))))),"")),"")</f>
        <v/>
      </c>
      <c r="P5" s="62" t="n">
        <v>8.68</v>
      </c>
      <c r="Q5" s="62" t="n">
        <v>16.3</v>
      </c>
      <c r="R5" s="62" t="n"/>
      <c r="S5" s="63">
        <f>IFERROR(AVERAGE(IFERROR(IF(P5="","",IF(P5&gt;=40,100,IF(P5&gt;=30,90,IF(P5&gt;=20,75,IF(P5&gt;=15,60,IF(P5&gt;=10,45,IF(P5&gt;=5,30,15))))))),""),IFERROR(IF(Q5="","",IF(Q5&gt;=40,100,IF(Q5&gt;=30,90,IF(Q5&gt;=20,75,IF(Q5&gt;=10,60,IF(Q5&gt;=5,45,IF(Q5&gt;=0,30,15))))))),""),IFERROR(IF(R5="","",IF(R5&gt;=40,100,IF(R5&gt;=30,90,IF(R5&gt;=20,75,IF(R5&gt;=10,60,IF(R5&gt;=0,45,IF(R5&gt;=-10,30,15))))))),"")),"")</f>
        <v/>
      </c>
      <c r="T5" s="60" t="n">
        <v>2</v>
      </c>
      <c r="U5" s="60" t="n">
        <v>5</v>
      </c>
      <c r="V5" s="60" t="n">
        <v>5</v>
      </c>
      <c r="W5" s="60" t="n">
        <v>4</v>
      </c>
      <c r="X5" s="60" t="n">
        <v>5</v>
      </c>
      <c r="Y5" s="63">
        <f>IFERROR(AVERAGE(T5,U5,V5,W5,X5)*20,"")</f>
        <v/>
      </c>
      <c r="Z5" s="60" t="n">
        <v>4</v>
      </c>
      <c r="AA5" s="60" t="n">
        <v>4</v>
      </c>
      <c r="AB5" s="60" t="n">
        <v>4</v>
      </c>
      <c r="AC5" s="70" t="n">
        <v>88.3</v>
      </c>
      <c r="AD5" s="63">
        <f>IFERROR(AVERAGE(IFERROR(IF(Z5="","",Z5*20),""),IFERROR(IF(AA5="","",AA5*20),""),IFERROR(IF(AB5="","",AB5*20),""),IFERROR(IF(AC5="","",IF(AC5&gt;=85,100,IF(AC5&gt;=70,90,IF(AC5&gt;=55,75,IF(AC5&gt;=40,60,IF(AC5&gt;=25,40,20)))))),"")),"")</f>
        <v/>
      </c>
      <c r="AE5" s="60" t="n">
        <v>4</v>
      </c>
      <c r="AF5" s="60" t="n">
        <v>4</v>
      </c>
      <c r="AG5" s="60" t="n">
        <v>5</v>
      </c>
      <c r="AH5" s="60" t="n">
        <v>4</v>
      </c>
      <c r="AI5" s="63">
        <f>IFERROR(AVERAGE(AE5,AF5,AG5,AH5,AL5)*20,"")</f>
        <v/>
      </c>
      <c r="AJ5" s="64">
        <f>IFERROR(J5*Weights!$B$4 + O5*Weights!$B$5 + S5*Weights!$B$6 + Y5*Weights!$B$7 + AD5*Weights!$B$8 + AI5*Weights!$B$9,"")</f>
        <v/>
      </c>
      <c r="AK5" s="65">
        <f>IF(AJ5="","",IF(AJ5&gt;=85,"✓✓✓",IF(AJ5&gt;=70,"✓✓",IF(AJ5&gt;=55,"✓",IF(AJ5&gt;=40,"?","✗")))))</f>
        <v/>
      </c>
      <c r="AL5" s="33" t="n">
        <v>5</v>
      </c>
    </row>
    <row r="6" ht="15" customHeight="1" s="34">
      <c r="A6" s="60" t="inlineStr">
        <is>
          <t>MU</t>
        </is>
      </c>
      <c r="B6" s="60" t="inlineStr">
        <is>
          <t>Micron Technology</t>
        </is>
      </c>
      <c r="C6" s="60" t="inlineStr">
        <is>
          <t>06 Silicon - Memory</t>
        </is>
      </c>
      <c r="D6" s="60" t="inlineStr">
        <is>
          <t>2026-06-26</t>
        </is>
      </c>
      <c r="E6" s="61" t="n">
        <v>9.539999999999999</v>
      </c>
      <c r="F6" s="61" t="n">
        <v>20.5</v>
      </c>
      <c r="G6" s="62" t="n">
        <v>2.06</v>
      </c>
      <c r="H6" s="61" t="n">
        <v>15.1</v>
      </c>
      <c r="I6" s="33">
        <f>IF(OR(E6="",R6="",R6&lt;=0,E6&lt;0),"",E6/R6)</f>
        <v/>
      </c>
      <c r="J6" s="63">
        <f>IFERROR(AVERAGE(IFERROR(IF(E6="","",IF(E6&lt;0,5,IF(E6&lt;=15,90,IF(E6&lt;=20,75,IF(E6&lt;=25,60,IF(E6&lt;=30,45,IF(E6&lt;=40,30,IF(E6&lt;=60,15,5)))))))),""),IFERROR(IF(F6="","",IF(F6&lt;0,5,IF(F6&lt;=10,90,IF(F6&lt;=15,75,IF(F6&lt;=20,60,IF(F6&lt;=25,45,IF(F6&lt;=35,30,IF(F6&lt;=50,15,5)))))))),""),IFERROR(IF(G6="","",IF(G6&gt;=8,100,IF(G6&gt;=6,90,IF(G6&gt;=4,75,IF(G6&gt;=2,60,IF(G6&gt;=1,45,IF(G6&gt;=0,30,15))))))),""),IFERROR(IF(H6="","",IF(H6&lt;=2,90,IF(H6&lt;=4,75,IF(H6&lt;=7,60,IF(H6&lt;=10,45,IF(H6&lt;=15,30,IF(H6&lt;=25,15,5))))))),""),IFERROR(IF(I6="","",IF(I6&lt;=0.5,100,IF(I6&lt;=1,90,IF(I6&lt;=1.5,75,IF(I6&lt;=2,60,IF(I6&lt;=2.5,45,IF(I6&lt;=3,30,15))))))),"")),"")</f>
        <v/>
      </c>
      <c r="K6" s="62" t="n">
        <v>50</v>
      </c>
      <c r="L6" s="62" t="n">
        <v>72.7</v>
      </c>
      <c r="M6" s="62" t="n">
        <v>31</v>
      </c>
      <c r="N6" s="61" t="n">
        <v>-0.3</v>
      </c>
      <c r="O6" s="63">
        <f>IFERROR(AVERAGE(IFERROR(IF(K6="","",IF(K6&gt;=25,100,IF(K6&gt;=20,90,IF(K6&gt;=15,75,IF(K6&gt;=10,60,IF(K6&gt;=5,45,IF(K6&gt;=0,30,15))))))),""),IFERROR(IF(L6="","",IF(L6&gt;=60,100,IF(L6&gt;=50,90,IF(L6&gt;=40,75,IF(L6&gt;=30,60,IF(L6&gt;=20,45,IF(L6&gt;=10,30,15))))))),""),IFERROR(IF(M6="","",IF(M6&gt;=25,100,IF(M6&gt;=20,90,IF(M6&gt;=15,75,IF(M6&gt;=10,60,IF(M6&gt;=5,45,IF(M6&gt;=0,30,15))))))),""),IFERROR(IF(N6="","",IF(N6&lt;=0,100,IF(N6&lt;=1,90,IF(N6&lt;=2,75,IF(N6&lt;=3,60,IF(N6&lt;=4,45,IF(N6&lt;=5,30,15))))))),"")),"")</f>
        <v/>
      </c>
      <c r="P6" s="62" t="n">
        <v>70.59999999999999</v>
      </c>
      <c r="Q6" s="62" t="n">
        <v>346.2</v>
      </c>
      <c r="R6" s="62" t="n">
        <v>1046.6</v>
      </c>
      <c r="S6" s="63">
        <f>IFERROR(AVERAGE(IFERROR(IF(P6="","",IF(P6&gt;=40,100,IF(P6&gt;=30,90,IF(P6&gt;=20,75,IF(P6&gt;=15,60,IF(P6&gt;=10,45,IF(P6&gt;=5,30,15))))))),""),IFERROR(IF(Q6="","",IF(Q6&gt;=40,100,IF(Q6&gt;=30,90,IF(Q6&gt;=20,75,IF(Q6&gt;=10,60,IF(Q6&gt;=5,45,IF(Q6&gt;=0,30,15))))))),""),IFERROR(IF(R6="","",IF(R6&gt;=40,100,IF(R6&gt;=30,90,IF(R6&gt;=20,75,IF(R6&gt;=10,60,IF(R6&gt;=0,45,IF(R6&gt;=-10,30,15))))))),"")),"")</f>
        <v/>
      </c>
      <c r="T6" s="60" t="n">
        <v>5</v>
      </c>
      <c r="U6" s="60" t="n">
        <v>4</v>
      </c>
      <c r="V6" s="60" t="n">
        <v>5</v>
      </c>
      <c r="W6" s="60" t="n">
        <v>5</v>
      </c>
      <c r="X6" s="60" t="n">
        <v>5</v>
      </c>
      <c r="Y6" s="63">
        <f>IFERROR(AVERAGE(T6,U6,V6,W6,X6)*20,"")</f>
        <v/>
      </c>
      <c r="Z6" s="60" t="n">
        <v>5</v>
      </c>
      <c r="AA6" s="60" t="n">
        <v>5</v>
      </c>
      <c r="AB6" s="60" t="n">
        <v>3</v>
      </c>
      <c r="AC6" s="70" t="n">
        <v>90.8</v>
      </c>
      <c r="AD6" s="63">
        <f>IFERROR(AVERAGE(IFERROR(IF(Z6="","",Z6*20),""),IFERROR(IF(AA6="","",AA6*20),""),IFERROR(IF(AB6="","",AB6*20),""),IFERROR(IF(AC6="","",IF(AC6&gt;=85,100,IF(AC6&gt;=70,90,IF(AC6&gt;=55,75,IF(AC6&gt;=40,60,IF(AC6&gt;=25,40,20)))))),"")),"")</f>
        <v/>
      </c>
      <c r="AE6" s="60" t="n">
        <v>3</v>
      </c>
      <c r="AF6" s="60" t="n">
        <v>2</v>
      </c>
      <c r="AG6" s="60" t="n">
        <v>5</v>
      </c>
      <c r="AH6" s="60" t="n">
        <v>3</v>
      </c>
      <c r="AI6" s="63">
        <f>IFERROR(AVERAGE(AE6,AF6,AG6,AH6,AL6)*20,"")</f>
        <v/>
      </c>
      <c r="AJ6" s="64">
        <f>IFERROR(J6*Weights!$B$4 + O6*Weights!$B$5 + S6*Weights!$B$6 + Y6*Weights!$B$7 + AD6*Weights!$B$8 + AI6*Weights!$B$9,"")</f>
        <v/>
      </c>
      <c r="AK6" s="65">
        <f>IF(AJ6="","",IF(AJ6&gt;=85,"✓✓✓",IF(AJ6&gt;=70,"✓✓",IF(AJ6&gt;=55,"✓",IF(AJ6&gt;=40,"?","✗")))))</f>
        <v/>
      </c>
      <c r="AL6" s="33" t="n">
        <v>5</v>
      </c>
    </row>
    <row r="7" ht="15" customHeight="1" s="34">
      <c r="A7" s="33" t="inlineStr">
        <is>
          <t>CEG</t>
        </is>
      </c>
      <c r="B7" s="33" t="inlineStr">
        <is>
          <t>Constellation Energy Corporation</t>
        </is>
      </c>
      <c r="C7" s="33" t="inlineStr">
        <is>
          <t>01 Power - IPP / Nuclear</t>
        </is>
      </c>
      <c r="D7" s="33" t="inlineStr">
        <is>
          <t>2026-06-24</t>
        </is>
      </c>
      <c r="E7" s="33" t="n">
        <v>19.814491</v>
      </c>
      <c r="F7" s="33" t="n">
        <v>14.921</v>
      </c>
      <c r="G7" s="33" t="n">
        <v>1.19</v>
      </c>
      <c r="H7" s="33" t="n">
        <v>3.2039585</v>
      </c>
      <c r="I7" s="33">
        <f>IF(OR(E7="",R7="",R7&lt;=0,E7&lt;0),"",E7/R7)</f>
        <v/>
      </c>
      <c r="J7" s="66">
        <f>IFERROR(AVERAGE(IFERROR(IF(E7="","",IF(E7&lt;0,5,IF(E7&lt;=15,90,IF(E7&lt;=20,75,IF(E7&lt;=25,60,IF(E7&lt;=30,45,IF(E7&lt;=40,30,IF(E7&lt;=60,15,5)))))))),""),IFERROR(IF(F7="","",IF(F7&lt;0,5,IF(F7&lt;=10,90,IF(F7&lt;=15,75,IF(F7&lt;=20,60,IF(F7&lt;=25,45,IF(F7&lt;=35,30,IF(F7&lt;=50,15,5)))))))),""),IFERROR(IF(G7="","",IF(G7&gt;=8,100,IF(G7&gt;=6,90,IF(G7&gt;=4,75,IF(G7&gt;=2,60,IF(G7&gt;=1,45,IF(G7&gt;=0,30,15))))))),""),IFERROR(IF(H7="","",IF(H7&lt;=2,90,IF(H7&lt;=4,75,IF(H7&lt;=7,60,IF(H7&lt;=10,45,IF(H7&lt;=15,30,IF(H7&lt;=25,15,5))))))),""),IFERROR(IF(I7="","",IF(I7&lt;=0.5,100,IF(I7&lt;=1,90,IF(I7&lt;=1.5,75,IF(I7&lt;=2,60,IF(I7&lt;=2.5,45,IF(I7&lt;=3,30,15))))))),"")),"")</f>
        <v/>
      </c>
      <c r="K7" s="33" t="n">
        <v>11.3</v>
      </c>
      <c r="L7" s="33" t="n">
        <v>23.26</v>
      </c>
      <c r="M7" s="33" t="n">
        <v>3.81</v>
      </c>
      <c r="N7" s="33" t="n">
        <v>2.71</v>
      </c>
      <c r="O7" s="66">
        <f>IFERROR(AVERAGE(IFERROR(IF(K7="","",IF(K7&gt;=25,100,IF(K7&gt;=20,90,IF(K7&gt;=15,75,IF(K7&gt;=10,60,IF(K7&gt;=5,45,IF(K7&gt;=0,30,15))))))),""),IFERROR(IF(L7="","",IF(L7&gt;=60,100,IF(L7&gt;=50,90,IF(L7&gt;=40,75,IF(L7&gt;=30,60,IF(L7&gt;=20,45,IF(L7&gt;=10,30,15))))))),""),IFERROR(IF(M7="","",IF(M7&gt;=25,100,IF(M7&gt;=20,90,IF(M7&gt;=15,75,IF(M7&gt;=10,60,IF(M7&gt;=5,45,IF(M7&gt;=0,30,15))))))),""),IFERROR(IF(N7="","",IF(N7&lt;=0,100,IF(N7&lt;=1,90,IF(N7&lt;=2,75,IF(N7&lt;=3,60,IF(N7&lt;=4,45,IF(N7&lt;=5,30,15))))))),"")),"")</f>
        <v/>
      </c>
      <c r="P7" s="33" t="n">
        <v>1.47</v>
      </c>
      <c r="Q7" s="33" t="n">
        <v>63.8</v>
      </c>
      <c r="R7" s="33" t="n"/>
      <c r="S7" s="66">
        <f>IFERROR(AVERAGE(IFERROR(IF(P7="","",IF(P7&gt;=40,100,IF(P7&gt;=30,90,IF(P7&gt;=20,75,IF(P7&gt;=15,60,IF(P7&gt;=10,45,IF(P7&gt;=5,30,15))))))),""),IFERROR(IF(Q7="","",IF(Q7&gt;=40,100,IF(Q7&gt;=30,90,IF(Q7&gt;=20,75,IF(Q7&gt;=10,60,IF(Q7&gt;=5,45,IF(Q7&gt;=0,30,15))))))),""),IFERROR(IF(R7="","",IF(R7&gt;=40,100,IF(R7&gt;=30,90,IF(R7&gt;=20,75,IF(R7&gt;=10,60,IF(R7&gt;=0,45,IF(R7&gt;=-10,30,15))))))),"")),"")</f>
        <v/>
      </c>
      <c r="T7" s="33" t="n">
        <v>2</v>
      </c>
      <c r="U7" s="33" t="n">
        <v>5</v>
      </c>
      <c r="V7" s="33" t="n">
        <v>4</v>
      </c>
      <c r="W7" s="33" t="n">
        <v>5</v>
      </c>
      <c r="X7" s="33" t="n">
        <v>5</v>
      </c>
      <c r="Y7" s="66">
        <f>IFERROR(AVERAGE(T7,U7,V7,W7,X7)*20,"")</f>
        <v/>
      </c>
      <c r="Z7" s="33" t="n">
        <v>3</v>
      </c>
      <c r="AA7" s="33" t="n">
        <v>2</v>
      </c>
      <c r="AB7" s="33" t="n">
        <v>3</v>
      </c>
      <c r="AC7" s="71" t="n">
        <v>26.7</v>
      </c>
      <c r="AD7" s="66">
        <f>IFERROR(AVERAGE(IFERROR(IF(Z7="","",Z7*20),""),IFERROR(IF(AA7="","",AA7*20),""),IFERROR(IF(AB7="","",AB7*20),""),IFERROR(IF(AC7="","",IF(AC7&gt;=85,100,IF(AC7&gt;=70,90,IF(AC7&gt;=55,75,IF(AC7&gt;=40,60,IF(AC7&gt;=25,40,20)))))),"")),"")</f>
        <v/>
      </c>
      <c r="AE7" s="33" t="n">
        <v>4</v>
      </c>
      <c r="AF7" s="33" t="n">
        <v>5</v>
      </c>
      <c r="AG7" s="33" t="n">
        <v>3</v>
      </c>
      <c r="AH7" s="33" t="n">
        <v>4</v>
      </c>
      <c r="AI7" s="66">
        <f>IFERROR(AVERAGE(AE7,AF7,AG7,AH7,AL7)*20,"")</f>
        <v/>
      </c>
      <c r="AJ7" s="64">
        <f>IFERROR(J7*Weights!$B$4 + O7*Weights!$B$5 + S7*Weights!$B$6 + Y7*Weights!$B$7 + AD7*Weights!$B$8 + AI7*Weights!$B$9,"")</f>
        <v/>
      </c>
      <c r="AK7" s="65">
        <f>IF(AJ7="","",IF(AJ7&gt;=85,"✓✓✓",IF(AJ7&gt;=70,"✓✓",IF(AJ7&gt;=55,"✓",IF(AJ7&gt;=40,"?","✗")))))</f>
        <v/>
      </c>
      <c r="AL7" s="33" t="n">
        <v>5</v>
      </c>
    </row>
    <row r="8" ht="15" customHeight="1" s="34">
      <c r="A8" s="33" t="inlineStr">
        <is>
          <t>NVDA</t>
        </is>
      </c>
      <c r="B8" s="33" t="inlineStr">
        <is>
          <t>NVIDIA Corporation</t>
        </is>
      </c>
      <c r="C8" s="33" t="inlineStr">
        <is>
          <t>06 AI Compute Silicon / GPUs / merchant accelerators</t>
        </is>
      </c>
      <c r="D8" s="33" t="inlineStr">
        <is>
          <t>2026-06-24</t>
        </is>
      </c>
      <c r="E8" s="33" t="n">
        <v>15.633581</v>
      </c>
      <c r="F8" s="33" t="n">
        <v>28.852</v>
      </c>
      <c r="G8" s="33" t="n">
        <v>2.47</v>
      </c>
      <c r="H8" s="33" t="n">
        <v>19.014399</v>
      </c>
      <c r="I8" s="33">
        <f>IF(OR(E8="",R8="",R8&lt;=0,E8&lt;0),"",E8/R8)</f>
        <v/>
      </c>
      <c r="J8" s="66">
        <f>IFERROR(AVERAGE(IFERROR(IF(E8="","",IF(E8&lt;0,5,IF(E8&lt;=15,90,IF(E8&lt;=20,75,IF(E8&lt;=25,60,IF(E8&lt;=30,45,IF(E8&lt;=40,30,IF(E8&lt;=60,15,5)))))))),""),IFERROR(IF(F8="","",IF(F8&lt;0,5,IF(F8&lt;=10,90,IF(F8&lt;=15,75,IF(F8&lt;=20,60,IF(F8&lt;=25,45,IF(F8&lt;=35,30,IF(F8&lt;=50,15,5)))))))),""),IFERROR(IF(G8="","",IF(G8&gt;=8,100,IF(G8&gt;=6,90,IF(G8&gt;=4,75,IF(G8&gt;=2,60,IF(G8&gt;=1,45,IF(G8&gt;=0,30,15))))))),""),IFERROR(IF(H8="","",IF(H8&lt;=2,90,IF(H8&lt;=4,75,IF(H8&lt;=7,60,IF(H8&lt;=10,45,IF(H8&lt;=15,30,IF(H8&lt;=25,15,5))))))),""),IFERROR(IF(I8="","",IF(I8&lt;=0.5,100,IF(I8&lt;=1,90,IF(I8&lt;=1.5,75,IF(I8&lt;=2,60,IF(I8&lt;=2.5,45,IF(I8&lt;=3,30,15))))))),"")),"")</f>
        <v/>
      </c>
      <c r="K8" s="33" t="n">
        <v>103.061</v>
      </c>
      <c r="L8" s="33" t="n">
        <v>74.14</v>
      </c>
      <c r="M8" s="33" t="n">
        <v>46.97</v>
      </c>
      <c r="N8" s="33" t="n">
        <v>-0.24</v>
      </c>
      <c r="O8" s="66">
        <f>IFERROR(AVERAGE(IFERROR(IF(K8="","",IF(K8&gt;=25,100,IF(K8&gt;=20,90,IF(K8&gt;=15,75,IF(K8&gt;=10,60,IF(K8&gt;=5,45,IF(K8&gt;=0,30,15))))))),""),IFERROR(IF(L8="","",IF(L8&gt;=60,100,IF(L8&gt;=50,90,IF(L8&gt;=40,75,IF(L8&gt;=30,60,IF(L8&gt;=20,45,IF(L8&gt;=10,30,15))))))),""),IFERROR(IF(M8="","",IF(M8&gt;=25,100,IF(M8&gt;=20,90,IF(M8&gt;=15,75,IF(M8&gt;=10,60,IF(M8&gt;=5,45,IF(M8&gt;=0,30,15))))))),""),IFERROR(IF(N8="","",IF(N8&lt;=0,100,IF(N8&lt;=1,90,IF(N8&lt;=2,75,IF(N8&lt;=3,60,IF(N8&lt;=4,45,IF(N8&lt;=5,30,15))))))),"")),"")</f>
        <v/>
      </c>
      <c r="P8" s="33" t="n">
        <v>100.05</v>
      </c>
      <c r="Q8" s="33" t="n">
        <v>85.2</v>
      </c>
      <c r="R8" s="33" t="n">
        <v>210.6</v>
      </c>
      <c r="S8" s="66">
        <f>IFERROR(AVERAGE(IFERROR(IF(P8="","",IF(P8&gt;=40,100,IF(P8&gt;=30,90,IF(P8&gt;=20,75,IF(P8&gt;=15,60,IF(P8&gt;=10,45,IF(P8&gt;=5,30,15))))))),""),IFERROR(IF(Q8="","",IF(Q8&gt;=40,100,IF(Q8&gt;=30,90,IF(Q8&gt;=20,75,IF(Q8&gt;=10,60,IF(Q8&gt;=5,45,IF(Q8&gt;=0,30,15))))))),""),IFERROR(IF(R8="","",IF(R8&gt;=40,100,IF(R8&gt;=30,90,IF(R8&gt;=20,75,IF(R8&gt;=10,60,IF(R8&gt;=0,45,IF(R8&gt;=-10,30,15))))))),"")),"")</f>
        <v/>
      </c>
      <c r="T8" s="33" t="n">
        <v>5</v>
      </c>
      <c r="U8" s="33" t="n">
        <v>5</v>
      </c>
      <c r="V8" s="33" t="n">
        <v>5</v>
      </c>
      <c r="W8" s="33" t="n">
        <v>5</v>
      </c>
      <c r="X8" s="33" t="n">
        <v>5</v>
      </c>
      <c r="Y8" s="66">
        <f>IFERROR(AVERAGE(T8,U8,V8,W8,X8)*20,"")</f>
        <v/>
      </c>
      <c r="Z8" s="33" t="n">
        <v>4</v>
      </c>
      <c r="AA8" s="33" t="n">
        <v>1</v>
      </c>
      <c r="AB8" s="33" t="n">
        <v>3</v>
      </c>
      <c r="AC8" s="71" t="n">
        <v>61.7</v>
      </c>
      <c r="AD8" s="66">
        <f>IFERROR(AVERAGE(IFERROR(IF(Z8="","",Z8*20),""),IFERROR(IF(AA8="","",AA8*20),""),IFERROR(IF(AB8="","",AB8*20),""),IFERROR(IF(AC8="","",IF(AC8&gt;=85,100,IF(AC8&gt;=70,90,IF(AC8&gt;=55,75,IF(AC8&gt;=40,60,IF(AC8&gt;=25,40,20)))))),"")),"")</f>
        <v/>
      </c>
      <c r="AE8" s="33" t="n">
        <v>4</v>
      </c>
      <c r="AF8" s="33" t="n">
        <v>2</v>
      </c>
      <c r="AG8" s="33" t="n">
        <v>5</v>
      </c>
      <c r="AH8" s="33" t="n">
        <v>4</v>
      </c>
      <c r="AI8" s="66">
        <f>IFERROR(AVERAGE(AE8,AF8,AG8,AH8,AL8)*20,"")</f>
        <v/>
      </c>
      <c r="AJ8" s="64">
        <f>IFERROR(J8*Weights!$B$4 + O8*Weights!$B$5 + S8*Weights!$B$6 + Y8*Weights!$B$7 + AD8*Weights!$B$8 + AI8*Weights!$B$9,"")</f>
        <v/>
      </c>
      <c r="AK8" s="65">
        <f>IF(AJ8="","",IF(AJ8&gt;=85,"✓✓✓",IF(AJ8&gt;=70,"✓✓",IF(AJ8&gt;=55,"✓",IF(AJ8&gt;=40,"?","✗")))))</f>
        <v/>
      </c>
      <c r="AL8" s="33" t="n">
        <v>5</v>
      </c>
    </row>
    <row r="9" ht="15" customHeight="1" s="34">
      <c r="A9" s="33" t="inlineStr">
        <is>
          <t>AMD</t>
        </is>
      </c>
      <c r="B9" s="33" t="inlineStr">
        <is>
          <t>Advanced Micro Devices, Inc.</t>
        </is>
      </c>
      <c r="C9" s="33" t="inlineStr">
        <is>
          <t>06 AI Compute Silicon / GPUs / merchant accelerators</t>
        </is>
      </c>
      <c r="D9" s="33" t="inlineStr">
        <is>
          <t>2026-06-24</t>
        </is>
      </c>
      <c r="E9" s="33" t="n">
        <v>39.46948</v>
      </c>
      <c r="F9" s="33" t="n">
        <v>112.772</v>
      </c>
      <c r="G9" s="33" t="n">
        <v>1.01</v>
      </c>
      <c r="H9" s="33" t="n">
        <v>22.627445</v>
      </c>
      <c r="I9" s="33">
        <f>IF(OR(E9="",R9="",R9&lt;=0,E9&lt;0),"",E9/R9)</f>
        <v/>
      </c>
      <c r="J9" s="66">
        <f>IFERROR(AVERAGE(IFERROR(IF(E9="","",IF(E9&lt;0,5,IF(E9&lt;=15,90,IF(E9&lt;=20,75,IF(E9&lt;=25,60,IF(E9&lt;=30,45,IF(E9&lt;=40,30,IF(E9&lt;=60,15,5)))))))),""),IFERROR(IF(F9="","",IF(F9&lt;0,5,IF(F9&lt;=10,90,IF(F9&lt;=15,75,IF(F9&lt;=20,60,IF(F9&lt;=25,45,IF(F9&lt;=35,30,IF(F9&lt;=50,15,5)))))))),""),IFERROR(IF(G9="","",IF(G9&gt;=8,100,IF(G9&gt;=6,90,IF(G9&gt;=4,75,IF(G9&gt;=2,60,IF(G9&gt;=1,45,IF(G9&gt;=0,30,15))))))),""),IFERROR(IF(H9="","",IF(H9&lt;=2,90,IF(H9&lt;=4,75,IF(H9&lt;=7,60,IF(H9&lt;=10,45,IF(H9&lt;=15,30,IF(H9&lt;=25,15,5))))))),""),IFERROR(IF(I9="","",IF(I9&lt;=0.5,100,IF(I9&lt;=1,90,IF(I9&lt;=1.5,75,IF(I9&lt;=2,60,IF(I9&lt;=2.5,45,IF(I9&lt;=3,30,15))))))),"")),"")</f>
        <v/>
      </c>
      <c r="K9" s="33" t="n">
        <v>8.1</v>
      </c>
      <c r="L9" s="33" t="n">
        <v>53.06</v>
      </c>
      <c r="M9" s="33" t="n">
        <v>22.89</v>
      </c>
      <c r="N9" s="33" t="n">
        <v>-1.14</v>
      </c>
      <c r="O9" s="66">
        <f>IFERROR(AVERAGE(IFERROR(IF(K9="","",IF(K9&gt;=25,100,IF(K9&gt;=20,90,IF(K9&gt;=15,75,IF(K9&gt;=10,60,IF(K9&gt;=5,45,IF(K9&gt;=0,30,15))))))),""),IFERROR(IF(L9="","",IF(L9&gt;=60,100,IF(L9&gt;=50,90,IF(L9&gt;=40,75,IF(L9&gt;=30,60,IF(L9&gt;=20,45,IF(L9&gt;=10,30,15))))))),""),IFERROR(IF(M9="","",IF(M9&gt;=25,100,IF(M9&gt;=20,90,IF(M9&gt;=15,75,IF(M9&gt;=10,60,IF(M9&gt;=5,45,IF(M9&gt;=0,30,15))))))),""),IFERROR(IF(N9="","",IF(N9&lt;=0,100,IF(N9&lt;=1,90,IF(N9&lt;=2,75,IF(N9&lt;=3,60,IF(N9&lt;=4,45,IF(N9&lt;=5,30,15))))))),"")),"")</f>
        <v/>
      </c>
      <c r="P9" s="33" t="n">
        <v>13.64</v>
      </c>
      <c r="Q9" s="33" t="n">
        <v>37.8</v>
      </c>
      <c r="R9" s="33" t="n">
        <v>95.09999999999999</v>
      </c>
      <c r="S9" s="66">
        <f>IFERROR(AVERAGE(IFERROR(IF(P9="","",IF(P9&gt;=40,100,IF(P9&gt;=30,90,IF(P9&gt;=20,75,IF(P9&gt;=15,60,IF(P9&gt;=10,45,IF(P9&gt;=5,30,15))))))),""),IFERROR(IF(Q9="","",IF(Q9&gt;=40,100,IF(Q9&gt;=30,90,IF(Q9&gt;=20,75,IF(Q9&gt;=10,60,IF(Q9&gt;=5,45,IF(Q9&gt;=0,30,15))))))),""),IFERROR(IF(R9="","",IF(R9&gt;=40,100,IF(R9&gt;=30,90,IF(R9&gt;=20,75,IF(R9&gt;=10,60,IF(R9&gt;=0,45,IF(R9&gt;=-10,30,15))))))),"")),"")</f>
        <v/>
      </c>
      <c r="T9" s="33" t="n">
        <v>4</v>
      </c>
      <c r="U9" s="33" t="n">
        <v>4</v>
      </c>
      <c r="V9" s="33" t="n">
        <v>5</v>
      </c>
      <c r="W9" s="33" t="n">
        <v>5</v>
      </c>
      <c r="X9" s="33" t="n">
        <v>5</v>
      </c>
      <c r="Y9" s="66">
        <f>IFERROR(AVERAGE(T9,U9,V9,W9,X9)*20,"")</f>
        <v/>
      </c>
      <c r="Z9" s="33" t="n">
        <v>5</v>
      </c>
      <c r="AA9" s="33" t="n">
        <v>5</v>
      </c>
      <c r="AB9" s="33" t="n">
        <v>3</v>
      </c>
      <c r="AC9" s="71" t="n">
        <v>60</v>
      </c>
      <c r="AD9" s="66">
        <f>IFERROR(AVERAGE(IFERROR(IF(Z9="","",Z9*20),""),IFERROR(IF(AA9="","",AA9*20),""),IFERROR(IF(AB9="","",AB9*20),""),IFERROR(IF(AC9="","",IF(AC9&gt;=85,100,IF(AC9&gt;=70,90,IF(AC9&gt;=55,75,IF(AC9&gt;=40,60,IF(AC9&gt;=25,40,20)))))),"")),"")</f>
        <v/>
      </c>
      <c r="AE9" s="33" t="n">
        <v>3</v>
      </c>
      <c r="AF9" s="33" t="n">
        <v>3</v>
      </c>
      <c r="AG9" s="33" t="n">
        <v>5</v>
      </c>
      <c r="AH9" s="33" t="n">
        <v>4</v>
      </c>
      <c r="AI9" s="66">
        <f>IFERROR(AVERAGE(AE9,AF9,AG9,AH9,AL9)*20,"")</f>
        <v/>
      </c>
      <c r="AJ9" s="64">
        <f>IFERROR(J9*Weights!$B$4 + O9*Weights!$B$5 + S9*Weights!$B$6 + Y9*Weights!$B$7 + AD9*Weights!$B$8 + AI9*Weights!$B$9,"")</f>
        <v/>
      </c>
      <c r="AK9" s="65">
        <f>IF(AJ9="","",IF(AJ9&gt;=85,"✓✓✓",IF(AJ9&gt;=70,"✓✓",IF(AJ9&gt;=55,"✓",IF(AJ9&gt;=40,"?","✗")))))</f>
        <v/>
      </c>
      <c r="AL9" s="33" t="n">
        <v>5</v>
      </c>
    </row>
    <row r="10" ht="15" customHeight="1" s="34">
      <c r="A10" s="33" t="inlineStr">
        <is>
          <t>D</t>
        </is>
      </c>
      <c r="B10" s="33" t="inlineStr">
        <is>
          <t>Dominion Energy, Inc.</t>
        </is>
      </c>
      <c r="C10" s="33" t="inlineStr">
        <is>
          <t>01 Power Generation / Regulated utilities (data-center geographic exposure)</t>
        </is>
      </c>
      <c r="D10" s="33" t="inlineStr">
        <is>
          <t>2026-06-24</t>
        </is>
      </c>
      <c r="E10" s="33" t="n">
        <v>18.154749</v>
      </c>
      <c r="F10" s="33" t="n">
        <v>14.36</v>
      </c>
      <c r="G10" s="33" t="n">
        <v>-12.13</v>
      </c>
      <c r="H10" s="33" t="n">
        <v>3.491033</v>
      </c>
      <c r="I10" s="33">
        <f>IF(OR(E10="",R10="",R10&lt;=0,E10&lt;0),"",E10/R10)</f>
        <v/>
      </c>
      <c r="J10" s="66">
        <f>IFERROR(AVERAGE(IFERROR(IF(E10="","",IF(E10&lt;0,5,IF(E10&lt;=15,90,IF(E10&lt;=20,75,IF(E10&lt;=25,60,IF(E10&lt;=30,45,IF(E10&lt;=40,30,IF(E10&lt;=60,15,5)))))))),""),IFERROR(IF(F10="","",IF(F10&lt;0,5,IF(F10&lt;=10,90,IF(F10&lt;=15,75,IF(F10&lt;=20,60,IF(F10&lt;=25,45,IF(F10&lt;=35,30,IF(F10&lt;=50,15,5)))))))),""),IFERROR(IF(G10="","",IF(G10&gt;=8,100,IF(G10&gt;=6,90,IF(G10&gt;=4,75,IF(G10&gt;=2,60,IF(G10&gt;=1,45,IF(G10&gt;=0,30,15))))))),""),IFERROR(IF(H10="","",IF(H10&lt;=2,90,IF(H10&lt;=4,75,IF(H10&lt;=7,60,IF(H10&lt;=10,45,IF(H10&lt;=15,30,IF(H10&lt;=25,15,5))))))),""),IFERROR(IF(I10="","",IF(I10&lt;=0.5,100,IF(I10&lt;=1,90,IF(I10&lt;=1.5,75,IF(I10&lt;=2,60,IF(I10&lt;=2.5,45,IF(I10&lt;=3,30,15))))))),"")),"")</f>
        <v/>
      </c>
      <c r="K10" s="33" t="n">
        <v>6.2</v>
      </c>
      <c r="L10" s="33" t="n">
        <v>47.26</v>
      </c>
      <c r="M10" s="33" t="n">
        <v>-42.36</v>
      </c>
      <c r="N10" s="33" t="n">
        <v>6.29</v>
      </c>
      <c r="O10" s="66">
        <f>IFERROR(AVERAGE(IFERROR(IF(K10="","",IF(K10&gt;=25,100,IF(K10&gt;=20,90,IF(K10&gt;=15,75,IF(K10&gt;=10,60,IF(K10&gt;=5,45,IF(K10&gt;=0,30,15))))))),""),IFERROR(IF(L10="","",IF(L10&gt;=60,100,IF(L10&gt;=50,90,IF(L10&gt;=40,75,IF(L10&gt;=30,60,IF(L10&gt;=20,45,IF(L10&gt;=10,30,15))))))),""),IFERROR(IF(M10="","",IF(M10&gt;=25,100,IF(M10&gt;=20,90,IF(M10&gt;=15,75,IF(M10&gt;=10,60,IF(M10&gt;=5,45,IF(M10&gt;=0,30,15))))))),""),IFERROR(IF(N10="","",IF(N10&lt;=0,100,IF(N10&lt;=1,90,IF(N10&lt;=2,75,IF(N10&lt;=3,60,IF(N10&lt;=4,45,IF(N10&lt;=5,30,15))))))),"")),"")</f>
        <v/>
      </c>
      <c r="P10" s="33" t="n">
        <v>5.8</v>
      </c>
      <c r="Q10" s="33" t="n">
        <v>23.1</v>
      </c>
      <c r="R10" s="33" t="n">
        <v>-6.6</v>
      </c>
      <c r="S10" s="66">
        <f>IFERROR(AVERAGE(IFERROR(IF(P10="","",IF(P10&gt;=40,100,IF(P10&gt;=30,90,IF(P10&gt;=20,75,IF(P10&gt;=15,60,IF(P10&gt;=10,45,IF(P10&gt;=5,30,15))))))),""),IFERROR(IF(Q10="","",IF(Q10&gt;=40,100,IF(Q10&gt;=30,90,IF(Q10&gt;=20,75,IF(Q10&gt;=10,60,IF(Q10&gt;=5,45,IF(Q10&gt;=0,30,15))))))),""),IFERROR(IF(R10="","",IF(R10&gt;=40,100,IF(R10&gt;=30,90,IF(R10&gt;=20,75,IF(R10&gt;=10,60,IF(R10&gt;=0,45,IF(R10&gt;=-10,30,15))))))),"")),"")</f>
        <v/>
      </c>
      <c r="T10" s="33" t="n">
        <v>2</v>
      </c>
      <c r="U10" s="33" t="n">
        <v>3</v>
      </c>
      <c r="V10" s="33" t="n">
        <v>4</v>
      </c>
      <c r="W10" s="33" t="n">
        <v>5</v>
      </c>
      <c r="X10" s="33" t="n">
        <v>3</v>
      </c>
      <c r="Y10" s="66">
        <f>IFERROR(AVERAGE(T10,U10,V10,W10,X10)*20,"")</f>
        <v/>
      </c>
      <c r="Z10" s="33" t="n">
        <v>3</v>
      </c>
      <c r="AA10" s="33" t="n">
        <v>4</v>
      </c>
      <c r="AB10" s="33" t="n">
        <v>3</v>
      </c>
      <c r="AC10" s="71" t="n">
        <v>72.5</v>
      </c>
      <c r="AD10" s="66">
        <f>IFERROR(AVERAGE(IFERROR(IF(Z10="","",Z10*20),""),IFERROR(IF(AA10="","",AA10*20),""),IFERROR(IF(AB10="","",AB10*20),""),IFERROR(IF(AC10="","",IF(AC10&gt;=85,100,IF(AC10&gt;=70,90,IF(AC10&gt;=55,75,IF(AC10&gt;=40,60,IF(AC10&gt;=25,40,20)))))),"")),"")</f>
        <v/>
      </c>
      <c r="AE10" s="33" t="n">
        <v>5</v>
      </c>
      <c r="AF10" s="33" t="n">
        <v>5</v>
      </c>
      <c r="AG10" s="33" t="n">
        <v>3</v>
      </c>
      <c r="AH10" s="33" t="n">
        <v>2</v>
      </c>
      <c r="AI10" s="66">
        <f>IFERROR(AVERAGE(AE10,AF10,AG10,AH10,AL10)*20,"")</f>
        <v/>
      </c>
      <c r="AJ10" s="64">
        <f>IFERROR(J10*Weights!$B$4 + O10*Weights!$B$5 + S10*Weights!$B$6 + Y10*Weights!$B$7 + AD10*Weights!$B$8 + AI10*Weights!$B$9,"")</f>
        <v/>
      </c>
      <c r="AK10" s="65">
        <f>IF(AJ10="","",IF(AJ10&gt;=85,"✓✓✓",IF(AJ10&gt;=70,"✓✓",IF(AJ10&gt;=55,"✓",IF(AJ10&gt;=40,"?","✗")))))</f>
        <v/>
      </c>
      <c r="AL10" s="33" t="n">
        <v>5</v>
      </c>
    </row>
    <row r="11" ht="15" customHeight="1" s="34">
      <c r="A11" s="33" t="inlineStr">
        <is>
          <t>AEP</t>
        </is>
      </c>
      <c r="B11" s="33" t="inlineStr">
        <is>
          <t>American Electric Power Company, Inc.</t>
        </is>
      </c>
      <c r="C11" s="33" t="inlineStr">
        <is>
          <t>01 Power Generation / Regulated utilities (data-center geographic exposure)</t>
        </is>
      </c>
      <c r="D11" s="33" t="inlineStr">
        <is>
          <t>2026-06-24</t>
        </is>
      </c>
      <c r="E11" s="33" t="n">
        <v>19.669828</v>
      </c>
      <c r="F11" s="33" t="n">
        <v>13.772</v>
      </c>
      <c r="G11" s="33" t="n">
        <v>-4.41</v>
      </c>
      <c r="H11" s="33" t="n">
        <v>3.2734106</v>
      </c>
      <c r="I11" s="33">
        <f>IF(OR(E11="",R11="",R11&lt;=0,E11&lt;0),"",E11/R11)</f>
        <v/>
      </c>
      <c r="J11" s="66">
        <f>IFERROR(AVERAGE(IFERROR(IF(E11="","",IF(E11&lt;0,5,IF(E11&lt;=15,90,IF(E11&lt;=20,75,IF(E11&lt;=25,60,IF(E11&lt;=30,45,IF(E11&lt;=40,30,IF(E11&lt;=60,15,5)))))))),""),IFERROR(IF(F11="","",IF(F11&lt;0,5,IF(F11&lt;=10,90,IF(F11&lt;=15,75,IF(F11&lt;=20,60,IF(F11&lt;=25,45,IF(F11&lt;=35,30,IF(F11&lt;=50,15,5)))))))),""),IFERROR(IF(G11="","",IF(G11&gt;=8,100,IF(G11&gt;=6,90,IF(G11&gt;=4,75,IF(G11&gt;=2,60,IF(G11&gt;=1,45,IF(G11&gt;=0,30,15))))))),""),IFERROR(IF(H11="","",IF(H11&lt;=2,90,IF(H11&lt;=4,75,IF(H11&lt;=7,60,IF(H11&lt;=10,45,IF(H11&lt;=15,30,IF(H11&lt;=25,15,5))))))),""),IFERROR(IF(I11="","",IF(I11&lt;=0.5,100,IF(I11&lt;=1,90,IF(I11&lt;=1.5,75,IF(I11&lt;=2,60,IF(I11&lt;=2.5,45,IF(I11&lt;=3,30,15))))))),"")),"")</f>
        <v/>
      </c>
      <c r="K11" s="33" t="n">
        <v>6.9</v>
      </c>
      <c r="L11" s="33" t="n">
        <v>47.24</v>
      </c>
      <c r="M11" s="33" t="n">
        <v>-14.45</v>
      </c>
      <c r="N11" s="33" t="n">
        <v>5.61</v>
      </c>
      <c r="O11" s="66">
        <f>IFERROR(AVERAGE(IFERROR(IF(K11="","",IF(K11&gt;=25,100,IF(K11&gt;=20,90,IF(K11&gt;=15,75,IF(K11&gt;=10,60,IF(K11&gt;=5,45,IF(K11&gt;=0,30,15))))))),""),IFERROR(IF(L11="","",IF(L11&gt;=60,100,IF(L11&gt;=50,90,IF(L11&gt;=40,75,IF(L11&gt;=30,60,IF(L11&gt;=20,45,IF(L11&gt;=10,30,15))))))),""),IFERROR(IF(M11="","",IF(M11&gt;=25,100,IF(M11&gt;=20,90,IF(M11&gt;=15,75,IF(M11&gt;=10,60,IF(M11&gt;=5,45,IF(M11&gt;=0,30,15))))))),""),IFERROR(IF(N11="","",IF(N11&lt;=0,100,IF(N11&lt;=1,90,IF(N11&lt;=2,75,IF(N11&lt;=3,60,IF(N11&lt;=4,45,IF(N11&lt;=5,30,15))))))),"")),"")</f>
        <v/>
      </c>
      <c r="P11" s="33" t="n">
        <v>3.66</v>
      </c>
      <c r="Q11" s="33" t="n">
        <v>10.2</v>
      </c>
      <c r="R11" s="33" t="n">
        <v>9.300000000000001</v>
      </c>
      <c r="S11" s="66">
        <f>IFERROR(AVERAGE(IFERROR(IF(P11="","",IF(P11&gt;=40,100,IF(P11&gt;=30,90,IF(P11&gt;=20,75,IF(P11&gt;=15,60,IF(P11&gt;=10,45,IF(P11&gt;=5,30,15))))))),""),IFERROR(IF(Q11="","",IF(Q11&gt;=40,100,IF(Q11&gt;=30,90,IF(Q11&gt;=20,75,IF(Q11&gt;=10,60,IF(Q11&gt;=5,45,IF(Q11&gt;=0,30,15))))))),""),IFERROR(IF(R11="","",IF(R11&gt;=40,100,IF(R11&gt;=30,90,IF(R11&gt;=20,75,IF(R11&gt;=10,60,IF(R11&gt;=0,45,IF(R11&gt;=-10,30,15))))))),"")),"")</f>
        <v/>
      </c>
      <c r="T11" s="33" t="n">
        <v>1</v>
      </c>
      <c r="U11" s="33" t="n">
        <v>3</v>
      </c>
      <c r="V11" s="33" t="n">
        <v>4</v>
      </c>
      <c r="W11" s="33" t="n">
        <v>5</v>
      </c>
      <c r="X11" s="33" t="n">
        <v>3</v>
      </c>
      <c r="Y11" s="66">
        <f>IFERROR(AVERAGE(T11,U11,V11,W11,X11)*20,"")</f>
        <v/>
      </c>
      <c r="Z11" s="33" t="n">
        <v>5</v>
      </c>
      <c r="AA11" s="33" t="n">
        <v>4</v>
      </c>
      <c r="AB11" s="33" t="n">
        <v>3</v>
      </c>
      <c r="AC11" s="71" t="n">
        <v>65.8</v>
      </c>
      <c r="AD11" s="66">
        <f>IFERROR(AVERAGE(IFERROR(IF(Z11="","",Z11*20),""),IFERROR(IF(AA11="","",AA11*20),""),IFERROR(IF(AB11="","",AB11*20),""),IFERROR(IF(AC11="","",IF(AC11&gt;=85,100,IF(AC11&gt;=70,90,IF(AC11&gt;=55,75,IF(AC11&gt;=40,60,IF(AC11&gt;=25,40,20)))))),"")),"")</f>
        <v/>
      </c>
      <c r="AE11" s="33" t="n">
        <v>5</v>
      </c>
      <c r="AF11" s="33" t="n">
        <v>5</v>
      </c>
      <c r="AG11" s="33" t="n">
        <v>3</v>
      </c>
      <c r="AH11" s="33" t="n">
        <v>4</v>
      </c>
      <c r="AI11" s="66">
        <f>IFERROR(AVERAGE(AE11,AF11,AG11,AH11,AL11)*20,"")</f>
        <v/>
      </c>
      <c r="AJ11" s="64">
        <f>IFERROR(J11*Weights!$B$4 + O11*Weights!$B$5 + S11*Weights!$B$6 + Y11*Weights!$B$7 + AD11*Weights!$B$8 + AI11*Weights!$B$9,"")</f>
        <v/>
      </c>
      <c r="AK11" s="65">
        <f>IF(AJ11="","",IF(AJ11&gt;=85,"✓✓✓",IF(AJ11&gt;=70,"✓✓",IF(AJ11&gt;=55,"✓",IF(AJ11&gt;=40,"?","✗")))))</f>
        <v/>
      </c>
      <c r="AL11" s="33" t="n">
        <v>5</v>
      </c>
    </row>
    <row r="12" ht="15" customHeight="1" s="34">
      <c r="A12" s="33" t="inlineStr">
        <is>
          <t>DUK</t>
        </is>
      </c>
      <c r="B12" s="33" t="inlineStr">
        <is>
          <t>Duke Energy Corporation</t>
        </is>
      </c>
      <c r="C12" s="33" t="inlineStr">
        <is>
          <t>01 Power Generation / Regulated utilities (data-center geographic exposure)</t>
        </is>
      </c>
      <c r="D12" s="33" t="inlineStr">
        <is>
          <t>2026-06-24</t>
        </is>
      </c>
      <c r="E12" s="33" t="n">
        <v>17.650341</v>
      </c>
      <c r="F12" s="33" t="n">
        <v>11.573</v>
      </c>
      <c r="G12" s="33" t="n">
        <v>-3.34</v>
      </c>
      <c r="H12" s="33" t="n">
        <v>3.0148327</v>
      </c>
      <c r="I12" s="33">
        <f>IF(OR(E12="",R12="",R12&lt;=0,E12&lt;0),"",E12/R12)</f>
        <v/>
      </c>
      <c r="J12" s="66">
        <f>IFERROR(AVERAGE(IFERROR(IF(E12="","",IF(E12&lt;0,5,IF(E12&lt;=15,90,IF(E12&lt;=20,75,IF(E12&lt;=25,60,IF(E12&lt;=30,45,IF(E12&lt;=40,30,IF(E12&lt;=60,15,5)))))))),""),IFERROR(IF(F12="","",IF(F12&lt;0,5,IF(F12&lt;=10,90,IF(F12&lt;=15,75,IF(F12&lt;=20,60,IF(F12&lt;=25,45,IF(F12&lt;=35,30,IF(F12&lt;=50,15,5)))))))),""),IFERROR(IF(G12="","",IF(G12&gt;=8,100,IF(G12&gt;=6,90,IF(G12&gt;=4,75,IF(G12&gt;=2,60,IF(G12&gt;=1,45,IF(G12&gt;=0,30,15))))))),""),IFERROR(IF(H12="","",IF(H12&lt;=2,90,IF(H12&lt;=4,75,IF(H12&lt;=7,60,IF(H12&lt;=10,45,IF(H12&lt;=15,30,IF(H12&lt;=25,15,5))))))),""),IFERROR(IF(I12="","",IF(I12&lt;=0.5,100,IF(I12&lt;=1,90,IF(I12&lt;=1.5,75,IF(I12&lt;=2,60,IF(I12&lt;=2.5,45,IF(I12&lt;=3,30,15))))))),"")),"")</f>
        <v/>
      </c>
      <c r="K12" s="33" t="n">
        <v>5.8</v>
      </c>
      <c r="L12" s="33" t="n">
        <v>51.05</v>
      </c>
      <c r="M12" s="33" t="n">
        <v>-10.08</v>
      </c>
      <c r="N12" s="33" t="n">
        <v>5.41</v>
      </c>
      <c r="O12" s="66">
        <f>IFERROR(AVERAGE(IFERROR(IF(K12="","",IF(K12&gt;=25,100,IF(K12&gt;=20,90,IF(K12&gt;=15,75,IF(K12&gt;=10,60,IF(K12&gt;=5,45,IF(K12&gt;=0,30,15))))))),""),IFERROR(IF(L12="","",IF(L12&gt;=60,100,IF(L12&gt;=50,90,IF(L12&gt;=40,75,IF(L12&gt;=30,60,IF(L12&gt;=20,45,IF(L12&gt;=10,30,15))))))),""),IFERROR(IF(M12="","",IF(M12&gt;=25,100,IF(M12&gt;=20,90,IF(M12&gt;=15,75,IF(M12&gt;=10,60,IF(M12&gt;=5,45,IF(M12&gt;=0,30,15))))))),""),IFERROR(IF(N12="","",IF(N12&lt;=0,100,IF(N12&lt;=1,90,IF(N12&lt;=2,75,IF(N12&lt;=3,60,IF(N12&lt;=4,45,IF(N12&lt;=5,30,15))))))),"")),"")</f>
        <v/>
      </c>
      <c r="P12" s="33" t="n">
        <v>3.87</v>
      </c>
      <c r="Q12" s="33" t="n">
        <v>11.3</v>
      </c>
      <c r="R12" s="33" t="n">
        <v>12.4</v>
      </c>
      <c r="S12" s="66">
        <f>IFERROR(AVERAGE(IFERROR(IF(P12="","",IF(P12&gt;=40,100,IF(P12&gt;=30,90,IF(P12&gt;=20,75,IF(P12&gt;=15,60,IF(P12&gt;=10,45,IF(P12&gt;=5,30,15))))))),""),IFERROR(IF(Q12="","",IF(Q12&gt;=40,100,IF(Q12&gt;=30,90,IF(Q12&gt;=20,75,IF(Q12&gt;=10,60,IF(Q12&gt;=5,45,IF(Q12&gt;=0,30,15))))))),""),IFERROR(IF(R12="","",IF(R12&gt;=40,100,IF(R12&gt;=30,90,IF(R12&gt;=20,75,IF(R12&gt;=10,60,IF(R12&gt;=0,45,IF(R12&gt;=-10,30,15))))))),"")),"")</f>
        <v/>
      </c>
      <c r="T12" s="33" t="n">
        <v>1</v>
      </c>
      <c r="U12" s="33" t="n">
        <v>3</v>
      </c>
      <c r="V12" s="33" t="n">
        <v>4</v>
      </c>
      <c r="W12" s="33" t="n">
        <v>5</v>
      </c>
      <c r="X12" s="33" t="n">
        <v>3</v>
      </c>
      <c r="Y12" s="66">
        <f>IFERROR(AVERAGE(T12,U12,V12,W12,X12)*20,"")</f>
        <v/>
      </c>
      <c r="Z12" s="33" t="n">
        <v>4</v>
      </c>
      <c r="AA12" s="33" t="n">
        <v>3</v>
      </c>
      <c r="AB12" s="33" t="n">
        <v>3</v>
      </c>
      <c r="AC12" s="71" t="n">
        <v>50.8</v>
      </c>
      <c r="AD12" s="66">
        <f>IFERROR(AVERAGE(IFERROR(IF(Z12="","",Z12*20),""),IFERROR(IF(AA12="","",AA12*20),""),IFERROR(IF(AB12="","",AB12*20),""),IFERROR(IF(AC12="","",IF(AC12&gt;=85,100,IF(AC12&gt;=70,90,IF(AC12&gt;=55,75,IF(AC12&gt;=40,60,IF(AC12&gt;=25,40,20)))))),"")),"")</f>
        <v/>
      </c>
      <c r="AE12" s="33" t="n">
        <v>5</v>
      </c>
      <c r="AF12" s="33" t="n">
        <v>5</v>
      </c>
      <c r="AG12" s="33" t="n">
        <v>3</v>
      </c>
      <c r="AH12" s="33" t="n">
        <v>4</v>
      </c>
      <c r="AI12" s="66">
        <f>IFERROR(AVERAGE(AE12,AF12,AG12,AH12,AL12)*20,"")</f>
        <v/>
      </c>
      <c r="AJ12" s="64">
        <f>IFERROR(J12*Weights!$B$4 + O12*Weights!$B$5 + S12*Weights!$B$6 + Y12*Weights!$B$7 + AD12*Weights!$B$8 + AI12*Weights!$B$9,"")</f>
        <v/>
      </c>
      <c r="AK12" s="65">
        <f>IF(AJ12="","",IF(AJ12&gt;=85,"✓✓✓",IF(AJ12&gt;=70,"✓✓",IF(AJ12&gt;=55,"✓",IF(AJ12&gt;=40,"?","✗")))))</f>
        <v/>
      </c>
      <c r="AL12" s="33" t="n">
        <v>5</v>
      </c>
    </row>
    <row r="13" ht="15" customHeight="1" s="34">
      <c r="A13" s="33" t="inlineStr">
        <is>
          <t>SO</t>
        </is>
      </c>
      <c r="B13" s="33" t="inlineStr">
        <is>
          <t>The Southern Company</t>
        </is>
      </c>
      <c r="C13" s="33" t="inlineStr">
        <is>
          <t>01 Power Generation / Regulated utilities (data-center geographic exposure)</t>
        </is>
      </c>
      <c r="D13" s="33" t="inlineStr">
        <is>
          <t>2026-06-24</t>
        </is>
      </c>
      <c r="E13" s="33" t="n">
        <v>19.477337</v>
      </c>
      <c r="F13" s="33" t="n">
        <v>13.295</v>
      </c>
      <c r="G13" s="33" t="n">
        <v>-3.21</v>
      </c>
      <c r="H13" s="33" t="n">
        <v>3.5782237</v>
      </c>
      <c r="I13" s="33">
        <f>IF(OR(E13="",R13="",R13&lt;=0,E13&lt;0),"",E13/R13)</f>
        <v/>
      </c>
      <c r="J13" s="66">
        <f>IFERROR(AVERAGE(IFERROR(IF(E13="","",IF(E13&lt;0,5,IF(E13&lt;=15,90,IF(E13&lt;=20,75,IF(E13&lt;=25,60,IF(E13&lt;=30,45,IF(E13&lt;=40,30,IF(E13&lt;=60,15,5)))))))),""),IFERROR(IF(F13="","",IF(F13&lt;0,5,IF(F13&lt;=10,90,IF(F13&lt;=15,75,IF(F13&lt;=20,60,IF(F13&lt;=25,45,IF(F13&lt;=35,30,IF(F13&lt;=50,15,5)))))))),""),IFERROR(IF(G13="","",IF(G13&gt;=8,100,IF(G13&gt;=6,90,IF(G13&gt;=4,75,IF(G13&gt;=2,60,IF(G13&gt;=1,45,IF(G13&gt;=0,30,15))))))),""),IFERROR(IF(H13="","",IF(H13&lt;=2,90,IF(H13&lt;=4,75,IF(H13&lt;=7,60,IF(H13&lt;=10,45,IF(H13&lt;=15,30,IF(H13&lt;=25,15,5))))))),""),IFERROR(IF(I13="","",IF(I13&lt;=0.5,100,IF(I13&lt;=1,90,IF(I13&lt;=1.5,75,IF(I13&lt;=2,60,IF(I13&lt;=2.5,45,IF(I13&lt;=3,30,15))))))),"")),"")</f>
        <v/>
      </c>
      <c r="K13" s="33" t="n">
        <v>6.2</v>
      </c>
      <c r="L13" s="33" t="n">
        <v>48</v>
      </c>
      <c r="M13" s="33" t="n">
        <v>-11.49</v>
      </c>
      <c r="N13" s="33" t="n">
        <v>5.37</v>
      </c>
      <c r="O13" s="66">
        <f>IFERROR(AVERAGE(IFERROR(IF(K13="","",IF(K13&gt;=25,100,IF(K13&gt;=20,90,IF(K13&gt;=15,75,IF(K13&gt;=10,60,IF(K13&gt;=5,45,IF(K13&gt;=0,30,15))))))),""),IFERROR(IF(L13="","",IF(L13&gt;=60,100,IF(L13&gt;=50,90,IF(L13&gt;=40,75,IF(L13&gt;=30,60,IF(L13&gt;=20,45,IF(L13&gt;=10,30,15))))))),""),IFERROR(IF(M13="","",IF(M13&gt;=25,100,IF(M13&gt;=20,90,IF(M13&gt;=15,75,IF(M13&gt;=10,60,IF(M13&gt;=5,45,IF(M13&gt;=0,30,15))))))),""),IFERROR(IF(N13="","",IF(N13&lt;=0,100,IF(N13&lt;=1,90,IF(N13&lt;=2,75,IF(N13&lt;=3,60,IF(N13&lt;=4,45,IF(N13&lt;=5,30,15))))))),"")),"")</f>
        <v/>
      </c>
      <c r="P13" s="33" t="n">
        <v>0.31</v>
      </c>
      <c r="Q13" s="33" t="n">
        <v>8</v>
      </c>
      <c r="R13" s="33" t="n">
        <v>1.6</v>
      </c>
      <c r="S13" s="66">
        <f>IFERROR(AVERAGE(IFERROR(IF(P13="","",IF(P13&gt;=40,100,IF(P13&gt;=30,90,IF(P13&gt;=20,75,IF(P13&gt;=15,60,IF(P13&gt;=10,45,IF(P13&gt;=5,30,15))))))),""),IFERROR(IF(Q13="","",IF(Q13&gt;=40,100,IF(Q13&gt;=30,90,IF(Q13&gt;=20,75,IF(Q13&gt;=10,60,IF(Q13&gt;=5,45,IF(Q13&gt;=0,30,15))))))),""),IFERROR(IF(R13="","",IF(R13&gt;=40,100,IF(R13&gt;=30,90,IF(R13&gt;=20,75,IF(R13&gt;=10,60,IF(R13&gt;=0,45,IF(R13&gt;=-10,30,15))))))),"")),"")</f>
        <v/>
      </c>
      <c r="T13" s="33" t="n">
        <v>1</v>
      </c>
      <c r="U13" s="33" t="n">
        <v>3</v>
      </c>
      <c r="V13" s="33" t="n">
        <v>4</v>
      </c>
      <c r="W13" s="33" t="n">
        <v>5</v>
      </c>
      <c r="X13" s="33" t="n">
        <v>3</v>
      </c>
      <c r="Y13" s="66">
        <f>IFERROR(AVERAGE(T13,U13,V13,W13,X13)*20,"")</f>
        <v/>
      </c>
      <c r="Z13" s="33" t="n">
        <v>2</v>
      </c>
      <c r="AA13" s="33" t="n">
        <v>4</v>
      </c>
      <c r="AB13" s="33" t="n">
        <v>3</v>
      </c>
      <c r="AC13" s="71" t="n">
        <v>59.2</v>
      </c>
      <c r="AD13" s="66">
        <f>IFERROR(AVERAGE(IFERROR(IF(Z13="","",Z13*20),""),IFERROR(IF(AA13="","",AA13*20),""),IFERROR(IF(AB13="","",AB13*20),""),IFERROR(IF(AC13="","",IF(AC13&gt;=85,100,IF(AC13&gt;=70,90,IF(AC13&gt;=55,75,IF(AC13&gt;=40,60,IF(AC13&gt;=25,40,20)))))),"")),"")</f>
        <v/>
      </c>
      <c r="AE13" s="33" t="n">
        <v>5</v>
      </c>
      <c r="AF13" s="33" t="n">
        <v>5</v>
      </c>
      <c r="AG13" s="33" t="n">
        <v>3</v>
      </c>
      <c r="AH13" s="33" t="n">
        <v>4</v>
      </c>
      <c r="AI13" s="66">
        <f>IFERROR(AVERAGE(AE13,AF13,AG13,AH13,AL13)*20,"")</f>
        <v/>
      </c>
      <c r="AJ13" s="64">
        <f>IFERROR(J13*Weights!$B$4 + O13*Weights!$B$5 + S13*Weights!$B$6 + Y13*Weights!$B$7 + AD13*Weights!$B$8 + AI13*Weights!$B$9,"")</f>
        <v/>
      </c>
      <c r="AK13" s="65">
        <f>IF(AJ13="","",IF(AJ13&gt;=85,"✓✓✓",IF(AJ13&gt;=70,"✓✓",IF(AJ13&gt;=55,"✓",IF(AJ13&gt;=40,"?","✗")))))</f>
        <v/>
      </c>
      <c r="AL13" s="33" t="n">
        <v>5</v>
      </c>
    </row>
    <row r="14" ht="15" customHeight="1" s="34">
      <c r="A14" s="33" t="inlineStr">
        <is>
          <t>NEE</t>
        </is>
      </c>
      <c r="B14" s="33" t="inlineStr">
        <is>
          <t>NextEra Energy, Inc.</t>
        </is>
      </c>
      <c r="C14" s="33" t="inlineStr">
        <is>
          <t>01 Power Generation / Regulated utilities (data-center geographic exposure)</t>
        </is>
      </c>
      <c r="D14" s="33" t="inlineStr">
        <is>
          <t>2026-06-24</t>
        </is>
      </c>
      <c r="E14" s="33" t="n">
        <v>19.910877</v>
      </c>
      <c r="F14" s="33" t="n">
        <v>20.943</v>
      </c>
      <c r="G14" s="33" t="n">
        <v>1.29</v>
      </c>
      <c r="H14" s="33" t="n">
        <v>6.5578394</v>
      </c>
      <c r="I14" s="33">
        <f>IF(OR(E14="",R14="",R14&lt;=0,E14&lt;0),"",E14/R14)</f>
        <v/>
      </c>
      <c r="J14" s="66">
        <f>IFERROR(AVERAGE(IFERROR(IF(E14="","",IF(E14&lt;0,5,IF(E14&lt;=15,90,IF(E14&lt;=20,75,IF(E14&lt;=25,60,IF(E14&lt;=30,45,IF(E14&lt;=40,30,IF(E14&lt;=60,15,5)))))))),""),IFERROR(IF(F14="","",IF(F14&lt;0,5,IF(F14&lt;=10,90,IF(F14&lt;=15,75,IF(F14&lt;=20,60,IF(F14&lt;=25,45,IF(F14&lt;=35,30,IF(F14&lt;=50,15,5)))))))),""),IFERROR(IF(G14="","",IF(G14&gt;=8,100,IF(G14&gt;=6,90,IF(G14&gt;=4,75,IF(G14&gt;=2,60,IF(G14&gt;=1,45,IF(G14&gt;=0,30,15))))))),""),IFERROR(IF(H14="","",IF(H14&lt;=2,90,IF(H14&lt;=4,75,IF(H14&lt;=7,60,IF(H14&lt;=10,45,IF(H14&lt;=15,30,IF(H14&lt;=25,15,5))))))),""),IFERROR(IF(I14="","",IF(I14&lt;=0.5,100,IF(I14&lt;=1,90,IF(I14&lt;=1.5,75,IF(I14&lt;=2,60,IF(I14&lt;=2.5,45,IF(I14&lt;=3,30,15))))))),"")),"")</f>
        <v/>
      </c>
      <c r="K14" s="33" t="n">
        <v>6.1</v>
      </c>
      <c r="L14" s="33" t="n">
        <v>61.4</v>
      </c>
      <c r="M14" s="33" t="n">
        <v>8.48</v>
      </c>
      <c r="N14" s="33" t="n">
        <v>7.23</v>
      </c>
      <c r="O14" s="66">
        <f>IFERROR(AVERAGE(IFERROR(IF(K14="","",IF(K14&gt;=25,100,IF(K14&gt;=20,90,IF(K14&gt;=15,75,IF(K14&gt;=10,60,IF(K14&gt;=5,45,IF(K14&gt;=0,30,15))))))),""),IFERROR(IF(L14="","",IF(L14&gt;=60,100,IF(L14&gt;=50,90,IF(L14&gt;=40,75,IF(L14&gt;=30,60,IF(L14&gt;=20,45,IF(L14&gt;=10,30,15))))))),""),IFERROR(IF(M14="","",IF(M14&gt;=25,100,IF(M14&gt;=20,90,IF(M14&gt;=15,75,IF(M14&gt;=10,60,IF(M14&gt;=5,45,IF(M14&gt;=0,30,15))))))),""),IFERROR(IF(N14="","",IF(N14&lt;=0,100,IF(N14&lt;=1,90,IF(N14&lt;=2,75,IF(N14&lt;=3,60,IF(N14&lt;=4,45,IF(N14&lt;=5,30,15))))))),"")),"")</f>
        <v/>
      </c>
      <c r="P14" s="33" t="n">
        <v>9.359999999999999</v>
      </c>
      <c r="Q14" s="33" t="n">
        <v>7.3</v>
      </c>
      <c r="R14" s="33" t="n">
        <v>161.9</v>
      </c>
      <c r="S14" s="66">
        <f>IFERROR(AVERAGE(IFERROR(IF(P14="","",IF(P14&gt;=40,100,IF(P14&gt;=30,90,IF(P14&gt;=20,75,IF(P14&gt;=15,60,IF(P14&gt;=10,45,IF(P14&gt;=5,30,15))))))),""),IFERROR(IF(Q14="","",IF(Q14&gt;=40,100,IF(Q14&gt;=30,90,IF(Q14&gt;=20,75,IF(Q14&gt;=10,60,IF(Q14&gt;=5,45,IF(Q14&gt;=0,30,15))))))),""),IFERROR(IF(R14="","",IF(R14&gt;=40,100,IF(R14&gt;=30,90,IF(R14&gt;=20,75,IF(R14&gt;=10,60,IF(R14&gt;=0,45,IF(R14&gt;=-10,30,15))))))),"")),"")</f>
        <v/>
      </c>
      <c r="T14" s="33" t="n">
        <v>2</v>
      </c>
      <c r="U14" s="33" t="n">
        <v>4</v>
      </c>
      <c r="V14" s="33" t="n">
        <v>5</v>
      </c>
      <c r="W14" s="33" t="n">
        <v>5</v>
      </c>
      <c r="X14" s="33" t="n">
        <v>5</v>
      </c>
      <c r="Y14" s="66">
        <f>IFERROR(AVERAGE(T14,U14,V14,W14,X14)*20,"")</f>
        <v/>
      </c>
      <c r="Z14" s="33" t="n">
        <v>4</v>
      </c>
      <c r="AA14" s="33" t="n">
        <v>3</v>
      </c>
      <c r="AB14" s="33" t="n">
        <v>3</v>
      </c>
      <c r="AC14" s="71" t="n">
        <v>65</v>
      </c>
      <c r="AD14" s="66">
        <f>IFERROR(AVERAGE(IFERROR(IF(Z14="","",Z14*20),""),IFERROR(IF(AA14="","",AA14*20),""),IFERROR(IF(AB14="","",AB14*20),""),IFERROR(IF(AC14="","",IF(AC14&gt;=85,100,IF(AC14&gt;=70,90,IF(AC14&gt;=55,75,IF(AC14&gt;=40,60,IF(AC14&gt;=25,40,20)))))),"")),"")</f>
        <v/>
      </c>
      <c r="AE14" s="33" t="n">
        <v>5</v>
      </c>
      <c r="AF14" s="33" t="n">
        <v>5</v>
      </c>
      <c r="AG14" s="33" t="n">
        <v>3</v>
      </c>
      <c r="AH14" s="33" t="n">
        <v>2</v>
      </c>
      <c r="AI14" s="66">
        <f>IFERROR(AVERAGE(AE14,AF14,AG14,AH14,AL14)*20,"")</f>
        <v/>
      </c>
      <c r="AJ14" s="64">
        <f>IFERROR(J14*Weights!$B$4 + O14*Weights!$B$5 + S14*Weights!$B$6 + Y14*Weights!$B$7 + AD14*Weights!$B$8 + AI14*Weights!$B$9,"")</f>
        <v/>
      </c>
      <c r="AK14" s="65">
        <f>IF(AJ14="","",IF(AJ14&gt;=85,"✓✓✓",IF(AJ14&gt;=70,"✓✓",IF(AJ14&gt;=55,"✓",IF(AJ14&gt;=40,"?","✗")))))</f>
        <v/>
      </c>
      <c r="AL14" s="33" t="n">
        <v>5</v>
      </c>
    </row>
    <row r="15" ht="15" customHeight="1" s="34">
      <c r="A15" s="33" t="inlineStr">
        <is>
          <t>ETR</t>
        </is>
      </c>
      <c r="B15" s="33" t="inlineStr">
        <is>
          <t>Entergy Corporation</t>
        </is>
      </c>
      <c r="C15" s="33" t="inlineStr">
        <is>
          <t>01 Power Generation / Regulated utilities (data-center geographic exposure)</t>
        </is>
      </c>
      <c r="D15" s="33" t="inlineStr">
        <is>
          <t>2026-06-24</t>
        </is>
      </c>
      <c r="E15" s="33" t="n">
        <v>22.623846</v>
      </c>
      <c r="F15" s="33" t="n">
        <v>15.173</v>
      </c>
      <c r="G15" s="33" t="n">
        <v>-5.89</v>
      </c>
      <c r="H15" s="33" t="n">
        <v>4.027397</v>
      </c>
      <c r="I15" s="33">
        <f>IF(OR(E15="",R15="",R15&lt;=0,E15&lt;0),"",E15/R15)</f>
        <v/>
      </c>
      <c r="J15" s="66">
        <f>IFERROR(AVERAGE(IFERROR(IF(E15="","",IF(E15&lt;0,5,IF(E15&lt;=15,90,IF(E15&lt;=20,75,IF(E15&lt;=25,60,IF(E15&lt;=30,45,IF(E15&lt;=40,30,IF(E15&lt;=60,15,5)))))))),""),IFERROR(IF(F15="","",IF(F15&lt;0,5,IF(F15&lt;=10,90,IF(F15&lt;=15,75,IF(F15&lt;=20,60,IF(F15&lt;=25,45,IF(F15&lt;=35,30,IF(F15&lt;=50,15,5)))))))),""),IFERROR(IF(G15="","",IF(G15&gt;=8,100,IF(G15&gt;=6,90,IF(G15&gt;=4,75,IF(G15&gt;=2,60,IF(G15&gt;=1,45,IF(G15&gt;=0,30,15))))))),""),IFERROR(IF(H15="","",IF(H15&lt;=2,90,IF(H15&lt;=4,75,IF(H15&lt;=7,60,IF(H15&lt;=10,45,IF(H15&lt;=15,30,IF(H15&lt;=25,15,5))))))),""),IFERROR(IF(I15="","",IF(I15&lt;=0.5,100,IF(I15&lt;=1,90,IF(I15&lt;=1.5,75,IF(I15&lt;=2,60,IF(I15&lt;=2.5,45,IF(I15&lt;=3,30,15))))))),"")),"")</f>
        <v/>
      </c>
      <c r="K15" s="33" t="n">
        <v>5.9</v>
      </c>
      <c r="L15" s="33" t="n">
        <v>46.98</v>
      </c>
      <c r="M15" s="33" t="n">
        <v>-23.71</v>
      </c>
      <c r="N15" s="33" t="n">
        <v>5.55</v>
      </c>
      <c r="O15" s="66">
        <f>IFERROR(AVERAGE(IFERROR(IF(K15="","",IF(K15&gt;=25,100,IF(K15&gt;=20,90,IF(K15&gt;=15,75,IF(K15&gt;=10,60,IF(K15&gt;=5,45,IF(K15&gt;=0,30,15))))))),""),IFERROR(IF(L15="","",IF(L15&gt;=60,100,IF(L15&gt;=50,90,IF(L15&gt;=40,75,IF(L15&gt;=30,60,IF(L15&gt;=20,45,IF(L15&gt;=10,30,15))))))),""),IFERROR(IF(M15="","",IF(M15&gt;=25,100,IF(M15&gt;=20,90,IF(M15&gt;=15,75,IF(M15&gt;=10,60,IF(M15&gt;=5,45,IF(M15&gt;=0,30,15))))))),""),IFERROR(IF(N15="","",IF(N15&lt;=0,100,IF(N15&lt;=1,90,IF(N15&lt;=2,75,IF(N15&lt;=3,60,IF(N15&lt;=4,45,IF(N15&lt;=5,30,15))))))),"")),"")</f>
        <v/>
      </c>
      <c r="P15" s="33" t="n">
        <v>-2.02</v>
      </c>
      <c r="Q15" s="33" t="n">
        <v>12</v>
      </c>
      <c r="R15" s="33" t="n">
        <v>6.7</v>
      </c>
      <c r="S15" s="66">
        <f>IFERROR(AVERAGE(IFERROR(IF(P15="","",IF(P15&gt;=40,100,IF(P15&gt;=30,90,IF(P15&gt;=20,75,IF(P15&gt;=15,60,IF(P15&gt;=10,45,IF(P15&gt;=5,30,15))))))),""),IFERROR(IF(Q15="","",IF(Q15&gt;=40,100,IF(Q15&gt;=30,90,IF(Q15&gt;=20,75,IF(Q15&gt;=10,60,IF(Q15&gt;=5,45,IF(Q15&gt;=0,30,15))))))),""),IFERROR(IF(R15="","",IF(R15&gt;=40,100,IF(R15&gt;=30,90,IF(R15&gt;=20,75,IF(R15&gt;=10,60,IF(R15&gt;=0,45,IF(R15&gt;=-10,30,15))))))),"")),"")</f>
        <v/>
      </c>
      <c r="T15" s="33" t="n">
        <v>1</v>
      </c>
      <c r="U15" s="33" t="n">
        <v>3</v>
      </c>
      <c r="V15" s="33" t="n">
        <v>4</v>
      </c>
      <c r="W15" s="33" t="n">
        <v>5</v>
      </c>
      <c r="X15" s="33" t="n">
        <v>3</v>
      </c>
      <c r="Y15" s="66">
        <f>IFERROR(AVERAGE(T15,U15,V15,W15,X15)*20,"")</f>
        <v/>
      </c>
      <c r="Z15" s="33" t="n">
        <v>5</v>
      </c>
      <c r="AA15" s="33" t="n">
        <v>4</v>
      </c>
      <c r="AB15" s="33" t="n">
        <v>3</v>
      </c>
      <c r="AC15" s="71" t="n">
        <v>75.8</v>
      </c>
      <c r="AD15" s="66">
        <f>IFERROR(AVERAGE(IFERROR(IF(Z15="","",Z15*20),""),IFERROR(IF(AA15="","",AA15*20),""),IFERROR(IF(AB15="","",AB15*20),""),IFERROR(IF(AC15="","",IF(AC15&gt;=85,100,IF(AC15&gt;=70,90,IF(AC15&gt;=55,75,IF(AC15&gt;=40,60,IF(AC15&gt;=25,40,20)))))),"")),"")</f>
        <v/>
      </c>
      <c r="AE15" s="33" t="n">
        <v>5</v>
      </c>
      <c r="AF15" s="33" t="n">
        <v>5</v>
      </c>
      <c r="AG15" s="33" t="n">
        <v>3</v>
      </c>
      <c r="AH15" s="33" t="n">
        <v>4</v>
      </c>
      <c r="AI15" s="66">
        <f>IFERROR(AVERAGE(AE15,AF15,AG15,AH15,AL15)*20,"")</f>
        <v/>
      </c>
      <c r="AJ15" s="64">
        <f>IFERROR(J15*Weights!$B$4 + O15*Weights!$B$5 + S15*Weights!$B$6 + Y15*Weights!$B$7 + AD15*Weights!$B$8 + AI15*Weights!$B$9,"")</f>
        <v/>
      </c>
      <c r="AK15" s="65">
        <f>IF(AJ15="","",IF(AJ15&gt;=85,"✓✓✓",IF(AJ15&gt;=70,"✓✓",IF(AJ15&gt;=55,"✓",IF(AJ15&gt;=40,"?","✗")))))</f>
        <v/>
      </c>
      <c r="AL15" s="33" t="n">
        <v>5</v>
      </c>
    </row>
    <row r="16" ht="15" customHeight="1" s="34">
      <c r="A16" s="33" t="inlineStr">
        <is>
          <t>PPL</t>
        </is>
      </c>
      <c r="B16" s="33" t="inlineStr">
        <is>
          <t>PPL Corporation</t>
        </is>
      </c>
      <c r="C16" s="33" t="inlineStr">
        <is>
          <t>01 Power Generation / Regulated utilities (data-center geographic exposure)</t>
        </is>
      </c>
      <c r="D16" s="33" t="inlineStr">
        <is>
          <t>2026-06-24</t>
        </is>
      </c>
      <c r="E16" s="33" t="n">
        <v>17.445953</v>
      </c>
      <c r="F16" s="33" t="n">
        <v>12.823</v>
      </c>
      <c r="G16" s="33" t="n">
        <v>-5.84</v>
      </c>
      <c r="H16" s="33" t="n">
        <v>2.9829009</v>
      </c>
      <c r="I16" s="33">
        <f>IF(OR(E16="",R16="",R16&lt;=0,E16&lt;0),"",E16/R16)</f>
        <v/>
      </c>
      <c r="J16" s="66">
        <f>IFERROR(AVERAGE(IFERROR(IF(E16="","",IF(E16&lt;0,5,IF(E16&lt;=15,90,IF(E16&lt;=20,75,IF(E16&lt;=25,60,IF(E16&lt;=30,45,IF(E16&lt;=40,30,IF(E16&lt;=60,15,5)))))))),""),IFERROR(IF(F16="","",IF(F16&lt;0,5,IF(F16&lt;=10,90,IF(F16&lt;=15,75,IF(F16&lt;=20,60,IF(F16&lt;=25,45,IF(F16&lt;=35,30,IF(F16&lt;=50,15,5)))))))),""),IFERROR(IF(G16="","",IF(G16&gt;=8,100,IF(G16&gt;=6,90,IF(G16&gt;=4,75,IF(G16&gt;=2,60,IF(G16&gt;=1,45,IF(G16&gt;=0,30,15))))))),""),IFERROR(IF(H16="","",IF(H16&lt;=2,90,IF(H16&lt;=4,75,IF(H16&lt;=7,60,IF(H16&lt;=10,45,IF(H16&lt;=15,30,IF(H16&lt;=25,15,5))))))),""),IFERROR(IF(I16="","",IF(I16&lt;=0.5,100,IF(I16&lt;=1,90,IF(I16&lt;=1.5,75,IF(I16&lt;=2,60,IF(I16&lt;=2.5,45,IF(I16&lt;=3,30,15))))))),"")),"")</f>
        <v/>
      </c>
      <c r="K16" s="33" t="n">
        <v>5.3</v>
      </c>
      <c r="L16" s="33" t="n">
        <v>43.29</v>
      </c>
      <c r="M16" s="33" t="n">
        <v>-17.42</v>
      </c>
      <c r="N16" s="33" t="n">
        <v>5.22</v>
      </c>
      <c r="O16" s="66">
        <f>IFERROR(AVERAGE(IFERROR(IF(K16="","",IF(K16&gt;=25,100,IF(K16&gt;=20,90,IF(K16&gt;=15,75,IF(K16&gt;=10,60,IF(K16&gt;=5,45,IF(K16&gt;=0,30,15))))))),""),IFERROR(IF(L16="","",IF(L16&gt;=60,100,IF(L16&gt;=50,90,IF(L16&gt;=40,75,IF(L16&gt;=30,60,IF(L16&gt;=20,45,IF(L16&gt;=10,30,15))))))),""),IFERROR(IF(M16="","",IF(M16&gt;=25,100,IF(M16&gt;=20,90,IF(M16&gt;=15,75,IF(M16&gt;=10,60,IF(M16&gt;=5,45,IF(M16&gt;=0,30,15))))))),""),IFERROR(IF(N16="","",IF(N16&lt;=0,100,IF(N16&lt;=1,90,IF(N16&lt;=2,75,IF(N16&lt;=3,60,IF(N16&lt;=4,45,IF(N16&lt;=5,30,15))))))),"")),"")</f>
        <v/>
      </c>
      <c r="P16" s="33" t="n">
        <v>4.59</v>
      </c>
      <c r="Q16" s="33" t="n">
        <v>10.8</v>
      </c>
      <c r="R16" s="33" t="n">
        <v>9.199999999999999</v>
      </c>
      <c r="S16" s="66">
        <f>IFERROR(AVERAGE(IFERROR(IF(P16="","",IF(P16&gt;=40,100,IF(P16&gt;=30,90,IF(P16&gt;=20,75,IF(P16&gt;=15,60,IF(P16&gt;=10,45,IF(P16&gt;=5,30,15))))))),""),IFERROR(IF(Q16="","",IF(Q16&gt;=40,100,IF(Q16&gt;=30,90,IF(Q16&gt;=20,75,IF(Q16&gt;=10,60,IF(Q16&gt;=5,45,IF(Q16&gt;=0,30,15))))))),""),IFERROR(IF(R16="","",IF(R16&gt;=40,100,IF(R16&gt;=30,90,IF(R16&gt;=20,75,IF(R16&gt;=10,60,IF(R16&gt;=0,45,IF(R16&gt;=-10,30,15))))))),"")),"")</f>
        <v/>
      </c>
      <c r="T16" s="33" t="n">
        <v>1</v>
      </c>
      <c r="U16" s="33" t="n">
        <v>3</v>
      </c>
      <c r="V16" s="33" t="n">
        <v>4</v>
      </c>
      <c r="W16" s="33" t="n">
        <v>5</v>
      </c>
      <c r="X16" s="33" t="n">
        <v>3</v>
      </c>
      <c r="Y16" s="66">
        <f>IFERROR(AVERAGE(T16,U16,V16,W16,X16)*20,"")</f>
        <v/>
      </c>
      <c r="Z16" s="33" t="n">
        <v>4</v>
      </c>
      <c r="AA16" s="33" t="n">
        <v>3</v>
      </c>
      <c r="AB16" s="33" t="n">
        <v>3</v>
      </c>
      <c r="AC16" s="71" t="n">
        <v>59.2</v>
      </c>
      <c r="AD16" s="66">
        <f>IFERROR(AVERAGE(IFERROR(IF(Z16="","",Z16*20),""),IFERROR(IF(AA16="","",AA16*20),""),IFERROR(IF(AB16="","",AB16*20),""),IFERROR(IF(AC16="","",IF(AC16&gt;=85,100,IF(AC16&gt;=70,90,IF(AC16&gt;=55,75,IF(AC16&gt;=40,60,IF(AC16&gt;=25,40,20)))))),"")),"")</f>
        <v/>
      </c>
      <c r="AE16" s="33" t="n">
        <v>5</v>
      </c>
      <c r="AF16" s="33" t="n">
        <v>5</v>
      </c>
      <c r="AG16" s="33" t="n">
        <v>3</v>
      </c>
      <c r="AH16" s="33" t="n">
        <v>4</v>
      </c>
      <c r="AI16" s="66">
        <f>IFERROR(AVERAGE(AE16,AF16,AG16,AH16,AL16)*20,"")</f>
        <v/>
      </c>
      <c r="AJ16" s="64">
        <f>IFERROR(J16*Weights!$B$4 + O16*Weights!$B$5 + S16*Weights!$B$6 + Y16*Weights!$B$7 + AD16*Weights!$B$8 + AI16*Weights!$B$9,"")</f>
        <v/>
      </c>
      <c r="AK16" s="65">
        <f>IF(AJ16="","",IF(AJ16&gt;=85,"✓✓✓",IF(AJ16&gt;=70,"✓✓",IF(AJ16&gt;=55,"✓",IF(AJ16&gt;=40,"?","✗")))))</f>
        <v/>
      </c>
      <c r="AL16" s="33" t="n">
        <v>5</v>
      </c>
    </row>
    <row r="17" ht="15" customHeight="1" s="34">
      <c r="A17" s="33" t="inlineStr">
        <is>
          <t>XEL</t>
        </is>
      </c>
      <c r="B17" s="33" t="inlineStr">
        <is>
          <t>Xcel Energy Inc.</t>
        </is>
      </c>
      <c r="C17" s="33" t="inlineStr">
        <is>
          <t>01 Power Generation / Regulated utilities (data-center geographic exposure)</t>
        </is>
      </c>
      <c r="D17" s="33" t="inlineStr">
        <is>
          <t>2026-06-24</t>
        </is>
      </c>
      <c r="E17" s="33" t="n">
        <v>17.976889</v>
      </c>
      <c r="F17" s="33" t="n">
        <v>14.577</v>
      </c>
      <c r="G17" s="33" t="n">
        <v>-14.14</v>
      </c>
      <c r="H17" s="33" t="n">
        <v>3.4401543</v>
      </c>
      <c r="I17" s="33">
        <f>IF(OR(E17="",R17="",R17&lt;=0,E17&lt;0),"",E17/R17)</f>
        <v/>
      </c>
      <c r="J17" s="66">
        <f>IFERROR(AVERAGE(IFERROR(IF(E17="","",IF(E17&lt;0,5,IF(E17&lt;=15,90,IF(E17&lt;=20,75,IF(E17&lt;=25,60,IF(E17&lt;=30,45,IF(E17&lt;=40,30,IF(E17&lt;=60,15,5)))))))),""),IFERROR(IF(F17="","",IF(F17&lt;0,5,IF(F17&lt;=10,90,IF(F17&lt;=15,75,IF(F17&lt;=20,60,IF(F17&lt;=25,45,IF(F17&lt;=35,30,IF(F17&lt;=50,15,5)))))))),""),IFERROR(IF(G17="","",IF(G17&gt;=8,100,IF(G17&gt;=6,90,IF(G17&gt;=4,75,IF(G17&gt;=2,60,IF(G17&gt;=1,45,IF(G17&gt;=0,30,15))))))),""),IFERROR(IF(H17="","",IF(H17&lt;=2,90,IF(H17&lt;=4,75,IF(H17&lt;=7,60,IF(H17&lt;=10,45,IF(H17&lt;=15,30,IF(H17&lt;=25,15,5))))))),""),IFERROR(IF(I17="","",IF(I17&lt;=0.5,100,IF(I17&lt;=1,90,IF(I17&lt;=1.5,75,IF(I17&lt;=2,60,IF(I17&lt;=2.5,45,IF(I17&lt;=3,30,15))))))),"")),"")</f>
        <v/>
      </c>
      <c r="K17" s="33" t="n">
        <v>5.3</v>
      </c>
      <c r="L17" s="33" t="n">
        <v>45.93</v>
      </c>
      <c r="M17" s="33" t="n">
        <v>-48.63</v>
      </c>
      <c r="N17" s="33" t="n">
        <v>6.18</v>
      </c>
      <c r="O17" s="66">
        <f>IFERROR(AVERAGE(IFERROR(IF(K17="","",IF(K17&gt;=25,100,IF(K17&gt;=20,90,IF(K17&gt;=15,75,IF(K17&gt;=10,60,IF(K17&gt;=5,45,IF(K17&gt;=0,30,15))))))),""),IFERROR(IF(L17="","",IF(L17&gt;=60,100,IF(L17&gt;=50,90,IF(L17&gt;=40,75,IF(L17&gt;=30,60,IF(L17&gt;=20,45,IF(L17&gt;=10,30,15))))))),""),IFERROR(IF(M17="","",IF(M17&gt;=25,100,IF(M17&gt;=20,90,IF(M17&gt;=15,75,IF(M17&gt;=10,60,IF(M17&gt;=5,45,IF(M17&gt;=0,30,15))))))),""),IFERROR(IF(N17="","",IF(N17&lt;=0,100,IF(N17&lt;=1,90,IF(N17&lt;=2,75,IF(N17&lt;=3,60,IF(N17&lt;=4,45,IF(N17&lt;=5,30,15))))))),"")),"")</f>
        <v/>
      </c>
      <c r="P17" s="33" t="n">
        <v>-1.42</v>
      </c>
      <c r="Q17" s="33" t="n">
        <v>2.9</v>
      </c>
      <c r="R17" s="33" t="n">
        <v>15.1</v>
      </c>
      <c r="S17" s="66">
        <f>IFERROR(AVERAGE(IFERROR(IF(P17="","",IF(P17&gt;=40,100,IF(P17&gt;=30,90,IF(P17&gt;=20,75,IF(P17&gt;=15,60,IF(P17&gt;=10,45,IF(P17&gt;=5,30,15))))))),""),IFERROR(IF(Q17="","",IF(Q17&gt;=40,100,IF(Q17&gt;=30,90,IF(Q17&gt;=20,75,IF(Q17&gt;=10,60,IF(Q17&gt;=5,45,IF(Q17&gt;=0,30,15))))))),""),IFERROR(IF(R17="","",IF(R17&gt;=40,100,IF(R17&gt;=30,90,IF(R17&gt;=20,75,IF(R17&gt;=10,60,IF(R17&gt;=0,45,IF(R17&gt;=-10,30,15))))))),"")),"")</f>
        <v/>
      </c>
      <c r="T17" s="33" t="n">
        <v>1</v>
      </c>
      <c r="U17" s="33" t="n">
        <v>3</v>
      </c>
      <c r="V17" s="33" t="n">
        <v>4</v>
      </c>
      <c r="W17" s="33" t="n">
        <v>4</v>
      </c>
      <c r="X17" s="33" t="n">
        <v>3</v>
      </c>
      <c r="Y17" s="66">
        <f>IFERROR(AVERAGE(T17,U17,V17,W17,X17)*20,"")</f>
        <v/>
      </c>
      <c r="Z17" s="33" t="n">
        <v>4</v>
      </c>
      <c r="AA17" s="33" t="n">
        <v>3</v>
      </c>
      <c r="AB17" s="33" t="n">
        <v>3</v>
      </c>
      <c r="AC17" s="71" t="n">
        <v>53.3</v>
      </c>
      <c r="AD17" s="66">
        <f>IFERROR(AVERAGE(IFERROR(IF(Z17="","",Z17*20),""),IFERROR(IF(AA17="","",AA17*20),""),IFERROR(IF(AB17="","",AB17*20),""),IFERROR(IF(AC17="","",IF(AC17&gt;=85,100,IF(AC17&gt;=70,90,IF(AC17&gt;=55,75,IF(AC17&gt;=40,60,IF(AC17&gt;=25,40,20)))))),"")),"")</f>
        <v/>
      </c>
      <c r="AE17" s="33" t="n">
        <v>5</v>
      </c>
      <c r="AF17" s="33" t="n">
        <v>5</v>
      </c>
      <c r="AG17" s="33" t="n">
        <v>3</v>
      </c>
      <c r="AH17" s="33" t="n">
        <v>4</v>
      </c>
      <c r="AI17" s="66">
        <f>IFERROR(AVERAGE(AE17,AF17,AG17,AH17,AL17)*20,"")</f>
        <v/>
      </c>
      <c r="AJ17" s="64">
        <f>IFERROR(J17*Weights!$B$4 + O17*Weights!$B$5 + S17*Weights!$B$6 + Y17*Weights!$B$7 + AD17*Weights!$B$8 + AI17*Weights!$B$9,"")</f>
        <v/>
      </c>
      <c r="AK17" s="65">
        <f>IF(AJ17="","",IF(AJ17&gt;=85,"✓✓✓",IF(AJ17&gt;=70,"✓✓",IF(AJ17&gt;=55,"✓",IF(AJ17&gt;=40,"?","✗")))))</f>
        <v/>
      </c>
      <c r="AL17" s="33" t="n">
        <v>5</v>
      </c>
    </row>
    <row r="18" ht="15" customHeight="1" s="34">
      <c r="A18" s="33" t="inlineStr">
        <is>
          <t>VST</t>
        </is>
      </c>
      <c r="B18" s="33" t="inlineStr">
        <is>
          <t>Vistra Corp.</t>
        </is>
      </c>
      <c r="C18" s="33" t="inlineStr">
        <is>
          <t>01 Power Generation / Independent Power Producers (IPPs)</t>
        </is>
      </c>
      <c r="D18" s="33" t="inlineStr">
        <is>
          <t>2026-06-24</t>
        </is>
      </c>
      <c r="E18" s="33" t="n">
        <v>14.830294</v>
      </c>
      <c r="F18" s="33" t="n">
        <v>11.292</v>
      </c>
      <c r="G18" s="33" t="n">
        <v>3.28</v>
      </c>
      <c r="H18" s="33" t="n">
        <v>2.8242173</v>
      </c>
      <c r="I18" s="33">
        <f>IF(OR(E18="",R18="",R18&lt;=0,E18&lt;0),"",E18/R18)</f>
        <v/>
      </c>
      <c r="J18" s="66">
        <f>IFERROR(AVERAGE(IFERROR(IF(E18="","",IF(E18&lt;0,5,IF(E18&lt;=15,90,IF(E18&lt;=20,75,IF(E18&lt;=25,60,IF(E18&lt;=30,45,IF(E18&lt;=40,30,IF(E18&lt;=60,15,5)))))))),""),IFERROR(IF(F18="","",IF(F18&lt;0,5,IF(F18&lt;=10,90,IF(F18&lt;=15,75,IF(F18&lt;=20,60,IF(F18&lt;=25,45,IF(F18&lt;=35,30,IF(F18&lt;=50,15,5)))))))),""),IFERROR(IF(G18="","",IF(G18&gt;=8,100,IF(G18&gt;=6,90,IF(G18&gt;=4,75,IF(G18&gt;=2,60,IF(G18&gt;=1,45,IF(G18&gt;=0,30,15))))))),""),IFERROR(IF(H18="","",IF(H18&lt;=2,90,IF(H18&lt;=4,75,IF(H18&lt;=7,60,IF(H18&lt;=10,45,IF(H18&lt;=15,30,IF(H18&lt;=25,15,5))))))),""),IFERROR(IF(I18="","",IF(I18&lt;=0.5,100,IF(I18&lt;=1,90,IF(I18&lt;=1.5,75,IF(I18&lt;=2,60,IF(I18&lt;=2.5,45,IF(I18&lt;=3,30,15))))))),"")),"")</f>
        <v/>
      </c>
      <c r="K18" s="33" t="n">
        <v>7</v>
      </c>
      <c r="L18" s="33" t="n">
        <v>38.64</v>
      </c>
      <c r="M18" s="33" t="n">
        <v>9.27</v>
      </c>
      <c r="N18" s="33" t="n">
        <v>2.84</v>
      </c>
      <c r="O18" s="66">
        <f>IFERROR(AVERAGE(IFERROR(IF(K18="","",IF(K18&gt;=25,100,IF(K18&gt;=20,90,IF(K18&gt;=15,75,IF(K18&gt;=10,60,IF(K18&gt;=5,45,IF(K18&gt;=0,30,15))))))),""),IFERROR(IF(L18="","",IF(L18&gt;=60,100,IF(L18&gt;=50,90,IF(L18&gt;=40,75,IF(L18&gt;=30,60,IF(L18&gt;=20,45,IF(L18&gt;=10,30,15))))))),""),IFERROR(IF(M18="","",IF(M18&gt;=25,100,IF(M18&gt;=20,90,IF(M18&gt;=15,75,IF(M18&gt;=10,60,IF(M18&gt;=5,45,IF(M18&gt;=0,30,15))))))),""),IFERROR(IF(N18="","",IF(N18&lt;=0,100,IF(N18&lt;=1,90,IF(N18&lt;=2,75,IF(N18&lt;=3,60,IF(N18&lt;=4,45,IF(N18&lt;=5,30,15))))))),"")),"")</f>
        <v/>
      </c>
      <c r="P18" s="33" t="n">
        <v>8.92</v>
      </c>
      <c r="Q18" s="33" t="n">
        <v>43.4</v>
      </c>
      <c r="S18" s="66">
        <f>IFERROR(AVERAGE(IFERROR(IF(P18="","",IF(P18&gt;=40,100,IF(P18&gt;=30,90,IF(P18&gt;=20,75,IF(P18&gt;=15,60,IF(P18&gt;=10,45,IF(P18&gt;=5,30,15))))))),""),IFERROR(IF(Q18="","",IF(Q18&gt;=40,100,IF(Q18&gt;=30,90,IF(Q18&gt;=20,75,IF(Q18&gt;=10,60,IF(Q18&gt;=5,45,IF(Q18&gt;=0,30,15))))))),""),IFERROR(IF(R18="","",IF(R18&gt;=40,100,IF(R18&gt;=30,90,IF(R18&gt;=20,75,IF(R18&gt;=10,60,IF(R18&gt;=0,45,IF(R18&gt;=-10,30,15))))))),"")),"")</f>
        <v/>
      </c>
      <c r="T18" s="33" t="n">
        <v>2</v>
      </c>
      <c r="U18" s="33" t="n">
        <v>5</v>
      </c>
      <c r="V18" s="33" t="n">
        <v>5</v>
      </c>
      <c r="W18" s="33" t="n">
        <v>5</v>
      </c>
      <c r="X18" s="33" t="n">
        <v>5</v>
      </c>
      <c r="Y18" s="66">
        <f>IFERROR(AVERAGE(T18,U18,V18,W18,X18)*20,"")</f>
        <v/>
      </c>
      <c r="Z18" s="33" t="n">
        <v>4</v>
      </c>
      <c r="AA18" s="33" t="n">
        <v>1</v>
      </c>
      <c r="AB18" s="33" t="n">
        <v>3</v>
      </c>
      <c r="AC18" s="71" t="n">
        <v>36.7</v>
      </c>
      <c r="AD18" s="66">
        <f>IFERROR(AVERAGE(IFERROR(IF(Z18="","",Z18*20),""),IFERROR(IF(AA18="","",AA18*20),""),IFERROR(IF(AB18="","",AB18*20),""),IFERROR(IF(AC18="","",IF(AC18&gt;=85,100,IF(AC18&gt;=70,90,IF(AC18&gt;=55,75,IF(AC18&gt;=40,60,IF(AC18&gt;=25,40,20)))))),"")),"")</f>
        <v/>
      </c>
      <c r="AE18" s="33" t="n">
        <v>4</v>
      </c>
      <c r="AF18" s="33" t="n">
        <v>5</v>
      </c>
      <c r="AG18" s="33" t="n">
        <v>4</v>
      </c>
      <c r="AH18" s="33" t="n">
        <v>4</v>
      </c>
      <c r="AI18" s="66">
        <f>IFERROR(AVERAGE(AE18,AF18,AG18,AH18,AL18)*20,"")</f>
        <v/>
      </c>
      <c r="AJ18" s="64">
        <f>IFERROR(J18*Weights!$B$4 + O18*Weights!$B$5 + S18*Weights!$B$6 + Y18*Weights!$B$7 + AD18*Weights!$B$8 + AI18*Weights!$B$9,"")</f>
        <v/>
      </c>
      <c r="AK18" s="65">
        <f>IF(AJ18="","",IF(AJ18&gt;=85,"✓✓✓",IF(AJ18&gt;=70,"✓✓",IF(AJ18&gt;=55,"✓",IF(AJ18&gt;=40,"?","✗")))))</f>
        <v/>
      </c>
      <c r="AL18" s="33" t="n">
        <v>5</v>
      </c>
    </row>
    <row r="19" ht="15" customHeight="1" s="34">
      <c r="A19" s="33" t="inlineStr">
        <is>
          <t>TLN</t>
        </is>
      </c>
      <c r="B19" s="33" t="inlineStr">
        <is>
          <t>Talen Energy Corporation</t>
        </is>
      </c>
      <c r="C19" s="33" t="inlineStr">
        <is>
          <t>01 Power Generation / Independent Power Producers (IPPs)</t>
        </is>
      </c>
      <c r="D19" s="33" t="inlineStr">
        <is>
          <t>2026-06-24</t>
        </is>
      </c>
      <c r="E19" s="33" t="n">
        <v>13.512776</v>
      </c>
      <c r="F19" s="33" t="n">
        <v>37.03</v>
      </c>
      <c r="G19" s="33" t="n">
        <v>4.3</v>
      </c>
      <c r="H19" s="33" t="n">
        <v>5.9949055</v>
      </c>
      <c r="I19" s="33">
        <f>IF(OR(E19="",R19="",R19&lt;=0,E19&lt;0),"",E19/R19)</f>
        <v/>
      </c>
      <c r="J19" s="66">
        <f>IFERROR(AVERAGE(IFERROR(IF(E19="","",IF(E19&lt;0,5,IF(E19&lt;=15,90,IF(E19&lt;=20,75,IF(E19&lt;=25,60,IF(E19&lt;=30,45,IF(E19&lt;=40,30,IF(E19&lt;=60,15,5)))))))),""),IFERROR(IF(F19="","",IF(F19&lt;0,5,IF(F19&lt;=10,90,IF(F19&lt;=15,75,IF(F19&lt;=20,60,IF(F19&lt;=25,45,IF(F19&lt;=35,30,IF(F19&lt;=50,15,5)))))))),""),IFERROR(IF(G19="","",IF(G19&gt;=8,100,IF(G19&gt;=6,90,IF(G19&gt;=4,75,IF(G19&gt;=2,60,IF(G19&gt;=1,45,IF(G19&gt;=0,30,15))))))),""),IFERROR(IF(H19="","",IF(H19&lt;=2,90,IF(H19&lt;=4,75,IF(H19&lt;=7,60,IF(H19&lt;=10,45,IF(H19&lt;=15,30,IF(H19&lt;=25,15,5))))))),""),IFERROR(IF(I19="","",IF(I19&lt;=0.5,100,IF(I19&lt;=1,90,IF(I19&lt;=1.5,75,IF(I19&lt;=2,60,IF(I19&lt;=2.5,45,IF(I19&lt;=3,30,15))))))),"")),"")</f>
        <v/>
      </c>
      <c r="K19" s="33" t="n">
        <v>1.4</v>
      </c>
      <c r="L19" s="33" t="n">
        <v>40.14</v>
      </c>
      <c r="M19" s="33" t="n">
        <v>25.8</v>
      </c>
      <c r="N19" s="33" t="n">
        <v>8.859999999999999</v>
      </c>
      <c r="O19" s="66">
        <f>IFERROR(AVERAGE(IFERROR(IF(K19="","",IF(K19&gt;=25,100,IF(K19&gt;=20,90,IF(K19&gt;=15,75,IF(K19&gt;=10,60,IF(K19&gt;=5,45,IF(K19&gt;=0,30,15))))))),""),IFERROR(IF(L19="","",IF(L19&gt;=60,100,IF(L19&gt;=50,90,IF(L19&gt;=40,75,IF(L19&gt;=30,60,IF(L19&gt;=20,45,IF(L19&gt;=10,30,15))))))),""),IFERROR(IF(M19="","",IF(M19&gt;=25,100,IF(M19&gt;=20,90,IF(M19&gt;=15,75,IF(M19&gt;=10,60,IF(M19&gt;=5,45,IF(M19&gt;=0,30,15))))))),""),IFERROR(IF(N19="","",IF(N19&lt;=0,100,IF(N19&lt;=1,90,IF(N19&lt;=2,75,IF(N19&lt;=3,60,IF(N19&lt;=4,45,IF(N19&lt;=5,30,15))))))),"")),"")</f>
        <v/>
      </c>
      <c r="P19" s="33" t="n">
        <v>13.95</v>
      </c>
      <c r="Q19" s="33" t="n">
        <v>96.7</v>
      </c>
      <c r="S19" s="66">
        <f>IFERROR(AVERAGE(IFERROR(IF(P19="","",IF(P19&gt;=40,100,IF(P19&gt;=30,90,IF(P19&gt;=20,75,IF(P19&gt;=15,60,IF(P19&gt;=10,45,IF(P19&gt;=5,30,15))))))),""),IFERROR(IF(Q19="","",IF(Q19&gt;=40,100,IF(Q19&gt;=30,90,IF(Q19&gt;=20,75,IF(Q19&gt;=10,60,IF(Q19&gt;=5,45,IF(Q19&gt;=0,30,15))))))),""),IFERROR(IF(R19="","",IF(R19&gt;=40,100,IF(R19&gt;=30,90,IF(R19&gt;=20,75,IF(R19&gt;=10,60,IF(R19&gt;=0,45,IF(R19&gt;=-10,30,15))))))),"")),"")</f>
        <v/>
      </c>
      <c r="T19" s="33" t="n">
        <v>2</v>
      </c>
      <c r="U19" s="33" t="n">
        <v>5</v>
      </c>
      <c r="V19" s="33" t="n">
        <v>5</v>
      </c>
      <c r="W19" s="33" t="n">
        <v>5</v>
      </c>
      <c r="X19" s="33" t="n">
        <v>4</v>
      </c>
      <c r="Y19" s="66">
        <f>IFERROR(AVERAGE(T19,U19,V19,W19,X19)*20,"")</f>
        <v/>
      </c>
      <c r="Z19" s="33" t="n">
        <v>4</v>
      </c>
      <c r="AA19" s="33" t="n">
        <v>2</v>
      </c>
      <c r="AB19" s="33" t="n">
        <v>3</v>
      </c>
      <c r="AC19" s="71" t="n">
        <v>50</v>
      </c>
      <c r="AD19" s="66">
        <f>IFERROR(AVERAGE(IFERROR(IF(Z19="","",Z19*20),""),IFERROR(IF(AA19="","",AA19*20),""),IFERROR(IF(AB19="","",AB19*20),""),IFERROR(IF(AC19="","",IF(AC19&gt;=85,100,IF(AC19&gt;=70,90,IF(AC19&gt;=55,75,IF(AC19&gt;=40,60,IF(AC19&gt;=25,40,20)))))),"")),"")</f>
        <v/>
      </c>
      <c r="AE19" s="33" t="n">
        <v>3</v>
      </c>
      <c r="AF19" s="33" t="n">
        <v>5</v>
      </c>
      <c r="AG19" s="33" t="n">
        <v>2</v>
      </c>
      <c r="AH19" s="33" t="n">
        <v>4</v>
      </c>
      <c r="AI19" s="66">
        <f>IFERROR(AVERAGE(AE19,AF19,AG19,AH19,AL19)*20,"")</f>
        <v/>
      </c>
      <c r="AJ19" s="64">
        <f>IFERROR(J19*Weights!$B$4 + O19*Weights!$B$5 + S19*Weights!$B$6 + Y19*Weights!$B$7 + AD19*Weights!$B$8 + AI19*Weights!$B$9,"")</f>
        <v/>
      </c>
      <c r="AK19" s="65">
        <f>IF(AJ19="","",IF(AJ19&gt;=85,"✓✓✓",IF(AJ19&gt;=70,"✓✓",IF(AJ19&gt;=55,"✓",IF(AJ19&gt;=40,"?","✗")))))</f>
        <v/>
      </c>
      <c r="AL19" s="33" t="n">
        <v>5</v>
      </c>
    </row>
    <row r="20" ht="15" customHeight="1" s="34">
      <c r="A20" s="33" t="inlineStr">
        <is>
          <t>NRG</t>
        </is>
      </c>
      <c r="B20" s="33" t="inlineStr">
        <is>
          <t>NRG Energy, Inc.</t>
        </is>
      </c>
      <c r="C20" s="33" t="inlineStr">
        <is>
          <t>01 Power Generation / Independent Power Producers (IPPs)</t>
        </is>
      </c>
      <c r="D20" s="33" t="inlineStr">
        <is>
          <t>2026-06-24</t>
        </is>
      </c>
      <c r="E20" s="33" t="n">
        <v>12.279066</v>
      </c>
      <c r="F20" s="33" t="n">
        <v>23.842</v>
      </c>
      <c r="G20" s="33" t="n">
        <v>-1.19</v>
      </c>
      <c r="H20" s="33" t="n">
        <v>0.9265188600000001</v>
      </c>
      <c r="I20" s="33">
        <f>IF(OR(E20="",R20="",R20&lt;=0,E20&lt;0),"",E20/R20)</f>
        <v/>
      </c>
      <c r="J20" s="66">
        <f>IFERROR(AVERAGE(IFERROR(IF(E20="","",IF(E20&lt;0,5,IF(E20&lt;=15,90,IF(E20&lt;=20,75,IF(E20&lt;=25,60,IF(E20&lt;=30,45,IF(E20&lt;=40,30,IF(E20&lt;=60,15,5)))))))),""),IFERROR(IF(F20="","",IF(F20&lt;0,5,IF(F20&lt;=10,90,IF(F20&lt;=15,75,IF(F20&lt;=20,60,IF(F20&lt;=25,45,IF(F20&lt;=35,30,IF(F20&lt;=50,15,5)))))))),""),IFERROR(IF(G20="","",IF(G20&gt;=8,100,IF(G20&gt;=6,90,IF(G20&gt;=4,75,IF(G20&gt;=2,60,IF(G20&gt;=1,45,IF(G20&gt;=0,30,15))))))),""),IFERROR(IF(H20="","",IF(H20&lt;=2,90,IF(H20&lt;=4,75,IF(H20&lt;=7,60,IF(H20&lt;=10,45,IF(H20&lt;=15,30,IF(H20&lt;=25,15,5))))))),""),IFERROR(IF(I20="","",IF(I20&lt;=0.5,100,IF(I20&lt;=1,90,IF(I20&lt;=1.5,75,IF(I20&lt;=2,60,IF(I20&lt;=2.5,45,IF(I20&lt;=3,30,15))))))),"")),"")</f>
        <v/>
      </c>
      <c r="K20" s="33" t="n">
        <v>7.8</v>
      </c>
      <c r="L20" s="33" t="n">
        <v>16.45</v>
      </c>
      <c r="M20" s="33" t="n">
        <v>-1.1</v>
      </c>
      <c r="N20" s="33" t="n">
        <v>10.27</v>
      </c>
      <c r="O20" s="66">
        <f>IFERROR(AVERAGE(IFERROR(IF(K20="","",IF(K20&gt;=25,100,IF(K20&gt;=20,90,IF(K20&gt;=15,75,IF(K20&gt;=10,60,IF(K20&gt;=5,45,IF(K20&gt;=0,30,15))))))),""),IFERROR(IF(L20="","",IF(L20&gt;=60,100,IF(L20&gt;=50,90,IF(L20&gt;=40,75,IF(L20&gt;=30,60,IF(L20&gt;=20,45,IF(L20&gt;=10,30,15))))))),""),IFERROR(IF(M20="","",IF(M20&gt;=25,100,IF(M20&gt;=20,90,IF(M20&gt;=15,75,IF(M20&gt;=10,60,IF(M20&gt;=5,45,IF(M20&gt;=0,30,15))))))),""),IFERROR(IF(N20="","",IF(N20&lt;=0,100,IF(N20&lt;=1,90,IF(N20&lt;=2,75,IF(N20&lt;=3,60,IF(N20&lt;=4,45,IF(N20&lt;=5,30,15))))))),"")),"")</f>
        <v/>
      </c>
      <c r="P20" s="33" t="n">
        <v>-0.88</v>
      </c>
      <c r="Q20" s="33" t="n">
        <v>19.5</v>
      </c>
      <c r="R20" s="33" t="n">
        <v>-83.3</v>
      </c>
      <c r="S20" s="66">
        <f>IFERROR(AVERAGE(IFERROR(IF(P20="","",IF(P20&gt;=40,100,IF(P20&gt;=30,90,IF(P20&gt;=20,75,IF(P20&gt;=15,60,IF(P20&gt;=10,45,IF(P20&gt;=5,30,15))))))),""),IFERROR(IF(Q20="","",IF(Q20&gt;=40,100,IF(Q20&gt;=30,90,IF(Q20&gt;=20,75,IF(Q20&gt;=10,60,IF(Q20&gt;=5,45,IF(Q20&gt;=0,30,15))))))),""),IFERROR(IF(R20="","",IF(R20&gt;=40,100,IF(R20&gt;=30,90,IF(R20&gt;=20,75,IF(R20&gt;=10,60,IF(R20&gt;=0,45,IF(R20&gt;=-10,30,15))))))),"")),"")</f>
        <v/>
      </c>
      <c r="T20" s="33" t="n">
        <v>1</v>
      </c>
      <c r="U20" s="33" t="n">
        <v>3</v>
      </c>
      <c r="V20" s="33" t="n">
        <v>3</v>
      </c>
      <c r="W20" s="33" t="n">
        <v>4</v>
      </c>
      <c r="X20" s="33" t="n">
        <v>2</v>
      </c>
      <c r="Y20" s="66">
        <f>IFERROR(AVERAGE(T20,U20,V20,W20,X20)*20,"")</f>
        <v/>
      </c>
      <c r="Z20" s="33" t="n">
        <v>5</v>
      </c>
      <c r="AA20" s="33" t="n">
        <v>1</v>
      </c>
      <c r="AB20" s="33" t="n">
        <v>3</v>
      </c>
      <c r="AC20" s="71" t="n">
        <v>24.2</v>
      </c>
      <c r="AD20" s="66">
        <f>IFERROR(AVERAGE(IFERROR(IF(Z20="","",Z20*20),""),IFERROR(IF(AA20="","",AA20*20),""),IFERROR(IF(AB20="","",AB20*20),""),IFERROR(IF(AC20="","",IF(AC20&gt;=85,100,IF(AC20&gt;=70,90,IF(AC20&gt;=55,75,IF(AC20&gt;=40,60,IF(AC20&gt;=25,40,20)))))),"")),"")</f>
        <v/>
      </c>
      <c r="AE20" s="33" t="n">
        <v>4</v>
      </c>
      <c r="AF20" s="33" t="n">
        <v>5</v>
      </c>
      <c r="AG20" s="33" t="n">
        <v>3</v>
      </c>
      <c r="AH20" s="33" t="n">
        <v>4</v>
      </c>
      <c r="AI20" s="66">
        <f>IFERROR(AVERAGE(AE20,AF20,AG20,AH20,AL20)*20,"")</f>
        <v/>
      </c>
      <c r="AJ20" s="64">
        <f>IFERROR(J20*Weights!$B$4 + O20*Weights!$B$5 + S20*Weights!$B$6 + Y20*Weights!$B$7 + AD20*Weights!$B$8 + AI20*Weights!$B$9,"")</f>
        <v/>
      </c>
      <c r="AK20" s="65">
        <f>IF(AJ20="","",IF(AJ20&gt;=85,"✓✓✓",IF(AJ20&gt;=70,"✓✓",IF(AJ20&gt;=55,"✓",IF(AJ20&gt;=40,"?","✗")))))</f>
        <v/>
      </c>
      <c r="AL20" s="33" t="n">
        <v>5</v>
      </c>
    </row>
    <row r="21" ht="15" customHeight="1" s="34">
      <c r="A21" s="33" t="inlineStr">
        <is>
          <t>CCJ</t>
        </is>
      </c>
      <c r="B21" s="33" t="inlineStr">
        <is>
          <t>Cameco Corporation</t>
        </is>
      </c>
      <c r="C21" s="33" t="inlineStr">
        <is>
          <t>01 Power Generation / Nuclear-specific</t>
        </is>
      </c>
      <c r="D21" s="33" t="inlineStr">
        <is>
          <t>2026-06-24</t>
        </is>
      </c>
      <c r="E21" s="33" t="n">
        <v>56.971214</v>
      </c>
      <c r="F21" s="33" t="n"/>
      <c r="G21" s="33" t="n"/>
      <c r="H21" s="33" t="n"/>
      <c r="I21" s="33">
        <f>IF(OR(E21="",R21="",R21&lt;=0,E21&lt;0),"",E21/R21)</f>
        <v/>
      </c>
      <c r="J21" s="66">
        <f>IFERROR(AVERAGE(IFERROR(IF(E21="","",IF(E21&lt;0,5,IF(E21&lt;=15,90,IF(E21&lt;=20,75,IF(E21&lt;=25,60,IF(E21&lt;=30,45,IF(E21&lt;=40,30,IF(E21&lt;=60,15,5)))))))),""),IFERROR(IF(F21="","",IF(F21&lt;0,5,IF(F21&lt;=10,90,IF(F21&lt;=15,75,IF(F21&lt;=20,60,IF(F21&lt;=25,45,IF(F21&lt;=35,30,IF(F21&lt;=50,15,5)))))))),""),IFERROR(IF(G21="","",IF(G21&gt;=8,100,IF(G21&gt;=6,90,IF(G21&gt;=4,75,IF(G21&gt;=2,60,IF(G21&gt;=1,45,IF(G21&gt;=0,30,15))))))),""),IFERROR(IF(H21="","",IF(H21&lt;=2,90,IF(H21&lt;=4,75,IF(H21&lt;=7,60,IF(H21&lt;=10,45,IF(H21&lt;=15,30,IF(H21&lt;=25,15,5))))))),""),IFERROR(IF(I21="","",IF(I21&lt;=0.5,100,IF(I21&lt;=1,90,IF(I21&lt;=1.5,75,IF(I21&lt;=2,60,IF(I21&lt;=2.5,45,IF(I21&lt;=3,30,15))))))),"")),"")</f>
        <v/>
      </c>
      <c r="K21" s="33" t="n">
        <v>8.4</v>
      </c>
      <c r="L21" s="33" t="n">
        <v>36.78</v>
      </c>
      <c r="M21" s="33" t="n">
        <v>26.05</v>
      </c>
      <c r="N21" s="33" t="n">
        <v>-0.11</v>
      </c>
      <c r="O21" s="66">
        <f>IFERROR(AVERAGE(IFERROR(IF(K21="","",IF(K21&gt;=25,100,IF(K21&gt;=20,90,IF(K21&gt;=15,75,IF(K21&gt;=10,60,IF(K21&gt;=5,45,IF(K21&gt;=0,30,15))))))),""),IFERROR(IF(L21="","",IF(L21&gt;=60,100,IF(L21&gt;=50,90,IF(L21&gt;=40,75,IF(L21&gt;=30,60,IF(L21&gt;=20,45,IF(L21&gt;=10,30,15))))))),""),IFERROR(IF(M21="","",IF(M21&gt;=25,100,IF(M21&gt;=20,90,IF(M21&gt;=15,75,IF(M21&gt;=10,60,IF(M21&gt;=5,45,IF(M21&gt;=0,30,15))))))),""),IFERROR(IF(N21="","",IF(N21&lt;=0,100,IF(N21&lt;=1,90,IF(N21&lt;=2,75,IF(N21&lt;=3,60,IF(N21&lt;=4,45,IF(N21&lt;=5,30,15))))))),"")),"")</f>
        <v/>
      </c>
      <c r="P21" s="33" t="n">
        <v>23.07</v>
      </c>
      <c r="Q21" s="33" t="n">
        <v>7.1</v>
      </c>
      <c r="R21" s="33" t="n">
        <v>87.40000000000001</v>
      </c>
      <c r="S21" s="66">
        <f>IFERROR(AVERAGE(IFERROR(IF(P21="","",IF(P21&gt;=40,100,IF(P21&gt;=30,90,IF(P21&gt;=20,75,IF(P21&gt;=15,60,IF(P21&gt;=10,45,IF(P21&gt;=5,30,15))))))),""),IFERROR(IF(Q21="","",IF(Q21&gt;=40,100,IF(Q21&gt;=30,90,IF(Q21&gt;=20,75,IF(Q21&gt;=10,60,IF(Q21&gt;=5,45,IF(Q21&gt;=0,30,15))))))),""),IFERROR(IF(R21="","",IF(R21&gt;=40,100,IF(R21&gt;=30,90,IF(R21&gt;=20,75,IF(R21&gt;=10,60,IF(R21&gt;=0,45,IF(R21&gt;=-10,30,15))))))),"")),"")</f>
        <v/>
      </c>
      <c r="T21" s="33" t="n">
        <v>1</v>
      </c>
      <c r="U21" s="33" t="n">
        <v>4</v>
      </c>
      <c r="V21" s="33" t="n">
        <v>4</v>
      </c>
      <c r="W21" s="33" t="n">
        <v>4</v>
      </c>
      <c r="X21" s="33" t="n">
        <v>2</v>
      </c>
      <c r="Y21" s="66">
        <f>IFERROR(AVERAGE(T21,U21,V21,W21,X21)*20,"")</f>
        <v/>
      </c>
      <c r="Z21" s="33" t="n">
        <v>4</v>
      </c>
      <c r="AA21" s="33" t="n">
        <v>2</v>
      </c>
      <c r="AB21" s="33" t="n">
        <v>3</v>
      </c>
      <c r="AC21" s="71" t="n">
        <v>60.8</v>
      </c>
      <c r="AD21" s="66">
        <f>IFERROR(AVERAGE(IFERROR(IF(Z21="","",Z21*20),""),IFERROR(IF(AA21="","",AA21*20),""),IFERROR(IF(AB21="","",AB21*20),""),IFERROR(IF(AC21="","",IF(AC21&gt;=85,100,IF(AC21&gt;=70,90,IF(AC21&gt;=55,75,IF(AC21&gt;=40,60,IF(AC21&gt;=25,40,20)))))),"")),"")</f>
        <v/>
      </c>
      <c r="AE21" s="33" t="n">
        <v>5</v>
      </c>
      <c r="AF21" s="33" t="n">
        <v>4</v>
      </c>
      <c r="AG21" s="33" t="n">
        <v>5</v>
      </c>
      <c r="AH21" s="33" t="n">
        <v>4</v>
      </c>
      <c r="AI21" s="66">
        <f>IFERROR(AVERAGE(AE21,AF21,AG21,AH21,AL21)*20,"")</f>
        <v/>
      </c>
      <c r="AJ21" s="64">
        <f>IFERROR(J21*Weights!$B$4 + O21*Weights!$B$5 + S21*Weights!$B$6 + Y21*Weights!$B$7 + AD21*Weights!$B$8 + AI21*Weights!$B$9,"")</f>
        <v/>
      </c>
      <c r="AK21" s="65">
        <f>IF(AJ21="","",IF(AJ21&gt;=85,"✓✓✓",IF(AJ21&gt;=70,"✓✓",IF(AJ21&gt;=55,"✓",IF(AJ21&gt;=40,"?","✗")))))</f>
        <v/>
      </c>
      <c r="AL21" s="33" t="n">
        <v>5</v>
      </c>
    </row>
    <row r="22" ht="15" customHeight="1" s="34">
      <c r="A22" s="33" t="inlineStr">
        <is>
          <t>UEC</t>
        </is>
      </c>
      <c r="B22" s="33" t="inlineStr">
        <is>
          <t>Uranium Energy Corp.</t>
        </is>
      </c>
      <c r="C22" s="33" t="inlineStr">
        <is>
          <t>01 Power Generation / Nuclear-specific</t>
        </is>
      </c>
      <c r="D22" s="33" t="inlineStr">
        <is>
          <t>2026-06-24</t>
        </is>
      </c>
      <c r="E22" s="33" t="n">
        <v>-105.48727</v>
      </c>
      <c r="F22" s="33" t="n">
        <v>-40.642</v>
      </c>
      <c r="G22" s="33" t="n">
        <v>-2.25</v>
      </c>
      <c r="H22" s="33" t="n">
        <v>264.52505</v>
      </c>
      <c r="I22" s="33">
        <f>IF(OR(E22="",R22="",R22&lt;=0,E22&lt;0),"",E22/R22)</f>
        <v/>
      </c>
      <c r="J22" s="66">
        <f>IFERROR(AVERAGE(IFERROR(IF(E22="","",IF(E22&lt;0,5,IF(E22&lt;=15,90,IF(E22&lt;=20,75,IF(E22&lt;=25,60,IF(E22&lt;=30,45,IF(E22&lt;=40,30,IF(E22&lt;=60,15,5)))))))),""),IFERROR(IF(F22="","",IF(F22&lt;0,5,IF(F22&lt;=10,90,IF(F22&lt;=15,75,IF(F22&lt;=20,60,IF(F22&lt;=25,45,IF(F22&lt;=35,30,IF(F22&lt;=50,15,5)))))))),""),IFERROR(IF(G22="","",IF(G22&gt;=8,100,IF(G22&gt;=6,90,IF(G22&gt;=4,75,IF(G22&gt;=2,60,IF(G22&gt;=1,45,IF(G22&gt;=0,30,15))))))),""),IFERROR(IF(H22="","",IF(H22&lt;=2,90,IF(H22&lt;=4,75,IF(H22&lt;=7,60,IF(H22&lt;=10,45,IF(H22&lt;=15,30,IF(H22&lt;=25,15,5))))))),""),IFERROR(IF(I22="","",IF(I22&lt;=0.5,100,IF(I22&lt;=1,90,IF(I22&lt;=1.5,75,IF(I22&lt;=2,60,IF(I22&lt;=2.5,45,IF(I22&lt;=3,30,15))))))),"")),"")</f>
        <v/>
      </c>
      <c r="L22" s="33" t="n">
        <v>0</v>
      </c>
      <c r="M22" s="33" t="n">
        <v>-595.22</v>
      </c>
      <c r="N22" s="33" t="n"/>
      <c r="O22" s="66">
        <f>IFERROR(AVERAGE(IFERROR(IF(K22="","",IF(K22&gt;=25,100,IF(K22&gt;=20,90,IF(K22&gt;=15,75,IF(K22&gt;=10,60,IF(K22&gt;=5,45,IF(K22&gt;=0,30,15))))))),""),IFERROR(IF(L22="","",IF(L22&gt;=60,100,IF(L22&gt;=50,90,IF(L22&gt;=40,75,IF(L22&gt;=30,60,IF(L22&gt;=20,45,IF(L22&gt;=10,30,15))))))),""),IFERROR(IF(M22="","",IF(M22&gt;=25,100,IF(M22&gt;=20,90,IF(M22&gt;=15,75,IF(M22&gt;=10,60,IF(M22&gt;=5,45,IF(M22&gt;=0,30,15))))))),""),IFERROR(IF(N22="","",IF(N22&lt;=0,100,IF(N22&lt;=1,90,IF(N22&lt;=2,75,IF(N22&lt;=3,60,IF(N22&lt;=4,45,IF(N22&lt;=5,30,15))))))),"")),"")</f>
        <v/>
      </c>
      <c r="P22" s="33" t="n">
        <v>42.37</v>
      </c>
      <c r="Q22" s="33" t="n">
        <v>-59.4</v>
      </c>
      <c r="S22" s="66">
        <f>IFERROR(AVERAGE(IFERROR(IF(P22="","",IF(P22&gt;=40,100,IF(P22&gt;=30,90,IF(P22&gt;=20,75,IF(P22&gt;=15,60,IF(P22&gt;=10,45,IF(P22&gt;=5,30,15))))))),""),IFERROR(IF(Q22="","",IF(Q22&gt;=40,100,IF(Q22&gt;=30,90,IF(Q22&gt;=20,75,IF(Q22&gt;=10,60,IF(Q22&gt;=5,45,IF(Q22&gt;=0,30,15))))))),""),IFERROR(IF(R22="","",IF(R22&gt;=40,100,IF(R22&gt;=30,90,IF(R22&gt;=20,75,IF(R22&gt;=10,60,IF(R22&gt;=0,45,IF(R22&gt;=-10,30,15))))))),"")),"")</f>
        <v/>
      </c>
      <c r="T22" s="33" t="n">
        <v>1</v>
      </c>
      <c r="U22" s="33" t="n">
        <v>2</v>
      </c>
      <c r="V22" s="33" t="n">
        <v>4</v>
      </c>
      <c r="W22" s="33" t="n">
        <v>4</v>
      </c>
      <c r="X22" s="33" t="n">
        <v>1</v>
      </c>
      <c r="Y22" s="66">
        <f>IFERROR(AVERAGE(T22,U22,V22,W22,X22)*20,"")</f>
        <v/>
      </c>
      <c r="Z22" s="33" t="n">
        <v>2</v>
      </c>
      <c r="AA22" s="33" t="n">
        <v>1</v>
      </c>
      <c r="AB22" s="33" t="n">
        <v>3</v>
      </c>
      <c r="AC22" s="71" t="n">
        <v>49.2</v>
      </c>
      <c r="AD22" s="66">
        <f>IFERROR(AVERAGE(IFERROR(IF(Z22="","",Z22*20),""),IFERROR(IF(AA22="","",AA22*20),""),IFERROR(IF(AB22="","",AB22*20),""),IFERROR(IF(AC22="","",IF(AC22&gt;=85,100,IF(AC22&gt;=70,90,IF(AC22&gt;=55,75,IF(AC22&gt;=40,60,IF(AC22&gt;=25,40,20)))))),"")),"")</f>
        <v/>
      </c>
      <c r="AE22" s="33" t="n">
        <v>4</v>
      </c>
      <c r="AF22" s="33" t="n">
        <v>5</v>
      </c>
      <c r="AG22" s="33" t="n">
        <v>5</v>
      </c>
      <c r="AH22" s="33" t="n">
        <v>4</v>
      </c>
      <c r="AI22" s="66">
        <f>IFERROR(AVERAGE(AE22,AF22,AG22,AH22,AL22)*20,"")</f>
        <v/>
      </c>
      <c r="AJ22" s="64">
        <f>IFERROR(J22*Weights!$B$4 + O22*Weights!$B$5 + S22*Weights!$B$6 + Y22*Weights!$B$7 + AD22*Weights!$B$8 + AI22*Weights!$B$9,"")</f>
        <v/>
      </c>
      <c r="AK22" s="65">
        <f>IF(AJ22="","",IF(AJ22&gt;=85,"✓✓✓",IF(AJ22&gt;=70,"✓✓",IF(AJ22&gt;=55,"✓",IF(AJ22&gt;=40,"?","✗")))))</f>
        <v/>
      </c>
      <c r="AL22" s="33" t="n">
        <v>5</v>
      </c>
    </row>
    <row r="23" ht="15" customHeight="1" s="34">
      <c r="A23" s="33" t="inlineStr">
        <is>
          <t>LEU</t>
        </is>
      </c>
      <c r="B23" s="33" t="inlineStr">
        <is>
          <t>Centrus Energy Corp.</t>
        </is>
      </c>
      <c r="C23" s="33" t="inlineStr">
        <is>
          <t>01 Power Generation / Nuclear-specific</t>
        </is>
      </c>
      <c r="D23" s="33" t="inlineStr">
        <is>
          <t>2026-06-24</t>
        </is>
      </c>
      <c r="E23" s="33" t="n">
        <v>43.105793</v>
      </c>
      <c r="F23" s="33" t="n">
        <v>78.27500000000001</v>
      </c>
      <c r="G23" s="33" t="n">
        <v>-1.82</v>
      </c>
      <c r="H23" s="33" t="n">
        <v>7.4433017</v>
      </c>
      <c r="I23" s="33">
        <f>IF(OR(E23="",R23="",R23&lt;=0,E23&lt;0),"",E23/R23)</f>
        <v/>
      </c>
      <c r="J23" s="66">
        <f>IFERROR(AVERAGE(IFERROR(IF(E23="","",IF(E23&lt;0,5,IF(E23&lt;=15,90,IF(E23&lt;=20,75,IF(E23&lt;=25,60,IF(E23&lt;=30,45,IF(E23&lt;=40,30,IF(E23&lt;=60,15,5)))))))),""),IFERROR(IF(F23="","",IF(F23&lt;0,5,IF(F23&lt;=10,90,IF(F23&lt;=15,75,IF(F23&lt;=20,60,IF(F23&lt;=25,45,IF(F23&lt;=35,30,IF(F23&lt;=50,15,5)))))))),""),IFERROR(IF(G23="","",IF(G23&gt;=8,100,IF(G23&gt;=6,90,IF(G23&gt;=4,75,IF(G23&gt;=2,60,IF(G23&gt;=1,45,IF(G23&gt;=0,30,15))))))),""),IFERROR(IF(H23="","",IF(H23&lt;=2,90,IF(H23&lt;=4,75,IF(H23&lt;=7,60,IF(H23&lt;=10,45,IF(H23&lt;=15,30,IF(H23&lt;=25,15,5))))))),""),IFERROR(IF(I23="","",IF(I23&lt;=0.5,100,IF(I23&lt;=1,90,IF(I23&lt;=1.5,75,IF(I23&lt;=2,60,IF(I23&lt;=2.5,45,IF(I23&lt;=3,30,15))))))),"")),"")</f>
        <v/>
      </c>
      <c r="K23" s="33" t="n">
        <v>4.6</v>
      </c>
      <c r="L23" s="33" t="n">
        <v>25.67</v>
      </c>
      <c r="M23" s="33" t="n">
        <v>-13.58</v>
      </c>
      <c r="N23" s="33" t="n">
        <v>-20.16</v>
      </c>
      <c r="O23" s="66">
        <f>IFERROR(AVERAGE(IFERROR(IF(K23="","",IF(K23&gt;=25,100,IF(K23&gt;=20,90,IF(K23&gt;=15,75,IF(K23&gt;=10,60,IF(K23&gt;=5,45,IF(K23&gt;=0,30,15))))))),""),IFERROR(IF(L23="","",IF(L23&gt;=60,100,IF(L23&gt;=50,90,IF(L23&gt;=40,75,IF(L23&gt;=30,60,IF(L23&gt;=20,45,IF(L23&gt;=10,30,15))))))),""),IFERROR(IF(M23="","",IF(M23&gt;=25,100,IF(M23&gt;=20,90,IF(M23&gt;=15,75,IF(M23&gt;=10,60,IF(M23&gt;=5,45,IF(M23&gt;=0,30,15))))))),""),IFERROR(IF(N23="","",IF(N23&lt;=0,100,IF(N23&lt;=1,90,IF(N23&lt;=2,75,IF(N23&lt;=3,60,IF(N23&lt;=4,45,IF(N23&lt;=5,30,15))))))),"")),"")</f>
        <v/>
      </c>
      <c r="P23" s="33" t="n">
        <v>15.16</v>
      </c>
      <c r="Q23" s="33" t="n">
        <v>4.9</v>
      </c>
      <c r="R23" s="33" t="n">
        <v>-63.2</v>
      </c>
      <c r="S23" s="66">
        <f>IFERROR(AVERAGE(IFERROR(IF(P23="","",IF(P23&gt;=40,100,IF(P23&gt;=30,90,IF(P23&gt;=20,75,IF(P23&gt;=15,60,IF(P23&gt;=10,45,IF(P23&gt;=5,30,15))))))),""),IFERROR(IF(Q23="","",IF(Q23&gt;=40,100,IF(Q23&gt;=30,90,IF(Q23&gt;=20,75,IF(Q23&gt;=10,60,IF(Q23&gt;=5,45,IF(Q23&gt;=0,30,15))))))),""),IFERROR(IF(R23="","",IF(R23&gt;=40,100,IF(R23&gt;=30,90,IF(R23&gt;=20,75,IF(R23&gt;=10,60,IF(R23&gt;=0,45,IF(R23&gt;=-10,30,15))))))),"")),"")</f>
        <v/>
      </c>
      <c r="T23" s="33" t="n">
        <v>1</v>
      </c>
      <c r="U23" s="33" t="n">
        <v>4</v>
      </c>
      <c r="V23" s="33" t="n">
        <v>4</v>
      </c>
      <c r="W23" s="33" t="n">
        <v>5</v>
      </c>
      <c r="X23" s="33" t="n">
        <v>3</v>
      </c>
      <c r="Y23" s="66">
        <f>IFERROR(AVERAGE(T23,U23,V23,W23,X23)*20,"")</f>
        <v/>
      </c>
      <c r="Z23" s="33" t="n">
        <v>3</v>
      </c>
      <c r="AA23" s="33" t="n">
        <v>1</v>
      </c>
      <c r="AB23" s="33" t="n">
        <v>3</v>
      </c>
      <c r="AC23" s="71" t="n">
        <v>31.7</v>
      </c>
      <c r="AD23" s="66">
        <f>IFERROR(AVERAGE(IFERROR(IF(Z23="","",Z23*20),""),IFERROR(IF(AA23="","",AA23*20),""),IFERROR(IF(AB23="","",AB23*20),""),IFERROR(IF(AC23="","",IF(AC23&gt;=85,100,IF(AC23&gt;=70,90,IF(AC23&gt;=55,75,IF(AC23&gt;=40,60,IF(AC23&gt;=25,40,20)))))),"")),"")</f>
        <v/>
      </c>
      <c r="AE23" s="33" t="n">
        <v>4</v>
      </c>
      <c r="AF23" s="33" t="n">
        <v>5</v>
      </c>
      <c r="AG23" s="33" t="n">
        <v>4</v>
      </c>
      <c r="AH23" s="33" t="n">
        <v>4</v>
      </c>
      <c r="AI23" s="66">
        <f>IFERROR(AVERAGE(AE23,AF23,AG23,AH23,AL23)*20,"")</f>
        <v/>
      </c>
      <c r="AJ23" s="64">
        <f>IFERROR(J23*Weights!$B$4 + O23*Weights!$B$5 + S23*Weights!$B$6 + Y23*Weights!$B$7 + AD23*Weights!$B$8 + AI23*Weights!$B$9,"")</f>
        <v/>
      </c>
      <c r="AK23" s="65">
        <f>IF(AJ23="","",IF(AJ23&gt;=85,"✓✓✓",IF(AJ23&gt;=70,"✓✓",IF(AJ23&gt;=55,"✓",IF(AJ23&gt;=40,"?","✗")))))</f>
        <v/>
      </c>
      <c r="AL23" s="33" t="n">
        <v>5</v>
      </c>
    </row>
    <row r="24" ht="15" customHeight="1" s="34">
      <c r="A24" s="33" t="inlineStr">
        <is>
          <t>BWXT</t>
        </is>
      </c>
      <c r="B24" s="33" t="inlineStr">
        <is>
          <t>BWX Technologies, Inc.</t>
        </is>
      </c>
      <c r="C24" s="33" t="inlineStr">
        <is>
          <t>01 Power Generation / Nuclear-specific</t>
        </is>
      </c>
      <c r="D24" s="33" t="inlineStr">
        <is>
          <t>2026-06-24</t>
        </is>
      </c>
      <c r="E24" s="33" t="n">
        <v>39.593304</v>
      </c>
      <c r="F24" s="33" t="n">
        <v>43.794</v>
      </c>
      <c r="G24" s="33" t="n">
        <v>1.74</v>
      </c>
      <c r="H24" s="33" t="n">
        <v>5.580097</v>
      </c>
      <c r="I24" s="33">
        <f>IF(OR(E24="",R24="",R24&lt;=0,E24&lt;0),"",E24/R24)</f>
        <v/>
      </c>
      <c r="J24" s="66">
        <f>IFERROR(AVERAGE(IFERROR(IF(E24="","",IF(E24&lt;0,5,IF(E24&lt;=15,90,IF(E24&lt;=20,75,IF(E24&lt;=25,60,IF(E24&lt;=30,45,IF(E24&lt;=40,30,IF(E24&lt;=60,15,5)))))))),""),IFERROR(IF(F24="","",IF(F24&lt;0,5,IF(F24&lt;=10,90,IF(F24&lt;=15,75,IF(F24&lt;=20,60,IF(F24&lt;=25,45,IF(F24&lt;=35,30,IF(F24&lt;=50,15,5)))))))),""),IFERROR(IF(G24="","",IF(G24&gt;=8,100,IF(G24&gt;=6,90,IF(G24&gt;=4,75,IF(G24&gt;=2,60,IF(G24&gt;=1,45,IF(G24&gt;=0,30,15))))))),""),IFERROR(IF(H24="","",IF(H24&lt;=2,90,IF(H24&lt;=4,75,IF(H24&lt;=7,60,IF(H24&lt;=10,45,IF(H24&lt;=15,30,IF(H24&lt;=25,15,5))))))),""),IFERROR(IF(I24="","",IF(I24&lt;=0.5,100,IF(I24&lt;=1,90,IF(I24&lt;=1.5,75,IF(I24&lt;=2,60,IF(I24&lt;=2.5,45,IF(I24&lt;=3,30,15))))))),"")),"")</f>
        <v/>
      </c>
      <c r="K24" s="33" t="n">
        <v>11.3</v>
      </c>
      <c r="L24" s="33" t="n">
        <v>22.66</v>
      </c>
      <c r="M24" s="33" t="n">
        <v>9.720000000000001</v>
      </c>
      <c r="N24" s="33" t="n">
        <v>3.24</v>
      </c>
      <c r="O24" s="66">
        <f>IFERROR(AVERAGE(IFERROR(IF(K24="","",IF(K24&gt;=25,100,IF(K24&gt;=20,90,IF(K24&gt;=15,75,IF(K24&gt;=10,60,IF(K24&gt;=5,45,IF(K24&gt;=0,30,15))))))),""),IFERROR(IF(L24="","",IF(L24&gt;=60,100,IF(L24&gt;=50,90,IF(L24&gt;=40,75,IF(L24&gt;=30,60,IF(L24&gt;=20,45,IF(L24&gt;=10,30,15))))))),""),IFERROR(IF(M24="","",IF(M24&gt;=25,100,IF(M24&gt;=20,90,IF(M24&gt;=15,75,IF(M24&gt;=10,60,IF(M24&gt;=5,45,IF(M24&gt;=0,30,15))))))),""),IFERROR(IF(N24="","",IF(N24&lt;=0,100,IF(N24&lt;=1,90,IF(N24&lt;=2,75,IF(N24&lt;=3,60,IF(N24&lt;=4,45,IF(N24&lt;=5,30,15))))))),"")),"")</f>
        <v/>
      </c>
      <c r="P24" s="33" t="n">
        <v>12.73</v>
      </c>
      <c r="Q24" s="33" t="n">
        <v>26.1</v>
      </c>
      <c r="R24" s="33" t="n">
        <v>20.7</v>
      </c>
      <c r="S24" s="66">
        <f>IFERROR(AVERAGE(IFERROR(IF(P24="","",IF(P24&gt;=40,100,IF(P24&gt;=30,90,IF(P24&gt;=20,75,IF(P24&gt;=15,60,IF(P24&gt;=10,45,IF(P24&gt;=5,30,15))))))),""),IFERROR(IF(Q24="","",IF(Q24&gt;=40,100,IF(Q24&gt;=30,90,IF(Q24&gt;=20,75,IF(Q24&gt;=10,60,IF(Q24&gt;=5,45,IF(Q24&gt;=0,30,15))))))),""),IFERROR(IF(R24="","",IF(R24&gt;=40,100,IF(R24&gt;=30,90,IF(R24&gt;=20,75,IF(R24&gt;=10,60,IF(R24&gt;=0,45,IF(R24&gt;=-10,30,15))))))),"")),"")</f>
        <v/>
      </c>
      <c r="T24" s="33" t="n">
        <v>2</v>
      </c>
      <c r="U24" s="33" t="n">
        <v>3</v>
      </c>
      <c r="V24" s="33" t="n">
        <v>5</v>
      </c>
      <c r="W24" s="33" t="n">
        <v>5</v>
      </c>
      <c r="X24" s="33" t="n">
        <v>2</v>
      </c>
      <c r="Y24" s="66">
        <f>IFERROR(AVERAGE(T24,U24,V24,W24,X24)*20,"")</f>
        <v/>
      </c>
      <c r="Z24" s="33" t="n">
        <v>4</v>
      </c>
      <c r="AA24" s="33" t="n">
        <v>3</v>
      </c>
      <c r="AB24" s="33" t="n">
        <v>3</v>
      </c>
      <c r="AC24" s="71" t="n">
        <v>62.5</v>
      </c>
      <c r="AD24" s="66">
        <f>IFERROR(AVERAGE(IFERROR(IF(Z24="","",Z24*20),""),IFERROR(IF(AA24="","",AA24*20),""),IFERROR(IF(AB24="","",AB24*20),""),IFERROR(IF(AC24="","",IF(AC24&gt;=85,100,IF(AC24&gt;=70,90,IF(AC24&gt;=55,75,IF(AC24&gt;=40,60,IF(AC24&gt;=25,40,20)))))),"")),"")</f>
        <v/>
      </c>
      <c r="AE24" s="33" t="n">
        <v>4</v>
      </c>
      <c r="AF24" s="33" t="n">
        <v>5</v>
      </c>
      <c r="AG24" s="33" t="n">
        <v>4</v>
      </c>
      <c r="AH24" s="33" t="n">
        <v>4</v>
      </c>
      <c r="AI24" s="66">
        <f>IFERROR(AVERAGE(AE24,AF24,AG24,AH24,AL24)*20,"")</f>
        <v/>
      </c>
      <c r="AJ24" s="64">
        <f>IFERROR(J24*Weights!$B$4 + O24*Weights!$B$5 + S24*Weights!$B$6 + Y24*Weights!$B$7 + AD24*Weights!$B$8 + AI24*Weights!$B$9,"")</f>
        <v/>
      </c>
      <c r="AK24" s="65">
        <f>IF(AJ24="","",IF(AJ24&gt;=85,"✓✓✓",IF(AJ24&gt;=70,"✓✓",IF(AJ24&gt;=55,"✓",IF(AJ24&gt;=40,"?","✗")))))</f>
        <v/>
      </c>
      <c r="AL24" s="33" t="n">
        <v>5</v>
      </c>
    </row>
    <row r="25" ht="15" customHeight="1" s="34">
      <c r="A25" s="33" t="inlineStr">
        <is>
          <t>SMR</t>
        </is>
      </c>
      <c r="B25" s="33" t="inlineStr">
        <is>
          <t>NuScale Power Corporation</t>
        </is>
      </c>
      <c r="C25" s="33" t="inlineStr">
        <is>
          <t>01 Power Generation / Nuclear-specific</t>
        </is>
      </c>
      <c r="D25" s="33" t="inlineStr">
        <is>
          <t>2026-06-24</t>
        </is>
      </c>
      <c r="E25" s="33" t="n">
        <v>-15.236305</v>
      </c>
      <c r="F25" s="33" t="n">
        <v>-12.758</v>
      </c>
      <c r="G25" s="33" t="n">
        <v>-4.58</v>
      </c>
      <c r="H25" s="33" t="n">
        <v>189.28384</v>
      </c>
      <c r="I25" s="33">
        <f>IF(OR(E25="",R25="",R25&lt;=0,E25&lt;0),"",E25/R25)</f>
        <v/>
      </c>
      <c r="J25" s="66">
        <f>IFERROR(AVERAGE(IFERROR(IF(E25="","",IF(E25&lt;0,5,IF(E25&lt;=15,90,IF(E25&lt;=20,75,IF(E25&lt;=25,60,IF(E25&lt;=30,45,IF(E25&lt;=40,30,IF(E25&lt;=60,15,5)))))))),""),IFERROR(IF(F25="","",IF(F25&lt;0,5,IF(F25&lt;=10,90,IF(F25&lt;=15,75,IF(F25&lt;=20,60,IF(F25&lt;=25,45,IF(F25&lt;=35,30,IF(F25&lt;=50,15,5)))))))),""),IFERROR(IF(G25="","",IF(G25&gt;=8,100,IF(G25&gt;=6,90,IF(G25&gt;=4,75,IF(G25&gt;=2,60,IF(G25&gt;=1,45,IF(G25&gt;=0,30,15))))))),""),IFERROR(IF(H25="","",IF(H25&lt;=2,90,IF(H25&lt;=4,75,IF(H25&lt;=7,60,IF(H25&lt;=10,45,IF(H25&lt;=15,30,IF(H25&lt;=25,15,5))))))),""),IFERROR(IF(I25="","",IF(I25&lt;=0.5,100,IF(I25&lt;=1,90,IF(I25&lt;=1.5,75,IF(I25&lt;=2,60,IF(I25&lt;=2.5,45,IF(I25&lt;=3,30,15))))))),"")),"")</f>
        <v/>
      </c>
      <c r="L25" s="33" t="n">
        <v>23.84</v>
      </c>
      <c r="M25" s="33" t="n">
        <v>-867.59</v>
      </c>
      <c r="N25" s="33" t="n"/>
      <c r="O25" s="66">
        <f>IFERROR(AVERAGE(IFERROR(IF(K25="","",IF(K25&gt;=25,100,IF(K25&gt;=20,90,IF(K25&gt;=15,75,IF(K25&gt;=10,60,IF(K25&gt;=5,45,IF(K25&gt;=0,30,15))))))),""),IFERROR(IF(L25="","",IF(L25&gt;=60,100,IF(L25&gt;=50,90,IF(L25&gt;=40,75,IF(L25&gt;=30,60,IF(L25&gt;=20,45,IF(L25&gt;=10,30,15))))))),""),IFERROR(IF(M25="","",IF(M25&gt;=25,100,IF(M25&gt;=20,90,IF(M25&gt;=15,75,IF(M25&gt;=10,60,IF(M25&gt;=5,45,IF(M25&gt;=0,30,15))))))),""),IFERROR(IF(N25="","",IF(N25&lt;=0,100,IF(N25&lt;=1,90,IF(N25&lt;=2,75,IF(N25&lt;=3,60,IF(N25&lt;=4,45,IF(N25&lt;=5,30,15))))))),"")),"")</f>
        <v/>
      </c>
      <c r="P25" s="33" t="n">
        <v>38.67</v>
      </c>
      <c r="Q25" s="33" t="n">
        <v>-95.8</v>
      </c>
      <c r="S25" s="66">
        <f>IFERROR(AVERAGE(IFERROR(IF(P25="","",IF(P25&gt;=40,100,IF(P25&gt;=30,90,IF(P25&gt;=20,75,IF(P25&gt;=15,60,IF(P25&gt;=10,45,IF(P25&gt;=5,30,15))))))),""),IFERROR(IF(Q25="","",IF(Q25&gt;=40,100,IF(Q25&gt;=30,90,IF(Q25&gt;=20,75,IF(Q25&gt;=10,60,IF(Q25&gt;=5,45,IF(Q25&gt;=0,30,15))))))),""),IFERROR(IF(R25="","",IF(R25&gt;=40,100,IF(R25&gt;=30,90,IF(R25&gt;=20,75,IF(R25&gt;=10,60,IF(R25&gt;=0,45,IF(R25&gt;=-10,30,15))))))),"")),"")</f>
        <v/>
      </c>
      <c r="T25" s="33" t="n">
        <v>1</v>
      </c>
      <c r="U25" s="33" t="n">
        <v>3</v>
      </c>
      <c r="V25" s="33" t="n">
        <v>3</v>
      </c>
      <c r="W25" s="33" t="n">
        <v>2</v>
      </c>
      <c r="X25" s="33" t="n">
        <v>2</v>
      </c>
      <c r="Y25" s="66">
        <f>IFERROR(AVERAGE(T25,U25,V25,W25,X25)*20,"")</f>
        <v/>
      </c>
      <c r="Z25" s="33" t="n">
        <v>1</v>
      </c>
      <c r="AA25" s="33" t="n">
        <v>1</v>
      </c>
      <c r="AB25" s="33" t="n">
        <v>1</v>
      </c>
      <c r="AC25" s="71" t="n">
        <v>26.7</v>
      </c>
      <c r="AD25" s="66">
        <f>IFERROR(AVERAGE(IFERROR(IF(Z25="","",Z25*20),""),IFERROR(IF(AA25="","",AA25*20),""),IFERROR(IF(AB25="","",AB25*20),""),IFERROR(IF(AC25="","",IF(AC25&gt;=85,100,IF(AC25&gt;=70,90,IF(AC25&gt;=55,75,IF(AC25&gt;=40,60,IF(AC25&gt;=25,40,20)))))),"")),"")</f>
        <v/>
      </c>
      <c r="AE25" s="33" t="n">
        <v>3</v>
      </c>
      <c r="AF25" s="33" t="n">
        <v>5</v>
      </c>
      <c r="AG25" s="33" t="n">
        <v>2</v>
      </c>
      <c r="AH25" s="33" t="n">
        <v>1</v>
      </c>
      <c r="AI25" s="66">
        <f>IFERROR(AVERAGE(AE25,AF25,AG25,AH25,AL25)*20,"")</f>
        <v/>
      </c>
      <c r="AJ25" s="64">
        <f>IFERROR(J25*Weights!$B$4 + O25*Weights!$B$5 + S25*Weights!$B$6 + Y25*Weights!$B$7 + AD25*Weights!$B$8 + AI25*Weights!$B$9,"")</f>
        <v/>
      </c>
      <c r="AK25" s="65">
        <f>IF(AJ25="","",IF(AJ25&gt;=85,"✓✓✓",IF(AJ25&gt;=70,"✓✓",IF(AJ25&gt;=55,"✓",IF(AJ25&gt;=40,"?","✗")))))</f>
        <v/>
      </c>
      <c r="AL25" s="33" t="n">
        <v>5</v>
      </c>
    </row>
    <row r="26" ht="15" customHeight="1" s="34">
      <c r="A26" s="33" t="inlineStr">
        <is>
          <t>OKLO</t>
        </is>
      </c>
      <c r="B26" s="33" t="inlineStr">
        <is>
          <t>Oklo Inc.</t>
        </is>
      </c>
      <c r="C26" s="33" t="inlineStr">
        <is>
          <t>01 Power Generation / Nuclear-specific</t>
        </is>
      </c>
      <c r="D26" s="33" t="inlineStr">
        <is>
          <t>2026-06-24</t>
        </is>
      </c>
      <c r="E26" s="33" t="n">
        <v>-64.84036</v>
      </c>
      <c r="F26" s="33" t="n">
        <v>-41.834</v>
      </c>
      <c r="G26" s="33" t="n">
        <v>-1.63</v>
      </c>
      <c r="I26" s="33">
        <f>IF(OR(E26="",R26="",R26&lt;=0,E26&lt;0),"",E26/R26)</f>
        <v/>
      </c>
      <c r="J26" s="66">
        <f>IFERROR(AVERAGE(IFERROR(IF(E26="","",IF(E26&lt;0,5,IF(E26&lt;=15,90,IF(E26&lt;=20,75,IF(E26&lt;=25,60,IF(E26&lt;=30,45,IF(E26&lt;=40,30,IF(E26&lt;=60,15,5)))))))),""),IFERROR(IF(F26="","",IF(F26&lt;0,5,IF(F26&lt;=10,90,IF(F26&lt;=15,75,IF(F26&lt;=20,60,IF(F26&lt;=25,45,IF(F26&lt;=35,30,IF(F26&lt;=50,15,5)))))))),""),IFERROR(IF(G26="","",IF(G26&gt;=8,100,IF(G26&gt;=6,90,IF(G26&gt;=4,75,IF(G26&gt;=2,60,IF(G26&gt;=1,45,IF(G26&gt;=0,30,15))))))),""),IFERROR(IF(H26="","",IF(H26&lt;=2,90,IF(H26&lt;=4,75,IF(H26&lt;=7,60,IF(H26&lt;=10,45,IF(H26&lt;=15,30,IF(H26&lt;=25,15,5))))))),""),IFERROR(IF(I26="","",IF(I26&lt;=0.5,100,IF(I26&lt;=1,90,IF(I26&lt;=1.5,75,IF(I26&lt;=2,60,IF(I26&lt;=2.5,45,IF(I26&lt;=3,30,15))))))),"")),"")</f>
        <v/>
      </c>
      <c r="K26" s="33" t="n">
        <v>0</v>
      </c>
      <c r="L26" s="33" t="n">
        <v>0</v>
      </c>
      <c r="N26" s="33" t="n"/>
      <c r="O26" s="66">
        <f>IFERROR(AVERAGE(IFERROR(IF(K26="","",IF(K26&gt;=25,100,IF(K26&gt;=20,90,IF(K26&gt;=15,75,IF(K26&gt;=10,60,IF(K26&gt;=5,45,IF(K26&gt;=0,30,15))))))),""),IFERROR(IF(L26="","",IF(L26&gt;=60,100,IF(L26&gt;=50,90,IF(L26&gt;=40,75,IF(L26&gt;=30,60,IF(L26&gt;=20,45,IF(L26&gt;=10,30,15))))))),""),IFERROR(IF(M26="","",IF(M26&gt;=25,100,IF(M26&gt;=20,90,IF(M26&gt;=15,75,IF(M26&gt;=10,60,IF(M26&gt;=5,45,IF(M26&gt;=0,30,15))))))),""),IFERROR(IF(N26="","",IF(N26&lt;=0,100,IF(N26&lt;=1,90,IF(N26&lt;=2,75,IF(N26&lt;=3,60,IF(N26&lt;=4,45,IF(N26&lt;=5,30,15))))))),"")),"")</f>
        <v/>
      </c>
      <c r="S26" s="66">
        <f>IFERROR(AVERAGE(IFERROR(IF(P26="","",IF(P26&gt;=40,100,IF(P26&gt;=30,90,IF(P26&gt;=20,75,IF(P26&gt;=15,60,IF(P26&gt;=10,45,IF(P26&gt;=5,30,15))))))),""),IFERROR(IF(Q26="","",IF(Q26&gt;=40,100,IF(Q26&gt;=30,90,IF(Q26&gt;=20,75,IF(Q26&gt;=10,60,IF(Q26&gt;=5,45,IF(Q26&gt;=0,30,15))))))),""),IFERROR(IF(R26="","",IF(R26&gt;=40,100,IF(R26&gt;=30,90,IF(R26&gt;=20,75,IF(R26&gt;=10,60,IF(R26&gt;=0,45,IF(R26&gt;=-10,30,15))))))),"")),"")</f>
        <v/>
      </c>
      <c r="T26" s="33" t="n">
        <v>1</v>
      </c>
      <c r="U26" s="33" t="n">
        <v>3</v>
      </c>
      <c r="V26" s="33" t="n">
        <v>3</v>
      </c>
      <c r="W26" s="33" t="n">
        <v>5</v>
      </c>
      <c r="X26" s="33" t="n">
        <v>3</v>
      </c>
      <c r="Y26" s="66">
        <f>IFERROR(AVERAGE(T26,U26,V26,W26,X26)*20,"")</f>
        <v/>
      </c>
      <c r="Z26" s="33" t="n">
        <v>3</v>
      </c>
      <c r="AA26" s="33" t="n">
        <v>1</v>
      </c>
      <c r="AB26" s="33" t="n">
        <v>3</v>
      </c>
      <c r="AC26" s="71" t="n">
        <v>34.2</v>
      </c>
      <c r="AD26" s="66">
        <f>IFERROR(AVERAGE(IFERROR(IF(Z26="","",Z26*20),""),IFERROR(IF(AA26="","",AA26*20),""),IFERROR(IF(AB26="","",AB26*20),""),IFERROR(IF(AC26="","",IF(AC26&gt;=85,100,IF(AC26&gt;=70,90,IF(AC26&gt;=55,75,IF(AC26&gt;=40,60,IF(AC26&gt;=25,40,20)))))),"")),"")</f>
        <v/>
      </c>
      <c r="AE26" s="33" t="n">
        <v>3</v>
      </c>
      <c r="AF26" s="33" t="n">
        <v>5</v>
      </c>
      <c r="AG26" s="33" t="n">
        <v>3</v>
      </c>
      <c r="AH26" s="33" t="n">
        <v>4</v>
      </c>
      <c r="AI26" s="66">
        <f>IFERROR(AVERAGE(AE26,AF26,AG26,AH26,AL26)*20,"")</f>
        <v/>
      </c>
      <c r="AJ26" s="64">
        <f>IFERROR(J26*Weights!$B$4 + O26*Weights!$B$5 + S26*Weights!$B$6 + Y26*Weights!$B$7 + AD26*Weights!$B$8 + AI26*Weights!$B$9,"")</f>
        <v/>
      </c>
      <c r="AK26" s="65">
        <f>IF(AJ26="","",IF(AJ26&gt;=85,"✓✓✓",IF(AJ26&gt;=70,"✓✓",IF(AJ26&gt;=55,"✓",IF(AJ26&gt;=40,"?","✗")))))</f>
        <v/>
      </c>
      <c r="AL26" s="33" t="n">
        <v>5</v>
      </c>
    </row>
    <row r="27" ht="15" customHeight="1" s="34">
      <c r="A27" s="33" t="inlineStr">
        <is>
          <t>NNE</t>
        </is>
      </c>
      <c r="B27" s="33" t="inlineStr">
        <is>
          <t>NANO Nuclear Energy Inc.</t>
        </is>
      </c>
      <c r="C27" s="33" t="inlineStr">
        <is>
          <t>01 Power Generation / Nuclear-specific</t>
        </is>
      </c>
      <c r="D27" s="33" t="inlineStr">
        <is>
          <t>2026-06-24</t>
        </is>
      </c>
      <c r="E27" s="33" t="n">
        <v>-23.502537</v>
      </c>
      <c r="F27" s="33" t="n">
        <v>-14.185</v>
      </c>
      <c r="G27" s="33" t="n">
        <v>-3.05</v>
      </c>
      <c r="I27" s="33">
        <f>IF(OR(E27="",R27="",R27&lt;=0,E27&lt;0),"",E27/R27)</f>
        <v/>
      </c>
      <c r="J27" s="66">
        <f>IFERROR(AVERAGE(IFERROR(IF(E27="","",IF(E27&lt;0,5,IF(E27&lt;=15,90,IF(E27&lt;=20,75,IF(E27&lt;=25,60,IF(E27&lt;=30,45,IF(E27&lt;=40,30,IF(E27&lt;=60,15,5)))))))),""),IFERROR(IF(F27="","",IF(F27&lt;0,5,IF(F27&lt;=10,90,IF(F27&lt;=15,75,IF(F27&lt;=20,60,IF(F27&lt;=25,45,IF(F27&lt;=35,30,IF(F27&lt;=50,15,5)))))))),""),IFERROR(IF(G27="","",IF(G27&gt;=8,100,IF(G27&gt;=6,90,IF(G27&gt;=4,75,IF(G27&gt;=2,60,IF(G27&gt;=1,45,IF(G27&gt;=0,30,15))))))),""),IFERROR(IF(H27="","",IF(H27&lt;=2,90,IF(H27&lt;=4,75,IF(H27&lt;=7,60,IF(H27&lt;=10,45,IF(H27&lt;=15,30,IF(H27&lt;=25,15,5))))))),""),IFERROR(IF(I27="","",IF(I27&lt;=0.5,100,IF(I27&lt;=1,90,IF(I27&lt;=1.5,75,IF(I27&lt;=2,60,IF(I27&lt;=2.5,45,IF(I27&lt;=3,30,15))))))),"")),"")</f>
        <v/>
      </c>
      <c r="K27" s="33" t="n">
        <v>0</v>
      </c>
      <c r="L27" s="33" t="n">
        <v>0</v>
      </c>
      <c r="N27" s="33" t="n"/>
      <c r="O27" s="66">
        <f>IFERROR(AVERAGE(IFERROR(IF(K27="","",IF(K27&gt;=25,100,IF(K27&gt;=20,90,IF(K27&gt;=15,75,IF(K27&gt;=10,60,IF(K27&gt;=5,45,IF(K27&gt;=0,30,15))))))),""),IFERROR(IF(L27="","",IF(L27&gt;=60,100,IF(L27&gt;=50,90,IF(L27&gt;=40,75,IF(L27&gt;=30,60,IF(L27&gt;=20,45,IF(L27&gt;=10,30,15))))))),""),IFERROR(IF(M27="","",IF(M27&gt;=25,100,IF(M27&gt;=20,90,IF(M27&gt;=15,75,IF(M27&gt;=10,60,IF(M27&gt;=5,45,IF(M27&gt;=0,30,15))))))),""),IFERROR(IF(N27="","",IF(N27&lt;=0,100,IF(N27&lt;=1,90,IF(N27&lt;=2,75,IF(N27&lt;=3,60,IF(N27&lt;=4,45,IF(N27&lt;=5,30,15))))))),"")),"")</f>
        <v/>
      </c>
      <c r="S27" s="66">
        <f>IFERROR(AVERAGE(IFERROR(IF(P27="","",IF(P27&gt;=40,100,IF(P27&gt;=30,90,IF(P27&gt;=20,75,IF(P27&gt;=15,60,IF(P27&gt;=10,45,IF(P27&gt;=5,30,15))))))),""),IFERROR(IF(Q27="","",IF(Q27&gt;=40,100,IF(Q27&gt;=30,90,IF(Q27&gt;=20,75,IF(Q27&gt;=10,60,IF(Q27&gt;=5,45,IF(Q27&gt;=0,30,15))))))),""),IFERROR(IF(R27="","",IF(R27&gt;=40,100,IF(R27&gt;=30,90,IF(R27&gt;=20,75,IF(R27&gt;=10,60,IF(R27&gt;=0,45,IF(R27&gt;=-10,30,15))))))),"")),"")</f>
        <v/>
      </c>
      <c r="T27" s="33" t="n">
        <v>1</v>
      </c>
      <c r="U27" s="33" t="n">
        <v>3</v>
      </c>
      <c r="V27" s="33" t="n">
        <v>3</v>
      </c>
      <c r="W27" s="33" t="n">
        <v>4</v>
      </c>
      <c r="X27" s="33" t="n">
        <v>2</v>
      </c>
      <c r="Y27" s="66">
        <f>IFERROR(AVERAGE(T27,U27,V27,W27,X27)*20,"")</f>
        <v/>
      </c>
      <c r="Z27" s="33" t="n">
        <v>4</v>
      </c>
      <c r="AA27" s="33" t="n">
        <v>1</v>
      </c>
      <c r="AB27" s="33" t="n">
        <v>3</v>
      </c>
      <c r="AC27" s="71" t="n">
        <v>38.3</v>
      </c>
      <c r="AD27" s="66">
        <f>IFERROR(AVERAGE(IFERROR(IF(Z27="","",Z27*20),""),IFERROR(IF(AA27="","",AA27*20),""),IFERROR(IF(AB27="","",AB27*20),""),IFERROR(IF(AC27="","",IF(AC27&gt;=85,100,IF(AC27&gt;=70,90,IF(AC27&gt;=55,75,IF(AC27&gt;=40,60,IF(AC27&gt;=25,40,20)))))),"")),"")</f>
        <v/>
      </c>
      <c r="AE27" s="33" t="n">
        <v>3</v>
      </c>
      <c r="AF27" s="33" t="n">
        <v>5</v>
      </c>
      <c r="AG27" s="33" t="n">
        <v>3</v>
      </c>
      <c r="AH27" s="33" t="n">
        <v>4</v>
      </c>
      <c r="AI27" s="66">
        <f>IFERROR(AVERAGE(AE27,AF27,AG27,AH27,AL27)*20,"")</f>
        <v/>
      </c>
      <c r="AJ27" s="64">
        <f>IFERROR(J27*Weights!$B$4 + O27*Weights!$B$5 + S27*Weights!$B$6 + Y27*Weights!$B$7 + AD27*Weights!$B$8 + AI27*Weights!$B$9,"")</f>
        <v/>
      </c>
      <c r="AK27" s="65">
        <f>IF(AJ27="","",IF(AJ27&gt;=85,"✓✓✓",IF(AJ27&gt;=70,"✓✓",IF(AJ27&gt;=55,"✓",IF(AJ27&gt;=40,"?","✗")))))</f>
        <v/>
      </c>
      <c r="AL27" s="33" t="n">
        <v>5</v>
      </c>
    </row>
    <row r="28" ht="15" customHeight="1" s="34">
      <c r="A28" s="33" t="inlineStr">
        <is>
          <t>EQT</t>
        </is>
      </c>
      <c r="B28" s="33" t="inlineStr">
        <is>
          <t>EQT Corporation</t>
        </is>
      </c>
      <c r="C28" s="33" t="inlineStr">
        <is>
          <t>01 Power Generation / Natural gas E&amp;P (powering gas turbines for data centers)</t>
        </is>
      </c>
      <c r="D28" s="33" t="inlineStr">
        <is>
          <t>2026-06-24</t>
        </is>
      </c>
      <c r="E28" s="33" t="n">
        <v>11.30996</v>
      </c>
      <c r="F28" s="33" t="n">
        <v>5.418</v>
      </c>
      <c r="G28" s="33" t="n">
        <v>12.59</v>
      </c>
      <c r="H28" s="33" t="n">
        <v>3.438613</v>
      </c>
      <c r="I28" s="33">
        <f>IF(OR(E28="",R28="",R28&lt;=0,E28&lt;0),"",E28/R28)</f>
        <v/>
      </c>
      <c r="J28" s="66">
        <f>IFERROR(AVERAGE(IFERROR(IF(E28="","",IF(E28&lt;0,5,IF(E28&lt;=15,90,IF(E28&lt;=20,75,IF(E28&lt;=25,60,IF(E28&lt;=30,45,IF(E28&lt;=40,30,IF(E28&lt;=60,15,5)))))))),""),IFERROR(IF(F28="","",IF(F28&lt;0,5,IF(F28&lt;=10,90,IF(F28&lt;=15,75,IF(F28&lt;=20,60,IF(F28&lt;=25,45,IF(F28&lt;=35,30,IF(F28&lt;=50,15,5)))))))),""),IFERROR(IF(G28="","",IF(G28&gt;=8,100,IF(G28&gt;=6,90,IF(G28&gt;=4,75,IF(G28&gt;=2,60,IF(G28&gt;=1,45,IF(G28&gt;=0,30,15))))))),""),IFERROR(IF(H28="","",IF(H28&lt;=2,90,IF(H28&lt;=4,75,IF(H28&lt;=7,60,IF(H28&lt;=10,45,IF(H28&lt;=15,30,IF(H28&lt;=25,15,5))))))),""),IFERROR(IF(I28="","",IF(I28&lt;=0.5,100,IF(I28&lt;=1,90,IF(I28&lt;=1.5,75,IF(I28&lt;=2,60,IF(I28&lt;=2.5,45,IF(I28&lt;=3,30,15))))))),"")),"")</f>
        <v/>
      </c>
      <c r="K28" s="33" t="n">
        <v>12.6</v>
      </c>
      <c r="L28" s="33" t="n">
        <v>80.97</v>
      </c>
      <c r="M28" s="33" t="n">
        <v>43.28</v>
      </c>
      <c r="N28" s="33" t="n">
        <v>0.74</v>
      </c>
      <c r="O28" s="66">
        <f>IFERROR(AVERAGE(IFERROR(IF(K28="","",IF(K28&gt;=25,100,IF(K28&gt;=20,90,IF(K28&gt;=15,75,IF(K28&gt;=10,60,IF(K28&gt;=5,45,IF(K28&gt;=0,30,15))))))),""),IFERROR(IF(L28="","",IF(L28&gt;=60,100,IF(L28&gt;=50,90,IF(L28&gt;=40,75,IF(L28&gt;=30,60,IF(L28&gt;=20,45,IF(L28&gt;=10,30,15))))))),""),IFERROR(IF(M28="","",IF(M28&gt;=25,100,IF(M28&gt;=20,90,IF(M28&gt;=15,75,IF(M28&gt;=10,60,IF(M28&gt;=5,45,IF(M28&gt;=0,30,15))))))),""),IFERROR(IF(N28="","",IF(N28&lt;=0,100,IF(N28&lt;=1,90,IF(N28&lt;=2,75,IF(N28&lt;=3,60,IF(N28&lt;=4,45,IF(N28&lt;=5,30,15))))))),"")),"")</f>
        <v/>
      </c>
      <c r="P28" s="33" t="n">
        <v>-11.72</v>
      </c>
      <c r="Q28" s="33" t="n">
        <v>49.9</v>
      </c>
      <c r="R28" s="33" t="n">
        <v>514.2</v>
      </c>
      <c r="S28" s="66">
        <f>IFERROR(AVERAGE(IFERROR(IF(P28="","",IF(P28&gt;=40,100,IF(P28&gt;=30,90,IF(P28&gt;=20,75,IF(P28&gt;=15,60,IF(P28&gt;=10,45,IF(P28&gt;=5,30,15))))))),""),IFERROR(IF(Q28="","",IF(Q28&gt;=40,100,IF(Q28&gt;=30,90,IF(Q28&gt;=20,75,IF(Q28&gt;=10,60,IF(Q28&gt;=5,45,IF(Q28&gt;=0,30,15))))))),""),IFERROR(IF(R28="","",IF(R28&gt;=40,100,IF(R28&gt;=30,90,IF(R28&gt;=20,75,IF(R28&gt;=10,60,IF(R28&gt;=0,45,IF(R28&gt;=-10,30,15))))))),"")),"")</f>
        <v/>
      </c>
      <c r="T28" s="33" t="n">
        <v>1</v>
      </c>
      <c r="U28" s="33" t="n">
        <v>2</v>
      </c>
      <c r="V28" s="33" t="n">
        <v>3</v>
      </c>
      <c r="W28" s="33" t="n">
        <v>5</v>
      </c>
      <c r="X28" s="33" t="n">
        <v>2</v>
      </c>
      <c r="Y28" s="66">
        <f>IFERROR(AVERAGE(T28,U28,V28,W28,X28)*20,"")</f>
        <v/>
      </c>
      <c r="Z28" s="33" t="n">
        <v>2</v>
      </c>
      <c r="AA28" s="33" t="n">
        <v>1</v>
      </c>
      <c r="AB28" s="33" t="n">
        <v>3</v>
      </c>
      <c r="AC28" s="71" t="n">
        <v>39.2</v>
      </c>
      <c r="AD28" s="66">
        <f>IFERROR(AVERAGE(IFERROR(IF(Z28="","",Z28*20),""),IFERROR(IF(AA28="","",AA28*20),""),IFERROR(IF(AB28="","",AB28*20),""),IFERROR(IF(AC28="","",IF(AC28&gt;=85,100,IF(AC28&gt;=70,90,IF(AC28&gt;=55,75,IF(AC28&gt;=40,60,IF(AC28&gt;=25,40,20)))))),"")),"")</f>
        <v/>
      </c>
      <c r="AE28" s="33" t="n">
        <v>4</v>
      </c>
      <c r="AF28" s="33" t="n">
        <v>5</v>
      </c>
      <c r="AG28" s="33" t="n">
        <v>5</v>
      </c>
      <c r="AH28" s="33" t="n">
        <v>4</v>
      </c>
      <c r="AI28" s="66">
        <f>IFERROR(AVERAGE(AE28,AF28,AG28,AH28,AL28)*20,"")</f>
        <v/>
      </c>
      <c r="AJ28" s="64">
        <f>IFERROR(J28*Weights!$B$4 + O28*Weights!$B$5 + S28*Weights!$B$6 + Y28*Weights!$B$7 + AD28*Weights!$B$8 + AI28*Weights!$B$9,"")</f>
        <v/>
      </c>
      <c r="AK28" s="65">
        <f>IF(AJ28="","",IF(AJ28&gt;=85,"✓✓✓",IF(AJ28&gt;=70,"✓✓",IF(AJ28&gt;=55,"✓",IF(AJ28&gt;=40,"?","✗")))))</f>
        <v/>
      </c>
      <c r="AL28" s="33" t="n">
        <v>5</v>
      </c>
    </row>
    <row r="29" ht="15" customHeight="1" s="34">
      <c r="A29" s="33" t="inlineStr">
        <is>
          <t>RRC</t>
        </is>
      </c>
      <c r="B29" s="33" t="inlineStr">
        <is>
          <t>Range Resources Corporation</t>
        </is>
      </c>
      <c r="C29" s="33" t="inlineStr">
        <is>
          <t>01 Power Generation / Natural gas E&amp;P (powering gas turbines for data centers)</t>
        </is>
      </c>
      <c r="D29" s="33" t="inlineStr">
        <is>
          <t>2026-06-24</t>
        </is>
      </c>
      <c r="E29" s="33" t="n">
        <v>7.841766</v>
      </c>
      <c r="F29" s="33" t="n">
        <v>5.653</v>
      </c>
      <c r="G29" s="33" t="n">
        <v>9.51</v>
      </c>
      <c r="H29" s="33" t="n">
        <v>2.6659749</v>
      </c>
      <c r="I29" s="33">
        <f>IF(OR(E29="",R29="",R29&lt;=0,E29&lt;0),"",E29/R29)</f>
        <v/>
      </c>
      <c r="J29" s="66">
        <f>IFERROR(AVERAGE(IFERROR(IF(E29="","",IF(E29&lt;0,5,IF(E29&lt;=15,90,IF(E29&lt;=20,75,IF(E29&lt;=25,60,IF(E29&lt;=30,45,IF(E29&lt;=40,30,IF(E29&lt;=60,15,5)))))))),""),IFERROR(IF(F29="","",IF(F29&lt;0,5,IF(F29&lt;=10,90,IF(F29&lt;=15,75,IF(F29&lt;=20,60,IF(F29&lt;=25,45,IF(F29&lt;=35,30,IF(F29&lt;=50,15,5)))))))),""),IFERROR(IF(G29="","",IF(G29&gt;=8,100,IF(G29&gt;=6,90,IF(G29&gt;=4,75,IF(G29&gt;=2,60,IF(G29&gt;=1,45,IF(G29&gt;=0,30,15))))))),""),IFERROR(IF(H29="","",IF(H29&lt;=2,90,IF(H29&lt;=4,75,IF(H29&lt;=7,60,IF(H29&lt;=10,45,IF(H29&lt;=15,30,IF(H29&lt;=25,15,5))))))),""),IFERROR(IF(I29="","",IF(I29&lt;=0.5,100,IF(I29&lt;=1,90,IF(I29&lt;=1.5,75,IF(I29&lt;=2,60,IF(I29&lt;=2.5,45,IF(I29&lt;=3,30,15))))))),"")),"")</f>
        <v/>
      </c>
      <c r="K29" s="33" t="n">
        <v>17.5</v>
      </c>
      <c r="L29" s="33" t="n">
        <v>52.47</v>
      </c>
      <c r="M29" s="33" t="n">
        <v>25.35</v>
      </c>
      <c r="N29" s="33" t="n">
        <v>0.58</v>
      </c>
      <c r="O29" s="66">
        <f>IFERROR(AVERAGE(IFERROR(IF(K29="","",IF(K29&gt;=25,100,IF(K29&gt;=20,90,IF(K29&gt;=15,75,IF(K29&gt;=10,60,IF(K29&gt;=5,45,IF(K29&gt;=0,30,15))))))),""),IFERROR(IF(L29="","",IF(L29&gt;=60,100,IF(L29&gt;=50,90,IF(L29&gt;=40,75,IF(L29&gt;=30,60,IF(L29&gt;=20,45,IF(L29&gt;=10,30,15))))))),""),IFERROR(IF(M29="","",IF(M29&gt;=25,100,IF(M29&gt;=20,90,IF(M29&gt;=15,75,IF(M29&gt;=10,60,IF(M29&gt;=5,45,IF(M29&gt;=0,30,15))))))),""),IFERROR(IF(N29="","",IF(N29&lt;=0,100,IF(N29&lt;=1,90,IF(N29&lt;=2,75,IF(N29&lt;=3,60,IF(N29&lt;=4,45,IF(N29&lt;=5,30,15))))))),"")),"")</f>
        <v/>
      </c>
      <c r="P29" s="33" t="n">
        <v>-17.55</v>
      </c>
      <c r="Q29" s="33" t="n">
        <v>26.1</v>
      </c>
      <c r="R29" s="33" t="n">
        <v>252</v>
      </c>
      <c r="S29" s="66">
        <f>IFERROR(AVERAGE(IFERROR(IF(P29="","",IF(P29&gt;=40,100,IF(P29&gt;=30,90,IF(P29&gt;=20,75,IF(P29&gt;=15,60,IF(P29&gt;=10,45,IF(P29&gt;=5,30,15))))))),""),IFERROR(IF(Q29="","",IF(Q29&gt;=40,100,IF(Q29&gt;=30,90,IF(Q29&gt;=20,75,IF(Q29&gt;=10,60,IF(Q29&gt;=5,45,IF(Q29&gt;=0,30,15))))))),""),IFERROR(IF(R29="","",IF(R29&gt;=40,100,IF(R29&gt;=30,90,IF(R29&gt;=20,75,IF(R29&gt;=10,60,IF(R29&gt;=0,45,IF(R29&gt;=-10,30,15))))))),"")),"")</f>
        <v/>
      </c>
      <c r="T29" s="33" t="n">
        <v>1</v>
      </c>
      <c r="U29" s="33" t="n">
        <v>2</v>
      </c>
      <c r="V29" s="33" t="n">
        <v>2</v>
      </c>
      <c r="W29" s="33" t="n">
        <v>4</v>
      </c>
      <c r="X29" s="33" t="n">
        <v>1</v>
      </c>
      <c r="Y29" s="66">
        <f>IFERROR(AVERAGE(T29,U29,V29,W29,X29)*20,"")</f>
        <v/>
      </c>
      <c r="Z29" s="33" t="n">
        <v>4</v>
      </c>
      <c r="AA29" s="33" t="n">
        <v>1</v>
      </c>
      <c r="AB29" s="33" t="n">
        <v>3</v>
      </c>
      <c r="AC29" s="71" t="n">
        <v>50</v>
      </c>
      <c r="AD29" s="66">
        <f>IFERROR(AVERAGE(IFERROR(IF(Z29="","",Z29*20),""),IFERROR(IF(AA29="","",AA29*20),""),IFERROR(IF(AB29="","",AB29*20),""),IFERROR(IF(AC29="","",IF(AC29&gt;=85,100,IF(AC29&gt;=70,90,IF(AC29&gt;=55,75,IF(AC29&gt;=40,60,IF(AC29&gt;=25,40,20)))))),"")),"")</f>
        <v/>
      </c>
      <c r="AE29" s="33" t="n">
        <v>4</v>
      </c>
      <c r="AF29" s="33" t="n">
        <v>5</v>
      </c>
      <c r="AG29" s="33" t="n">
        <v>5</v>
      </c>
      <c r="AH29" s="33" t="n">
        <v>4</v>
      </c>
      <c r="AI29" s="66">
        <f>IFERROR(AVERAGE(AE29,AF29,AG29,AH29,AL29)*20,"")</f>
        <v/>
      </c>
      <c r="AJ29" s="64">
        <f>IFERROR(J29*Weights!$B$4 + O29*Weights!$B$5 + S29*Weights!$B$6 + Y29*Weights!$B$7 + AD29*Weights!$B$8 + AI29*Weights!$B$9,"")</f>
        <v/>
      </c>
      <c r="AK29" s="65">
        <f>IF(AJ29="","",IF(AJ29&gt;=85,"✓✓✓",IF(AJ29&gt;=70,"✓✓",IF(AJ29&gt;=55,"✓",IF(AJ29&gt;=40,"?","✗")))))</f>
        <v/>
      </c>
      <c r="AL29" s="33" t="n">
        <v>5</v>
      </c>
    </row>
    <row r="30" ht="15" customHeight="1" s="34">
      <c r="A30" s="33" t="inlineStr">
        <is>
          <t>AR</t>
        </is>
      </c>
      <c r="B30" s="33" t="inlineStr">
        <is>
          <t>Antero Resources Corporation</t>
        </is>
      </c>
      <c r="C30" s="33" t="inlineStr">
        <is>
          <t>01 Power Generation / Natural gas E&amp;P (powering gas turbines for data centers)</t>
        </is>
      </c>
      <c r="D30" s="33" t="inlineStr">
        <is>
          <t>2026-06-24</t>
        </is>
      </c>
      <c r="E30" s="33" t="n">
        <v>7.4088144</v>
      </c>
      <c r="F30" s="33" t="n"/>
      <c r="G30" s="33" t="n">
        <v>15.31</v>
      </c>
      <c r="H30" s="33" t="n">
        <v>1.9116669</v>
      </c>
      <c r="I30" s="33">
        <f>IF(OR(E30="",R30="",R30&lt;=0,E30&lt;0),"",E30/R30)</f>
        <v/>
      </c>
      <c r="J30" s="66">
        <f>IFERROR(AVERAGE(IFERROR(IF(E30="","",IF(E30&lt;0,5,IF(E30&lt;=15,90,IF(E30&lt;=20,75,IF(E30&lt;=25,60,IF(E30&lt;=30,45,IF(E30&lt;=40,30,IF(E30&lt;=60,15,5)))))))),""),IFERROR(IF(F30="","",IF(F30&lt;0,5,IF(F30&lt;=10,90,IF(F30&lt;=15,75,IF(F30&lt;=20,60,IF(F30&lt;=25,45,IF(F30&lt;=35,30,IF(F30&lt;=50,15,5)))))))),""),IFERROR(IF(G30="","",IF(G30&gt;=8,100,IF(G30&gt;=6,90,IF(G30&gt;=4,75,IF(G30&gt;=2,60,IF(G30&gt;=1,45,IF(G30&gt;=0,30,15))))))),""),IFERROR(IF(H30="","",IF(H30&lt;=2,90,IF(H30&lt;=4,75,IF(H30&lt;=7,60,IF(H30&lt;=10,45,IF(H30&lt;=15,30,IF(H30&lt;=25,15,5))))))),""),IFERROR(IF(I30="","",IF(I30&lt;=0.5,100,IF(I30&lt;=1,90,IF(I30&lt;=1.5,75,IF(I30&lt;=2,60,IF(I30&lt;=2.5,45,IF(I30&lt;=3,30,15))))))),"")),"")</f>
        <v/>
      </c>
      <c r="K30" s="33" t="n">
        <v>10</v>
      </c>
      <c r="L30" s="33" t="n">
        <v>67.23</v>
      </c>
      <c r="M30" s="33" t="n">
        <v>29.26</v>
      </c>
      <c r="N30" s="33" t="n"/>
      <c r="O30" s="66">
        <f>IFERROR(AVERAGE(IFERROR(IF(K30="","",IF(K30&gt;=25,100,IF(K30&gt;=20,90,IF(K30&gt;=15,75,IF(K30&gt;=10,60,IF(K30&gt;=5,45,IF(K30&gt;=0,30,15))))))),""),IFERROR(IF(L30="","",IF(L30&gt;=60,100,IF(L30&gt;=50,90,IF(L30&gt;=40,75,IF(L30&gt;=30,60,IF(L30&gt;=20,45,IF(L30&gt;=10,30,15))))))),""),IFERROR(IF(M30="","",IF(M30&gt;=25,100,IF(M30&gt;=20,90,IF(M30&gt;=15,75,IF(M30&gt;=10,60,IF(M30&gt;=5,45,IF(M30&gt;=0,30,15))))))),""),IFERROR(IF(N30="","",IF(N30&lt;=0,100,IF(N30&lt;=1,90,IF(N30&lt;=2,75,IF(N30&lt;=3,60,IF(N30&lt;=4,45,IF(N30&lt;=5,30,15))))))),"")),"")</f>
        <v/>
      </c>
      <c r="P30" s="33" t="n">
        <v>-15.47</v>
      </c>
      <c r="Q30" s="33" t="n">
        <v>34.3</v>
      </c>
      <c r="R30" s="33" t="n">
        <v>157.4</v>
      </c>
      <c r="S30" s="66">
        <f>IFERROR(AVERAGE(IFERROR(IF(P30="","",IF(P30&gt;=40,100,IF(P30&gt;=30,90,IF(P30&gt;=20,75,IF(P30&gt;=15,60,IF(P30&gt;=10,45,IF(P30&gt;=5,30,15))))))),""),IFERROR(IF(Q30="","",IF(Q30&gt;=40,100,IF(Q30&gt;=30,90,IF(Q30&gt;=20,75,IF(Q30&gt;=10,60,IF(Q30&gt;=5,45,IF(Q30&gt;=0,30,15))))))),""),IFERROR(IF(R30="","",IF(R30&gt;=40,100,IF(R30&gt;=30,90,IF(R30&gt;=20,75,IF(R30&gt;=10,60,IF(R30&gt;=0,45,IF(R30&gt;=-10,30,15))))))),"")),"")</f>
        <v/>
      </c>
      <c r="T30" s="33" t="n">
        <v>1</v>
      </c>
      <c r="U30" s="33" t="n">
        <v>2</v>
      </c>
      <c r="V30" s="33" t="n">
        <v>2</v>
      </c>
      <c r="W30" s="33" t="n">
        <v>5</v>
      </c>
      <c r="X30" s="33" t="n">
        <v>1</v>
      </c>
      <c r="Y30" s="66">
        <f>IFERROR(AVERAGE(T30,U30,V30,W30,X30)*20,"")</f>
        <v/>
      </c>
      <c r="Z30" s="33" t="n">
        <v>5</v>
      </c>
      <c r="AA30" s="33" t="n">
        <v>1</v>
      </c>
      <c r="AB30" s="33" t="n">
        <v>3</v>
      </c>
      <c r="AC30" s="71" t="n">
        <v>39.2</v>
      </c>
      <c r="AD30" s="66">
        <f>IFERROR(AVERAGE(IFERROR(IF(Z30="","",Z30*20),""),IFERROR(IF(AA30="","",AA30*20),""),IFERROR(IF(AB30="","",AB30*20),""),IFERROR(IF(AC30="","",IF(AC30&gt;=85,100,IF(AC30&gt;=70,90,IF(AC30&gt;=55,75,IF(AC30&gt;=40,60,IF(AC30&gt;=25,40,20)))))),"")),"")</f>
        <v/>
      </c>
      <c r="AE30" s="33" t="n">
        <v>4</v>
      </c>
      <c r="AF30" s="33" t="n">
        <v>5</v>
      </c>
      <c r="AG30" s="33" t="n">
        <v>4</v>
      </c>
      <c r="AH30" s="33" t="n">
        <v>4</v>
      </c>
      <c r="AI30" s="66">
        <f>IFERROR(AVERAGE(AE30,AF30,AG30,AH30,AL30)*20,"")</f>
        <v/>
      </c>
      <c r="AJ30" s="64">
        <f>IFERROR(J30*Weights!$B$4 + O30*Weights!$B$5 + S30*Weights!$B$6 + Y30*Weights!$B$7 + AD30*Weights!$B$8 + AI30*Weights!$B$9,"")</f>
        <v/>
      </c>
      <c r="AK30" s="65">
        <f>IF(AJ30="","",IF(AJ30&gt;=85,"✓✓✓",IF(AJ30&gt;=70,"✓✓",IF(AJ30&gt;=55,"✓",IF(AJ30&gt;=40,"?","✗")))))</f>
        <v/>
      </c>
      <c r="AL30" s="33" t="n">
        <v>5</v>
      </c>
    </row>
    <row r="31" ht="15" customHeight="1" s="34">
      <c r="A31" s="33" t="inlineStr">
        <is>
          <t>EXE</t>
        </is>
      </c>
      <c r="B31" s="33" t="inlineStr">
        <is>
          <t>Expand Energy Corporation</t>
        </is>
      </c>
      <c r="C31" s="33" t="inlineStr">
        <is>
          <t>01 Power Generation / Natural gas E&amp;P (powering gas turbines for data centers)</t>
        </is>
      </c>
      <c r="D31" s="33" t="inlineStr">
        <is>
          <t>2026-06-24</t>
        </is>
      </c>
      <c r="E31" s="33" t="n">
        <v>9.248144</v>
      </c>
      <c r="F31" s="33" t="n">
        <v>3.237</v>
      </c>
      <c r="G31" s="33" t="n">
        <v>13.22</v>
      </c>
      <c r="H31" s="33" t="n">
        <v>1.6359737</v>
      </c>
      <c r="I31" s="33">
        <f>IF(OR(E32="",R32="",R32&lt;=0,E32&lt;0),"",E32/R32)</f>
        <v/>
      </c>
      <c r="J31" s="66">
        <f>IFERROR(AVERAGE(IFERROR(IF(E31="","",IF(E31&lt;0,5,IF(E31&lt;=15,90,IF(E31&lt;=20,75,IF(E31&lt;=25,60,IF(E31&lt;=30,45,IF(E31&lt;=40,30,IF(E31&lt;=60,15,5)))))))),""),IFERROR(IF(F31="","",IF(F31&lt;0,5,IF(F31&lt;=10,90,IF(F31&lt;=15,75,IF(F31&lt;=20,60,IF(F31&lt;=25,45,IF(F31&lt;=35,30,IF(F31&lt;=50,15,5)))))))),""),IFERROR(IF(G31="","",IF(G31&gt;=8,100,IF(G31&gt;=6,90,IF(G31&gt;=4,75,IF(G31&gt;=2,60,IF(G31&gt;=1,45,IF(G31&gt;=0,30,15))))))),""),IFERROR(IF(H31="","",IF(H31&lt;=2,90,IF(H31&lt;=4,75,IF(H31&lt;=7,60,IF(H31&lt;=10,45,IF(H31&lt;=15,30,IF(H31&lt;=25,15,5))))))),""),IFERROR(IF(I31="","",IF(I31&lt;=0.5,100,IF(I31&lt;=1,90,IF(I31&lt;=1.5,75,IF(I31&lt;=2,60,IF(I31&lt;=2.5,45,IF(I31&lt;=3,30,15))))))),"")),"")</f>
        <v/>
      </c>
      <c r="K31" s="33" t="n">
        <v>15.2</v>
      </c>
      <c r="L31" s="33" t="n">
        <v>47.95</v>
      </c>
      <c r="M31" s="33" t="n">
        <v>21.63</v>
      </c>
      <c r="N31" s="33" t="n">
        <v>0.38</v>
      </c>
      <c r="O31" s="66">
        <f>IFERROR(AVERAGE(IFERROR(IF(K31="","",IF(K31&gt;=25,100,IF(K31&gt;=20,90,IF(K31&gt;=15,75,IF(K31&gt;=10,60,IF(K31&gt;=5,45,IF(K31&gt;=0,30,15))))))),""),IFERROR(IF(L31="","",IF(L31&gt;=60,100,IF(L31&gt;=50,90,IF(L31&gt;=40,75,IF(L31&gt;=30,60,IF(L31&gt;=20,45,IF(L31&gt;=10,30,15))))))),""),IFERROR(IF(M31="","",IF(M31&gt;=25,100,IF(M31&gt;=20,90,IF(M31&gt;=15,75,IF(M31&gt;=10,60,IF(M31&gt;=5,45,IF(M31&gt;=0,30,15))))))),""),IFERROR(IF(N31="","",IF(N31&lt;=0,100,IF(N31&lt;=1,90,IF(N31&lt;=2,75,IF(N31&lt;=3,60,IF(N31&lt;=4,45,IF(N31&lt;=5,30,15))))))),"")),"")</f>
        <v/>
      </c>
      <c r="P31" s="33" t="n">
        <v>2.13</v>
      </c>
      <c r="Q31" s="33" t="n">
        <v>41</v>
      </c>
      <c r="S31" s="66">
        <f>IFERROR(AVERAGE(IFERROR(IF(P31="","",IF(P31&gt;=40,100,IF(P31&gt;=30,90,IF(P31&gt;=20,75,IF(P31&gt;=15,60,IF(P31&gt;=10,45,IF(P31&gt;=5,30,15))))))),""),IFERROR(IF(Q31="","",IF(Q31&gt;=40,100,IF(Q31&gt;=30,90,IF(Q31&gt;=20,75,IF(Q31&gt;=10,60,IF(Q31&gt;=5,45,IF(Q31&gt;=0,30,15))))))),""),IFERROR(IF(R31="","",IF(R31&gt;=40,100,IF(R31&gt;=30,90,IF(R31&gt;=20,75,IF(R31&gt;=10,60,IF(R31&gt;=0,45,IF(R31&gt;=-10,30,15))))))),"")),"")</f>
        <v/>
      </c>
      <c r="T31" s="33" t="n">
        <v>1</v>
      </c>
      <c r="U31" s="33" t="n">
        <v>2</v>
      </c>
      <c r="V31" s="33" t="n">
        <v>2</v>
      </c>
      <c r="W31" s="33" t="n">
        <v>5</v>
      </c>
      <c r="X31" s="33" t="n">
        <v>1</v>
      </c>
      <c r="Y31" s="66">
        <f>IFERROR(AVERAGE(T31,U31,V31,W31,X31)*20,"")</f>
        <v/>
      </c>
      <c r="Z31" s="33" t="n">
        <v>5</v>
      </c>
      <c r="AA31" s="33" t="n">
        <v>1</v>
      </c>
      <c r="AB31" s="33" t="n">
        <v>3</v>
      </c>
      <c r="AC31" s="71" t="n">
        <v>19.2</v>
      </c>
      <c r="AD31" s="66">
        <f>IFERROR(AVERAGE(IFERROR(IF(Z31="","",Z31*20),""),IFERROR(IF(AA31="","",AA31*20),""),IFERROR(IF(AB31="","",AB31*20),""),IFERROR(IF(AC31="","",IF(AC31&gt;=85,100,IF(AC31&gt;=70,90,IF(AC31&gt;=55,75,IF(AC31&gt;=40,60,IF(AC31&gt;=25,40,20)))))),"")),"")</f>
        <v/>
      </c>
      <c r="AE31" s="33" t="n">
        <v>4</v>
      </c>
      <c r="AF31" s="33" t="n">
        <v>5</v>
      </c>
      <c r="AG31" s="33" t="n">
        <v>5</v>
      </c>
      <c r="AH31" s="33" t="n">
        <v>4</v>
      </c>
      <c r="AI31" s="66">
        <f>IFERROR(AVERAGE(AE31,AF31,AG31,AH31,AL31)*20,"")</f>
        <v/>
      </c>
      <c r="AJ31" s="64">
        <f>IFERROR(J31*Weights!$B$4 + O31*Weights!$B$5 + S31*Weights!$B$6 + Y31*Weights!$B$7 + AD31*Weights!$B$8 + AI31*Weights!$B$9,"")</f>
        <v/>
      </c>
      <c r="AK31" s="65">
        <f>IF(AJ31="","",IF(AJ31&gt;=85,"✓✓✓",IF(AJ31&gt;=70,"✓✓",IF(AJ31&gt;=55,"✓",IF(AJ31&gt;=40,"?","✗")))))</f>
        <v/>
      </c>
      <c r="AL31" s="33" t="n">
        <v>5</v>
      </c>
    </row>
    <row r="32" ht="15" customHeight="1" s="34">
      <c r="A32" s="33" t="inlineStr">
        <is>
          <t>PLUG</t>
        </is>
      </c>
      <c r="B32" s="33" t="inlineStr">
        <is>
          <t>Plug Power Inc.</t>
        </is>
      </c>
      <c r="C32" s="33" t="inlineStr">
        <is>
          <t>01 Power Generation / Distributed / on-site power</t>
        </is>
      </c>
      <c r="D32" s="33" t="inlineStr">
        <is>
          <t>2026-06-24</t>
        </is>
      </c>
      <c r="E32" s="33" t="n">
        <v>-15.886541</v>
      </c>
      <c r="F32" s="33" t="n">
        <v>-7.23</v>
      </c>
      <c r="G32" s="33" t="n">
        <v>-18.35</v>
      </c>
      <c r="H32" s="33" t="n">
        <v>4.9220552</v>
      </c>
      <c r="I32" s="33">
        <f>IF(OR(E33="",R33="",R33&lt;=0,E33&lt;0),"",E33/R33)</f>
        <v/>
      </c>
      <c r="J32" s="66">
        <f>IFERROR(AVERAGE(IFERROR(IF(E32="","",IF(E32&lt;0,5,IF(E32&lt;=15,90,IF(E32&lt;=20,75,IF(E32&lt;=25,60,IF(E32&lt;=30,45,IF(E32&lt;=40,30,IF(E32&lt;=60,15,5)))))))),""),IFERROR(IF(F32="","",IF(F32&lt;0,5,IF(F32&lt;=10,90,IF(F32&lt;=15,75,IF(F32&lt;=20,60,IF(F32&lt;=25,45,IF(F32&lt;=35,30,IF(F32&lt;=50,15,5)))))))),""),IFERROR(IF(G32="","",IF(G32&gt;=8,100,IF(G32&gt;=6,90,IF(G32&gt;=4,75,IF(G32&gt;=2,60,IF(G32&gt;=1,45,IF(G32&gt;=0,30,15))))))),""),IFERROR(IF(H32="","",IF(H32&lt;=2,90,IF(H32&lt;=4,75,IF(H32&lt;=7,60,IF(H32&lt;=10,45,IF(H32&lt;=15,30,IF(H32&lt;=25,15,5))))))),""),IFERROR(IF(I32="","",IF(I32&lt;=0.5,100,IF(I32&lt;=1,90,IF(I32&lt;=1.5,75,IF(I32&lt;=2,60,IF(I32&lt;=2.5,45,IF(I32&lt;=3,30,15))))))),"")),"")</f>
        <v/>
      </c>
      <c r="K32" s="33" t="n">
        <v>28.3</v>
      </c>
      <c r="L32" s="33" t="n">
        <v>-31.24</v>
      </c>
      <c r="M32" s="33" t="n">
        <v>-90.3</v>
      </c>
      <c r="N32" s="33" t="n"/>
      <c r="O32" s="66">
        <f>IFERROR(AVERAGE(IFERROR(IF(K32="","",IF(K32&gt;=25,100,IF(K32&gt;=20,90,IF(K32&gt;=15,75,IF(K32&gt;=10,60,IF(K32&gt;=5,45,IF(K32&gt;=0,30,15))))))),""),IFERROR(IF(L32="","",IF(L32&gt;=60,100,IF(L32&gt;=50,90,IF(L32&gt;=40,75,IF(L32&gt;=30,60,IF(L32&gt;=20,45,IF(L32&gt;=10,30,15))))))),""),IFERROR(IF(M32="","",IF(M32&gt;=25,100,IF(M32&gt;=20,90,IF(M32&gt;=15,75,IF(M32&gt;=10,60,IF(M32&gt;=5,45,IF(M32&gt;=0,30,15))))))),""),IFERROR(IF(N32="","",IF(N32&lt;=0,100,IF(N32&lt;=1,90,IF(N32&lt;=2,75,IF(N32&lt;=3,60,IF(N32&lt;=4,45,IF(N32&lt;=5,30,15))))))),"")),"")</f>
        <v/>
      </c>
      <c r="P32" s="33" t="n">
        <v>0.4</v>
      </c>
      <c r="Q32" s="33" t="n">
        <v>22.3</v>
      </c>
      <c r="S32" s="66">
        <f>IFERROR(AVERAGE(IFERROR(IF(P32="","",IF(P32&gt;=40,100,IF(P32&gt;=30,90,IF(P32&gt;=20,75,IF(P32&gt;=15,60,IF(P32&gt;=10,45,IF(P32&gt;=5,30,15))))))),""),IFERROR(IF(Q32="","",IF(Q32&gt;=40,100,IF(Q32&gt;=30,90,IF(Q32&gt;=20,75,IF(Q32&gt;=10,60,IF(Q32&gt;=5,45,IF(Q32&gt;=0,30,15))))))),""),IFERROR(IF(R32="","",IF(R32&gt;=40,100,IF(R32&gt;=30,90,IF(R32&gt;=20,75,IF(R32&gt;=10,60,IF(R32&gt;=0,45,IF(R32&gt;=-10,30,15))))))),"")),"")</f>
        <v/>
      </c>
      <c r="T32" s="33" t="n">
        <v>1</v>
      </c>
      <c r="U32" s="33" t="n">
        <v>2</v>
      </c>
      <c r="V32" s="33" t="n">
        <v>2</v>
      </c>
      <c r="W32" s="33" t="n">
        <v>3</v>
      </c>
      <c r="X32" s="33" t="n">
        <v>2</v>
      </c>
      <c r="Y32" s="66">
        <f>IFERROR(AVERAGE(T32,U32,V32,W32,X32)*20,"")</f>
        <v/>
      </c>
      <c r="Z32" s="33" t="n">
        <v>3</v>
      </c>
      <c r="AA32" s="33" t="n">
        <v>5</v>
      </c>
      <c r="AB32" s="33" t="n">
        <v>3</v>
      </c>
      <c r="AC32" s="71" t="n">
        <v>68.3</v>
      </c>
      <c r="AD32" s="66">
        <f>IFERROR(AVERAGE(IFERROR(IF(Z32="","",Z32*20),""),IFERROR(IF(AA32="","",AA32*20),""),IFERROR(IF(AB32="","",AB32*20),""),IFERROR(IF(AC32="","",IF(AC32&gt;=85,100,IF(AC32&gt;=70,90,IF(AC32&gt;=55,75,IF(AC32&gt;=40,60,IF(AC32&gt;=25,40,20)))))),"")),"")</f>
        <v/>
      </c>
      <c r="AE32" s="33" t="n">
        <v>3</v>
      </c>
      <c r="AF32" s="33" t="n">
        <v>4</v>
      </c>
      <c r="AG32" s="33" t="n">
        <v>2</v>
      </c>
      <c r="AH32" s="33" t="n">
        <v>4</v>
      </c>
      <c r="AI32" s="66">
        <f>IFERROR(AVERAGE(AE32,AF32,AG32,AH32,AL32)*20,"")</f>
        <v/>
      </c>
      <c r="AJ32" s="64">
        <f>IFERROR(J32*Weights!$B$4 + O32*Weights!$B$5 + S32*Weights!$B$6 + Y32*Weights!$B$7 + AD32*Weights!$B$8 + AI32*Weights!$B$9,"")</f>
        <v/>
      </c>
      <c r="AK32" s="65">
        <f>IF(AJ32="","",IF(AJ32&gt;=85,"✓✓✓",IF(AJ32&gt;=70,"✓✓",IF(AJ32&gt;=55,"✓",IF(AJ32&gt;=40,"?","✗")))))</f>
        <v/>
      </c>
      <c r="AL32" s="33" t="n">
        <v>5</v>
      </c>
    </row>
    <row r="33" ht="15" customHeight="1" s="34">
      <c r="A33" s="33" t="inlineStr">
        <is>
          <t>CMI</t>
        </is>
      </c>
      <c r="B33" s="33" t="inlineStr">
        <is>
          <t>Cummins Inc.</t>
        </is>
      </c>
      <c r="C33" s="33" t="inlineStr">
        <is>
          <t>01 Power Generation / Distributed / on-site power</t>
        </is>
      </c>
      <c r="D33" s="33" t="inlineStr">
        <is>
          <t>2026-06-24</t>
        </is>
      </c>
      <c r="E33" s="33" t="n">
        <v>20.482456</v>
      </c>
      <c r="F33" s="33" t="n">
        <v>20.376</v>
      </c>
      <c r="G33" s="33" t="n">
        <v>2.79</v>
      </c>
      <c r="H33" s="33" t="n">
        <v>2.8289511</v>
      </c>
      <c r="I33" s="33">
        <f>IF(OR(E34="",R34="",R34&lt;=0,E34&lt;0),"",E34/R34)</f>
        <v/>
      </c>
      <c r="J33" s="66">
        <f>IFERROR(AVERAGE(IFERROR(IF(E33="","",IF(E33&lt;0,5,IF(E33&lt;=15,90,IF(E33&lt;=20,75,IF(E33&lt;=25,60,IF(E33&lt;=30,45,IF(E33&lt;=40,30,IF(E33&lt;=60,15,5)))))))),""),IFERROR(IF(F33="","",IF(F33&lt;0,5,IF(F33&lt;=10,90,IF(F33&lt;=15,75,IF(F33&lt;=20,60,IF(F33&lt;=25,45,IF(F33&lt;=35,30,IF(F33&lt;=50,15,5)))))))),""),IFERROR(IF(G33="","",IF(G33&gt;=8,100,IF(G33&gt;=6,90,IF(G33&gt;=4,75,IF(G33&gt;=2,60,IF(G33&gt;=1,45,IF(G33&gt;=0,30,15))))))),""),IFERROR(IF(H33="","",IF(H33&lt;=2,90,IF(H33&lt;=4,75,IF(H33&lt;=7,60,IF(H33&lt;=10,45,IF(H33&lt;=15,30,IF(H33&lt;=25,15,5))))))),""),IFERROR(IF(I33="","",IF(I33&lt;=0.5,100,IF(I33&lt;=1,90,IF(I33&lt;=1.5,75,IF(I33&lt;=2,60,IF(I33&lt;=2.5,45,IF(I33&lt;=3,30,15))))))),"")),"")</f>
        <v/>
      </c>
      <c r="K33" s="33" t="n">
        <v>15.7</v>
      </c>
      <c r="L33" s="33" t="n">
        <v>25.85</v>
      </c>
      <c r="M33" s="33" t="n">
        <v>7.88</v>
      </c>
      <c r="N33" s="33" t="n">
        <v>1.01</v>
      </c>
      <c r="O33" s="66">
        <f>IFERROR(AVERAGE(IFERROR(IF(K33="","",IF(K33&gt;=25,100,IF(K33&gt;=20,90,IF(K33&gt;=15,75,IF(K33&gt;=10,60,IF(K33&gt;=5,45,IF(K33&gt;=0,30,15))))))),""),IFERROR(IF(L33="","",IF(L33&gt;=60,100,IF(L33&gt;=50,90,IF(L33&gt;=40,75,IF(L33&gt;=30,60,IF(L33&gt;=20,45,IF(L33&gt;=10,30,15))))))),""),IFERROR(IF(M33="","",IF(M33&gt;=25,100,IF(M33&gt;=20,90,IF(M33&gt;=15,75,IF(M33&gt;=10,60,IF(M33&gt;=5,45,IF(M33&gt;=0,30,15))))))),""),IFERROR(IF(N33="","",IF(N33&lt;=0,100,IF(N33&lt;=1,90,IF(N33&lt;=2,75,IF(N33&lt;=3,60,IF(N33&lt;=4,45,IF(N33&lt;=5,30,15))))))),"")),"")</f>
        <v/>
      </c>
      <c r="P33" s="33" t="n">
        <v>6.25</v>
      </c>
      <c r="Q33" s="33" t="n">
        <v>2.7</v>
      </c>
      <c r="R33" s="33" t="n">
        <v>-20.6</v>
      </c>
      <c r="S33" s="66">
        <f>IFERROR(AVERAGE(IFERROR(IF(P33="","",IF(P33&gt;=40,100,IF(P33&gt;=30,90,IF(P33&gt;=20,75,IF(P33&gt;=15,60,IF(P33&gt;=10,45,IF(P33&gt;=5,30,15))))))),""),IFERROR(IF(Q33="","",IF(Q33&gt;=40,100,IF(Q33&gt;=30,90,IF(Q33&gt;=20,75,IF(Q33&gt;=10,60,IF(Q33&gt;=5,45,IF(Q33&gt;=0,30,15))))))),""),IFERROR(IF(R33="","",IF(R33&gt;=40,100,IF(R33&gt;=30,90,IF(R33&gt;=20,75,IF(R33&gt;=10,60,IF(R33&gt;=0,45,IF(R33&gt;=-10,30,15))))))),"")),"")</f>
        <v/>
      </c>
      <c r="T33" s="33" t="n">
        <v>2</v>
      </c>
      <c r="U33" s="33" t="n">
        <v>4</v>
      </c>
      <c r="V33" s="33" t="n">
        <v>4</v>
      </c>
      <c r="W33" s="33" t="n">
        <v>5</v>
      </c>
      <c r="X33" s="33" t="n">
        <v>2</v>
      </c>
      <c r="Y33" s="66">
        <f>IFERROR(AVERAGE(T33,U33,V33,W33,X33)*20,"")</f>
        <v/>
      </c>
      <c r="Z33" s="33" t="n">
        <v>5</v>
      </c>
      <c r="AA33" s="33" t="n">
        <v>5</v>
      </c>
      <c r="AB33" s="33" t="n">
        <v>3</v>
      </c>
      <c r="AC33" s="71" t="n">
        <v>79.2</v>
      </c>
      <c r="AD33" s="66">
        <f>IFERROR(AVERAGE(IFERROR(IF(Z33="","",Z33*20),""),IFERROR(IF(AA33="","",AA33*20),""),IFERROR(IF(AB33="","",AB33*20),""),IFERROR(IF(AC33="","",IF(AC33&gt;=85,100,IF(AC33&gt;=70,90,IF(AC33&gt;=55,75,IF(AC33&gt;=40,60,IF(AC33&gt;=25,40,20)))))),"")),"")</f>
        <v/>
      </c>
      <c r="AE33" s="33" t="n">
        <v>5</v>
      </c>
      <c r="AF33" s="33" t="n">
        <v>4</v>
      </c>
      <c r="AG33" s="33" t="n">
        <v>4</v>
      </c>
      <c r="AH33" s="33" t="n">
        <v>4</v>
      </c>
      <c r="AI33" s="66">
        <f>IFERROR(AVERAGE(AE33,AF33,AG33,AH33,AL33)*20,"")</f>
        <v/>
      </c>
      <c r="AJ33" s="64">
        <f>IFERROR(J33*Weights!$B$4 + O33*Weights!$B$5 + S33*Weights!$B$6 + Y33*Weights!$B$7 + AD33*Weights!$B$8 + AI33*Weights!$B$9,"")</f>
        <v/>
      </c>
      <c r="AK33" s="65">
        <f>IF(AJ33="","",IF(AJ33&gt;=85,"✓✓✓",IF(AJ33&gt;=70,"✓✓",IF(AJ33&gt;=55,"✓",IF(AJ33&gt;=40,"?","✗")))))</f>
        <v/>
      </c>
      <c r="AL33" s="33" t="n">
        <v>5</v>
      </c>
    </row>
    <row r="34" ht="15" customHeight="1" s="34">
      <c r="A34" s="33" t="inlineStr">
        <is>
          <t>GNRC</t>
        </is>
      </c>
      <c r="B34" s="33" t="inlineStr">
        <is>
          <t>Generac Holdings Inc.</t>
        </is>
      </c>
      <c r="C34" s="33" t="inlineStr">
        <is>
          <t>01 Power Generation / Distributed / on-site power</t>
        </is>
      </c>
      <c r="D34" s="33" t="inlineStr">
        <is>
          <t>2026-06-24</t>
        </is>
      </c>
      <c r="E34" s="33" t="n">
        <v>25.424898</v>
      </c>
      <c r="F34" s="33" t="n">
        <v>33.849</v>
      </c>
      <c r="G34" s="33" t="n">
        <v>1.98</v>
      </c>
      <c r="H34" s="33" t="n">
        <v>3.866259</v>
      </c>
      <c r="I34" s="33">
        <f>IF(OR(E35="",R35="",R35&lt;=0,E35&lt;0),"",E35/R35)</f>
        <v/>
      </c>
      <c r="J34" s="66">
        <f>IFERROR(AVERAGE(IFERROR(IF(E34="","",IF(E34&lt;0,5,IF(E34&lt;=15,90,IF(E34&lt;=20,75,IF(E34&lt;=25,60,IF(E34&lt;=30,45,IF(E34&lt;=40,30,IF(E34&lt;=60,15,5)))))))),""),IFERROR(IF(F34="","",IF(F34&lt;0,5,IF(F34&lt;=10,90,IF(F34&lt;=15,75,IF(F34&lt;=20,60,IF(F34&lt;=25,45,IF(F34&lt;=35,30,IF(F34&lt;=50,15,5)))))))),""),IFERROR(IF(G34="","",IF(G34&gt;=8,100,IF(G34&gt;=6,90,IF(G34&gt;=4,75,IF(G34&gt;=2,60,IF(G34&gt;=1,45,IF(G34&gt;=0,30,15))))))),""),IFERROR(IF(H34="","",IF(H34&lt;=2,90,IF(H34&lt;=4,75,IF(H34&lt;=7,60,IF(H34&lt;=10,45,IF(H34&lt;=15,30,IF(H34&lt;=25,15,5))))))),""),IFERROR(IF(I34="","",IF(I34&lt;=0.5,100,IF(I34&lt;=1,90,IF(I34&lt;=1.5,75,IF(I34&lt;=2,60,IF(I34&lt;=2.5,45,IF(I34&lt;=3,30,15))))))),"")),"")</f>
        <v/>
      </c>
      <c r="K34" s="33" t="n">
        <v>5.3</v>
      </c>
      <c r="L34" s="33" t="n">
        <v>38.14</v>
      </c>
      <c r="M34" s="33" t="n">
        <v>7.65</v>
      </c>
      <c r="N34" s="33" t="n">
        <v>2.14</v>
      </c>
      <c r="O34" s="66">
        <f>IFERROR(AVERAGE(IFERROR(IF(K34="","",IF(K34&gt;=25,100,IF(K34&gt;=20,90,IF(K34&gt;=15,75,IF(K34&gt;=10,60,IF(K34&gt;=5,45,IF(K34&gt;=0,30,15))))))),""),IFERROR(IF(L34="","",IF(L34&gt;=60,100,IF(L34&gt;=50,90,IF(L34&gt;=40,75,IF(L34&gt;=30,60,IF(L34&gt;=20,45,IF(L34&gt;=10,30,15))))))),""),IFERROR(IF(M34="","",IF(M34&gt;=25,100,IF(M34&gt;=20,90,IF(M34&gt;=15,75,IF(M34&gt;=10,60,IF(M34&gt;=5,45,IF(M34&gt;=0,30,15))))))),""),IFERROR(IF(N34="","",IF(N34&lt;=0,100,IF(N34&lt;=1,90,IF(N34&lt;=2,75,IF(N34&lt;=3,60,IF(N34&lt;=4,45,IF(N34&lt;=5,30,15))))))),"")),"")</f>
        <v/>
      </c>
      <c r="P34" s="33" t="n">
        <v>-2.67</v>
      </c>
      <c r="Q34" s="33" t="n">
        <v>12.4</v>
      </c>
      <c r="R34" s="33" t="n">
        <v>67.09999999999999</v>
      </c>
      <c r="S34" s="66">
        <f>IFERROR(AVERAGE(IFERROR(IF(P34="","",IF(P34&gt;=40,100,IF(P34&gt;=30,90,IF(P34&gt;=20,75,IF(P34&gt;=15,60,IF(P34&gt;=10,45,IF(P34&gt;=5,30,15))))))),""),IFERROR(IF(Q34="","",IF(Q34&gt;=40,100,IF(Q34&gt;=30,90,IF(Q34&gt;=20,75,IF(Q34&gt;=10,60,IF(Q34&gt;=5,45,IF(Q34&gt;=0,30,15))))))),""),IFERROR(IF(R34="","",IF(R34&gt;=40,100,IF(R34&gt;=30,90,IF(R34&gt;=20,75,IF(R34&gt;=10,60,IF(R34&gt;=0,45,IF(R34&gt;=-10,30,15))))))),"")),"")</f>
        <v/>
      </c>
      <c r="T34" s="33" t="n">
        <v>2</v>
      </c>
      <c r="U34" s="33" t="n">
        <v>3</v>
      </c>
      <c r="V34" s="33" t="n">
        <v>3</v>
      </c>
      <c r="W34" s="33" t="n">
        <v>5</v>
      </c>
      <c r="X34" s="33" t="n">
        <v>3</v>
      </c>
      <c r="Y34" s="66">
        <f>IFERROR(AVERAGE(T34,U34,V34,W34,X34)*20,"")</f>
        <v/>
      </c>
      <c r="Z34" s="33" t="n">
        <v>5</v>
      </c>
      <c r="AA34" s="33" t="n">
        <v>5</v>
      </c>
      <c r="AB34" s="33" t="n">
        <v>3</v>
      </c>
      <c r="AC34" s="71" t="n">
        <v>84.2</v>
      </c>
      <c r="AD34" s="66">
        <f>IFERROR(AVERAGE(IFERROR(IF(Z34="","",Z34*20),""),IFERROR(IF(AA34="","",AA34*20),""),IFERROR(IF(AB34="","",AB34*20),""),IFERROR(IF(AC34="","",IF(AC34&gt;=85,100,IF(AC34&gt;=70,90,IF(AC34&gt;=55,75,IF(AC34&gt;=40,60,IF(AC34&gt;=25,40,20)))))),"")),"")</f>
        <v/>
      </c>
      <c r="AE34" s="33" t="n">
        <v>4</v>
      </c>
      <c r="AF34" s="33" t="n">
        <v>4</v>
      </c>
      <c r="AG34" s="33" t="n">
        <v>4</v>
      </c>
      <c r="AH34" s="33" t="n">
        <v>4</v>
      </c>
      <c r="AI34" s="66">
        <f>IFERROR(AVERAGE(AE34,AF34,AG34,AH34,AL34)*20,"")</f>
        <v/>
      </c>
      <c r="AJ34" s="64">
        <f>IFERROR(J34*Weights!$B$4 + O34*Weights!$B$5 + S34*Weights!$B$6 + Y34*Weights!$B$7 + AD34*Weights!$B$8 + AI34*Weights!$B$9,"")</f>
        <v/>
      </c>
      <c r="AK34" s="65">
        <f>IF(AJ34="","",IF(AJ34&gt;=85,"✓✓✓",IF(AJ34&gt;=70,"✓✓",IF(AJ34&gt;=55,"✓",IF(AJ34&gt;=40,"?","✗")))))</f>
        <v/>
      </c>
      <c r="AL34" s="33" t="n">
        <v>5</v>
      </c>
    </row>
    <row r="35" ht="15" customHeight="1" s="34">
      <c r="A35" s="33" t="inlineStr">
        <is>
          <t>ETN</t>
        </is>
      </c>
      <c r="B35" s="33" t="inlineStr">
        <is>
          <t>Eaton Corporation plc</t>
        </is>
      </c>
      <c r="C35" s="33" t="inlineStr">
        <is>
          <t>02 Grid &amp; Power Equipment</t>
        </is>
      </c>
      <c r="D35" s="33" t="inlineStr">
        <is>
          <t>2026-06-24</t>
        </is>
      </c>
      <c r="E35" s="33" t="n">
        <v>25.709654</v>
      </c>
      <c r="F35" s="33" t="n">
        <v>28.098</v>
      </c>
      <c r="G35" s="33" t="n">
        <v>2.4</v>
      </c>
      <c r="H35" s="33" t="n">
        <v>5.508109</v>
      </c>
      <c r="I35" s="33">
        <f>IF(OR(E36="",R36="",R36&lt;=0,E36&lt;0),"",E36/R36)</f>
        <v/>
      </c>
      <c r="J35" s="66">
        <f>IFERROR(AVERAGE(IFERROR(IF(E35="","",IF(E35&lt;0,5,IF(E35&lt;=15,90,IF(E35&lt;=20,75,IF(E35&lt;=25,60,IF(E35&lt;=30,45,IF(E35&lt;=40,30,IF(E35&lt;=60,15,5)))))))),""),IFERROR(IF(F35="","",IF(F35&lt;0,5,IF(F35&lt;=10,90,IF(F35&lt;=15,75,IF(F35&lt;=20,60,IF(F35&lt;=25,45,IF(F35&lt;=35,30,IF(F35&lt;=50,15,5)))))))),""),IFERROR(IF(G35="","",IF(G35&gt;=8,100,IF(G35&gt;=6,90,IF(G35&gt;=4,75,IF(G35&gt;=2,60,IF(G35&gt;=1,45,IF(G35&gt;=0,30,15))))))),""),IFERROR(IF(H35="","",IF(H35&lt;=2,90,IF(H35&lt;=4,75,IF(H35&lt;=7,60,IF(H35&lt;=10,45,IF(H35&lt;=15,30,IF(H35&lt;=25,15,5))))))),""),IFERROR(IF(I35="","",IF(I35&lt;=0.5,100,IF(I35&lt;=1,90,IF(I35&lt;=1.5,75,IF(I35&lt;=2,60,IF(I35&lt;=2.5,45,IF(I35&lt;=3,30,15))))))),"")),"")</f>
        <v/>
      </c>
      <c r="K35" s="33" t="n">
        <v>14.3</v>
      </c>
      <c r="L35" s="33" t="n">
        <v>37.1</v>
      </c>
      <c r="M35" s="33" t="n">
        <v>13.24</v>
      </c>
      <c r="N35" s="33" t="n">
        <v>3.32</v>
      </c>
      <c r="O35" s="66">
        <f>IFERROR(AVERAGE(IFERROR(IF(K35="","",IF(K35&gt;=25,100,IF(K35&gt;=20,90,IF(K35&gt;=15,75,IF(K35&gt;=10,60,IF(K35&gt;=5,45,IF(K35&gt;=0,30,15))))))),""),IFERROR(IF(L35="","",IF(L35&gt;=60,100,IF(L35&gt;=50,90,IF(L35&gt;=40,75,IF(L35&gt;=30,60,IF(L35&gt;=20,45,IF(L35&gt;=10,30,15))))))),""),IFERROR(IF(M35="","",IF(M35&gt;=25,100,IF(M35&gt;=20,90,IF(M35&gt;=15,75,IF(M35&gt;=10,60,IF(M35&gt;=5,45,IF(M35&gt;=0,30,15))))))),""),IFERROR(IF(N35="","",IF(N35&lt;=0,100,IF(N35&lt;=1,90,IF(N35&lt;=2,75,IF(N35&lt;=3,60,IF(N35&lt;=4,45,IF(N35&lt;=5,30,15))))))),"")),"")</f>
        <v/>
      </c>
      <c r="P35" s="33" t="n">
        <v>9.77</v>
      </c>
      <c r="Q35" s="33" t="n">
        <v>16.8</v>
      </c>
      <c r="R35" s="33" t="n">
        <v>-10.2</v>
      </c>
      <c r="S35" s="66">
        <f>IFERROR(AVERAGE(IFERROR(IF(P35="","",IF(P35&gt;=40,100,IF(P35&gt;=30,90,IF(P35&gt;=20,75,IF(P35&gt;=15,60,IF(P35&gt;=10,45,IF(P35&gt;=5,30,15))))))),""),IFERROR(IF(Q35="","",IF(Q35&gt;=40,100,IF(Q35&gt;=30,90,IF(Q35&gt;=20,75,IF(Q35&gt;=10,60,IF(Q35&gt;=5,45,IF(Q35&gt;=0,30,15))))))),""),IFERROR(IF(R35="","",IF(R35&gt;=40,100,IF(R35&gt;=30,90,IF(R35&gt;=20,75,IF(R35&gt;=10,60,IF(R35&gt;=0,45,IF(R35&gt;=-10,30,15))))))),"")),"")</f>
        <v/>
      </c>
      <c r="T35" s="33" t="n">
        <v>4</v>
      </c>
      <c r="U35" s="33" t="n">
        <v>4</v>
      </c>
      <c r="V35" s="33" t="n">
        <v>4</v>
      </c>
      <c r="W35" s="33" t="n">
        <v>5</v>
      </c>
      <c r="X35" s="33" t="n">
        <v>5</v>
      </c>
      <c r="Y35" s="66">
        <f>IFERROR(AVERAGE(T35,U35,V35,W35,X35)*20,"")</f>
        <v/>
      </c>
      <c r="Z35" s="33" t="n">
        <v>4</v>
      </c>
      <c r="AA35" s="33" t="n">
        <v>3</v>
      </c>
      <c r="AB35" s="33" t="n">
        <v>3</v>
      </c>
      <c r="AC35" s="71" t="n">
        <v>74.2</v>
      </c>
      <c r="AD35" s="66">
        <f>IFERROR(AVERAGE(IFERROR(IF(Z35="","",Z35*20),""),IFERROR(IF(AA35="","",AA35*20),""),IFERROR(IF(AB35="","",AB35*20),""),IFERROR(IF(AC35="","",IF(AC35&gt;=85,100,IF(AC35&gt;=70,90,IF(AC35&gt;=55,75,IF(AC35&gt;=40,60,IF(AC35&gt;=25,40,20)))))),"")),"")</f>
        <v/>
      </c>
      <c r="AE35" s="33" t="n">
        <v>5</v>
      </c>
      <c r="AF35" s="33" t="n">
        <v>4</v>
      </c>
      <c r="AG35" s="33" t="n">
        <v>4</v>
      </c>
      <c r="AH35" s="33" t="n">
        <v>4</v>
      </c>
      <c r="AI35" s="66">
        <f>IFERROR(AVERAGE(AE35,AF35,AG35,AH35,AL35)*20,"")</f>
        <v/>
      </c>
      <c r="AJ35" s="64">
        <f>IFERROR(J35*Weights!$B$4 + O35*Weights!$B$5 + S35*Weights!$B$6 + Y35*Weights!$B$7 + AD35*Weights!$B$8 + AI35*Weights!$B$9,"")</f>
        <v/>
      </c>
      <c r="AK35" s="65">
        <f>IF(AJ35="","",IF(AJ35&gt;=85,"✓✓✓",IF(AJ35&gt;=70,"✓✓",IF(AJ35&gt;=55,"✓",IF(AJ35&gt;=40,"?","✗")))))</f>
        <v/>
      </c>
      <c r="AL35" s="33" t="n">
        <v>5</v>
      </c>
    </row>
    <row r="36" ht="15" customHeight="1" s="34">
      <c r="A36" s="33" t="inlineStr">
        <is>
          <t>SBGSY</t>
        </is>
      </c>
      <c r="B36" s="33" t="inlineStr">
        <is>
          <t>Schneider Electric S.E.</t>
        </is>
      </c>
      <c r="C36" s="33" t="inlineStr">
        <is>
          <t>02 Grid &amp; Power Equipment</t>
        </is>
      </c>
      <c r="D36" s="33" t="inlineStr">
        <is>
          <t>2026-06-24</t>
        </is>
      </c>
      <c r="E36" s="33" t="n">
        <v>24.496155</v>
      </c>
      <c r="F36" s="33" t="n"/>
      <c r="G36" s="33" t="n"/>
      <c r="H36" s="33" t="n"/>
      <c r="I36" s="33">
        <f>IF(OR(E37="",R37="",R37&lt;=0,E37&lt;0),"",E37/R37)</f>
        <v/>
      </c>
      <c r="J36" s="33">
        <f>IFERROR(AVERAGE(IFERROR(IF(E36="","",IF(E36&lt;0,5,IF(E36&lt;=15,90,IF(E36&lt;=20,75,IF(E36&lt;=25,60,IF(E36&lt;=30,45,IF(E36&lt;=40,30,IF(E36&lt;=60,15,5)))))))),""),IFERROR(IF(F36="","",IF(F36&lt;0,5,IF(F36&lt;=10,90,IF(F36&lt;=15,75,IF(F36&lt;=20,60,IF(F36&lt;=25,45,IF(F36&lt;=35,30,IF(F36&lt;=50,15,5)))))))),""),IFERROR(IF(G36="","",IF(G36&gt;=8,100,IF(G36&gt;=6,90,IF(G36&gt;=4,75,IF(G36&gt;=2,60,IF(G36&gt;=1,45,IF(G36&gt;=0,30,15))))))),""),IFERROR(IF(H36="","",IF(H36&lt;=2,90,IF(H36&lt;=4,75,IF(H36&lt;=7,60,IF(H36&lt;=10,45,IF(H36&lt;=15,30,IF(H36&lt;=25,15,5))))))),""),IFERROR(IF(I36="","",IF(I36&lt;=0.5,100,IF(I36&lt;=1,90,IF(I36&lt;=1.5,75,IF(I36&lt;=2,60,IF(I36&lt;=2.5,45,IF(I36&lt;=3,30,15))))))),"")),"")</f>
        <v/>
      </c>
      <c r="K36" s="33" t="n">
        <v>12.2</v>
      </c>
      <c r="L36" s="33" t="n">
        <v>42.08</v>
      </c>
      <c r="M36" s="33" t="n">
        <v>9.92</v>
      </c>
      <c r="N36" s="33" t="n">
        <v>1.93</v>
      </c>
      <c r="O36" s="33">
        <f>IFERROR(AVERAGE(IFERROR(IF(K36="","",IF(K36&gt;=25,100,IF(K36&gt;=20,90,IF(K36&gt;=15,75,IF(K36&gt;=10,60,IF(K36&gt;=5,45,IF(K36&gt;=0,30,15))))))),""),IFERROR(IF(L36="","",IF(L36&gt;=60,100,IF(L36&gt;=50,90,IF(L36&gt;=40,75,IF(L36&gt;=30,60,IF(L36&gt;=20,45,IF(L36&gt;=10,30,15))))))),""),IFERROR(IF(M36="","",IF(M36&gt;=25,100,IF(M36&gt;=20,90,IF(M36&gt;=15,75,IF(M36&gt;=10,60,IF(M36&gt;=5,45,IF(M36&gt;=0,30,15))))))),""),IFERROR(IF(N36="","",IF(N36&lt;=0,100,IF(N36&lt;=1,90,IF(N36&lt;=2,75,IF(N36&lt;=3,60,IF(N36&lt;=4,45,IF(N36&lt;=5,30,15))))))),"")),"")</f>
        <v/>
      </c>
      <c r="P36" s="33" t="n">
        <v>5.52</v>
      </c>
      <c r="Q36" s="33" t="n">
        <v>4.2</v>
      </c>
      <c r="R36" s="33" t="n">
        <v>-5.7</v>
      </c>
      <c r="S36" s="33">
        <f>IFERROR(AVERAGE(IFERROR(IF(P36="","",IF(P36&gt;=40,100,IF(P36&gt;=30,90,IF(P36&gt;=20,75,IF(P36&gt;=15,60,IF(P36&gt;=10,45,IF(P36&gt;=5,30,15))))))),""),IFERROR(IF(Q36="","",IF(Q36&gt;=40,100,IF(Q36&gt;=30,90,IF(Q36&gt;=20,75,IF(Q36&gt;=10,60,IF(Q36&gt;=5,45,IF(Q36&gt;=0,30,15))))))),""),IFERROR(IF(R36="","",IF(R36&gt;=40,100,IF(R36&gt;=30,90,IF(R36&gt;=20,75,IF(R36&gt;=10,60,IF(R36&gt;=0,45,IF(R36&gt;=-10,30,15))))))),"")),"")</f>
        <v/>
      </c>
      <c r="T36" s="33" t="n">
        <v>4</v>
      </c>
      <c r="U36" s="33" t="n">
        <v>4</v>
      </c>
      <c r="V36" s="33" t="n">
        <v>4</v>
      </c>
      <c r="W36" s="33" t="n">
        <v>5</v>
      </c>
      <c r="X36" s="33" t="n">
        <v>4</v>
      </c>
      <c r="Y36" s="33">
        <f>IFERROR(AVERAGE(T36,U36,V36,W36,X36)*20,"")</f>
        <v/>
      </c>
      <c r="Z36" s="33" t="n">
        <v>3</v>
      </c>
      <c r="AA36" s="33" t="n">
        <v>3</v>
      </c>
      <c r="AB36" s="33" t="n">
        <v>3</v>
      </c>
      <c r="AC36" s="71" t="n">
        <v>74.2</v>
      </c>
      <c r="AD36" s="33">
        <f>IFERROR(AVERAGE(IFERROR(IF(Z36="","",Z36*20),""),IFERROR(IF(AA36="","",AA36*20),""),IFERROR(IF(AB36="","",AB36*20),""),IFERROR(IF(AC36="","",IF(AC36&gt;=85,100,IF(AC36&gt;=70,90,IF(AC36&gt;=55,75,IF(AC36&gt;=40,60,IF(AC36&gt;=25,40,20)))))),"")),"")</f>
        <v/>
      </c>
      <c r="AE36" s="33" t="n">
        <v>5</v>
      </c>
      <c r="AF36" s="33" t="n">
        <v>4</v>
      </c>
      <c r="AG36" s="33" t="n">
        <v>4</v>
      </c>
      <c r="AH36" s="33" t="n">
        <v>4</v>
      </c>
      <c r="AI36" s="33">
        <f>IFERROR(AVERAGE(AE36,AF36,AG36,AH36,AL36)*20,"")</f>
        <v/>
      </c>
      <c r="AJ36" s="33">
        <f>IFERROR(J36*Weights!$B$4 + O36*Weights!$B$5 + S36*Weights!$B$6 + Y36*Weights!$B$7 + AD36*Weights!$B$8 + AI36*Weights!$B$9,"")</f>
        <v/>
      </c>
      <c r="AK36" s="33">
        <f>IF(AJ36="","",IF(AJ36&gt;=85,"✓✓✓",IF(AJ36&gt;=70,"✓✓",IF(AJ36&gt;=55,"✓",IF(AJ36&gt;=40,"?","✗")))))</f>
        <v/>
      </c>
      <c r="AL36" s="33" t="n">
        <v>5</v>
      </c>
    </row>
    <row r="37">
      <c r="A37" s="33" t="inlineStr">
        <is>
          <t>ABBNY</t>
        </is>
      </c>
      <c r="B37" s="33" t="inlineStr">
        <is>
          <t>ABB Ltd</t>
        </is>
      </c>
      <c r="C37" s="33" t="inlineStr">
        <is>
          <t>02 Grid &amp; Power Equipment</t>
        </is>
      </c>
      <c r="D37" s="33" t="inlineStr">
        <is>
          <t>2026-06-24</t>
        </is>
      </c>
      <c r="E37" s="33" t="n">
        <v>30.451149</v>
      </c>
      <c r="F37" s="33" t="n">
        <v>110.164</v>
      </c>
      <c r="G37" s="33" t="n">
        <v>1.94</v>
      </c>
      <c r="H37" s="33" t="n">
        <v>5.5631847</v>
      </c>
      <c r="I37" s="33">
        <f>IF(OR(E38="",R38="",R38&lt;=0,E38&lt;0),"",E38/R38)</f>
        <v/>
      </c>
      <c r="J37" s="33">
        <f>IFERROR(AVERAGE(IFERROR(IF(E37="","",IF(E37&lt;0,5,IF(E37&lt;=15,90,IF(E37&lt;=20,75,IF(E37&lt;=25,60,IF(E37&lt;=30,45,IF(E37&lt;=40,30,IF(E37&lt;=60,15,5)))))))),""),IFERROR(IF(F37="","",IF(F37&lt;0,5,IF(F37&lt;=10,90,IF(F37&lt;=15,75,IF(F37&lt;=20,60,IF(F37&lt;=25,45,IF(F37&lt;=35,30,IF(F37&lt;=50,15,5)))))))),""),IFERROR(IF(G37="","",IF(G37&gt;=8,100,IF(G37&gt;=6,90,IF(G37&gt;=4,75,IF(G37&gt;=2,60,IF(G37&gt;=1,45,IF(G37&gt;=0,30,15))))))),""),IFERROR(IF(H37="","",IF(H37&lt;=2,90,IF(H37&lt;=4,75,IF(H37&lt;=7,60,IF(H37&lt;=10,45,IF(H37&lt;=15,30,IF(H37&lt;=25,15,5))))))),""),IFERROR(IF(I37="","",IF(I37&lt;=0.5,100,IF(I37&lt;=1,90,IF(I37&lt;=1.5,75,IF(I37&lt;=2,60,IF(I37&lt;=2.5,45,IF(I37&lt;=3,30,15))))))),"")),"")</f>
        <v/>
      </c>
      <c r="K37" s="33" t="n">
        <v>18.7</v>
      </c>
      <c r="L37" s="33" t="n">
        <v>40.37</v>
      </c>
      <c r="M37" s="33" t="n">
        <v>10.77</v>
      </c>
      <c r="N37" s="33" t="n">
        <v>0.46</v>
      </c>
      <c r="O37" s="33">
        <f>IFERROR(AVERAGE(IFERROR(IF(K37="","",IF(K37&gt;=25,100,IF(K37&gt;=20,90,IF(K37&gt;=15,75,IF(K37&gt;=10,60,IF(K37&gt;=5,45,IF(K37&gt;=0,30,15))))))),""),IFERROR(IF(L37="","",IF(L37&gt;=60,100,IF(L37&gt;=50,90,IF(L37&gt;=40,75,IF(L37&gt;=30,60,IF(L37&gt;=20,45,IF(L37&gt;=10,30,15))))))),""),IFERROR(IF(M37="","",IF(M37&gt;=25,100,IF(M37&gt;=20,90,IF(M37&gt;=15,75,IF(M37&gt;=10,60,IF(M37&gt;=5,45,IF(M37&gt;=0,30,15))))))),""),IFERROR(IF(N37="","",IF(N37&lt;=0,100,IF(N37&lt;=1,90,IF(N37&lt;=2,75,IF(N37&lt;=3,60,IF(N37&lt;=4,45,IF(N37&lt;=5,30,15))))))),"")),"")</f>
        <v/>
      </c>
      <c r="P37" s="33" t="n">
        <v>4.1</v>
      </c>
      <c r="Q37" s="33" t="n">
        <v>18.3</v>
      </c>
      <c r="R37" s="33" t="n">
        <v>20.1</v>
      </c>
      <c r="S37" s="33">
        <f>IFERROR(AVERAGE(IFERROR(IF(P37="","",IF(P37&gt;=40,100,IF(P37&gt;=30,90,IF(P37&gt;=20,75,IF(P37&gt;=15,60,IF(P37&gt;=10,45,IF(P37&gt;=5,30,15))))))),""),IFERROR(IF(Q37="","",IF(Q37&gt;=40,100,IF(Q37&gt;=30,90,IF(Q37&gt;=20,75,IF(Q37&gt;=10,60,IF(Q37&gt;=5,45,IF(Q37&gt;=0,30,15))))))),""),IFERROR(IF(R37="","",IF(R37&gt;=40,100,IF(R37&gt;=30,90,IF(R37&gt;=20,75,IF(R37&gt;=10,60,IF(R37&gt;=0,45,IF(R37&gt;=-10,30,15))))))),"")),"")</f>
        <v/>
      </c>
      <c r="T37" s="33" t="n">
        <v>4</v>
      </c>
      <c r="U37" s="33" t="n">
        <v>4</v>
      </c>
      <c r="V37" s="33" t="n">
        <v>4</v>
      </c>
      <c r="W37" s="33" t="n">
        <v>5</v>
      </c>
      <c r="X37" s="33" t="n">
        <v>4</v>
      </c>
      <c r="Y37" s="33">
        <f>IFERROR(AVERAGE(T37,U37,V37,W37,X37)*20,"")</f>
        <v/>
      </c>
      <c r="Z37" s="33" t="n">
        <v>4</v>
      </c>
      <c r="AA37" s="33" t="n">
        <v>5</v>
      </c>
      <c r="AB37" s="33" t="n">
        <v>3</v>
      </c>
      <c r="AC37" s="71" t="n">
        <v>87.5</v>
      </c>
      <c r="AD37" s="33">
        <f>IFERROR(AVERAGE(IFERROR(IF(Z37="","",Z37*20),""),IFERROR(IF(AA37="","",AA37*20),""),IFERROR(IF(AB37="","",AB37*20),""),IFERROR(IF(AC37="","",IF(AC37&gt;=85,100,IF(AC37&gt;=70,90,IF(AC37&gt;=55,75,IF(AC37&gt;=40,60,IF(AC37&gt;=25,40,20)))))),"")),"")</f>
        <v/>
      </c>
      <c r="AE37" s="33" t="n">
        <v>5</v>
      </c>
      <c r="AF37" s="33" t="n">
        <v>4</v>
      </c>
      <c r="AG37" s="33" t="n">
        <v>4</v>
      </c>
      <c r="AH37" s="33" t="n">
        <v>4</v>
      </c>
      <c r="AI37" s="33">
        <f>IFERROR(AVERAGE(AE37,AF37,AG37,AH37,AL37)*20,"")</f>
        <v/>
      </c>
      <c r="AJ37" s="33">
        <f>IFERROR(J37*Weights!$B$4 + O37*Weights!$B$5 + S37*Weights!$B$6 + Y37*Weights!$B$7 + AD37*Weights!$B$8 + AI37*Weights!$B$9,"")</f>
        <v/>
      </c>
      <c r="AK37" s="33">
        <f>IF(AJ37="","",IF(AJ37&gt;=85,"✓✓✓",IF(AJ37&gt;=70,"✓✓",IF(AJ37&gt;=55,"✓",IF(AJ37&gt;=40,"?","✗")))))</f>
        <v/>
      </c>
      <c r="AL37" s="33" t="n">
        <v>5</v>
      </c>
    </row>
    <row r="38">
      <c r="A38" s="33" t="inlineStr">
        <is>
          <t>HTHIY</t>
        </is>
      </c>
      <c r="B38" s="33" t="inlineStr">
        <is>
          <t>Hitachi, Ltd.</t>
        </is>
      </c>
      <c r="C38" s="33" t="inlineStr">
        <is>
          <t>02 Grid &amp; Power Equipment</t>
        </is>
      </c>
      <c r="D38" s="33" t="inlineStr">
        <is>
          <t>2026-06-24</t>
        </is>
      </c>
      <c r="E38" s="33" t="n">
        <v>11.846774</v>
      </c>
      <c r="F38" s="33" t="n"/>
      <c r="G38" s="33" t="n"/>
      <c r="H38" s="33" t="n"/>
      <c r="I38" s="33">
        <f>IF(OR(E39="",R39="",R39&lt;=0,E39&lt;0),"",E39/R39)</f>
        <v/>
      </c>
      <c r="J38" s="33">
        <f>IFERROR(AVERAGE(IFERROR(IF(E38="","",IF(E38&lt;0,5,IF(E38&lt;=15,90,IF(E38&lt;=20,75,IF(E38&lt;=25,60,IF(E38&lt;=30,45,IF(E38&lt;=40,30,IF(E38&lt;=60,15,5)))))))),""),IFERROR(IF(F38="","",IF(F38&lt;0,5,IF(F38&lt;=10,90,IF(F38&lt;=15,75,IF(F38&lt;=20,60,IF(F38&lt;=25,45,IF(F38&lt;=35,30,IF(F38&lt;=50,15,5)))))))),""),IFERROR(IF(G38="","",IF(G38&gt;=8,100,IF(G38&gt;=6,90,IF(G38&gt;=4,75,IF(G38&gt;=2,60,IF(G38&gt;=1,45,IF(G38&gt;=0,30,15))))))),""),IFERROR(IF(H38="","",IF(H38&lt;=2,90,IF(H38&lt;=4,75,IF(H38&lt;=7,60,IF(H38&lt;=10,45,IF(H38&lt;=15,30,IF(H38&lt;=25,15,5))))))),""),IFERROR(IF(I38="","",IF(I38&lt;=0.5,100,IF(I38&lt;=1,90,IF(I38&lt;=1.5,75,IF(I38&lt;=2,60,IF(I38&lt;=2.5,45,IF(I38&lt;=3,30,15))))))),"")),"")</f>
        <v/>
      </c>
      <c r="K38" s="33" t="n">
        <v>9.800000000000001</v>
      </c>
      <c r="L38" s="33" t="n">
        <v>30.03</v>
      </c>
      <c r="M38" s="33" t="n">
        <v>10.82</v>
      </c>
      <c r="N38" s="33" t="n">
        <v>-0.4</v>
      </c>
      <c r="O38" s="33">
        <f>IFERROR(AVERAGE(IFERROR(IF(K38="","",IF(K38&gt;=25,100,IF(K38&gt;=20,90,IF(K38&gt;=15,75,IF(K38&gt;=10,60,IF(K38&gt;=5,45,IF(K38&gt;=0,30,15))))))),""),IFERROR(IF(L38="","",IF(L38&gt;=60,100,IF(L38&gt;=50,90,IF(L38&gt;=40,75,IF(L38&gt;=30,60,IF(L38&gt;=20,45,IF(L38&gt;=10,30,15))))))),""),IFERROR(IF(M38="","",IF(M38&gt;=25,100,IF(M38&gt;=20,90,IF(M38&gt;=15,75,IF(M38&gt;=10,60,IF(M38&gt;=5,45,IF(M38&gt;=0,30,15))))))),""),IFERROR(IF(N38="","",IF(N38&lt;=0,100,IF(N38&lt;=1,90,IF(N38&lt;=2,75,IF(N38&lt;=3,60,IF(N38&lt;=4,45,IF(N38&lt;=5,30,15))))))),"")),"")</f>
        <v/>
      </c>
      <c r="P38" s="33" t="n">
        <v>-0.91</v>
      </c>
      <c r="Q38" s="33" t="n">
        <v>11.3</v>
      </c>
      <c r="R38" s="33" t="n">
        <v>-11.4</v>
      </c>
      <c r="S38" s="33">
        <f>IFERROR(AVERAGE(IFERROR(IF(P38="","",IF(P38&gt;=40,100,IF(P38&gt;=30,90,IF(P38&gt;=20,75,IF(P38&gt;=15,60,IF(P38&gt;=10,45,IF(P38&gt;=5,30,15))))))),""),IFERROR(IF(Q38="","",IF(Q38&gt;=40,100,IF(Q38&gt;=30,90,IF(Q38&gt;=20,75,IF(Q38&gt;=10,60,IF(Q38&gt;=5,45,IF(Q38&gt;=0,30,15))))))),""),IFERROR(IF(R38="","",IF(R38&gt;=40,100,IF(R38&gt;=30,90,IF(R38&gt;=20,75,IF(R38&gt;=10,60,IF(R38&gt;=0,45,IF(R38&gt;=-10,30,15))))))),"")),"")</f>
        <v/>
      </c>
      <c r="T38" s="33" t="n">
        <v>4</v>
      </c>
      <c r="U38" s="33" t="n">
        <v>5</v>
      </c>
      <c r="V38" s="33" t="n">
        <v>4</v>
      </c>
      <c r="W38" s="33" t="n">
        <v>5</v>
      </c>
      <c r="X38" s="33" t="n">
        <v>4</v>
      </c>
      <c r="Y38" s="33">
        <f>IFERROR(AVERAGE(T38,U38,V38,W38,X38)*20,"")</f>
        <v/>
      </c>
      <c r="Z38" s="33" t="n">
        <v>3</v>
      </c>
      <c r="AA38" s="33" t="n">
        <v>2</v>
      </c>
      <c r="AB38" s="33" t="n">
        <v>3</v>
      </c>
      <c r="AC38" s="71" t="n">
        <v>50</v>
      </c>
      <c r="AD38" s="33">
        <f>IFERROR(AVERAGE(IFERROR(IF(Z38="","",Z38*20),""),IFERROR(IF(AA38="","",AA38*20),""),IFERROR(IF(AB38="","",AB38*20),""),IFERROR(IF(AC38="","",IF(AC38&gt;=85,100,IF(AC38&gt;=70,90,IF(AC38&gt;=55,75,IF(AC38&gt;=40,60,IF(AC38&gt;=25,40,20)))))),"")),"")</f>
        <v/>
      </c>
      <c r="AE38" s="33" t="n">
        <v>5</v>
      </c>
      <c r="AF38" s="33" t="n">
        <v>4</v>
      </c>
      <c r="AG38" s="33" t="n">
        <v>4</v>
      </c>
      <c r="AH38" s="33" t="n">
        <v>4</v>
      </c>
      <c r="AI38" s="33">
        <f>IFERROR(AVERAGE(AE38,AF38,AG38,AH38,AL38)*20,"")</f>
        <v/>
      </c>
      <c r="AJ38" s="33">
        <f>IFERROR(J38*Weights!$B$4 + O38*Weights!$B$5 + S38*Weights!$B$6 + Y38*Weights!$B$7 + AD38*Weights!$B$8 + AI38*Weights!$B$9,"")</f>
        <v/>
      </c>
      <c r="AK38" s="33">
        <f>IF(AJ38="","",IF(AJ38&gt;=85,"✓✓✓",IF(AJ38&gt;=70,"✓✓",IF(AJ38&gt;=55,"✓",IF(AJ38&gt;=40,"?","✗")))))</f>
        <v/>
      </c>
      <c r="AL38" s="33" t="n">
        <v>5</v>
      </c>
    </row>
    <row r="39">
      <c r="A39" s="33" t="inlineStr">
        <is>
          <t>HUBB</t>
        </is>
      </c>
      <c r="B39" s="33" t="inlineStr">
        <is>
          <t>Hubbell Incorporated</t>
        </is>
      </c>
      <c r="C39" s="33" t="inlineStr">
        <is>
          <t>02 Grid &amp; Power Equipment</t>
        </is>
      </c>
      <c r="D39" s="33" t="inlineStr">
        <is>
          <t>2026-06-24</t>
        </is>
      </c>
      <c r="E39" s="33" t="n">
        <v>23.079971</v>
      </c>
      <c r="F39" s="33" t="n">
        <v>20.191</v>
      </c>
      <c r="G39" s="33" t="n">
        <v>3.32</v>
      </c>
      <c r="H39" s="33" t="n">
        <v>4.5665603</v>
      </c>
      <c r="I39" s="33">
        <f>IF(OR(E40="",R40="",R40&lt;=0,E40&lt;0),"",E40/R40)</f>
        <v/>
      </c>
      <c r="J39" s="33">
        <f>IFERROR(AVERAGE(IFERROR(IF(E39="","",IF(E39&lt;0,5,IF(E39&lt;=15,90,IF(E39&lt;=20,75,IF(E39&lt;=25,60,IF(E39&lt;=30,45,IF(E39&lt;=40,30,IF(E39&lt;=60,15,5)))))))),""),IFERROR(IF(F39="","",IF(F39&lt;0,5,IF(F39&lt;=10,90,IF(F39&lt;=15,75,IF(F39&lt;=20,60,IF(F39&lt;=25,45,IF(F39&lt;=35,30,IF(F39&lt;=50,15,5)))))))),""),IFERROR(IF(G39="","",IF(G39&gt;=8,100,IF(G39&gt;=6,90,IF(G39&gt;=4,75,IF(G39&gt;=2,60,IF(G39&gt;=1,45,IF(G39&gt;=0,30,15))))))),""),IFERROR(IF(H39="","",IF(H39&lt;=2,90,IF(H39&lt;=4,75,IF(H39&lt;=7,60,IF(H39&lt;=10,45,IF(H39&lt;=15,30,IF(H39&lt;=25,15,5))))))),""),IFERROR(IF(I39="","",IF(I39&lt;=0.5,100,IF(I39&lt;=1,90,IF(I39&lt;=1.5,75,IF(I39&lt;=2,60,IF(I39&lt;=2.5,45,IF(I39&lt;=3,30,15))))))),"")),"")</f>
        <v/>
      </c>
      <c r="K39" s="33" t="n">
        <v>14.9</v>
      </c>
      <c r="L39" s="33" t="n">
        <v>35.69</v>
      </c>
      <c r="M39" s="33" t="n">
        <v>15.16</v>
      </c>
      <c r="N39" s="33" t="n">
        <v>1.51</v>
      </c>
      <c r="O39" s="33">
        <f>IFERROR(AVERAGE(IFERROR(IF(K39="","",IF(K39&gt;=25,100,IF(K39&gt;=20,90,IF(K39&gt;=15,75,IF(K39&gt;=10,60,IF(K39&gt;=5,45,IF(K39&gt;=0,30,15))))))),""),IFERROR(IF(L39="","",IF(L39&gt;=60,100,IF(L39&gt;=50,90,IF(L39&gt;=40,75,IF(L39&gt;=30,60,IF(L39&gt;=20,45,IF(L39&gt;=10,30,15))))))),""),IFERROR(IF(M39="","",IF(M39&gt;=25,100,IF(M39&gt;=20,90,IF(M39&gt;=15,75,IF(M39&gt;=10,60,IF(M39&gt;=5,45,IF(M39&gt;=0,30,15))))))),""),IFERROR(IF(N39="","",IF(N39&lt;=0,100,IF(N39&lt;=1,90,IF(N39&lt;=2,75,IF(N39&lt;=3,60,IF(N39&lt;=4,45,IF(N39&lt;=5,30,15))))))),"")),"")</f>
        <v/>
      </c>
      <c r="P39" s="33" t="n">
        <v>5.71</v>
      </c>
      <c r="Q39" s="33" t="n">
        <v>11.1</v>
      </c>
      <c r="R39" s="33" t="n">
        <v>11.4</v>
      </c>
      <c r="S39" s="33">
        <f>IFERROR(AVERAGE(IFERROR(IF(P39="","",IF(P39&gt;=40,100,IF(P39&gt;=30,90,IF(P39&gt;=20,75,IF(P39&gt;=15,60,IF(P39&gt;=10,45,IF(P39&gt;=5,30,15))))))),""),IFERROR(IF(Q39="","",IF(Q39&gt;=40,100,IF(Q39&gt;=30,90,IF(Q39&gt;=20,75,IF(Q39&gt;=10,60,IF(Q39&gt;=5,45,IF(Q39&gt;=0,30,15))))))),""),IFERROR(IF(R39="","",IF(R39&gt;=40,100,IF(R39&gt;=30,90,IF(R39&gt;=20,75,IF(R39&gt;=10,60,IF(R39&gt;=0,45,IF(R39&gt;=-10,30,15))))))),"")),"")</f>
        <v/>
      </c>
      <c r="T39" s="33" t="n">
        <v>3</v>
      </c>
      <c r="U39" s="33" t="n">
        <v>3</v>
      </c>
      <c r="V39" s="33" t="n">
        <v>3</v>
      </c>
      <c r="W39" s="33" t="n">
        <v>4</v>
      </c>
      <c r="X39" s="33" t="n">
        <v>3</v>
      </c>
      <c r="Y39" s="33">
        <f>IFERROR(AVERAGE(T39,U39,V39,W39,X39)*20,"")</f>
        <v/>
      </c>
      <c r="Z39" s="33" t="n">
        <v>4</v>
      </c>
      <c r="AA39" s="33" t="n">
        <v>3</v>
      </c>
      <c r="AB39" s="33" t="n">
        <v>3</v>
      </c>
      <c r="AC39" s="71" t="n">
        <v>60</v>
      </c>
      <c r="AD39" s="33">
        <f>IFERROR(AVERAGE(IFERROR(IF(Z39="","",Z39*20),""),IFERROR(IF(AA39="","",AA39*20),""),IFERROR(IF(AB39="","",AB39*20),""),IFERROR(IF(AC39="","",IF(AC39&gt;=85,100,IF(AC39&gt;=70,90,IF(AC39&gt;=55,75,IF(AC39&gt;=40,60,IF(AC39&gt;=25,40,20)))))),"")),"")</f>
        <v/>
      </c>
      <c r="AE39" s="33" t="n">
        <v>5</v>
      </c>
      <c r="AF39" s="33" t="n">
        <v>4</v>
      </c>
      <c r="AG39" s="33" t="n">
        <v>4</v>
      </c>
      <c r="AH39" s="33" t="n">
        <v>4</v>
      </c>
      <c r="AI39" s="33">
        <f>IFERROR(AVERAGE(AE39,AF39,AG39,AH39,AL39)*20,"")</f>
        <v/>
      </c>
      <c r="AJ39" s="33">
        <f>IFERROR(J39*Weights!$B$4 + O39*Weights!$B$5 + S39*Weights!$B$6 + Y39*Weights!$B$7 + AD39*Weights!$B$8 + AI39*Weights!$B$9,"")</f>
        <v/>
      </c>
      <c r="AK39" s="33">
        <f>IF(AJ39="","",IF(AJ39&gt;=85,"✓✓✓",IF(AJ39&gt;=70,"✓✓",IF(AJ39&gt;=55,"✓",IF(AJ39&gt;=40,"?","✗")))))</f>
        <v/>
      </c>
      <c r="AL39" s="33" t="n">
        <v>5</v>
      </c>
    </row>
    <row r="40">
      <c r="A40" s="33" t="inlineStr">
        <is>
          <t>PWR</t>
        </is>
      </c>
      <c r="B40" s="33" t="inlineStr">
        <is>
          <t>Quanta Services, Inc.</t>
        </is>
      </c>
      <c r="C40" s="33" t="inlineStr">
        <is>
          <t>02 Grid &amp; Power Equipment</t>
        </is>
      </c>
      <c r="D40" s="33" t="inlineStr">
        <is>
          <t>2026-06-24</t>
        </is>
      </c>
      <c r="E40" s="33" t="n">
        <v>42.64088</v>
      </c>
      <c r="F40" s="33" t="n">
        <v>41.885</v>
      </c>
      <c r="G40" s="33" t="n">
        <v>1.6</v>
      </c>
      <c r="H40" s="33" t="n">
        <v>3.4966865</v>
      </c>
      <c r="I40" s="33">
        <f>IF(OR(E41="",R41="",R41&lt;=0,E41&lt;0),"",E41/R41)</f>
        <v/>
      </c>
      <c r="J40" s="33">
        <f>IFERROR(AVERAGE(IFERROR(IF(E40="","",IF(E40&lt;0,5,IF(E40&lt;=15,90,IF(E40&lt;=20,75,IF(E40&lt;=25,60,IF(E40&lt;=30,45,IF(E40&lt;=40,30,IF(E40&lt;=60,15,5)))))))),""),IFERROR(IF(F40="","",IF(F40&lt;0,5,IF(F40&lt;=10,90,IF(F40&lt;=15,75,IF(F40&lt;=20,60,IF(F40&lt;=25,45,IF(F40&lt;=35,30,IF(F40&lt;=50,15,5)))))))),""),IFERROR(IF(G40="","",IF(G40&gt;=8,100,IF(G40&gt;=6,90,IF(G40&gt;=4,75,IF(G40&gt;=2,60,IF(G40&gt;=1,45,IF(G40&gt;=0,30,15))))))),""),IFERROR(IF(H40="","",IF(H40&lt;=2,90,IF(H40&lt;=4,75,IF(H40&lt;=7,60,IF(H40&lt;=10,45,IF(H40&lt;=15,30,IF(H40&lt;=25,15,5))))))),""),IFERROR(IF(I40="","",IF(I40&lt;=0.5,100,IF(I40&lt;=1,90,IF(I40&lt;=1.5,75,IF(I40&lt;=2,60,IF(I40&lt;=2.5,45,IF(I40&lt;=3,30,15))))))),"")),"")</f>
        <v/>
      </c>
      <c r="K40" s="33" t="n">
        <v>8.1</v>
      </c>
      <c r="L40" s="33" t="n">
        <v>15.1</v>
      </c>
      <c r="M40" s="33" t="n">
        <v>5.58</v>
      </c>
      <c r="N40" s="33" t="n">
        <v>2.24</v>
      </c>
      <c r="O40" s="33">
        <f>IFERROR(AVERAGE(IFERROR(IF(K40="","",IF(K40&gt;=25,100,IF(K40&gt;=20,90,IF(K40&gt;=15,75,IF(K40&gt;=10,60,IF(K40&gt;=5,45,IF(K40&gt;=0,30,15))))))),""),IFERROR(IF(L40="","",IF(L40&gt;=60,100,IF(L40&gt;=50,90,IF(L40&gt;=40,75,IF(L40&gt;=30,60,IF(L40&gt;=20,45,IF(L40&gt;=10,30,15))))))),""),IFERROR(IF(M40="","",IF(M40&gt;=25,100,IF(M40&gt;=20,90,IF(M40&gt;=15,75,IF(M40&gt;=10,60,IF(M40&gt;=5,45,IF(M40&gt;=0,30,15))))))),""),IFERROR(IF(N40="","",IF(N40&lt;=0,100,IF(N40&lt;=1,90,IF(N40&lt;=2,75,IF(N40&lt;=3,60,IF(N40&lt;=4,45,IF(N40&lt;=5,30,15))))))),"")),"")</f>
        <v/>
      </c>
      <c r="P40" s="33" t="n">
        <v>18.6</v>
      </c>
      <c r="Q40" s="33" t="n">
        <v>26.3</v>
      </c>
      <c r="R40" s="33" t="n">
        <v>52.9</v>
      </c>
      <c r="S40" s="33">
        <f>IFERROR(AVERAGE(IFERROR(IF(P40="","",IF(P40&gt;=40,100,IF(P40&gt;=30,90,IF(P40&gt;=20,75,IF(P40&gt;=15,60,IF(P40&gt;=10,45,IF(P40&gt;=5,30,15))))))),""),IFERROR(IF(Q40="","",IF(Q40&gt;=40,100,IF(Q40&gt;=30,90,IF(Q40&gt;=20,75,IF(Q40&gt;=10,60,IF(Q40&gt;=5,45,IF(Q40&gt;=0,30,15))))))),""),IFERROR(IF(R40="","",IF(R40&gt;=40,100,IF(R40&gt;=30,90,IF(R40&gt;=20,75,IF(R40&gt;=10,60,IF(R40&gt;=0,45,IF(R40&gt;=-10,30,15))))))),"")),"")</f>
        <v/>
      </c>
      <c r="T40" s="33" t="n">
        <v>4</v>
      </c>
      <c r="U40" s="33" t="n">
        <v>4</v>
      </c>
      <c r="V40" s="33" t="n">
        <v>4</v>
      </c>
      <c r="W40" s="33" t="n">
        <v>5</v>
      </c>
      <c r="X40" s="33" t="n">
        <v>4</v>
      </c>
      <c r="Y40" s="33">
        <f>IFERROR(AVERAGE(T40,U40,V40,W40,X40)*20,"")</f>
        <v/>
      </c>
      <c r="Z40" s="33" t="n">
        <v>5</v>
      </c>
      <c r="AA40" s="33" t="n">
        <v>5</v>
      </c>
      <c r="AB40" s="33" t="n">
        <v>3</v>
      </c>
      <c r="AC40" s="71" t="n">
        <v>91.7</v>
      </c>
      <c r="AD40" s="33">
        <f>IFERROR(AVERAGE(IFERROR(IF(Z40="","",Z40*20),""),IFERROR(IF(AA40="","",AA40*20),""),IFERROR(IF(AB40="","",AB40*20),""),IFERROR(IF(AC40="","",IF(AC40&gt;=85,100,IF(AC40&gt;=70,90,IF(AC40&gt;=55,75,IF(AC40&gt;=40,60,IF(AC40&gt;=25,40,20)))))),"")),"")</f>
        <v/>
      </c>
      <c r="AE40" s="33" t="n">
        <v>5</v>
      </c>
      <c r="AF40" s="33" t="n">
        <v>5</v>
      </c>
      <c r="AG40" s="33" t="n">
        <v>4</v>
      </c>
      <c r="AH40" s="33" t="n">
        <v>4</v>
      </c>
      <c r="AI40" s="33">
        <f>IFERROR(AVERAGE(AE40,AF40,AG40,AH40,AL40)*20,"")</f>
        <v/>
      </c>
      <c r="AJ40" s="33">
        <f>IFERROR(J40*Weights!$B$4 + O40*Weights!$B$5 + S40*Weights!$B$6 + Y40*Weights!$B$7 + AD40*Weights!$B$8 + AI40*Weights!$B$9,"")</f>
        <v/>
      </c>
      <c r="AK40" s="33">
        <f>IF(AJ40="","",IF(AJ40&gt;=85,"✓✓✓",IF(AJ40&gt;=70,"✓✓",IF(AJ40&gt;=55,"✓",IF(AJ40&gt;=40,"?","✗")))))</f>
        <v/>
      </c>
      <c r="AL40" s="33" t="n">
        <v>5</v>
      </c>
    </row>
    <row r="41">
      <c r="A41" s="33" t="inlineStr">
        <is>
          <t>MTZ</t>
        </is>
      </c>
      <c r="B41" s="33" t="inlineStr">
        <is>
          <t>MasTec, Inc.</t>
        </is>
      </c>
      <c r="C41" s="33" t="inlineStr">
        <is>
          <t>02 Grid &amp; Power Equipment</t>
        </is>
      </c>
      <c r="D41" s="33" t="inlineStr">
        <is>
          <t>2026-06-24</t>
        </is>
      </c>
      <c r="E41" s="33" t="n">
        <v>33.399914</v>
      </c>
      <c r="F41" s="33" t="n">
        <v>27.886</v>
      </c>
      <c r="G41" s="33" t="n">
        <v>0.83</v>
      </c>
      <c r="H41" s="33" t="n">
        <v>2.0330393</v>
      </c>
      <c r="I41" s="33">
        <f>IF(OR(E42="",R42="",R42&lt;=0,E42&lt;0),"",E42/R42)</f>
        <v/>
      </c>
      <c r="J41" s="33">
        <f>IFERROR(AVERAGE(IFERROR(IF(E41="","",IF(E41&lt;0,5,IF(E41&lt;=15,90,IF(E41&lt;=20,75,IF(E41&lt;=25,60,IF(E41&lt;=30,45,IF(E41&lt;=40,30,IF(E41&lt;=60,15,5)))))))),""),IFERROR(IF(F41="","",IF(F41&lt;0,5,IF(F41&lt;=10,90,IF(F41&lt;=15,75,IF(F41&lt;=20,60,IF(F41&lt;=25,45,IF(F41&lt;=35,30,IF(F41&lt;=50,15,5)))))))),""),IFERROR(IF(G41="","",IF(G41&gt;=8,100,IF(G41&gt;=6,90,IF(G41&gt;=4,75,IF(G41&gt;=2,60,IF(G41&gt;=1,45,IF(G41&gt;=0,30,15))))))),""),IFERROR(IF(H41="","",IF(H41&lt;=2,90,IF(H41&lt;=4,75,IF(H41&lt;=7,60,IF(H41&lt;=10,45,IF(H41&lt;=15,30,IF(H41&lt;=25,15,5))))))),""),IFERROR(IF(I41="","",IF(I41&lt;=0.5,100,IF(I41&lt;=1,90,IF(I41&lt;=1.5,75,IF(I41&lt;=2,60,IF(I41&lt;=2.5,45,IF(I41&lt;=3,30,15))))))),"")),"")</f>
        <v/>
      </c>
      <c r="K41" s="33" t="n">
        <v>9.300000000000001</v>
      </c>
      <c r="L41" s="33" t="n">
        <v>12.82</v>
      </c>
      <c r="M41" s="33" t="n">
        <v>1.68</v>
      </c>
      <c r="N41" s="33" t="n">
        <v>2.28</v>
      </c>
      <c r="O41" s="33">
        <f>IFERROR(AVERAGE(IFERROR(IF(K41="","",IF(K41&gt;=25,100,IF(K41&gt;=20,90,IF(K41&gt;=15,75,IF(K41&gt;=10,60,IF(K41&gt;=5,45,IF(K41&gt;=0,30,15))))))),""),IFERROR(IF(L41="","",IF(L41&gt;=60,100,IF(L41&gt;=50,90,IF(L41&gt;=40,75,IF(L41&gt;=30,60,IF(L41&gt;=20,45,IF(L41&gt;=10,30,15))))))),""),IFERROR(IF(M41="","",IF(M41&gt;=25,100,IF(M41&gt;=20,90,IF(M41&gt;=15,75,IF(M41&gt;=10,60,IF(M41&gt;=5,45,IF(M41&gt;=0,30,15))))))),""),IFERROR(IF(N41="","",IF(N41&lt;=0,100,IF(N41&lt;=1,90,IF(N41&lt;=2,75,IF(N41&lt;=3,60,IF(N41&lt;=4,45,IF(N41&lt;=5,30,15))))))),"")),"")</f>
        <v/>
      </c>
      <c r="P41" s="33" t="n">
        <v>13.51</v>
      </c>
      <c r="Q41" s="33" t="n">
        <v>34.5</v>
      </c>
      <c r="R41" s="33" t="n">
        <v>514.4</v>
      </c>
      <c r="S41" s="33">
        <f>IFERROR(AVERAGE(IFERROR(IF(P41="","",IF(P41&gt;=40,100,IF(P41&gt;=30,90,IF(P41&gt;=20,75,IF(P41&gt;=15,60,IF(P41&gt;=10,45,IF(P41&gt;=5,30,15))))))),""),IFERROR(IF(Q41="","",IF(Q41&gt;=40,100,IF(Q41&gt;=30,90,IF(Q41&gt;=20,75,IF(Q41&gt;=10,60,IF(Q41&gt;=5,45,IF(Q41&gt;=0,30,15))))))),""),IFERROR(IF(R41="","",IF(R41&gt;=40,100,IF(R41&gt;=30,90,IF(R41&gt;=20,75,IF(R41&gt;=10,60,IF(R41&gt;=0,45,IF(R41&gt;=-10,30,15))))))),"")),"")</f>
        <v/>
      </c>
      <c r="T41" s="33" t="n">
        <v>3</v>
      </c>
      <c r="U41" s="33" t="n">
        <v>3</v>
      </c>
      <c r="V41" s="33" t="n">
        <v>3</v>
      </c>
      <c r="W41" s="33" t="n">
        <v>5</v>
      </c>
      <c r="X41" s="33" t="n">
        <v>3</v>
      </c>
      <c r="Y41" s="33">
        <f>IFERROR(AVERAGE(T41,U41,V41,W41,X41)*20,"")</f>
        <v/>
      </c>
      <c r="Z41" s="33" t="n">
        <v>5</v>
      </c>
      <c r="AA41" s="33" t="n">
        <v>5</v>
      </c>
      <c r="AB41" s="33" t="n">
        <v>3</v>
      </c>
      <c r="AC41" s="71" t="n">
        <v>88.3</v>
      </c>
      <c r="AD41" s="33">
        <f>IFERROR(AVERAGE(IFERROR(IF(Z41="","",Z41*20),""),IFERROR(IF(AA41="","",AA41*20),""),IFERROR(IF(AB41="","",AB41*20),""),IFERROR(IF(AC41="","",IF(AC41&gt;=85,100,IF(AC41&gt;=70,90,IF(AC41&gt;=55,75,IF(AC41&gt;=40,60,IF(AC41&gt;=25,40,20)))))),"")),"")</f>
        <v/>
      </c>
      <c r="AE41" s="33" t="n">
        <v>5</v>
      </c>
      <c r="AF41" s="33" t="n">
        <v>5</v>
      </c>
      <c r="AG41" s="33" t="n">
        <v>4</v>
      </c>
      <c r="AH41" s="33" t="n">
        <v>4</v>
      </c>
      <c r="AI41" s="33">
        <f>IFERROR(AVERAGE(AE41,AF41,AG41,AH41,AL41)*20,"")</f>
        <v/>
      </c>
      <c r="AJ41" s="33">
        <f>IFERROR(J41*Weights!$B$4 + O41*Weights!$B$5 + S41*Weights!$B$6 + Y41*Weights!$B$7 + AD41*Weights!$B$8 + AI41*Weights!$B$9,"")</f>
        <v/>
      </c>
      <c r="AK41" s="33">
        <f>IF(AJ41="","",IF(AJ41&gt;=85,"✓✓✓",IF(AJ41&gt;=70,"✓✓",IF(AJ41&gt;=55,"✓",IF(AJ41&gt;=40,"?","✗")))))</f>
        <v/>
      </c>
      <c r="AL41" s="33" t="n">
        <v>5</v>
      </c>
    </row>
    <row r="42">
      <c r="A42" s="33" t="inlineStr">
        <is>
          <t>POWL</t>
        </is>
      </c>
      <c r="B42" s="33" t="inlineStr">
        <is>
          <t>Powell Industries, Inc.</t>
        </is>
      </c>
      <c r="C42" s="33" t="inlineStr">
        <is>
          <t>02 Grid &amp; Power Equipment</t>
        </is>
      </c>
      <c r="D42" s="33" t="inlineStr">
        <is>
          <t>2026-06-24</t>
        </is>
      </c>
      <c r="E42" s="33" t="n">
        <v>42.838024</v>
      </c>
      <c r="F42" s="33" t="n">
        <v>43.934</v>
      </c>
      <c r="G42" s="33" t="n">
        <v>1.79</v>
      </c>
      <c r="H42" s="33" t="n">
        <v>9.477238</v>
      </c>
      <c r="I42" s="33">
        <f>IF(OR(E43="",R43="",R43&lt;=0,E43&lt;0),"",E43/R43)</f>
        <v/>
      </c>
      <c r="J42" s="33">
        <f>IFERROR(AVERAGE(IFERROR(IF(E42="","",IF(E42&lt;0,5,IF(E42&lt;=15,90,IF(E42&lt;=20,75,IF(E42&lt;=25,60,IF(E42&lt;=30,45,IF(E42&lt;=40,30,IF(E42&lt;=60,15,5)))))))),""),IFERROR(IF(F42="","",IF(F42&lt;0,5,IF(F42&lt;=10,90,IF(F42&lt;=15,75,IF(F42&lt;=20,60,IF(F42&lt;=25,45,IF(F42&lt;=35,30,IF(F42&lt;=50,15,5)))))))),""),IFERROR(IF(G42="","",IF(G42&gt;=8,100,IF(G42&gt;=6,90,IF(G42&gt;=4,75,IF(G42&gt;=2,60,IF(G42&gt;=1,45,IF(G42&gt;=0,30,15))))))),""),IFERROR(IF(H42="","",IF(H42&lt;=2,90,IF(H42&lt;=4,75,IF(H42&lt;=7,60,IF(H42&lt;=10,45,IF(H42&lt;=15,30,IF(H42&lt;=25,15,5))))))),""),IFERROR(IF(I42="","",IF(I42&lt;=0.5,100,IF(I42&lt;=1,90,IF(I42&lt;=1.5,75,IF(I42&lt;=2,60,IF(I42&lt;=2.5,45,IF(I42&lt;=3,30,15))))))),"")),"")</f>
        <v/>
      </c>
      <c r="K42" s="33" t="n">
        <v>100.3502</v>
      </c>
      <c r="L42" s="33" t="n">
        <v>30.1</v>
      </c>
      <c r="M42" s="33" t="n">
        <v>17.01</v>
      </c>
      <c r="N42" s="33" t="n">
        <v>-2.34</v>
      </c>
      <c r="O42" s="33">
        <f>IFERROR(AVERAGE(IFERROR(IF(K42="","",IF(K42&gt;=25,100,IF(K42&gt;=20,90,IF(K42&gt;=15,75,IF(K42&gt;=10,60,IF(K42&gt;=5,45,IF(K42&gt;=0,30,15))))))),""),IFERROR(IF(L42="","",IF(L42&gt;=60,100,IF(L42&gt;=50,90,IF(L42&gt;=40,75,IF(L42&gt;=30,60,IF(L42&gt;=20,45,IF(L42&gt;=10,30,15))))))),""),IFERROR(IF(M42="","",IF(M42&gt;=25,100,IF(M42&gt;=20,90,IF(M42&gt;=15,75,IF(M42&gt;=10,60,IF(M42&gt;=5,45,IF(M42&gt;=0,30,15))))))),""),IFERROR(IF(N42="","",IF(N42&lt;=0,100,IF(N42&lt;=1,90,IF(N42&lt;=2,75,IF(N42&lt;=3,60,IF(N42&lt;=4,45,IF(N42&lt;=5,30,15))))))),"")),"")</f>
        <v/>
      </c>
      <c r="P42" s="33" t="n">
        <v>27.52</v>
      </c>
      <c r="Q42" s="33" t="n">
        <v>6.5</v>
      </c>
      <c r="R42" s="33" t="n">
        <v>-1</v>
      </c>
      <c r="S42" s="33">
        <f>IFERROR(AVERAGE(IFERROR(IF(P42="","",IF(P42&gt;=40,100,IF(P42&gt;=30,90,IF(P42&gt;=20,75,IF(P42&gt;=15,60,IF(P42&gt;=10,45,IF(P42&gt;=5,30,15))))))),""),IFERROR(IF(Q42="","",IF(Q42&gt;=40,100,IF(Q42&gt;=30,90,IF(Q42&gt;=20,75,IF(Q42&gt;=10,60,IF(Q42&gt;=5,45,IF(Q42&gt;=0,30,15))))))),""),IFERROR(IF(R42="","",IF(R42&gt;=40,100,IF(R42&gt;=30,90,IF(R42&gt;=20,75,IF(R42&gt;=10,60,IF(R42&gt;=0,45,IF(R42&gt;=-10,30,15))))))),"")),"")</f>
        <v/>
      </c>
      <c r="T42" s="33" t="n">
        <v>4</v>
      </c>
      <c r="U42" s="33" t="n">
        <v>4</v>
      </c>
      <c r="V42" s="33" t="n">
        <v>3</v>
      </c>
      <c r="W42" s="33" t="n">
        <v>5</v>
      </c>
      <c r="X42" s="33" t="n">
        <v>4</v>
      </c>
      <c r="Y42" s="33">
        <f>IFERROR(AVERAGE(T42,U42,V42,W42,X42)*20,"")</f>
        <v/>
      </c>
      <c r="Z42" s="33" t="n">
        <v>4</v>
      </c>
      <c r="AA42" s="33" t="n">
        <v>5</v>
      </c>
      <c r="AB42" s="33" t="n">
        <v>3</v>
      </c>
      <c r="AC42" s="71" t="n">
        <v>97.5</v>
      </c>
      <c r="AD42" s="33">
        <f>IFERROR(AVERAGE(IFERROR(IF(Z42="","",Z42*20),""),IFERROR(IF(AA42="","",AA42*20),""),IFERROR(IF(AB42="","",AB42*20),""),IFERROR(IF(AC42="","",IF(AC42&gt;=85,100,IF(AC42&gt;=70,90,IF(AC42&gt;=55,75,IF(AC42&gt;=40,60,IF(AC42&gt;=25,40,20)))))),"")),"")</f>
        <v/>
      </c>
      <c r="AE42" s="33" t="n">
        <v>4</v>
      </c>
      <c r="AF42" s="33" t="n">
        <v>4</v>
      </c>
      <c r="AG42" s="33" t="n">
        <v>4</v>
      </c>
      <c r="AH42" s="33" t="n">
        <v>4</v>
      </c>
      <c r="AI42" s="33">
        <f>IFERROR(AVERAGE(AE42,AF42,AG42,AH42,AL42)*20,"")</f>
        <v/>
      </c>
      <c r="AJ42" s="33">
        <f>IFERROR(J42*Weights!$B$4 + O42*Weights!$B$5 + S42*Weights!$B$6 + Y42*Weights!$B$7 + AD42*Weights!$B$8 + AI42*Weights!$B$9,"")</f>
        <v/>
      </c>
      <c r="AK42" s="33">
        <f>IF(AJ42="","",IF(AJ42&gt;=85,"✓✓✓",IF(AJ42&gt;=70,"✓✓",IF(AJ42&gt;=55,"✓",IF(AJ42&gt;=40,"?","✗")))))</f>
        <v/>
      </c>
      <c r="AL42" s="33" t="n">
        <v>5</v>
      </c>
    </row>
    <row r="43">
      <c r="A43" s="33" t="inlineStr">
        <is>
          <t>NVT</t>
        </is>
      </c>
      <c r="B43" s="33" t="inlineStr">
        <is>
          <t>nVent Electric plc</t>
        </is>
      </c>
      <c r="C43" s="33" t="inlineStr">
        <is>
          <t>02 Grid &amp; Power Equipment</t>
        </is>
      </c>
      <c r="D43" s="33" t="inlineStr">
        <is>
          <t>2026-06-24</t>
        </is>
      </c>
      <c r="E43" s="33" t="n">
        <v>29.732119</v>
      </c>
      <c r="F43" s="33" t="n">
        <v>30.95</v>
      </c>
      <c r="G43" s="33" t="n">
        <v>1.41</v>
      </c>
      <c r="H43" s="33" t="n">
        <v>6.2638726</v>
      </c>
      <c r="I43" s="33">
        <f>IF(OR(E44="",R44="",R44&lt;=0,E44&lt;0),"",E44/R44)</f>
        <v/>
      </c>
      <c r="J43" s="33">
        <f>IFERROR(AVERAGE(IFERROR(IF(E43="","",IF(E43&lt;0,5,IF(E43&lt;=15,90,IF(E43&lt;=20,75,IF(E43&lt;=25,60,IF(E43&lt;=30,45,IF(E43&lt;=40,30,IF(E43&lt;=60,15,5)))))))),""),IFERROR(IF(F43="","",IF(F43&lt;0,5,IF(F43&lt;=10,90,IF(F43&lt;=15,75,IF(F43&lt;=20,60,IF(F43&lt;=25,45,IF(F43&lt;=35,30,IF(F43&lt;=50,15,5)))))))),""),IFERROR(IF(G43="","",IF(G43&gt;=8,100,IF(G43&gt;=6,90,IF(G43&gt;=4,75,IF(G43&gt;=2,60,IF(G43&gt;=1,45,IF(G43&gt;=0,30,15))))))),""),IFERROR(IF(H43="","",IF(H43&lt;=2,90,IF(H43&lt;=4,75,IF(H43&lt;=7,60,IF(H43&lt;=10,45,IF(H43&lt;=15,30,IF(H43&lt;=25,15,5))))))),""),IFERROR(IF(I43="","",IF(I43&lt;=0.5,100,IF(I43&lt;=1,90,IF(I43&lt;=1.5,75,IF(I43&lt;=2,60,IF(I43&lt;=2.5,45,IF(I43&lt;=3,30,15))))))),"")),"")</f>
        <v/>
      </c>
      <c r="K43" s="33" t="n">
        <v>10.1945</v>
      </c>
      <c r="L43" s="33" t="n">
        <v>37.01</v>
      </c>
      <c r="M43" s="33" t="n">
        <v>8.83</v>
      </c>
      <c r="N43" s="33" t="n">
        <v>1.63</v>
      </c>
      <c r="O43" s="33">
        <f>IFERROR(AVERAGE(IFERROR(IF(K43="","",IF(K43&gt;=25,100,IF(K43&gt;=20,90,IF(K43&gt;=15,75,IF(K43&gt;=10,60,IF(K43&gt;=5,45,IF(K43&gt;=0,30,15))))))),""),IFERROR(IF(L43="","",IF(L43&gt;=60,100,IF(L43&gt;=50,90,IF(L43&gt;=40,75,IF(L43&gt;=30,60,IF(L43&gt;=20,45,IF(L43&gt;=10,30,15))))))),""),IFERROR(IF(M43="","",IF(M43&gt;=25,100,IF(M43&gt;=20,90,IF(M43&gt;=15,75,IF(M43&gt;=10,60,IF(M43&gt;=5,45,IF(M43&gt;=0,30,15))))))),""),IFERROR(IF(N43="","",IF(N43&lt;=0,100,IF(N43&lt;=1,90,IF(N43&lt;=2,75,IF(N43&lt;=3,60,IF(N43&lt;=4,45,IF(N43&lt;=5,30,15))))))),"")),"")</f>
        <v/>
      </c>
      <c r="P43" s="33" t="n">
        <v>19.26</v>
      </c>
      <c r="Q43" s="33" t="n">
        <v>53.5</v>
      </c>
      <c r="R43" s="33" t="n">
        <v>-60.5</v>
      </c>
      <c r="S43" s="33">
        <f>IFERROR(AVERAGE(IFERROR(IF(P43="","",IF(P43&gt;=40,100,IF(P43&gt;=30,90,IF(P43&gt;=20,75,IF(P43&gt;=15,60,IF(P43&gt;=10,45,IF(P43&gt;=5,30,15))))))),""),IFERROR(IF(Q43="","",IF(Q43&gt;=40,100,IF(Q43&gt;=30,90,IF(Q43&gt;=20,75,IF(Q43&gt;=10,60,IF(Q43&gt;=5,45,IF(Q43&gt;=0,30,15))))))),""),IFERROR(IF(R43="","",IF(R43&gt;=40,100,IF(R43&gt;=30,90,IF(R43&gt;=20,75,IF(R43&gt;=10,60,IF(R43&gt;=0,45,IF(R43&gt;=-10,30,15))))))),"")),"")</f>
        <v/>
      </c>
      <c r="T43" s="33" t="n">
        <v>4</v>
      </c>
      <c r="U43" s="33" t="n">
        <v>4</v>
      </c>
      <c r="V43" s="33" t="n">
        <v>4</v>
      </c>
      <c r="W43" s="33" t="n">
        <v>5</v>
      </c>
      <c r="X43" s="33" t="n">
        <v>4</v>
      </c>
      <c r="Y43" s="33">
        <f>IFERROR(AVERAGE(T43,U43,V43,W43,X43)*20,"")</f>
        <v/>
      </c>
      <c r="Z43" s="33" t="n">
        <v>5</v>
      </c>
      <c r="AA43" s="33" t="n">
        <v>5</v>
      </c>
      <c r="AB43" s="33" t="n">
        <v>3</v>
      </c>
      <c r="AC43" s="71" t="n">
        <v>90</v>
      </c>
      <c r="AD43" s="33">
        <f>IFERROR(AVERAGE(IFERROR(IF(Z43="","",Z43*20),""),IFERROR(IF(AA43="","",AA43*20),""),IFERROR(IF(AB43="","",AB43*20),""),IFERROR(IF(AC43="","",IF(AC43&gt;=85,100,IF(AC43&gt;=70,90,IF(AC43&gt;=55,75,IF(AC43&gt;=40,60,IF(AC43&gt;=25,40,20)))))),"")),"")</f>
        <v/>
      </c>
      <c r="AE43" s="33" t="n">
        <v>4</v>
      </c>
      <c r="AF43" s="33" t="n">
        <v>4</v>
      </c>
      <c r="AG43" s="33" t="n">
        <v>4</v>
      </c>
      <c r="AH43" s="33" t="n">
        <v>4</v>
      </c>
      <c r="AI43" s="33">
        <f>IFERROR(AVERAGE(AE43,AF43,AG43,AH43,AL43)*20,"")</f>
        <v/>
      </c>
      <c r="AJ43" s="33">
        <f>IFERROR(J43*Weights!$B$4 + O43*Weights!$B$5 + S43*Weights!$B$6 + Y43*Weights!$B$7 + AD43*Weights!$B$8 + AI43*Weights!$B$9,"")</f>
        <v/>
      </c>
      <c r="AK43" s="33">
        <f>IF(AJ43="","",IF(AJ43&gt;=85,"✓✓✓",IF(AJ43&gt;=70,"✓✓",IF(AJ43&gt;=55,"✓",IF(AJ43&gt;=40,"?","✗")))))</f>
        <v/>
      </c>
      <c r="AL43" s="33" t="n">
        <v>5</v>
      </c>
    </row>
    <row r="44">
      <c r="A44" s="33" t="inlineStr">
        <is>
          <t>ATKR</t>
        </is>
      </c>
      <c r="B44" s="33" t="inlineStr">
        <is>
          <t>Atkore Inc.</t>
        </is>
      </c>
      <c r="C44" s="33" t="inlineStr">
        <is>
          <t>02 Grid &amp; Power Equipment</t>
        </is>
      </c>
      <c r="D44" s="33" t="inlineStr">
        <is>
          <t>2026-06-24</t>
        </is>
      </c>
      <c r="E44" s="33" t="n">
        <v>12.658043</v>
      </c>
      <c r="F44" s="33" t="n">
        <v>10.853</v>
      </c>
      <c r="G44" s="33" t="n">
        <v>5.51</v>
      </c>
      <c r="H44" s="33" t="n">
        <v>0.91515297</v>
      </c>
      <c r="I44" s="33">
        <f>IF(OR(E45="",R45="",R45&lt;=0,E45&lt;0),"",E45/R45)</f>
        <v/>
      </c>
      <c r="J44" s="33">
        <f>IFERROR(AVERAGE(IFERROR(IF(E44="","",IF(E44&lt;0,5,IF(E44&lt;=15,90,IF(E44&lt;=20,75,IF(E44&lt;=25,60,IF(E44&lt;=30,45,IF(E44&lt;=40,30,IF(E44&lt;=60,15,5)))))))),""),IFERROR(IF(F44="","",IF(F44&lt;0,5,IF(F44&lt;=10,90,IF(F44&lt;=15,75,IF(F44&lt;=20,60,IF(F44&lt;=25,45,IF(F44&lt;=35,30,IF(F44&lt;=50,15,5)))))))),""),IFERROR(IF(G44="","",IF(G44&gt;=8,100,IF(G44&gt;=6,90,IF(G44&gt;=4,75,IF(G44&gt;=2,60,IF(G44&gt;=1,45,IF(G44&gt;=0,30,15))))))),""),IFERROR(IF(H44="","",IF(H44&lt;=2,90,IF(H44&lt;=4,75,IF(H44&lt;=7,60,IF(H44&lt;=10,45,IF(H44&lt;=15,30,IF(H44&lt;=25,15,5))))))),""),IFERROR(IF(I44="","",IF(I44&lt;=0.5,100,IF(I44&lt;=1,90,IF(I44&lt;=1.5,75,IF(I44&lt;=2,60,IF(I44&lt;=2.5,45,IF(I44&lt;=3,30,15))))))),"")),"")</f>
        <v/>
      </c>
      <c r="K44" s="33" t="n">
        <v>-5.5393</v>
      </c>
      <c r="L44" s="33" t="n">
        <v>20.87</v>
      </c>
      <c r="M44" s="33" t="n">
        <v>5.04</v>
      </c>
      <c r="N44" s="33" t="n">
        <v>1.66</v>
      </c>
      <c r="O44" s="33">
        <f>IFERROR(AVERAGE(IFERROR(IF(K44="","",IF(K44&gt;=25,100,IF(K44&gt;=20,90,IF(K44&gt;=15,75,IF(K44&gt;=10,60,IF(K44&gt;=5,45,IF(K44&gt;=0,30,15))))))),""),IFERROR(IF(L44="","",IF(L44&gt;=60,100,IF(L44&gt;=50,90,IF(L44&gt;=40,75,IF(L44&gt;=30,60,IF(L44&gt;=20,45,IF(L44&gt;=10,30,15))))))),""),IFERROR(IF(M44="","",IF(M44&gt;=25,100,IF(M44&gt;=20,90,IF(M44&gt;=15,75,IF(M44&gt;=10,60,IF(M44&gt;=5,45,IF(M44&gt;=0,30,15))))))),""),IFERROR(IF(N44="","",IF(N44&lt;=0,100,IF(N44&lt;=1,90,IF(N44&lt;=2,75,IF(N44&lt;=3,60,IF(N44&lt;=4,45,IF(N44&lt;=5,30,15))))))),"")),"")</f>
        <v/>
      </c>
      <c r="P44" s="33" t="n">
        <v>-10.03</v>
      </c>
      <c r="Q44" s="33" t="n">
        <v>4.2</v>
      </c>
      <c r="R44" s="33" t="inlineStr"/>
      <c r="S44" s="33">
        <f>IFERROR(AVERAGE(IFERROR(IF(P44="","",IF(P44&gt;=40,100,IF(P44&gt;=30,90,IF(P44&gt;=20,75,IF(P44&gt;=15,60,IF(P44&gt;=10,45,IF(P44&gt;=5,30,15))))))),""),IFERROR(IF(Q44="","",IF(Q44&gt;=40,100,IF(Q44&gt;=30,90,IF(Q44&gt;=20,75,IF(Q44&gt;=10,60,IF(Q44&gt;=5,45,IF(Q44&gt;=0,30,15))))))),""),IFERROR(IF(R44="","",IF(R44&gt;=40,100,IF(R44&gt;=30,90,IF(R44&gt;=20,75,IF(R44&gt;=10,60,IF(R44&gt;=0,45,IF(R44&gt;=-10,30,15))))))),"")),"")</f>
        <v/>
      </c>
      <c r="T44" s="33" t="n">
        <v>3</v>
      </c>
      <c r="U44" s="33" t="n">
        <v>3</v>
      </c>
      <c r="V44" s="33" t="n">
        <v>3</v>
      </c>
      <c r="W44" s="33" t="n">
        <v>4</v>
      </c>
      <c r="X44" s="33" t="n">
        <v>3</v>
      </c>
      <c r="Y44" s="33">
        <f>IFERROR(AVERAGE(T44,U44,V44,W44,X44)*20,"")</f>
        <v/>
      </c>
      <c r="Z44" s="33" t="n">
        <v>4</v>
      </c>
      <c r="AA44" s="33" t="n">
        <v>3</v>
      </c>
      <c r="AB44" s="33" t="n">
        <v>3</v>
      </c>
      <c r="AC44" s="71" t="n">
        <v>66.7</v>
      </c>
      <c r="AD44" s="33">
        <f>IFERROR(AVERAGE(IFERROR(IF(Z44="","",Z44*20),""),IFERROR(IF(AA44="","",AA44*20),""),IFERROR(IF(AB44="","",AB44*20),""),IFERROR(IF(AC44="","",IF(AC44&gt;=85,100,IF(AC44&gt;=70,90,IF(AC44&gt;=55,75,IF(AC44&gt;=40,60,IF(AC44&gt;=25,40,20)))))),"")),"")</f>
        <v/>
      </c>
      <c r="AE44" s="33" t="n">
        <v>4</v>
      </c>
      <c r="AF44" s="33" t="n">
        <v>4</v>
      </c>
      <c r="AG44" s="33" t="n">
        <v>4</v>
      </c>
      <c r="AH44" s="33" t="n">
        <v>4</v>
      </c>
      <c r="AI44" s="33">
        <f>IFERROR(AVERAGE(AE44,AF44,AG44,AH44,AL44)*20,"")</f>
        <v/>
      </c>
      <c r="AJ44" s="33">
        <f>IFERROR(J44*Weights!$B$4 + O44*Weights!$B$5 + S44*Weights!$B$6 + Y44*Weights!$B$7 + AD44*Weights!$B$8 + AI44*Weights!$B$9,"")</f>
        <v/>
      </c>
      <c r="AK44" s="33">
        <f>IF(AJ44="","",IF(AJ44&gt;=85,"✓✓✓",IF(AJ44&gt;=70,"✓✓",IF(AJ44&gt;=55,"✓",IF(AJ44&gt;=40,"?","✗")))))</f>
        <v/>
      </c>
      <c r="AL44" s="33" t="n">
        <v>5</v>
      </c>
    </row>
    <row r="45">
      <c r="A45" s="33" t="inlineStr">
        <is>
          <t>DLR</t>
        </is>
      </c>
      <c r="B45" s="33" t="inlineStr">
        <is>
          <t>Digital Realty Trust, Inc.</t>
        </is>
      </c>
      <c r="C45" s="33" t="inlineStr">
        <is>
          <t>03 Data Center Construction, REITs &amp; Cooling</t>
        </is>
      </c>
      <c r="D45" s="33" t="inlineStr">
        <is>
          <t>2026-06-24</t>
        </is>
      </c>
      <c r="E45" s="33" t="n">
        <v>67.39196</v>
      </c>
      <c r="F45" s="33" t="n">
        <v>30.317</v>
      </c>
      <c r="G45" s="33" t="n">
        <v>4.75</v>
      </c>
      <c r="H45" s="33" t="n">
        <v>10.934835</v>
      </c>
      <c r="I45" s="33">
        <f>IF(OR(E46="",R46="",R46&lt;=0,E46&lt;0),"",E46/R46)</f>
        <v/>
      </c>
      <c r="J45" s="33">
        <f>IFERROR(AVERAGE(IFERROR(IF(E45="","",IF(E45&lt;0,5,IF(E45&lt;=15,90,IF(E45&lt;=20,75,IF(E45&lt;=25,60,IF(E45&lt;=30,45,IF(E45&lt;=40,30,IF(E45&lt;=60,15,5)))))))),""),IFERROR(IF(F45="","",IF(F45&lt;0,5,IF(F45&lt;=10,90,IF(F45&lt;=15,75,IF(F45&lt;=20,60,IF(F45&lt;=25,45,IF(F45&lt;=35,30,IF(F45&lt;=50,15,5)))))))),""),IFERROR(IF(G45="","",IF(G45&gt;=8,100,IF(G45&gt;=6,90,IF(G45&gt;=4,75,IF(G45&gt;=2,60,IF(G45&gt;=1,45,IF(G45&gt;=0,30,15))))))),""),IFERROR(IF(H45="","",IF(H45&lt;=2,90,IF(H45&lt;=4,75,IF(H45&lt;=7,60,IF(H45&lt;=10,45,IF(H45&lt;=15,30,IF(H45&lt;=25,15,5))))))),""),IFERROR(IF(I45="","",IF(I45&lt;=0.5,100,IF(I45&lt;=1,90,IF(I45&lt;=1.5,75,IF(I45&lt;=2,60,IF(I45&lt;=2.5,45,IF(I45&lt;=3,30,15))))))),"")),"")</f>
        <v/>
      </c>
      <c r="K45" s="33" t="n">
        <v>4.332</v>
      </c>
      <c r="L45" s="33" t="n">
        <v>55.34</v>
      </c>
      <c r="M45" s="33" t="n">
        <v>51.92</v>
      </c>
      <c r="N45" s="33" t="n">
        <v>5.88</v>
      </c>
      <c r="O45" s="33">
        <f>IFERROR(AVERAGE(IFERROR(IF(K45="","",IF(K45&gt;=25,100,IF(K45&gt;=20,90,IF(K45&gt;=15,75,IF(K45&gt;=10,60,IF(K45&gt;=5,45,IF(K45&gt;=0,30,15))))))),""),IFERROR(IF(L45="","",IF(L45&gt;=60,100,IF(L45&gt;=50,90,IF(L45&gt;=40,75,IF(L45&gt;=30,60,IF(L45&gt;=20,45,IF(L45&gt;=10,30,15))))))),""),IFERROR(IF(M45="","",IF(M45&gt;=25,100,IF(M45&gt;=20,90,IF(M45&gt;=15,75,IF(M45&gt;=10,60,IF(M45&gt;=5,45,IF(M45&gt;=0,30,15))))))),""),IFERROR(IF(N45="","",IF(N45&lt;=0,100,IF(N45&lt;=1,90,IF(N45&lt;=2,75,IF(N45&lt;=3,60,IF(N45&lt;=4,45,IF(N45&lt;=5,30,15))))))),"")),"")</f>
        <v/>
      </c>
      <c r="P45" s="33" t="n">
        <v>9.220000000000001</v>
      </c>
      <c r="Q45" s="33" t="n">
        <v>16.7</v>
      </c>
      <c r="R45" s="33" t="n">
        <v>63</v>
      </c>
      <c r="S45" s="33">
        <f>IFERROR(AVERAGE(IFERROR(IF(P45="","",IF(P45&gt;=40,100,IF(P45&gt;=30,90,IF(P45&gt;=20,75,IF(P45&gt;=15,60,IF(P45&gt;=10,45,IF(P45&gt;=5,30,15))))))),""),IFERROR(IF(Q45="","",IF(Q45&gt;=40,100,IF(Q45&gt;=30,90,IF(Q45&gt;=20,75,IF(Q45&gt;=10,60,IF(Q45&gt;=5,45,IF(Q45&gt;=0,30,15))))))),""),IFERROR(IF(R45="","",IF(R45&gt;=40,100,IF(R45&gt;=30,90,IF(R45&gt;=20,75,IF(R45&gt;=10,60,IF(R45&gt;=0,45,IF(R45&gt;=-10,30,15))))))),"")),"")</f>
        <v/>
      </c>
      <c r="T45" s="33" t="n">
        <v>5</v>
      </c>
      <c r="U45" s="33" t="n">
        <v>5</v>
      </c>
      <c r="V45" s="33" t="n">
        <v>4</v>
      </c>
      <c r="W45" s="33" t="n">
        <v>5</v>
      </c>
      <c r="X45" s="33" t="n">
        <v>5</v>
      </c>
      <c r="Y45" s="33">
        <f>IFERROR(AVERAGE(T45,U45,V45,W45,X45)*20,"")</f>
        <v/>
      </c>
      <c r="Z45" s="33" t="n">
        <v>2</v>
      </c>
      <c r="AA45" s="33" t="n">
        <v>4</v>
      </c>
      <c r="AB45" s="33" t="n">
        <v>3</v>
      </c>
      <c r="AC45" s="71" t="n">
        <v>80</v>
      </c>
      <c r="AD45" s="33">
        <f>IFERROR(AVERAGE(IFERROR(IF(Z45="","",Z45*20),""),IFERROR(IF(AA45="","",AA45*20),""),IFERROR(IF(AB45="","",AB45*20),""),IFERROR(IF(AC45="","",IF(AC45&gt;=85,100,IF(AC45&gt;=70,90,IF(AC45&gt;=55,75,IF(AC45&gt;=40,60,IF(AC45&gt;=25,40,20)))))),"")),"")</f>
        <v/>
      </c>
      <c r="AE45" s="33" t="n">
        <v>4</v>
      </c>
      <c r="AF45" s="33" t="n">
        <v>4</v>
      </c>
      <c r="AG45" s="33" t="n">
        <v>3</v>
      </c>
      <c r="AH45" s="33" t="n">
        <v>4</v>
      </c>
      <c r="AI45" s="33">
        <f>IFERROR(AVERAGE(AE45,AF45,AG45,AH45,AL45)*20,"")</f>
        <v/>
      </c>
      <c r="AJ45" s="33">
        <f>IFERROR(J45*Weights!$B$4 + O45*Weights!$B$5 + S45*Weights!$B$6 + Y45*Weights!$B$7 + AD45*Weights!$B$8 + AI45*Weights!$B$9,"")</f>
        <v/>
      </c>
      <c r="AK45" s="33">
        <f>IF(AJ45="","",IF(AJ45&gt;=85,"✓✓✓",IF(AJ45&gt;=70,"✓✓",IF(AJ45&gt;=55,"✓",IF(AJ45&gt;=40,"?","✗")))))</f>
        <v/>
      </c>
      <c r="AL45" s="33" t="n">
        <v>5</v>
      </c>
    </row>
    <row r="46">
      <c r="A46" s="33" t="inlineStr">
        <is>
          <t>EQIX</t>
        </is>
      </c>
      <c r="B46" s="33" t="inlineStr">
        <is>
          <t>Equinix, Inc.</t>
        </is>
      </c>
      <c r="C46" s="33" t="inlineStr">
        <is>
          <t>03 Data Center Construction, REITs &amp; Cooling</t>
        </is>
      </c>
      <c r="D46" s="33" t="inlineStr">
        <is>
          <t>2026-06-24</t>
        </is>
      </c>
      <c r="E46" s="33" t="n">
        <v>56.962036</v>
      </c>
      <c r="F46" s="33" t="n">
        <v>30.357</v>
      </c>
      <c r="G46" s="33" t="n">
        <v>-0.92</v>
      </c>
      <c r="H46" s="33" t="n">
        <v>11.336717</v>
      </c>
      <c r="I46" s="33">
        <f>IF(OR(E47="",R47="",R47&lt;=0,E47&lt;0),"",E47/R47)</f>
        <v/>
      </c>
      <c r="J46" s="33">
        <f>IFERROR(AVERAGE(IFERROR(IF(E46="","",IF(E46&lt;0,5,IF(E46&lt;=15,90,IF(E46&lt;=20,75,IF(E46&lt;=25,60,IF(E46&lt;=30,45,IF(E46&lt;=40,30,IF(E46&lt;=60,15,5)))))))),""),IFERROR(IF(F46="","",IF(F46&lt;0,5,IF(F46&lt;=10,90,IF(F46&lt;=15,75,IF(F46&lt;=20,60,IF(F46&lt;=25,45,IF(F46&lt;=35,30,IF(F46&lt;=50,15,5)))))))),""),IFERROR(IF(G46="","",IF(G46&gt;=8,100,IF(G46&gt;=6,90,IF(G46&gt;=4,75,IF(G46&gt;=2,60,IF(G46&gt;=1,45,IF(G46&gt;=0,30,15))))))),""),IFERROR(IF(H46="","",IF(H46&lt;=2,90,IF(H46&lt;=4,75,IF(H46&lt;=7,60,IF(H46&lt;=10,45,IF(H46&lt;=15,30,IF(H46&lt;=25,15,5))))))),""),IFERROR(IF(I46="","",IF(I46&lt;=0.5,100,IF(I46&lt;=1,90,IF(I46&lt;=1.5,75,IF(I46&lt;=2,60,IF(I46&lt;=2.5,45,IF(I46&lt;=3,30,15))))))),"")),"")</f>
        <v/>
      </c>
      <c r="K46" s="33" t="n">
        <v>5.2758</v>
      </c>
      <c r="L46" s="33" t="n">
        <v>51.61</v>
      </c>
      <c r="M46" s="33" t="n">
        <v>-10.48</v>
      </c>
      <c r="N46" s="33" t="n">
        <v>5.13</v>
      </c>
      <c r="O46" s="33">
        <f>IFERROR(AVERAGE(IFERROR(IF(K46="","",IF(K46&gt;=25,100,IF(K46&gt;=20,90,IF(K46&gt;=15,75,IF(K46&gt;=10,60,IF(K46&gt;=5,45,IF(K46&gt;=0,30,15))))))),""),IFERROR(IF(L46="","",IF(L46&gt;=60,100,IF(L46&gt;=50,90,IF(L46&gt;=40,75,IF(L46&gt;=30,60,IF(L46&gt;=20,45,IF(L46&gt;=10,30,15))))))),""),IFERROR(IF(M46="","",IF(M46&gt;=25,100,IF(M46&gt;=20,90,IF(M46&gt;=15,75,IF(M46&gt;=10,60,IF(M46&gt;=5,45,IF(M46&gt;=0,30,15))))))),""),IFERROR(IF(N46="","",IF(N46&lt;=0,100,IF(N46&lt;=1,90,IF(N46&lt;=2,75,IF(N46&lt;=3,60,IF(N46&lt;=4,45,IF(N46&lt;=5,30,15))))))),"")),"")</f>
        <v/>
      </c>
      <c r="P46" s="33" t="n">
        <v>8.27</v>
      </c>
      <c r="Q46" s="33" t="n">
        <v>12.1</v>
      </c>
      <c r="R46" s="33" t="n">
        <v>21</v>
      </c>
      <c r="S46" s="33">
        <f>IFERROR(AVERAGE(IFERROR(IF(P46="","",IF(P46&gt;=40,100,IF(P46&gt;=30,90,IF(P46&gt;=20,75,IF(P46&gt;=15,60,IF(P46&gt;=10,45,IF(P46&gt;=5,30,15))))))),""),IFERROR(IF(Q46="","",IF(Q46&gt;=40,100,IF(Q46&gt;=30,90,IF(Q46&gt;=20,75,IF(Q46&gt;=10,60,IF(Q46&gt;=5,45,IF(Q46&gt;=0,30,15))))))),""),IFERROR(IF(R46="","",IF(R46&gt;=40,100,IF(R46&gt;=30,90,IF(R46&gt;=20,75,IF(R46&gt;=10,60,IF(R46&gt;=0,45,IF(R46&gt;=-10,30,15))))))),"")),"")</f>
        <v/>
      </c>
      <c r="T46" s="33" t="n">
        <v>4</v>
      </c>
      <c r="U46" s="33" t="n">
        <v>5</v>
      </c>
      <c r="V46" s="33" t="n">
        <v>5</v>
      </c>
      <c r="W46" s="33" t="n">
        <v>5</v>
      </c>
      <c r="X46" s="33" t="n">
        <v>5</v>
      </c>
      <c r="Y46" s="33">
        <f>IFERROR(AVERAGE(T46,U46,V46,W46,X46)*20,"")</f>
        <v/>
      </c>
      <c r="Z46" s="33" t="n">
        <v>4</v>
      </c>
      <c r="AA46" s="33" t="n">
        <v>5</v>
      </c>
      <c r="AB46" s="33" t="n">
        <v>3</v>
      </c>
      <c r="AC46" s="71" t="n">
        <v>93.3</v>
      </c>
      <c r="AD46" s="33">
        <f>IFERROR(AVERAGE(IFERROR(IF(Z46="","",Z46*20),""),IFERROR(IF(AA46="","",AA46*20),""),IFERROR(IF(AB46="","",AB46*20),""),IFERROR(IF(AC46="","",IF(AC46&gt;=85,100,IF(AC46&gt;=70,90,IF(AC46&gt;=55,75,IF(AC46&gt;=40,60,IF(AC46&gt;=25,40,20)))))),"")),"")</f>
        <v/>
      </c>
      <c r="AE46" s="33" t="n">
        <v>4</v>
      </c>
      <c r="AF46" s="33" t="n">
        <v>4</v>
      </c>
      <c r="AG46" s="33" t="n">
        <v>3</v>
      </c>
      <c r="AH46" s="33" t="n">
        <v>4</v>
      </c>
      <c r="AI46" s="33">
        <f>IFERROR(AVERAGE(AE46,AF46,AG46,AH46,AL46)*20,"")</f>
        <v/>
      </c>
      <c r="AJ46" s="33">
        <f>IFERROR(J46*Weights!$B$4 + O46*Weights!$B$5 + S46*Weights!$B$6 + Y46*Weights!$B$7 + AD46*Weights!$B$8 + AI46*Weights!$B$9,"")</f>
        <v/>
      </c>
      <c r="AK46" s="33">
        <f>IF(AJ46="","",IF(AJ46&gt;=85,"✓✓✓",IF(AJ46&gt;=70,"✓✓",IF(AJ46&gt;=55,"✓",IF(AJ46&gt;=40,"?","✗")))))</f>
        <v/>
      </c>
      <c r="AL46" s="33" t="n">
        <v>5</v>
      </c>
    </row>
    <row r="47">
      <c r="A47" s="33" t="inlineStr">
        <is>
          <t>IRM</t>
        </is>
      </c>
      <c r="B47" s="33" t="inlineStr">
        <is>
          <t>Iron Mountain Incorporated</t>
        </is>
      </c>
      <c r="C47" s="33" t="inlineStr">
        <is>
          <t>03 Data Center Construction, REITs &amp; Cooling</t>
        </is>
      </c>
      <c r="D47" s="33" t="inlineStr">
        <is>
          <t>2026-06-24</t>
        </is>
      </c>
      <c r="E47" s="33" t="n">
        <v>48.842243</v>
      </c>
      <c r="F47" s="33" t="n">
        <v>23.945</v>
      </c>
      <c r="G47" s="33" t="n">
        <v>-1.81</v>
      </c>
      <c r="H47" s="33" t="n">
        <v>5.3625717</v>
      </c>
      <c r="I47" s="33">
        <f>IF(OR(E48="",R48="",R48&lt;=0,E48&lt;0),"",E48/R48)</f>
        <v/>
      </c>
      <c r="J47" s="33">
        <f>IFERROR(AVERAGE(IFERROR(IF(E47="","",IF(E47&lt;0,5,IF(E47&lt;=15,90,IF(E47&lt;=20,75,IF(E47&lt;=25,60,IF(E47&lt;=30,45,IF(E47&lt;=40,30,IF(E47&lt;=60,15,5)))))))),""),IFERROR(IF(F47="","",IF(F47&lt;0,5,IF(F47&lt;=10,90,IF(F47&lt;=15,75,IF(F47&lt;=20,60,IF(F47&lt;=25,45,IF(F47&lt;=35,30,IF(F47&lt;=50,15,5)))))))),""),IFERROR(IF(G47="","",IF(G47&gt;=8,100,IF(G47&gt;=6,90,IF(G47&gt;=4,75,IF(G47&gt;=2,60,IF(G47&gt;=1,45,IF(G47&gt;=0,30,15))))))),""),IFERROR(IF(H47="","",IF(H47&lt;=2,90,IF(H47&lt;=4,75,IF(H47&lt;=7,60,IF(H47&lt;=10,45,IF(H47&lt;=15,30,IF(H47&lt;=25,15,5))))))),""),IFERROR(IF(I47="","",IF(I47&lt;=0.5,100,IF(I47&lt;=1,90,IF(I47&lt;=1.5,75,IF(I47&lt;=2,60,IF(I47&lt;=2.5,45,IF(I47&lt;=3,30,15))))))),"")),"")</f>
        <v/>
      </c>
      <c r="K47" s="33" t="n">
        <v>5.3888</v>
      </c>
      <c r="L47" s="33" t="n">
        <v>55.02</v>
      </c>
      <c r="M47" s="33" t="n">
        <v>-9.710000000000001</v>
      </c>
      <c r="N47" s="33" t="n">
        <v>7.95</v>
      </c>
      <c r="O47" s="33">
        <f>IFERROR(AVERAGE(IFERROR(IF(K47="","",IF(K47&gt;=25,100,IF(K47&gt;=20,90,IF(K47&gt;=15,75,IF(K47&gt;=10,60,IF(K47&gt;=5,45,IF(K47&gt;=0,30,15))))))),""),IFERROR(IF(L47="","",IF(L47&gt;=60,100,IF(L47&gt;=50,90,IF(L47&gt;=40,75,IF(L47&gt;=30,60,IF(L47&gt;=20,45,IF(L47&gt;=10,30,15))))))),""),IFERROR(IF(M47="","",IF(M47&gt;=25,100,IF(M47&gt;=20,90,IF(M47&gt;=15,75,IF(M47&gt;=10,60,IF(M47&gt;=5,45,IF(M47&gt;=0,30,15))))))),""),IFERROR(IF(N47="","",IF(N47&lt;=0,100,IF(N47&lt;=1,90,IF(N47&lt;=2,75,IF(N47&lt;=3,60,IF(N47&lt;=4,45,IF(N47&lt;=5,30,15))))))),"")),"")</f>
        <v/>
      </c>
      <c r="P47" s="33" t="n">
        <v>10.58</v>
      </c>
      <c r="Q47" s="33" t="n">
        <v>21.6</v>
      </c>
      <c r="R47" s="33" t="n">
        <v>800.6</v>
      </c>
      <c r="S47" s="33">
        <f>IFERROR(AVERAGE(IFERROR(IF(P47="","",IF(P47&gt;=40,100,IF(P47&gt;=30,90,IF(P47&gt;=20,75,IF(P47&gt;=15,60,IF(P47&gt;=10,45,IF(P47&gt;=5,30,15))))))),""),IFERROR(IF(Q47="","",IF(Q47&gt;=40,100,IF(Q47&gt;=30,90,IF(Q47&gt;=20,75,IF(Q47&gt;=10,60,IF(Q47&gt;=5,45,IF(Q47&gt;=0,30,15))))))),""),IFERROR(IF(R47="","",IF(R47&gt;=40,100,IF(R47&gt;=30,90,IF(R47&gt;=20,75,IF(R47&gt;=10,60,IF(R47&gt;=0,45,IF(R47&gt;=-10,30,15))))))),"")),"")</f>
        <v/>
      </c>
      <c r="T47" s="33" t="n">
        <v>4</v>
      </c>
      <c r="U47" s="33" t="n">
        <v>3</v>
      </c>
      <c r="V47" s="33" t="n">
        <v>3</v>
      </c>
      <c r="W47" s="33" t="n">
        <v>5</v>
      </c>
      <c r="X47" s="33" t="n">
        <v>4</v>
      </c>
      <c r="Y47" s="33">
        <f>IFERROR(AVERAGE(T47,U47,V47,W47,X47)*20,"")</f>
        <v/>
      </c>
      <c r="Z47" s="33" t="n">
        <v>4</v>
      </c>
      <c r="AA47" s="33" t="n">
        <v>5</v>
      </c>
      <c r="AB47" s="33" t="n">
        <v>3</v>
      </c>
      <c r="AC47" s="71" t="n">
        <v>90</v>
      </c>
      <c r="AD47" s="33">
        <f>IFERROR(AVERAGE(IFERROR(IF(Z47="","",Z47*20),""),IFERROR(IF(AA47="","",AA47*20),""),IFERROR(IF(AB47="","",AB47*20),""),IFERROR(IF(AC47="","",IF(AC47&gt;=85,100,IF(AC47&gt;=70,90,IF(AC47&gt;=55,75,IF(AC47&gt;=40,60,IF(AC47&gt;=25,40,20)))))),"")),"")</f>
        <v/>
      </c>
      <c r="AE47" s="33" t="n">
        <v>4</v>
      </c>
      <c r="AF47" s="33" t="n">
        <v>4</v>
      </c>
      <c r="AG47" s="33" t="n">
        <v>2</v>
      </c>
      <c r="AH47" s="33" t="n">
        <v>4</v>
      </c>
      <c r="AI47" s="33">
        <f>IFERROR(AVERAGE(AE47,AF47,AG47,AH47,AL47)*20,"")</f>
        <v/>
      </c>
      <c r="AJ47" s="33">
        <f>IFERROR(J47*Weights!$B$4 + O47*Weights!$B$5 + S47*Weights!$B$6 + Y47*Weights!$B$7 + AD47*Weights!$B$8 + AI47*Weights!$B$9,"")</f>
        <v/>
      </c>
      <c r="AK47" s="33">
        <f>IF(AJ47="","",IF(AJ47&gt;=85,"✓✓✓",IF(AJ47&gt;=70,"✓✓",IF(AJ47&gt;=55,"✓",IF(AJ47&gt;=40,"?","✗")))))</f>
        <v/>
      </c>
      <c r="AL47" s="33" t="n">
        <v>5</v>
      </c>
    </row>
    <row r="48">
      <c r="A48" s="33" t="inlineStr">
        <is>
          <t>FIX</t>
        </is>
      </c>
      <c r="B48" s="33" t="inlineStr">
        <is>
          <t>Comfort Systems USA, Inc.</t>
        </is>
      </c>
      <c r="C48" s="33" t="inlineStr">
        <is>
          <t>03 Data Center Construction, REITs &amp; Cooling</t>
        </is>
      </c>
      <c r="D48" s="33" t="inlineStr">
        <is>
          <t>2026-06-24</t>
        </is>
      </c>
      <c r="E48" s="33" t="n">
        <v>36.570866</v>
      </c>
      <c r="F48" s="33" t="n">
        <v>41.103</v>
      </c>
      <c r="G48" s="33" t="n">
        <v>2.01</v>
      </c>
      <c r="H48" s="33" t="n">
        <v>6.784543</v>
      </c>
      <c r="I48" s="33">
        <f>IF(OR(E49="",R49="",R49&lt;=0,E49&lt;0),"",E49/R49)</f>
        <v/>
      </c>
      <c r="J48" s="33">
        <f>IFERROR(AVERAGE(IFERROR(IF(E48="","",IF(E48&lt;0,5,IF(E48&lt;=15,90,IF(E48&lt;=20,75,IF(E48&lt;=25,60,IF(E48&lt;=30,45,IF(E48&lt;=40,30,IF(E48&lt;=60,15,5)))))))),""),IFERROR(IF(F48="","",IF(F48&lt;0,5,IF(F48&lt;=10,90,IF(F48&lt;=15,75,IF(F48&lt;=20,60,IF(F48&lt;=25,45,IF(F48&lt;=35,30,IF(F48&lt;=50,15,5)))))))),""),IFERROR(IF(G48="","",IF(G48&gt;=8,100,IF(G48&gt;=6,90,IF(G48&gt;=4,75,IF(G48&gt;=2,60,IF(G48&gt;=1,45,IF(G48&gt;=0,30,15))))))),""),IFERROR(IF(H48="","",IF(H48&lt;=2,90,IF(H48&lt;=4,75,IF(H48&lt;=7,60,IF(H48&lt;=10,45,IF(H48&lt;=15,30,IF(H48&lt;=25,15,5))))))),""),IFERROR(IF(I48="","",IF(I48&lt;=0.5,100,IF(I48&lt;=1,90,IF(I48&lt;=1.5,75,IF(I48&lt;=2,60,IF(I48&lt;=2.5,45,IF(I48&lt;=3,30,15))))))),"")),"")</f>
        <v/>
      </c>
      <c r="K48" s="33" t="n">
        <v>58.4</v>
      </c>
      <c r="L48" s="33" t="n">
        <v>25.13</v>
      </c>
      <c r="M48" s="33" t="n">
        <v>13.64</v>
      </c>
      <c r="N48" s="33" t="n">
        <v>0.13</v>
      </c>
      <c r="O48" s="33">
        <f>IFERROR(AVERAGE(IFERROR(IF(K48="","",IF(K48&gt;=25,100,IF(K48&gt;=20,90,IF(K48&gt;=15,75,IF(K48&gt;=10,60,IF(K48&gt;=5,45,IF(K48&gt;=0,30,15))))))),""),IFERROR(IF(L48="","",IF(L48&gt;=60,100,IF(L48&gt;=50,90,IF(L48&gt;=40,75,IF(L48&gt;=30,60,IF(L48&gt;=20,45,IF(L48&gt;=10,30,15))))))),""),IFERROR(IF(M48="","",IF(M48&gt;=25,100,IF(M48&gt;=20,90,IF(M48&gt;=15,75,IF(M48&gt;=10,60,IF(M48&gt;=5,45,IF(M48&gt;=0,30,15))))))),""),IFERROR(IF(N48="","",IF(N48&lt;=0,100,IF(N48&lt;=1,90,IF(N48&lt;=2,75,IF(N48&lt;=3,60,IF(N48&lt;=4,45,IF(N48&lt;=5,30,15))))))),"")),"")</f>
        <v/>
      </c>
      <c r="P48" s="33" t="n">
        <v>30.03</v>
      </c>
      <c r="Q48" s="33" t="n">
        <v>1</v>
      </c>
      <c r="R48" s="33" t="n">
        <v>38.2</v>
      </c>
      <c r="S48" s="33">
        <f>IFERROR(AVERAGE(IFERROR(IF(P48="","",IF(P48&gt;=40,100,IF(P48&gt;=30,90,IF(P48&gt;=20,75,IF(P48&gt;=15,60,IF(P48&gt;=10,45,IF(P48&gt;=5,30,15))))))),""),IFERROR(IF(Q48="","",IF(Q48&gt;=40,100,IF(Q48&gt;=30,90,IF(Q48&gt;=20,75,IF(Q48&gt;=10,60,IF(Q48&gt;=5,45,IF(Q48&gt;=0,30,15))))))),""),IFERROR(IF(R48="","",IF(R48&gt;=40,100,IF(R48&gt;=30,90,IF(R48&gt;=20,75,IF(R48&gt;=10,60,IF(R48&gt;=0,45,IF(R48&gt;=-10,30,15))))))),"")),"")</f>
        <v/>
      </c>
      <c r="T48" s="33" t="n">
        <v>5</v>
      </c>
      <c r="U48" s="33" t="n">
        <v>4</v>
      </c>
      <c r="V48" s="33" t="n">
        <v>4</v>
      </c>
      <c r="W48" s="33" t="n">
        <v>5</v>
      </c>
      <c r="X48" s="33" t="n">
        <v>5</v>
      </c>
      <c r="Y48" s="33">
        <f>IFERROR(AVERAGE(T48,U48,V48,W48,X48)*20,"")</f>
        <v/>
      </c>
      <c r="Z48" s="33" t="n">
        <v>5</v>
      </c>
      <c r="AA48" s="33" t="n">
        <v>5</v>
      </c>
      <c r="AB48" s="33" t="n">
        <v>3</v>
      </c>
      <c r="AC48" s="71" t="n">
        <v>97.5</v>
      </c>
      <c r="AD48" s="33">
        <f>IFERROR(AVERAGE(IFERROR(IF(Z48="","",Z48*20),""),IFERROR(IF(AA48="","",AA48*20),""),IFERROR(IF(AB48="","",AB48*20),""),IFERROR(IF(AC48="","",IF(AC48&gt;=85,100,IF(AC48&gt;=70,90,IF(AC48&gt;=55,75,IF(AC48&gt;=40,60,IF(AC48&gt;=25,40,20)))))),"")),"")</f>
        <v/>
      </c>
      <c r="AE48" s="33" t="n">
        <v>4</v>
      </c>
      <c r="AF48" s="33" t="n">
        <v>5</v>
      </c>
      <c r="AG48" s="33" t="n">
        <v>5</v>
      </c>
      <c r="AH48" s="33" t="n">
        <v>4</v>
      </c>
      <c r="AI48" s="33">
        <f>IFERROR(AVERAGE(AE48,AF48,AG48,AH48,AL48)*20,"")</f>
        <v/>
      </c>
      <c r="AJ48" s="33">
        <f>IFERROR(J48*Weights!$B$4 + O48*Weights!$B$5 + S48*Weights!$B$6 + Y48*Weights!$B$7 + AD48*Weights!$B$8 + AI48*Weights!$B$9,"")</f>
        <v/>
      </c>
      <c r="AK48" s="33">
        <f>IF(AJ48="","",IF(AJ48&gt;=85,"✓✓✓",IF(AJ48&gt;=70,"✓✓",IF(AJ48&gt;=55,"✓",IF(AJ48&gt;=40,"?","✗")))))</f>
        <v/>
      </c>
      <c r="AL48" s="33" t="n">
        <v>5</v>
      </c>
    </row>
    <row r="49">
      <c r="A49" s="33" t="inlineStr">
        <is>
          <t>EME</t>
        </is>
      </c>
      <c r="B49" s="33" t="inlineStr">
        <is>
          <t>EMCOR Group, Inc.</t>
        </is>
      </c>
      <c r="C49" s="33" t="inlineStr">
        <is>
          <t>03 Data Center Construction, REITs &amp; Cooling</t>
        </is>
      </c>
      <c r="D49" s="33" t="inlineStr">
        <is>
          <t>2026-06-24</t>
        </is>
      </c>
      <c r="E49" s="33" t="n">
        <v>25.932741</v>
      </c>
      <c r="F49" s="33" t="n">
        <v>20.126</v>
      </c>
      <c r="G49" s="33" t="n">
        <v>2.86</v>
      </c>
      <c r="H49" s="33" t="n">
        <v>2.1257706</v>
      </c>
      <c r="I49" s="33">
        <f>IF(OR(E50="",R50="",R50&lt;=0,E50&lt;0),"",E50/R50)</f>
        <v/>
      </c>
      <c r="J49" s="33">
        <f>IFERROR(AVERAGE(IFERROR(IF(E49="","",IF(E49&lt;0,5,IF(E49&lt;=15,90,IF(E49&lt;=20,75,IF(E49&lt;=25,60,IF(E49&lt;=30,45,IF(E49&lt;=40,30,IF(E49&lt;=60,15,5)))))))),""),IFERROR(IF(F49="","",IF(F49&lt;0,5,IF(F49&lt;=10,90,IF(F49&lt;=15,75,IF(F49&lt;=20,60,IF(F49&lt;=25,45,IF(F49&lt;=35,30,IF(F49&lt;=50,15,5)))))))),""),IFERROR(IF(G49="","",IF(G49&gt;=8,100,IF(G49&gt;=6,90,IF(G49&gt;=4,75,IF(G49&gt;=2,60,IF(G49&gt;=1,45,IF(G49&gt;=0,30,15))))))),""),IFERROR(IF(H49="","",IF(H49&lt;=2,90,IF(H49&lt;=4,75,IF(H49&lt;=7,60,IF(H49&lt;=10,45,IF(H49&lt;=15,30,IF(H49&lt;=25,15,5))))))),""),IFERROR(IF(I49="","",IF(I49&lt;=0.5,100,IF(I49&lt;=1,90,IF(I49&lt;=1.5,75,IF(I49&lt;=2,60,IF(I49&lt;=2.5,45,IF(I49&lt;=3,30,15))))))),"")),"")</f>
        <v/>
      </c>
      <c r="K49" s="33" t="n">
        <v>38.9</v>
      </c>
      <c r="L49" s="33" t="n">
        <v>19.29</v>
      </c>
      <c r="M49" s="33" t="n">
        <v>6.08</v>
      </c>
      <c r="N49" s="33" t="n">
        <v>-0.22</v>
      </c>
      <c r="O49" s="33">
        <f>IFERROR(AVERAGE(IFERROR(IF(K49="","",IF(K49&gt;=25,100,IF(K49&gt;=20,90,IF(K49&gt;=15,75,IF(K49&gt;=10,60,IF(K49&gt;=5,45,IF(K49&gt;=0,30,15))))))),""),IFERROR(IF(L49="","",IF(L49&gt;=60,100,IF(L49&gt;=50,90,IF(L49&gt;=40,75,IF(L49&gt;=30,60,IF(L49&gt;=20,45,IF(L49&gt;=10,30,15))))))),""),IFERROR(IF(M49="","",IF(M49&gt;=25,100,IF(M49&gt;=20,90,IF(M49&gt;=15,75,IF(M49&gt;=10,60,IF(M49&gt;=5,45,IF(M49&gt;=0,30,15))))))),""),IFERROR(IF(N49="","",IF(N49&lt;=0,100,IF(N49&lt;=1,90,IF(N49&lt;=2,75,IF(N49&lt;=3,60,IF(N49&lt;=4,45,IF(N49&lt;=5,30,15))))))),"")),"")</f>
        <v/>
      </c>
      <c r="P49" s="33" t="n">
        <v>15.32</v>
      </c>
      <c r="Q49" s="33" t="n">
        <v>19.7</v>
      </c>
      <c r="R49" s="33" t="n">
        <v>26.9</v>
      </c>
      <c r="S49" s="33">
        <f>IFERROR(AVERAGE(IFERROR(IF(P49="","",IF(P49&gt;=40,100,IF(P49&gt;=30,90,IF(P49&gt;=20,75,IF(P49&gt;=15,60,IF(P49&gt;=10,45,IF(P49&gt;=5,30,15))))))),""),IFERROR(IF(Q49="","",IF(Q49&gt;=40,100,IF(Q49&gt;=30,90,IF(Q49&gt;=20,75,IF(Q49&gt;=10,60,IF(Q49&gt;=5,45,IF(Q49&gt;=0,30,15))))))),""),IFERROR(IF(R49="","",IF(R49&gt;=40,100,IF(R49&gt;=30,90,IF(R49&gt;=20,75,IF(R49&gt;=10,60,IF(R49&gt;=0,45,IF(R49&gt;=-10,30,15))))))),"")),"")</f>
        <v/>
      </c>
      <c r="T49" s="33" t="n">
        <v>4</v>
      </c>
      <c r="U49" s="33" t="n">
        <v>4</v>
      </c>
      <c r="V49" s="33" t="n">
        <v>4</v>
      </c>
      <c r="W49" s="33" t="n">
        <v>4</v>
      </c>
      <c r="X49" s="33" t="n">
        <v>4</v>
      </c>
      <c r="Y49" s="33">
        <f>IFERROR(AVERAGE(T49,U49,V49,W49,X49)*20,"")</f>
        <v/>
      </c>
      <c r="Z49" s="33" t="n">
        <v>5</v>
      </c>
      <c r="AA49" s="33" t="n">
        <v>4</v>
      </c>
      <c r="AB49" s="33" t="n">
        <v>3</v>
      </c>
      <c r="AC49" s="71" t="n">
        <v>79.2</v>
      </c>
      <c r="AD49" s="33">
        <f>IFERROR(AVERAGE(IFERROR(IF(Z49="","",Z49*20),""),IFERROR(IF(AA49="","",AA49*20),""),IFERROR(IF(AB49="","",AB49*20),""),IFERROR(IF(AC49="","",IF(AC49&gt;=85,100,IF(AC49&gt;=70,90,IF(AC49&gt;=55,75,IF(AC49&gt;=40,60,IF(AC49&gt;=25,40,20)))))),"")),"")</f>
        <v/>
      </c>
      <c r="AE49" s="33" t="n">
        <v>5</v>
      </c>
      <c r="AF49" s="33" t="n">
        <v>5</v>
      </c>
      <c r="AG49" s="33" t="n">
        <v>5</v>
      </c>
      <c r="AH49" s="33" t="n">
        <v>4</v>
      </c>
      <c r="AI49" s="33">
        <f>IFERROR(AVERAGE(AE49,AF49,AG49,AH49,AL49)*20,"")</f>
        <v/>
      </c>
      <c r="AJ49" s="33">
        <f>IFERROR(J49*Weights!$B$4 + O49*Weights!$B$5 + S49*Weights!$B$6 + Y49*Weights!$B$7 + AD49*Weights!$B$8 + AI49*Weights!$B$9,"")</f>
        <v/>
      </c>
      <c r="AK49" s="33">
        <f>IF(AJ49="","",IF(AJ49&gt;=85,"✓✓✓",IF(AJ49&gt;=70,"✓✓",IF(AJ49&gt;=55,"✓",IF(AJ49&gt;=40,"?","✗")))))</f>
        <v/>
      </c>
      <c r="AL49" s="33" t="n">
        <v>5</v>
      </c>
    </row>
    <row r="50">
      <c r="A50" s="33" t="inlineStr">
        <is>
          <t>MOD</t>
        </is>
      </c>
      <c r="B50" s="33" t="inlineStr">
        <is>
          <t>Modine Manufacturing Company</t>
        </is>
      </c>
      <c r="C50" s="33" t="inlineStr">
        <is>
          <t>03 Data Center Construction, REITs &amp; Cooling</t>
        </is>
      </c>
      <c r="D50" s="33" t="inlineStr">
        <is>
          <t>2026-06-24</t>
        </is>
      </c>
      <c r="E50" s="33" t="n">
        <v>24.349594</v>
      </c>
      <c r="F50" s="33" t="n">
        <v>33.733</v>
      </c>
      <c r="G50" s="33" t="n">
        <v>0.72</v>
      </c>
      <c r="H50" s="33" t="n">
        <v>4.5940485</v>
      </c>
      <c r="I50" s="33">
        <f>IF(OR(E51="",R51="",R51&lt;=0,E51&lt;0),"",E51/R51)</f>
        <v/>
      </c>
      <c r="J50" s="33">
        <f>IFERROR(AVERAGE(IFERROR(IF(E50="","",IF(E50&lt;0,5,IF(E50&lt;=15,90,IF(E50&lt;=20,75,IF(E50&lt;=25,60,IF(E50&lt;=30,45,IF(E50&lt;=40,30,IF(E50&lt;=60,15,5)))))))),""),IFERROR(IF(F50="","",IF(F50&lt;0,5,IF(F50&lt;=10,90,IF(F50&lt;=15,75,IF(F50&lt;=20,60,IF(F50&lt;=25,45,IF(F50&lt;=35,30,IF(F50&lt;=50,15,5)))))))),""),IFERROR(IF(G50="","",IF(G50&gt;=8,100,IF(G50&gt;=6,90,IF(G50&gt;=4,75,IF(G50&gt;=2,60,IF(G50&gt;=1,45,IF(G50&gt;=0,30,15))))))),""),IFERROR(IF(H50="","",IF(H50&lt;=2,90,IF(H50&lt;=4,75,IF(H50&lt;=7,60,IF(H50&lt;=10,45,IF(H50&lt;=15,30,IF(H50&lt;=25,15,5))))))),""),IFERROR(IF(I50="","",IF(I50&lt;=0.5,100,IF(I50&lt;=1,90,IF(I50&lt;=1.5,75,IF(I50&lt;=2,60,IF(I50&lt;=2.5,45,IF(I50&lt;=3,30,15))))))),"")),"")</f>
        <v/>
      </c>
      <c r="K50" s="33" t="n">
        <v>6.4651</v>
      </c>
      <c r="L50" s="33" t="n">
        <v>23.02</v>
      </c>
      <c r="M50" s="33" t="n">
        <v>3.31</v>
      </c>
      <c r="N50" s="33" t="n">
        <v>1.13</v>
      </c>
      <c r="O50" s="33">
        <f>IFERROR(AVERAGE(IFERROR(IF(K50="","",IF(K50&gt;=25,100,IF(K50&gt;=20,90,IF(K50&gt;=15,75,IF(K50&gt;=10,60,IF(K50&gt;=5,45,IF(K50&gt;=0,30,15))))))),""),IFERROR(IF(L50="","",IF(L50&gt;=60,100,IF(L50&gt;=50,90,IF(L50&gt;=40,75,IF(L50&gt;=30,60,IF(L50&gt;=20,45,IF(L50&gt;=10,30,15))))))),""),IFERROR(IF(M50="","",IF(M50&gt;=25,100,IF(M50&gt;=20,90,IF(M50&gt;=15,75,IF(M50&gt;=10,60,IF(M50&gt;=5,45,IF(M50&gt;=0,30,15))))))),""),IFERROR(IF(N50="","",IF(N50&lt;=0,100,IF(N50&lt;=1,90,IF(N50&lt;=2,75,IF(N50&lt;=3,60,IF(N50&lt;=4,45,IF(N50&lt;=5,30,15))))))),"")),"")</f>
        <v/>
      </c>
      <c r="P50" s="33" t="n">
        <v>11.45</v>
      </c>
      <c r="Q50" s="33" t="n">
        <v>47.5</v>
      </c>
      <c r="R50" s="33" t="n">
        <v>47.8</v>
      </c>
      <c r="S50" s="33">
        <f>IFERROR(AVERAGE(IFERROR(IF(P50="","",IF(P50&gt;=40,100,IF(P50&gt;=30,90,IF(P50&gt;=20,75,IF(P50&gt;=15,60,IF(P50&gt;=10,45,IF(P50&gt;=5,30,15))))))),""),IFERROR(IF(Q50="","",IF(Q50&gt;=40,100,IF(Q50&gt;=30,90,IF(Q50&gt;=20,75,IF(Q50&gt;=10,60,IF(Q50&gt;=5,45,IF(Q50&gt;=0,30,15))))))),""),IFERROR(IF(R50="","",IF(R50&gt;=40,100,IF(R50&gt;=30,90,IF(R50&gt;=20,75,IF(R50&gt;=10,60,IF(R50&gt;=0,45,IF(R50&gt;=-10,30,15))))))),"")),"")</f>
        <v/>
      </c>
      <c r="T50" s="33" t="n">
        <v>4</v>
      </c>
      <c r="U50" s="33" t="n">
        <v>4</v>
      </c>
      <c r="V50" s="33" t="n">
        <v>4</v>
      </c>
      <c r="W50" s="33" t="n">
        <v>5</v>
      </c>
      <c r="X50" s="33" t="n">
        <v>5</v>
      </c>
      <c r="Y50" s="33">
        <f>IFERROR(AVERAGE(T50,U50,V50,W50,X50)*20,"")</f>
        <v/>
      </c>
      <c r="Z50" s="33" t="n">
        <v>4</v>
      </c>
      <c r="AA50" s="33" t="n">
        <v>5</v>
      </c>
      <c r="AB50" s="33" t="n">
        <v>3</v>
      </c>
      <c r="AC50" s="71" t="n">
        <v>88.3</v>
      </c>
      <c r="AD50" s="33">
        <f>IFERROR(AVERAGE(IFERROR(IF(Z50="","",Z50*20),""),IFERROR(IF(AA50="","",AA50*20),""),IFERROR(IF(AB50="","",AB50*20),""),IFERROR(IF(AC50="","",IF(AC50&gt;=85,100,IF(AC50&gt;=70,90,IF(AC50&gt;=55,75,IF(AC50&gt;=40,60,IF(AC50&gt;=25,40,20)))))),"")),"")</f>
        <v/>
      </c>
      <c r="AE50" s="33" t="n">
        <v>2</v>
      </c>
      <c r="AF50" s="33" t="n">
        <v>4</v>
      </c>
      <c r="AG50" s="33" t="n">
        <v>3</v>
      </c>
      <c r="AH50" s="33" t="n">
        <v>4</v>
      </c>
      <c r="AI50" s="33">
        <f>IFERROR(AVERAGE(AE50,AF50,AG50,AH50,AL50)*20,"")</f>
        <v/>
      </c>
      <c r="AJ50" s="33">
        <f>IFERROR(J50*Weights!$B$4 + O50*Weights!$B$5 + S50*Weights!$B$6 + Y50*Weights!$B$7 + AD50*Weights!$B$8 + AI50*Weights!$B$9,"")</f>
        <v/>
      </c>
      <c r="AK50" s="33">
        <f>IF(AJ50="","",IF(AJ50&gt;=85,"✓✓✓",IF(AJ50&gt;=70,"✓✓",IF(AJ50&gt;=55,"✓",IF(AJ50&gt;=40,"?","✗")))))</f>
        <v/>
      </c>
      <c r="AL50" s="33" t="n">
        <v>5</v>
      </c>
    </row>
    <row r="51">
      <c r="A51" s="33" t="inlineStr">
        <is>
          <t>CARR</t>
        </is>
      </c>
      <c r="B51" s="33" t="inlineStr">
        <is>
          <t>Carrier Global Corporation</t>
        </is>
      </c>
      <c r="C51" s="33" t="inlineStr">
        <is>
          <t>03 Data Center Construction, REITs &amp; Cooling</t>
        </is>
      </c>
      <c r="D51" s="33" t="inlineStr">
        <is>
          <t>2026-06-24</t>
        </is>
      </c>
      <c r="E51" s="33" t="n">
        <v>23.112764</v>
      </c>
      <c r="F51" s="33" t="n">
        <v>23.261</v>
      </c>
      <c r="G51" s="33" t="n">
        <v>2.74</v>
      </c>
      <c r="H51" s="33" t="n">
        <v>2.8126557</v>
      </c>
      <c r="I51" s="33">
        <f>IF(OR(E52="",R52="",R52&lt;=0,E52&lt;0),"",E52/R52)</f>
        <v/>
      </c>
      <c r="J51" s="33">
        <f>IFERROR(AVERAGE(IFERROR(IF(E51="","",IF(E51&lt;0,5,IF(E51&lt;=15,90,IF(E51&lt;=20,75,IF(E51&lt;=25,60,IF(E51&lt;=30,45,IF(E51&lt;=40,30,IF(E51&lt;=60,15,5)))))))),""),IFERROR(IF(F51="","",IF(F51&lt;0,5,IF(F51&lt;=10,90,IF(F51&lt;=15,75,IF(F51&lt;=20,60,IF(F51&lt;=25,45,IF(F51&lt;=35,30,IF(F51&lt;=50,15,5)))))))),""),IFERROR(IF(G51="","",IF(G51&gt;=8,100,IF(G51&gt;=6,90,IF(G51&gt;=4,75,IF(G51&gt;=2,60,IF(G51&gt;=1,45,IF(G51&gt;=0,30,15))))))),""),IFERROR(IF(H51="","",IF(H51&lt;=2,90,IF(H51&lt;=4,75,IF(H51&lt;=7,60,IF(H51&lt;=10,45,IF(H51&lt;=15,30,IF(H51&lt;=25,15,5))))))),""),IFERROR(IF(I51="","",IF(I51&lt;=0.5,100,IF(I51&lt;=1,90,IF(I51&lt;=1.5,75,IF(I51&lt;=2,60,IF(I51&lt;=2.5,45,IF(I51&lt;=3,30,15))))))),"")),"")</f>
        <v/>
      </c>
      <c r="K51" s="33" t="n">
        <v>7.3326</v>
      </c>
      <c r="L51" s="33" t="n">
        <v>25.18</v>
      </c>
      <c r="M51" s="33" t="n">
        <v>7.71</v>
      </c>
      <c r="N51" s="33" t="n">
        <v>3.57</v>
      </c>
      <c r="O51" s="33">
        <f>IFERROR(AVERAGE(IFERROR(IF(K51="","",IF(K51&gt;=25,100,IF(K51&gt;=20,90,IF(K51&gt;=15,75,IF(K51&gt;=10,60,IF(K51&gt;=5,45,IF(K51&gt;=0,30,15))))))),""),IFERROR(IF(L51="","",IF(L51&gt;=60,100,IF(L51&gt;=50,90,IF(L51&gt;=40,75,IF(L51&gt;=30,60,IF(L51&gt;=20,45,IF(L51&gt;=10,30,15))))))),""),IFERROR(IF(M51="","",IF(M51&gt;=25,100,IF(M51&gt;=20,90,IF(M51&gt;=15,75,IF(M51&gt;=10,60,IF(M51&gt;=5,45,IF(M51&gt;=0,30,15))))))),""),IFERROR(IF(N51="","",IF(N51&lt;=0,100,IF(N51&lt;=1,90,IF(N51&lt;=2,75,IF(N51&lt;=3,60,IF(N51&lt;=4,45,IF(N51&lt;=5,30,15))))))),"")),"")</f>
        <v/>
      </c>
      <c r="P51" s="33" t="n">
        <v>7.95</v>
      </c>
      <c r="Q51" s="33" t="n">
        <v>2.4</v>
      </c>
      <c r="R51" s="33" t="n">
        <v>-42.2</v>
      </c>
      <c r="S51" s="33">
        <f>IFERROR(AVERAGE(IFERROR(IF(P51="","",IF(P51&gt;=40,100,IF(P51&gt;=30,90,IF(P51&gt;=20,75,IF(P51&gt;=15,60,IF(P51&gt;=10,45,IF(P51&gt;=5,30,15))))))),""),IFERROR(IF(Q51="","",IF(Q51&gt;=40,100,IF(Q51&gt;=30,90,IF(Q51&gt;=20,75,IF(Q51&gt;=10,60,IF(Q51&gt;=5,45,IF(Q51&gt;=0,30,15))))))),""),IFERROR(IF(R51="","",IF(R51&gt;=40,100,IF(R51&gt;=30,90,IF(R51&gt;=20,75,IF(R51&gt;=10,60,IF(R51&gt;=0,45,IF(R51&gt;=-10,30,15))))))),"")),"")</f>
        <v/>
      </c>
      <c r="T51" s="33" t="n">
        <v>3</v>
      </c>
      <c r="U51" s="33" t="n">
        <v>4</v>
      </c>
      <c r="V51" s="33" t="n">
        <v>3</v>
      </c>
      <c r="W51" s="33" t="n">
        <v>4</v>
      </c>
      <c r="X51" s="33" t="n">
        <v>4</v>
      </c>
      <c r="Y51" s="33">
        <f>IFERROR(AVERAGE(T51,U51,V51,W51,X51)*20,"")</f>
        <v/>
      </c>
      <c r="Z51" s="33" t="n">
        <v>3</v>
      </c>
      <c r="AA51" s="33" t="n">
        <v>4</v>
      </c>
      <c r="AB51" s="33" t="n">
        <v>3</v>
      </c>
      <c r="AC51" s="71" t="n">
        <v>74.2</v>
      </c>
      <c r="AD51" s="33">
        <f>IFERROR(AVERAGE(IFERROR(IF(Z51="","",Z51*20),""),IFERROR(IF(AA51="","",AA51*20),""),IFERROR(IF(AB51="","",AB51*20),""),IFERROR(IF(AC51="","",IF(AC51&gt;=85,100,IF(AC51&gt;=70,90,IF(AC51&gt;=55,75,IF(AC51&gt;=40,60,IF(AC51&gt;=25,40,20)))))),"")),"")</f>
        <v/>
      </c>
      <c r="AE51" s="33" t="n">
        <v>5</v>
      </c>
      <c r="AF51" s="33" t="n">
        <v>4</v>
      </c>
      <c r="AG51" s="33" t="n">
        <v>3</v>
      </c>
      <c r="AH51" s="33" t="n">
        <v>4</v>
      </c>
      <c r="AI51" s="33">
        <f>IFERROR(AVERAGE(AE51,AF51,AG51,AH51,AL51)*20,"")</f>
        <v/>
      </c>
      <c r="AJ51" s="33">
        <f>IFERROR(J51*Weights!$B$4 + O51*Weights!$B$5 + S51*Weights!$B$6 + Y51*Weights!$B$7 + AD51*Weights!$B$8 + AI51*Weights!$B$9,"")</f>
        <v/>
      </c>
      <c r="AK51" s="33">
        <f>IF(AJ51="","",IF(AJ51&gt;=85,"✓✓✓",IF(AJ51&gt;=70,"✓✓",IF(AJ51&gt;=55,"✓",IF(AJ51&gt;=40,"?","✗")))))</f>
        <v/>
      </c>
      <c r="AL51" s="33" t="n">
        <v>5</v>
      </c>
    </row>
    <row r="52">
      <c r="A52" s="33" t="inlineStr">
        <is>
          <t>TT</t>
        </is>
      </c>
      <c r="B52" s="33" t="inlineStr">
        <is>
          <t>Trane Technologies plc</t>
        </is>
      </c>
      <c r="C52" s="33" t="inlineStr">
        <is>
          <t>03 Data Center Construction, REITs &amp; Cooling</t>
        </is>
      </c>
      <c r="D52" s="33" t="inlineStr">
        <is>
          <t>2026-06-24</t>
        </is>
      </c>
      <c r="E52" s="33" t="n">
        <v>28.378588</v>
      </c>
      <c r="F52" s="33" t="n">
        <v>26.07</v>
      </c>
      <c r="G52" s="33" t="n">
        <v>2.94</v>
      </c>
      <c r="H52" s="33" t="n">
        <v>4.94394</v>
      </c>
      <c r="I52" s="33">
        <f>IF(OR(E53="",R53="",R53&lt;=0,E53&lt;0),"",E53/R53)</f>
        <v/>
      </c>
      <c r="J52" s="33">
        <f>IFERROR(AVERAGE(IFERROR(IF(E52="","",IF(E52&lt;0,5,IF(E52&lt;=15,90,IF(E52&lt;=20,75,IF(E52&lt;=25,60,IF(E52&lt;=30,45,IF(E52&lt;=40,30,IF(E52&lt;=60,15,5)))))))),""),IFERROR(IF(F52="","",IF(F52&lt;0,5,IF(F52&lt;=10,90,IF(F52&lt;=15,75,IF(F52&lt;=20,60,IF(F52&lt;=25,45,IF(F52&lt;=35,30,IF(F52&lt;=50,15,5)))))))),""),IFERROR(IF(G52="","",IF(G52&gt;=8,100,IF(G52&gt;=6,90,IF(G52&gt;=4,75,IF(G52&gt;=2,60,IF(G52&gt;=1,45,IF(G52&gt;=0,30,15))))))),""),IFERROR(IF(H52="","",IF(H52&lt;=2,90,IF(H52&lt;=4,75,IF(H52&lt;=7,60,IF(H52&lt;=10,45,IF(H52&lt;=15,30,IF(H52&lt;=25,15,5))))))),""),IFERROR(IF(I52="","",IF(I52&lt;=0.5,100,IF(I52&lt;=1,90,IF(I52&lt;=1.5,75,IF(I52&lt;=2,60,IF(I52&lt;=2.5,45,IF(I52&lt;=3,30,15))))))),"")),"")</f>
        <v/>
      </c>
      <c r="K52" s="33" t="n">
        <v>25.7994</v>
      </c>
      <c r="L52" s="33" t="n">
        <v>35.92</v>
      </c>
      <c r="M52" s="33" t="n">
        <v>14.52</v>
      </c>
      <c r="N52" s="33" t="n">
        <v>0.84</v>
      </c>
      <c r="O52" s="33">
        <f>IFERROR(AVERAGE(IFERROR(IF(K52="","",IF(K52&gt;=25,100,IF(K52&gt;=20,90,IF(K52&gt;=15,75,IF(K52&gt;=10,60,IF(K52&gt;=5,45,IF(K52&gt;=0,30,15))))))),""),IFERROR(IF(L52="","",IF(L52&gt;=60,100,IF(L52&gt;=50,90,IF(L52&gt;=40,75,IF(L52&gt;=30,60,IF(L52&gt;=20,45,IF(L52&gt;=10,30,15))))))),""),IFERROR(IF(M52="","",IF(M52&gt;=25,100,IF(M52&gt;=20,90,IF(M52&gt;=15,75,IF(M52&gt;=10,60,IF(M52&gt;=5,45,IF(M52&gt;=0,30,15))))))),""),IFERROR(IF(N52="","",IF(N52&lt;=0,100,IF(N52&lt;=1,90,IF(N52&lt;=2,75,IF(N52&lt;=3,60,IF(N52&lt;=4,45,IF(N52&lt;=5,30,15))))))),"")),"")</f>
        <v/>
      </c>
      <c r="P52" s="33" t="n">
        <v>10.06</v>
      </c>
      <c r="Q52" s="33" t="n">
        <v>6</v>
      </c>
      <c r="R52" s="33" t="n">
        <v>-3.4</v>
      </c>
      <c r="S52" s="33">
        <f>IFERROR(AVERAGE(IFERROR(IF(P52="","",IF(P52&gt;=40,100,IF(P52&gt;=30,90,IF(P52&gt;=20,75,IF(P52&gt;=15,60,IF(P52&gt;=10,45,IF(P52&gt;=5,30,15))))))),""),IFERROR(IF(Q52="","",IF(Q52&gt;=40,100,IF(Q52&gt;=30,90,IF(Q52&gt;=20,75,IF(Q52&gt;=10,60,IF(Q52&gt;=5,45,IF(Q52&gt;=0,30,15))))))),""),IFERROR(IF(R52="","",IF(R52&gt;=40,100,IF(R52&gt;=30,90,IF(R52&gt;=20,75,IF(R52&gt;=10,60,IF(R52&gt;=0,45,IF(R52&gt;=-10,30,15))))))),"")),"")</f>
        <v/>
      </c>
      <c r="T52" s="33" t="n">
        <v>3</v>
      </c>
      <c r="U52" s="33" t="n">
        <v>4</v>
      </c>
      <c r="V52" s="33" t="n">
        <v>4</v>
      </c>
      <c r="W52" s="33" t="n">
        <v>5</v>
      </c>
      <c r="X52" s="33" t="n">
        <v>4</v>
      </c>
      <c r="Y52" s="33">
        <f>IFERROR(AVERAGE(T52,U52,V52,W52,X52)*20,"")</f>
        <v/>
      </c>
      <c r="Z52" s="33" t="n">
        <v>5</v>
      </c>
      <c r="AA52" s="33" t="n">
        <v>3</v>
      </c>
      <c r="AB52" s="33" t="n">
        <v>3</v>
      </c>
      <c r="AC52" s="71" t="n">
        <v>61.7</v>
      </c>
      <c r="AD52" s="33">
        <f>IFERROR(AVERAGE(IFERROR(IF(Z52="","",Z52*20),""),IFERROR(IF(AA52="","",AA52*20),""),IFERROR(IF(AB52="","",AB52*20),""),IFERROR(IF(AC52="","",IF(AC52&gt;=85,100,IF(AC52&gt;=70,90,IF(AC52&gt;=55,75,IF(AC52&gt;=40,60,IF(AC52&gt;=25,40,20)))))),"")),"")</f>
        <v/>
      </c>
      <c r="AE52" s="33" t="n">
        <v>5</v>
      </c>
      <c r="AF52" s="33" t="n">
        <v>4</v>
      </c>
      <c r="AG52" s="33" t="n">
        <v>4</v>
      </c>
      <c r="AH52" s="33" t="n">
        <v>4</v>
      </c>
      <c r="AI52" s="33">
        <f>IFERROR(AVERAGE(AE52,AF52,AG52,AH52,AL52)*20,"")</f>
        <v/>
      </c>
      <c r="AJ52" s="33">
        <f>IFERROR(J52*Weights!$B$4 + O52*Weights!$B$5 + S52*Weights!$B$6 + Y52*Weights!$B$7 + AD52*Weights!$B$8 + AI52*Weights!$B$9,"")</f>
        <v/>
      </c>
      <c r="AK52" s="33">
        <f>IF(AJ52="","",IF(AJ52&gt;=85,"✓✓✓",IF(AJ52&gt;=70,"✓✓",IF(AJ52&gt;=55,"✓",IF(AJ52&gt;=40,"?","✗")))))</f>
        <v/>
      </c>
      <c r="AL52" s="33" t="n">
        <v>5</v>
      </c>
    </row>
    <row r="53">
      <c r="A53" s="33" t="inlineStr">
        <is>
          <t>JCI</t>
        </is>
      </c>
      <c r="B53" s="33" t="inlineStr">
        <is>
          <t>Johnson Controls International plc</t>
        </is>
      </c>
      <c r="C53" s="33" t="inlineStr">
        <is>
          <t>03 Data Center Construction, REITs &amp; Cooling</t>
        </is>
      </c>
      <c r="D53" s="33" t="inlineStr">
        <is>
          <t>2026-06-24</t>
        </is>
      </c>
      <c r="E53" s="33" t="n">
        <v>24.812227</v>
      </c>
      <c r="F53" s="33" t="n">
        <v>22.218</v>
      </c>
      <c r="G53" s="33" t="n">
        <v>1.57</v>
      </c>
      <c r="H53" s="33" t="n">
        <v>3.5661032</v>
      </c>
      <c r="I53" s="33">
        <f>IF(OR(E54="",R54="",R54&lt;=0,E54&lt;0),"",E54/R54)</f>
        <v/>
      </c>
      <c r="J53" s="33">
        <f>IFERROR(AVERAGE(IFERROR(IF(E53="","",IF(E53&lt;0,5,IF(E53&lt;=15,90,IF(E53&lt;=20,75,IF(E53&lt;=25,60,IF(E53&lt;=30,45,IF(E53&lt;=40,30,IF(E53&lt;=60,15,5)))))))),""),IFERROR(IF(F53="","",IF(F53&lt;0,5,IF(F53&lt;=10,90,IF(F53&lt;=15,75,IF(F53&lt;=20,60,IF(F53&lt;=25,45,IF(F53&lt;=35,30,IF(F53&lt;=50,15,5)))))))),""),IFERROR(IF(G53="","",IF(G53&gt;=8,100,IF(G53&gt;=6,90,IF(G53&gt;=4,75,IF(G53&gt;=2,60,IF(G53&gt;=1,45,IF(G53&gt;=0,30,15))))))),""),IFERROR(IF(H53="","",IF(H53&lt;=2,90,IF(H53&lt;=4,75,IF(H53&lt;=7,60,IF(H53&lt;=10,45,IF(H53&lt;=15,30,IF(H53&lt;=25,15,5))))))),""),IFERROR(IF(I53="","",IF(I53&lt;=0.5,100,IF(I53&lt;=1,90,IF(I53&lt;=1.5,75,IF(I53&lt;=2,60,IF(I53&lt;=2.5,45,IF(I53&lt;=3,30,15))))))),"")),"")</f>
        <v/>
      </c>
      <c r="K53" s="33" t="n">
        <v>9.9473</v>
      </c>
      <c r="L53" s="33" t="n">
        <v>36.56</v>
      </c>
      <c r="M53" s="33" t="n">
        <v>5.59</v>
      </c>
      <c r="N53" s="33" t="n">
        <v>2.04</v>
      </c>
      <c r="O53" s="33">
        <f>IFERROR(AVERAGE(IFERROR(IF(K53="","",IF(K53&gt;=25,100,IF(K53&gt;=20,90,IF(K53&gt;=15,75,IF(K53&gt;=10,60,IF(K53&gt;=5,45,IF(K53&gt;=0,30,15))))))),""),IFERROR(IF(L53="","",IF(L53&gt;=60,100,IF(L53&gt;=50,90,IF(L53&gt;=40,75,IF(L53&gt;=30,60,IF(L53&gt;=20,45,IF(L53&gt;=10,30,15))))))),""),IFERROR(IF(M53="","",IF(M53&gt;=25,100,IF(M53&gt;=20,90,IF(M53&gt;=15,75,IF(M53&gt;=10,60,IF(M53&gt;=5,45,IF(M53&gt;=0,30,15))))))),""),IFERROR(IF(N53="","",IF(N53&lt;=0,100,IF(N53&lt;=1,90,IF(N53&lt;=2,75,IF(N53&lt;=3,60,IF(N53&lt;=4,45,IF(N53&lt;=5,30,15))))))),"")),"")</f>
        <v/>
      </c>
      <c r="P53" s="33" t="n">
        <v>4.57</v>
      </c>
      <c r="Q53" s="33" t="n">
        <v>8.199999999999999</v>
      </c>
      <c r="R53" s="33" t="n">
        <v>28.2</v>
      </c>
      <c r="S53" s="33">
        <f>IFERROR(AVERAGE(IFERROR(IF(P53="","",IF(P53&gt;=40,100,IF(P53&gt;=30,90,IF(P53&gt;=20,75,IF(P53&gt;=15,60,IF(P53&gt;=10,45,IF(P53&gt;=5,30,15))))))),""),IFERROR(IF(Q53="","",IF(Q53&gt;=40,100,IF(Q53&gt;=30,90,IF(Q53&gt;=20,75,IF(Q53&gt;=10,60,IF(Q53&gt;=5,45,IF(Q53&gt;=0,30,15))))))),""),IFERROR(IF(R53="","",IF(R53&gt;=40,100,IF(R53&gt;=30,90,IF(R53&gt;=20,75,IF(R53&gt;=10,60,IF(R53&gt;=0,45,IF(R53&gt;=-10,30,15))))))),"")),"")</f>
        <v/>
      </c>
      <c r="T53" s="33" t="n">
        <v>3</v>
      </c>
      <c r="U53" s="33" t="n">
        <v>4</v>
      </c>
      <c r="V53" s="33" t="n">
        <v>4</v>
      </c>
      <c r="W53" s="33" t="n">
        <v>4</v>
      </c>
      <c r="X53" s="33" t="n">
        <v>4</v>
      </c>
      <c r="Y53" s="33">
        <f>IFERROR(AVERAGE(T53,U53,V53,W53,X53)*20,"")</f>
        <v/>
      </c>
      <c r="Z53" s="33" t="n">
        <v>5</v>
      </c>
      <c r="AA53" s="33" t="n">
        <v>4</v>
      </c>
      <c r="AB53" s="33" t="n">
        <v>3</v>
      </c>
      <c r="AC53" s="71" t="n">
        <v>76.7</v>
      </c>
      <c r="AD53" s="33">
        <f>IFERROR(AVERAGE(IFERROR(IF(Z53="","",Z53*20),""),IFERROR(IF(AA53="","",AA53*20),""),IFERROR(IF(AB53="","",AB53*20),""),IFERROR(IF(AC53="","",IF(AC53&gt;=85,100,IF(AC53&gt;=70,90,IF(AC53&gt;=55,75,IF(AC53&gt;=40,60,IF(AC53&gt;=25,40,20)))))),"")),"")</f>
        <v/>
      </c>
      <c r="AE53" s="33" t="n">
        <v>5</v>
      </c>
      <c r="AF53" s="33" t="n">
        <v>4</v>
      </c>
      <c r="AG53" s="33" t="n">
        <v>4</v>
      </c>
      <c r="AH53" s="33" t="n">
        <v>4</v>
      </c>
      <c r="AI53" s="33">
        <f>IFERROR(AVERAGE(AE53,AF53,AG53,AH53,AL53)*20,"")</f>
        <v/>
      </c>
      <c r="AJ53" s="33">
        <f>IFERROR(J53*Weights!$B$4 + O53*Weights!$B$5 + S53*Weights!$B$6 + Y53*Weights!$B$7 + AD53*Weights!$B$8 + AI53*Weights!$B$9,"")</f>
        <v/>
      </c>
      <c r="AK53" s="33">
        <f>IF(AJ53="","",IF(AJ53&gt;=85,"✓✓✓",IF(AJ53&gt;=70,"✓✓",IF(AJ53&gt;=55,"✓",IF(AJ53&gt;=40,"?","✗")))))</f>
        <v/>
      </c>
      <c r="AL53" s="33" t="n">
        <v>5</v>
      </c>
    </row>
    <row r="54">
      <c r="A54" s="33" t="inlineStr">
        <is>
          <t>ASML</t>
        </is>
      </c>
      <c r="B54" s="33" t="inlineStr">
        <is>
          <t>ASML Holding N.V.</t>
        </is>
      </c>
      <c r="C54" s="33" t="inlineStr">
        <is>
          <t>04 Semiconductor Equipment &amp; Materials / Equipment</t>
        </is>
      </c>
      <c r="D54" s="33" t="inlineStr">
        <is>
          <t>2026-06-24</t>
        </is>
      </c>
      <c r="E54" s="33" t="n">
        <v>36.81584</v>
      </c>
      <c r="F54" s="33" t="n"/>
      <c r="G54" s="33" t="n"/>
      <c r="H54" s="33" t="n"/>
      <c r="I54" s="33">
        <f>IF(OR(E55="",R55="",R55&lt;=0,E55&lt;0),"",E55/R55)</f>
        <v/>
      </c>
      <c r="J54" s="33">
        <f>IFERROR(AVERAGE(IFERROR(IF(E54="","",IF(E54&lt;0,5,IF(E54&lt;=15,90,IF(E54&lt;=20,75,IF(E54&lt;=25,60,IF(E54&lt;=30,45,IF(E54&lt;=40,30,IF(E54&lt;=60,15,5)))))))),""),IFERROR(IF(F54="","",IF(F54&lt;0,5,IF(F54&lt;=10,90,IF(F54&lt;=15,75,IF(F54&lt;=20,60,IF(F54&lt;=25,45,IF(F54&lt;=35,30,IF(F54&lt;=50,15,5)))))))),""),IFERROR(IF(G54="","",IF(G54&gt;=8,100,IF(G54&gt;=6,90,IF(G54&gt;=4,75,IF(G54&gt;=2,60,IF(G54&gt;=1,45,IF(G54&gt;=0,30,15))))))),""),IFERROR(IF(H54="","",IF(H54&lt;=2,90,IF(H54&lt;=4,75,IF(H54&lt;=7,60,IF(H54&lt;=10,45,IF(H54&lt;=15,30,IF(H54&lt;=25,15,5))))))),""),IFERROR(IF(I54="","",IF(I54&lt;=0.5,100,IF(I54&lt;=1,90,IF(I54&lt;=1.5,75,IF(I54&lt;=2,60,IF(I54&lt;=2.5,45,IF(I54&lt;=3,30,15))))))),"")),"")</f>
        <v/>
      </c>
      <c r="K54" s="33" t="n">
        <v>65.1571</v>
      </c>
      <c r="L54" s="33" t="n">
        <v>52.6</v>
      </c>
      <c r="M54" s="33" t="n">
        <v>26.51</v>
      </c>
      <c r="N54" s="33" t="n">
        <v>-0.45</v>
      </c>
      <c r="O54" s="33">
        <f>IFERROR(AVERAGE(IFERROR(IF(K54="","",IF(K54&gt;=25,100,IF(K54&gt;=20,90,IF(K54&gt;=15,75,IF(K54&gt;=10,60,IF(K54&gt;=5,45,IF(K54&gt;=0,30,15))))))),""),IFERROR(IF(L54="","",IF(L54&gt;=60,100,IF(L54&gt;=50,90,IF(L54&gt;=40,75,IF(L54&gt;=30,60,IF(L54&gt;=20,45,IF(L54&gt;=10,30,15))))))),""),IFERROR(IF(M54="","",IF(M54&gt;=25,100,IF(M54&gt;=20,90,IF(M54&gt;=15,75,IF(M54&gt;=10,60,IF(M54&gt;=5,45,IF(M54&gt;=0,30,15))))))),""),IFERROR(IF(N54="","",IF(N54&lt;=0,100,IF(N54&lt;=1,90,IF(N54&lt;=2,75,IF(N54&lt;=3,60,IF(N54&lt;=4,45,IF(N54&lt;=5,30,15))))))),"")),"")</f>
        <v/>
      </c>
      <c r="P54" s="33" t="n">
        <v>15.55</v>
      </c>
      <c r="Q54" s="33" t="n">
        <v>13.2</v>
      </c>
      <c r="R54" s="33" t="n">
        <v>17.1</v>
      </c>
      <c r="S54" s="33">
        <f>IFERROR(AVERAGE(IFERROR(IF(P54="","",IF(P54&gt;=40,100,IF(P54&gt;=30,90,IF(P54&gt;=20,75,IF(P54&gt;=15,60,IF(P54&gt;=10,45,IF(P54&gt;=5,30,15))))))),""),IFERROR(IF(Q54="","",IF(Q54&gt;=40,100,IF(Q54&gt;=30,90,IF(Q54&gt;=20,75,IF(Q54&gt;=10,60,IF(Q54&gt;=5,45,IF(Q54&gt;=0,30,15))))))),""),IFERROR(IF(R54="","",IF(R54&gt;=40,100,IF(R54&gt;=30,90,IF(R54&gt;=20,75,IF(R54&gt;=10,60,IF(R54&gt;=0,45,IF(R54&gt;=-10,30,15))))))),"")),"")</f>
        <v/>
      </c>
      <c r="T54" s="33" t="n">
        <v>3</v>
      </c>
      <c r="U54" s="33" t="n">
        <v>5</v>
      </c>
      <c r="V54" s="33" t="n">
        <v>5</v>
      </c>
      <c r="W54" s="33" t="n">
        <v>4</v>
      </c>
      <c r="X54" s="33" t="n">
        <v>2</v>
      </c>
      <c r="Y54" s="33">
        <f>IFERROR(AVERAGE(T54,U54,V54,W54,X54)*20,"")</f>
        <v/>
      </c>
      <c r="Z54" s="33" t="n">
        <v>4</v>
      </c>
      <c r="AA54" s="33" t="n">
        <v>2</v>
      </c>
      <c r="AB54" s="33" t="n">
        <v>3</v>
      </c>
      <c r="AC54" s="71" t="n">
        <v>84.2</v>
      </c>
      <c r="AD54" s="33">
        <f>IFERROR(AVERAGE(IFERROR(IF(Z54="","",Z54*20),""),IFERROR(IF(AA54="","",AA54*20),""),IFERROR(IF(AB54="","",AB54*20),""),IFERROR(IF(AC54="","",IF(AC54&gt;=85,100,IF(AC54&gt;=70,90,IF(AC54&gt;=55,75,IF(AC54&gt;=40,60,IF(AC54&gt;=25,40,20)))))),"")),"")</f>
        <v/>
      </c>
      <c r="AE54" s="33" t="n">
        <v>4</v>
      </c>
      <c r="AF54" s="33" t="n">
        <v>3</v>
      </c>
      <c r="AG54" s="33" t="n">
        <v>5</v>
      </c>
      <c r="AH54" s="33" t="n">
        <v>3</v>
      </c>
      <c r="AI54" s="33">
        <f>IFERROR(AVERAGE(AE54,AF54,AG54,AH54,AL54)*20,"")</f>
        <v/>
      </c>
      <c r="AJ54" s="33">
        <f>IFERROR(J54*Weights!$B$4 + O54*Weights!$B$5 + S54*Weights!$B$6 + Y54*Weights!$B$7 + AD54*Weights!$B$8 + AI54*Weights!$B$9,"")</f>
        <v/>
      </c>
      <c r="AK54" s="33">
        <f>IF(AJ54="","",IF(AJ54&gt;=85,"✓✓✓",IF(AJ54&gt;=70,"✓✓",IF(AJ54&gt;=55,"✓",IF(AJ54&gt;=40,"?","✗")))))</f>
        <v/>
      </c>
      <c r="AL54" s="33" t="n">
        <v>5</v>
      </c>
    </row>
    <row r="55">
      <c r="A55" s="33" t="inlineStr">
        <is>
          <t>AMAT</t>
        </is>
      </c>
      <c r="B55" s="33" t="inlineStr">
        <is>
          <t>Applied Materials, Inc.</t>
        </is>
      </c>
      <c r="C55" s="33" t="inlineStr">
        <is>
          <t>04 Semiconductor Equipment &amp; Materials / Equipment</t>
        </is>
      </c>
      <c r="D55" s="33" t="inlineStr">
        <is>
          <t>2026-06-24</t>
        </is>
      </c>
      <c r="E55" s="33" t="n">
        <v>36.14091</v>
      </c>
      <c r="F55" s="33" t="n">
        <v>50.312</v>
      </c>
      <c r="G55" s="33" t="n">
        <v>1.14</v>
      </c>
      <c r="H55" s="33" t="n">
        <v>16.111435</v>
      </c>
      <c r="I55" s="33">
        <f>IF(OR(E56="",R56="",R56&lt;=0,E56&lt;0),"",E56/R56)</f>
        <v/>
      </c>
      <c r="J55" s="33">
        <f>IFERROR(AVERAGE(IFERROR(IF(E55="","",IF(E55&lt;0,5,IF(E55&lt;=15,90,IF(E55&lt;=20,75,IF(E55&lt;=25,60,IF(E55&lt;=30,45,IF(E55&lt;=40,30,IF(E55&lt;=60,15,5)))))))),""),IFERROR(IF(F55="","",IF(F55&lt;0,5,IF(F55&lt;=10,90,IF(F55&lt;=15,75,IF(F55&lt;=20,60,IF(F55&lt;=25,45,IF(F55&lt;=35,30,IF(F55&lt;=50,15,5)))))))),""),IFERROR(IF(G55="","",IF(G55&gt;=8,100,IF(G55&gt;=6,90,IF(G55&gt;=4,75,IF(G55&gt;=2,60,IF(G55&gt;=1,45,IF(G55&gt;=0,30,15))))))),""),IFERROR(IF(H55="","",IF(H55&lt;=2,90,IF(H55&lt;=4,75,IF(H55&lt;=7,60,IF(H55&lt;=10,45,IF(H55&lt;=15,30,IF(H55&lt;=25,15,5))))))),""),IFERROR(IF(I55="","",IF(I55&lt;=0.5,100,IF(I55&lt;=1,90,IF(I55&lt;=1.5,75,IF(I55&lt;=2,60,IF(I55&lt;=2.5,45,IF(I55&lt;=3,30,15))))))),"")),"")</f>
        <v/>
      </c>
      <c r="K55" s="33" t="n">
        <v>35.1075</v>
      </c>
      <c r="L55" s="33" t="n">
        <v>48.96</v>
      </c>
      <c r="M55" s="33" t="n">
        <v>18.41</v>
      </c>
      <c r="N55" s="33" t="n">
        <v>-0.1</v>
      </c>
      <c r="O55" s="33">
        <f>IFERROR(AVERAGE(IFERROR(IF(K55="","",IF(K55&gt;=25,100,IF(K55&gt;=20,90,IF(K55&gt;=15,75,IF(K55&gt;=10,60,IF(K55&gt;=5,45,IF(K55&gt;=0,30,15))))))),""),IFERROR(IF(L55="","",IF(L55&gt;=60,100,IF(L55&gt;=50,90,IF(L55&gt;=40,75,IF(L55&gt;=30,60,IF(L55&gt;=20,45,IF(L55&gt;=10,30,15))))))),""),IFERROR(IF(M55="","",IF(M55&gt;=25,100,IF(M55&gt;=20,90,IF(M55&gt;=15,75,IF(M55&gt;=10,60,IF(M55&gt;=5,45,IF(M55&gt;=0,30,15))))))),""),IFERROR(IF(N55="","",IF(N55&lt;=0,100,IF(N55&lt;=1,90,IF(N55&lt;=2,75,IF(N55&lt;=3,60,IF(N55&lt;=4,45,IF(N55&lt;=5,30,15))))))),"")),"")</f>
        <v/>
      </c>
      <c r="P55" s="33" t="n">
        <v>3.23</v>
      </c>
      <c r="Q55" s="33" t="n">
        <v>11.4</v>
      </c>
      <c r="R55" s="33" t="n">
        <v>31.3</v>
      </c>
      <c r="S55" s="33">
        <f>IFERROR(AVERAGE(IFERROR(IF(P55="","",IF(P55&gt;=40,100,IF(P55&gt;=30,90,IF(P55&gt;=20,75,IF(P55&gt;=15,60,IF(P55&gt;=10,45,IF(P55&gt;=5,30,15))))))),""),IFERROR(IF(Q55="","",IF(Q55&gt;=40,100,IF(Q55&gt;=30,90,IF(Q55&gt;=20,75,IF(Q55&gt;=10,60,IF(Q55&gt;=5,45,IF(Q55&gt;=0,30,15))))))),""),IFERROR(IF(R55="","",IF(R55&gt;=40,100,IF(R55&gt;=30,90,IF(R55&gt;=20,75,IF(R55&gt;=10,60,IF(R55&gt;=0,45,IF(R55&gt;=-10,30,15))))))),"")),"")</f>
        <v/>
      </c>
      <c r="T55" s="33" t="n">
        <v>3</v>
      </c>
      <c r="U55" s="33" t="n">
        <v>4</v>
      </c>
      <c r="V55" s="33" t="n">
        <v>4</v>
      </c>
      <c r="W55" s="33" t="n">
        <v>5</v>
      </c>
      <c r="X55" s="33" t="n">
        <v>2</v>
      </c>
      <c r="Y55" s="33">
        <f>IFERROR(AVERAGE(T55,U55,V55,W55,X55)*20,"")</f>
        <v/>
      </c>
      <c r="Z55" s="33" t="n">
        <v>4</v>
      </c>
      <c r="AA55" s="33" t="n">
        <v>3</v>
      </c>
      <c r="AB55" s="33" t="n">
        <v>3</v>
      </c>
      <c r="AC55" s="71" t="n">
        <v>96.7</v>
      </c>
      <c r="AD55" s="33">
        <f>IFERROR(AVERAGE(IFERROR(IF(Z55="","",Z55*20),""),IFERROR(IF(AA55="","",AA55*20),""),IFERROR(IF(AB55="","",AB55*20),""),IFERROR(IF(AC55="","",IF(AC55&gt;=85,100,IF(AC55&gt;=70,90,IF(AC55&gt;=55,75,IF(AC55&gt;=40,60,IF(AC55&gt;=25,40,20)))))),"")),"")</f>
        <v/>
      </c>
      <c r="AE55" s="33" t="n">
        <v>4</v>
      </c>
      <c r="AF55" s="33" t="n">
        <v>3</v>
      </c>
      <c r="AG55" s="33" t="n">
        <v>5</v>
      </c>
      <c r="AH55" s="33" t="n">
        <v>4</v>
      </c>
      <c r="AI55" s="33">
        <f>IFERROR(AVERAGE(AE55,AF55,AG55,AH55,AL55)*20,"")</f>
        <v/>
      </c>
      <c r="AJ55" s="33">
        <f>IFERROR(J55*Weights!$B$4 + O55*Weights!$B$5 + S55*Weights!$B$6 + Y55*Weights!$B$7 + AD55*Weights!$B$8 + AI55*Weights!$B$9,"")</f>
        <v/>
      </c>
      <c r="AK55" s="33">
        <f>IF(AJ55="","",IF(AJ55&gt;=85,"✓✓✓",IF(AJ55&gt;=70,"✓✓",IF(AJ55&gt;=55,"✓",IF(AJ55&gt;=40,"?","✗")))))</f>
        <v/>
      </c>
      <c r="AL55" s="33" t="n">
        <v>5</v>
      </c>
    </row>
    <row r="56">
      <c r="A56" s="33" t="inlineStr">
        <is>
          <t>LRCX</t>
        </is>
      </c>
      <c r="B56" s="33" t="inlineStr">
        <is>
          <t>Lam Research Corporation</t>
        </is>
      </c>
      <c r="C56" s="33" t="inlineStr">
        <is>
          <t>04 Semiconductor Equipment &amp; Materials / Equipment</t>
        </is>
      </c>
      <c r="D56" s="33" t="inlineStr">
        <is>
          <t>2026-06-24</t>
        </is>
      </c>
      <c r="E56" s="33" t="n">
        <v>46.803192</v>
      </c>
      <c r="F56" s="33" t="n">
        <v>59.599</v>
      </c>
      <c r="G56" s="33" t="n">
        <v>1.28</v>
      </c>
      <c r="H56" s="33" t="n">
        <v>21.617811</v>
      </c>
      <c r="I56" s="33">
        <f>IF(OR(E57="",R57="",R57&lt;=0,E57&lt;0),"",E57/R57)</f>
        <v/>
      </c>
      <c r="J56" s="33">
        <f>IFERROR(AVERAGE(IFERROR(IF(E56="","",IF(E56&lt;0,5,IF(E56&lt;=15,90,IF(E56&lt;=20,75,IF(E56&lt;=25,60,IF(E56&lt;=30,45,IF(E56&lt;=40,30,IF(E56&lt;=60,15,5)))))))),""),IFERROR(IF(F56="","",IF(F56&lt;0,5,IF(F56&lt;=10,90,IF(F56&lt;=15,75,IF(F56&lt;=20,60,IF(F56&lt;=25,45,IF(F56&lt;=35,30,IF(F56&lt;=50,15,5)))))))),""),IFERROR(IF(G56="","",IF(G56&gt;=8,100,IF(G56&gt;=6,90,IF(G56&gt;=4,75,IF(G56&gt;=2,60,IF(G56&gt;=1,45,IF(G56&gt;=0,30,15))))))),""),IFERROR(IF(H56="","",IF(H56&lt;=2,90,IF(H56&lt;=4,75,IF(H56&lt;=7,60,IF(H56&lt;=10,45,IF(H56&lt;=15,30,IF(H56&lt;=25,15,5))))))),""),IFERROR(IF(I56="","",IF(I56&lt;=0.5,100,IF(I56&lt;=1,90,IF(I56&lt;=1.5,75,IF(I56&lt;=2,60,IF(I56&lt;=2.5,45,IF(I56&lt;=3,30,15))))))),"")),"")</f>
        <v/>
      </c>
      <c r="K56" s="33" t="n">
        <v>71.6579</v>
      </c>
      <c r="L56" s="33" t="n">
        <v>49.98</v>
      </c>
      <c r="M56" s="33" t="n">
        <v>27.7</v>
      </c>
      <c r="N56" s="33" t="n">
        <v>-0.13</v>
      </c>
      <c r="O56" s="33">
        <f>IFERROR(AVERAGE(IFERROR(IF(K56="","",IF(K56&gt;=25,100,IF(K56&gt;=20,90,IF(K56&gt;=15,75,IF(K56&gt;=10,60,IF(K56&gt;=5,45,IF(K56&gt;=0,30,15))))))),""),IFERROR(IF(L56="","",IF(L56&gt;=60,100,IF(L56&gt;=50,90,IF(L56&gt;=40,75,IF(L56&gt;=30,60,IF(L56&gt;=20,45,IF(L56&gt;=10,30,15))))))),""),IFERROR(IF(M56="","",IF(M56&gt;=25,100,IF(M56&gt;=20,90,IF(M56&gt;=15,75,IF(M56&gt;=10,60,IF(M56&gt;=5,45,IF(M56&gt;=0,30,15))))))),""),IFERROR(IF(N56="","",IF(N56&lt;=0,100,IF(N56&lt;=1,90,IF(N56&lt;=2,75,IF(N56&lt;=3,60,IF(N56&lt;=4,45,IF(N56&lt;=5,30,15))))))),"")),"")</f>
        <v/>
      </c>
      <c r="P56" s="33" t="n">
        <v>2.29</v>
      </c>
      <c r="Q56" s="33" t="n">
        <v>23.8</v>
      </c>
      <c r="R56" s="33" t="n">
        <v>37.2</v>
      </c>
      <c r="S56" s="33">
        <f>IFERROR(AVERAGE(IFERROR(IF(P56="","",IF(P56&gt;=40,100,IF(P56&gt;=30,90,IF(P56&gt;=20,75,IF(P56&gt;=15,60,IF(P56&gt;=10,45,IF(P56&gt;=5,30,15))))))),""),IFERROR(IF(Q56="","",IF(Q56&gt;=40,100,IF(Q56&gt;=30,90,IF(Q56&gt;=20,75,IF(Q56&gt;=10,60,IF(Q56&gt;=5,45,IF(Q56&gt;=0,30,15))))))),""),IFERROR(IF(R56="","",IF(R56&gt;=40,100,IF(R56&gt;=30,90,IF(R56&gt;=20,75,IF(R56&gt;=10,60,IF(R56&gt;=0,45,IF(R56&gt;=-10,30,15))))))),"")),"")</f>
        <v/>
      </c>
      <c r="T56" s="33" t="n">
        <v>3</v>
      </c>
      <c r="U56" s="33" t="n">
        <v>4</v>
      </c>
      <c r="V56" s="33" t="n">
        <v>4</v>
      </c>
      <c r="W56" s="33" t="n">
        <v>5</v>
      </c>
      <c r="X56" s="33" t="n">
        <v>2</v>
      </c>
      <c r="Y56" s="33">
        <f>IFERROR(AVERAGE(T56,U56,V56,W56,X56)*20,"")</f>
        <v/>
      </c>
      <c r="Z56" s="33" t="n">
        <v>5</v>
      </c>
      <c r="AA56" s="33" t="n">
        <v>4</v>
      </c>
      <c r="AB56" s="33" t="n">
        <v>3</v>
      </c>
      <c r="AC56" s="71" t="n">
        <v>85.8</v>
      </c>
      <c r="AD56" s="33">
        <f>IFERROR(AVERAGE(IFERROR(IF(Z56="","",Z56*20),""),IFERROR(IF(AA56="","",AA56*20),""),IFERROR(IF(AB56="","",AB56*20),""),IFERROR(IF(AC56="","",IF(AC56&gt;=85,100,IF(AC56&gt;=70,90,IF(AC56&gt;=55,75,IF(AC56&gt;=40,60,IF(AC56&gt;=25,40,20)))))),"")),"")</f>
        <v/>
      </c>
      <c r="AE56" s="33" t="n">
        <v>4</v>
      </c>
      <c r="AF56" s="33" t="n">
        <v>3</v>
      </c>
      <c r="AG56" s="33" t="n">
        <v>5</v>
      </c>
      <c r="AH56" s="33" t="n">
        <v>4</v>
      </c>
      <c r="AI56" s="33">
        <f>IFERROR(AVERAGE(AE56,AF56,AG56,AH56,AL56)*20,"")</f>
        <v/>
      </c>
      <c r="AJ56" s="33">
        <f>IFERROR(J56*Weights!$B$4 + O56*Weights!$B$5 + S56*Weights!$B$6 + Y56*Weights!$B$7 + AD56*Weights!$B$8 + AI56*Weights!$B$9,"")</f>
        <v/>
      </c>
      <c r="AK56" s="33">
        <f>IF(AJ56="","",IF(AJ56&gt;=85,"✓✓✓",IF(AJ56&gt;=70,"✓✓",IF(AJ56&gt;=55,"✓",IF(AJ56&gt;=40,"?","✗")))))</f>
        <v/>
      </c>
      <c r="AL56" s="33" t="n">
        <v>5</v>
      </c>
    </row>
    <row r="57">
      <c r="A57" s="33" t="inlineStr">
        <is>
          <t>KLAC</t>
        </is>
      </c>
      <c r="B57" s="33" t="inlineStr">
        <is>
          <t>KLA Corporation</t>
        </is>
      </c>
      <c r="C57" s="33" t="inlineStr">
        <is>
          <t>04 Semiconductor Equipment &amp; Materials / Equipment</t>
        </is>
      </c>
      <c r="D57" s="33" t="inlineStr">
        <is>
          <t>2026-06-24</t>
        </is>
      </c>
      <c r="E57" s="33" t="n">
        <v>47.5102</v>
      </c>
      <c r="F57" s="33" t="n">
        <v>53.899</v>
      </c>
      <c r="G57" s="33" t="n">
        <v>1.28</v>
      </c>
      <c r="H57" s="33" t="n">
        <v>23.985737</v>
      </c>
      <c r="I57" s="33">
        <f>IF(OR(E58="",R58="",R58&lt;=0,E58&lt;0),"",E58/R58)</f>
        <v/>
      </c>
      <c r="J57" s="33">
        <f>IFERROR(AVERAGE(IFERROR(IF(E57="","",IF(E57&lt;0,5,IF(E57&lt;=15,90,IF(E57&lt;=20,75,IF(E57&lt;=25,60,IF(E57&lt;=30,45,IF(E57&lt;=40,30,IF(E57&lt;=60,15,5)))))))),""),IFERROR(IF(F57="","",IF(F57&lt;0,5,IF(F57&lt;=10,90,IF(F57&lt;=15,75,IF(F57&lt;=20,60,IF(F57&lt;=25,45,IF(F57&lt;=35,30,IF(F57&lt;=50,15,5)))))))),""),IFERROR(IF(G57="","",IF(G57&gt;=8,100,IF(G57&gt;=6,90,IF(G57&gt;=4,75,IF(G57&gt;=2,60,IF(G57&gt;=1,45,IF(G57&gt;=0,30,15))))))),""),IFERROR(IF(H57="","",IF(H57&lt;=2,90,IF(H57&lt;=4,75,IF(H57&lt;=7,60,IF(H57&lt;=10,45,IF(H57&lt;=15,30,IF(H57&lt;=25,15,5))))))),""),IFERROR(IF(I57="","",IF(I57&lt;=0.5,100,IF(I57&lt;=1,90,IF(I57&lt;=1.5,75,IF(I57&lt;=2,60,IF(I57&lt;=2.5,45,IF(I57&lt;=3,30,15))))))),"")),"")</f>
        <v/>
      </c>
      <c r="K57" s="33" t="n">
        <v>48.2598</v>
      </c>
      <c r="L57" s="33" t="n">
        <v>61.45</v>
      </c>
      <c r="M57" s="33" t="n">
        <v>30.64</v>
      </c>
      <c r="N57" s="33" t="n">
        <v>0.2</v>
      </c>
      <c r="O57" s="33">
        <f>IFERROR(AVERAGE(IFERROR(IF(K57="","",IF(K57&gt;=25,100,IF(K57&gt;=20,90,IF(K57&gt;=15,75,IF(K57&gt;=10,60,IF(K57&gt;=5,45,IF(K57&gt;=0,30,15))))))),""),IFERROR(IF(L57="","",IF(L57&gt;=60,100,IF(L57&gt;=50,90,IF(L57&gt;=40,75,IF(L57&gt;=30,60,IF(L57&gt;=20,45,IF(L57&gt;=10,30,15))))))),""),IFERROR(IF(M57="","",IF(M57&gt;=25,100,IF(M57&gt;=20,90,IF(M57&gt;=15,75,IF(M57&gt;=10,60,IF(M57&gt;=5,45,IF(M57&gt;=0,30,15))))))),""),IFERROR(IF(N57="","",IF(N57&lt;=0,100,IF(N57&lt;=1,90,IF(N57&lt;=2,75,IF(N57&lt;=3,60,IF(N57&lt;=4,45,IF(N57&lt;=5,30,15))))))),"")),"")</f>
        <v/>
      </c>
      <c r="P57" s="33" t="n">
        <v>9.69</v>
      </c>
      <c r="Q57" s="33" t="n">
        <v>11.5</v>
      </c>
      <c r="R57" s="33" t="n">
        <v>10.3</v>
      </c>
      <c r="S57" s="33">
        <f>IFERROR(AVERAGE(IFERROR(IF(P57="","",IF(P57&gt;=40,100,IF(P57&gt;=30,90,IF(P57&gt;=20,75,IF(P57&gt;=15,60,IF(P57&gt;=10,45,IF(P57&gt;=5,30,15))))))),""),IFERROR(IF(Q57="","",IF(Q57&gt;=40,100,IF(Q57&gt;=30,90,IF(Q57&gt;=20,75,IF(Q57&gt;=10,60,IF(Q57&gt;=5,45,IF(Q57&gt;=0,30,15))))))),""),IFERROR(IF(R57="","",IF(R57&gt;=40,100,IF(R57&gt;=30,90,IF(R57&gt;=20,75,IF(R57&gt;=10,60,IF(R57&gt;=0,45,IF(R57&gt;=-10,30,15))))))),"")),"")</f>
        <v/>
      </c>
      <c r="T57" s="33" t="n">
        <v>4</v>
      </c>
      <c r="U57" s="33" t="n">
        <v>5</v>
      </c>
      <c r="V57" s="33" t="n">
        <v>5</v>
      </c>
      <c r="W57" s="33" t="n">
        <v>4</v>
      </c>
      <c r="X57" s="33" t="n">
        <v>4</v>
      </c>
      <c r="Y57" s="33">
        <f>IFERROR(AVERAGE(T57,U57,V57,W57,X57)*20,"")</f>
        <v/>
      </c>
      <c r="Z57" s="33" t="n">
        <v>5</v>
      </c>
      <c r="AA57" s="33" t="n">
        <v>2</v>
      </c>
      <c r="AB57" s="33" t="n">
        <v>3</v>
      </c>
      <c r="AC57" s="71" t="n">
        <v>90.8</v>
      </c>
      <c r="AD57" s="33">
        <f>IFERROR(AVERAGE(IFERROR(IF(Z57="","",Z57*20),""),IFERROR(IF(AA57="","",AA57*20),""),IFERROR(IF(AB57="","",AB57*20),""),IFERROR(IF(AC57="","",IF(AC57&gt;=85,100,IF(AC57&gt;=70,90,IF(AC57&gt;=55,75,IF(AC57&gt;=40,60,IF(AC57&gt;=25,40,20)))))),"")),"")</f>
        <v/>
      </c>
      <c r="AE57" s="33" t="n">
        <v>4</v>
      </c>
      <c r="AF57" s="33" t="n">
        <v>3</v>
      </c>
      <c r="AG57" s="33" t="n">
        <v>5</v>
      </c>
      <c r="AH57" s="33" t="n">
        <v>4</v>
      </c>
      <c r="AI57" s="33">
        <f>IFERROR(AVERAGE(AE57,AF57,AG57,AH57,AL57)*20,"")</f>
        <v/>
      </c>
      <c r="AJ57" s="33">
        <f>IFERROR(J57*Weights!$B$4 + O57*Weights!$B$5 + S57*Weights!$B$6 + Y57*Weights!$B$7 + AD57*Weights!$B$8 + AI57*Weights!$B$9,"")</f>
        <v/>
      </c>
      <c r="AK57" s="33">
        <f>IF(AJ57="","",IF(AJ57&gt;=85,"✓✓✓",IF(AJ57&gt;=70,"✓✓",IF(AJ57&gt;=55,"✓",IF(AJ57&gt;=40,"?","✗")))))</f>
        <v/>
      </c>
      <c r="AL57" s="33" t="n">
        <v>5</v>
      </c>
    </row>
    <row r="58">
      <c r="A58" s="33" t="inlineStr">
        <is>
          <t>TOELY</t>
        </is>
      </c>
      <c r="B58" s="33" t="inlineStr">
        <is>
          <t>Tokyo Electron Limited</t>
        </is>
      </c>
      <c r="C58" s="33" t="inlineStr">
        <is>
          <t>04 Semiconductor Equipment &amp; Materials / Equipment</t>
        </is>
      </c>
      <c r="D58" s="33" t="inlineStr">
        <is>
          <t>2026-06-24</t>
        </is>
      </c>
      <c r="E58" s="33" t="n"/>
      <c r="F58" s="33" t="n"/>
      <c r="G58" s="33" t="n"/>
      <c r="H58" s="33" t="n"/>
      <c r="I58" s="33">
        <f>IF(OR(E59="",R59="",R59&lt;=0,E59&lt;0),"",E59/R59)</f>
        <v/>
      </c>
      <c r="J58" s="33">
        <f>IFERROR(AVERAGE(IFERROR(IF(E58="","",IF(E58&lt;0,5,IF(E58&lt;=15,90,IF(E58&lt;=20,75,IF(E58&lt;=25,60,IF(E58&lt;=30,45,IF(E58&lt;=40,30,IF(E58&lt;=60,15,5)))))))),""),IFERROR(IF(F58="","",IF(F58&lt;0,5,IF(F58&lt;=10,90,IF(F58&lt;=15,75,IF(F58&lt;=20,60,IF(F58&lt;=25,45,IF(F58&lt;=35,30,IF(F58&lt;=50,15,5)))))))),""),IFERROR(IF(G58="","",IF(G58&gt;=8,100,IF(G58&gt;=6,90,IF(G58&gt;=4,75,IF(G58&gt;=2,60,IF(G58&gt;=1,45,IF(G58&gt;=0,30,15))))))),""),IFERROR(IF(H58="","",IF(H58&lt;=2,90,IF(H58&lt;=4,75,IF(H58&lt;=7,60,IF(H58&lt;=10,45,IF(H58&lt;=15,30,IF(H58&lt;=25,15,5))))))),""),IFERROR(IF(I58="","",IF(I58&lt;=0.5,100,IF(I58&lt;=1,90,IF(I58&lt;=1.5,75,IF(I58&lt;=2,60,IF(I58&lt;=2.5,45,IF(I58&lt;=3,30,15))))))),"")),"")</f>
        <v/>
      </c>
      <c r="K58" s="33" t="n"/>
      <c r="L58" s="33" t="n">
        <v>45.34</v>
      </c>
      <c r="M58" s="33" t="n">
        <v>9.380000000000001</v>
      </c>
      <c r="N58" s="33" t="n">
        <v>-0.72</v>
      </c>
      <c r="O58" s="33">
        <f>IFERROR(AVERAGE(IFERROR(IF(K58="","",IF(K58&gt;=25,100,IF(K58&gt;=20,90,IF(K58&gt;=15,75,IF(K58&gt;=10,60,IF(K58&gt;=5,45,IF(K58&gt;=0,30,15))))))),""),IFERROR(IF(L58="","",IF(L58&gt;=60,100,IF(L58&gt;=50,90,IF(L58&gt;=40,75,IF(L58&gt;=30,60,IF(L58&gt;=20,45,IF(L58&gt;=10,30,15))))))),""),IFERROR(IF(M58="","",IF(M58&gt;=25,100,IF(M58&gt;=20,90,IF(M58&gt;=15,75,IF(M58&gt;=10,60,IF(M58&gt;=5,45,IF(M58&gt;=0,30,15))))))),""),IFERROR(IF(N58="","",IF(N58&lt;=0,100,IF(N58&lt;=1,90,IF(N58&lt;=2,75,IF(N58&lt;=3,60,IF(N58&lt;=4,45,IF(N58&lt;=5,30,15))))))),"")),"")</f>
        <v/>
      </c>
      <c r="P58" s="33" t="n">
        <v>3.42</v>
      </c>
      <c r="Q58" s="33" t="n">
        <v>8.6</v>
      </c>
      <c r="R58" s="33" t="n">
        <v>49.9</v>
      </c>
      <c r="S58" s="33">
        <f>IFERROR(AVERAGE(IFERROR(IF(P58="","",IF(P58&gt;=40,100,IF(P58&gt;=30,90,IF(P58&gt;=20,75,IF(P58&gt;=15,60,IF(P58&gt;=10,45,IF(P58&gt;=5,30,15))))))),""),IFERROR(IF(Q58="","",IF(Q58&gt;=40,100,IF(Q58&gt;=30,90,IF(Q58&gt;=20,75,IF(Q58&gt;=10,60,IF(Q58&gt;=5,45,IF(Q58&gt;=0,30,15))))))),""),IFERROR(IF(R58="","",IF(R58&gt;=40,100,IF(R58&gt;=30,90,IF(R58&gt;=20,75,IF(R58&gt;=10,60,IF(R58&gt;=0,45,IF(R58&gt;=-10,30,15))))))),"")),"")</f>
        <v/>
      </c>
      <c r="T58" s="33" t="n">
        <v>3</v>
      </c>
      <c r="U58" s="33" t="n">
        <v>4</v>
      </c>
      <c r="V58" s="33" t="n">
        <v>4</v>
      </c>
      <c r="W58" s="33" t="n">
        <v>4</v>
      </c>
      <c r="X58" s="33" t="n">
        <v>3</v>
      </c>
      <c r="Y58" s="33">
        <f>IFERROR(AVERAGE(T58,U58,V58,W58,X58)*20,"")</f>
        <v/>
      </c>
      <c r="Z58" s="33" t="n">
        <v>3</v>
      </c>
      <c r="AA58" s="33" t="n">
        <v>2</v>
      </c>
      <c r="AB58" s="33" t="n">
        <v>3</v>
      </c>
      <c r="AC58" s="71" t="n">
        <v>81.7</v>
      </c>
      <c r="AD58" s="33">
        <f>IFERROR(AVERAGE(IFERROR(IF(Z58="","",Z58*20),""),IFERROR(IF(AA58="","",AA58*20),""),IFERROR(IF(AB58="","",AB58*20),""),IFERROR(IF(AC58="","",IF(AC58&gt;=85,100,IF(AC58&gt;=70,90,IF(AC58&gt;=55,75,IF(AC58&gt;=40,60,IF(AC58&gt;=25,40,20)))))),"")),"")</f>
        <v/>
      </c>
      <c r="AE58" s="33" t="n">
        <v>4</v>
      </c>
      <c r="AF58" s="33" t="n">
        <v>3</v>
      </c>
      <c r="AG58" s="33" t="n">
        <v>5</v>
      </c>
      <c r="AH58" s="33" t="n">
        <v>4</v>
      </c>
      <c r="AI58" s="33">
        <f>IFERROR(AVERAGE(AE58,AF58,AG58,AH58,AL58)*20,"")</f>
        <v/>
      </c>
      <c r="AJ58" s="33">
        <f>IFERROR(J58*Weights!$B$4 + O58*Weights!$B$5 + S58*Weights!$B$6 + Y58*Weights!$B$7 + AD58*Weights!$B$8 + AI58*Weights!$B$9,"")</f>
        <v/>
      </c>
      <c r="AK58" s="33">
        <f>IF(AJ58="","",IF(AJ58&gt;=85,"✓✓✓",IF(AJ58&gt;=70,"✓✓",IF(AJ58&gt;=55,"✓",IF(AJ58&gt;=40,"?","✗")))))</f>
        <v/>
      </c>
      <c r="AL58" s="33" t="n">
        <v>5</v>
      </c>
    </row>
    <row r="59">
      <c r="A59" s="33" t="inlineStr">
        <is>
          <t>TER</t>
        </is>
      </c>
      <c r="B59" s="33" t="inlineStr">
        <is>
          <t>Teradyne, Inc.</t>
        </is>
      </c>
      <c r="C59" s="33" t="inlineStr">
        <is>
          <t>04 Semiconductor Equipment &amp; Materials / Equipment</t>
        </is>
      </c>
      <c r="D59" s="33" t="inlineStr">
        <is>
          <t>2026-06-24</t>
        </is>
      </c>
      <c r="E59" s="33" t="n">
        <v>44.73392</v>
      </c>
      <c r="F59" s="33" t="n">
        <v>57.439</v>
      </c>
      <c r="G59" s="33" t="n">
        <v>0.83</v>
      </c>
      <c r="H59" s="33" t="n">
        <v>17.659803</v>
      </c>
      <c r="I59" s="33">
        <f>IF(OR(E60="",R60="",R60&lt;=0,E60&lt;0),"",E60/R60)</f>
        <v/>
      </c>
      <c r="J59" s="33">
        <f>IFERROR(AVERAGE(IFERROR(IF(E59="","",IF(E59&lt;0,5,IF(E59&lt;=15,90,IF(E59&lt;=20,75,IF(E59&lt;=25,60,IF(E59&lt;=30,45,IF(E59&lt;=40,30,IF(E59&lt;=60,15,5)))))))),""),IFERROR(IF(F59="","",IF(F59&lt;0,5,IF(F59&lt;=10,90,IF(F59&lt;=15,75,IF(F59&lt;=20,60,IF(F59&lt;=25,45,IF(F59&lt;=35,30,IF(F59&lt;=50,15,5)))))))),""),IFERROR(IF(G59="","",IF(G59&gt;=8,100,IF(G59&gt;=6,90,IF(G59&gt;=4,75,IF(G59&gt;=2,60,IF(G59&gt;=1,45,IF(G59&gt;=0,30,15))))))),""),IFERROR(IF(H59="","",IF(H59&lt;=2,90,IF(H59&lt;=4,75,IF(H59&lt;=7,60,IF(H59&lt;=10,45,IF(H59&lt;=15,30,IF(H59&lt;=25,15,5))))))),""),IFERROR(IF(I59="","",IF(I59&lt;=0.5,100,IF(I59&lt;=1,90,IF(I59&lt;=1.5,75,IF(I59&lt;=2,60,IF(I59&lt;=2.5,45,IF(I59&lt;=3,30,15))))))),"")),"")</f>
        <v/>
      </c>
      <c r="K59" s="33" t="n">
        <v>29.5226</v>
      </c>
      <c r="L59" s="33" t="n">
        <v>58.7</v>
      </c>
      <c r="M59" s="33" t="n">
        <v>14.61</v>
      </c>
      <c r="N59" s="33" t="n">
        <v>-0.14</v>
      </c>
      <c r="O59" s="33">
        <f>IFERROR(AVERAGE(IFERROR(IF(K59="","",IF(K59&gt;=25,100,IF(K59&gt;=20,90,IF(K59&gt;=15,75,IF(K59&gt;=10,60,IF(K59&gt;=5,45,IF(K59&gt;=0,30,15))))))),""),IFERROR(IF(L59="","",IF(L59&gt;=60,100,IF(L59&gt;=50,90,IF(L59&gt;=40,75,IF(L59&gt;=30,60,IF(L59&gt;=20,45,IF(L59&gt;=10,30,15))))))),""),IFERROR(IF(M59="","",IF(M59&gt;=25,100,IF(M59&gt;=20,90,IF(M59&gt;=15,75,IF(M59&gt;=10,60,IF(M59&gt;=5,45,IF(M59&gt;=0,30,15))))))),""),IFERROR(IF(N59="","",IF(N59&lt;=0,100,IF(N59&lt;=1,90,IF(N59&lt;=2,75,IF(N59&lt;=3,60,IF(N59&lt;=4,45,IF(N59&lt;=5,30,15))))))),"")),"")</f>
        <v/>
      </c>
      <c r="P59" s="33" t="n">
        <v>0.37</v>
      </c>
      <c r="Q59" s="33" t="n">
        <v>87</v>
      </c>
      <c r="R59" s="33" t="n">
        <v>303.4</v>
      </c>
      <c r="S59" s="33">
        <f>IFERROR(AVERAGE(IFERROR(IF(P59="","",IF(P59&gt;=40,100,IF(P59&gt;=30,90,IF(P59&gt;=20,75,IF(P59&gt;=15,60,IF(P59&gt;=10,45,IF(P59&gt;=5,30,15))))))),""),IFERROR(IF(Q59="","",IF(Q59&gt;=40,100,IF(Q59&gt;=30,90,IF(Q59&gt;=20,75,IF(Q59&gt;=10,60,IF(Q59&gt;=5,45,IF(Q59&gt;=0,30,15))))))),""),IFERROR(IF(R59="","",IF(R59&gt;=40,100,IF(R59&gt;=30,90,IF(R59&gt;=20,75,IF(R59&gt;=10,60,IF(R59&gt;=0,45,IF(R59&gt;=-10,30,15))))))),"")),"")</f>
        <v/>
      </c>
      <c r="T59" s="33" t="n">
        <v>5</v>
      </c>
      <c r="U59" s="33" t="n">
        <v>4</v>
      </c>
      <c r="V59" s="33" t="n">
        <v>4</v>
      </c>
      <c r="W59" s="33" t="n">
        <v>4</v>
      </c>
      <c r="X59" s="33" t="n">
        <v>3</v>
      </c>
      <c r="Y59" s="33">
        <f>IFERROR(AVERAGE(T59,U59,V59,W59,X59)*20,"")</f>
        <v/>
      </c>
      <c r="Z59" s="33" t="n">
        <v>5</v>
      </c>
      <c r="AA59" s="33" t="n">
        <v>5</v>
      </c>
      <c r="AB59" s="33" t="n">
        <v>3</v>
      </c>
      <c r="AC59" s="71" t="n">
        <v>95.8</v>
      </c>
      <c r="AD59" s="33">
        <f>IFERROR(AVERAGE(IFERROR(IF(Z59="","",Z59*20),""),IFERROR(IF(AA59="","",AA59*20),""),IFERROR(IF(AB59="","",AB59*20),""),IFERROR(IF(AC59="","",IF(AC59&gt;=85,100,IF(AC59&gt;=70,90,IF(AC59&gt;=55,75,IF(AC59&gt;=40,60,IF(AC59&gt;=25,40,20)))))),"")),"")</f>
        <v/>
      </c>
      <c r="AE59" s="33" t="n">
        <v>4</v>
      </c>
      <c r="AF59" s="33" t="n">
        <v>4</v>
      </c>
      <c r="AG59" s="33" t="n">
        <v>5</v>
      </c>
      <c r="AH59" s="33" t="n">
        <v>4</v>
      </c>
      <c r="AI59" s="33">
        <f>IFERROR(AVERAGE(AE59,AF59,AG59,AH59,AL59)*20,"")</f>
        <v/>
      </c>
      <c r="AJ59" s="33">
        <f>IFERROR(J59*Weights!$B$4 + O59*Weights!$B$5 + S59*Weights!$B$6 + Y59*Weights!$B$7 + AD59*Weights!$B$8 + AI59*Weights!$B$9,"")</f>
        <v/>
      </c>
      <c r="AK59" s="33">
        <f>IF(AJ59="","",IF(AJ59&gt;=85,"✓✓✓",IF(AJ59&gt;=70,"✓✓",IF(AJ59&gt;=55,"✓",IF(AJ59&gt;=40,"?","✗")))))</f>
        <v/>
      </c>
      <c r="AL59" s="33" t="n">
        <v>5</v>
      </c>
    </row>
    <row r="60">
      <c r="A60" s="33" t="inlineStr">
        <is>
          <t>ONTO</t>
        </is>
      </c>
      <c r="B60" s="33" t="inlineStr">
        <is>
          <t>Onto Innovation Inc.</t>
        </is>
      </c>
      <c r="C60" s="33" t="inlineStr">
        <is>
          <t>04 Semiconductor Equipment &amp; Materials / Equipment</t>
        </is>
      </c>
      <c r="D60" s="33" t="inlineStr">
        <is>
          <t>2026-06-24</t>
        </is>
      </c>
      <c r="E60" s="33" t="n">
        <v>32.401463</v>
      </c>
      <c r="F60" s="33" t="n">
        <v>57.603</v>
      </c>
      <c r="G60" s="33" t="n">
        <v>1.49</v>
      </c>
      <c r="H60" s="33" t="n">
        <v>15.553357</v>
      </c>
      <c r="I60" s="33">
        <f>IF(OR(E61="",R61="",R61&lt;=0,E61&lt;0),"",E61/R61)</f>
        <v/>
      </c>
      <c r="J60" s="33">
        <f>IFERROR(AVERAGE(IFERROR(IF(E60="","",IF(E60&lt;0,5,IF(E60&lt;=15,90,IF(E60&lt;=20,75,IF(E60&lt;=25,60,IF(E60&lt;=30,45,IF(E60&lt;=40,30,IF(E60&lt;=60,15,5)))))))),""),IFERROR(IF(F60="","",IF(F60&lt;0,5,IF(F60&lt;=10,90,IF(F60&lt;=15,75,IF(F60&lt;=20,60,IF(F60&lt;=25,45,IF(F60&lt;=35,30,IF(F60&lt;=50,15,5)))))))),""),IFERROR(IF(G60="","",IF(G60&gt;=8,100,IF(G60&gt;=6,90,IF(G60&gt;=4,75,IF(G60&gt;=2,60,IF(G60&gt;=1,45,IF(G60&gt;=0,30,15))))))),""),IFERROR(IF(H60="","",IF(H60&lt;=2,90,IF(H60&lt;=4,75,IF(H60&lt;=7,60,IF(H60&lt;=10,45,IF(H60&lt;=15,30,IF(H60&lt;=25,15,5))))))),""),IFERROR(IF(I60="","",IF(I60&lt;=0.5,100,IF(I60&lt;=1,90,IF(I60&lt;=1.5,75,IF(I60&lt;=2,60,IF(I60&lt;=2.5,45,IF(I60&lt;=3,30,15))))))),"")),"")</f>
        <v/>
      </c>
      <c r="K60" s="33" t="n"/>
      <c r="L60" s="33" t="n">
        <v>54.19</v>
      </c>
      <c r="M60" s="33" t="n">
        <v>23.17</v>
      </c>
      <c r="N60" s="33" t="n">
        <v>-2.45</v>
      </c>
      <c r="O60" s="33">
        <f>IFERROR(AVERAGE(IFERROR(IF(K60="","",IF(K60&gt;=25,100,IF(K60&gt;=20,90,IF(K60&gt;=15,75,IF(K60&gt;=10,60,IF(K60&gt;=5,45,IF(K60&gt;=0,30,15))))))),""),IFERROR(IF(L60="","",IF(L60&gt;=60,100,IF(L60&gt;=50,90,IF(L60&gt;=40,75,IF(L60&gt;=30,60,IF(L60&gt;=20,45,IF(L60&gt;=10,30,15))))))),""),IFERROR(IF(M60="","",IF(M60&gt;=25,100,IF(M60&gt;=20,90,IF(M60&gt;=15,75,IF(M60&gt;=10,60,IF(M60&gt;=5,45,IF(M60&gt;=0,30,15))))))),""),IFERROR(IF(N60="","",IF(N60&lt;=0,100,IF(N60&lt;=1,90,IF(N60&lt;=2,75,IF(N60&lt;=3,60,IF(N60&lt;=4,45,IF(N60&lt;=5,30,15))))))),"")),"")</f>
        <v/>
      </c>
      <c r="P60" s="33" t="n">
        <v>0</v>
      </c>
      <c r="Q60" s="33" t="n">
        <v>9.5</v>
      </c>
      <c r="R60" s="33" t="n">
        <v>-47.3</v>
      </c>
      <c r="S60" s="33">
        <f>IFERROR(AVERAGE(IFERROR(IF(P60="","",IF(P60&gt;=40,100,IF(P60&gt;=30,90,IF(P60&gt;=20,75,IF(P60&gt;=15,60,IF(P60&gt;=10,45,IF(P60&gt;=5,30,15))))))),""),IFERROR(IF(Q60="","",IF(Q60&gt;=40,100,IF(Q60&gt;=30,90,IF(Q60&gt;=20,75,IF(Q60&gt;=10,60,IF(Q60&gt;=5,45,IF(Q60&gt;=0,30,15))))))),""),IFERROR(IF(R60="","",IF(R60&gt;=40,100,IF(R60&gt;=30,90,IF(R60&gt;=20,75,IF(R60&gt;=10,60,IF(R60&gt;=0,45,IF(R60&gt;=-10,30,15))))))),"")),"")</f>
        <v/>
      </c>
      <c r="T60" s="33" t="n">
        <v>5</v>
      </c>
      <c r="U60" s="33" t="n">
        <v>4</v>
      </c>
      <c r="V60" s="33" t="n">
        <v>4</v>
      </c>
      <c r="W60" s="33" t="n">
        <v>5</v>
      </c>
      <c r="X60" s="33" t="n">
        <v>4</v>
      </c>
      <c r="Y60" s="33">
        <f>IFERROR(AVERAGE(T60,U60,V60,W60,X60)*20,"")</f>
        <v/>
      </c>
      <c r="Z60" s="33" t="n">
        <v>5</v>
      </c>
      <c r="AA60" s="33" t="n">
        <v>5</v>
      </c>
      <c r="AB60" s="33" t="n">
        <v>3</v>
      </c>
      <c r="AC60" s="71" t="n">
        <v>84.2</v>
      </c>
      <c r="AD60" s="33">
        <f>IFERROR(AVERAGE(IFERROR(IF(Z60="","",Z60*20),""),IFERROR(IF(AA60="","",AA60*20),""),IFERROR(IF(AB60="","",AB60*20),""),IFERROR(IF(AC60="","",IF(AC60&gt;=85,100,IF(AC60&gt;=70,90,IF(AC60&gt;=55,75,IF(AC60&gt;=40,60,IF(AC60&gt;=25,40,20)))))),"")),"")</f>
        <v/>
      </c>
      <c r="AE60" s="33" t="n">
        <v>4</v>
      </c>
      <c r="AF60" s="33" t="n">
        <v>4</v>
      </c>
      <c r="AG60" s="33" t="n">
        <v>5</v>
      </c>
      <c r="AH60" s="33" t="n">
        <v>4</v>
      </c>
      <c r="AI60" s="33">
        <f>IFERROR(AVERAGE(AE60,AF60,AG60,AH60,AL60)*20,"")</f>
        <v/>
      </c>
      <c r="AJ60" s="33">
        <f>IFERROR(J60*Weights!$B$4 + O60*Weights!$B$5 + S60*Weights!$B$6 + Y60*Weights!$B$7 + AD60*Weights!$B$8 + AI60*Weights!$B$9,"")</f>
        <v/>
      </c>
      <c r="AK60" s="33">
        <f>IF(AJ60="","",IF(AJ60&gt;=85,"✓✓✓",IF(AJ60&gt;=70,"✓✓",IF(AJ60&gt;=55,"✓",IF(AJ60&gt;=40,"?","✗")))))</f>
        <v/>
      </c>
      <c r="AL60" s="33" t="n">
        <v>5</v>
      </c>
    </row>
    <row r="61">
      <c r="A61" s="33" t="inlineStr">
        <is>
          <t>CAMT</t>
        </is>
      </c>
      <c r="B61" s="33" t="inlineStr">
        <is>
          <t>Camtek Ltd.</t>
        </is>
      </c>
      <c r="C61" s="33" t="inlineStr">
        <is>
          <t>04 Semiconductor Equipment &amp; Materials / Equipment</t>
        </is>
      </c>
      <c r="D61" s="33" t="inlineStr">
        <is>
          <t>2026-06-24</t>
        </is>
      </c>
      <c r="E61" s="33" t="n">
        <v>36.885365</v>
      </c>
      <c r="F61" s="33" t="n">
        <v>54.157</v>
      </c>
      <c r="G61" s="33" t="n"/>
      <c r="H61" s="33" t="n">
        <v>15.397576</v>
      </c>
      <c r="I61" s="33">
        <f>IF(OR(E62="",R62="",R62&lt;=0,E62&lt;0),"",E62/R62)</f>
        <v/>
      </c>
      <c r="J61" s="33">
        <f>IFERROR(AVERAGE(IFERROR(IF(E61="","",IF(E61&lt;0,5,IF(E61&lt;=15,90,IF(E61&lt;=20,75,IF(E61&lt;=25,60,IF(E61&lt;=30,45,IF(E61&lt;=40,30,IF(E61&lt;=60,15,5)))))))),""),IFERROR(IF(F61="","",IF(F61&lt;0,5,IF(F61&lt;=10,90,IF(F61&lt;=15,75,IF(F61&lt;=20,60,IF(F61&lt;=25,45,IF(F61&lt;=35,30,IF(F61&lt;=50,15,5)))))))),""),IFERROR(IF(G61="","",IF(G61&gt;=8,100,IF(G61&gt;=6,90,IF(G61&gt;=4,75,IF(G61&gt;=2,60,IF(G61&gt;=1,45,IF(G61&gt;=0,30,15))))))),""),IFERROR(IF(H61="","",IF(H61&lt;=2,90,IF(H61&lt;=4,75,IF(H61&lt;=7,60,IF(H61&lt;=10,45,IF(H61&lt;=15,30,IF(H61&lt;=25,15,5))))))),""),IFERROR(IF(I61="","",IF(I61&lt;=0.5,100,IF(I61&lt;=1,90,IF(I61&lt;=1.5,75,IF(I61&lt;=2,60,IF(I61&lt;=2.5,45,IF(I61&lt;=3,30,15))))))),"")),"")</f>
        <v/>
      </c>
      <c r="K61" s="33" t="n">
        <v>5.9344</v>
      </c>
      <c r="L61" s="33" t="n">
        <v>50.97</v>
      </c>
      <c r="M61" s="33" t="n"/>
      <c r="N61" s="33" t="n">
        <v>-1.32</v>
      </c>
      <c r="O61" s="33">
        <f>IFERROR(AVERAGE(IFERROR(IF(K61="","",IF(K61&gt;=25,100,IF(K61&gt;=20,90,IF(K61&gt;=15,75,IF(K61&gt;=10,60,IF(K61&gt;=5,45,IF(K61&gt;=0,30,15))))))),""),IFERROR(IF(L61="","",IF(L61&gt;=60,100,IF(L61&gt;=50,90,IF(L61&gt;=40,75,IF(L61&gt;=30,60,IF(L61&gt;=20,45,IF(L61&gt;=10,30,15))))))),""),IFERROR(IF(M61="","",IF(M61&gt;=25,100,IF(M61&gt;=20,90,IF(M61&gt;=15,75,IF(M61&gt;=10,60,IF(M61&gt;=5,45,IF(M61&gt;=0,30,15))))))),""),IFERROR(IF(N61="","",IF(N61&lt;=0,100,IF(N61&lt;=1,90,IF(N61&lt;=2,75,IF(N61&lt;=3,60,IF(N61&lt;=4,45,IF(N61&lt;=5,30,15))))))),"")),"")</f>
        <v/>
      </c>
      <c r="P61" s="33" t="n">
        <v>15.63</v>
      </c>
      <c r="Q61" s="33" t="n">
        <v>2.5</v>
      </c>
      <c r="R61" s="33" t="n">
        <v>-7.8</v>
      </c>
      <c r="S61" s="33">
        <f>IFERROR(AVERAGE(IFERROR(IF(P61="","",IF(P61&gt;=40,100,IF(P61&gt;=30,90,IF(P61&gt;=20,75,IF(P61&gt;=15,60,IF(P61&gt;=10,45,IF(P61&gt;=5,30,15))))))),""),IFERROR(IF(Q61="","",IF(Q61&gt;=40,100,IF(Q61&gt;=30,90,IF(Q61&gt;=20,75,IF(Q61&gt;=10,60,IF(Q61&gt;=5,45,IF(Q61&gt;=0,30,15))))))),""),IFERROR(IF(R61="","",IF(R61&gt;=40,100,IF(R61&gt;=30,90,IF(R61&gt;=20,75,IF(R61&gt;=10,60,IF(R61&gt;=0,45,IF(R61&gt;=-10,30,15))))))),"")),"")</f>
        <v/>
      </c>
      <c r="T61" s="33" t="n">
        <v>5</v>
      </c>
      <c r="U61" s="33" t="n">
        <v>3</v>
      </c>
      <c r="V61" s="33" t="n">
        <v>3</v>
      </c>
      <c r="W61" s="33" t="n">
        <v>4</v>
      </c>
      <c r="X61" s="33" t="n">
        <v>4</v>
      </c>
      <c r="Y61" s="33">
        <f>IFERROR(AVERAGE(T61,U61,V61,W61,X61)*20,"")</f>
        <v/>
      </c>
      <c r="Z61" s="33" t="n">
        <v>3</v>
      </c>
      <c r="AA61" s="33" t="n">
        <v>2</v>
      </c>
      <c r="AB61" s="33" t="n">
        <v>3</v>
      </c>
      <c r="AC61" s="71" t="n">
        <v>80</v>
      </c>
      <c r="AD61" s="33">
        <f>IFERROR(AVERAGE(IFERROR(IF(Z61="","",Z61*20),""),IFERROR(IF(AA61="","",AA61*20),""),IFERROR(IF(AB61="","",AB61*20),""),IFERROR(IF(AC61="","",IF(AC61&gt;=85,100,IF(AC61&gt;=70,90,IF(AC61&gt;=55,75,IF(AC61&gt;=40,60,IF(AC61&gt;=25,40,20)))))),"")),"")</f>
        <v/>
      </c>
      <c r="AE61" s="33" t="n">
        <v>4</v>
      </c>
      <c r="AF61" s="33" t="n">
        <v>4</v>
      </c>
      <c r="AG61" s="33" t="n">
        <v>4</v>
      </c>
      <c r="AH61" s="33" t="n">
        <v>4</v>
      </c>
      <c r="AI61" s="33">
        <f>IFERROR(AVERAGE(AE61,AF61,AG61,AH61,AL61)*20,"")</f>
        <v/>
      </c>
      <c r="AJ61" s="33">
        <f>IFERROR(J61*Weights!$B$4 + O61*Weights!$B$5 + S61*Weights!$B$6 + Y61*Weights!$B$7 + AD61*Weights!$B$8 + AI61*Weights!$B$9,"")</f>
        <v/>
      </c>
      <c r="AK61" s="33">
        <f>IF(AJ61="","",IF(AJ61&gt;=85,"✓✓✓",IF(AJ61&gt;=70,"✓✓",IF(AJ61&gt;=55,"✓",IF(AJ61&gt;=40,"?","✗")))))</f>
        <v/>
      </c>
      <c r="AL61" s="33" t="n">
        <v>5</v>
      </c>
    </row>
    <row r="62">
      <c r="A62" s="33" t="inlineStr">
        <is>
          <t>KLIC</t>
        </is>
      </c>
      <c r="B62" s="33" t="inlineStr">
        <is>
          <t>Kulicke and Soffa Industries, Inc.</t>
        </is>
      </c>
      <c r="C62" s="33" t="inlineStr">
        <is>
          <t>04 Semiconductor Equipment &amp; Materials / Equipment</t>
        </is>
      </c>
      <c r="D62" s="33" t="inlineStr">
        <is>
          <t>2026-06-24</t>
        </is>
      </c>
      <c r="E62" s="33" t="n">
        <v>29.098324</v>
      </c>
      <c r="F62" s="33" t="n">
        <v>68.048</v>
      </c>
      <c r="G62" s="33" t="n">
        <v>0.07000000000000001</v>
      </c>
      <c r="H62" s="33" t="n">
        <v>8.398144</v>
      </c>
      <c r="I62" s="33">
        <f>IF(OR(E63="",R63="",R63&lt;=0,E63&lt;0),"",E63/R63)</f>
        <v/>
      </c>
      <c r="J62" s="33">
        <f>IFERROR(AVERAGE(IFERROR(IF(E62="","",IF(E62&lt;0,5,IF(E62&lt;=15,90,IF(E62&lt;=20,75,IF(E62&lt;=25,60,IF(E62&lt;=30,45,IF(E62&lt;=40,30,IF(E62&lt;=60,15,5)))))))),""),IFERROR(IF(F62="","",IF(F62&lt;0,5,IF(F62&lt;=10,90,IF(F62&lt;=15,75,IF(F62&lt;=20,60,IF(F62&lt;=25,45,IF(F62&lt;=35,30,IF(F62&lt;=50,15,5)))))))),""),IFERROR(IF(G62="","",IF(G62&gt;=8,100,IF(G62&gt;=6,90,IF(G62&gt;=4,75,IF(G62&gt;=2,60,IF(G62&gt;=1,45,IF(G62&gt;=0,30,15))))))),""),IFERROR(IF(H62="","",IF(H62&lt;=2,90,IF(H62&lt;=4,75,IF(H62&lt;=7,60,IF(H62&lt;=10,45,IF(H62&lt;=15,30,IF(H62&lt;=25,15,5))))))),""),IFERROR(IF(I62="","",IF(I62&lt;=0.5,100,IF(I62&lt;=1,90,IF(I62&lt;=1.5,75,IF(I62&lt;=2,60,IF(I62&lt;=2.5,45,IF(I62&lt;=3,30,15))))))),"")),"")</f>
        <v/>
      </c>
      <c r="K62" s="33" t="n">
        <v>9.857200000000001</v>
      </c>
      <c r="L62" s="33" t="n">
        <v>49.8</v>
      </c>
      <c r="M62" s="33" t="n">
        <v>0.5600000000000001</v>
      </c>
      <c r="N62" s="33" t="n">
        <v>-5.08</v>
      </c>
      <c r="O62" s="33">
        <f>IFERROR(AVERAGE(IFERROR(IF(K62="","",IF(K62&gt;=25,100,IF(K62&gt;=20,90,IF(K62&gt;=15,75,IF(K62&gt;=10,60,IF(K62&gt;=5,45,IF(K62&gt;=0,30,15))))))),""),IFERROR(IF(L62="","",IF(L62&gt;=60,100,IF(L62&gt;=50,90,IF(L62&gt;=40,75,IF(L62&gt;=30,60,IF(L62&gt;=20,45,IF(L62&gt;=10,30,15))))))),""),IFERROR(IF(M62="","",IF(M62&gt;=25,100,IF(M62&gt;=20,90,IF(M62&gt;=15,75,IF(M62&gt;=10,60,IF(M62&gt;=5,45,IF(M62&gt;=0,30,15))))))),""),IFERROR(IF(N62="","",IF(N62&lt;=0,100,IF(N62&lt;=1,90,IF(N62&lt;=2,75,IF(N62&lt;=3,60,IF(N62&lt;=4,45,IF(N62&lt;=5,30,15))))))),"")),"")</f>
        <v/>
      </c>
      <c r="P62" s="33" t="n">
        <v>-24.23</v>
      </c>
      <c r="Q62" s="33" t="n">
        <v>49.8</v>
      </c>
      <c r="R62" s="33" t="inlineStr"/>
      <c r="S62" s="33">
        <f>IFERROR(AVERAGE(IFERROR(IF(P62="","",IF(P62&gt;=40,100,IF(P62&gt;=30,90,IF(P62&gt;=20,75,IF(P62&gt;=15,60,IF(P62&gt;=10,45,IF(P62&gt;=5,30,15))))))),""),IFERROR(IF(Q62="","",IF(Q62&gt;=40,100,IF(Q62&gt;=30,90,IF(Q62&gt;=20,75,IF(Q62&gt;=10,60,IF(Q62&gt;=5,45,IF(Q62&gt;=0,30,15))))))),""),IFERROR(IF(R62="","",IF(R62&gt;=40,100,IF(R62&gt;=30,90,IF(R62&gt;=20,75,IF(R62&gt;=10,60,IF(R62&gt;=0,45,IF(R62&gt;=-10,30,15))))))),"")),"")</f>
        <v/>
      </c>
      <c r="T62" s="33" t="n">
        <v>4</v>
      </c>
      <c r="U62" s="33" t="n">
        <v>3</v>
      </c>
      <c r="V62" s="33" t="n">
        <v>3</v>
      </c>
      <c r="W62" s="33" t="n">
        <v>5</v>
      </c>
      <c r="X62" s="33" t="n">
        <v>4</v>
      </c>
      <c r="Y62" s="33">
        <f>IFERROR(AVERAGE(T62,U62,V62,W62,X62)*20,"")</f>
        <v/>
      </c>
      <c r="Z62" s="33" t="n">
        <v>3</v>
      </c>
      <c r="AA62" s="33" t="n">
        <v>5</v>
      </c>
      <c r="AB62" s="33" t="n">
        <v>3</v>
      </c>
      <c r="AC62" s="71" t="n">
        <v>95.8</v>
      </c>
      <c r="AD62" s="33">
        <f>IFERROR(AVERAGE(IFERROR(IF(Z62="","",Z62*20),""),IFERROR(IF(AA62="","",AA62*20),""),IFERROR(IF(AB62="","",AB62*20),""),IFERROR(IF(AC62="","",IF(AC62&gt;=85,100,IF(AC62&gt;=70,90,IF(AC62&gt;=55,75,IF(AC62&gt;=40,60,IF(AC62&gt;=25,40,20)))))),"")),"")</f>
        <v/>
      </c>
      <c r="AE62" s="33" t="n">
        <v>4</v>
      </c>
      <c r="AF62" s="33" t="n">
        <v>4</v>
      </c>
      <c r="AG62" s="33" t="n">
        <v>4</v>
      </c>
      <c r="AH62" s="33" t="n">
        <v>4</v>
      </c>
      <c r="AI62" s="33">
        <f>IFERROR(AVERAGE(AE62,AF62,AG62,AH62,AL62)*20,"")</f>
        <v/>
      </c>
      <c r="AJ62" s="33">
        <f>IFERROR(J62*Weights!$B$4 + O62*Weights!$B$5 + S62*Weights!$B$6 + Y62*Weights!$B$7 + AD62*Weights!$B$8 + AI62*Weights!$B$9,"")</f>
        <v/>
      </c>
      <c r="AK62" s="33">
        <f>IF(AJ62="","",IF(AJ62&gt;=85,"✓✓✓",IF(AJ62&gt;=70,"✓✓",IF(AJ62&gt;=55,"✓",IF(AJ62&gt;=40,"?","✗")))))</f>
        <v/>
      </c>
      <c r="AL62" s="33" t="n">
        <v>5</v>
      </c>
    </row>
    <row r="63">
      <c r="A63" s="33" t="inlineStr">
        <is>
          <t>ENTG</t>
        </is>
      </c>
      <c r="B63" s="33" t="inlineStr">
        <is>
          <t>Entegris, Inc.</t>
        </is>
      </c>
      <c r="C63" s="33" t="inlineStr">
        <is>
          <t>04 Semiconductor Equipment &amp; Materials / Materials &amp; consumables</t>
        </is>
      </c>
      <c r="D63" s="33" t="inlineStr">
        <is>
          <t>2026-06-24</t>
        </is>
      </c>
      <c r="E63" s="33" t="n">
        <v>37.085743</v>
      </c>
      <c r="F63" s="33" t="n">
        <v>33.449</v>
      </c>
      <c r="G63" s="33" t="n">
        <v>1.94</v>
      </c>
      <c r="H63" s="33" t="n">
        <v>8.071387</v>
      </c>
      <c r="I63" s="33">
        <f>IF(OR(E64="",R64="",R64&lt;=0,E64&lt;0),"",E64/R64)</f>
        <v/>
      </c>
      <c r="J63" s="33">
        <f>IFERROR(AVERAGE(IFERROR(IF(E63="","",IF(E63&lt;0,5,IF(E63&lt;=15,90,IF(E63&lt;=20,75,IF(E63&lt;=25,60,IF(E63&lt;=30,45,IF(E63&lt;=40,30,IF(E63&lt;=60,15,5)))))))),""),IFERROR(IF(F63="","",IF(F63&lt;0,5,IF(F63&lt;=10,90,IF(F63&lt;=15,75,IF(F63&lt;=20,60,IF(F63&lt;=25,45,IF(F63&lt;=35,30,IF(F63&lt;=50,15,5)))))))),""),IFERROR(IF(G63="","",IF(G63&gt;=8,100,IF(G63&gt;=6,90,IF(G63&gt;=4,75,IF(G63&gt;=2,60,IF(G63&gt;=1,45,IF(G63&gt;=0,30,15))))))),""),IFERROR(IF(H63="","",IF(H63&lt;=2,90,IF(H63&lt;=4,75,IF(H63&lt;=7,60,IF(H63&lt;=10,45,IF(H63&lt;=15,30,IF(H63&lt;=25,15,5))))))),""),IFERROR(IF(I63="","",IF(I63&lt;=0.5,100,IF(I63&lt;=1,90,IF(I63&lt;=1.5,75,IF(I63&lt;=2,60,IF(I63&lt;=2.5,45,IF(I63&lt;=3,30,15))))))),"")),"")</f>
        <v/>
      </c>
      <c r="K63" s="33" t="n">
        <v>6.1865</v>
      </c>
      <c r="L63" s="33" t="n">
        <v>44.77</v>
      </c>
      <c r="M63" s="33" t="n">
        <v>15.62</v>
      </c>
      <c r="N63" s="33" t="n">
        <v>3.76</v>
      </c>
      <c r="O63" s="33">
        <f>IFERROR(AVERAGE(IFERROR(IF(K63="","",IF(K63&gt;=25,100,IF(K63&gt;=20,90,IF(K63&gt;=15,75,IF(K63&gt;=10,60,IF(K63&gt;=5,45,IF(K63&gt;=0,30,15))))))),""),IFERROR(IF(L63="","",IF(L63&gt;=60,100,IF(L63&gt;=50,90,IF(L63&gt;=40,75,IF(L63&gt;=30,60,IF(L63&gt;=20,45,IF(L63&gt;=10,30,15))))))),""),IFERROR(IF(M63="","",IF(M63&gt;=25,100,IF(M63&gt;=20,90,IF(M63&gt;=15,75,IF(M63&gt;=10,60,IF(M63&gt;=5,45,IF(M63&gt;=0,30,15))))))),""),IFERROR(IF(N63="","",IF(N63&lt;=0,100,IF(N63&lt;=1,90,IF(N63&lt;=2,75,IF(N63&lt;=3,60,IF(N63&lt;=4,45,IF(N63&lt;=5,30,15))))))),"")),"")</f>
        <v/>
      </c>
      <c r="P63" s="33" t="n">
        <v>-0.88</v>
      </c>
      <c r="Q63" s="33" t="n">
        <v>5</v>
      </c>
      <c r="R63" s="33" t="n">
        <v>46.3</v>
      </c>
      <c r="S63" s="33">
        <f>IFERROR(AVERAGE(IFERROR(IF(P63="","",IF(P63&gt;=40,100,IF(P63&gt;=30,90,IF(P63&gt;=20,75,IF(P63&gt;=15,60,IF(P63&gt;=10,45,IF(P63&gt;=5,30,15))))))),""),IFERROR(IF(Q63="","",IF(Q63&gt;=40,100,IF(Q63&gt;=30,90,IF(Q63&gt;=20,75,IF(Q63&gt;=10,60,IF(Q63&gt;=5,45,IF(Q63&gt;=0,30,15))))))),""),IFERROR(IF(R63="","",IF(R63&gt;=40,100,IF(R63&gt;=30,90,IF(R63&gt;=20,75,IF(R63&gt;=10,60,IF(R63&gt;=0,45,IF(R63&gt;=-10,30,15))))))),"")),"")</f>
        <v/>
      </c>
      <c r="T63" s="33" t="n">
        <v>4</v>
      </c>
      <c r="U63" s="33" t="n">
        <v>4</v>
      </c>
      <c r="V63" s="33" t="n">
        <v>4</v>
      </c>
      <c r="W63" s="33" t="n">
        <v>4</v>
      </c>
      <c r="X63" s="33" t="n">
        <v>4</v>
      </c>
      <c r="Y63" s="33">
        <f>IFERROR(AVERAGE(T63,U63,V63,W63,X63)*20,"")</f>
        <v/>
      </c>
      <c r="Z63" s="33" t="n">
        <v>4</v>
      </c>
      <c r="AA63" s="33" t="n">
        <v>3</v>
      </c>
      <c r="AB63" s="33" t="n">
        <v>3</v>
      </c>
      <c r="AC63" s="71" t="n">
        <v>77.5</v>
      </c>
      <c r="AD63" s="33">
        <f>IFERROR(AVERAGE(IFERROR(IF(Z63="","",Z63*20),""),IFERROR(IF(AA63="","",AA63*20),""),IFERROR(IF(AB63="","",AB63*20),""),IFERROR(IF(AC63="","",IF(AC63&gt;=85,100,IF(AC63&gt;=70,90,IF(AC63&gt;=55,75,IF(AC63&gt;=40,60,IF(AC63&gt;=25,40,20)))))),"")),"")</f>
        <v/>
      </c>
      <c r="AE63" s="33" t="n">
        <v>4</v>
      </c>
      <c r="AF63" s="33" t="n">
        <v>4</v>
      </c>
      <c r="AG63" s="33" t="n">
        <v>4</v>
      </c>
      <c r="AH63" s="33" t="n">
        <v>4</v>
      </c>
      <c r="AI63" s="33">
        <f>IFERROR(AVERAGE(AE63,AF63,AG63,AH63,AL63)*20,"")</f>
        <v/>
      </c>
      <c r="AJ63" s="33">
        <f>IFERROR(J63*Weights!$B$4 + O63*Weights!$B$5 + S63*Weights!$B$6 + Y63*Weights!$B$7 + AD63*Weights!$B$8 + AI63*Weights!$B$9,"")</f>
        <v/>
      </c>
      <c r="AK63" s="33">
        <f>IF(AJ63="","",IF(AJ63&gt;=85,"✓✓✓",IF(AJ63&gt;=70,"✓✓",IF(AJ63&gt;=55,"✓",IF(AJ63&gt;=40,"?","✗")))))</f>
        <v/>
      </c>
      <c r="AL63" s="33" t="n">
        <v>5</v>
      </c>
    </row>
    <row r="64">
      <c r="A64" s="33" t="inlineStr">
        <is>
          <t>MKSI</t>
        </is>
      </c>
      <c r="B64" s="33" t="inlineStr">
        <is>
          <t>MKS Inc.</t>
        </is>
      </c>
      <c r="C64" s="33" t="inlineStr">
        <is>
          <t>04 Semiconductor Equipment &amp; Materials / Materials &amp; consumables</t>
        </is>
      </c>
      <c r="D64" s="33" t="inlineStr">
        <is>
          <t>2026-06-24</t>
        </is>
      </c>
      <c r="E64" s="33" t="n">
        <v>25.533815</v>
      </c>
      <c r="F64" s="33" t="n">
        <v>31.349</v>
      </c>
      <c r="G64" s="33" t="n">
        <v>1.56</v>
      </c>
      <c r="H64" s="33" t="n">
        <v>6.3285513</v>
      </c>
      <c r="I64" s="33">
        <f>IF(OR(E65="",R65="",R65&lt;=0,E65&lt;0),"",E65/R65)</f>
        <v/>
      </c>
      <c r="J64" s="33">
        <f>IFERROR(AVERAGE(IFERROR(IF(E64="","",IF(E64&lt;0,5,IF(E64&lt;=15,90,IF(E64&lt;=20,75,IF(E64&lt;=25,60,IF(E64&lt;=30,45,IF(E64&lt;=40,30,IF(E64&lt;=60,15,5)))))))),""),IFERROR(IF(F64="","",IF(F64&lt;0,5,IF(F64&lt;=10,90,IF(F64&lt;=15,75,IF(F64&lt;=20,60,IF(F64&lt;=25,45,IF(F64&lt;=35,30,IF(F64&lt;=50,15,5)))))))),""),IFERROR(IF(G64="","",IF(G64&gt;=8,100,IF(G64&gt;=6,90,IF(G64&gt;=4,75,IF(G64&gt;=2,60,IF(G64&gt;=1,45,IF(G64&gt;=0,30,15))))))),""),IFERROR(IF(H64="","",IF(H64&lt;=2,90,IF(H64&lt;=4,75,IF(H64&lt;=7,60,IF(H64&lt;=10,45,IF(H64&lt;=15,30,IF(H64&lt;=25,15,5))))))),""),IFERROR(IF(I64="","",IF(I64&lt;=0.5,100,IF(I64&lt;=1,90,IF(I64&lt;=1.5,75,IF(I64&lt;=2,60,IF(I64&lt;=2.5,45,IF(I64&lt;=3,30,15))))))),"")),"")</f>
        <v/>
      </c>
      <c r="K64" s="33" t="n">
        <v>8.076599999999999</v>
      </c>
      <c r="L64" s="33" t="n">
        <v>46.65</v>
      </c>
      <c r="M64" s="33" t="n">
        <v>9.869999999999999</v>
      </c>
      <c r="N64" s="33" t="n">
        <v>3.96</v>
      </c>
      <c r="O64" s="33">
        <f>IFERROR(AVERAGE(IFERROR(IF(K64="","",IF(K64&gt;=25,100,IF(K64&gt;=20,90,IF(K64&gt;=15,75,IF(K64&gt;=10,60,IF(K64&gt;=5,45,IF(K64&gt;=0,30,15))))))),""),IFERROR(IF(L64="","",IF(L64&gt;=60,100,IF(L64&gt;=50,90,IF(L64&gt;=40,75,IF(L64&gt;=30,60,IF(L64&gt;=20,45,IF(L64&gt;=10,30,15))))))),""),IFERROR(IF(M64="","",IF(M64&gt;=25,100,IF(M64&gt;=20,90,IF(M64&gt;=15,75,IF(M64&gt;=10,60,IF(M64&gt;=5,45,IF(M64&gt;=0,30,15))))))),""),IFERROR(IF(N64="","",IF(N64&lt;=0,100,IF(N64&lt;=1,90,IF(N64&lt;=2,75,IF(N64&lt;=3,60,IF(N64&lt;=4,45,IF(N64&lt;=5,30,15))))))),"")),"")</f>
        <v/>
      </c>
      <c r="P64" s="33" t="n">
        <v>3.49</v>
      </c>
      <c r="Q64" s="33" t="n">
        <v>15.2</v>
      </c>
      <c r="R64" s="33" t="n">
        <v>61.5</v>
      </c>
      <c r="S64" s="33">
        <f>IFERROR(AVERAGE(IFERROR(IF(P64="","",IF(P64&gt;=40,100,IF(P64&gt;=30,90,IF(P64&gt;=20,75,IF(P64&gt;=15,60,IF(P64&gt;=10,45,IF(P64&gt;=5,30,15))))))),""),IFERROR(IF(Q64="","",IF(Q64&gt;=40,100,IF(Q64&gt;=30,90,IF(Q64&gt;=20,75,IF(Q64&gt;=10,60,IF(Q64&gt;=5,45,IF(Q64&gt;=0,30,15))))))),""),IFERROR(IF(R64="","",IF(R64&gt;=40,100,IF(R64&gt;=30,90,IF(R64&gt;=20,75,IF(R64&gt;=10,60,IF(R64&gt;=0,45,IF(R64&gt;=-10,30,15))))))),"")),"")</f>
        <v/>
      </c>
      <c r="T64" s="33" t="n">
        <v>4</v>
      </c>
      <c r="U64" s="33" t="n">
        <v>3</v>
      </c>
      <c r="V64" s="33" t="n">
        <v>3</v>
      </c>
      <c r="W64" s="33" t="n">
        <v>4</v>
      </c>
      <c r="X64" s="33" t="n">
        <v>4</v>
      </c>
      <c r="Y64" s="33">
        <f>IFERROR(AVERAGE(T64,U64,V64,W64,X64)*20,"")</f>
        <v/>
      </c>
      <c r="Z64" s="33" t="n">
        <v>5</v>
      </c>
      <c r="AA64" s="33" t="n">
        <v>5</v>
      </c>
      <c r="AB64" s="33" t="n">
        <v>3</v>
      </c>
      <c r="AC64" s="71" t="n">
        <v>90.8</v>
      </c>
      <c r="AD64" s="33">
        <f>IFERROR(AVERAGE(IFERROR(IF(Z64="","",Z64*20),""),IFERROR(IF(AA64="","",AA64*20),""),IFERROR(IF(AB64="","",AB64*20),""),IFERROR(IF(AC64="","",IF(AC64&gt;=85,100,IF(AC64&gt;=70,90,IF(AC64&gt;=55,75,IF(AC64&gt;=40,60,IF(AC64&gt;=25,40,20)))))),"")),"")</f>
        <v/>
      </c>
      <c r="AE64" s="33" t="n">
        <v>4</v>
      </c>
      <c r="AF64" s="33" t="n">
        <v>4</v>
      </c>
      <c r="AG64" s="33" t="n">
        <v>4</v>
      </c>
      <c r="AH64" s="33" t="n">
        <v>4</v>
      </c>
      <c r="AI64" s="33">
        <f>IFERROR(AVERAGE(AE64,AF64,AG64,AH64,AL64)*20,"")</f>
        <v/>
      </c>
      <c r="AJ64" s="33">
        <f>IFERROR(J64*Weights!$B$4 + O64*Weights!$B$5 + S64*Weights!$B$6 + Y64*Weights!$B$7 + AD64*Weights!$B$8 + AI64*Weights!$B$9,"")</f>
        <v/>
      </c>
      <c r="AK64" s="33">
        <f>IF(AJ64="","",IF(AJ64&gt;=85,"✓✓✓",IF(AJ64&gt;=70,"✓✓",IF(AJ64&gt;=55,"✓",IF(AJ64&gt;=40,"?","✗")))))</f>
        <v/>
      </c>
      <c r="AL64" s="33" t="n">
        <v>5</v>
      </c>
    </row>
    <row r="65">
      <c r="A65" s="33" t="inlineStr">
        <is>
          <t>PLAB</t>
        </is>
      </c>
      <c r="B65" s="33" t="inlineStr">
        <is>
          <t>Photronics, Inc.</t>
        </is>
      </c>
      <c r="C65" s="33" t="inlineStr">
        <is>
          <t>04 Semiconductor Equipment &amp; Materials / Materials &amp; consumables</t>
        </is>
      </c>
      <c r="D65" s="33" t="inlineStr">
        <is>
          <t>2026-06-24</t>
        </is>
      </c>
      <c r="E65" s="33" t="n">
        <v>15.629629</v>
      </c>
      <c r="F65" s="33" t="n">
        <v>6.141</v>
      </c>
      <c r="G65" s="33" t="n">
        <v>5.16</v>
      </c>
      <c r="H65" s="33" t="n">
        <v>2.167053</v>
      </c>
      <c r="I65" s="33">
        <f>IF(OR(E66="",R66="",R66&lt;=0,E66&lt;0),"",E66/R66)</f>
        <v/>
      </c>
      <c r="J65" s="33">
        <f>IFERROR(AVERAGE(IFERROR(IF(E65="","",IF(E65&lt;0,5,IF(E65&lt;=15,90,IF(E65&lt;=20,75,IF(E65&lt;=25,60,IF(E65&lt;=30,45,IF(E65&lt;=40,30,IF(E65&lt;=60,15,5)))))))),""),IFERROR(IF(F65="","",IF(F65&lt;0,5,IF(F65&lt;=10,90,IF(F65&lt;=15,75,IF(F65&lt;=20,60,IF(F65&lt;=25,45,IF(F65&lt;=35,30,IF(F65&lt;=50,15,5)))))))),""),IFERROR(IF(G65="","",IF(G65&gt;=8,100,IF(G65&gt;=6,90,IF(G65&gt;=4,75,IF(G65&gt;=2,60,IF(G65&gt;=1,45,IF(G65&gt;=0,30,15))))))),""),IFERROR(IF(H65="","",IF(H65&lt;=2,90,IF(H65&lt;=4,75,IF(H65&lt;=7,60,IF(H65&lt;=10,45,IF(H65&lt;=15,30,IF(H65&lt;=25,15,5))))))),""),IFERROR(IF(I65="","",IF(I65&lt;=0.5,100,IF(I65&lt;=1,90,IF(I65&lt;=1.5,75,IF(I65&lt;=2,60,IF(I65&lt;=2.5,45,IF(I65&lt;=3,30,15))))))),"")),"")</f>
        <v/>
      </c>
      <c r="K65" s="33" t="n">
        <v>17.3774</v>
      </c>
      <c r="L65" s="33" t="n">
        <v>33.77</v>
      </c>
      <c r="M65" s="33" t="n">
        <v>11.18</v>
      </c>
      <c r="N65" s="33" t="n">
        <v>-2.31</v>
      </c>
      <c r="O65" s="33">
        <f>IFERROR(AVERAGE(IFERROR(IF(K65="","",IF(K65&gt;=25,100,IF(K65&gt;=20,90,IF(K65&gt;=15,75,IF(K65&gt;=10,60,IF(K65&gt;=5,45,IF(K65&gt;=0,30,15))))))),""),IFERROR(IF(L65="","",IF(L65&gt;=60,100,IF(L65&gt;=50,90,IF(L65&gt;=40,75,IF(L65&gt;=30,60,IF(L65&gt;=20,45,IF(L65&gt;=10,30,15))))))),""),IFERROR(IF(M65="","",IF(M65&gt;=25,100,IF(M65&gt;=20,90,IF(M65&gt;=15,75,IF(M65&gt;=10,60,IF(M65&gt;=5,45,IF(M65&gt;=0,30,15))))))),""),IFERROR(IF(N65="","",IF(N65&lt;=0,100,IF(N65&lt;=1,90,IF(N65&lt;=2,75,IF(N65&lt;=3,60,IF(N65&lt;=4,45,IF(N65&lt;=5,30,15))))))),"")),"")</f>
        <v/>
      </c>
      <c r="P65" s="33" t="n">
        <v>0.99</v>
      </c>
      <c r="Q65" s="33" t="n">
        <v>-0.5</v>
      </c>
      <c r="R65" s="33" t="n">
        <v>254.7</v>
      </c>
      <c r="S65" s="33">
        <f>IFERROR(AVERAGE(IFERROR(IF(P65="","",IF(P65&gt;=40,100,IF(P65&gt;=30,90,IF(P65&gt;=20,75,IF(P65&gt;=15,60,IF(P65&gt;=10,45,IF(P65&gt;=5,30,15))))))),""),IFERROR(IF(Q65="","",IF(Q65&gt;=40,100,IF(Q65&gt;=30,90,IF(Q65&gt;=20,75,IF(Q65&gt;=10,60,IF(Q65&gt;=5,45,IF(Q65&gt;=0,30,15))))))),""),IFERROR(IF(R65="","",IF(R65&gt;=40,100,IF(R65&gt;=30,90,IF(R65&gt;=20,75,IF(R65&gt;=10,60,IF(R65&gt;=0,45,IF(R65&gt;=-10,30,15))))))),"")),"")</f>
        <v/>
      </c>
      <c r="T65" s="33" t="n">
        <v>3</v>
      </c>
      <c r="U65" s="33" t="n">
        <v>3</v>
      </c>
      <c r="V65" s="33" t="n">
        <v>3</v>
      </c>
      <c r="W65" s="33" t="n">
        <v>4</v>
      </c>
      <c r="X65" s="33" t="n">
        <v>3</v>
      </c>
      <c r="Y65" s="33">
        <f>IFERROR(AVERAGE(T65,U65,V65,W65,X65)*20,"")</f>
        <v/>
      </c>
      <c r="Z65" s="33" t="n">
        <v>3</v>
      </c>
      <c r="AA65" s="33" t="n">
        <v>5</v>
      </c>
      <c r="AB65" s="33" t="n">
        <v>3</v>
      </c>
      <c r="AC65" s="71" t="n">
        <v>75</v>
      </c>
      <c r="AD65" s="33">
        <f>IFERROR(AVERAGE(IFERROR(IF(Z65="","",Z65*20),""),IFERROR(IF(AA65="","",AA65*20),""),IFERROR(IF(AB65="","",AB65*20),""),IFERROR(IF(AC65="","",IF(AC65&gt;=85,100,IF(AC65&gt;=70,90,IF(AC65&gt;=55,75,IF(AC65&gt;=40,60,IF(AC65&gt;=25,40,20)))))),"")),"")</f>
        <v/>
      </c>
      <c r="AE65" s="33" t="n">
        <v>4</v>
      </c>
      <c r="AF65" s="33" t="n">
        <v>4</v>
      </c>
      <c r="AG65" s="33" t="n">
        <v>5</v>
      </c>
      <c r="AH65" s="33" t="n">
        <v>4</v>
      </c>
      <c r="AI65" s="33">
        <f>IFERROR(AVERAGE(AE65,AF65,AG65,AH65,AL65)*20,"")</f>
        <v/>
      </c>
      <c r="AJ65" s="33">
        <f>IFERROR(J65*Weights!$B$4 + O65*Weights!$B$5 + S65*Weights!$B$6 + Y65*Weights!$B$7 + AD65*Weights!$B$8 + AI65*Weights!$B$9,"")</f>
        <v/>
      </c>
      <c r="AK65" s="33">
        <f>IF(AJ65="","",IF(AJ65&gt;=85,"✓✓✓",IF(AJ65&gt;=70,"✓✓",IF(AJ65&gt;=55,"✓",IF(AJ65&gt;=40,"?","✗")))))</f>
        <v/>
      </c>
      <c r="AL65" s="33" t="n">
        <v>5</v>
      </c>
    </row>
    <row r="66">
      <c r="A66" s="33" t="inlineStr">
        <is>
          <t>UCTT</t>
        </is>
      </c>
      <c r="B66" s="33" t="inlineStr">
        <is>
          <t>Ultra Clean Holdings, Inc.</t>
        </is>
      </c>
      <c r="C66" s="33" t="inlineStr">
        <is>
          <t>04 Semiconductor Equipment &amp; Materials / Materials &amp; consumables</t>
        </is>
      </c>
      <c r="D66" s="33" t="inlineStr">
        <is>
          <t>2026-06-24</t>
        </is>
      </c>
      <c r="E66" s="33" t="n">
        <v>27.535238</v>
      </c>
      <c r="F66" s="33" t="n">
        <v>45.535</v>
      </c>
      <c r="G66" s="33" t="n">
        <v>-0.89</v>
      </c>
      <c r="H66" s="33" t="n">
        <v>2.3489876</v>
      </c>
      <c r="I66" s="33">
        <f>IF(OR(E67="",R67="",R67&lt;=0,E67&lt;0),"",E67/R67)</f>
        <v/>
      </c>
      <c r="J66" s="33">
        <f>IFERROR(AVERAGE(IFERROR(IF(E66="","",IF(E66&lt;0,5,IF(E66&lt;=15,90,IF(E66&lt;=20,75,IF(E66&lt;=25,60,IF(E66&lt;=30,45,IF(E66&lt;=40,30,IF(E66&lt;=60,15,5)))))))),""),IFERROR(IF(F66="","",IF(F66&lt;0,5,IF(F66&lt;=10,90,IF(F66&lt;=15,75,IF(F66&lt;=20,60,IF(F66&lt;=25,45,IF(F66&lt;=35,30,IF(F66&lt;=50,15,5)))))))),""),IFERROR(IF(G66="","",IF(G66&gt;=8,100,IF(G66&gt;=6,90,IF(G66&gt;=4,75,IF(G66&gt;=2,60,IF(G66&gt;=1,45,IF(G66&gt;=0,30,15))))))),""),IFERROR(IF(H66="","",IF(H66&lt;=2,90,IF(H66&lt;=4,75,IF(H66&lt;=7,60,IF(H66&lt;=10,45,IF(H66&lt;=15,30,IF(H66&lt;=25,15,5))))))),""),IFERROR(IF(I66="","",IF(I66&lt;=0.5,100,IF(I66&lt;=1,90,IF(I66&lt;=1.5,75,IF(I66&lt;=2,60,IF(I66&lt;=2.5,45,IF(I66&lt;=3,30,15))))))),"")),"")</f>
        <v/>
      </c>
      <c r="K66" s="33" t="n">
        <v>-7.5524</v>
      </c>
      <c r="L66" s="33" t="n">
        <v>15.62</v>
      </c>
      <c r="M66" s="33" t="n">
        <v>-2.1</v>
      </c>
      <c r="N66" s="33" t="n">
        <v>3.86</v>
      </c>
      <c r="O66" s="33">
        <f>IFERROR(AVERAGE(IFERROR(IF(K66="","",IF(K66&gt;=25,100,IF(K66&gt;=20,90,IF(K66&gt;=15,75,IF(K66&gt;=10,60,IF(K66&gt;=5,45,IF(K66&gt;=0,30,15))))))),""),IFERROR(IF(L66="","",IF(L66&gt;=60,100,IF(L66&gt;=50,90,IF(L66&gt;=40,75,IF(L66&gt;=30,60,IF(L66&gt;=20,45,IF(L66&gt;=10,30,15))))))),""),IFERROR(IF(M66="","",IF(M66&gt;=25,100,IF(M66&gt;=20,90,IF(M66&gt;=15,75,IF(M66&gt;=10,60,IF(M66&gt;=5,45,IF(M66&gt;=0,30,15))))))),""),IFERROR(IF(N66="","",IF(N66&lt;=0,100,IF(N66&lt;=1,90,IF(N66&lt;=2,75,IF(N66&lt;=3,60,IF(N66&lt;=4,45,IF(N66&lt;=5,30,15))))))),"")),"")</f>
        <v/>
      </c>
      <c r="P66" s="33" t="n">
        <v>-4.72</v>
      </c>
      <c r="Q66" s="33" t="n">
        <v>2.9</v>
      </c>
      <c r="R66" s="33" t="inlineStr"/>
      <c r="S66" s="33">
        <f>IFERROR(AVERAGE(IFERROR(IF(P66="","",IF(P66&gt;=40,100,IF(P66&gt;=30,90,IF(P66&gt;=20,75,IF(P66&gt;=15,60,IF(P66&gt;=10,45,IF(P66&gt;=5,30,15))))))),""),IFERROR(IF(Q66="","",IF(Q66&gt;=40,100,IF(Q66&gt;=30,90,IF(Q66&gt;=20,75,IF(Q66&gt;=10,60,IF(Q66&gt;=5,45,IF(Q66&gt;=0,30,15))))))),""),IFERROR(IF(R66="","",IF(R66&gt;=40,100,IF(R66&gt;=30,90,IF(R66&gt;=20,75,IF(R66&gt;=10,60,IF(R66&gt;=0,45,IF(R66&gt;=-10,30,15))))))),"")),"")</f>
        <v/>
      </c>
      <c r="T66" s="33" t="n">
        <v>4</v>
      </c>
      <c r="U66" s="33" t="n">
        <v>3</v>
      </c>
      <c r="V66" s="33" t="n">
        <v>3</v>
      </c>
      <c r="W66" s="33" t="n">
        <v>4</v>
      </c>
      <c r="X66" s="33" t="n">
        <v>4</v>
      </c>
      <c r="Y66" s="33">
        <f>IFERROR(AVERAGE(T66,U66,V66,W66,X66)*20,"")</f>
        <v/>
      </c>
      <c r="Z66" s="33" t="n">
        <v>4</v>
      </c>
      <c r="AA66" s="33" t="n">
        <v>5</v>
      </c>
      <c r="AB66" s="33" t="n">
        <v>3</v>
      </c>
      <c r="AC66" s="71" t="n">
        <v>99.2</v>
      </c>
      <c r="AD66" s="33">
        <f>IFERROR(AVERAGE(IFERROR(IF(Z66="","",Z66*20),""),IFERROR(IF(AA66="","",AA66*20),""),IFERROR(IF(AB66="","",AB66*20),""),IFERROR(IF(AC66="","",IF(AC66&gt;=85,100,IF(AC66&gt;=70,90,IF(AC66&gt;=55,75,IF(AC66&gt;=40,60,IF(AC66&gt;=25,40,20)))))),"")),"")</f>
        <v/>
      </c>
      <c r="AE66" s="33" t="n">
        <v>4</v>
      </c>
      <c r="AF66" s="33" t="n">
        <v>4</v>
      </c>
      <c r="AG66" s="33" t="n">
        <v>4</v>
      </c>
      <c r="AH66" s="33" t="n">
        <v>4</v>
      </c>
      <c r="AI66" s="33">
        <f>IFERROR(AVERAGE(AE66,AF66,AG66,AH66,AL66)*20,"")</f>
        <v/>
      </c>
      <c r="AJ66" s="33">
        <f>IFERROR(J66*Weights!$B$4 + O66*Weights!$B$5 + S66*Weights!$B$6 + Y66*Weights!$B$7 + AD66*Weights!$B$8 + AI66*Weights!$B$9,"")</f>
        <v/>
      </c>
      <c r="AK66" s="33">
        <f>IF(AJ66="","",IF(AJ66&gt;=85,"✓✓✓",IF(AJ66&gt;=70,"✓✓",IF(AJ66&gt;=55,"✓",IF(AJ66&gt;=40,"?","✗")))))</f>
        <v/>
      </c>
      <c r="AL66" s="33" t="n">
        <v>5</v>
      </c>
    </row>
    <row r="67">
      <c r="A67" s="33" t="inlineStr">
        <is>
          <t>CDNS</t>
        </is>
      </c>
      <c r="B67" s="33" t="inlineStr">
        <is>
          <t>Cadence Design Systems, Inc.</t>
        </is>
      </c>
      <c r="C67" s="33" t="inlineStr">
        <is>
          <t>04 Semiconductor Equipment &amp; Materials / EDA &amp; IP</t>
        </is>
      </c>
      <c r="D67" s="33" t="inlineStr">
        <is>
          <t>2026-06-24</t>
        </is>
      </c>
      <c r="E67" s="33" t="n">
        <v>39.617947</v>
      </c>
      <c r="F67" s="33" t="n">
        <v>51.764</v>
      </c>
      <c r="G67" s="33" t="n">
        <v>1.39</v>
      </c>
      <c r="H67" s="33" t="n">
        <v>18.578598</v>
      </c>
      <c r="I67" s="33">
        <f>IF(OR(E68="",R68="",R68&lt;=0,E68&lt;0),"",E68/R68)</f>
        <v/>
      </c>
      <c r="J67" s="33">
        <f>IFERROR(AVERAGE(IFERROR(IF(E67="","",IF(E67&lt;0,5,IF(E67&lt;=15,90,IF(E67&lt;=20,75,IF(E67&lt;=25,60,IF(E67&lt;=30,45,IF(E67&lt;=40,30,IF(E67&lt;=60,15,5)))))))),""),IFERROR(IF(F67="","",IF(F67&lt;0,5,IF(F67&lt;=10,90,IF(F67&lt;=15,75,IF(F67&lt;=20,60,IF(F67&lt;=25,45,IF(F67&lt;=35,30,IF(F67&lt;=50,15,5)))))))),""),IFERROR(IF(G67="","",IF(G67&gt;=8,100,IF(G67&gt;=6,90,IF(G67&gt;=4,75,IF(G67&gt;=2,60,IF(G67&gt;=1,45,IF(G67&gt;=0,30,15))))))),""),IFERROR(IF(H67="","",IF(H67&lt;=2,90,IF(H67&lt;=4,75,IF(H67&lt;=7,60,IF(H67&lt;=10,45,IF(H67&lt;=15,30,IF(H67&lt;=25,15,5))))))),""),IFERROR(IF(I67="","",IF(I67&lt;=0.5,100,IF(I67&lt;=1,90,IF(I67&lt;=1.5,75,IF(I67&lt;=2,60,IF(I67&lt;=2.5,45,IF(I67&lt;=3,30,15))))))),"")),"")</f>
        <v/>
      </c>
      <c r="K67" s="33" t="n">
        <v>15.2751</v>
      </c>
      <c r="L67" s="33" t="n">
        <v>86.08</v>
      </c>
      <c r="M67" s="33" t="n">
        <v>25.86</v>
      </c>
      <c r="N67" s="33" t="n">
        <v>0.76</v>
      </c>
      <c r="O67" s="33">
        <f>IFERROR(AVERAGE(IFERROR(IF(K67="","",IF(K67&gt;=25,100,IF(K67&gt;=20,90,IF(K67&gt;=15,75,IF(K67&gt;=10,60,IF(K67&gt;=5,45,IF(K67&gt;=0,30,15))))))),""),IFERROR(IF(L67="","",IF(L67&gt;=60,100,IF(L67&gt;=50,90,IF(L67&gt;=40,75,IF(L67&gt;=30,60,IF(L67&gt;=20,45,IF(L67&gt;=10,30,15))))))),""),IFERROR(IF(M67="","",IF(M67&gt;=25,100,IF(M67&gt;=20,90,IF(M67&gt;=15,75,IF(M67&gt;=10,60,IF(M67&gt;=5,45,IF(M67&gt;=0,30,15))))))),""),IFERROR(IF(N67="","",IF(N67&lt;=0,100,IF(N67&lt;=1,90,IF(N67&lt;=2,75,IF(N67&lt;=3,60,IF(N67&lt;=4,45,IF(N67&lt;=5,30,15))))))),"")),"")</f>
        <v/>
      </c>
      <c r="P67" s="33" t="n">
        <v>14.14</v>
      </c>
      <c r="Q67" s="33" t="n">
        <v>18.7</v>
      </c>
      <c r="R67" s="33" t="n">
        <v>22.7</v>
      </c>
      <c r="S67" s="33">
        <f>IFERROR(AVERAGE(IFERROR(IF(P67="","",IF(P67&gt;=40,100,IF(P67&gt;=30,90,IF(P67&gt;=20,75,IF(P67&gt;=15,60,IF(P67&gt;=10,45,IF(P67&gt;=5,30,15))))))),""),IFERROR(IF(Q67="","",IF(Q67&gt;=40,100,IF(Q67&gt;=30,90,IF(Q67&gt;=20,75,IF(Q67&gt;=10,60,IF(Q67&gt;=5,45,IF(Q67&gt;=0,30,15))))))),""),IFERROR(IF(R67="","",IF(R67&gt;=40,100,IF(R67&gt;=30,90,IF(R67&gt;=20,75,IF(R67&gt;=10,60,IF(R67&gt;=0,45,IF(R67&gt;=-10,30,15))))))),"")),"")</f>
        <v/>
      </c>
      <c r="T67" s="33" t="n">
        <v>4</v>
      </c>
      <c r="U67" s="33" t="n">
        <v>4</v>
      </c>
      <c r="V67" s="33" t="n">
        <v>5</v>
      </c>
      <c r="W67" s="33" t="n">
        <v>4</v>
      </c>
      <c r="X67" s="33" t="n">
        <v>4</v>
      </c>
      <c r="Y67" s="33">
        <f>IFERROR(AVERAGE(T67,U67,V67,W67,X67)*20,"")</f>
        <v/>
      </c>
      <c r="Z67" s="33" t="n">
        <v>3</v>
      </c>
      <c r="AA67" s="33" t="n">
        <v>1</v>
      </c>
      <c r="AB67" s="33" t="n">
        <v>3</v>
      </c>
      <c r="AC67" s="71" t="n">
        <v>49.2</v>
      </c>
      <c r="AD67" s="33">
        <f>IFERROR(AVERAGE(IFERROR(IF(Z67="","",Z67*20),""),IFERROR(IF(AA67="","",AA67*20),""),IFERROR(IF(AB67="","",AB67*20),""),IFERROR(IF(AC67="","",IF(AC67&gt;=85,100,IF(AC67&gt;=70,90,IF(AC67&gt;=55,75,IF(AC67&gt;=40,60,IF(AC67&gt;=25,40,20)))))),"")),"")</f>
        <v/>
      </c>
      <c r="AE67" s="33" t="n">
        <v>5</v>
      </c>
      <c r="AF67" s="33" t="n">
        <v>4</v>
      </c>
      <c r="AG67" s="33" t="n">
        <v>4</v>
      </c>
      <c r="AH67" s="33" t="n">
        <v>4</v>
      </c>
      <c r="AI67" s="33">
        <f>IFERROR(AVERAGE(AE67,AF67,AG67,AH67,AL67)*20,"")</f>
        <v/>
      </c>
      <c r="AJ67" s="33">
        <f>IFERROR(J67*Weights!$B$4 + O67*Weights!$B$5 + S67*Weights!$B$6 + Y67*Weights!$B$7 + AD67*Weights!$B$8 + AI67*Weights!$B$9,"")</f>
        <v/>
      </c>
      <c r="AK67" s="33">
        <f>IF(AJ67="","",IF(AJ67&gt;=85,"✓✓✓",IF(AJ67&gt;=70,"✓✓",IF(AJ67&gt;=55,"✓",IF(AJ67&gt;=40,"?","✗")))))</f>
        <v/>
      </c>
      <c r="AL67" s="33" t="n">
        <v>5</v>
      </c>
    </row>
    <row r="68">
      <c r="A68" s="33" t="inlineStr">
        <is>
          <t>SNPS</t>
        </is>
      </c>
      <c r="B68" s="33" t="inlineStr">
        <is>
          <t>Synopsys, Inc.</t>
        </is>
      </c>
      <c r="C68" s="33" t="inlineStr">
        <is>
          <t>04 Semiconductor Equipment &amp; Materials / EDA &amp; IP</t>
        </is>
      </c>
      <c r="D68" s="33" t="inlineStr">
        <is>
          <t>2026-06-24</t>
        </is>
      </c>
      <c r="E68" s="33" t="n">
        <v>26.87673</v>
      </c>
      <c r="F68" s="33" t="n">
        <v>57.307</v>
      </c>
      <c r="G68" s="33" t="n">
        <v>2.96</v>
      </c>
      <c r="H68" s="33" t="n">
        <v>10.234947</v>
      </c>
      <c r="I68" s="33">
        <f>IF(OR(E69="",R69="",R69&lt;=0,E69&lt;0),"",E69/R69)</f>
        <v/>
      </c>
      <c r="J68" s="33">
        <f>IFERROR(AVERAGE(IFERROR(IF(E68="","",IF(E68&lt;0,5,IF(E68&lt;=15,90,IF(E68&lt;=20,75,IF(E68&lt;=25,60,IF(E68&lt;=30,45,IF(E68&lt;=40,30,IF(E68&lt;=60,15,5)))))))),""),IFERROR(IF(F68="","",IF(F68&lt;0,5,IF(F68&lt;=10,90,IF(F68&lt;=15,75,IF(F68&lt;=20,60,IF(F68&lt;=25,45,IF(F68&lt;=35,30,IF(F68&lt;=50,15,5)))))))),""),IFERROR(IF(G68="","",IF(G68&gt;=8,100,IF(G68&gt;=6,90,IF(G68&gt;=4,75,IF(G68&gt;=2,60,IF(G68&gt;=1,45,IF(G68&gt;=0,30,15))))))),""),IFERROR(IF(H68="","",IF(H68&lt;=2,90,IF(H68&lt;=4,75,IF(H68&lt;=7,60,IF(H68&lt;=10,45,IF(H68&lt;=15,30,IF(H68&lt;=25,15,5))))))),""),IFERROR(IF(I68="","",IF(I68&lt;=0.5,100,IF(I68&lt;=1,90,IF(I68&lt;=1.5,75,IF(I68&lt;=2,60,IF(I68&lt;=2.5,45,IF(I68&lt;=3,30,15))))))),"")),"")</f>
        <v/>
      </c>
      <c r="K68" s="33" t="n">
        <v>4.2354</v>
      </c>
      <c r="L68" s="33" t="n">
        <v>82.59999999999999</v>
      </c>
      <c r="M68" s="33" t="n">
        <v>30.35</v>
      </c>
      <c r="N68" s="33" t="n">
        <v>4.93</v>
      </c>
      <c r="O68" s="33">
        <f>IFERROR(AVERAGE(IFERROR(IF(K68="","",IF(K68&gt;=25,100,IF(K68&gt;=20,90,IF(K68&gt;=15,75,IF(K68&gt;=10,60,IF(K68&gt;=5,45,IF(K68&gt;=0,30,15))))))),""),IFERROR(IF(L68="","",IF(L68&gt;=60,100,IF(L68&gt;=50,90,IF(L68&gt;=40,75,IF(L68&gt;=30,60,IF(L68&gt;=20,45,IF(L68&gt;=10,30,15))))))),""),IFERROR(IF(M68="","",IF(M68&gt;=25,100,IF(M68&gt;=20,90,IF(M68&gt;=15,75,IF(M68&gt;=10,60,IF(M68&gt;=5,45,IF(M68&gt;=0,30,15))))))),""),IFERROR(IF(N68="","",IF(N68&lt;=0,100,IF(N68&lt;=1,90,IF(N68&lt;=2,75,IF(N68&lt;=3,60,IF(N68&lt;=4,45,IF(N68&lt;=5,30,15))))))),"")),"")</f>
        <v/>
      </c>
      <c r="P68" s="33" t="n">
        <v>15.19</v>
      </c>
      <c r="Q68" s="33" t="n">
        <v>41.9</v>
      </c>
      <c r="R68" s="33" t="n">
        <v>-95</v>
      </c>
      <c r="S68" s="33">
        <f>IFERROR(AVERAGE(IFERROR(IF(P68="","",IF(P68&gt;=40,100,IF(P68&gt;=30,90,IF(P68&gt;=20,75,IF(P68&gt;=15,60,IF(P68&gt;=10,45,IF(P68&gt;=5,30,15))))))),""),IFERROR(IF(Q68="","",IF(Q68&gt;=40,100,IF(Q68&gt;=30,90,IF(Q68&gt;=20,75,IF(Q68&gt;=10,60,IF(Q68&gt;=5,45,IF(Q68&gt;=0,30,15))))))),""),IFERROR(IF(R68="","",IF(R68&gt;=40,100,IF(R68&gt;=30,90,IF(R68&gt;=20,75,IF(R68&gt;=10,60,IF(R68&gt;=0,45,IF(R68&gt;=-10,30,15))))))),"")),"")</f>
        <v/>
      </c>
      <c r="T68" s="33" t="n">
        <v>4</v>
      </c>
      <c r="U68" s="33" t="n">
        <v>4</v>
      </c>
      <c r="V68" s="33" t="n">
        <v>5</v>
      </c>
      <c r="W68" s="33" t="n">
        <v>5</v>
      </c>
      <c r="X68" s="33" t="n">
        <v>4</v>
      </c>
      <c r="Y68" s="33">
        <f>IFERROR(AVERAGE(T68,U68,V68,W68,X68)*20,"")</f>
        <v/>
      </c>
      <c r="Z68" s="33" t="n">
        <v>4</v>
      </c>
      <c r="AA68" s="33" t="n">
        <v>2</v>
      </c>
      <c r="AB68" s="33" t="n">
        <v>3</v>
      </c>
      <c r="AC68" s="71" t="n">
        <v>47.5</v>
      </c>
      <c r="AD68" s="33">
        <f>IFERROR(AVERAGE(IFERROR(IF(Z68="","",Z68*20),""),IFERROR(IF(AA68="","",AA68*20),""),IFERROR(IF(AB68="","",AB68*20),""),IFERROR(IF(AC68="","",IF(AC68&gt;=85,100,IF(AC68&gt;=70,90,IF(AC68&gt;=55,75,IF(AC68&gt;=40,60,IF(AC68&gt;=25,40,20)))))),"")),"")</f>
        <v/>
      </c>
      <c r="AE68" s="33" t="n">
        <v>5</v>
      </c>
      <c r="AF68" s="33" t="n">
        <v>4</v>
      </c>
      <c r="AG68" s="33" t="n">
        <v>4</v>
      </c>
      <c r="AH68" s="33" t="n">
        <v>4</v>
      </c>
      <c r="AI68" s="33">
        <f>IFERROR(AVERAGE(AE68,AF68,AG68,AH68,AL68)*20,"")</f>
        <v/>
      </c>
      <c r="AJ68" s="33">
        <f>IFERROR(J68*Weights!$B$4 + O68*Weights!$B$5 + S68*Weights!$B$6 + Y68*Weights!$B$7 + AD68*Weights!$B$8 + AI68*Weights!$B$9,"")</f>
        <v/>
      </c>
      <c r="AK68" s="33">
        <f>IF(AJ68="","",IF(AJ68&gt;=85,"✓✓✓",IF(AJ68&gt;=70,"✓✓",IF(AJ68&gt;=55,"✓",IF(AJ68&gt;=40,"?","✗")))))</f>
        <v/>
      </c>
      <c r="AL68" s="33" t="n">
        <v>5</v>
      </c>
    </row>
    <row r="69">
      <c r="A69" s="33" t="inlineStr">
        <is>
          <t>ARM</t>
        </is>
      </c>
      <c r="B69" s="33" t="inlineStr">
        <is>
          <t>Arm Holdings plc</t>
        </is>
      </c>
      <c r="C69" s="33" t="inlineStr">
        <is>
          <t>04 Semiconductor Equipment &amp; Materials / EDA &amp; IP</t>
        </is>
      </c>
      <c r="D69" s="33" t="inlineStr">
        <is>
          <t>2026-06-24</t>
        </is>
      </c>
      <c r="E69" s="33" t="n">
        <v>116.34454</v>
      </c>
      <c r="F69" s="33" t="n">
        <v>357.334</v>
      </c>
      <c r="G69" s="33" t="n">
        <v>0.25</v>
      </c>
      <c r="H69" s="33" t="n">
        <v>77.95238500000001</v>
      </c>
      <c r="I69" s="33">
        <f>IF(OR(E70="",R70="",R70&lt;=0,E70&lt;0),"",E70/R70)</f>
        <v/>
      </c>
      <c r="J69" s="33">
        <f>IFERROR(AVERAGE(IFERROR(IF(E69="","",IF(E69&lt;0,5,IF(E69&lt;=15,90,IF(E69&lt;=20,75,IF(E69&lt;=25,60,IF(E69&lt;=30,45,IF(E69&lt;=40,30,IF(E69&lt;=60,15,5)))))))),""),IFERROR(IF(F69="","",IF(F69&lt;0,5,IF(F69&lt;=10,90,IF(F69&lt;=15,75,IF(F69&lt;=20,60,IF(F69&lt;=25,45,IF(F69&lt;=35,30,IF(F69&lt;=50,15,5)))))))),""),IFERROR(IF(G69="","",IF(G69&gt;=8,100,IF(G69&gt;=6,90,IF(G69&gt;=4,75,IF(G69&gt;=2,60,IF(G69&gt;=1,45,IF(G69&gt;=0,30,15))))))),""),IFERROR(IF(H69="","",IF(H69&lt;=2,90,IF(H69&lt;=4,75,IF(H69&lt;=7,60,IF(H69&lt;=10,45,IF(H69&lt;=15,30,IF(H69&lt;=25,15,5))))))),""),IFERROR(IF(I69="","",IF(I69&lt;=0.5,100,IF(I69&lt;=1,90,IF(I69&lt;=1.5,75,IF(I69&lt;=2,60,IF(I69&lt;=2.5,45,IF(I69&lt;=3,30,15))))))),"")),"")</f>
        <v/>
      </c>
      <c r="K69" s="33" t="n">
        <v>15.7</v>
      </c>
      <c r="L69" s="33" t="n">
        <v>97.54000000000001</v>
      </c>
      <c r="M69" s="33" t="n">
        <v>19.29</v>
      </c>
      <c r="N69" s="33" t="n">
        <v>-2.92</v>
      </c>
      <c r="O69" s="33">
        <f>IFERROR(AVERAGE(IFERROR(IF(K69="","",IF(K69&gt;=25,100,IF(K69&gt;=20,90,IF(K69&gt;=15,75,IF(K69&gt;=10,60,IF(K69&gt;=5,45,IF(K69&gt;=0,30,15))))))),""),IFERROR(IF(L69="","",IF(L69&gt;=60,100,IF(L69&gt;=50,90,IF(L69&gt;=40,75,IF(L69&gt;=30,60,IF(L69&gt;=20,45,IF(L69&gt;=10,30,15))))))),""),IFERROR(IF(M69="","",IF(M69&gt;=25,100,IF(M69&gt;=20,90,IF(M69&gt;=15,75,IF(M69&gt;=10,60,IF(M69&gt;=5,45,IF(M69&gt;=0,30,15))))))),""),IFERROR(IF(N69="","",IF(N69&lt;=0,100,IF(N69&lt;=1,90,IF(N69&lt;=2,75,IF(N69&lt;=3,60,IF(N69&lt;=4,45,IF(N69&lt;=5,30,15))))))),"")),"")</f>
        <v/>
      </c>
      <c r="P69" s="33" t="n">
        <v>22.46</v>
      </c>
      <c r="Q69" s="33" t="n">
        <v>20.1</v>
      </c>
      <c r="R69" s="33" t="n">
        <v>49</v>
      </c>
      <c r="S69" s="33">
        <f>IFERROR(AVERAGE(IFERROR(IF(P69="","",IF(P69&gt;=40,100,IF(P69&gt;=30,90,IF(P69&gt;=20,75,IF(P69&gt;=15,60,IF(P69&gt;=10,45,IF(P69&gt;=5,30,15))))))),""),IFERROR(IF(Q69="","",IF(Q69&gt;=40,100,IF(Q69&gt;=30,90,IF(Q69&gt;=20,75,IF(Q69&gt;=10,60,IF(Q69&gt;=5,45,IF(Q69&gt;=0,30,15))))))),""),IFERROR(IF(R69="","",IF(R69&gt;=40,100,IF(R69&gt;=30,90,IF(R69&gt;=20,75,IF(R69&gt;=10,60,IF(R69&gt;=0,45,IF(R69&gt;=-10,30,15))))))),"")),"")</f>
        <v/>
      </c>
      <c r="T69" s="33" t="n">
        <v>4</v>
      </c>
      <c r="U69" s="33" t="n">
        <v>5</v>
      </c>
      <c r="V69" s="33" t="n">
        <v>5</v>
      </c>
      <c r="W69" s="33" t="n">
        <v>4</v>
      </c>
      <c r="X69" s="33" t="n">
        <v>4</v>
      </c>
      <c r="Y69" s="33">
        <f>IFERROR(AVERAGE(T69,U69,V69,W69,X69)*20,"")</f>
        <v/>
      </c>
      <c r="Z69" s="33" t="n">
        <v>4</v>
      </c>
      <c r="AA69" s="33" t="n">
        <v>2</v>
      </c>
      <c r="AB69" s="33" t="n">
        <v>3</v>
      </c>
      <c r="AC69" s="71" t="n">
        <v>76.7</v>
      </c>
      <c r="AD69" s="33">
        <f>IFERROR(AVERAGE(IFERROR(IF(Z69="","",Z69*20),""),IFERROR(IF(AA69="","",AA69*20),""),IFERROR(IF(AB69="","",AB69*20),""),IFERROR(IF(AC69="","",IF(AC69&gt;=85,100,IF(AC69&gt;=70,90,IF(AC69&gt;=55,75,IF(AC69&gt;=40,60,IF(AC69&gt;=25,40,20)))))),"")),"")</f>
        <v/>
      </c>
      <c r="AE69" s="33" t="n">
        <v>5</v>
      </c>
      <c r="AF69" s="33" t="n">
        <v>4</v>
      </c>
      <c r="AG69" s="33" t="n">
        <v>5</v>
      </c>
      <c r="AH69" s="33" t="n">
        <v>3</v>
      </c>
      <c r="AI69" s="33">
        <f>IFERROR(AVERAGE(AE69,AF69,AG69,AH69,AL69)*20,"")</f>
        <v/>
      </c>
      <c r="AJ69" s="33">
        <f>IFERROR(J69*Weights!$B$4 + O69*Weights!$B$5 + S69*Weights!$B$6 + Y69*Weights!$B$7 + AD69*Weights!$B$8 + AI69*Weights!$B$9,"")</f>
        <v/>
      </c>
      <c r="AK69" s="33">
        <f>IF(AJ69="","",IF(AJ69&gt;=85,"✓✓✓",IF(AJ69&gt;=70,"✓✓",IF(AJ69&gt;=55,"✓",IF(AJ69&gt;=40,"?","✗")))))</f>
        <v/>
      </c>
      <c r="AL69" s="33" t="n">
        <v>5</v>
      </c>
    </row>
    <row r="70">
      <c r="A70" s="33" t="inlineStr">
        <is>
          <t>TSM</t>
        </is>
      </c>
      <c r="B70" s="33" t="inlineStr">
        <is>
          <t>Taiwan Semiconductor Manufacturing Company Limited</t>
        </is>
      </c>
      <c r="C70" s="33" t="inlineStr">
        <is>
          <t>05 Fabs &amp; Foundries</t>
        </is>
      </c>
      <c r="D70" s="33" t="inlineStr">
        <is>
          <t>2026-06-24</t>
        </is>
      </c>
      <c r="E70" s="33" t="n">
        <v>22.083448</v>
      </c>
      <c r="F70" s="33" t="n"/>
      <c r="G70" s="33" t="n"/>
      <c r="H70" s="33" t="n"/>
      <c r="I70" s="33">
        <f>IF(OR(E71="",R71="",R71&lt;=0,E71&lt;0),"",E71/R71)</f>
        <v/>
      </c>
      <c r="J70" s="33">
        <f>IFERROR(AVERAGE(IFERROR(IF(E70="","",IF(E70&lt;0,5,IF(E70&lt;=15,90,IF(E70&lt;=20,75,IF(E70&lt;=25,60,IF(E70&lt;=30,45,IF(E70&lt;=40,30,IF(E70&lt;=60,15,5)))))))),""),IFERROR(IF(F70="","",IF(F70&lt;0,5,IF(F70&lt;=10,90,IF(F70&lt;=15,75,IF(F70&lt;=20,60,IF(F70&lt;=25,45,IF(F70&lt;=35,30,IF(F70&lt;=50,15,5)))))))),""),IFERROR(IF(G70="","",IF(G70&gt;=8,100,IF(G70&gt;=6,90,IF(G70&gt;=4,75,IF(G70&gt;=2,60,IF(G70&gt;=1,45,IF(G70&gt;=0,30,15))))))),""),IFERROR(IF(H70="","",IF(H70&lt;=2,90,IF(H70&lt;=4,75,IF(H70&lt;=7,60,IF(H70&lt;=10,45,IF(H70&lt;=15,30,IF(H70&lt;=25,15,5))))))),""),IFERROR(IF(I70="","",IF(I70&lt;=0.5,100,IF(I70&lt;=1,90,IF(I70&lt;=1.5,75,IF(I70&lt;=2,60,IF(I70&lt;=2.5,45,IF(I70&lt;=3,30,15))))))),"")),"")</f>
        <v/>
      </c>
      <c r="K70" s="33" t="n">
        <v>48.6</v>
      </c>
      <c r="L70" s="33" t="n">
        <v>61.87</v>
      </c>
      <c r="M70" s="33" t="n">
        <v>25.52</v>
      </c>
      <c r="N70" s="33" t="n">
        <v>-0.8</v>
      </c>
      <c r="O70" s="33">
        <f>IFERROR(AVERAGE(IFERROR(IF(K70="","",IF(K70&gt;=25,100,IF(K70&gt;=20,90,IF(K70&gt;=15,75,IF(K70&gt;=10,60,IF(K70&gt;=5,45,IF(K70&gt;=0,30,15))))))),""),IFERROR(IF(L70="","",IF(L70&gt;=60,100,IF(L70&gt;=50,90,IF(L70&gt;=40,75,IF(L70&gt;=30,60,IF(L70&gt;=20,45,IF(L70&gt;=10,30,15))))))),""),IFERROR(IF(M70="","",IF(M70&gt;=25,100,IF(M70&gt;=20,90,IF(M70&gt;=15,75,IF(M70&gt;=10,60,IF(M70&gt;=5,45,IF(M70&gt;=0,30,15))))))),""),IFERROR(IF(N70="","",IF(N70&lt;=0,100,IF(N70&lt;=1,90,IF(N70&lt;=2,75,IF(N70&lt;=3,60,IF(N70&lt;=4,45,IF(N70&lt;=5,30,15))))))),"")),"")</f>
        <v/>
      </c>
      <c r="P70" s="33" t="n">
        <v>18.94</v>
      </c>
      <c r="Q70" s="33" t="n">
        <v>35.1</v>
      </c>
      <c r="R70" s="33" t="n">
        <v>58.3</v>
      </c>
      <c r="S70" s="33">
        <f>IFERROR(AVERAGE(IFERROR(IF(P70="","",IF(P70&gt;=40,100,IF(P70&gt;=30,90,IF(P70&gt;=20,75,IF(P70&gt;=15,60,IF(P70&gt;=10,45,IF(P70&gt;=5,30,15))))))),""),IFERROR(IF(Q70="","",IF(Q70&gt;=40,100,IF(Q70&gt;=30,90,IF(Q70&gt;=20,75,IF(Q70&gt;=10,60,IF(Q70&gt;=5,45,IF(Q70&gt;=0,30,15))))))),""),IFERROR(IF(R70="","",IF(R70&gt;=40,100,IF(R70&gt;=30,90,IF(R70&gt;=20,75,IF(R70&gt;=10,60,IF(R70&gt;=0,45,IF(R70&gt;=-10,30,15))))))),"")),"")</f>
        <v/>
      </c>
      <c r="T70" s="33" t="n">
        <v>5</v>
      </c>
      <c r="U70" s="33" t="n">
        <v>5</v>
      </c>
      <c r="V70" s="33" t="n">
        <v>5</v>
      </c>
      <c r="W70" s="33" t="n">
        <v>5</v>
      </c>
      <c r="X70" s="33" t="n">
        <v>5</v>
      </c>
      <c r="Y70" s="33">
        <f>IFERROR(AVERAGE(T70,U70,V70,W70,X70)*20,"")</f>
        <v/>
      </c>
      <c r="Z70" s="33" t="n">
        <v>5</v>
      </c>
      <c r="AA70" s="33" t="n">
        <v>1</v>
      </c>
      <c r="AB70" s="33" t="n">
        <v>5</v>
      </c>
      <c r="AC70" s="71" t="n">
        <v>85.8</v>
      </c>
      <c r="AD70" s="33">
        <f>IFERROR(AVERAGE(IFERROR(IF(Z70="","",Z70*20),""),IFERROR(IF(AA70="","",AA70*20),""),IFERROR(IF(AB70="","",AB70*20),""),IFERROR(IF(AC70="","",IF(AC70&gt;=85,100,IF(AC70&gt;=70,90,IF(AC70&gt;=55,75,IF(AC70&gt;=40,60,IF(AC70&gt;=25,40,20)))))),"")),"")</f>
        <v/>
      </c>
      <c r="AE70" s="33" t="n">
        <v>3</v>
      </c>
      <c r="AF70" s="33" t="n">
        <v>2</v>
      </c>
      <c r="AG70" s="33" t="n">
        <v>5</v>
      </c>
      <c r="AH70" s="33" t="n">
        <v>4</v>
      </c>
      <c r="AI70" s="33">
        <f>IFERROR(AVERAGE(AE70,AF70,AG70,AH70,AL70)*20,"")</f>
        <v/>
      </c>
      <c r="AJ70" s="33">
        <f>IFERROR(J70*Weights!$B$4 + O70*Weights!$B$5 + S70*Weights!$B$6 + Y70*Weights!$B$7 + AD70*Weights!$B$8 + AI70*Weights!$B$9,"")</f>
        <v/>
      </c>
      <c r="AK70" s="33">
        <f>IF(AJ70="","",IF(AJ70&gt;=85,"✓✓✓",IF(AJ70&gt;=70,"✓✓",IF(AJ70&gt;=55,"✓",IF(AJ70&gt;=40,"?","✗")))))</f>
        <v/>
      </c>
      <c r="AL70" s="33" t="n">
        <v>5</v>
      </c>
    </row>
    <row r="71">
      <c r="A71" s="33" t="inlineStr">
        <is>
          <t>INTC</t>
        </is>
      </c>
      <c r="B71" s="33" t="inlineStr">
        <is>
          <t>Intel Corporation</t>
        </is>
      </c>
      <c r="C71" s="33" t="inlineStr">
        <is>
          <t>05 Fabs &amp; Foundries</t>
        </is>
      </c>
      <c r="D71" s="33" t="inlineStr">
        <is>
          <t>2026-06-24</t>
        </is>
      </c>
      <c r="E71" s="33" t="n">
        <v>85.12826</v>
      </c>
      <c r="F71" s="33" t="n">
        <v>48.597</v>
      </c>
      <c r="G71" s="33" t="n">
        <v>-0.47</v>
      </c>
      <c r="H71" s="33" t="n">
        <v>12.307216</v>
      </c>
      <c r="I71" s="33">
        <f>IF(OR(E72="",R72="",R72&lt;=0,E72&lt;0),"",E72/R72)</f>
        <v/>
      </c>
      <c r="J71" s="33">
        <f>IFERROR(AVERAGE(IFERROR(IF(E71="","",IF(E71&lt;0,5,IF(E71&lt;=15,90,IF(E71&lt;=20,75,IF(E71&lt;=25,60,IF(E71&lt;=30,45,IF(E71&lt;=40,30,IF(E71&lt;=60,15,5)))))))),""),IFERROR(IF(F71="","",IF(F71&lt;0,5,IF(F71&lt;=10,90,IF(F71&lt;=15,75,IF(F71&lt;=20,60,IF(F71&lt;=25,45,IF(F71&lt;=35,30,IF(F71&lt;=50,15,5)))))))),""),IFERROR(IF(G71="","",IF(G71&gt;=8,100,IF(G71&gt;=6,90,IF(G71&gt;=4,75,IF(G71&gt;=2,60,IF(G71&gt;=1,45,IF(G71&gt;=0,30,15))))))),""),IFERROR(IF(H71="","",IF(H71&lt;=2,90,IF(H71&lt;=4,75,IF(H71&lt;=7,60,IF(H71&lt;=10,45,IF(H71&lt;=15,30,IF(H71&lt;=25,15,5))))))),""),IFERROR(IF(I71="","",IF(I71&lt;=0.5,100,IF(I71&lt;=1,90,IF(I71&lt;=1.5,75,IF(I71&lt;=2,60,IF(I71&lt;=2.5,45,IF(I71&lt;=3,30,15))))))),"")),"")</f>
        <v/>
      </c>
      <c r="K71" s="33" t="n">
        <v>-0.3863</v>
      </c>
      <c r="L71" s="33" t="n">
        <v>37.2</v>
      </c>
      <c r="M71" s="33" t="n">
        <v>-5.8</v>
      </c>
      <c r="N71" s="33" t="n">
        <v>0.86</v>
      </c>
      <c r="O71" s="33">
        <f>IFERROR(AVERAGE(IFERROR(IF(K71="","",IF(K71&gt;=25,100,IF(K71&gt;=20,90,IF(K71&gt;=15,75,IF(K71&gt;=10,60,IF(K71&gt;=5,45,IF(K71&gt;=0,30,15))))))),""),IFERROR(IF(L71="","",IF(L71&gt;=60,100,IF(L71&gt;=50,90,IF(L71&gt;=40,75,IF(L71&gt;=30,60,IF(L71&gt;=20,45,IF(L71&gt;=10,30,15))))))),""),IFERROR(IF(M71="","",IF(M71&gt;=25,100,IF(M71&gt;=20,90,IF(M71&gt;=15,75,IF(M71&gt;=10,60,IF(M71&gt;=5,45,IF(M71&gt;=0,30,15))))))),""),IFERROR(IF(N71="","",IF(N71&lt;=0,100,IF(N71&lt;=1,90,IF(N71&lt;=2,75,IF(N71&lt;=3,60,IF(N71&lt;=4,45,IF(N71&lt;=5,30,15))))))),"")),"")</f>
        <v/>
      </c>
      <c r="P71" s="33" t="n">
        <v>-5.71</v>
      </c>
      <c r="Q71" s="33" t="n">
        <v>7.2</v>
      </c>
      <c r="R71" s="33" t="inlineStr"/>
      <c r="S71" s="33">
        <f>IFERROR(AVERAGE(IFERROR(IF(P71="","",IF(P71&gt;=40,100,IF(P71&gt;=30,90,IF(P71&gt;=20,75,IF(P71&gt;=15,60,IF(P71&gt;=10,45,IF(P71&gt;=5,30,15))))))),""),IFERROR(IF(Q71="","",IF(Q71&gt;=40,100,IF(Q71&gt;=30,90,IF(Q71&gt;=20,75,IF(Q71&gt;=10,60,IF(Q71&gt;=5,45,IF(Q71&gt;=0,30,15))))))),""),IFERROR(IF(R71="","",IF(R71&gt;=40,100,IF(R71&gt;=30,90,IF(R71&gt;=20,75,IF(R71&gt;=10,60,IF(R71&gt;=0,45,IF(R71&gt;=-10,30,15))))))),"")),"")</f>
        <v/>
      </c>
      <c r="T71" s="33" t="n">
        <v>3</v>
      </c>
      <c r="U71" s="33" t="n">
        <v>3</v>
      </c>
      <c r="V71" s="33" t="n">
        <v>3</v>
      </c>
      <c r="W71" s="33" t="n">
        <v>4</v>
      </c>
      <c r="X71" s="33" t="n">
        <v>4</v>
      </c>
      <c r="Y71" s="33">
        <f>IFERROR(AVERAGE(T71,U71,V71,W71,X71)*20,"")</f>
        <v/>
      </c>
      <c r="Z71" s="33" t="n">
        <v>5</v>
      </c>
      <c r="AA71" s="33" t="n">
        <v>5</v>
      </c>
      <c r="AB71" s="33" t="n">
        <v>3</v>
      </c>
      <c r="AC71" s="71" t="n">
        <v>85.8</v>
      </c>
      <c r="AD71" s="33">
        <f>IFERROR(AVERAGE(IFERROR(IF(Z71="","",Z71*20),""),IFERROR(IF(AA71="","",AA71*20),""),IFERROR(IF(AB71="","",AB71*20),""),IFERROR(IF(AC71="","",IF(AC71&gt;=85,100,IF(AC71&gt;=70,90,IF(AC71&gt;=55,75,IF(AC71&gt;=40,60,IF(AC71&gt;=25,40,20)))))),"")),"")</f>
        <v/>
      </c>
      <c r="AE71" s="33" t="n">
        <v>5</v>
      </c>
      <c r="AF71" s="33" t="n">
        <v>3</v>
      </c>
      <c r="AG71" s="33" t="n">
        <v>2</v>
      </c>
      <c r="AH71" s="33" t="n">
        <v>3</v>
      </c>
      <c r="AI71" s="33">
        <f>IFERROR(AVERAGE(AE71,AF71,AG71,AH71,AL71)*20,"")</f>
        <v/>
      </c>
      <c r="AJ71" s="33">
        <f>IFERROR(J71*Weights!$B$4 + O71*Weights!$B$5 + S71*Weights!$B$6 + Y71*Weights!$B$7 + AD71*Weights!$B$8 + AI71*Weights!$B$9,"")</f>
        <v/>
      </c>
      <c r="AK71" s="33">
        <f>IF(AJ71="","",IF(AJ71&gt;=85,"✓✓✓",IF(AJ71&gt;=70,"✓✓",IF(AJ71&gt;=55,"✓",IF(AJ71&gt;=40,"?","✗")))))</f>
        <v/>
      </c>
      <c r="AL71" s="33" t="n">
        <v>5</v>
      </c>
    </row>
    <row r="72">
      <c r="A72" s="33" t="inlineStr">
        <is>
          <t>GFS</t>
        </is>
      </c>
      <c r="B72" s="33" t="inlineStr">
        <is>
          <t>GLOBALFOUNDRIES Inc.</t>
        </is>
      </c>
      <c r="C72" s="33" t="inlineStr">
        <is>
          <t>05 Fabs &amp; Foundries</t>
        </is>
      </c>
      <c r="D72" s="33" t="inlineStr">
        <is>
          <t>2026-06-24</t>
        </is>
      </c>
      <c r="E72" s="33" t="n">
        <v>33.09818</v>
      </c>
      <c r="F72" s="33" t="n">
        <v>21.977</v>
      </c>
      <c r="G72" s="33" t="n">
        <v>2.34</v>
      </c>
      <c r="H72" s="33" t="n">
        <v>6.7143655</v>
      </c>
      <c r="I72" s="33">
        <f>IF(OR(E73="",R73="",R73&lt;=0,E73&lt;0),"",E73/R73)</f>
        <v/>
      </c>
      <c r="J72" s="33">
        <f>IFERROR(AVERAGE(IFERROR(IF(E72="","",IF(E72&lt;0,5,IF(E72&lt;=15,90,IF(E72&lt;=20,75,IF(E72&lt;=25,60,IF(E72&lt;=30,45,IF(E72&lt;=40,30,IF(E72&lt;=60,15,5)))))))),""),IFERROR(IF(F72="","",IF(F72&lt;0,5,IF(F72&lt;=10,90,IF(F72&lt;=15,75,IF(F72&lt;=20,60,IF(F72&lt;=25,45,IF(F72&lt;=35,30,IF(F72&lt;=50,15,5)))))))),""),IFERROR(IF(G72="","",IF(G72&gt;=8,100,IF(G72&gt;=6,90,IF(G72&gt;=4,75,IF(G72&gt;=2,60,IF(G72&gt;=1,45,IF(G72&gt;=0,30,15))))))),""),IFERROR(IF(H72="","",IF(H72&lt;=2,90,IF(H72&lt;=4,75,IF(H72&lt;=7,60,IF(H72&lt;=10,45,IF(H72&lt;=15,30,IF(H72&lt;=25,15,5))))))),""),IFERROR(IF(I72="","",IF(I72&lt;=0.5,100,IF(I72&lt;=1,90,IF(I72&lt;=1.5,75,IF(I72&lt;=2,60,IF(I72&lt;=2.5,45,IF(I72&lt;=3,30,15))))))),"")),"")</f>
        <v/>
      </c>
      <c r="K72" s="33" t="n">
        <v>7.3832</v>
      </c>
      <c r="L72" s="33" t="n">
        <v>26.11</v>
      </c>
      <c r="M72" s="33" t="n">
        <v>15.7</v>
      </c>
      <c r="N72" s="33" t="n">
        <v>-0.63</v>
      </c>
      <c r="O72" s="33">
        <f>IFERROR(AVERAGE(IFERROR(IF(K72="","",IF(K72&gt;=25,100,IF(K72&gt;=20,90,IF(K72&gt;=15,75,IF(K72&gt;=10,60,IF(K72&gt;=5,45,IF(K72&gt;=0,30,15))))))),""),IFERROR(IF(L72="","",IF(L72&gt;=60,100,IF(L72&gt;=50,90,IF(L72&gt;=40,75,IF(L72&gt;=30,60,IF(L72&gt;=20,45,IF(L72&gt;=10,30,15))))))),""),IFERROR(IF(M72="","",IF(M72&gt;=25,100,IF(M72&gt;=20,90,IF(M72&gt;=15,75,IF(M72&gt;=10,60,IF(M72&gt;=5,45,IF(M72&gt;=0,30,15))))))),""),IFERROR(IF(N72="","",IF(N72&lt;=0,100,IF(N72&lt;=1,90,IF(N72&lt;=2,75,IF(N72&lt;=3,60,IF(N72&lt;=4,45,IF(N72&lt;=5,30,15))))))),"")),"")</f>
        <v/>
      </c>
      <c r="P72" s="33" t="n">
        <v>-5.74</v>
      </c>
      <c r="Q72" s="33" t="n">
        <v>3.1</v>
      </c>
      <c r="R72" s="33" t="n">
        <v>-51</v>
      </c>
      <c r="S72" s="33">
        <f>IFERROR(AVERAGE(IFERROR(IF(P72="","",IF(P72&gt;=40,100,IF(P72&gt;=30,90,IF(P72&gt;=20,75,IF(P72&gt;=15,60,IF(P72&gt;=10,45,IF(P72&gt;=5,30,15))))))),""),IFERROR(IF(Q72="","",IF(Q72&gt;=40,100,IF(Q72&gt;=30,90,IF(Q72&gt;=20,75,IF(Q72&gt;=10,60,IF(Q72&gt;=5,45,IF(Q72&gt;=0,30,15))))))),""),IFERROR(IF(R72="","",IF(R72&gt;=40,100,IF(R72&gt;=30,90,IF(R72&gt;=20,75,IF(R72&gt;=10,60,IF(R72&gt;=0,45,IF(R72&gt;=-10,30,15))))))),"")),"")</f>
        <v/>
      </c>
      <c r="T72" s="33" t="n">
        <v>3</v>
      </c>
      <c r="U72" s="33" t="n">
        <v>3</v>
      </c>
      <c r="V72" s="33" t="n">
        <v>4</v>
      </c>
      <c r="W72" s="33" t="n">
        <v>4</v>
      </c>
      <c r="X72" s="33" t="n">
        <v>3</v>
      </c>
      <c r="Y72" s="33">
        <f>IFERROR(AVERAGE(T72,U72,V72,W72,X72)*20,"")</f>
        <v/>
      </c>
      <c r="Z72" s="33" t="n">
        <v>4</v>
      </c>
      <c r="AA72" s="33" t="n">
        <v>5</v>
      </c>
      <c r="AB72" s="33" t="n">
        <v>3</v>
      </c>
      <c r="AC72" s="71" t="n">
        <v>85.8</v>
      </c>
      <c r="AD72" s="33">
        <f>IFERROR(AVERAGE(IFERROR(IF(Z72="","",Z72*20),""),IFERROR(IF(AA72="","",AA72*20),""),IFERROR(IF(AB72="","",AB72*20),""),IFERROR(IF(AC72="","",IF(AC72&gt;=85,100,IF(AC72&gt;=70,90,IF(AC72&gt;=55,75,IF(AC72&gt;=40,60,IF(AC72&gt;=25,40,20)))))),"")),"")</f>
        <v/>
      </c>
      <c r="AE72" s="33" t="n">
        <v>4</v>
      </c>
      <c r="AF72" s="33" t="n">
        <v>4</v>
      </c>
      <c r="AG72" s="33" t="n">
        <v>4</v>
      </c>
      <c r="AH72" s="33" t="n">
        <v>4</v>
      </c>
      <c r="AI72" s="33">
        <f>IFERROR(AVERAGE(AE72,AF72,AG72,AH72,AL72)*20,"")</f>
        <v/>
      </c>
      <c r="AJ72" s="33">
        <f>IFERROR(J72*Weights!$B$4 + O72*Weights!$B$5 + S72*Weights!$B$6 + Y72*Weights!$B$7 + AD72*Weights!$B$8 + AI72*Weights!$B$9,"")</f>
        <v/>
      </c>
      <c r="AK72" s="33">
        <f>IF(AJ72="","",IF(AJ72&gt;=85,"✓✓✓",IF(AJ72&gt;=70,"✓✓",IF(AJ72&gt;=55,"✓",IF(AJ72&gt;=40,"?","✗")))))</f>
        <v/>
      </c>
      <c r="AL72" s="33" t="n">
        <v>5</v>
      </c>
    </row>
    <row r="73">
      <c r="A73" s="33" t="inlineStr">
        <is>
          <t>TSEM</t>
        </is>
      </c>
      <c r="B73" s="33" t="inlineStr">
        <is>
          <t>Tower Semiconductor Ltd.</t>
        </is>
      </c>
      <c r="C73" s="33" t="inlineStr">
        <is>
          <t>05 Fabs &amp; Foundries</t>
        </is>
      </c>
      <c r="D73" s="33" t="inlineStr">
        <is>
          <t>2026-06-24</t>
        </is>
      </c>
      <c r="E73" s="33" t="n">
        <v>47.981876</v>
      </c>
      <c r="F73" s="33" t="n">
        <v>55.121</v>
      </c>
      <c r="G73" s="33" t="n">
        <v>0.98</v>
      </c>
      <c r="H73" s="33" t="n">
        <v>20.202742</v>
      </c>
      <c r="I73" s="33">
        <f>IF(OR(E74="",R74="",R74&lt;=0,E74&lt;0),"",E74/R74)</f>
        <v/>
      </c>
      <c r="J73" s="33">
        <f>IFERROR(AVERAGE(IFERROR(IF(E73="","",IF(E73&lt;0,5,IF(E73&lt;=15,90,IF(E73&lt;=20,75,IF(E73&lt;=25,60,IF(E73&lt;=30,45,IF(E73&lt;=40,30,IF(E73&lt;=60,15,5)))))))),""),IFERROR(IF(F73="","",IF(F73&lt;0,5,IF(F73&lt;=10,90,IF(F73&lt;=15,75,IF(F73&lt;=20,60,IF(F73&lt;=25,45,IF(F73&lt;=35,30,IF(F73&lt;=50,15,5)))))))),""),IFERROR(IF(G73="","",IF(G73&gt;=8,100,IF(G73&gt;=6,90,IF(G73&gt;=4,75,IF(G73&gt;=2,60,IF(G73&gt;=1,45,IF(G73&gt;=0,30,15))))))),""),IFERROR(IF(H73="","",IF(H73&lt;=2,90,IF(H73&lt;=4,75,IF(H73&lt;=7,60,IF(H73&lt;=10,45,IF(H73&lt;=15,30,IF(H73&lt;=25,15,5))))))),""),IFERROR(IF(I73="","",IF(I73&lt;=0.5,100,IF(I73&lt;=1,90,IF(I73&lt;=1.5,75,IF(I73&lt;=2,60,IF(I73&lt;=2.5,45,IF(I73&lt;=3,30,15))))))),"")),"")</f>
        <v/>
      </c>
      <c r="K73" s="33" t="n">
        <v>8.6943</v>
      </c>
      <c r="L73" s="33" t="n">
        <v>24.77</v>
      </c>
      <c r="M73" s="33" t="n">
        <v>19.87</v>
      </c>
      <c r="N73" s="33" t="n">
        <v>-2.5</v>
      </c>
      <c r="O73" s="33">
        <f>IFERROR(AVERAGE(IFERROR(IF(K73="","",IF(K73&gt;=25,100,IF(K73&gt;=20,90,IF(K73&gt;=15,75,IF(K73&gt;=10,60,IF(K73&gt;=5,45,IF(K73&gt;=0,30,15))))))),""),IFERROR(IF(L73="","",IF(L73&gt;=60,100,IF(L73&gt;=50,90,IF(L73&gt;=40,75,IF(L73&gt;=30,60,IF(L73&gt;=20,45,IF(L73&gt;=10,30,15))))))),""),IFERROR(IF(M73="","",IF(M73&gt;=25,100,IF(M73&gt;=20,90,IF(M73&gt;=15,75,IF(M73&gt;=10,60,IF(M73&gt;=5,45,IF(M73&gt;=0,30,15))))))),""),IFERROR(IF(N73="","",IF(N73&lt;=0,100,IF(N73&lt;=1,90,IF(N73&lt;=2,75,IF(N73&lt;=3,60,IF(N73&lt;=4,45,IF(N73&lt;=5,30,15))))))),"")),"")</f>
        <v/>
      </c>
      <c r="P73" s="33" t="n">
        <v>-2.27</v>
      </c>
      <c r="Q73" s="33" t="n">
        <v>15.5</v>
      </c>
      <c r="R73" s="33" t="n">
        <v>62</v>
      </c>
      <c r="S73" s="33">
        <f>IFERROR(AVERAGE(IFERROR(IF(P73="","",IF(P73&gt;=40,100,IF(P73&gt;=30,90,IF(P73&gt;=20,75,IF(P73&gt;=15,60,IF(P73&gt;=10,45,IF(P73&gt;=5,30,15))))))),""),IFERROR(IF(Q73="","",IF(Q73&gt;=40,100,IF(Q73&gt;=30,90,IF(Q73&gt;=20,75,IF(Q73&gt;=10,60,IF(Q73&gt;=5,45,IF(Q73&gt;=0,30,15))))))),""),IFERROR(IF(R73="","",IF(R73&gt;=40,100,IF(R73&gt;=30,90,IF(R73&gt;=20,75,IF(R73&gt;=10,60,IF(R73&gt;=0,45,IF(R73&gt;=-10,30,15))))))),"")),"")</f>
        <v/>
      </c>
      <c r="T73" s="33" t="n">
        <v>4</v>
      </c>
      <c r="U73" s="33" t="n">
        <v>4</v>
      </c>
      <c r="V73" s="33" t="n">
        <v>4</v>
      </c>
      <c r="W73" s="33" t="n">
        <v>5</v>
      </c>
      <c r="X73" s="33" t="n">
        <v>4</v>
      </c>
      <c r="Y73" s="33">
        <f>IFERROR(AVERAGE(T73,U73,V73,W73,X73)*20,"")</f>
        <v/>
      </c>
      <c r="Z73" s="33" t="n">
        <v>4</v>
      </c>
      <c r="AA73" s="33" t="n">
        <v>5</v>
      </c>
      <c r="AB73" s="33" t="n">
        <v>3</v>
      </c>
      <c r="AC73" s="71" t="n">
        <v>87.5</v>
      </c>
      <c r="AD73" s="33">
        <f>IFERROR(AVERAGE(IFERROR(IF(Z73="","",Z73*20),""),IFERROR(IF(AA73="","",AA73*20),""),IFERROR(IF(AB73="","",AB73*20),""),IFERROR(IF(AC73="","",IF(AC73&gt;=85,100,IF(AC73&gt;=70,90,IF(AC73&gt;=55,75,IF(AC73&gt;=40,60,IF(AC73&gt;=25,40,20)))))),"")),"")</f>
        <v/>
      </c>
      <c r="AE73" s="33" t="n">
        <v>4</v>
      </c>
      <c r="AF73" s="33" t="n">
        <v>4</v>
      </c>
      <c r="AG73" s="33" t="n">
        <v>4</v>
      </c>
      <c r="AH73" s="33" t="n">
        <v>4</v>
      </c>
      <c r="AI73" s="33">
        <f>IFERROR(AVERAGE(AE73,AF73,AG73,AH73,AL73)*20,"")</f>
        <v/>
      </c>
      <c r="AJ73" s="33">
        <f>IFERROR(J73*Weights!$B$4 + O73*Weights!$B$5 + S73*Weights!$B$6 + Y73*Weights!$B$7 + AD73*Weights!$B$8 + AI73*Weights!$B$9,"")</f>
        <v/>
      </c>
      <c r="AK73" s="33">
        <f>IF(AJ73="","",IF(AJ73&gt;=85,"✓✓✓",IF(AJ73&gt;=70,"✓✓",IF(AJ73&gt;=55,"✓",IF(AJ73&gt;=40,"?","✗")))))</f>
        <v/>
      </c>
      <c r="AL73" s="33" t="n">
        <v>5</v>
      </c>
    </row>
    <row r="74">
      <c r="A74" s="33" t="inlineStr">
        <is>
          <t>UMC</t>
        </is>
      </c>
      <c r="B74" s="33" t="inlineStr">
        <is>
          <t>United Microelectronics Corporation</t>
        </is>
      </c>
      <c r="C74" s="33" t="inlineStr">
        <is>
          <t>05 Fabs &amp; Foundries</t>
        </is>
      </c>
      <c r="D74" s="33" t="inlineStr">
        <is>
          <t>2026-06-24</t>
        </is>
      </c>
      <c r="E74" s="33" t="n">
        <v>34.35461</v>
      </c>
      <c r="F74" s="33" t="n"/>
      <c r="G74" s="33" t="n"/>
      <c r="H74" s="33" t="n"/>
      <c r="I74" s="33">
        <f>IF(OR(E75="",R75="",R75&lt;=0,E75&lt;0),"",E75/R75)</f>
        <v/>
      </c>
      <c r="J74" s="33">
        <f>IFERROR(AVERAGE(IFERROR(IF(E74="","",IF(E74&lt;0,5,IF(E74&lt;=15,90,IF(E74&lt;=20,75,IF(E74&lt;=25,60,IF(E74&lt;=30,45,IF(E74&lt;=40,30,IF(E74&lt;=60,15,5)))))))),""),IFERROR(IF(F74="","",IF(F74&lt;0,5,IF(F74&lt;=10,90,IF(F74&lt;=15,75,IF(F74&lt;=20,60,IF(F74&lt;=25,45,IF(F74&lt;=35,30,IF(F74&lt;=50,15,5)))))))),""),IFERROR(IF(G74="","",IF(G74&gt;=8,100,IF(G74&gt;=6,90,IF(G74&gt;=4,75,IF(G74&gt;=2,60,IF(G74&gt;=1,45,IF(G74&gt;=0,30,15))))))),""),IFERROR(IF(H74="","",IF(H74&lt;=2,90,IF(H74&lt;=4,75,IF(H74&lt;=7,60,IF(H74&lt;=10,45,IF(H74&lt;=15,30,IF(H74&lt;=25,15,5))))))),""),IFERROR(IF(I74="","",IF(I74&lt;=0.5,100,IF(I74&lt;=1,90,IF(I74&lt;=1.5,75,IF(I74&lt;=2,60,IF(I74&lt;=2.5,45,IF(I74&lt;=3,30,15))))))),"")),"")</f>
        <v/>
      </c>
      <c r="K74" s="33" t="n">
        <v>9.699999999999999</v>
      </c>
      <c r="L74" s="33" t="n">
        <v>29.61</v>
      </c>
      <c r="M74" s="33" t="n">
        <v>20.17</v>
      </c>
      <c r="N74" s="33" t="n">
        <v>-0.5600000000000001</v>
      </c>
      <c r="O74" s="33">
        <f>IFERROR(AVERAGE(IFERROR(IF(K74="","",IF(K74&gt;=25,100,IF(K74&gt;=20,90,IF(K74&gt;=15,75,IF(K74&gt;=10,60,IF(K74&gt;=5,45,IF(K74&gt;=0,30,15))))))),""),IFERROR(IF(L74="","",IF(L74&gt;=60,100,IF(L74&gt;=50,90,IF(L74&gt;=40,75,IF(L74&gt;=30,60,IF(L74&gt;=20,45,IF(L74&gt;=10,30,15))))))),""),IFERROR(IF(M74="","",IF(M74&gt;=25,100,IF(M74&gt;=20,90,IF(M74&gt;=15,75,IF(M74&gt;=10,60,IF(M74&gt;=5,45,IF(M74&gt;=0,30,15))))))),""),IFERROR(IF(N74="","",IF(N74&lt;=0,100,IF(N74&lt;=1,90,IF(N74&lt;=2,75,IF(N74&lt;=3,60,IF(N74&lt;=4,45,IF(N74&lt;=5,30,15))))))),"")),"")</f>
        <v/>
      </c>
      <c r="P74" s="33" t="n">
        <v>-5.19</v>
      </c>
      <c r="Q74" s="33" t="n">
        <v>5.5</v>
      </c>
      <c r="R74" s="33" t="n">
        <v>107.9</v>
      </c>
      <c r="S74" s="33">
        <f>IFERROR(AVERAGE(IFERROR(IF(P74="","",IF(P74&gt;=40,100,IF(P74&gt;=30,90,IF(P74&gt;=20,75,IF(P74&gt;=15,60,IF(P74&gt;=10,45,IF(P74&gt;=5,30,15))))))),""),IFERROR(IF(Q74="","",IF(Q74&gt;=40,100,IF(Q74&gt;=30,90,IF(Q74&gt;=20,75,IF(Q74&gt;=10,60,IF(Q74&gt;=5,45,IF(Q74&gt;=0,30,15))))))),""),IFERROR(IF(R74="","",IF(R74&gt;=40,100,IF(R74&gt;=30,90,IF(R74&gt;=20,75,IF(R74&gt;=10,60,IF(R74&gt;=0,45,IF(R74&gt;=-10,30,15))))))),"")),"")</f>
        <v/>
      </c>
      <c r="T74" s="33" t="n">
        <v>3</v>
      </c>
      <c r="U74" s="33" t="n">
        <v>3</v>
      </c>
      <c r="V74" s="33" t="n">
        <v>3</v>
      </c>
      <c r="W74" s="33" t="n">
        <v>3</v>
      </c>
      <c r="X74" s="33" t="n">
        <v>2</v>
      </c>
      <c r="Y74" s="33">
        <f>IFERROR(AVERAGE(T74,U74,V74,W74,X74)*20,"")</f>
        <v/>
      </c>
      <c r="Z74" s="33" t="n">
        <v>3</v>
      </c>
      <c r="AA74" s="33" t="n">
        <v>5</v>
      </c>
      <c r="AB74" s="33" t="n">
        <v>3</v>
      </c>
      <c r="AC74" s="71" t="n">
        <v>78.3</v>
      </c>
      <c r="AD74" s="33">
        <f>IFERROR(AVERAGE(IFERROR(IF(Z74="","",Z74*20),""),IFERROR(IF(AA74="","",AA74*20),""),IFERROR(IF(AB74="","",AB74*20),""),IFERROR(IF(AC74="","",IF(AC74&gt;=85,100,IF(AC74&gt;=70,90,IF(AC74&gt;=55,75,IF(AC74&gt;=40,60,IF(AC74&gt;=25,40,20)))))),"")),"")</f>
        <v/>
      </c>
      <c r="AE74" s="33" t="n">
        <v>4</v>
      </c>
      <c r="AF74" s="33" t="n">
        <v>2</v>
      </c>
      <c r="AG74" s="33" t="n">
        <v>4</v>
      </c>
      <c r="AH74" s="33" t="n">
        <v>4</v>
      </c>
      <c r="AI74" s="33">
        <f>IFERROR(AVERAGE(AE74,AF74,AG74,AH74,AL74)*20,"")</f>
        <v/>
      </c>
      <c r="AJ74" s="33">
        <f>IFERROR(J74*Weights!$B$4 + O74*Weights!$B$5 + S74*Weights!$B$6 + Y74*Weights!$B$7 + AD74*Weights!$B$8 + AI74*Weights!$B$9,"")</f>
        <v/>
      </c>
      <c r="AK74" s="33">
        <f>IF(AJ74="","",IF(AJ74&gt;=85,"✓✓✓",IF(AJ74&gt;=70,"✓✓",IF(AJ74&gt;=55,"✓",IF(AJ74&gt;=40,"?","✗")))))</f>
        <v/>
      </c>
      <c r="AL74" s="33" t="n">
        <v>5</v>
      </c>
    </row>
    <row r="75">
      <c r="A75" s="33" t="inlineStr">
        <is>
          <t>AVGO</t>
        </is>
      </c>
      <c r="B75" s="33" t="inlineStr">
        <is>
          <t>Broadcom Inc.</t>
        </is>
      </c>
      <c r="C75" s="33" t="inlineStr">
        <is>
          <t>06 AI Compute Silicon / Custom silicon / ASIC designers</t>
        </is>
      </c>
      <c r="D75" s="33" t="inlineStr">
        <is>
          <t>2026-06-24</t>
        </is>
      </c>
      <c r="E75" s="33" t="n">
        <v>19.698614</v>
      </c>
      <c r="F75" s="33" t="n">
        <v>44.27</v>
      </c>
      <c r="G75" s="33" t="n">
        <v>1.8</v>
      </c>
      <c r="H75" s="33" t="n">
        <v>24.087044</v>
      </c>
      <c r="I75" s="33">
        <f>IF(OR(E76="",R76="",R76&lt;=0,E76&lt;0),"",E76/R76)</f>
        <v/>
      </c>
      <c r="J75" s="33">
        <f>IFERROR(AVERAGE(IFERROR(IF(E75="","",IF(E75&lt;0,5,IF(E75&lt;=15,90,IF(E75&lt;=20,75,IF(E75&lt;=25,60,IF(E75&lt;=30,45,IF(E75&lt;=40,30,IF(E75&lt;=60,15,5)))))))),""),IFERROR(IF(F75="","",IF(F75&lt;0,5,IF(F75&lt;=10,90,IF(F75&lt;=15,75,IF(F75&lt;=20,60,IF(F75&lt;=25,45,IF(F75&lt;=35,30,IF(F75&lt;=50,15,5)))))))),""),IFERROR(IF(G75="","",IF(G75&gt;=8,100,IF(G75&gt;=6,90,IF(G75&gt;=4,75,IF(G75&gt;=2,60,IF(G75&gt;=1,45,IF(G75&gt;=0,30,15))))))),""),IFERROR(IF(H75="","",IF(H75&lt;=2,90,IF(H75&lt;=4,75,IF(H75&lt;=7,60,IF(H75&lt;=10,45,IF(H75&lt;=15,30,IF(H75&lt;=25,15,5))))))),""),IFERROR(IF(I75="","",IF(I75&lt;=0.5,100,IF(I75&lt;=1,90,IF(I75&lt;=1.5,75,IF(I75&lt;=2,60,IF(I75&lt;=2.5,45,IF(I75&lt;=3,30,15))))))),"")),"")</f>
        <v/>
      </c>
      <c r="K75" s="33" t="n">
        <v>21.3</v>
      </c>
      <c r="L75" s="33" t="n">
        <v>76.28</v>
      </c>
      <c r="M75" s="33" t="n">
        <v>43.41</v>
      </c>
      <c r="N75" s="33" t="n">
        <v>1.08</v>
      </c>
      <c r="O75" s="33">
        <f>IFERROR(AVERAGE(IFERROR(IF(K75="","",IF(K75&gt;=25,100,IF(K75&gt;=20,90,IF(K75&gt;=15,75,IF(K75&gt;=10,60,IF(K75&gt;=5,45,IF(K75&gt;=0,30,15))))))),""),IFERROR(IF(L75="","",IF(L75&gt;=60,100,IF(L75&gt;=50,90,IF(L75&gt;=40,75,IF(L75&gt;=30,60,IF(L75&gt;=20,45,IF(L75&gt;=10,30,15))))))),""),IFERROR(IF(M75="","",IF(M75&gt;=25,100,IF(M75&gt;=20,90,IF(M75&gt;=15,75,IF(M75&gt;=10,60,IF(M75&gt;=5,45,IF(M75&gt;=0,30,15))))))),""),IFERROR(IF(N75="","",IF(N75&lt;=0,100,IF(N75&lt;=1,90,IF(N75&lt;=2,75,IF(N75&lt;=3,60,IF(N75&lt;=4,45,IF(N75&lt;=5,30,15))))))),"")),"")</f>
        <v/>
      </c>
      <c r="P75" s="33" t="n">
        <v>24.38</v>
      </c>
      <c r="Q75" s="33" t="n">
        <v>47.9</v>
      </c>
      <c r="R75" s="33" t="n">
        <v>87.5</v>
      </c>
      <c r="S75" s="33">
        <f>IFERROR(AVERAGE(IFERROR(IF(P75="","",IF(P75&gt;=40,100,IF(P75&gt;=30,90,IF(P75&gt;=20,75,IF(P75&gt;=15,60,IF(P75&gt;=10,45,IF(P75&gt;=5,30,15))))))),""),IFERROR(IF(Q75="","",IF(Q75&gt;=40,100,IF(Q75&gt;=30,90,IF(Q75&gt;=20,75,IF(Q75&gt;=10,60,IF(Q75&gt;=5,45,IF(Q75&gt;=0,30,15))))))),""),IFERROR(IF(R75="","",IF(R75&gt;=40,100,IF(R75&gt;=30,90,IF(R75&gt;=20,75,IF(R75&gt;=10,60,IF(R75&gt;=0,45,IF(R75&gt;=-10,30,15))))))),"")),"")</f>
        <v/>
      </c>
      <c r="T75" s="33" t="n">
        <v>5</v>
      </c>
      <c r="U75" s="33" t="n">
        <v>5</v>
      </c>
      <c r="V75" s="33" t="n">
        <v>4</v>
      </c>
      <c r="W75" s="33" t="n">
        <v>5</v>
      </c>
      <c r="X75" s="33" t="n">
        <v>5</v>
      </c>
      <c r="Y75" s="33">
        <f>IFERROR(AVERAGE(T75,U75,V75,W75,X75)*20,"")</f>
        <v/>
      </c>
      <c r="Z75" s="33" t="n">
        <v>5</v>
      </c>
      <c r="AA75" s="33" t="n">
        <v>1</v>
      </c>
      <c r="AB75" s="33" t="n">
        <v>4</v>
      </c>
      <c r="AC75" s="71" t="n">
        <v>38.3</v>
      </c>
      <c r="AD75" s="33">
        <f>IFERROR(AVERAGE(IFERROR(IF(Z75="","",Z75*20),""),IFERROR(IF(AA75="","",AA75*20),""),IFERROR(IF(AB75="","",AB75*20),""),IFERROR(IF(AC75="","",IF(AC75&gt;=85,100,IF(AC75&gt;=70,90,IF(AC75&gt;=55,75,IF(AC75&gt;=40,60,IF(AC75&gt;=25,40,20)))))),"")),"")</f>
        <v/>
      </c>
      <c r="AE75" s="33" t="n">
        <v>3</v>
      </c>
      <c r="AF75" s="33" t="n">
        <v>4</v>
      </c>
      <c r="AG75" s="33" t="n">
        <v>4</v>
      </c>
      <c r="AH75" s="33" t="n">
        <v>4</v>
      </c>
      <c r="AI75" s="33">
        <f>IFERROR(AVERAGE(AE75,AF75,AG75,AH75,AL75)*20,"")</f>
        <v/>
      </c>
      <c r="AJ75" s="33">
        <f>IFERROR(J75*Weights!$B$4 + O75*Weights!$B$5 + S75*Weights!$B$6 + Y75*Weights!$B$7 + AD75*Weights!$B$8 + AI75*Weights!$B$9,"")</f>
        <v/>
      </c>
      <c r="AK75" s="33">
        <f>IF(AJ75="","",IF(AJ75&gt;=85,"✓✓✓",IF(AJ75&gt;=70,"✓✓",IF(AJ75&gt;=55,"✓",IF(AJ75&gt;=40,"?","✗")))))</f>
        <v/>
      </c>
      <c r="AL75" s="33" t="n">
        <v>5</v>
      </c>
    </row>
    <row r="76">
      <c r="A76" s="33" t="inlineStr">
        <is>
          <t>MRVL</t>
        </is>
      </c>
      <c r="B76" s="33" t="inlineStr">
        <is>
          <t>Marvell Technology, Inc.</t>
        </is>
      </c>
      <c r="C76" s="33" t="inlineStr">
        <is>
          <t>06 AI Compute Silicon / Custom silicon / ASIC designers</t>
        </is>
      </c>
      <c r="D76" s="33" t="inlineStr">
        <is>
          <t>2026-06-24</t>
        </is>
      </c>
      <c r="E76" s="33" t="n">
        <v>44.81785</v>
      </c>
      <c r="F76" s="33" t="n">
        <v>89.78100000000001</v>
      </c>
      <c r="G76" s="33" t="n">
        <v>0.6899999999999999</v>
      </c>
      <c r="H76" s="33" t="n">
        <v>27.791992</v>
      </c>
      <c r="I76" s="33">
        <f>IF(OR(E77="",R77="",R77&lt;=0,E77&lt;0),"",E77/R77)</f>
        <v/>
      </c>
      <c r="J76" s="33">
        <f>IFERROR(AVERAGE(IFERROR(IF(E76="","",IF(E76&lt;0,5,IF(E76&lt;=15,90,IF(E76&lt;=20,75,IF(E76&lt;=25,60,IF(E76&lt;=30,45,IF(E76&lt;=40,30,IF(E76&lt;=60,15,5)))))))),""),IFERROR(IF(F76="","",IF(F76&lt;0,5,IF(F76&lt;=10,90,IF(F76&lt;=15,75,IF(F76&lt;=20,60,IF(F76&lt;=25,45,IF(F76&lt;=35,30,IF(F76&lt;=50,15,5)))))))),""),IFERROR(IF(G76="","",IF(G76&gt;=8,100,IF(G76&gt;=6,90,IF(G76&gt;=4,75,IF(G76&gt;=2,60,IF(G76&gt;=1,45,IF(G76&gt;=0,30,15))))))),""),IFERROR(IF(H76="","",IF(H76&lt;=2,90,IF(H76&lt;=4,75,IF(H76&lt;=7,60,IF(H76&lt;=10,45,IF(H76&lt;=15,30,IF(H76&lt;=25,15,5))))))),""),IFERROR(IF(I76="","",IF(I76&lt;=0.5,100,IF(I76&lt;=1,90,IF(I76&lt;=1.5,75,IF(I76&lt;=2,60,IF(I76&lt;=2.5,45,IF(I76&lt;=3,30,15))))))),"")),"")</f>
        <v/>
      </c>
      <c r="K76" s="33" t="n">
        <v>17.3565</v>
      </c>
      <c r="L76" s="33" t="n">
        <v>51.5</v>
      </c>
      <c r="M76" s="33" t="n">
        <v>19.06</v>
      </c>
      <c r="N76" s="33" t="n">
        <v>0.53</v>
      </c>
      <c r="O76" s="33">
        <f>IFERROR(AVERAGE(IFERROR(IF(K76="","",IF(K76&gt;=25,100,IF(K76&gt;=20,90,IF(K76&gt;=15,75,IF(K76&gt;=10,60,IF(K76&gt;=5,45,IF(K76&gt;=0,30,15))))))),""),IFERROR(IF(L76="","",IF(L76&gt;=60,100,IF(L76&gt;=50,90,IF(L76&gt;=40,75,IF(L76&gt;=30,60,IF(L76&gt;=20,45,IF(L76&gt;=10,30,15))))))),""),IFERROR(IF(M76="","",IF(M76&gt;=25,100,IF(M76&gt;=20,90,IF(M76&gt;=15,75,IF(M76&gt;=10,60,IF(M76&gt;=5,45,IF(M76&gt;=0,30,15))))))),""),IFERROR(IF(N76="","",IF(N76&lt;=0,100,IF(N76&lt;=1,90,IF(N76&lt;=2,75,IF(N76&lt;=3,60,IF(N76&lt;=4,45,IF(N76&lt;=5,30,15))))))),"")),"")</f>
        <v/>
      </c>
      <c r="P76" s="33" t="n">
        <v>11.45</v>
      </c>
      <c r="Q76" s="33" t="n">
        <v>27.6</v>
      </c>
      <c r="R76" s="33" t="n">
        <v>-80.59999999999999</v>
      </c>
      <c r="S76" s="33">
        <f>IFERROR(AVERAGE(IFERROR(IF(P76="","",IF(P76&gt;=40,100,IF(P76&gt;=30,90,IF(P76&gt;=20,75,IF(P76&gt;=15,60,IF(P76&gt;=10,45,IF(P76&gt;=5,30,15))))))),""),IFERROR(IF(Q76="","",IF(Q76&gt;=40,100,IF(Q76&gt;=30,90,IF(Q76&gt;=20,75,IF(Q76&gt;=10,60,IF(Q76&gt;=5,45,IF(Q76&gt;=0,30,15))))))),""),IFERROR(IF(R76="","",IF(R76&gt;=40,100,IF(R76&gt;=30,90,IF(R76&gt;=20,75,IF(R76&gt;=10,60,IF(R76&gt;=0,45,IF(R76&gt;=-10,30,15))))))),"")),"")</f>
        <v/>
      </c>
      <c r="T76" s="33" t="n">
        <v>4</v>
      </c>
      <c r="U76" s="33" t="n">
        <v>4</v>
      </c>
      <c r="V76" s="33" t="n">
        <v>4</v>
      </c>
      <c r="W76" s="33" t="n">
        <v>5</v>
      </c>
      <c r="X76" s="33" t="n">
        <v>5</v>
      </c>
      <c r="Y76" s="33">
        <f>IFERROR(AVERAGE(T76,U76,V76,W76,X76)*20,"")</f>
        <v/>
      </c>
      <c r="Z76" s="33" t="n">
        <v>4</v>
      </c>
      <c r="AA76" s="33" t="n">
        <v>5</v>
      </c>
      <c r="AB76" s="33" t="n">
        <v>5</v>
      </c>
      <c r="AC76" s="71" t="n">
        <v>65.8</v>
      </c>
      <c r="AD76" s="33">
        <f>IFERROR(AVERAGE(IFERROR(IF(Z76="","",Z76*20),""),IFERROR(IF(AA76="","",AA76*20),""),IFERROR(IF(AB76="","",AB76*20),""),IFERROR(IF(AC76="","",IF(AC76&gt;=85,100,IF(AC76&gt;=70,90,IF(AC76&gt;=55,75,IF(AC76&gt;=40,60,IF(AC76&gt;=25,40,20)))))),"")),"")</f>
        <v/>
      </c>
      <c r="AE76" s="33" t="n">
        <v>3</v>
      </c>
      <c r="AF76" s="33" t="n">
        <v>4</v>
      </c>
      <c r="AG76" s="33" t="n">
        <v>4</v>
      </c>
      <c r="AH76" s="33" t="n">
        <v>4</v>
      </c>
      <c r="AI76" s="33">
        <f>IFERROR(AVERAGE(AE76,AF76,AG76,AH76,AL76)*20,"")</f>
        <v/>
      </c>
      <c r="AJ76" s="33">
        <f>IFERROR(J76*Weights!$B$4 + O76*Weights!$B$5 + S76*Weights!$B$6 + Y76*Weights!$B$7 + AD76*Weights!$B$8 + AI76*Weights!$B$9,"")</f>
        <v/>
      </c>
      <c r="AK76" s="33">
        <f>IF(AJ76="","",IF(AJ76&gt;=85,"✓✓✓",IF(AJ76&gt;=70,"✓✓",IF(AJ76&gt;=55,"✓",IF(AJ76&gt;=40,"?","✗")))))</f>
        <v/>
      </c>
      <c r="AL76" s="33" t="n">
        <v>5</v>
      </c>
    </row>
    <row r="77">
      <c r="A77" s="33" t="inlineStr">
        <is>
          <t>ALAB</t>
        </is>
      </c>
      <c r="B77" s="33" t="inlineStr">
        <is>
          <t>Astera Labs, Inc.</t>
        </is>
      </c>
      <c r="C77" s="33" t="inlineStr">
        <is>
          <t>06 AI Compute Silicon / Custom silicon / ASIC designers</t>
        </is>
      </c>
      <c r="D77" s="33" t="inlineStr">
        <is>
          <t>2026-06-24</t>
        </is>
      </c>
      <c r="E77" s="33" t="n">
        <v>94.15199</v>
      </c>
      <c r="F77" s="33" t="n">
        <v>288.822</v>
      </c>
      <c r="G77" s="33" t="n">
        <v>0.5</v>
      </c>
      <c r="H77" s="33" t="n">
        <v>68.45062</v>
      </c>
      <c r="I77" s="33">
        <f>IF(OR(E78="",R78="",R78&lt;=0,E78&lt;0),"",E78/R78)</f>
        <v/>
      </c>
      <c r="J77" s="33">
        <f>IFERROR(AVERAGE(IFERROR(IF(E77="","",IF(E77&lt;0,5,IF(E77&lt;=15,90,IF(E77&lt;=20,75,IF(E77&lt;=25,60,IF(E77&lt;=30,45,IF(E77&lt;=40,30,IF(E77&lt;=60,15,5)))))))),""),IFERROR(IF(F77="","",IF(F77&lt;0,5,IF(F77&lt;=10,90,IF(F77&lt;=15,75,IF(F77&lt;=20,60,IF(F77&lt;=25,45,IF(F77&lt;=35,30,IF(F77&lt;=50,15,5)))))))),""),IFERROR(IF(G77="","",IF(G77&gt;=8,100,IF(G77&gt;=6,90,IF(G77&gt;=4,75,IF(G77&gt;=2,60,IF(G77&gt;=1,45,IF(G77&gt;=0,30,15))))))),""),IFERROR(IF(H77="","",IF(H77&lt;=2,90,IF(H77&lt;=4,75,IF(H77&lt;=7,60,IF(H77&lt;=10,45,IF(H77&lt;=15,30,IF(H77&lt;=25,15,5))))))),""),IFERROR(IF(I77="","",IF(I77&lt;=0.5,100,IF(I77&lt;=1,90,IF(I77&lt;=1.5,75,IF(I77&lt;=2,60,IF(I77&lt;=2.5,45,IF(I77&lt;=3,30,15))))))),"")),"")</f>
        <v/>
      </c>
      <c r="K77" s="33" t="n">
        <v>12.7</v>
      </c>
      <c r="L77" s="33" t="n">
        <v>75.98999999999999</v>
      </c>
      <c r="M77" s="33" t="n">
        <v>34.23</v>
      </c>
      <c r="N77" s="33" t="n">
        <v>-4.9</v>
      </c>
      <c r="O77" s="33">
        <f>IFERROR(AVERAGE(IFERROR(IF(K77="","",IF(K77&gt;=25,100,IF(K77&gt;=20,90,IF(K77&gt;=15,75,IF(K77&gt;=10,60,IF(K77&gt;=5,45,IF(K77&gt;=0,30,15))))))),""),IFERROR(IF(L77="","",IF(L77&gt;=60,100,IF(L77&gt;=50,90,IF(L77&gt;=40,75,IF(L77&gt;=30,60,IF(L77&gt;=20,45,IF(L77&gt;=10,30,15))))))),""),IFERROR(IF(M77="","",IF(M77&gt;=25,100,IF(M77&gt;=20,90,IF(M77&gt;=15,75,IF(M77&gt;=10,60,IF(M77&gt;=5,45,IF(M77&gt;=0,30,15))))))),""),IFERROR(IF(N77="","",IF(N77&lt;=0,100,IF(N77&lt;=1,90,IF(N77&lt;=2,75,IF(N77&lt;=3,60,IF(N77&lt;=4,45,IF(N77&lt;=5,30,15))))))),"")),"")</f>
        <v/>
      </c>
      <c r="P77" s="33" t="n">
        <v>120.18</v>
      </c>
      <c r="Q77" s="33" t="n">
        <v>93.40000000000001</v>
      </c>
      <c r="R77" s="33" t="n">
        <v>152.4</v>
      </c>
      <c r="S77" s="33">
        <f>IFERROR(AVERAGE(IFERROR(IF(P77="","",IF(P77&gt;=40,100,IF(P77&gt;=30,90,IF(P77&gt;=20,75,IF(P77&gt;=15,60,IF(P77&gt;=10,45,IF(P77&gt;=5,30,15))))))),""),IFERROR(IF(Q77="","",IF(Q77&gt;=40,100,IF(Q77&gt;=30,90,IF(Q77&gt;=20,75,IF(Q77&gt;=10,60,IF(Q77&gt;=5,45,IF(Q77&gt;=0,30,15))))))),""),IFERROR(IF(R77="","",IF(R77&gt;=40,100,IF(R77&gt;=30,90,IF(R77&gt;=20,75,IF(R77&gt;=10,60,IF(R77&gt;=0,45,IF(R77&gt;=-10,30,15))))))),"")),"")</f>
        <v/>
      </c>
      <c r="T77" s="33" t="n">
        <v>5</v>
      </c>
      <c r="U77" s="33" t="n">
        <v>4</v>
      </c>
      <c r="V77" s="33" t="n">
        <v>5</v>
      </c>
      <c r="W77" s="33" t="n">
        <v>5</v>
      </c>
      <c r="X77" s="33" t="n">
        <v>5</v>
      </c>
      <c r="Y77" s="33">
        <f>IFERROR(AVERAGE(T77,U77,V77,W77,X77)*20,"")</f>
        <v/>
      </c>
      <c r="Z77" s="33" t="n">
        <v>5</v>
      </c>
      <c r="AA77" s="33" t="n">
        <v>3</v>
      </c>
      <c r="AB77" s="33" t="n">
        <v>2</v>
      </c>
      <c r="AC77" s="71" t="n">
        <v>60.8</v>
      </c>
      <c r="AD77" s="33">
        <f>IFERROR(AVERAGE(IFERROR(IF(Z77="","",Z77*20),""),IFERROR(IF(AA77="","",AA77*20),""),IFERROR(IF(AB77="","",AB77*20),""),IFERROR(IF(AC77="","",IF(AC77&gt;=85,100,IF(AC77&gt;=70,90,IF(AC77&gt;=55,75,IF(AC77&gt;=40,60,IF(AC77&gt;=25,40,20)))))),"")),"")</f>
        <v/>
      </c>
      <c r="AE77" s="33" t="n">
        <v>2</v>
      </c>
      <c r="AF77" s="33" t="n">
        <v>5</v>
      </c>
      <c r="AG77" s="33" t="n">
        <v>5</v>
      </c>
      <c r="AH77" s="33" t="n">
        <v>4</v>
      </c>
      <c r="AI77" s="33">
        <f>IFERROR(AVERAGE(AE77,AF77,AG77,AH77,AL77)*20,"")</f>
        <v/>
      </c>
      <c r="AJ77" s="33">
        <f>IFERROR(J77*Weights!$B$4 + O77*Weights!$B$5 + S77*Weights!$B$6 + Y77*Weights!$B$7 + AD77*Weights!$B$8 + AI77*Weights!$B$9,"")</f>
        <v/>
      </c>
      <c r="AK77" s="33">
        <f>IF(AJ77="","",IF(AJ77&gt;=85,"✓✓✓",IF(AJ77&gt;=70,"✓✓",IF(AJ77&gt;=55,"✓",IF(AJ77&gt;=40,"?","✗")))))</f>
        <v/>
      </c>
      <c r="AL77" s="33" t="n">
        <v>5</v>
      </c>
    </row>
    <row r="78">
      <c r="A78" s="33" t="inlineStr">
        <is>
          <t>SNDK</t>
        </is>
      </c>
      <c r="B78" s="33" t="inlineStr">
        <is>
          <t>Sandisk Corporation</t>
        </is>
      </c>
      <c r="C78" s="33" t="inlineStr">
        <is>
          <t>06 AI Compute Silicon / Memory (HBM is the bottleneck)</t>
        </is>
      </c>
      <c r="D78" s="33" t="inlineStr">
        <is>
          <t>2026-06-24</t>
        </is>
      </c>
      <c r="E78" s="33" t="n">
        <v>10.4589</v>
      </c>
      <c r="F78" s="33" t="n">
        <v>49.713</v>
      </c>
      <c r="G78" s="33" t="n">
        <v>1.57</v>
      </c>
      <c r="H78" s="33" t="n">
        <v>21.504242</v>
      </c>
      <c r="I78" s="33">
        <f>IF(OR(E79="",R79="",R79&lt;=0,E79&lt;0),"",E79/R79)</f>
        <v/>
      </c>
      <c r="J78" s="33">
        <f>IFERROR(AVERAGE(IFERROR(IF(E78="","",IF(E78&lt;0,5,IF(E78&lt;=15,90,IF(E78&lt;=20,75,IF(E78&lt;=25,60,IF(E78&lt;=30,45,IF(E78&lt;=40,30,IF(E78&lt;=60,15,5)))))))),""),IFERROR(IF(F78="","",IF(F78&lt;0,5,IF(F78&lt;=10,90,IF(F78&lt;=15,75,IF(F78&lt;=20,60,IF(F78&lt;=25,45,IF(F78&lt;=35,30,IF(F78&lt;=50,15,5)))))))),""),IFERROR(IF(G78="","",IF(G78&gt;=8,100,IF(G78&gt;=6,90,IF(G78&gt;=4,75,IF(G78&gt;=2,60,IF(G78&gt;=1,45,IF(G78&gt;=0,30,15))))))),""),IFERROR(IF(H78="","",IF(H78&lt;=2,90,IF(H78&lt;=4,75,IF(H78&lt;=7,60,IF(H78&lt;=10,45,IF(H78&lt;=15,30,IF(H78&lt;=25,15,5))))))),""),IFERROR(IF(I78="","",IF(I78&lt;=0.5,100,IF(I78&lt;=1,90,IF(I78&lt;=1.5,75,IF(I78&lt;=2,60,IF(I78&lt;=2.5,45,IF(I78&lt;=3,30,15))))))),"")),"")</f>
        <v/>
      </c>
      <c r="K78" s="33" t="n">
        <v>45</v>
      </c>
      <c r="L78" s="33" t="n">
        <v>56.04</v>
      </c>
      <c r="M78" s="33" t="n">
        <v>33.83</v>
      </c>
      <c r="N78" s="33" t="n">
        <v>-0.63</v>
      </c>
      <c r="O78" s="33">
        <f>IFERROR(AVERAGE(IFERROR(IF(K78="","",IF(K78&gt;=25,100,IF(K78&gt;=20,90,IF(K78&gt;=15,75,IF(K78&gt;=10,60,IF(K78&gt;=5,45,IF(K78&gt;=0,30,15))))))),""),IFERROR(IF(L78="","",IF(L78&gt;=60,100,IF(L78&gt;=50,90,IF(L78&gt;=40,75,IF(L78&gt;=30,60,IF(L78&gt;=20,45,IF(L78&gt;=10,30,15))))))),""),IFERROR(IF(M78="","",IF(M78&gt;=25,100,IF(M78&gt;=20,90,IF(M78&gt;=15,75,IF(M78&gt;=10,60,IF(M78&gt;=5,45,IF(M78&gt;=0,30,15))))))),""),IFERROR(IF(N78="","",IF(N78&lt;=0,100,IF(N78&lt;=1,90,IF(N78&lt;=2,75,IF(N78&lt;=3,60,IF(N78&lt;=4,45,IF(N78&lt;=5,30,15))))))),"")),"")</f>
        <v/>
      </c>
      <c r="Q78" s="33" t="n">
        <v>251</v>
      </c>
      <c r="R78" s="33" t="n">
        <v>272.8</v>
      </c>
      <c r="S78" s="33">
        <f>IFERROR(AVERAGE(IFERROR(IF(P78="","",IF(P78&gt;=40,100,IF(P78&gt;=30,90,IF(P78&gt;=20,75,IF(P78&gt;=15,60,IF(P78&gt;=10,45,IF(P78&gt;=5,30,15))))))),""),IFERROR(IF(Q78="","",IF(Q78&gt;=40,100,IF(Q78&gt;=30,90,IF(Q78&gt;=20,75,IF(Q78&gt;=10,60,IF(Q78&gt;=5,45,IF(Q78&gt;=0,30,15))))))),""),IFERROR(IF(R78="","",IF(R78&gt;=40,100,IF(R78&gt;=30,90,IF(R78&gt;=20,75,IF(R78&gt;=10,60,IF(R78&gt;=0,45,IF(R78&gt;=-10,30,15))))))),"")),"")</f>
        <v/>
      </c>
      <c r="T78" s="33" t="n">
        <v>3</v>
      </c>
      <c r="U78" s="33" t="n">
        <v>3</v>
      </c>
      <c r="V78" s="33" t="n">
        <v>3</v>
      </c>
      <c r="W78" s="33" t="n">
        <v>4</v>
      </c>
      <c r="X78" s="33" t="n">
        <v>3</v>
      </c>
      <c r="Y78" s="33">
        <f>IFERROR(AVERAGE(T78,U78,V78,W78,X78)*20,"")</f>
        <v/>
      </c>
      <c r="Z78" s="33" t="n">
        <v>5</v>
      </c>
      <c r="AA78" s="33" t="n">
        <v>5</v>
      </c>
      <c r="AB78" s="33" t="n">
        <v>3</v>
      </c>
      <c r="AC78" s="71" t="n">
        <v>99.2</v>
      </c>
      <c r="AD78" s="33">
        <f>IFERROR(AVERAGE(IFERROR(IF(Z78="","",Z78*20),""),IFERROR(IF(AA78="","",AA78*20),""),IFERROR(IF(AB78="","",AB78*20),""),IFERROR(IF(AC78="","",IF(AC78&gt;=85,100,IF(AC78&gt;=70,90,IF(AC78&gt;=55,75,IF(AC78&gt;=40,60,IF(AC78&gt;=25,40,20)))))),"")),"")</f>
        <v/>
      </c>
      <c r="AE78" s="33" t="n">
        <v>4</v>
      </c>
      <c r="AF78" s="33" t="n">
        <v>4</v>
      </c>
      <c r="AG78" s="33" t="n">
        <v>5</v>
      </c>
      <c r="AH78" s="33" t="n">
        <v>4</v>
      </c>
      <c r="AI78" s="33">
        <f>IFERROR(AVERAGE(AE78,AF78,AG78,AH78,AL78)*20,"")</f>
        <v/>
      </c>
      <c r="AJ78" s="33">
        <f>IFERROR(J78*Weights!$B$4 + O78*Weights!$B$5 + S78*Weights!$B$6 + Y78*Weights!$B$7 + AD78*Weights!$B$8 + AI78*Weights!$B$9,"")</f>
        <v/>
      </c>
      <c r="AK78" s="33">
        <f>IF(AJ78="","",IF(AJ78&gt;=85,"✓✓✓",IF(AJ78&gt;=70,"✓✓",IF(AJ78&gt;=55,"✓",IF(AJ78&gt;=40,"?","✗")))))</f>
        <v/>
      </c>
      <c r="AL78" s="33" t="n">
        <v>5</v>
      </c>
    </row>
    <row r="79">
      <c r="A79" s="33" t="inlineStr">
        <is>
          <t>COHR</t>
        </is>
      </c>
      <c r="B79" s="33" t="inlineStr">
        <is>
          <t>Coherent Corp.</t>
        </is>
      </c>
      <c r="C79" s="33" t="inlineStr">
        <is>
          <t>07 Optical, Networking &amp; Interconnect / Optical components &amp; transceivers</t>
        </is>
      </c>
      <c r="D79" s="33" t="inlineStr">
        <is>
          <t>2026-06-24</t>
        </is>
      </c>
      <c r="E79" s="33" t="n">
        <v>48.00172</v>
      </c>
      <c r="F79" s="33" t="n">
        <v>59.471</v>
      </c>
      <c r="G79" s="33" t="n">
        <v>-0.7</v>
      </c>
      <c r="H79" s="33" t="n">
        <v>11.630939</v>
      </c>
      <c r="I79" s="33">
        <f>IF(OR(E80="",R80="",R80&lt;=0,E80&lt;0),"",E80/R80)</f>
        <v/>
      </c>
      <c r="J79" s="33">
        <f>IFERROR(AVERAGE(IFERROR(IF(E79="","",IF(E79&lt;0,5,IF(E79&lt;=15,90,IF(E79&lt;=20,75,IF(E79&lt;=25,60,IF(E79&lt;=30,45,IF(E79&lt;=40,30,IF(E79&lt;=60,15,5)))))))),""),IFERROR(IF(F79="","",IF(F79&lt;0,5,IF(F79&lt;=10,90,IF(F79&lt;=15,75,IF(F79&lt;=20,60,IF(F79&lt;=25,45,IF(F79&lt;=35,30,IF(F79&lt;=50,15,5)))))))),""),IFERROR(IF(G79="","",IF(G79&gt;=8,100,IF(G79&gt;=6,90,IF(G79&gt;=4,75,IF(G79&gt;=2,60,IF(G79&gt;=1,45,IF(G79&gt;=0,30,15))))))),""),IFERROR(IF(H79="","",IF(H79&lt;=2,90,IF(H79&lt;=4,75,IF(H79&lt;=7,60,IF(H79&lt;=10,45,IF(H79&lt;=15,30,IF(H79&lt;=25,15,5))))))),""),IFERROR(IF(I79="","",IF(I79&lt;=0.5,100,IF(I79&lt;=1,90,IF(I79&lt;=1.5,75,IF(I79&lt;=2,60,IF(I79&lt;=2.5,45,IF(I79&lt;=3,30,15))))))),"")),"")</f>
        <v/>
      </c>
      <c r="K79" s="33" t="n">
        <v>4.945</v>
      </c>
      <c r="L79" s="33" t="n">
        <v>36.99</v>
      </c>
      <c r="M79" s="33" t="n">
        <v>-8.15</v>
      </c>
      <c r="N79" s="33" t="n">
        <v>0.76</v>
      </c>
      <c r="O79" s="33">
        <f>IFERROR(AVERAGE(IFERROR(IF(K79="","",IF(K79&gt;=25,100,IF(K79&gt;=20,90,IF(K79&gt;=15,75,IF(K79&gt;=10,60,IF(K79&gt;=5,45,IF(K79&gt;=0,30,15))))))),""),IFERROR(IF(L79="","",IF(L79&gt;=60,100,IF(L79&gt;=50,90,IF(L79&gt;=40,75,IF(L79&gt;=30,60,IF(L79&gt;=20,45,IF(L79&gt;=10,30,15))))))),""),IFERROR(IF(M79="","",IF(M79&gt;=25,100,IF(M79&gt;=20,90,IF(M79&gt;=15,75,IF(M79&gt;=10,60,IF(M79&gt;=5,45,IF(M79&gt;=0,30,15))))))),""),IFERROR(IF(N79="","",IF(N79&lt;=0,100,IF(N79&lt;=1,90,IF(N79&lt;=2,75,IF(N79&lt;=3,60,IF(N79&lt;=4,45,IF(N79&lt;=5,30,15))))))),"")),"")</f>
        <v/>
      </c>
      <c r="P79" s="33" t="n">
        <v>20.55</v>
      </c>
      <c r="Q79" s="33" t="n">
        <v>20.5</v>
      </c>
      <c r="R79" s="33" t="inlineStr"/>
      <c r="S79" s="33">
        <f>IFERROR(AVERAGE(IFERROR(IF(P79="","",IF(P79&gt;=40,100,IF(P79&gt;=30,90,IF(P79&gt;=20,75,IF(P79&gt;=15,60,IF(P79&gt;=10,45,IF(P79&gt;=5,30,15))))))),""),IFERROR(IF(Q79="","",IF(Q79&gt;=40,100,IF(Q79&gt;=30,90,IF(Q79&gt;=20,75,IF(Q79&gt;=10,60,IF(Q79&gt;=5,45,IF(Q79&gt;=0,30,15))))))),""),IFERROR(IF(R79="","",IF(R79&gt;=40,100,IF(R79&gt;=30,90,IF(R79&gt;=20,75,IF(R79&gt;=10,60,IF(R79&gt;=0,45,IF(R79&gt;=-10,30,15))))))),"")),"")</f>
        <v/>
      </c>
      <c r="T79" s="33" t="n">
        <v>4</v>
      </c>
      <c r="U79" s="33" t="n">
        <v>4</v>
      </c>
      <c r="V79" s="33" t="n">
        <v>4</v>
      </c>
      <c r="W79" s="33" t="n">
        <v>5</v>
      </c>
      <c r="X79" s="33" t="n">
        <v>4</v>
      </c>
      <c r="Y79" s="33">
        <f>IFERROR(AVERAGE(T79,U79,V79,W79,X79)*20,"")</f>
        <v/>
      </c>
      <c r="Z79" s="33" t="n">
        <v>4</v>
      </c>
      <c r="AA79" s="33" t="n">
        <v>5</v>
      </c>
      <c r="AB79" s="33" t="n">
        <v>3</v>
      </c>
      <c r="AC79" s="71" t="n">
        <v>99.2</v>
      </c>
      <c r="AD79" s="33">
        <f>IFERROR(AVERAGE(IFERROR(IF(Z79="","",Z79*20),""),IFERROR(IF(AA79="","",AA79*20),""),IFERROR(IF(AB79="","",AB79*20),""),IFERROR(IF(AC79="","",IF(AC79&gt;=85,100,IF(AC79&gt;=70,90,IF(AC79&gt;=55,75,IF(AC79&gt;=40,60,IF(AC79&gt;=25,40,20)))))),"")),"")</f>
        <v/>
      </c>
      <c r="AE79" s="33" t="n">
        <v>4</v>
      </c>
      <c r="AF79" s="33" t="n">
        <v>4</v>
      </c>
      <c r="AG79" s="33" t="n">
        <v>3</v>
      </c>
      <c r="AH79" s="33" t="n">
        <v>4</v>
      </c>
      <c r="AI79" s="33">
        <f>IFERROR(AVERAGE(AE79,AF79,AG79,AH79,AL79)*20,"")</f>
        <v/>
      </c>
      <c r="AJ79" s="33">
        <f>IFERROR(J79*Weights!$B$4 + O79*Weights!$B$5 + S79*Weights!$B$6 + Y79*Weights!$B$7 + AD79*Weights!$B$8 + AI79*Weights!$B$9,"")</f>
        <v/>
      </c>
      <c r="AK79" s="33">
        <f>IF(AJ79="","",IF(AJ79&gt;=85,"✓✓✓",IF(AJ79&gt;=70,"✓✓",IF(AJ79&gt;=55,"✓",IF(AJ79&gt;=40,"?","✗")))))</f>
        <v/>
      </c>
      <c r="AL79" s="33" t="n">
        <v>5</v>
      </c>
    </row>
    <row r="80">
      <c r="A80" s="33" t="inlineStr">
        <is>
          <t>LITE</t>
        </is>
      </c>
      <c r="B80" s="33" t="inlineStr">
        <is>
          <t>Lumentum Holdings Inc.</t>
        </is>
      </c>
      <c r="C80" s="33" t="inlineStr">
        <is>
          <t>07 Optical, Networking &amp; Interconnect / Optical components &amp; transceivers</t>
        </is>
      </c>
      <c r="D80" s="33" t="inlineStr">
        <is>
          <t>2026-06-24</t>
        </is>
      </c>
      <c r="E80" s="33" t="n">
        <v>46.467827</v>
      </c>
      <c r="F80" s="33" t="n">
        <v>119.007</v>
      </c>
      <c r="G80" s="33" t="n">
        <v>0.17</v>
      </c>
      <c r="H80" s="33" t="n">
        <v>26.341763</v>
      </c>
      <c r="I80" s="33">
        <f>IF(OR(E81="",R81="",R81&lt;=0,E81&lt;0),"",E81/R81)</f>
        <v/>
      </c>
      <c r="J80" s="33">
        <f>IFERROR(AVERAGE(IFERROR(IF(E80="","",IF(E80&lt;0,5,IF(E80&lt;=15,90,IF(E80&lt;=20,75,IF(E80&lt;=25,60,IF(E80&lt;=30,45,IF(E80&lt;=40,30,IF(E80&lt;=60,15,5)))))))),""),IFERROR(IF(F80="","",IF(F80&lt;0,5,IF(F80&lt;=10,90,IF(F80&lt;=15,75,IF(F80&lt;=20,60,IF(F80&lt;=25,45,IF(F80&lt;=35,30,IF(F80&lt;=50,15,5)))))))),""),IFERROR(IF(G80="","",IF(G80&gt;=8,100,IF(G80&gt;=6,90,IF(G80&gt;=4,75,IF(G80&gt;=2,60,IF(G80&gt;=1,45,IF(G80&gt;=0,30,15))))))),""),IFERROR(IF(H80="","",IF(H80&lt;=2,90,IF(H80&lt;=4,75,IF(H80&lt;=7,60,IF(H80&lt;=10,45,IF(H80&lt;=15,30,IF(H80&lt;=25,15,5))))))),""),IFERROR(IF(I80="","",IF(I80&lt;=0.5,100,IF(I80&lt;=1,90,IF(I80&lt;=1.5,75,IF(I80&lt;=2,60,IF(I80&lt;=2.5,45,IF(I80&lt;=3,30,15))))))),"")),"")</f>
        <v/>
      </c>
      <c r="K80" s="33" t="n">
        <v>6.4095</v>
      </c>
      <c r="L80" s="33" t="n">
        <v>40.84</v>
      </c>
      <c r="M80" s="33" t="n">
        <v>4.58</v>
      </c>
      <c r="N80" s="33" t="n">
        <v>0.28</v>
      </c>
      <c r="O80" s="33">
        <f>IFERROR(AVERAGE(IFERROR(IF(K80="","",IF(K80&gt;=25,100,IF(K80&gt;=20,90,IF(K80&gt;=15,75,IF(K80&gt;=10,60,IF(K80&gt;=5,45,IF(K80&gt;=0,30,15))))))),""),IFERROR(IF(L80="","",IF(L80&gt;=60,100,IF(L80&gt;=50,90,IF(L80&gt;=40,75,IF(L80&gt;=30,60,IF(L80&gt;=20,45,IF(L80&gt;=10,30,15))))))),""),IFERROR(IF(M80="","",IF(M80&gt;=25,100,IF(M80&gt;=20,90,IF(M80&gt;=15,75,IF(M80&gt;=10,60,IF(M80&gt;=5,45,IF(M80&gt;=0,30,15))))))),""),IFERROR(IF(N80="","",IF(N80&lt;=0,100,IF(N80&lt;=1,90,IF(N80&lt;=2,75,IF(N80&lt;=3,60,IF(N80&lt;=4,45,IF(N80&lt;=5,30,15))))))),"")),"")</f>
        <v/>
      </c>
      <c r="P80" s="33" t="n">
        <v>-1.33</v>
      </c>
      <c r="Q80" s="33" t="n">
        <v>90.09999999999999</v>
      </c>
      <c r="R80" s="33" t="inlineStr"/>
      <c r="S80" s="33">
        <f>IFERROR(AVERAGE(IFERROR(IF(P80="","",IF(P80&gt;=40,100,IF(P80&gt;=30,90,IF(P80&gt;=20,75,IF(P80&gt;=15,60,IF(P80&gt;=10,45,IF(P80&gt;=5,30,15))))))),""),IFERROR(IF(Q80="","",IF(Q80&gt;=40,100,IF(Q80&gt;=30,90,IF(Q80&gt;=20,75,IF(Q80&gt;=10,60,IF(Q80&gt;=5,45,IF(Q80&gt;=0,30,15))))))),""),IFERROR(IF(R80="","",IF(R80&gt;=40,100,IF(R80&gt;=30,90,IF(R80&gt;=20,75,IF(R80&gt;=10,60,IF(R80&gt;=0,45,IF(R80&gt;=-10,30,15))))))),"")),"")</f>
        <v/>
      </c>
      <c r="T80" s="33" t="n">
        <v>5</v>
      </c>
      <c r="U80" s="33" t="n">
        <v>5</v>
      </c>
      <c r="V80" s="33" t="n">
        <v>4</v>
      </c>
      <c r="W80" s="33" t="n">
        <v>5</v>
      </c>
      <c r="X80" s="33" t="n">
        <v>5</v>
      </c>
      <c r="Y80" s="33">
        <f>IFERROR(AVERAGE(T80,U80,V80,W80,X80)*20,"")</f>
        <v/>
      </c>
      <c r="Z80" s="33" t="n">
        <v>5</v>
      </c>
      <c r="AA80" s="33" t="n">
        <v>5</v>
      </c>
      <c r="AB80" s="33" t="n">
        <v>3</v>
      </c>
      <c r="AC80" s="71" t="n">
        <v>90</v>
      </c>
      <c r="AD80" s="33">
        <f>IFERROR(AVERAGE(IFERROR(IF(Z80="","",Z80*20),""),IFERROR(IF(AA80="","",AA80*20),""),IFERROR(IF(AB80="","",AB80*20),""),IFERROR(IF(AC80="","",IF(AC80&gt;=85,100,IF(AC80&gt;=70,90,IF(AC80&gt;=55,75,IF(AC80&gt;=40,60,IF(AC80&gt;=25,40,20)))))),"")),"")</f>
        <v/>
      </c>
      <c r="AE80" s="33" t="n">
        <v>4</v>
      </c>
      <c r="AF80" s="33" t="n">
        <v>4</v>
      </c>
      <c r="AG80" s="33" t="n">
        <v>4</v>
      </c>
      <c r="AH80" s="33" t="n">
        <v>4</v>
      </c>
      <c r="AI80" s="33">
        <f>IFERROR(AVERAGE(AE80,AF80,AG80,AH80,AL80)*20,"")</f>
        <v/>
      </c>
      <c r="AJ80" s="33">
        <f>IFERROR(J80*Weights!$B$4 + O80*Weights!$B$5 + S80*Weights!$B$6 + Y80*Weights!$B$7 + AD80*Weights!$B$8 + AI80*Weights!$B$9,"")</f>
        <v/>
      </c>
      <c r="AK80" s="33">
        <f>IF(AJ80="","",IF(AJ80&gt;=85,"✓✓✓",IF(AJ80&gt;=70,"✓✓",IF(AJ80&gt;=55,"✓",IF(AJ80&gt;=40,"?","✗")))))</f>
        <v/>
      </c>
      <c r="AL80" s="33" t="n">
        <v>5</v>
      </c>
    </row>
    <row r="81">
      <c r="A81" s="33" t="inlineStr">
        <is>
          <t>FN</t>
        </is>
      </c>
      <c r="B81" s="33" t="inlineStr">
        <is>
          <t>Fabrinet</t>
        </is>
      </c>
      <c r="C81" s="33" t="inlineStr">
        <is>
          <t>07 Optical, Networking &amp; Interconnect / Optical components &amp; transceivers</t>
        </is>
      </c>
      <c r="D81" s="33" t="inlineStr">
        <is>
          <t>2026-06-24</t>
        </is>
      </c>
      <c r="E81" s="33" t="n">
        <v>32.90338</v>
      </c>
      <c r="F81" s="33" t="n">
        <v>40.475</v>
      </c>
      <c r="G81" s="33" t="n">
        <v>0.22</v>
      </c>
      <c r="H81" s="33" t="n">
        <v>4.8069367</v>
      </c>
      <c r="I81" s="33">
        <f>IF(OR(E82="",R82="",R82&lt;=0,E82&lt;0),"",E82/R82)</f>
        <v/>
      </c>
      <c r="J81" s="33">
        <f>IFERROR(AVERAGE(IFERROR(IF(E81="","",IF(E81&lt;0,5,IF(E81&lt;=15,90,IF(E81&lt;=20,75,IF(E81&lt;=25,60,IF(E81&lt;=30,45,IF(E81&lt;=40,30,IF(E81&lt;=60,15,5)))))))),""),IFERROR(IF(F81="","",IF(F81&lt;0,5,IF(F81&lt;=10,90,IF(F81&lt;=15,75,IF(F81&lt;=20,60,IF(F81&lt;=25,45,IF(F81&lt;=35,30,IF(F81&lt;=50,15,5)))))))),""),IFERROR(IF(G81="","",IF(G81&gt;=8,100,IF(G81&gt;=6,90,IF(G81&gt;=4,75,IF(G81&gt;=2,60,IF(G81&gt;=1,45,IF(G81&gt;=0,30,15))))))),""),IFERROR(IF(H81="","",IF(H81&lt;=2,90,IF(H81&lt;=4,75,IF(H81&lt;=7,60,IF(H81&lt;=10,45,IF(H81&lt;=15,30,IF(H81&lt;=25,15,5))))))),""),IFERROR(IF(I81="","",IF(I81&lt;=0.5,100,IF(I81&lt;=1,90,IF(I81&lt;=1.5,75,IF(I81&lt;=2,60,IF(I81&lt;=2.5,45,IF(I81&lt;=3,30,15))))))),"")),"")</f>
        <v/>
      </c>
      <c r="K81" s="33" t="n">
        <v>20.2741</v>
      </c>
      <c r="L81" s="33" t="n">
        <v>12.04</v>
      </c>
      <c r="M81" s="33" t="n">
        <v>1.06</v>
      </c>
      <c r="N81" s="33" t="n">
        <v>-1.96</v>
      </c>
      <c r="O81" s="33">
        <f>IFERROR(AVERAGE(IFERROR(IF(K81="","",IF(K81&gt;=25,100,IF(K81&gt;=20,90,IF(K81&gt;=15,75,IF(K81&gt;=10,60,IF(K81&gt;=5,45,IF(K81&gt;=0,30,15))))))),""),IFERROR(IF(L81="","",IF(L81&gt;=60,100,IF(L81&gt;=50,90,IF(L81&gt;=40,75,IF(L81&gt;=30,60,IF(L81&gt;=20,45,IF(L81&gt;=10,30,15))))))),""),IFERROR(IF(M81="","",IF(M81&gt;=25,100,IF(M81&gt;=20,90,IF(M81&gt;=15,75,IF(M81&gt;=10,60,IF(M81&gt;=5,45,IF(M81&gt;=0,30,15))))))),""),IFERROR(IF(N81="","",IF(N81&lt;=0,100,IF(N81&lt;=1,90,IF(N81&lt;=2,75,IF(N81&lt;=3,60,IF(N81&lt;=4,45,IF(N81&lt;=5,30,15))))))),"")),"")</f>
        <v/>
      </c>
      <c r="P81" s="33" t="n">
        <v>14.76</v>
      </c>
      <c r="Q81" s="33" t="n">
        <v>39.3</v>
      </c>
      <c r="R81" s="33" t="n">
        <v>54</v>
      </c>
      <c r="S81" s="33">
        <f>IFERROR(AVERAGE(IFERROR(IF(P81="","",IF(P81&gt;=40,100,IF(P81&gt;=30,90,IF(P81&gt;=20,75,IF(P81&gt;=15,60,IF(P81&gt;=10,45,IF(P81&gt;=5,30,15))))))),""),IFERROR(IF(Q81="","",IF(Q81&gt;=40,100,IF(Q81&gt;=30,90,IF(Q81&gt;=20,75,IF(Q81&gt;=10,60,IF(Q81&gt;=5,45,IF(Q81&gt;=0,30,15))))))),""),IFERROR(IF(R81="","",IF(R81&gt;=40,100,IF(R81&gt;=30,90,IF(R81&gt;=20,75,IF(R81&gt;=10,60,IF(R81&gt;=0,45,IF(R81&gt;=-10,30,15))))))),"")),"")</f>
        <v/>
      </c>
      <c r="T81" s="33" t="n">
        <v>4</v>
      </c>
      <c r="U81" s="33" t="n">
        <v>4</v>
      </c>
      <c r="V81" s="33" t="n">
        <v>4</v>
      </c>
      <c r="W81" s="33" t="n">
        <v>5</v>
      </c>
      <c r="X81" s="33" t="n">
        <v>5</v>
      </c>
      <c r="Y81" s="33">
        <f>IFERROR(AVERAGE(T81,U81,V81,W81,X81)*20,"")</f>
        <v/>
      </c>
      <c r="Z81" s="33" t="n">
        <v>4</v>
      </c>
      <c r="AA81" s="33" t="n">
        <v>3</v>
      </c>
      <c r="AB81" s="33" t="n">
        <v>3</v>
      </c>
      <c r="AC81" s="71" t="n">
        <v>78.3</v>
      </c>
      <c r="AD81" s="33">
        <f>IFERROR(AVERAGE(IFERROR(IF(Z81="","",Z81*20),""),IFERROR(IF(AA81="","",AA81*20),""),IFERROR(IF(AB81="","",AB81*20),""),IFERROR(IF(AC81="","",IF(AC81&gt;=85,100,IF(AC81&gt;=70,90,IF(AC81&gt;=55,75,IF(AC81&gt;=40,60,IF(AC81&gt;=25,40,20)))))),"")),"")</f>
        <v/>
      </c>
      <c r="AE81" s="33" t="n">
        <v>3</v>
      </c>
      <c r="AF81" s="33" t="n">
        <v>4</v>
      </c>
      <c r="AG81" s="33" t="n">
        <v>4</v>
      </c>
      <c r="AH81" s="33" t="n">
        <v>4</v>
      </c>
      <c r="AI81" s="33">
        <f>IFERROR(AVERAGE(AE81,AF81,AG81,AH81,AL81)*20,"")</f>
        <v/>
      </c>
      <c r="AJ81" s="33">
        <f>IFERROR(J81*Weights!$B$4 + O81*Weights!$B$5 + S81*Weights!$B$6 + Y81*Weights!$B$7 + AD81*Weights!$B$8 + AI81*Weights!$B$9,"")</f>
        <v/>
      </c>
      <c r="AK81" s="33">
        <f>IF(AJ81="","",IF(AJ81&gt;=85,"✓✓✓",IF(AJ81&gt;=70,"✓✓",IF(AJ81&gt;=55,"✓",IF(AJ81&gt;=40,"?","✗")))))</f>
        <v/>
      </c>
      <c r="AL81" s="33" t="n">
        <v>5</v>
      </c>
    </row>
    <row r="82">
      <c r="A82" s="33" t="inlineStr">
        <is>
          <t>AAOI</t>
        </is>
      </c>
      <c r="B82" s="33" t="inlineStr">
        <is>
          <t>Applied Optoelectronics, Inc.</t>
        </is>
      </c>
      <c r="C82" s="33" t="inlineStr">
        <is>
          <t>07 Optical, Networking &amp; Interconnect / Optical components &amp; transceivers</t>
        </is>
      </c>
      <c r="D82" s="33" t="inlineStr">
        <is>
          <t>2026-06-24</t>
        </is>
      </c>
      <c r="E82" s="33" t="n">
        <v>30.798409</v>
      </c>
      <c r="F82" s="33" t="n">
        <v>-423.732</v>
      </c>
      <c r="G82" s="33" t="n">
        <v>-3.55</v>
      </c>
      <c r="H82" s="33" t="n">
        <v>23.260908</v>
      </c>
      <c r="I82" s="33">
        <f>IF(OR(E83="",R83="",R83&lt;=0,E83&lt;0),"",E83/R83)</f>
        <v/>
      </c>
      <c r="J82" s="33">
        <f>IFERROR(AVERAGE(IFERROR(IF(E82="","",IF(E82&lt;0,5,IF(E82&lt;=15,90,IF(E82&lt;=20,75,IF(E82&lt;=25,60,IF(E82&lt;=30,45,IF(E82&lt;=40,30,IF(E82&lt;=60,15,5)))))))),""),IFERROR(IF(F82="","",IF(F82&lt;0,5,IF(F82&lt;=10,90,IF(F82&lt;=15,75,IF(F82&lt;=20,60,IF(F82&lt;=25,45,IF(F82&lt;=35,30,IF(F82&lt;=50,15,5)))))))),""),IFERROR(IF(G82="","",IF(G82&gt;=8,100,IF(G82&gt;=6,90,IF(G82&gt;=4,75,IF(G82&gt;=2,60,IF(G82&gt;=1,45,IF(G82&gt;=0,30,15))))))),""),IFERROR(IF(H82="","",IF(H82&lt;=2,90,IF(H82&lt;=4,75,IF(H82&lt;=7,60,IF(H82&lt;=10,45,IF(H82&lt;=15,30,IF(H82&lt;=25,15,5))))))),""),IFERROR(IF(I82="","",IF(I82&lt;=0.5,100,IF(I82&lt;=1,90,IF(I82&lt;=1.5,75,IF(I82&lt;=2,60,IF(I82&lt;=2.5,45,IF(I82&lt;=3,30,15))))))),"")),"")</f>
        <v/>
      </c>
      <c r="K82" s="33" t="n">
        <v>-3.9503</v>
      </c>
      <c r="L82" s="33" t="n">
        <v>29.64</v>
      </c>
      <c r="M82" s="33" t="n">
        <v>-82.5</v>
      </c>
      <c r="N82" s="33" t="n"/>
      <c r="O82" s="33">
        <f>IFERROR(AVERAGE(IFERROR(IF(K82="","",IF(K82&gt;=25,100,IF(K82&gt;=20,90,IF(K82&gt;=15,75,IF(K82&gt;=10,60,IF(K82&gt;=5,45,IF(K82&gt;=0,30,15))))))),""),IFERROR(IF(L82="","",IF(L82&gt;=60,100,IF(L82&gt;=50,90,IF(L82&gt;=40,75,IF(L82&gt;=30,60,IF(L82&gt;=20,45,IF(L82&gt;=10,30,15))))))),""),IFERROR(IF(M82="","",IF(M82&gt;=25,100,IF(M82&gt;=20,90,IF(M82&gt;=15,75,IF(M82&gt;=10,60,IF(M82&gt;=5,45,IF(M82&gt;=0,30,15))))))),""),IFERROR(IF(N82="","",IF(N82&lt;=0,100,IF(N82&lt;=1,90,IF(N82&lt;=2,75,IF(N82&lt;=3,60,IF(N82&lt;=4,45,IF(N82&lt;=5,30,15))))))),"")),"")</f>
        <v/>
      </c>
      <c r="P82" s="33" t="n">
        <v>26.93</v>
      </c>
      <c r="Q82" s="33" t="n">
        <v>51.4</v>
      </c>
      <c r="R82" s="33" t="inlineStr"/>
      <c r="S82" s="33">
        <f>IFERROR(AVERAGE(IFERROR(IF(P82="","",IF(P82&gt;=40,100,IF(P82&gt;=30,90,IF(P82&gt;=20,75,IF(P82&gt;=15,60,IF(P82&gt;=10,45,IF(P82&gt;=5,30,15))))))),""),IFERROR(IF(Q82="","",IF(Q82&gt;=40,100,IF(Q82&gt;=30,90,IF(Q82&gt;=20,75,IF(Q82&gt;=10,60,IF(Q82&gt;=5,45,IF(Q82&gt;=0,30,15))))))),""),IFERROR(IF(R82="","",IF(R82&gt;=40,100,IF(R82&gt;=30,90,IF(R82&gt;=20,75,IF(R82&gt;=10,60,IF(R82&gt;=0,45,IF(R82&gt;=-10,30,15))))))),"")),"")</f>
        <v/>
      </c>
      <c r="T82" s="33" t="n">
        <v>3</v>
      </c>
      <c r="U82" s="33" t="n">
        <v>3</v>
      </c>
      <c r="V82" s="33" t="n">
        <v>2</v>
      </c>
      <c r="W82" s="33" t="n">
        <v>4</v>
      </c>
      <c r="X82" s="33" t="n">
        <v>3</v>
      </c>
      <c r="Y82" s="33">
        <f>IFERROR(AVERAGE(T82,U82,V82,W82,X82)*20,"")</f>
        <v/>
      </c>
      <c r="Z82" s="33" t="n">
        <v>4</v>
      </c>
      <c r="AA82" s="33" t="n">
        <v>5</v>
      </c>
      <c r="AB82" s="33" t="n">
        <v>3</v>
      </c>
      <c r="AC82" s="71" t="n">
        <v>96.7</v>
      </c>
      <c r="AD82" s="33">
        <f>IFERROR(AVERAGE(IFERROR(IF(Z82="","",Z82*20),""),IFERROR(IF(AA82="","",AA82*20),""),IFERROR(IF(AB82="","",AB82*20),""),IFERROR(IF(AC82="","",IF(AC82&gt;=85,100,IF(AC82&gt;=70,90,IF(AC82&gt;=55,75,IF(AC82&gt;=40,60,IF(AC82&gt;=25,40,20)))))),"")),"")</f>
        <v/>
      </c>
      <c r="AE82" s="33" t="n">
        <v>3</v>
      </c>
      <c r="AF82" s="33" t="n">
        <v>4</v>
      </c>
      <c r="AG82" s="33" t="n">
        <v>3</v>
      </c>
      <c r="AH82" s="33" t="n">
        <v>4</v>
      </c>
      <c r="AI82" s="33">
        <f>IFERROR(AVERAGE(AE82,AF82,AG82,AH82,AL82)*20,"")</f>
        <v/>
      </c>
      <c r="AJ82" s="33">
        <f>IFERROR(J82*Weights!$B$4 + O82*Weights!$B$5 + S82*Weights!$B$6 + Y82*Weights!$B$7 + AD82*Weights!$B$8 + AI82*Weights!$B$9,"")</f>
        <v/>
      </c>
      <c r="AK82" s="33">
        <f>IF(AJ82="","",IF(AJ82&gt;=85,"✓✓✓",IF(AJ82&gt;=70,"✓✓",IF(AJ82&gt;=55,"✓",IF(AJ82&gt;=40,"?","✗")))))</f>
        <v/>
      </c>
      <c r="AL82" s="33" t="n">
        <v>5</v>
      </c>
    </row>
    <row r="83">
      <c r="A83" s="33" t="inlineStr">
        <is>
          <t>POET</t>
        </is>
      </c>
      <c r="B83" s="33" t="inlineStr">
        <is>
          <t>POET Technologies Inc.</t>
        </is>
      </c>
      <c r="C83" s="33" t="inlineStr">
        <is>
          <t>07 Optical, Networking &amp; Interconnect / Optical components &amp; transceivers</t>
        </is>
      </c>
      <c r="D83" s="33" t="inlineStr">
        <is>
          <t>2026-06-24</t>
        </is>
      </c>
      <c r="E83" s="33" t="n">
        <v>-62.70588</v>
      </c>
      <c r="F83" s="33" t="n">
        <v>-25.767</v>
      </c>
      <c r="G83" s="33" t="n">
        <v>-1.98</v>
      </c>
      <c r="H83" s="33" t="n">
        <v>1303.489</v>
      </c>
      <c r="I83" s="33">
        <f>IF(OR(E84="",R84="",R84&lt;=0,E84&lt;0),"",E84/R84)</f>
        <v/>
      </c>
      <c r="J83" s="33">
        <f>IFERROR(AVERAGE(IFERROR(IF(E83="","",IF(E83&lt;0,5,IF(E83&lt;=15,90,IF(E83&lt;=20,75,IF(E83&lt;=25,60,IF(E83&lt;=30,45,IF(E83&lt;=40,30,IF(E83&lt;=60,15,5)))))))),""),IFERROR(IF(F83="","",IF(F83&lt;0,5,IF(F83&lt;=10,90,IF(F83&lt;=15,75,IF(F83&lt;=20,60,IF(F83&lt;=25,45,IF(F83&lt;=35,30,IF(F83&lt;=50,15,5)))))))),""),IFERROR(IF(G83="","",IF(G83&gt;=8,100,IF(G83&gt;=6,90,IF(G83&gt;=4,75,IF(G83&gt;=2,60,IF(G83&gt;=1,45,IF(G83&gt;=0,30,15))))))),""),IFERROR(IF(H83="","",IF(H83&lt;=2,90,IF(H83&lt;=4,75,IF(H83&lt;=7,60,IF(H83&lt;=10,45,IF(H83&lt;=15,30,IF(H83&lt;=25,15,5))))))),""),IFERROR(IF(I83="","",IF(I83&lt;=0.5,100,IF(I83&lt;=1,90,IF(I83&lt;=1.5,75,IF(I83&lt;=2,60,IF(I83&lt;=2.5,45,IF(I83&lt;=3,30,15))))))),"")),"")</f>
        <v/>
      </c>
      <c r="K83" s="33" t="n">
        <v>-14.6604</v>
      </c>
      <c r="L83" s="33" t="n">
        <v>100</v>
      </c>
      <c r="M83" s="33" t="n">
        <v>-2578.29</v>
      </c>
      <c r="N83" s="33" t="n"/>
      <c r="O83" s="33">
        <f>IFERROR(AVERAGE(IFERROR(IF(K83="","",IF(K83&gt;=25,100,IF(K83&gt;=20,90,IF(K83&gt;=15,75,IF(K83&gt;=10,60,IF(K83&gt;=5,45,IF(K83&gt;=0,30,15))))))),""),IFERROR(IF(L83="","",IF(L83&gt;=60,100,IF(L83&gt;=50,90,IF(L83&gt;=40,75,IF(L83&gt;=30,60,IF(L83&gt;=20,45,IF(L83&gt;=10,30,15))))))),""),IFERROR(IF(M83="","",IF(M83&gt;=25,100,IF(M83&gt;=20,90,IF(M83&gt;=15,75,IF(M83&gt;=10,60,IF(M83&gt;=5,45,IF(M83&gt;=0,30,15))))))),""),IFERROR(IF(N83="","",IF(N83&lt;=0,100,IF(N83&lt;=1,90,IF(N83&lt;=2,75,IF(N83&lt;=3,60,IF(N83&lt;=4,45,IF(N83&lt;=5,30,15))))))),"")),"")</f>
        <v/>
      </c>
      <c r="P83" s="33" t="n">
        <v>24.82</v>
      </c>
      <c r="Q83" s="33" t="n">
        <v>201.9</v>
      </c>
      <c r="R83" s="33" t="inlineStr"/>
      <c r="S83" s="33">
        <f>IFERROR(AVERAGE(IFERROR(IF(P83="","",IF(P83&gt;=40,100,IF(P83&gt;=30,90,IF(P83&gt;=20,75,IF(P83&gt;=15,60,IF(P83&gt;=10,45,IF(P83&gt;=5,30,15))))))),""),IFERROR(IF(Q83="","",IF(Q83&gt;=40,100,IF(Q83&gt;=30,90,IF(Q83&gt;=20,75,IF(Q83&gt;=10,60,IF(Q83&gt;=5,45,IF(Q83&gt;=0,30,15))))))),""),IFERROR(IF(R83="","",IF(R83&gt;=40,100,IF(R83&gt;=30,90,IF(R83&gt;=20,75,IF(R83&gt;=10,60,IF(R83&gt;=0,45,IF(R83&gt;=-10,30,15))))))),"")),"")</f>
        <v/>
      </c>
      <c r="T83" s="33" t="n">
        <v>2</v>
      </c>
      <c r="U83" s="33" t="n">
        <v>2</v>
      </c>
      <c r="V83" s="33" t="n">
        <v>2</v>
      </c>
      <c r="W83" s="33" t="n">
        <v>2</v>
      </c>
      <c r="X83" s="33" t="n">
        <v>2</v>
      </c>
      <c r="Y83" s="33">
        <f>IFERROR(AVERAGE(T83,U83,V83,W83,X83)*20,"")</f>
        <v/>
      </c>
      <c r="Z83" s="33" t="n">
        <v>1</v>
      </c>
      <c r="AA83" s="33" t="n">
        <v>3</v>
      </c>
      <c r="AB83" s="33" t="n">
        <v>2</v>
      </c>
      <c r="AC83" s="71" t="n">
        <v>65</v>
      </c>
      <c r="AD83" s="33">
        <f>IFERROR(AVERAGE(IFERROR(IF(Z83="","",Z83*20),""),IFERROR(IF(AA83="","",AA83*20),""),IFERROR(IF(AB83="","",AB83*20),""),IFERROR(IF(AC83="","",IF(AC83&gt;=85,100,IF(AC83&gt;=70,90,IF(AC83&gt;=55,75,IF(AC83&gt;=40,60,IF(AC83&gt;=25,40,20)))))),"")),"")</f>
        <v/>
      </c>
      <c r="AE83" s="33" t="n">
        <v>3</v>
      </c>
      <c r="AF83" s="33" t="n">
        <v>4</v>
      </c>
      <c r="AG83" s="33" t="n">
        <v>4</v>
      </c>
      <c r="AH83" s="33" t="n">
        <v>2</v>
      </c>
      <c r="AI83" s="33">
        <f>IFERROR(AVERAGE(AE83,AF83,AG83,AH83,AL83)*20,"")</f>
        <v/>
      </c>
      <c r="AJ83" s="33">
        <f>IFERROR(J83*Weights!$B$4 + O83*Weights!$B$5 + S83*Weights!$B$6 + Y83*Weights!$B$7 + AD83*Weights!$B$8 + AI83*Weights!$B$9,"")</f>
        <v/>
      </c>
      <c r="AK83" s="33">
        <f>IF(AJ83="","",IF(AJ83&gt;=85,"✓✓✓",IF(AJ83&gt;=70,"✓✓",IF(AJ83&gt;=55,"✓",IF(AJ83&gt;=40,"?","✗")))))</f>
        <v/>
      </c>
      <c r="AL83" s="33" t="n">
        <v>5</v>
      </c>
    </row>
    <row r="84">
      <c r="A84" s="33" t="inlineStr">
        <is>
          <t>ANET</t>
        </is>
      </c>
      <c r="B84" s="33" t="inlineStr">
        <is>
          <t>Arista Networks, Inc.</t>
        </is>
      </c>
      <c r="C84" s="33" t="inlineStr">
        <is>
          <t>07 Optical, Networking &amp; Interconnect / Networking systems</t>
        </is>
      </c>
      <c r="D84" s="33" t="inlineStr">
        <is>
          <t>2026-06-24</t>
        </is>
      </c>
      <c r="E84" s="33" t="n">
        <v>36.310658</v>
      </c>
      <c r="F84" s="33" t="n">
        <v>45.15</v>
      </c>
      <c r="G84" s="33" t="n">
        <v>2.59</v>
      </c>
      <c r="H84" s="33" t="n">
        <v>20.974272</v>
      </c>
      <c r="I84" s="33">
        <f>IF(OR(E85="",R85="",R85&lt;=0,E85&lt;0),"",E85/R85)</f>
        <v/>
      </c>
      <c r="J84" s="33">
        <f>IFERROR(AVERAGE(IFERROR(IF(E84="","",IF(E84&lt;0,5,IF(E84&lt;=15,90,IF(E84&lt;=20,75,IF(E84&lt;=25,60,IF(E84&lt;=30,45,IF(E84&lt;=40,30,IF(E84&lt;=60,15,5)))))))),""),IFERROR(IF(F84="","",IF(F84&lt;0,5,IF(F84&lt;=10,90,IF(F84&lt;=15,75,IF(F84&lt;=20,60,IF(F84&lt;=25,45,IF(F84&lt;=35,30,IF(F84&lt;=50,15,5)))))))),""),IFERROR(IF(G84="","",IF(G84&gt;=8,100,IF(G84&gt;=6,90,IF(G84&gt;=4,75,IF(G84&gt;=2,60,IF(G84&gt;=1,45,IF(G84&gt;=0,30,15))))))),""),IFERROR(IF(H84="","",IF(H84&lt;=2,90,IF(H84&lt;=4,75,IF(H84&lt;=7,60,IF(H84&lt;=10,45,IF(H84&lt;=15,30,IF(H84&lt;=25,15,5))))))),""),IFERROR(IF(I84="","",IF(I84&lt;=0.5,100,IF(I84&lt;=1,90,IF(I84&lt;=1.5,75,IF(I84&lt;=2,60,IF(I84&lt;=2.5,45,IF(I84&lt;=3,30,15))))))),"")),"")</f>
        <v/>
      </c>
      <c r="L84" s="33" t="n">
        <v>63.54</v>
      </c>
      <c r="M84" s="33" t="n">
        <v>54.36</v>
      </c>
      <c r="N84" s="33" t="n">
        <v>-2.92</v>
      </c>
      <c r="O84" s="33">
        <f>IFERROR(AVERAGE(IFERROR(IF(K84="","",IF(K84&gt;=25,100,IF(K84&gt;=20,90,IF(K84&gt;=15,75,IF(K84&gt;=10,60,IF(K84&gt;=5,45,IF(K84&gt;=0,30,15))))))),""),IFERROR(IF(L84="","",IF(L84&gt;=60,100,IF(L84&gt;=50,90,IF(L84&gt;=40,75,IF(L84&gt;=30,60,IF(L84&gt;=20,45,IF(L84&gt;=10,30,15))))))),""),IFERROR(IF(M84="","",IF(M84&gt;=25,100,IF(M84&gt;=20,90,IF(M84&gt;=15,75,IF(M84&gt;=10,60,IF(M84&gt;=5,45,IF(M84&gt;=0,30,15))))))),""),IFERROR(IF(N84="","",IF(N84&lt;=0,100,IF(N84&lt;=1,90,IF(N84&lt;=2,75,IF(N84&lt;=3,60,IF(N84&lt;=4,45,IF(N84&lt;=5,30,15))))))),"")),"")</f>
        <v/>
      </c>
      <c r="P84" s="33" t="n">
        <v>27.15</v>
      </c>
      <c r="Q84" s="33" t="n">
        <v>35.1</v>
      </c>
      <c r="R84" s="33" t="n">
        <v>25.7</v>
      </c>
      <c r="S84" s="33">
        <f>IFERROR(AVERAGE(IFERROR(IF(P84="","",IF(P84&gt;=40,100,IF(P84&gt;=30,90,IF(P84&gt;=20,75,IF(P84&gt;=15,60,IF(P84&gt;=10,45,IF(P84&gt;=5,30,15))))))),""),IFERROR(IF(Q84="","",IF(Q84&gt;=40,100,IF(Q84&gt;=30,90,IF(Q84&gt;=20,75,IF(Q84&gt;=10,60,IF(Q84&gt;=5,45,IF(Q84&gt;=0,30,15))))))),""),IFERROR(IF(R84="","",IF(R84&gt;=40,100,IF(R84&gt;=30,90,IF(R84&gt;=20,75,IF(R84&gt;=10,60,IF(R84&gt;=0,45,IF(R84&gt;=-10,30,15))))))),"")),"")</f>
        <v/>
      </c>
      <c r="T84" s="33" t="n">
        <v>4</v>
      </c>
      <c r="U84" s="33" t="n">
        <v>5</v>
      </c>
      <c r="V84" s="33" t="n">
        <v>5</v>
      </c>
      <c r="W84" s="33" t="n">
        <v>5</v>
      </c>
      <c r="X84" s="33" t="n">
        <v>5</v>
      </c>
      <c r="Y84" s="33">
        <f>IFERROR(AVERAGE(T84,U84,V84,W84,X84)*20,"")</f>
        <v/>
      </c>
      <c r="Z84" s="33" t="n">
        <v>5</v>
      </c>
      <c r="AA84" s="33" t="n">
        <v>2</v>
      </c>
      <c r="AB84" s="33" t="n">
        <v>3</v>
      </c>
      <c r="AC84" s="71" t="n">
        <v>60.8</v>
      </c>
      <c r="AD84" s="33">
        <f>IFERROR(AVERAGE(IFERROR(IF(Z84="","",Z84*20),""),IFERROR(IF(AA84="","",AA84*20),""),IFERROR(IF(AB84="","",AB84*20),""),IFERROR(IF(AC84="","",IF(AC84&gt;=85,100,IF(AC84&gt;=70,90,IF(AC84&gt;=55,75,IF(AC84&gt;=40,60,IF(AC84&gt;=25,40,20)))))),"")),"")</f>
        <v/>
      </c>
      <c r="AE84" s="33" t="n">
        <v>3</v>
      </c>
      <c r="AF84" s="33" t="n">
        <v>4</v>
      </c>
      <c r="AG84" s="33" t="n">
        <v>5</v>
      </c>
      <c r="AH84" s="33" t="n">
        <v>4</v>
      </c>
      <c r="AI84" s="33">
        <f>IFERROR(AVERAGE(AE84,AF84,AG84,AH84,AL84)*20,"")</f>
        <v/>
      </c>
      <c r="AJ84" s="33">
        <f>IFERROR(J84*Weights!$B$4 + O84*Weights!$B$5 + S84*Weights!$B$6 + Y84*Weights!$B$7 + AD84*Weights!$B$8 + AI84*Weights!$B$9,"")</f>
        <v/>
      </c>
      <c r="AK84" s="33">
        <f>IF(AJ84="","",IF(AJ84&gt;=85,"✓✓✓",IF(AJ84&gt;=70,"✓✓",IF(AJ84&gt;=55,"✓",IF(AJ84&gt;=40,"?","✗")))))</f>
        <v/>
      </c>
      <c r="AL84" s="33" t="n">
        <v>5</v>
      </c>
    </row>
    <row r="85">
      <c r="A85" s="33" t="inlineStr">
        <is>
          <t>CSCO</t>
        </is>
      </c>
      <c r="B85" s="33" t="inlineStr">
        <is>
          <t>Cisco Systems, Inc.</t>
        </is>
      </c>
      <c r="C85" s="33" t="inlineStr">
        <is>
          <t>07 Optical, Networking &amp; Interconnect / Networking systems</t>
        </is>
      </c>
      <c r="D85" s="33" t="inlineStr">
        <is>
          <t>2026-06-24</t>
        </is>
      </c>
      <c r="E85" s="33" t="n">
        <v>25.067364</v>
      </c>
      <c r="F85" s="33" t="n">
        <v>28.71</v>
      </c>
      <c r="G85" s="33" t="n">
        <v>2.5</v>
      </c>
      <c r="H85" s="33" t="n">
        <v>7.7685447</v>
      </c>
      <c r="I85" s="33">
        <f>IF(OR(E86="",R86="",R86&lt;=0,E86&lt;0),"",E86/R86)</f>
        <v/>
      </c>
      <c r="J85" s="33">
        <f>IFERROR(AVERAGE(IFERROR(IF(E85="","",IF(E85&lt;0,5,IF(E85&lt;=15,90,IF(E85&lt;=20,75,IF(E85&lt;=25,60,IF(E85&lt;=30,45,IF(E85&lt;=40,30,IF(E85&lt;=60,15,5)))))))),""),IFERROR(IF(F85="","",IF(F85&lt;0,5,IF(F85&lt;=10,90,IF(F85&lt;=15,75,IF(F85&lt;=20,60,IF(F85&lt;=25,45,IF(F85&lt;=35,30,IF(F85&lt;=50,15,5)))))))),""),IFERROR(IF(G85="","",IF(G85&gt;=8,100,IF(G85&gt;=6,90,IF(G85&gt;=4,75,IF(G85&gt;=2,60,IF(G85&gt;=1,45,IF(G85&gt;=0,30,15))))))),""),IFERROR(IF(H85="","",IF(H85&lt;=2,90,IF(H85&lt;=4,75,IF(H85&lt;=7,60,IF(H85&lt;=10,45,IF(H85&lt;=15,30,IF(H85&lt;=25,15,5))))))),""),IFERROR(IF(I85="","",IF(I85&lt;=0.5,100,IF(I85&lt;=1,90,IF(I85&lt;=1.5,75,IF(I85&lt;=2,60,IF(I85&lt;=2.5,45,IF(I85&lt;=3,30,15))))))),"")),"")</f>
        <v/>
      </c>
      <c r="K85" s="33" t="n">
        <v>18.0658</v>
      </c>
      <c r="L85" s="33" t="n">
        <v>64.3</v>
      </c>
      <c r="M85" s="33" t="n">
        <v>19.41</v>
      </c>
      <c r="N85" s="33" t="n">
        <v>0.96</v>
      </c>
      <c r="O85" s="33">
        <f>IFERROR(AVERAGE(IFERROR(IF(K85="","",IF(K85&gt;=25,100,IF(K85&gt;=20,90,IF(K85&gt;=15,75,IF(K85&gt;=10,60,IF(K85&gt;=5,45,IF(K85&gt;=0,30,15))))))),""),IFERROR(IF(L85="","",IF(L85&gt;=60,100,IF(L85&gt;=50,90,IF(L85&gt;=40,75,IF(L85&gt;=30,60,IF(L85&gt;=20,45,IF(L85&gt;=10,30,15))))))),""),IFERROR(IF(M85="","",IF(M85&gt;=25,100,IF(M85&gt;=20,90,IF(M85&gt;=15,75,IF(M85&gt;=10,60,IF(M85&gt;=5,45,IF(M85&gt;=0,30,15))))))),""),IFERROR(IF(N85="","",IF(N85&lt;=0,100,IF(N85&lt;=1,90,IF(N85&lt;=2,75,IF(N85&lt;=3,60,IF(N85&lt;=4,45,IF(N85&lt;=5,30,15))))))),"")),"")</f>
        <v/>
      </c>
      <c r="P85" s="33" t="n">
        <v>3.19</v>
      </c>
      <c r="Q85" s="33" t="n">
        <v>12</v>
      </c>
      <c r="R85" s="33" t="n">
        <v>35.4</v>
      </c>
      <c r="S85" s="33">
        <f>IFERROR(AVERAGE(IFERROR(IF(P85="","",IF(P85&gt;=40,100,IF(P85&gt;=30,90,IF(P85&gt;=20,75,IF(P85&gt;=15,60,IF(P85&gt;=10,45,IF(P85&gt;=5,30,15))))))),""),IFERROR(IF(Q85="","",IF(Q85&gt;=40,100,IF(Q85&gt;=30,90,IF(Q85&gt;=20,75,IF(Q85&gt;=10,60,IF(Q85&gt;=5,45,IF(Q85&gt;=0,30,15))))))),""),IFERROR(IF(R85="","",IF(R85&gt;=40,100,IF(R85&gt;=30,90,IF(R85&gt;=20,75,IF(R85&gt;=10,60,IF(R85&gt;=0,45,IF(R85&gt;=-10,30,15))))))),"")),"")</f>
        <v/>
      </c>
      <c r="T85" s="33" t="n">
        <v>2</v>
      </c>
      <c r="U85" s="33" t="n">
        <v>3</v>
      </c>
      <c r="V85" s="33" t="n">
        <v>4</v>
      </c>
      <c r="W85" s="33" t="n">
        <v>3</v>
      </c>
      <c r="X85" s="33" t="n">
        <v>3</v>
      </c>
      <c r="Y85" s="33">
        <f>IFERROR(AVERAGE(T85,U85,V85,W85,X85)*20,"")</f>
        <v/>
      </c>
      <c r="Z85" s="33" t="n">
        <v>3</v>
      </c>
      <c r="AA85" s="33" t="n">
        <v>3</v>
      </c>
      <c r="AB85" s="33" t="n">
        <v>3</v>
      </c>
      <c r="AC85" s="71" t="n">
        <v>80</v>
      </c>
      <c r="AD85" s="33">
        <f>IFERROR(AVERAGE(IFERROR(IF(Z85="","",Z85*20),""),IFERROR(IF(AA85="","",AA85*20),""),IFERROR(IF(AB85="","",AB85*20),""),IFERROR(IF(AC85="","",IF(AC85&gt;=85,100,IF(AC85&gt;=70,90,IF(AC85&gt;=55,75,IF(AC85&gt;=40,60,IF(AC85&gt;=25,40,20)))))),"")),"")</f>
        <v/>
      </c>
      <c r="AE85" s="33" t="n">
        <v>5</v>
      </c>
      <c r="AF85" s="33" t="n">
        <v>4</v>
      </c>
      <c r="AG85" s="33" t="n">
        <v>4</v>
      </c>
      <c r="AH85" s="33" t="n">
        <v>4</v>
      </c>
      <c r="AI85" s="33">
        <f>IFERROR(AVERAGE(AE85,AF85,AG85,AH85,AL85)*20,"")</f>
        <v/>
      </c>
      <c r="AJ85" s="33">
        <f>IFERROR(J85*Weights!$B$4 + O85*Weights!$B$5 + S85*Weights!$B$6 + Y85*Weights!$B$7 + AD85*Weights!$B$8 + AI85*Weights!$B$9,"")</f>
        <v/>
      </c>
      <c r="AK85" s="33">
        <f>IF(AJ85="","",IF(AJ85&gt;=85,"✓✓✓",IF(AJ85&gt;=70,"✓✓",IF(AJ85&gt;=55,"✓",IF(AJ85&gt;=40,"?","✗")))))</f>
        <v/>
      </c>
      <c r="AL85" s="33" t="n">
        <v>5</v>
      </c>
    </row>
    <row r="86">
      <c r="A86" s="33" t="inlineStr">
        <is>
          <t>CIEN</t>
        </is>
      </c>
      <c r="B86" s="33" t="inlineStr">
        <is>
          <t>Ciena Corporation</t>
        </is>
      </c>
      <c r="C86" s="33" t="inlineStr">
        <is>
          <t>07 Optical, Networking &amp; Interconnect / Networking systems</t>
        </is>
      </c>
      <c r="D86" s="33" t="inlineStr">
        <is>
          <t>2026-06-24</t>
        </is>
      </c>
      <c r="E86" s="33" t="n">
        <v>48.091133</v>
      </c>
      <c r="F86" s="33" t="n">
        <v>83.983</v>
      </c>
      <c r="G86" s="33" t="n">
        <v>1.27</v>
      </c>
      <c r="H86" s="33" t="n">
        <v>11.781187</v>
      </c>
      <c r="I86" s="33">
        <f>IF(OR(E87="",R87="",R87&lt;=0,E87&lt;0),"",E87/R87)</f>
        <v/>
      </c>
      <c r="J86" s="33">
        <f>IFERROR(AVERAGE(IFERROR(IF(E86="","",IF(E86&lt;0,5,IF(E86&lt;=15,90,IF(E86&lt;=20,75,IF(E86&lt;=25,60,IF(E86&lt;=30,45,IF(E86&lt;=40,30,IF(E86&lt;=60,15,5)))))))),""),IFERROR(IF(F86="","",IF(F86&lt;0,5,IF(F86&lt;=10,90,IF(F86&lt;=15,75,IF(F86&lt;=20,60,IF(F86&lt;=25,45,IF(F86&lt;=35,30,IF(F86&lt;=50,15,5)))))))),""),IFERROR(IF(G86="","",IF(G86&gt;=8,100,IF(G86&gt;=6,90,IF(G86&gt;=4,75,IF(G86&gt;=2,60,IF(G86&gt;=1,45,IF(G86&gt;=0,30,15))))))),""),IFERROR(IF(H86="","",IF(H86&lt;=2,90,IF(H86&lt;=4,75,IF(H86&lt;=7,60,IF(H86&lt;=10,45,IF(H86&lt;=15,30,IF(H86&lt;=25,15,5))))))),""),IFERROR(IF(I86="","",IF(I86&lt;=0.5,100,IF(I86&lt;=1,90,IF(I86&lt;=1.5,75,IF(I86&lt;=2,60,IF(I86&lt;=2.5,45,IF(I86&lt;=3,30,15))))))),"")),"")</f>
        <v/>
      </c>
      <c r="K86" s="33" t="n">
        <v>11</v>
      </c>
      <c r="L86" s="33" t="n">
        <v>43.05</v>
      </c>
      <c r="M86" s="33" t="n">
        <v>14.95</v>
      </c>
      <c r="N86" s="33" t="n">
        <v>0.48</v>
      </c>
      <c r="O86" s="33">
        <f>IFERROR(AVERAGE(IFERROR(IF(K86="","",IF(K86&gt;=25,100,IF(K86&gt;=20,90,IF(K86&gt;=15,75,IF(K86&gt;=10,60,IF(K86&gt;=5,45,IF(K86&gt;=0,30,15))))))),""),IFERROR(IF(L86="","",IF(L86&gt;=60,100,IF(L86&gt;=50,90,IF(L86&gt;=40,75,IF(L86&gt;=30,60,IF(L86&gt;=20,45,IF(L86&gt;=10,30,15))))))),""),IFERROR(IF(M86="","",IF(M86&gt;=25,100,IF(M86&gt;=20,90,IF(M86&gt;=15,75,IF(M86&gt;=10,60,IF(M86&gt;=5,45,IF(M86&gt;=0,30,15))))))),""),IFERROR(IF(N86="","",IF(N86&lt;=0,100,IF(N86&lt;=1,90,IF(N86&lt;=2,75,IF(N86&lt;=3,60,IF(N86&lt;=4,45,IF(N86&lt;=5,30,15))))))),"")),"")</f>
        <v/>
      </c>
      <c r="P86" s="33" t="n">
        <v>9.5</v>
      </c>
      <c r="Q86" s="33" t="n">
        <v>39.5</v>
      </c>
      <c r="R86" s="33" t="n">
        <v>2333</v>
      </c>
      <c r="S86" s="33">
        <f>IFERROR(AVERAGE(IFERROR(IF(P86="","",IF(P86&gt;=40,100,IF(P86&gt;=30,90,IF(P86&gt;=20,75,IF(P86&gt;=15,60,IF(P86&gt;=10,45,IF(P86&gt;=5,30,15))))))),""),IFERROR(IF(Q86="","",IF(Q86&gt;=40,100,IF(Q86&gt;=30,90,IF(Q86&gt;=20,75,IF(Q86&gt;=10,60,IF(Q86&gt;=5,45,IF(Q86&gt;=0,30,15))))))),""),IFERROR(IF(R86="","",IF(R86&gt;=40,100,IF(R86&gt;=30,90,IF(R86&gt;=20,75,IF(R86&gt;=10,60,IF(R86&gt;=0,45,IF(R86&gt;=-10,30,15))))))),"")),"")</f>
        <v/>
      </c>
      <c r="T86" s="33" t="n">
        <v>4</v>
      </c>
      <c r="U86" s="33" t="n">
        <v>4</v>
      </c>
      <c r="V86" s="33" t="n">
        <v>4</v>
      </c>
      <c r="W86" s="33" t="n">
        <v>5</v>
      </c>
      <c r="X86" s="33" t="n">
        <v>4</v>
      </c>
      <c r="Y86" s="33">
        <f>IFERROR(AVERAGE(T86,U86,V86,W86,X86)*20,"")</f>
        <v/>
      </c>
      <c r="Z86" s="33" t="n">
        <v>5</v>
      </c>
      <c r="AA86" s="33" t="n">
        <v>5</v>
      </c>
      <c r="AB86" s="33" t="n">
        <v>3</v>
      </c>
      <c r="AC86" s="71" t="n">
        <v>89.2</v>
      </c>
      <c r="AD86" s="33">
        <f>IFERROR(AVERAGE(IFERROR(IF(Z86="","",Z86*20),""),IFERROR(IF(AA86="","",AA86*20),""),IFERROR(IF(AB86="","",AB86*20),""),IFERROR(IF(AC86="","",IF(AC86&gt;=85,100,IF(AC86&gt;=70,90,IF(AC86&gt;=55,75,IF(AC86&gt;=40,60,IF(AC86&gt;=25,40,20)))))),"")),"")</f>
        <v/>
      </c>
      <c r="AE86" s="33" t="n">
        <v>4</v>
      </c>
      <c r="AF86" s="33" t="n">
        <v>4</v>
      </c>
      <c r="AG86" s="33" t="n">
        <v>4</v>
      </c>
      <c r="AH86" s="33" t="n">
        <v>4</v>
      </c>
      <c r="AI86" s="33">
        <f>IFERROR(AVERAGE(AE86,AF86,AG86,AH86,AL86)*20,"")</f>
        <v/>
      </c>
      <c r="AJ86" s="33">
        <f>IFERROR(J86*Weights!$B$4 + O86*Weights!$B$5 + S86*Weights!$B$6 + Y86*Weights!$B$7 + AD86*Weights!$B$8 + AI86*Weights!$B$9,"")</f>
        <v/>
      </c>
      <c r="AK86" s="33">
        <f>IF(AJ86="","",IF(AJ86&gt;=85,"✓✓✓",IF(AJ86&gt;=70,"✓✓",IF(AJ86&gt;=55,"✓",IF(AJ86&gt;=40,"?","✗")))))</f>
        <v/>
      </c>
      <c r="AL86" s="33" t="n">
        <v>5</v>
      </c>
    </row>
    <row r="87">
      <c r="A87" s="33" t="inlineStr">
        <is>
          <t>APH</t>
        </is>
      </c>
      <c r="B87" s="33" t="inlineStr">
        <is>
          <t>Amphenol Corporation</t>
        </is>
      </c>
      <c r="C87" s="33" t="inlineStr">
        <is>
          <t>07 Optical, Networking &amp; Interconnect / Cabling &amp; physical layer</t>
        </is>
      </c>
      <c r="D87" s="33" t="inlineStr">
        <is>
          <t>2026-06-24</t>
        </is>
      </c>
      <c r="E87" s="33" t="n">
        <v>28.62826</v>
      </c>
      <c r="F87" s="33" t="n">
        <v>26.255</v>
      </c>
      <c r="G87" s="33" t="n">
        <v>2.31</v>
      </c>
      <c r="H87" s="33" t="n">
        <v>7.7308183</v>
      </c>
      <c r="I87" s="33">
        <f>IF(OR(E88="",R88="",R88&lt;=0,E88&lt;0),"",E88/R88)</f>
        <v/>
      </c>
      <c r="J87" s="33">
        <f>IFERROR(AVERAGE(IFERROR(IF(E87="","",IF(E87&lt;0,5,IF(E87&lt;=15,90,IF(E87&lt;=20,75,IF(E87&lt;=25,60,IF(E87&lt;=30,45,IF(E87&lt;=40,30,IF(E87&lt;=60,15,5)))))))),""),IFERROR(IF(F87="","",IF(F87&lt;0,5,IF(F87&lt;=10,90,IF(F87&lt;=15,75,IF(F87&lt;=20,60,IF(F87&lt;=25,45,IF(F87&lt;=35,30,IF(F87&lt;=50,15,5)))))))),""),IFERROR(IF(G87="","",IF(G87&gt;=8,100,IF(G87&gt;=6,90,IF(G87&gt;=4,75,IF(G87&gt;=2,60,IF(G87&gt;=1,45,IF(G87&gt;=0,30,15))))))),""),IFERROR(IF(H87="","",IF(H87&lt;=2,90,IF(H87&lt;=4,75,IF(H87&lt;=7,60,IF(H87&lt;=10,45,IF(H87&lt;=15,30,IF(H87&lt;=25,15,5))))))),""),IFERROR(IF(I87="","",IF(I87&lt;=0.5,100,IF(I87&lt;=1,90,IF(I87&lt;=1.5,75,IF(I87&lt;=2,60,IF(I87&lt;=2.5,45,IF(I87&lt;=3,30,15))))))),"")),"")</f>
        <v/>
      </c>
      <c r="K87" s="33" t="n">
        <v>17.2</v>
      </c>
      <c r="L87" s="33" t="n">
        <v>37.92</v>
      </c>
      <c r="M87" s="33" t="n">
        <v>17.88</v>
      </c>
      <c r="N87" s="33" t="n">
        <v>1.73</v>
      </c>
      <c r="O87" s="33">
        <f>IFERROR(AVERAGE(IFERROR(IF(K87="","",IF(K87&gt;=25,100,IF(K87&gt;=20,90,IF(K87&gt;=15,75,IF(K87&gt;=10,60,IF(K87&gt;=5,45,IF(K87&gt;=0,30,15))))))),""),IFERROR(IF(L87="","",IF(L87&gt;=60,100,IF(L87&gt;=50,90,IF(L87&gt;=40,75,IF(L87&gt;=30,60,IF(L87&gt;=20,45,IF(L87&gt;=10,30,15))))))),""),IFERROR(IF(M87="","",IF(M87&gt;=25,100,IF(M87&gt;=20,90,IF(M87&gt;=15,75,IF(M87&gt;=10,60,IF(M87&gt;=5,45,IF(M87&gt;=0,30,15))))))),""),IFERROR(IF(N87="","",IF(N87&lt;=0,100,IF(N87&lt;=1,90,IF(N87&lt;=2,75,IF(N87&lt;=3,60,IF(N87&lt;=4,45,IF(N87&lt;=5,30,15))))))),"")),"")</f>
        <v/>
      </c>
      <c r="P87" s="33" t="n">
        <v>22.31</v>
      </c>
      <c r="Q87" s="33" t="n">
        <v>58.4</v>
      </c>
      <c r="R87" s="33" t="n">
        <v>26.5</v>
      </c>
      <c r="S87" s="33">
        <f>IFERROR(AVERAGE(IFERROR(IF(P87="","",IF(P87&gt;=40,100,IF(P87&gt;=30,90,IF(P87&gt;=20,75,IF(P87&gt;=15,60,IF(P87&gt;=10,45,IF(P87&gt;=5,30,15))))))),""),IFERROR(IF(Q87="","",IF(Q87&gt;=40,100,IF(Q87&gt;=30,90,IF(Q87&gt;=20,75,IF(Q87&gt;=10,60,IF(Q87&gt;=5,45,IF(Q87&gt;=0,30,15))))))),""),IFERROR(IF(R87="","",IF(R87&gt;=40,100,IF(R87&gt;=30,90,IF(R87&gt;=20,75,IF(R87&gt;=10,60,IF(R87&gt;=0,45,IF(R87&gt;=-10,30,15))))))),"")),"")</f>
        <v/>
      </c>
      <c r="T87" s="33" t="n">
        <v>3</v>
      </c>
      <c r="U87" s="33" t="n">
        <v>3</v>
      </c>
      <c r="V87" s="33" t="n">
        <v>4</v>
      </c>
      <c r="W87" s="33" t="n">
        <v>4</v>
      </c>
      <c r="X87" s="33" t="n">
        <v>4</v>
      </c>
      <c r="Y87" s="33">
        <f>IFERROR(AVERAGE(T87,U87,V87,W87,X87)*20,"")</f>
        <v/>
      </c>
      <c r="Z87" s="33" t="n">
        <v>4</v>
      </c>
      <c r="AA87" s="33" t="n">
        <v>2</v>
      </c>
      <c r="AB87" s="33" t="n">
        <v>3</v>
      </c>
      <c r="AC87" s="71" t="n">
        <v>62.5</v>
      </c>
      <c r="AD87" s="33">
        <f>IFERROR(AVERAGE(IFERROR(IF(Z87="","",Z87*20),""),IFERROR(IF(AA87="","",AA87*20),""),IFERROR(IF(AB87="","",AB87*20),""),IFERROR(IF(AC87="","",IF(AC87&gt;=85,100,IF(AC87&gt;=70,90,IF(AC87&gt;=55,75,IF(AC87&gt;=40,60,IF(AC87&gt;=25,40,20)))))),"")),"")</f>
        <v/>
      </c>
      <c r="AE87" s="33" t="n">
        <v>5</v>
      </c>
      <c r="AF87" s="33" t="n">
        <v>4</v>
      </c>
      <c r="AG87" s="33" t="n">
        <v>4</v>
      </c>
      <c r="AH87" s="33" t="n">
        <v>4</v>
      </c>
      <c r="AI87" s="33">
        <f>IFERROR(AVERAGE(AE87,AF87,AG87,AH87,AL87)*20,"")</f>
        <v/>
      </c>
      <c r="AJ87" s="33">
        <f>IFERROR(J87*Weights!$B$4 + O87*Weights!$B$5 + S87*Weights!$B$6 + Y87*Weights!$B$7 + AD87*Weights!$B$8 + AI87*Weights!$B$9,"")</f>
        <v/>
      </c>
      <c r="AK87" s="33">
        <f>IF(AJ87="","",IF(AJ87&gt;=85,"✓✓✓",IF(AJ87&gt;=70,"✓✓",IF(AJ87&gt;=55,"✓",IF(AJ87&gt;=40,"?","✗")))))</f>
        <v/>
      </c>
      <c r="AL87" s="33" t="n">
        <v>5</v>
      </c>
    </row>
    <row r="88">
      <c r="A88" s="33" t="inlineStr">
        <is>
          <t>TEL</t>
        </is>
      </c>
      <c r="B88" s="33" t="inlineStr">
        <is>
          <t>TE Connectivity plc</t>
        </is>
      </c>
      <c r="C88" s="33" t="inlineStr">
        <is>
          <t>07 Optical, Networking &amp; Interconnect / Cabling &amp; physical layer</t>
        </is>
      </c>
      <c r="D88" s="33" t="inlineStr">
        <is>
          <t>2026-06-24</t>
        </is>
      </c>
      <c r="E88" s="33" t="n">
        <v>15.736418</v>
      </c>
      <c r="F88" s="33" t="n">
        <v>13.286</v>
      </c>
      <c r="G88" s="33" t="n">
        <v>5.85</v>
      </c>
      <c r="H88" s="33" t="n">
        <v>3.0999098</v>
      </c>
      <c r="I88" s="33">
        <f>IF(OR(E89="",R89="",R89&lt;=0,E89&lt;0),"",E89/R89)</f>
        <v/>
      </c>
      <c r="J88" s="33">
        <f>IFERROR(AVERAGE(IFERROR(IF(E88="","",IF(E88&lt;0,5,IF(E88&lt;=15,90,IF(E88&lt;=20,75,IF(E88&lt;=25,60,IF(E88&lt;=30,45,IF(E88&lt;=40,30,IF(E88&lt;=60,15,5)))))))),""),IFERROR(IF(F88="","",IF(F88&lt;0,5,IF(F88&lt;=10,90,IF(F88&lt;=15,75,IF(F88&lt;=20,60,IF(F88&lt;=25,45,IF(F88&lt;=35,30,IF(F88&lt;=50,15,5)))))))),""),IFERROR(IF(G88="","",IF(G88&gt;=8,100,IF(G88&gt;=6,90,IF(G88&gt;=4,75,IF(G88&gt;=2,60,IF(G88&gt;=1,45,IF(G88&gt;=0,30,15))))))),""),IFERROR(IF(H88="","",IF(H88&lt;=2,90,IF(H88&lt;=4,75,IF(H88&lt;=7,60,IF(H88&lt;=10,45,IF(H88&lt;=15,30,IF(H88&lt;=25,15,5))))))),""),IFERROR(IF(I88="","",IF(I88&lt;=0.5,100,IF(I88&lt;=1,90,IF(I88&lt;=1.5,75,IF(I88&lt;=2,60,IF(I88&lt;=2.5,45,IF(I88&lt;=3,30,15))))))),"")),"")</f>
        <v/>
      </c>
      <c r="K88" s="33" t="n">
        <v>17</v>
      </c>
      <c r="L88" s="33" t="n">
        <v>36.07</v>
      </c>
      <c r="M88" s="33" t="n">
        <v>18.14</v>
      </c>
      <c r="N88" s="33" t="n">
        <v>1</v>
      </c>
      <c r="O88" s="33">
        <f>IFERROR(AVERAGE(IFERROR(IF(K88="","",IF(K88&gt;=25,100,IF(K88&gt;=20,90,IF(K88&gt;=15,75,IF(K88&gt;=10,60,IF(K88&gt;=5,45,IF(K88&gt;=0,30,15))))))),""),IFERROR(IF(L88="","",IF(L88&gt;=60,100,IF(L88&gt;=50,90,IF(L88&gt;=40,75,IF(L88&gt;=30,60,IF(L88&gt;=20,45,IF(L88&gt;=10,30,15))))))),""),IFERROR(IF(M88="","",IF(M88&gt;=25,100,IF(M88&gt;=20,90,IF(M88&gt;=15,75,IF(M88&gt;=10,60,IF(M88&gt;=5,45,IF(M88&gt;=0,30,15))))))),""),IFERROR(IF(N88="","",IF(N88&lt;=0,100,IF(N88&lt;=1,90,IF(N88&lt;=2,75,IF(N88&lt;=3,60,IF(N88&lt;=4,45,IF(N88&lt;=5,30,15))))))),"")),"")</f>
        <v/>
      </c>
      <c r="P88" s="33" t="n">
        <v>1.97</v>
      </c>
      <c r="Q88" s="33" t="n">
        <v>14.5</v>
      </c>
      <c r="R88" s="33" t="n"/>
      <c r="S88" s="33">
        <f>IFERROR(AVERAGE(IFERROR(IF(P88="","",IF(P88&gt;=40,100,IF(P88&gt;=30,90,IF(P88&gt;=20,75,IF(P88&gt;=15,60,IF(P88&gt;=10,45,IF(P88&gt;=5,30,15))))))),""),IFERROR(IF(Q88="","",IF(Q88&gt;=40,100,IF(Q88&gt;=30,90,IF(Q88&gt;=20,75,IF(Q88&gt;=10,60,IF(Q88&gt;=5,45,IF(Q88&gt;=0,30,15))))))),""),IFERROR(IF(R88="","",IF(R88&gt;=40,100,IF(R88&gt;=30,90,IF(R88&gt;=20,75,IF(R88&gt;=10,60,IF(R88&gt;=0,45,IF(R88&gt;=-10,30,15))))))),"")),"")</f>
        <v/>
      </c>
      <c r="T88" s="33" t="n">
        <v>2</v>
      </c>
      <c r="U88" s="33" t="n">
        <v>3</v>
      </c>
      <c r="V88" s="33" t="n">
        <v>3</v>
      </c>
      <c r="W88" s="33" t="n">
        <v>3</v>
      </c>
      <c r="X88" s="33" t="n">
        <v>3</v>
      </c>
      <c r="Y88" s="33">
        <f>IFERROR(AVERAGE(T88,U88,V88,W88,X88)*20,"")</f>
        <v/>
      </c>
      <c r="Z88" s="33" t="n">
        <v>4</v>
      </c>
      <c r="AA88" s="33" t="n">
        <v>2</v>
      </c>
      <c r="AB88" s="33" t="n">
        <v>3</v>
      </c>
      <c r="AC88" s="71" t="n">
        <v>30</v>
      </c>
      <c r="AD88" s="33">
        <f>IFERROR(AVERAGE(IFERROR(IF(Z88="","",Z88*20),""),IFERROR(IF(AA88="","",AA88*20),""),IFERROR(IF(AB88="","",AB88*20),""),IFERROR(IF(AC88="","",IF(AC88&gt;=85,100,IF(AC88&gt;=70,90,IF(AC88&gt;=55,75,IF(AC88&gt;=40,60,IF(AC88&gt;=25,40,20)))))),"")),"")</f>
        <v/>
      </c>
      <c r="AE88" s="33" t="n">
        <v>5</v>
      </c>
      <c r="AF88" s="33" t="n">
        <v>4</v>
      </c>
      <c r="AG88" s="33" t="n">
        <v>4</v>
      </c>
      <c r="AH88" s="33" t="n">
        <v>4</v>
      </c>
      <c r="AI88" s="33">
        <f>IFERROR(AVERAGE(AE88,AF88,AG88,AH88,AL88)*20,"")</f>
        <v/>
      </c>
      <c r="AJ88" s="33">
        <f>IFERROR(J88*Weights!$B$4 + O88*Weights!$B$5 + S88*Weights!$B$6 + Y88*Weights!$B$7 + AD88*Weights!$B$8 + AI88*Weights!$B$9,"")</f>
        <v/>
      </c>
      <c r="AK88" s="33">
        <f>IF(AJ88="","",IF(AJ88&gt;=85,"✓✓✓",IF(AJ88&gt;=70,"✓✓",IF(AJ88&gt;=55,"✓",IF(AJ88&gt;=40,"?","✗")))))</f>
        <v/>
      </c>
      <c r="AL88" s="33" t="n">
        <v>5</v>
      </c>
    </row>
    <row r="89">
      <c r="A89" s="33" t="inlineStr">
        <is>
          <t>GLW</t>
        </is>
      </c>
      <c r="B89" s="33" t="inlineStr">
        <is>
          <t>Corning Incorporated</t>
        </is>
      </c>
      <c r="C89" s="33" t="inlineStr">
        <is>
          <t>07 Optical, Networking &amp; Interconnect / Cabling &amp; physical layer</t>
        </is>
      </c>
      <c r="D89" s="33" t="inlineStr">
        <is>
          <t>2026-06-24</t>
        </is>
      </c>
      <c r="E89" s="33" t="n">
        <v>48.97438</v>
      </c>
      <c r="F89" s="33" t="n">
        <v>47.569</v>
      </c>
      <c r="G89" s="33" t="n">
        <v>0.85</v>
      </c>
      <c r="H89" s="33" t="n">
        <v>10.853813</v>
      </c>
      <c r="I89" s="33">
        <f>IF(OR(E90="",R90="",R90&lt;=0,E90&lt;0),"",E90/R90)</f>
        <v/>
      </c>
      <c r="J89" s="33">
        <f>IFERROR(AVERAGE(IFERROR(IF(E89="","",IF(E89&lt;0,5,IF(E89&lt;=15,90,IF(E89&lt;=20,75,IF(E89&lt;=25,60,IF(E89&lt;=30,45,IF(E89&lt;=40,30,IF(E89&lt;=60,15,5)))))))),""),IFERROR(IF(F89="","",IF(F89&lt;0,5,IF(F89&lt;=10,90,IF(F89&lt;=15,75,IF(F89&lt;=20,60,IF(F89&lt;=25,45,IF(F89&lt;=35,30,IF(F89&lt;=50,15,5)))))))),""),IFERROR(IF(G89="","",IF(G89&gt;=8,100,IF(G89&gt;=6,90,IF(G89&gt;=4,75,IF(G89&gt;=2,60,IF(G89&gt;=1,45,IF(G89&gt;=0,30,15))))))),""),IFERROR(IF(H89="","",IF(H89&lt;=2,90,IF(H89&lt;=4,75,IF(H89&lt;=7,60,IF(H89&lt;=10,45,IF(H89&lt;=15,30,IF(H89&lt;=25,15,5))))))),""),IFERROR(IF(I89="","",IF(I89&lt;=0.5,100,IF(I89&lt;=1,90,IF(I89&lt;=1.5,75,IF(I89&lt;=2,60,IF(I89&lt;=2.5,45,IF(I89&lt;=3,30,15))))))),"")),"")</f>
        <v/>
      </c>
      <c r="K89" s="33" t="n">
        <v>10.4</v>
      </c>
      <c r="L89" s="33" t="n">
        <v>36.38</v>
      </c>
      <c r="M89" s="33" t="n">
        <v>9.19</v>
      </c>
      <c r="N89" s="33" t="n">
        <v>2.09</v>
      </c>
      <c r="O89" s="33">
        <f>IFERROR(AVERAGE(IFERROR(IF(K89="","",IF(K89&gt;=25,100,IF(K89&gt;=20,90,IF(K89&gt;=15,75,IF(K89&gt;=10,60,IF(K89&gt;=5,45,IF(K89&gt;=0,30,15))))))),""),IFERROR(IF(L89="","",IF(L89&gt;=60,100,IF(L89&gt;=50,90,IF(L89&gt;=40,75,IF(L89&gt;=30,60,IF(L89&gt;=20,45,IF(L89&gt;=10,30,15))))))),""),IFERROR(IF(M89="","",IF(M89&gt;=25,100,IF(M89&gt;=20,90,IF(M89&gt;=15,75,IF(M89&gt;=10,60,IF(M89&gt;=5,45,IF(M89&gt;=0,30,15))))))),""),IFERROR(IF(N89="","",IF(N89&lt;=0,100,IF(N89&lt;=1,90,IF(N89&lt;=2,75,IF(N89&lt;=3,60,IF(N89&lt;=4,45,IF(N89&lt;=5,30,15))))))),"")),"")</f>
        <v/>
      </c>
      <c r="P89" s="33" t="n">
        <v>3.27</v>
      </c>
      <c r="Q89" s="33" t="n">
        <v>20</v>
      </c>
      <c r="R89" s="33" t="n">
        <v>136.3</v>
      </c>
      <c r="S89" s="33">
        <f>IFERROR(AVERAGE(IFERROR(IF(P89="","",IF(P89&gt;=40,100,IF(P89&gt;=30,90,IF(P89&gt;=20,75,IF(P89&gt;=15,60,IF(P89&gt;=10,45,IF(P89&gt;=5,30,15))))))),""),IFERROR(IF(Q89="","",IF(Q89&gt;=40,100,IF(Q89&gt;=30,90,IF(Q89&gt;=20,75,IF(Q89&gt;=10,60,IF(Q89&gt;=5,45,IF(Q89&gt;=0,30,15))))))),""),IFERROR(IF(R89="","",IF(R89&gt;=40,100,IF(R89&gt;=30,90,IF(R89&gt;=20,75,IF(R89&gt;=10,60,IF(R89&gt;=0,45,IF(R89&gt;=-10,30,15))))))),"")),"")</f>
        <v/>
      </c>
      <c r="T89" s="33" t="n">
        <v>4</v>
      </c>
      <c r="U89" s="33" t="n">
        <v>5</v>
      </c>
      <c r="V89" s="33" t="n">
        <v>5</v>
      </c>
      <c r="W89" s="33" t="n">
        <v>5</v>
      </c>
      <c r="X89" s="33" t="n">
        <v>5</v>
      </c>
      <c r="Y89" s="33">
        <f>IFERROR(AVERAGE(T89,U89,V89,W89,X89)*20,"")</f>
        <v/>
      </c>
      <c r="Z89" s="33" t="n">
        <v>4</v>
      </c>
      <c r="AA89" s="33" t="n">
        <v>5</v>
      </c>
      <c r="AB89" s="33" t="n">
        <v>3</v>
      </c>
      <c r="AC89" s="71" t="n">
        <v>95</v>
      </c>
      <c r="AD89" s="33">
        <f>IFERROR(AVERAGE(IFERROR(IF(Z89="","",Z89*20),""),IFERROR(IF(AA89="","",AA89*20),""),IFERROR(IF(AB89="","",AB89*20),""),IFERROR(IF(AC89="","",IF(AC89&gt;=85,100,IF(AC89&gt;=70,90,IF(AC89&gt;=55,75,IF(AC89&gt;=40,60,IF(AC89&gt;=25,40,20)))))),"")),"")</f>
        <v/>
      </c>
      <c r="AE89" s="33" t="n">
        <v>5</v>
      </c>
      <c r="AF89" s="33" t="n">
        <v>4</v>
      </c>
      <c r="AG89" s="33" t="n">
        <v>4</v>
      </c>
      <c r="AH89" s="33" t="n">
        <v>4</v>
      </c>
      <c r="AI89" s="33">
        <f>IFERROR(AVERAGE(AE89,AF89,AG89,AH89,AL89)*20,"")</f>
        <v/>
      </c>
      <c r="AJ89" s="33">
        <f>IFERROR(J89*Weights!$B$4 + O89*Weights!$B$5 + S89*Weights!$B$6 + Y89*Weights!$B$7 + AD89*Weights!$B$8 + AI89*Weights!$B$9,"")</f>
        <v/>
      </c>
      <c r="AK89" s="33">
        <f>IF(AJ89="","",IF(AJ89&gt;=85,"✓✓✓",IF(AJ89&gt;=70,"✓✓",IF(AJ89&gt;=55,"✓",IF(AJ89&gt;=40,"?","✗")))))</f>
        <v/>
      </c>
      <c r="AL89" s="33" t="n">
        <v>5</v>
      </c>
    </row>
    <row r="90">
      <c r="A90" s="33" t="inlineStr">
        <is>
          <t>SMCI</t>
        </is>
      </c>
      <c r="B90" s="33" t="inlineStr">
        <is>
          <t>Super Micro Computer, Inc.</t>
        </is>
      </c>
      <c r="C90" s="33" t="inlineStr">
        <is>
          <t>08 Servers, Systems &amp; Liquid Cooling</t>
        </is>
      </c>
      <c r="D90" s="33" t="inlineStr">
        <is>
          <t>2026-06-24</t>
        </is>
      </c>
      <c r="E90" s="33" t="n">
        <v>10.231397</v>
      </c>
      <c r="F90" s="33" t="n">
        <v>17.333</v>
      </c>
      <c r="G90" s="33" t="n">
        <v>-32.63</v>
      </c>
      <c r="H90" s="33" t="n">
        <v>0.6228754</v>
      </c>
      <c r="I90" s="33">
        <f>IF(OR(E91="",R91="",R91&lt;=0,E91&lt;0),"",E91/R91)</f>
        <v/>
      </c>
      <c r="J90" s="33">
        <f>IFERROR(AVERAGE(IFERROR(IF(E90="","",IF(E90&lt;0,5,IF(E90&lt;=15,90,IF(E90&lt;=20,75,IF(E90&lt;=25,60,IF(E90&lt;=30,45,IF(E90&lt;=40,30,IF(E90&lt;=60,15,5)))))))),""),IFERROR(IF(F90="","",IF(F90&lt;0,5,IF(F90&lt;=10,90,IF(F90&lt;=15,75,IF(F90&lt;=20,60,IF(F90&lt;=25,45,IF(F90&lt;=35,30,IF(F90&lt;=50,15,5)))))))),""),IFERROR(IF(G90="","",IF(G90&gt;=8,100,IF(G90&gt;=6,90,IF(G90&gt;=4,75,IF(G90&gt;=2,60,IF(G90&gt;=1,45,IF(G90&gt;=0,30,15))))))),""),IFERROR(IF(H90="","",IF(H90&lt;=2,90,IF(H90&lt;=4,75,IF(H90&lt;=7,60,IF(H90&lt;=10,45,IF(H90&lt;=15,30,IF(H90&lt;=25,15,5))))))),""),IFERROR(IF(I90="","",IF(I90&lt;=0.5,100,IF(I90&lt;=1,90,IF(I90&lt;=1.5,75,IF(I90&lt;=2,60,IF(I90&lt;=2.5,45,IF(I90&lt;=3,30,15))))))),"")),"")</f>
        <v/>
      </c>
      <c r="K90" s="33" t="n">
        <v>8.199999999999999</v>
      </c>
      <c r="L90" s="33" t="n">
        <v>8.390000000000001</v>
      </c>
      <c r="M90" s="33" t="n">
        <v>-20.33</v>
      </c>
      <c r="N90" s="33" t="n">
        <v>4.97</v>
      </c>
      <c r="O90" s="33">
        <f>IFERROR(AVERAGE(IFERROR(IF(K90="","",IF(K90&gt;=25,100,IF(K90&gt;=20,90,IF(K90&gt;=15,75,IF(K90&gt;=10,60,IF(K90&gt;=5,45,IF(K90&gt;=0,30,15))))))),""),IFERROR(IF(L90="","",IF(L90&gt;=60,100,IF(L90&gt;=50,90,IF(L90&gt;=40,75,IF(L90&gt;=30,60,IF(L90&gt;=20,45,IF(L90&gt;=10,30,15))))))),""),IFERROR(IF(M90="","",IF(M90&gt;=25,100,IF(M90&gt;=20,90,IF(M90&gt;=15,75,IF(M90&gt;=10,60,IF(M90&gt;=5,45,IF(M90&gt;=0,30,15))))))),""),IFERROR(IF(N90="","",IF(N90&lt;=0,100,IF(N90&lt;=1,90,IF(N90&lt;=2,75,IF(N90&lt;=3,60,IF(N90&lt;=4,45,IF(N90&lt;=5,30,15))))))),"")),"")</f>
        <v/>
      </c>
      <c r="P90" s="33" t="n">
        <v>61.71</v>
      </c>
      <c r="Q90" s="33" t="n">
        <v>122.7</v>
      </c>
      <c r="R90" s="33" t="n">
        <v>344.4</v>
      </c>
      <c r="S90" s="33">
        <f>IFERROR(AVERAGE(IFERROR(IF(P90="","",IF(P90&gt;=40,100,IF(P90&gt;=30,90,IF(P90&gt;=20,75,IF(P90&gt;=15,60,IF(P90&gt;=10,45,IF(P90&gt;=5,30,15))))))),""),IFERROR(IF(Q90="","",IF(Q90&gt;=40,100,IF(Q90&gt;=30,90,IF(Q90&gt;=20,75,IF(Q90&gt;=10,60,IF(Q90&gt;=5,45,IF(Q90&gt;=0,30,15))))))),""),IFERROR(IF(R90="","",IF(R90&gt;=40,100,IF(R90&gt;=30,90,IF(R90&gt;=20,75,IF(R90&gt;=10,60,IF(R90&gt;=0,45,IF(R90&gt;=-10,30,15))))))),"")),"")</f>
        <v/>
      </c>
      <c r="T90" s="33" t="n">
        <v>5</v>
      </c>
      <c r="U90" s="33" t="n">
        <v>3</v>
      </c>
      <c r="V90" s="33" t="n">
        <v>3</v>
      </c>
      <c r="W90" s="33" t="n">
        <v>5</v>
      </c>
      <c r="X90" s="33" t="n">
        <v>4</v>
      </c>
      <c r="Y90" s="33">
        <f>IFERROR(AVERAGE(T90,U90,V90,W90,X90)*20,"")</f>
        <v/>
      </c>
      <c r="Z90" s="33" t="n">
        <v>5</v>
      </c>
      <c r="AA90" s="33" t="n">
        <v>1</v>
      </c>
      <c r="AB90" s="33" t="n">
        <v>3</v>
      </c>
      <c r="AC90" s="71" t="n">
        <v>45</v>
      </c>
      <c r="AD90" s="33">
        <f>IFERROR(AVERAGE(IFERROR(IF(Z90="","",Z90*20),""),IFERROR(IF(AA90="","",AA90*20),""),IFERROR(IF(AB90="","",AB90*20),""),IFERROR(IF(AC90="","",IF(AC90&gt;=85,100,IF(AC90&gt;=70,90,IF(AC90&gt;=55,75,IF(AC90&gt;=40,60,IF(AC90&gt;=25,40,20)))))),"")),"")</f>
        <v/>
      </c>
      <c r="AE90" s="33" t="n">
        <v>3</v>
      </c>
      <c r="AF90" s="33" t="n">
        <v>2</v>
      </c>
      <c r="AG90" s="33" t="n">
        <v>2</v>
      </c>
      <c r="AH90" s="33" t="n">
        <v>1</v>
      </c>
      <c r="AI90" s="33">
        <f>IFERROR(AVERAGE(AE90,AF90,AG90,AH90,AL90)*20,"")</f>
        <v/>
      </c>
      <c r="AJ90" s="33">
        <f>IFERROR(J90*Weights!$B$4 + O90*Weights!$B$5 + S90*Weights!$B$6 + Y90*Weights!$B$7 + AD90*Weights!$B$8 + AI90*Weights!$B$9,"")</f>
        <v/>
      </c>
      <c r="AK90" s="33">
        <f>IF(AJ90="","",IF(AJ90&gt;=85,"✓✓✓",IF(AJ90&gt;=70,"✓✓",IF(AJ90&gt;=55,"✓",IF(AJ90&gt;=40,"?","✗")))))</f>
        <v/>
      </c>
      <c r="AL90" s="33" t="n">
        <v>5</v>
      </c>
    </row>
    <row r="91">
      <c r="A91" s="33" t="inlineStr">
        <is>
          <t>DELL</t>
        </is>
      </c>
      <c r="B91" s="33" t="inlineStr">
        <is>
          <t>Dell Technologies Inc.</t>
        </is>
      </c>
      <c r="C91" s="33" t="inlineStr">
        <is>
          <t>08 Servers, Systems &amp; Liquid Cooling</t>
        </is>
      </c>
      <c r="D91" s="33" t="inlineStr">
        <is>
          <t>2026-06-24</t>
        </is>
      </c>
      <c r="E91" s="33" t="n">
        <v>20.280487</v>
      </c>
      <c r="F91" s="33" t="n">
        <v>21.448</v>
      </c>
      <c r="G91" s="33" t="n">
        <v>3.37</v>
      </c>
      <c r="H91" s="33" t="n">
        <v>2.0929878</v>
      </c>
      <c r="I91" s="33">
        <f>IF(OR(E92="",R92="",R92&lt;=0,E92&lt;0),"",E92/R92)</f>
        <v/>
      </c>
      <c r="J91" s="33">
        <f>IFERROR(AVERAGE(IFERROR(IF(E91="","",IF(E91&lt;0,5,IF(E91&lt;=15,90,IF(E91&lt;=20,75,IF(E91&lt;=25,60,IF(E91&lt;=30,45,IF(E91&lt;=40,30,IF(E91&lt;=60,15,5)))))))),""),IFERROR(IF(F91="","",IF(F91&lt;0,5,IF(F91&lt;=10,90,IF(F91&lt;=15,75,IF(F91&lt;=20,60,IF(F91&lt;=25,45,IF(F91&lt;=35,30,IF(F91&lt;=50,15,5)))))))),""),IFERROR(IF(G91="","",IF(G91&gt;=8,100,IF(G91&gt;=6,90,IF(G91&gt;=4,75,IF(G91&gt;=2,60,IF(G91&gt;=1,45,IF(G91&gt;=0,30,15))))))),""),IFERROR(IF(H91="","",IF(H91&lt;=2,90,IF(H91&lt;=4,75,IF(H91&lt;=7,60,IF(H91&lt;=10,45,IF(H91&lt;=15,30,IF(H91&lt;=25,15,5))))))),""),IFERROR(IF(I91="","",IF(I91&lt;=0.5,100,IF(I91&lt;=1,90,IF(I91&lt;=1.5,75,IF(I91&lt;=2,60,IF(I91&lt;=2.5,45,IF(I91&lt;=3,30,15))))))),"")),"")</f>
        <v/>
      </c>
      <c r="K91" s="33" t="n">
        <v>38.5</v>
      </c>
      <c r="L91" s="33" t="n">
        <v>19.21</v>
      </c>
      <c r="M91" s="33" t="n">
        <v>7.05</v>
      </c>
      <c r="N91" s="33" t="n">
        <v>1.45</v>
      </c>
      <c r="O91" s="33">
        <f>IFERROR(AVERAGE(IFERROR(IF(K91="","",IF(K91&gt;=25,100,IF(K91&gt;=20,90,IF(K91&gt;=15,75,IF(K91&gt;=10,60,IF(K91&gt;=5,45,IF(K91&gt;=0,30,15))))))),""),IFERROR(IF(L91="","",IF(L91&gt;=60,100,IF(L91&gt;=50,90,IF(L91&gt;=40,75,IF(L91&gt;=30,60,IF(L91&gt;=20,45,IF(L91&gt;=10,30,15))))))),""),IFERROR(IF(M91="","",IF(M91&gt;=25,100,IF(M91&gt;=20,90,IF(M91&gt;=15,75,IF(M91&gt;=10,60,IF(M91&gt;=5,45,IF(M91&gt;=0,30,15))))))),""),IFERROR(IF(N91="","",IF(N91&lt;=0,100,IF(N91&lt;=1,90,IF(N91&lt;=2,75,IF(N91&lt;=3,60,IF(N91&lt;=4,45,IF(N91&lt;=5,30,15))))))),"")),"")</f>
        <v/>
      </c>
      <c r="P91" s="33" t="n">
        <v>3.53</v>
      </c>
      <c r="Q91" s="33" t="n">
        <v>87.5</v>
      </c>
      <c r="R91" s="33" t="n">
        <v>256.3</v>
      </c>
      <c r="S91" s="33">
        <f>IFERROR(AVERAGE(IFERROR(IF(P91="","",IF(P91&gt;=40,100,IF(P91&gt;=30,90,IF(P91&gt;=20,75,IF(P91&gt;=15,60,IF(P91&gt;=10,45,IF(P91&gt;=5,30,15))))))),""),IFERROR(IF(Q91="","",IF(Q91&gt;=40,100,IF(Q91&gt;=30,90,IF(Q91&gt;=20,75,IF(Q91&gt;=10,60,IF(Q91&gt;=5,45,IF(Q91&gt;=0,30,15))))))),""),IFERROR(IF(R91="","",IF(R91&gt;=40,100,IF(R91&gt;=30,90,IF(R91&gt;=20,75,IF(R91&gt;=10,60,IF(R91&gt;=0,45,IF(R91&gt;=-10,30,15))))))),"")),"")</f>
        <v/>
      </c>
      <c r="T91" s="33" t="n">
        <v>3</v>
      </c>
      <c r="U91" s="33" t="n">
        <v>3</v>
      </c>
      <c r="V91" s="33" t="n">
        <v>4</v>
      </c>
      <c r="W91" s="33" t="n">
        <v>4</v>
      </c>
      <c r="X91" s="33" t="n">
        <v>4</v>
      </c>
      <c r="Y91" s="33">
        <f>IFERROR(AVERAGE(T91,U91,V91,W91,X91)*20,"")</f>
        <v/>
      </c>
      <c r="Z91" s="33" t="n">
        <v>4</v>
      </c>
      <c r="AA91" s="33" t="n">
        <v>4</v>
      </c>
      <c r="AB91" s="33" t="n">
        <v>3</v>
      </c>
      <c r="AC91" s="71" t="n">
        <v>70.8</v>
      </c>
      <c r="AD91" s="33">
        <f>IFERROR(AVERAGE(IFERROR(IF(Z91="","",Z91*20),""),IFERROR(IF(AA91="","",AA91*20),""),IFERROR(IF(AB91="","",AB91*20),""),IFERROR(IF(AC91="","",IF(AC91&gt;=85,100,IF(AC91&gt;=70,90,IF(AC91&gt;=55,75,IF(AC91&gt;=40,60,IF(AC91&gt;=25,40,20)))))),"")),"")</f>
        <v/>
      </c>
      <c r="AE91" s="33" t="n">
        <v>4</v>
      </c>
      <c r="AF91" s="33" t="n">
        <v>4</v>
      </c>
      <c r="AG91" s="33" t="n">
        <v>4</v>
      </c>
      <c r="AH91" s="33" t="n">
        <v>4</v>
      </c>
      <c r="AI91" s="33">
        <f>IFERROR(AVERAGE(AE91,AF91,AG91,AH91,AL91)*20,"")</f>
        <v/>
      </c>
      <c r="AJ91" s="33">
        <f>IFERROR(J91*Weights!$B$4 + O91*Weights!$B$5 + S91*Weights!$B$6 + Y91*Weights!$B$7 + AD91*Weights!$B$8 + AI91*Weights!$B$9,"")</f>
        <v/>
      </c>
      <c r="AK91" s="33">
        <f>IF(AJ91="","",IF(AJ91&gt;=85,"✓✓✓",IF(AJ91&gt;=70,"✓✓",IF(AJ91&gt;=55,"✓",IF(AJ91&gt;=40,"?","✗")))))</f>
        <v/>
      </c>
      <c r="AL91" s="33" t="n">
        <v>5</v>
      </c>
    </row>
    <row r="92">
      <c r="A92" s="33" t="inlineStr">
        <is>
          <t>HPE</t>
        </is>
      </c>
      <c r="B92" s="33" t="inlineStr">
        <is>
          <t>Hewlett Packard Enterprise Company</t>
        </is>
      </c>
      <c r="C92" s="33" t="inlineStr">
        <is>
          <t>08 Servers, Systems &amp; Liquid Cooling</t>
        </is>
      </c>
      <c r="D92" s="33" t="inlineStr">
        <is>
          <t>2026-06-24</t>
        </is>
      </c>
      <c r="E92" s="33" t="n">
        <v>12.192377</v>
      </c>
      <c r="F92" s="33" t="n">
        <v>14.319</v>
      </c>
      <c r="G92" s="33" t="n">
        <v>6.18</v>
      </c>
      <c r="H92" s="33" t="n">
        <v>1.664044</v>
      </c>
      <c r="I92" s="33">
        <f>IF(OR(E93="",R93="",R93&lt;=0,E93&lt;0),"",E93/R93)</f>
        <v/>
      </c>
      <c r="J92" s="33">
        <f>IFERROR(AVERAGE(IFERROR(IF(E92="","",IF(E92&lt;0,5,IF(E92&lt;=15,90,IF(E92&lt;=20,75,IF(E92&lt;=25,60,IF(E92&lt;=30,45,IF(E92&lt;=40,30,IF(E92&lt;=60,15,5)))))))),""),IFERROR(IF(F92="","",IF(F92&lt;0,5,IF(F92&lt;=10,90,IF(F92&lt;=15,75,IF(F92&lt;=20,60,IF(F92&lt;=25,45,IF(F92&lt;=35,30,IF(F92&lt;=50,15,5)))))))),""),IFERROR(IF(G92="","",IF(G92&gt;=8,100,IF(G92&gt;=6,90,IF(G92&gt;=4,75,IF(G92&gt;=2,60,IF(G92&gt;=1,45,IF(G92&gt;=0,30,15))))))),""),IFERROR(IF(H92="","",IF(H92&lt;=2,90,IF(H92&lt;=4,75,IF(H92&lt;=7,60,IF(H92&lt;=10,45,IF(H92&lt;=15,30,IF(H92&lt;=25,15,5))))))),""),IFERROR(IF(I92="","",IF(I92&lt;=0.5,100,IF(I92&lt;=1,90,IF(I92&lt;=1.5,75,IF(I92&lt;=2,60,IF(I92&lt;=2.5,45,IF(I92&lt;=3,30,15))))))),"")),"")</f>
        <v/>
      </c>
      <c r="K92" s="33" t="n">
        <v>3.3</v>
      </c>
      <c r="L92" s="33" t="n">
        <v>33.78</v>
      </c>
      <c r="M92" s="33" t="n">
        <v>10.28</v>
      </c>
      <c r="N92" s="33" t="n">
        <v>2.84</v>
      </c>
      <c r="O92" s="33">
        <f>IFERROR(AVERAGE(IFERROR(IF(K92="","",IF(K92&gt;=25,100,IF(K92&gt;=20,90,IF(K92&gt;=15,75,IF(K92&gt;=10,60,IF(K92&gt;=5,45,IF(K92&gt;=0,30,15))))))),""),IFERROR(IF(L92="","",IF(L92&gt;=60,100,IF(L92&gt;=50,90,IF(L92&gt;=40,75,IF(L92&gt;=30,60,IF(L92&gt;=20,45,IF(L92&gt;=10,30,15))))))),""),IFERROR(IF(M92="","",IF(M92&gt;=25,100,IF(M92&gt;=20,90,IF(M92&gt;=15,75,IF(M92&gt;=10,60,IF(M92&gt;=5,45,IF(M92&gt;=0,30,15))))))),""),IFERROR(IF(N92="","",IF(N92&lt;=0,100,IF(N92&lt;=1,90,IF(N92&lt;=2,75,IF(N92&lt;=3,60,IF(N92&lt;=4,45,IF(N92&lt;=5,30,15))))))),"")),"")</f>
        <v/>
      </c>
      <c r="P92" s="33" t="n">
        <v>6.37</v>
      </c>
      <c r="Q92" s="33" t="n">
        <v>40</v>
      </c>
      <c r="R92" s="33" t="n">
        <v>-30.3</v>
      </c>
      <c r="S92" s="33">
        <f>IFERROR(AVERAGE(IFERROR(IF(P92="","",IF(P92&gt;=40,100,IF(P92&gt;=30,90,IF(P92&gt;=20,75,IF(P92&gt;=15,60,IF(P92&gt;=10,45,IF(P92&gt;=5,30,15))))))),""),IFERROR(IF(Q92="","",IF(Q92&gt;=40,100,IF(Q92&gt;=30,90,IF(Q92&gt;=20,75,IF(Q92&gt;=10,60,IF(Q92&gt;=5,45,IF(Q92&gt;=0,30,15))))))),""),IFERROR(IF(R92="","",IF(R92&gt;=40,100,IF(R92&gt;=30,90,IF(R92&gt;=20,75,IF(R92&gt;=10,60,IF(R92&gt;=0,45,IF(R92&gt;=-10,30,15))))))),"")),"")</f>
        <v/>
      </c>
      <c r="T92" s="33" t="n">
        <v>3</v>
      </c>
      <c r="U92" s="33" t="n">
        <v>3</v>
      </c>
      <c r="V92" s="33" t="n">
        <v>4</v>
      </c>
      <c r="W92" s="33" t="n">
        <v>3</v>
      </c>
      <c r="X92" s="33" t="n">
        <v>4</v>
      </c>
      <c r="Y92" s="33">
        <f>IFERROR(AVERAGE(T92,U92,V92,W92,X92)*20,"")</f>
        <v/>
      </c>
      <c r="Z92" s="33" t="n">
        <v>2</v>
      </c>
      <c r="AA92" s="33" t="n">
        <v>3</v>
      </c>
      <c r="AB92" s="33" t="n">
        <v>3</v>
      </c>
      <c r="AC92" s="71" t="n">
        <v>62.5</v>
      </c>
      <c r="AD92" s="33">
        <f>IFERROR(AVERAGE(IFERROR(IF(Z92="","",Z92*20),""),IFERROR(IF(AA92="","",AA92*20),""),IFERROR(IF(AB92="","",AB92*20),""),IFERROR(IF(AC92="","",IF(AC92&gt;=85,100,IF(AC92&gt;=70,90,IF(AC92&gt;=55,75,IF(AC92&gt;=40,60,IF(AC92&gt;=25,40,20)))))),"")),"")</f>
        <v/>
      </c>
      <c r="AE92" s="33" t="n">
        <v>4</v>
      </c>
      <c r="AF92" s="33" t="n">
        <v>4</v>
      </c>
      <c r="AG92" s="33" t="n">
        <v>3</v>
      </c>
      <c r="AH92" s="33" t="n">
        <v>4</v>
      </c>
      <c r="AI92" s="33">
        <f>IFERROR(AVERAGE(AE92,AF92,AG92,AH92,AL92)*20,"")</f>
        <v/>
      </c>
      <c r="AJ92" s="33">
        <f>IFERROR(J92*Weights!$B$4 + O92*Weights!$B$5 + S92*Weights!$B$6 + Y92*Weights!$B$7 + AD92*Weights!$B$8 + AI92*Weights!$B$9,"")</f>
        <v/>
      </c>
      <c r="AK92" s="33">
        <f>IF(AJ92="","",IF(AJ92&gt;=85,"✓✓✓",IF(AJ92&gt;=70,"✓✓",IF(AJ92&gt;=55,"✓",IF(AJ92&gt;=40,"?","✗")))))</f>
        <v/>
      </c>
      <c r="AL92" s="33" t="n">
        <v>5</v>
      </c>
    </row>
    <row r="93">
      <c r="A93" s="33" t="inlineStr">
        <is>
          <t>MSFT</t>
        </is>
      </c>
      <c r="B93" s="33" t="inlineStr">
        <is>
          <t>Microsoft Corporation</t>
        </is>
      </c>
      <c r="C93" s="33" t="inlineStr">
        <is>
          <t>09 Compute-as-a-Service / Hyperscalers (public-cloud AI revenue)</t>
        </is>
      </c>
      <c r="D93" s="33" t="inlineStr">
        <is>
          <t>2026-06-24</t>
        </is>
      </c>
      <c r="E93" s="33" t="n">
        <v>18.890825</v>
      </c>
      <c r="F93" s="33" t="n">
        <v>14.973</v>
      </c>
      <c r="G93" s="33" t="n">
        <v>2.69</v>
      </c>
      <c r="H93" s="33" t="n">
        <v>8.529771</v>
      </c>
      <c r="I93" s="33">
        <f>IF(OR(E94="",R94="",R94&lt;=0,E94&lt;0),"",E94/R94)</f>
        <v/>
      </c>
      <c r="J93" s="33">
        <f>IFERROR(AVERAGE(IFERROR(IF(E93="","",IF(E93&lt;0,5,IF(E93&lt;=15,90,IF(E93&lt;=20,75,IF(E93&lt;=25,60,IF(E93&lt;=30,45,IF(E93&lt;=40,30,IF(E93&lt;=60,15,5)))))))),""),IFERROR(IF(F93="","",IF(F93&lt;0,5,IF(F93&lt;=10,90,IF(F93&lt;=15,75,IF(F93&lt;=20,60,IF(F93&lt;=25,45,IF(F93&lt;=35,30,IF(F93&lt;=50,15,5)))))))),""),IFERROR(IF(G93="","",IF(G93&gt;=8,100,IF(G93&gt;=6,90,IF(G93&gt;=4,75,IF(G93&gt;=2,60,IF(G93&gt;=1,45,IF(G93&gt;=0,30,15))))))),""),IFERROR(IF(H93="","",IF(H93&lt;=2,90,IF(H93&lt;=4,75,IF(H93&lt;=7,60,IF(H93&lt;=10,45,IF(H93&lt;=15,30,IF(H93&lt;=25,15,5))))))),""),IFERROR(IF(I93="","",IF(I93&lt;=0.5,100,IF(I93&lt;=1,90,IF(I93&lt;=1.5,75,IF(I93&lt;=2,60,IF(I93&lt;=2.5,45,IF(I93&lt;=3,30,15))))))),"")),"")</f>
        <v/>
      </c>
      <c r="K93" s="33" t="n">
        <v>29</v>
      </c>
      <c r="L93" s="33" t="n">
        <v>68.31</v>
      </c>
      <c r="M93" s="33" t="n">
        <v>22.91</v>
      </c>
      <c r="N93" s="33" t="n">
        <v>0.26</v>
      </c>
      <c r="O93" s="33">
        <f>IFERROR(AVERAGE(IFERROR(IF(K93="","",IF(K93&gt;=25,100,IF(K93&gt;=20,90,IF(K93&gt;=15,75,IF(K93&gt;=10,60,IF(K93&gt;=5,45,IF(K93&gt;=0,30,15))))))),""),IFERROR(IF(L93="","",IF(L93&gt;=60,100,IF(L93&gt;=50,90,IF(L93&gt;=40,75,IF(L93&gt;=30,60,IF(L93&gt;=20,45,IF(L93&gt;=10,30,15))))))),""),IFERROR(IF(M93="","",IF(M93&gt;=25,100,IF(M93&gt;=20,90,IF(M93&gt;=15,75,IF(M93&gt;=10,60,IF(M93&gt;=5,45,IF(M93&gt;=0,30,15))))))),""),IFERROR(IF(N93="","",IF(N93&lt;=0,100,IF(N93&lt;=1,90,IF(N93&lt;=2,75,IF(N93&lt;=3,60,IF(N93&lt;=4,45,IF(N93&lt;=5,30,15))))))),"")),"")</f>
        <v/>
      </c>
      <c r="P93" s="33" t="n">
        <v>12.42</v>
      </c>
      <c r="Q93" s="33" t="n">
        <v>18.3</v>
      </c>
      <c r="R93" s="33" t="n">
        <v>23.1</v>
      </c>
      <c r="S93" s="33">
        <f>IFERROR(AVERAGE(IFERROR(IF(P93="","",IF(P93&gt;=40,100,IF(P93&gt;=30,90,IF(P93&gt;=20,75,IF(P93&gt;=15,60,IF(P93&gt;=10,45,IF(P93&gt;=5,30,15))))))),""),IFERROR(IF(Q93="","",IF(Q93&gt;=40,100,IF(Q93&gt;=30,90,IF(Q93&gt;=20,75,IF(Q93&gt;=10,60,IF(Q93&gt;=5,45,IF(Q93&gt;=0,30,15))))))),""),IFERROR(IF(R93="","",IF(R93&gt;=40,100,IF(R93&gt;=30,90,IF(R93&gt;=20,75,IF(R93&gt;=10,60,IF(R93&gt;=0,45,IF(R93&gt;=-10,30,15))))))),"")),"")</f>
        <v/>
      </c>
      <c r="T93" s="33" t="n">
        <v>3</v>
      </c>
      <c r="U93" s="33" t="n">
        <v>5</v>
      </c>
      <c r="V93" s="33" t="n">
        <v>5</v>
      </c>
      <c r="W93" s="33" t="n">
        <v>5</v>
      </c>
      <c r="X93" s="33" t="n">
        <v>5</v>
      </c>
      <c r="Y93" s="33">
        <f>IFERROR(AVERAGE(T93,U93,V93,W93,X93)*20,"")</f>
        <v/>
      </c>
      <c r="Z93" s="33" t="n">
        <v>3</v>
      </c>
      <c r="AA93" s="33" t="n">
        <v>1</v>
      </c>
      <c r="AB93" s="33" t="n">
        <v>4</v>
      </c>
      <c r="AC93" s="71" t="n">
        <v>34.2</v>
      </c>
      <c r="AD93" s="33">
        <f>IFERROR(AVERAGE(IFERROR(IF(Z93="","",Z93*20),""),IFERROR(IF(AA93="","",AA93*20),""),IFERROR(IF(AB93="","",AB93*20),""),IFERROR(IF(AC93="","",IF(AC93&gt;=85,100,IF(AC93&gt;=70,90,IF(AC93&gt;=55,75,IF(AC93&gt;=40,60,IF(AC93&gt;=25,40,20)))))),"")),"")</f>
        <v/>
      </c>
      <c r="AE93" s="33" t="n">
        <v>5</v>
      </c>
      <c r="AF93" s="33" t="n">
        <v>4</v>
      </c>
      <c r="AG93" s="33" t="n">
        <v>5</v>
      </c>
      <c r="AH93" s="33" t="n">
        <v>3</v>
      </c>
      <c r="AI93" s="33">
        <f>IFERROR(AVERAGE(AE93,AF93,AG93,AH93,AL93)*20,"")</f>
        <v/>
      </c>
      <c r="AJ93" s="33">
        <f>IFERROR(J93*Weights!$B$4 + O93*Weights!$B$5 + S93*Weights!$B$6 + Y93*Weights!$B$7 + AD93*Weights!$B$8 + AI93*Weights!$B$9,"")</f>
        <v/>
      </c>
      <c r="AK93" s="33">
        <f>IF(AJ93="","",IF(AJ93&gt;=85,"✓✓✓",IF(AJ93&gt;=70,"✓✓",IF(AJ93&gt;=55,"✓",IF(AJ93&gt;=40,"?","✗")))))</f>
        <v/>
      </c>
      <c r="AL93" s="33" t="n">
        <v>5</v>
      </c>
    </row>
    <row r="94">
      <c r="A94" s="33" t="inlineStr">
        <is>
          <t>GOOGL</t>
        </is>
      </c>
      <c r="B94" s="33" t="inlineStr">
        <is>
          <t>Alphabet Inc.</t>
        </is>
      </c>
      <c r="C94" s="33" t="inlineStr">
        <is>
          <t>09 Compute-as-a-Service / Hyperscalers (public-cloud AI revenue)</t>
        </is>
      </c>
      <c r="D94" s="33" t="inlineStr">
        <is>
          <t>2026-06-24</t>
        </is>
      </c>
      <c r="E94" s="33" t="n">
        <v>23.725615</v>
      </c>
      <c r="F94" s="33" t="n">
        <v>25.742</v>
      </c>
      <c r="G94" s="33" t="n">
        <v>1.53</v>
      </c>
      <c r="H94" s="33" t="n">
        <v>9.972652999999999</v>
      </c>
      <c r="I94" s="33">
        <f>IF(OR(E95="",R95="",R95&lt;=0,E95&lt;0),"",E95/R95)</f>
        <v/>
      </c>
      <c r="J94" s="33">
        <f>IFERROR(AVERAGE(IFERROR(IF(E94="","",IF(E94&lt;0,5,IF(E94&lt;=15,90,IF(E94&lt;=20,75,IF(E94&lt;=25,60,IF(E94&lt;=30,45,IF(E94&lt;=40,30,IF(E94&lt;=60,15,5)))))))),""),IFERROR(IF(F94="","",IF(F94&lt;0,5,IF(F94&lt;=10,90,IF(F94&lt;=15,75,IF(F94&lt;=20,60,IF(F94&lt;=25,45,IF(F94&lt;=35,30,IF(F94&lt;=50,15,5)))))))),""),IFERROR(IF(G94="","",IF(G94&gt;=8,100,IF(G94&gt;=6,90,IF(G94&gt;=4,75,IF(G94&gt;=2,60,IF(G94&gt;=1,45,IF(G94&gt;=0,30,15))))))),""),IFERROR(IF(H94="","",IF(H94&lt;=2,90,IF(H94&lt;=4,75,IF(H94&lt;=7,60,IF(H94&lt;=10,45,IF(H94&lt;=15,30,IF(H94&lt;=25,15,5))))))),""),IFERROR(IF(I94="","",IF(I94&lt;=0.5,100,IF(I94&lt;=1,90,IF(I94&lt;=1.5,75,IF(I94&lt;=2,60,IF(I94&lt;=2.5,45,IF(I94&lt;=3,30,15))))))),"")),"")</f>
        <v/>
      </c>
      <c r="K94" s="33" t="n">
        <v>30.4</v>
      </c>
      <c r="L94" s="33" t="n">
        <v>60.37</v>
      </c>
      <c r="M94" s="33" t="n">
        <v>15.25</v>
      </c>
      <c r="N94" s="33" t="n">
        <v>-0.19</v>
      </c>
      <c r="O94" s="33">
        <f>IFERROR(AVERAGE(IFERROR(IF(K94="","",IF(K94&gt;=25,100,IF(K94&gt;=20,90,IF(K94&gt;=15,75,IF(K94&gt;=10,60,IF(K94&gt;=5,45,IF(K94&gt;=0,30,15))))))),""),IFERROR(IF(L94="","",IF(L94&gt;=60,100,IF(L94&gt;=50,90,IF(L94&gt;=40,75,IF(L94&gt;=30,60,IF(L94&gt;=20,45,IF(L94&gt;=10,30,15))))))),""),IFERROR(IF(M94="","",IF(M94&gt;=25,100,IF(M94&gt;=20,90,IF(M94&gt;=15,75,IF(M94&gt;=10,60,IF(M94&gt;=5,45,IF(M94&gt;=0,30,15))))))),""),IFERROR(IF(N94="","",IF(N94&lt;=0,100,IF(N94&lt;=1,90,IF(N94&lt;=2,75,IF(N94&lt;=3,60,IF(N94&lt;=4,45,IF(N94&lt;=5,30,15))))))),"")),"")</f>
        <v/>
      </c>
      <c r="P94" s="33" t="n">
        <v>12.51</v>
      </c>
      <c r="Q94" s="33" t="n">
        <v>21.8</v>
      </c>
      <c r="R94" s="33" t="n">
        <v>81.2</v>
      </c>
      <c r="S94" s="33">
        <f>IFERROR(AVERAGE(IFERROR(IF(P94="","",IF(P94&gt;=40,100,IF(P94&gt;=30,90,IF(P94&gt;=20,75,IF(P94&gt;=15,60,IF(P94&gt;=10,45,IF(P94&gt;=5,30,15))))))),""),IFERROR(IF(Q94="","",IF(Q94&gt;=40,100,IF(Q94&gt;=30,90,IF(Q94&gt;=20,75,IF(Q94&gt;=10,60,IF(Q94&gt;=5,45,IF(Q94&gt;=0,30,15))))))),""),IFERROR(IF(R94="","",IF(R94&gt;=40,100,IF(R94&gt;=30,90,IF(R94&gt;=20,75,IF(R94&gt;=10,60,IF(R94&gt;=0,45,IF(R94&gt;=-10,30,15))))))),"")),"")</f>
        <v/>
      </c>
      <c r="T94" s="33" t="n">
        <v>3</v>
      </c>
      <c r="U94" s="33" t="n">
        <v>4</v>
      </c>
      <c r="V94" s="33" t="n">
        <v>5</v>
      </c>
      <c r="W94" s="33" t="n">
        <v>5</v>
      </c>
      <c r="X94" s="33" t="n">
        <v>5</v>
      </c>
      <c r="Y94" s="33">
        <f>IFERROR(AVERAGE(T94,U94,V94,W94,X94)*20,"")</f>
        <v/>
      </c>
      <c r="Z94" s="33" t="n">
        <v>4</v>
      </c>
      <c r="AA94" s="33" t="n">
        <v>3</v>
      </c>
      <c r="AB94" s="33" t="n">
        <v>3</v>
      </c>
      <c r="AC94" s="71" t="n">
        <v>61.7</v>
      </c>
      <c r="AD94" s="33">
        <f>IFERROR(AVERAGE(IFERROR(IF(Z94="","",Z94*20),""),IFERROR(IF(AA94="","",AA94*20),""),IFERROR(IF(AB94="","",AB94*20),""),IFERROR(IF(AC94="","",IF(AC94&gt;=85,100,IF(AC94&gt;=70,90,IF(AC94&gt;=55,75,IF(AC94&gt;=40,60,IF(AC94&gt;=25,40,20)))))),"")),"")</f>
        <v/>
      </c>
      <c r="AE94" s="33" t="n">
        <v>5</v>
      </c>
      <c r="AF94" s="33" t="n">
        <v>4</v>
      </c>
      <c r="AG94" s="33" t="n">
        <v>5</v>
      </c>
      <c r="AH94" s="33" t="n">
        <v>2</v>
      </c>
      <c r="AI94" s="33">
        <f>IFERROR(AVERAGE(AE94,AF94,AG94,AH94,AL94)*20,"")</f>
        <v/>
      </c>
      <c r="AJ94" s="33">
        <f>IFERROR(J94*Weights!$B$4 + O94*Weights!$B$5 + S94*Weights!$B$6 + Y94*Weights!$B$7 + AD94*Weights!$B$8 + AI94*Weights!$B$9,"")</f>
        <v/>
      </c>
      <c r="AK94" s="33">
        <f>IF(AJ94="","",IF(AJ94&gt;=85,"✓✓✓",IF(AJ94&gt;=70,"✓✓",IF(AJ94&gt;=55,"✓",IF(AJ94&gt;=40,"?","✗")))))</f>
        <v/>
      </c>
      <c r="AL94" s="33" t="n">
        <v>5</v>
      </c>
    </row>
    <row r="95">
      <c r="A95" s="33" t="inlineStr">
        <is>
          <t>AMZN</t>
        </is>
      </c>
      <c r="B95" s="33" t="inlineStr">
        <is>
          <t>Amazon.com, Inc.</t>
        </is>
      </c>
      <c r="C95" s="33" t="inlineStr">
        <is>
          <t>09 Compute-as-a-Service / Hyperscalers (public-cloud AI revenue)</t>
        </is>
      </c>
      <c r="D95" s="33" t="inlineStr">
        <is>
          <t>2026-06-24</t>
        </is>
      </c>
      <c r="E95" s="33" t="n">
        <v>23.710243</v>
      </c>
      <c r="F95" s="33" t="n">
        <v>16.762</v>
      </c>
      <c r="G95" s="33" t="n">
        <v>-0.1</v>
      </c>
      <c r="H95" s="33" t="n">
        <v>3.39277</v>
      </c>
      <c r="I95" s="33">
        <f>IF(OR(E96="",R96="",R96&lt;=0,E96&lt;0),"",E96/R96)</f>
        <v/>
      </c>
      <c r="J95" s="33">
        <f>IFERROR(AVERAGE(IFERROR(IF(E95="","",IF(E95&lt;0,5,IF(E95&lt;=15,90,IF(E95&lt;=20,75,IF(E95&lt;=25,60,IF(E95&lt;=30,45,IF(E95&lt;=40,30,IF(E95&lt;=60,15,5)))))))),""),IFERROR(IF(F95="","",IF(F95&lt;0,5,IF(F95&lt;=10,90,IF(F95&lt;=15,75,IF(F95&lt;=20,60,IF(F95&lt;=25,45,IF(F95&lt;=35,30,IF(F95&lt;=50,15,5)))))))),""),IFERROR(IF(G95="","",IF(G95&gt;=8,100,IF(G95&gt;=6,90,IF(G95&gt;=4,75,IF(G95&gt;=2,60,IF(G95&gt;=1,45,IF(G95&gt;=0,30,15))))))),""),IFERROR(IF(H95="","",IF(H95&lt;=2,90,IF(H95&lt;=4,75,IF(H95&lt;=7,60,IF(H95&lt;=10,45,IF(H95&lt;=15,30,IF(H95&lt;=25,15,5))))))),""),IFERROR(IF(I95="","",IF(I95&lt;=0.5,100,IF(I95&lt;=1,90,IF(I95&lt;=1.5,75,IF(I95&lt;=2,60,IF(I95&lt;=2.5,45,IF(I95&lt;=3,30,15))))))),"")),"")</f>
        <v/>
      </c>
      <c r="K95" s="33" t="n">
        <v>12.3</v>
      </c>
      <c r="L95" s="33" t="n">
        <v>50.6</v>
      </c>
      <c r="M95" s="33" t="n">
        <v>-0.33</v>
      </c>
      <c r="N95" s="33" t="n">
        <v>0.59</v>
      </c>
      <c r="O95" s="33">
        <f>IFERROR(AVERAGE(IFERROR(IF(K95="","",IF(K95&gt;=25,100,IF(K95&gt;=20,90,IF(K95&gt;=15,75,IF(K95&gt;=10,60,IF(K95&gt;=5,45,IF(K95&gt;=0,30,15))))))),""),IFERROR(IF(L95="","",IF(L95&gt;=60,100,IF(L95&gt;=50,90,IF(L95&gt;=40,75,IF(L95&gt;=30,60,IF(L95&gt;=20,45,IF(L95&gt;=10,30,15))))))),""),IFERROR(IF(M95="","",IF(M95&gt;=25,100,IF(M95&gt;=20,90,IF(M95&gt;=15,75,IF(M95&gt;=10,60,IF(M95&gt;=5,45,IF(M95&gt;=0,30,15))))))),""),IFERROR(IF(N95="","",IF(N95&lt;=0,100,IF(N95&lt;=1,90,IF(N95&lt;=2,75,IF(N95&lt;=3,60,IF(N95&lt;=4,45,IF(N95&lt;=5,30,15))))))),"")),"")</f>
        <v/>
      </c>
      <c r="P95" s="33" t="n">
        <v>11.73</v>
      </c>
      <c r="Q95" s="33" t="n">
        <v>16.6</v>
      </c>
      <c r="R95" s="33" t="n">
        <v>76.7</v>
      </c>
      <c r="S95" s="33">
        <f>IFERROR(AVERAGE(IFERROR(IF(P95="","",IF(P95&gt;=40,100,IF(P95&gt;=30,90,IF(P95&gt;=20,75,IF(P95&gt;=15,60,IF(P95&gt;=10,45,IF(P95&gt;=5,30,15))))))),""),IFERROR(IF(Q95="","",IF(Q95&gt;=40,100,IF(Q95&gt;=30,90,IF(Q95&gt;=20,75,IF(Q95&gt;=10,60,IF(Q95&gt;=5,45,IF(Q95&gt;=0,30,15))))))),""),IFERROR(IF(R95="","",IF(R95&gt;=40,100,IF(R95&gt;=30,90,IF(R95&gt;=20,75,IF(R95&gt;=10,60,IF(R95&gt;=0,45,IF(R95&gt;=-10,30,15))))))),"")),"")</f>
        <v/>
      </c>
      <c r="T95" s="33" t="n">
        <v>3</v>
      </c>
      <c r="U95" s="33" t="n">
        <v>5</v>
      </c>
      <c r="V95" s="33" t="n">
        <v>5</v>
      </c>
      <c r="W95" s="33" t="n">
        <v>5</v>
      </c>
      <c r="X95" s="33" t="n">
        <v>5</v>
      </c>
      <c r="Y95" s="33">
        <f>IFERROR(AVERAGE(T95,U95,V95,W95,X95)*20,"")</f>
        <v/>
      </c>
      <c r="Z95" s="33" t="n">
        <v>5</v>
      </c>
      <c r="AA95" s="33" t="n">
        <v>4</v>
      </c>
      <c r="AB95" s="33" t="n">
        <v>3</v>
      </c>
      <c r="AC95" s="71" t="n">
        <v>50</v>
      </c>
      <c r="AD95" s="33">
        <f>IFERROR(AVERAGE(IFERROR(IF(Z95="","",Z95*20),""),IFERROR(IF(AA95="","",AA95*20),""),IFERROR(IF(AB95="","",AB95*20),""),IFERROR(IF(AC95="","",IF(AC95&gt;=85,100,IF(AC95&gt;=70,90,IF(AC95&gt;=55,75,IF(AC95&gt;=40,60,IF(AC95&gt;=25,40,20)))))),"")),"")</f>
        <v/>
      </c>
      <c r="AE95" s="33" t="n">
        <v>5</v>
      </c>
      <c r="AF95" s="33" t="n">
        <v>4</v>
      </c>
      <c r="AG95" s="33" t="n">
        <v>4</v>
      </c>
      <c r="AH95" s="33" t="n">
        <v>2</v>
      </c>
      <c r="AI95" s="33">
        <f>IFERROR(AVERAGE(AE95,AF95,AG95,AH95,AL95)*20,"")</f>
        <v/>
      </c>
      <c r="AJ95" s="33">
        <f>IFERROR(J95*Weights!$B$4 + O95*Weights!$B$5 + S95*Weights!$B$6 + Y95*Weights!$B$7 + AD95*Weights!$B$8 + AI95*Weights!$B$9,"")</f>
        <v/>
      </c>
      <c r="AK95" s="33">
        <f>IF(AJ95="","",IF(AJ95&gt;=85,"✓✓✓",IF(AJ95&gt;=70,"✓✓",IF(AJ95&gt;=55,"✓",IF(AJ95&gt;=40,"?","✗")))))</f>
        <v/>
      </c>
      <c r="AL95" s="33" t="n">
        <v>5</v>
      </c>
    </row>
    <row r="96">
      <c r="A96" s="33" t="inlineStr">
        <is>
          <t>META</t>
        </is>
      </c>
      <c r="B96" s="33" t="inlineStr">
        <is>
          <t>Meta Platforms, Inc.</t>
        </is>
      </c>
      <c r="C96" s="33" t="inlineStr">
        <is>
          <t>09 Compute-as-a-Service / Hyperscalers (public-cloud AI revenue)</t>
        </is>
      </c>
      <c r="D96" s="33" t="inlineStr">
        <is>
          <t>2026-06-24</t>
        </is>
      </c>
      <c r="E96" s="33" t="n">
        <v>15.385715</v>
      </c>
      <c r="F96" s="33" t="n">
        <v>13.002</v>
      </c>
      <c r="G96" s="33" t="n">
        <v>3.41</v>
      </c>
      <c r="H96" s="33" t="n">
        <v>6.585331</v>
      </c>
      <c r="I96" s="33">
        <f>IF(OR(E97="",R97="",R97&lt;=0,E97&lt;0),"",E97/R97)</f>
        <v/>
      </c>
      <c r="J96" s="33">
        <f>IFERROR(AVERAGE(IFERROR(IF(E96="","",IF(E96&lt;0,5,IF(E96&lt;=15,90,IF(E96&lt;=20,75,IF(E96&lt;=25,60,IF(E96&lt;=30,45,IF(E96&lt;=40,30,IF(E96&lt;=60,15,5)))))))),""),IFERROR(IF(F96="","",IF(F96&lt;0,5,IF(F96&lt;=10,90,IF(F96&lt;=15,75,IF(F96&lt;=20,60,IF(F96&lt;=25,45,IF(F96&lt;=35,30,IF(F96&lt;=50,15,5)))))))),""),IFERROR(IF(G96="","",IF(G96&gt;=8,100,IF(G96&gt;=6,90,IF(G96&gt;=4,75,IF(G96&gt;=2,60,IF(G96&gt;=1,45,IF(G96&gt;=0,30,15))))))),""),IFERROR(IF(H96="","",IF(H96&lt;=2,90,IF(H96&lt;=4,75,IF(H96&lt;=7,60,IF(H96&lt;=10,45,IF(H96&lt;=15,30,IF(H96&lt;=25,15,5))))))),""),IFERROR(IF(I96="","",IF(I96&lt;=0.5,100,IF(I96&lt;=1,90,IF(I96&lt;=1.5,75,IF(I96&lt;=2,60,IF(I96&lt;=2.5,45,IF(I96&lt;=3,30,15))))))),"")),"")</f>
        <v/>
      </c>
      <c r="K96" s="33" t="n">
        <v>22.8</v>
      </c>
      <c r="L96" s="33" t="n">
        <v>81.94</v>
      </c>
      <c r="M96" s="33" t="n">
        <v>22.45</v>
      </c>
      <c r="N96" s="33" t="n">
        <v>0.05</v>
      </c>
      <c r="O96" s="33">
        <f>IFERROR(AVERAGE(IFERROR(IF(K96="","",IF(K96&gt;=25,100,IF(K96&gt;=20,90,IF(K96&gt;=15,75,IF(K96&gt;=10,60,IF(K96&gt;=5,45,IF(K96&gt;=0,30,15))))))),""),IFERROR(IF(L96="","",IF(L96&gt;=60,100,IF(L96&gt;=50,90,IF(L96&gt;=40,75,IF(L96&gt;=30,60,IF(L96&gt;=20,45,IF(L96&gt;=10,30,15))))))),""),IFERROR(IF(M96="","",IF(M96&gt;=25,100,IF(M96&gt;=20,90,IF(M96&gt;=15,75,IF(M96&gt;=10,60,IF(M96&gt;=5,45,IF(M96&gt;=0,30,15))))))),""),IFERROR(IF(N96="","",IF(N96&lt;=0,100,IF(N96&lt;=1,90,IF(N96&lt;=2,75,IF(N96&lt;=3,60,IF(N96&lt;=4,45,IF(N96&lt;=5,30,15))))))),"")),"")</f>
        <v/>
      </c>
      <c r="P96" s="33" t="n">
        <v>19.89</v>
      </c>
      <c r="Q96" s="33" t="n">
        <v>33.1</v>
      </c>
      <c r="R96" s="33" t="n">
        <v>60.9</v>
      </c>
      <c r="S96" s="33">
        <f>IFERROR(AVERAGE(IFERROR(IF(P96="","",IF(P96&gt;=40,100,IF(P96&gt;=30,90,IF(P96&gt;=20,75,IF(P96&gt;=15,60,IF(P96&gt;=10,45,IF(P96&gt;=5,30,15))))))),""),IFERROR(IF(Q96="","",IF(Q96&gt;=40,100,IF(Q96&gt;=30,90,IF(Q96&gt;=20,75,IF(Q96&gt;=10,60,IF(Q96&gt;=5,45,IF(Q96&gt;=0,30,15))))))),""),IFERROR(IF(R96="","",IF(R96&gt;=40,100,IF(R96&gt;=30,90,IF(R96&gt;=20,75,IF(R96&gt;=10,60,IF(R96&gt;=0,45,IF(R96&gt;=-10,30,15))))))),"")),"")</f>
        <v/>
      </c>
      <c r="T96" s="33" t="n">
        <v>3</v>
      </c>
      <c r="U96" s="33" t="n">
        <v>3</v>
      </c>
      <c r="V96" s="33" t="n">
        <v>5</v>
      </c>
      <c r="W96" s="33" t="n">
        <v>5</v>
      </c>
      <c r="X96" s="33" t="n">
        <v>5</v>
      </c>
      <c r="Y96" s="33">
        <f>IFERROR(AVERAGE(T96,U96,V96,W96,X96)*20,"")</f>
        <v/>
      </c>
      <c r="Z96" s="33" t="n">
        <v>5</v>
      </c>
      <c r="AA96" s="33" t="n">
        <v>1</v>
      </c>
      <c r="AB96" s="33" t="n">
        <v>3</v>
      </c>
      <c r="AC96" s="71" t="n">
        <v>35.8</v>
      </c>
      <c r="AD96" s="33">
        <f>IFERROR(AVERAGE(IFERROR(IF(Z96="","",Z96*20),""),IFERROR(IF(AA96="","",AA96*20),""),IFERROR(IF(AB96="","",AB96*20),""),IFERROR(IF(AC96="","",IF(AC96&gt;=85,100,IF(AC96&gt;=70,90,IF(AC96&gt;=55,75,IF(AC96&gt;=40,60,IF(AC96&gt;=25,40,20)))))),"")),"")</f>
        <v/>
      </c>
      <c r="AE96" s="33" t="n">
        <v>4</v>
      </c>
      <c r="AF96" s="33" t="n">
        <v>4</v>
      </c>
      <c r="AG96" s="33" t="n">
        <v>4</v>
      </c>
      <c r="AH96" s="33" t="n">
        <v>2</v>
      </c>
      <c r="AI96" s="33">
        <f>IFERROR(AVERAGE(AE96,AF96,AG96,AH96,AL96)*20,"")</f>
        <v/>
      </c>
      <c r="AJ96" s="33">
        <f>IFERROR(J96*Weights!$B$4 + O96*Weights!$B$5 + S96*Weights!$B$6 + Y96*Weights!$B$7 + AD96*Weights!$B$8 + AI96*Weights!$B$9,"")</f>
        <v/>
      </c>
      <c r="AK96" s="33">
        <f>IF(AJ96="","",IF(AJ96&gt;=85,"✓✓✓",IF(AJ96&gt;=70,"✓✓",IF(AJ96&gt;=55,"✓",IF(AJ96&gt;=40,"?","✗")))))</f>
        <v/>
      </c>
      <c r="AL96" s="33" t="n">
        <v>5</v>
      </c>
    </row>
    <row r="97">
      <c r="A97" s="33" t="inlineStr">
        <is>
          <t>ORCL</t>
        </is>
      </c>
      <c r="B97" s="33" t="inlineStr">
        <is>
          <t>Oracle Corporation</t>
        </is>
      </c>
      <c r="C97" s="33" t="inlineStr">
        <is>
          <t>09 Compute-as-a-Service / Hyperscalers (public-cloud AI revenue)</t>
        </is>
      </c>
      <c r="D97" s="33" t="inlineStr">
        <is>
          <t>2026-06-24</t>
        </is>
      </c>
      <c r="E97" s="33" t="n">
        <v>14.42704</v>
      </c>
      <c r="F97" s="33" t="n">
        <v>19.505</v>
      </c>
      <c r="G97" s="33" t="n">
        <v>-5.22</v>
      </c>
      <c r="H97" s="33" t="n">
        <v>6.7366514</v>
      </c>
      <c r="I97" s="33">
        <f>IF(OR(E98="",R98="",R98&lt;=0,E98&lt;0),"",E98/R98)</f>
        <v/>
      </c>
      <c r="J97" s="33">
        <f>IFERROR(AVERAGE(IFERROR(IF(E97="","",IF(E97&lt;0,5,IF(E97&lt;=15,90,IF(E97&lt;=20,75,IF(E97&lt;=25,60,IF(E97&lt;=30,45,IF(E97&lt;=40,30,IF(E97&lt;=60,15,5)))))))),""),IFERROR(IF(F97="","",IF(F97&lt;0,5,IF(F97&lt;=10,90,IF(F97&lt;=15,75,IF(F97&lt;=20,60,IF(F97&lt;=25,45,IF(F97&lt;=35,30,IF(F97&lt;=50,15,5)))))))),""),IFERROR(IF(G97="","",IF(G97&gt;=8,100,IF(G97&gt;=6,90,IF(G97&gt;=4,75,IF(G97&gt;=2,60,IF(G97&gt;=1,45,IF(G97&gt;=0,30,15))))))),""),IFERROR(IF(H97="","",IF(H97&lt;=2,90,IF(H97&lt;=4,75,IF(H97&lt;=7,60,IF(H97&lt;=10,45,IF(H97&lt;=15,30,IF(H97&lt;=25,15,5))))))),""),IFERROR(IF(I97="","",IF(I97&lt;=0.5,100,IF(I97&lt;=1,90,IF(I97&lt;=1.5,75,IF(I97&lt;=2,60,IF(I97&lt;=2.5,45,IF(I97&lt;=3,30,15))))))),"")),"")</f>
        <v/>
      </c>
      <c r="K97" s="33" t="n">
        <v>11.9</v>
      </c>
      <c r="L97" s="33" t="n">
        <v>65.81999999999999</v>
      </c>
      <c r="M97" s="33" t="n">
        <v>-35.16</v>
      </c>
      <c r="N97" s="33" t="n">
        <v>4.44</v>
      </c>
      <c r="O97" s="33">
        <f>IFERROR(AVERAGE(IFERROR(IF(K97="","",IF(K97&gt;=25,100,IF(K97&gt;=20,90,IF(K97&gt;=15,75,IF(K97&gt;=10,60,IF(K97&gt;=5,45,IF(K97&gt;=0,30,15))))))),""),IFERROR(IF(L97="","",IF(L97&gt;=60,100,IF(L97&gt;=50,90,IF(L97&gt;=40,75,IF(L97&gt;=30,60,IF(L97&gt;=20,45,IF(L97&gt;=10,30,15))))))),""),IFERROR(IF(M97="","",IF(M97&gt;=25,100,IF(M97&gt;=20,90,IF(M97&gt;=15,75,IF(M97&gt;=10,60,IF(M97&gt;=5,45,IF(M97&gt;=0,30,15))))))),""),IFERROR(IF(N97="","",IF(N97&lt;=0,100,IF(N97&lt;=1,90,IF(N97&lt;=2,75,IF(N97&lt;=3,60,IF(N97&lt;=4,45,IF(N97&lt;=5,30,15))))))),"")),"")</f>
        <v/>
      </c>
      <c r="P97" s="33" t="n">
        <v>10.48</v>
      </c>
      <c r="Q97" s="33" t="n">
        <v>20.6</v>
      </c>
      <c r="R97" s="33" t="n">
        <v>25.6</v>
      </c>
      <c r="S97" s="33">
        <f>IFERROR(AVERAGE(IFERROR(IF(P97="","",IF(P97&gt;=40,100,IF(P97&gt;=30,90,IF(P97&gt;=20,75,IF(P97&gt;=15,60,IF(P97&gt;=10,45,IF(P97&gt;=5,30,15))))))),""),IFERROR(IF(Q97="","",IF(Q97&gt;=40,100,IF(Q97&gt;=30,90,IF(Q97&gt;=20,75,IF(Q97&gt;=10,60,IF(Q97&gt;=5,45,IF(Q97&gt;=0,30,15))))))),""),IFERROR(IF(R97="","",IF(R97&gt;=40,100,IF(R97&gt;=30,90,IF(R97&gt;=20,75,IF(R97&gt;=10,60,IF(R97&gt;=0,45,IF(R97&gt;=-10,30,15))))))),"")),"")</f>
        <v/>
      </c>
      <c r="T97" s="33" t="n">
        <v>3</v>
      </c>
      <c r="U97" s="33" t="n">
        <v>4</v>
      </c>
      <c r="V97" s="33" t="n">
        <v>4</v>
      </c>
      <c r="W97" s="33" t="n">
        <v>5</v>
      </c>
      <c r="X97" s="33" t="n">
        <v>5</v>
      </c>
      <c r="Y97" s="33">
        <f>IFERROR(AVERAGE(T97,U97,V97,W97,X97)*20,"")</f>
        <v/>
      </c>
      <c r="Z97" s="33" t="n">
        <v>3</v>
      </c>
      <c r="AA97" s="33" t="n">
        <v>1</v>
      </c>
      <c r="AB97" s="33" t="n">
        <v>3</v>
      </c>
      <c r="AC97" s="71" t="n">
        <v>36.7</v>
      </c>
      <c r="AD97" s="33">
        <f>IFERROR(AVERAGE(IFERROR(IF(Z97="","",Z97*20),""),IFERROR(IF(AA97="","",AA97*20),""),IFERROR(IF(AB97="","",AB97*20),""),IFERROR(IF(AC97="","",IF(AC97&gt;=85,100,IF(AC97&gt;=70,90,IF(AC97&gt;=55,75,IF(AC97&gt;=40,60,IF(AC97&gt;=25,40,20)))))),"")),"")</f>
        <v/>
      </c>
      <c r="AE97" s="33" t="n">
        <v>4</v>
      </c>
      <c r="AF97" s="33" t="n">
        <v>4</v>
      </c>
      <c r="AG97" s="33" t="n">
        <v>2</v>
      </c>
      <c r="AH97" s="33" t="n">
        <v>4</v>
      </c>
      <c r="AI97" s="33">
        <f>IFERROR(AVERAGE(AE97,AF97,AG97,AH97,AL97)*20,"")</f>
        <v/>
      </c>
      <c r="AJ97" s="33">
        <f>IFERROR(J97*Weights!$B$4 + O97*Weights!$B$5 + S97*Weights!$B$6 + Y97*Weights!$B$7 + AD97*Weights!$B$8 + AI97*Weights!$B$9,"")</f>
        <v/>
      </c>
      <c r="AK97" s="33">
        <f>IF(AJ97="","",IF(AJ97&gt;=85,"✓✓✓",IF(AJ97&gt;=70,"✓✓",IF(AJ97&gt;=55,"✓",IF(AJ97&gt;=40,"?","✗")))))</f>
        <v/>
      </c>
      <c r="AL97" s="33" t="n">
        <v>5</v>
      </c>
    </row>
    <row r="98">
      <c r="A98" s="33" t="inlineStr">
        <is>
          <t>NBIS</t>
        </is>
      </c>
      <c r="B98" s="33" t="inlineStr">
        <is>
          <t>Nebius Group N.V.</t>
        </is>
      </c>
      <c r="C98" s="33" t="inlineStr">
        <is>
          <t>09 Compute-as-a-Service / Neoclouds (AI-native cloud providers)</t>
        </is>
      </c>
      <c r="D98" s="33" t="inlineStr">
        <is>
          <t>2026-06-24</t>
        </is>
      </c>
      <c r="E98" s="33" t="n">
        <v>718.84174</v>
      </c>
      <c r="F98" s="33" t="n">
        <v>19.1</v>
      </c>
      <c r="G98" s="33" t="n">
        <v>-4.79</v>
      </c>
      <c r="H98" s="33" t="n">
        <v>75.09648</v>
      </c>
      <c r="I98" s="33">
        <f>IF(OR(E99="",R99="",R99&lt;=0,E99&lt;0),"",E99/R99)</f>
        <v/>
      </c>
      <c r="J98" s="33">
        <f>IFERROR(AVERAGE(IFERROR(IF(E98="","",IF(E98&lt;0,5,IF(E98&lt;=15,90,IF(E98&lt;=20,75,IF(E98&lt;=25,60,IF(E98&lt;=30,45,IF(E98&lt;=40,30,IF(E98&lt;=60,15,5)))))))),""),IFERROR(IF(F98="","",IF(F98&lt;=2,100,IF(F98&lt;=4,90,IF(F98&lt;=6,75,IF(F98&lt;=9,60,IF(F98&lt;=12,45,IF(F98&lt;=18,30,15))))))),""),IFERROR(IF(G98="","",IF(G98&gt;=8,100,IF(G98&gt;=6,90,IF(G98&gt;=4,75,IF(G98&gt;=2,60,IF(G98&gt;=1,45,IF(G98&gt;=0,30,15))))))),""),IFERROR(IF(H98="","",IF(H98&lt;=2,90,IF(H98&lt;=4,75,IF(H98&lt;=7,60,IF(H98&lt;=10,45,IF(H98&lt;=15,30,IF(H98&lt;=25,15,5))))))),""),IFERROR(IF(I98="","",IF(I98&lt;=0.5,100,IF(I98&lt;=1,90,IF(I98&lt;=1.5,75,IF(I98&lt;=2,60,IF(I98&lt;=2.5,45,IF(I98&lt;=3,30,15))))))),"")),"")</f>
        <v/>
      </c>
      <c r="K98" s="33" t="n">
        <v>-8.199999999999999</v>
      </c>
      <c r="L98" s="33" t="n">
        <v>72.06</v>
      </c>
      <c r="M98" s="33" t="n">
        <v>-359.35</v>
      </c>
      <c r="N98" s="33" t="n"/>
      <c r="O98" s="33">
        <f>IFERROR(AVERAGE(IFERROR(IF(K98="","",IF(K98&gt;=25,100,IF(K98&gt;=20,90,IF(K98&gt;=15,75,IF(K98&gt;=10,60,IF(K98&gt;=5,45,IF(K98&gt;=0,30,15))))))),""),IFERROR(IF(L98="","",IF(L98&gt;=60,100,IF(L98&gt;=50,90,IF(L98&gt;=40,75,IF(L98&gt;=30,60,IF(L98&gt;=20,45,IF(L98&gt;=10,30,15))))))),""),IFERROR(IF(M98="","",IF(M98&gt;=25,100,IF(M98&gt;=20,90,IF(M98&gt;=15,75,IF(M98&gt;=10,60,IF(M98&gt;=5,45,IF(M98&gt;=0,30,15))))))),""),IFERROR(IF(N98="","",IF(N98&lt;=0,100,IF(N98&lt;=1,90,IF(N98&lt;=2,75,IF(N98&lt;=3,60,IF(N98&lt;=4,45,IF(N98&lt;=5,30,15))))))),"")),"")</f>
        <v/>
      </c>
      <c r="P98" s="33" t="n">
        <v>239.83</v>
      </c>
      <c r="Q98" s="33" t="n">
        <v>683.9</v>
      </c>
      <c r="S98" s="33">
        <f>IFERROR(AVERAGE(IFERROR(IF(P98="","",IF(P98&gt;=40,100,IF(P98&gt;=30,90,IF(P98&gt;=20,75,IF(P98&gt;=15,60,IF(P98&gt;=10,45,IF(P98&gt;=5,30,15))))))),""),IFERROR(IF(Q98="","",IF(Q98&gt;=40,100,IF(Q98&gt;=30,90,IF(Q98&gt;=20,75,IF(Q98&gt;=10,60,IF(Q98&gt;=5,45,IF(Q98&gt;=0,30,15))))))),""),IFERROR(IF(R98="","",IF(R98&gt;=40,100,IF(R98&gt;=30,90,IF(R98&gt;=20,75,IF(R98&gt;=10,60,IF(R98&gt;=0,45,IF(R98&gt;=-10,30,15))))))),"")),"")</f>
        <v/>
      </c>
      <c r="T98" s="33" t="n">
        <v>5</v>
      </c>
      <c r="U98" s="33" t="n">
        <v>4</v>
      </c>
      <c r="V98" s="33" t="n">
        <v>3</v>
      </c>
      <c r="W98" s="33" t="n">
        <v>5</v>
      </c>
      <c r="X98" s="33" t="n">
        <v>5</v>
      </c>
      <c r="Y98" s="33">
        <f>IFERROR(AVERAGE(T98,U98,V98,W98,X98)*20,"")</f>
        <v/>
      </c>
      <c r="Z98" s="33" t="n">
        <v>3</v>
      </c>
      <c r="AA98" s="33" t="n">
        <v>5</v>
      </c>
      <c r="AB98" s="33" t="n">
        <v>3</v>
      </c>
      <c r="AC98" s="71" t="n">
        <v>83.3</v>
      </c>
      <c r="AD98" s="33">
        <f>IFERROR(AVERAGE(IFERROR(IF(Z98="","",Z98*20),""),IFERROR(IF(AA98="","",AA98*20),""),IFERROR(IF(AB98="","",AB98*20),""),IFERROR(IF(AC98="","",IF(AC98&gt;=85,100,IF(AC98&gt;=70,90,IF(AC98&gt;=55,75,IF(AC98&gt;=40,60,IF(AC98&gt;=25,40,20)))))),"")),"")</f>
        <v/>
      </c>
      <c r="AE98" s="33" t="n">
        <v>3</v>
      </c>
      <c r="AF98" s="33" t="n">
        <v>4</v>
      </c>
      <c r="AG98" s="33" t="n">
        <v>3</v>
      </c>
      <c r="AH98" s="33" t="n">
        <v>3</v>
      </c>
      <c r="AI98" s="33">
        <f>IFERROR(AVERAGE(AE98,AF98,AG98,AH98,AL98)*20,"")</f>
        <v/>
      </c>
      <c r="AJ98" s="33">
        <f>IFERROR(J98*Weights!$B$4 + O98*Weights!$B$5 + S98*Weights!$B$6 + Y98*Weights!$B$7 + AD98*Weights!$B$8 + AI98*Weights!$B$9,"")</f>
        <v/>
      </c>
      <c r="AK98" s="33">
        <f>IF(AJ98="","",IF(AJ98&gt;=85,"✓✓✓",IF(AJ98&gt;=70,"✓✓",IF(AJ98&gt;=55,"✓",IF(AJ98&gt;=40,"?","✗")))))</f>
        <v/>
      </c>
      <c r="AL98" s="33" t="n">
        <v>5</v>
      </c>
    </row>
    <row r="99">
      <c r="A99" s="33" t="inlineStr">
        <is>
          <t>APLD</t>
        </is>
      </c>
      <c r="B99" s="33" t="inlineStr">
        <is>
          <t>Applied Digital Corporation</t>
        </is>
      </c>
      <c r="C99" s="33" t="inlineStr">
        <is>
          <t>09 Compute-as-a-Service / Neoclouds (AI-native cloud providers)</t>
        </is>
      </c>
      <c r="D99" s="33" t="inlineStr">
        <is>
          <t>2026-06-24</t>
        </is>
      </c>
      <c r="E99" s="33" t="n">
        <v>-43.50259</v>
      </c>
      <c r="F99" s="33" t="n">
        <v>6.9</v>
      </c>
      <c r="G99" s="33" t="n">
        <v>-15.1</v>
      </c>
      <c r="H99" s="33" t="n">
        <v>37.57605</v>
      </c>
      <c r="I99" s="33">
        <f>IF(OR(E100="",R100="",R100&lt;=0,E100&lt;0),"",E100/R100)</f>
        <v/>
      </c>
      <c r="J99" s="33">
        <f>IFERROR(AVERAGE(IFERROR(IF(E99="","",IF(E99&lt;0,5,IF(E99&lt;=15,90,IF(E99&lt;=20,75,IF(E99&lt;=25,60,IF(E99&lt;=30,45,IF(E99&lt;=40,30,IF(E99&lt;=60,15,5)))))))),""),IFERROR(IF(F99="","",IF(F99&lt;=2,100,IF(F99&lt;=4,90,IF(F99&lt;=6,75,IF(F99&lt;=9,60,IF(F99&lt;=12,45,IF(F99&lt;=18,30,15))))))),""),IFERROR(IF(G99="","",IF(G99&gt;=8,100,IF(G99&gt;=6,90,IF(G99&gt;=4,75,IF(G99&gt;=2,60,IF(G99&gt;=1,45,IF(G99&gt;=0,30,15))))))),""),IFERROR(IF(H99="","",IF(H99&lt;=2,90,IF(H99&lt;=4,75,IF(H99&lt;=7,60,IF(H99&lt;=10,45,IF(H99&lt;=15,30,IF(H99&lt;=25,15,5))))))),""),IFERROR(IF(I99="","",IF(I99&lt;=0.5,100,IF(I99&lt;=1,90,IF(I99&lt;=1.5,75,IF(I99&lt;=2,60,IF(I99&lt;=2.5,45,IF(I99&lt;=3,30,15))))))),"")),"")</f>
        <v/>
      </c>
      <c r="K99" s="33" t="n">
        <v>-1.9</v>
      </c>
      <c r="L99" s="33" t="n">
        <v>45.41</v>
      </c>
      <c r="M99" s="33" t="n">
        <v>-567.23</v>
      </c>
      <c r="N99" s="33" t="n">
        <v>78.90000000000001</v>
      </c>
      <c r="O99" s="33">
        <f>IFERROR(AVERAGE(IFERROR(IF(K99="","",IF(K99&gt;=25,100,IF(K99&gt;=20,90,IF(K99&gt;=15,75,IF(K99&gt;=10,60,IF(K99&gt;=5,45,IF(K99&gt;=0,30,15))))))),""),IFERROR(IF(L99="","",IF(L99&gt;=60,100,IF(L99&gt;=50,90,IF(L99&gt;=40,75,IF(L99&gt;=30,60,IF(L99&gt;=20,45,IF(L99&gt;=10,30,15))))))),""),IFERROR(IF(M99="","",IF(M99&gt;=25,100,IF(M99&gt;=20,90,IF(M99&gt;=15,75,IF(M99&gt;=10,60,IF(M99&gt;=5,45,IF(M99&gt;=0,30,15))))))),""),IFERROR(IF(N99="","",IF(N99&lt;=0,100,IF(N99&lt;=1,90,IF(N99&lt;=2,75,IF(N99&lt;=3,60,IF(N99&lt;=4,45,IF(N99&lt;=5,30,15))))))),"")),"")</f>
        <v/>
      </c>
      <c r="P99" s="33" t="n">
        <v>156.45</v>
      </c>
      <c r="Q99" s="33" t="n">
        <v>139.3</v>
      </c>
      <c r="S99" s="33">
        <f>IFERROR(AVERAGE(IFERROR(IF(P99="","",IF(P99&gt;=40,100,IF(P99&gt;=30,90,IF(P99&gt;=20,75,IF(P99&gt;=15,60,IF(P99&gt;=10,45,IF(P99&gt;=5,30,15))))))),""),IFERROR(IF(Q99="","",IF(Q99&gt;=40,100,IF(Q99&gt;=30,90,IF(Q99&gt;=20,75,IF(Q99&gt;=10,60,IF(Q99&gt;=5,45,IF(Q99&gt;=0,30,15))))))),""),IFERROR(IF(R99="","",IF(R99&gt;=40,100,IF(R99&gt;=30,90,IF(R99&gt;=20,75,IF(R99&gt;=10,60,IF(R99&gt;=0,45,IF(R99&gt;=-10,30,15))))))),"")),"")</f>
        <v/>
      </c>
      <c r="T99" s="33" t="n">
        <v>4</v>
      </c>
      <c r="U99" s="33" t="n">
        <v>3</v>
      </c>
      <c r="V99" s="33" t="n">
        <v>3</v>
      </c>
      <c r="W99" s="33" t="n">
        <v>4</v>
      </c>
      <c r="X99" s="33" t="n">
        <v>3</v>
      </c>
      <c r="Y99" s="33">
        <f>IFERROR(AVERAGE(T99,U99,V99,W99,X99)*20,"")</f>
        <v/>
      </c>
      <c r="Z99" s="33" t="n">
        <v>2</v>
      </c>
      <c r="AA99" s="33" t="n">
        <v>5</v>
      </c>
      <c r="AB99" s="33" t="n">
        <v>3</v>
      </c>
      <c r="AC99" s="71" t="n">
        <v>66.7</v>
      </c>
      <c r="AD99" s="33">
        <f>IFERROR(AVERAGE(IFERROR(IF(Z99="","",Z99*20),""),IFERROR(IF(AA99="","",AA99*20),""),IFERROR(IF(AB99="","",AB99*20),""),IFERROR(IF(AC99="","",IF(AC99&gt;=85,100,IF(AC99&gt;=70,90,IF(AC99&gt;=55,75,IF(AC99&gt;=40,60,IF(AC99&gt;=25,40,20)))))),"")),"")</f>
        <v/>
      </c>
      <c r="AE99" s="33" t="n">
        <v>1</v>
      </c>
      <c r="AF99" s="33" t="n">
        <v>4</v>
      </c>
      <c r="AG99" s="33" t="n">
        <v>2</v>
      </c>
      <c r="AH99" s="33" t="n">
        <v>3</v>
      </c>
      <c r="AI99" s="33">
        <f>IFERROR(AVERAGE(AE99,AF99,AG99,AH99,AL99)*20,"")</f>
        <v/>
      </c>
      <c r="AJ99" s="33">
        <f>IFERROR(J99*Weights!$B$4 + O99*Weights!$B$5 + S99*Weights!$B$6 + Y99*Weights!$B$7 + AD99*Weights!$B$8 + AI99*Weights!$B$9,"")</f>
        <v/>
      </c>
      <c r="AK99" s="33">
        <f>IF(AJ99="","",IF(AJ99&gt;=85,"✓✓✓",IF(AJ99&gt;=70,"✓✓",IF(AJ99&gt;=55,"✓",IF(AJ99&gt;=40,"?","✗")))))</f>
        <v/>
      </c>
      <c r="AL99" s="33" t="n">
        <v>5</v>
      </c>
    </row>
    <row r="100">
      <c r="A100" s="33" t="inlineStr">
        <is>
          <t>CORZ</t>
        </is>
      </c>
      <c r="B100" s="33" t="inlineStr">
        <is>
          <t>Core Scientific, Inc.</t>
        </is>
      </c>
      <c r="C100" s="33" t="inlineStr">
        <is>
          <t>09 Compute-as-a-Service / Bitcoin miners pivoting to AI hosting</t>
        </is>
      </c>
      <c r="D100" s="33" t="inlineStr">
        <is>
          <t>2026-06-24</t>
        </is>
      </c>
      <c r="E100" s="33" t="n">
        <v>93.67310999999999</v>
      </c>
      <c r="F100" s="33" t="n">
        <v>5.3</v>
      </c>
      <c r="G100" s="33" t="n">
        <v>-5.22</v>
      </c>
      <c r="H100" s="33" t="n">
        <v>24.902979</v>
      </c>
      <c r="I100" s="33">
        <f>IF(OR(E101="",R101="",R101&lt;=0,E101&lt;0),"",E101/R101)</f>
        <v/>
      </c>
      <c r="J100" s="33">
        <f>IFERROR(AVERAGE(IFERROR(IF(E100="","",IF(E100&lt;0,5,IF(E100&lt;=15,90,IF(E100&lt;=20,75,IF(E100&lt;=25,60,IF(E100&lt;=30,45,IF(E100&lt;=40,30,IF(E100&lt;=60,15,5)))))))),""),IFERROR(IF(F100="","",IF(F100&lt;=2,100,IF(F100&lt;=4,90,IF(F100&lt;=6,75,IF(F100&lt;=9,60,IF(F100&lt;=12,45,IF(F100&lt;=18,30,15))))))),""),IFERROR(IF(G100="","",IF(G100&gt;=8,100,IF(G100&gt;=6,90,IF(G100&gt;=4,75,IF(G100&gt;=2,60,IF(G100&gt;=1,45,IF(G100&gt;=0,30,15))))))),""),IFERROR(IF(H100="","",IF(H100&lt;=2,90,IF(H100&lt;=4,75,IF(H100&lt;=7,60,IF(H100&lt;=10,45,IF(H100&lt;=15,30,IF(H100&lt;=25,15,5))))))),""),IFERROR(IF(I100="","",IF(I100&lt;=0.5,100,IF(I100&lt;=1,90,IF(I100&lt;=1.5,75,IF(I100&lt;=2,60,IF(I100&lt;=2.5,45,IF(I100&lt;=3,30,15))))))),"")),"")</f>
        <v/>
      </c>
      <c r="L100" s="33" t="n">
        <v>21.56</v>
      </c>
      <c r="M100" s="33" t="n">
        <v>-130</v>
      </c>
      <c r="N100" s="33" t="n"/>
      <c r="O100" s="33">
        <f>IFERROR(AVERAGE(IFERROR(IF(K100="","",IF(K100&gt;=25,100,IF(K100&gt;=20,90,IF(K100&gt;=15,75,IF(K100&gt;=10,60,IF(K100&gt;=5,45,IF(K100&gt;=0,30,15))))))),""),IFERROR(IF(L100="","",IF(L100&gt;=60,100,IF(L100&gt;=50,90,IF(L100&gt;=40,75,IF(L100&gt;=30,60,IF(L100&gt;=20,45,IF(L100&gt;=10,30,15))))))),""),IFERROR(IF(M100="","",IF(M100&gt;=25,100,IF(M100&gt;=20,90,IF(M100&gt;=15,75,IF(M100&gt;=10,60,IF(M100&gt;=5,45,IF(M100&gt;=0,30,15))))))),""),IFERROR(IF(N100="","",IF(N100&lt;=0,100,IF(N100&lt;=1,90,IF(N100&lt;=2,75,IF(N100&lt;=3,60,IF(N100&lt;=4,45,IF(N100&lt;=5,30,15))))))),"")),"")</f>
        <v/>
      </c>
      <c r="P100" s="33" t="n">
        <v>-20.72</v>
      </c>
      <c r="Q100" s="33" t="n">
        <v>44.9</v>
      </c>
      <c r="S100" s="33">
        <f>IFERROR(AVERAGE(IFERROR(IF(P100="","",IF(P100&gt;=40,100,IF(P100&gt;=30,90,IF(P100&gt;=20,75,IF(P100&gt;=15,60,IF(P100&gt;=10,45,IF(P100&gt;=5,30,15))))))),""),IFERROR(IF(Q100="","",IF(Q100&gt;=40,100,IF(Q100&gt;=30,90,IF(Q100&gt;=20,75,IF(Q100&gt;=10,60,IF(Q100&gt;=5,45,IF(Q100&gt;=0,30,15))))))),""),IFERROR(IF(R100="","",IF(R100&gt;=40,100,IF(R100&gt;=30,90,IF(R100&gt;=20,75,IF(R100&gt;=10,60,IF(R100&gt;=0,45,IF(R100&gt;=-10,30,15))))))),"")),"")</f>
        <v/>
      </c>
      <c r="T100" s="33" t="n">
        <v>4</v>
      </c>
      <c r="U100" s="33" t="n">
        <v>3</v>
      </c>
      <c r="V100" s="33" t="n">
        <v>3</v>
      </c>
      <c r="W100" s="33" t="n">
        <v>5</v>
      </c>
      <c r="X100" s="33" t="n">
        <v>3</v>
      </c>
      <c r="Y100" s="33">
        <f>IFERROR(AVERAGE(T100,U100,V100,W100,X100)*20,"")</f>
        <v/>
      </c>
      <c r="Z100" s="33" t="n">
        <v>3</v>
      </c>
      <c r="AA100" s="33" t="n">
        <v>3</v>
      </c>
      <c r="AB100" s="33" t="n">
        <v>3</v>
      </c>
      <c r="AC100" s="71" t="n">
        <v>70</v>
      </c>
      <c r="AD100" s="33">
        <f>IFERROR(AVERAGE(IFERROR(IF(Z100="","",Z100*20),""),IFERROR(IF(AA100="","",AA100*20),""),IFERROR(IF(AB100="","",AB100*20),""),IFERROR(IF(AC100="","",IF(AC100&gt;=85,100,IF(AC100&gt;=70,90,IF(AC100&gt;=55,75,IF(AC100&gt;=40,60,IF(AC100&gt;=25,40,20)))))),"")),"")</f>
        <v/>
      </c>
      <c r="AE100" s="33" t="n">
        <v>1</v>
      </c>
      <c r="AF100" s="33" t="n">
        <v>4</v>
      </c>
      <c r="AG100" s="33" t="n">
        <v>3</v>
      </c>
      <c r="AH100" s="33" t="n">
        <v>3</v>
      </c>
      <c r="AI100" s="33">
        <f>IFERROR(AVERAGE(AE100,AF100,AG100,AH100,AL100)*20,"")</f>
        <v/>
      </c>
      <c r="AJ100" s="33">
        <f>IFERROR(J100*Weights!$B$4 + O100*Weights!$B$5 + S100*Weights!$B$6 + Y100*Weights!$B$7 + AD100*Weights!$B$8 + AI100*Weights!$B$9,"")</f>
        <v/>
      </c>
      <c r="AK100" s="33">
        <f>IF(AJ100="","",IF(AJ100&gt;=85,"✓✓✓",IF(AJ100&gt;=70,"✓✓",IF(AJ100&gt;=55,"✓",IF(AJ100&gt;=40,"?","✗")))))</f>
        <v/>
      </c>
      <c r="AL100" s="33" t="n">
        <v>5</v>
      </c>
    </row>
    <row r="101">
      <c r="A101" s="33" t="inlineStr">
        <is>
          <t>IREN</t>
        </is>
      </c>
      <c r="B101" s="33" t="inlineStr">
        <is>
          <t>IREN Limited</t>
        </is>
      </c>
      <c r="C101" s="33" t="inlineStr">
        <is>
          <t>09 Compute-as-a-Service / Bitcoin miners pivoting to AI hosting</t>
        </is>
      </c>
      <c r="D101" s="33" t="inlineStr">
        <is>
          <t>2026-06-24</t>
        </is>
      </c>
      <c r="E101" s="33" t="n">
        <v>-53.51064</v>
      </c>
      <c r="F101" s="33" t="n">
        <v>6.8</v>
      </c>
      <c r="G101" s="33" t="n">
        <v>-13.62</v>
      </c>
      <c r="H101" s="33" t="n">
        <v>23.744242</v>
      </c>
      <c r="I101" s="33">
        <f>IF(OR(E102="",R102="",R102&lt;=0,E102&lt;0),"",E102/R102)</f>
        <v/>
      </c>
      <c r="J101" s="33">
        <f>IFERROR(AVERAGE(IFERROR(IF(E101="","",IF(E101&lt;0,5,IF(E101&lt;=15,90,IF(E101&lt;=20,75,IF(E101&lt;=25,60,IF(E101&lt;=30,45,IF(E101&lt;=40,30,IF(E101&lt;=60,15,5)))))))),""),IFERROR(IF(F101="","",IF(F101&lt;=2,100,IF(F101&lt;=4,90,IF(F101&lt;=6,75,IF(F101&lt;=9,60,IF(F101&lt;=12,45,IF(F101&lt;=18,30,15))))))),""),IFERROR(IF(G101="","",IF(G101&gt;=8,100,IF(G101&gt;=6,90,IF(G101&gt;=4,75,IF(G101&gt;=2,60,IF(G101&gt;=1,45,IF(G101&gt;=0,30,15))))))),""),IFERROR(IF(H101="","",IF(H101&lt;=2,90,IF(H101&lt;=4,75,IF(H101&lt;=7,60,IF(H101&lt;=10,45,IF(H101&lt;=15,30,IF(H101&lt;=25,15,5))))))),""),IFERROR(IF(I101="","",IF(I101&lt;=0.5,100,IF(I101&lt;=1,90,IF(I101&lt;=1.5,75,IF(I101&lt;=2,60,IF(I101&lt;=2.5,45,IF(I101&lt;=3,30,15))))))),"")),"")</f>
        <v/>
      </c>
      <c r="K101" s="33" t="n">
        <v>-5.1</v>
      </c>
      <c r="L101" s="33" t="n">
        <v>68.40000000000001</v>
      </c>
      <c r="M101" s="33" t="n">
        <v>-323.37</v>
      </c>
      <c r="N101" s="33" t="n">
        <v>11.9</v>
      </c>
      <c r="O101" s="33">
        <f>IFERROR(AVERAGE(IFERROR(IF(K101="","",IF(K101&gt;=25,100,IF(K101&gt;=20,90,IF(K101&gt;=15,75,IF(K101&gt;=10,60,IF(K101&gt;=5,45,IF(K101&gt;=0,30,15))))))),""),IFERROR(IF(L101="","",IF(L101&gt;=60,100,IF(L101&gt;=50,90,IF(L101&gt;=40,75,IF(L101&gt;=30,60,IF(L101&gt;=20,45,IF(L101&gt;=10,30,15))))))),""),IFERROR(IF(M101="","",IF(M101&gt;=25,100,IF(M101&gt;=20,90,IF(M101&gt;=15,75,IF(M101&gt;=10,60,IF(M101&gt;=5,45,IF(M101&gt;=0,30,15))))))),""),IFERROR(IF(N101="","",IF(N101&lt;=0,100,IF(N101&lt;=1,90,IF(N101&lt;=2,75,IF(N101&lt;=3,60,IF(N101&lt;=4,45,IF(N101&lt;=5,30,15))))))),"")),"")</f>
        <v/>
      </c>
      <c r="P101" s="33" t="n">
        <v>103.98</v>
      </c>
      <c r="Q101" s="33" t="n">
        <v>0</v>
      </c>
      <c r="S101" s="33">
        <f>IFERROR(AVERAGE(IFERROR(IF(P101="","",IF(P101&gt;=40,100,IF(P101&gt;=30,90,IF(P101&gt;=20,75,IF(P101&gt;=15,60,IF(P101&gt;=10,45,IF(P101&gt;=5,30,15))))))),""),IFERROR(IF(Q101="","",IF(Q101&gt;=40,100,IF(Q101&gt;=30,90,IF(Q101&gt;=20,75,IF(Q101&gt;=10,60,IF(Q101&gt;=5,45,IF(Q101&gt;=0,30,15))))))),""),IFERROR(IF(R101="","",IF(R101&gt;=40,100,IF(R101&gt;=30,90,IF(R101&gt;=20,75,IF(R101&gt;=10,60,IF(R101&gt;=0,45,IF(R101&gt;=-10,30,15))))))),"")),"")</f>
        <v/>
      </c>
      <c r="T101" s="33" t="n">
        <v>5</v>
      </c>
      <c r="U101" s="33" t="n">
        <v>4</v>
      </c>
      <c r="V101" s="33" t="n">
        <v>4</v>
      </c>
      <c r="W101" s="33" t="n">
        <v>5</v>
      </c>
      <c r="X101" s="33" t="n">
        <v>5</v>
      </c>
      <c r="Y101" s="33">
        <f>IFERROR(AVERAGE(T101,U101,V101,W101,X101)*20,"")</f>
        <v/>
      </c>
      <c r="Z101" s="33" t="n">
        <v>3</v>
      </c>
      <c r="AA101" s="33" t="n">
        <v>5</v>
      </c>
      <c r="AB101" s="33" t="n">
        <v>3</v>
      </c>
      <c r="AC101" s="71" t="n">
        <v>55</v>
      </c>
      <c r="AD101" s="33">
        <f>IFERROR(AVERAGE(IFERROR(IF(Z101="","",Z101*20),""),IFERROR(IF(AA101="","",AA101*20),""),IFERROR(IF(AB101="","",AB101*20),""),IFERROR(IF(AC101="","",IF(AC101&gt;=85,100,IF(AC101&gt;=70,90,IF(AC101&gt;=55,75,IF(AC101&gt;=40,60,IF(AC101&gt;=25,40,20)))))),"")),"")</f>
        <v/>
      </c>
      <c r="AE101" s="33" t="n">
        <v>2</v>
      </c>
      <c r="AF101" s="33" t="n">
        <v>4</v>
      </c>
      <c r="AG101" s="33" t="n">
        <v>2</v>
      </c>
      <c r="AH101" s="33" t="n">
        <v>3</v>
      </c>
      <c r="AI101" s="33">
        <f>IFERROR(AVERAGE(AE101,AF101,AG101,AH101,AL101)*20,"")</f>
        <v/>
      </c>
      <c r="AJ101" s="33">
        <f>IFERROR(J101*Weights!$B$4 + O101*Weights!$B$5 + S101*Weights!$B$6 + Y101*Weights!$B$7 + AD101*Weights!$B$8 + AI101*Weights!$B$9,"")</f>
        <v/>
      </c>
      <c r="AK101" s="33">
        <f>IF(AJ101="","",IF(AJ101&gt;=85,"✓✓✓",IF(AJ101&gt;=70,"✓✓",IF(AJ101&gt;=55,"✓",IF(AJ101&gt;=40,"?","✗")))))</f>
        <v/>
      </c>
      <c r="AL101" s="33" t="n">
        <v>5</v>
      </c>
    </row>
    <row r="102">
      <c r="A102" s="33" t="inlineStr">
        <is>
          <t>CIFR</t>
        </is>
      </c>
      <c r="B102" s="33" t="inlineStr">
        <is>
          <t>Cipher Digital Inc.</t>
        </is>
      </c>
      <c r="C102" s="33" t="inlineStr">
        <is>
          <t>09 Compute-as-a-Service / Bitcoin miners pivoting to AI hosting</t>
        </is>
      </c>
      <c r="D102" s="33" t="inlineStr">
        <is>
          <t>2026-06-24</t>
        </is>
      </c>
      <c r="E102" s="33" t="n">
        <v>39.134327</v>
      </c>
      <c r="F102" s="33" t="n">
        <v>16.3</v>
      </c>
      <c r="G102" s="33" t="n">
        <v>-9.49</v>
      </c>
      <c r="H102" s="33" t="n">
        <v>51.116283</v>
      </c>
      <c r="I102" s="33">
        <f>IF(OR(E103="",R103="",R103&lt;=0,E103&lt;0),"",E103/R103)</f>
        <v/>
      </c>
      <c r="J102" s="33">
        <f>IFERROR(AVERAGE(IFERROR(IF(E102="","",IF(E102&lt;0,5,IF(E102&lt;=15,90,IF(E102&lt;=20,75,IF(E102&lt;=25,60,IF(E102&lt;=30,45,IF(E102&lt;=40,30,IF(E102&lt;=60,15,5)))))))),""),IFERROR(IF(F102="","",IF(F102&lt;=2,100,IF(F102&lt;=4,90,IF(F102&lt;=6,75,IF(F102&lt;=9,60,IF(F102&lt;=12,45,IF(F102&lt;=18,30,15))))))),""),IFERROR(IF(G102="","",IF(G102&gt;=8,100,IF(G102&gt;=6,90,IF(G102&gt;=4,75,IF(G102&gt;=2,60,IF(G102&gt;=1,45,IF(G102&gt;=0,30,15))))))),""),IFERROR(IF(H102="","",IF(H102&lt;=2,90,IF(H102&lt;=4,75,IF(H102&lt;=7,60,IF(H102&lt;=10,45,IF(H102&lt;=15,30,IF(H102&lt;=25,15,5))))))),""),IFERROR(IF(I102="","",IF(I102&lt;=0.5,100,IF(I102&lt;=1,90,IF(I102&lt;=1.5,75,IF(I102&lt;=2,60,IF(I102&lt;=2.5,45,IF(I102&lt;=3,30,15))))))),"")),"")</f>
        <v/>
      </c>
      <c r="K102" s="33" t="n">
        <v>-6.2</v>
      </c>
      <c r="L102" s="33" t="n">
        <v>12.38</v>
      </c>
      <c r="M102" s="33" t="n">
        <v>-484.87</v>
      </c>
      <c r="N102" s="33" t="n">
        <v>24.31</v>
      </c>
      <c r="O102" s="33">
        <f>IFERROR(AVERAGE(IFERROR(IF(K102="","",IF(K102&gt;=25,100,IF(K102&gt;=20,90,IF(K102&gt;=15,75,IF(K102&gt;=10,60,IF(K102&gt;=5,45,IF(K102&gt;=0,30,15))))))),""),IFERROR(IF(L102="","",IF(L102&gt;=60,100,IF(L102&gt;=50,90,IF(L102&gt;=40,75,IF(L102&gt;=30,60,IF(L102&gt;=20,45,IF(L102&gt;=10,30,15))))))),""),IFERROR(IF(M102="","",IF(M102&gt;=25,100,IF(M102&gt;=20,90,IF(M102&gt;=15,75,IF(M102&gt;=10,60,IF(M102&gt;=5,45,IF(M102&gt;=0,30,15))))))),""),IFERROR(IF(N102="","",IF(N102&lt;=0,100,IF(N102&lt;=1,90,IF(N102&lt;=2,75,IF(N102&lt;=3,60,IF(N102&lt;=4,45,IF(N102&lt;=5,30,15))))))),"")),"")</f>
        <v/>
      </c>
      <c r="P102" s="33" t="n">
        <v>319.34</v>
      </c>
      <c r="Q102" s="33" t="n">
        <v>-28.8</v>
      </c>
      <c r="S102" s="33">
        <f>IFERROR(AVERAGE(IFERROR(IF(P102="","",IF(P102&gt;=40,100,IF(P102&gt;=30,90,IF(P102&gt;=20,75,IF(P102&gt;=15,60,IF(P102&gt;=10,45,IF(P102&gt;=5,30,15))))))),""),IFERROR(IF(Q102="","",IF(Q102&gt;=40,100,IF(Q102&gt;=30,90,IF(Q102&gt;=20,75,IF(Q102&gt;=10,60,IF(Q102&gt;=5,45,IF(Q102&gt;=0,30,15))))))),""),IFERROR(IF(R102="","",IF(R102&gt;=40,100,IF(R102&gt;=30,90,IF(R102&gt;=20,75,IF(R102&gt;=10,60,IF(R102&gt;=0,45,IF(R102&gt;=-10,30,15))))))),"")),"")</f>
        <v/>
      </c>
      <c r="T102" s="33" t="n">
        <v>4</v>
      </c>
      <c r="U102" s="33" t="n">
        <v>3</v>
      </c>
      <c r="V102" s="33" t="n">
        <v>3</v>
      </c>
      <c r="W102" s="33" t="n">
        <v>4</v>
      </c>
      <c r="X102" s="33" t="n">
        <v>5</v>
      </c>
      <c r="Y102" s="33">
        <f>IFERROR(AVERAGE(T102,U102,V102,W102,X102)*20,"")</f>
        <v/>
      </c>
      <c r="Z102" s="33" t="n">
        <v>2</v>
      </c>
      <c r="AA102" s="33" t="n">
        <v>5</v>
      </c>
      <c r="AB102" s="33" t="n">
        <v>3</v>
      </c>
      <c r="AC102" s="71" t="n">
        <v>59.2</v>
      </c>
      <c r="AD102" s="33">
        <f>IFERROR(AVERAGE(IFERROR(IF(Z102="","",Z102*20),""),IFERROR(IF(AA102="","",AA102*20),""),IFERROR(IF(AB102="","",AB102*20),""),IFERROR(IF(AC102="","",IF(AC102&gt;=85,100,IF(AC102&gt;=70,90,IF(AC102&gt;=55,75,IF(AC102&gt;=40,60,IF(AC102&gt;=25,40,20)))))),"")),"")</f>
        <v/>
      </c>
      <c r="AE102" s="33" t="n">
        <v>3</v>
      </c>
      <c r="AF102" s="33" t="n">
        <v>4</v>
      </c>
      <c r="AG102" s="33" t="n">
        <v>2</v>
      </c>
      <c r="AH102" s="33" t="n">
        <v>3</v>
      </c>
      <c r="AI102" s="33">
        <f>IFERROR(AVERAGE(AE102,AF102,AG102,AH102,AL102)*20,"")</f>
        <v/>
      </c>
      <c r="AJ102" s="33">
        <f>IFERROR(J102*Weights!$B$4 + O102*Weights!$B$5 + S102*Weights!$B$6 + Y102*Weights!$B$7 + AD102*Weights!$B$8 + AI102*Weights!$B$9,"")</f>
        <v/>
      </c>
      <c r="AK102" s="33">
        <f>IF(AJ102="","",IF(AJ102&gt;=85,"✓✓✓",IF(AJ102&gt;=70,"✓✓",IF(AJ102&gt;=55,"✓",IF(AJ102&gt;=40,"?","✗")))))</f>
        <v/>
      </c>
      <c r="AL102" s="33" t="n">
        <v>5</v>
      </c>
    </row>
    <row r="103">
      <c r="A103" s="33" t="inlineStr">
        <is>
          <t>CLSK</t>
        </is>
      </c>
      <c r="B103" s="33" t="inlineStr">
        <is>
          <t>CleanSpark, Inc.</t>
        </is>
      </c>
      <c r="C103" s="33" t="inlineStr">
        <is>
          <t>09 Compute-as-a-Service / Bitcoin miners pivoting to AI hosting</t>
        </is>
      </c>
      <c r="D103" s="33" t="inlineStr">
        <is>
          <t>2026-06-24</t>
        </is>
      </c>
      <c r="E103" s="33" t="n">
        <v>-22.386206</v>
      </c>
      <c r="F103" s="33" t="n">
        <v>3.1</v>
      </c>
      <c r="G103" s="33" t="n">
        <v>-25.74</v>
      </c>
      <c r="H103" s="33" t="n">
        <v>5.628933</v>
      </c>
      <c r="I103" s="33">
        <f>IF(OR(E104="",R104="",R104&lt;=0,E104&lt;0),"",E104/R104)</f>
        <v/>
      </c>
      <c r="J103" s="33">
        <f>IFERROR(AVERAGE(IFERROR(IF(E103="","",IF(E103&lt;0,5,IF(E103&lt;=15,90,IF(E103&lt;=20,75,IF(E103&lt;=25,60,IF(E103&lt;=30,45,IF(E103&lt;=40,30,IF(E103&lt;=60,15,5)))))))),""),IFERROR(IF(F103="","",IF(F103&lt;=2,100,IF(F103&lt;=4,90,IF(F103&lt;=6,75,IF(F103&lt;=9,60,IF(F103&lt;=12,45,IF(F103&lt;=18,30,15))))))),""),IFERROR(IF(G103="","",IF(G103&gt;=8,100,IF(G103&gt;=6,90,IF(G103&gt;=4,75,IF(G103&gt;=2,60,IF(G103&gt;=1,45,IF(G103&gt;=0,30,15))))))),""),IFERROR(IF(H103="","",IF(H103&lt;=2,90,IF(H103&lt;=4,75,IF(H103&lt;=7,60,IF(H103&lt;=10,45,IF(H103&lt;=15,30,IF(H103&lt;=25,15,5))))))),""),IFERROR(IF(I103="","",IF(I103&lt;=0.5,100,IF(I103&lt;=1,90,IF(I103&lt;=1.5,75,IF(I103&lt;=2,60,IF(I103&lt;=2.5,45,IF(I103&lt;=3,30,15))))))),"")),"")</f>
        <v/>
      </c>
      <c r="K103" s="33" t="n">
        <v>-8.4</v>
      </c>
      <c r="L103" s="33" t="n">
        <v>50.71</v>
      </c>
      <c r="M103" s="33" t="n">
        <v>-144.92</v>
      </c>
      <c r="N103" s="33" t="n"/>
      <c r="O103" s="33">
        <f>IFERROR(AVERAGE(IFERROR(IF(K103="","",IF(K103&gt;=25,100,IF(K103&gt;=20,90,IF(K103&gt;=15,75,IF(K103&gt;=10,60,IF(K103&gt;=5,45,IF(K103&gt;=0,30,15))))))),""),IFERROR(IF(L103="","",IF(L103&gt;=60,100,IF(L103&gt;=50,90,IF(L103&gt;=40,75,IF(L103&gt;=30,60,IF(L103&gt;=20,45,IF(L103&gt;=10,30,15))))))),""),IFERROR(IF(M103="","",IF(M103&gt;=25,100,IF(M103&gt;=20,90,IF(M103&gt;=15,75,IF(M103&gt;=10,60,IF(M103&gt;=5,45,IF(M103&gt;=0,30,15))))))),""),IFERROR(IF(N103="","",IF(N103&lt;=0,100,IF(N103&lt;=1,90,IF(N103&lt;=2,75,IF(N103&lt;=3,60,IF(N103&lt;=4,45,IF(N103&lt;=5,30,15))))))),"")),"")</f>
        <v/>
      </c>
      <c r="P103" s="33" t="n">
        <v>79.94</v>
      </c>
      <c r="Q103" s="33" t="n">
        <v>-24.9</v>
      </c>
      <c r="S103" s="33">
        <f>IFERROR(AVERAGE(IFERROR(IF(P103="","",IF(P103&gt;=40,100,IF(P103&gt;=30,90,IF(P103&gt;=20,75,IF(P103&gt;=15,60,IF(P103&gt;=10,45,IF(P103&gt;=5,30,15))))))),""),IFERROR(IF(Q103="","",IF(Q103&gt;=40,100,IF(Q103&gt;=30,90,IF(Q103&gt;=20,75,IF(Q103&gt;=10,60,IF(Q103&gt;=5,45,IF(Q103&gt;=0,30,15))))))),""),IFERROR(IF(R103="","",IF(R103&gt;=40,100,IF(R103&gt;=30,90,IF(R103&gt;=20,75,IF(R103&gt;=10,60,IF(R103&gt;=0,45,IF(R103&gt;=-10,30,15))))))),"")),"")</f>
        <v/>
      </c>
      <c r="T103" s="33" t="n">
        <v>2</v>
      </c>
      <c r="U103" s="33" t="n">
        <v>2</v>
      </c>
      <c r="V103" s="33" t="n">
        <v>2</v>
      </c>
      <c r="W103" s="33" t="n">
        <v>3</v>
      </c>
      <c r="X103" s="33" t="n">
        <v>1</v>
      </c>
      <c r="Y103" s="33">
        <f>IFERROR(AVERAGE(T103,U103,V103,W103,X103)*20,"")</f>
        <v/>
      </c>
      <c r="Z103" s="33" t="n">
        <v>2</v>
      </c>
      <c r="AA103" s="33" t="n">
        <v>1</v>
      </c>
      <c r="AB103" s="33" t="n">
        <v>3</v>
      </c>
      <c r="AC103" s="71" t="n">
        <v>53.3</v>
      </c>
      <c r="AD103" s="33">
        <f>IFERROR(AVERAGE(IFERROR(IF(Z103="","",Z103*20),""),IFERROR(IF(AA103="","",AA103*20),""),IFERROR(IF(AB103="","",AB103*20),""),IFERROR(IF(AC103="","",IF(AC103&gt;=85,100,IF(AC103&gt;=70,90,IF(AC103&gt;=55,75,IF(AC103&gt;=40,60,IF(AC103&gt;=25,40,20)))))),"")),"")</f>
        <v/>
      </c>
      <c r="AE103" s="33" t="n">
        <v>3</v>
      </c>
      <c r="AF103" s="33" t="n">
        <v>4</v>
      </c>
      <c r="AG103" s="33" t="n">
        <v>3</v>
      </c>
      <c r="AH103" s="33" t="n">
        <v>4</v>
      </c>
      <c r="AI103" s="33">
        <f>IFERROR(AVERAGE(AE103,AF103,AG103,AH103,AL103)*20,"")</f>
        <v/>
      </c>
      <c r="AJ103" s="33">
        <f>IFERROR(J103*Weights!$B$4 + O103*Weights!$B$5 + S103*Weights!$B$6 + Y103*Weights!$B$7 + AD103*Weights!$B$8 + AI103*Weights!$B$9,"")</f>
        <v/>
      </c>
      <c r="AK103" s="33">
        <f>IF(AJ103="","",IF(AJ103&gt;=85,"✓✓✓",IF(AJ103&gt;=70,"✓✓",IF(AJ103&gt;=55,"✓",IF(AJ103&gt;=40,"?","✗")))))</f>
        <v/>
      </c>
      <c r="AL103" s="33" t="n">
        <v>5</v>
      </c>
    </row>
    <row r="104">
      <c r="A104" s="33" t="inlineStr">
        <is>
          <t>BTDR</t>
        </is>
      </c>
      <c r="B104" s="33" t="inlineStr">
        <is>
          <t>Bitdeer Technologies Group</t>
        </is>
      </c>
      <c r="C104" s="33" t="inlineStr">
        <is>
          <t>09 Compute-as-a-Service / Bitcoin miners pivoting to AI hosting</t>
        </is>
      </c>
      <c r="D104" s="33" t="inlineStr">
        <is>
          <t>2026-06-24</t>
        </is>
      </c>
      <c r="E104" s="33" t="n">
        <v>-49.352116</v>
      </c>
      <c r="F104" s="33" t="n">
        <v>2.4</v>
      </c>
      <c r="G104" s="33" t="n">
        <v>-49.67</v>
      </c>
      <c r="H104" s="33" t="n">
        <v>5.767981</v>
      </c>
      <c r="I104" s="33">
        <f>IF(OR(E105="",R105="",R105&lt;=0,E105&lt;0),"",E105/R105)</f>
        <v/>
      </c>
      <c r="J104" s="33">
        <f>IFERROR(AVERAGE(IFERROR(IF(E104="","",IF(E104&lt;0,5,IF(E104&lt;=15,90,IF(E104&lt;=20,75,IF(E104&lt;=25,60,IF(E104&lt;=30,45,IF(E104&lt;=40,30,IF(E104&lt;=60,15,5)))))))),""),IFERROR(IF(F104="","",IF(F104&lt;=2,100,IF(F104&lt;=4,90,IF(F104&lt;=6,75,IF(F104&lt;=9,60,IF(F104&lt;=12,45,IF(F104&lt;=18,30,15))))))),""),IFERROR(IF(G104="","",IF(G104&gt;=8,100,IF(G104&gt;=6,90,IF(G104&gt;=4,75,IF(G104&gt;=2,60,IF(G104&gt;=1,45,IF(G104&gt;=0,30,15))))))),""),IFERROR(IF(H104="","",IF(H104&lt;=2,90,IF(H104&lt;=4,75,IF(H104&lt;=7,60,IF(H104&lt;=10,45,IF(H104&lt;=15,30,IF(H104&lt;=25,15,5))))))),""),IFERROR(IF(I104="","",IF(I104&lt;=0.5,100,IF(I104&lt;=1,90,IF(I104&lt;=1.5,75,IF(I104&lt;=2,60,IF(I104&lt;=2.5,45,IF(I104&lt;=3,30,15))))))),"")),"")</f>
        <v/>
      </c>
      <c r="K104" s="33" t="n">
        <v>-6.4</v>
      </c>
      <c r="L104" s="33" t="n">
        <v>3.51</v>
      </c>
      <c r="M104" s="33" t="n">
        <v>-286.49</v>
      </c>
      <c r="N104" s="33" t="n">
        <v>3.82</v>
      </c>
      <c r="O104" s="33">
        <f>IFERROR(AVERAGE(IFERROR(IF(K104="","",IF(K104&gt;=25,100,IF(K104&gt;=20,90,IF(K104&gt;=15,75,IF(K104&gt;=10,60,IF(K104&gt;=5,45,IF(K104&gt;=0,30,15))))))),""),IFERROR(IF(L104="","",IF(L104&gt;=60,100,IF(L104&gt;=50,90,IF(L104&gt;=40,75,IF(L104&gt;=30,60,IF(L104&gt;=20,45,IF(L104&gt;=10,30,15))))))),""),IFERROR(IF(M104="","",IF(M104&gt;=25,100,IF(M104&gt;=20,90,IF(M104&gt;=15,75,IF(M104&gt;=10,60,IF(M104&gt;=5,45,IF(M104&gt;=0,30,15))))))),""),IFERROR(IF(N104="","",IF(N104&lt;=0,100,IF(N104&lt;=1,90,IF(N104&lt;=2,75,IF(N104&lt;=3,60,IF(N104&lt;=4,45,IF(N104&lt;=5,30,15))))))),"")),"")</f>
        <v/>
      </c>
      <c r="P104" s="33" t="n">
        <v>23</v>
      </c>
      <c r="Q104" s="33" t="n">
        <v>169.4</v>
      </c>
      <c r="S104" s="33">
        <f>IFERROR(AVERAGE(IFERROR(IF(P104="","",IF(P104&gt;=40,100,IF(P104&gt;=30,90,IF(P104&gt;=20,75,IF(P104&gt;=15,60,IF(P104&gt;=10,45,IF(P104&gt;=5,30,15))))))),""),IFERROR(IF(Q104="","",IF(Q104&gt;=40,100,IF(Q104&gt;=30,90,IF(Q104&gt;=20,75,IF(Q104&gt;=10,60,IF(Q104&gt;=5,45,IF(Q104&gt;=0,30,15))))))),""),IFERROR(IF(R104="","",IF(R104&gt;=40,100,IF(R104&gt;=30,90,IF(R104&gt;=20,75,IF(R104&gt;=10,60,IF(R104&gt;=0,45,IF(R104&gt;=-10,30,15))))))),"")),"")</f>
        <v/>
      </c>
      <c r="T104" s="33" t="n">
        <v>3</v>
      </c>
      <c r="U104" s="33" t="n">
        <v>3</v>
      </c>
      <c r="V104" s="33" t="n">
        <v>3</v>
      </c>
      <c r="W104" s="33" t="n">
        <v>4</v>
      </c>
      <c r="X104" s="33" t="n">
        <v>3</v>
      </c>
      <c r="Y104" s="33">
        <f>IFERROR(AVERAGE(T104,U104,V104,W104,X104)*20,"")</f>
        <v/>
      </c>
      <c r="Z104" s="33" t="n">
        <v>2</v>
      </c>
      <c r="AA104" s="33" t="n">
        <v>1</v>
      </c>
      <c r="AB104" s="33" t="n">
        <v>3</v>
      </c>
      <c r="AC104" s="71" t="n">
        <v>59.2</v>
      </c>
      <c r="AD104" s="33">
        <f>IFERROR(AVERAGE(IFERROR(IF(Z104="","",Z104*20),""),IFERROR(IF(AA104="","",AA104*20),""),IFERROR(IF(AB104="","",AB104*20),""),IFERROR(IF(AC104="","",IF(AC104&gt;=85,100,IF(AC104&gt;=70,90,IF(AC104&gt;=55,75,IF(AC104&gt;=40,60,IF(AC104&gt;=25,40,20)))))),"")),"")</f>
        <v/>
      </c>
      <c r="AE104" s="33" t="n">
        <v>3</v>
      </c>
      <c r="AF104" s="33" t="n">
        <v>3</v>
      </c>
      <c r="AG104" s="33" t="n">
        <v>2</v>
      </c>
      <c r="AH104" s="33" t="n">
        <v>3</v>
      </c>
      <c r="AI104" s="33">
        <f>IFERROR(AVERAGE(AE104,AF104,AG104,AH104,AL104)*20,"")</f>
        <v/>
      </c>
      <c r="AJ104" s="33">
        <f>IFERROR(J104*Weights!$B$4 + O104*Weights!$B$5 + S104*Weights!$B$6 + Y104*Weights!$B$7 + AD104*Weights!$B$8 + AI104*Weights!$B$9,"")</f>
        <v/>
      </c>
      <c r="AK104" s="33">
        <f>IF(AJ104="","",IF(AJ104&gt;=85,"✓✓✓",IF(AJ104&gt;=70,"✓✓",IF(AJ104&gt;=55,"✓",IF(AJ104&gt;=40,"?","✗")))))</f>
        <v/>
      </c>
      <c r="AL104" s="33" t="n">
        <v>5</v>
      </c>
    </row>
    <row r="105">
      <c r="A105" s="33" t="inlineStr">
        <is>
          <t>HUT</t>
        </is>
      </c>
      <c r="B105" s="33" t="inlineStr">
        <is>
          <t>Hut 8 Corp.</t>
        </is>
      </c>
      <c r="C105" s="33" t="inlineStr">
        <is>
          <t>09 Compute-as-a-Service / Bitcoin miners pivoting to AI hosting</t>
        </is>
      </c>
      <c r="D105" s="33" t="inlineStr">
        <is>
          <t>2026-06-24</t>
        </is>
      </c>
      <c r="E105" s="33" t="n">
        <v>-62.503365</v>
      </c>
      <c r="F105" s="33" t="n">
        <v>7.6</v>
      </c>
      <c r="G105" s="33" t="n">
        <v>-6.23</v>
      </c>
      <c r="H105" s="33" t="n">
        <v>45.976986</v>
      </c>
      <c r="I105" s="33">
        <f>IF(OR(E106="",R106="",R106&lt;=0,E106&lt;0),"",E106/R106)</f>
        <v/>
      </c>
      <c r="J105" s="33">
        <f>IFERROR(AVERAGE(IFERROR(IF(E105="","",IF(E105&lt;0,5,IF(E105&lt;=15,90,IF(E105&lt;=20,75,IF(E105&lt;=25,60,IF(E105&lt;=30,45,IF(E105&lt;=40,30,IF(E105&lt;=60,15,5)))))))),""),IFERROR(IF(F105="","",IF(F105&lt;=2,100,IF(F105&lt;=4,90,IF(F105&lt;=6,75,IF(F105&lt;=9,60,IF(F105&lt;=12,45,IF(F105&lt;=18,30,15))))))),""),IFERROR(IF(G105="","",IF(G105&gt;=8,100,IF(G105&gt;=6,90,IF(G105&gt;=4,75,IF(G105&gt;=2,60,IF(G105&gt;=1,45,IF(G105&gt;=0,30,15))))))),""),IFERROR(IF(H105="","",IF(H105&lt;=2,90,IF(H105&lt;=4,75,IF(H105&lt;=7,60,IF(H105&lt;=10,45,IF(H105&lt;=15,30,IF(H105&lt;=25,15,5))))))),""),IFERROR(IF(I105="","",IF(I105&lt;=0.5,100,IF(I105&lt;=1,90,IF(I105&lt;=1.5,75,IF(I105&lt;=2,60,IF(I105&lt;=2.5,45,IF(I105&lt;=3,30,15))))))),"")),"")</f>
        <v/>
      </c>
      <c r="K105" s="33" t="n">
        <v>-6.7</v>
      </c>
      <c r="L105" s="33" t="n">
        <v>59.67</v>
      </c>
      <c r="M105" s="33" t="n">
        <v>-286.43</v>
      </c>
      <c r="N105" s="33" t="n"/>
      <c r="O105" s="33">
        <f>IFERROR(AVERAGE(IFERROR(IF(K105="","",IF(K105&gt;=25,100,IF(K105&gt;=20,90,IF(K105&gt;=15,75,IF(K105&gt;=10,60,IF(K105&gt;=5,45,IF(K105&gt;=0,30,15))))))),""),IFERROR(IF(L105="","",IF(L105&gt;=60,100,IF(L105&gt;=50,90,IF(L105&gt;=40,75,IF(L105&gt;=30,60,IF(L105&gt;=20,45,IF(L105&gt;=10,30,15))))))),""),IFERROR(IF(M105="","",IF(M105&gt;=25,100,IF(M105&gt;=20,90,IF(M105&gt;=15,75,IF(M105&gt;=10,60,IF(M105&gt;=5,45,IF(M105&gt;=0,30,15))))))),""),IFERROR(IF(N105="","",IF(N105&lt;=0,100,IF(N105&lt;=1,90,IF(N105&lt;=2,75,IF(N105&lt;=3,60,IF(N105&lt;=4,45,IF(N105&lt;=5,30,15))))))),"")),"")</f>
        <v/>
      </c>
      <c r="P105" s="33" t="n">
        <v>43.73</v>
      </c>
      <c r="Q105" s="33" t="n">
        <v>225.5</v>
      </c>
      <c r="S105" s="33">
        <f>IFERROR(AVERAGE(IFERROR(IF(P105="","",IF(P105&gt;=40,100,IF(P105&gt;=30,90,IF(P105&gt;=20,75,IF(P105&gt;=15,60,IF(P105&gt;=10,45,IF(P105&gt;=5,30,15))))))),""),IFERROR(IF(Q105="","",IF(Q105&gt;=40,100,IF(Q105&gt;=30,90,IF(Q105&gt;=20,75,IF(Q105&gt;=10,60,IF(Q105&gt;=5,45,IF(Q105&gt;=0,30,15))))))),""),IFERROR(IF(R105="","",IF(R105&gt;=40,100,IF(R105&gt;=30,90,IF(R105&gt;=20,75,IF(R105&gt;=10,60,IF(R105&gt;=0,45,IF(R105&gt;=-10,30,15))))))),"")),"")</f>
        <v/>
      </c>
      <c r="T105" s="33" t="n">
        <v>4</v>
      </c>
      <c r="U105" s="33" t="n">
        <v>3</v>
      </c>
      <c r="V105" s="33" t="n">
        <v>3</v>
      </c>
      <c r="W105" s="33" t="n">
        <v>5</v>
      </c>
      <c r="X105" s="33" t="n">
        <v>5</v>
      </c>
      <c r="Y105" s="33">
        <f>IFERROR(AVERAGE(T105,U105,V105,W105,X105)*20,"")</f>
        <v/>
      </c>
      <c r="Z105" s="33" t="n">
        <v>3</v>
      </c>
      <c r="AA105" s="33" t="n">
        <v>5</v>
      </c>
      <c r="AB105" s="33" t="n">
        <v>3</v>
      </c>
      <c r="AC105" s="71" t="n">
        <v>77.5</v>
      </c>
      <c r="AD105" s="33">
        <f>IFERROR(AVERAGE(IFERROR(IF(Z105="","",Z105*20),""),IFERROR(IF(AA105="","",AA105*20),""),IFERROR(IF(AB105="","",AB105*20),""),IFERROR(IF(AC105="","",IF(AC105&gt;=85,100,IF(AC105&gt;=70,90,IF(AC105&gt;=55,75,IF(AC105&gt;=40,60,IF(AC105&gt;=25,40,20)))))),"")),"")</f>
        <v/>
      </c>
      <c r="AE105" s="33" t="n">
        <v>3</v>
      </c>
      <c r="AF105" s="33" t="n">
        <v>4</v>
      </c>
      <c r="AG105" s="33" t="n">
        <v>2</v>
      </c>
      <c r="AH105" s="33" t="n">
        <v>3</v>
      </c>
      <c r="AI105" s="33">
        <f>IFERROR(AVERAGE(AE105,AF105,AG105,AH105,AL105)*20,"")</f>
        <v/>
      </c>
      <c r="AJ105" s="33">
        <f>IFERROR(J105*Weights!$B$4 + O105*Weights!$B$5 + S105*Weights!$B$6 + Y105*Weights!$B$7 + AD105*Weights!$B$8 + AI105*Weights!$B$9,"")</f>
        <v/>
      </c>
      <c r="AK105" s="33">
        <f>IF(AJ105="","",IF(AJ105&gt;=85,"✓✓✓",IF(AJ105&gt;=70,"✓✓",IF(AJ105&gt;=55,"✓",IF(AJ105&gt;=40,"?","✗")))))</f>
        <v/>
      </c>
      <c r="AL105" s="33" t="n">
        <v>5</v>
      </c>
    </row>
    <row r="106">
      <c r="A106" s="33" t="inlineStr">
        <is>
          <t>KEEL</t>
        </is>
      </c>
      <c r="B106" s="33" t="inlineStr">
        <is>
          <t>Keel Infrastructure Corp. (fka Bitfarms)</t>
        </is>
      </c>
      <c r="C106" s="33" t="inlineStr">
        <is>
          <t>09 Compute-as-a-Service / Bitcoin miners pivoting to AI hosting</t>
        </is>
      </c>
      <c r="D106" s="33" t="inlineStr">
        <is>
          <t>2026-06-24</t>
        </is>
      </c>
      <c r="E106" s="33" t="n">
        <v>-94.15385000000001</v>
      </c>
      <c r="F106" s="33" t="n">
        <v>5.1</v>
      </c>
      <c r="G106" s="33" t="n">
        <v>-11.02</v>
      </c>
      <c r="H106" s="33" t="n">
        <v>16.903679</v>
      </c>
      <c r="I106" s="33">
        <f>IF(OR(E107="",R107="",R107&lt;=0,E107&lt;0),"",E107/R107)</f>
        <v/>
      </c>
      <c r="J106" s="33">
        <f>IFERROR(AVERAGE(IFERROR(IF(E106="","",IF(E106&lt;0,5,IF(E106&lt;=15,90,IF(E106&lt;=20,75,IF(E106&lt;=25,60,IF(E106&lt;=30,45,IF(E106&lt;=40,30,IF(E106&lt;=60,15,5)))))))),""),IFERROR(IF(F106="","",IF(F106&lt;=2,100,IF(F106&lt;=4,90,IF(F106&lt;=6,75,IF(F106&lt;=9,60,IF(F106&lt;=12,45,IF(F106&lt;=18,30,15))))))),""),IFERROR(IF(G106="","",IF(G106&gt;=8,100,IF(G106&gt;=6,90,IF(G106&gt;=4,75,IF(G106&gt;=2,60,IF(G106&gt;=1,45,IF(G106&gt;=0,30,15))))))),""),IFERROR(IF(H106="","",IF(H106&lt;=2,90,IF(H106&lt;=4,75,IF(H106&lt;=7,60,IF(H106&lt;=10,45,IF(H106&lt;=15,30,IF(H106&lt;=25,15,5))))))),""),IFERROR(IF(I106="","",IF(I106&lt;=0.5,100,IF(I106&lt;=1,90,IF(I106&lt;=1.5,75,IF(I106&lt;=2,60,IF(I106&lt;=2.5,45,IF(I106&lt;=3,30,15))))))),"")),"")</f>
        <v/>
      </c>
      <c r="K106" s="33" t="n">
        <v>-15.81</v>
      </c>
      <c r="L106" s="33" t="n">
        <v>-20.81</v>
      </c>
      <c r="M106" s="33" t="n">
        <v>-186.29</v>
      </c>
      <c r="N106" s="33" t="n"/>
      <c r="O106" s="33">
        <f>IFERROR(AVERAGE(IFERROR(IF(K106="","",IF(K106&gt;=25,100,IF(K106&gt;=20,90,IF(K106&gt;=15,75,IF(K106&gt;=10,60,IF(K106&gt;=5,45,IF(K106&gt;=0,30,15))))))),""),IFERROR(IF(L106="","",IF(L106&gt;=60,100,IF(L106&gt;=50,90,IF(L106&gt;=40,75,IF(L106&gt;=30,60,IF(L106&gt;=20,45,IF(L106&gt;=10,30,15))))))),""),IFERROR(IF(M106="","",IF(M106&gt;=25,100,IF(M106&gt;=20,90,IF(M106&gt;=15,75,IF(M106&gt;=10,60,IF(M106&gt;=5,45,IF(M106&gt;=0,30,15))))))),""),IFERROR(IF(N106="","",IF(N106&lt;=0,100,IF(N106&lt;=1,90,IF(N106&lt;=2,75,IF(N106&lt;=3,60,IF(N106&lt;=4,45,IF(N106&lt;=5,30,15))))))),"")),"")</f>
        <v/>
      </c>
      <c r="P106" s="33" t="n">
        <v>17.2</v>
      </c>
      <c r="Q106" s="33" t="n">
        <v>-22.4</v>
      </c>
      <c r="S106" s="33">
        <f>IFERROR(AVERAGE(IFERROR(IF(P106="","",IF(P106&gt;=40,100,IF(P106&gt;=30,90,IF(P106&gt;=20,75,IF(P106&gt;=15,60,IF(P106&gt;=10,45,IF(P106&gt;=5,30,15))))))),""),IFERROR(IF(Q106="","",IF(Q106&gt;=40,100,IF(Q106&gt;=30,90,IF(Q106&gt;=20,75,IF(Q106&gt;=10,60,IF(Q106&gt;=5,45,IF(Q106&gt;=0,30,15))))))),""),IFERROR(IF(R106="","",IF(R106&gt;=40,100,IF(R106&gt;=30,90,IF(R106&gt;=20,75,IF(R106&gt;=10,60,IF(R106&gt;=0,45,IF(R106&gt;=-10,30,15))))))),"")),"")</f>
        <v/>
      </c>
      <c r="T106" s="33" t="n">
        <v>2</v>
      </c>
      <c r="U106" s="33" t="n">
        <v>2</v>
      </c>
      <c r="V106" s="33" t="n">
        <v>2</v>
      </c>
      <c r="W106" s="33" t="n">
        <v>3</v>
      </c>
      <c r="X106" s="33" t="n">
        <v>1</v>
      </c>
      <c r="Y106" s="33">
        <f>IFERROR(AVERAGE(T106,U106,V106,W106,X106)*20,"")</f>
        <v/>
      </c>
      <c r="Z106" s="33" t="n">
        <v>3</v>
      </c>
      <c r="AA106" s="33" t="n">
        <v>3</v>
      </c>
      <c r="AB106" s="33" t="n">
        <v>3</v>
      </c>
      <c r="AC106" s="71" t="n">
        <v>46.7</v>
      </c>
      <c r="AD106" s="33">
        <f>IFERROR(AVERAGE(IFERROR(IF(Z106="","",Z106*20),""),IFERROR(IF(AA106="","",AA106*20),""),IFERROR(IF(AB106="","",AB106*20),""),IFERROR(IF(AC106="","",IF(AC106&gt;=85,100,IF(AC106&gt;=70,90,IF(AC106&gt;=55,75,IF(AC106&gt;=40,60,IF(AC106&gt;=25,40,20)))))),"")),"")</f>
        <v/>
      </c>
      <c r="AE106" s="33" t="n">
        <v>3</v>
      </c>
      <c r="AF106" s="33" t="n">
        <v>4</v>
      </c>
      <c r="AG106" s="33" t="n">
        <v>3</v>
      </c>
      <c r="AH106" s="33" t="n">
        <v>3</v>
      </c>
      <c r="AI106" s="33">
        <f>IFERROR(AVERAGE(AE106,AF106,AG106,AH106,AL106)*20,"")</f>
        <v/>
      </c>
      <c r="AJ106" s="33">
        <f>IFERROR(J106*Weights!$B$4 + O106*Weights!$B$5 + S106*Weights!$B$6 + Y106*Weights!$B$7 + AD106*Weights!$B$8 + AI106*Weights!$B$9,"")</f>
        <v/>
      </c>
      <c r="AK106" s="33">
        <f>IF(AJ106="","",IF(AJ106&gt;=85,"✓✓✓",IF(AJ106&gt;=70,"✓✓",IF(AJ106&gt;=55,"✓",IF(AJ106&gt;=40,"?","✗")))))</f>
        <v/>
      </c>
      <c r="AL106" s="33" t="n">
        <v>5</v>
      </c>
    </row>
    <row r="107">
      <c r="A107" s="33" t="inlineStr">
        <is>
          <t>RIOT</t>
        </is>
      </c>
      <c r="B107" s="33" t="inlineStr">
        <is>
          <t>Riot Platforms, Inc.</t>
        </is>
      </c>
      <c r="C107" s="33" t="inlineStr">
        <is>
          <t>09 Compute-as-a-Service / Bitcoin miners pivoting to AI hosting</t>
        </is>
      </c>
      <c r="D107" s="33" t="inlineStr">
        <is>
          <t>2026-06-24</t>
        </is>
      </c>
      <c r="E107" s="33" t="n">
        <v>-46.43365</v>
      </c>
      <c r="F107" s="33" t="n">
        <v>6.5</v>
      </c>
      <c r="G107" s="33" t="n">
        <v>-12.27</v>
      </c>
      <c r="H107" s="33" t="n">
        <v>15.872388</v>
      </c>
      <c r="I107" s="33">
        <f>IF(OR(E108="",R108="",R108&lt;=0,E108&lt;0),"",E108/R108)</f>
        <v/>
      </c>
      <c r="J107" s="33">
        <f>IFERROR(AVERAGE(IFERROR(IF(E107="","",IF(E107&lt;0,5,IF(E107&lt;=15,90,IF(E107&lt;=20,75,IF(E107&lt;=25,60,IF(E107&lt;=30,45,IF(E107&lt;=40,30,IF(E107&lt;=60,15,5)))))))),""),IFERROR(IF(F107="","",IF(F107&lt;=2,100,IF(F107&lt;=4,90,IF(F107&lt;=6,75,IF(F107&lt;=9,60,IF(F107&lt;=12,45,IF(F107&lt;=18,30,15))))))),""),IFERROR(IF(G107="","",IF(G107&gt;=8,100,IF(G107&gt;=6,90,IF(G107&gt;=4,75,IF(G107&gt;=2,60,IF(G107&gt;=1,45,IF(G107&gt;=0,30,15))))))),""),IFERROR(IF(H107="","",IF(H107&lt;=2,90,IF(H107&lt;=4,75,IF(H107&lt;=7,60,IF(H107&lt;=10,45,IF(H107&lt;=15,30,IF(H107&lt;=25,15,5))))))),""),IFERROR(IF(I107="","",IF(I107&lt;=0.5,100,IF(I107&lt;=1,90,IF(I107&lt;=1.5,75,IF(I107&lt;=2,60,IF(I107&lt;=2.5,45,IF(I107&lt;=3,30,15))))))),"")),"")</f>
        <v/>
      </c>
      <c r="K107" s="33" t="n">
        <v>-10</v>
      </c>
      <c r="L107" s="33" t="n">
        <v>32.35</v>
      </c>
      <c r="M107" s="33" t="n">
        <v>-194.81</v>
      </c>
      <c r="N107" s="33" t="n"/>
      <c r="O107" s="33">
        <f>IFERROR(AVERAGE(IFERROR(IF(K107="","",IF(K107&gt;=25,100,IF(K107&gt;=20,90,IF(K107&gt;=15,75,IF(K107&gt;=10,60,IF(K107&gt;=5,45,IF(K107&gt;=0,30,15))))))),""),IFERROR(IF(L107="","",IF(L107&gt;=60,100,IF(L107&gt;=50,90,IF(L107&gt;=40,75,IF(L107&gt;=30,60,IF(L107&gt;=20,45,IF(L107&gt;=10,30,15))))))),""),IFERROR(IF(M107="","",IF(M107&gt;=25,100,IF(M107&gt;=20,90,IF(M107&gt;=15,75,IF(M107&gt;=10,60,IF(M107&gt;=5,45,IF(M107&gt;=0,30,15))))))),""),IFERROR(IF(N107="","",IF(N107&lt;=0,100,IF(N107&lt;=1,90,IF(N107&lt;=2,75,IF(N107&lt;=3,60,IF(N107&lt;=4,45,IF(N107&lt;=5,30,15))))))),"")),"")</f>
        <v/>
      </c>
      <c r="P107" s="33" t="n">
        <v>35.69</v>
      </c>
      <c r="Q107" s="33" t="n">
        <v>3.6</v>
      </c>
      <c r="S107" s="33">
        <f>IFERROR(AVERAGE(IFERROR(IF(P107="","",IF(P107&gt;=40,100,IF(P107&gt;=30,90,IF(P107&gt;=20,75,IF(P107&gt;=15,60,IF(P107&gt;=10,45,IF(P107&gt;=5,30,15))))))),""),IFERROR(IF(Q107="","",IF(Q107&gt;=40,100,IF(Q107&gt;=30,90,IF(Q107&gt;=20,75,IF(Q107&gt;=10,60,IF(Q107&gt;=5,45,IF(Q107&gt;=0,30,15))))))),""),IFERROR(IF(R107="","",IF(R107&gt;=40,100,IF(R107&gt;=30,90,IF(R107&gt;=20,75,IF(R107&gt;=10,60,IF(R107&gt;=0,45,IF(R107&gt;=-10,30,15))))))),"")),"")</f>
        <v/>
      </c>
      <c r="T107" s="33" t="n">
        <v>2</v>
      </c>
      <c r="U107" s="33" t="n">
        <v>2</v>
      </c>
      <c r="V107" s="33" t="n">
        <v>2</v>
      </c>
      <c r="W107" s="33" t="n">
        <v>4</v>
      </c>
      <c r="X107" s="33" t="n">
        <v>3</v>
      </c>
      <c r="Y107" s="33">
        <f>IFERROR(AVERAGE(T107,U107,V107,W107,X107)*20,"")</f>
        <v/>
      </c>
      <c r="Z107" s="33" t="n">
        <v>3</v>
      </c>
      <c r="AA107" s="33" t="n">
        <v>3</v>
      </c>
      <c r="AB107" s="33" t="n">
        <v>3</v>
      </c>
      <c r="AC107" s="71" t="n">
        <v>69.2</v>
      </c>
      <c r="AD107" s="33">
        <f>IFERROR(AVERAGE(IFERROR(IF(Z107="","",Z107*20),""),IFERROR(IF(AA107="","",AA107*20),""),IFERROR(IF(AB107="","",AB107*20),""),IFERROR(IF(AC107="","",IF(AC107&gt;=85,100,IF(AC107&gt;=70,90,IF(AC107&gt;=55,75,IF(AC107&gt;=40,60,IF(AC107&gt;=25,40,20)))))),"")),"")</f>
        <v/>
      </c>
      <c r="AE107" s="33" t="n">
        <v>3</v>
      </c>
      <c r="AF107" s="33" t="n">
        <v>4</v>
      </c>
      <c r="AG107" s="33" t="n">
        <v>3</v>
      </c>
      <c r="AH107" s="33" t="n">
        <v>3</v>
      </c>
      <c r="AI107" s="33">
        <f>IFERROR(AVERAGE(AE107,AF107,AG107,AH107,AL107)*20,"")</f>
        <v/>
      </c>
      <c r="AJ107" s="33">
        <f>IFERROR(J107*Weights!$B$4 + O107*Weights!$B$5 + S107*Weights!$B$6 + Y107*Weights!$B$7 + AD107*Weights!$B$8 + AI107*Weights!$B$9,"")</f>
        <v/>
      </c>
      <c r="AK107" s="33">
        <f>IF(AJ107="","",IF(AJ107&gt;=85,"✓✓✓",IF(AJ107&gt;=70,"✓✓",IF(AJ107&gt;=55,"✓",IF(AJ107&gt;=40,"?","✗")))))</f>
        <v/>
      </c>
      <c r="AL107" s="33" t="n">
        <v>5</v>
      </c>
    </row>
    <row r="108">
      <c r="A108" s="33" t="inlineStr">
        <is>
          <t>WULF</t>
        </is>
      </c>
      <c r="B108" s="33" t="inlineStr">
        <is>
          <t>TeraWulf Inc.</t>
        </is>
      </c>
      <c r="C108" s="33" t="inlineStr">
        <is>
          <t>09 Compute-as-a-Service / Bitcoin miners pivoting to AI hosting</t>
        </is>
      </c>
      <c r="D108" s="33" t="inlineStr">
        <is>
          <t>2026-06-24</t>
        </is>
      </c>
      <c r="E108" s="33" t="n">
        <v>145.78378</v>
      </c>
      <c r="F108" s="33" t="n">
        <v>24.6</v>
      </c>
      <c r="G108" s="33" t="n">
        <v>-12.62</v>
      </c>
      <c r="H108" s="33" t="n">
        <v>79.52134</v>
      </c>
      <c r="I108" s="33">
        <f>IF(OR(E109="",R109="",R109&lt;=0,E109&lt;0),"",E109/R109)</f>
        <v/>
      </c>
      <c r="J108" s="33">
        <f>IFERROR(AVERAGE(IFERROR(IF(E108="","",IF(E108&lt;0,5,IF(E108&lt;=15,90,IF(E108&lt;=20,75,IF(E108&lt;=25,60,IF(E108&lt;=30,45,IF(E108&lt;=40,30,IF(E108&lt;=60,15,5)))))))),""),IFERROR(IF(F108="","",IF(F108&lt;=2,100,IF(F108&lt;=4,90,IF(F108&lt;=6,75,IF(F108&lt;=9,60,IF(F108&lt;=12,45,IF(F108&lt;=18,30,15))))))),""),IFERROR(IF(G108="","",IF(G108&gt;=8,100,IF(G108&gt;=6,90,IF(G108&gt;=4,75,IF(G108&gt;=2,60,IF(G108&gt;=1,45,IF(G108&gt;=0,30,15))))))),""),IFERROR(IF(H108="","",IF(H108&lt;=2,90,IF(H108&lt;=4,75,IF(H108&lt;=7,60,IF(H108&lt;=10,45,IF(H108&lt;=15,30,IF(H108&lt;=25,15,5))))))),""),IFERROR(IF(I108="","",IF(I108&lt;=0.5,100,IF(I108&lt;=1,90,IF(I108&lt;=1.5,75,IF(I108&lt;=2,60,IF(I108&lt;=2.5,45,IF(I108&lt;=3,30,15))))))),"")),"")</f>
        <v/>
      </c>
      <c r="K108" s="33" t="n">
        <v>-7.5</v>
      </c>
      <c r="L108" s="33" t="n">
        <v>64.02</v>
      </c>
      <c r="M108" s="33" t="n">
        <v>-1003.63</v>
      </c>
      <c r="N108" s="33" t="n"/>
      <c r="O108" s="33">
        <f>IFERROR(AVERAGE(IFERROR(IF(K108="","",IF(K108&gt;=25,100,IF(K108&gt;=20,90,IF(K108&gt;=15,75,IF(K108&gt;=10,60,IF(K108&gt;=5,45,IF(K108&gt;=0,30,15))))))),""),IFERROR(IF(L108="","",IF(L108&gt;=60,100,IF(L108&gt;=50,90,IF(L108&gt;=40,75,IF(L108&gt;=30,60,IF(L108&gt;=20,45,IF(L108&gt;=10,30,15))))))),""),IFERROR(IF(M108="","",IF(M108&gt;=25,100,IF(M108&gt;=20,90,IF(M108&gt;=15,75,IF(M108&gt;=10,60,IF(M108&gt;=5,45,IF(M108&gt;=0,30,15))))))),""),IFERROR(IF(N108="","",IF(N108&lt;=0,100,IF(N108&lt;=1,90,IF(N108&lt;=2,75,IF(N108&lt;=3,60,IF(N108&lt;=4,45,IF(N108&lt;=5,30,15))))))),"")),"")</f>
        <v/>
      </c>
      <c r="P108" s="33" t="n">
        <v>123.78</v>
      </c>
      <c r="Q108" s="33" t="n">
        <v>-1.1</v>
      </c>
      <c r="S108" s="33">
        <f>IFERROR(AVERAGE(IFERROR(IF(P108="","",IF(P108&gt;=40,100,IF(P108&gt;=30,90,IF(P108&gt;=20,75,IF(P108&gt;=15,60,IF(P108&gt;=10,45,IF(P108&gt;=5,30,15))))))),""),IFERROR(IF(Q108="","",IF(Q108&gt;=40,100,IF(Q108&gt;=30,90,IF(Q108&gt;=20,75,IF(Q108&gt;=10,60,IF(Q108&gt;=5,45,IF(Q108&gt;=0,30,15))))))),""),IFERROR(IF(R108="","",IF(R108&gt;=40,100,IF(R108&gt;=30,90,IF(R108&gt;=20,75,IF(R108&gt;=10,60,IF(R108&gt;=0,45,IF(R108&gt;=-10,30,15))))))),"")),"")</f>
        <v/>
      </c>
      <c r="T108" s="33" t="n">
        <v>4</v>
      </c>
      <c r="U108" s="33" t="n">
        <v>3</v>
      </c>
      <c r="V108" s="33" t="n">
        <v>4</v>
      </c>
      <c r="W108" s="33" t="n">
        <v>4</v>
      </c>
      <c r="X108" s="33" t="n">
        <v>4</v>
      </c>
      <c r="Y108" s="33">
        <f>IFERROR(AVERAGE(T108,U108,V108,W108,X108)*20,"")</f>
        <v/>
      </c>
      <c r="Z108" s="33" t="n">
        <v>4</v>
      </c>
      <c r="AA108" s="33" t="n">
        <v>5</v>
      </c>
      <c r="AB108" s="33" t="n">
        <v>3</v>
      </c>
      <c r="AC108" s="71" t="n">
        <v>84.2</v>
      </c>
      <c r="AD108" s="33">
        <f>IFERROR(AVERAGE(IFERROR(IF(Z108="","",Z108*20),""),IFERROR(IF(AA108="","",AA108*20),""),IFERROR(IF(AB108="","",AB108*20),""),IFERROR(IF(AC108="","",IF(AC108&gt;=85,100,IF(AC108&gt;=70,90,IF(AC108&gt;=55,75,IF(AC108&gt;=40,60,IF(AC108&gt;=25,40,20)))))),"")),"")</f>
        <v/>
      </c>
      <c r="AE108" s="33" t="n">
        <v>3</v>
      </c>
      <c r="AF108" s="33" t="n">
        <v>4</v>
      </c>
      <c r="AG108" s="33" t="n">
        <v>2</v>
      </c>
      <c r="AH108" s="33" t="n">
        <v>3</v>
      </c>
      <c r="AI108" s="33">
        <f>IFERROR(AVERAGE(AE108,AF108,AG108,AH108,AL108)*20,"")</f>
        <v/>
      </c>
      <c r="AJ108" s="33">
        <f>IFERROR(J108*Weights!$B$4 + O108*Weights!$B$5 + S108*Weights!$B$6 + Y108*Weights!$B$7 + AD108*Weights!$B$8 + AI108*Weights!$B$9,"")</f>
        <v/>
      </c>
      <c r="AK108" s="33">
        <f>IF(AJ108="","",IF(AJ108&gt;=85,"✓✓✓",IF(AJ108&gt;=70,"✓✓",IF(AJ108&gt;=55,"✓",IF(AJ108&gt;=40,"?","✗")))))</f>
        <v/>
      </c>
      <c r="AL108" s="33" t="n">
        <v>5</v>
      </c>
    </row>
    <row r="109">
      <c r="A109" s="33" t="inlineStr">
        <is>
          <t>PLTR</t>
        </is>
      </c>
      <c r="B109" s="33" t="inlineStr">
        <is>
          <t>Palantir Technologies Inc.</t>
        </is>
      </c>
      <c r="C109" s="33" t="inlineStr">
        <is>
          <t>10 Models, Software &amp; Applications</t>
        </is>
      </c>
      <c r="D109" s="33" t="inlineStr">
        <is>
          <t>2026-06-24</t>
        </is>
      </c>
      <c r="E109" s="33" t="n">
        <v>54.513054</v>
      </c>
      <c r="F109" s="33" t="n">
        <v>98.40000000000001</v>
      </c>
      <c r="G109" s="33" t="n">
        <v>0.99</v>
      </c>
      <c r="H109" s="33" t="n">
        <v>52.083813</v>
      </c>
      <c r="I109" s="33">
        <f>IF(OR(E110="",R110="",R110&lt;=0,E110&lt;0),"",E110/R110)</f>
        <v/>
      </c>
      <c r="J109" s="33">
        <f>IFERROR(AVERAGE(IFERROR(IF(E109="","",IF(E109&lt;0,5,IF(E109&lt;=15,90,IF(E109&lt;=20,75,IF(E109&lt;=25,60,IF(E109&lt;=30,45,IF(E109&lt;=40,30,IF(E109&lt;=60,15,5)))))))),""),IFERROR(IF(F109="","",IF(F109&lt;0,5,IF(F109&lt;=20,100,IF(F109&lt;=30,90,IF(F109&lt;=40,75,IF(F109&lt;=55,60,IF(F109&lt;=75,45,IF(F109&lt;=100,30,15)))))))),""),IFERROR(IF(G109="","",IF(G109&gt;=8,100,IF(G109&gt;=6,90,IF(G109&gt;=4,75,IF(G109&gt;=2,60,IF(G109&gt;=1,45,IF(G109&gt;=0,30,15))))))),""),IFERROR(IF(H109="","",IF(H109&lt;=2,90,IF(H109&lt;=4,75,IF(H109&lt;=7,60,IF(H109&lt;=10,45,IF(H109&lt;=15,30,IF(H109&lt;=25,15,5))))))),""),IFERROR(IF(I109="","",IF(I109&lt;=0.5,100,IF(I109&lt;=1,90,IF(I109&lt;=1.5,75,IF(I109&lt;=2,60,IF(I109&lt;=2.5,45,IF(I109&lt;=3,30,15))))))),"")),"")</f>
        <v/>
      </c>
      <c r="K109" s="33" t="n">
        <v>30.9</v>
      </c>
      <c r="L109" s="33" t="n">
        <v>84.06999999999999</v>
      </c>
      <c r="M109" s="33" t="n">
        <v>51.46</v>
      </c>
      <c r="N109" s="33" t="n">
        <v>-3.87</v>
      </c>
      <c r="O109" s="33">
        <f>IFERROR(AVERAGE(IFERROR(IF(K109="","",IF(K109&gt;=25,100,IF(K109&gt;=20,90,IF(K109&gt;=15,75,IF(K109&gt;=10,60,IF(K109&gt;=5,45,IF(K109&gt;=0,30,15))))))),""),IFERROR(IF(L109="","",IF(L109&gt;=60,100,IF(L109&gt;=50,90,IF(L109&gt;=40,75,IF(L109&gt;=30,60,IF(L109&gt;=20,45,IF(L109&gt;=10,30,15))))))),""),IFERROR(IF(M109="","",IF(M109&gt;=25,100,IF(M109&gt;=20,90,IF(M109&gt;=15,75,IF(M109&gt;=10,60,IF(M109&gt;=5,45,IF(M109&gt;=0,30,15))))))),""),IFERROR(IF(N109="","",IF(N109&lt;=0,100,IF(N109&lt;=1,90,IF(N109&lt;=2,75,IF(N109&lt;=3,60,IF(N109&lt;=4,45,IF(N109&lt;=5,30,15))))))),"")),"")</f>
        <v/>
      </c>
      <c r="P109" s="33" t="n">
        <v>32.92</v>
      </c>
      <c r="Q109" s="33" t="n">
        <v>84.7</v>
      </c>
      <c r="R109" s="33" t="n">
        <v>306.7</v>
      </c>
      <c r="S109" s="33">
        <f>IFERROR(AVERAGE(IFERROR(IF(P109="","",IF(P109&gt;=40,100,IF(P109&gt;=30,90,IF(P109&gt;=20,75,IF(P109&gt;=15,60,IF(P109&gt;=10,45,IF(P109&gt;=5,30,15))))))),""),IFERROR(IF(Q109="","",IF(Q109&gt;=40,100,IF(Q109&gt;=30,90,IF(Q109&gt;=20,75,IF(Q109&gt;=10,60,IF(Q109&gt;=5,45,IF(Q109&gt;=0,30,15))))))),""),IFERROR(IF(R109="","",IF(R109&gt;=40,100,IF(R109&gt;=30,90,IF(R109&gt;=20,75,IF(R109&gt;=10,60,IF(R109&gt;=0,45,IF(R109&gt;=-10,30,15))))))),"")),"")</f>
        <v/>
      </c>
      <c r="T109" s="33" t="n">
        <v>4</v>
      </c>
      <c r="U109" s="33" t="n">
        <v>4</v>
      </c>
      <c r="V109" s="33" t="n">
        <v>5</v>
      </c>
      <c r="W109" s="33" t="n">
        <v>5</v>
      </c>
      <c r="X109" s="33" t="n">
        <v>3</v>
      </c>
      <c r="Y109" s="33">
        <f>IFERROR(AVERAGE(T109,U109,V109,W109,X109)*20,"")</f>
        <v/>
      </c>
      <c r="Z109" s="33" t="n">
        <v>5</v>
      </c>
      <c r="AA109" s="33" t="n">
        <v>4</v>
      </c>
      <c r="AB109" s="33" t="n">
        <v>3</v>
      </c>
      <c r="AC109" s="71" t="n">
        <v>17.5</v>
      </c>
      <c r="AD109" s="33">
        <f>IFERROR(AVERAGE(IFERROR(IF(Z109="","",Z109*20),""),IFERROR(IF(AA109="","",AA109*20),""),IFERROR(IF(AB109="","",AB109*20),""),IFERROR(IF(AC109="","",IF(AC109&gt;=85,100,IF(AC109&gt;=70,90,IF(AC109&gt;=55,75,IF(AC109&gt;=40,60,IF(AC109&gt;=25,40,20)))))),"")),"")</f>
        <v/>
      </c>
      <c r="AE109" s="33" t="n">
        <v>3</v>
      </c>
      <c r="AF109" s="33" t="n">
        <v>4</v>
      </c>
      <c r="AG109" s="33" t="n">
        <v>5</v>
      </c>
      <c r="AH109" s="33" t="n">
        <v>3</v>
      </c>
      <c r="AI109" s="33">
        <f>IFERROR(AVERAGE(AE109,AF109,AG109,AH109,AL109)*20,"")</f>
        <v/>
      </c>
      <c r="AJ109" s="33">
        <f>IFERROR(J109*Weights!$B$4 + O109*Weights!$B$5 + S109*Weights!$B$6 + Y109*Weights!$B$7 + AD109*Weights!$B$8 + AI109*Weights!$B$9,"")</f>
        <v/>
      </c>
      <c r="AK109" s="33">
        <f>IF(AJ109="","",IF(AJ109&gt;=85,"✓✓✓",IF(AJ109&gt;=70,"✓✓",IF(AJ109&gt;=55,"✓",IF(AJ109&gt;=40,"?","✗")))))</f>
        <v/>
      </c>
      <c r="AL109" s="33" t="n">
        <v>4</v>
      </c>
    </row>
    <row r="110">
      <c r="A110" s="33" t="inlineStr">
        <is>
          <t>SNOW</t>
        </is>
      </c>
      <c r="B110" s="33" t="inlineStr">
        <is>
          <t>Snowflake Inc.</t>
        </is>
      </c>
      <c r="C110" s="33" t="inlineStr">
        <is>
          <t>10 Models, Software &amp; Applications</t>
        </is>
      </c>
      <c r="D110" s="33" t="inlineStr">
        <is>
          <t>2026-06-24</t>
        </is>
      </c>
      <c r="E110" s="33" t="n">
        <v>84.10101</v>
      </c>
      <c r="F110" s="33" t="n">
        <v>67</v>
      </c>
      <c r="G110" s="33" t="n">
        <v>1.49</v>
      </c>
      <c r="H110" s="33" t="n">
        <v>15.560704</v>
      </c>
      <c r="I110" s="33">
        <f>IF(OR(E111="",R111="",R111&lt;=0,E111&lt;0),"",E111/R111)</f>
        <v/>
      </c>
      <c r="J110" s="33">
        <f>IFERROR(AVERAGE(IFERROR(IF(E110="","",IF(E110&lt;0,5,IF(E110&lt;=15,90,IF(E110&lt;=20,75,IF(E110&lt;=25,60,IF(E110&lt;=30,45,IF(E110&lt;=40,30,IF(E110&lt;=60,15,5)))))))),""),IFERROR(IF(F110="","",IF(F110&lt;0,5,IF(F110&lt;=20,100,IF(F110&lt;=30,90,IF(F110&lt;=40,75,IF(F110&lt;=55,60,IF(F110&lt;=75,45,IF(F110&lt;=100,30,15)))))))),""),IFERROR(IF(G110="","",IF(G110&gt;=8,100,IF(G110&gt;=6,90,IF(G110&gt;=4,75,IF(G110&gt;=2,60,IF(G110&gt;=1,45,IF(G110&gt;=0,30,15))))))),""),IFERROR(IF(H110="","",IF(H110&lt;=2,90,IF(H110&lt;=4,75,IF(H110&lt;=7,60,IF(H110&lt;=10,45,IF(H110&lt;=15,30,IF(H110&lt;=25,15,5))))))),""),IFERROR(IF(I110="","",IF(I110&lt;=0.5,100,IF(I110&lt;=1,90,IF(I110&lt;=1.5,75,IF(I110&lt;=2,60,IF(I110&lt;=2.5,45,IF(I110&lt;=3,30,15))))))),"")),"")</f>
        <v/>
      </c>
      <c r="K110" s="33" t="n">
        <v>-61.7</v>
      </c>
      <c r="L110" s="33" t="n">
        <v>67.14</v>
      </c>
      <c r="M110" s="33" t="n">
        <v>23.18</v>
      </c>
      <c r="N110" s="33" t="n"/>
      <c r="O110" s="33">
        <f>IFERROR(AVERAGE(IFERROR(IF(K110="","",IF(K110&gt;=25,100,IF(K110&gt;=20,90,IF(K110&gt;=15,75,IF(K110&gt;=10,60,IF(K110&gt;=5,45,IF(K110&gt;=0,30,15))))))),""),IFERROR(IF(L110="","",IF(L110&gt;=60,100,IF(L110&gt;=50,90,IF(L110&gt;=40,75,IF(L110&gt;=30,60,IF(L110&gt;=20,45,IF(L110&gt;=10,30,15))))))),""),IFERROR(IF(M110="","",IF(M110&gt;=25,100,IF(M110&gt;=20,90,IF(M110&gt;=15,75,IF(M110&gt;=10,60,IF(M110&gt;=5,45,IF(M110&gt;=0,30,15))))))),""),IFERROR(IF(N110="","",IF(N110&lt;=0,100,IF(N110&lt;=1,90,IF(N110&lt;=2,75,IF(N110&lt;=3,60,IF(N110&lt;=4,45,IF(N110&lt;=5,30,15))))))),"")),"")</f>
        <v/>
      </c>
      <c r="P110" s="33" t="n">
        <v>31.38</v>
      </c>
      <c r="Q110" s="33" t="n">
        <v>33.5</v>
      </c>
      <c r="S110" s="33">
        <f>IFERROR(AVERAGE(IFERROR(IF(P110="","",IF(P110&gt;=40,100,IF(P110&gt;=30,90,IF(P110&gt;=20,75,IF(P110&gt;=15,60,IF(P110&gt;=10,45,IF(P110&gt;=5,30,15))))))),""),IFERROR(IF(Q110="","",IF(Q110&gt;=40,100,IF(Q110&gt;=30,90,IF(Q110&gt;=20,75,IF(Q110&gt;=10,60,IF(Q110&gt;=5,45,IF(Q110&gt;=0,30,15))))))),""),IFERROR(IF(R110="","",IF(R110&gt;=40,100,IF(R110&gt;=30,90,IF(R110&gt;=20,75,IF(R110&gt;=10,60,IF(R110&gt;=0,45,IF(R110&gt;=-10,30,15))))))),"")),"")</f>
        <v/>
      </c>
      <c r="T110" s="33" t="n">
        <v>3</v>
      </c>
      <c r="U110" s="33" t="n">
        <v>4</v>
      </c>
      <c r="V110" s="33" t="n">
        <v>4</v>
      </c>
      <c r="W110" s="33" t="n">
        <v>4</v>
      </c>
      <c r="X110" s="33" t="n">
        <v>3</v>
      </c>
      <c r="Y110" s="33">
        <f>IFERROR(AVERAGE(T110,U110,V110,W110,X110)*20,"")</f>
        <v/>
      </c>
      <c r="Z110" s="33" t="n">
        <v>2</v>
      </c>
      <c r="AA110" s="33" t="n">
        <v>3</v>
      </c>
      <c r="AB110" s="33" t="n">
        <v>3</v>
      </c>
      <c r="AC110" s="71" t="n">
        <v>22.5</v>
      </c>
      <c r="AD110" s="33">
        <f>IFERROR(AVERAGE(IFERROR(IF(Z110="","",Z110*20),""),IFERROR(IF(AA110="","",AA110*20),""),IFERROR(IF(AB110="","",AB110*20),""),IFERROR(IF(AC110="","",IF(AC110&gt;=85,100,IF(AC110&gt;=70,90,IF(AC110&gt;=55,75,IF(AC110&gt;=40,60,IF(AC110&gt;=25,40,20)))))),"")),"")</f>
        <v/>
      </c>
      <c r="AE110" s="33" t="n">
        <v>4</v>
      </c>
      <c r="AF110" s="33" t="n">
        <v>4</v>
      </c>
      <c r="AG110" s="33" t="n">
        <v>4</v>
      </c>
      <c r="AH110" s="33" t="n">
        <v>4</v>
      </c>
      <c r="AI110" s="33">
        <f>IFERROR(AVERAGE(AE110,AF110,AG110,AH110,AL110)*20,"")</f>
        <v/>
      </c>
      <c r="AJ110" s="33">
        <f>IFERROR(J110*Weights!$B$4 + O110*Weights!$B$5 + S110*Weights!$B$6 + Y110*Weights!$B$7 + AD110*Weights!$B$8 + AI110*Weights!$B$9,"")</f>
        <v/>
      </c>
      <c r="AK110" s="33">
        <f>IF(AJ110="","",IF(AJ110&gt;=85,"✓✓✓",IF(AJ110&gt;=70,"✓✓",IF(AJ110&gt;=55,"✓",IF(AJ110&gt;=40,"?","✗")))))</f>
        <v/>
      </c>
      <c r="AL110" s="33" t="n">
        <v>4</v>
      </c>
    </row>
    <row r="111">
      <c r="A111" s="33" t="inlineStr">
        <is>
          <t>NOW</t>
        </is>
      </c>
      <c r="B111" s="33" t="inlineStr">
        <is>
          <t>ServiceNow, Inc.</t>
        </is>
      </c>
      <c r="C111" s="33" t="inlineStr">
        <is>
          <t>10 Models, Software &amp; Applications</t>
        </is>
      </c>
      <c r="D111" s="33" t="inlineStr">
        <is>
          <t>2026-06-24</t>
        </is>
      </c>
      <c r="E111" s="33" t="n">
        <v>18.66039</v>
      </c>
      <c r="F111" s="33" t="n">
        <v>20.3</v>
      </c>
      <c r="G111" s="33" t="n">
        <v>4.78</v>
      </c>
      <c r="H111" s="33" t="n">
        <v>6.929563</v>
      </c>
      <c r="I111" s="33">
        <f>IF(OR(E112="",R112="",R112&lt;=0,E112&lt;0),"",E112/R112)</f>
        <v/>
      </c>
      <c r="J111" s="33">
        <f>IFERROR(AVERAGE(IFERROR(IF(E111="","",IF(E111&lt;0,5,IF(E111&lt;=15,90,IF(E111&lt;=20,75,IF(E111&lt;=25,60,IF(E111&lt;=30,45,IF(E111&lt;=40,30,IF(E111&lt;=60,15,5)))))))),""),IFERROR(IF(F111="","",IF(F111&lt;0,5,IF(F111&lt;=20,100,IF(F111&lt;=30,90,IF(F111&lt;=40,75,IF(F111&lt;=55,60,IF(F111&lt;=75,45,IF(F111&lt;=100,30,15)))))))),""),IFERROR(IF(G111="","",IF(G111&gt;=8,100,IF(G111&gt;=6,90,IF(G111&gt;=4,75,IF(G111&gt;=2,60,IF(G111&gt;=1,45,IF(G111&gt;=0,30,15))))))),""),IFERROR(IF(H111="","",IF(H111&lt;=2,90,IF(H111&lt;=4,75,IF(H111&lt;=7,60,IF(H111&lt;=10,45,IF(H111&lt;=15,30,IF(H111&lt;=25,15,5))))))),""),IFERROR(IF(I111="","",IF(I111&lt;=0.5,100,IF(I111&lt;=1,90,IF(I111&lt;=1.5,75,IF(I111&lt;=2,60,IF(I111&lt;=2.5,45,IF(I111&lt;=3,30,15))))))),"")),"")</f>
        <v/>
      </c>
      <c r="K111" s="33" t="n">
        <v>12.1</v>
      </c>
      <c r="L111" s="33" t="n">
        <v>76.56</v>
      </c>
      <c r="M111" s="33" t="n">
        <v>33.12</v>
      </c>
      <c r="N111" s="33" t="n">
        <v>-0.95</v>
      </c>
      <c r="O111" s="33">
        <f>IFERROR(AVERAGE(IFERROR(IF(K111="","",IF(K111&gt;=25,100,IF(K111&gt;=20,90,IF(K111&gt;=15,75,IF(K111&gt;=10,60,IF(K111&gt;=5,45,IF(K111&gt;=0,30,15))))))),""),IFERROR(IF(L111="","",IF(L111&gt;=60,100,IF(L111&gt;=50,90,IF(L111&gt;=40,75,IF(L111&gt;=30,60,IF(L111&gt;=20,45,IF(L111&gt;=10,30,15))))))),""),IFERROR(IF(M111="","",IF(M111&gt;=25,100,IF(M111&gt;=20,90,IF(M111&gt;=15,75,IF(M111&gt;=10,60,IF(M111&gt;=5,45,IF(M111&gt;=0,30,15))))))),""),IFERROR(IF(N111="","",IF(N111&lt;=0,100,IF(N111&lt;=1,90,IF(N111&lt;=2,75,IF(N111&lt;=3,60,IF(N111&lt;=4,45,IF(N111&lt;=5,30,15))))))),"")),"")</f>
        <v/>
      </c>
      <c r="P111" s="33" t="n">
        <v>22.38</v>
      </c>
      <c r="Q111" s="33" t="n">
        <v>22.1</v>
      </c>
      <c r="R111" s="33" t="n">
        <v>2</v>
      </c>
      <c r="S111" s="33">
        <f>IFERROR(AVERAGE(IFERROR(IF(P111="","",IF(P111&gt;=40,100,IF(P111&gt;=30,90,IF(P111&gt;=20,75,IF(P111&gt;=15,60,IF(P111&gt;=10,45,IF(P111&gt;=5,30,15))))))),""),IFERROR(IF(Q111="","",IF(Q111&gt;=40,100,IF(Q111&gt;=30,90,IF(Q111&gt;=20,75,IF(Q111&gt;=10,60,IF(Q111&gt;=5,45,IF(Q111&gt;=0,30,15))))))),""),IFERROR(IF(R111="","",IF(R111&gt;=40,100,IF(R111&gt;=30,90,IF(R111&gt;=20,75,IF(R111&gt;=10,60,IF(R111&gt;=0,45,IF(R111&gt;=-10,30,15))))))),"")),"")</f>
        <v/>
      </c>
      <c r="T111" s="33" t="n">
        <v>2</v>
      </c>
      <c r="U111" s="33" t="n">
        <v>3</v>
      </c>
      <c r="V111" s="33" t="n">
        <v>5</v>
      </c>
      <c r="W111" s="33" t="n">
        <v>4</v>
      </c>
      <c r="X111" s="33" t="n">
        <v>3</v>
      </c>
      <c r="Y111" s="33">
        <f>IFERROR(AVERAGE(T111,U111,V111,W111,X111)*20,"")</f>
        <v/>
      </c>
      <c r="Z111" s="33" t="n">
        <v>2</v>
      </c>
      <c r="AA111" s="33" t="n">
        <v>1</v>
      </c>
      <c r="AB111" s="33" t="n">
        <v>3</v>
      </c>
      <c r="AC111" s="71" t="n">
        <v>17.5</v>
      </c>
      <c r="AD111" s="33">
        <f>IFERROR(AVERAGE(IFERROR(IF(Z111="","",Z111*20),""),IFERROR(IF(AA111="","",AA111*20),""),IFERROR(IF(AB111="","",AB111*20),""),IFERROR(IF(AC111="","",IF(AC111&gt;=85,100,IF(AC111&gt;=70,90,IF(AC111&gt;=55,75,IF(AC111&gt;=40,60,IF(AC111&gt;=25,40,20)))))),"")),"")</f>
        <v/>
      </c>
      <c r="AE111" s="33" t="n">
        <v>4</v>
      </c>
      <c r="AF111" s="33" t="n">
        <v>4</v>
      </c>
      <c r="AG111" s="33" t="n">
        <v>5</v>
      </c>
      <c r="AH111" s="33" t="n">
        <v>4</v>
      </c>
      <c r="AI111" s="33">
        <f>IFERROR(AVERAGE(AE111,AF111,AG111,AH111,AL111)*20,"")</f>
        <v/>
      </c>
      <c r="AJ111" s="33">
        <f>IFERROR(J111*Weights!$B$4 + O111*Weights!$B$5 + S111*Weights!$B$6 + Y111*Weights!$B$7 + AD111*Weights!$B$8 + AI111*Weights!$B$9,"")</f>
        <v/>
      </c>
      <c r="AK111" s="33">
        <f>IF(AJ111="","",IF(AJ111&gt;=85,"✓✓✓",IF(AJ111&gt;=70,"✓✓",IF(AJ111&gt;=55,"✓",IF(AJ111&gt;=40,"?","✗")))))</f>
        <v/>
      </c>
      <c r="AL111" s="33" t="n">
        <v>3</v>
      </c>
    </row>
    <row r="112">
      <c r="A112" s="33" t="inlineStr">
        <is>
          <t>CRM</t>
        </is>
      </c>
      <c r="B112" s="33" t="inlineStr">
        <is>
          <t>Salesforce, Inc.</t>
        </is>
      </c>
      <c r="C112" s="33" t="inlineStr">
        <is>
          <t>10 Models, Software &amp; Applications</t>
        </is>
      </c>
      <c r="D112" s="33" t="inlineStr">
        <is>
          <t>2026-06-24</t>
        </is>
      </c>
      <c r="E112" s="33" t="n">
        <v>9.858402999999999</v>
      </c>
      <c r="F112" s="33" t="n">
        <v>10.6</v>
      </c>
      <c r="G112" s="33" t="n">
        <v>11.72</v>
      </c>
      <c r="H112" s="33" t="n">
        <v>2.9211617</v>
      </c>
      <c r="I112" s="33">
        <f>IF(OR(E113="",R113="",R113&lt;=0,E113&lt;0),"",E113/R113)</f>
        <v/>
      </c>
      <c r="J112" s="33">
        <f>IFERROR(AVERAGE(IFERROR(IF(E112="","",IF(E112&lt;0,5,IF(E112&lt;=15,90,IF(E112&lt;=20,75,IF(E112&lt;=25,60,IF(E112&lt;=30,45,IF(E112&lt;=40,30,IF(E112&lt;=60,15,5)))))))),""),IFERROR(IF(F112="","",IF(F112&lt;0,5,IF(F112&lt;=20,100,IF(F112&lt;=30,90,IF(F112&lt;=40,75,IF(F112&lt;=55,60,IF(F112&lt;=75,45,IF(F112&lt;=100,30,15)))))))),""),IFERROR(IF(G112="","",IF(G112&gt;=8,100,IF(G112&gt;=6,90,IF(G112&gt;=4,75,IF(G112&gt;=2,60,IF(G112&gt;=1,45,IF(G112&gt;=0,30,15))))))),""),IFERROR(IF(H112="","",IF(H112&lt;=2,90,IF(H112&lt;=4,75,IF(H112&lt;=7,60,IF(H112&lt;=10,45,IF(H112&lt;=15,30,IF(H112&lt;=25,15,5))))))),""),IFERROR(IF(I112="","",IF(I112&lt;=0.5,100,IF(I112&lt;=1,90,IF(I112&lt;=1.5,75,IF(I112&lt;=2,60,IF(I112&lt;=2.5,45,IF(I112&lt;=3,30,15))))))),"")),"")</f>
        <v/>
      </c>
      <c r="K112" s="33" t="n">
        <v>10.1</v>
      </c>
      <c r="L112" s="33" t="n">
        <v>77.64</v>
      </c>
      <c r="M112" s="33" t="n">
        <v>34.23</v>
      </c>
      <c r="N112" s="33" t="n">
        <v>2.38</v>
      </c>
      <c r="O112" s="33">
        <f>IFERROR(AVERAGE(IFERROR(IF(K112="","",IF(K112&gt;=25,100,IF(K112&gt;=20,90,IF(K112&gt;=15,75,IF(K112&gt;=10,60,IF(K112&gt;=5,45,IF(K112&gt;=0,30,15))))))),""),IFERROR(IF(L112="","",IF(L112&gt;=60,100,IF(L112&gt;=50,90,IF(L112&gt;=40,75,IF(L112&gt;=30,60,IF(L112&gt;=20,45,IF(L112&gt;=10,30,15))))))),""),IFERROR(IF(M112="","",IF(M112&gt;=25,100,IF(M112&gt;=20,90,IF(M112&gt;=15,75,IF(M112&gt;=10,60,IF(M112&gt;=5,45,IF(M112&gt;=0,30,15))))))),""),IFERROR(IF(N112="","",IF(N112&lt;=0,100,IF(N112&lt;=1,90,IF(N112&lt;=2,75,IF(N112&lt;=3,60,IF(N112&lt;=4,45,IF(N112&lt;=5,30,15))))))),"")),"")</f>
        <v/>
      </c>
      <c r="P112" s="33" t="n">
        <v>9.82</v>
      </c>
      <c r="Q112" s="33" t="n">
        <v>13.3</v>
      </c>
      <c r="R112" s="33" t="n">
        <v>36.7</v>
      </c>
      <c r="S112" s="33">
        <f>IFERROR(AVERAGE(IFERROR(IF(P112="","",IF(P112&gt;=40,100,IF(P112&gt;=30,90,IF(P112&gt;=20,75,IF(P112&gt;=15,60,IF(P112&gt;=10,45,IF(P112&gt;=5,30,15))))))),""),IFERROR(IF(Q112="","",IF(Q112&gt;=40,100,IF(Q112&gt;=30,90,IF(Q112&gt;=20,75,IF(Q112&gt;=10,60,IF(Q112&gt;=5,45,IF(Q112&gt;=0,30,15))))))),""),IFERROR(IF(R112="","",IF(R112&gt;=40,100,IF(R112&gt;=30,90,IF(R112&gt;=20,75,IF(R112&gt;=10,60,IF(R112&gt;=0,45,IF(R112&gt;=-10,30,15))))))),"")),"")</f>
        <v/>
      </c>
      <c r="T112" s="33" t="n">
        <v>2</v>
      </c>
      <c r="U112" s="33" t="n">
        <v>3</v>
      </c>
      <c r="V112" s="33" t="n">
        <v>4</v>
      </c>
      <c r="W112" s="33" t="n">
        <v>4</v>
      </c>
      <c r="X112" s="33" t="n">
        <v>3</v>
      </c>
      <c r="Y112" s="33">
        <f>IFERROR(AVERAGE(T112,U112,V112,W112,X112)*20,"")</f>
        <v/>
      </c>
      <c r="Z112" s="33" t="n">
        <v>4</v>
      </c>
      <c r="AA112" s="33" t="n">
        <v>2</v>
      </c>
      <c r="AB112" s="33" t="n">
        <v>3</v>
      </c>
      <c r="AC112" s="71" t="n">
        <v>14.2</v>
      </c>
      <c r="AD112" s="33">
        <f>IFERROR(AVERAGE(IFERROR(IF(Z112="","",Z112*20),""),IFERROR(IF(AA112="","",AA112*20),""),IFERROR(IF(AB112="","",AB112*20),""),IFERROR(IF(AC112="","",IF(AC112&gt;=85,100,IF(AC112&gt;=70,90,IF(AC112&gt;=55,75,IF(AC112&gt;=40,60,IF(AC112&gt;=25,40,20)))))),"")),"")</f>
        <v/>
      </c>
      <c r="AE112" s="33" t="n">
        <v>4</v>
      </c>
      <c r="AF112" s="33" t="n">
        <v>4</v>
      </c>
      <c r="AG112" s="33" t="n">
        <v>4</v>
      </c>
      <c r="AH112" s="33" t="n">
        <v>4</v>
      </c>
      <c r="AI112" s="33">
        <f>IFERROR(AVERAGE(AE112,AF112,AG112,AH112,AL112)*20,"")</f>
        <v/>
      </c>
      <c r="AJ112" s="33">
        <f>IFERROR(J112*Weights!$B$4 + O112*Weights!$B$5 + S112*Weights!$B$6 + Y112*Weights!$B$7 + AD112*Weights!$B$8 + AI112*Weights!$B$9,"")</f>
        <v/>
      </c>
      <c r="AK112" s="33">
        <f>IF(AJ112="","",IF(AJ112&gt;=85,"✓✓✓",IF(AJ112&gt;=70,"✓✓",IF(AJ112&gt;=55,"✓",IF(AJ112&gt;=40,"?","✗")))))</f>
        <v/>
      </c>
      <c r="AL112" s="33" t="n">
        <v>3</v>
      </c>
    </row>
    <row r="113">
      <c r="A113" s="33" t="inlineStr">
        <is>
          <t>KEYS</t>
        </is>
      </c>
      <c r="B113" s="33" t="inlineStr">
        <is>
          <t>Keysight Technologies, Inc.</t>
        </is>
      </c>
      <c r="C113" s="33" t="inlineStr">
        <is>
          <t>04 Semiconductor Equipment &amp; Materials / Test &amp; measurement</t>
        </is>
      </c>
      <c r="D113" s="33" t="inlineStr">
        <is>
          <t>2026-06-24</t>
        </is>
      </c>
      <c r="E113" s="33" t="n">
        <v>29.629665</v>
      </c>
      <c r="F113" s="33" t="n">
        <v>42.228</v>
      </c>
      <c r="G113" s="33" t="n">
        <v>2.26</v>
      </c>
      <c r="H113" s="33" t="n">
        <v>9.861291</v>
      </c>
      <c r="I113" s="33">
        <f>IF(OR(E114="",R114="",R114&lt;=0,E114&lt;0),"",E114/R114)</f>
        <v/>
      </c>
      <c r="J113" s="33">
        <f>IFERROR(AVERAGE(IFERROR(IF(E113="","",IF(E113&lt;0,5,IF(E113&lt;=15,90,IF(E113&lt;=20,75,IF(E113&lt;=25,60,IF(E113&lt;=30,45,IF(E113&lt;=40,30,IF(E113&lt;=60,15,5)))))))),""),IFERROR(IF(F113="","",IF(F113&lt;0,5,IF(F113&lt;=10,90,IF(F113&lt;=15,75,IF(F113&lt;=20,60,IF(F113&lt;=25,45,IF(F113&lt;=35,30,IF(F113&lt;=50,15,5)))))))),""),IFERROR(IF(G113="","",IF(G113&gt;=8,100,IF(G113&gt;=6,90,IF(G113&gt;=4,75,IF(G113&gt;=2,60,IF(G113&gt;=1,45,IF(G113&gt;=0,30,15))))))),""),IFERROR(IF(H113="","",IF(H113&lt;=2,90,IF(H113&lt;=4,75,IF(H113&lt;=7,60,IF(H113&lt;=10,45,IF(H113&lt;=15,30,IF(H113&lt;=25,15,5))))))),""),IFERROR(IF(I113="","",IF(I113&lt;=0.5,100,IF(I113&lt;=1,90,IF(I113&lt;=1.5,75,IF(I113&lt;=2,60,IF(I113&lt;=2.5,45,IF(I113&lt;=3,30,15))))))),"")),"")</f>
        <v/>
      </c>
      <c r="K113" s="33" t="n"/>
      <c r="L113" s="33" t="n">
        <v>62.14</v>
      </c>
      <c r="M113" s="33" t="n">
        <v>22.29</v>
      </c>
      <c r="N113" s="33" t="n">
        <v>0.25</v>
      </c>
      <c r="O113" s="33">
        <f>IFERROR(AVERAGE(IFERROR(IF(K113="","",IF(K113&gt;=25,100,IF(K113&gt;=20,90,IF(K113&gt;=15,75,IF(K113&gt;=10,60,IF(K113&gt;=5,45,IF(K113&gt;=0,30,15))))))),""),IFERROR(IF(L113="","",IF(L113&gt;=60,100,IF(L113&gt;=50,90,IF(L113&gt;=40,75,IF(L113&gt;=30,60,IF(L113&gt;=20,45,IF(L113&gt;=10,30,15))))))),""),IFERROR(IF(M113="","",IF(M113&gt;=25,100,IF(M113&gt;=20,90,IF(M113&gt;=15,75,IF(M113&gt;=10,60,IF(M113&gt;=5,45,IF(M113&gt;=0,30,15))))))),""),IFERROR(IF(N113="","",IF(N113&lt;=0,100,IF(N113&lt;=1,90,IF(N113&lt;=2,75,IF(N113&lt;=3,60,IF(N113&lt;=4,45,IF(N113&lt;=5,30,15))))))),"")),"")</f>
        <v/>
      </c>
      <c r="P113" s="33" t="n">
        <v>-0.28</v>
      </c>
      <c r="Q113" s="33" t="n">
        <v>31.5</v>
      </c>
      <c r="R113" s="33" t="n">
        <v>35.8</v>
      </c>
      <c r="S113" s="33">
        <f>IFERROR(AVERAGE(IFERROR(IF(P113="","",IF(P113&gt;=40,100,IF(P113&gt;=30,90,IF(P113&gt;=20,75,IF(P113&gt;=15,60,IF(P113&gt;=10,45,IF(P113&gt;=5,30,15))))))),""),IFERROR(IF(Q113="","",IF(Q113&gt;=40,100,IF(Q113&gt;=30,90,IF(Q113&gt;=20,75,IF(Q113&gt;=10,60,IF(Q113&gt;=5,45,IF(Q113&gt;=0,30,15))))))),""),IFERROR(IF(R113="","",IF(R113&gt;=40,100,IF(R113&gt;=30,90,IF(R113&gt;=20,75,IF(R113&gt;=10,60,IF(R113&gt;=0,45,IF(R113&gt;=-10,30,15))))))),"")),"")</f>
        <v/>
      </c>
      <c r="T113" s="33" t="n">
        <v>3</v>
      </c>
      <c r="U113" s="33" t="n">
        <v>4</v>
      </c>
      <c r="V113" s="33" t="n">
        <v>4</v>
      </c>
      <c r="W113" s="33" t="n">
        <v>3</v>
      </c>
      <c r="X113" s="33" t="n">
        <v>3</v>
      </c>
      <c r="Y113" s="33">
        <f>IFERROR(AVERAGE(T113,U113,V113,W113,X113)*20,"")</f>
        <v/>
      </c>
      <c r="Z113" s="33" t="n">
        <v>5</v>
      </c>
      <c r="AA113" s="33" t="n">
        <v>5</v>
      </c>
      <c r="AB113" s="33" t="n">
        <v>3</v>
      </c>
      <c r="AC113" s="71" t="n">
        <v>96.7</v>
      </c>
      <c r="AD113" s="33">
        <f>IFERROR(AVERAGE(IFERROR(IF(Z113="","",Z113*20),""),IFERROR(IF(AA113="","",AA113*20),""),IFERROR(IF(AB113="","",AB113*20),""),IFERROR(IF(AC113="","",IF(AC113&gt;=85,100,IF(AC113&gt;=70,90,IF(AC113&gt;=55,75,IF(AC113&gt;=40,60,IF(AC113&gt;=25,40,20)))))),"")),"")</f>
        <v/>
      </c>
      <c r="AE113" s="33" t="n">
        <v>4</v>
      </c>
      <c r="AF113" s="33" t="n">
        <v>3</v>
      </c>
      <c r="AG113" s="33" t="n">
        <v>4</v>
      </c>
      <c r="AH113" s="33" t="n">
        <v>4</v>
      </c>
      <c r="AI113" s="33">
        <f>IFERROR(AVERAGE(AE113,AF113,AG113,AH113,AL113)*20,"")</f>
        <v/>
      </c>
      <c r="AJ113" s="33">
        <f>IFERROR(J113*Weights!$B$4 + O113*Weights!$B$5 + S113*Weights!$B$6 + Y113*Weights!$B$7 + AD113*Weights!$B$8 + AI113*Weights!$B$9,"")</f>
        <v/>
      </c>
      <c r="AK113" s="33">
        <f>IF(AJ113="","",IF(AJ113&gt;=85,"✓✓✓",IF(AJ113&gt;=70,"✓✓",IF(AJ113&gt;=55,"✓",IF(AJ113&gt;=40,"?","✗")))))</f>
        <v/>
      </c>
      <c r="AL113" s="33" t="n">
        <v>5</v>
      </c>
    </row>
    <row r="114">
      <c r="A114" s="33" t="inlineStr">
        <is>
          <t>TTMI</t>
        </is>
      </c>
      <c r="B114" s="33" t="inlineStr">
        <is>
          <t>TTM Technologies, Inc.</t>
        </is>
      </c>
      <c r="C114" s="33" t="inlineStr">
        <is>
          <t>04 Semiconductor Equipment &amp; Materials / PCB / substrates</t>
        </is>
      </c>
      <c r="D114" s="33" t="inlineStr">
        <is>
          <t>2026-06-24</t>
        </is>
      </c>
      <c r="E114" s="33" t="n">
        <v>38.84074</v>
      </c>
      <c r="F114" s="33" t="n">
        <v>51.074</v>
      </c>
      <c r="G114" s="33" t="n">
        <v>-0.05</v>
      </c>
      <c r="H114" s="33" t="n">
        <v>7.018024</v>
      </c>
      <c r="I114" s="33">
        <f>IF(OR(E115="",R115="",R115&lt;=0,E115&lt;0),"",E115/R115)</f>
        <v/>
      </c>
      <c r="J114" s="33">
        <f>IFERROR(AVERAGE(IFERROR(IF(E114="","",IF(E114&lt;0,5,IF(E114&lt;=15,90,IF(E114&lt;=20,75,IF(E114&lt;=25,60,IF(E114&lt;=30,45,IF(E114&lt;=40,30,IF(E114&lt;=60,15,5)))))))),""),IFERROR(IF(F114="","",IF(F114&lt;0,5,IF(F114&lt;=10,90,IF(F114&lt;=15,75,IF(F114&lt;=20,60,IF(F114&lt;=25,45,IF(F114&lt;=35,30,IF(F114&lt;=50,15,5)))))))),""),IFERROR(IF(G114="","",IF(G114&gt;=8,100,IF(G114&gt;=6,90,IF(G114&gt;=4,75,IF(G114&gt;=2,60,IF(G114&gt;=1,45,IF(G114&gt;=0,30,15))))))),""),IFERROR(IF(H114="","",IF(H114&lt;=2,90,IF(H114&lt;=4,75,IF(H114&lt;=7,60,IF(H114&lt;=10,45,IF(H114&lt;=15,30,IF(H114&lt;=25,15,5))))))),""),IFERROR(IF(I114="","",IF(I114&lt;=0.5,100,IF(I114&lt;=1,90,IF(I114&lt;=1.5,75,IF(I114&lt;=2,60,IF(I114&lt;=2.5,45,IF(I114&lt;=3,30,15))))))),"")),"")</f>
        <v/>
      </c>
      <c r="K114" s="33" t="n">
        <v>10</v>
      </c>
      <c r="L114" s="33" t="n">
        <v>21</v>
      </c>
      <c r="M114" s="33" t="n">
        <v>-0.38</v>
      </c>
      <c r="N114" s="33" t="n">
        <v>1.45</v>
      </c>
      <c r="O114" s="33">
        <f>IFERROR(AVERAGE(IFERROR(IF(K114="","",IF(K114&gt;=25,100,IF(K114&gt;=20,90,IF(K114&gt;=15,75,IF(K114&gt;=10,60,IF(K114&gt;=5,45,IF(K114&gt;=0,30,15))))))),""),IFERROR(IF(L114="","",IF(L114&gt;=60,100,IF(L114&gt;=50,90,IF(L114&gt;=40,75,IF(L114&gt;=30,60,IF(L114&gt;=20,45,IF(L114&gt;=10,30,15))))))),""),IFERROR(IF(M114="","",IF(M114&gt;=25,100,IF(M114&gt;=20,90,IF(M114&gt;=15,75,IF(M114&gt;=10,60,IF(M114&gt;=5,45,IF(M114&gt;=0,30,15))))))),""),IFERROR(IF(N114="","",IF(N114&lt;=0,100,IF(N114&lt;=1,90,IF(N114&lt;=2,75,IF(N114&lt;=3,60,IF(N114&lt;=4,45,IF(N114&lt;=5,30,15))))))),"")),"")</f>
        <v/>
      </c>
      <c r="P114" s="33" t="n">
        <v>5.22</v>
      </c>
      <c r="Q114" s="33" t="n">
        <v>30.4</v>
      </c>
      <c r="R114" s="33" t="n">
        <v>55.3</v>
      </c>
      <c r="S114" s="33">
        <f>IFERROR(AVERAGE(IFERROR(IF(P114="","",IF(P114&gt;=40,100,IF(P114&gt;=30,90,IF(P114&gt;=20,75,IF(P114&gt;=15,60,IF(P114&gt;=10,45,IF(P114&gt;=5,30,15))))))),""),IFERROR(IF(Q114="","",IF(Q114&gt;=40,100,IF(Q114&gt;=30,90,IF(Q114&gt;=20,75,IF(Q114&gt;=10,60,IF(Q114&gt;=5,45,IF(Q114&gt;=0,30,15))))))),""),IFERROR(IF(R114="","",IF(R114&gt;=40,100,IF(R114&gt;=30,90,IF(R114&gt;=20,75,IF(R114&gt;=10,60,IF(R114&gt;=0,45,IF(R114&gt;=-10,30,15))))))),"")),"")</f>
        <v/>
      </c>
      <c r="T114" s="33" t="n">
        <v>4</v>
      </c>
      <c r="U114" s="33" t="n">
        <v>3</v>
      </c>
      <c r="V114" s="33" t="n">
        <v>2</v>
      </c>
      <c r="W114" s="33" t="n">
        <v>5</v>
      </c>
      <c r="X114" s="33" t="n">
        <v>3</v>
      </c>
      <c r="Y114" s="33">
        <f>IFERROR(AVERAGE(T114,U114,V114,W114,X114)*20,"")</f>
        <v/>
      </c>
      <c r="Z114" s="33" t="n">
        <v>5</v>
      </c>
      <c r="AA114" s="33" t="n">
        <v>5</v>
      </c>
      <c r="AB114" s="33" t="n">
        <v>2</v>
      </c>
      <c r="AC114" s="71" t="n">
        <v>89.2</v>
      </c>
      <c r="AD114" s="33">
        <f>IFERROR(AVERAGE(IFERROR(IF(Z114="","",Z114*20),""),IFERROR(IF(AA114="","",AA114*20),""),IFERROR(IF(AB114="","",AB114*20),""),IFERROR(IF(AC114="","",IF(AC114&gt;=85,100,IF(AC114&gt;=70,90,IF(AC114&gt;=55,75,IF(AC114&gt;=40,60,IF(AC114&gt;=25,40,20)))))),"")),"")</f>
        <v/>
      </c>
      <c r="AE114" s="33" t="n">
        <v>3</v>
      </c>
      <c r="AF114" s="33" t="n">
        <v>2</v>
      </c>
      <c r="AG114" s="33" t="n">
        <v>3</v>
      </c>
      <c r="AH114" s="33" t="n">
        <v>4</v>
      </c>
      <c r="AI114" s="33">
        <f>IFERROR(AVERAGE(AE114,AF114,AG114,AH114,AL114)*20,"")</f>
        <v/>
      </c>
      <c r="AJ114" s="33">
        <f>IFERROR(J114*Weights!$B$4 + O114*Weights!$B$5 + S114*Weights!$B$6 + Y114*Weights!$B$7 + AD114*Weights!$B$8 + AI114*Weights!$B$9,"")</f>
        <v/>
      </c>
      <c r="AK114" s="33">
        <f>IF(AJ114="","",IF(AJ114&gt;=85,"✓✓✓",IF(AJ114&gt;=70,"✓✓",IF(AJ114&gt;=55,"✓",IF(AJ114&gt;=40,"?","✗")))))</f>
        <v/>
      </c>
      <c r="AL114" s="33" t="n">
        <v>5</v>
      </c>
    </row>
    <row r="115">
      <c r="A115" s="33" t="inlineStr">
        <is>
          <t>MPWR</t>
        </is>
      </c>
      <c r="B115" s="33" t="inlineStr">
        <is>
          <t>Monolithic Power Systems, Inc.</t>
        </is>
      </c>
      <c r="C115" s="33" t="inlineStr">
        <is>
          <t>06 AI Compute Silicon / Power management silicon</t>
        </is>
      </c>
      <c r="D115" s="33" t="inlineStr">
        <is>
          <t>2026-06-24</t>
        </is>
      </c>
      <c r="E115" s="33" t="n">
        <v>47.30647</v>
      </c>
      <c r="F115" s="33" t="n">
        <v>80.672</v>
      </c>
      <c r="G115" s="33" t="n">
        <v>0.89</v>
      </c>
      <c r="H115" s="33" t="n">
        <v>23.840698</v>
      </c>
      <c r="I115" s="33">
        <f>IF(OR(E116="",R116="",R116&lt;=0,E116&lt;0),"",E116/R116)</f>
        <v/>
      </c>
      <c r="J115" s="33">
        <f>IFERROR(AVERAGE(IFERROR(IF(E115="","",IF(E115&lt;0,5,IF(E115&lt;=15,90,IF(E115&lt;=20,75,IF(E115&lt;=25,60,IF(E115&lt;=30,45,IF(E115&lt;=40,30,IF(E115&lt;=60,15,5)))))))),""),IFERROR(IF(F115="","",IF(F115&lt;0,5,IF(F115&lt;=10,90,IF(F115&lt;=15,75,IF(F115&lt;=20,60,IF(F115&lt;=25,45,IF(F115&lt;=35,30,IF(F115&lt;=50,15,5)))))))),""),IFERROR(IF(G115="","",IF(G115&gt;=8,100,IF(G115&gt;=6,90,IF(G115&gt;=4,75,IF(G115&gt;=2,60,IF(G115&gt;=1,45,IF(G115&gt;=0,30,15))))))),""),IFERROR(IF(H115="","",IF(H115&lt;=2,90,IF(H115&lt;=4,75,IF(H115&lt;=7,60,IF(H115&lt;=10,45,IF(H115&lt;=15,30,IF(H115&lt;=25,15,5))))))),""),IFERROR(IF(I115="","",IF(I115&lt;=0.5,100,IF(I115&lt;=1,90,IF(I115&lt;=1.5,75,IF(I115&lt;=2,60,IF(I115&lt;=2.5,45,IF(I115&lt;=3,30,15))))))),"")),"")</f>
        <v/>
      </c>
      <c r="K115" s="33" t="n">
        <v>24.7</v>
      </c>
      <c r="L115" s="33" t="n">
        <v>55.17</v>
      </c>
      <c r="M115" s="33" t="n">
        <v>21.19</v>
      </c>
      <c r="N115" s="33" t="n">
        <v>-1.57</v>
      </c>
      <c r="O115" s="33">
        <f>IFERROR(AVERAGE(IFERROR(IF(K115="","",IF(K115&gt;=25,100,IF(K115&gt;=20,90,IF(K115&gt;=15,75,IF(K115&gt;=10,60,IF(K115&gt;=5,45,IF(K115&gt;=0,30,15))))))),""),IFERROR(IF(L115="","",IF(L115&gt;=60,100,IF(L115&gt;=50,90,IF(L115&gt;=40,75,IF(L115&gt;=30,60,IF(L115&gt;=20,45,IF(L115&gt;=10,30,15))))))),""),IFERROR(IF(M115="","",IF(M115&gt;=25,100,IF(M115&gt;=20,90,IF(M115&gt;=15,75,IF(M115&gt;=10,60,IF(M115&gt;=5,45,IF(M115&gt;=0,30,15))))))),""),IFERROR(IF(N115="","",IF(N115&lt;=0,100,IF(N115&lt;=1,90,IF(N115&lt;=2,75,IF(N115&lt;=3,60,IF(N115&lt;=4,45,IF(N115&lt;=5,30,15))))))),"")),"")</f>
        <v/>
      </c>
      <c r="P115" s="33" t="n">
        <v>15.86</v>
      </c>
      <c r="Q115" s="33" t="n">
        <v>26.1</v>
      </c>
      <c r="R115" s="33" t="n">
        <v>43.1</v>
      </c>
      <c r="S115" s="33">
        <f>IFERROR(AVERAGE(IFERROR(IF(P115="","",IF(P115&gt;=40,100,IF(P115&gt;=30,90,IF(P115&gt;=20,75,IF(P115&gt;=15,60,IF(P115&gt;=10,45,IF(P115&gt;=5,30,15))))))),""),IFERROR(IF(Q115="","",IF(Q115&gt;=40,100,IF(Q115&gt;=30,90,IF(Q115&gt;=20,75,IF(Q115&gt;=10,60,IF(Q115&gt;=5,45,IF(Q115&gt;=0,30,15))))))),""),IFERROR(IF(R115="","",IF(R115&gt;=40,100,IF(R115&gt;=30,90,IF(R115&gt;=20,75,IF(R115&gt;=10,60,IF(R115&gt;=0,45,IF(R115&gt;=-10,30,15))))))),"")),"")</f>
        <v/>
      </c>
      <c r="T115" s="33" t="n">
        <v>4</v>
      </c>
      <c r="U115" s="33" t="n">
        <v>3</v>
      </c>
      <c r="V115" s="33" t="n">
        <v>3</v>
      </c>
      <c r="W115" s="33" t="n">
        <v>4</v>
      </c>
      <c r="X115" s="33" t="n">
        <v>4</v>
      </c>
      <c r="Y115" s="33">
        <f>IFERROR(AVERAGE(T115,U115,V115,W115,X115)*20,"")</f>
        <v/>
      </c>
      <c r="Z115" s="33" t="n">
        <v>4</v>
      </c>
      <c r="AA115" s="33" t="n">
        <v>5</v>
      </c>
      <c r="AB115" s="33" t="n">
        <v>2</v>
      </c>
      <c r="AC115" s="71" t="n">
        <v>77.5</v>
      </c>
      <c r="AD115" s="33">
        <f>IFERROR(AVERAGE(IFERROR(IF(Z115="","",Z115*20),""),IFERROR(IF(AA115="","",AA115*20),""),IFERROR(IF(AB115="","",AB115*20),""),IFERROR(IF(AC115="","",IF(AC115&gt;=85,100,IF(AC115&gt;=70,90,IF(AC115&gt;=55,75,IF(AC115&gt;=40,60,IF(AC115&gt;=25,40,20)))))),"")),"")</f>
        <v/>
      </c>
      <c r="AE115" s="33" t="n">
        <v>3</v>
      </c>
      <c r="AF115" s="33" t="n">
        <v>3</v>
      </c>
      <c r="AG115" s="33" t="n">
        <v>5</v>
      </c>
      <c r="AH115" s="33" t="n">
        <v>3</v>
      </c>
      <c r="AI115" s="33">
        <f>IFERROR(AVERAGE(AE115,AF115,AG115,AH115,AL115)*20,"")</f>
        <v/>
      </c>
      <c r="AJ115" s="33">
        <f>IFERROR(J115*Weights!$B$4 + O115*Weights!$B$5 + S115*Weights!$B$6 + Y115*Weights!$B$7 + AD115*Weights!$B$8 + AI115*Weights!$B$9,"")</f>
        <v/>
      </c>
      <c r="AK115" s="33">
        <f>IF(AJ115="","",IF(AJ115&gt;=85,"✓✓✓",IF(AJ115&gt;=70,"✓✓",IF(AJ115&gt;=55,"✓",IF(AJ115&gt;=40,"?","✗")))))</f>
        <v/>
      </c>
      <c r="AL115" s="33" t="n">
        <v>5</v>
      </c>
    </row>
    <row r="116">
      <c r="A116" s="33" t="inlineStr">
        <is>
          <t>CRDO</t>
        </is>
      </c>
      <c r="B116" s="33" t="inlineStr">
        <is>
          <t>Credo Technology Group Holding Ltd</t>
        </is>
      </c>
      <c r="C116" s="33" t="inlineStr">
        <is>
          <t>07 Optical, Networking &amp; Interconnect / Connectivity ASICs</t>
        </is>
      </c>
      <c r="D116" s="72" t="inlineStr">
        <is>
          <t>2026-06-24</t>
        </is>
      </c>
      <c r="E116" s="33" t="n">
        <v>30.181307</v>
      </c>
      <c r="F116" s="33" t="n">
        <v>101.705</v>
      </c>
      <c r="G116" s="33" t="n">
        <v>0.8100000000000001</v>
      </c>
      <c r="H116" s="33" t="n">
        <v>37.570286</v>
      </c>
      <c r="I116" s="33">
        <f>IF(OR(E117="",R117="",R117&lt;=0,E117&lt;0),"",E117/R117)</f>
        <v/>
      </c>
      <c r="J116" s="33">
        <f>IFERROR(AVERAGE(IFERROR(IF(E116="","",IF(E116&lt;0,5,IF(E116&lt;=15,90,IF(E116&lt;=20,75,IF(E116&lt;=25,60,IF(E116&lt;=30,45,IF(E116&lt;=40,30,IF(E116&lt;=60,15,5)))))))),""),IFERROR(IF(F116="","",IF(F116&lt;0,5,IF(F116&lt;=10,90,IF(F116&lt;=15,75,IF(F116&lt;=20,60,IF(F116&lt;=25,45,IF(F116&lt;=35,30,IF(F116&lt;=50,15,5)))))))),""),IFERROR(IF(G116="","",IF(G116&gt;=8,100,IF(G116&gt;=6,90,IF(G116&gt;=4,75,IF(G116&gt;=2,60,IF(G116&gt;=1,45,IF(G116&gt;=0,30,15))))))),""),IFERROR(IF(H116="","",IF(H116&lt;=2,90,IF(H116&lt;=4,75,IF(H116&lt;=7,60,IF(H116&lt;=10,45,IF(H116&lt;=15,30,IF(H116&lt;=25,15,5))))))),""),IFERROR(IF(I116="","",IF(I116&lt;=0.5,100,IF(I116&lt;=1,90,IF(I116&lt;=1.5,75,IF(I116&lt;=2,60,IF(I116&lt;=2.5,45,IF(I116&lt;=3,30,15))))))),"")),"")</f>
        <v/>
      </c>
      <c r="K116" s="33" t="n">
        <v>49.5</v>
      </c>
      <c r="L116" s="33" t="n">
        <v>68.04000000000001</v>
      </c>
      <c r="M116" s="33" t="n">
        <v>30.48</v>
      </c>
      <c r="N116" s="33" t="n">
        <v>-2.96</v>
      </c>
      <c r="O116" s="33">
        <f>IFERROR(AVERAGE(IFERROR(IF(K116="","",IF(K116&gt;=25,100,IF(K116&gt;=20,90,IF(K116&gt;=15,75,IF(K116&gt;=10,60,IF(K116&gt;=5,45,IF(K116&gt;=0,30,15))))))),""),IFERROR(IF(L116="","",IF(L116&gt;=60,100,IF(L116&gt;=50,90,IF(L116&gt;=40,75,IF(L116&gt;=30,60,IF(L116&gt;=20,45,IF(L116&gt;=10,30,15))))))),""),IFERROR(IF(M116="","",IF(M116&gt;=25,100,IF(M116&gt;=20,90,IF(M116&gt;=15,75,IF(M116&gt;=10,60,IF(M116&gt;=5,45,IF(M116&gt;=0,30,15))))))),""),IFERROR(IF(N116="","",IF(N116&lt;=0,100,IF(N116&lt;=1,90,IF(N116&lt;=2,75,IF(N116&lt;=3,60,IF(N116&lt;=4,45,IF(N116&lt;=5,30,15))))))),"")),"")</f>
        <v/>
      </c>
      <c r="P116" s="33" t="n">
        <v>93.53</v>
      </c>
      <c r="Q116" s="33" t="n">
        <v>157</v>
      </c>
      <c r="R116" s="33" t="n">
        <v>362.2</v>
      </c>
      <c r="S116" s="33">
        <f>IFERROR(AVERAGE(IFERROR(IF(P116="","",IF(P116&gt;=40,100,IF(P116&gt;=30,90,IF(P116&gt;=20,75,IF(P116&gt;=15,60,IF(P116&gt;=10,45,IF(P116&gt;=5,30,15))))))),""),IFERROR(IF(Q116="","",IF(Q116&gt;=40,100,IF(Q116&gt;=30,90,IF(Q116&gt;=20,75,IF(Q116&gt;=10,60,IF(Q116&gt;=5,45,IF(Q116&gt;=0,30,15))))))),""),IFERROR(IF(R116="","",IF(R116&gt;=40,100,IF(R116&gt;=30,90,IF(R116&gt;=20,75,IF(R116&gt;=10,60,IF(R116&gt;=0,45,IF(R116&gt;=-10,30,15))))))),"")),"")</f>
        <v/>
      </c>
      <c r="T116" s="33" t="n">
        <v>5</v>
      </c>
      <c r="U116" s="33" t="n">
        <v>4</v>
      </c>
      <c r="V116" s="33" t="n">
        <v>4</v>
      </c>
      <c r="W116" s="33" t="n">
        <v>4</v>
      </c>
      <c r="X116" s="33" t="n">
        <v>5</v>
      </c>
      <c r="Y116" s="33">
        <f>IFERROR(AVERAGE(T116,U116,V116,W116,X116)*20,"")</f>
        <v/>
      </c>
      <c r="Z116" s="33" t="n">
        <v>5</v>
      </c>
      <c r="AA116" s="33" t="n">
        <v>5</v>
      </c>
      <c r="AB116" s="33" t="n">
        <v>3</v>
      </c>
      <c r="AC116" s="71" t="n">
        <v>45.8</v>
      </c>
      <c r="AD116" s="33">
        <f>IFERROR(AVERAGE(IFERROR(IF(Z116="","",Z116*20),""),IFERROR(IF(AA116="","",AA116*20),""),IFERROR(IF(AB116="","",AB116*20),""),IFERROR(IF(AC116="","",IF(AC116&gt;=85,100,IF(AC116&gt;=70,90,IF(AC116&gt;=55,75,IF(AC116&gt;=40,60,IF(AC116&gt;=25,40,20)))))),"")),"")</f>
        <v/>
      </c>
      <c r="AE116" s="33" t="n">
        <v>2</v>
      </c>
      <c r="AF116" s="33" t="n">
        <v>4</v>
      </c>
      <c r="AG116" s="33" t="n">
        <v>5</v>
      </c>
      <c r="AH116" s="33" t="n">
        <v>5</v>
      </c>
      <c r="AI116" s="33">
        <f>IFERROR(AVERAGE(AE116,AF116,AG116,AH116,AL116)*20,"")</f>
        <v/>
      </c>
      <c r="AJ116" s="33">
        <f>IFERROR(J116*Weights!$B$4 + O116*Weights!$B$5 + S116*Weights!$B$6 + Y116*Weights!$B$7 + AD116*Weights!$B$8 + AI116*Weights!$B$9,"")</f>
        <v/>
      </c>
      <c r="AK116" s="33">
        <f>IF(AJ116="","",IF(AJ116&gt;=85,"✓✓✓",IF(AJ116&gt;=70,"✓✓",IF(AJ116&gt;=55,"✓",IF(AJ116&gt;=40,"?","✗")))))</f>
        <v/>
      </c>
      <c r="AL116" s="33" t="n">
        <v>5</v>
      </c>
    </row>
    <row r="117">
      <c r="A117" s="33" t="inlineStr">
        <is>
          <t>FLEX</t>
        </is>
      </c>
      <c r="B117" s="33" t="inlineStr">
        <is>
          <t>Flex Ltd.</t>
        </is>
      </c>
      <c r="C117" s="33" t="inlineStr">
        <is>
          <t>08 Servers, Systems &amp; Liquid Cooling / Contract manufacturing / ODMs</t>
        </is>
      </c>
      <c r="D117" s="33" t="inlineStr">
        <is>
          <t>2026-06-24</t>
        </is>
      </c>
      <c r="E117" s="33" t="n">
        <v>21.696165</v>
      </c>
      <c r="F117" s="33" t="n">
        <v>27.803</v>
      </c>
      <c r="G117" s="33" t="n">
        <v>1.91</v>
      </c>
      <c r="H117" s="33" t="n">
        <v>1.9782361</v>
      </c>
      <c r="I117" s="33">
        <f>IF(OR(E118="",R118="",R118&lt;=0,E118&lt;0),"",E118/R118)</f>
        <v/>
      </c>
      <c r="J117" s="33">
        <f>IFERROR(AVERAGE(IFERROR(IF(E117="","",IF(E117&lt;0,5,IF(E117&lt;=15,90,IF(E117&lt;=20,75,IF(E117&lt;=25,60,IF(E117&lt;=30,45,IF(E117&lt;=40,30,IF(E117&lt;=60,15,5)))))))),""),IFERROR(IF(F117="","",IF(F117&lt;0,5,IF(F117&lt;=10,90,IF(F117&lt;=15,75,IF(F117&lt;=20,60,IF(F117&lt;=25,45,IF(F117&lt;=35,30,IF(F117&lt;=50,15,5)))))))),""),IFERROR(IF(G117="","",IF(G117&gt;=8,100,IF(G117&gt;=6,90,IF(G117&gt;=4,75,IF(G117&gt;=2,60,IF(G117&gt;=1,45,IF(G117&gt;=0,30,15))))))),""),IFERROR(IF(H117="","",IF(H117&lt;=2,90,IF(H117&lt;=4,75,IF(H117&lt;=7,60,IF(H117&lt;=10,45,IF(H117&lt;=15,30,IF(H117&lt;=25,15,5))))))),""),IFERROR(IF(I117="","",IF(I117&lt;=0.5,100,IF(I117&lt;=1,90,IF(I117&lt;=1.5,75,IF(I117&lt;=2,60,IF(I117&lt;=2.5,45,IF(I117&lt;=3,30,15))))))),"")),"")</f>
        <v/>
      </c>
      <c r="K117" s="33" t="n">
        <v>15.8</v>
      </c>
      <c r="L117" s="33" t="n">
        <v>9.41</v>
      </c>
      <c r="M117" s="33" t="n">
        <v>3.77</v>
      </c>
      <c r="N117" s="33" t="n">
        <v>1.01</v>
      </c>
      <c r="O117" s="33">
        <f>IFERROR(AVERAGE(IFERROR(IF(K117="","",IF(K117&gt;=25,100,IF(K117&gt;=20,90,IF(K117&gt;=15,75,IF(K117&gt;=10,60,IF(K117&gt;=5,45,IF(K117&gt;=0,30,15))))))),""),IFERROR(IF(L117="","",IF(L117&gt;=60,100,IF(L117&gt;=50,90,IF(L117&gt;=40,75,IF(L117&gt;=30,60,IF(L117&gt;=20,45,IF(L117&gt;=10,30,15))))))),""),IFERROR(IF(M117="","",IF(M117&gt;=25,100,IF(M117&gt;=20,90,IF(M117&gt;=15,75,IF(M117&gt;=10,60,IF(M117&gt;=5,45,IF(M117&gt;=0,30,15))))))),""),IFERROR(IF(N117="","",IF(N117&lt;=0,100,IF(N117&lt;=1,90,IF(N117&lt;=2,75,IF(N117&lt;=3,60,IF(N117&lt;=4,45,IF(N117&lt;=5,30,15))))))),"")),"")</f>
        <v/>
      </c>
      <c r="P117" s="33" t="n">
        <v>-0.6899999999999999</v>
      </c>
      <c r="Q117" s="33" t="n">
        <v>16.9</v>
      </c>
      <c r="R117" s="33" t="n">
        <v>12.6</v>
      </c>
      <c r="S117" s="33">
        <f>IFERROR(AVERAGE(IFERROR(IF(P117="","",IF(P117&gt;=40,100,IF(P117&gt;=30,90,IF(P117&gt;=20,75,IF(P117&gt;=15,60,IF(P117&gt;=10,45,IF(P117&gt;=5,30,15))))))),""),IFERROR(IF(Q117="","",IF(Q117&gt;=40,100,IF(Q117&gt;=30,90,IF(Q117&gt;=20,75,IF(Q117&gt;=10,60,IF(Q117&gt;=5,45,IF(Q117&gt;=0,30,15))))))),""),IFERROR(IF(R117="","",IF(R117&gt;=40,100,IF(R117&gt;=30,90,IF(R117&gt;=20,75,IF(R117&gt;=10,60,IF(R117&gt;=0,45,IF(R117&gt;=-10,30,15))))))),"")),"")</f>
        <v/>
      </c>
      <c r="T117" s="33" t="n">
        <v>4</v>
      </c>
      <c r="U117" s="33" t="n">
        <v>2</v>
      </c>
      <c r="V117" s="33" t="n">
        <v>2</v>
      </c>
      <c r="W117" s="33" t="n">
        <v>5</v>
      </c>
      <c r="X117" s="33" t="n">
        <v>5</v>
      </c>
      <c r="Y117" s="33">
        <f>IFERROR(AVERAGE(T117,U117,V117,W117,X117)*20,"")</f>
        <v/>
      </c>
      <c r="Z117" s="33" t="n">
        <v>5</v>
      </c>
      <c r="AA117" s="33" t="n">
        <v>5</v>
      </c>
      <c r="AB117" s="33" t="n">
        <v>3</v>
      </c>
      <c r="AC117" s="71" t="n">
        <v>80.8</v>
      </c>
      <c r="AD117" s="33">
        <f>IFERROR(AVERAGE(IFERROR(IF(Z117="","",Z117*20),""),IFERROR(IF(AA117="","",AA117*20),""),IFERROR(IF(AB117="","",AB117*20),""),IFERROR(IF(AC117="","",IF(AC117&gt;=85,100,IF(AC117&gt;=70,90,IF(AC117&gt;=55,75,IF(AC117&gt;=40,60,IF(AC117&gt;=25,40,20)))))),"")),"")</f>
        <v/>
      </c>
      <c r="AE117" s="33" t="n">
        <v>3</v>
      </c>
      <c r="AF117" s="33" t="n">
        <v>4</v>
      </c>
      <c r="AG117" s="33" t="n">
        <v>4</v>
      </c>
      <c r="AH117" s="33" t="n">
        <v>4</v>
      </c>
      <c r="AI117" s="33">
        <f>IFERROR(AVERAGE(AE117,AF117,AG117,AH117,AL117)*20,"")</f>
        <v/>
      </c>
      <c r="AJ117" s="33">
        <f>IFERROR(J117*Weights!$B$4 + O117*Weights!$B$5 + S117*Weights!$B$6 + Y117*Weights!$B$7 + AD117*Weights!$B$8 + AI117*Weights!$B$9,"")</f>
        <v/>
      </c>
      <c r="AK117" s="33">
        <f>IF(AJ117="","",IF(AJ117&gt;=85,"✓✓✓",IF(AJ117&gt;=70,"✓✓",IF(AJ117&gt;=55,"✓",IF(AJ117&gt;=40,"?","✗")))))</f>
        <v/>
      </c>
      <c r="AL117" s="33" t="n">
        <v>5</v>
      </c>
    </row>
    <row r="118">
      <c r="A118" s="33" t="inlineStr">
        <is>
          <t>P</t>
        </is>
      </c>
      <c r="B118" s="33" t="inlineStr">
        <is>
          <t>Everpure (fka Pure Storage)</t>
        </is>
      </c>
      <c r="C118" s="33" t="inlineStr">
        <is>
          <t>08 Servers, Systems &amp; Liquid Cooling / Storage infrastructure</t>
        </is>
      </c>
      <c r="D118" s="33" t="inlineStr">
        <is>
          <t>2026-06-24</t>
        </is>
      </c>
      <c r="E118" s="33" t="n">
        <v>24.200037</v>
      </c>
      <c r="F118" s="33" t="n">
        <v>74.13200000000001</v>
      </c>
      <c r="G118" s="33" t="n">
        <v>2.13</v>
      </c>
      <c r="H118" s="33" t="n">
        <v>6.146182</v>
      </c>
      <c r="I118" s="33">
        <f>IF(OR(E119="",R119="",R119&lt;=0,E119&lt;0),"",E119/R119)</f>
        <v/>
      </c>
      <c r="J118" s="33">
        <f>IFERROR(AVERAGE(IFERROR(IF(E118="","",IF(E118&lt;0,5,IF(E118&lt;=15,90,IF(E118&lt;=20,75,IF(E118&lt;=25,60,IF(E118&lt;=30,45,IF(E118&lt;=40,30,IF(E118&lt;=60,15,5)))))))),""),IFERROR(IF(F118="","",IF(F118&lt;0,5,IF(F118&lt;=10,90,IF(F118&lt;=15,75,IF(F118&lt;=20,60,IF(F118&lt;=25,45,IF(F118&lt;=35,30,IF(F118&lt;=50,15,5)))))))),""),IFERROR(IF(G118="","",IF(G118&gt;=8,100,IF(G118&gt;=6,90,IF(G118&gt;=4,75,IF(G118&gt;=2,60,IF(G118&gt;=1,45,IF(G118&gt;=0,30,15))))))),""),IFERROR(IF(H118="","",IF(H118&lt;=2,90,IF(H118&lt;=4,75,IF(H118&lt;=7,60,IF(H118&lt;=10,45,IF(H118&lt;=15,30,IF(H118&lt;=25,15,5))))))),""),IFERROR(IF(I118="","",IF(I118&lt;=0.5,100,IF(I118&lt;=1,90,IF(I118&lt;=1.5,75,IF(I118&lt;=2,60,IF(I118&lt;=2.5,45,IF(I118&lt;=3,30,15))))))),"")),"")</f>
        <v/>
      </c>
      <c r="K118" s="33" t="n">
        <v>11.9</v>
      </c>
      <c r="L118" s="33" t="n">
        <v>70.23</v>
      </c>
      <c r="M118" s="33" t="n">
        <v>13.1</v>
      </c>
      <c r="N118" s="33" t="n">
        <v>-1.01</v>
      </c>
      <c r="O118" s="33">
        <f>IFERROR(AVERAGE(IFERROR(IF(K118="","",IF(K118&gt;=25,100,IF(K118&gt;=20,90,IF(K118&gt;=15,75,IF(K118&gt;=10,60,IF(K118&gt;=5,45,IF(K118&gt;=0,30,15))))))),""),IFERROR(IF(L118="","",IF(L118&gt;=60,100,IF(L118&gt;=50,90,IF(L118&gt;=40,75,IF(L118&gt;=30,60,IF(L118&gt;=20,45,IF(L118&gt;=10,30,15))))))),""),IFERROR(IF(M118="","",IF(M118&gt;=25,100,IF(M118&gt;=20,90,IF(M118&gt;=15,75,IF(M118&gt;=10,60,IF(M118&gt;=5,45,IF(M118&gt;=0,30,15))))))),""),IFERROR(IF(N118="","",IF(N118&lt;=0,100,IF(N118&lt;=1,90,IF(N118&lt;=2,75,IF(N118&lt;=3,60,IF(N118&lt;=4,45,IF(N118&lt;=5,30,15))))))),"")),"")</f>
        <v/>
      </c>
      <c r="P118" s="33" t="n">
        <v>9.98</v>
      </c>
      <c r="S118" s="33">
        <f>IFERROR(AVERAGE(IFERROR(IF(P118="","",IF(P118&gt;=40,100,IF(P118&gt;=30,90,IF(P118&gt;=20,75,IF(P118&gt;=15,60,IF(P118&gt;=10,45,IF(P118&gt;=5,30,15))))))),""),IFERROR(IF(Q118="","",IF(Q118&gt;=40,100,IF(Q118&gt;=30,90,IF(Q118&gt;=20,75,IF(Q118&gt;=10,60,IF(Q118&gt;=5,45,IF(Q118&gt;=0,30,15))))))),""),IFERROR(IF(R118="","",IF(R118&gt;=40,100,IF(R118&gt;=30,90,IF(R118&gt;=20,75,IF(R118&gt;=10,60,IF(R118&gt;=0,45,IF(R118&gt;=-10,30,15))))))),"")),"")</f>
        <v/>
      </c>
      <c r="T118" s="33" t="n">
        <v>3</v>
      </c>
      <c r="U118" s="33" t="n">
        <v>3</v>
      </c>
      <c r="V118" s="33" t="n">
        <v>3</v>
      </c>
      <c r="W118" s="33" t="n">
        <v>3</v>
      </c>
      <c r="X118" s="33" t="n">
        <v>4</v>
      </c>
      <c r="Y118" s="33">
        <f>IFERROR(AVERAGE(T118,U118,V118,W118,X118)*20,"")</f>
        <v/>
      </c>
      <c r="Z118" s="33" t="n">
        <v>4</v>
      </c>
      <c r="AA118" s="33" t="n">
        <v>3</v>
      </c>
      <c r="AB118" s="33" t="n">
        <v>3</v>
      </c>
      <c r="AC118" s="71" t="n">
        <v>42.5</v>
      </c>
      <c r="AD118" s="33">
        <f>IFERROR(AVERAGE(IFERROR(IF(Z118="","",Z118*20),""),IFERROR(IF(AA118="","",AA118*20),""),IFERROR(IF(AB118="","",AB118*20),""),IFERROR(IF(AC118="","",IF(AC118&gt;=85,100,IF(AC118&gt;=70,90,IF(AC118&gt;=55,75,IF(AC118&gt;=40,60,IF(AC118&gt;=25,40,20)))))),"")),"")</f>
        <v/>
      </c>
      <c r="AE118" s="33" t="n">
        <v>3</v>
      </c>
      <c r="AF118" s="33" t="n">
        <v>4</v>
      </c>
      <c r="AG118" s="33" t="n">
        <v>5</v>
      </c>
      <c r="AH118" s="33" t="n">
        <v>4</v>
      </c>
      <c r="AI118" s="33">
        <f>IFERROR(AVERAGE(AE118,AF118,AG118,AH118,AL118)*20,"")</f>
        <v/>
      </c>
      <c r="AJ118" s="33">
        <f>IFERROR(J118*Weights!$B$4 + O118*Weights!$B$5 + S118*Weights!$B$6 + Y118*Weights!$B$7 + AD118*Weights!$B$8 + AI118*Weights!$B$9,"")</f>
        <v/>
      </c>
      <c r="AK118" s="33">
        <f>IF(AJ118="","",IF(AJ118&gt;=85,"✓✓✓",IF(AJ118&gt;=70,"✓✓",IF(AJ118&gt;=55,"✓",IF(AJ118&gt;=40,"?","✗")))))</f>
        <v/>
      </c>
      <c r="AL118" s="33" t="n">
        <v>5</v>
      </c>
    </row>
    <row r="119">
      <c r="A119" s="33" t="inlineStr">
        <is>
          <t>DDOG</t>
        </is>
      </c>
      <c r="B119" s="33" t="inlineStr">
        <is>
          <t>Datadog, Inc.</t>
        </is>
      </c>
      <c r="C119" s="33" t="inlineStr">
        <is>
          <t>10 Models, Software &amp; Applications / AI observability &amp; infrastructure software</t>
        </is>
      </c>
      <c r="D119" s="33" t="inlineStr">
        <is>
          <t>2026-06-24</t>
        </is>
      </c>
      <c r="E119" s="33" t="n">
        <v>77.94012499999999</v>
      </c>
      <c r="F119" s="33" t="n">
        <v>79</v>
      </c>
      <c r="G119" s="33" t="n">
        <v>1.21</v>
      </c>
      <c r="H119" s="33" t="n">
        <v>21.583298</v>
      </c>
      <c r="I119" s="33">
        <f>IF(OR(E120="",R120="",R120&lt;=0,E120&lt;0),"",E120/R120)</f>
        <v/>
      </c>
      <c r="J119" s="33">
        <f>IFERROR(AVERAGE(IFERROR(IF(E119="","",IF(E119&lt;0,5,IF(E119&lt;=15,90,IF(E119&lt;=20,75,IF(E119&lt;=25,60,IF(E119&lt;=30,45,IF(E119&lt;=40,30,IF(E119&lt;=60,15,5)))))))),""),IFERROR(IF(F119="","",IF(F119&lt;0,5,IF(F119&lt;=20,100,IF(F119&lt;=30,90,IF(F119&lt;=40,75,IF(F119&lt;=55,60,IF(F119&lt;=75,45,IF(F119&lt;=100,30,15)))))))),""),IFERROR(IF(G119="","",IF(G119&gt;=8,100,IF(G119&gt;=6,90,IF(G119&gt;=4,75,IF(G119&gt;=2,60,IF(G119&gt;=1,45,IF(G119&gt;=0,30,15))))))),""),IFERROR(IF(H119="","",IF(H119&lt;=2,90,IF(H119&lt;=4,75,IF(H119&lt;=7,60,IF(H119&lt;=10,45,IF(H119&lt;=15,30,IF(H119&lt;=25,15,5))))))),""),IFERROR(IF(I119="","",IF(I119&lt;=0.5,100,IF(I119&lt;=1,90,IF(I119&lt;=1.5,75,IF(I119&lt;=2,60,IF(I119&lt;=2.5,45,IF(I119&lt;=3,30,15))))))),"")),"")</f>
        <v/>
      </c>
      <c r="K119" s="33" t="n">
        <v>-0.4</v>
      </c>
      <c r="L119" s="33" t="n">
        <v>79.91</v>
      </c>
      <c r="M119" s="33" t="n">
        <v>26.13</v>
      </c>
      <c r="N119" s="33" t="n">
        <v>-100.28</v>
      </c>
      <c r="O119" s="33">
        <f>IFERROR(AVERAGE(IFERROR(IF(K119="","",IF(K119&gt;=25,100,IF(K119&gt;=20,90,IF(K119&gt;=15,75,IF(K119&gt;=10,60,IF(K119&gt;=5,45,IF(K119&gt;=0,30,15))))))),""),IFERROR(IF(L119="","",IF(L119&gt;=60,100,IF(L119&gt;=50,90,IF(L119&gt;=40,75,IF(L119&gt;=30,60,IF(L119&gt;=20,45,IF(L119&gt;=10,30,15))))))),""),IFERROR(IF(M119="","",IF(M119&gt;=25,100,IF(M119&gt;=20,90,IF(M119&gt;=15,75,IF(M119&gt;=10,60,IF(M119&gt;=5,45,IF(M119&gt;=0,30,15))))))),""),IFERROR(IF(N119="","",IF(N119&lt;=0,100,IF(N119&lt;=1,90,IF(N119&lt;=2,75,IF(N119&lt;=3,60,IF(N119&lt;=4,45,IF(N119&lt;=5,30,15))))))),"")),"")</f>
        <v/>
      </c>
      <c r="P119" s="33" t="n">
        <v>26.95</v>
      </c>
      <c r="Q119" s="33" t="n">
        <v>32.2</v>
      </c>
      <c r="R119" s="33" t="n">
        <v>113.4</v>
      </c>
      <c r="S119" s="33">
        <f>IFERROR(AVERAGE(IFERROR(IF(P119="","",IF(P119&gt;=40,100,IF(P119&gt;=30,90,IF(P119&gt;=20,75,IF(P119&gt;=15,60,IF(P119&gt;=10,45,IF(P119&gt;=5,30,15))))))),""),IFERROR(IF(Q119="","",IF(Q119&gt;=40,100,IF(Q119&gt;=30,90,IF(Q119&gt;=20,75,IF(Q119&gt;=10,60,IF(Q119&gt;=5,45,IF(Q119&gt;=0,30,15))))))),""),IFERROR(IF(R119="","",IF(R119&gt;=40,100,IF(R119&gt;=30,90,IF(R119&gt;=20,75,IF(R119&gt;=10,60,IF(R119&gt;=0,45,IF(R119&gt;=-10,30,15))))))),"")),"")</f>
        <v/>
      </c>
      <c r="T119" s="33" t="n">
        <v>3</v>
      </c>
      <c r="U119" s="33" t="n">
        <v>3</v>
      </c>
      <c r="V119" s="33" t="n">
        <v>4</v>
      </c>
      <c r="W119" s="33" t="n">
        <v>3</v>
      </c>
      <c r="X119" s="33" t="n">
        <v>3</v>
      </c>
      <c r="Y119" s="33">
        <f>IFERROR(AVERAGE(T119,U119,V119,W119,X119)*20,"")</f>
        <v/>
      </c>
      <c r="Z119" s="33" t="n">
        <v>5</v>
      </c>
      <c r="AA119" s="33" t="n">
        <v>5</v>
      </c>
      <c r="AB119" s="33" t="n">
        <v>3</v>
      </c>
      <c r="AC119" s="71" t="n">
        <v>51.7</v>
      </c>
      <c r="AD119" s="33">
        <f>IFERROR(AVERAGE(IFERROR(IF(Z119="","",Z119*20),""),IFERROR(IF(AA119="","",AA119*20),""),IFERROR(IF(AB119="","",AB119*20),""),IFERROR(IF(AC119="","",IF(AC119&gt;=85,100,IF(AC119&gt;=70,90,IF(AC119&gt;=55,75,IF(AC119&gt;=40,60,IF(AC119&gt;=25,40,20)))))),"")),"")</f>
        <v/>
      </c>
      <c r="AE119" s="33" t="n">
        <v>5</v>
      </c>
      <c r="AF119" s="33" t="n">
        <v>4</v>
      </c>
      <c r="AG119" s="33" t="n">
        <v>5</v>
      </c>
      <c r="AH119" s="33" t="n">
        <v>5</v>
      </c>
      <c r="AI119" s="33">
        <f>IFERROR(AVERAGE(AE119,AF119,AG119,AH119,AL119)*20,"")</f>
        <v/>
      </c>
      <c r="AJ119" s="33">
        <f>IFERROR(J119*Weights!$B$4 + O119*Weights!$B$5 + S119*Weights!$B$6 + Y119*Weights!$B$7 + AD119*Weights!$B$8 + AI119*Weights!$B$9,"")</f>
        <v/>
      </c>
      <c r="AK119" s="33">
        <f>IF(AJ119="","",IF(AJ119&gt;=85,"✓✓✓",IF(AJ119&gt;=70,"✓✓",IF(AJ119&gt;=55,"✓",IF(AJ119&gt;=40,"?","✗")))))</f>
        <v/>
      </c>
      <c r="AL119" s="33" t="n">
        <v>4</v>
      </c>
    </row>
    <row r="120">
      <c r="A120" s="33" t="inlineStr">
        <is>
          <t>CRWD</t>
        </is>
      </c>
      <c r="B120" s="33" t="inlineStr">
        <is>
          <t>CrowdStrike Holdings, Inc.</t>
        </is>
      </c>
      <c r="C120" s="33" t="inlineStr">
        <is>
          <t>10 Models, Software &amp; Applications / AI cybersecurity</t>
        </is>
      </c>
      <c r="D120" s="33" t="inlineStr">
        <is>
          <t>2026-06-24</t>
        </is>
      </c>
      <c r="E120" s="33" t="n">
        <v>107.6758</v>
      </c>
      <c r="F120" s="33" t="n">
        <v>117.1</v>
      </c>
      <c r="G120" s="33" t="n">
        <v>0.84</v>
      </c>
      <c r="H120" s="33" t="n">
        <v>33.63182</v>
      </c>
      <c r="I120" s="33">
        <f>IF(OR(E121="",R121="",R121&lt;=0,E121&lt;0),"",E121/R121)</f>
        <v/>
      </c>
      <c r="J120" s="33">
        <f>IFERROR(AVERAGE(IFERROR(IF(E120="","",IF(E120&lt;0,5,IF(E120&lt;=15,90,IF(E120&lt;=20,75,IF(E120&lt;=25,60,IF(E120&lt;=30,45,IF(E120&lt;=40,30,IF(E120&lt;=60,15,5)))))))),""),IFERROR(IF(F120="","",IF(F120&lt;0,5,IF(F120&lt;=20,100,IF(F120&lt;=30,90,IF(F120&lt;=40,75,IF(F120&lt;=55,60,IF(F120&lt;=75,45,IF(F120&lt;=100,30,15)))))))),""),IFERROR(IF(G120="","",IF(G120&gt;=8,100,IF(G120&gt;=6,90,IF(G120&gt;=4,75,IF(G120&gt;=2,60,IF(G120&gt;=1,45,IF(G120&gt;=0,30,15))))))),""),IFERROR(IF(H120="","",IF(H120&lt;=2,90,IF(H120&lt;=4,75,IF(H120&lt;=7,60,IF(H120&lt;=10,45,IF(H120&lt;=15,30,IF(H120&lt;=25,15,5))))))),""),IFERROR(IF(I120="","",IF(I120&lt;=0.5,100,IF(I120&lt;=1,90,IF(I120&lt;=1.5,75,IF(I120&lt;=2,60,IF(I120&lt;=2.5,45,IF(I120&lt;=3,30,15))))))),"")),"")</f>
        <v/>
      </c>
      <c r="K120" s="33" t="n">
        <v>-1263.2</v>
      </c>
      <c r="L120" s="33" t="n">
        <v>75.14</v>
      </c>
      <c r="M120" s="33" t="n">
        <v>28.1</v>
      </c>
      <c r="N120" s="33" t="n">
        <v>-62.9</v>
      </c>
      <c r="O120" s="33">
        <f>IFERROR(AVERAGE(IFERROR(IF(K120="","",IF(K120&gt;=25,100,IF(K120&gt;=20,90,IF(K120&gt;=15,75,IF(K120&gt;=10,60,IF(K120&gt;=5,45,IF(K120&gt;=0,30,15))))))),""),IFERROR(IF(L120="","",IF(L120&gt;=60,100,IF(L120&gt;=50,90,IF(L120&gt;=40,75,IF(L120&gt;=30,60,IF(L120&gt;=20,45,IF(L120&gt;=10,30,15))))))),""),IFERROR(IF(M120="","",IF(M120&gt;=25,100,IF(M120&gt;=20,90,IF(M120&gt;=15,75,IF(M120&gt;=10,60,IF(M120&gt;=5,45,IF(M120&gt;=0,30,15))))))),""),IFERROR(IF(N120="","",IF(N120&lt;=0,100,IF(N120&lt;=1,90,IF(N120&lt;=2,75,IF(N120&lt;=3,60,IF(N120&lt;=4,45,IF(N120&lt;=5,30,15))))))),"")),"")</f>
        <v/>
      </c>
      <c r="P120" s="33" t="n">
        <v>29.01</v>
      </c>
      <c r="Q120" s="33" t="n">
        <v>25.6</v>
      </c>
      <c r="S120" s="33">
        <f>IFERROR(AVERAGE(IFERROR(IF(P120="","",IF(P120&gt;=40,100,IF(P120&gt;=30,90,IF(P120&gt;=20,75,IF(P120&gt;=15,60,IF(P120&gt;=10,45,IF(P120&gt;=5,30,15))))))),""),IFERROR(IF(Q120="","",IF(Q120&gt;=40,100,IF(Q120&gt;=30,90,IF(Q120&gt;=20,75,IF(Q120&gt;=10,60,IF(Q120&gt;=5,45,IF(Q120&gt;=0,30,15))))))),""),IFERROR(IF(R120="","",IF(R120&gt;=40,100,IF(R120&gt;=30,90,IF(R120&gt;=20,75,IF(R120&gt;=10,60,IF(R120&gt;=0,45,IF(R120&gt;=-10,30,15))))))),"")),"")</f>
        <v/>
      </c>
      <c r="T120" s="33" t="n">
        <v>2</v>
      </c>
      <c r="U120" s="33" t="n">
        <v>3</v>
      </c>
      <c r="V120" s="33" t="n">
        <v>4</v>
      </c>
      <c r="W120" s="33" t="n">
        <v>3</v>
      </c>
      <c r="X120" s="33" t="n">
        <v>2</v>
      </c>
      <c r="Y120" s="33">
        <f>IFERROR(AVERAGE(T120,U120,V120,W120,X120)*20,"")</f>
        <v/>
      </c>
      <c r="Z120" s="33" t="n">
        <v>4</v>
      </c>
      <c r="AA120" s="33" t="n">
        <v>5</v>
      </c>
      <c r="AB120" s="33" t="n">
        <v>3</v>
      </c>
      <c r="AC120" s="71" t="n">
        <v>49.2</v>
      </c>
      <c r="AD120" s="33">
        <f>IFERROR(AVERAGE(IFERROR(IF(Z120="","",Z120*20),""),IFERROR(IF(AA120="","",AA120*20),""),IFERROR(IF(AB120="","",AB120*20),""),IFERROR(IF(AC120="","",IF(AC120&gt;=85,100,IF(AC120&gt;=70,90,IF(AC120&gt;=55,75,IF(AC120&gt;=40,60,IF(AC120&gt;=25,40,20)))))),"")),"")</f>
        <v/>
      </c>
      <c r="AE120" s="33" t="n">
        <v>5</v>
      </c>
      <c r="AF120" s="33" t="n">
        <v>4</v>
      </c>
      <c r="AG120" s="33" t="n">
        <v>5</v>
      </c>
      <c r="AH120" s="33" t="n">
        <v>4</v>
      </c>
      <c r="AI120" s="33">
        <f>IFERROR(AVERAGE(AE120,AF120,AG120,AH120,AL120)*20,"")</f>
        <v/>
      </c>
      <c r="AJ120" s="33">
        <f>IFERROR(J120*Weights!$B$4 + O120*Weights!$B$5 + S120*Weights!$B$6 + Y120*Weights!$B$7 + AD120*Weights!$B$8 + AI120*Weights!$B$9,"")</f>
        <v/>
      </c>
      <c r="AK120" s="33">
        <f>IF(AJ120="","",IF(AJ120&gt;=85,"✓✓✓",IF(AJ120&gt;=70,"✓✓",IF(AJ120&gt;=55,"✓",IF(AJ120&gt;=40,"?","✗")))))</f>
        <v/>
      </c>
      <c r="AL120" s="33" t="n">
        <v>4</v>
      </c>
    </row>
    <row r="121">
      <c r="A121" s="33" t="inlineStr">
        <is>
          <t>MDB</t>
        </is>
      </c>
      <c r="B121" s="33" t="inlineStr">
        <is>
          <t>MongoDB, Inc.</t>
        </is>
      </c>
      <c r="C121" s="33" t="inlineStr">
        <is>
          <t>10 Models, Software &amp; Applications / AI data layer</t>
        </is>
      </c>
      <c r="D121" s="33" t="inlineStr">
        <is>
          <t>2026-06-24</t>
        </is>
      </c>
      <c r="E121" s="33" t="n">
        <v>41.21396</v>
      </c>
      <c r="F121" s="33" t="n">
        <v>37.1</v>
      </c>
      <c r="G121" s="33" t="n">
        <v>2.43</v>
      </c>
      <c r="H121" s="33" t="n">
        <v>9.347465</v>
      </c>
      <c r="I121" s="33">
        <f>IF(OR(E122="",R122="",R122&lt;=0,E122&lt;0),"",E122/R122)</f>
        <v/>
      </c>
      <c r="J121" s="33">
        <f>IFERROR(AVERAGE(IFERROR(IF(E121="","",IF(E121&lt;0,5,IF(E121&lt;=15,90,IF(E121&lt;=20,75,IF(E121&lt;=25,60,IF(E121&lt;=30,45,IF(E121&lt;=40,30,IF(E121&lt;=60,15,5)))))))),""),IFERROR(IF(F121="","",IF(F121&lt;0,5,IF(F121&lt;=20,100,IF(F121&lt;=30,90,IF(F121&lt;=40,75,IF(F121&lt;=55,60,IF(F121&lt;=75,45,IF(F121&lt;=100,30,15)))))))),""),IFERROR(IF(G121="","",IF(G121&gt;=8,100,IF(G121&gt;=6,90,IF(G121&gt;=4,75,IF(G121&gt;=2,60,IF(G121&gt;=1,45,IF(G121&gt;=0,30,15))))))),""),IFERROR(IF(H121="","",IF(H121&lt;=2,90,IF(H121&lt;=4,75,IF(H121&lt;=7,60,IF(H121&lt;=10,45,IF(H121&lt;=15,30,IF(H121&lt;=25,15,5))))))),""),IFERROR(IF(I121="","",IF(I121&lt;=0.5,100,IF(I121&lt;=1,90,IF(I121&lt;=1.5,75,IF(I121&lt;=2,60,IF(I121&lt;=2.5,45,IF(I121&lt;=3,30,15))))))),"")),"")</f>
        <v/>
      </c>
      <c r="K121" s="33" t="n">
        <v>-5.7</v>
      </c>
      <c r="L121" s="33" t="n">
        <v>71.97</v>
      </c>
      <c r="M121" s="33" t="n">
        <v>22.72</v>
      </c>
      <c r="N121" s="33" t="n"/>
      <c r="O121" s="33">
        <f>IFERROR(AVERAGE(IFERROR(IF(K121="","",IF(K121&gt;=25,100,IF(K121&gt;=20,90,IF(K121&gt;=15,75,IF(K121&gt;=10,60,IF(K121&gt;=5,45,IF(K121&gt;=0,30,15))))))),""),IFERROR(IF(L121="","",IF(L121&gt;=60,100,IF(L121&gt;=50,90,IF(L121&gt;=40,75,IF(L121&gt;=30,60,IF(L121&gt;=20,45,IF(L121&gt;=10,30,15))))))),""),IFERROR(IF(M121="","",IF(M121&gt;=25,100,IF(M121&gt;=20,90,IF(M121&gt;=15,75,IF(M121&gt;=10,60,IF(M121&gt;=5,45,IF(M121&gt;=0,30,15))))))),""),IFERROR(IF(N121="","",IF(N121&lt;=0,100,IF(N121&lt;=1,90,IF(N121&lt;=2,75,IF(N121&lt;=3,60,IF(N121&lt;=4,45,IF(N121&lt;=5,30,15))))))),"")),"")</f>
        <v/>
      </c>
      <c r="P121" s="33" t="n">
        <v>24.26</v>
      </c>
      <c r="Q121" s="33" t="n">
        <v>25.2</v>
      </c>
      <c r="R121" s="33" t="n">
        <v>2.2</v>
      </c>
      <c r="S121" s="33">
        <f>IFERROR(AVERAGE(IFERROR(IF(P121="","",IF(P121&gt;=40,100,IF(P121&gt;=30,90,IF(P121&gt;=20,75,IF(P121&gt;=15,60,IF(P121&gt;=10,45,IF(P121&gt;=5,30,15))))))),""),IFERROR(IF(Q121="","",IF(Q121&gt;=40,100,IF(Q121&gt;=30,90,IF(Q121&gt;=20,75,IF(Q121&gt;=10,60,IF(Q121&gt;=5,45,IF(Q121&gt;=0,30,15))))))),""),IFERROR(IF(R121="","",IF(R121&gt;=40,100,IF(R121&gt;=30,90,IF(R121&gt;=20,75,IF(R121&gt;=10,60,IF(R121&gt;=0,45,IF(R121&gt;=-10,30,15))))))),"")),"")</f>
        <v/>
      </c>
      <c r="T121" s="33" t="n">
        <v>2</v>
      </c>
      <c r="U121" s="33" t="n">
        <v>3</v>
      </c>
      <c r="V121" s="33" t="n">
        <v>3</v>
      </c>
      <c r="W121" s="33" t="n">
        <v>3</v>
      </c>
      <c r="X121" s="33" t="n">
        <v>2</v>
      </c>
      <c r="Y121" s="33">
        <f>IFERROR(AVERAGE(T121,U121,V121,W121,X121)*20,"")</f>
        <v/>
      </c>
      <c r="Z121" s="33" t="n">
        <v>4</v>
      </c>
      <c r="AA121" s="33" t="n">
        <v>3</v>
      </c>
      <c r="AB121" s="33" t="n">
        <v>3</v>
      </c>
      <c r="AC121" s="71" t="n">
        <v>41.7</v>
      </c>
      <c r="AD121" s="33">
        <f>IFERROR(AVERAGE(IFERROR(IF(Z121="","",Z121*20),""),IFERROR(IF(AA121="","",AA121*20),""),IFERROR(IF(AB121="","",AB121*20),""),IFERROR(IF(AC121="","",IF(AC121&gt;=85,100,IF(AC121&gt;=70,90,IF(AC121&gt;=55,75,IF(AC121&gt;=40,60,IF(AC121&gt;=25,40,20)))))),"")),"")</f>
        <v/>
      </c>
      <c r="AE121" s="33" t="n">
        <v>5</v>
      </c>
      <c r="AF121" s="33" t="n">
        <v>4</v>
      </c>
      <c r="AG121" s="33" t="n">
        <v>5</v>
      </c>
      <c r="AH121" s="33" t="n">
        <v>3</v>
      </c>
      <c r="AI121" s="33">
        <f>IFERROR(AVERAGE(AE121,AF121,AG121,AH121,AL121)*20,"")</f>
        <v/>
      </c>
      <c r="AJ121" s="33">
        <f>IFERROR(J121*Weights!$B$4 + O121*Weights!$B$5 + S121*Weights!$B$6 + Y121*Weights!$B$7 + AD121*Weights!$B$8 + AI121*Weights!$B$9,"")</f>
        <v/>
      </c>
      <c r="AK121" s="33">
        <f>IF(AJ121="","",IF(AJ121&gt;=85,"✓✓✓",IF(AJ121&gt;=70,"✓✓",IF(AJ121&gt;=55,"✓",IF(AJ121&gt;=40,"?","✗")))))</f>
        <v/>
      </c>
      <c r="AL121" s="33" t="n">
        <v>4</v>
      </c>
    </row>
    <row r="122">
      <c r="A122" s="33" t="inlineStr">
        <is>
          <t>PATH</t>
        </is>
      </c>
      <c r="B122" s="33" t="inlineStr">
        <is>
          <t>UiPath, Inc.</t>
        </is>
      </c>
      <c r="C122" s="33" t="inlineStr">
        <is>
          <t>10 Models, Software &amp; Applications / AI-powered automation</t>
        </is>
      </c>
      <c r="D122" s="33" t="inlineStr">
        <is>
          <t>2026-06-24</t>
        </is>
      </c>
      <c r="E122" s="33" t="n">
        <v>11.366895</v>
      </c>
      <c r="F122" s="33" t="n">
        <v>11.4</v>
      </c>
      <c r="G122" s="33" t="n">
        <v>6.78</v>
      </c>
      <c r="H122" s="33" t="n">
        <v>3.194238</v>
      </c>
      <c r="I122" s="33">
        <f>IF(OR(E123="",R123="",R123&lt;=0,E123&lt;0),"",E123/R123)</f>
        <v/>
      </c>
      <c r="J122" s="33">
        <f>IFERROR(AVERAGE(IFERROR(IF(E122="","",IF(E122&lt;0,5,IF(E122&lt;=15,90,IF(E122&lt;=20,75,IF(E122&lt;=25,60,IF(E122&lt;=30,45,IF(E122&lt;=40,30,IF(E122&lt;=60,15,5)))))))),""),IFERROR(IF(F122="","",IF(F122&lt;0,5,IF(F122&lt;=20,100,IF(F122&lt;=30,90,IF(F122&lt;=40,75,IF(F122&lt;=55,60,IF(F122&lt;=75,45,IF(F122&lt;=100,30,15)))))))),""),IFERROR(IF(G122="","",IF(G122&gt;=8,100,IF(G122&gt;=6,90,IF(G122&gt;=4,75,IF(G122&gt;=2,60,IF(G122&gt;=1,45,IF(G122&gt;=0,30,15))))))),""),IFERROR(IF(H122="","",IF(H122&lt;=2,90,IF(H122&lt;=4,75,IF(H122&lt;=7,60,IF(H122&lt;=10,45,IF(H122&lt;=15,30,IF(H122&lt;=25,15,5))))))),""),IFERROR(IF(I122="","",IF(I122&lt;=0.5,100,IF(I122&lt;=1,90,IF(I122&lt;=1.5,75,IF(I122&lt;=2,60,IF(I122&lt;=2.5,45,IF(I122&lt;=3,30,15))))))),"")),"")</f>
        <v/>
      </c>
      <c r="K122" s="33" t="n">
        <v>12.3</v>
      </c>
      <c r="L122" s="33" t="n">
        <v>83.05</v>
      </c>
      <c r="M122" s="33" t="n">
        <v>21.67</v>
      </c>
      <c r="N122" s="33" t="n">
        <v>-9.9</v>
      </c>
      <c r="O122" s="33">
        <f>IFERROR(AVERAGE(IFERROR(IF(K122="","",IF(K122&gt;=25,100,IF(K122&gt;=20,90,IF(K122&gt;=15,75,IF(K122&gt;=10,60,IF(K122&gt;=5,45,IF(K122&gt;=0,30,15))))))),""),IFERROR(IF(L122="","",IF(L122&gt;=60,100,IF(L122&gt;=50,90,IF(L122&gt;=40,75,IF(L122&gt;=30,60,IF(L122&gt;=20,45,IF(L122&gt;=10,30,15))))))),""),IFERROR(IF(M122="","",IF(M122&gt;=25,100,IF(M122&gt;=20,90,IF(M122&gt;=15,75,IF(M122&gt;=10,60,IF(M122&gt;=5,45,IF(M122&gt;=0,30,15))))))),""),IFERROR(IF(N122="","",IF(N122&lt;=0,100,IF(N122&lt;=1,90,IF(N122&lt;=2,75,IF(N122&lt;=3,60,IF(N122&lt;=4,45,IF(N122&lt;=5,30,15))))))),"")),"")</f>
        <v/>
      </c>
      <c r="P122" s="33" t="n">
        <v>15.01</v>
      </c>
      <c r="Q122" s="33" t="n">
        <v>17.3</v>
      </c>
      <c r="R122" s="33" t="n">
        <v>105.7</v>
      </c>
      <c r="S122" s="33">
        <f>IFERROR(AVERAGE(IFERROR(IF(P122="","",IF(P122&gt;=40,100,IF(P122&gt;=30,90,IF(P122&gt;=20,75,IF(P122&gt;=15,60,IF(P122&gt;=10,45,IF(P122&gt;=5,30,15))))))),""),IFERROR(IF(Q122="","",IF(Q122&gt;=40,100,IF(Q122&gt;=30,90,IF(Q122&gt;=20,75,IF(Q122&gt;=10,60,IF(Q122&gt;=5,45,IF(Q122&gt;=0,30,15))))))),""),IFERROR(IF(R122="","",IF(R122&gt;=40,100,IF(R122&gt;=30,90,IF(R122&gt;=20,75,IF(R122&gt;=10,60,IF(R122&gt;=0,45,IF(R122&gt;=-10,30,15))))))),"")),"")</f>
        <v/>
      </c>
      <c r="T122" s="33" t="n">
        <v>1</v>
      </c>
      <c r="U122" s="33" t="n">
        <v>2</v>
      </c>
      <c r="V122" s="33" t="n">
        <v>2</v>
      </c>
      <c r="W122" s="33" t="n">
        <v>3</v>
      </c>
      <c r="X122" s="33" t="n">
        <v>1</v>
      </c>
      <c r="Y122" s="33">
        <f>IFERROR(AVERAGE(T122,U122,V122,W122,X122)*20,"")</f>
        <v/>
      </c>
      <c r="Z122" s="33" t="n">
        <v>3</v>
      </c>
      <c r="AA122" s="33" t="n">
        <v>1</v>
      </c>
      <c r="AB122" s="33" t="n">
        <v>3</v>
      </c>
      <c r="AC122" s="71" t="n">
        <v>19.2</v>
      </c>
      <c r="AD122" s="33">
        <f>IFERROR(AVERAGE(IFERROR(IF(Z122="","",Z122*20),""),IFERROR(IF(AA122="","",AA122*20),""),IFERROR(IF(AB122="","",AB122*20),""),IFERROR(IF(AC122="","",IF(AC122&gt;=85,100,IF(AC122&gt;=70,90,IF(AC122&gt;=55,75,IF(AC122&gt;=40,60,IF(AC122&gt;=25,40,20)))))),"")),"")</f>
        <v/>
      </c>
      <c r="AE122" s="33" t="n">
        <v>4</v>
      </c>
      <c r="AF122" s="33" t="n">
        <v>4</v>
      </c>
      <c r="AG122" s="33" t="n">
        <v>5</v>
      </c>
      <c r="AH122" s="33" t="n">
        <v>5</v>
      </c>
      <c r="AI122" s="33">
        <f>IFERROR(AVERAGE(AE122,AF122,AG122,AH122,AL122)*20,"")</f>
        <v/>
      </c>
      <c r="AJ122" s="33">
        <f>IFERROR(J122*Weights!$B$4 + O122*Weights!$B$5 + S122*Weights!$B$6 + Y122*Weights!$B$7 + AD122*Weights!$B$8 + AI122*Weights!$B$9,"")</f>
        <v/>
      </c>
      <c r="AK122" s="33">
        <f>IF(AJ122="","",IF(AJ122&gt;=85,"✓✓✓",IF(AJ122&gt;=70,"✓✓",IF(AJ122&gt;=55,"✓",IF(AJ122&gt;=40,"?","✗")))))</f>
        <v/>
      </c>
      <c r="AL122" s="33" t="n">
        <v>2</v>
      </c>
    </row>
    <row r="123">
      <c r="A123" s="60" t="inlineStr">
        <is>
          <t>AMBA</t>
        </is>
      </c>
      <c r="B123" s="60" t="inlineStr">
        <is>
          <t>Ambarella Inc</t>
        </is>
      </c>
      <c r="C123" s="60" t="inlineStr">
        <is>
          <t>06 Silicon - Edge AI</t>
        </is>
      </c>
      <c r="D123" s="60" t="inlineStr">
        <is>
          <t>2026-06-24</t>
        </is>
      </c>
      <c r="E123" s="61" t="n">
        <v>54.903297</v>
      </c>
      <c r="F123" s="61" t="n">
        <v>-39.805</v>
      </c>
      <c r="G123" s="62" t="n">
        <v>0.66</v>
      </c>
      <c r="H123" s="61" t="n">
        <v>6.819708</v>
      </c>
      <c r="I123" s="33">
        <f>IF(OR(E124="",R124="",R124&lt;=0,E124&lt;0),"",E124/R124)</f>
        <v/>
      </c>
      <c r="J123" s="63">
        <f>IFERROR(AVERAGE(IFERROR(IF(E123="","",IF(E123&lt;0,5,IF(E123&lt;=15,90,IF(E123&lt;=20,75,IF(E123&lt;=25,60,IF(E123&lt;=30,45,IF(E123&lt;=40,30,IF(E123&lt;=60,15,5)))))))),""),IFERROR(IF(F123="","",IF(F123&lt;0,5,IF(F123&lt;=10,90,IF(F123&lt;=15,75,IF(F123&lt;=20,60,IF(F123&lt;=25,45,IF(F123&lt;=35,30,IF(F123&lt;=50,15,5)))))))),""),IFERROR(IF(G123="","",IF(G123&gt;=8,100,IF(G123&gt;=6,90,IF(G123&gt;=4,75,IF(G123&gt;=2,60,IF(G123&gt;=1,45,IF(G123&gt;=0,30,15))))))),""),IFERROR(IF(H123="","",IF(H123&lt;=2,90,IF(H123&lt;=4,75,IF(H123&lt;=7,60,IF(H123&lt;=10,45,IF(H123&lt;=15,30,IF(H123&lt;=25,15,5))))))),""),IFERROR(IF(I123="","",IF(I123&lt;=0.5,100,IF(I123&lt;=1,90,IF(I123&lt;=1.5,75,IF(I123&lt;=2,60,IF(I123&lt;=2.5,45,IF(I123&lt;=3,30,15))))))),"")),"")</f>
        <v/>
      </c>
      <c r="K123" s="62" t="n">
        <v>-19.8</v>
      </c>
      <c r="L123" s="62" t="n">
        <v>58.82</v>
      </c>
      <c r="M123" s="62" t="n">
        <v>4.49</v>
      </c>
      <c r="N123" s="61" t="n"/>
      <c r="O123" s="63">
        <f>IFERROR(AVERAGE(IFERROR(IF(K123="","",IF(K123&gt;=25,100,IF(K123&gt;=20,90,IF(K123&gt;=15,75,IF(K123&gt;=10,60,IF(K123&gt;=5,45,IF(K123&gt;=0,30,15))))))),""),IFERROR(IF(L123="","",IF(L123&gt;=60,100,IF(L123&gt;=50,90,IF(L123&gt;=40,75,IF(L123&gt;=30,60,IF(L123&gt;=20,45,IF(L123&gt;=10,30,15))))))),""),IFERROR(IF(M123="","",IF(M123&gt;=25,100,IF(M123&gt;=20,90,IF(M123&gt;=15,75,IF(M123&gt;=10,60,IF(M123&gt;=5,45,IF(M123&gt;=0,30,15))))))),""),IFERROR(IF(N123="","",IF(N123&lt;=0,100,IF(N123&lt;=1,90,IF(N123&lt;=2,75,IF(N123&lt;=3,60,IF(N123&lt;=4,45,IF(N123&lt;=5,30,15))))))),"")),"")</f>
        <v/>
      </c>
      <c r="P123" s="62" t="n">
        <v>4.99</v>
      </c>
      <c r="Q123" s="62" t="n">
        <v>16.9</v>
      </c>
      <c r="R123" s="62" t="n">
        <v>37.3</v>
      </c>
      <c r="S123" s="63">
        <f>IFERROR(AVERAGE(IFERROR(IF(P123="","",IF(P123&gt;=40,100,IF(P123&gt;=30,90,IF(P123&gt;=20,75,IF(P123&gt;=15,60,IF(P123&gt;=10,45,IF(P123&gt;=5,30,15))))))),""),IFERROR(IF(Q123="","",IF(Q123&gt;=40,100,IF(Q123&gt;=30,90,IF(Q123&gt;=20,75,IF(Q123&gt;=10,60,IF(Q123&gt;=5,45,IF(Q123&gt;=0,30,15))))))),""),IFERROR(IF(R123="","",IF(R123&gt;=40,100,IF(R123&gt;=30,90,IF(R123&gt;=20,75,IF(R123&gt;=10,60,IF(R123&gt;=0,45,IF(R123&gt;=-10,30,15))))))),"")),"")</f>
        <v/>
      </c>
      <c r="T123" s="60" t="n">
        <v>5</v>
      </c>
      <c r="U123" s="60" t="n">
        <v>3</v>
      </c>
      <c r="V123" s="60" t="n">
        <v>3</v>
      </c>
      <c r="W123" s="60" t="n">
        <v>3</v>
      </c>
      <c r="X123" s="60" t="n">
        <v>1</v>
      </c>
      <c r="Y123" s="63">
        <f>IFERROR(AVERAGE(T123,U123,V123,W123,X123)*20,"")</f>
        <v/>
      </c>
      <c r="Z123" s="60" t="n">
        <v>3</v>
      </c>
      <c r="AA123" s="60" t="n">
        <v>4</v>
      </c>
      <c r="AB123" s="60" t="n">
        <v>3</v>
      </c>
      <c r="AC123" s="70" t="n">
        <v>33.3</v>
      </c>
      <c r="AD123" s="63">
        <f>IFERROR(AVERAGE(IFERROR(IF(Z123="","",Z123*20),""),IFERROR(IF(AA123="","",AA123*20),""),IFERROR(IF(AB123="","",AB123*20),""),IFERROR(IF(AC123="","",IF(AC123&gt;=85,100,IF(AC123&gt;=70,90,IF(AC123&gt;=55,75,IF(AC123&gt;=40,60,IF(AC123&gt;=25,40,20)))))),"")),"")</f>
        <v/>
      </c>
      <c r="AE123" s="60" t="n">
        <v>1</v>
      </c>
      <c r="AF123" s="60" t="n">
        <v>2</v>
      </c>
      <c r="AG123" s="60" t="n">
        <v>4</v>
      </c>
      <c r="AH123" s="60" t="n">
        <v>3</v>
      </c>
      <c r="AI123" s="63">
        <f>IFERROR(AVERAGE(AE123,AF123,AG123,AH123,AL123)*20,"")</f>
        <v/>
      </c>
      <c r="AJ123" s="64">
        <f>IFERROR(J123*Weights!$B$4 + O123*Weights!$B$5 + S123*Weights!$B$6 + Y123*Weights!$B$7 + AD123*Weights!$B$8 + AI123*Weights!$B$9,"")</f>
        <v/>
      </c>
      <c r="AK123" s="65">
        <f>IF(AJ123="","",IF(AJ123&gt;=85,"✓✓✓",IF(AJ123&gt;=70,"✓✓",IF(AJ123&gt;=55,"✓",IF(AJ123&gt;=40,"?","✗")))))</f>
        <v/>
      </c>
      <c r="AL123" s="33" t="n">
        <v>5</v>
      </c>
    </row>
    <row r="124">
      <c r="A124" s="60" t="inlineStr">
        <is>
          <t>CEVA</t>
        </is>
      </c>
      <c r="B124" s="60" t="inlineStr">
        <is>
          <t>CEVA Inc</t>
        </is>
      </c>
      <c r="C124" s="60" t="inlineStr">
        <is>
          <t>04 Semi Equip - IP</t>
        </is>
      </c>
      <c r="D124" s="60" t="inlineStr">
        <is>
          <t>2026-06-24</t>
        </is>
      </c>
      <c r="E124" s="61" t="n">
        <v>54.932793</v>
      </c>
      <c r="F124" s="61" t="n">
        <v>-135.835</v>
      </c>
      <c r="G124" s="62" t="n">
        <v>-0.46</v>
      </c>
      <c r="H124" s="61" t="n">
        <v>11.164621</v>
      </c>
      <c r="I124" s="33">
        <f>IF(OR(E125="",R125="",R125&lt;=0,E125&lt;0),"",E125/R125)</f>
        <v/>
      </c>
      <c r="J124" s="63">
        <f>IFERROR(AVERAGE(IFERROR(IF(E124="","",IF(E124&lt;0,5,IF(E124&lt;=15,90,IF(E124&lt;=20,75,IF(E124&lt;=25,60,IF(E124&lt;=30,45,IF(E124&lt;=40,30,IF(E124&lt;=60,15,5)))))))),""),IFERROR(IF(F124="","",IF(F124&lt;0,5,IF(F124&lt;=10,90,IF(F124&lt;=15,75,IF(F124&lt;=20,60,IF(F124&lt;=25,45,IF(F124&lt;=35,30,IF(F124&lt;=50,15,5)))))))),""),IFERROR(IF(G124="","",IF(G124&gt;=8,100,IF(G124&gt;=6,90,IF(G124&gt;=4,75,IF(G124&gt;=2,60,IF(G124&gt;=1,45,IF(G124&gt;=0,30,15))))))),""),IFERROR(IF(H124="","",IF(H124&lt;=2,90,IF(H124&lt;=4,75,IF(H124&lt;=7,60,IF(H124&lt;=10,45,IF(H124&lt;=15,30,IF(H124&lt;=25,15,5))))))),""),IFERROR(IF(I124="","",IF(I124&lt;=0.5,100,IF(I124&lt;=1,90,IF(I124&lt;=1.5,75,IF(I124&lt;=2,60,IF(I124&lt;=2.5,45,IF(I124&lt;=3,30,15))))))),"")),"")</f>
        <v/>
      </c>
      <c r="K124" s="62" t="n">
        <v>-3.4</v>
      </c>
      <c r="L124" s="62" t="n">
        <v>87.19</v>
      </c>
      <c r="M124" s="62" t="n">
        <v>-5.13</v>
      </c>
      <c r="N124" s="61" t="n"/>
      <c r="O124" s="63">
        <f>IFERROR(AVERAGE(IFERROR(IF(K124="","",IF(K124&gt;=25,100,IF(K124&gt;=20,90,IF(K124&gt;=15,75,IF(K124&gt;=10,60,IF(K124&gt;=5,45,IF(K124&gt;=0,30,15))))))),""),IFERROR(IF(L124="","",IF(L124&gt;=60,100,IF(L124&gt;=50,90,IF(L124&gt;=40,75,IF(L124&gt;=30,60,IF(L124&gt;=20,45,IF(L124&gt;=10,30,15))))))),""),IFERROR(IF(M124="","",IF(M124&gt;=25,100,IF(M124&gt;=20,90,IF(M124&gt;=15,75,IF(M124&gt;=10,60,IF(M124&gt;=5,45,IF(M124&gt;=0,30,15))))))),""),IFERROR(IF(N124="","",IF(N124&lt;=0,100,IF(N124&lt;=1,90,IF(N124&lt;=2,75,IF(N124&lt;=3,60,IF(N124&lt;=4,45,IF(N124&lt;=5,30,15))))))),"")),"")</f>
        <v/>
      </c>
      <c r="P124" s="62" t="n">
        <v>-3.13</v>
      </c>
      <c r="Q124" s="62" t="n">
        <v>11.5</v>
      </c>
      <c r="R124" s="62" t="n">
        <v>-18.9</v>
      </c>
      <c r="S124" s="63">
        <f>IFERROR(AVERAGE(IFERROR(IF(P124="","",IF(P124&gt;=40,100,IF(P124&gt;=30,90,IF(P124&gt;=20,75,IF(P124&gt;=15,60,IF(P124&gt;=10,45,IF(P124&gt;=5,30,15))))))),""),IFERROR(IF(Q124="","",IF(Q124&gt;=40,100,IF(Q124&gt;=30,90,IF(Q124&gt;=20,75,IF(Q124&gt;=10,60,IF(Q124&gt;=5,45,IF(Q124&gt;=0,30,15))))))),""),IFERROR(IF(R124="","",IF(R124&gt;=40,100,IF(R124&gt;=30,90,IF(R124&gt;=20,75,IF(R124&gt;=10,60,IF(R124&gt;=0,45,IF(R124&gt;=-10,30,15))))))),"")),"")</f>
        <v/>
      </c>
      <c r="T124" s="60" t="n">
        <v>3</v>
      </c>
      <c r="U124" s="60" t="n">
        <v>3</v>
      </c>
      <c r="V124" s="60" t="n">
        <v>3</v>
      </c>
      <c r="W124" s="60" t="n">
        <v>3</v>
      </c>
      <c r="X124" s="60" t="n">
        <v>1</v>
      </c>
      <c r="Y124" s="63">
        <f>IFERROR(AVERAGE(T124,U124,V124,W124,X124)*20,"")</f>
        <v/>
      </c>
      <c r="Z124" s="60" t="n">
        <v>2</v>
      </c>
      <c r="AA124" s="60" t="n">
        <v>3</v>
      </c>
      <c r="AB124" s="60" t="n">
        <v>5</v>
      </c>
      <c r="AC124" s="70" t="n">
        <v>60</v>
      </c>
      <c r="AD124" s="63">
        <f>IFERROR(AVERAGE(IFERROR(IF(Z124="","",Z124*20),""),IFERROR(IF(AA124="","",AA124*20),""),IFERROR(IF(AB124="","",AB124*20),""),IFERROR(IF(AC124="","",IF(AC124&gt;=85,100,IF(AC124&gt;=70,90,IF(AC124&gt;=55,75,IF(AC124&gt;=40,60,IF(AC124&gt;=25,40,20)))))),"")),"")</f>
        <v/>
      </c>
      <c r="AE124" s="60" t="n">
        <v>2</v>
      </c>
      <c r="AF124" s="60" t="n">
        <v>2</v>
      </c>
      <c r="AG124" s="60" t="n">
        <v>4</v>
      </c>
      <c r="AH124" s="60" t="n">
        <v>4</v>
      </c>
      <c r="AI124" s="63">
        <f>IFERROR(AVERAGE(AE124,AF124,AG124,AH124,AL124)*20,"")</f>
        <v/>
      </c>
      <c r="AJ124" s="64">
        <f>IFERROR(J124*Weights!$B$4 + O124*Weights!$B$5 + S124*Weights!$B$6 + Y124*Weights!$B$7 + AD124*Weights!$B$8 + AI124*Weights!$B$9,"")</f>
        <v/>
      </c>
      <c r="AK124" s="65">
        <f>IF(AJ124="","",IF(AJ124&gt;=85,"✓✓✓",IF(AJ124&gt;=70,"✓✓",IF(AJ124&gt;=55,"✓",IF(AJ124&gt;=40,"?","✗")))))</f>
        <v/>
      </c>
      <c r="AL124" s="33" t="n">
        <v>5</v>
      </c>
    </row>
    <row r="125">
      <c r="A125" s="60" t="inlineStr">
        <is>
          <t>AIP</t>
        </is>
      </c>
      <c r="B125" s="60" t="inlineStr">
        <is>
          <t>Arteris Inc</t>
        </is>
      </c>
      <c r="C125" s="60" t="inlineStr">
        <is>
          <t>04 Semi Equip - IP</t>
        </is>
      </c>
      <c r="D125" s="60" t="inlineStr">
        <is>
          <t>2026-06-24</t>
        </is>
      </c>
      <c r="E125" s="61" t="n">
        <v>256.4375</v>
      </c>
      <c r="F125" s="61" t="n">
        <v>-61.555</v>
      </c>
      <c r="G125" s="62" t="n">
        <v>-0.25</v>
      </c>
      <c r="H125" s="61" t="n">
        <v>24.608503</v>
      </c>
      <c r="I125" s="33">
        <f>IF(OR(E127="",R127="",R127&lt;=0,E127&lt;0),"",E127/R127)</f>
        <v/>
      </c>
      <c r="J125" s="63">
        <f>IFERROR(AVERAGE(IFERROR(IF(E125="","",IF(E125&lt;0,5,IF(E125&lt;=15,90,IF(E125&lt;=20,75,IF(E125&lt;=25,60,IF(E125&lt;=30,45,IF(E125&lt;=40,30,IF(E125&lt;=60,15,5)))))))),""),IFERROR(IF(F125="","",IF(F125&lt;0,5,IF(F125&lt;=10,90,IF(F125&lt;=15,75,IF(F125&lt;=20,60,IF(F125&lt;=25,45,IF(F125&lt;=35,30,IF(F125&lt;=50,15,5)))))))),""),IFERROR(IF(G125="","",IF(G125&gt;=8,100,IF(G125&gt;=6,90,IF(G125&gt;=4,75,IF(G125&gt;=2,60,IF(G125&gt;=1,45,IF(G125&gt;=0,30,15))))))),""),IFERROR(IF(H125="","",IF(H125&lt;=2,90,IF(H125&lt;=4,75,IF(H125&lt;=7,60,IF(H125&lt;=10,45,IF(H125&lt;=15,30,IF(H125&lt;=25,15,5))))))),""),IFERROR(IF(I125="","",IF(I125&lt;=0.5,100,IF(I125&lt;=1,90,IF(I125&lt;=1.5,75,IF(I125&lt;=2,60,IF(I125&lt;=2.5,45,IF(I125&lt;=3,30,15))))))),"")),"")</f>
        <v/>
      </c>
      <c r="K125" s="62" t="n">
        <v>-40</v>
      </c>
      <c r="L125" s="62" t="n">
        <v>88.8</v>
      </c>
      <c r="M125" s="62" t="n">
        <v>-6.09</v>
      </c>
      <c r="N125" s="61" t="n"/>
      <c r="O125" s="63">
        <f>IFERROR(AVERAGE(IFERROR(IF(K125="","",IF(K125&gt;=25,100,IF(K125&gt;=20,90,IF(K125&gt;=15,75,IF(K125&gt;=10,60,IF(K125&gt;=5,45,IF(K125&gt;=0,30,15))))))),""),IFERROR(IF(L125="","",IF(L125&gt;=60,100,IF(L125&gt;=50,90,IF(L125&gt;=40,75,IF(L125&gt;=30,60,IF(L125&gt;=20,45,IF(L125&gt;=10,30,15))))))),""),IFERROR(IF(M125="","",IF(M125&gt;=25,100,IF(M125&gt;=20,90,IF(M125&gt;=15,75,IF(M125&gt;=10,60,IF(M125&gt;=5,45,IF(M125&gt;=0,30,15))))))),""),IFERROR(IF(N125="","",IF(N125&lt;=0,100,IF(N125&lt;=1,90,IF(N125&lt;=2,75,IF(N125&lt;=3,60,IF(N125&lt;=4,45,IF(N125&lt;=5,30,15))))))),"")),"")</f>
        <v/>
      </c>
      <c r="P125" s="62" t="n">
        <v>11.9</v>
      </c>
      <c r="Q125" s="62" t="n">
        <v>38.7</v>
      </c>
      <c r="R125" s="62" t="n">
        <v>4.7</v>
      </c>
      <c r="S125" s="63">
        <f>IFERROR(AVERAGE(IFERROR(IF(P125="","",IF(P125&gt;=40,100,IF(P125&gt;=30,90,IF(P125&gt;=20,75,IF(P125&gt;=15,60,IF(P125&gt;=10,45,IF(P125&gt;=5,30,15))))))),""),IFERROR(IF(Q125="","",IF(Q125&gt;=40,100,IF(Q125&gt;=30,90,IF(Q125&gt;=20,75,IF(Q125&gt;=10,60,IF(Q125&gt;=5,45,IF(Q125&gt;=0,30,15))))))),""),IFERROR(IF(R125="","",IF(R125&gt;=40,100,IF(R125&gt;=30,90,IF(R125&gt;=20,75,IF(R125&gt;=10,60,IF(R125&gt;=0,45,IF(R125&gt;=-10,30,15))))))),"")),"")</f>
        <v/>
      </c>
      <c r="T125" s="60" t="n">
        <v>3</v>
      </c>
      <c r="U125" s="60" t="n">
        <v>4</v>
      </c>
      <c r="V125" s="60" t="n">
        <v>4</v>
      </c>
      <c r="W125" s="60" t="n">
        <v>3</v>
      </c>
      <c r="X125" s="60" t="n">
        <v>2</v>
      </c>
      <c r="Y125" s="63">
        <f>IFERROR(AVERAGE(T125,U125,V125,W125,X125)*20,"")</f>
        <v/>
      </c>
      <c r="Z125" s="60" t="n">
        <v>4</v>
      </c>
      <c r="AA125" s="60" t="n">
        <v>5</v>
      </c>
      <c r="AB125" s="60" t="n">
        <v>3</v>
      </c>
      <c r="AC125" s="70" t="n">
        <v>74.2</v>
      </c>
      <c r="AD125" s="63">
        <f>IFERROR(AVERAGE(IFERROR(IF(Z125="","",Z125*20),""),IFERROR(IF(AA125="","",AA125*20),""),IFERROR(IF(AB125="","",AB125*20),""),IFERROR(IF(AC125="","",IF(AC125&gt;=85,100,IF(AC125&gt;=70,90,IF(AC125&gt;=55,75,IF(AC125&gt;=40,60,IF(AC125&gt;=25,40,20)))))),"")),"")</f>
        <v/>
      </c>
      <c r="AE125" s="60" t="n">
        <v>4</v>
      </c>
      <c r="AF125" s="60" t="n">
        <v>3</v>
      </c>
      <c r="AG125" s="60" t="n">
        <v>4</v>
      </c>
      <c r="AH125" s="60" t="n">
        <v>3</v>
      </c>
      <c r="AI125" s="63">
        <f>IFERROR(AVERAGE(AE125,AF125,AG125,AH125,AL125)*20,"")</f>
        <v/>
      </c>
      <c r="AJ125" s="64">
        <f>IFERROR(J125*Weights!$B$4 + O125*Weights!$B$5 + S125*Weights!$B$6 + Y125*Weights!$B$7 + AD125*Weights!$B$8 + AI125*Weights!$B$9,"")</f>
        <v/>
      </c>
      <c r="AK125" s="65">
        <f>IF(AJ125="","",IF(AJ125&gt;=85,"✓✓✓",IF(AJ125&gt;=70,"✓✓",IF(AJ125&gt;=55,"✓",IF(AJ125&gt;=40,"?","✗")))))</f>
        <v/>
      </c>
      <c r="AL125" s="33" t="n">
        <v>5</v>
      </c>
    </row>
    <row r="126">
      <c r="A126" s="60" t="inlineStr">
        <is>
          <t>KN</t>
        </is>
      </c>
      <c r="B126" s="60" t="inlineStr">
        <is>
          <t>Knowles Corp</t>
        </is>
      </c>
      <c r="C126" s="60" t="inlineStr">
        <is>
          <t>04 Semi Equip - Materials</t>
        </is>
      </c>
      <c r="D126" s="60" t="inlineStr">
        <is>
          <t>2026-06-24</t>
        </is>
      </c>
      <c r="E126" s="61" t="n">
        <v>25.778492</v>
      </c>
      <c r="F126" s="61" t="n">
        <v>28.277</v>
      </c>
      <c r="G126" s="62" t="n">
        <v>2.13</v>
      </c>
      <c r="H126" s="61" t="n">
        <v>5.593976</v>
      </c>
      <c r="I126" s="33">
        <f>IF(OR(E128="",R128="",R128&lt;=0,E128&lt;0),"",E128/R128)</f>
        <v/>
      </c>
      <c r="J126" s="63">
        <f>IFERROR(AVERAGE(IFERROR(IF(E126="","",IF(E126&lt;0,5,IF(E126&lt;=15,90,IF(E126&lt;=20,75,IF(E126&lt;=25,60,IF(E126&lt;=30,45,IF(E126&lt;=40,30,IF(E126&lt;=60,15,5)))))))),""),IFERROR(IF(F126="","",IF(F126&lt;0,5,IF(F126&lt;=10,90,IF(F126&lt;=15,75,IF(F126&lt;=20,60,IF(F126&lt;=25,45,IF(F126&lt;=35,30,IF(F126&lt;=50,15,5)))))))),""),IFERROR(IF(G126="","",IF(G126&gt;=8,100,IF(G126&gt;=6,90,IF(G126&gt;=4,75,IF(G126&gt;=2,60,IF(G126&gt;=1,45,IF(G126&gt;=0,30,15))))))),""),IFERROR(IF(H126="","",IF(H126&lt;=2,90,IF(H126&lt;=4,75,IF(H126&lt;=7,60,IF(H126&lt;=10,45,IF(H126&lt;=15,30,IF(H126&lt;=25,15,5))))))),""),IFERROR(IF(I126="","",IF(I126&lt;=0.5,100,IF(I126&lt;=1,90,IF(I126&lt;=1.5,75,IF(I126&lt;=2,60,IF(I126&lt;=2.5,45,IF(I126&lt;=3,30,15))))))),"")),"")</f>
        <v/>
      </c>
      <c r="K126" s="62" t="n">
        <v>8.199999999999999</v>
      </c>
      <c r="L126" s="62" t="n">
        <v>45.09</v>
      </c>
      <c r="M126" s="62" t="n">
        <v>11.9</v>
      </c>
      <c r="N126" s="61" t="n">
        <v>0.88</v>
      </c>
      <c r="O126" s="63">
        <f>IFERROR(AVERAGE(IFERROR(IF(K126="","",IF(K126&gt;=25,100,IF(K126&gt;=20,90,IF(K126&gt;=15,75,IF(K126&gt;=10,60,IF(K126&gt;=5,45,IF(K126&gt;=0,30,15))))))),""),IFERROR(IF(L126="","",IF(L126&gt;=60,100,IF(L126&gt;=50,90,IF(L126&gt;=40,75,IF(L126&gt;=30,60,IF(L126&gt;=20,45,IF(L126&gt;=10,30,15))))))),""),IFERROR(IF(M126="","",IF(M126&gt;=25,100,IF(M126&gt;=20,90,IF(M126&gt;=15,75,IF(M126&gt;=10,60,IF(M126&gt;=5,45,IF(M126&gt;=0,30,15))))))),""),IFERROR(IF(N126="","",IF(N126&lt;=0,100,IF(N126&lt;=1,90,IF(N126&lt;=2,75,IF(N126&lt;=3,60,IF(N126&lt;=4,45,IF(N126&lt;=5,30,15))))))),"")),"")</f>
        <v/>
      </c>
      <c r="P126" s="62" t="n">
        <v>7.4</v>
      </c>
      <c r="Q126" s="62" t="n">
        <v>15.8</v>
      </c>
      <c r="R126" s="62" t="n">
        <v>119.1</v>
      </c>
      <c r="S126" s="63">
        <f>IFERROR(AVERAGE(IFERROR(IF(P126="","",IF(P126&gt;=40,100,IF(P126&gt;=30,90,IF(P126&gt;=20,75,IF(P126&gt;=15,60,IF(P126&gt;=10,45,IF(P126&gt;=5,30,15))))))),""),IFERROR(IF(Q126="","",IF(Q126&gt;=40,100,IF(Q126&gt;=30,90,IF(Q126&gt;=20,75,IF(Q126&gt;=10,60,IF(Q126&gt;=5,45,IF(Q126&gt;=0,30,15))))))),""),IFERROR(IF(R126="","",IF(R126&gt;=40,100,IF(R126&gt;=30,90,IF(R126&gt;=20,75,IF(R126&gt;=10,60,IF(R126&gt;=0,45,IF(R126&gt;=-10,30,15))))))),"")),"")</f>
        <v/>
      </c>
      <c r="T126" s="60" t="n">
        <v>1</v>
      </c>
      <c r="U126" s="60" t="n">
        <v>2</v>
      </c>
      <c r="V126" s="60" t="n">
        <v>3</v>
      </c>
      <c r="W126" s="60" t="n">
        <v>3</v>
      </c>
      <c r="X126" s="60" t="n">
        <v>1</v>
      </c>
      <c r="Y126" s="63">
        <f>IFERROR(AVERAGE(T126,U126,V126,W126,X126)*20,"")</f>
        <v/>
      </c>
      <c r="Z126" s="60" t="n">
        <v>4</v>
      </c>
      <c r="AA126" s="60" t="n">
        <v>5</v>
      </c>
      <c r="AB126" s="60" t="n">
        <v>3</v>
      </c>
      <c r="AC126" s="70" t="n">
        <v>87.5</v>
      </c>
      <c r="AD126" s="63">
        <f>IFERROR(AVERAGE(IFERROR(IF(Z126="","",Z126*20),""),IFERROR(IF(AA126="","",AA126*20),""),IFERROR(IF(AB126="","",AB126*20),""),IFERROR(IF(AC126="","",IF(AC126&gt;=85,100,IF(AC126&gt;=70,90,IF(AC126&gt;=55,75,IF(AC126&gt;=40,60,IF(AC126&gt;=25,40,20)))))),"")),"")</f>
        <v/>
      </c>
      <c r="AE126" s="60" t="n">
        <v>2</v>
      </c>
      <c r="AF126" s="60" t="n">
        <v>4</v>
      </c>
      <c r="AG126" s="60" t="n">
        <v>4</v>
      </c>
      <c r="AH126" s="60" t="n">
        <v>4</v>
      </c>
      <c r="AI126" s="63">
        <f>IFERROR(AVERAGE(AE126,AF126,AG126,AH126,AL126)*20,"")</f>
        <v/>
      </c>
      <c r="AJ126" s="64">
        <f>IFERROR(J126*Weights!$B$4 + O126*Weights!$B$5 + S126*Weights!$B$6 + Y126*Weights!$B$7 + AD126*Weights!$B$8 + AI126*Weights!$B$9,"")</f>
        <v/>
      </c>
      <c r="AK126" s="65">
        <f>IF(AJ126="","",IF(AJ126&gt;=85,"✓✓✓",IF(AJ126&gt;=70,"✓✓",IF(AJ126&gt;=55,"✓",IF(AJ126&gt;=40,"?","✗")))))</f>
        <v/>
      </c>
      <c r="AL126" s="33" t="n">
        <v>5</v>
      </c>
    </row>
    <row r="127">
      <c r="A127" s="33" t="inlineStr">
        <is>
          <t>NXT</t>
        </is>
      </c>
      <c r="B127" s="33" t="inlineStr">
        <is>
          <t>Nextpower Inc.</t>
        </is>
      </c>
      <c r="C127" s="33" t="inlineStr">
        <is>
          <t>01 Power Generation / Solar &amp; renewables equipment (behind-the-meter DC power)</t>
        </is>
      </c>
      <c r="D127" s="33" t="inlineStr">
        <is>
          <t>2026-06-24</t>
        </is>
      </c>
      <c r="E127" s="33" t="n">
        <v>19.988247</v>
      </c>
      <c r="F127" s="33" t="n">
        <v>22.269</v>
      </c>
      <c r="G127" s="33" t="n">
        <v>2.89</v>
      </c>
      <c r="H127" s="33" t="n">
        <v>4.9882774</v>
      </c>
      <c r="I127" s="33">
        <f>IF(OR(E128="",R128="",R128&lt;=0,E128&lt;0),"",E128/R128)</f>
        <v/>
      </c>
      <c r="J127" s="33">
        <f>IFERROR(AVERAGE(IFERROR(IF(E127="","",IF(E127&lt;0,5,IF(E127&lt;=15,90,IF(E127&lt;=20,75,IF(E127&lt;=25,60,IF(E127&lt;=30,45,IF(E127&lt;=40,30,IF(E127&lt;=60,15,5)))))))),""),IFERROR(IF(F127="","",IF(F127&lt;0,5,IF(F127&lt;=10,90,IF(F127&lt;=15,75,IF(F127&lt;=20,60,IF(F127&lt;=25,45,IF(F127&lt;=35,30,IF(F127&lt;=50,15,5)))))))),""),IFERROR(IF(G127="","",IF(G127&gt;=8,100,IF(G127&gt;=6,90,IF(G127&gt;=4,75,IF(G127&gt;=2,60,IF(G127&gt;=1,45,IF(G127&gt;=0,30,15))))))),""),IFERROR(IF(H127="","",IF(H127&lt;=2,90,IF(H127&lt;=4,75,IF(H127&lt;=7,60,IF(H127&lt;=10,45,IF(H127&lt;=15,30,IF(H127&lt;=25,15,5))))))),""),IFERROR(IF(I127="","",IF(I127&lt;=0.5,100,IF(I127&lt;=1,90,IF(I127&lt;=1.5,75,IF(I127&lt;=2,60,IF(I127&lt;=2.5,45,IF(I127&lt;=3,30,15))))))),"")),"")</f>
        <v/>
      </c>
      <c r="L127" s="33" t="n">
        <v>21.92</v>
      </c>
      <c r="M127" s="33" t="n">
        <v>14.43</v>
      </c>
      <c r="N127" s="33" t="n">
        <v>-1.48</v>
      </c>
      <c r="O127" s="33">
        <f>IFERROR(AVERAGE(IFERROR(IF(K127="","",IF(K127&gt;=25,100,IF(K127&gt;=20,90,IF(K127&gt;=15,75,IF(K127&gt;=10,60,IF(K127&gt;=5,45,IF(K127&gt;=0,30,15))))))),""),IFERROR(IF(L127="","",IF(L127&gt;=60,100,IF(L127&gt;=50,90,IF(L127&gt;=40,75,IF(L127&gt;=30,60,IF(L127&gt;=20,45,IF(L127&gt;=10,30,15))))))),""),IFERROR(IF(M127="","",IF(M127&gt;=25,100,IF(M127&gt;=20,90,IF(M127&gt;=15,75,IF(M127&gt;=10,60,IF(M127&gt;=5,45,IF(M127&gt;=0,30,15))))))),""),IFERROR(IF(N127="","",IF(N127&lt;=0,100,IF(N127&lt;=1,90,IF(N127&lt;=2,75,IF(N127&lt;=3,60,IF(N127&lt;=4,45,IF(N127&lt;=5,30,15))))))),"")),"")</f>
        <v/>
      </c>
      <c r="P127" s="33" t="n">
        <v>23.23</v>
      </c>
      <c r="Q127" s="33" t="n">
        <v>-4.7</v>
      </c>
      <c r="R127" s="33" t="n">
        <v>-3.9</v>
      </c>
      <c r="S127" s="33">
        <f>IFERROR(AVERAGE(IFERROR(IF(P127="","",IF(P127&gt;=40,100,IF(P127&gt;=30,90,IF(P127&gt;=20,75,IF(P127&gt;=15,60,IF(P127&gt;=10,45,IF(P127&gt;=5,30,15))))))),""),IFERROR(IF(Q127="","",IF(Q127&gt;=40,100,IF(Q127&gt;=30,90,IF(Q127&gt;=20,75,IF(Q127&gt;=10,60,IF(Q127&gt;=5,45,IF(Q127&gt;=0,30,15))))))),""),IFERROR(IF(R127="","",IF(R127&gt;=40,100,IF(R127&gt;=30,90,IF(R127&gt;=20,75,IF(R127&gt;=10,60,IF(R127&gt;=0,45,IF(R127&gt;=-10,30,15))))))),"")),"")</f>
        <v/>
      </c>
      <c r="T127" s="33" t="n">
        <v>2</v>
      </c>
      <c r="U127" s="33" t="n">
        <v>4</v>
      </c>
      <c r="V127" s="33" t="n">
        <v>3</v>
      </c>
      <c r="W127" s="33" t="n">
        <v>4</v>
      </c>
      <c r="X127" s="33" t="n">
        <v>2</v>
      </c>
      <c r="Y127" s="33">
        <f>IFERROR(AVERAGE(T127,U127,V127,W127,X127)*20,"")</f>
        <v/>
      </c>
      <c r="Z127" s="33" t="n">
        <v>5</v>
      </c>
      <c r="AA127" s="33" t="n">
        <v>4</v>
      </c>
      <c r="AB127" s="33" t="n">
        <v>3</v>
      </c>
      <c r="AC127" s="71" t="n">
        <v>73.3</v>
      </c>
      <c r="AD127" s="33">
        <f>IFERROR(AVERAGE(IFERROR(IF(Z127="","",Z127*20),""),IFERROR(IF(AA127="","",AA127*20),""),IFERROR(IF(AB127="","",AB127*20),""),IFERROR(IF(AC127="","",IF(AC127&gt;=85,100,IF(AC127&gt;=70,90,IF(AC127&gt;=55,75,IF(AC127&gt;=40,60,IF(AC127&gt;=25,40,20)))))),"")),"")</f>
        <v/>
      </c>
      <c r="AE127" s="33" t="n">
        <v>4</v>
      </c>
      <c r="AF127" s="33" t="n">
        <v>4</v>
      </c>
      <c r="AG127" s="33" t="n">
        <v>5</v>
      </c>
      <c r="AH127" s="33" t="n">
        <v>4</v>
      </c>
      <c r="AI127" s="33">
        <f>IFERROR(AVERAGE(AE127,AF127,AG127,AH127,AL127)*20,"")</f>
        <v/>
      </c>
      <c r="AJ127" s="33">
        <f>IFERROR(J127*Weights!$B$4 + O127*Weights!$B$5 + S127*Weights!$B$6 + Y127*Weights!$B$7 + AD127*Weights!$B$8 + AI127*Weights!$B$9,"")</f>
        <v/>
      </c>
      <c r="AK127" s="33">
        <f>IF(AJ127="","",IF(AJ127&gt;=85,"✓✓✓",IF(AJ127&gt;=70,"✓✓",IF(AJ127&gt;=55,"✓",IF(AJ127&gt;=40,"?","✗")))))</f>
        <v/>
      </c>
      <c r="AL127" s="33" t="n">
        <v>5</v>
      </c>
    </row>
    <row r="128">
      <c r="A128" s="33" t="inlineStr">
        <is>
          <t>AAON</t>
        </is>
      </c>
      <c r="B128" s="33" t="inlineStr">
        <is>
          <t>AAON, Inc.</t>
        </is>
      </c>
      <c r="C128" s="33" t="inlineStr">
        <is>
          <t>03 Data Center Construction, REITs &amp; Cooling</t>
        </is>
      </c>
      <c r="D128" s="33" t="inlineStr">
        <is>
          <t>2026-06-24</t>
        </is>
      </c>
      <c r="E128" s="33" t="n">
        <v>39.9757</v>
      </c>
      <c r="F128" s="33" t="n">
        <v>44.704</v>
      </c>
      <c r="G128" s="33" t="n">
        <v>-1.7</v>
      </c>
      <c r="H128" s="33" t="n">
        <v>6.666581</v>
      </c>
      <c r="I128" s="33">
        <f>IF(OR(E129="",R129="",R129&lt;=0,E129&lt;0),"",E129/R129)</f>
        <v/>
      </c>
      <c r="J128" s="33">
        <f>IFERROR(AVERAGE(IFERROR(IF(E128="","",IF(E128&lt;0,5,IF(E128&lt;=15,90,IF(E128&lt;=20,75,IF(E128&lt;=25,60,IF(E128&lt;=30,45,IF(E128&lt;=40,30,IF(E128&lt;=60,15,5)))))))),""),IFERROR(IF(F128="","",IF(F128&lt;0,5,IF(F128&lt;=10,90,IF(F128&lt;=15,75,IF(F128&lt;=20,60,IF(F128&lt;=25,45,IF(F128&lt;=35,30,IF(F128&lt;=50,15,5)))))))),""),IFERROR(IF(G128="","",IF(G128&gt;=8,100,IF(G128&gt;=6,90,IF(G128&gt;=4,75,IF(G128&gt;=2,60,IF(G128&gt;=1,45,IF(G128&gt;=0,30,15))))))),""),IFERROR(IF(H128="","",IF(H128&lt;=2,90,IF(H128&lt;=4,75,IF(H128&lt;=7,60,IF(H128&lt;=10,45,IF(H128&lt;=15,30,IF(H128&lt;=25,15,5))))))),""),IFERROR(IF(I128="","",IF(I128&lt;=0.5,100,IF(I128&lt;=1,90,IF(I128&lt;=1.5,75,IF(I128&lt;=2,60,IF(I128&lt;=2.5,45,IF(I128&lt;=3,30,15))))))),"")),"")</f>
        <v/>
      </c>
      <c r="L128" s="33" t="n">
        <v>26.24</v>
      </c>
      <c r="M128" s="33" t="n">
        <v>-11.35</v>
      </c>
      <c r="N128" s="33" t="n">
        <v>1.77</v>
      </c>
      <c r="O128" s="33">
        <f>IFERROR(AVERAGE(IFERROR(IF(K128="","",IF(K128&gt;=25,100,IF(K128&gt;=20,90,IF(K128&gt;=15,75,IF(K128&gt;=10,60,IF(K128&gt;=5,45,IF(K128&gt;=0,30,15))))))),""),IFERROR(IF(L128="","",IF(L128&gt;=60,100,IF(L128&gt;=50,90,IF(L128&gt;=40,75,IF(L128&gt;=30,60,IF(L128&gt;=20,45,IF(L128&gt;=10,30,15))))))),""),IFERROR(IF(M128="","",IF(M128&gt;=25,100,IF(M128&gt;=20,90,IF(M128&gt;=15,75,IF(M128&gt;=10,60,IF(M128&gt;=5,45,IF(M128&gt;=0,30,15))))))),""),IFERROR(IF(N128="","",IF(N128&lt;=0,100,IF(N128&lt;=1,90,IF(N128&lt;=2,75,IF(N128&lt;=3,60,IF(N128&lt;=4,45,IF(N128&lt;=5,30,15))))))),"")),"")</f>
        <v/>
      </c>
      <c r="P128" s="33" t="n">
        <v>17.51</v>
      </c>
      <c r="Q128" s="33" t="n">
        <v>54.3</v>
      </c>
      <c r="R128" s="33" t="n">
        <v>35.9</v>
      </c>
      <c r="S128" s="33">
        <f>IFERROR(AVERAGE(IFERROR(IF(P128="","",IF(P128&gt;=40,100,IF(P128&gt;=30,90,IF(P128&gt;=20,75,IF(P128&gt;=15,60,IF(P128&gt;=10,45,IF(P128&gt;=5,30,15))))))),""),IFERROR(IF(Q128="","",IF(Q128&gt;=40,100,IF(Q128&gt;=30,90,IF(Q128&gt;=20,75,IF(Q128&gt;=10,60,IF(Q128&gt;=5,45,IF(Q128&gt;=0,30,15))))))),""),IFERROR(IF(R128="","",IF(R128&gt;=40,100,IF(R128&gt;=30,90,IF(R128&gt;=20,75,IF(R128&gt;=10,60,IF(R128&gt;=0,45,IF(R128&gt;=-10,30,15))))))),"")),"")</f>
        <v/>
      </c>
      <c r="T128" s="33" t="n">
        <v>4</v>
      </c>
      <c r="U128" s="33" t="n">
        <v>4</v>
      </c>
      <c r="V128" s="33" t="n">
        <v>3</v>
      </c>
      <c r="W128" s="33" t="n">
        <v>5</v>
      </c>
      <c r="X128" s="33" t="n">
        <v>4</v>
      </c>
      <c r="Y128" s="33">
        <f>IFERROR(AVERAGE(T128,U128,V128,W128,X128)*20,"")</f>
        <v/>
      </c>
      <c r="Z128" s="33" t="n">
        <v>5</v>
      </c>
      <c r="AA128" s="33" t="n">
        <v>5</v>
      </c>
      <c r="AB128" s="33" t="n">
        <v>3</v>
      </c>
      <c r="AC128" s="71" t="n">
        <v>70.8</v>
      </c>
      <c r="AD128" s="33">
        <f>IFERROR(AVERAGE(IFERROR(IF(Z128="","",Z128*20),""),IFERROR(IF(AA128="","",AA128*20),""),IFERROR(IF(AB128="","",AB128*20),""),IFERROR(IF(AC128="","",IF(AC128&gt;=85,100,IF(AC128&gt;=70,90,IF(AC128&gt;=55,75,IF(AC128&gt;=40,60,IF(AC128&gt;=25,40,20)))))),"")),"")</f>
        <v/>
      </c>
      <c r="AE128" s="33" t="n">
        <v>3</v>
      </c>
      <c r="AF128" s="33" t="n">
        <v>5</v>
      </c>
      <c r="AG128" s="33" t="n">
        <v>4</v>
      </c>
      <c r="AH128" s="33" t="n">
        <v>5</v>
      </c>
      <c r="AI128" s="33">
        <f>IFERROR(AVERAGE(AE128,AF128,AG128,AH128,AL128)*20,"")</f>
        <v/>
      </c>
      <c r="AJ128" s="33">
        <f>IFERROR(J128*Weights!$B$4 + O128*Weights!$B$5 + S128*Weights!$B$6 + Y128*Weights!$B$7 + AD128*Weights!$B$8 + AI128*Weights!$B$9,"")</f>
        <v/>
      </c>
      <c r="AK128" s="33">
        <f>IF(AJ128="","",IF(AJ128&gt;=85,"✓✓✓",IF(AJ128&gt;=70,"✓✓",IF(AJ128&gt;=55,"✓",IF(AJ128&gt;=40,"?","✗")))))</f>
        <v/>
      </c>
      <c r="AL128" s="33" t="n">
        <v>5</v>
      </c>
    </row>
    <row r="129">
      <c r="A129" s="33" t="inlineStr">
        <is>
          <t>BESIY</t>
        </is>
      </c>
      <c r="B129" s="33" t="inlineStr">
        <is>
          <t>BE Semiconductor Industries N.V.</t>
        </is>
      </c>
      <c r="C129" s="33" t="inlineStr">
        <is>
          <t>04 Semiconductor Equipment &amp; Materials / Equipment</t>
        </is>
      </c>
      <c r="D129" s="33" t="inlineStr">
        <is>
          <t>2026-06-24</t>
        </is>
      </c>
      <c r="F129" s="33" t="n"/>
      <c r="G129" s="33" t="n"/>
      <c r="H129" s="33" t="n"/>
      <c r="I129" s="33">
        <f>IF(OR(E130="",R130="",R130&lt;=0,E130&lt;0),"",E130/R130)</f>
        <v/>
      </c>
      <c r="J129" s="33">
        <f>IFERROR(AVERAGE(IFERROR(IF(E129="","",IF(E129&lt;0,5,IF(E129&lt;=15,90,IF(E129&lt;=20,75,IF(E129&lt;=25,60,IF(E129&lt;=30,45,IF(E129&lt;=40,30,IF(E129&lt;=60,15,5)))))))),""),IFERROR(IF(F129="","",IF(F129&lt;0,5,IF(F129&lt;=10,90,IF(F129&lt;=15,75,IF(F129&lt;=20,60,IF(F129&lt;=25,45,IF(F129&lt;=35,30,IF(F129&lt;=50,15,5)))))))),""),IFERROR(IF(G129="","",IF(G129&gt;=8,100,IF(G129&gt;=6,90,IF(G129&gt;=4,75,IF(G129&gt;=2,60,IF(G129&gt;=1,45,IF(G129&gt;=0,30,15))))))),""),IFERROR(IF(H129="","",IF(H129&lt;=2,90,IF(H129&lt;=4,75,IF(H129&lt;=7,60,IF(H129&lt;=10,45,IF(H129&lt;=15,30,IF(H129&lt;=25,15,5))))))),""),IFERROR(IF(I129="","",IF(I129&lt;=0.5,100,IF(I129&lt;=1,90,IF(I129&lt;=1.5,75,IF(I129&lt;=2,60,IF(I129&lt;=2.5,45,IF(I129&lt;=3,30,15))))))),"")),"")</f>
        <v/>
      </c>
      <c r="L129" s="33" t="n">
        <v>63.27</v>
      </c>
      <c r="M129" s="33" t="n">
        <v>26.95</v>
      </c>
      <c r="N129" s="33" t="n">
        <v>-0.44</v>
      </c>
      <c r="O129" s="33">
        <f>IFERROR(AVERAGE(IFERROR(IF(K129="","",IF(K129&gt;=25,100,IF(K129&gt;=20,90,IF(K129&gt;=15,75,IF(K129&gt;=10,60,IF(K129&gt;=5,45,IF(K129&gt;=0,30,15))))))),""),IFERROR(IF(L129="","",IF(L129&gt;=60,100,IF(L129&gt;=50,90,IF(L129&gt;=40,75,IF(L129&gt;=30,60,IF(L129&gt;=20,45,IF(L129&gt;=10,30,15))))))),""),IFERROR(IF(M129="","",IF(M129&gt;=25,100,IF(M129&gt;=20,90,IF(M129&gt;=15,75,IF(M129&gt;=10,60,IF(M129&gt;=5,45,IF(M129&gt;=0,30,15))))))),""),IFERROR(IF(N129="","",IF(N129&lt;=0,100,IF(N129&lt;=1,90,IF(N129&lt;=2,75,IF(N129&lt;=3,60,IF(N129&lt;=4,45,IF(N129&lt;=5,30,15))))))),"")),"")</f>
        <v/>
      </c>
      <c r="P129" s="33" t="n">
        <v>-6.48</v>
      </c>
      <c r="Q129" s="33" t="n">
        <v>28.3</v>
      </c>
      <c r="R129" s="33" t="n">
        <v>63.7</v>
      </c>
      <c r="S129" s="33">
        <f>IFERROR(AVERAGE(IFERROR(IF(P129="","",IF(P129&gt;=40,100,IF(P129&gt;=30,90,IF(P129&gt;=20,75,IF(P129&gt;=15,60,IF(P129&gt;=10,45,IF(P129&gt;=5,30,15))))))),""),IFERROR(IF(Q129="","",IF(Q129&gt;=40,100,IF(Q129&gt;=30,90,IF(Q129&gt;=20,75,IF(Q129&gt;=10,60,IF(Q129&gt;=5,45,IF(Q129&gt;=0,30,15))))))),""),IFERROR(IF(R129="","",IF(R129&gt;=40,100,IF(R129&gt;=30,90,IF(R129&gt;=20,75,IF(R129&gt;=10,60,IF(R129&gt;=0,45,IF(R129&gt;=-10,30,15))))))),"")),"")</f>
        <v/>
      </c>
      <c r="T129" s="33" t="n">
        <v>4</v>
      </c>
      <c r="U129" s="33" t="n">
        <v>4</v>
      </c>
      <c r="V129" s="33" t="n">
        <v>4</v>
      </c>
      <c r="W129" s="33" t="n">
        <v>4</v>
      </c>
      <c r="X129" s="33" t="n">
        <v>3</v>
      </c>
      <c r="Y129" s="33">
        <f>IFERROR(AVERAGE(T129,U129,V129,W129,X129)*20,"")</f>
        <v/>
      </c>
      <c r="Z129" s="33" t="n">
        <v>5</v>
      </c>
      <c r="AA129" s="33" t="n">
        <v>5</v>
      </c>
      <c r="AB129" s="33" t="n">
        <v>5</v>
      </c>
      <c r="AC129" s="71" t="n">
        <v>96.7</v>
      </c>
      <c r="AD129" s="33">
        <f>IFERROR(AVERAGE(IFERROR(IF(Z129="","",Z129*20),""),IFERROR(IF(AA129="","",AA129*20),""),IFERROR(IF(AB129="","",AB129*20),""),IFERROR(IF(AC129="","",IF(AC129&gt;=85,100,IF(AC129&gt;=70,90,IF(AC129&gt;=55,75,IF(AC129&gt;=40,60,IF(AC129&gt;=25,40,20)))))),"")),"")</f>
        <v/>
      </c>
      <c r="AE129" s="33" t="n">
        <v>3</v>
      </c>
      <c r="AF129" s="33" t="n">
        <v>2</v>
      </c>
      <c r="AG129" s="33" t="n">
        <v>5</v>
      </c>
      <c r="AH129" s="33" t="n">
        <v>4</v>
      </c>
      <c r="AI129" s="33">
        <f>IFERROR(AVERAGE(AE129,AF129,AG129,AH129,AL129)*20,"")</f>
        <v/>
      </c>
      <c r="AJ129" s="33">
        <f>IFERROR(J129*Weights!$B$4 + O129*Weights!$B$5 + S129*Weights!$B$6 + Y129*Weights!$B$7 + AD129*Weights!$B$8 + AI129*Weights!$B$9,"")</f>
        <v/>
      </c>
      <c r="AK129" s="33">
        <f>IF(AJ129="","",IF(AJ129&gt;=85,"✓✓✓",IF(AJ129&gt;=70,"✓✓",IF(AJ129&gt;=55,"✓",IF(AJ129&gt;=40,"?","✗")))))</f>
        <v/>
      </c>
      <c r="AL129" s="33" t="n">
        <v>5</v>
      </c>
    </row>
    <row r="130">
      <c r="A130" s="33" t="inlineStr">
        <is>
          <t>FORM</t>
        </is>
      </c>
      <c r="B130" s="33" t="inlineStr">
        <is>
          <t>FormFactor, Inc.</t>
        </is>
      </c>
      <c r="C130" s="33" t="inlineStr">
        <is>
          <t>04 Semiconductor Equipment &amp; Materials / Test &amp; measurement</t>
        </is>
      </c>
      <c r="D130" s="33" t="inlineStr">
        <is>
          <t>2026-06-24</t>
        </is>
      </c>
      <c r="E130" s="33" t="n">
        <v>50.66547</v>
      </c>
      <c r="F130" s="33" t="n">
        <v>78.264</v>
      </c>
      <c r="G130" s="33" t="n">
        <v>0.33</v>
      </c>
      <c r="H130" s="33" t="n">
        <v>13.127665</v>
      </c>
      <c r="I130" s="33">
        <f>IF(OR(E131="",R131="",R131&lt;=0,E131&lt;0),"",E131/R131)</f>
        <v/>
      </c>
      <c r="J130" s="33">
        <f>IFERROR(AVERAGE(IFERROR(IF(E130="","",IF(E130&lt;0,5,IF(E130&lt;=15,90,IF(E130&lt;=20,75,IF(E130&lt;=25,60,IF(E130&lt;=30,45,IF(E130&lt;=40,30,IF(E130&lt;=60,15,5)))))))),""),IFERROR(IF(F130="","",IF(F130&lt;0,5,IF(F130&lt;=10,90,IF(F130&lt;=15,75,IF(F130&lt;=20,60,IF(F130&lt;=25,45,IF(F130&lt;=35,30,IF(F130&lt;=50,15,5)))))))),""),IFERROR(IF(G130="","",IF(G130&gt;=8,100,IF(G130&gt;=6,90,IF(G130&gt;=4,75,IF(G130&gt;=2,60,IF(G130&gt;=1,45,IF(G130&gt;=0,30,15))))))),""),IFERROR(IF(H130="","",IF(H130&lt;=2,90,IF(H130&lt;=4,75,IF(H130&lt;=7,60,IF(H130&lt;=10,45,IF(H130&lt;=15,30,IF(H130&lt;=25,15,5))))))),""),IFERROR(IF(I130="","",IF(I130&lt;=0.5,100,IF(I130&lt;=1,90,IF(I130&lt;=1.5,75,IF(I130&lt;=2,60,IF(I130&lt;=2.5,45,IF(I130&lt;=3,30,15))))))),"")),"")</f>
        <v/>
      </c>
      <c r="L130" s="33" t="n">
        <v>42.2</v>
      </c>
      <c r="M130" s="33" t="n">
        <v>4.35</v>
      </c>
      <c r="N130" s="33" t="n">
        <v>-1.98</v>
      </c>
      <c r="O130" s="33">
        <f>IFERROR(AVERAGE(IFERROR(IF(K130="","",IF(K130&gt;=25,100,IF(K130&gt;=20,90,IF(K130&gt;=15,75,IF(K130&gt;=10,60,IF(K130&gt;=5,45,IF(K130&gt;=0,30,15))))))),""),IFERROR(IF(L130="","",IF(L130&gt;=60,100,IF(L130&gt;=50,90,IF(L130&gt;=40,75,IF(L130&gt;=30,60,IF(L130&gt;=20,45,IF(L130&gt;=10,30,15))))))),""),IFERROR(IF(M130="","",IF(M130&gt;=25,100,IF(M130&gt;=20,90,IF(M130&gt;=15,75,IF(M130&gt;=10,60,IF(M130&gt;=5,45,IF(M130&gt;=0,30,15))))))),""),IFERROR(IF(N130="","",IF(N130&lt;=0,100,IF(N130&lt;=1,90,IF(N130&lt;=2,75,IF(N130&lt;=3,60,IF(N130&lt;=4,45,IF(N130&lt;=5,30,15))))))),"")),"")</f>
        <v/>
      </c>
      <c r="P130" s="33" t="n">
        <v>1.62</v>
      </c>
      <c r="Q130" s="33" t="n">
        <v>32</v>
      </c>
      <c r="R130" s="33" t="n">
        <v>218.5</v>
      </c>
      <c r="S130" s="33">
        <f>IFERROR(AVERAGE(IFERROR(IF(P130="","",IF(P130&gt;=40,100,IF(P130&gt;=30,90,IF(P130&gt;=20,75,IF(P130&gt;=15,60,IF(P130&gt;=10,45,IF(P130&gt;=5,30,15))))))),""),IFERROR(IF(Q130="","",IF(Q130&gt;=40,100,IF(Q130&gt;=30,90,IF(Q130&gt;=20,75,IF(Q130&gt;=10,60,IF(Q130&gt;=5,45,IF(Q130&gt;=0,30,15))))))),""),IFERROR(IF(R130="","",IF(R130&gt;=40,100,IF(R130&gt;=30,90,IF(R130&gt;=20,75,IF(R130&gt;=10,60,IF(R130&gt;=0,45,IF(R130&gt;=-10,30,15))))))),"")),"")</f>
        <v/>
      </c>
      <c r="T130" s="33" t="n">
        <v>4</v>
      </c>
      <c r="U130" s="33" t="n">
        <v>4</v>
      </c>
      <c r="V130" s="33" t="n">
        <v>4</v>
      </c>
      <c r="W130" s="33" t="n">
        <v>4</v>
      </c>
      <c r="X130" s="33" t="n">
        <v>3</v>
      </c>
      <c r="Y130" s="33">
        <f>IFERROR(AVERAGE(T130,U130,V130,W130,X130)*20,"")</f>
        <v/>
      </c>
      <c r="Z130" s="33" t="n">
        <v>5</v>
      </c>
      <c r="AA130" s="33" t="n">
        <v>5</v>
      </c>
      <c r="AB130" s="33" t="n">
        <v>3</v>
      </c>
      <c r="AC130" s="71" t="n">
        <v>90.8</v>
      </c>
      <c r="AD130" s="33">
        <f>IFERROR(AVERAGE(IFERROR(IF(Z130="","",Z130*20),""),IFERROR(IF(AA130="","",AA130*20),""),IFERROR(IF(AB130="","",AB130*20),""),IFERROR(IF(AC130="","",IF(AC130&gt;=85,100,IF(AC130&gt;=70,90,IF(AC130&gt;=55,75,IF(AC130&gt;=40,60,IF(AC130&gt;=25,40,20)))))),"")),"")</f>
        <v/>
      </c>
      <c r="AE130" s="33" t="n">
        <v>3</v>
      </c>
      <c r="AF130" s="33" t="n">
        <v>4</v>
      </c>
      <c r="AG130" s="33" t="n">
        <v>5</v>
      </c>
      <c r="AH130" s="33" t="n">
        <v>4</v>
      </c>
      <c r="AI130" s="33">
        <f>IFERROR(AVERAGE(AE130,AF130,AG130,AH130,AL130)*20,"")</f>
        <v/>
      </c>
      <c r="AJ130" s="33">
        <f>IFERROR(J130*Weights!$B$4 + O130*Weights!$B$5 + S130*Weights!$B$6 + Y130*Weights!$B$7 + AD130*Weights!$B$8 + AI130*Weights!$B$9,"")</f>
        <v/>
      </c>
      <c r="AK130" s="33">
        <f>IF(AJ130="","",IF(AJ130&gt;=85,"✓✓✓",IF(AJ130&gt;=70,"✓✓",IF(AJ130&gt;=55,"✓",IF(AJ130&gt;=40,"?","✗")))))</f>
        <v/>
      </c>
      <c r="AL130" s="33" t="n">
        <v>5</v>
      </c>
    </row>
    <row r="131">
      <c r="A131" s="33" t="inlineStr">
        <is>
          <t>AEIS</t>
        </is>
      </c>
      <c r="B131" s="33" t="inlineStr">
        <is>
          <t>Advanced Energy Industries, Inc.</t>
        </is>
      </c>
      <c r="C131" s="33" t="inlineStr">
        <is>
          <t>04 Semiconductor Equipment &amp; Materials / Materials &amp; consumables</t>
        </is>
      </c>
      <c r="D131" s="33" t="inlineStr">
        <is>
          <t>2026-06-24</t>
        </is>
      </c>
      <c r="E131" s="33" t="n">
        <v>30.528875</v>
      </c>
      <c r="F131" s="33" t="n">
        <v>46.304</v>
      </c>
      <c r="G131" s="33" t="n">
        <v>0.47</v>
      </c>
      <c r="H131" s="33" t="n">
        <v>7.5520844</v>
      </c>
      <c r="I131" s="33">
        <f>IF(OR(E132="",R132="",R132&lt;=0,E132&lt;0),"",E132/R132)</f>
        <v/>
      </c>
      <c r="J131" s="33">
        <f>IFERROR(AVERAGE(IFERROR(IF(E131="","",IF(E131&lt;0,5,IF(E131&lt;=15,90,IF(E131&lt;=20,75,IF(E131&lt;=25,60,IF(E131&lt;=30,45,IF(E131&lt;=40,30,IF(E131&lt;=60,15,5)))))))),""),IFERROR(IF(F131="","",IF(F131&lt;0,5,IF(F131&lt;=10,90,IF(F131&lt;=15,75,IF(F131&lt;=20,60,IF(F131&lt;=25,45,IF(F131&lt;=35,30,IF(F131&lt;=50,15,5)))))))),""),IFERROR(IF(G131="","",IF(G131&gt;=8,100,IF(G131&gt;=6,90,IF(G131&gt;=4,75,IF(G131&gt;=2,60,IF(G131&gt;=1,45,IF(G131&gt;=0,30,15))))))),""),IFERROR(IF(H131="","",IF(H131&lt;=2,90,IF(H131&lt;=4,75,IF(H131&lt;=7,60,IF(H131&lt;=10,45,IF(H131&lt;=15,30,IF(H131&lt;=25,15,5))))))),""),IFERROR(IF(I131="","",IF(I131&lt;=0.5,100,IF(I131&lt;=1,90,IF(I131&lt;=1.5,75,IF(I131&lt;=2,60,IF(I131&lt;=2.5,45,IF(I131&lt;=3,30,15))))))),"")),"")</f>
        <v/>
      </c>
      <c r="L131" s="33" t="n">
        <v>39</v>
      </c>
      <c r="M131" s="33" t="n">
        <v>3.58</v>
      </c>
      <c r="N131" s="33" t="n">
        <v>-0.06</v>
      </c>
      <c r="O131" s="33">
        <f>IFERROR(AVERAGE(IFERROR(IF(K131="","",IF(K131&gt;=25,100,IF(K131&gt;=20,90,IF(K131&gt;=15,75,IF(K131&gt;=10,60,IF(K131&gt;=5,45,IF(K131&gt;=0,30,15))))))),""),IFERROR(IF(L131="","",IF(L131&gt;=60,100,IF(L131&gt;=50,90,IF(L131&gt;=40,75,IF(L131&gt;=30,60,IF(L131&gt;=20,45,IF(L131&gt;=10,30,15))))))),""),IFERROR(IF(M131="","",IF(M131&gt;=25,100,IF(M131&gt;=20,90,IF(M131&gt;=15,75,IF(M131&gt;=10,60,IF(M131&gt;=5,45,IF(M131&gt;=0,30,15))))))),""),IFERROR(IF(N131="","",IF(N131&lt;=0,100,IF(N131&lt;=1,90,IF(N131&lt;=2,75,IF(N131&lt;=3,60,IF(N131&lt;=4,45,IF(N131&lt;=5,30,15))))))),"")),"")</f>
        <v/>
      </c>
      <c r="P131" s="33" t="n">
        <v>-0.85</v>
      </c>
      <c r="Q131" s="33" t="n">
        <v>26.3</v>
      </c>
      <c r="R131" s="33" t="n">
        <v>170.4</v>
      </c>
      <c r="S131" s="33">
        <f>IFERROR(AVERAGE(IFERROR(IF(P131="","",IF(P131&gt;=40,100,IF(P131&gt;=30,90,IF(P131&gt;=20,75,IF(P131&gt;=15,60,IF(P131&gt;=10,45,IF(P131&gt;=5,30,15))))))),""),IFERROR(IF(Q131="","",IF(Q131&gt;=40,100,IF(Q131&gt;=30,90,IF(Q131&gt;=20,75,IF(Q131&gt;=10,60,IF(Q131&gt;=5,45,IF(Q131&gt;=0,30,15))))))),""),IFERROR(IF(R131="","",IF(R131&gt;=40,100,IF(R131&gt;=30,90,IF(R131&gt;=20,75,IF(R131&gt;=10,60,IF(R131&gt;=0,45,IF(R131&gt;=-10,30,15))))))),"")),"")</f>
        <v/>
      </c>
      <c r="T131" s="33" t="n">
        <v>4</v>
      </c>
      <c r="U131" s="33" t="n">
        <v>4</v>
      </c>
      <c r="V131" s="33" t="n">
        <v>3</v>
      </c>
      <c r="W131" s="33" t="n">
        <v>5</v>
      </c>
      <c r="X131" s="33" t="n">
        <v>4</v>
      </c>
      <c r="Y131" s="33">
        <f>IFERROR(AVERAGE(T131,U131,V131,W131,X131)*20,"")</f>
        <v/>
      </c>
      <c r="Z131" s="33" t="n">
        <v>5</v>
      </c>
      <c r="AA131" s="33" t="n">
        <v>5</v>
      </c>
      <c r="AB131" s="33" t="n">
        <v>3</v>
      </c>
      <c r="AC131" s="71" t="n">
        <v>79.2</v>
      </c>
      <c r="AD131" s="33">
        <f>IFERROR(AVERAGE(IFERROR(IF(Z131="","",Z131*20),""),IFERROR(IF(AA131="","",AA131*20),""),IFERROR(IF(AB131="","",AB131*20),""),IFERROR(IF(AC131="","",IF(AC131&gt;=85,100,IF(AC131&gt;=70,90,IF(AC131&gt;=55,75,IF(AC131&gt;=40,60,IF(AC131&gt;=25,40,20)))))),"")),"")</f>
        <v/>
      </c>
      <c r="AE131" s="33" t="n">
        <v>3</v>
      </c>
      <c r="AF131" s="33" t="n">
        <v>3</v>
      </c>
      <c r="AG131" s="33" t="n">
        <v>5</v>
      </c>
      <c r="AH131" s="33" t="n">
        <v>4</v>
      </c>
      <c r="AI131" s="33">
        <f>IFERROR(AVERAGE(AE131,AF131,AG131,AH131,AL131)*20,"")</f>
        <v/>
      </c>
      <c r="AJ131" s="33">
        <f>IFERROR(J131*Weights!$B$4 + O131*Weights!$B$5 + S131*Weights!$B$6 + Y131*Weights!$B$7 + AD131*Weights!$B$8 + AI131*Weights!$B$9,"")</f>
        <v/>
      </c>
      <c r="AK131" s="33">
        <f>IF(AJ131="","",IF(AJ131&gt;=85,"✓✓✓",IF(AJ131&gt;=70,"✓✓",IF(AJ131&gt;=55,"✓",IF(AJ131&gt;=40,"?","✗")))))</f>
        <v/>
      </c>
      <c r="AL131" s="33" t="n">
        <v>5</v>
      </c>
    </row>
    <row r="132">
      <c r="A132" s="33" t="inlineStr">
        <is>
          <t>NVTS</t>
        </is>
      </c>
      <c r="B132" s="33" t="inlineStr">
        <is>
          <t>Navitas Semiconductor Corporation</t>
        </is>
      </c>
      <c r="C132" s="33" t="inlineStr">
        <is>
          <t>06 AI Compute Silicon / Power management silicon</t>
        </is>
      </c>
      <c r="D132" s="33" t="inlineStr">
        <is>
          <t>2026-06-24</t>
        </is>
      </c>
      <c r="E132" s="33" t="n">
        <v>-132.25526</v>
      </c>
      <c r="F132" s="33" t="n">
        <v>-63.116</v>
      </c>
      <c r="G132" s="33" t="n">
        <v>-1.07</v>
      </c>
      <c r="H132" s="33" t="n">
        <v>110.181984</v>
      </c>
      <c r="I132" s="33">
        <f>IF(OR(E133="",R133="",R133&lt;=0,E133&lt;0),"",E133/R133)</f>
        <v/>
      </c>
      <c r="J132" s="33">
        <f>IFERROR(AVERAGE(IFERROR(IF(E132="","",IF(E132&lt;0,5,IF(E132&lt;=15,90,IF(E132&lt;=20,75,IF(E132&lt;=25,60,IF(E132&lt;=30,45,IF(E132&lt;=40,30,IF(E132&lt;=60,15,5)))))))),""),IFERROR(IF(F132="","",IF(F132&lt;0,5,IF(F132&lt;=10,90,IF(F132&lt;=15,75,IF(F132&lt;=20,60,IF(F132&lt;=25,45,IF(F132&lt;=35,30,IF(F132&lt;=50,15,5)))))))),""),IFERROR(IF(G132="","",IF(G132&gt;=8,100,IF(G132&gt;=6,90,IF(G132&gt;=4,75,IF(G132&gt;=2,60,IF(G132&gt;=1,45,IF(G132&gt;=0,30,15))))))),""),IFERROR(IF(H132="","",IF(H132&lt;=2,90,IF(H132&lt;=4,75,IF(H132&lt;=7,60,IF(H132&lt;=10,45,IF(H132&lt;=15,30,IF(H132&lt;=25,15,5))))))),""),IFERROR(IF(I132="","",IF(I132&lt;=0.5,100,IF(I132&lt;=1,90,IF(I132&lt;=1.5,75,IF(I132&lt;=2,60,IF(I132&lt;=2.5,45,IF(I132&lt;=3,30,15))))))),"")),"")</f>
        <v/>
      </c>
      <c r="L132" s="33" t="n">
        <v>30.07</v>
      </c>
      <c r="M132" s="33" t="n">
        <v>-117.41</v>
      </c>
      <c r="O132" s="33">
        <f>IFERROR(AVERAGE(IFERROR(IF(K132="","",IF(K132&gt;=25,100,IF(K132&gt;=20,90,IF(K132&gt;=15,75,IF(K132&gt;=10,60,IF(K132&gt;=5,45,IF(K132&gt;=0,30,15))))))),""),IFERROR(IF(L132="","",IF(L132&gt;=60,100,IF(L132&gt;=50,90,IF(L132&gt;=40,75,IF(L132&gt;=30,60,IF(L132&gt;=20,45,IF(L132&gt;=10,30,15))))))),""),IFERROR(IF(M132="","",IF(M132&gt;=25,100,IF(M132&gt;=20,90,IF(M132&gt;=15,75,IF(M132&gt;=10,60,IF(M132&gt;=5,45,IF(M132&gt;=0,30,15))))))),""),IFERROR(IF(N132="","",IF(N132&lt;=0,100,IF(N132&lt;=1,90,IF(N132&lt;=2,75,IF(N132&lt;=3,60,IF(N132&lt;=4,45,IF(N132&lt;=5,30,15))))))),"")),"")</f>
        <v/>
      </c>
      <c r="P132" s="33" t="n">
        <v>6.56</v>
      </c>
      <c r="Q132" s="33" t="n">
        <v>-38.7</v>
      </c>
      <c r="S132" s="33">
        <f>IFERROR(AVERAGE(IFERROR(IF(P132="","",IF(P132&gt;=40,100,IF(P132&gt;=30,90,IF(P132&gt;=20,75,IF(P132&gt;=15,60,IF(P132&gt;=10,45,IF(P132&gt;=5,30,15))))))),""),IFERROR(IF(Q132="","",IF(Q132&gt;=40,100,IF(Q132&gt;=30,90,IF(Q132&gt;=20,75,IF(Q132&gt;=10,60,IF(Q132&gt;=5,45,IF(Q132&gt;=0,30,15))))))),""),IFERROR(IF(R132="","",IF(R132&gt;=40,100,IF(R132&gt;=30,90,IF(R132&gt;=20,75,IF(R132&gt;=10,60,IF(R132&gt;=0,45,IF(R132&gt;=-10,30,15))))))),"")),"")</f>
        <v/>
      </c>
      <c r="T132" s="33" t="n">
        <v>2</v>
      </c>
      <c r="U132" s="33" t="n">
        <v>2</v>
      </c>
      <c r="V132" s="33" t="n">
        <v>2</v>
      </c>
      <c r="W132" s="33" t="n">
        <v>3</v>
      </c>
      <c r="X132" s="33" t="n">
        <v>2</v>
      </c>
      <c r="Y132" s="33">
        <f>IFERROR(AVERAGE(T132,U132,V132,W132,X132)*20,"")</f>
        <v/>
      </c>
      <c r="Z132" s="33" t="n">
        <v>4</v>
      </c>
      <c r="AA132" s="33" t="n">
        <v>5</v>
      </c>
      <c r="AB132" s="33" t="n">
        <v>3</v>
      </c>
      <c r="AC132" s="71" t="n">
        <v>70</v>
      </c>
      <c r="AD132" s="33">
        <f>IFERROR(AVERAGE(IFERROR(IF(Z132="","",Z132*20),""),IFERROR(IF(AA132="","",AA132*20),""),IFERROR(IF(AB132="","",AB132*20),""),IFERROR(IF(AC132="","",IF(AC132&gt;=85,100,IF(AC132&gt;=70,90,IF(AC132&gt;=55,75,IF(AC132&gt;=40,60,IF(AC132&gt;=25,40,20)))))),"")),"")</f>
        <v/>
      </c>
      <c r="AE132" s="33" t="n">
        <v>3</v>
      </c>
      <c r="AF132" s="33" t="n">
        <v>3</v>
      </c>
      <c r="AG132" s="33" t="n">
        <v>3</v>
      </c>
      <c r="AH132" s="33" t="n">
        <v>4</v>
      </c>
      <c r="AI132" s="33">
        <f>IFERROR(AVERAGE(AE132,AF132,AG132,AH132,AL132)*20,"")</f>
        <v/>
      </c>
      <c r="AJ132" s="33">
        <f>IFERROR(J132*Weights!$B$4 + O132*Weights!$B$5 + S132*Weights!$B$6 + Y132*Weights!$B$7 + AD132*Weights!$B$8 + AI132*Weights!$B$9,"")</f>
        <v/>
      </c>
      <c r="AK132" s="33">
        <f>IF(AJ132="","",IF(AJ132&gt;=85,"✓✓✓",IF(AJ132&gt;=70,"✓✓",IF(AJ132&gt;=55,"✓",IF(AJ132&gt;=40,"?","✗")))))</f>
        <v/>
      </c>
      <c r="AL132" s="33" t="n">
        <v>5</v>
      </c>
    </row>
    <row r="133">
      <c r="A133" s="33" t="inlineStr">
        <is>
          <t>LSCC</t>
        </is>
      </c>
      <c r="B133" s="33" t="inlineStr">
        <is>
          <t>Lattice Semiconductor Corporation</t>
        </is>
      </c>
      <c r="C133" s="33" t="inlineStr">
        <is>
          <t>06 AI Compute Silicon / Programmable logic</t>
        </is>
      </c>
      <c r="D133" s="33" t="inlineStr">
        <is>
          <t>2026-06-24</t>
        </is>
      </c>
      <c r="E133" s="33" t="n">
        <v>62.27501</v>
      </c>
      <c r="F133" s="33" t="n">
        <v>279.671</v>
      </c>
      <c r="G133" s="33" t="n">
        <v>0.65</v>
      </c>
      <c r="H133" s="33" t="n">
        <v>34.354057</v>
      </c>
      <c r="I133" s="33">
        <f>IF(OR(E134="",R134="",R134&lt;=0,E134&lt;0),"",E134/R134)</f>
        <v/>
      </c>
      <c r="J133" s="33">
        <f>IFERROR(AVERAGE(IFERROR(IF(E133="","",IF(E133&lt;0,5,IF(E133&lt;=15,90,IF(E133&lt;=20,75,IF(E133&lt;=25,60,IF(E133&lt;=30,45,IF(E133&lt;=40,30,IF(E133&lt;=60,15,5)))))))),""),IFERROR(IF(F133="","",IF(F133&lt;0,5,IF(F133&lt;=10,90,IF(F133&lt;=15,75,IF(F133&lt;=20,60,IF(F133&lt;=25,45,IF(F133&lt;=35,30,IF(F133&lt;=50,15,5)))))))),""),IFERROR(IF(G133="","",IF(G133&gt;=8,100,IF(G133&gt;=6,90,IF(G133&gt;=4,75,IF(G133&gt;=2,60,IF(G133&gt;=1,45,IF(G133&gt;=0,30,15))))))),""),IFERROR(IF(H133="","",IF(H133&lt;=2,90,IF(H133&lt;=4,75,IF(H133&lt;=7,60,IF(H133&lt;=10,45,IF(H133&lt;=15,30,IF(H133&lt;=25,15,5))))))),""),IFERROR(IF(I133="","",IF(I133&lt;=0.5,100,IF(I133&lt;=1,90,IF(I133&lt;=1.5,75,IF(I133&lt;=2,60,IF(I133&lt;=2.5,45,IF(I133&lt;=3,30,15))))))),"")),"")</f>
        <v/>
      </c>
      <c r="L133" s="33" t="n">
        <v>68.44</v>
      </c>
      <c r="M133" s="33" t="n">
        <v>22.27</v>
      </c>
      <c r="N133" s="33" t="n">
        <v>-1.43</v>
      </c>
      <c r="O133" s="33">
        <f>IFERROR(AVERAGE(IFERROR(IF(K133="","",IF(K133&gt;=25,100,IF(K133&gt;=20,90,IF(K133&gt;=15,75,IF(K133&gt;=10,60,IF(K133&gt;=5,45,IF(K133&gt;=0,30,15))))))),""),IFERROR(IF(L133="","",IF(L133&gt;=60,100,IF(L133&gt;=50,90,IF(L133&gt;=40,75,IF(L133&gt;=30,60,IF(L133&gt;=20,45,IF(L133&gt;=10,30,15))))))),""),IFERROR(IF(M133="","",IF(M133&gt;=25,100,IF(M133&gt;=20,90,IF(M133&gt;=15,75,IF(M133&gt;=10,60,IF(M133&gt;=5,45,IF(M133&gt;=0,30,15))))))),""),IFERROR(IF(N133="","",IF(N133&lt;=0,100,IF(N133&lt;=1,90,IF(N133&lt;=2,75,IF(N133&lt;=3,60,IF(N133&lt;=4,45,IF(N133&lt;=5,30,15))))))),"")),"")</f>
        <v/>
      </c>
      <c r="P133" s="33" t="n">
        <v>-7.46</v>
      </c>
      <c r="Q133" s="33" t="n">
        <v>42.2</v>
      </c>
      <c r="R133" s="33" t="n">
        <v>334.4</v>
      </c>
      <c r="S133" s="33">
        <f>IFERROR(AVERAGE(IFERROR(IF(P133="","",IF(P133&gt;=40,100,IF(P133&gt;=30,90,IF(P133&gt;=20,75,IF(P133&gt;=15,60,IF(P133&gt;=10,45,IF(P133&gt;=5,30,15))))))),""),IFERROR(IF(Q133="","",IF(Q133&gt;=40,100,IF(Q133&gt;=30,90,IF(Q133&gt;=20,75,IF(Q133&gt;=10,60,IF(Q133&gt;=5,45,IF(Q133&gt;=0,30,15))))))),""),IFERROR(IF(R133="","",IF(R133&gt;=40,100,IF(R133&gt;=30,90,IF(R133&gt;=20,75,IF(R133&gt;=10,60,IF(R133&gt;=0,45,IF(R133&gt;=-10,30,15))))))),"")),"")</f>
        <v/>
      </c>
      <c r="T133" s="33" t="n">
        <v>4</v>
      </c>
      <c r="U133" s="33" t="n">
        <v>4</v>
      </c>
      <c r="V133" s="33" t="n">
        <v>4</v>
      </c>
      <c r="W133" s="33" t="n">
        <v>3</v>
      </c>
      <c r="X133" s="33" t="n">
        <v>4</v>
      </c>
      <c r="Y133" s="33">
        <f>IFERROR(AVERAGE(T133,U133,V133,W133,X133)*20,"")</f>
        <v/>
      </c>
      <c r="Z133" s="33" t="n">
        <v>5</v>
      </c>
      <c r="AA133" s="33" t="n">
        <v>5</v>
      </c>
      <c r="AB133" s="33" t="n">
        <v>4</v>
      </c>
      <c r="AC133" s="71" t="n">
        <v>95</v>
      </c>
      <c r="AD133" s="33">
        <f>IFERROR(AVERAGE(IFERROR(IF(Z133="","",Z133*20),""),IFERROR(IF(AA133="","",AA133*20),""),IFERROR(IF(AB133="","",AB133*20),""),IFERROR(IF(AC133="","",IF(AC133&gt;=85,100,IF(AC133&gt;=70,90,IF(AC133&gt;=55,75,IF(AC133&gt;=40,60,IF(AC133&gt;=25,40,20)))))),"")),"")</f>
        <v/>
      </c>
      <c r="AE133" s="33" t="n">
        <v>4</v>
      </c>
      <c r="AF133" s="33" t="n">
        <v>3</v>
      </c>
      <c r="AG133" s="33" t="n">
        <v>3</v>
      </c>
      <c r="AH133" s="33" t="n">
        <v>4</v>
      </c>
      <c r="AI133" s="33">
        <f>IFERROR(AVERAGE(AE133,AF133,AG133,AH133,AL133)*20,"")</f>
        <v/>
      </c>
      <c r="AJ133" s="33">
        <f>IFERROR(J133*Weights!$B$4 + O133*Weights!$B$5 + S133*Weights!$B$6 + Y133*Weights!$B$7 + AD133*Weights!$B$8 + AI133*Weights!$B$9,"")</f>
        <v/>
      </c>
      <c r="AK133" s="33">
        <f>IF(AJ133="","",IF(AJ133&gt;=85,"✓✓✓",IF(AJ133&gt;=70,"✓✓",IF(AJ133&gt;=55,"✓",IF(AJ133&gt;=40,"?","✗")))))</f>
        <v/>
      </c>
      <c r="AL133" s="33" t="n">
        <v>5</v>
      </c>
    </row>
    <row r="134">
      <c r="A134" s="33" t="inlineStr">
        <is>
          <t>RMBS</t>
        </is>
      </c>
      <c r="B134" s="33" t="inlineStr">
        <is>
          <t>Rambus Inc.</t>
        </is>
      </c>
      <c r="C134" s="33" t="inlineStr">
        <is>
          <t>06 AI Compute Silicon / Memory (HBM is the bottleneck)</t>
        </is>
      </c>
      <c r="D134" s="33" t="inlineStr">
        <is>
          <t>2026-06-24</t>
        </is>
      </c>
      <c r="E134" s="33" t="n">
        <v>33.940716</v>
      </c>
      <c r="F134" s="33" t="n">
        <v>42.025</v>
      </c>
      <c r="G134" s="33" t="n">
        <v>2.49</v>
      </c>
      <c r="H134" s="33" t="n">
        <v>18.671734</v>
      </c>
      <c r="I134" s="33">
        <f>IF(OR(E135="",R135="",R135&lt;=0,E135&lt;0),"",E135/R135)</f>
        <v/>
      </c>
      <c r="J134" s="33">
        <f>IFERROR(AVERAGE(IFERROR(IF(E134="","",IF(E134&lt;0,5,IF(E134&lt;=15,90,IF(E134&lt;=20,75,IF(E134&lt;=25,60,IF(E134&lt;=30,45,IF(E134&lt;=40,30,IF(E134&lt;=60,15,5)))))))),""),IFERROR(IF(F134="","",IF(F134&lt;0,5,IF(F134&lt;=10,90,IF(F134&lt;=15,75,IF(F134&lt;=20,60,IF(F134&lt;=25,45,IF(F134&lt;=35,30,IF(F134&lt;=50,15,5)))))))),""),IFERROR(IF(G134="","",IF(G134&gt;=8,100,IF(G134&gt;=6,90,IF(G134&gt;=4,75,IF(G134&gt;=2,60,IF(G134&gt;=1,45,IF(G134&gt;=0,30,15))))))),""),IFERROR(IF(H134="","",IF(H134&lt;=2,90,IF(H134&lt;=4,75,IF(H134&lt;=7,60,IF(H134&lt;=10,45,IF(H134&lt;=15,30,IF(H134&lt;=25,15,5))))))),""),IFERROR(IF(I134="","",IF(I134&lt;=0.5,100,IF(I134&lt;=1,90,IF(I134&lt;=1.5,75,IF(I134&lt;=2,60,IF(I134&lt;=2.5,45,IF(I134&lt;=3,30,15))))))),"")),"")</f>
        <v/>
      </c>
      <c r="L134" s="33" t="n">
        <v>80.41</v>
      </c>
      <c r="M134" s="33" t="n">
        <v>46.48</v>
      </c>
      <c r="N134" s="33" t="n">
        <v>-2.52</v>
      </c>
      <c r="O134" s="33">
        <f>IFERROR(AVERAGE(IFERROR(IF(K134="","",IF(K134&gt;=25,100,IF(K134&gt;=20,90,IF(K134&gt;=15,75,IF(K134&gt;=10,60,IF(K134&gt;=5,45,IF(K134&gt;=0,30,15))))))),""),IFERROR(IF(L134="","",IF(L134&gt;=60,100,IF(L134&gt;=50,90,IF(L134&gt;=40,75,IF(L134&gt;=30,60,IF(L134&gt;=20,45,IF(L134&gt;=10,30,15))))))),""),IFERROR(IF(M134="","",IF(M134&gt;=25,100,IF(M134&gt;=20,90,IF(M134&gt;=15,75,IF(M134&gt;=10,60,IF(M134&gt;=5,45,IF(M134&gt;=0,30,15))))))),""),IFERROR(IF(N134="","",IF(N134&lt;=0,100,IF(N134&lt;=1,90,IF(N134&lt;=2,75,IF(N134&lt;=3,60,IF(N134&lt;=4,45,IF(N134&lt;=5,30,15))))))),"")),"")</f>
        <v/>
      </c>
      <c r="P134" s="33" t="n">
        <v>15.88</v>
      </c>
      <c r="Q134" s="33" t="n">
        <v>8.1</v>
      </c>
      <c r="R134" s="33" t="n">
        <v>-0.7</v>
      </c>
      <c r="S134" s="33">
        <f>IFERROR(AVERAGE(IFERROR(IF(P134="","",IF(P134&gt;=40,100,IF(P134&gt;=30,90,IF(P134&gt;=20,75,IF(P134&gt;=15,60,IF(P134&gt;=10,45,IF(P134&gt;=5,30,15))))))),""),IFERROR(IF(Q134="","",IF(Q134&gt;=40,100,IF(Q134&gt;=30,90,IF(Q134&gt;=20,75,IF(Q134&gt;=10,60,IF(Q134&gt;=5,45,IF(Q134&gt;=0,30,15))))))),""),IFERROR(IF(R134="","",IF(R134&gt;=40,100,IF(R134&gt;=30,90,IF(R134&gt;=20,75,IF(R134&gt;=10,60,IF(R134&gt;=0,45,IF(R134&gt;=-10,30,15))))))),"")),"")</f>
        <v/>
      </c>
      <c r="T134" s="33" t="n">
        <v>3</v>
      </c>
      <c r="U134" s="33" t="n">
        <v>4</v>
      </c>
      <c r="V134" s="33" t="n">
        <v>4</v>
      </c>
      <c r="W134" s="33" t="n">
        <v>3</v>
      </c>
      <c r="X134" s="33" t="n">
        <v>3</v>
      </c>
      <c r="Y134" s="33">
        <f>IFERROR(AVERAGE(T134,U134,V134,W134,X134)*20,"")</f>
        <v/>
      </c>
      <c r="Z134" s="33" t="n">
        <v>4</v>
      </c>
      <c r="AA134" s="33" t="n">
        <v>4</v>
      </c>
      <c r="AB134" s="33" t="n">
        <v>3</v>
      </c>
      <c r="AC134" s="71" t="n">
        <v>59.2</v>
      </c>
      <c r="AD134" s="33">
        <f>IFERROR(AVERAGE(IFERROR(IF(Z134="","",Z134*20),""),IFERROR(IF(AA134="","",AA134*20),""),IFERROR(IF(AB134="","",AB134*20),""),IFERROR(IF(AC134="","",IF(AC134&gt;=85,100,IF(AC134&gt;=70,90,IF(AC134&gt;=55,75,IF(AC134&gt;=40,60,IF(AC134&gt;=25,40,20)))))),"")),"")</f>
        <v/>
      </c>
      <c r="AE134" s="33" t="n">
        <v>4</v>
      </c>
      <c r="AF134" s="33" t="n">
        <v>4</v>
      </c>
      <c r="AG134" s="33" t="n">
        <v>5</v>
      </c>
      <c r="AH134" s="33" t="n">
        <v>4</v>
      </c>
      <c r="AI134" s="33">
        <f>IFERROR(AVERAGE(AE134,AF134,AG134,AH134,AL134)*20,"")</f>
        <v/>
      </c>
      <c r="AJ134" s="33">
        <f>IFERROR(J134*Weights!$B$4 + O134*Weights!$B$5 + S134*Weights!$B$6 + Y134*Weights!$B$7 + AD134*Weights!$B$8 + AI134*Weights!$B$9,"")</f>
        <v/>
      </c>
      <c r="AK134" s="33">
        <f>IF(AJ134="","",IF(AJ134&gt;=85,"✓✓✓",IF(AJ134&gt;=70,"✓✓",IF(AJ134&gt;=55,"✓",IF(AJ134&gt;=40,"?","✗")))))</f>
        <v/>
      </c>
      <c r="AL134" s="33" t="n">
        <v>5</v>
      </c>
    </row>
    <row r="135">
      <c r="A135" s="33" t="inlineStr">
        <is>
          <t>STX</t>
        </is>
      </c>
      <c r="B135" s="33" t="inlineStr">
        <is>
          <t>Seagate Technology Holdings plc</t>
        </is>
      </c>
      <c r="C135" s="33" t="inlineStr">
        <is>
          <t>08 Servers, Systems &amp; Liquid Cooling / Storage infrastructure</t>
        </is>
      </c>
      <c r="D135" s="33" t="inlineStr">
        <is>
          <t>2026-06-24</t>
        </is>
      </c>
      <c r="E135" s="33" t="n">
        <v>36.66582</v>
      </c>
      <c r="F135" s="33" t="n">
        <v>64.255</v>
      </c>
      <c r="G135" s="33" t="n">
        <v>1.08</v>
      </c>
      <c r="H135" s="33" t="n">
        <v>20.22847</v>
      </c>
      <c r="I135" s="33">
        <f>IF(OR(E136="",R136="",R136&lt;=0,E136&lt;0),"",E136/R136)</f>
        <v/>
      </c>
      <c r="J135" s="33">
        <f>IFERROR(AVERAGE(IFERROR(IF(E135="","",IF(E135&lt;0,5,IF(E135&lt;=15,90,IF(E135&lt;=20,75,IF(E135&lt;=25,60,IF(E135&lt;=30,45,IF(E135&lt;=40,30,IF(E135&lt;=60,15,5)))))))),""),IFERROR(IF(F135="","",IF(F135&lt;0,5,IF(F135&lt;=10,90,IF(F135&lt;=15,75,IF(F135&lt;=20,60,IF(F135&lt;=25,45,IF(F135&lt;=35,30,IF(F135&lt;=50,15,5)))))))),""),IFERROR(IF(G135="","",IF(G135&gt;=8,100,IF(G135&gt;=6,90,IF(G135&gt;=4,75,IF(G135&gt;=2,60,IF(G135&gt;=1,45,IF(G135&gt;=0,30,15))))))),""),IFERROR(IF(H135="","",IF(H135&lt;=2,90,IF(H135&lt;=4,75,IF(H135&lt;=7,60,IF(H135&lt;=10,45,IF(H135&lt;=15,30,IF(H135&lt;=25,15,5))))))),""),IFERROR(IF(I135="","",IF(I135&lt;=0.5,100,IF(I135&lt;=1,90,IF(I135&lt;=1.5,75,IF(I135&lt;=2,60,IF(I135&lt;=2.5,45,IF(I135&lt;=3,30,15))))))),"")),"")</f>
        <v/>
      </c>
      <c r="L135" s="33" t="n">
        <v>41.57</v>
      </c>
      <c r="M135" s="33" t="n">
        <v>21.91</v>
      </c>
      <c r="N135" s="33" t="n">
        <v>0.86</v>
      </c>
      <c r="O135" s="33">
        <f>IFERROR(AVERAGE(IFERROR(IF(K135="","",IF(K135&gt;=25,100,IF(K135&gt;=20,90,IF(K135&gt;=15,75,IF(K135&gt;=10,60,IF(K135&gt;=5,45,IF(K135&gt;=0,30,15))))))),""),IFERROR(IF(L135="","",IF(L135&gt;=60,100,IF(L135&gt;=50,90,IF(L135&gt;=40,75,IF(L135&gt;=30,60,IF(L135&gt;=20,45,IF(L135&gt;=10,30,15))))))),""),IFERROR(IF(M135="","",IF(M135&gt;=25,100,IF(M135&gt;=20,90,IF(M135&gt;=15,75,IF(M135&gt;=10,60,IF(M135&gt;=5,45,IF(M135&gt;=0,30,15))))))),""),IFERROR(IF(N135="","",IF(N135&lt;=0,100,IF(N135&lt;=1,90,IF(N135&lt;=2,75,IF(N135&lt;=3,60,IF(N135&lt;=4,45,IF(N135&lt;=5,30,15))))))),"")),"")</f>
        <v/>
      </c>
      <c r="P135" s="33" t="n">
        <v>-7.94</v>
      </c>
      <c r="Q135" s="33" t="n">
        <v>44.1</v>
      </c>
      <c r="R135" s="33" t="n">
        <v>120</v>
      </c>
      <c r="S135" s="33">
        <f>IFERROR(AVERAGE(IFERROR(IF(P135="","",IF(P135&gt;=40,100,IF(P135&gt;=30,90,IF(P135&gt;=20,75,IF(P135&gt;=15,60,IF(P135&gt;=10,45,IF(P135&gt;=5,30,15))))))),""),IFERROR(IF(Q135="","",IF(Q135&gt;=40,100,IF(Q135&gt;=30,90,IF(Q135&gt;=20,75,IF(Q135&gt;=10,60,IF(Q135&gt;=5,45,IF(Q135&gt;=0,30,15))))))),""),IFERROR(IF(R135="","",IF(R135&gt;=40,100,IF(R135&gt;=30,90,IF(R135&gt;=20,75,IF(R135&gt;=10,60,IF(R135&gt;=0,45,IF(R135&gt;=-10,30,15))))))),"")),"")</f>
        <v/>
      </c>
      <c r="T135" s="33" t="n">
        <v>4</v>
      </c>
      <c r="U135" s="33" t="n">
        <v>4</v>
      </c>
      <c r="V135" s="33" t="n">
        <v>4</v>
      </c>
      <c r="W135" s="33" t="n">
        <v>4</v>
      </c>
      <c r="X135" s="33" t="n">
        <v>5</v>
      </c>
      <c r="Y135" s="33">
        <f>IFERROR(AVERAGE(T135,U135,V135,W135,X135)*20,"")</f>
        <v/>
      </c>
      <c r="Z135" s="33" t="n">
        <v>5</v>
      </c>
      <c r="AA135" s="33" t="n">
        <v>5</v>
      </c>
      <c r="AB135" s="33" t="n">
        <v>3</v>
      </c>
      <c r="AC135" s="71" t="n">
        <v>95</v>
      </c>
      <c r="AD135" s="33">
        <f>IFERROR(AVERAGE(IFERROR(IF(Z135="","",Z135*20),""),IFERROR(IF(AA135="","",AA135*20),""),IFERROR(IF(AB135="","",AB135*20),""),IFERROR(IF(AC135="","",IF(AC135&gt;=85,100,IF(AC135&gt;=70,90,IF(AC135&gt;=55,75,IF(AC135&gt;=40,60,IF(AC135&gt;=25,40,20)))))),"")),"")</f>
        <v/>
      </c>
      <c r="AE135" s="33" t="n">
        <v>2</v>
      </c>
      <c r="AF135" s="33" t="n">
        <v>4</v>
      </c>
      <c r="AG135" s="33" t="n">
        <v>4</v>
      </c>
      <c r="AH135" s="33" t="n">
        <v>4</v>
      </c>
      <c r="AI135" s="33">
        <f>IFERROR(AVERAGE(AE135,AF135,AG135,AH135,AL135)*20,"")</f>
        <v/>
      </c>
      <c r="AJ135" s="33">
        <f>IFERROR(J135*Weights!$B$4 + O135*Weights!$B$5 + S135*Weights!$B$6 + Y135*Weights!$B$7 + AD135*Weights!$B$8 + AI135*Weights!$B$9,"")</f>
        <v/>
      </c>
      <c r="AK135" s="33">
        <f>IF(AJ135="","",IF(AJ135&gt;=85,"✓✓✓",IF(AJ135&gt;=70,"✓✓",IF(AJ135&gt;=55,"✓",IF(AJ135&gt;=40,"?","✗")))))</f>
        <v/>
      </c>
      <c r="AL135" s="33" t="n">
        <v>5</v>
      </c>
    </row>
    <row r="136">
      <c r="A136" s="33" t="inlineStr">
        <is>
          <t>TEM</t>
        </is>
      </c>
      <c r="B136" s="33" t="inlineStr">
        <is>
          <t>Tempus AI, Inc.</t>
        </is>
      </c>
      <c r="C136" s="33" t="inlineStr">
        <is>
          <t>10 Models, Software &amp; Applications / AI-native vertical applications</t>
        </is>
      </c>
      <c r="D136" s="33" t="inlineStr">
        <is>
          <t>2026-06-24</t>
        </is>
      </c>
      <c r="E136" s="33" t="n">
        <v>-486.92227</v>
      </c>
      <c r="F136" s="33" t="n">
        <v>-45.5</v>
      </c>
      <c r="G136" s="33" t="n">
        <v>-2.36</v>
      </c>
      <c r="H136" s="33" t="n">
        <v>6.8368373</v>
      </c>
      <c r="I136" s="33">
        <f>IF(OR(E137="",R137="",R137&lt;=0,E137&lt;0),"",E137/R137)</f>
        <v/>
      </c>
      <c r="J136" s="33">
        <f>IFERROR(AVERAGE(IFERROR(IF(E136="","",IF(E136&lt;0,5,IF(E136&lt;=15,90,IF(E136&lt;=20,75,IF(E136&lt;=25,60,IF(E136&lt;=30,45,IF(E136&lt;=40,30,IF(E136&lt;=60,15,5)))))))),""),IFERROR(IF(F136="","",IF(F136&lt;0,5,IF(F136&lt;=20,100,IF(F136&lt;=30,90,IF(F136&lt;=40,75,IF(F136&lt;=55,60,IF(F136&lt;=75,45,IF(F136&lt;=100,30,15)))))))),""),IFERROR(IF(G136="","",IF(G136&gt;=8,100,IF(G136&gt;=6,90,IF(G136&gt;=4,75,IF(G136&gt;=2,60,IF(G136&gt;=1,45,IF(G136&gt;=0,30,15))))))),""),IFERROR(IF(H136="","",IF(H136&lt;=2,90,IF(H136&lt;=4,75,IF(H136&lt;=7,60,IF(H136&lt;=10,45,IF(H136&lt;=15,30,IF(H136&lt;=25,15,5))))))),""),IFERROR(IF(I136="","",IF(I136&lt;=0.5,100,IF(I136&lt;=1,90,IF(I136&lt;=1.5,75,IF(I136&lt;=2,60,IF(I136&lt;=2.5,45,IF(I136&lt;=3,30,15))))))),"")),"")</f>
        <v/>
      </c>
      <c r="L136" s="33" t="n">
        <v>63.39</v>
      </c>
      <c r="M136" s="33" t="n">
        <v>-16.11</v>
      </c>
      <c r="O136" s="33">
        <f>IFERROR(AVERAGE(IFERROR(IF(K136="","",IF(K136&gt;=25,100,IF(K136&gt;=20,90,IF(K136&gt;=15,75,IF(K136&gt;=10,60,IF(K136&gt;=5,45,IF(K136&gt;=0,30,15))))))),""),IFERROR(IF(L136="","",IF(L136&gt;=60,100,IF(L136&gt;=50,90,IF(L136&gt;=40,75,IF(L136&gt;=30,60,IF(L136&gt;=20,45,IF(L136&gt;=10,30,15))))))),""),IFERROR(IF(M136="","",IF(M136&gt;=25,100,IF(M136&gt;=20,90,IF(M136&gt;=15,75,IF(M136&gt;=10,60,IF(M136&gt;=5,45,IF(M136&gt;=0,30,15))))))),""),IFERROR(IF(N136="","",IF(N136&lt;=0,100,IF(N136&lt;=1,90,IF(N136&lt;=2,75,IF(N136&lt;=3,60,IF(N136&lt;=4,45,IF(N136&lt;=5,30,15))))))),"")),"")</f>
        <v/>
      </c>
      <c r="P136" s="33" t="n">
        <v>58.29</v>
      </c>
      <c r="Q136" s="33" t="n">
        <v>36.1</v>
      </c>
      <c r="S136" s="33">
        <f>IFERROR(AVERAGE(IFERROR(IF(P136="","",IF(P136&gt;=40,100,IF(P136&gt;=30,90,IF(P136&gt;=20,75,IF(P136&gt;=15,60,IF(P136&gt;=10,45,IF(P136&gt;=5,30,15))))))),""),IFERROR(IF(Q136="","",IF(Q136&gt;=40,100,IF(Q136&gt;=30,90,IF(Q136&gt;=20,75,IF(Q136&gt;=10,60,IF(Q136&gt;=5,45,IF(Q136&gt;=0,30,15))))))),""),IFERROR(IF(R136="","",IF(R136&gt;=40,100,IF(R136&gt;=30,90,IF(R136&gt;=20,75,IF(R136&gt;=10,60,IF(R136&gt;=0,45,IF(R136&gt;=-10,30,15))))))),"")),"")</f>
        <v/>
      </c>
      <c r="T136" s="33" t="n">
        <v>5</v>
      </c>
      <c r="U136" s="33" t="n">
        <v>3</v>
      </c>
      <c r="V136" s="33" t="n">
        <v>3</v>
      </c>
      <c r="W136" s="33" t="n">
        <v>4</v>
      </c>
      <c r="X136" s="33" t="n">
        <v>1</v>
      </c>
      <c r="Y136" s="33">
        <f>IFERROR(AVERAGE(T136,U136,V136,W136,X136)*20,"")</f>
        <v/>
      </c>
      <c r="Z136" s="33" t="n">
        <v>3</v>
      </c>
      <c r="AA136" s="33" t="n">
        <v>3</v>
      </c>
      <c r="AB136" s="33" t="n">
        <v>3</v>
      </c>
      <c r="AC136" s="71" t="n">
        <v>20.8</v>
      </c>
      <c r="AD136" s="33">
        <f>IFERROR(AVERAGE(IFERROR(IF(Z136="","",Z136*20),""),IFERROR(IF(AA136="","",AA136*20),""),IFERROR(IF(AB136="","",AB136*20),""),IFERROR(IF(AC136="","",IF(AC136&gt;=85,100,IF(AC136&gt;=70,90,IF(AC136&gt;=55,75,IF(AC136&gt;=40,60,IF(AC136&gt;=25,40,20)))))),"")),"")</f>
        <v/>
      </c>
      <c r="AE136" s="33" t="n">
        <v>3</v>
      </c>
      <c r="AF136" s="33" t="n">
        <v>5</v>
      </c>
      <c r="AG136" s="33" t="n">
        <v>3</v>
      </c>
      <c r="AH136" s="33" t="n">
        <v>2</v>
      </c>
      <c r="AI136" s="33">
        <f>IFERROR(AVERAGE(AE136,AF136,AG136,AH136,AL136)*20,"")</f>
        <v/>
      </c>
      <c r="AJ136" s="33">
        <f>IFERROR(J136*Weights!$B$4 + O136*Weights!$B$5 + S136*Weights!$B$6 + Y136*Weights!$B$7 + AD136*Weights!$B$8 + AI136*Weights!$B$9,"")</f>
        <v/>
      </c>
      <c r="AK136" s="33">
        <f>IF(AJ136="","",IF(AJ136&gt;=85,"✓✓✓",IF(AJ136&gt;=70,"✓✓",IF(AJ136&gt;=55,"✓",IF(AJ136&gt;=40,"?","✗")))))</f>
        <v/>
      </c>
      <c r="AL136" s="33" t="n">
        <v>4</v>
      </c>
    </row>
    <row r="137">
      <c r="A137" s="33" t="inlineStr">
        <is>
          <t>SEI</t>
        </is>
      </c>
      <c r="B137" s="33" t="inlineStr">
        <is>
          <t>Solaris Energy Infrastructure, Inc.</t>
        </is>
      </c>
      <c r="C137" s="33" t="inlineStr">
        <is>
          <t>01 Power Generation / Distributed / on-site power</t>
        </is>
      </c>
      <c r="D137" s="33" t="inlineStr">
        <is>
          <t>2026-06-24</t>
        </is>
      </c>
      <c r="E137" s="33" t="n">
        <v>29.905735</v>
      </c>
      <c r="F137" s="33" t="n">
        <v>24.34</v>
      </c>
      <c r="G137" s="33" t="n">
        <v>-8.220000000000001</v>
      </c>
      <c r="H137" s="33" t="n">
        <v>10.2542305</v>
      </c>
      <c r="I137" s="33">
        <f>IF(OR(E137="",R137="",R137&lt;=0,E137&lt;0),"",E137/R137)</f>
        <v/>
      </c>
      <c r="J137" s="33">
        <f>IFERROR(AVERAGE(IFERROR(IF(E137="","",IF(E137&lt;0,5,IF(E137&lt;=15,90,IF(E137&lt;=20,75,IF(E137&lt;=25,60,IF(E137&lt;=30,45,IF(E137&lt;=40,30,IF(E137&lt;=60,15,5)))))))),""),IFERROR(IF(F137="","",IF(F137&lt;0,5,IF(F137&lt;=10,90,IF(F137&lt;=15,75,IF(F137&lt;=20,60,IF(F137&lt;=25,45,IF(F137&lt;=35,30,IF(F137&lt;=50,15,5)))))))),""),IFERROR(IF(G137="","",IF(G137&gt;=8,100,IF(G137&gt;=6,90,IF(G137&gt;=4,75,IF(G137&gt;=2,60,IF(G137&gt;=1,45,IF(G137&gt;=0,30,15))))))),""),IFERROR(IF(H137="","",IF(H137&lt;=2,90,IF(H137&lt;=4,75,IF(H137&lt;=7,60,IF(H137&lt;=10,45,IF(H137&lt;=15,30,IF(H137&lt;=25,15,5))))))),""),IFERROR(IF(I137="","",IF(I137&lt;=0.5,100,IF(I137&lt;=1,90,IF(I137&lt;=1.5,75,IF(I137&lt;=2,60,IF(I137&lt;=2.5,45,IF(I137&lt;=3,30,15))))))),"")),"")</f>
        <v/>
      </c>
      <c r="L137" s="33" t="n">
        <v>46.92</v>
      </c>
      <c r="M137" s="33" t="n">
        <v>-84.29000000000001</v>
      </c>
      <c r="N137" s="33" t="n">
        <v>5.14</v>
      </c>
      <c r="O137" s="33">
        <f>IFERROR(AVERAGE(IFERROR(IF(K137="","",IF(K137&gt;=25,100,IF(K137&gt;=20,90,IF(K137&gt;=15,75,IF(K137&gt;=10,60,IF(K137&gt;=5,45,IF(K137&gt;=0,30,15))))))),""),IFERROR(IF(L137="","",IF(L137&gt;=60,100,IF(L137&gt;=50,90,IF(L137&gt;=40,75,IF(L137&gt;=30,60,IF(L137&gt;=20,45,IF(L137&gt;=10,30,15))))))),""),IFERROR(IF(M137="","",IF(M137&gt;=25,100,IF(M137&gt;=20,90,IF(M137&gt;=15,75,IF(M137&gt;=10,60,IF(M137&gt;=5,45,IF(M137&gt;=0,30,15))))))),""),IFERROR(IF(N137="","",IF(N137&lt;=0,100,IF(N137&lt;=1,90,IF(N137&lt;=2,75,IF(N137&lt;=3,60,IF(N137&lt;=4,45,IF(N137&lt;=5,30,15))))))),"")),"")</f>
        <v/>
      </c>
      <c r="P137" s="33" t="n">
        <v>24.81</v>
      </c>
      <c r="Q137" s="33" t="n">
        <v>55.3</v>
      </c>
      <c r="R137" s="33" t="n">
        <v>303</v>
      </c>
      <c r="S137" s="33">
        <f>IFERROR(AVERAGE(IFERROR(IF(P137="","",IF(P137&gt;=40,100,IF(P137&gt;=30,90,IF(P137&gt;=20,75,IF(P137&gt;=15,60,IF(P137&gt;=10,45,IF(P137&gt;=5,30,15))))))),""),IFERROR(IF(Q137="","",IF(Q137&gt;=40,100,IF(Q137&gt;=30,90,IF(Q137&gt;=20,75,IF(Q137&gt;=10,60,IF(Q137&gt;=5,45,IF(Q137&gt;=0,30,15))))))),""),IFERROR(IF(R137="","",IF(R137&gt;=40,100,IF(R137&gt;=30,90,IF(R137&gt;=20,75,IF(R137&gt;=10,60,IF(R137&gt;=0,45,IF(R137&gt;=-10,30,15))))))),"")),"")</f>
        <v/>
      </c>
      <c r="T137" s="33" t="n">
        <v>3</v>
      </c>
      <c r="U137" s="33" t="n">
        <v>3</v>
      </c>
      <c r="V137" s="33" t="n">
        <v>3</v>
      </c>
      <c r="W137" s="33" t="n">
        <v>5</v>
      </c>
      <c r="X137" s="33" t="n">
        <v>4</v>
      </c>
      <c r="Y137" s="33">
        <f>IFERROR(AVERAGE(T137,U137,V137,W137,X137)*20,"")</f>
        <v/>
      </c>
      <c r="Z137" s="33" t="n">
        <v>5</v>
      </c>
      <c r="AA137" s="33" t="n">
        <v>4</v>
      </c>
      <c r="AB137" s="33" t="n">
        <v>4</v>
      </c>
      <c r="AC137" s="33" t="n">
        <v>85</v>
      </c>
      <c r="AD137" s="33">
        <f>IFERROR(AVERAGE(IFERROR(IF(Z137="","",Z137*20),""),IFERROR(IF(AA137="","",AA137*20),""),IFERROR(IF(AB137="","",AB137*20),""),IFERROR(IF(AC137="","",IF(AC137&gt;=85,100,IF(AC137&gt;=70,90,IF(AC137&gt;=55,75,IF(AC137&gt;=40,60,IF(AC137&gt;=25,40,20)))))),"")),"")</f>
        <v/>
      </c>
      <c r="AE137" s="33" t="n">
        <v>1</v>
      </c>
      <c r="AF137" s="33" t="n">
        <v>5</v>
      </c>
      <c r="AG137" s="33" t="n">
        <v>2</v>
      </c>
      <c r="AH137" s="33" t="n">
        <v>2</v>
      </c>
      <c r="AI137" s="33">
        <f>IFERROR(AVERAGE(AE137,AF137,AG137,AH137,AL137)*20,"")</f>
        <v/>
      </c>
      <c r="AJ137" s="33">
        <f>IFERROR(J137*Weights!$B$4 + O137*Weights!$B$5 + S137*Weights!$B$6 + Y137*Weights!$B$7 + AD137*Weights!$B$8 + AI137*Weights!$B$9,"")</f>
        <v/>
      </c>
      <c r="AK137" s="33">
        <f>IF(AJ137="","",IF(AJ137&gt;=85,"✓✓✓",IF(AJ137&gt;=70,"✓✓",IF(AJ137&gt;=55,"✓",IF(AJ137&gt;=40,"?","✗")))))</f>
        <v/>
      </c>
      <c r="AL137" s="33" t="n">
        <v>5</v>
      </c>
    </row>
    <row r="138">
      <c r="A138" s="33" t="inlineStr">
        <is>
          <t>TE</t>
        </is>
      </c>
      <c r="B138" s="33" t="inlineStr">
        <is>
          <t>T1 Energy Inc.</t>
        </is>
      </c>
      <c r="C138" s="33" t="inlineStr">
        <is>
          <t>01 Power Generation / Solar &amp; renewables equipment (behind-the-meter DC power)</t>
        </is>
      </c>
      <c r="D138" s="33" t="inlineStr">
        <is>
          <t>2026-06-24</t>
        </is>
      </c>
      <c r="E138" s="33" t="n">
        <v>44.894737</v>
      </c>
      <c r="F138" s="33" t="n">
        <v>-40.567</v>
      </c>
      <c r="G138" s="33" t="n">
        <v>-1.8</v>
      </c>
      <c r="H138" s="33" t="n">
        <v>2.7085981</v>
      </c>
      <c r="I138" s="33">
        <f>IF(OR(E138="",R138="",R138&lt;=0,E138&lt;0),"",E138/R138)</f>
        <v/>
      </c>
      <c r="J138" s="33">
        <f>IFERROR(AVERAGE(IFERROR(IF(E138="","",IF(E138&lt;0,5,IF(E138&lt;=15,90,IF(E138&lt;=20,75,IF(E138&lt;=25,60,IF(E138&lt;=30,45,IF(E138&lt;=40,30,IF(E138&lt;=60,15,5)))))))),""),IFERROR(IF(F138="","",IF(F138&lt;0,5,IF(F138&lt;=10,90,IF(F138&lt;=15,75,IF(F138&lt;=20,60,IF(F138&lt;=25,45,IF(F138&lt;=35,30,IF(F138&lt;=50,15,5)))))))),""),IFERROR(IF(G138="","",IF(G138&gt;=8,100,IF(G138&gt;=6,90,IF(G138&gt;=4,75,IF(G138&gt;=2,60,IF(G138&gt;=1,45,IF(G138&gt;=0,30,15))))))),""),IFERROR(IF(H138="","",IF(H138&lt;=2,90,IF(H138&lt;=4,75,IF(H138&lt;=7,60,IF(H138&lt;=10,45,IF(H138&lt;=15,30,IF(H138&lt;=25,15,5))))))),""),IFERROR(IF(I138="","",IF(I138&lt;=0.5,100,IF(I138&lt;=1,90,IF(I138&lt;=1.5,75,IF(I138&lt;=2,60,IF(I138&lt;=2.5,45,IF(I138&lt;=3,30,15))))))),"")),"")</f>
        <v/>
      </c>
      <c r="L138" s="33" t="n">
        <v>7.61</v>
      </c>
      <c r="M138" s="33" t="n">
        <v>-4.89</v>
      </c>
      <c r="O138" s="33">
        <f>IFERROR(AVERAGE(IFERROR(IF(K138="","",IF(K138&gt;=25,100,IF(K138&gt;=20,90,IF(K138&gt;=15,75,IF(K138&gt;=10,60,IF(K138&gt;=5,45,IF(K138&gt;=0,30,15))))))),""),IFERROR(IF(L138="","",IF(L138&gt;=60,100,IF(L138&gt;=50,90,IF(L138&gt;=40,75,IF(L138&gt;=30,60,IF(L138&gt;=20,45,IF(L138&gt;=10,30,15))))))),""),IFERROR(IF(M138="","",IF(M138&gt;=25,100,IF(M138&gt;=20,90,IF(M138&gt;=15,75,IF(M138&gt;=10,60,IF(M138&gt;=5,45,IF(M138&gt;=0,30,15))))))),""),IFERROR(IF(N138="","",IF(N138&lt;=0,100,IF(N138&lt;=1,90,IF(N138&lt;=2,75,IF(N138&lt;=3,60,IF(N138&lt;=4,45,IF(N138&lt;=5,30,15))))))),"")),"")</f>
        <v/>
      </c>
      <c r="Q138" s="33" t="n">
        <v>232.3</v>
      </c>
      <c r="S138" s="33">
        <f>IFERROR(AVERAGE(IFERROR(IF(P138="","",IF(P138&gt;=40,100,IF(P138&gt;=30,90,IF(P138&gt;=20,75,IF(P138&gt;=15,60,IF(P138&gt;=10,45,IF(P138&gt;=5,30,15))))))),""),IFERROR(IF(Q138="","",IF(Q138&gt;=40,100,IF(Q138&gt;=30,90,IF(Q138&gt;=20,75,IF(Q138&gt;=10,60,IF(Q138&gt;=5,45,IF(Q138&gt;=0,30,15))))))),""),IFERROR(IF(R138="","",IF(R138&gt;=40,100,IF(R138&gt;=30,90,IF(R138&gt;=20,75,IF(R138&gt;=10,60,IF(R138&gt;=0,45,IF(R138&gt;=-10,30,15))))))),"")),"")</f>
        <v/>
      </c>
      <c r="T138" s="33" t="n">
        <v>1</v>
      </c>
      <c r="U138" s="33" t="n">
        <v>2</v>
      </c>
      <c r="V138" s="33" t="n">
        <v>2</v>
      </c>
      <c r="W138" s="33" t="n">
        <v>5</v>
      </c>
      <c r="X138" s="33" t="n">
        <v>1</v>
      </c>
      <c r="Y138" s="33">
        <f>IFERROR(AVERAGE(T138,U138,V138,W138,X138)*20,"")</f>
        <v/>
      </c>
      <c r="Z138" s="33" t="n">
        <v>3</v>
      </c>
      <c r="AA138" s="33" t="n">
        <v>3</v>
      </c>
      <c r="AB138" s="33" t="n">
        <v>3</v>
      </c>
      <c r="AC138" s="33" t="n">
        <v>53.3</v>
      </c>
      <c r="AD138" s="33">
        <f>IFERROR(AVERAGE(IFERROR(IF(Z138="","",Z138*20),""),IFERROR(IF(AA138="","",AA138*20),""),IFERROR(IF(AB138="","",AB138*20),""),IFERROR(IF(AC138="","",IF(AC138&gt;=85,100,IF(AC138&gt;=70,90,IF(AC138&gt;=55,75,IF(AC138&gt;=40,60,IF(AC138&gt;=25,40,20)))))),"")),"")</f>
        <v/>
      </c>
      <c r="AE138" s="33" t="n">
        <v>1</v>
      </c>
      <c r="AF138" s="33" t="n">
        <v>3</v>
      </c>
      <c r="AG138" s="33" t="n">
        <v>2</v>
      </c>
      <c r="AH138" s="33" t="n">
        <v>2</v>
      </c>
      <c r="AI138" s="33">
        <f>IFERROR(AVERAGE(AE138,AF138,AG138,AH138,AL138)*20,"")</f>
        <v/>
      </c>
      <c r="AJ138" s="33">
        <f>IFERROR(J138*Weights!$B$4 + O138*Weights!$B$5 + S138*Weights!$B$6 + Y138*Weights!$B$7 + AD138*Weights!$B$8 + AI138*Weights!$B$9,"")</f>
        <v/>
      </c>
      <c r="AK138" s="33">
        <f>IF(AJ138="","",IF(AJ138&gt;=85,"✓✓✓",IF(AJ138&gt;=70,"✓✓",IF(AJ138&gt;=55,"✓",IF(AJ138&gt;=40,"?","✗")))))</f>
        <v/>
      </c>
      <c r="AL138" s="33" t="n">
        <v>5</v>
      </c>
    </row>
    <row r="139">
      <c r="A139" s="33" t="inlineStr">
        <is>
          <t>PSIX</t>
        </is>
      </c>
      <c r="B139" s="33" t="inlineStr">
        <is>
          <t>Power Solutions International, Inc.</t>
        </is>
      </c>
      <c r="C139" s="33" t="inlineStr">
        <is>
          <t>01 Power Generation / Distributed / on-site power</t>
        </is>
      </c>
      <c r="D139" s="33" t="inlineStr">
        <is>
          <t>2026-06-24</t>
        </is>
      </c>
      <c r="E139" s="33" t="n">
        <v>11.578313</v>
      </c>
      <c r="F139" s="33" t="n">
        <v>9.874000000000001</v>
      </c>
      <c r="G139" s="33" t="n">
        <v>2.93</v>
      </c>
      <c r="H139" s="33" t="n">
        <v>1.2382895</v>
      </c>
      <c r="I139" s="33">
        <f>IF(OR(E139="",R139="",R139&lt;=0,E139&lt;0),"",E139/R139)</f>
        <v/>
      </c>
      <c r="J139" s="33">
        <f>IFERROR(AVERAGE(IFERROR(IF(E139="","",IF(E139&lt;0,5,IF(E139&lt;=15,90,IF(E139&lt;=20,75,IF(E139&lt;=25,60,IF(E139&lt;=30,45,IF(E139&lt;=40,30,IF(E139&lt;=60,15,5)))))))),""),IFERROR(IF(F139="","",IF(F139&lt;0,5,IF(F139&lt;=10,90,IF(F139&lt;=15,75,IF(F139&lt;=20,60,IF(F139&lt;=25,45,IF(F139&lt;=35,30,IF(F139&lt;=50,15,5)))))))),""),IFERROR(IF(G139="","",IF(G139&gt;=8,100,IF(G139&gt;=6,90,IF(G139&gt;=4,75,IF(G139&gt;=2,60,IF(G139&gt;=1,45,IF(G139&gt;=0,30,15))))))),""),IFERROR(IF(H139="","",IF(H139&lt;=2,90,IF(H139&lt;=4,75,IF(H139&lt;=7,60,IF(H139&lt;=10,45,IF(H139&lt;=15,30,IF(H139&lt;=25,15,5))))))),""),IFERROR(IF(I139="","",IF(I139&lt;=0.5,100,IF(I139&lt;=1,90,IF(I139&lt;=1.5,75,IF(I139&lt;=2,60,IF(I139&lt;=2.5,45,IF(I139&lt;=3,30,15))))))),"")),"")</f>
        <v/>
      </c>
      <c r="L139" s="33" t="n">
        <v>24.32</v>
      </c>
      <c r="M139" s="33" t="n">
        <v>3.63</v>
      </c>
      <c r="N139" s="33" t="n">
        <v>1.21</v>
      </c>
      <c r="O139" s="33">
        <f>IFERROR(AVERAGE(IFERROR(IF(K139="","",IF(K139&gt;=25,100,IF(K139&gt;=20,90,IF(K139&gt;=15,75,IF(K139&gt;=10,60,IF(K139&gt;=5,45,IF(K139&gt;=0,30,15))))))),""),IFERROR(IF(L139="","",IF(L139&gt;=60,100,IF(L139&gt;=50,90,IF(L139&gt;=40,75,IF(L139&gt;=30,60,IF(L139&gt;=20,45,IF(L139&gt;=10,30,15))))))),""),IFERROR(IF(M139="","",IF(M139&gt;=25,100,IF(M139&gt;=20,90,IF(M139&gt;=15,75,IF(M139&gt;=10,60,IF(M139&gt;=5,45,IF(M139&gt;=0,30,15))))))),""),IFERROR(IF(N139="","",IF(N139&lt;=0,100,IF(N139&lt;=1,90,IF(N139&lt;=2,75,IF(N139&lt;=3,60,IF(N139&lt;=4,45,IF(N139&lt;=5,30,15))))))),"")),"")</f>
        <v/>
      </c>
      <c r="P139" s="33" t="n">
        <v>14.49</v>
      </c>
      <c r="Q139" s="33" t="n">
        <v>-5.1</v>
      </c>
      <c r="R139" s="33" t="n">
        <v>-61.7</v>
      </c>
      <c r="S139" s="33">
        <f>IFERROR(AVERAGE(IFERROR(IF(P139="","",IF(P139&gt;=40,100,IF(P139&gt;=30,90,IF(P139&gt;=20,75,IF(P139&gt;=15,60,IF(P139&gt;=10,45,IF(P139&gt;=5,30,15))))))),""),IFERROR(IF(Q139="","",IF(Q139&gt;=40,100,IF(Q139&gt;=30,90,IF(Q139&gt;=20,75,IF(Q139&gt;=10,60,IF(Q139&gt;=5,45,IF(Q139&gt;=0,30,15))))))),""),IFERROR(IF(R139="","",IF(R139&gt;=40,100,IF(R139&gt;=30,90,IF(R139&gt;=20,75,IF(R139&gt;=10,60,IF(R139&gt;=0,45,IF(R139&gt;=-10,30,15))))))),"")),"")</f>
        <v/>
      </c>
      <c r="T139" s="33" t="n">
        <v>2</v>
      </c>
      <c r="U139" s="33" t="n">
        <v>2</v>
      </c>
      <c r="V139" s="33" t="n">
        <v>2</v>
      </c>
      <c r="W139" s="33" t="n">
        <v>4</v>
      </c>
      <c r="X139" s="33" t="n">
        <v>2</v>
      </c>
      <c r="Y139" s="33">
        <f>IFERROR(AVERAGE(T139,U139,V139,W139,X139)*20,"")</f>
        <v/>
      </c>
      <c r="Z139" s="33" t="n">
        <v>2</v>
      </c>
      <c r="AA139" s="33" t="n">
        <v>1</v>
      </c>
      <c r="AB139" s="33" t="n">
        <v>3</v>
      </c>
      <c r="AC139" s="33" t="n">
        <v>46.7</v>
      </c>
      <c r="AD139" s="33">
        <f>IFERROR(AVERAGE(IFERROR(IF(Z139="","",Z139*20),""),IFERROR(IF(AA139="","",AA139*20),""),IFERROR(IF(AB139="","",AB139*20),""),IFERROR(IF(AC139="","",IF(AC139&gt;=85,100,IF(AC139&gt;=70,90,IF(AC139&gt;=55,75,IF(AC139&gt;=40,60,IF(AC139&gt;=25,40,20)))))),"")),"")</f>
        <v/>
      </c>
      <c r="AE139" s="33" t="n">
        <v>4</v>
      </c>
      <c r="AF139" s="33" t="n">
        <v>5</v>
      </c>
      <c r="AG139" s="33" t="n">
        <v>4</v>
      </c>
      <c r="AH139" s="33" t="n">
        <v>2</v>
      </c>
      <c r="AI139" s="33">
        <f>IFERROR(AVERAGE(AE139,AF139,AG139,AH139,AL139)*20,"")</f>
        <v/>
      </c>
      <c r="AJ139" s="33">
        <f>IFERROR(J139*Weights!$B$4 + O139*Weights!$B$5 + S139*Weights!$B$6 + Y139*Weights!$B$7 + AD139*Weights!$B$8 + AI139*Weights!$B$9,"")</f>
        <v/>
      </c>
      <c r="AK139" s="33">
        <f>IF(AJ139="","",IF(AJ139&gt;=85,"✓✓✓",IF(AJ139&gt;=70,"✓✓",IF(AJ139&gt;=55,"✓",IF(AJ139&gt;=40,"?","✗")))))</f>
        <v/>
      </c>
      <c r="AL139" s="33" t="n">
        <v>5</v>
      </c>
    </row>
    <row r="140">
      <c r="A140" s="33" t="inlineStr">
        <is>
          <t>PUMP</t>
        </is>
      </c>
      <c r="B140" s="33" t="inlineStr">
        <is>
          <t>ProPetro Holding Corp.</t>
        </is>
      </c>
      <c r="C140" s="33" t="inlineStr">
        <is>
          <t>01 Power Generation / Distributed / on-site power</t>
        </is>
      </c>
      <c r="D140" s="33" t="inlineStr">
        <is>
          <t>2026-06-24</t>
        </is>
      </c>
      <c r="E140" s="33" t="n">
        <v>33.107563</v>
      </c>
      <c r="F140" s="33" t="n">
        <v>11.009</v>
      </c>
      <c r="G140" s="33" t="n">
        <v>-0.53</v>
      </c>
      <c r="H140" s="33" t="n">
        <v>1.4521738</v>
      </c>
      <c r="I140" s="33">
        <f>IF(OR(E140="",R140="",R140&lt;=0,E140&lt;0),"",E140/R140)</f>
        <v/>
      </c>
      <c r="J140" s="33">
        <f>IFERROR(AVERAGE(IFERROR(IF(E140="","",IF(E140&lt;0,5,IF(E140&lt;=15,90,IF(E140&lt;=20,75,IF(E140&lt;=25,60,IF(E140&lt;=30,45,IF(E140&lt;=40,30,IF(E140&lt;=60,15,5)))))))),""),IFERROR(IF(F140="","",IF(F140&lt;0,5,IF(F140&lt;=10,90,IF(F140&lt;=15,75,IF(F140&lt;=20,60,IF(F140&lt;=25,45,IF(F140&lt;=35,30,IF(F140&lt;=50,15,5)))))))),""),IFERROR(IF(G140="","",IF(G140&gt;=8,100,IF(G140&gt;=6,90,IF(G140&gt;=4,75,IF(G140&gt;=2,60,IF(G140&gt;=1,45,IF(G140&gt;=0,30,15))))))),""),IFERROR(IF(H140="","",IF(H140&lt;=2,90,IF(H140&lt;=4,75,IF(H140&lt;=7,60,IF(H140&lt;=10,45,IF(H140&lt;=15,30,IF(H140&lt;=25,15,5))))))),""),IFERROR(IF(I140="","",IF(I140&lt;=0.5,100,IF(I140&lt;=1,90,IF(I140&lt;=1.5,75,IF(I140&lt;=2,60,IF(I140&lt;=2.5,45,IF(I140&lt;=3,30,15))))))),"")),"")</f>
        <v/>
      </c>
      <c r="L140" s="33" t="n">
        <v>22.4</v>
      </c>
      <c r="M140" s="33" t="n">
        <v>-0.77</v>
      </c>
      <c r="N140" s="33" t="n">
        <v>0.19</v>
      </c>
      <c r="O140" s="33">
        <f>IFERROR(AVERAGE(IFERROR(IF(K140="","",IF(K140&gt;=25,100,IF(K140&gt;=20,90,IF(K140&gt;=15,75,IF(K140&gt;=10,60,IF(K140&gt;=5,45,IF(K140&gt;=0,30,15))))))),""),IFERROR(IF(L140="","",IF(L140&gt;=60,100,IF(L140&gt;=50,90,IF(L140&gt;=40,75,IF(L140&gt;=30,60,IF(L140&gt;=20,45,IF(L140&gt;=10,30,15))))))),""),IFERROR(IF(M140="","",IF(M140&gt;=25,100,IF(M140&gt;=20,90,IF(M140&gt;=15,75,IF(M140&gt;=10,60,IF(M140&gt;=5,45,IF(M140&gt;=0,30,15))))))),""),IFERROR(IF(N140="","",IF(N140&lt;=0,100,IF(N140&lt;=1,90,IF(N140&lt;=2,75,IF(N140&lt;=3,60,IF(N140&lt;=4,45,IF(N140&lt;=5,30,15))))))),"")),"")</f>
        <v/>
      </c>
      <c r="P140" s="33" t="n">
        <v>-0.28</v>
      </c>
      <c r="Q140" s="33" t="n">
        <v>-24.7</v>
      </c>
      <c r="S140" s="33">
        <f>IFERROR(AVERAGE(IFERROR(IF(P140="","",IF(P140&gt;=40,100,IF(P140&gt;=30,90,IF(P140&gt;=20,75,IF(P140&gt;=15,60,IF(P140&gt;=10,45,IF(P140&gt;=5,30,15))))))),""),IFERROR(IF(Q140="","",IF(Q140&gt;=40,100,IF(Q140&gt;=30,90,IF(Q140&gt;=20,75,IF(Q140&gt;=10,60,IF(Q140&gt;=5,45,IF(Q140&gt;=0,30,15))))))),""),IFERROR(IF(R140="","",IF(R140&gt;=40,100,IF(R140&gt;=30,90,IF(R140&gt;=20,75,IF(R140&gt;=10,60,IF(R140&gt;=0,45,IF(R140&gt;=-10,30,15))))))),"")),"")</f>
        <v/>
      </c>
      <c r="T140" s="33" t="n">
        <v>1</v>
      </c>
      <c r="U140" s="33" t="n">
        <v>2</v>
      </c>
      <c r="V140" s="33" t="n">
        <v>2</v>
      </c>
      <c r="W140" s="33" t="n">
        <v>4</v>
      </c>
      <c r="X140" s="33" t="n">
        <v>3</v>
      </c>
      <c r="Y140" s="33">
        <f>IFERROR(AVERAGE(T140,U140,V140,W140,X140)*20,"")</f>
        <v/>
      </c>
      <c r="Z140" s="33" t="n">
        <v>4</v>
      </c>
      <c r="AA140" s="33" t="n">
        <v>4</v>
      </c>
      <c r="AB140" s="33" t="n">
        <v>3</v>
      </c>
      <c r="AC140" s="33" t="n">
        <v>81.7</v>
      </c>
      <c r="AD140" s="33">
        <f>IFERROR(AVERAGE(IFERROR(IF(Z140="","",Z140*20),""),IFERROR(IF(AA140="","",AA140*20),""),IFERROR(IF(AB140="","",AB140*20),""),IFERROR(IF(AC140="","",IF(AC140&gt;=85,100,IF(AC140&gt;=70,90,IF(AC140&gt;=55,75,IF(AC140&gt;=40,60,IF(AC140&gt;=25,40,20)))))),"")),"")</f>
        <v/>
      </c>
      <c r="AE140" s="33" t="n">
        <v>3</v>
      </c>
      <c r="AF140" s="33" t="n">
        <v>5</v>
      </c>
      <c r="AG140" s="33" t="n">
        <v>4</v>
      </c>
      <c r="AH140" s="33" t="n">
        <v>4</v>
      </c>
      <c r="AI140" s="33">
        <f>IFERROR(AVERAGE(AE140,AF140,AG140,AH140,AL140)*20,"")</f>
        <v/>
      </c>
      <c r="AJ140" s="33">
        <f>IFERROR(J140*Weights!$B$4 + O140*Weights!$B$5 + S140*Weights!$B$6 + Y140*Weights!$B$7 + AD140*Weights!$B$8 + AI140*Weights!$B$9,"")</f>
        <v/>
      </c>
      <c r="AK140" s="33">
        <f>IF(AJ140="","",IF(AJ140&gt;=85,"✓✓✓",IF(AJ140&gt;=70,"✓✓",IF(AJ140&gt;=55,"✓",IF(AJ140&gt;=40,"?","✗")))))</f>
        <v/>
      </c>
      <c r="AL140" s="33" t="n">
        <v>5</v>
      </c>
    </row>
    <row r="141">
      <c r="A141" s="33" t="inlineStr">
        <is>
          <t>BW</t>
        </is>
      </c>
      <c r="B141" s="33" t="inlineStr">
        <is>
          <t>Babcock &amp; Wilcox Enterprises, Inc.</t>
        </is>
      </c>
      <c r="C141" s="33" t="inlineStr">
        <is>
          <t>01 Power Generation / Distributed / on-site power</t>
        </is>
      </c>
      <c r="D141" s="33" t="inlineStr">
        <is>
          <t>2026-06-24</t>
        </is>
      </c>
      <c r="E141" s="33" t="n">
        <v>30.357895</v>
      </c>
      <c r="F141" s="33" t="n">
        <v>91.864</v>
      </c>
      <c r="G141" s="33" t="n">
        <v>-2.9</v>
      </c>
      <c r="H141" s="33" t="n">
        <v>3.2843037</v>
      </c>
      <c r="I141" s="33">
        <f>IF(OR(E141="",R141="",R141&lt;=0,E141&lt;0),"",E141/R141)</f>
        <v/>
      </c>
      <c r="J141" s="33">
        <f>IFERROR(AVERAGE(IFERROR(IF(E141="","",IF(E141&lt;0,5,IF(E141&lt;=15,90,IF(E141&lt;=20,75,IF(E141&lt;=25,60,IF(E141&lt;=30,45,IF(E141&lt;=40,30,IF(E141&lt;=60,15,5)))))))),""),IFERROR(IF(F141="","",IF(F141&lt;0,5,IF(F141&lt;=10,90,IF(F141&lt;=15,75,IF(F141&lt;=20,60,IF(F141&lt;=25,45,IF(F141&lt;=35,30,IF(F141&lt;=50,15,5)))))))),""),IFERROR(IF(G141="","",IF(G141&gt;=8,100,IF(G141&gt;=6,90,IF(G141&gt;=4,75,IF(G141&gt;=2,60,IF(G141&gt;=1,45,IF(G141&gt;=0,30,15))))))),""),IFERROR(IF(H141="","",IF(H141&lt;=2,90,IF(H141&lt;=4,75,IF(H141&lt;=7,60,IF(H141&lt;=10,45,IF(H141&lt;=15,30,IF(H141&lt;=25,15,5))))))),""),IFERROR(IF(I141="","",IF(I141&lt;=0.5,100,IF(I141&lt;=1,90,IF(I141&lt;=1.5,75,IF(I141&lt;=2,60,IF(I141&lt;=2.5,45,IF(I141&lt;=3,30,15))))))),"")),"")</f>
        <v/>
      </c>
      <c r="L141" s="33" t="n">
        <v>24.41</v>
      </c>
      <c r="M141" s="33" t="n">
        <v>-9.52</v>
      </c>
      <c r="N141" s="33" t="n">
        <v>8.85</v>
      </c>
      <c r="O141" s="33">
        <f>IFERROR(AVERAGE(IFERROR(IF(K141="","",IF(K141&gt;=25,100,IF(K141&gt;=20,90,IF(K141&gt;=15,75,IF(K141&gt;=10,60,IF(K141&gt;=5,45,IF(K141&gt;=0,30,15))))))),""),IFERROR(IF(L141="","",IF(L141&gt;=60,100,IF(L141&gt;=50,90,IF(L141&gt;=40,75,IF(L141&gt;=30,60,IF(L141&gt;=20,45,IF(L141&gt;=10,30,15))))))),""),IFERROR(IF(M141="","",IF(M141&gt;=25,100,IF(M141&gt;=20,90,IF(M141&gt;=15,75,IF(M141&gt;=10,60,IF(M141&gt;=5,45,IF(M141&gt;=0,30,15))))))),""),IFERROR(IF(N141="","",IF(N141&lt;=0,100,IF(N141&lt;=1,90,IF(N141&lt;=2,75,IF(N141&lt;=3,60,IF(N141&lt;=4,45,IF(N141&lt;=5,30,15))))))),"")),"")</f>
        <v/>
      </c>
      <c r="P141" s="33" t="n">
        <v>-1.2</v>
      </c>
      <c r="Q141" s="33" t="n">
        <v>44.3</v>
      </c>
      <c r="S141" s="33">
        <f>IFERROR(AVERAGE(IFERROR(IF(P141="","",IF(P141&gt;=40,100,IF(P141&gt;=30,90,IF(P141&gt;=20,75,IF(P141&gt;=15,60,IF(P141&gt;=10,45,IF(P141&gt;=5,30,15))))))),""),IFERROR(IF(Q141="","",IF(Q141&gt;=40,100,IF(Q141&gt;=30,90,IF(Q141&gt;=20,75,IF(Q141&gt;=10,60,IF(Q141&gt;=5,45,IF(Q141&gt;=0,30,15))))))),""),IFERROR(IF(R141="","",IF(R141&gt;=40,100,IF(R141&gt;=30,90,IF(R141&gt;=20,75,IF(R141&gt;=10,60,IF(R141&gt;=0,45,IF(R141&gt;=-10,30,15))))))),"")),"")</f>
        <v/>
      </c>
      <c r="T141" s="33" t="n">
        <v>3</v>
      </c>
      <c r="U141" s="33" t="n">
        <v>3</v>
      </c>
      <c r="V141" s="33" t="n">
        <v>2</v>
      </c>
      <c r="W141" s="33" t="n">
        <v>5</v>
      </c>
      <c r="X141" s="33" t="n">
        <v>3</v>
      </c>
      <c r="Y141" s="33">
        <f>IFERROR(AVERAGE(T141,U141,V141,W141,X141)*20,"")</f>
        <v/>
      </c>
      <c r="Z141" s="33" t="n">
        <v>3</v>
      </c>
      <c r="AA141" s="33" t="n">
        <v>5</v>
      </c>
      <c r="AB141" s="33" t="n">
        <v>3</v>
      </c>
      <c r="AC141" s="33" t="n">
        <v>88.3</v>
      </c>
      <c r="AD141" s="33">
        <f>IFERROR(AVERAGE(IFERROR(IF(Z141="","",Z141*20),""),IFERROR(IF(AA141="","",AA141*20),""),IFERROR(IF(AB141="","",AB141*20),""),IFERROR(IF(AC141="","",IF(AC141&gt;=85,100,IF(AC141&gt;=70,90,IF(AC141&gt;=55,75,IF(AC141&gt;=40,60,IF(AC141&gt;=25,40,20)))))),"")),"")</f>
        <v/>
      </c>
      <c r="AE141" s="33" t="n">
        <v>1</v>
      </c>
      <c r="AF141" s="33" t="n">
        <v>5</v>
      </c>
      <c r="AG141" s="33" t="n">
        <v>2</v>
      </c>
      <c r="AH141" s="33" t="n">
        <v>4</v>
      </c>
      <c r="AI141" s="33">
        <f>IFERROR(AVERAGE(AE141,AF141,AG141,AH141,AL141)*20,"")</f>
        <v/>
      </c>
      <c r="AJ141" s="33">
        <f>IFERROR(J141*Weights!$B$4 + O141*Weights!$B$5 + S141*Weights!$B$6 + Y141*Weights!$B$7 + AD141*Weights!$B$8 + AI141*Weights!$B$9,"")</f>
        <v/>
      </c>
      <c r="AK141" s="33">
        <f>IF(AJ141="","",IF(AJ141&gt;=85,"✓✓✓",IF(AJ141&gt;=70,"✓✓",IF(AJ141&gt;=55,"✓",IF(AJ141&gt;=40,"?","✗")))))</f>
        <v/>
      </c>
      <c r="AL141" s="33" t="n">
        <v>5</v>
      </c>
    </row>
    <row r="142">
      <c r="A142" s="33" t="inlineStr">
        <is>
          <t>WYFI</t>
        </is>
      </c>
      <c r="B142" s="33" t="inlineStr">
        <is>
          <t>WhiteFiber, Inc.</t>
        </is>
      </c>
      <c r="C142" s="33" t="inlineStr">
        <is>
          <t>09 Compute-as-a-Service / Neoclouds (AI-native cloud providers)</t>
        </is>
      </c>
      <c r="D142" s="33" t="inlineStr">
        <is>
          <t>2026-06-24</t>
        </is>
      </c>
      <c r="E142" s="33" t="n">
        <v>72.35513</v>
      </c>
      <c r="F142" s="33" t="n">
        <v>23.9</v>
      </c>
      <c r="G142" s="33" t="n">
        <v>-22.45</v>
      </c>
      <c r="H142" s="33" t="n">
        <v>18.069946</v>
      </c>
      <c r="I142" s="33">
        <f>IF(OR(E142="",R142="",R142&lt;=0,E142&lt;0),"",E142/R142)</f>
        <v/>
      </c>
      <c r="J142" s="33">
        <f>IFERROR(AVERAGE(IFERROR(IF(E142="","",IF(E142&lt;0,5,IF(E142&lt;=15,90,IF(E142&lt;=20,75,IF(E142&lt;=25,60,IF(E142&lt;=30,45,IF(E142&lt;=40,30,IF(E142&lt;=60,15,5)))))))),""),IFERROR(IF(F142="","",IF(F142&lt;=2,100,IF(F142&lt;=4,90,IF(F142&lt;=6,75,IF(F142&lt;=9,60,IF(F142&lt;=12,45,IF(F142&lt;=18,30,15))))))),""),IFERROR(IF(G142="","",IF(G142&gt;=8,100,IF(G142&gt;=6,90,IF(G142&gt;=4,75,IF(G142&gt;=2,60,IF(G142&gt;=1,45,IF(G142&gt;=0,30,15))))))),""),IFERROR(IF(H142="","",IF(H142&lt;=2,90,IF(H142&lt;=4,75,IF(H142&lt;=7,60,IF(H142&lt;=10,45,IF(H142&lt;=15,30,IF(H142&lt;=25,15,5))))))),""),IFERROR(IF(I142="","",IF(I142&lt;=0.5,100,IF(I142&lt;=1,90,IF(I142&lt;=1.5,75,IF(I142&lt;=2,60,IF(I142&lt;=2.5,45,IF(I142&lt;=3,30,15))))))),"")),"")</f>
        <v/>
      </c>
      <c r="L142" s="33" t="n">
        <v>87.26000000000001</v>
      </c>
      <c r="M142" s="33" t="n">
        <v>-405.69</v>
      </c>
      <c r="O142" s="33">
        <f>IFERROR(AVERAGE(IFERROR(IF(K142="","",IF(K142&gt;=25,100,IF(K142&gt;=20,90,IF(K142&gt;=15,75,IF(K142&gt;=10,60,IF(K142&gt;=5,45,IF(K142&gt;=0,30,15))))))),""),IFERROR(IF(L142="","",IF(L142&gt;=60,100,IF(L142&gt;=50,90,IF(L142&gt;=40,75,IF(L142&gt;=30,60,IF(L142&gt;=20,45,IF(L142&gt;=10,30,15))))))),""),IFERROR(IF(M142="","",IF(M142&gt;=25,100,IF(M142&gt;=20,90,IF(M142&gt;=15,75,IF(M142&gt;=10,60,IF(M142&gt;=5,45,IF(M142&gt;=0,30,15))))))),""),IFERROR(IF(N142="","",IF(N142&lt;=0,100,IF(N142&lt;=1,90,IF(N142&lt;=2,75,IF(N142&lt;=3,60,IF(N142&lt;=4,45,IF(N142&lt;=5,30,15))))))),"")),"")</f>
        <v/>
      </c>
      <c r="Q142" s="33" t="n">
        <v>30.6</v>
      </c>
      <c r="S142" s="33">
        <f>IFERROR(AVERAGE(IFERROR(IF(P142="","",IF(P142&gt;=40,100,IF(P142&gt;=30,90,IF(P142&gt;=20,75,IF(P142&gt;=15,60,IF(P142&gt;=10,45,IF(P142&gt;=5,30,15))))))),""),IFERROR(IF(Q142="","",IF(Q142&gt;=40,100,IF(Q142&gt;=30,90,IF(Q142&gt;=20,75,IF(Q142&gt;=10,60,IF(Q142&gt;=5,45,IF(Q142&gt;=0,30,15))))))),""),IFERROR(IF(R142="","",IF(R142&gt;=40,100,IF(R142&gt;=30,90,IF(R142&gt;=20,75,IF(R142&gt;=10,60,IF(R142&gt;=0,45,IF(R142&gt;=-10,30,15))))))),"")),"")</f>
        <v/>
      </c>
      <c r="T142" s="33" t="n">
        <v>5</v>
      </c>
      <c r="U142" s="33" t="n">
        <v>2</v>
      </c>
      <c r="V142" s="33" t="n">
        <v>2</v>
      </c>
      <c r="W142" s="33" t="n">
        <v>5</v>
      </c>
      <c r="X142" s="33" t="n">
        <v>2</v>
      </c>
      <c r="Y142" s="33">
        <f>IFERROR(AVERAGE(T142,U142,V142,W142,X142)*20,"")</f>
        <v/>
      </c>
      <c r="Z142" s="33" t="n">
        <v>3</v>
      </c>
      <c r="AA142" s="33" t="n">
        <v>3</v>
      </c>
      <c r="AB142" s="33" t="n">
        <v>3</v>
      </c>
      <c r="AC142" s="33" t="n">
        <v>57.5</v>
      </c>
      <c r="AD142" s="33">
        <f>IFERROR(AVERAGE(IFERROR(IF(Z142="","",Z142*20),""),IFERROR(IF(AA142="","",AA142*20),""),IFERROR(IF(AB142="","",AB142*20),""),IFERROR(IF(AC142="","",IF(AC142&gt;=85,100,IF(AC142&gt;=70,90,IF(AC142&gt;=55,75,IF(AC142&gt;=40,60,IF(AC142&gt;=25,40,20)))))),"")),"")</f>
        <v/>
      </c>
      <c r="AE142" s="33" t="n">
        <v>1</v>
      </c>
      <c r="AF142" s="33" t="n">
        <v>5</v>
      </c>
      <c r="AG142" s="33" t="n">
        <v>2</v>
      </c>
      <c r="AH142" s="33" t="n">
        <v>4</v>
      </c>
      <c r="AI142" s="33">
        <f>IFERROR(AVERAGE(AE142,AF142,AG142,AH142,AL142)*20,"")</f>
        <v/>
      </c>
      <c r="AJ142" s="33">
        <f>IFERROR(J142*Weights!$B$4 + O142*Weights!$B$5 + S142*Weights!$B$6 + Y142*Weights!$B$7 + AD142*Weights!$B$8 + AI142*Weights!$B$9,"")</f>
        <v/>
      </c>
      <c r="AK142" s="33">
        <f>IF(AJ142="","",IF(AJ142&gt;=85,"✓✓✓",IF(AJ142&gt;=70,"✓✓",IF(AJ142&gt;=55,"✓",IF(AJ142&gt;=40,"?","✗")))))</f>
        <v/>
      </c>
      <c r="AL142" s="33" t="n">
        <v>5</v>
      </c>
    </row>
    <row r="143">
      <c r="A143" s="33" t="inlineStr">
        <is>
          <t>SHAZ</t>
        </is>
      </c>
      <c r="B143" s="33" t="inlineStr">
        <is>
          <t>SharonAI Holdings Inc.</t>
        </is>
      </c>
      <c r="C143" s="33" t="inlineStr">
        <is>
          <t>09 Compute-as-a-Service / Neoclouds (AI-native cloud providers)</t>
        </is>
      </c>
      <c r="D143" s="33" t="inlineStr">
        <is>
          <t>2026-06-24</t>
        </is>
      </c>
      <c r="E143" s="33" t="n">
        <v>16738</v>
      </c>
      <c r="F143" s="33" t="n">
        <v>10.9</v>
      </c>
      <c r="G143" s="33" t="n">
        <v>-4.4</v>
      </c>
      <c r="H143" s="33" t="n">
        <v>920.01825</v>
      </c>
      <c r="I143" s="33">
        <f>IF(OR(E143="",R143="",R143&lt;=0,E143&lt;0),"",E143/R143)</f>
        <v/>
      </c>
      <c r="J143" s="33">
        <f>IFERROR(AVERAGE(IFERROR(IF(E143="","",IF(E143&lt;0,5,IF(E143&lt;=15,90,IF(E143&lt;=20,75,IF(E143&lt;=25,60,IF(E143&lt;=30,45,IF(E143&lt;=40,30,IF(E143&lt;=60,15,5)))))))),""),IFERROR(IF(F143="","",IF(F143&lt;=2,100,IF(F143&lt;=4,90,IF(F143&lt;=6,75,IF(F143&lt;=9,60,IF(F143&lt;=12,45,IF(F143&lt;=18,30,15))))))),""),IFERROR(IF(G143="","",IF(G143&gt;=8,100,IF(G143&gt;=6,90,IF(G143&gt;=4,75,IF(G143&gt;=2,60,IF(G143&gt;=1,45,IF(G143&gt;=0,30,15))))))),""),IFERROR(IF(H143="","",IF(H143&lt;=2,90,IF(H143&lt;=4,75,IF(H143&lt;=7,60,IF(H143&lt;=10,45,IF(H143&lt;=15,30,IF(H143&lt;=25,15,5))))))),""),IFERROR(IF(I143="","",IF(I143&lt;=0.5,100,IF(I143&lt;=1,90,IF(I143&lt;=1.5,75,IF(I143&lt;=2,60,IF(I143&lt;=2.5,45,IF(I143&lt;=3,30,15))))))),"")),"")</f>
        <v/>
      </c>
      <c r="L143" s="33" t="n">
        <v>-9.289999999999999</v>
      </c>
      <c r="M143" s="33" t="n">
        <v>-4052.68</v>
      </c>
      <c r="O143" s="33">
        <f>IFERROR(AVERAGE(IFERROR(IF(K143="","",IF(K143&gt;=25,100,IF(K143&gt;=20,90,IF(K143&gt;=15,75,IF(K143&gt;=10,60,IF(K143&gt;=5,45,IF(K143&gt;=0,30,15))))))),""),IFERROR(IF(L143="","",IF(L143&gt;=60,100,IF(L143&gt;=50,90,IF(L143&gt;=40,75,IF(L143&gt;=30,60,IF(L143&gt;=20,45,IF(L143&gt;=10,30,15))))))),""),IFERROR(IF(M143="","",IF(M143&gt;=25,100,IF(M143&gt;=20,90,IF(M143&gt;=15,75,IF(M143&gt;=10,60,IF(M143&gt;=5,45,IF(M143&gt;=0,30,15))))))),""),IFERROR(IF(N143="","",IF(N143&lt;=0,100,IF(N143&lt;=1,90,IF(N143&lt;=2,75,IF(N143&lt;=3,60,IF(N143&lt;=4,45,IF(N143&lt;=5,30,15))))))),"")),"")</f>
        <v/>
      </c>
      <c r="Q143" s="33" t="n">
        <v>-9.6</v>
      </c>
      <c r="S143" s="33">
        <f>IFERROR(AVERAGE(IFERROR(IF(P143="","",IF(P143&gt;=40,100,IF(P143&gt;=30,90,IF(P143&gt;=20,75,IF(P143&gt;=15,60,IF(P143&gt;=10,45,IF(P143&gt;=5,30,15))))))),""),IFERROR(IF(Q143="","",IF(Q143&gt;=40,100,IF(Q143&gt;=30,90,IF(Q143&gt;=20,75,IF(Q143&gt;=10,60,IF(Q143&gt;=5,45,IF(Q143&gt;=0,30,15))))))),""),IFERROR(IF(R143="","",IF(R143&gt;=40,100,IF(R143&gt;=30,90,IF(R143&gt;=20,75,IF(R143&gt;=10,60,IF(R143&gt;=0,45,IF(R143&gt;=-10,30,15))))))),"")),"")</f>
        <v/>
      </c>
      <c r="T143" s="33" t="n">
        <v>5</v>
      </c>
      <c r="U143" s="33" t="n">
        <v>2</v>
      </c>
      <c r="V143" s="33" t="n">
        <v>2</v>
      </c>
      <c r="W143" s="33" t="n">
        <v>2</v>
      </c>
      <c r="X143" s="33" t="n">
        <v>2</v>
      </c>
      <c r="Y143" s="33">
        <f>IFERROR(AVERAGE(T143,U143,V143,W143,X143)*20,"")</f>
        <v/>
      </c>
      <c r="AD143" s="33">
        <f>IFERROR(AVERAGE(IFERROR(IF(Z143="","",Z143*20),""),IFERROR(IF(AA143="","",AA143*20),""),IFERROR(IF(AB143="","",AB143*20),""),IFERROR(IF(AC143="","",IF(AC143&gt;=85,100,IF(AC143&gt;=70,90,IF(AC143&gt;=55,75,IF(AC143&gt;=40,60,IF(AC143&gt;=25,40,20)))))),"")),"")</f>
        <v/>
      </c>
      <c r="AE143" s="33" t="n">
        <v>1</v>
      </c>
      <c r="AF143" s="33" t="n">
        <v>2</v>
      </c>
      <c r="AG143" s="33" t="n">
        <v>2</v>
      </c>
      <c r="AH143" s="33" t="n">
        <v>2</v>
      </c>
      <c r="AI143" s="33">
        <f>IFERROR(AVERAGE(AE143,AF143,AG143,AH143,AL143)*20,"")</f>
        <v/>
      </c>
      <c r="AJ143" s="33">
        <f>IFERROR(J143*Weights!$B$4 + O143*Weights!$B$5 + S143*Weights!$B$6 + Y143*Weights!$B$7 + AD143*Weights!$B$8 + AI143*Weights!$B$9,"")</f>
        <v/>
      </c>
      <c r="AK143" s="33">
        <f>IF(AJ143="","",IF(AJ143&gt;=85,"✓✓✓",IF(AJ143&gt;=70,"✓✓",IF(AJ143&gt;=55,"✓",IF(AJ143&gt;=40,"?","✗")))))</f>
        <v/>
      </c>
      <c r="AL143" s="33" t="n">
        <v>5</v>
      </c>
    </row>
    <row r="144">
      <c r="A144" s="33" t="inlineStr">
        <is>
          <t>HIVE</t>
        </is>
      </c>
      <c r="B144" s="33" t="inlineStr">
        <is>
          <t>HIVE Digital Technologies Ltd.</t>
        </is>
      </c>
      <c r="C144" s="33" t="inlineStr">
        <is>
          <t>09 Compute-as-a-Service / Bitcoin miners pivoting to AI hosting</t>
        </is>
      </c>
      <c r="D144" s="33" t="inlineStr">
        <is>
          <t>2026-06-24</t>
        </is>
      </c>
      <c r="E144" s="33" t="n">
        <v>17.25</v>
      </c>
      <c r="F144" s="33" t="n">
        <v>2.1</v>
      </c>
      <c r="G144" s="33" t="n">
        <v>-10.48</v>
      </c>
      <c r="H144" s="33" t="n">
        <v>3.7179213</v>
      </c>
      <c r="I144" s="33">
        <f>IF(OR(E144="",R144="",R144&lt;=0,E144&lt;0),"",E144/R144)</f>
        <v/>
      </c>
      <c r="J144" s="33">
        <f>IFERROR(AVERAGE(IFERROR(IF(E144="","",IF(E144&lt;0,5,IF(E144&lt;=15,90,IF(E144&lt;=20,75,IF(E144&lt;=25,60,IF(E144&lt;=30,45,IF(E144&lt;=40,30,IF(E144&lt;=60,15,5)))))))),""),IFERROR(IF(F144="","",IF(F144&lt;=2,100,IF(F144&lt;=4,90,IF(F144&lt;=6,75,IF(F144&lt;=9,60,IF(F144&lt;=12,45,IF(F144&lt;=18,30,15))))))),""),IFERROR(IF(G144="","",IF(G144&gt;=8,100,IF(G144&gt;=6,90,IF(G144&gt;=4,75,IF(G144&gt;=2,60,IF(G144&gt;=1,45,IF(G144&gt;=0,30,15))))))),""),IFERROR(IF(H144="","",IF(H144&lt;=2,90,IF(H144&lt;=4,75,IF(H144&lt;=7,60,IF(H144&lt;=10,45,IF(H144&lt;=15,30,IF(H144&lt;=25,15,5))))))),""),IFERROR(IF(I144="","",IF(I144&lt;=0.5,100,IF(I144&lt;=1,90,IF(I144&lt;=1.5,75,IF(I144&lt;=2,60,IF(I144&lt;=2.5,45,IF(I144&lt;=3,30,15))))))),"")),"")</f>
        <v/>
      </c>
      <c r="L144" s="33" t="n">
        <v>36.23</v>
      </c>
      <c r="M144" s="33" t="n">
        <v>-38.98</v>
      </c>
      <c r="N144" s="33" t="n">
        <v>0.65</v>
      </c>
      <c r="O144" s="33">
        <f>IFERROR(AVERAGE(IFERROR(IF(K144="","",IF(K144&gt;=25,100,IF(K144&gt;=20,90,IF(K144&gt;=15,75,IF(K144&gt;=10,60,IF(K144&gt;=5,45,IF(K144&gt;=0,30,15))))))),""),IFERROR(IF(L144="","",IF(L144&gt;=60,100,IF(L144&gt;=50,90,IF(L144&gt;=40,75,IF(L144&gt;=30,60,IF(L144&gt;=20,45,IF(L144&gt;=10,30,15))))))),""),IFERROR(IF(M144="","",IF(M144&gt;=25,100,IF(M144&gt;=20,90,IF(M144&gt;=15,75,IF(M144&gt;=10,60,IF(M144&gt;=5,45,IF(M144&gt;=0,30,15))))))),""),IFERROR(IF(N144="","",IF(N144&lt;=0,100,IF(N144&lt;=1,90,IF(N144&lt;=2,75,IF(N144&lt;=3,60,IF(N144&lt;=4,45,IF(N144&lt;=5,30,15))))))),"")),"")</f>
        <v/>
      </c>
      <c r="P144" s="33" t="n">
        <v>40.96</v>
      </c>
      <c r="Q144" s="33" t="n">
        <v>130.5</v>
      </c>
      <c r="S144" s="33">
        <f>IFERROR(AVERAGE(IFERROR(IF(P144="","",IF(P144&gt;=40,100,IF(P144&gt;=30,90,IF(P144&gt;=20,75,IF(P144&gt;=15,60,IF(P144&gt;=10,45,IF(P144&gt;=5,30,15))))))),""),IFERROR(IF(Q144="","",IF(Q144&gt;=40,100,IF(Q144&gt;=30,90,IF(Q144&gt;=20,75,IF(Q144&gt;=10,60,IF(Q144&gt;=5,45,IF(Q144&gt;=0,30,15))))))),""),IFERROR(IF(R144="","",IF(R144&gt;=40,100,IF(R144&gt;=30,90,IF(R144&gt;=20,75,IF(R144&gt;=10,60,IF(R144&gt;=0,45,IF(R144&gt;=-10,30,15))))))),"")),"")</f>
        <v/>
      </c>
      <c r="T144" s="33" t="n">
        <v>2</v>
      </c>
      <c r="U144" s="33" t="n">
        <v>2</v>
      </c>
      <c r="V144" s="33" t="n">
        <v>2</v>
      </c>
      <c r="W144" s="33" t="n">
        <v>4</v>
      </c>
      <c r="X144" s="33" t="n">
        <v>2</v>
      </c>
      <c r="Y144" s="33">
        <f>IFERROR(AVERAGE(T144,U144,V144,W144,X144)*20,"")</f>
        <v/>
      </c>
      <c r="Z144" s="33" t="n">
        <v>3</v>
      </c>
      <c r="AA144" s="33" t="n">
        <v>3</v>
      </c>
      <c r="AB144" s="33" t="n">
        <v>2</v>
      </c>
      <c r="AC144" s="33" t="n">
        <v>47.5</v>
      </c>
      <c r="AD144" s="33">
        <f>IFERROR(AVERAGE(IFERROR(IF(Z144="","",Z144*20),""),IFERROR(IF(AA144="","",AA144*20),""),IFERROR(IF(AB144="","",AB144*20),""),IFERROR(IF(AC144="","",IF(AC144&gt;=85,100,IF(AC144&gt;=70,90,IF(AC144&gt;=55,75,IF(AC144&gt;=40,60,IF(AC144&gt;=25,40,20)))))),"")),"")</f>
        <v/>
      </c>
      <c r="AE144" s="33" t="n">
        <v>3</v>
      </c>
      <c r="AF144" s="33" t="n">
        <v>3</v>
      </c>
      <c r="AG144" s="33" t="n">
        <v>2</v>
      </c>
      <c r="AH144" s="33" t="n">
        <v>4</v>
      </c>
      <c r="AI144" s="33">
        <f>IFERROR(AVERAGE(AE144,AF144,AG144,AH144,AL144)*20,"")</f>
        <v/>
      </c>
      <c r="AJ144" s="33">
        <f>IFERROR(J144*Weights!$B$4 + O144*Weights!$B$5 + S144*Weights!$B$6 + Y144*Weights!$B$7 + AD144*Weights!$B$8 + AI144*Weights!$B$9,"")</f>
        <v/>
      </c>
      <c r="AK144" s="33">
        <f>IF(AJ144="","",IF(AJ144&gt;=85,"✓✓✓",IF(AJ144&gt;=70,"✓✓",IF(AJ144&gt;=55,"✓",IF(AJ144&gt;=40,"?","✗")))))</f>
        <v/>
      </c>
      <c r="AL144" s="33" t="n">
        <v>5</v>
      </c>
    </row>
    <row r="145">
      <c r="A145" s="33" t="inlineStr">
        <is>
          <t>TXN</t>
        </is>
      </c>
      <c r="B145" s="33" t="inlineStr">
        <is>
          <t>TEXAS INSTRUMENTS INCORPORATED</t>
        </is>
      </c>
      <c r="C145" s="33" t="inlineStr">
        <is>
          <t>06 AI Compute Silicon / Analog &amp; embedded (power management)</t>
        </is>
      </c>
      <c r="D145" s="33" t="inlineStr">
        <is>
          <t>2026-06-24</t>
        </is>
      </c>
      <c r="E145" s="33" t="n">
        <v>31.661852</v>
      </c>
      <c r="F145" s="33" t="n">
        <v>32.868</v>
      </c>
      <c r="G145" s="33" t="n">
        <v>1.35</v>
      </c>
      <c r="H145" s="33" t="n">
        <v>14.961396</v>
      </c>
      <c r="I145" s="33">
        <f>IF(OR(E145="",R145="",R145&lt;=0,E145&lt;0),"",E145/R145)</f>
        <v/>
      </c>
      <c r="J145" s="33">
        <f>IFERROR(AVERAGE(IFERROR(IF(E145="","",IF(E145&lt;0,5,IF(E145&lt;=15,90,IF(E145&lt;=20,75,IF(E145&lt;=25,60,IF(E145&lt;=30,45,IF(E145&lt;=40,30,IF(E145&lt;=60,15,5)))))))),""),IFERROR(IF(F145="","",IF(F145&lt;0,5,IF(F145&lt;=10,90,IF(F145&lt;=15,75,IF(F145&lt;=20,60,IF(F145&lt;=25,45,IF(F145&lt;=35,30,IF(F145&lt;=50,15,5)))))))),""),IFERROR(IF(G145="","",IF(G145&gt;=8,100,IF(G145&gt;=6,90,IF(G145&gt;=4,75,IF(G145&gt;=2,60,IF(G145&gt;=1,45,IF(G145&gt;=0,30,15))))))),""),IFERROR(IF(H145="","",IF(H145&lt;=2,90,IF(H145&lt;=4,75,IF(H145&lt;=7,60,IF(H145&lt;=10,45,IF(H145&lt;=15,30,IF(H145&lt;=25,15,5))))))),""),IFERROR(IF(I145="","",IF(I145&lt;=0.5,100,IF(I145&lt;=1,90,IF(I145&lt;=1.5,75,IF(I145&lt;=2,60,IF(I145&lt;=2.5,45,IF(I145&lt;=3,30,15))))))),"")),"")</f>
        <v/>
      </c>
      <c r="K145" s="33" t="n">
        <v>19.2</v>
      </c>
      <c r="L145" s="33" t="n">
        <v>57.32</v>
      </c>
      <c r="M145" s="33" t="n">
        <v>20.18</v>
      </c>
      <c r="N145" s="33" t="n">
        <v>1.03</v>
      </c>
      <c r="O145" s="33">
        <f>IFERROR(AVERAGE(IFERROR(IF(K145="","",IF(K145&gt;=25,100,IF(K145&gt;=20,90,IF(K145&gt;=15,75,IF(K145&gt;=10,60,IF(K145&gt;=5,45,IF(K145&gt;=0,30,15))))))),""),IFERROR(IF(L145="","",IF(L145&gt;=60,100,IF(L145&gt;=50,90,IF(L145&gt;=40,75,IF(L145&gt;=30,60,IF(L145&gt;=20,45,IF(L145&gt;=10,30,15))))))),""),IFERROR(IF(M145="","",IF(M145&gt;=25,100,IF(M145&gt;=20,90,IF(M145&gt;=15,75,IF(M145&gt;=10,60,IF(M145&gt;=5,45,IF(M145&gt;=0,30,15))))))),""),IFERROR(IF(N145="","",IF(N145&lt;=0,100,IF(N145&lt;=1,90,IF(N145&lt;=2,75,IF(N145&lt;=3,60,IF(N145&lt;=4,45,IF(N145&lt;=5,30,15))))))),"")),"")</f>
        <v/>
      </c>
      <c r="P145" s="33" t="n">
        <v>-4.07</v>
      </c>
      <c r="Q145" s="33" t="n">
        <v>18.6</v>
      </c>
      <c r="R145" s="33" t="n">
        <v>31</v>
      </c>
      <c r="S145" s="33">
        <f>IFERROR(AVERAGE(IFERROR(IF(P145="","",IF(P145&gt;=40,100,IF(P145&gt;=30,90,IF(P145&gt;=20,75,IF(P145&gt;=15,60,IF(P145&gt;=10,45,IF(P145&gt;=5,30,15))))))),""),IFERROR(IF(Q145="","",IF(Q145&gt;=40,100,IF(Q145&gt;=30,90,IF(Q145&gt;=20,75,IF(Q145&gt;=10,60,IF(Q145&gt;=5,45,IF(Q145&gt;=0,30,15))))))),""),IFERROR(IF(R145="","",IF(R145&gt;=40,100,IF(R145&gt;=30,90,IF(R145&gt;=20,75,IF(R145&gt;=10,60,IF(R145&gt;=0,45,IF(R145&gt;=-10,30,15))))))),"")),"")</f>
        <v/>
      </c>
      <c r="T145" s="33" t="n">
        <v>2</v>
      </c>
      <c r="U145" s="33" t="n">
        <v>4</v>
      </c>
      <c r="V145" s="33" t="n">
        <v>4</v>
      </c>
      <c r="W145" s="33" t="n">
        <v>5</v>
      </c>
      <c r="X145" s="33" t="n">
        <v>2</v>
      </c>
      <c r="Y145" s="33">
        <f>IFERROR(AVERAGE(T145,U145,V145,W145,X145)*20,"")</f>
        <v/>
      </c>
      <c r="Z145" s="33" t="n">
        <v>5</v>
      </c>
      <c r="AA145" s="33" t="n">
        <v>3</v>
      </c>
      <c r="AB145" s="33" t="n">
        <v>3</v>
      </c>
      <c r="AC145" s="33" t="n">
        <v>80.8</v>
      </c>
      <c r="AD145" s="33">
        <f>IFERROR(AVERAGE(IFERROR(IF(Z145="","",Z145*20),""),IFERROR(IF(AA145="","",AA145*20),""),IFERROR(IF(AB145="","",AB145*20),""),IFERROR(IF(AC145="","",IF(AC145&gt;=85,100,IF(AC145&gt;=70,90,IF(AC145&gt;=55,75,IF(AC145&gt;=40,60,IF(AC145&gt;=25,40,20)))))),"")),"")</f>
        <v/>
      </c>
      <c r="AE145" s="33" t="n">
        <v>5</v>
      </c>
      <c r="AF145" s="33" t="n">
        <v>3</v>
      </c>
      <c r="AG145" s="33" t="n">
        <v>4</v>
      </c>
      <c r="AH145" s="33" t="n">
        <v>4</v>
      </c>
      <c r="AI145" s="33">
        <f>IFERROR(AVERAGE(AE145,AF145,AG145,AH145,AL145)*20,"")</f>
        <v/>
      </c>
      <c r="AJ145" s="33">
        <f>IFERROR(J145*Weights!$B$4 + O145*Weights!$B$5 + S145*Weights!$B$6 + Y145*Weights!$B$7 + AD145*Weights!$B$8 + AI145*Weights!$B$9,"")</f>
        <v/>
      </c>
      <c r="AK145" s="33">
        <f>IF(AJ145="","",IF(AJ145&gt;=85,"✓✓✓",IF(AJ145&gt;=70,"✓✓",IF(AJ145&gt;=55,"✓",IF(AJ145&gt;=40,"?","✗")))))</f>
        <v/>
      </c>
      <c r="AL145" s="33" t="n">
        <v>5</v>
      </c>
    </row>
    <row r="146">
      <c r="A146" s="33" t="inlineStr">
        <is>
          <t>QCOM</t>
        </is>
      </c>
      <c r="B146" s="33" t="inlineStr">
        <is>
          <t>QUALCOMM INCORPORATED</t>
        </is>
      </c>
      <c r="C146" s="33" t="inlineStr">
        <is>
          <t>06 AI Compute Silicon / Application processors &amp; connectivity (edge AI)</t>
        </is>
      </c>
      <c r="D146" s="33" t="inlineStr">
        <is>
          <t>2026-06-24</t>
        </is>
      </c>
      <c r="E146" s="33" t="n">
        <v>18.495981</v>
      </c>
      <c r="F146" s="33" t="n">
        <v>16.428</v>
      </c>
      <c r="G146" s="33" t="n">
        <v>6.01</v>
      </c>
      <c r="H146" s="33" t="n">
        <v>4.677205</v>
      </c>
      <c r="I146" s="33">
        <f>IF(OR(E146="",R146="",R146&lt;=0,E146&lt;0),"",E146/R146)</f>
        <v/>
      </c>
      <c r="J146" s="33">
        <f>IFERROR(AVERAGE(IFERROR(IF(E146="","",IF(E146&lt;0,5,IF(E146&lt;=15,90,IF(E146&lt;=20,75,IF(E146&lt;=25,60,IF(E146&lt;=30,45,IF(E146&lt;=40,30,IF(E146&lt;=60,15,5)))))))),""),IFERROR(IF(F146="","",IF(F146&lt;0,5,IF(F146&lt;=10,90,IF(F146&lt;=15,75,IF(F146&lt;=20,60,IF(F146&lt;=25,45,IF(F146&lt;=35,30,IF(F146&lt;=50,15,5)))))))),""),IFERROR(IF(G146="","",IF(G146&gt;=8,100,IF(G146&gt;=6,90,IF(G146&gt;=4,75,IF(G146&gt;=2,60,IF(G146&gt;=1,45,IF(G146&gt;=0,30,15))))))),""),IFERROR(IF(H146="","",IF(H146&lt;=2,90,IF(H146&lt;=4,75,IF(H146&lt;=7,60,IF(H146&lt;=10,45,IF(H146&lt;=15,30,IF(H146&lt;=25,15,5))))))),""),IFERROR(IF(I146="","",IF(I146&lt;=0.5,100,IF(I146&lt;=1,90,IF(I146&lt;=1.5,75,IF(I146&lt;=2,60,IF(I146&lt;=2.5,45,IF(I146&lt;=3,30,15))))))),"")),"")</f>
        <v/>
      </c>
      <c r="K146" s="33" t="n">
        <v>26</v>
      </c>
      <c r="L146" s="33" t="n">
        <v>54.8</v>
      </c>
      <c r="M146" s="33" t="n">
        <v>28.1</v>
      </c>
      <c r="N146" s="33" t="n">
        <v>0.42</v>
      </c>
      <c r="O146" s="33">
        <f>IFERROR(AVERAGE(IFERROR(IF(K146="","",IF(K146&gt;=25,100,IF(K146&gt;=20,90,IF(K146&gt;=15,75,IF(K146&gt;=10,60,IF(K146&gt;=5,45,IF(K146&gt;=0,30,15))))))),""),IFERROR(IF(L146="","",IF(L146&gt;=60,100,IF(L146&gt;=50,90,IF(L146&gt;=40,75,IF(L146&gt;=30,60,IF(L146&gt;=20,45,IF(L146&gt;=10,30,15))))))),""),IFERROR(IF(M146="","",IF(M146&gt;=25,100,IF(M146&gt;=20,90,IF(M146&gt;=15,75,IF(M146&gt;=10,60,IF(M146&gt;=5,45,IF(M146&gt;=0,30,15))))))),""),IFERROR(IF(N146="","",IF(N146&lt;=0,100,IF(N146&lt;=1,90,IF(N146&lt;=2,75,IF(N146&lt;=3,60,IF(N146&lt;=4,45,IF(N146&lt;=5,30,15))))))),"")),"")</f>
        <v/>
      </c>
      <c r="P146" s="33" t="n">
        <v>0.06</v>
      </c>
      <c r="Q146" s="33" t="n">
        <v>-3.5</v>
      </c>
      <c r="S146" s="33">
        <f>IFERROR(AVERAGE(IFERROR(IF(P146="","",IF(P146&gt;=40,100,IF(P146&gt;=30,90,IF(P146&gt;=20,75,IF(P146&gt;=15,60,IF(P146&gt;=10,45,IF(P146&gt;=5,30,15))))))),""),IFERROR(IF(Q146="","",IF(Q146&gt;=40,100,IF(Q146&gt;=30,90,IF(Q146&gt;=20,75,IF(Q146&gt;=10,60,IF(Q146&gt;=5,45,IF(Q146&gt;=0,30,15))))))),""),IFERROR(IF(R146="","",IF(R146&gt;=40,100,IF(R146&gt;=30,90,IF(R146&gt;=20,75,IF(R146&gt;=10,60,IF(R146&gt;=0,45,IF(R146&gt;=-10,30,15))))))),"")),"")</f>
        <v/>
      </c>
      <c r="T146" s="33" t="n">
        <v>1</v>
      </c>
      <c r="U146" s="33" t="n">
        <v>3</v>
      </c>
      <c r="V146" s="33" t="n">
        <v>3</v>
      </c>
      <c r="W146" s="33" t="n">
        <v>3</v>
      </c>
      <c r="X146" s="33" t="n">
        <v>1</v>
      </c>
      <c r="Y146" s="33">
        <f>IFERROR(AVERAGE(T146,U146,V146,W146,X146)*20,"")</f>
        <v/>
      </c>
      <c r="Z146" s="33" t="n">
        <v>2</v>
      </c>
      <c r="AA146" s="33" t="n">
        <v>1</v>
      </c>
      <c r="AB146" s="33" t="n">
        <v>3</v>
      </c>
      <c r="AC146" s="33" t="n">
        <v>43.3</v>
      </c>
      <c r="AD146" s="33">
        <f>IFERROR(AVERAGE(IFERROR(IF(Z146="","",Z146*20),""),IFERROR(IF(AA146="","",AA146*20),""),IFERROR(IF(AB146="","",AB146*20),""),IFERROR(IF(AC146="","",IF(AC146&gt;=85,100,IF(AC146&gt;=70,90,IF(AC146&gt;=55,75,IF(AC146&gt;=40,60,IF(AC146&gt;=25,40,20)))))),"")),"")</f>
        <v/>
      </c>
      <c r="AE146" s="33" t="n">
        <v>3</v>
      </c>
      <c r="AF146" s="33" t="n">
        <v>2</v>
      </c>
      <c r="AG146" s="33" t="n">
        <v>5</v>
      </c>
      <c r="AH146" s="33" t="n">
        <v>2</v>
      </c>
      <c r="AI146" s="33">
        <f>IFERROR(AVERAGE(AE146,AF146,AG146,AH146,AL146)*20,"")</f>
        <v/>
      </c>
      <c r="AJ146" s="33">
        <f>IFERROR(J146*Weights!$B$4 + O146*Weights!$B$5 + S146*Weights!$B$6 + Y146*Weights!$B$7 + AD146*Weights!$B$8 + AI146*Weights!$B$9,"")</f>
        <v/>
      </c>
      <c r="AK146" s="33">
        <f>IF(AJ146="","",IF(AJ146&gt;=85,"✓✓✓",IF(AJ146&gt;=70,"✓✓",IF(AJ146&gt;=55,"✓",IF(AJ146&gt;=40,"?","✗")))))</f>
        <v/>
      </c>
      <c r="AL146" s="33" t="n">
        <v>5</v>
      </c>
    </row>
    <row r="147">
      <c r="A147" s="33" t="inlineStr">
        <is>
          <t>ADI</t>
        </is>
      </c>
      <c r="B147" s="33" t="inlineStr">
        <is>
          <t>ANALOG DEVICES INC</t>
        </is>
      </c>
      <c r="C147" s="33" t="inlineStr">
        <is>
          <t>06 AI Compute Silicon / Analog &amp; mixed-signal (signal chain + power)</t>
        </is>
      </c>
      <c r="D147" s="33" t="inlineStr">
        <is>
          <t>2026-06-24</t>
        </is>
      </c>
      <c r="E147" s="33" t="n">
        <v>27.951534</v>
      </c>
      <c r="F147" s="33" t="n">
        <v>33.583</v>
      </c>
      <c r="G147" s="33" t="n">
        <v>2.27</v>
      </c>
      <c r="H147" s="33" t="n">
        <v>15.796062</v>
      </c>
      <c r="I147" s="33">
        <f>IF(OR(E147="",R147="",R147&lt;=0,E147&lt;0),"",E147/R147)</f>
        <v/>
      </c>
      <c r="J147" s="33">
        <f>IFERROR(AVERAGE(IFERROR(IF(E147="","",IF(E147&lt;0,5,IF(E147&lt;=15,90,IF(E147&lt;=20,75,IF(E147&lt;=25,60,IF(E147&lt;=30,45,IF(E147&lt;=40,30,IF(E147&lt;=60,15,5)))))))),""),IFERROR(IF(F147="","",IF(F147&lt;0,5,IF(F147&lt;=10,90,IF(F147&lt;=15,75,IF(F147&lt;=20,60,IF(F147&lt;=25,45,IF(F147&lt;=35,30,IF(F147&lt;=50,15,5)))))))),""),IFERROR(IF(G147="","",IF(G147&gt;=8,100,IF(G147&gt;=6,90,IF(G147&gt;=4,75,IF(G147&gt;=2,60,IF(G147&gt;=1,45,IF(G147&gt;=0,30,15))))))),""),IFERROR(IF(H147="","",IF(H147&lt;=2,90,IF(H147&lt;=4,75,IF(H147&lt;=7,60,IF(H147&lt;=10,45,IF(H147&lt;=15,30,IF(H147&lt;=25,15,5))))))),""),IFERROR(IF(I147="","",IF(I147&lt;=0.5,100,IF(I147&lt;=1,90,IF(I147&lt;=1.5,75,IF(I147&lt;=2,60,IF(I147&lt;=2.5,45,IF(I147&lt;=3,30,15))))))),"")),"")</f>
        <v/>
      </c>
      <c r="K147" s="33" t="n">
        <v>9.1</v>
      </c>
      <c r="L147" s="33" t="n">
        <v>64.48999999999999</v>
      </c>
      <c r="M147" s="33" t="n">
        <v>35.83</v>
      </c>
      <c r="N147" s="33" t="n">
        <v>0.86</v>
      </c>
      <c r="O147" s="33">
        <f>IFERROR(AVERAGE(IFERROR(IF(K147="","",IF(K147&gt;=25,100,IF(K147&gt;=20,90,IF(K147&gt;=15,75,IF(K147&gt;=10,60,IF(K147&gt;=5,45,IF(K147&gt;=0,30,15))))))),""),IFERROR(IF(L147="","",IF(L147&gt;=60,100,IF(L147&gt;=50,90,IF(L147&gt;=40,75,IF(L147&gt;=30,60,IF(L147&gt;=20,45,IF(L147&gt;=10,30,15))))))),""),IFERROR(IF(M147="","",IF(M147&gt;=25,100,IF(M147&gt;=20,90,IF(M147&gt;=15,75,IF(M147&gt;=10,60,IF(M147&gt;=5,45,IF(M147&gt;=0,30,15))))))),""),IFERROR(IF(N147="","",IF(N147&lt;=0,100,IF(N147&lt;=1,90,IF(N147&lt;=2,75,IF(N147&lt;=3,60,IF(N147&lt;=4,45,IF(N147&lt;=5,30,15))))))),"")),"")</f>
        <v/>
      </c>
      <c r="P147" s="33" t="n">
        <v>-2.84</v>
      </c>
      <c r="Q147" s="33" t="n">
        <v>37.2</v>
      </c>
      <c r="R147" s="33" t="n">
        <v>106.5</v>
      </c>
      <c r="S147" s="33">
        <f>IFERROR(AVERAGE(IFERROR(IF(P147="","",IF(P147&gt;=40,100,IF(P147&gt;=30,90,IF(P147&gt;=20,75,IF(P147&gt;=15,60,IF(P147&gt;=10,45,IF(P147&gt;=5,30,15))))))),""),IFERROR(IF(Q147="","",IF(Q147&gt;=40,100,IF(Q147&gt;=30,90,IF(Q147&gt;=20,75,IF(Q147&gt;=10,60,IF(Q147&gt;=5,45,IF(Q147&gt;=0,30,15))))))),""),IFERROR(IF(R147="","",IF(R147&gt;=40,100,IF(R147&gt;=30,90,IF(R147&gt;=20,75,IF(R147&gt;=10,60,IF(R147&gt;=0,45,IF(R147&gt;=-10,30,15))))))),"")),"")</f>
        <v/>
      </c>
      <c r="T147" s="33" t="n">
        <v>3</v>
      </c>
      <c r="U147" s="33" t="n">
        <v>4</v>
      </c>
      <c r="V147" s="33" t="n">
        <v>4</v>
      </c>
      <c r="W147" s="33" t="n">
        <v>3</v>
      </c>
      <c r="X147" s="33" t="n">
        <v>2</v>
      </c>
      <c r="Y147" s="33">
        <f>IFERROR(AVERAGE(T147,U147,V147,W147,X147)*20,"")</f>
        <v/>
      </c>
      <c r="Z147" s="33" t="n">
        <v>5</v>
      </c>
      <c r="AA147" s="33" t="n">
        <v>1</v>
      </c>
      <c r="AB147" s="33" t="n">
        <v>3</v>
      </c>
      <c r="AC147" s="33" t="n">
        <v>87.5</v>
      </c>
      <c r="AD147" s="33">
        <f>IFERROR(AVERAGE(IFERROR(IF(Z147="","",Z147*20),""),IFERROR(IF(AA147="","",AA147*20),""),IFERROR(IF(AB147="","",AB147*20),""),IFERROR(IF(AC147="","",IF(AC147&gt;=85,100,IF(AC147&gt;=70,90,IF(AC147&gt;=55,75,IF(AC147&gt;=40,60,IF(AC147&gt;=25,40,20)))))),"")),"")</f>
        <v/>
      </c>
      <c r="AE147" s="33" t="n">
        <v>5</v>
      </c>
      <c r="AF147" s="33" t="n">
        <v>3</v>
      </c>
      <c r="AG147" s="33" t="n">
        <v>4</v>
      </c>
      <c r="AH147" s="33" t="n">
        <v>4</v>
      </c>
      <c r="AI147" s="33">
        <f>IFERROR(AVERAGE(AE147,AF147,AG147,AH147,AL147)*20,"")</f>
        <v/>
      </c>
      <c r="AJ147" s="33">
        <f>IFERROR(J147*Weights!$B$4 + O147*Weights!$B$5 + S147*Weights!$B$6 + Y147*Weights!$B$7 + AD147*Weights!$B$8 + AI147*Weights!$B$9,"")</f>
        <v/>
      </c>
      <c r="AK147" s="33">
        <f>IF(AJ147="","",IF(AJ147&gt;=85,"✓✓✓",IF(AJ147&gt;=70,"✓✓",IF(AJ147&gt;=55,"✓",IF(AJ147&gt;=40,"?","✗")))))</f>
        <v/>
      </c>
      <c r="AL147" s="33" t="n">
        <v>5</v>
      </c>
    </row>
    <row r="148">
      <c r="A148" s="33" t="inlineStr">
        <is>
          <t>STM</t>
        </is>
      </c>
      <c r="B148" s="33" t="inlineStr">
        <is>
          <t>STMicroelectronics N.V.</t>
        </is>
      </c>
      <c r="C148" s="33" t="inlineStr">
        <is>
          <t>06 AI Compute Silicon / Analog, power &amp; MCU (SiC)</t>
        </is>
      </c>
      <c r="D148" s="33" t="inlineStr">
        <is>
          <t>2026-06-24</t>
        </is>
      </c>
      <c r="E148" s="33" t="n">
        <v>29.227724</v>
      </c>
      <c r="F148" s="33" t="n">
        <v>25.087</v>
      </c>
      <c r="G148" s="33" t="n">
        <v>-0.09</v>
      </c>
      <c r="H148" s="33" t="n">
        <v>5.1584234</v>
      </c>
      <c r="I148" s="33">
        <f>IF(OR(E148="",R148="",R148&lt;=0,E148&lt;0),"",E148/R148)</f>
        <v/>
      </c>
      <c r="J148" s="33">
        <f>IFERROR(AVERAGE(IFERROR(IF(E148="","",IF(E148&lt;0,5,IF(E148&lt;=15,90,IF(E148&lt;=20,75,IF(E148&lt;=25,60,IF(E148&lt;=30,45,IF(E148&lt;=40,30,IF(E148&lt;=60,15,5)))))))),""),IFERROR(IF(F148="","",IF(F148&lt;0,5,IF(F148&lt;=10,90,IF(F148&lt;=15,75,IF(F148&lt;=20,60,IF(F148&lt;=25,45,IF(F148&lt;=35,30,IF(F148&lt;=50,15,5)))))))),""),IFERROR(IF(G148="","",IF(G148&gt;=8,100,IF(G148&gt;=6,90,IF(G148&gt;=4,75,IF(G148&gt;=2,60,IF(G148&gt;=1,45,IF(G148&gt;=0,30,15))))))),""),IFERROR(IF(H148="","",IF(H148&lt;=2,90,IF(H148&lt;=4,75,IF(H148&lt;=7,60,IF(H148&lt;=10,45,IF(H148&lt;=15,30,IF(H148&lt;=25,15,5))))))),""),IFERROR(IF(I148="","",IF(I148&lt;=0.5,100,IF(I148&lt;=1,90,IF(I148&lt;=1.5,75,IF(I148&lt;=2,60,IF(I148&lt;=2.5,45,IF(I148&lt;=3,30,15))))))),"")),"")</f>
        <v/>
      </c>
      <c r="K148" s="33" t="n">
        <v>2.7</v>
      </c>
      <c r="L148" s="33" t="n">
        <v>33.96</v>
      </c>
      <c r="M148" s="33" t="n">
        <v>-0.46</v>
      </c>
      <c r="N148" s="33" t="n">
        <v>-0.72</v>
      </c>
      <c r="O148" s="33">
        <f>IFERROR(AVERAGE(IFERROR(IF(K148="","",IF(K148&gt;=25,100,IF(K148&gt;=20,90,IF(K148&gt;=15,75,IF(K148&gt;=10,60,IF(K148&gt;=5,45,IF(K148&gt;=0,30,15))))))),""),IFERROR(IF(L148="","",IF(L148&gt;=60,100,IF(L148&gt;=50,90,IF(L148&gt;=40,75,IF(L148&gt;=30,60,IF(L148&gt;=20,45,IF(L148&gt;=10,30,15))))))),""),IFERROR(IF(M148="","",IF(M148&gt;=25,100,IF(M148&gt;=20,90,IF(M148&gt;=15,75,IF(M148&gt;=10,60,IF(M148&gt;=5,45,IF(M148&gt;=0,30,15))))))),""),IFERROR(IF(N148="","",IF(N148&lt;=0,100,IF(N148&lt;=1,90,IF(N148&lt;=2,75,IF(N148&lt;=3,60,IF(N148&lt;=4,45,IF(N148&lt;=5,30,15))))))),"")),"")</f>
        <v/>
      </c>
      <c r="P148" s="33" t="n">
        <v>-9.890000000000001</v>
      </c>
      <c r="Q148" s="33" t="n">
        <v>23</v>
      </c>
      <c r="R148" s="33" t="n">
        <v>-33.9</v>
      </c>
      <c r="S148" s="33">
        <f>IFERROR(AVERAGE(IFERROR(IF(P148="","",IF(P148&gt;=40,100,IF(P148&gt;=30,90,IF(P148&gt;=20,75,IF(P148&gt;=15,60,IF(P148&gt;=10,45,IF(P148&gt;=5,30,15))))))),""),IFERROR(IF(Q148="","",IF(Q148&gt;=40,100,IF(Q148&gt;=30,90,IF(Q148&gt;=20,75,IF(Q148&gt;=10,60,IF(Q148&gt;=5,45,IF(Q148&gt;=0,30,15))))))),""),IFERROR(IF(R148="","",IF(R148&gt;=40,100,IF(R148&gt;=30,90,IF(R148&gt;=20,75,IF(R148&gt;=10,60,IF(R148&gt;=0,45,IF(R148&gt;=-10,30,15))))))),"")),"")</f>
        <v/>
      </c>
      <c r="T148" s="33" t="n">
        <v>2</v>
      </c>
      <c r="U148" s="33" t="n">
        <v>3</v>
      </c>
      <c r="V148" s="33" t="n">
        <v>2</v>
      </c>
      <c r="W148" s="33" t="n">
        <v>3</v>
      </c>
      <c r="X148" s="33" t="n">
        <v>2</v>
      </c>
      <c r="Y148" s="33">
        <f>IFERROR(AVERAGE(T148,U148,V148,W148,X148)*20,"")</f>
        <v/>
      </c>
      <c r="Z148" s="33" t="n">
        <v>4</v>
      </c>
      <c r="AA148" s="33" t="n">
        <v>5</v>
      </c>
      <c r="AB148" s="33" t="n">
        <v>3</v>
      </c>
      <c r="AC148" s="33" t="n">
        <v>98.3</v>
      </c>
      <c r="AD148" s="33">
        <f>IFERROR(AVERAGE(IFERROR(IF(Z148="","",Z148*20),""),IFERROR(IF(AA148="","",AA148*20),""),IFERROR(IF(AB148="","",AB148*20),""),IFERROR(IF(AC148="","",IF(AC148&gt;=85,100,IF(AC148&gt;=70,90,IF(AC148&gt;=55,75,IF(AC148&gt;=40,60,IF(AC148&gt;=25,40,20)))))),"")),"")</f>
        <v/>
      </c>
      <c r="AE148" s="33" t="n">
        <v>4</v>
      </c>
      <c r="AF148" s="33" t="n">
        <v>3</v>
      </c>
      <c r="AG148" s="33" t="n">
        <v>4</v>
      </c>
      <c r="AH148" s="33" t="n">
        <v>4</v>
      </c>
      <c r="AI148" s="33">
        <f>IFERROR(AVERAGE(AE148,AF148,AG148,AH148,AL148)*20,"")</f>
        <v/>
      </c>
      <c r="AJ148" s="33">
        <f>IFERROR(J148*Weights!$B$4 + O148*Weights!$B$5 + S148*Weights!$B$6 + Y148*Weights!$B$7 + AD148*Weights!$B$8 + AI148*Weights!$B$9,"")</f>
        <v/>
      </c>
      <c r="AK148" s="33">
        <f>IF(AJ148="","",IF(AJ148&gt;=85,"✓✓✓",IF(AJ148&gt;=70,"✓✓",IF(AJ148&gt;=55,"✓",IF(AJ148&gt;=40,"?","✗")))))</f>
        <v/>
      </c>
      <c r="AL148" s="33" t="n">
        <v>5</v>
      </c>
    </row>
    <row r="149">
      <c r="A149" s="33" t="inlineStr">
        <is>
          <t>NXPI</t>
        </is>
      </c>
      <c r="B149" s="33" t="inlineStr">
        <is>
          <t>NXP Semiconductors N.V.</t>
        </is>
      </c>
      <c r="C149" s="33" t="inlineStr">
        <is>
          <t>06 AI Compute Silicon / Analog &amp; embedded (auto/edge AI)</t>
        </is>
      </c>
      <c r="D149" s="33" t="inlineStr">
        <is>
          <t>2026-06-24</t>
        </is>
      </c>
      <c r="E149" s="33" t="n">
        <v>16.604347</v>
      </c>
      <c r="F149" s="33" t="n">
        <v>19.852</v>
      </c>
      <c r="G149" s="33" t="n">
        <v>3.44</v>
      </c>
      <c r="H149" s="33" t="n">
        <v>5.885188</v>
      </c>
      <c r="I149" s="33">
        <f>IF(OR(E149="",R149="",R149&lt;=0,E149&lt;0),"",E149/R149)</f>
        <v/>
      </c>
      <c r="J149" s="33">
        <f>IFERROR(AVERAGE(IFERROR(IF(E149="","",IF(E149&lt;0,5,IF(E149&lt;=15,90,IF(E149&lt;=20,75,IF(E149&lt;=25,60,IF(E149&lt;=30,45,IF(E149&lt;=40,30,IF(E149&lt;=60,15,5)))))))),""),IFERROR(IF(F149="","",IF(F149&lt;0,5,IF(F149&lt;=10,90,IF(F149&lt;=15,75,IF(F149&lt;=20,60,IF(F149&lt;=25,45,IF(F149&lt;=35,30,IF(F149&lt;=50,15,5)))))))),""),IFERROR(IF(G149="","",IF(G149&gt;=8,100,IF(G149&gt;=6,90,IF(G149&gt;=4,75,IF(G149&gt;=2,60,IF(G149&gt;=1,45,IF(G149&gt;=0,30,15))))))),""),IFERROR(IF(H149="","",IF(H149&lt;=2,90,IF(H149&lt;=4,75,IF(H149&lt;=7,60,IF(H149&lt;=10,45,IF(H149&lt;=15,30,IF(H149&lt;=25,15,5))))))),""),IFERROR(IF(I149="","",IF(I149&lt;=0.5,100,IF(I149&lt;=1,90,IF(I149&lt;=1.5,75,IF(I149&lt;=2,60,IF(I149&lt;=2.5,45,IF(I149&lt;=3,30,15))))))),"")),"")</f>
        <v/>
      </c>
      <c r="K149" s="33" t="n">
        <v>14.4</v>
      </c>
      <c r="L149" s="33" t="n">
        <v>55.63</v>
      </c>
      <c r="M149" s="33" t="n">
        <v>20.25</v>
      </c>
      <c r="N149" s="33" t="n">
        <v>1.93</v>
      </c>
      <c r="O149" s="33">
        <f>IFERROR(AVERAGE(IFERROR(IF(K149="","",IF(K149&gt;=25,100,IF(K149&gt;=20,90,IF(K149&gt;=15,75,IF(K149&gt;=10,60,IF(K149&gt;=5,45,IF(K149&gt;=0,30,15))))))),""),IFERROR(IF(L149="","",IF(L149&gt;=60,100,IF(L149&gt;=50,90,IF(L149&gt;=40,75,IF(L149&gt;=30,60,IF(L149&gt;=20,45,IF(L149&gt;=10,30,15))))))),""),IFERROR(IF(M149="","",IF(M149&gt;=25,100,IF(M149&gt;=20,90,IF(M149&gt;=15,75,IF(M149&gt;=10,60,IF(M149&gt;=5,45,IF(M149&gt;=0,30,15))))))),""),IFERROR(IF(N149="","",IF(N149&lt;=0,100,IF(N149&lt;=1,90,IF(N149&lt;=2,75,IF(N149&lt;=3,60,IF(N149&lt;=4,45,IF(N149&lt;=5,30,15))))))),"")),"")</f>
        <v/>
      </c>
      <c r="P149" s="33" t="n">
        <v>-2.42</v>
      </c>
      <c r="Q149" s="33" t="n">
        <v>12.2</v>
      </c>
      <c r="S149" s="33">
        <f>IFERROR(AVERAGE(IFERROR(IF(P149="","",IF(P149&gt;=40,100,IF(P149&gt;=30,90,IF(P149&gt;=20,75,IF(P149&gt;=15,60,IF(P149&gt;=10,45,IF(P149&gt;=5,30,15))))))),""),IFERROR(IF(Q149="","",IF(Q149&gt;=40,100,IF(Q149&gt;=30,90,IF(Q149&gt;=20,75,IF(Q149&gt;=10,60,IF(Q149&gt;=5,45,IF(Q149&gt;=0,30,15))))))),""),IFERROR(IF(R149="","",IF(R149&gt;=40,100,IF(R149&gt;=30,90,IF(R149&gt;=20,75,IF(R149&gt;=10,60,IF(R149&gt;=0,45,IF(R149&gt;=-10,30,15))))))),"")),"")</f>
        <v/>
      </c>
      <c r="T149" s="33" t="n">
        <v>1</v>
      </c>
      <c r="U149" s="33" t="n">
        <v>3</v>
      </c>
      <c r="V149" s="33" t="n">
        <v>3</v>
      </c>
      <c r="W149" s="33" t="n">
        <v>3</v>
      </c>
      <c r="X149" s="33" t="n">
        <v>1</v>
      </c>
      <c r="Y149" s="33">
        <f>IFERROR(AVERAGE(T149,U149,V149,W149,X149)*20,"")</f>
        <v/>
      </c>
      <c r="Z149" s="33" t="n">
        <v>5</v>
      </c>
      <c r="AA149" s="33" t="n">
        <v>1</v>
      </c>
      <c r="AB149" s="33" t="n">
        <v>2</v>
      </c>
      <c r="AC149" s="33" t="n">
        <v>69.2</v>
      </c>
      <c r="AD149" s="33">
        <f>IFERROR(AVERAGE(IFERROR(IF(Z149="","",Z149*20),""),IFERROR(IF(AA149="","",AA149*20),""),IFERROR(IF(AB149="","",AB149*20),""),IFERROR(IF(AC149="","",IF(AC149&gt;=85,100,IF(AC149&gt;=70,90,IF(AC149&gt;=55,75,IF(AC149&gt;=40,60,IF(AC149&gt;=25,40,20)))))),"")),"")</f>
        <v/>
      </c>
      <c r="AE149" s="33" t="n">
        <v>5</v>
      </c>
      <c r="AF149" s="33" t="n">
        <v>3</v>
      </c>
      <c r="AG149" s="33" t="n">
        <v>4</v>
      </c>
      <c r="AH149" s="33" t="n">
        <v>4</v>
      </c>
      <c r="AI149" s="33">
        <f>IFERROR(AVERAGE(AE149,AF149,AG149,AH149,AL149)*20,"")</f>
        <v/>
      </c>
      <c r="AJ149" s="33">
        <f>IFERROR(J149*Weights!$B$4 + O149*Weights!$B$5 + S149*Weights!$B$6 + Y149*Weights!$B$7 + AD149*Weights!$B$8 + AI149*Weights!$B$9,"")</f>
        <v/>
      </c>
      <c r="AK149" s="33">
        <f>IF(AJ149="","",IF(AJ149&gt;=85,"✓✓✓",IF(AJ149&gt;=70,"✓✓",IF(AJ149&gt;=55,"✓",IF(AJ149&gt;=40,"?","✗")))))</f>
        <v/>
      </c>
      <c r="AL149" s="33" t="n">
        <v>5</v>
      </c>
    </row>
    <row r="150">
      <c r="A150" s="33" t="inlineStr">
        <is>
          <t>MCHP</t>
        </is>
      </c>
      <c r="B150" s="33" t="inlineStr">
        <is>
          <t>MICROCHIP TECHNOLOGY INCORPORATED</t>
        </is>
      </c>
      <c r="C150" s="33" t="inlineStr">
        <is>
          <t>06 AI Compute Silicon / MCU &amp; embedded</t>
        </is>
      </c>
      <c r="D150" s="33" t="inlineStr">
        <is>
          <t>2026-06-24</t>
        </is>
      </c>
      <c r="E150" s="33" t="n">
        <v>22.486444</v>
      </c>
      <c r="F150" s="33" t="n">
        <v>45.579</v>
      </c>
      <c r="G150" s="33" t="n">
        <v>1.74</v>
      </c>
      <c r="H150" s="33" t="n">
        <v>10.63663</v>
      </c>
      <c r="I150" s="33">
        <f>IF(OR(E150="",R150="",R150&lt;=0,E150&lt;0),"",E150/R150)</f>
        <v/>
      </c>
      <c r="J150" s="33">
        <f>IFERROR(AVERAGE(IFERROR(IF(E150="","",IF(E150&lt;0,5,IF(E150&lt;=15,90,IF(E150&lt;=20,75,IF(E150&lt;=25,60,IF(E150&lt;=30,45,IF(E150&lt;=40,30,IF(E150&lt;=60,15,5)))))))),""),IFERROR(IF(F150="","",IF(F150&lt;0,5,IF(F150&lt;=10,90,IF(F150&lt;=15,75,IF(F150&lt;=20,60,IF(F150&lt;=25,45,IF(F150&lt;=35,30,IF(F150&lt;=50,15,5)))))))),""),IFERROR(IF(G150="","",IF(G150&gt;=8,100,IF(G150&gt;=6,90,IF(G150&gt;=4,75,IF(G150&gt;=2,60,IF(G150&gt;=1,45,IF(G150&gt;=0,30,15))))))),""),IFERROR(IF(H150="","",IF(H150&lt;=2,90,IF(H150&lt;=4,75,IF(H150&lt;=7,60,IF(H150&lt;=10,45,IF(H150&lt;=15,30,IF(H150&lt;=25,15,5))))))),""),IFERROR(IF(I150="","",IF(I150&lt;=0.5,100,IF(I150&lt;=1,90,IF(I150&lt;=1.5,75,IF(I150&lt;=2,60,IF(I150&lt;=2.5,45,IF(I150&lt;=3,30,15))))))),"")),"")</f>
        <v/>
      </c>
      <c r="K150" s="33" t="n">
        <v>3.7</v>
      </c>
      <c r="L150" s="33" t="n">
        <v>57.73</v>
      </c>
      <c r="M150" s="33" t="n">
        <v>18.48</v>
      </c>
      <c r="N150" s="33" t="n">
        <v>4.43</v>
      </c>
      <c r="O150" s="33">
        <f>IFERROR(AVERAGE(IFERROR(IF(K150="","",IF(K150&gt;=25,100,IF(K150&gt;=20,90,IF(K150&gt;=15,75,IF(K150&gt;=10,60,IF(K150&gt;=5,45,IF(K150&gt;=0,30,15))))))),""),IFERROR(IF(L150="","",IF(L150&gt;=60,100,IF(L150&gt;=50,90,IF(L150&gt;=40,75,IF(L150&gt;=30,60,IF(L150&gt;=20,45,IF(L150&gt;=10,30,15))))))),""),IFERROR(IF(M150="","",IF(M150&gt;=25,100,IF(M150&gt;=20,90,IF(M150&gt;=15,75,IF(M150&gt;=10,60,IF(M150&gt;=5,45,IF(M150&gt;=0,30,15))))))),""),IFERROR(IF(N150="","",IF(N150&lt;=0,100,IF(N150&lt;=1,90,IF(N150&lt;=2,75,IF(N150&lt;=3,60,IF(N150&lt;=4,45,IF(N150&lt;=5,30,15))))))),"")),"")</f>
        <v/>
      </c>
      <c r="P150" s="33" t="n">
        <v>-17.65</v>
      </c>
      <c r="Q150" s="33" t="n">
        <v>35.1</v>
      </c>
      <c r="S150" s="33">
        <f>IFERROR(AVERAGE(IFERROR(IF(P150="","",IF(P150&gt;=40,100,IF(P150&gt;=30,90,IF(P150&gt;=20,75,IF(P150&gt;=15,60,IF(P150&gt;=10,45,IF(P150&gt;=5,30,15))))))),""),IFERROR(IF(Q150="","",IF(Q150&gt;=40,100,IF(Q150&gt;=30,90,IF(Q150&gt;=20,75,IF(Q150&gt;=10,60,IF(Q150&gt;=5,45,IF(Q150&gt;=0,30,15))))))),""),IFERROR(IF(R150="","",IF(R150&gt;=40,100,IF(R150&gt;=30,90,IF(R150&gt;=20,75,IF(R150&gt;=10,60,IF(R150&gt;=0,45,IF(R150&gt;=-10,30,15))))))),"")),"")</f>
        <v/>
      </c>
      <c r="T150" s="33" t="n">
        <v>2</v>
      </c>
      <c r="U150" s="33" t="n">
        <v>3</v>
      </c>
      <c r="V150" s="33" t="n">
        <v>3</v>
      </c>
      <c r="W150" s="33" t="n">
        <v>2</v>
      </c>
      <c r="X150" s="33" t="n">
        <v>2</v>
      </c>
      <c r="Y150" s="33">
        <f>IFERROR(AVERAGE(T150,U150,V150,W150,X150)*20,"")</f>
        <v/>
      </c>
      <c r="Z150" s="33" t="n">
        <v>5</v>
      </c>
      <c r="AA150" s="33" t="n">
        <v>1</v>
      </c>
      <c r="AB150" s="33" t="n">
        <v>3</v>
      </c>
      <c r="AC150" s="33" t="n">
        <v>78.3</v>
      </c>
      <c r="AD150" s="33">
        <f>IFERROR(AVERAGE(IFERROR(IF(Z150="","",Z150*20),""),IFERROR(IF(AA150="","",AA150*20),""),IFERROR(IF(AB150="","",AB150*20),""),IFERROR(IF(AC150="","",IF(AC150&gt;=85,100,IF(AC150&gt;=70,90,IF(AC150&gt;=55,75,IF(AC150&gt;=40,60,IF(AC150&gt;=25,40,20)))))),"")),"")</f>
        <v/>
      </c>
      <c r="AE150" s="33" t="n">
        <v>5</v>
      </c>
      <c r="AF150" s="33" t="n">
        <v>3</v>
      </c>
      <c r="AG150" s="33" t="n">
        <v>2</v>
      </c>
      <c r="AH150" s="33" t="n">
        <v>4</v>
      </c>
      <c r="AI150" s="33">
        <f>IFERROR(AVERAGE(AE150,AF150,AG150,AH150,AL150)*20,"")</f>
        <v/>
      </c>
      <c r="AJ150" s="33">
        <f>IFERROR(J150*Weights!$B$4 + O150*Weights!$B$5 + S150*Weights!$B$6 + Y150*Weights!$B$7 + AD150*Weights!$B$8 + AI150*Weights!$B$9,"")</f>
        <v/>
      </c>
      <c r="AK150" s="33">
        <f>IF(AJ150="","",IF(AJ150&gt;=85,"✓✓✓",IF(AJ150&gt;=70,"✓✓",IF(AJ150&gt;=55,"✓",IF(AJ150&gt;=40,"?","✗")))))</f>
        <v/>
      </c>
      <c r="AL150" s="33" t="n">
        <v>5</v>
      </c>
    </row>
    <row r="151">
      <c r="A151" s="33" t="inlineStr">
        <is>
          <t>ON</t>
        </is>
      </c>
      <c r="B151" s="33" t="inlineStr">
        <is>
          <t>ON Semiconductor Corporation</t>
        </is>
      </c>
      <c r="C151" s="33" t="inlineStr">
        <is>
          <t>06 AI Compute Silicon / Power management silicon (SiC/GaN)</t>
        </is>
      </c>
      <c r="D151" s="33" t="inlineStr">
        <is>
          <t>2026-06-24</t>
        </is>
      </c>
      <c r="E151" s="33" t="n">
        <v>26.821718</v>
      </c>
      <c r="F151" s="33" t="n">
        <v>22.571</v>
      </c>
      <c r="G151" s="33" t="n">
        <v>2.62</v>
      </c>
      <c r="H151" s="33" t="n">
        <v>7.4220815</v>
      </c>
      <c r="I151" s="33">
        <f>IF(OR(E151="",R151="",R151&lt;=0,E151&lt;0),"",E151/R151)</f>
        <v/>
      </c>
      <c r="J151" s="33">
        <f>IFERROR(AVERAGE(IFERROR(IF(E151="","",IF(E151&lt;0,5,IF(E151&lt;=15,90,IF(E151&lt;=20,75,IF(E151&lt;=25,60,IF(E151&lt;=30,45,IF(E151&lt;=40,30,IF(E151&lt;=60,15,5)))))))),""),IFERROR(IF(F151="","",IF(F151&lt;0,5,IF(F151&lt;=10,90,IF(F151&lt;=15,75,IF(F151&lt;=20,60,IF(F151&lt;=25,45,IF(F151&lt;=35,30,IF(F151&lt;=50,15,5)))))))),""),IFERROR(IF(G151="","",IF(G151&gt;=8,100,IF(G151&gt;=6,90,IF(G151&gt;=4,75,IF(G151&gt;=2,60,IF(G151&gt;=1,45,IF(G151&gt;=0,30,15))))))),""),IFERROR(IF(H151="","",IF(H151&lt;=2,90,IF(H151&lt;=4,75,IF(H151&lt;=7,60,IF(H151&lt;=10,45,IF(H151&lt;=15,30,IF(H151&lt;=25,15,5))))))),""),IFERROR(IF(I151="","",IF(I151&lt;=0.5,100,IF(I151&lt;=1,90,IF(I151&lt;=1.5,75,IF(I151&lt;=2,60,IF(I151&lt;=2.5,45,IF(I151&lt;=3,30,15))))))),"")),"")</f>
        <v/>
      </c>
      <c r="K151" s="33" t="n">
        <v>5.6</v>
      </c>
      <c r="L151" s="33" t="n">
        <v>42.67</v>
      </c>
      <c r="M151" s="33" t="n">
        <v>19.48</v>
      </c>
      <c r="N151" s="33" t="n">
        <v>0.41</v>
      </c>
      <c r="O151" s="33">
        <f>IFERROR(AVERAGE(IFERROR(IF(K151="","",IF(K151&gt;=25,100,IF(K151&gt;=20,90,IF(K151&gt;=15,75,IF(K151&gt;=10,60,IF(K151&gt;=5,45,IF(K151&gt;=0,30,15))))))),""),IFERROR(IF(L151="","",IF(L151&gt;=60,100,IF(L151&gt;=50,90,IF(L151&gt;=40,75,IF(L151&gt;=30,60,IF(L151&gt;=20,45,IF(L151&gt;=10,30,15))))))),""),IFERROR(IF(M151="","",IF(M151&gt;=25,100,IF(M151&gt;=20,90,IF(M151&gt;=15,75,IF(M151&gt;=10,60,IF(M151&gt;=5,45,IF(M151&gt;=0,30,15))))))),""),IFERROR(IF(N151="","",IF(N151&lt;=0,100,IF(N151&lt;=1,90,IF(N151&lt;=2,75,IF(N151&lt;=3,60,IF(N151&lt;=4,45,IF(N151&lt;=5,30,15))))))),"")),"")</f>
        <v/>
      </c>
      <c r="P151" s="33" t="n">
        <v>-10.37</v>
      </c>
      <c r="Q151" s="33" t="n">
        <v>4.7</v>
      </c>
      <c r="S151" s="33">
        <f>IFERROR(AVERAGE(IFERROR(IF(P151="","",IF(P151&gt;=40,100,IF(P151&gt;=30,90,IF(P151&gt;=20,75,IF(P151&gt;=15,60,IF(P151&gt;=10,45,IF(P151&gt;=5,30,15))))))),""),IFERROR(IF(Q151="","",IF(Q151&gt;=40,100,IF(Q151&gt;=30,90,IF(Q151&gt;=20,75,IF(Q151&gt;=10,60,IF(Q151&gt;=5,45,IF(Q151&gt;=0,30,15))))))),""),IFERROR(IF(R151="","",IF(R151&gt;=40,100,IF(R151&gt;=30,90,IF(R151&gt;=20,75,IF(R151&gt;=10,60,IF(R151&gt;=0,45,IF(R151&gt;=-10,30,15))))))),"")),"")</f>
        <v/>
      </c>
      <c r="T151" s="33" t="n">
        <v>2</v>
      </c>
      <c r="U151" s="33" t="n">
        <v>3</v>
      </c>
      <c r="V151" s="33" t="n">
        <v>3</v>
      </c>
      <c r="W151" s="33" t="n">
        <v>3</v>
      </c>
      <c r="X151" s="33" t="n">
        <v>2</v>
      </c>
      <c r="Y151" s="33">
        <f>IFERROR(AVERAGE(T151,U151,V151,W151,X151)*20,"")</f>
        <v/>
      </c>
      <c r="Z151" s="33" t="n">
        <v>5</v>
      </c>
      <c r="AA151" s="33" t="n">
        <v>5</v>
      </c>
      <c r="AB151" s="33" t="n">
        <v>3</v>
      </c>
      <c r="AC151" s="33" t="n">
        <v>81.7</v>
      </c>
      <c r="AD151" s="33">
        <f>IFERROR(AVERAGE(IFERROR(IF(Z151="","",Z151*20),""),IFERROR(IF(AA151="","",AA151*20),""),IFERROR(IF(AB151="","",AB151*20),""),IFERROR(IF(AC151="","",IF(AC151&gt;=85,100,IF(AC151&gt;=70,90,IF(AC151&gt;=55,75,IF(AC151&gt;=40,60,IF(AC151&gt;=25,40,20)))))),"")),"")</f>
        <v/>
      </c>
      <c r="AE151" s="33" t="n">
        <v>4</v>
      </c>
      <c r="AF151" s="33" t="n">
        <v>3</v>
      </c>
      <c r="AG151" s="33" t="n">
        <v>4</v>
      </c>
      <c r="AH151" s="33" t="n">
        <v>4</v>
      </c>
      <c r="AI151" s="33">
        <f>IFERROR(AVERAGE(AE151,AF151,AG151,AH151,AL151)*20,"")</f>
        <v/>
      </c>
      <c r="AJ151" s="33">
        <f>IFERROR(J151*Weights!$B$4 + O151*Weights!$B$5 + S151*Weights!$B$6 + Y151*Weights!$B$7 + AD151*Weights!$B$8 + AI151*Weights!$B$9,"")</f>
        <v/>
      </c>
      <c r="AK151" s="33">
        <f>IF(AJ151="","",IF(AJ151&gt;=85,"✓✓✓",IF(AJ151&gt;=70,"✓✓",IF(AJ151&gt;=55,"✓",IF(AJ151&gt;=40,"?","✗")))))</f>
        <v/>
      </c>
      <c r="AL151" s="33" t="n">
        <v>5</v>
      </c>
    </row>
    <row r="152">
      <c r="A152" s="33" t="inlineStr">
        <is>
          <t>SWKS</t>
        </is>
      </c>
      <c r="B152" s="33" t="inlineStr">
        <is>
          <t>Skyworks Solutions, Inc.</t>
        </is>
      </c>
      <c r="C152" s="33" t="inlineStr">
        <is>
          <t>06 AI Compute Silicon / RF front-end</t>
        </is>
      </c>
      <c r="D152" s="33" t="inlineStr">
        <is>
          <t>2026-06-24</t>
        </is>
      </c>
      <c r="E152" s="33" t="n">
        <v>13.897243</v>
      </c>
      <c r="F152" s="33" t="n">
        <v>11.561</v>
      </c>
      <c r="G152" s="33" t="n">
        <v>6.25</v>
      </c>
      <c r="H152" s="33" t="n">
        <v>2.6553385</v>
      </c>
      <c r="I152" s="33">
        <f>IF(OR(E152="",R152="",R152&lt;=0,E152&lt;0),"",E152/R152)</f>
        <v/>
      </c>
      <c r="J152" s="33">
        <f>IFERROR(AVERAGE(IFERROR(IF(E152="","",IF(E152&lt;0,5,IF(E152&lt;=15,90,IF(E152&lt;=20,75,IF(E152&lt;=25,60,IF(E152&lt;=30,45,IF(E152&lt;=40,30,IF(E152&lt;=60,15,5)))))))),""),IFERROR(IF(F152="","",IF(F152&lt;0,5,IF(F152&lt;=10,90,IF(F152&lt;=15,75,IF(F152&lt;=20,60,IF(F152&lt;=25,45,IF(F152&lt;=35,30,IF(F152&lt;=50,15,5)))))))),""),IFERROR(IF(G152="","",IF(G152&gt;=8,100,IF(G152&gt;=6,90,IF(G152&gt;=4,75,IF(G152&gt;=2,60,IF(G152&gt;=1,45,IF(G152&gt;=0,30,15))))))),""),IFERROR(IF(H152="","",IF(H152&lt;=2,90,IF(H152&lt;=4,75,IF(H152&lt;=7,60,IF(H152&lt;=10,45,IF(H152&lt;=15,30,IF(H152&lt;=25,15,5))))))),""),IFERROR(IF(I152="","",IF(I152&lt;=0.5,100,IF(I152&lt;=1,90,IF(I152&lt;=1.5,75,IF(I152&lt;=2,60,IF(I152&lt;=2.5,45,IF(I152&lt;=3,30,15))))))),"")),"")</f>
        <v/>
      </c>
      <c r="K152" s="33" t="n">
        <v>4.9</v>
      </c>
      <c r="L152" s="33" t="n">
        <v>41.08</v>
      </c>
      <c r="M152" s="33" t="n">
        <v>16.6</v>
      </c>
      <c r="N152" s="33" t="n">
        <v>-0.26</v>
      </c>
      <c r="O152" s="33">
        <f>IFERROR(AVERAGE(IFERROR(IF(K152="","",IF(K152&gt;=25,100,IF(K152&gt;=20,90,IF(K152&gt;=15,75,IF(K152&gt;=10,60,IF(K152&gt;=5,45,IF(K152&gt;=0,30,15))))))),""),IFERROR(IF(L152="","",IF(L152&gt;=60,100,IF(L152&gt;=50,90,IF(L152&gt;=40,75,IF(L152&gt;=30,60,IF(L152&gt;=20,45,IF(L152&gt;=10,30,15))))))),""),IFERROR(IF(M152="","",IF(M152&gt;=25,100,IF(M152&gt;=20,90,IF(M152&gt;=15,75,IF(M152&gt;=10,60,IF(M152&gt;=5,45,IF(M152&gt;=0,30,15))))))),""),IFERROR(IF(N152="","",IF(N152&lt;=0,100,IF(N152&lt;=1,90,IF(N152&lt;=2,75,IF(N152&lt;=3,60,IF(N152&lt;=4,45,IF(N152&lt;=5,30,15))))))),"")),"")</f>
        <v/>
      </c>
      <c r="P152" s="33" t="n">
        <v>-9.34</v>
      </c>
      <c r="Q152" s="33" t="n">
        <v>-1</v>
      </c>
      <c r="R152" s="33" t="n">
        <v>-48.2</v>
      </c>
      <c r="S152" s="33">
        <f>IFERROR(AVERAGE(IFERROR(IF(P152="","",IF(P152&gt;=40,100,IF(P152&gt;=30,90,IF(P152&gt;=20,75,IF(P152&gt;=15,60,IF(P152&gt;=10,45,IF(P152&gt;=5,30,15))))))),""),IFERROR(IF(Q152="","",IF(Q152&gt;=40,100,IF(Q152&gt;=30,90,IF(Q152&gt;=20,75,IF(Q152&gt;=10,60,IF(Q152&gt;=5,45,IF(Q152&gt;=0,30,15))))))),""),IFERROR(IF(R152="","",IF(R152&gt;=40,100,IF(R152&gt;=30,90,IF(R152&gt;=20,75,IF(R152&gt;=10,60,IF(R152&gt;=0,45,IF(R152&gt;=-10,30,15))))))),"")),"")</f>
        <v/>
      </c>
      <c r="T152" s="33" t="n">
        <v>1</v>
      </c>
      <c r="U152" s="33" t="n">
        <v>2</v>
      </c>
      <c r="V152" s="33" t="n">
        <v>2</v>
      </c>
      <c r="W152" s="33" t="n">
        <v>2</v>
      </c>
      <c r="X152" s="33" t="n">
        <v>1</v>
      </c>
      <c r="Y152" s="33">
        <f>IFERROR(AVERAGE(T152,U152,V152,W152,X152)*20,"")</f>
        <v/>
      </c>
      <c r="Z152" s="33" t="n">
        <v>4</v>
      </c>
      <c r="AA152" s="33" t="n">
        <v>1</v>
      </c>
      <c r="AB152" s="33" t="n">
        <v>3</v>
      </c>
      <c r="AC152" s="33" t="n">
        <v>42.5</v>
      </c>
      <c r="AD152" s="33">
        <f>IFERROR(AVERAGE(IFERROR(IF(Z152="","",Z152*20),""),IFERROR(IF(AA152="","",AA152*20),""),IFERROR(IF(AB152="","",AB152*20),""),IFERROR(IF(AC152="","",IF(AC152&gt;=85,100,IF(AC152&gt;=70,90,IF(AC152&gt;=55,75,IF(AC152&gt;=40,60,IF(AC152&gt;=25,40,20)))))),"")),"")</f>
        <v/>
      </c>
      <c r="AE152" s="33" t="n">
        <v>1</v>
      </c>
      <c r="AF152" s="33" t="n">
        <v>3</v>
      </c>
      <c r="AG152" s="33" t="n">
        <v>4</v>
      </c>
      <c r="AH152" s="33" t="n">
        <v>2</v>
      </c>
      <c r="AI152" s="33">
        <f>IFERROR(AVERAGE(AE152,AF152,AG152,AH152,AL152)*20,"")</f>
        <v/>
      </c>
      <c r="AJ152" s="33">
        <f>IFERROR(J152*Weights!$B$4 + O152*Weights!$B$5 + S152*Weights!$B$6 + Y152*Weights!$B$7 + AD152*Weights!$B$8 + AI152*Weights!$B$9,"")</f>
        <v/>
      </c>
      <c r="AK152" s="33">
        <f>IF(AJ152="","",IF(AJ152&gt;=85,"✓✓✓",IF(AJ152&gt;=70,"✓✓",IF(AJ152&gt;=55,"✓",IF(AJ152&gt;=40,"?","✗")))))</f>
        <v/>
      </c>
      <c r="AL152" s="33" t="n">
        <v>5</v>
      </c>
    </row>
    <row r="153">
      <c r="A153" s="33" t="inlineStr">
        <is>
          <t>WDC</t>
        </is>
      </c>
      <c r="B153" s="33" t="inlineStr">
        <is>
          <t>Western Digital Corporation</t>
        </is>
      </c>
      <c r="C153" s="33" t="inlineStr">
        <is>
          <t>08 Servers, Systems &amp; Liquid Cooling / Storage infrastructure</t>
        </is>
      </c>
      <c r="D153" s="33" t="inlineStr">
        <is>
          <t>2026-06-24</t>
        </is>
      </c>
      <c r="E153" s="33" t="n">
        <v>35.661507</v>
      </c>
      <c r="F153" s="33" t="n">
        <v>56.111</v>
      </c>
      <c r="G153" s="33" t="n">
        <v>1.31</v>
      </c>
      <c r="H153" s="33" t="n">
        <v>18.84323</v>
      </c>
      <c r="I153" s="33">
        <f>IF(OR(E153="",R153="",R153&lt;=0,E153&lt;0),"",E153/R153)</f>
        <v/>
      </c>
      <c r="J153" s="33">
        <f>IFERROR(AVERAGE(IFERROR(IF(E153="","",IF(E153&lt;0,5,IF(E153&lt;=15,90,IF(E153&lt;=20,75,IF(E153&lt;=25,60,IF(E153&lt;=30,45,IF(E153&lt;=40,30,IF(E153&lt;=60,15,5)))))))),""),IFERROR(IF(F153="","",IF(F153&lt;0,5,IF(F153&lt;=10,90,IF(F153&lt;=15,75,IF(F153&lt;=20,60,IF(F153&lt;=25,45,IF(F153&lt;=35,30,IF(F153&lt;=50,15,5)))))))),""),IFERROR(IF(G153="","",IF(G153&gt;=8,100,IF(G153&gt;=6,90,IF(G153&gt;=4,75,IF(G153&gt;=2,60,IF(G153&gt;=1,45,IF(G153&gt;=0,30,15))))))),""),IFERROR(IF(H153="","",IF(H153&lt;=2,90,IF(H153&lt;=4,75,IF(H153&lt;=7,60,IF(H153&lt;=10,45,IF(H153&lt;=15,30,IF(H153&lt;=25,15,5))))))),""),IFERROR(IF(I153="","",IF(I153&lt;=0.5,100,IF(I153&lt;=1,90,IF(I153&lt;=1.5,75,IF(I153&lt;=2,60,IF(I153&lt;=2.5,45,IF(I153&lt;=3,30,15))))))),"")),"")</f>
        <v/>
      </c>
      <c r="K153" s="33" t="n">
        <v>35</v>
      </c>
      <c r="L153" s="33" t="n">
        <v>45.43</v>
      </c>
      <c r="M153" s="33" t="n">
        <v>24.67</v>
      </c>
      <c r="N153" s="33" t="n">
        <v>-0.39</v>
      </c>
      <c r="O153" s="33">
        <f>IFERROR(AVERAGE(IFERROR(IF(K153="","",IF(K153&gt;=25,100,IF(K153&gt;=20,90,IF(K153&gt;=15,75,IF(K153&gt;=10,60,IF(K153&gt;=5,45,IF(K153&gt;=0,30,15))))))),""),IFERROR(IF(L153="","",IF(L153&gt;=60,100,IF(L153&gt;=50,90,IF(L153&gt;=40,75,IF(L153&gt;=30,60,IF(L153&gt;=20,45,IF(L153&gt;=10,30,15))))))),""),IFERROR(IF(M153="","",IF(M153&gt;=25,100,IF(M153&gt;=20,90,IF(M153&gt;=15,75,IF(M153&gt;=10,60,IF(M153&gt;=5,45,IF(M153&gt;=0,30,15))))))),""),IFERROR(IF(N153="","",IF(N153&lt;=0,100,IF(N153&lt;=1,90,IF(N153&lt;=2,75,IF(N153&lt;=3,60,IF(N153&lt;=4,45,IF(N153&lt;=5,30,15))))))),"")),"")</f>
        <v/>
      </c>
      <c r="P153" s="33" t="n">
        <v>-20.28</v>
      </c>
      <c r="Q153" s="33" t="n">
        <v>45.5</v>
      </c>
      <c r="S153" s="33">
        <f>IFERROR(AVERAGE(IFERROR(IF(P153="","",IF(P153&gt;=40,100,IF(P153&gt;=30,90,IF(P153&gt;=20,75,IF(P153&gt;=15,60,IF(P153&gt;=10,45,IF(P153&gt;=5,30,15))))))),""),IFERROR(IF(Q153="","",IF(Q153&gt;=40,100,IF(Q153&gt;=30,90,IF(Q153&gt;=20,75,IF(Q153&gt;=10,60,IF(Q153&gt;=5,45,IF(Q153&gt;=0,30,15))))))),""),IFERROR(IF(R153="","",IF(R153&gt;=40,100,IF(R153&gt;=30,90,IF(R153&gt;=20,75,IF(R153&gt;=10,60,IF(R153&gt;=0,45,IF(R153&gt;=-10,30,15))))))),"")),"")</f>
        <v/>
      </c>
      <c r="T153" s="33" t="n">
        <v>5</v>
      </c>
      <c r="U153" s="33" t="n">
        <v>5</v>
      </c>
      <c r="V153" s="33" t="n">
        <v>4</v>
      </c>
      <c r="W153" s="33" t="n">
        <v>4</v>
      </c>
      <c r="X153" s="33" t="n">
        <v>5</v>
      </c>
      <c r="Y153" s="33">
        <f>IFERROR(AVERAGE(T153,U153,V153,W153,X153)*20,"")</f>
        <v/>
      </c>
      <c r="Z153" s="33" t="n">
        <v>5</v>
      </c>
      <c r="AA153" s="33" t="n">
        <v>5</v>
      </c>
      <c r="AB153" s="33" t="n">
        <v>3</v>
      </c>
      <c r="AC153" s="33" t="n">
        <v>98.3</v>
      </c>
      <c r="AD153" s="33">
        <f>IFERROR(AVERAGE(IFERROR(IF(Z153="","",Z153*20),""),IFERROR(IF(AA153="","",AA153*20),""),IFERROR(IF(AB153="","",AB153*20),""),IFERROR(IF(AC153="","",IF(AC153&gt;=85,100,IF(AC153&gt;=70,90,IF(AC153&gt;=55,75,IF(AC153&gt;=40,60,IF(AC153&gt;=25,40,20)))))),"")),"")</f>
        <v/>
      </c>
      <c r="AE153" s="33" t="n">
        <v>3</v>
      </c>
      <c r="AF153" s="33" t="n">
        <v>4</v>
      </c>
      <c r="AG153" s="33" t="n">
        <v>5</v>
      </c>
      <c r="AH153" s="33" t="n">
        <v>4</v>
      </c>
      <c r="AI153" s="33">
        <f>IFERROR(AVERAGE(AE153,AF153,AG153,AH153,AL153)*20,"")</f>
        <v/>
      </c>
      <c r="AJ153" s="33">
        <f>IFERROR(J153*Weights!$B$4 + O153*Weights!$B$5 + S153*Weights!$B$6 + Y153*Weights!$B$7 + AD153*Weights!$B$8 + AI153*Weights!$B$9,"")</f>
        <v/>
      </c>
      <c r="AK153" s="33">
        <f>IF(AJ153="","",IF(AJ153&gt;=85,"✓✓✓",IF(AJ153&gt;=70,"✓✓",IF(AJ153&gt;=55,"✓",IF(AJ153&gt;=40,"?","✗")))))</f>
        <v/>
      </c>
      <c r="AL153" s="33" t="n">
        <v>5</v>
      </c>
    </row>
    <row r="154">
      <c r="A154" s="33" t="inlineStr">
        <is>
          <t>PANW</t>
        </is>
      </c>
      <c r="B154" s="33" t="inlineStr">
        <is>
          <t>Palo Alto Networks Inc</t>
        </is>
      </c>
      <c r="C154" s="33" t="inlineStr">
        <is>
          <t>10 Models, Software &amp; Applications / AI cybersecurity</t>
        </is>
      </c>
      <c r="D154" s="33" t="inlineStr">
        <is>
          <t>2026-06-24</t>
        </is>
      </c>
      <c r="E154" s="33" t="n">
        <v>69.29674</v>
      </c>
      <c r="F154" s="33" t="n">
        <v>61</v>
      </c>
      <c r="G154" s="33" t="n">
        <v>1.63</v>
      </c>
      <c r="H154" s="33" t="n">
        <v>21.919287</v>
      </c>
      <c r="I154" s="33">
        <f>IF(OR(E154="",R154="",R154&lt;=0,E154&lt;0),"",E154/R154)</f>
        <v/>
      </c>
      <c r="J154" s="33">
        <f>IFERROR(AVERAGE(IFERROR(IF(E154="","",IF(E154&lt;0,5,IF(E154&lt;=15,90,IF(E154&lt;=20,75,IF(E154&lt;=25,60,IF(E154&lt;=30,45,IF(E154&lt;=40,30,IF(E154&lt;=60,15,5)))))))),""),IFERROR(IF(F154="","",IF(F154&lt;0,5,IF(F154&lt;=20,100,IF(F154&lt;=30,90,IF(F154&lt;=40,75,IF(F154&lt;=55,60,IF(F154&lt;=75,45,IF(F154&lt;=100,30,15)))))))),""),IFERROR(IF(G154="","",IF(G154&gt;=8,100,IF(G154&gt;=6,90,IF(G154&gt;=4,75,IF(G154&gt;=2,60,IF(G154&gt;=1,45,IF(G154&gt;=0,30,15))))))),""),IFERROR(IF(H154="","",IF(H154&lt;=2,90,IF(H154&lt;=4,75,IF(H154&lt;=7,60,IF(H154&lt;=10,45,IF(H154&lt;=15,30,IF(H154&lt;=25,15,5))))))),""),IFERROR(IF(I154="","",IF(I154&lt;=0.5,100,IF(I154&lt;=1,90,IF(I154&lt;=1.5,75,IF(I154&lt;=2,60,IF(I154&lt;=2.5,45,IF(I154&lt;=3,30,15))))))),"")),"")</f>
        <v/>
      </c>
      <c r="L154" s="33" t="n">
        <v>71.95999999999999</v>
      </c>
      <c r="M154" s="33" t="n">
        <v>35.77</v>
      </c>
      <c r="N154" s="33" t="n">
        <v>-0.66</v>
      </c>
      <c r="O154" s="33">
        <f>IFERROR(AVERAGE(IFERROR(IF(K154="","",IF(K154&gt;=25,100,IF(K154&gt;=20,90,IF(K154&gt;=15,75,IF(K154&gt;=10,60,IF(K154&gt;=5,45,IF(K154&gt;=0,30,15))))))),""),IFERROR(IF(L154="","",IF(L154&gt;=60,100,IF(L154&gt;=50,90,IF(L154&gt;=40,75,IF(L154&gt;=30,60,IF(L154&gt;=20,45,IF(L154&gt;=10,30,15))))))),""),IFERROR(IF(M154="","",IF(M154&gt;=25,100,IF(M154&gt;=20,90,IF(M154&gt;=15,75,IF(M154&gt;=10,60,IF(M154&gt;=5,45,IF(M154&gt;=0,30,15))))))),""),IFERROR(IF(N154="","",IF(N154&lt;=0,100,IF(N154&lt;=1,90,IF(N154&lt;=2,75,IF(N154&lt;=3,60,IF(N154&lt;=4,45,IF(N154&lt;=5,30,15))))))),"")),"")</f>
        <v/>
      </c>
      <c r="P154" s="33" t="n">
        <v>18.79</v>
      </c>
      <c r="Q154" s="33" t="n">
        <v>31.1</v>
      </c>
      <c r="S154" s="33">
        <f>IFERROR(AVERAGE(IFERROR(IF(P154="","",IF(P154&gt;=40,100,IF(P154&gt;=30,90,IF(P154&gt;=20,75,IF(P154&gt;=15,60,IF(P154&gt;=10,45,IF(P154&gt;=5,30,15))))))),""),IFERROR(IF(Q154="","",IF(Q154&gt;=40,100,IF(Q154&gt;=30,90,IF(Q154&gt;=20,75,IF(Q154&gt;=10,60,IF(Q154&gt;=5,45,IF(Q154&gt;=0,30,15))))))),""),IFERROR(IF(R154="","",IF(R154&gt;=40,100,IF(R154&gt;=30,90,IF(R154&gt;=20,75,IF(R154&gt;=10,60,IF(R154&gt;=0,45,IF(R154&gt;=-10,30,15))))))),"")),"")</f>
        <v/>
      </c>
      <c r="T154" s="33" t="n">
        <v>2</v>
      </c>
      <c r="U154" s="33" t="n">
        <v>4</v>
      </c>
      <c r="V154" s="33" t="n">
        <v>4</v>
      </c>
      <c r="W154" s="33" t="n">
        <v>4</v>
      </c>
      <c r="X154" s="33" t="n">
        <v>3</v>
      </c>
      <c r="Y154" s="33">
        <f>IFERROR(AVERAGE(T154,U154,V154,W154,X154)*20,"")</f>
        <v/>
      </c>
      <c r="Z154" s="33" t="n">
        <v>4</v>
      </c>
      <c r="AA154" s="33" t="n">
        <v>5</v>
      </c>
      <c r="AB154" s="33" t="n">
        <v>5</v>
      </c>
      <c r="AC154" s="33" t="n">
        <v>46.7</v>
      </c>
      <c r="AD154" s="33">
        <f>IFERROR(AVERAGE(IFERROR(IF(Z154="","",Z154*20),""),IFERROR(IF(AA154="","",AA154*20),""),IFERROR(IF(AB154="","",AB154*20),""),IFERROR(IF(AC154="","",IF(AC154&gt;=85,100,IF(AC154&gt;=70,90,IF(AC154&gt;=55,75,IF(AC154&gt;=40,60,IF(AC154&gt;=25,40,20)))))),"")),"")</f>
        <v/>
      </c>
      <c r="AE154" s="33" t="n">
        <v>5</v>
      </c>
      <c r="AF154" s="33" t="n">
        <v>5</v>
      </c>
      <c r="AG154" s="33" t="n">
        <v>5</v>
      </c>
      <c r="AH154" s="33" t="n">
        <v>4</v>
      </c>
      <c r="AI154" s="33">
        <f>IFERROR(AVERAGE(AE154,AF154,AG154,AH154,AL154)*20,"")</f>
        <v/>
      </c>
      <c r="AJ154" s="33">
        <f>IFERROR(J154*Weights!$B$4 + O154*Weights!$B$5 + S154*Weights!$B$6 + Y154*Weights!$B$7 + AD154*Weights!$B$8 + AI154*Weights!$B$9,"")</f>
        <v/>
      </c>
      <c r="AK154" s="33">
        <f>IF(AJ154="","",IF(AJ154&gt;=85,"✓✓✓",IF(AJ154&gt;=70,"✓✓",IF(AJ154&gt;=55,"✓",IF(AJ154&gt;=40,"?","✗")))))</f>
        <v/>
      </c>
      <c r="AL154" s="33" t="n">
        <v>4</v>
      </c>
    </row>
    <row r="155">
      <c r="A155" s="33" t="inlineStr">
        <is>
          <t>APP</t>
        </is>
      </c>
      <c r="B155" s="33" t="inlineStr">
        <is>
          <t>AppLovin Corporation</t>
        </is>
      </c>
      <c r="C155" s="33" t="inlineStr">
        <is>
          <t>10 Models, Software &amp; Applications / AI advertising</t>
        </is>
      </c>
      <c r="D155" s="33" t="inlineStr">
        <is>
          <t>2026-06-24</t>
        </is>
      </c>
      <c r="E155" s="33" t="n">
        <v>21.205545</v>
      </c>
      <c r="F155" s="33" t="n"/>
      <c r="G155" s="33" t="n">
        <v>2.04</v>
      </c>
      <c r="H155" s="33" t="n">
        <v>25.339643</v>
      </c>
      <c r="I155" s="33">
        <f>IF(OR(E155="",R155="",R155&lt;=0,E155&lt;0),"",E155/R155)</f>
        <v/>
      </c>
      <c r="J155" s="33">
        <f>IFERROR(AVERAGE(IFERROR(IF(E155="","",IF(E155&lt;0,5,IF(E155&lt;=15,90,IF(E155&lt;=20,75,IF(E155&lt;=25,60,IF(E155&lt;=30,45,IF(E155&lt;=40,30,IF(E155&lt;=60,15,5)))))))),""),IFERROR(IF(F155="","",IF(F155&lt;0,5,IF(F155&lt;=20,100,IF(F155&lt;=30,90,IF(F155&lt;=40,75,IF(F155&lt;=55,60,IF(F155&lt;=75,45,IF(F155&lt;=100,30,15)))))))),""),IFERROR(IF(G155="","",IF(G155&gt;=8,100,IF(G155&gt;=6,90,IF(G155&gt;=4,75,IF(G155&gt;=2,60,IF(G155&gt;=1,45,IF(G155&gt;=0,30,15))))))),""),IFERROR(IF(H155="","",IF(H155&lt;=2,90,IF(H155&lt;=4,75,IF(H155&lt;=7,60,IF(H155&lt;=10,45,IF(H155&lt;=15,30,IF(H155&lt;=25,15,5))))))),""),IFERROR(IF(I155="","",IF(I155&lt;=0.5,100,IF(I155&lt;=1,90,IF(I155&lt;=1.5,75,IF(I155&lt;=2,60,IF(I155&lt;=2.5,45,IF(I155&lt;=3,30,15))))))),"")),"")</f>
        <v/>
      </c>
      <c r="K155" s="33" t="n">
        <v>52</v>
      </c>
      <c r="L155" s="33" t="n">
        <v>88.37</v>
      </c>
      <c r="M155" s="33" t="n">
        <v>51.59</v>
      </c>
      <c r="N155" s="33" t="n">
        <v>0.22</v>
      </c>
      <c r="O155" s="33">
        <f>IFERROR(AVERAGE(IFERROR(IF(K155="","",IF(K155&gt;=25,100,IF(K155&gt;=20,90,IF(K155&gt;=15,75,IF(K155&gt;=10,60,IF(K155&gt;=5,45,IF(K155&gt;=0,30,15))))))),""),IFERROR(IF(L155="","",IF(L155&gt;=60,100,IF(L155&gt;=50,90,IF(L155&gt;=40,75,IF(L155&gt;=30,60,IF(L155&gt;=20,45,IF(L155&gt;=10,30,15))))))),""),IFERROR(IF(M155="","",IF(M155&gt;=25,100,IF(M155&gt;=20,90,IF(M155&gt;=15,75,IF(M155&gt;=10,60,IF(M155&gt;=5,45,IF(M155&gt;=0,30,15))))))),""),IFERROR(IF(N155="","",IF(N155&lt;=0,100,IF(N155&lt;=1,90,IF(N155&lt;=2,75,IF(N155&lt;=3,60,IF(N155&lt;=4,45,IF(N155&lt;=5,30,15))))))),"")),"")</f>
        <v/>
      </c>
      <c r="P155" s="33" t="n">
        <v>24.84</v>
      </c>
      <c r="Q155" s="33" t="n">
        <v>59</v>
      </c>
      <c r="R155" s="33" t="n">
        <v>109.2</v>
      </c>
      <c r="S155" s="33">
        <f>IFERROR(AVERAGE(IFERROR(IF(P155="","",IF(P155&gt;=40,100,IF(P155&gt;=30,90,IF(P155&gt;=20,75,IF(P155&gt;=15,60,IF(P155&gt;=10,45,IF(P155&gt;=5,30,15))))))),""),IFERROR(IF(Q155="","",IF(Q155&gt;=40,100,IF(Q155&gt;=30,90,IF(Q155&gt;=20,75,IF(Q155&gt;=10,60,IF(Q155&gt;=5,45,IF(Q155&gt;=0,30,15))))))),""),IFERROR(IF(R155="","",IF(R155&gt;=40,100,IF(R155&gt;=30,90,IF(R155&gt;=20,75,IF(R155&gt;=10,60,IF(R155&gt;=0,45,IF(R155&gt;=-10,30,15))))))),"")),"")</f>
        <v/>
      </c>
      <c r="T155" s="33" t="n">
        <v>5</v>
      </c>
      <c r="U155" s="33" t="n">
        <v>4</v>
      </c>
      <c r="V155" s="33" t="n">
        <v>3</v>
      </c>
      <c r="W155" s="33" t="n">
        <v>4</v>
      </c>
      <c r="X155" s="33" t="n">
        <v>2</v>
      </c>
      <c r="Y155" s="33">
        <f>IFERROR(AVERAGE(T155,U155,V155,W155,X155)*20,"")</f>
        <v/>
      </c>
      <c r="Z155" s="33" t="n">
        <v>4</v>
      </c>
      <c r="AA155" s="33" t="n">
        <v>2</v>
      </c>
      <c r="AB155" s="33" t="n">
        <v>3</v>
      </c>
      <c r="AC155" s="33" t="n">
        <v>40</v>
      </c>
      <c r="AD155" s="33">
        <f>IFERROR(AVERAGE(IFERROR(IF(Z155="","",Z155*20),""),IFERROR(IF(AA155="","",AA155*20),""),IFERROR(IF(AB155="","",AB155*20),""),IFERROR(IF(AC155="","",IF(AC155&gt;=85,100,IF(AC155&gt;=70,90,IF(AC155&gt;=55,75,IF(AC155&gt;=40,60,IF(AC155&gt;=25,40,20)))))),"")),"")</f>
        <v/>
      </c>
      <c r="AE155" s="33" t="n">
        <v>4</v>
      </c>
      <c r="AF155" s="33" t="n">
        <v>5</v>
      </c>
      <c r="AG155" s="33" t="n">
        <v>5</v>
      </c>
      <c r="AH155" s="33" t="n">
        <v>2</v>
      </c>
      <c r="AI155" s="33">
        <f>IFERROR(AVERAGE(AE155,AF155,AG155,AH155,AL155)*20,"")</f>
        <v/>
      </c>
      <c r="AJ155" s="33">
        <f>IFERROR(J155*Weights!$B$4 + O155*Weights!$B$5 + S155*Weights!$B$6 + Y155*Weights!$B$7 + AD155*Weights!$B$8 + AI155*Weights!$B$9,"")</f>
        <v/>
      </c>
      <c r="AK155" s="33">
        <f>IF(AJ155="","",IF(AJ155&gt;=85,"✓✓✓",IF(AJ155&gt;=70,"✓✓",IF(AJ155&gt;=55,"✓",IF(AJ155&gt;=40,"?","✗")))))</f>
        <v/>
      </c>
      <c r="AL155" s="33" t="n">
        <v>4</v>
      </c>
    </row>
    <row r="156">
      <c r="A156" s="33" t="inlineStr">
        <is>
          <t>ADBE</t>
        </is>
      </c>
      <c r="B156" s="33" t="inlineStr">
        <is>
          <t>Adobe Inc.</t>
        </is>
      </c>
      <c r="C156" s="33" t="inlineStr">
        <is>
          <t>10 Models, Software &amp; Applications / Creative &amp; design software</t>
        </is>
      </c>
      <c r="D156" s="33" t="inlineStr">
        <is>
          <t>2026-06-24</t>
        </is>
      </c>
      <c r="E156" s="33" t="n">
        <v>7.137849</v>
      </c>
      <c r="F156" s="33" t="n">
        <v>7.7</v>
      </c>
      <c r="G156" s="33" t="n">
        <v>13.16</v>
      </c>
      <c r="H156" s="33" t="n">
        <v>3.1009037</v>
      </c>
      <c r="I156" s="33">
        <f>IF(OR(E156="",R156="",R156&lt;=0,E156&lt;0),"",E156/R156)</f>
        <v/>
      </c>
      <c r="J156" s="33">
        <f>IFERROR(AVERAGE(IFERROR(IF(E156="","",IF(E156&lt;0,5,IF(E156&lt;=15,90,IF(E156&lt;=20,75,IF(E156&lt;=25,60,IF(E156&lt;=30,45,IF(E156&lt;=40,30,IF(E156&lt;=60,15,5)))))))),""),IFERROR(IF(F156="","",IF(F156&lt;0,5,IF(F156&lt;=20,100,IF(F156&lt;=30,90,IF(F156&lt;=40,75,IF(F156&lt;=55,60,IF(F156&lt;=75,45,IF(F156&lt;=100,30,15)))))))),""),IFERROR(IF(G156="","",IF(G156&gt;=8,100,IF(G156&gt;=6,90,IF(G156&gt;=4,75,IF(G156&gt;=2,60,IF(G156&gt;=1,45,IF(G156&gt;=0,30,15))))))),""),IFERROR(IF(H156="","",IF(H156&lt;=2,90,IF(H156&lt;=4,75,IF(H156&lt;=7,60,IF(H156&lt;=10,45,IF(H156&lt;=15,30,IF(H156&lt;=25,15,5))))))),""),IFERROR(IF(I156="","",IF(I156&lt;=0.5,100,IF(I156&lt;=1,90,IF(I156&lt;=1.5,75,IF(I156&lt;=2,60,IF(I156&lt;=2.5,45,IF(I156&lt;=3,30,15))))))),"")),"")</f>
        <v/>
      </c>
      <c r="L156" s="33" t="n">
        <v>89.40000000000001</v>
      </c>
      <c r="M156" s="33" t="n">
        <v>40.8</v>
      </c>
      <c r="N156" s="33" t="n">
        <v>0.15</v>
      </c>
      <c r="O156" s="33">
        <f>IFERROR(AVERAGE(IFERROR(IF(K156="","",IF(K156&gt;=25,100,IF(K156&gt;=20,90,IF(K156&gt;=15,75,IF(K156&gt;=10,60,IF(K156&gt;=5,45,IF(K156&gt;=0,30,15))))))),""),IFERROR(IF(L156="","",IF(L156&gt;=60,100,IF(L156&gt;=50,90,IF(L156&gt;=40,75,IF(L156&gt;=30,60,IF(L156&gt;=20,45,IF(L156&gt;=10,30,15))))))),""),IFERROR(IF(M156="","",IF(M156&gt;=25,100,IF(M156&gt;=20,90,IF(M156&gt;=15,75,IF(M156&gt;=10,60,IF(M156&gt;=5,45,IF(M156&gt;=0,30,15))))))),""),IFERROR(IF(N156="","",IF(N156&lt;=0,100,IF(N156&lt;=1,90,IF(N156&lt;=2,75,IF(N156&lt;=3,60,IF(N156&lt;=4,45,IF(N156&lt;=5,30,15))))))),"")),"")</f>
        <v/>
      </c>
      <c r="P156" s="33" t="n">
        <v>10.52</v>
      </c>
      <c r="Q156" s="33" t="n">
        <v>12.7</v>
      </c>
      <c r="R156" s="33" t="n">
        <v>1.2</v>
      </c>
      <c r="S156" s="33">
        <f>IFERROR(AVERAGE(IFERROR(IF(P156="","",IF(P156&gt;=40,100,IF(P156&gt;=30,90,IF(P156&gt;=20,75,IF(P156&gt;=15,60,IF(P156&gt;=10,45,IF(P156&gt;=5,30,15))))))),""),IFERROR(IF(Q156="","",IF(Q156&gt;=40,100,IF(Q156&gt;=30,90,IF(Q156&gt;=20,75,IF(Q156&gt;=10,60,IF(Q156&gt;=5,45,IF(Q156&gt;=0,30,15))))))),""),IFERROR(IF(R156="","",IF(R156&gt;=40,100,IF(R156&gt;=30,90,IF(R156&gt;=20,75,IF(R156&gt;=10,60,IF(R156&gt;=0,45,IF(R156&gt;=-10,30,15))))))),"")),"")</f>
        <v/>
      </c>
      <c r="T156" s="33" t="n">
        <v>2</v>
      </c>
      <c r="U156" s="33" t="n">
        <v>2</v>
      </c>
      <c r="V156" s="33" t="n">
        <v>2</v>
      </c>
      <c r="W156" s="33" t="n">
        <v>4</v>
      </c>
      <c r="X156" s="33" t="n">
        <v>1</v>
      </c>
      <c r="Y156" s="33">
        <f>IFERROR(AVERAGE(T156,U156,V156,W156,X156)*20,"")</f>
        <v/>
      </c>
      <c r="Z156" s="33" t="n">
        <v>2</v>
      </c>
      <c r="AA156" s="33" t="n">
        <v>1</v>
      </c>
      <c r="AB156" s="33" t="n">
        <v>3</v>
      </c>
      <c r="AC156" s="33" t="n">
        <v>15.8</v>
      </c>
      <c r="AD156" s="33">
        <f>IFERROR(AVERAGE(IFERROR(IF(Z156="","",Z156*20),""),IFERROR(IF(AA156="","",AA156*20),""),IFERROR(IF(AB156="","",AB156*20),""),IFERROR(IF(AC156="","",IF(AC156&gt;=85,100,IF(AC156&gt;=70,90,IF(AC156&gt;=55,75,IF(AC156&gt;=40,60,IF(AC156&gt;=25,40,20)))))),"")),"")</f>
        <v/>
      </c>
      <c r="AE156" s="33" t="n">
        <v>5</v>
      </c>
      <c r="AF156" s="33" t="n">
        <v>5</v>
      </c>
      <c r="AG156" s="33" t="n">
        <v>5</v>
      </c>
      <c r="AH156" s="33" t="n">
        <v>4</v>
      </c>
      <c r="AI156" s="33">
        <f>IFERROR(AVERAGE(AE156,AF156,AG156,AH156,AL156)*20,"")</f>
        <v/>
      </c>
      <c r="AJ156" s="33">
        <f>IFERROR(J156*Weights!$B$4 + O156*Weights!$B$5 + S156*Weights!$B$6 + Y156*Weights!$B$7 + AD156*Weights!$B$8 + AI156*Weights!$B$9,"")</f>
        <v/>
      </c>
      <c r="AK156" s="33">
        <f>IF(AJ156="","",IF(AJ156&gt;=85,"✓✓✓",IF(AJ156&gt;=70,"✓✓",IF(AJ156&gt;=55,"✓",IF(AJ156&gt;=40,"?","✗")))))</f>
        <v/>
      </c>
      <c r="AL156" s="33" t="n">
        <v>1</v>
      </c>
    </row>
    <row r="157">
      <c r="A157" s="33" t="inlineStr">
        <is>
          <t>FTNT</t>
        </is>
      </c>
      <c r="B157" s="33" t="inlineStr">
        <is>
          <t>Fortinet, Inc.</t>
        </is>
      </c>
      <c r="C157" s="33" t="inlineStr">
        <is>
          <t>10 Models, Software &amp; Applications / AI cybersecurity</t>
        </is>
      </c>
      <c r="D157" s="33" t="inlineStr">
        <is>
          <t>2026-06-24</t>
        </is>
      </c>
      <c r="E157" s="33" t="n">
        <v>42.40625</v>
      </c>
      <c r="F157" s="33" t="n">
        <v>42.6</v>
      </c>
      <c r="G157" s="33" t="n">
        <v>2.29</v>
      </c>
      <c r="H157" s="33" t="n">
        <v>14.971398</v>
      </c>
      <c r="I157" s="33">
        <f>IF(OR(E157="",R157="",R157&lt;=0,E157&lt;0),"",E157/R157)</f>
        <v/>
      </c>
      <c r="J157" s="33">
        <f>IFERROR(AVERAGE(IFERROR(IF(E157="","",IF(E157&lt;0,5,IF(E157&lt;=15,90,IF(E157&lt;=20,75,IF(E157&lt;=25,60,IF(E157&lt;=30,45,IF(E157&lt;=40,30,IF(E157&lt;=60,15,5)))))))),""),IFERROR(IF(F157="","",IF(F157&lt;0,5,IF(F157&lt;=20,100,IF(F157&lt;=30,90,IF(F157&lt;=40,75,IF(F157&lt;=55,60,IF(F157&lt;=75,45,IF(F157&lt;=100,30,15)))))))),""),IFERROR(IF(G157="","",IF(G157&gt;=8,100,IF(G157&gt;=6,90,IF(G157&gt;=4,75,IF(G157&gt;=2,60,IF(G157&gt;=1,45,IF(G157&gt;=0,30,15))))))),""),IFERROR(IF(H157="","",IF(H157&lt;=2,90,IF(H157&lt;=4,75,IF(H157&lt;=7,60,IF(H157&lt;=10,45,IF(H157&lt;=15,30,IF(H157&lt;=25,15,5))))))),""),IFERROR(IF(I157="","",IF(I157&lt;=0.5,100,IF(I157&lt;=1,90,IF(I157&lt;=1.5,75,IF(I157&lt;=2,60,IF(I157&lt;=2.5,45,IF(I157&lt;=3,30,15))))))),"")),"")</f>
        <v/>
      </c>
      <c r="L157" s="33" t="n">
        <v>80.3</v>
      </c>
      <c r="M157" s="33" t="n">
        <v>34.26</v>
      </c>
      <c r="N157" s="33" t="n">
        <v>-1.16</v>
      </c>
      <c r="O157" s="33">
        <f>IFERROR(AVERAGE(IFERROR(IF(K157="","",IF(K157&gt;=25,100,IF(K157&gt;=20,90,IF(K157&gt;=15,75,IF(K157&gt;=10,60,IF(K157&gt;=5,45,IF(K157&gt;=0,30,15))))))),""),IFERROR(IF(L157="","",IF(L157&gt;=60,100,IF(L157&gt;=50,90,IF(L157&gt;=40,75,IF(L157&gt;=30,60,IF(L157&gt;=20,45,IF(L157&gt;=10,30,15))))))),""),IFERROR(IF(M157="","",IF(M157&gt;=25,100,IF(M157&gt;=20,90,IF(M157&gt;=15,75,IF(M157&gt;=10,60,IF(M157&gt;=5,45,IF(M157&gt;=0,30,15))))))),""),IFERROR(IF(N157="","",IF(N157&lt;=0,100,IF(N157&lt;=1,90,IF(N157&lt;=2,75,IF(N157&lt;=3,60,IF(N157&lt;=4,45,IF(N157&lt;=5,30,15))))))),"")),"")</f>
        <v/>
      </c>
      <c r="P157" s="33" t="n">
        <v>15.46</v>
      </c>
      <c r="Q157" s="33" t="n">
        <v>20.1</v>
      </c>
      <c r="R157" s="33" t="n">
        <v>23.3</v>
      </c>
      <c r="S157" s="33">
        <f>IFERROR(AVERAGE(IFERROR(IF(P157="","",IF(P157&gt;=40,100,IF(P157&gt;=30,90,IF(P157&gt;=20,75,IF(P157&gt;=15,60,IF(P157&gt;=10,45,IF(P157&gt;=5,30,15))))))),""),IFERROR(IF(Q157="","",IF(Q157&gt;=40,100,IF(Q157&gt;=30,90,IF(Q157&gt;=20,75,IF(Q157&gt;=10,60,IF(Q157&gt;=5,45,IF(Q157&gt;=0,30,15))))))),""),IFERROR(IF(R157="","",IF(R157&gt;=40,100,IF(R157&gt;=30,90,IF(R157&gt;=20,75,IF(R157&gt;=10,60,IF(R157&gt;=0,45,IF(R157&gt;=-10,30,15))))))),"")),"")</f>
        <v/>
      </c>
      <c r="T157" s="33" t="n">
        <v>1</v>
      </c>
      <c r="U157" s="33" t="n">
        <v>3</v>
      </c>
      <c r="V157" s="33" t="n">
        <v>4</v>
      </c>
      <c r="W157" s="33" t="n">
        <v>3</v>
      </c>
      <c r="X157" s="33" t="n">
        <v>1</v>
      </c>
      <c r="Y157" s="33">
        <f>IFERROR(AVERAGE(T157,U157,V157,W157,X157)*20,"")</f>
        <v/>
      </c>
      <c r="Z157" s="33" t="n">
        <v>4</v>
      </c>
      <c r="AA157" s="33" t="n">
        <v>4</v>
      </c>
      <c r="AB157" s="33" t="n">
        <v>3</v>
      </c>
      <c r="AC157" s="33" t="n">
        <v>70</v>
      </c>
      <c r="AD157" s="33">
        <f>IFERROR(AVERAGE(IFERROR(IF(Z157="","",Z157*20),""),IFERROR(IF(AA157="","",AA157*20),""),IFERROR(IF(AB157="","",AB157*20),""),IFERROR(IF(AC157="","",IF(AC157&gt;=85,100,IF(AC157&gt;=70,90,IF(AC157&gt;=55,75,IF(AC157&gt;=40,60,IF(AC157&gt;=25,40,20)))))),"")),"")</f>
        <v/>
      </c>
      <c r="AE157" s="33" t="n">
        <v>3</v>
      </c>
      <c r="AF157" s="33" t="n">
        <v>4</v>
      </c>
      <c r="AG157" s="33" t="n">
        <v>5</v>
      </c>
      <c r="AH157" s="33" t="n">
        <v>3</v>
      </c>
      <c r="AI157" s="33">
        <f>IFERROR(AVERAGE(AE157,AF157,AG157,AH157,AL157)*20,"")</f>
        <v/>
      </c>
      <c r="AJ157" s="33">
        <f>IFERROR(J157*Weights!$B$4 + O157*Weights!$B$5 + S157*Weights!$B$6 + Y157*Weights!$B$7 + AD157*Weights!$B$8 + AI157*Weights!$B$9,"")</f>
        <v/>
      </c>
      <c r="AK157" s="33">
        <f>IF(AJ157="","",IF(AJ157&gt;=85,"✓✓✓",IF(AJ157&gt;=70,"✓✓",IF(AJ157&gt;=55,"✓",IF(AJ157&gt;=40,"?","✗")))))</f>
        <v/>
      </c>
      <c r="AL157" s="33" t="n">
        <v>4</v>
      </c>
    </row>
    <row r="158">
      <c r="A158" s="33" t="inlineStr">
        <is>
          <t>ZS</t>
        </is>
      </c>
      <c r="B158" s="33" t="inlineStr">
        <is>
          <t>Zscaler, Inc.</t>
        </is>
      </c>
      <c r="C158" s="33" t="inlineStr">
        <is>
          <t>10 Models, Software &amp; Applications / AI cybersecurity</t>
        </is>
      </c>
      <c r="D158" s="33" t="inlineStr">
        <is>
          <t>2026-06-24</t>
        </is>
      </c>
      <c r="E158" s="33" t="n">
        <v>27.68147</v>
      </c>
      <c r="F158" s="33" t="n">
        <v>21.2</v>
      </c>
      <c r="G158" s="33" t="n">
        <v>4.33</v>
      </c>
      <c r="H158" s="33" t="n">
        <v>6.4850655</v>
      </c>
      <c r="I158" s="33">
        <f>IF(OR(E158="",R158="",R158&lt;=0,E158&lt;0),"",E158/R158)</f>
        <v/>
      </c>
      <c r="J158" s="33">
        <f>IFERROR(AVERAGE(IFERROR(IF(E158="","",IF(E158&lt;0,5,IF(E158&lt;=15,90,IF(E158&lt;=20,75,IF(E158&lt;=25,60,IF(E158&lt;=30,45,IF(E158&lt;=40,30,IF(E158&lt;=60,15,5)))))))),""),IFERROR(IF(F158="","",IF(F158&lt;0,5,IF(F158&lt;=20,100,IF(F158&lt;=30,90,IF(F158&lt;=40,75,IF(F158&lt;=55,60,IF(F158&lt;=75,45,IF(F158&lt;=100,30,15)))))))),""),IFERROR(IF(G158="","",IF(G158&gt;=8,100,IF(G158&gt;=6,90,IF(G158&gt;=4,75,IF(G158&gt;=2,60,IF(G158&gt;=1,45,IF(G158&gt;=0,30,15))))))),""),IFERROR(IF(H158="","",IF(H158&lt;=2,90,IF(H158&lt;=4,75,IF(H158&lt;=7,60,IF(H158&lt;=10,45,IF(H158&lt;=15,30,IF(H158&lt;=25,15,5))))))),""),IFERROR(IF(I158="","",IF(I158&lt;=0.5,100,IF(I158&lt;=1,90,IF(I158&lt;=1.5,75,IF(I158&lt;=2,60,IF(I158&lt;=2.5,45,IF(I158&lt;=3,30,15))))))),"")),"")</f>
        <v/>
      </c>
      <c r="L158" s="33" t="n">
        <v>76.73999999999999</v>
      </c>
      <c r="M158" s="33" t="n">
        <v>28.05</v>
      </c>
      <c r="O158" s="33">
        <f>IFERROR(AVERAGE(IFERROR(IF(K158="","",IF(K158&gt;=25,100,IF(K158&gt;=20,90,IF(K158&gt;=15,75,IF(K158&gt;=10,60,IF(K158&gt;=5,45,IF(K158&gt;=0,30,15))))))),""),IFERROR(IF(L158="","",IF(L158&gt;=60,100,IF(L158&gt;=50,90,IF(L158&gt;=40,75,IF(L158&gt;=30,60,IF(L158&gt;=20,45,IF(L158&gt;=10,30,15))))))),""),IFERROR(IF(M158="","",IF(M158&gt;=25,100,IF(M158&gt;=20,90,IF(M158&gt;=15,75,IF(M158&gt;=10,60,IF(M158&gt;=5,45,IF(M158&gt;=0,30,15))))))),""),IFERROR(IF(N158="","",IF(N158&lt;=0,100,IF(N158&lt;=1,90,IF(N158&lt;=2,75,IF(N158&lt;=3,60,IF(N158&lt;=4,45,IF(N158&lt;=5,30,15))))))),"")),"")</f>
        <v/>
      </c>
      <c r="P158" s="33" t="n">
        <v>34.81</v>
      </c>
      <c r="Q158" s="33" t="n">
        <v>25.4</v>
      </c>
      <c r="S158" s="33">
        <f>IFERROR(AVERAGE(IFERROR(IF(P158="","",IF(P158&gt;=40,100,IF(P158&gt;=30,90,IF(P158&gt;=20,75,IF(P158&gt;=15,60,IF(P158&gt;=10,45,IF(P158&gt;=5,30,15))))))),""),IFERROR(IF(Q158="","",IF(Q158&gt;=40,100,IF(Q158&gt;=30,90,IF(Q158&gt;=20,75,IF(Q158&gt;=10,60,IF(Q158&gt;=5,45,IF(Q158&gt;=0,30,15))))))),""),IFERROR(IF(R158="","",IF(R158&gt;=40,100,IF(R158&gt;=30,90,IF(R158&gt;=20,75,IF(R158&gt;=10,60,IF(R158&gt;=0,45,IF(R158&gt;=-10,30,15))))))),"")),"")</f>
        <v/>
      </c>
      <c r="T158" s="33" t="n">
        <v>2</v>
      </c>
      <c r="U158" s="33" t="n">
        <v>4</v>
      </c>
      <c r="V158" s="33" t="n">
        <v>4</v>
      </c>
      <c r="W158" s="33" t="n">
        <v>4</v>
      </c>
      <c r="X158" s="33" t="n">
        <v>2</v>
      </c>
      <c r="Y158" s="33">
        <f>IFERROR(AVERAGE(T158,U158,V158,W158,X158)*20,"")</f>
        <v/>
      </c>
      <c r="Z158" s="33" t="n">
        <v>1</v>
      </c>
      <c r="AA158" s="33" t="n">
        <v>1</v>
      </c>
      <c r="AB158" s="33" t="n">
        <v>3</v>
      </c>
      <c r="AC158" s="33" t="n">
        <v>12.5</v>
      </c>
      <c r="AD158" s="33">
        <f>IFERROR(AVERAGE(IFERROR(IF(Z158="","",Z158*20),""),IFERROR(IF(AA158="","",AA158*20),""),IFERROR(IF(AB158="","",AB158*20),""),IFERROR(IF(AC158="","",IF(AC158&gt;=85,100,IF(AC158&gt;=70,90,IF(AC158&gt;=55,75,IF(AC158&gt;=40,60,IF(AC158&gt;=25,40,20)))))),"")),"")</f>
        <v/>
      </c>
      <c r="AE158" s="33" t="n">
        <v>5</v>
      </c>
      <c r="AF158" s="33" t="n">
        <v>5</v>
      </c>
      <c r="AG158" s="33" t="n">
        <v>5</v>
      </c>
      <c r="AH158" s="33" t="n">
        <v>4</v>
      </c>
      <c r="AI158" s="33">
        <f>IFERROR(AVERAGE(AE158,AF158,AG158,AH158,AL158)*20,"")</f>
        <v/>
      </c>
      <c r="AJ158" s="33">
        <f>IFERROR(J158*Weights!$B$4 + O158*Weights!$B$5 + S158*Weights!$B$6 + Y158*Weights!$B$7 + AD158*Weights!$B$8 + AI158*Weights!$B$9,"")</f>
        <v/>
      </c>
      <c r="AK158" s="33">
        <f>IF(AJ158="","",IF(AJ158&gt;=85,"✓✓✓",IF(AJ158&gt;=70,"✓✓",IF(AJ158&gt;=55,"✓",IF(AJ158&gt;=40,"?","✗")))))</f>
        <v/>
      </c>
      <c r="AL158" s="33" t="n">
        <v>4</v>
      </c>
    </row>
    <row r="159">
      <c r="A159" s="33" t="inlineStr">
        <is>
          <t>INTU</t>
        </is>
      </c>
      <c r="B159" s="33" t="inlineStr">
        <is>
          <t>Intuit Inc.</t>
        </is>
      </c>
      <c r="C159" s="33" t="inlineStr">
        <is>
          <t>10 Models, Software &amp; Applications / Financial software</t>
        </is>
      </c>
      <c r="D159" s="33" t="inlineStr">
        <is>
          <t>2026-06-24</t>
        </is>
      </c>
      <c r="E159" s="33" t="n">
        <v>9.596976</v>
      </c>
      <c r="F159" s="33" t="n">
        <v>9.300000000000001</v>
      </c>
      <c r="G159" s="33" t="n">
        <v>10.76</v>
      </c>
      <c r="H159" s="33" t="n">
        <v>3.4280033</v>
      </c>
      <c r="I159" s="33">
        <f>IF(OR(E159="",R159="",R159&lt;=0,E159&lt;0),"",E159/R159)</f>
        <v/>
      </c>
      <c r="J159" s="33">
        <f>IFERROR(AVERAGE(IFERROR(IF(E159="","",IF(E159&lt;0,5,IF(E159&lt;=15,90,IF(E159&lt;=20,75,IF(E159&lt;=25,60,IF(E159&lt;=30,45,IF(E159&lt;=40,30,IF(E159&lt;=60,15,5)))))))),""),IFERROR(IF(F159="","",IF(F159&lt;0,5,IF(F159&lt;=20,100,IF(F159&lt;=30,90,IF(F159&lt;=40,75,IF(F159&lt;=55,60,IF(F159&lt;=75,45,IF(F159&lt;=100,30,15)))))))),""),IFERROR(IF(G159="","",IF(G159&gt;=8,100,IF(G159&gt;=6,90,IF(G159&gt;=4,75,IF(G159&gt;=2,60,IF(G159&gt;=1,45,IF(G159&gt;=0,30,15))))))),""),IFERROR(IF(H159="","",IF(H159&lt;=2,90,IF(H159&lt;=4,75,IF(H159&lt;=7,60,IF(H159&lt;=10,45,IF(H159&lt;=15,30,IF(H159&lt;=25,15,5))))))),""),IFERROR(IF(I159="","",IF(I159&lt;=0.5,100,IF(I159&lt;=1,90,IF(I159&lt;=1.5,75,IF(I159&lt;=2,60,IF(I159&lt;=2.5,45,IF(I159&lt;=3,30,15))))))),"")),"")</f>
        <v/>
      </c>
      <c r="L159" s="33" t="n">
        <v>80.79000000000001</v>
      </c>
      <c r="M159" s="33" t="n">
        <v>36.87</v>
      </c>
      <c r="N159" s="33" t="n">
        <v>0.02</v>
      </c>
      <c r="O159" s="33">
        <f>IFERROR(AVERAGE(IFERROR(IF(K159="","",IF(K159&gt;=25,100,IF(K159&gt;=20,90,IF(K159&gt;=15,75,IF(K159&gt;=10,60,IF(K159&gt;=5,45,IF(K159&gt;=0,30,15))))))),""),IFERROR(IF(L159="","",IF(L159&gt;=60,100,IF(L159&gt;=50,90,IF(L159&gt;=40,75,IF(L159&gt;=30,60,IF(L159&gt;=20,45,IF(L159&gt;=10,30,15))))))),""),IFERROR(IF(M159="","",IF(M159&gt;=25,100,IF(M159&gt;=20,90,IF(M159&gt;=15,75,IF(M159&gt;=10,60,IF(M159&gt;=5,45,IF(M159&gt;=0,30,15))))))),""),IFERROR(IF(N159="","",IF(N159&lt;=0,100,IF(N159&lt;=1,90,IF(N159&lt;=2,75,IF(N159&lt;=3,60,IF(N159&lt;=4,45,IF(N159&lt;=5,30,15))))))),"")),"")</f>
        <v/>
      </c>
      <c r="P159" s="33" t="n">
        <v>13.95</v>
      </c>
      <c r="Q159" s="33" t="n">
        <v>10.4</v>
      </c>
      <c r="R159" s="33" t="n">
        <v>8.699999999999999</v>
      </c>
      <c r="S159" s="33">
        <f>IFERROR(AVERAGE(IFERROR(IF(P159="","",IF(P159&gt;=40,100,IF(P159&gt;=30,90,IF(P159&gt;=20,75,IF(P159&gt;=15,60,IF(P159&gt;=10,45,IF(P159&gt;=5,30,15))))))),""),IFERROR(IF(Q159="","",IF(Q159&gt;=40,100,IF(Q159&gt;=30,90,IF(Q159&gt;=20,75,IF(Q159&gt;=10,60,IF(Q159&gt;=5,45,IF(Q159&gt;=0,30,15))))))),""),IFERROR(IF(R159="","",IF(R159&gt;=40,100,IF(R159&gt;=30,90,IF(R159&gt;=20,75,IF(R159&gt;=10,60,IF(R159&gt;=0,45,IF(R159&gt;=-10,30,15))))))),"")),"")</f>
        <v/>
      </c>
      <c r="T159" s="33" t="n">
        <v>2</v>
      </c>
      <c r="U159" s="33" t="n">
        <v>3</v>
      </c>
      <c r="V159" s="33" t="n">
        <v>2</v>
      </c>
      <c r="W159" s="33" t="n">
        <v>3</v>
      </c>
      <c r="X159" s="33" t="n">
        <v>1</v>
      </c>
      <c r="Y159" s="33">
        <f>IFERROR(AVERAGE(T159,U159,V159,W159,X159)*20,"")</f>
        <v/>
      </c>
      <c r="Z159" s="33" t="n">
        <v>2</v>
      </c>
      <c r="AA159" s="33" t="n">
        <v>1</v>
      </c>
      <c r="AB159" s="33" t="n">
        <v>4</v>
      </c>
      <c r="AC159" s="33" t="n">
        <v>0.8</v>
      </c>
      <c r="AD159" s="33">
        <f>IFERROR(AVERAGE(IFERROR(IF(Z159="","",Z159*20),""),IFERROR(IF(AA159="","",AA159*20),""),IFERROR(IF(AB159="","",AB159*20),""),IFERROR(IF(AC159="","",IF(AC159&gt;=85,100,IF(AC159&gt;=70,90,IF(AC159&gt;=55,75,IF(AC159&gt;=40,60,IF(AC159&gt;=25,40,20)))))),"")),"")</f>
        <v/>
      </c>
      <c r="AE159" s="33" t="n">
        <v>5</v>
      </c>
      <c r="AF159" s="33" t="n">
        <v>5</v>
      </c>
      <c r="AG159" s="33" t="n">
        <v>5</v>
      </c>
      <c r="AH159" s="33" t="n">
        <v>3</v>
      </c>
      <c r="AI159" s="33">
        <f>IFERROR(AVERAGE(AE159,AF159,AG159,AH159,AL159)*20,"")</f>
        <v/>
      </c>
      <c r="AJ159" s="33">
        <f>IFERROR(J159*Weights!$B$4 + O159*Weights!$B$5 + S159*Weights!$B$6 + Y159*Weights!$B$7 + AD159*Weights!$B$8 + AI159*Weights!$B$9,"")</f>
        <v/>
      </c>
      <c r="AK159" s="33">
        <f>IF(AJ159="","",IF(AJ159&gt;=85,"✓✓✓",IF(AJ159&gt;=70,"✓✓",IF(AJ159&gt;=55,"✓",IF(AJ159&gt;=40,"?","✗")))))</f>
        <v/>
      </c>
      <c r="AL159" s="33" t="n">
        <v>1</v>
      </c>
    </row>
    <row r="160">
      <c r="A160" s="33" t="inlineStr">
        <is>
          <t>WDAY</t>
        </is>
      </c>
      <c r="B160" s="33" t="inlineStr">
        <is>
          <t>Workday, Inc.</t>
        </is>
      </c>
      <c r="C160" s="33" t="inlineStr">
        <is>
          <t>10 Models, Software &amp; Applications / Enterprise SaaS</t>
        </is>
      </c>
      <c r="D160" s="33" t="inlineStr">
        <is>
          <t>2026-06-24</t>
        </is>
      </c>
      <c r="E160" s="33" t="n">
        <v>9.342416</v>
      </c>
      <c r="F160" s="33" t="n">
        <v>9.6</v>
      </c>
      <c r="G160" s="33" t="n">
        <v>10.19</v>
      </c>
      <c r="H160" s="33" t="n">
        <v>2.9597216</v>
      </c>
      <c r="I160" s="33">
        <f>IF(OR(E160="",R160="",R160&lt;=0,E160&lt;0),"",E160/R160)</f>
        <v/>
      </c>
      <c r="J160" s="33">
        <f>IFERROR(AVERAGE(IFERROR(IF(E160="","",IF(E160&lt;0,5,IF(E160&lt;=15,90,IF(E160&lt;=20,75,IF(E160&lt;=25,60,IF(E160&lt;=30,45,IF(E160&lt;=40,30,IF(E160&lt;=60,15,5)))))))),""),IFERROR(IF(F160="","",IF(F160&lt;0,5,IF(F160&lt;=20,100,IF(F160&lt;=30,90,IF(F160&lt;=40,75,IF(F160&lt;=55,60,IF(F160&lt;=75,45,IF(F160&lt;=100,30,15)))))))),""),IFERROR(IF(G160="","",IF(G160&gt;=8,100,IF(G160&gt;=6,90,IF(G160&gt;=4,75,IF(G160&gt;=2,60,IF(G160&gt;=1,45,IF(G160&gt;=0,30,15))))))),""),IFERROR(IF(H160="","",IF(H160&lt;=2,90,IF(H160&lt;=4,75,IF(H160&lt;=7,60,IF(H160&lt;=10,45,IF(H160&lt;=15,30,IF(H160&lt;=25,15,5))))))),""),IFERROR(IF(I160="","",IF(I160&lt;=0.5,100,IF(I160&lt;=1,90,IF(I160&lt;=1.5,75,IF(I160&lt;=2,60,IF(I160&lt;=2.5,45,IF(I160&lt;=3,30,15))))))),"")),"")</f>
        <v/>
      </c>
      <c r="L160" s="33" t="n">
        <v>75.77</v>
      </c>
      <c r="M160" s="33" t="n">
        <v>30.16</v>
      </c>
      <c r="N160" s="33" t="n">
        <v>-0.36</v>
      </c>
      <c r="O160" s="33">
        <f>IFERROR(AVERAGE(IFERROR(IF(K160="","",IF(K160&gt;=25,100,IF(K160&gt;=20,90,IF(K160&gt;=15,75,IF(K160&gt;=10,60,IF(K160&gt;=5,45,IF(K160&gt;=0,30,15))))))),""),IFERROR(IF(L160="","",IF(L160&gt;=60,100,IF(L160&gt;=50,90,IF(L160&gt;=40,75,IF(L160&gt;=30,60,IF(L160&gt;=20,45,IF(L160&gt;=10,30,15))))))),""),IFERROR(IF(M160="","",IF(M160&gt;=25,100,IF(M160&gt;=20,90,IF(M160&gt;=15,75,IF(M160&gt;=10,60,IF(M160&gt;=5,45,IF(M160&gt;=0,30,15))))))),""),IFERROR(IF(N160="","",IF(N160&lt;=0,100,IF(N160&lt;=1,90,IF(N160&lt;=2,75,IF(N160&lt;=3,60,IF(N160&lt;=4,45,IF(N160&lt;=5,30,15))))))),"")),"")</f>
        <v/>
      </c>
      <c r="P160" s="33" t="n">
        <v>15.4</v>
      </c>
      <c r="Q160" s="33" t="n">
        <v>13.5</v>
      </c>
      <c r="R160" s="33" t="n">
        <v>226.5</v>
      </c>
      <c r="S160" s="33">
        <f>IFERROR(AVERAGE(IFERROR(IF(P160="","",IF(P160&gt;=40,100,IF(P160&gt;=30,90,IF(P160&gt;=20,75,IF(P160&gt;=15,60,IF(P160&gt;=10,45,IF(P160&gt;=5,30,15))))))),""),IFERROR(IF(Q160="","",IF(Q160&gt;=40,100,IF(Q160&gt;=30,90,IF(Q160&gt;=20,75,IF(Q160&gt;=10,60,IF(Q160&gt;=5,45,IF(Q160&gt;=0,30,15))))))),""),IFERROR(IF(R160="","",IF(R160&gt;=40,100,IF(R160&gt;=30,90,IF(R160&gt;=20,75,IF(R160&gt;=10,60,IF(R160&gt;=0,45,IF(R160&gt;=-10,30,15))))))),"")),"")</f>
        <v/>
      </c>
      <c r="T160" s="33" t="n">
        <v>2</v>
      </c>
      <c r="U160" s="33" t="n">
        <v>3</v>
      </c>
      <c r="V160" s="33" t="n">
        <v>2</v>
      </c>
      <c r="W160" s="33" t="n">
        <v>4</v>
      </c>
      <c r="X160" s="33" t="n">
        <v>1</v>
      </c>
      <c r="Y160" s="33">
        <f>IFERROR(AVERAGE(T160,U160,V160,W160,X160)*20,"")</f>
        <v/>
      </c>
      <c r="Z160" s="33" t="n">
        <v>2</v>
      </c>
      <c r="AA160" s="33" t="n">
        <v>1</v>
      </c>
      <c r="AB160" s="33" t="n">
        <v>3</v>
      </c>
      <c r="AC160" s="33" t="n">
        <v>15</v>
      </c>
      <c r="AD160" s="33">
        <f>IFERROR(AVERAGE(IFERROR(IF(Z160="","",Z160*20),""),IFERROR(IF(AA160="","",AA160*20),""),IFERROR(IF(AB160="","",AB160*20),""),IFERROR(IF(AC160="","",IF(AC160&gt;=85,100,IF(AC160&gt;=70,90,IF(AC160&gt;=55,75,IF(AC160&gt;=40,60,IF(AC160&gt;=25,40,20)))))),"")),"")</f>
        <v/>
      </c>
      <c r="AE160" s="33" t="n">
        <v>5</v>
      </c>
      <c r="AF160" s="33" t="n">
        <v>5</v>
      </c>
      <c r="AG160" s="33" t="n">
        <v>5</v>
      </c>
      <c r="AH160" s="33" t="n">
        <v>3</v>
      </c>
      <c r="AI160" s="33">
        <f>IFERROR(AVERAGE(AE160,AF160,AG160,AH160,AL160)*20,"")</f>
        <v/>
      </c>
      <c r="AJ160" s="33">
        <f>IFERROR(J160*Weights!$B$4 + O160*Weights!$B$5 + S160*Weights!$B$6 + Y160*Weights!$B$7 + AD160*Weights!$B$8 + AI160*Weights!$B$9,"")</f>
        <v/>
      </c>
      <c r="AK160" s="33">
        <f>IF(AJ160="","",IF(AJ160&gt;=85,"✓✓✓",IF(AJ160&gt;=70,"✓✓",IF(AJ160&gt;=55,"✓",IF(AJ160&gt;=40,"?","✗")))))</f>
        <v/>
      </c>
      <c r="AL160" s="33" t="n">
        <v>2</v>
      </c>
    </row>
    <row r="161">
      <c r="A161" s="33" t="inlineStr">
        <is>
          <t>ADSK</t>
        </is>
      </c>
      <c r="B161" s="33" t="inlineStr">
        <is>
          <t>Autodesk, Inc.</t>
        </is>
      </c>
      <c r="C161" s="33" t="inlineStr">
        <is>
          <t>10 Models, Software &amp; Applications / Design &amp; engineering software</t>
        </is>
      </c>
      <c r="D161" s="33" t="inlineStr">
        <is>
          <t>2026-06-24</t>
        </is>
      </c>
      <c r="E161" s="33" t="n">
        <v>13.5011425</v>
      </c>
      <c r="F161" s="33" t="n">
        <v>15</v>
      </c>
      <c r="G161" s="33" t="n">
        <v>6.62</v>
      </c>
      <c r="H161" s="33" t="n">
        <v>5.4174356</v>
      </c>
      <c r="I161" s="33">
        <f>IF(OR(E161="",R161="",R161&lt;=0,E161&lt;0),"",E161/R161)</f>
        <v/>
      </c>
      <c r="J161" s="33">
        <f>IFERROR(AVERAGE(IFERROR(IF(E161="","",IF(E161&lt;0,5,IF(E161&lt;=15,90,IF(E161&lt;=20,75,IF(E161&lt;=25,60,IF(E161&lt;=30,45,IF(E161&lt;=40,30,IF(E161&lt;=60,15,5)))))))),""),IFERROR(IF(F161="","",IF(F161&lt;0,5,IF(F161&lt;=20,100,IF(F161&lt;=30,90,IF(F161&lt;=40,75,IF(F161&lt;=55,60,IF(F161&lt;=75,45,IF(F161&lt;=100,30,15)))))))),""),IFERROR(IF(G161="","",IF(G161&gt;=8,100,IF(G161&gt;=6,90,IF(G161&gt;=4,75,IF(G161&gt;=2,60,IF(G161&gt;=1,45,IF(G161&gt;=0,30,15))))))),""),IFERROR(IF(H161="","",IF(H161&lt;=2,90,IF(H161&lt;=4,75,IF(H161&lt;=7,60,IF(H161&lt;=10,45,IF(H161&lt;=15,30,IF(H161&lt;=25,15,5))))))),""),IFERROR(IF(I161="","",IF(I161&lt;=0.5,100,IF(I161&lt;=1,90,IF(I161&lt;=1.5,75,IF(I161&lt;=2,60,IF(I161&lt;=2.5,45,IF(I161&lt;=3,30,15))))))),"")),"")</f>
        <v/>
      </c>
      <c r="L161" s="33" t="n">
        <v>92.43000000000001</v>
      </c>
      <c r="M161" s="33" t="n">
        <v>35.89</v>
      </c>
      <c r="N161" s="33" t="n">
        <v>-0.09</v>
      </c>
      <c r="O161" s="33">
        <f>IFERROR(AVERAGE(IFERROR(IF(K161="","",IF(K161&gt;=25,100,IF(K161&gt;=20,90,IF(K161&gt;=15,75,IF(K161&gt;=10,60,IF(K161&gt;=5,45,IF(K161&gt;=0,30,15))))))),""),IFERROR(IF(L161="","",IF(L161&gt;=60,100,IF(L161&gt;=50,90,IF(L161&gt;=40,75,IF(L161&gt;=30,60,IF(L161&gt;=20,45,IF(L161&gt;=10,30,15))))))),""),IFERROR(IF(M161="","",IF(M161&gt;=25,100,IF(M161&gt;=20,90,IF(M161&gt;=15,75,IF(M161&gt;=10,60,IF(M161&gt;=5,45,IF(M161&gt;=0,30,15))))))),""),IFERROR(IF(N161="","",IF(N161&lt;=0,100,IF(N161&lt;=1,90,IF(N161&lt;=2,75,IF(N161&lt;=3,60,IF(N161&lt;=4,45,IF(N161&lt;=5,30,15))))))),"")),"")</f>
        <v/>
      </c>
      <c r="P161" s="33" t="n">
        <v>12.92</v>
      </c>
      <c r="Q161" s="33" t="n">
        <v>18.4</v>
      </c>
      <c r="R161" s="33" t="n">
        <v>223</v>
      </c>
      <c r="S161" s="33">
        <f>IFERROR(AVERAGE(IFERROR(IF(P161="","",IF(P161&gt;=40,100,IF(P161&gt;=30,90,IF(P161&gt;=20,75,IF(P161&gt;=15,60,IF(P161&gt;=10,45,IF(P161&gt;=5,30,15))))))),""),IFERROR(IF(Q161="","",IF(Q161&gt;=40,100,IF(Q161&gt;=30,90,IF(Q161&gt;=20,75,IF(Q161&gt;=10,60,IF(Q161&gt;=5,45,IF(Q161&gt;=0,30,15))))))),""),IFERROR(IF(R161="","",IF(R161&gt;=40,100,IF(R161&gt;=30,90,IF(R161&gt;=20,75,IF(R161&gt;=10,60,IF(R161&gt;=0,45,IF(R161&gt;=-10,30,15))))))),"")),"")</f>
        <v/>
      </c>
      <c r="T161" s="33" t="n">
        <v>1</v>
      </c>
      <c r="U161" s="33" t="n">
        <v>3</v>
      </c>
      <c r="V161" s="33" t="n">
        <v>3</v>
      </c>
      <c r="W161" s="33" t="n">
        <v>4</v>
      </c>
      <c r="X161" s="33" t="n">
        <v>1</v>
      </c>
      <c r="Y161" s="33">
        <f>IFERROR(AVERAGE(T161,U161,V161,W161,X161)*20,"")</f>
        <v/>
      </c>
      <c r="Z161" s="33" t="n">
        <v>4</v>
      </c>
      <c r="AA161" s="33" t="n">
        <v>2</v>
      </c>
      <c r="AB161" s="33" t="n">
        <v>5</v>
      </c>
      <c r="AC161" s="33" t="n">
        <v>18.3</v>
      </c>
      <c r="AD161" s="33">
        <f>IFERROR(AVERAGE(IFERROR(IF(Z161="","",Z161*20),""),IFERROR(IF(AA161="","",AA161*20),""),IFERROR(IF(AB161="","",AB161*20),""),IFERROR(IF(AC161="","",IF(AC161&gt;=85,100,IF(AC161&gt;=70,90,IF(AC161&gt;=55,75,IF(AC161&gt;=40,60,IF(AC161&gt;=25,40,20)))))),"")),"")</f>
        <v/>
      </c>
      <c r="AE161" s="33" t="n">
        <v>5</v>
      </c>
      <c r="AF161" s="33" t="n">
        <v>4</v>
      </c>
      <c r="AG161" s="33" t="n">
        <v>4</v>
      </c>
      <c r="AH161" s="33" t="n">
        <v>2</v>
      </c>
      <c r="AI161" s="33">
        <f>IFERROR(AVERAGE(AE161,AF161,AG161,AH161,AL161)*20,"")</f>
        <v/>
      </c>
      <c r="AJ161" s="33">
        <f>IFERROR(J161*Weights!$B$4 + O161*Weights!$B$5 + S161*Weights!$B$6 + Y161*Weights!$B$7 + AD161*Weights!$B$8 + AI161*Weights!$B$9,"")</f>
        <v/>
      </c>
      <c r="AK161" s="33">
        <f>IF(AJ161="","",IF(AJ161&gt;=85,"✓✓✓",IF(AJ161&gt;=70,"✓✓",IF(AJ161&gt;=55,"✓",IF(AJ161&gt;=40,"?","✗")))))</f>
        <v/>
      </c>
      <c r="AL161" s="33" t="n">
        <v>3</v>
      </c>
    </row>
    <row r="162">
      <c r="A162" s="33" t="inlineStr">
        <is>
          <t>TSLA</t>
        </is>
      </c>
      <c r="B162" s="33" t="inlineStr">
        <is>
          <t>Tesla, Inc.</t>
        </is>
      </c>
      <c r="C162" s="33" t="inlineStr">
        <is>
          <t>10 Models, Software &amp; Applications / AI-native vertical applications</t>
        </is>
      </c>
      <c r="D162" s="33" t="inlineStr">
        <is>
          <t>2026-06-24</t>
        </is>
      </c>
      <c r="E162" s="33" t="n">
        <v>150.20839</v>
      </c>
      <c r="F162" s="33" t="n">
        <v>197.5</v>
      </c>
      <c r="G162" s="33" t="n">
        <v>0.5</v>
      </c>
      <c r="H162" s="33" t="n">
        <v>14.409494</v>
      </c>
      <c r="I162" s="33">
        <f>IF(OR(E162="",R162="",R162&lt;=0,E162&lt;0),"",E162/R162)</f>
        <v/>
      </c>
      <c r="J162" s="33">
        <f>IFERROR(AVERAGE(IFERROR(IF(E162="","",IF(E162&lt;0,5,IF(E162&lt;=15,90,IF(E162&lt;=20,75,IF(E162&lt;=25,60,IF(E162&lt;=30,45,IF(E162&lt;=40,30,IF(E162&lt;=60,15,5)))))))),""),IFERROR(IF(F162="","",IF(F162&lt;0,5,IF(F162&lt;=20,100,IF(F162&lt;=30,90,IF(F162&lt;=40,75,IF(F162&lt;=55,60,IF(F162&lt;=75,45,IF(F162&lt;=100,30,15)))))))),""),IFERROR(IF(G162="","",IF(G162&gt;=8,100,IF(G162&gt;=6,90,IF(G162&gt;=4,75,IF(G162&gt;=2,60,IF(G162&gt;=1,45,IF(G162&gt;=0,30,15))))))),""),IFERROR(IF(H162="","",IF(H162&lt;=2,90,IF(H162&lt;=4,75,IF(H162&lt;=7,60,IF(H162&lt;=10,45,IF(H162&lt;=15,30,IF(H162&lt;=25,15,5))))))),""),IFERROR(IF(I162="","",IF(I162&lt;=0.5,100,IF(I162&lt;=1,90,IF(I162&lt;=1.5,75,IF(I162&lt;=2,60,IF(I162&lt;=2.5,45,IF(I162&lt;=3,30,15))))))),"")),"")</f>
        <v/>
      </c>
      <c r="K162" s="33" t="n">
        <v>4.5</v>
      </c>
      <c r="L162" s="33" t="n">
        <v>19.06</v>
      </c>
      <c r="M162" s="33" t="n">
        <v>7.15</v>
      </c>
      <c r="N162" s="33" t="n">
        <v>-2.6</v>
      </c>
      <c r="O162" s="33">
        <f>IFERROR(AVERAGE(IFERROR(IF(K162="","",IF(K162&gt;=25,100,IF(K162&gt;=20,90,IF(K162&gt;=15,75,IF(K162&gt;=10,60,IF(K162&gt;=5,45,IF(K162&gt;=0,30,15))))))),""),IFERROR(IF(L162="","",IF(L162&gt;=60,100,IF(L162&gt;=50,90,IF(L162&gt;=40,75,IF(L162&gt;=30,60,IF(L162&gt;=20,45,IF(L162&gt;=10,30,15))))))),""),IFERROR(IF(M162="","",IF(M162&gt;=25,100,IF(M162&gt;=20,90,IF(M162&gt;=15,75,IF(M162&gt;=10,60,IF(M162&gt;=5,45,IF(M162&gt;=0,30,15))))))),""),IFERROR(IF(N162="","",IF(N162&lt;=0,100,IF(N162&lt;=1,90,IF(N162&lt;=2,75,IF(N162&lt;=3,60,IF(N162&lt;=4,45,IF(N162&lt;=5,30,15))))))),"")),"")</f>
        <v/>
      </c>
      <c r="P162" s="33" t="n">
        <v>5.19</v>
      </c>
      <c r="Q162" s="33" t="n">
        <v>15.8</v>
      </c>
      <c r="R162" s="33" t="n">
        <v>16.6</v>
      </c>
      <c r="S162" s="33">
        <f>IFERROR(AVERAGE(IFERROR(IF(P162="","",IF(P162&gt;=40,100,IF(P162&gt;=30,90,IF(P162&gt;=20,75,IF(P162&gt;=15,60,IF(P162&gt;=10,45,IF(P162&gt;=5,30,15))))))),""),IFERROR(IF(Q162="","",IF(Q162&gt;=40,100,IF(Q162&gt;=30,90,IF(Q162&gt;=20,75,IF(Q162&gt;=10,60,IF(Q162&gt;=5,45,IF(Q162&gt;=0,30,15))))))),""),IFERROR(IF(R162="","",IF(R162&gt;=40,100,IF(R162&gt;=30,90,IF(R162&gt;=20,75,IF(R162&gt;=10,60,IF(R162&gt;=0,45,IF(R162&gt;=-10,30,15))))))),"")),"")</f>
        <v/>
      </c>
      <c r="T162" s="33" t="n">
        <v>1</v>
      </c>
      <c r="U162" s="33" t="n">
        <v>2</v>
      </c>
      <c r="V162" s="33" t="n">
        <v>3</v>
      </c>
      <c r="W162" s="33" t="n">
        <v>4</v>
      </c>
      <c r="X162" s="33" t="n">
        <v>1</v>
      </c>
      <c r="Y162" s="33">
        <f>IFERROR(AVERAGE(T162,U162,V162,W162,X162)*20,"")</f>
        <v/>
      </c>
      <c r="Z162" s="33" t="n">
        <v>2</v>
      </c>
      <c r="AA162" s="33" t="n">
        <v>2</v>
      </c>
      <c r="AB162" s="33" t="n">
        <v>3</v>
      </c>
      <c r="AC162" s="33" t="n">
        <v>33.3</v>
      </c>
      <c r="AD162" s="33">
        <f>IFERROR(AVERAGE(IFERROR(IF(Z162="","",Z162*20),""),IFERROR(IF(AA162="","",AA162*20),""),IFERROR(IF(AB162="","",AB162*20),""),IFERROR(IF(AC162="","",IF(AC162&gt;=85,100,IF(AC162&gt;=70,90,IF(AC162&gt;=55,75,IF(AC162&gt;=40,60,IF(AC162&gt;=25,40,20)))))),"")),"")</f>
        <v/>
      </c>
      <c r="AE162" s="33" t="n">
        <v>5</v>
      </c>
      <c r="AF162" s="33" t="n">
        <v>2</v>
      </c>
      <c r="AG162" s="33" t="n">
        <v>4</v>
      </c>
      <c r="AH162" s="33" t="n">
        <v>2</v>
      </c>
      <c r="AI162" s="33">
        <f>IFERROR(AVERAGE(AE162,AF162,AG162,AH162,AL162)*20,"")</f>
        <v/>
      </c>
      <c r="AJ162" s="33">
        <f>IFERROR(J162*Weights!$B$4 + O162*Weights!$B$5 + S162*Weights!$B$6 + Y162*Weights!$B$7 + AD162*Weights!$B$8 + AI162*Weights!$B$9,"")</f>
        <v/>
      </c>
      <c r="AK162" s="33">
        <f>IF(AJ162="","",IF(AJ162&gt;=85,"✓✓✓",IF(AJ162&gt;=70,"✓✓",IF(AJ162&gt;=55,"✓",IF(AJ162&gt;=40,"?","✗")))))</f>
        <v/>
      </c>
      <c r="AL162" s="33" t="n">
        <v>4</v>
      </c>
    </row>
    <row r="163">
      <c r="A163" s="33" t="inlineStr">
        <is>
          <t>AAPL</t>
        </is>
      </c>
      <c r="B163" s="33" t="inlineStr">
        <is>
          <t>Apple Inc.</t>
        </is>
      </c>
      <c r="C163" s="33" t="inlineStr">
        <is>
          <t>10 Models, Software &amp; Applications / Edge AI platforms</t>
        </is>
      </c>
      <c r="D163" s="33" t="inlineStr">
        <is>
          <t>2026-06-24</t>
        </is>
      </c>
      <c r="E163" s="33" t="n">
        <v>30.497047</v>
      </c>
      <c r="F163" s="33" t="n">
        <v>33.4</v>
      </c>
      <c r="G163" s="33" t="n">
        <v>3</v>
      </c>
      <c r="H163" s="33" t="n">
        <v>9.535156000000001</v>
      </c>
      <c r="I163" s="33">
        <f>IF(OR(E163="",R163="",R163&lt;=0,E163&lt;0),"",E163/R163)</f>
        <v/>
      </c>
      <c r="J163" s="33">
        <f>IFERROR(AVERAGE(IFERROR(IF(E163="","",IF(E163&lt;0,5,IF(E163&lt;=15,90,IF(E163&lt;=20,75,IF(E163&lt;=25,60,IF(E163&lt;=30,45,IF(E163&lt;=40,30,IF(E163&lt;=60,15,5)))))))),""),IFERROR(IF(F163="","",IF(F163&lt;0,5,IF(F163&lt;=20,100,IF(F163&lt;=30,90,IF(F163&lt;=40,75,IF(F163&lt;=55,60,IF(F163&lt;=75,45,IF(F163&lt;=100,30,15)))))))),""),IFERROR(IF(G163="","",IF(G163&gt;=8,100,IF(G163&gt;=6,90,IF(G163&gt;=4,75,IF(G163&gt;=2,60,IF(G163&gt;=1,45,IF(G163&gt;=0,30,15))))))),""),IFERROR(IF(H163="","",IF(H163&lt;=2,90,IF(H163&lt;=4,75,IF(H163&lt;=7,60,IF(H163&lt;=10,45,IF(H163&lt;=15,30,IF(H163&lt;=25,15,5))))))),""),IFERROR(IF(I163="","",IF(I163&lt;=0.5,100,IF(I163&lt;=1,90,IF(I163&lt;=1.5,75,IF(I163&lt;=2,60,IF(I163&lt;=2.5,45,IF(I163&lt;=3,30,15))))))),"")),"")</f>
        <v/>
      </c>
      <c r="K163" s="33" t="n">
        <v>64</v>
      </c>
      <c r="L163" s="33" t="n">
        <v>47.86</v>
      </c>
      <c r="M163" s="33" t="n">
        <v>28.61</v>
      </c>
      <c r="N163" s="33" t="n">
        <v>0.1</v>
      </c>
      <c r="O163" s="33">
        <f>IFERROR(AVERAGE(IFERROR(IF(K163="","",IF(K163&gt;=25,100,IF(K163&gt;=20,90,IF(K163&gt;=15,75,IF(K163&gt;=10,60,IF(K163&gt;=5,45,IF(K163&gt;=0,30,15))))))),""),IFERROR(IF(L163="","",IF(L163&gt;=60,100,IF(L163&gt;=50,90,IF(L163&gt;=40,75,IF(L163&gt;=30,60,IF(L163&gt;=20,45,IF(L163&gt;=10,30,15))))))),""),IFERROR(IF(M163="","",IF(M163&gt;=25,100,IF(M163&gt;=20,90,IF(M163&gt;=15,75,IF(M163&gt;=10,60,IF(M163&gt;=5,45,IF(M163&gt;=0,30,15))))))),""),IFERROR(IF(N163="","",IF(N163&lt;=0,100,IF(N163&lt;=1,90,IF(N163&lt;=2,75,IF(N163&lt;=3,60,IF(N163&lt;=4,45,IF(N163&lt;=5,30,15))))))),"")),"")</f>
        <v/>
      </c>
      <c r="P163" s="33" t="n">
        <v>1.81</v>
      </c>
      <c r="Q163" s="33" t="n">
        <v>16.6</v>
      </c>
      <c r="R163" s="33" t="n">
        <v>19.4</v>
      </c>
      <c r="S163" s="33">
        <f>IFERROR(AVERAGE(IFERROR(IF(P163="","",IF(P163&gt;=40,100,IF(P163&gt;=30,90,IF(P163&gt;=20,75,IF(P163&gt;=15,60,IF(P163&gt;=10,45,IF(P163&gt;=5,30,15))))))),""),IFERROR(IF(Q163="","",IF(Q163&gt;=40,100,IF(Q163&gt;=30,90,IF(Q163&gt;=20,75,IF(Q163&gt;=10,60,IF(Q163&gt;=5,45,IF(Q163&gt;=0,30,15))))))),""),IFERROR(IF(R163="","",IF(R163&gt;=40,100,IF(R163&gt;=30,90,IF(R163&gt;=20,75,IF(R163&gt;=10,60,IF(R163&gt;=0,45,IF(R163&gt;=-10,30,15))))))),"")),"")</f>
        <v/>
      </c>
      <c r="T163" s="33" t="n">
        <v>1</v>
      </c>
      <c r="U163" s="33" t="n">
        <v>2</v>
      </c>
      <c r="V163" s="33" t="n">
        <v>5</v>
      </c>
      <c r="W163" s="33" t="n">
        <v>2</v>
      </c>
      <c r="X163" s="33" t="n">
        <v>2</v>
      </c>
      <c r="Y163" s="33">
        <f>IFERROR(AVERAGE(T163,U163,V163,W163,X163)*20,"")</f>
        <v/>
      </c>
      <c r="Z163" s="33" t="n">
        <v>4</v>
      </c>
      <c r="AA163" s="33" t="n">
        <v>2</v>
      </c>
      <c r="AB163" s="33" t="n">
        <v>3</v>
      </c>
      <c r="AC163" s="33" t="n">
        <v>50.8</v>
      </c>
      <c r="AD163" s="33">
        <f>IFERROR(AVERAGE(IFERROR(IF(Z163="","",Z163*20),""),IFERROR(IF(AA163="","",AA163*20),""),IFERROR(IF(AB163="","",AB163*20),""),IFERROR(IF(AC163="","",IF(AC163&gt;=85,100,IF(AC163&gt;=70,90,IF(AC163&gt;=55,75,IF(AC163&gt;=40,60,IF(AC163&gt;=25,40,20)))))),"")),"")</f>
        <v/>
      </c>
      <c r="AE163" s="33" t="n">
        <v>5</v>
      </c>
      <c r="AF163" s="33" t="n">
        <v>2</v>
      </c>
      <c r="AG163" s="33" t="n">
        <v>5</v>
      </c>
      <c r="AH163" s="33" t="n">
        <v>2</v>
      </c>
      <c r="AI163" s="33">
        <f>IFERROR(AVERAGE(AE163,AF163,AG163,AH163,AL163)*20,"")</f>
        <v/>
      </c>
      <c r="AJ163" s="33">
        <f>IFERROR(J163*Weights!$B$4 + O163*Weights!$B$5 + S163*Weights!$B$6 + Y163*Weights!$B$7 + AD163*Weights!$B$8 + AI163*Weights!$B$9,"")</f>
        <v/>
      </c>
      <c r="AK163" s="33">
        <f>IF(AJ163="","",IF(AJ163&gt;=85,"✓✓✓",IF(AJ163&gt;=70,"✓✓",IF(AJ163&gt;=55,"✓",IF(AJ163&gt;=40,"?","✗")))))</f>
        <v/>
      </c>
      <c r="AL163" s="33" t="n">
        <v>4</v>
      </c>
    </row>
    <row r="164">
      <c r="A164" s="33" t="inlineStr">
        <is>
          <t>SPCX</t>
        </is>
      </c>
      <c r="B164" s="33" t="inlineStr">
        <is>
          <t>Space Exploration Technologies Corp.</t>
        </is>
      </c>
      <c r="C164" s="33" t="inlineStr">
        <is>
          <t>10 Models, Software &amp; Applications / AI-native vertical applications</t>
        </is>
      </c>
      <c r="D164" s="33" t="inlineStr">
        <is>
          <t>2026-06-24</t>
        </is>
      </c>
      <c r="E164" s="33" t="n">
        <v>785.78326</v>
      </c>
      <c r="H164" s="33" t="n">
        <v>105.4836</v>
      </c>
      <c r="I164" s="33">
        <f>IF(OR(E164="",R164="",R164&lt;=0,E164&lt;0),"",E164/R164)</f>
        <v/>
      </c>
      <c r="J164" s="33">
        <f>IFERROR(AVERAGE(IFERROR(IF(E164="","",IF(E164&lt;0,5,IF(E164&lt;=15,90,IF(E164&lt;=20,75,IF(E164&lt;=25,60,IF(E164&lt;=30,45,IF(E164&lt;=40,30,IF(E164&lt;=60,15,5)))))))),""),IFERROR(IF(F164="","",IF(F164&lt;0,5,IF(F164&lt;=20,100,IF(F164&lt;=30,90,IF(F164&lt;=40,75,IF(F164&lt;=55,60,IF(F164&lt;=75,45,IF(F164&lt;=100,30,15)))))))),""),IFERROR(IF(G164="","",IF(G164&gt;=8,100,IF(G164&gt;=6,90,IF(G164&gt;=4,75,IF(G164&gt;=2,60,IF(G164&gt;=1,45,IF(G164&gt;=0,30,15))))))),""),IFERROR(IF(H164="","",IF(H164&lt;=2,90,IF(H164&lt;=4,75,IF(H164&lt;=7,60,IF(H164&lt;=10,45,IF(H164&lt;=15,30,IF(H164&lt;=25,15,5))))))),""),IFERROR(IF(I164="","",IF(I164&lt;=0.5,100,IF(I164&lt;=1,90,IF(I164&lt;=1.5,75,IF(I164&lt;=2,60,IF(I164&lt;=2.5,45,IF(I164&lt;=3,30,15))))))),"")),"")</f>
        <v/>
      </c>
      <c r="L164" s="33" t="n">
        <v>48.83</v>
      </c>
      <c r="N164" s="33" t="n">
        <v>1.75</v>
      </c>
      <c r="O164" s="33">
        <f>IFERROR(AVERAGE(IFERROR(IF(K164="","",IF(K164&gt;=25,100,IF(K164&gt;=20,90,IF(K164&gt;=15,75,IF(K164&gt;=10,60,IF(K164&gt;=5,45,IF(K164&gt;=0,30,15))))))),""),IFERROR(IF(L164="","",IF(L164&gt;=60,100,IF(L164&gt;=50,90,IF(L164&gt;=40,75,IF(L164&gt;=30,60,IF(L164&gt;=20,45,IF(L164&gt;=10,30,15))))))),""),IFERROR(IF(M164="","",IF(M164&gt;=25,100,IF(M164&gt;=20,90,IF(M164&gt;=15,75,IF(M164&gt;=10,60,IF(M164&gt;=5,45,IF(M164&gt;=0,30,15))))))),""),IFERROR(IF(N164="","",IF(N164&lt;=0,100,IF(N164&lt;=1,90,IF(N164&lt;=2,75,IF(N164&lt;=3,60,IF(N164&lt;=4,45,IF(N164&lt;=5,30,15))))))),"")),"")</f>
        <v/>
      </c>
      <c r="Q164" s="33" t="n">
        <v>15.4</v>
      </c>
      <c r="S164" s="33">
        <f>IFERROR(AVERAGE(IFERROR(IF(P164="","",IF(P164&gt;=40,100,IF(P164&gt;=30,90,IF(P164&gt;=20,75,IF(P164&gt;=15,60,IF(P164&gt;=10,45,IF(P164&gt;=5,30,15))))))),""),IFERROR(IF(Q164="","",IF(Q164&gt;=40,100,IF(Q164&gt;=30,90,IF(Q164&gt;=20,75,IF(Q164&gt;=10,60,IF(Q164&gt;=5,45,IF(Q164&gt;=0,30,15))))))),""),IFERROR(IF(R164="","",IF(R164&gt;=40,100,IF(R164&gt;=30,90,IF(R164&gt;=20,75,IF(R164&gt;=10,60,IF(R164&gt;=0,45,IF(R164&gt;=-10,30,15))))))),"")),"")</f>
        <v/>
      </c>
      <c r="T164" s="33" t="n">
        <v>3</v>
      </c>
      <c r="U164" s="33" t="n">
        <v>4</v>
      </c>
      <c r="V164" s="33" t="n">
        <v>4</v>
      </c>
      <c r="W164" s="33" t="n">
        <v>5</v>
      </c>
      <c r="X164" s="33" t="n">
        <v>4</v>
      </c>
      <c r="Y164" s="33">
        <f>IFERROR(AVERAGE(T164,U164,V164,W164,X164)*20,"")</f>
        <v/>
      </c>
      <c r="AD164" s="33">
        <f>IFERROR(AVERAGE(IFERROR(IF(Z164="","",Z164*20),""),IFERROR(IF(AA164="","",AA164*20),""),IFERROR(IF(AB164="","",AB164*20),""),IFERROR(IF(AC164="","",IF(AC164&gt;=85,100,IF(AC164&gt;=70,90,IF(AC164&gt;=55,75,IF(AC164&gt;=40,60,IF(AC164&gt;=25,40,20)))))),"")),"")</f>
        <v/>
      </c>
      <c r="AE164" s="33" t="n">
        <v>3</v>
      </c>
      <c r="AF164" s="33" t="n">
        <v>4</v>
      </c>
      <c r="AG164" s="33" t="n">
        <v>4</v>
      </c>
      <c r="AH164" s="33" t="n">
        <v>3</v>
      </c>
      <c r="AI164" s="33">
        <f>IFERROR(AVERAGE(AE164,AF164,AG164,AH164,AL164)*20,"")</f>
        <v/>
      </c>
      <c r="AJ164" s="33">
        <f>IFERROR(J164*Weights!$B$4 + O164*Weights!$B$5 + S164*Weights!$B$6 + Y164*Weights!$B$7 + AD164*Weights!$B$8 + AI164*Weights!$B$9,"")</f>
        <v/>
      </c>
      <c r="AK164" s="33">
        <f>IF(AJ164="","",IF(AJ164&gt;=85,"✓✓✓",IF(AJ164&gt;=70,"✓✓",IF(AJ164&gt;=55,"✓",IF(AJ164&gt;=40,"?","✗")))))</f>
        <v/>
      </c>
      <c r="AL164" s="33" t="n">
        <v>4</v>
      </c>
    </row>
    <row r="165">
      <c r="A165" s="33" t="inlineStr">
        <is>
          <t>ACLS</t>
        </is>
      </c>
      <c r="B165" s="33" t="inlineStr">
        <is>
          <t>Axcelis Technologies, Inc.</t>
        </is>
      </c>
      <c r="C165" s="33" t="inlineStr">
        <is>
          <t>04 Semiconductor Equipment &amp; Materials / Equipment</t>
        </is>
      </c>
      <c r="D165" s="33" t="inlineStr">
        <is>
          <t>2026-06-24</t>
        </is>
      </c>
      <c r="E165" s="33" t="n">
        <v>34.84117</v>
      </c>
      <c r="F165" s="33" t="n">
        <v>45.264</v>
      </c>
      <c r="G165" s="33" t="n">
        <v>1.7</v>
      </c>
      <c r="H165" s="33" t="n">
        <v>6.140301</v>
      </c>
      <c r="I165" s="33">
        <f>IF(OR(E165="",R165="",R165&lt;=0,E165&lt;0),"",E165/R165)</f>
        <v/>
      </c>
      <c r="J165" s="33">
        <f>IFERROR(AVERAGE(IFERROR(IF(E165="","",IF(E165&lt;0,5,IF(E165&lt;=15,90,IF(E165&lt;=20,75,IF(E165&lt;=25,60,IF(E165&lt;=30,45,IF(E165&lt;=40,30,IF(E165&lt;=60,15,5)))))))),""),IFERROR(IF(F165="","",IF(F165&lt;0,5,IF(F165&lt;=10,90,IF(F165&lt;=15,75,IF(F165&lt;=20,60,IF(F165&lt;=25,45,IF(F165&lt;=35,30,IF(F165&lt;=50,15,5)))))))),""),IFERROR(IF(G165="","",IF(G165&gt;=8,100,IF(G165&gt;=6,90,IF(G165&gt;=4,75,IF(G165&gt;=2,60,IF(G165&gt;=1,45,IF(G165&gt;=0,30,15))))))),""),IFERROR(IF(H165="","",IF(H165&lt;=2,90,IF(H165&lt;=4,75,IF(H165&lt;=7,60,IF(H165&lt;=10,45,IF(H165&lt;=15,30,IF(H165&lt;=25,15,5))))))),""),IFERROR(IF(I165="","",IF(I165&lt;=0.5,100,IF(I165&lt;=1,90,IF(I165&lt;=1.5,75,IF(I165&lt;=2,60,IF(I165&lt;=2.5,45,IF(I165&lt;=3,30,15))))))),"")),"")</f>
        <v/>
      </c>
      <c r="L165" s="33" t="n">
        <v>43.61</v>
      </c>
      <c r="M165" s="33" t="n">
        <v>10.46</v>
      </c>
      <c r="N165" s="33" t="n">
        <v>-2.74</v>
      </c>
      <c r="O165" s="33">
        <f>IFERROR(AVERAGE(IFERROR(IF(K165="","",IF(K165&gt;=25,100,IF(K165&gt;=20,90,IF(K165&gt;=15,75,IF(K165&gt;=10,60,IF(K165&gt;=5,45,IF(K165&gt;=0,30,15))))))),""),IFERROR(IF(L165="","",IF(L165&gt;=60,100,IF(L165&gt;=50,90,IF(L165&gt;=40,75,IF(L165&gt;=30,60,IF(L165&gt;=20,45,IF(L165&gt;=10,30,15))))))),""),IFERROR(IF(M165="","",IF(M165&gt;=25,100,IF(M165&gt;=20,90,IF(M165&gt;=15,75,IF(M165&gt;=10,60,IF(M165&gt;=5,45,IF(M165&gt;=0,30,15))))))),""),IFERROR(IF(N165="","",IF(N165&lt;=0,100,IF(N165&lt;=1,90,IF(N165&lt;=2,75,IF(N165&lt;=3,60,IF(N165&lt;=4,45,IF(N165&lt;=5,30,15))))))),"")),"")</f>
        <v/>
      </c>
      <c r="P165" s="33" t="n">
        <v>-3.02</v>
      </c>
      <c r="Q165" s="33" t="n">
        <v>3.3</v>
      </c>
      <c r="R165" s="33" t="n">
        <v>-67.8</v>
      </c>
      <c r="S165" s="33">
        <f>IFERROR(AVERAGE(IFERROR(IF(P165="","",IF(P165&gt;=40,100,IF(P165&gt;=30,90,IF(P165&gt;=20,75,IF(P165&gt;=15,60,IF(P165&gt;=10,45,IF(P165&gt;=5,30,15))))))),""),IFERROR(IF(Q165="","",IF(Q165&gt;=40,100,IF(Q165&gt;=30,90,IF(Q165&gt;=20,75,IF(Q165&gt;=10,60,IF(Q165&gt;=5,45,IF(Q165&gt;=0,30,15))))))),""),IFERROR(IF(R165="","",IF(R165&gt;=40,100,IF(R165&gt;=30,90,IF(R165&gt;=20,75,IF(R165&gt;=10,60,IF(R165&gt;=0,45,IF(R165&gt;=-10,30,15))))))),"")),"")</f>
        <v/>
      </c>
      <c r="T165" s="33" t="n">
        <v>2</v>
      </c>
      <c r="U165" s="33" t="n">
        <v>4</v>
      </c>
      <c r="V165" s="33" t="n">
        <v>4</v>
      </c>
      <c r="W165" s="33" t="n">
        <v>3</v>
      </c>
      <c r="X165" s="33" t="n">
        <v>2</v>
      </c>
      <c r="Y165" s="33">
        <f>IFERROR(AVERAGE(T165,U165,V165,W165,X165)*20,"")</f>
        <v/>
      </c>
      <c r="Z165" s="33" t="n">
        <v>3</v>
      </c>
      <c r="AA165" s="33" t="n">
        <v>5</v>
      </c>
      <c r="AB165" s="33" t="n">
        <v>3</v>
      </c>
      <c r="AC165" s="33" t="n">
        <v>75</v>
      </c>
      <c r="AD165" s="33">
        <f>IFERROR(AVERAGE(IFERROR(IF(Z165="","",Z165*20),""),IFERROR(IF(AA165="","",AA165*20),""),IFERROR(IF(AB165="","",AB165*20),""),IFERROR(IF(AC165="","",IF(AC165&gt;=85,100,IF(AC165&gt;=70,90,IF(AC165&gt;=55,75,IF(AC165&gt;=40,60,IF(AC165&gt;=25,40,20)))))),"")),"")</f>
        <v/>
      </c>
      <c r="AE165" s="33" t="n">
        <v>4</v>
      </c>
      <c r="AF165" s="33" t="n">
        <v>2</v>
      </c>
      <c r="AG165" s="33" t="n">
        <v>5</v>
      </c>
      <c r="AH165" s="33" t="n">
        <v>3</v>
      </c>
      <c r="AI165" s="33">
        <f>IFERROR(AVERAGE(AE165,AF165,AG165,AH165,AL165)*20,"")</f>
        <v/>
      </c>
      <c r="AJ165" s="33">
        <f>IFERROR(J165*Weights!$B$4 + O165*Weights!$B$5 + S165*Weights!$B$6 + Y165*Weights!$B$7 + AD165*Weights!$B$8 + AI165*Weights!$B$9,"")</f>
        <v/>
      </c>
      <c r="AK165" s="33">
        <f>IF(AJ165="","",IF(AJ165&gt;=85,"✓✓✓",IF(AJ165&gt;=70,"✓✓",IF(AJ165&gt;=55,"✓",IF(AJ165&gt;=40,"?","✗")))))</f>
        <v/>
      </c>
      <c r="AL165" s="33" t="n">
        <v>5</v>
      </c>
    </row>
    <row r="166">
      <c r="A166" s="33" t="inlineStr">
        <is>
          <t>COHU</t>
        </is>
      </c>
      <c r="B166" s="33" t="inlineStr">
        <is>
          <t>Cohu, Inc.</t>
        </is>
      </c>
      <c r="C166" s="33" t="inlineStr">
        <is>
          <t>04 Semiconductor Equipment &amp; Materials / Test &amp; measurement</t>
        </is>
      </c>
      <c r="D166" s="33" t="inlineStr">
        <is>
          <t>2026-06-24</t>
        </is>
      </c>
      <c r="E166" s="33" t="n">
        <v>43.055115</v>
      </c>
      <c r="F166" s="33" t="n">
        <v>-2396.428</v>
      </c>
      <c r="G166" s="33" t="n">
        <v>1.34</v>
      </c>
      <c r="H166" s="33" t="n">
        <v>6.240016</v>
      </c>
      <c r="I166" s="33">
        <f>IF(OR(E166="",R166="",R166&lt;=0,E166&lt;0),"",E166/R166)</f>
        <v/>
      </c>
      <c r="J166" s="33">
        <f>IFERROR(AVERAGE(IFERROR(IF(E166="","",IF(E166&lt;0,5,IF(E166&lt;=15,90,IF(E166&lt;=20,75,IF(E166&lt;=25,60,IF(E166&lt;=30,45,IF(E166&lt;=40,30,IF(E166&lt;=60,15,5)))))))),""),IFERROR(IF(F166="","",IF(F166&lt;0,5,IF(F166&lt;=10,90,IF(F166&lt;=15,75,IF(F166&lt;=20,60,IF(F166&lt;=25,45,IF(F166&lt;=35,30,IF(F166&lt;=50,15,5)))))))),""),IFERROR(IF(G166="","",IF(G166&gt;=8,100,IF(G166&gt;=6,90,IF(G166&gt;=4,75,IF(G166&gt;=2,60,IF(G166&gt;=1,45,IF(G166&gt;=0,30,15))))))),""),IFERROR(IF(H166="","",IF(H166&lt;=2,90,IF(H166&lt;=4,75,IF(H166&lt;=7,60,IF(H166&lt;=10,45,IF(H166&lt;=15,30,IF(H166&lt;=25,15,5))))))),""),IFERROR(IF(I166="","",IF(I166&lt;=0.5,100,IF(I166&lt;=1,90,IF(I166&lt;=1.5,75,IF(I166&lt;=2,60,IF(I166&lt;=2.5,45,IF(I166&lt;=3,30,15))))))),"")),"")</f>
        <v/>
      </c>
      <c r="L166" s="33" t="n">
        <v>43.47</v>
      </c>
      <c r="M166" s="33" t="n">
        <v>8.35</v>
      </c>
      <c r="O166" s="33">
        <f>IFERROR(AVERAGE(IFERROR(IF(K166="","",IF(K166&gt;=25,100,IF(K166&gt;=20,90,IF(K166&gt;=15,75,IF(K166&gt;=10,60,IF(K166&gt;=5,45,IF(K166&gt;=0,30,15))))))),""),IFERROR(IF(L166="","",IF(L166&gt;=60,100,IF(L166&gt;=50,90,IF(L166&gt;=40,75,IF(L166&gt;=30,60,IF(L166&gt;=20,45,IF(L166&gt;=10,30,15))))))),""),IFERROR(IF(M166="","",IF(M166&gt;=25,100,IF(M166&gt;=20,90,IF(M166&gt;=15,75,IF(M166&gt;=10,60,IF(M166&gt;=5,45,IF(M166&gt;=0,30,15))))))),""),IFERROR(IF(N166="","",IF(N166&lt;=0,100,IF(N166&lt;=1,90,IF(N166&lt;=2,75,IF(N166&lt;=3,60,IF(N166&lt;=4,45,IF(N166&lt;=5,30,15))))))),"")),"")</f>
        <v/>
      </c>
      <c r="P166" s="33" t="n">
        <v>-17.71</v>
      </c>
      <c r="Q166" s="33" t="n">
        <v>29.3</v>
      </c>
      <c r="S166" s="33">
        <f>IFERROR(AVERAGE(IFERROR(IF(P166="","",IF(P166&gt;=40,100,IF(P166&gt;=30,90,IF(P166&gt;=20,75,IF(P166&gt;=15,60,IF(P166&gt;=10,45,IF(P166&gt;=5,30,15))))))),""),IFERROR(IF(Q166="","",IF(Q166&gt;=40,100,IF(Q166&gt;=30,90,IF(Q166&gt;=20,75,IF(Q166&gt;=10,60,IF(Q166&gt;=5,45,IF(Q166&gt;=0,30,15))))))),""),IFERROR(IF(R166="","",IF(R166&gt;=40,100,IF(R166&gt;=30,90,IF(R166&gt;=20,75,IF(R166&gt;=10,60,IF(R166&gt;=0,45,IF(R166&gt;=-10,30,15))))))),"")),"")</f>
        <v/>
      </c>
      <c r="T166" s="33" t="n">
        <v>3</v>
      </c>
      <c r="U166" s="33" t="n">
        <v>3</v>
      </c>
      <c r="V166" s="33" t="n">
        <v>3</v>
      </c>
      <c r="W166" s="33" t="n">
        <v>4</v>
      </c>
      <c r="X166" s="33" t="n">
        <v>2</v>
      </c>
      <c r="Y166" s="33">
        <f>IFERROR(AVERAGE(T166,U166,V166,W166,X166)*20,"")</f>
        <v/>
      </c>
      <c r="Z166" s="33" t="n">
        <v>5</v>
      </c>
      <c r="AA166" s="33" t="n">
        <v>3</v>
      </c>
      <c r="AB166" s="33" t="n">
        <v>3</v>
      </c>
      <c r="AC166" s="33" t="n">
        <v>91.7</v>
      </c>
      <c r="AD166" s="33">
        <f>IFERROR(AVERAGE(IFERROR(IF(Z166="","",Z166*20),""),IFERROR(IF(AA166="","",AA166*20),""),IFERROR(IF(AB166="","",AB166*20),""),IFERROR(IF(AC166="","",IF(AC166&gt;=85,100,IF(AC166&gt;=70,90,IF(AC166&gt;=55,75,IF(AC166&gt;=40,60,IF(AC166&gt;=25,40,20)))))),"")),"")</f>
        <v/>
      </c>
      <c r="AE166" s="33" t="n">
        <v>4</v>
      </c>
      <c r="AF166" s="33" t="n">
        <v>3</v>
      </c>
      <c r="AG166" s="33" t="n">
        <v>4</v>
      </c>
      <c r="AH166" s="33" t="n">
        <v>4</v>
      </c>
      <c r="AI166" s="33">
        <f>IFERROR(AVERAGE(AE166,AF166,AG166,AH166,AL166)*20,"")</f>
        <v/>
      </c>
      <c r="AJ166" s="33">
        <f>IFERROR(J166*Weights!$B$4 + O166*Weights!$B$5 + S166*Weights!$B$6 + Y166*Weights!$B$7 + AD166*Weights!$B$8 + AI166*Weights!$B$9,"")</f>
        <v/>
      </c>
      <c r="AK166" s="33">
        <f>IF(AJ166="","",IF(AJ166&gt;=85,"✓✓✓",IF(AJ166&gt;=70,"✓✓",IF(AJ166&gt;=55,"✓",IF(AJ166&gt;=40,"?","✗")))))</f>
        <v/>
      </c>
      <c r="AL166" s="33" t="n">
        <v>5</v>
      </c>
    </row>
    <row r="167">
      <c r="A167" s="33" t="inlineStr">
        <is>
          <t>AMKR</t>
        </is>
      </c>
      <c r="B167" s="33" t="inlineStr">
        <is>
          <t>Amkor Technology, Inc.</t>
        </is>
      </c>
      <c r="C167" s="33" t="inlineStr">
        <is>
          <t>04 Semiconductor Equipment &amp; Materials / OSAT &amp; advanced packaging</t>
        </is>
      </c>
      <c r="D167" s="33" t="inlineStr">
        <is>
          <t>2026-06-24</t>
        </is>
      </c>
      <c r="E167" s="33" t="n">
        <v>33.752728</v>
      </c>
      <c r="F167" s="33" t="n">
        <v>17.001</v>
      </c>
      <c r="G167" s="33" t="n">
        <v>0.82</v>
      </c>
      <c r="H167" s="33" t="n">
        <v>2.9010916</v>
      </c>
      <c r="I167" s="33">
        <f>IF(OR(E167="",R167="",R167&lt;=0,E167&lt;0),"",E167/R167)</f>
        <v/>
      </c>
      <c r="J167" s="33">
        <f>IFERROR(AVERAGE(IFERROR(IF(E167="","",IF(E167&lt;0,5,IF(E167&lt;=15,90,IF(E167&lt;=20,75,IF(E167&lt;=25,60,IF(E167&lt;=30,45,IF(E167&lt;=40,30,IF(E167&lt;=60,15,5)))))))),""),IFERROR(IF(F167="","",IF(F167&lt;0,5,IF(F167&lt;=10,90,IF(F167&lt;=15,75,IF(F167&lt;=20,60,IF(F167&lt;=25,45,IF(F167&lt;=35,30,IF(F167&lt;=50,15,5)))))))),""),IFERROR(IF(G167="","",IF(G167&gt;=8,100,IF(G167&gt;=6,90,IF(G167&gt;=4,75,IF(G167&gt;=2,60,IF(G167&gt;=1,45,IF(G167&gt;=0,30,15))))))),""),IFERROR(IF(H167="","",IF(H167&lt;=2,90,IF(H167&lt;=4,75,IF(H167&lt;=7,60,IF(H167&lt;=10,45,IF(H167&lt;=15,30,IF(H167&lt;=25,15,5))))))),""),IFERROR(IF(I167="","",IF(I167&lt;=0.5,100,IF(I167&lt;=1,90,IF(I167&lt;=1.5,75,IF(I167&lt;=2,60,IF(I167&lt;=2.5,45,IF(I167&lt;=3,30,15))))))),"")),"")</f>
        <v/>
      </c>
      <c r="L167" s="33" t="n">
        <v>14.43</v>
      </c>
      <c r="M167" s="33" t="n">
        <v>2.36</v>
      </c>
      <c r="N167" s="33" t="n">
        <v>-0.19</v>
      </c>
      <c r="O167" s="33">
        <f>IFERROR(AVERAGE(IFERROR(IF(K167="","",IF(K167&gt;=25,100,IF(K167&gt;=20,90,IF(K167&gt;=15,75,IF(K167&gt;=10,60,IF(K167&gt;=5,45,IF(K167&gt;=0,30,15))))))),""),IFERROR(IF(L167="","",IF(L167&gt;=60,100,IF(L167&gt;=50,90,IF(L167&gt;=40,75,IF(L167&gt;=30,60,IF(L167&gt;=20,45,IF(L167&gt;=10,30,15))))))),""),IFERROR(IF(M167="","",IF(M167&gt;=25,100,IF(M167&gt;=20,90,IF(M167&gt;=15,75,IF(M167&gt;=10,60,IF(M167&gt;=5,45,IF(M167&gt;=0,30,15))))))),""),IFERROR(IF(N167="","",IF(N167&lt;=0,100,IF(N167&lt;=1,90,IF(N167&lt;=2,75,IF(N167&lt;=3,60,IF(N167&lt;=4,45,IF(N167&lt;=5,30,15))))))),"")),"")</f>
        <v/>
      </c>
      <c r="P167" s="33" t="n">
        <v>-1.84</v>
      </c>
      <c r="Q167" s="33" t="n">
        <v>27.5</v>
      </c>
      <c r="R167" s="33" t="n">
        <v>294.5</v>
      </c>
      <c r="S167" s="33">
        <f>IFERROR(AVERAGE(IFERROR(IF(P167="","",IF(P167&gt;=40,100,IF(P167&gt;=30,90,IF(P167&gt;=20,75,IF(P167&gt;=15,60,IF(P167&gt;=10,45,IF(P167&gt;=5,30,15))))))),""),IFERROR(IF(Q167="","",IF(Q167&gt;=40,100,IF(Q167&gt;=30,90,IF(Q167&gt;=20,75,IF(Q167&gt;=10,60,IF(Q167&gt;=5,45,IF(Q167&gt;=0,30,15))))))),""),IFERROR(IF(R167="","",IF(R167&gt;=40,100,IF(R167&gt;=30,90,IF(R167&gt;=20,75,IF(R167&gt;=10,60,IF(R167&gt;=0,45,IF(R167&gt;=-10,30,15))))))),"")),"")</f>
        <v/>
      </c>
      <c r="T167" s="33" t="n">
        <v>3</v>
      </c>
      <c r="U167" s="33" t="n">
        <v>3</v>
      </c>
      <c r="V167" s="33" t="n">
        <v>3</v>
      </c>
      <c r="W167" s="33" t="n">
        <v>5</v>
      </c>
      <c r="X167" s="33" t="n">
        <v>2</v>
      </c>
      <c r="Y167" s="33">
        <f>IFERROR(AVERAGE(T167,U167,V167,W167,X167)*20,"")</f>
        <v/>
      </c>
      <c r="Z167" s="33" t="n">
        <v>5</v>
      </c>
      <c r="AA167" s="33" t="n">
        <v>5</v>
      </c>
      <c r="AB167" s="33" t="n">
        <v>3</v>
      </c>
      <c r="AC167" s="33" t="n">
        <v>76.7</v>
      </c>
      <c r="AD167" s="33">
        <f>IFERROR(AVERAGE(IFERROR(IF(Z167="","",Z167*20),""),IFERROR(IF(AA167="","",AA167*20),""),IFERROR(IF(AB167="","",AB167*20),""),IFERROR(IF(AC167="","",IF(AC167&gt;=85,100,IF(AC167&gt;=70,90,IF(AC167&gt;=55,75,IF(AC167&gt;=40,60,IF(AC167&gt;=25,40,20)))))),"")),"")</f>
        <v/>
      </c>
      <c r="AE167" s="33" t="n">
        <v>3</v>
      </c>
      <c r="AF167" s="33" t="n">
        <v>2</v>
      </c>
      <c r="AG167" s="33" t="n">
        <v>4</v>
      </c>
      <c r="AH167" s="33" t="n">
        <v>4</v>
      </c>
      <c r="AI167" s="33">
        <f>IFERROR(AVERAGE(AE167,AF167,AG167,AH167,AL167)*20,"")</f>
        <v/>
      </c>
      <c r="AJ167" s="33">
        <f>IFERROR(J167*Weights!$B$4 + O167*Weights!$B$5 + S167*Weights!$B$6 + Y167*Weights!$B$7 + AD167*Weights!$B$8 + AI167*Weights!$B$9,"")</f>
        <v/>
      </c>
      <c r="AK167" s="33">
        <f>IF(AJ167="","",IF(AJ167&gt;=85,"✓✓✓",IF(AJ167&gt;=70,"✓✓",IF(AJ167&gt;=55,"✓",IF(AJ167&gt;=40,"?","✗")))))</f>
        <v/>
      </c>
      <c r="AL167" s="33" t="n">
        <v>5</v>
      </c>
    </row>
    <row r="168">
      <c r="A168" s="33" t="inlineStr">
        <is>
          <t>ASX</t>
        </is>
      </c>
      <c r="B168" s="33" t="inlineStr">
        <is>
          <t>ASE Technology Holding Co., Ltd.</t>
        </is>
      </c>
      <c r="C168" s="33" t="inlineStr">
        <is>
          <t>04 Semiconductor Equipment &amp; Materials / OSAT &amp; advanced packaging</t>
        </is>
      </c>
      <c r="D168" s="33" t="inlineStr">
        <is>
          <t>2026-06-24</t>
        </is>
      </c>
      <c r="E168" s="33" t="n">
        <v>20.755304</v>
      </c>
      <c r="I168" s="33">
        <f>IF(OR(E168="",R168="",R168&lt;=0,E168&lt;0),"",E168/R168)</f>
        <v/>
      </c>
      <c r="J168" s="33">
        <f>IFERROR(AVERAGE(IFERROR(IF(E168="","",IF(E168&lt;0,5,IF(E168&lt;=15,90,IF(E168&lt;=20,75,IF(E168&lt;=25,60,IF(E168&lt;=30,45,IF(E168&lt;=40,30,IF(E168&lt;=60,15,5)))))))),""),IFERROR(IF(F168="","",IF(F168&lt;0,5,IF(F168&lt;=10,90,IF(F168&lt;=15,75,IF(F168&lt;=20,60,IF(F168&lt;=25,45,IF(F168&lt;=35,30,IF(F168&lt;=50,15,5)))))))),""),IFERROR(IF(G168="","",IF(G168&gt;=8,100,IF(G168&gt;=6,90,IF(G168&gt;=4,75,IF(G168&gt;=2,60,IF(G168&gt;=1,45,IF(G168&gt;=0,30,15))))))),""),IFERROR(IF(H168="","",IF(H168&lt;=2,90,IF(H168&lt;=4,75,IF(H168&lt;=7,60,IF(H168&lt;=10,45,IF(H168&lt;=15,30,IF(H168&lt;=25,15,5))))))),""),IFERROR(IF(I168="","",IF(I168&lt;=0.5,100,IF(I168&lt;=1,90,IF(I168&lt;=1.5,75,IF(I168&lt;=2,60,IF(I168&lt;=2.5,45,IF(I168&lt;=3,30,15))))))),"")),"")</f>
        <v/>
      </c>
      <c r="L168" s="33" t="n">
        <v>18.5</v>
      </c>
      <c r="M168" s="33" t="n">
        <v>-2.56</v>
      </c>
      <c r="N168" s="33" t="n">
        <v>1.14</v>
      </c>
      <c r="O168" s="33">
        <f>IFERROR(AVERAGE(IFERROR(IF(K168="","",IF(K168&gt;=25,100,IF(K168&gt;=20,90,IF(K168&gt;=15,75,IF(K168&gt;=10,60,IF(K168&gt;=5,45,IF(K168&gt;=0,30,15))))))),""),IFERROR(IF(L168="","",IF(L168&gt;=60,100,IF(L168&gt;=50,90,IF(L168&gt;=40,75,IF(L168&gt;=30,60,IF(L168&gt;=20,45,IF(L168&gt;=10,30,15))))))),""),IFERROR(IF(M168="","",IF(M168&gt;=25,100,IF(M168&gt;=20,90,IF(M168&gt;=15,75,IF(M168&gt;=10,60,IF(M168&gt;=5,45,IF(M168&gt;=0,30,15))))))),""),IFERROR(IF(N168="","",IF(N168&lt;=0,100,IF(N168&lt;=1,90,IF(N168&lt;=2,75,IF(N168&lt;=3,60,IF(N168&lt;=4,45,IF(N168&lt;=5,30,15))))))),"")),"")</f>
        <v/>
      </c>
      <c r="P168" s="33" t="n">
        <v>-1.28</v>
      </c>
      <c r="Q168" s="33" t="n">
        <v>17.2</v>
      </c>
      <c r="R168" s="33" t="n">
        <v>87.3</v>
      </c>
      <c r="S168" s="33">
        <f>IFERROR(AVERAGE(IFERROR(IF(P168="","",IF(P168&gt;=40,100,IF(P168&gt;=30,90,IF(P168&gt;=20,75,IF(P168&gt;=15,60,IF(P168&gt;=10,45,IF(P168&gt;=5,30,15))))))),""),IFERROR(IF(Q168="","",IF(Q168&gt;=40,100,IF(Q168&gt;=30,90,IF(Q168&gt;=20,75,IF(Q168&gt;=10,60,IF(Q168&gt;=5,45,IF(Q168&gt;=0,30,15))))))),""),IFERROR(IF(R168="","",IF(R168&gt;=40,100,IF(R168&gt;=30,90,IF(R168&gt;=20,75,IF(R168&gt;=10,60,IF(R168&gt;=0,45,IF(R168&gt;=-10,30,15))))))),"")),"")</f>
        <v/>
      </c>
      <c r="T168" s="33" t="n">
        <v>3</v>
      </c>
      <c r="U168" s="33" t="n">
        <v>4</v>
      </c>
      <c r="V168" s="33" t="n">
        <v>3</v>
      </c>
      <c r="W168" s="33" t="n">
        <v>5</v>
      </c>
      <c r="X168" s="33" t="n">
        <v>3</v>
      </c>
      <c r="Y168" s="33">
        <f>IFERROR(AVERAGE(T168,U168,V168,W168,X168)*20,"")</f>
        <v/>
      </c>
      <c r="Z168" s="33" t="n">
        <v>3</v>
      </c>
      <c r="AA168" s="33" t="n">
        <v>4</v>
      </c>
      <c r="AB168" s="33" t="n">
        <v>3</v>
      </c>
      <c r="AC168" s="33" t="n">
        <v>96.7</v>
      </c>
      <c r="AD168" s="33">
        <f>IFERROR(AVERAGE(IFERROR(IF(Z168="","",Z168*20),""),IFERROR(IF(AA168="","",AA168*20),""),IFERROR(IF(AB168="","",AB168*20),""),IFERROR(IF(AC168="","",IF(AC168&gt;=85,100,IF(AC168&gt;=70,90,IF(AC168&gt;=55,75,IF(AC168&gt;=40,60,IF(AC168&gt;=25,40,20)))))),"")),"")</f>
        <v/>
      </c>
      <c r="AE168" s="33" t="n">
        <v>3</v>
      </c>
      <c r="AF168" s="33" t="n">
        <v>2</v>
      </c>
      <c r="AG168" s="33" t="n">
        <v>3</v>
      </c>
      <c r="AH168" s="33" t="n">
        <v>4</v>
      </c>
      <c r="AI168" s="33">
        <f>IFERROR(AVERAGE(AE168,AF168,AG168,AH168,AL168)*20,"")</f>
        <v/>
      </c>
      <c r="AJ168" s="33">
        <f>IFERROR(J168*Weights!$B$4 + O168*Weights!$B$5 + S168*Weights!$B$6 + Y168*Weights!$B$7 + AD168*Weights!$B$8 + AI168*Weights!$B$9,"")</f>
        <v/>
      </c>
      <c r="AK168" s="33">
        <f>IF(AJ168="","",IF(AJ168&gt;=85,"✓✓✓",IF(AJ168&gt;=70,"✓✓",IF(AJ168&gt;=55,"✓",IF(AJ168&gt;=40,"?","✗")))))</f>
        <v/>
      </c>
      <c r="AL168" s="33" t="n">
        <v>5</v>
      </c>
    </row>
    <row r="169">
      <c r="A169" s="33" t="inlineStr">
        <is>
          <t>RDDT</t>
        </is>
      </c>
      <c r="B169" s="33" t="inlineStr">
        <is>
          <t>Reddit, Inc.</t>
        </is>
      </c>
      <c r="C169" s="33" t="inlineStr">
        <is>
          <t>10 Models, Software &amp; Applications / AI advertising</t>
        </is>
      </c>
      <c r="D169" s="33" t="inlineStr">
        <is>
          <t>2026-06-24</t>
        </is>
      </c>
      <c r="E169" s="33" t="n">
        <v>17.730726</v>
      </c>
      <c r="F169" s="33" t="n">
        <v>32.5</v>
      </c>
      <c r="G169" s="33" t="n">
        <v>2.81</v>
      </c>
      <c r="H169" s="33" t="n">
        <v>12.508329</v>
      </c>
      <c r="I169" s="33">
        <f>IF(OR(E174="",R174="",R174&lt;=0,E174&lt;0),"",E174/R174)</f>
        <v/>
      </c>
      <c r="J169" s="33">
        <f>IFERROR(AVERAGE(IFERROR(IF(E169="","",IF(E169&lt;0,5,IF(E169&lt;=15,90,IF(E169&lt;=20,75,IF(E169&lt;=25,60,IF(E169&lt;=30,45,IF(E169&lt;=40,30,IF(E169&lt;=60,15,5)))))))),""),IFERROR(IF(F169="","",IF(F169&lt;0,5,IF(F169&lt;=20,100,IF(F169&lt;=30,90,IF(F169&lt;=40,75,IF(F169&lt;=55,60,IF(F169&lt;=75,45,IF(F169&lt;=100,30,15)))))))),""),IFERROR(IF(G169="","",IF(G169&gt;=8,100,IF(G169&gt;=6,90,IF(G169&gt;=4,75,IF(G169&gt;=2,60,IF(G169&gt;=1,45,IF(G169&gt;=0,30,15))))))),""),IFERROR(IF(H169="","",IF(H169&lt;=2,90,IF(H169&lt;=4,75,IF(H169&lt;=7,60,IF(H169&lt;=10,45,IF(H169&lt;=15,30,IF(H169&lt;=25,15,5))))))),""),IFERROR(IF(I169="","",IF(I169&lt;=0.5,100,IF(I169&lt;=1,90,IF(I169&lt;=1.5,75,IF(I169&lt;=2,60,IF(I169&lt;=2.5,45,IF(I169&lt;=3,30,15))))))),"")),"")</f>
        <v/>
      </c>
      <c r="L169" s="33" t="n">
        <v>91.37</v>
      </c>
      <c r="M169" s="33" t="n">
        <v>35.12</v>
      </c>
      <c r="N169" s="33" t="n">
        <v>-4.31</v>
      </c>
      <c r="O169" s="33">
        <f>IFERROR(AVERAGE(IFERROR(IF(K169="","",IF(K169&gt;=25,100,IF(K169&gt;=20,90,IF(K169&gt;=15,75,IF(K169&gt;=10,60,IF(K169&gt;=5,45,IF(K169&gt;=0,30,15))))))),""),IFERROR(IF(L169="","",IF(L169&gt;=60,100,IF(L169&gt;=50,90,IF(L169&gt;=40,75,IF(L169&gt;=30,60,IF(L169&gt;=20,45,IF(L169&gt;=10,30,15))))))),""),IFERROR(IF(M169="","",IF(M169&gt;=25,100,IF(M169&gt;=20,90,IF(M169&gt;=15,75,IF(M169&gt;=10,60,IF(M169&gt;=5,45,IF(M169&gt;=0,30,15))))))),""),IFERROR(IF(N169="","",IF(N169&lt;=0,100,IF(N169&lt;=1,90,IF(N169&lt;=2,75,IF(N169&lt;=3,60,IF(N169&lt;=4,45,IF(N169&lt;=5,30,15))))))),"")),"")</f>
        <v/>
      </c>
      <c r="P169" s="33" t="n">
        <v>48.93</v>
      </c>
      <c r="Q169" s="33" t="n">
        <v>69.09999999999999</v>
      </c>
      <c r="R169" s="33" t="n">
        <v>679.8</v>
      </c>
      <c r="S169" s="33">
        <f>IFERROR(AVERAGE(IFERROR(IF(P169="","",IF(P169&gt;=40,100,IF(P169&gt;=30,90,IF(P169&gt;=20,75,IF(P169&gt;=15,60,IF(P169&gt;=10,45,IF(P169&gt;=5,30,15))))))),""),IFERROR(IF(Q169="","",IF(Q169&gt;=40,100,IF(Q169&gt;=30,90,IF(Q169&gt;=20,75,IF(Q169&gt;=10,60,IF(Q169&gt;=5,45,IF(Q169&gt;=0,30,15))))))),""),IFERROR(IF(R169="","",IF(R169&gt;=40,100,IF(R169&gt;=30,90,IF(R169&gt;=20,75,IF(R169&gt;=10,60,IF(R169&gt;=0,45,IF(R169&gt;=-10,30,15))))))),"")),"")</f>
        <v/>
      </c>
      <c r="T169" s="33" t="n">
        <v>3</v>
      </c>
      <c r="U169" s="33" t="n">
        <v>3</v>
      </c>
      <c r="V169" s="33" t="n">
        <v>3</v>
      </c>
      <c r="W169" s="33" t="n">
        <v>3</v>
      </c>
      <c r="X169" s="33" t="n">
        <v>2</v>
      </c>
      <c r="Y169" s="33">
        <f>IFERROR(AVERAGE(T169,U169,V169,W169,X169)*20,"")</f>
        <v/>
      </c>
      <c r="Z169" s="33" t="n">
        <v>5</v>
      </c>
      <c r="AA169" s="33" t="n">
        <v>3</v>
      </c>
      <c r="AB169" s="33" t="n">
        <v>3</v>
      </c>
      <c r="AC169" s="33" t="n">
        <v>50</v>
      </c>
      <c r="AD169" s="33">
        <f>IFERROR(AVERAGE(IFERROR(IF(Z169="","",Z169*20),""),IFERROR(IF(AA169="","",AA169*20),""),IFERROR(IF(AB169="","",AB169*20),""),IFERROR(IF(AC169="","",IF(AC169&gt;=85,100,IF(AC169&gt;=70,90,IF(AC169&gt;=55,75,IF(AC169&gt;=40,60,IF(AC169&gt;=25,40,20)))))),"")),"")</f>
        <v/>
      </c>
      <c r="AE169" s="33" t="n">
        <v>5</v>
      </c>
      <c r="AF169" s="33" t="n">
        <v>5</v>
      </c>
      <c r="AG169" s="33" t="n">
        <v>5</v>
      </c>
      <c r="AH169" s="33" t="n">
        <v>4</v>
      </c>
      <c r="AI169" s="33">
        <f>IFERROR(AVERAGE(AE169,AF169,AG169,AH169,AL169)*20,"")</f>
        <v/>
      </c>
      <c r="AJ169" s="33">
        <f>IFERROR(J169*Weights!$B$4 + O169*Weights!$B$5 + S169*Weights!$B$6 + Y169*Weights!$B$7 + AD169*Weights!$B$8 + AI169*Weights!$B$9,"")</f>
        <v/>
      </c>
      <c r="AK169" s="33">
        <f>IF(AJ169="","",IF(AJ169&gt;=85,"✓✓✓",IF(AJ169&gt;=70,"✓✓",IF(AJ169&gt;=55,"✓",IF(AJ169&gt;=40,"?","✗")))))</f>
        <v/>
      </c>
      <c r="AL169" s="33" t="n">
        <v>2</v>
      </c>
    </row>
    <row r="170">
      <c r="A170" s="33" t="inlineStr">
        <is>
          <t>SKYT</t>
        </is>
      </c>
      <c r="B170" s="33" t="inlineStr">
        <is>
          <t>SkyWater Technology, Inc.</t>
        </is>
      </c>
      <c r="C170" s="33" t="inlineStr">
        <is>
          <t>05 Fabs &amp; Foundries</t>
        </is>
      </c>
      <c r="D170" s="33" t="inlineStr">
        <is>
          <t>2026-07-02</t>
        </is>
      </c>
      <c r="E170" s="33" t="n">
        <v>-168.1749</v>
      </c>
      <c r="F170" s="33" t="n">
        <v>48.202</v>
      </c>
      <c r="G170" s="33" t="n">
        <v>-4.7</v>
      </c>
      <c r="H170" s="33" t="n">
        <v>3.107038</v>
      </c>
      <c r="I170" s="33">
        <f>IF(OR(E170="",R170="",R170&lt;=0,E170&lt;0),"",E170/R170)</f>
        <v/>
      </c>
      <c r="J170" s="33">
        <f>IFERROR(AVERAGE(IFERROR(IF(E170="","",IF(E170&lt;0,5,IF(E170&lt;=15,90,IF(E170&lt;=20,75,IF(E170&lt;=25,60,IF(E170&lt;=30,45,IF(E170&lt;=40,30,IF(E170&lt;=60,15,5)))))))),""),IFERROR(IF(F170="","",IF(F170&lt;0,5,IF(F170&lt;=10,90,IF(F170&lt;=15,75,IF(F170&lt;=20,60,IF(F170&lt;=25,45,IF(F170&lt;=35,30,IF(F170&lt;=50,15,5)))))))),""),IFERROR(IF(G170="","",IF(G170&gt;=8,100,IF(G170&gt;=6,90,IF(G170&gt;=4,75,IF(G170&gt;=2,60,IF(G170&gt;=1,45,IF(G170&gt;=0,30,15))))))),""),IFERROR(IF(H170="","",IF(H170&lt;=2,90,IF(H170&lt;=4,75,IF(H170&lt;=7,60,IF(H170&lt;=10,45,IF(H170&lt;=15,30,IF(H170&lt;=25,15,5))))))),""),IFERROR(IF(I170="","",IF(I170&lt;=0.5,100,IF(I170&lt;=1,90,IF(I170&lt;=1.5,75,IF(I170&lt;=2,60,IF(I170&lt;=2.5,45,IF(I170&lt;=3,30,15))))))),"")),"")</f>
        <v/>
      </c>
      <c r="L170" s="33" t="n">
        <v>19.36</v>
      </c>
      <c r="M170" s="33" t="n">
        <v>-14.62</v>
      </c>
      <c r="N170" s="33" t="n">
        <v>5.38</v>
      </c>
      <c r="O170" s="33">
        <f>IFERROR(AVERAGE(IFERROR(IF(K170="","",IF(K170&gt;=25,100,IF(K170&gt;=20,90,IF(K170&gt;=15,75,IF(K170&gt;=10,60,IF(K170&gt;=5,45,IF(K170&gt;=0,30,15))))))),""),IFERROR(IF(L170="","",IF(L170&gt;=60,100,IF(L170&gt;=50,90,IF(L170&gt;=40,75,IF(L170&gt;=30,60,IF(L170&gt;=20,45,IF(L170&gt;=10,30,15))))))),""),IFERROR(IF(M170="","",IF(M170&gt;=25,100,IF(M170&gt;=20,90,IF(M170&gt;=15,75,IF(M170&gt;=10,60,IF(M170&gt;=5,45,IF(M170&gt;=0,30,15))))))),""),IFERROR(IF(N170="","",IF(N170&lt;=0,100,IF(N170&lt;=1,90,IF(N170&lt;=2,75,IF(N170&lt;=3,60,IF(N170&lt;=4,45,IF(N170&lt;=5,30,15))))))),"")),"")</f>
        <v/>
      </c>
      <c r="P170" s="33" t="n">
        <v>27.58</v>
      </c>
      <c r="Q170" s="33" t="n">
        <v>162.1</v>
      </c>
      <c r="S170" s="33">
        <f>IFERROR(AVERAGE(IFERROR(IF(P170="","",IF(P170&gt;=40,100,IF(P170&gt;=30,90,IF(P170&gt;=20,75,IF(P170&gt;=15,60,IF(P170&gt;=10,45,IF(P170&gt;=5,30,15))))))),""),IFERROR(IF(Q170="","",IF(Q170&gt;=40,100,IF(Q170&gt;=30,90,IF(Q170&gt;=20,75,IF(Q170&gt;=10,60,IF(Q170&gt;=5,45,IF(Q170&gt;=0,30,15))))))),""),IFERROR(IF(R170="","",IF(R170&gt;=40,100,IF(R170&gt;=30,90,IF(R170&gt;=20,75,IF(R170&gt;=10,60,IF(R170&gt;=0,45,IF(R170&gt;=-10,30,15))))))),"")),"")</f>
        <v/>
      </c>
      <c r="Y170" s="33">
        <f>IFERROR(AVERAGE(T170,U170,V170,W170,X170)*20,"")</f>
        <v/>
      </c>
      <c r="AI170" s="33">
        <f>IFERROR(AVERAGE(AE170,AF170,AG170,AH170,AL170)*20,"")</f>
        <v/>
      </c>
      <c r="AJ170" s="33">
        <f>IFERROR(J170*Weights!$B$4 + O170*Weights!$B$5 + S170*Weights!$B$6 + Y170*Weights!$B$7 + AD170*Weights!$B$8 + AI170*Weights!$B$9,"")</f>
        <v/>
      </c>
    </row>
    <row r="171">
      <c r="A171" s="33" t="inlineStr">
        <is>
          <t>NTAP</t>
        </is>
      </c>
      <c r="B171" s="33" t="inlineStr">
        <is>
          <t>NetApp, Inc.</t>
        </is>
      </c>
      <c r="C171" s="33" t="inlineStr">
        <is>
          <t>08 Servers, Systems &amp; Liquid Cooling / Storage infrastructure</t>
        </is>
      </c>
      <c r="D171" s="33" t="inlineStr">
        <is>
          <t>2026-07-02</t>
        </is>
      </c>
      <c r="E171" s="33" t="n">
        <v>16.01884</v>
      </c>
      <c r="F171" s="33" t="n">
        <v>15.81</v>
      </c>
      <c r="G171" s="33" t="n">
        <v>6.05</v>
      </c>
      <c r="H171" s="33" t="n">
        <v>4.461174</v>
      </c>
      <c r="I171" s="33">
        <f>IF(OR(E171="",R171="",R171&lt;=0,E171&lt;0),"",E171/R171)</f>
        <v/>
      </c>
      <c r="J171" s="33">
        <f>IFERROR(AVERAGE(IFERROR(IF(E171="","",IF(E171&lt;0,5,IF(E171&lt;=15,90,IF(E171&lt;=20,75,IF(E171&lt;=25,60,IF(E171&lt;=30,45,IF(E171&lt;=40,30,IF(E171&lt;=60,15,5)))))))),""),IFERROR(IF(F171="","",IF(F171&lt;0,5,IF(F171&lt;=10,90,IF(F171&lt;=15,75,IF(F171&lt;=20,60,IF(F171&lt;=25,45,IF(F171&lt;=35,30,IF(F171&lt;=50,15,5)))))))),""),IFERROR(IF(G171="","",IF(G171&gt;=8,100,IF(G171&gt;=6,90,IF(G171&gt;=4,75,IF(G171&gt;=2,60,IF(G171&gt;=1,45,IF(G171&gt;=0,30,15))))))),""),IFERROR(IF(H171="","",IF(H171&lt;=2,90,IF(H171&lt;=4,75,IF(H171&lt;=7,60,IF(H171&lt;=10,45,IF(H171&lt;=15,30,IF(H171&lt;=25,15,5))))))),""),IFERROR(IF(I171="","",IF(I171&lt;=0.5,100,IF(I171&lt;=1,90,IF(I171&lt;=1.5,75,IF(I171&lt;=2,60,IF(I171&lt;=2.5,45,IF(I171&lt;=3,30,15))))))),"")),"")</f>
        <v/>
      </c>
      <c r="L171" s="33" t="n">
        <v>70.73999999999999</v>
      </c>
      <c r="M171" s="33" t="n">
        <v>26.99</v>
      </c>
      <c r="N171" s="33" t="n">
        <v>-0.45</v>
      </c>
      <c r="O171" s="33">
        <f>IFERROR(AVERAGE(IFERROR(IF(K171="","",IF(K171&gt;=25,100,IF(K171&gt;=20,90,IF(K171&gt;=15,75,IF(K171&gt;=10,60,IF(K171&gt;=5,45,IF(K171&gt;=0,30,15))))))),""),IFERROR(IF(L171="","",IF(L171&gt;=60,100,IF(L171&gt;=50,90,IF(L171&gt;=40,75,IF(L171&gt;=30,60,IF(L171&gt;=20,45,IF(L171&gt;=10,30,15))))))),""),IFERROR(IF(M171="","",IF(M171&gt;=25,100,IF(M171&gt;=20,90,IF(M171&gt;=15,75,IF(M171&gt;=10,60,IF(M171&gt;=5,45,IF(M171&gt;=0,30,15))))))),""),IFERROR(IF(N171="","",IF(N171&lt;=0,100,IF(N171&lt;=1,90,IF(N171&lt;=2,75,IF(N171&lt;=3,60,IF(N171&lt;=4,45,IF(N171&lt;=5,30,15))))))),"")),"")</f>
        <v/>
      </c>
      <c r="P171" s="33" t="n">
        <v>2.87</v>
      </c>
      <c r="Q171" s="33" t="n">
        <v>12.5</v>
      </c>
      <c r="R171" s="33" t="n">
        <v>18.8</v>
      </c>
      <c r="S171" s="33">
        <f>IFERROR(AVERAGE(IFERROR(IF(P171="","",IF(P171&gt;=40,100,IF(P171&gt;=30,90,IF(P171&gt;=20,75,IF(P171&gt;=15,60,IF(P171&gt;=10,45,IF(P171&gt;=5,30,15))))))),""),IFERROR(IF(Q171="","",IF(Q171&gt;=40,100,IF(Q171&gt;=30,90,IF(Q171&gt;=20,75,IF(Q171&gt;=10,60,IF(Q171&gt;=5,45,IF(Q171&gt;=0,30,15))))))),""),IFERROR(IF(R171="","",IF(R171&gt;=40,100,IF(R171&gt;=30,90,IF(R171&gt;=20,75,IF(R171&gt;=10,60,IF(R171&gt;=0,45,IF(R171&gt;=-10,30,15))))))),"")),"")</f>
        <v/>
      </c>
      <c r="T171" t="n">
        <v>2</v>
      </c>
      <c r="U171" t="n">
        <v>3</v>
      </c>
      <c r="V171" t="n">
        <v>3</v>
      </c>
      <c r="W171" t="n">
        <v>3</v>
      </c>
      <c r="X171" t="n">
        <v>2</v>
      </c>
      <c r="Y171" s="33">
        <f>IFERROR(AVERAGE(T171,U171,V171,W171,X171)*20,"")</f>
        <v/>
      </c>
      <c r="Z171" t="n">
        <v>5</v>
      </c>
      <c r="AA171" t="n">
        <v>5</v>
      </c>
      <c r="AB171" t="n">
        <v>3</v>
      </c>
      <c r="AC171" s="33" t="n">
        <v>57.5</v>
      </c>
      <c r="AE171" t="n">
        <v>4</v>
      </c>
      <c r="AF171" t="n">
        <v>5</v>
      </c>
      <c r="AG171" t="n">
        <v>5</v>
      </c>
      <c r="AH171" t="n">
        <v>4</v>
      </c>
      <c r="AI171" s="33">
        <f>IFERROR(AVERAGE(AE171,AF171,AG171,AH171,AL171)*20,"")</f>
        <v/>
      </c>
      <c r="AJ171" s="33">
        <f>IFERROR(J171*Weights!$B$4 + O171*Weights!$B$5 + S171*Weights!$B$6 + Y171*Weights!$B$7 + AD171*Weights!$B$8 + AI171*Weights!$B$9,"")</f>
        <v/>
      </c>
      <c r="AL171" t="n">
        <v>5</v>
      </c>
    </row>
  </sheetData>
  <conditionalFormatting sqref="AH2:AH36">
    <cfRule type="colorScale" priority="2">
      <colorScale>
        <cfvo type="num" val="30"/>
        <cfvo type="num" val="60"/>
        <cfvo type="num" val="85"/>
        <color rgb="FFF8696B"/>
        <color rgb="FFFFEB84"/>
        <color rgb="FF63BE7B"/>
      </colorScale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337"/>
  <sheetViews>
    <sheetView workbookViewId="0">
      <selection activeCell="A1" sqref="A1"/>
    </sheetView>
  </sheetViews>
  <sheetFormatPr baseColWidth="8" defaultRowHeight="15"/>
  <cols>
    <col width="12" customWidth="1" style="34" min="1" max="1"/>
    <col width="8" customWidth="1" style="34" min="2" max="2"/>
    <col width="5" customWidth="1" style="34" min="3" max="3"/>
    <col width="8" customWidth="1" style="34" min="4" max="4"/>
    <col width="80" customWidth="1" style="34" min="5" max="5"/>
    <col width="60" customWidth="1" style="34" min="6" max="6"/>
    <col width="12" customWidth="1" style="34" min="7" max="7"/>
    <col width="10" customWidth="1" style="34" min="8" max="8"/>
  </cols>
  <sheetData>
    <row r="1">
      <c r="A1" s="67" t="inlineStr">
        <is>
          <t>Date</t>
        </is>
      </c>
      <c r="B1" s="67" t="inlineStr">
        <is>
          <t>Ticker</t>
        </is>
      </c>
      <c r="C1" s="67" t="inlineStr">
        <is>
          <t>Dimension</t>
        </is>
      </c>
      <c r="D1" s="67" t="inlineStr">
        <is>
          <t>Rating</t>
        </is>
      </c>
      <c r="E1" s="67" t="inlineStr">
        <is>
          <t>Rationale</t>
        </is>
      </c>
      <c r="F1" s="67" t="inlineStr">
        <is>
          <t>Source</t>
        </is>
      </c>
      <c r="G1" s="67" t="inlineStr">
        <is>
          <t>Confidence</t>
        </is>
      </c>
      <c r="H1" s="67" t="inlineStr">
        <is>
          <t>Type</t>
        </is>
      </c>
    </row>
    <row r="2">
      <c r="A2" s="33" t="inlineStr">
        <is>
          <t>2026-05-17</t>
        </is>
      </c>
      <c r="B2" s="33" t="inlineStr">
        <is>
          <t>CEG</t>
        </is>
      </c>
      <c r="C2" s="33" t="inlineStr">
        <is>
          <t>D1</t>
        </is>
      </c>
      <c r="D2" s="33" t="n">
        <v>2</v>
      </c>
      <c r="E2" s="68" t="inlineStr">
        <is>
          <t>Current realized AI revenue ~5-10% of $30B TTM; MSFT TMI 20yr PPA is forward (restart 2028), not yet earnings. D4 carries the buildout side per D1/D4 split.</t>
        </is>
      </c>
      <c r="F2" s="68" t="inlineStr">
        <is>
          <t>yfinance info.totalRevenue; MSFT TMI press release 2024-09-20; CEG FY2025 10-K MD&amp;A (to verify segment)</t>
        </is>
      </c>
      <c r="G2" s="33" t="inlineStr">
        <is>
          <t>Medium</t>
        </is>
      </c>
      <c r="H2" s="33" t="inlineStr">
        <is>
          <t>Initial</t>
        </is>
      </c>
    </row>
    <row r="3">
      <c r="A3" s="33" t="inlineStr">
        <is>
          <t>2026-05-17</t>
        </is>
      </c>
      <c r="B3" s="33" t="inlineStr">
        <is>
          <t>CEG</t>
        </is>
      </c>
      <c r="C3" s="33" t="inlineStr">
        <is>
          <t>D2</t>
        </is>
      </c>
      <c r="D3" s="33" t="n">
        <v>5</v>
      </c>
      <c r="E3" s="68" t="inlineStr">
        <is>
          <t>Operating nuclear baseload is structurally bottlenecked — ~94 US reactors total, CEG owns 22 GW (largest fleet); restart candidates limited; hyperscaler PPAs at premium vs merchant clearing prices demonstrate pricing power.</t>
        </is>
      </c>
      <c r="F3" s="68" t="inlineStr">
        <is>
          <t>Industry data; CEG FY2024 10-K Items 1-2; MSFT TMI PPA reportedly $100+/MWh vs PJM RT ~$30-50</t>
        </is>
      </c>
      <c r="G3" s="33" t="inlineStr">
        <is>
          <t>High</t>
        </is>
      </c>
      <c r="H3" s="33" t="inlineStr">
        <is>
          <t>Initial</t>
        </is>
      </c>
    </row>
    <row r="4">
      <c r="A4" s="33" t="inlineStr">
        <is>
          <t>2026-05-17</t>
        </is>
      </c>
      <c r="B4" s="33" t="inlineStr">
        <is>
          <t>CEG</t>
        </is>
      </c>
      <c r="C4" s="33" t="inlineStr">
        <is>
          <t>D3</t>
        </is>
      </c>
      <c r="D4" s="33" t="n">
        <v>4</v>
      </c>
      <c r="E4" s="68" t="inlineStr">
        <is>
          <t>Multi-source moat: NRC operating licenses (regulatory), scale advantage on fixed O&amp;M across 22 GW, long-dated PPA switching costs. Not 5 because gas portion (Calpine, post-2025) is unmoated commodity. Halo-check passed.</t>
        </is>
      </c>
      <c r="F4" s="68" t="inlineStr">
        <is>
          <t>10-K Item 1 fleet description; rubric anchors (ASML/TSMC = true 5)</t>
        </is>
      </c>
      <c r="G4" s="33" t="inlineStr">
        <is>
          <t>High</t>
        </is>
      </c>
      <c r="H4" s="33" t="inlineStr">
        <is>
          <t>Initial</t>
        </is>
      </c>
    </row>
    <row r="5">
      <c r="A5" s="33" t="inlineStr">
        <is>
          <t>2026-05-17</t>
        </is>
      </c>
      <c r="B5" s="33" t="inlineStr">
        <is>
          <t>CEG</t>
        </is>
      </c>
      <c r="C5" s="33" t="inlineStr">
        <is>
          <t>D4</t>
        </is>
      </c>
      <c r="D5" s="33" t="n">
        <v>5</v>
      </c>
      <c r="E5" s="68" t="inlineStr">
        <is>
          <t>TMI restart capex funded and active; multiple nuclear uprates in progress; Calpine integration completed Jan 2025. Customer commitments (MSFT PPA) backing the spend. Negative FCF reflects buildout pace.</t>
        </is>
      </c>
      <c r="F5" s="68" t="inlineStr">
        <is>
          <t>TMI deal disclosures; CEG capex guidance in 2025 earnings releases; Calpine close announcement 2025-01</t>
        </is>
      </c>
      <c r="G5" s="33" t="inlineStr">
        <is>
          <t>High</t>
        </is>
      </c>
      <c r="H5" s="33" t="inlineStr">
        <is>
          <t>Initial</t>
        </is>
      </c>
    </row>
    <row r="6">
      <c r="A6" s="33" t="inlineStr">
        <is>
          <t>2026-05-17</t>
        </is>
      </c>
      <c r="B6" s="33" t="inlineStr">
        <is>
          <t>CEG</t>
        </is>
      </c>
      <c r="C6" s="33" t="inlineStr">
        <is>
          <t>D5</t>
        </is>
      </c>
      <c r="D6" s="33" t="n">
        <v>4</v>
      </c>
      <c r="E6" s="68" t="inlineStr">
        <is>
          <t>MSFT anchor customer for TMI on 20yr PPA; public reporting indicates additional hyperscaler discussions. Realized hyperscaler revenue today modest (~5-15%); contracted forward exposure substantial.</t>
        </is>
      </c>
      <c r="F6" s="68" t="inlineStr">
        <is>
          <t>TMI deal disclosures; CEG FY2024 10-K (no explicit hyperscaler segment break — verify in FY2025)</t>
        </is>
      </c>
      <c r="G6" s="33" t="inlineStr">
        <is>
          <t>Medium</t>
        </is>
      </c>
      <c r="H6" s="33" t="inlineStr">
        <is>
          <t>Initial</t>
        </is>
      </c>
    </row>
    <row r="7">
      <c r="A7" s="33" t="inlineStr">
        <is>
          <t>2026-05-17</t>
        </is>
      </c>
      <c r="B7" s="33" t="inlineStr">
        <is>
          <t>CEG</t>
        </is>
      </c>
      <c r="C7" s="33" t="inlineStr">
        <is>
          <t>M1</t>
        </is>
      </c>
      <c r="D7" s="33" t="n">
        <v>3</v>
      </c>
      <c r="E7" s="68" t="inlineStr">
        <is>
          <t>Mixed revisions: near-term Q EPS estimate cut ~9% over 90d ($2.84→$2.585); FY estimates stable to slightly up; 7-day count 1 up vs 3 down. Net = neutral.</t>
        </is>
      </c>
      <c r="F7" s="68" t="inlineStr">
        <is>
          <t>yfinance Ticker.eps_trend, eps_revisions (pulled 2026-05-17)</t>
        </is>
      </c>
      <c r="G7" s="33" t="inlineStr">
        <is>
          <t>High</t>
        </is>
      </c>
      <c r="H7" s="33" t="inlineStr">
        <is>
          <t>Initial</t>
        </is>
      </c>
    </row>
    <row r="8">
      <c r="A8" s="33" t="inlineStr">
        <is>
          <t>2026-05-17</t>
        </is>
      </c>
      <c r="B8" s="33" t="inlineStr">
        <is>
          <t>CEG</t>
        </is>
      </c>
      <c r="C8" s="33" t="inlineStr">
        <is>
          <t>M2</t>
        </is>
      </c>
      <c r="D8" s="33" t="n">
        <v>2</v>
      </c>
      <c r="E8" s="68" t="inlineStr">
        <is>
          <t>Sector underperformance: −20.3pp vs XLU over 6mo (CEG −20.9%, XLU −0.6%); −33.6% drawdown from 52w high $402.32 (2025-10-15) to $267.20 (2026-05-15); −13.1pp lag vs XLU over 2yr.</t>
        </is>
      </c>
      <c r="F8" s="68" t="inlineStr">
        <is>
          <t>yfinance auto-adjusted close prices CEG vs XLU (pulled 2026-05-17)</t>
        </is>
      </c>
      <c r="G8" s="33" t="inlineStr">
        <is>
          <t>High</t>
        </is>
      </c>
      <c r="H8" s="33" t="inlineStr">
        <is>
          <t>Initial</t>
        </is>
      </c>
    </row>
    <row r="9">
      <c r="A9" s="33" t="inlineStr">
        <is>
          <t>2026-05-17</t>
        </is>
      </c>
      <c r="B9" s="33" t="inlineStr">
        <is>
          <t>CEG</t>
        </is>
      </c>
      <c r="C9" s="33" t="inlineStr">
        <is>
          <t>M3</t>
        </is>
      </c>
      <c r="D9" s="33" t="n">
        <v>2</v>
      </c>
      <c r="E9" s="68" t="inlineStr">
        <is>
          <t>34 Form 4 filings past 12mo, pattern consistent with 10b5-1 + RSU withholding (quarterly clusters, multi-filer dates). ZERO open-market discretionary buys through 33.6% drawdown. Rubric: absence of buying during major drawdown is the diagnostic signal.</t>
        </is>
      </c>
      <c r="F9" s="68" t="inlineStr">
        <is>
          <t>SEC EDGAR Form 4 filings for CIK 0001868275, 2025-05 through 2026-04 (filings saved to per-stock/CEG/filings/; parser script has known bug for HTML-wrapped XML, pattern verified manually)</t>
        </is>
      </c>
      <c r="G9" s="33" t="inlineStr">
        <is>
          <t>Medium</t>
        </is>
      </c>
      <c r="H9" s="33" t="inlineStr">
        <is>
          <t>Initial</t>
        </is>
      </c>
    </row>
    <row r="10">
      <c r="A10" s="33" t="inlineStr">
        <is>
          <t>2026-05-17</t>
        </is>
      </c>
      <c r="B10" s="33" t="inlineStr">
        <is>
          <t>CEG</t>
        </is>
      </c>
      <c r="C10" s="33" t="inlineStr">
        <is>
          <t>R1</t>
        </is>
      </c>
      <c r="D10" s="33" t="n">
        <v>4</v>
      </c>
      <c r="E10" s="68" t="inlineStr">
        <is>
          <t>No customer &gt;15% of revenue today — IPP sells predominantly into wholesale markets and via PPAs. MSFT becomes ~5% when TMI online 2028 — trajectory item; rating may shift toward 3 in future quarters.</t>
        </is>
      </c>
      <c r="F10" s="68" t="inlineStr">
        <is>
          <t>CEG FY2024 10-K customer disclosures; TMI deal economics</t>
        </is>
      </c>
      <c r="G10" s="33" t="inlineStr">
        <is>
          <t>Medium</t>
        </is>
      </c>
      <c r="H10" s="33" t="inlineStr">
        <is>
          <t>Initial</t>
        </is>
      </c>
    </row>
    <row r="11">
      <c r="A11" s="33" t="inlineStr">
        <is>
          <t>2026-05-17</t>
        </is>
      </c>
      <c r="B11" s="33" t="inlineStr">
        <is>
          <t>CEG</t>
        </is>
      </c>
      <c r="C11" s="33" t="inlineStr">
        <is>
          <t>R2</t>
        </is>
      </c>
      <c r="D11" s="33" t="n">
        <v>5</v>
      </c>
      <c r="E11" s="68" t="inlineStr">
        <is>
          <t>100% US operations, no China revenue, no export-controlled technology, no BIS exposure.</t>
        </is>
      </c>
      <c r="F11" s="68" t="inlineStr">
        <is>
          <t>10-K Item 1 geographic segment disclosure</t>
        </is>
      </c>
      <c r="G11" s="33" t="inlineStr">
        <is>
          <t>High</t>
        </is>
      </c>
      <c r="H11" s="33" t="inlineStr">
        <is>
          <t>Initial</t>
        </is>
      </c>
    </row>
    <row r="12">
      <c r="A12" s="33" t="inlineStr">
        <is>
          <t>2026-05-17</t>
        </is>
      </c>
      <c r="B12" s="33" t="inlineStr">
        <is>
          <t>CEG</t>
        </is>
      </c>
      <c r="C12" s="33" t="inlineStr">
        <is>
          <t>R3</t>
        </is>
      </c>
      <c r="D12" s="33" t="n">
        <v>3</v>
      </c>
      <c r="E12" s="68" t="inlineStr">
        <is>
          <t>ND/EBITDA 2.71x (info.totalDebt-based, includes operating leases); 0.67x using balance_sheet Total Debt. FCF −$4.5B (capex-driven, not distress). Quick ratio 0.48 (tight short-term). IG-rated. Holistic = sector-average.</t>
        </is>
      </c>
      <c r="F12" s="68" t="inlineStr">
        <is>
          <t>yfinance info + balance_sheet (pulled 2026-05-17); Moody's/S&amp;P public ratings</t>
        </is>
      </c>
      <c r="G12" s="33" t="inlineStr">
        <is>
          <t>High</t>
        </is>
      </c>
      <c r="H12" s="33" t="inlineStr">
        <is>
          <t>Initial</t>
        </is>
      </c>
    </row>
    <row r="13">
      <c r="A13" s="33" t="inlineStr">
        <is>
          <t>2026-05-17</t>
        </is>
      </c>
      <c r="B13" s="33" t="inlineStr">
        <is>
          <t>CEG</t>
        </is>
      </c>
      <c r="C13" s="33" t="inlineStr">
        <is>
          <t>R4</t>
        </is>
      </c>
      <c r="D13" s="33" t="n">
        <v>4</v>
      </c>
      <c r="E13" s="68" t="inlineStr">
        <is>
          <t>No material company-specific litigation disclosed. NRC oversight is structural, not 'pending matters' per rubric. FERC co-location overhang (Nov-2024 AWS/Talen ISA rejection) is industry-policy thesis risk, captured in thesis.md §9, not R4.</t>
        </is>
      </c>
      <c r="F13" s="68" t="inlineStr">
        <is>
          <t>10-K Item 3 Legal Proceedings; FERC Docket No. ER24-2172 ruling</t>
        </is>
      </c>
      <c r="G13" s="33" t="inlineStr">
        <is>
          <t>Medium</t>
        </is>
      </c>
      <c r="H13" s="33" t="inlineStr">
        <is>
          <t>Initial</t>
        </is>
      </c>
    </row>
    <row r="14">
      <c r="A14" s="33" t="inlineStr">
        <is>
          <t>2026-05-17</t>
        </is>
      </c>
      <c r="B14" s="33" t="inlineStr">
        <is>
          <t>CEG</t>
        </is>
      </c>
      <c r="C14" s="33" t="inlineStr">
        <is>
          <t>M3</t>
        </is>
      </c>
      <c r="D14" s="33" t="n">
        <v>3</v>
      </c>
      <c r="E14" s="68" t="inlineStr">
        <is>
          <t>CORRECTION via Form 4 parser (post sec_edgar.py XSLT-prefix fix). 39 transactions across 34 filings — all M (option exercise), F (RSU tax withhold), D (cashless settlement), A (grants). ZERO open-market trades (P or S codes) in either direction. ZERO 10b5-1 plans. Original M3=2 rationale assumed discretionary selling pattern that doesn't exist. Rubric default 3 ('routine activity, no discretionary buying') applies — 'absence of buying' tiebreaker requires baseline selling to be diagnostic, which isn't present.</t>
        </is>
      </c>
      <c r="F14" s="68" t="inlineStr">
        <is>
          <t>scripts/parse_form4.py on per-stock/CEG/filings/4_*.xml (CIK 0001868275, fetched 2026-05-17 post-fix)</t>
        </is>
      </c>
      <c r="G14" s="33" t="inlineStr">
        <is>
          <t>High</t>
        </is>
      </c>
      <c r="H14" s="33" t="inlineStr">
        <is>
          <t>Update</t>
        </is>
      </c>
    </row>
    <row r="15">
      <c r="A15" s="33" t="inlineStr">
        <is>
          <t>2026-05-18</t>
        </is>
      </c>
      <c r="B15" s="33" t="inlineStr">
        <is>
          <t>BE</t>
        </is>
      </c>
      <c r="C15" s="33" t="inlineStr">
        <is>
          <t>D1</t>
        </is>
      </c>
      <c r="D15" s="33" t="n">
        <v>4</v>
      </c>
      <c r="E15" s="68" t="inlineStr">
        <is>
          <t>BE revenue mix has been shifting toward data center power for AI workloads. 130% TTM YoY revenue growth (yfinance info.revenueGrowth) + announced Equinix/AEP expansions suggest 25-50% of current revenue is AI-tied. Underlying business (corporate microgrids, healthcare, retail) still significant but no longer dominant.</t>
        </is>
      </c>
      <c r="F15" s="68" t="inlineStr">
        <is>
          <t>yfinance revenueGrowth 130%; BE FY2025 10-K MD&amp;A segment commentary needed to verify exact AI mix</t>
        </is>
      </c>
      <c r="G15" s="33" t="inlineStr">
        <is>
          <t>Medium</t>
        </is>
      </c>
      <c r="H15" s="33" t="inlineStr">
        <is>
          <t>Initial</t>
        </is>
      </c>
    </row>
    <row r="16">
      <c r="A16" s="33" t="inlineStr">
        <is>
          <t>2026-05-18</t>
        </is>
      </c>
      <c r="B16" s="33" t="inlineStr">
        <is>
          <t>BE</t>
        </is>
      </c>
      <c r="C16" s="33" t="inlineStr">
        <is>
          <t>D2</t>
        </is>
      </c>
      <c r="D16" s="33" t="n">
        <v>4</v>
      </c>
      <c r="E16" s="68" t="inlineStr">
        <is>
          <t>REVISED DOWN from 5 (2026-05-17 session). Rubric anchor literally lists Bloom Energy at level 4 (rating-rubric-and-workflow.md line 65). SOFC upstream with 2-4 viable competitors (Plug, Ballard, Doosan) + alternative power-bottleneck solutions (gas turbines, gensets). BE has scale + deployment track record, pricing firming, but not 'limited substitutes' per the 5 criteria. Original 5 read as halo-influenced by AI narrative.</t>
        </is>
      </c>
      <c r="F16" s="68" t="inlineStr">
        <is>
          <t>Rubric anchor examples line 65; industry competitive set knowledge</t>
        </is>
      </c>
      <c r="G16" s="33" t="inlineStr">
        <is>
          <t>High</t>
        </is>
      </c>
      <c r="H16" s="33" t="inlineStr">
        <is>
          <t>Update</t>
        </is>
      </c>
    </row>
    <row r="17">
      <c r="A17" s="33" t="inlineStr">
        <is>
          <t>2026-05-18</t>
        </is>
      </c>
      <c r="B17" s="33" t="inlineStr">
        <is>
          <t>BE</t>
        </is>
      </c>
      <c r="C17" s="33" t="inlineStr">
        <is>
          <t>D3</t>
        </is>
      </c>
      <c r="D17" s="33" t="n">
        <v>4</v>
      </c>
      <c r="E17" s="68" t="inlineStr">
        <is>
          <t>Multi-component moat: SOFC IP (20+ yr development), long-dated service contracts (10-20 yr), customer integration depth, manufacturing scale. Halo check passed — would still rate 4 with stock down 40%. Not 5 because underlying product (electrons + heat) is commoditizable on cost and switching costs decay over service-contract life.</t>
        </is>
      </c>
      <c r="F17" s="68" t="inlineStr">
        <is>
          <t>BE 10-Ks Item 1; rubric anchor comparison to Vertiv (4)</t>
        </is>
      </c>
      <c r="G17" s="33" t="inlineStr">
        <is>
          <t>High</t>
        </is>
      </c>
      <c r="H17" s="33" t="inlineStr">
        <is>
          <t>Initial</t>
        </is>
      </c>
    </row>
    <row r="18">
      <c r="A18" s="33" t="inlineStr">
        <is>
          <t>2026-05-18</t>
        </is>
      </c>
      <c r="B18" s="33" t="inlineStr">
        <is>
          <t>BE</t>
        </is>
      </c>
      <c r="C18" s="33" t="inlineStr">
        <is>
          <t>D4</t>
        </is>
      </c>
      <c r="D18" s="33" t="n">
        <v>5</v>
      </c>
      <c r="E18" s="68" t="inlineStr">
        <is>
          <t>Major buildout funded and underway: Kentucky/Delaware manufacturing expansion, customer commitments backing growth. 130% YoY revenue growth signals massive deployment ramp. FCF turned positive ($270M TTM) confirming buildout starting to pay back.</t>
        </is>
      </c>
      <c r="F18" s="68" t="inlineStr">
        <is>
          <t>yfinance revenueGrowth/freeCashflow; BE 10-K capex schedule</t>
        </is>
      </c>
      <c r="G18" s="33" t="inlineStr">
        <is>
          <t>High</t>
        </is>
      </c>
      <c r="H18" s="33" t="inlineStr">
        <is>
          <t>Initial</t>
        </is>
      </c>
    </row>
    <row r="19">
      <c r="A19" s="33" t="inlineStr">
        <is>
          <t>2026-05-18</t>
        </is>
      </c>
      <c r="B19" s="33" t="inlineStr">
        <is>
          <t>BE</t>
        </is>
      </c>
      <c r="C19" s="33" t="inlineStr">
        <is>
          <t>D5</t>
        </is>
      </c>
      <c r="D19" s="33" t="n">
        <v>4</v>
      </c>
      <c r="E19" s="68" t="inlineStr">
        <is>
          <t>Equinix is anchor customer relationship (colo-tier, hyperscaler-adjacent); growing direct hyperscaler discussions reported. Probably 5-15% of revenue is direct hyperscaler with indirect exposure (Equinix→hyperscaler workloads) higher. Not 5 (no single hyperscaler disclosed &gt;30% rev); not 3 (Equinix relationship + AEP-type deals push beyond casual).</t>
        </is>
      </c>
      <c r="F19" s="68" t="inlineStr">
        <is>
          <t>BE 10-K customer disclosures needed for exact verification</t>
        </is>
      </c>
      <c r="G19" s="33" t="inlineStr">
        <is>
          <t>Medium</t>
        </is>
      </c>
      <c r="H19" s="33" t="inlineStr">
        <is>
          <t>Initial</t>
        </is>
      </c>
    </row>
    <row r="20">
      <c r="A20" s="33" t="inlineStr">
        <is>
          <t>2026-05-18</t>
        </is>
      </c>
      <c r="B20" s="33" t="inlineStr">
        <is>
          <t>BE</t>
        </is>
      </c>
      <c r="C20" s="33" t="inlineStr">
        <is>
          <t>M1</t>
        </is>
      </c>
      <c r="D20" s="33" t="n">
        <v>5</v>
      </c>
      <c r="E20" s="68" t="inlineStr">
        <is>
          <t>REVISED UP from 4 (2026-05-17 session). Textbook beat-and-raise pattern: 30d revisions current Q 13 up / 0 down; FY 19 up / 0 down. Current Y EPS estimate $2.12 today vs $1.39 90d ago = +53% revision higher.</t>
        </is>
      </c>
      <c r="F20" s="68" t="inlineStr">
        <is>
          <t>yfinance Ticker.eps_trend + eps_revisions (pulled 2026-05-18)</t>
        </is>
      </c>
      <c r="G20" s="33" t="inlineStr">
        <is>
          <t>High</t>
        </is>
      </c>
      <c r="H20" s="33" t="inlineStr">
        <is>
          <t>Update</t>
        </is>
      </c>
    </row>
    <row r="21">
      <c r="A21" s="33" t="inlineStr">
        <is>
          <t>2026-05-18</t>
        </is>
      </c>
      <c r="B21" s="33" t="inlineStr">
        <is>
          <t>BE</t>
        </is>
      </c>
      <c r="C21" s="33" t="inlineStr">
        <is>
          <t>M2</t>
        </is>
      </c>
      <c r="D21" s="33" t="n">
        <v>5</v>
      </c>
      <c r="E21" s="68" t="inlineStr">
        <is>
          <t>Overwhelming outperformance: BE +139% over 180d vs XLI +14% = +125pp spread. 12-month: BE +1253% vs XLI +19% = +1234pp. Rubric 5 threshold is &gt;20% outperformance over 6mo; satisfied by an order of magnitude. Sector = Industrials per yfinance.</t>
        </is>
      </c>
      <c r="F21" s="68" t="inlineStr">
        <is>
          <t>yfinance auto-adjusted close prices BE vs XLI (pulled 2026-05-18)</t>
        </is>
      </c>
      <c r="G21" s="33" t="inlineStr">
        <is>
          <t>High</t>
        </is>
      </c>
      <c r="H21" s="33" t="inlineStr">
        <is>
          <t>Initial</t>
        </is>
      </c>
    </row>
    <row r="22">
      <c r="A22" s="33" t="inlineStr">
        <is>
          <t>2026-05-18</t>
        </is>
      </c>
      <c r="B22" s="33" t="inlineStr">
        <is>
          <t>BE</t>
        </is>
      </c>
      <c r="C22" s="33" t="inlineStr">
        <is>
          <t>M3</t>
        </is>
      </c>
      <c r="D22" s="33" t="n">
        <v>3</v>
      </c>
      <c r="E22" s="68" t="inlineStr">
        <is>
          <t>50 Form 4 transactions in 12mo: 29 discretionary open-market sales + 21 10b5-1 plan sales, ~$130M+ insider selling. ZERO open-market purchases. BUT founder/CEO Sridhar net acquired shares (200K sale at $170 offset by 300K grant 3 days later). Per BE-session principle (CLAUDE.md 2026-05-17): post-rally diversification after +1253% move is rational, not bearish. Founder-net-long signal more informative than broader trim. Rubric default 3 applies.</t>
        </is>
      </c>
      <c r="F22" s="68" t="inlineStr">
        <is>
          <t>scripts/parse_form4.py on per-stock/BE/filings/4_*.xml; CLAUDE.md project principles</t>
        </is>
      </c>
      <c r="G22" s="33" t="inlineStr">
        <is>
          <t>Medium</t>
        </is>
      </c>
      <c r="H22" s="33" t="inlineStr">
        <is>
          <t>Initial</t>
        </is>
      </c>
    </row>
    <row r="23">
      <c r="A23" s="33" t="inlineStr">
        <is>
          <t>2026-05-18</t>
        </is>
      </c>
      <c r="B23" s="33" t="inlineStr">
        <is>
          <t>BE</t>
        </is>
      </c>
      <c r="C23" s="33" t="inlineStr">
        <is>
          <t>R1</t>
        </is>
      </c>
      <c r="D23" s="33" t="n">
        <v>3</v>
      </c>
      <c r="E23" s="68" t="inlineStr">
        <is>
          <t>Equinix historically a meaningful customer; other large customers include Walmart, Home Depot, AT&amp;T. Top customer likely 25-40% of revenue given Equinix expansion. Below 5 (diversified) but above 2 (40-60%). 10-K customer disclosure verification needed.</t>
        </is>
      </c>
      <c r="F23" s="68" t="inlineStr">
        <is>
          <t>BE 10-K customer disclosures; industry knowledge</t>
        </is>
      </c>
      <c r="G23" s="33" t="inlineStr">
        <is>
          <t>Medium</t>
        </is>
      </c>
      <c r="H23" s="33" t="inlineStr">
        <is>
          <t>Initial</t>
        </is>
      </c>
    </row>
    <row r="24">
      <c r="A24" s="33" t="inlineStr">
        <is>
          <t>2026-05-18</t>
        </is>
      </c>
      <c r="B24" s="33" t="inlineStr">
        <is>
          <t>BE</t>
        </is>
      </c>
      <c r="C24" s="33" t="inlineStr">
        <is>
          <t>R2</t>
        </is>
      </c>
      <c r="D24" s="33" t="n">
        <v>4</v>
      </c>
      <c r="E24" s="68" t="inlineStr">
        <is>
          <t>Mostly US operations; meaningful Korea exposure via SK ecoplant partnership (now SK Group JV); minor European deployments. No China, no export controls, no problematic exposure.</t>
        </is>
      </c>
      <c r="F24" s="68" t="inlineStr">
        <is>
          <t>BE 10-K geographic segment</t>
        </is>
      </c>
      <c r="G24" s="33" t="inlineStr">
        <is>
          <t>High</t>
        </is>
      </c>
      <c r="H24" s="33" t="inlineStr">
        <is>
          <t>Initial</t>
        </is>
      </c>
    </row>
    <row r="25">
      <c r="A25" s="33" t="inlineStr">
        <is>
          <t>2026-05-18</t>
        </is>
      </c>
      <c r="B25" s="33" t="inlineStr">
        <is>
          <t>BE</t>
        </is>
      </c>
      <c r="C25" s="33" t="inlineStr">
        <is>
          <t>R3</t>
        </is>
      </c>
      <c r="D25" s="33" t="n">
        <v>3</v>
      </c>
      <c r="E25" s="68" t="inlineStr">
        <is>
          <t>Today's data shows net debt $0.46B / EBITDA $220M = 2.1x (much improved vs prior 3.5x). FCF turned positive (+$270M TTM). Cash $2.49B &gt; debt $2.95B by narrow margin. Trajectory points to 4 over next 2-3 quarters if FCF positivity sustains; not there yet given short positive-FCF track record.</t>
        </is>
      </c>
      <c r="F25" s="68" t="inlineStr">
        <is>
          <t>yfinance balance_sheet + freeCashflow (pulled 2026-05-18)</t>
        </is>
      </c>
      <c r="G25" s="33" t="inlineStr">
        <is>
          <t>Medium</t>
        </is>
      </c>
      <c r="H25" s="33" t="inlineStr">
        <is>
          <t>Initial</t>
        </is>
      </c>
    </row>
    <row r="26">
      <c r="A26" s="33" t="inlineStr">
        <is>
          <t>2026-05-18</t>
        </is>
      </c>
      <c r="B26" s="33" t="inlineStr">
        <is>
          <t>BE</t>
        </is>
      </c>
      <c r="C26" s="33" t="inlineStr">
        <is>
          <t>R4</t>
        </is>
      </c>
      <c r="D26" s="33" t="n">
        <v>4</v>
      </c>
      <c r="E26" s="68" t="inlineStr">
        <is>
          <t>No material company-specific litigation disclosed. Routine ITC / state-incentive regulatory interactions are structural to fuel-cell industry, not 'pending matters' per rubric. FY2025 10-K Item 3 needs verification.</t>
        </is>
      </c>
      <c r="F26" s="68" t="inlineStr">
        <is>
          <t>BE 10-K Item 3 Legal Proceedings</t>
        </is>
      </c>
      <c r="G26" s="33" t="inlineStr">
        <is>
          <t>Medium</t>
        </is>
      </c>
      <c r="H26" s="33" t="inlineStr">
        <is>
          <t>Initial</t>
        </is>
      </c>
    </row>
    <row r="27">
      <c r="A27" s="33" t="inlineStr">
        <is>
          <t>2026-05-18</t>
        </is>
      </c>
      <c r="B27" s="33" t="inlineStr">
        <is>
          <t>NVDA</t>
        </is>
      </c>
      <c r="C27" s="33" t="inlineStr">
        <is>
          <t>D1</t>
        </is>
      </c>
      <c r="D27" s="33" t="n">
        <v>5</v>
      </c>
      <c r="E27" s="68" t="inlineStr">
        <is>
          <t>Data center segment ~80% of revenue ($35B+/quarter on $45B+ total). Essentially all DC revenue is AI/accelerated computing. Loss of AI demand = existential. Rubric line 33 anchors CoreWeave at 5; NVDA is the supplier behind CoreWeave's whole business.</t>
        </is>
      </c>
      <c r="F27" s="68" t="inlineStr">
        <is>
          <t>NVDA 10-K Item 7 segment data; yfinance totalRevenue</t>
        </is>
      </c>
      <c r="G27" s="33" t="inlineStr">
        <is>
          <t>High</t>
        </is>
      </c>
      <c r="H27" s="33" t="inlineStr">
        <is>
          <t>Initial</t>
        </is>
      </c>
    </row>
    <row r="28">
      <c r="A28" s="33" t="inlineStr">
        <is>
          <t>2026-05-18</t>
        </is>
      </c>
      <c r="B28" s="33" t="inlineStr">
        <is>
          <t>NVDA</t>
        </is>
      </c>
      <c r="C28" s="33" t="inlineStr">
        <is>
          <t>D2</t>
        </is>
      </c>
      <c r="D28" s="33" t="n">
        <v>5</v>
      </c>
      <c r="E28" s="68" t="inlineStr">
        <is>
          <t>~80% AI training accelerator market share; ~95% of CUDA-locked customers. Pricing power overwhelming (H100/B100 gross margin 70%+). Lead times for B100/B200 widened through 2025. Rubric line 96 lists NVIDIA explicitly at 5.</t>
        </is>
      </c>
      <c r="F28" s="68" t="inlineStr">
        <is>
          <t>Industry data; yfinance grossMargins 71%; rubric anchor line 96</t>
        </is>
      </c>
      <c r="G28" s="33" t="inlineStr">
        <is>
          <t>High</t>
        </is>
      </c>
      <c r="H28" s="33" t="inlineStr">
        <is>
          <t>Initial</t>
        </is>
      </c>
    </row>
    <row r="29">
      <c r="A29" s="33" t="inlineStr">
        <is>
          <t>2026-05-18</t>
        </is>
      </c>
      <c r="B29" s="33" t="inlineStr">
        <is>
          <t>NVDA</t>
        </is>
      </c>
      <c r="C29" s="33" t="inlineStr">
        <is>
          <t>D3</t>
        </is>
      </c>
      <c r="D29" s="33" t="n">
        <v>5</v>
      </c>
      <c r="E29" s="68" t="inlineStr">
        <is>
          <t>CUDA = 18 years of accumulated software/developer/library ecosystem. Every major AI framework targets CUDA-first. NVIDIA networking (Mellanox InfiniBand + NVLink) creates additional lock-in. Halo check passed: rating holds at 5 if stock were down 40%. Rubric line 96 anchor.</t>
        </is>
      </c>
      <c r="F29" s="68" t="inlineStr">
        <is>
          <t>Rubric anchor; industry knowledge; halo check passed</t>
        </is>
      </c>
      <c r="G29" s="33" t="inlineStr">
        <is>
          <t>High</t>
        </is>
      </c>
      <c r="H29" s="33" t="inlineStr">
        <is>
          <t>Initial</t>
        </is>
      </c>
    </row>
    <row r="30">
      <c r="A30" s="33" t="inlineStr">
        <is>
          <t>2026-05-18</t>
        </is>
      </c>
      <c r="B30" s="33" t="inlineStr">
        <is>
          <t>NVDA</t>
        </is>
      </c>
      <c r="C30" s="33" t="inlineStr">
        <is>
          <t>D4</t>
        </is>
      </c>
      <c r="D30" s="33" t="n">
        <v>5</v>
      </c>
      <c r="E30" s="68" t="inlineStr">
        <is>
          <t>DISCUSSED — original proposal was 4 based on fabless/partner-driven scaling. Dom override to 5: NVDA's strategy is 'do as much of as little as possible' — focus on what they do great and work with supply chain. That partnership orientation IS the capacity strategy. Revenue scaled 7x in 3 years through TSMC/HBM/CoWoS partners = real capacity expansion executed via supply chain. Counts as major buildout in spirit of rubric.</t>
        </is>
      </c>
      <c r="F30" s="68" t="inlineStr">
        <is>
          <t>yfinance revenueGrowth; Dom calibration call 2026-05-18</t>
        </is>
      </c>
      <c r="G30" s="33" t="inlineStr">
        <is>
          <t>High</t>
        </is>
      </c>
      <c r="H30" s="33" t="inlineStr">
        <is>
          <t>Initial</t>
        </is>
      </c>
    </row>
    <row r="31">
      <c r="A31" s="33" t="inlineStr">
        <is>
          <t>2026-05-18</t>
        </is>
      </c>
      <c r="B31" s="33" t="inlineStr">
        <is>
          <t>NVDA</t>
        </is>
      </c>
      <c r="C31" s="33" t="inlineStr">
        <is>
          <t>D5</t>
        </is>
      </c>
      <c r="D31" s="33" t="n">
        <v>5</v>
      </c>
      <c r="E31" s="68" t="inlineStr">
        <is>
          <t>All 5 hyperscalers (MSFT, GOOGL, AMZN, META, ORCL) are anchor customers. Top customer per 10-K ~13% (likely MSFT); top 5 combined ~50%+. Rubric 5 = 'multiple hyperscalers as anchor, &gt;30% combined' satisfied easily.</t>
        </is>
      </c>
      <c r="F31" s="68" t="inlineStr">
        <is>
          <t>NVDA 10-K Item 8 customer disclosures; quarterly call commentary</t>
        </is>
      </c>
      <c r="G31" s="33" t="inlineStr">
        <is>
          <t>High</t>
        </is>
      </c>
      <c r="H31" s="33" t="inlineStr">
        <is>
          <t>Initial</t>
        </is>
      </c>
    </row>
    <row r="32">
      <c r="A32" s="33" t="inlineStr">
        <is>
          <t>2026-05-18</t>
        </is>
      </c>
      <c r="B32" s="33" t="inlineStr">
        <is>
          <t>NVDA</t>
        </is>
      </c>
      <c r="C32" s="33" t="inlineStr">
        <is>
          <t>M1</t>
        </is>
      </c>
      <c r="D32" s="33" t="n">
        <v>4</v>
      </c>
      <c r="E32" s="68" t="inlineStr">
        <is>
          <t>Net positive but not 'loud beat-and-raise': 30d revisions 4 up / 0 down on FY and +1Y. FY EPS estimate $8.38 vs $7.74 90d ago = +8.4% up; +1Y $11.43 vs $9.93 = +15% up. Lower-magnitude than band-5 examples (BE).</t>
        </is>
      </c>
      <c r="F32" s="68" t="inlineStr">
        <is>
          <t>yfinance eps_trend + eps_revisions (pulled 2026-05-18)</t>
        </is>
      </c>
      <c r="G32" s="33" t="inlineStr">
        <is>
          <t>High</t>
        </is>
      </c>
      <c r="H32" s="33" t="inlineStr">
        <is>
          <t>Initial</t>
        </is>
      </c>
    </row>
    <row r="33">
      <c r="A33" s="33" t="inlineStr">
        <is>
          <t>2026-05-18</t>
        </is>
      </c>
      <c r="B33" s="33" t="inlineStr">
        <is>
          <t>NVDA</t>
        </is>
      </c>
      <c r="C33" s="33" t="inlineStr">
        <is>
          <t>M2</t>
        </is>
      </c>
      <c r="D33" s="33" t="n">
        <v>1</v>
      </c>
      <c r="E33" s="68" t="inlineStr">
        <is>
          <t>NVDA SIGNIFICANTLY UNDERPERFORMING SOXX over multiple windows: -57pp over 180d (+19% vs +76%); -72pp over 365d (+64% vs +135%); -20pp over 90d. Stock at 52w high $235 (2026-05-14) but semi sector is far ahead. Rubric strict: '1 = lagging sector by &gt;20%' satisfied 3x over on 6mo. Sector = SOXX (Semis) per rubric line 187.</t>
        </is>
      </c>
      <c r="F33" s="68" t="inlineStr">
        <is>
          <t>yfinance close prices NVDA vs SOXX (pulled 2026-05-18)</t>
        </is>
      </c>
      <c r="G33" s="33" t="inlineStr">
        <is>
          <t>High</t>
        </is>
      </c>
      <c r="H33" s="33" t="inlineStr">
        <is>
          <t>Initial</t>
        </is>
      </c>
    </row>
    <row r="34">
      <c r="A34" s="33" t="inlineStr">
        <is>
          <t>2026-05-18</t>
        </is>
      </c>
      <c r="B34" s="33" t="inlineStr">
        <is>
          <t>NVDA</t>
        </is>
      </c>
      <c r="C34" s="33" t="inlineStr">
        <is>
          <t>M3</t>
        </is>
      </c>
      <c r="D34" s="33" t="n">
        <v>3</v>
      </c>
      <c r="E34" s="68" t="inlineStr">
        <is>
          <t>12mo Form 4: 313 10b5-1 plan sales ($679M) + 9 discretionary sales ($302M); 0 open-market buys. Long-running Huang/Kress 10b5-1 programs explain the volume — treat as routine per rubric. Stock at 52w high (not drawdown), so 'absence of buying during drawdown' tiebreaker doesn't apply. Default 3 for routine activity.</t>
        </is>
      </c>
      <c r="F34" s="68" t="inlineStr">
        <is>
          <t>scripts/parse_form4.py on NVDA filings (pulled 2026-05-18)</t>
        </is>
      </c>
      <c r="G34" s="33" t="inlineStr">
        <is>
          <t>High</t>
        </is>
      </c>
      <c r="H34" s="33" t="inlineStr">
        <is>
          <t>Initial</t>
        </is>
      </c>
    </row>
    <row r="35">
      <c r="A35" s="33" t="inlineStr">
        <is>
          <t>2026-05-18</t>
        </is>
      </c>
      <c r="B35" s="33" t="inlineStr">
        <is>
          <t>NVDA</t>
        </is>
      </c>
      <c r="C35" s="33" t="inlineStr">
        <is>
          <t>R1</t>
        </is>
      </c>
      <c r="D35" s="33" t="n">
        <v>4</v>
      </c>
      <c r="E35" s="68" t="inlineStr">
        <is>
          <t>DISCUSSED — top single customer ~13% (just under strict 5 threshold of &gt;15%). Adjusted to 4 to capture cluster concentration: top 5 hyperscalers combined ~50% of revenue. Single-customer threshold met (5) but cluster risk real. Dom agreed adjustment is fair. **Rubric ambiguity to flag for calibration:** single-customer vs cluster-customer concentration.</t>
        </is>
      </c>
      <c r="F35" s="68" t="inlineStr">
        <is>
          <t>NVDA 10-K customer disclosures; Dom calibration call 2026-05-18</t>
        </is>
      </c>
      <c r="G35" s="33" t="inlineStr">
        <is>
          <t>Medium</t>
        </is>
      </c>
      <c r="H35" s="33" t="inlineStr">
        <is>
          <t>Initial</t>
        </is>
      </c>
    </row>
    <row r="36">
      <c r="A36" s="33" t="inlineStr">
        <is>
          <t>2026-05-18</t>
        </is>
      </c>
      <c r="B36" s="33" t="inlineStr">
        <is>
          <t>NVDA</t>
        </is>
      </c>
      <c r="C36" s="33" t="inlineStr">
        <is>
          <t>R2</t>
        </is>
      </c>
      <c r="D36" s="33" t="n">
        <v>2</v>
      </c>
      <c r="E36" s="68" t="inlineStr">
        <is>
          <t>Multiple rounds of China export control restrictions actively impacting revenue (H20 cycle 2024-2025, ongoing BIS tightening, compliant chip variants in development). Direct revenue hits realized ($5-10B+ disclosed China-specific impacts since 2023). Sits between band 2 (China revenue + export-control exposure) and band 1 (active impacts) — NVDA adapts via compliant variants so 2 fits better than 1.</t>
        </is>
      </c>
      <c r="F36" s="68" t="inlineStr">
        <is>
          <t>NVDA 10-K Item 1A Risk Factors; BIS Entity List actions 2023-2025</t>
        </is>
      </c>
      <c r="G36" s="33" t="inlineStr">
        <is>
          <t>High</t>
        </is>
      </c>
      <c r="H36" s="33" t="inlineStr">
        <is>
          <t>Initial</t>
        </is>
      </c>
    </row>
    <row r="37">
      <c r="A37" s="33" t="inlineStr">
        <is>
          <t>2026-05-18</t>
        </is>
      </c>
      <c r="B37" s="33" t="inlineStr">
        <is>
          <t>NVDA</t>
        </is>
      </c>
      <c r="C37" s="33" t="inlineStr">
        <is>
          <t>R3</t>
        </is>
      </c>
      <c r="D37" s="33" t="n">
        <v>5</v>
      </c>
      <c r="E37" s="68" t="inlineStr">
        <is>
          <t>Net cash position: ND/EBITDA -0.38 (cash &gt; debt). FCF $50B+ TTM. Operating margin 60%+. Textbook 5 ('fortress balance sheet').</t>
        </is>
      </c>
      <c r="F37" s="68" t="inlineStr">
        <is>
          <t>yfinance info (totalCash $50B+, totalDebt, freeCashflow, ebitda)</t>
        </is>
      </c>
      <c r="G37" s="33" t="inlineStr">
        <is>
          <t>High</t>
        </is>
      </c>
      <c r="H37" s="33" t="inlineStr">
        <is>
          <t>Initial</t>
        </is>
      </c>
    </row>
    <row r="38">
      <c r="A38" s="33" t="inlineStr">
        <is>
          <t>2026-05-18</t>
        </is>
      </c>
      <c r="B38" s="33" t="inlineStr">
        <is>
          <t>NVDA</t>
        </is>
      </c>
      <c r="C38" s="33" t="inlineStr">
        <is>
          <t>R4</t>
        </is>
      </c>
      <c r="D38" s="33" t="n">
        <v>4</v>
      </c>
      <c r="E38" s="68" t="inlineStr">
        <is>
          <t>DISCUSSED — original proposal was 3 (DOJ antitrust + FTC + EU/French regulators investigating CUDA bundling, all 'pending but immaterial'). Dom override to 4: investigations have not materialized into enforcement actions, settlements, or current revenue impact. Routine antitrust scrutiny for a dominant tech firm = band 4 ('routine matters only'). Rerated if/when material enforcement or remedies disclosed.</t>
        </is>
      </c>
      <c r="F38" s="68" t="inlineStr">
        <is>
          <t>NVDA 10-K Item 3; public DOJ/FTC statements; Dom calibration call 2026-05-18</t>
        </is>
      </c>
      <c r="G38" s="33" t="inlineStr">
        <is>
          <t>Medium</t>
        </is>
      </c>
      <c r="H38" s="33" t="inlineStr">
        <is>
          <t>Initial</t>
        </is>
      </c>
    </row>
    <row r="39">
      <c r="A39" s="33" t="inlineStr">
        <is>
          <t>2026-05-18</t>
        </is>
      </c>
      <c r="B39" s="33" t="inlineStr">
        <is>
          <t>AMD</t>
        </is>
      </c>
      <c r="C39" s="33" t="inlineStr">
        <is>
          <t>D1</t>
        </is>
      </c>
      <c r="D39" s="33" t="n">
        <v>5</v>
      </c>
      <c r="E39" s="68" t="inlineStr">
        <is>
          <t>Data center segment 56% of Q1 FY26 revenue ($5.8B/$10.3B), nearly all AI. Crosses rubric &gt;50% AI threshold.</t>
        </is>
      </c>
      <c r="F39" s="68" t="inlineStr">
        <is>
          <t>AMD Q1 FY26 8-K (filed 2026-04); per-stock/AMD/context-2026-05-18.md</t>
        </is>
      </c>
      <c r="G39" s="33" t="inlineStr">
        <is>
          <t>High</t>
        </is>
      </c>
      <c r="H39" s="33" t="inlineStr">
        <is>
          <t>Initial</t>
        </is>
      </c>
    </row>
    <row r="40">
      <c r="A40" s="33" t="inlineStr">
        <is>
          <t>2026-05-18</t>
        </is>
      </c>
      <c r="B40" s="33" t="inlineStr">
        <is>
          <t>AMD</t>
        </is>
      </c>
      <c r="C40" s="33" t="inlineStr">
        <is>
          <t>D2</t>
        </is>
      </c>
      <c r="D40" s="33" t="n">
        <v>4</v>
      </c>
      <c r="E40" s="68" t="inlineStr">
        <is>
          <t>~10-15% AI training share vs NVDA 75-80%. Meaningful #2 with credible competitors. Anchor match: rubric 4.</t>
        </is>
      </c>
      <c r="F40" s="68" t="inlineStr">
        <is>
          <t>Industry data; AMD Q1 FY26 segment data</t>
        </is>
      </c>
      <c r="G40" s="33" t="inlineStr">
        <is>
          <t>High</t>
        </is>
      </c>
      <c r="H40" s="33" t="inlineStr">
        <is>
          <t>Initial</t>
        </is>
      </c>
    </row>
    <row r="41">
      <c r="A41" s="33" t="inlineStr">
        <is>
          <t>2026-05-18</t>
        </is>
      </c>
      <c r="B41" s="33" t="inlineStr">
        <is>
          <t>AMD</t>
        </is>
      </c>
      <c r="C41" s="33" t="inlineStr">
        <is>
          <t>D3</t>
        </is>
      </c>
      <c r="D41" s="33" t="n">
        <v>4</v>
      </c>
      <c r="E41" s="68" t="inlineStr">
        <is>
          <t>Revised up from 3 after ROCm catch-up evidence: PyTorch first-class ROCm support, META/OpenAI/Cohere production deployments, ROCm 7 at parity on many layers. Software gap closing 2-3 years, not 5-7.</t>
        </is>
      </c>
      <c r="F41" s="68" t="inlineStr">
        <is>
          <t>ThunderCompute/SDxCentral ROCm vs CUDA 2026 coverage; context briefing</t>
        </is>
      </c>
      <c r="G41" s="33" t="inlineStr">
        <is>
          <t>High</t>
        </is>
      </c>
      <c r="H41" s="33" t="inlineStr">
        <is>
          <t>Initial</t>
        </is>
      </c>
    </row>
    <row r="42">
      <c r="A42" s="33" t="inlineStr">
        <is>
          <t>2026-05-18</t>
        </is>
      </c>
      <c r="B42" s="33" t="inlineStr">
        <is>
          <t>AMD</t>
        </is>
      </c>
      <c r="C42" s="33" t="inlineStr">
        <is>
          <t>D4</t>
        </is>
      </c>
      <c r="D42" s="33" t="n">
        <v>5</v>
      </c>
      <c r="E42" s="68" t="inlineStr">
        <is>
          <t>META 6 GW deployment announced — first 1 GW on MI450, multi-year commitment. AWS/GCP/Azure/Tencent expanding EPYC. Same partner-driven D4=5 logic as NVDA (Dom-approved 2026-05-18).</t>
        </is>
      </c>
      <c r="F42" s="68" t="inlineStr">
        <is>
          <t>AMD Q1 FY26 earnings + analyst coverage; per-stock/AMD/context-2026-05-18.md</t>
        </is>
      </c>
      <c r="G42" s="33" t="inlineStr">
        <is>
          <t>High</t>
        </is>
      </c>
      <c r="H42" s="33" t="inlineStr">
        <is>
          <t>Initial</t>
        </is>
      </c>
    </row>
    <row r="43">
      <c r="A43" s="33" t="inlineStr">
        <is>
          <t>2026-05-18</t>
        </is>
      </c>
      <c r="B43" s="33" t="inlineStr">
        <is>
          <t>AMD</t>
        </is>
      </c>
      <c r="C43" s="33" t="inlineStr">
        <is>
          <t>D5</t>
        </is>
      </c>
      <c r="D43" s="33" t="n">
        <v>5</v>
      </c>
      <c r="E43" s="68" t="inlineStr">
        <is>
          <t>5+ hyperscalers named in Q1: META 6GW anchor, AWS, Azure, GCP, Oracle (MI300X superclusters), Tencent. Easily &gt;30% combined revenue.</t>
        </is>
      </c>
      <c r="F43" s="68" t="inlineStr">
        <is>
          <t>AMD Q1 FY26 earnings call commentary</t>
        </is>
      </c>
      <c r="G43" s="33" t="inlineStr">
        <is>
          <t>High</t>
        </is>
      </c>
      <c r="H43" s="33" t="inlineStr">
        <is>
          <t>Initial</t>
        </is>
      </c>
    </row>
    <row r="44">
      <c r="A44" s="33" t="inlineStr">
        <is>
          <t>2026-05-18</t>
        </is>
      </c>
      <c r="B44" s="33" t="inlineStr">
        <is>
          <t>AMD</t>
        </is>
      </c>
      <c r="C44" s="33" t="inlineStr">
        <is>
          <t>M1</t>
        </is>
      </c>
      <c r="D44" s="33" t="n">
        <v>5</v>
      </c>
      <c r="E44" s="68" t="inlineStr">
        <is>
          <t>39 up / 1 down on +1Y EPS revisions (30d); FY revision +11.5% over 90d. Beat-and-raise.</t>
        </is>
      </c>
      <c r="F44" s="68" t="inlineStr">
        <is>
          <t>yfinance eps_trend + eps_revisions (2026-05-18)</t>
        </is>
      </c>
      <c r="G44" s="33" t="inlineStr">
        <is>
          <t>High</t>
        </is>
      </c>
      <c r="H44" s="33" t="inlineStr">
        <is>
          <t>Initial</t>
        </is>
      </c>
    </row>
    <row r="45">
      <c r="A45" s="33" t="inlineStr">
        <is>
          <t>2026-05-18</t>
        </is>
      </c>
      <c r="B45" s="33" t="inlineStr">
        <is>
          <t>AMD</t>
        </is>
      </c>
      <c r="C45" s="33" t="inlineStr">
        <is>
          <t>M2</t>
        </is>
      </c>
      <c r="D45" s="33" t="n">
        <v>5</v>
      </c>
      <c r="E45" s="68" t="inlineStr">
        <is>
          <t>Outperforming SOXX +129pp YoY (+264% vs +135%); +66pp over 90d. Best Momentum in Layer 6.</t>
        </is>
      </c>
      <c r="F45" s="68" t="inlineStr">
        <is>
          <t>yfinance prices AMD vs SOXX (2026-05-18)</t>
        </is>
      </c>
      <c r="G45" s="33" t="inlineStr">
        <is>
          <t>High</t>
        </is>
      </c>
      <c r="H45" s="33" t="inlineStr">
        <is>
          <t>Initial</t>
        </is>
      </c>
    </row>
    <row r="46">
      <c r="A46" s="33" t="inlineStr">
        <is>
          <t>2026-05-18</t>
        </is>
      </c>
      <c r="B46" s="33" t="inlineStr">
        <is>
          <t>AMD</t>
        </is>
      </c>
      <c r="C46" s="33" t="inlineStr">
        <is>
          <t>M3</t>
        </is>
      </c>
      <c r="D46" s="33" t="n">
        <v>3</v>
      </c>
      <c r="E46" s="68" t="inlineStr">
        <is>
          <t>4 discretionary sells + 137 10b5-1 sales over 12mo. 0 open-market buys. Stock at -9% from 52w high — not drawdown. Default 3 for routine activity.</t>
        </is>
      </c>
      <c r="F46" s="68" t="inlineStr">
        <is>
          <t>scripts/parse_form4.py AMD (2026-05-18)</t>
        </is>
      </c>
      <c r="G46" s="33" t="inlineStr">
        <is>
          <t>High</t>
        </is>
      </c>
      <c r="H46" s="33" t="inlineStr">
        <is>
          <t>Initial</t>
        </is>
      </c>
    </row>
    <row r="47">
      <c r="A47" s="33" t="inlineStr">
        <is>
          <t>2026-05-18</t>
        </is>
      </c>
      <c r="B47" s="33" t="inlineStr">
        <is>
          <t>AMD</t>
        </is>
      </c>
      <c r="C47" s="33" t="inlineStr">
        <is>
          <t>R1</t>
        </is>
      </c>
      <c r="D47" s="33" t="n">
        <v>4</v>
      </c>
      <c r="E47" s="68" t="inlineStr">
        <is>
          <t>Diversified across DC + Client + Gaming + Embedded. Top customer probably 10-15%.</t>
        </is>
      </c>
      <c r="F47" s="68" t="inlineStr">
        <is>
          <t>AMD FY24 10-K; industry knowledge</t>
        </is>
      </c>
      <c r="G47" s="33" t="inlineStr">
        <is>
          <t>High</t>
        </is>
      </c>
      <c r="H47" s="33" t="inlineStr">
        <is>
          <t>Initial</t>
        </is>
      </c>
    </row>
    <row r="48">
      <c r="A48" s="33" t="inlineStr">
        <is>
          <t>2026-05-18</t>
        </is>
      </c>
      <c r="B48" s="33" t="inlineStr">
        <is>
          <t>AMD</t>
        </is>
      </c>
      <c r="C48" s="33" t="inlineStr">
        <is>
          <t>R2</t>
        </is>
      </c>
      <c r="D48" s="33" t="n">
        <v>3</v>
      </c>
      <c r="E48" s="68" t="inlineStr">
        <is>
          <t>China export controls impact AMD similarly to NVDA but smaller magnitude. Meaningful exposure with manageable revenue hit.</t>
        </is>
      </c>
      <c r="F48" s="68" t="inlineStr">
        <is>
          <t>AMD 10-K Item 1A; BIS Entity List actions</t>
        </is>
      </c>
      <c r="G48" s="33" t="inlineStr">
        <is>
          <t>High</t>
        </is>
      </c>
      <c r="H48" s="33" t="inlineStr">
        <is>
          <t>Initial</t>
        </is>
      </c>
    </row>
    <row r="49">
      <c r="A49" s="33" t="inlineStr">
        <is>
          <t>2026-05-18</t>
        </is>
      </c>
      <c r="B49" s="33" t="inlineStr">
        <is>
          <t>AMD</t>
        </is>
      </c>
      <c r="C49" s="33" t="inlineStr">
        <is>
          <t>R3</t>
        </is>
      </c>
      <c r="D49" s="33" t="n">
        <v>5</v>
      </c>
      <c r="E49" s="68" t="inlineStr">
        <is>
          <t>Net cash position. Strong FCF. ND/EBITDA -1.14 per yfinance.</t>
        </is>
      </c>
      <c r="F49" s="68" t="inlineStr">
        <is>
          <t>yfinance balance_sheet (2026-05-18)</t>
        </is>
      </c>
      <c r="G49" s="33" t="inlineStr">
        <is>
          <t>High</t>
        </is>
      </c>
      <c r="H49" s="33" t="inlineStr">
        <is>
          <t>Initial</t>
        </is>
      </c>
    </row>
    <row r="50">
      <c r="A50" s="33" t="inlineStr">
        <is>
          <t>2026-05-18</t>
        </is>
      </c>
      <c r="B50" s="33" t="inlineStr">
        <is>
          <t>AMD</t>
        </is>
      </c>
      <c r="C50" s="33" t="inlineStr">
        <is>
          <t>R4</t>
        </is>
      </c>
      <c r="D50" s="33" t="n">
        <v>4</v>
      </c>
      <c r="E50" s="68" t="inlineStr">
        <is>
          <t>Routine antitrust scrutiny; no enforcement actions. Same standard applied as NVDA R4.</t>
        </is>
      </c>
      <c r="F50" s="68" t="inlineStr">
        <is>
          <t>AMD 10-K Item 3; industry context</t>
        </is>
      </c>
      <c r="G50" s="33" t="inlineStr">
        <is>
          <t>High</t>
        </is>
      </c>
      <c r="H50" s="33" t="inlineStr">
        <is>
          <t>Initial</t>
        </is>
      </c>
    </row>
    <row r="51">
      <c r="A51" s="33" t="inlineStr">
        <is>
          <t>2026-05-18</t>
        </is>
      </c>
      <c r="B51" s="33" t="inlineStr">
        <is>
          <t>AVGO</t>
        </is>
      </c>
      <c r="C51" s="33" t="inlineStr">
        <is>
          <t>D1</t>
        </is>
      </c>
      <c r="D51" s="33" t="n">
        <v>5</v>
      </c>
      <c r="E51" s="68" t="inlineStr">
        <is>
          <t>Q1 FY26 AI revenue $8.4B = 43% of total $19.3B; trajectory +106% YoY; Q2 guide $10.7B accelerating; $100B AI projected by 2027. Crosses &gt;50% threshold structurally.</t>
        </is>
      </c>
      <c r="F51" s="68" t="inlineStr">
        <is>
          <t>Broadcom Q1 FY26 8-K + FinancialContent coverage; per-stock/AVGO/context-2026-05-18.md</t>
        </is>
      </c>
      <c r="G51" s="33" t="inlineStr">
        <is>
          <t>High</t>
        </is>
      </c>
      <c r="H51" s="33" t="inlineStr">
        <is>
          <t>Initial</t>
        </is>
      </c>
    </row>
    <row r="52">
      <c r="A52" s="33" t="inlineStr">
        <is>
          <t>2026-05-18</t>
        </is>
      </c>
      <c r="B52" s="33" t="inlineStr">
        <is>
          <t>AVGO</t>
        </is>
      </c>
      <c r="C52" s="33" t="inlineStr">
        <is>
          <t>D2</t>
        </is>
      </c>
      <c r="D52" s="33" t="n">
        <v>4</v>
      </c>
      <c r="E52" s="68" t="inlineStr">
        <is>
          <t>Duopoly with MRVL for high-end custom silicon + Tomahawk leadership in AI networking. Not 5 because not 'limited substitutes' — competes with merchant accelerators and MRVL.</t>
        </is>
      </c>
      <c r="F52" s="68" t="inlineStr">
        <is>
          <t>Industry coverage; AVGO Q1 FY26 + Tomahawk 6 commentary</t>
        </is>
      </c>
      <c r="G52" s="33" t="inlineStr">
        <is>
          <t>High</t>
        </is>
      </c>
      <c r="H52" s="33" t="inlineStr">
        <is>
          <t>Initial</t>
        </is>
      </c>
    </row>
    <row r="53">
      <c r="A53" s="33" t="inlineStr">
        <is>
          <t>2026-05-18</t>
        </is>
      </c>
      <c r="B53" s="33" t="inlineStr">
        <is>
          <t>AVGO</t>
        </is>
      </c>
      <c r="C53" s="33" t="inlineStr">
        <is>
          <t>D3</t>
        </is>
      </c>
      <c r="D53" s="33" t="n">
        <v>4</v>
      </c>
      <c r="E53" s="68" t="inlineStr">
        <is>
          <t>Multi-generation custom silicon partnerships (Ironwood TPU, MTIA), VMware software stickiness, networking IP. Not 5 — moats are customer-specific, not unique structural advantage.</t>
        </is>
      </c>
      <c r="F53" s="68" t="inlineStr">
        <is>
          <t>AVGO 10-K segment data; industry analysis</t>
        </is>
      </c>
      <c r="G53" s="33" t="inlineStr">
        <is>
          <t>High</t>
        </is>
      </c>
      <c r="H53" s="33" t="inlineStr">
        <is>
          <t>Initial</t>
        </is>
      </c>
    </row>
    <row r="54">
      <c r="A54" s="33" t="inlineStr">
        <is>
          <t>2026-05-18</t>
        </is>
      </c>
      <c r="B54" s="33" t="inlineStr">
        <is>
          <t>AVGO</t>
        </is>
      </c>
      <c r="C54" s="33" t="inlineStr">
        <is>
          <t>D4</t>
        </is>
      </c>
      <c r="D54" s="33" t="n">
        <v>5</v>
      </c>
      <c r="E54" s="68" t="inlineStr">
        <is>
          <t>$21B Anthropic order for Ironwood Racks + Ironwood TPU v7 ramp with GOOGL + Tomahawk 6 volume + new OpenAI customer. Funded multi-year buildout per rubric anchor.</t>
        </is>
      </c>
      <c r="F54" s="68" t="inlineStr">
        <is>
          <t>AVGO Q1 FY26 earnings transcript; FinancialContent coverage</t>
        </is>
      </c>
      <c r="G54" s="33" t="inlineStr">
        <is>
          <t>High</t>
        </is>
      </c>
      <c r="H54" s="33" t="inlineStr">
        <is>
          <t>Initial</t>
        </is>
      </c>
    </row>
    <row r="55">
      <c r="A55" s="33" t="inlineStr">
        <is>
          <t>2026-05-18</t>
        </is>
      </c>
      <c r="B55" s="33" t="inlineStr">
        <is>
          <t>AVGO</t>
        </is>
      </c>
      <c r="C55" s="33" t="inlineStr">
        <is>
          <t>D5</t>
        </is>
      </c>
      <c r="D55" s="33" t="n">
        <v>5</v>
      </c>
      <c r="E55" s="68" t="inlineStr">
        <is>
          <t>4+ hyperscaler/lab anchor customers confirmed: GOOGL (Ironwood TPU), META (MTIA), Anthropic ($21B order), OpenAI (new). &gt;30% combined revenue easily.</t>
        </is>
      </c>
      <c r="F55" s="68" t="inlineStr">
        <is>
          <t>AVGO Q1 FY26 customer disclosures</t>
        </is>
      </c>
      <c r="G55" s="33" t="inlineStr">
        <is>
          <t>High</t>
        </is>
      </c>
      <c r="H55" s="33" t="inlineStr">
        <is>
          <t>Initial</t>
        </is>
      </c>
    </row>
    <row r="56">
      <c r="A56" s="33" t="inlineStr">
        <is>
          <t>2026-05-18</t>
        </is>
      </c>
      <c r="B56" s="33" t="inlineStr">
        <is>
          <t>AVGO</t>
        </is>
      </c>
      <c r="C56" s="33" t="inlineStr">
        <is>
          <t>M1</t>
        </is>
      </c>
      <c r="D56" s="33" t="n">
        <v>5</v>
      </c>
      <c r="E56" s="68" t="inlineStr">
        <is>
          <t>Net positive revisions: 8 up / 0 down 30d on +1Y; FY revision +11.3%, +1Y +26.5% over 90d.</t>
        </is>
      </c>
      <c r="F56" s="68" t="inlineStr">
        <is>
          <t>yfinance eps_trend (2026-05-18)</t>
        </is>
      </c>
      <c r="G56" s="33" t="inlineStr">
        <is>
          <t>High</t>
        </is>
      </c>
      <c r="H56" s="33" t="inlineStr">
        <is>
          <t>Initial</t>
        </is>
      </c>
    </row>
    <row r="57">
      <c r="A57" s="33" t="inlineStr">
        <is>
          <t>2026-05-18</t>
        </is>
      </c>
      <c r="B57" s="33" t="inlineStr">
        <is>
          <t>AVGO</t>
        </is>
      </c>
      <c r="C57" s="33" t="inlineStr">
        <is>
          <t>M2</t>
        </is>
      </c>
      <c r="D57" s="33" t="n">
        <v>2</v>
      </c>
      <c r="E57" s="68" t="inlineStr">
        <is>
          <t>Lagging SOXX -57pp over 180d; -51pp over 365d. Big-cap mega-rally name in sector rotation. Same pattern as NVDA.</t>
        </is>
      </c>
      <c r="F57" s="68" t="inlineStr">
        <is>
          <t>yfinance prices AVGO vs SOXX (2026-05-18)</t>
        </is>
      </c>
      <c r="G57" s="33" t="inlineStr">
        <is>
          <t>High</t>
        </is>
      </c>
      <c r="H57" s="33" t="inlineStr">
        <is>
          <t>Initial</t>
        </is>
      </c>
    </row>
    <row r="58">
      <c r="A58" s="33" t="inlineStr">
        <is>
          <t>2026-05-18</t>
        </is>
      </c>
      <c r="B58" s="33" t="inlineStr">
        <is>
          <t>AVGO</t>
        </is>
      </c>
      <c r="C58" s="33" t="inlineStr">
        <is>
          <t>M3</t>
        </is>
      </c>
      <c r="D58" s="33" t="n">
        <v>4</v>
      </c>
      <c r="E58" s="68" t="inlineStr">
        <is>
          <t>Harry You (director) bought $800K worth across 3 open-market transactions Sep/Dec 2025. Single insider buying meaningfully = rubric 4. Not 5 because only one insider.</t>
        </is>
      </c>
      <c r="F58" s="68" t="inlineStr">
        <is>
          <t>scripts/parse_form4.py AVGO (2026-05-18)</t>
        </is>
      </c>
      <c r="G58" s="33" t="inlineStr">
        <is>
          <t>High</t>
        </is>
      </c>
      <c r="H58" s="33" t="inlineStr">
        <is>
          <t>Initial</t>
        </is>
      </c>
    </row>
    <row r="59">
      <c r="A59" s="33" t="inlineStr">
        <is>
          <t>2026-05-18</t>
        </is>
      </c>
      <c r="B59" s="33" t="inlineStr">
        <is>
          <t>AVGO</t>
        </is>
      </c>
      <c r="C59" s="33" t="inlineStr">
        <is>
          <t>R1</t>
        </is>
      </c>
      <c r="D59" s="33" t="n">
        <v>3</v>
      </c>
      <c r="E59" s="68" t="inlineStr">
        <is>
          <t>GOOGL ~25-30% of revenue (TPU concentration). Top customer in 25-40% band = rubric 3.</t>
        </is>
      </c>
      <c r="F59" s="68" t="inlineStr">
        <is>
          <t>AVGO 10-K customer disclosures</t>
        </is>
      </c>
      <c r="G59" s="33" t="inlineStr">
        <is>
          <t>High</t>
        </is>
      </c>
      <c r="H59" s="33" t="inlineStr">
        <is>
          <t>Initial</t>
        </is>
      </c>
    </row>
    <row r="60">
      <c r="A60" s="33" t="inlineStr">
        <is>
          <t>2026-05-18</t>
        </is>
      </c>
      <c r="B60" s="33" t="inlineStr">
        <is>
          <t>AVGO</t>
        </is>
      </c>
      <c r="C60" s="33" t="inlineStr">
        <is>
          <t>R2</t>
        </is>
      </c>
      <c r="D60" s="33" t="n">
        <v>4</v>
      </c>
      <c r="E60" s="68" t="inlineStr">
        <is>
          <t>Global business, some China but less export-control sensitivity than pure AI accelerators.</t>
        </is>
      </c>
      <c r="F60" s="68" t="inlineStr">
        <is>
          <t>AVGO 10-K Item 1A</t>
        </is>
      </c>
      <c r="G60" s="33" t="inlineStr">
        <is>
          <t>High</t>
        </is>
      </c>
      <c r="H60" s="33" t="inlineStr">
        <is>
          <t>Initial</t>
        </is>
      </c>
    </row>
    <row r="61">
      <c r="A61" s="33" t="inlineStr">
        <is>
          <t>2026-05-18</t>
        </is>
      </c>
      <c r="B61" s="33" t="inlineStr">
        <is>
          <t>AVGO</t>
        </is>
      </c>
      <c r="C61" s="33" t="inlineStr">
        <is>
          <t>R3</t>
        </is>
      </c>
      <c r="D61" s="33" t="n">
        <v>4</v>
      </c>
      <c r="E61" s="68" t="inlineStr">
        <is>
          <t>VERIFIED 2026-05-18: ND/EBITDA = 1.39x. Net debt $52B but EBITDA $37B + FCF $25.5B/yr deleveraging rapidly. Modest leverage per rubric 4.</t>
        </is>
      </c>
      <c r="F61" s="68" t="inlineStr">
        <is>
          <t>yfinance balance_sheet (2026-05-18)</t>
        </is>
      </c>
      <c r="G61" s="33" t="inlineStr">
        <is>
          <t>High</t>
        </is>
      </c>
      <c r="H61" s="33" t="inlineStr">
        <is>
          <t>Initial</t>
        </is>
      </c>
    </row>
    <row r="62">
      <c r="A62" s="33" t="inlineStr">
        <is>
          <t>2026-05-18</t>
        </is>
      </c>
      <c r="B62" s="33" t="inlineStr">
        <is>
          <t>AVGO</t>
        </is>
      </c>
      <c r="C62" s="33" t="inlineStr">
        <is>
          <t>R4</t>
        </is>
      </c>
      <c r="D62" s="33" t="n">
        <v>4</v>
      </c>
      <c r="E62" s="68" t="inlineStr">
        <is>
          <t>Routine matters; no material enforcement actions disclosed.</t>
        </is>
      </c>
      <c r="F62" s="68" t="inlineStr">
        <is>
          <t>AVGO 10-K Item 3</t>
        </is>
      </c>
      <c r="G62" s="33" t="inlineStr">
        <is>
          <t>High</t>
        </is>
      </c>
      <c r="H62" s="33" t="inlineStr">
        <is>
          <t>Initial</t>
        </is>
      </c>
    </row>
    <row r="63">
      <c r="A63" s="33" t="inlineStr">
        <is>
          <t>2026-05-18</t>
        </is>
      </c>
      <c r="B63" s="33" t="inlineStr">
        <is>
          <t>MRVL</t>
        </is>
      </c>
      <c r="C63" s="33" t="inlineStr">
        <is>
          <t>D1</t>
        </is>
      </c>
      <c r="D63" s="33" t="n">
        <v>5</v>
      </c>
      <c r="E63" s="68" t="inlineStr">
        <is>
          <t>Q1 FY26 AI revenue ~$3.5B annualized (~47%+ of total revenue). AI now 'majority of data center revenue' per Q1 call; trajectory accelerating.</t>
        </is>
      </c>
      <c r="F63" s="68" t="inlineStr">
        <is>
          <t>Marvell Q1 FY26 transcript/press; per-stock/MRVL/context-2026-05-18.md</t>
        </is>
      </c>
      <c r="G63" s="33" t="inlineStr">
        <is>
          <t>High</t>
        </is>
      </c>
      <c r="H63" s="33" t="inlineStr">
        <is>
          <t>Initial</t>
        </is>
      </c>
    </row>
    <row r="64">
      <c r="A64" s="33" t="inlineStr">
        <is>
          <t>2026-05-18</t>
        </is>
      </c>
      <c r="B64" s="33" t="inlineStr">
        <is>
          <t>MRVL</t>
        </is>
      </c>
      <c r="C64" s="33" t="inlineStr">
        <is>
          <t>D2</t>
        </is>
      </c>
      <c r="D64" s="33" t="n">
        <v>4</v>
      </c>
      <c r="E64" s="68" t="inlineStr">
        <is>
          <t>Duopoly with AVGO for high-end hyperscaler custom silicon. Strong position with 3 hyperscaler anchors. Not 5 because AVGO competes.</t>
        </is>
      </c>
      <c r="F64" s="68" t="inlineStr">
        <is>
          <t>Industry coverage Marvell vs Broadcom AI silicon</t>
        </is>
      </c>
      <c r="G64" s="33" t="inlineStr">
        <is>
          <t>High</t>
        </is>
      </c>
      <c r="H64" s="33" t="inlineStr">
        <is>
          <t>Initial</t>
        </is>
      </c>
    </row>
    <row r="65">
      <c r="A65" s="33" t="inlineStr">
        <is>
          <t>2026-05-18</t>
        </is>
      </c>
      <c r="B65" s="33" t="inlineStr">
        <is>
          <t>MRVL</t>
        </is>
      </c>
      <c r="C65" s="33" t="inlineStr">
        <is>
          <t>D3</t>
        </is>
      </c>
      <c r="D65" s="33" t="n">
        <v>4</v>
      </c>
      <c r="E65" s="68" t="inlineStr">
        <is>
          <t>Multi-generation customer integration (Maia 300 + Trainium 4 design partnerships). Optical DSP IP (Inphi) leadership. 3nm + advanced packaging capacity for 2026 secured.</t>
        </is>
      </c>
      <c r="F65" s="68" t="inlineStr">
        <is>
          <t>MRVL Q1 FY26 commentary; industry coverage</t>
        </is>
      </c>
      <c r="G65" s="33" t="inlineStr">
        <is>
          <t>High</t>
        </is>
      </c>
      <c r="H65" s="33" t="inlineStr">
        <is>
          <t>Initial</t>
        </is>
      </c>
    </row>
    <row r="66">
      <c r="A66" s="33" t="inlineStr">
        <is>
          <t>2026-05-18</t>
        </is>
      </c>
      <c r="B66" s="33" t="inlineStr">
        <is>
          <t>MRVL</t>
        </is>
      </c>
      <c r="C66" s="33" t="inlineStr">
        <is>
          <t>D4</t>
        </is>
      </c>
      <c r="D66" s="33" t="n">
        <v>5</v>
      </c>
      <c r="E66" s="68" t="inlineStr">
        <is>
          <t>3nm wafer + advanced packaging capacity secured for 2026 = funded multi-year buildout. Same partner-driven D4=5 logic as NVDA/AMD/AVGO.</t>
        </is>
      </c>
      <c r="F66" s="68" t="inlineStr">
        <is>
          <t>MRVL Q1 FY26 transcript</t>
        </is>
      </c>
      <c r="G66" s="33" t="inlineStr">
        <is>
          <t>High</t>
        </is>
      </c>
      <c r="H66" s="33" t="inlineStr">
        <is>
          <t>Initial</t>
        </is>
      </c>
    </row>
    <row r="67">
      <c r="A67" s="33" t="inlineStr">
        <is>
          <t>2026-05-18</t>
        </is>
      </c>
      <c r="B67" s="33" t="inlineStr">
        <is>
          <t>MRVL</t>
        </is>
      </c>
      <c r="C67" s="33" t="inlineStr">
        <is>
          <t>D5</t>
        </is>
      </c>
      <c r="D67" s="33" t="n">
        <v>5</v>
      </c>
      <c r="E67" s="68" t="inlineStr">
        <is>
          <t>3 hyperscaler anchor customers confirmed: AWS Trainium, Microsoft Maia (primary silicon partner), Meta DPUs. &gt;30% combined.</t>
        </is>
      </c>
      <c r="F67" s="68" t="inlineStr">
        <is>
          <t>MRVL Q1 FY26; industry coverage</t>
        </is>
      </c>
      <c r="G67" s="33" t="inlineStr">
        <is>
          <t>High</t>
        </is>
      </c>
      <c r="H67" s="33" t="inlineStr">
        <is>
          <t>Initial</t>
        </is>
      </c>
    </row>
    <row r="68">
      <c r="A68" s="33" t="inlineStr">
        <is>
          <t>2026-05-18</t>
        </is>
      </c>
      <c r="B68" s="33" t="inlineStr">
        <is>
          <t>MRVL</t>
        </is>
      </c>
      <c r="C68" s="33" t="inlineStr">
        <is>
          <t>M1</t>
        </is>
      </c>
      <c r="D68" s="33" t="n">
        <v>4</v>
      </c>
      <c r="E68" s="68" t="inlineStr">
        <is>
          <t>4 up / 1 down on +1Y revisions; +12.3% FY revision over 90d; +14.2% +1Y. Net positive but lower magnitude than band-5 names.</t>
        </is>
      </c>
      <c r="F68" s="68" t="inlineStr">
        <is>
          <t>yfinance eps_trend (2026-05-18)</t>
        </is>
      </c>
      <c r="G68" s="33" t="inlineStr">
        <is>
          <t>High</t>
        </is>
      </c>
      <c r="H68" s="33" t="inlineStr">
        <is>
          <t>Initial</t>
        </is>
      </c>
    </row>
    <row r="69">
      <c r="A69" s="33" t="inlineStr">
        <is>
          <t>2026-05-18</t>
        </is>
      </c>
      <c r="B69" s="33" t="inlineStr">
        <is>
          <t>MRVL</t>
        </is>
      </c>
      <c r="C69" s="33" t="inlineStr">
        <is>
          <t>M2</t>
        </is>
      </c>
      <c r="D69" s="33" t="n">
        <v>5</v>
      </c>
      <c r="E69" s="68" t="inlineStr">
        <is>
          <t>Outperforming SOXX +73pp over 90d; +34pp over 365d. Strong sector relative.</t>
        </is>
      </c>
      <c r="F69" s="68" t="inlineStr">
        <is>
          <t>yfinance prices MRVL vs SOXX (2026-05-18)</t>
        </is>
      </c>
      <c r="G69" s="33" t="inlineStr">
        <is>
          <t>High</t>
        </is>
      </c>
      <c r="H69" s="33" t="inlineStr">
        <is>
          <t>Initial</t>
        </is>
      </c>
    </row>
    <row r="70">
      <c r="A70" s="33" t="inlineStr">
        <is>
          <t>2026-05-18</t>
        </is>
      </c>
      <c r="B70" s="33" t="inlineStr">
        <is>
          <t>MRVL</t>
        </is>
      </c>
      <c r="C70" s="33" t="inlineStr">
        <is>
          <t>M3</t>
        </is>
      </c>
      <c r="D70" s="33" t="n">
        <v>5</v>
      </c>
      <c r="E70" s="68" t="inlineStr">
        <is>
          <t>RARE multi-insider open-market buy signal: Koopmans, Bharathi, Meintjes all bought 2025-09-25 at $78 (total ~$1.06M). Coordinated multi-insider buy = highest rubric M3 signal. Validated: stock now $167.</t>
        </is>
      </c>
      <c r="F70" s="68" t="inlineStr">
        <is>
          <t>scripts/parse_form4.py MRVL (2026-05-18)</t>
        </is>
      </c>
      <c r="G70" s="33" t="inlineStr">
        <is>
          <t>High</t>
        </is>
      </c>
      <c r="H70" s="33" t="inlineStr">
        <is>
          <t>Initial</t>
        </is>
      </c>
    </row>
    <row r="71">
      <c r="A71" s="33" t="inlineStr">
        <is>
          <t>2026-05-18</t>
        </is>
      </c>
      <c r="B71" s="33" t="inlineStr">
        <is>
          <t>MRVL</t>
        </is>
      </c>
      <c r="C71" s="33" t="inlineStr">
        <is>
          <t>R1</t>
        </is>
      </c>
      <c r="D71" s="33" t="n">
        <v>3</v>
      </c>
      <c r="E71" s="68" t="inlineStr">
        <is>
          <t>Top customer (AWS likely) ~25-30% of revenue. Concentrated.</t>
        </is>
      </c>
      <c r="F71" s="68" t="inlineStr">
        <is>
          <t>MRVL 10-K customer disclosures</t>
        </is>
      </c>
      <c r="G71" s="33" t="inlineStr">
        <is>
          <t>High</t>
        </is>
      </c>
      <c r="H71" s="33" t="inlineStr">
        <is>
          <t>Initial</t>
        </is>
      </c>
    </row>
    <row r="72">
      <c r="A72" s="33" t="inlineStr">
        <is>
          <t>2026-05-18</t>
        </is>
      </c>
      <c r="B72" s="33" t="inlineStr">
        <is>
          <t>MRVL</t>
        </is>
      </c>
      <c r="C72" s="33" t="inlineStr">
        <is>
          <t>R2</t>
        </is>
      </c>
      <c r="D72" s="33" t="n">
        <v>4</v>
      </c>
      <c r="E72" s="68" t="inlineStr">
        <is>
          <t>Global, some China revenue. Not heavily export-control exposed.</t>
        </is>
      </c>
      <c r="F72" s="68" t="inlineStr">
        <is>
          <t>MRVL 10-K</t>
        </is>
      </c>
      <c r="G72" s="33" t="inlineStr">
        <is>
          <t>High</t>
        </is>
      </c>
      <c r="H72" s="33" t="inlineStr">
        <is>
          <t>Initial</t>
        </is>
      </c>
    </row>
    <row r="73">
      <c r="A73" s="33" t="inlineStr">
        <is>
          <t>2026-05-18</t>
        </is>
      </c>
      <c r="B73" s="33" t="inlineStr">
        <is>
          <t>MRVL</t>
        </is>
      </c>
      <c r="C73" s="33" t="inlineStr">
        <is>
          <t>R3</t>
        </is>
      </c>
      <c r="D73" s="33" t="n">
        <v>4</v>
      </c>
      <c r="E73" s="68" t="inlineStr">
        <is>
          <t>Strong cash position. Modest leverage. FCF generative.</t>
        </is>
      </c>
      <c r="F73" s="68" t="inlineStr">
        <is>
          <t>yfinance balance_sheet (2026-05-18)</t>
        </is>
      </c>
      <c r="G73" s="33" t="inlineStr">
        <is>
          <t>High</t>
        </is>
      </c>
      <c r="H73" s="33" t="inlineStr">
        <is>
          <t>Initial</t>
        </is>
      </c>
    </row>
    <row r="74">
      <c r="A74" s="33" t="inlineStr">
        <is>
          <t>2026-05-18</t>
        </is>
      </c>
      <c r="B74" s="33" t="inlineStr">
        <is>
          <t>MRVL</t>
        </is>
      </c>
      <c r="C74" s="33" t="inlineStr">
        <is>
          <t>R4</t>
        </is>
      </c>
      <c r="D74" s="33" t="n">
        <v>4</v>
      </c>
      <c r="E74" s="68" t="inlineStr">
        <is>
          <t>Routine.</t>
        </is>
      </c>
      <c r="F74" s="68" t="inlineStr">
        <is>
          <t>MRVL 10-K Item 3</t>
        </is>
      </c>
      <c r="G74" s="33" t="inlineStr">
        <is>
          <t>High</t>
        </is>
      </c>
      <c r="H74" s="33" t="inlineStr">
        <is>
          <t>Initial</t>
        </is>
      </c>
    </row>
    <row r="75">
      <c r="A75" s="33" t="inlineStr">
        <is>
          <t>2026-05-18</t>
        </is>
      </c>
      <c r="B75" s="33" t="inlineStr">
        <is>
          <t>ALAB</t>
        </is>
      </c>
      <c r="C75" s="33" t="inlineStr">
        <is>
          <t>D1</t>
        </is>
      </c>
      <c r="D75" s="33" t="n">
        <v>5</v>
      </c>
      <c r="E75" s="68" t="inlineStr">
        <is>
          <t>Essentially 100% AI/data center revenue (retimers + Scorpio AI fabric + Aries PCIe Gen 6). +93% Q1 YoY growth structural to AI cluster buildout.</t>
        </is>
      </c>
      <c r="F75" s="68" t="inlineStr">
        <is>
          <t>ALAB Q1 2026 transcript; per-stock/ALAB/context-2026-05-18.md</t>
        </is>
      </c>
      <c r="G75" s="33" t="inlineStr">
        <is>
          <t>High</t>
        </is>
      </c>
      <c r="H75" s="33" t="inlineStr">
        <is>
          <t>Initial</t>
        </is>
      </c>
    </row>
    <row r="76">
      <c r="A76" s="33" t="inlineStr">
        <is>
          <t>2026-05-18</t>
        </is>
      </c>
      <c r="B76" s="33" t="inlineStr">
        <is>
          <t>ALAB</t>
        </is>
      </c>
      <c r="C76" s="33" t="inlineStr">
        <is>
          <t>D2</t>
        </is>
      </c>
      <c r="D76" s="33" t="n">
        <v>5</v>
      </c>
      <c r="E76" s="68" t="inlineStr">
        <is>
          <t>Revised up from 3. Scorpio AI fabric switches becoming largest product by year-end; PCIe Gen 6 leadership; scale-up + scale-out adoption across AI cluster platforms = de-facto standard outside NVLink ecosystem.</t>
        </is>
      </c>
      <c r="F76" s="68" t="inlineStr">
        <is>
          <t>ALAB Q1 2026 + Futurum coverage; context briefing</t>
        </is>
      </c>
      <c r="G76" s="33" t="inlineStr">
        <is>
          <t>High</t>
        </is>
      </c>
      <c r="H76" s="33" t="inlineStr">
        <is>
          <t>Initial</t>
        </is>
      </c>
    </row>
    <row r="77">
      <c r="A77" s="33" t="inlineStr">
        <is>
          <t>2026-05-18</t>
        </is>
      </c>
      <c r="B77" s="33" t="inlineStr">
        <is>
          <t>ALAB</t>
        </is>
      </c>
      <c r="C77" s="33" t="inlineStr">
        <is>
          <t>D3</t>
        </is>
      </c>
      <c r="D77" s="33" t="n">
        <v>4</v>
      </c>
      <c r="E77" s="68" t="inlineStr">
        <is>
          <t>Revised up from 3. Hardware-accelerated Hypercast + in-network compute engines = unique IP (2x boost on collective operations). Customer integration in scale-up platforms building moat.</t>
        </is>
      </c>
      <c r="F77" s="68" t="inlineStr">
        <is>
          <t>ALAB Q1 2026 product disclosures; context briefing</t>
        </is>
      </c>
      <c r="G77" s="33" t="inlineStr">
        <is>
          <t>High</t>
        </is>
      </c>
      <c r="H77" s="33" t="inlineStr">
        <is>
          <t>Initial</t>
        </is>
      </c>
    </row>
    <row r="78">
      <c r="A78" s="33" t="inlineStr">
        <is>
          <t>2026-05-18</t>
        </is>
      </c>
      <c r="B78" s="33" t="inlineStr">
        <is>
          <t>ALAB</t>
        </is>
      </c>
      <c r="C78" s="33" t="inlineStr">
        <is>
          <t>D4</t>
        </is>
      </c>
      <c r="D78" s="33" t="n">
        <v>5</v>
      </c>
      <c r="E78" s="68" t="inlineStr">
        <is>
          <t>93% YoY revenue growth + Scorpio volume ramp + Q2 guide accelerating. Funded multi-year deployment via hyperscaler commitments.</t>
        </is>
      </c>
      <c r="F78" s="68" t="inlineStr">
        <is>
          <t>ALAB Q1 2026 guidance</t>
        </is>
      </c>
      <c r="G78" s="33" t="inlineStr">
        <is>
          <t>High</t>
        </is>
      </c>
      <c r="H78" s="33" t="inlineStr">
        <is>
          <t>Initial</t>
        </is>
      </c>
    </row>
    <row r="79">
      <c r="A79" s="33" t="inlineStr">
        <is>
          <t>2026-05-18</t>
        </is>
      </c>
      <c r="B79" s="33" t="inlineStr">
        <is>
          <t>ALAB</t>
        </is>
      </c>
      <c r="C79" s="33" t="inlineStr">
        <is>
          <t>D5</t>
        </is>
      </c>
      <c r="D79" s="33" t="n">
        <v>5</v>
      </c>
      <c r="E79" s="68" t="inlineStr">
        <is>
          <t>Universal AI cluster adoption across hyperscalers; standard interconnect for AI servers beyond NVDA ecosystem.</t>
        </is>
      </c>
      <c r="F79" s="68" t="inlineStr">
        <is>
          <t>ALAB Q1 2026 commentary</t>
        </is>
      </c>
      <c r="G79" s="33" t="inlineStr">
        <is>
          <t>High</t>
        </is>
      </c>
      <c r="H79" s="33" t="inlineStr">
        <is>
          <t>Initial</t>
        </is>
      </c>
    </row>
    <row r="80">
      <c r="A80" s="33" t="inlineStr">
        <is>
          <t>2026-05-18</t>
        </is>
      </c>
      <c r="B80" s="33" t="inlineStr">
        <is>
          <t>ALAB</t>
        </is>
      </c>
      <c r="C80" s="33" t="inlineStr">
        <is>
          <t>M1</t>
        </is>
      </c>
      <c r="D80" s="33" t="n">
        <v>5</v>
      </c>
      <c r="E80" s="68" t="inlineStr">
        <is>
          <t>20 up / 0 down 30d on +1Y; FY revision +26.2%; +1Y +28.4%. Textbook beat-and-raise.</t>
        </is>
      </c>
      <c r="F80" s="68" t="inlineStr">
        <is>
          <t>yfinance eps_trend (2026-05-18)</t>
        </is>
      </c>
      <c r="G80" s="33" t="inlineStr">
        <is>
          <t>High</t>
        </is>
      </c>
      <c r="H80" s="33" t="inlineStr">
        <is>
          <t>Initial</t>
        </is>
      </c>
    </row>
    <row r="81">
      <c r="A81" s="33" t="inlineStr">
        <is>
          <t>2026-05-18</t>
        </is>
      </c>
      <c r="B81" s="33" t="inlineStr">
        <is>
          <t>ALAB</t>
        </is>
      </c>
      <c r="C81" s="33" t="inlineStr">
        <is>
          <t>M2</t>
        </is>
      </c>
      <c r="D81" s="33" t="n">
        <v>3</v>
      </c>
      <c r="E81" s="68" t="inlineStr">
        <is>
          <t>Mixed: +34pp over 90d, -25pp over 180d, +3pp over 365d. In-line with sector overall.</t>
        </is>
      </c>
      <c r="F81" s="68" t="inlineStr">
        <is>
          <t>yfinance prices ALAB vs SOXX (2026-05-18)</t>
        </is>
      </c>
      <c r="G81" s="33" t="inlineStr">
        <is>
          <t>High</t>
        </is>
      </c>
      <c r="H81" s="33" t="inlineStr">
        <is>
          <t>Initial</t>
        </is>
      </c>
    </row>
    <row r="82">
      <c r="A82" s="33" t="inlineStr">
        <is>
          <t>2026-05-18</t>
        </is>
      </c>
      <c r="B82" s="33" t="inlineStr">
        <is>
          <t>ALAB</t>
        </is>
      </c>
      <c r="C82" s="33" t="inlineStr">
        <is>
          <t>M3</t>
        </is>
      </c>
      <c r="D82" s="33" t="n">
        <v>2</v>
      </c>
      <c r="E82" s="68" t="inlineStr">
        <is>
          <t>0 open-market buys despite -14.9% drawdown from 52w high. 61 discretionary sells + 289 10b5-1. Absence-of-buying-during-drawdown tiebreaker applies = 2.</t>
        </is>
      </c>
      <c r="F82" s="68" t="inlineStr">
        <is>
          <t>scripts/parse_form4.py ALAB (2026-05-18)</t>
        </is>
      </c>
      <c r="G82" s="33" t="inlineStr">
        <is>
          <t>High</t>
        </is>
      </c>
      <c r="H82" s="33" t="inlineStr">
        <is>
          <t>Initial</t>
        </is>
      </c>
    </row>
    <row r="83">
      <c r="A83" s="33" t="inlineStr">
        <is>
          <t>2026-05-18</t>
        </is>
      </c>
      <c r="B83" s="33" t="inlineStr">
        <is>
          <t>ALAB</t>
        </is>
      </c>
      <c r="C83" s="33" t="inlineStr">
        <is>
          <t>R1</t>
        </is>
      </c>
      <c r="D83" s="33" t="n">
        <v>2</v>
      </c>
      <c r="E83" s="68" t="inlineStr">
        <is>
          <t>Top hyperscaler customers combined &gt;40% of revenue. Heavy concentration.</t>
        </is>
      </c>
      <c r="F83" s="68" t="inlineStr">
        <is>
          <t>ALAB 10-K customer disclosures</t>
        </is>
      </c>
      <c r="G83" s="33" t="inlineStr">
        <is>
          <t>High</t>
        </is>
      </c>
      <c r="H83" s="33" t="inlineStr">
        <is>
          <t>Initial</t>
        </is>
      </c>
    </row>
    <row r="84">
      <c r="A84" s="33" t="inlineStr">
        <is>
          <t>2026-05-18</t>
        </is>
      </c>
      <c r="B84" s="33" t="inlineStr">
        <is>
          <t>ALAB</t>
        </is>
      </c>
      <c r="C84" s="33" t="inlineStr">
        <is>
          <t>R2</t>
        </is>
      </c>
      <c r="D84" s="33" t="n">
        <v>5</v>
      </c>
      <c r="E84" s="68" t="inlineStr">
        <is>
          <t>Mostly US, some Taiwan. No export controls, no problematic exposure.</t>
        </is>
      </c>
      <c r="F84" s="68" t="inlineStr">
        <is>
          <t>ALAB 10-K</t>
        </is>
      </c>
      <c r="G84" s="33" t="inlineStr">
        <is>
          <t>High</t>
        </is>
      </c>
      <c r="H84" s="33" t="inlineStr">
        <is>
          <t>Initial</t>
        </is>
      </c>
    </row>
    <row r="85">
      <c r="A85" s="33" t="inlineStr">
        <is>
          <t>2026-05-18</t>
        </is>
      </c>
      <c r="B85" s="33" t="inlineStr">
        <is>
          <t>ALAB</t>
        </is>
      </c>
      <c r="C85" s="33" t="inlineStr">
        <is>
          <t>R3</t>
        </is>
      </c>
      <c r="D85" s="33" t="n">
        <v>5</v>
      </c>
      <c r="E85" s="68" t="inlineStr">
        <is>
          <t>Cash-rich post-IPO. Net cash position.</t>
        </is>
      </c>
      <c r="F85" s="68" t="inlineStr">
        <is>
          <t>yfinance balance_sheet</t>
        </is>
      </c>
      <c r="G85" s="33" t="inlineStr">
        <is>
          <t>High</t>
        </is>
      </c>
      <c r="H85" s="33" t="inlineStr">
        <is>
          <t>Initial</t>
        </is>
      </c>
    </row>
    <row r="86">
      <c r="A86" s="33" t="inlineStr">
        <is>
          <t>2026-05-18</t>
        </is>
      </c>
      <c r="B86" s="33" t="inlineStr">
        <is>
          <t>ALAB</t>
        </is>
      </c>
      <c r="C86" s="33" t="inlineStr">
        <is>
          <t>R4</t>
        </is>
      </c>
      <c r="D86" s="33" t="n">
        <v>4</v>
      </c>
      <c r="E86" s="68" t="inlineStr">
        <is>
          <t>Routine.</t>
        </is>
      </c>
      <c r="F86" s="68" t="inlineStr">
        <is>
          <t>ALAB 10-K Item 3</t>
        </is>
      </c>
      <c r="G86" s="33" t="inlineStr">
        <is>
          <t>High</t>
        </is>
      </c>
      <c r="H86" s="33" t="inlineStr">
        <is>
          <t>Initial</t>
        </is>
      </c>
    </row>
    <row r="87">
      <c r="A87" s="33" t="inlineStr">
        <is>
          <t>2026-05-18</t>
        </is>
      </c>
      <c r="B87" s="33" t="inlineStr">
        <is>
          <t>SNDK</t>
        </is>
      </c>
      <c r="C87" s="33" t="inlineStr">
        <is>
          <t>D1</t>
        </is>
      </c>
      <c r="D87" s="33" t="n">
        <v>4</v>
      </c>
      <c r="E87" s="68" t="inlineStr">
        <is>
          <t>Revised from 2 → 3 (Aschenbrenner thesis) → 4 (fresh research). Data center revenue +26% sequentially, AI explicitly called out as majority growth driver. ESSD demand outpaces supply 2026+.</t>
        </is>
      </c>
      <c r="F87" s="68" t="inlineStr">
        <is>
          <t>SNDK Q1 FY26 transcript; per-stock/SNDK/context-2026-05-18.md</t>
        </is>
      </c>
      <c r="G87" s="33" t="inlineStr">
        <is>
          <t>High</t>
        </is>
      </c>
      <c r="H87" s="33" t="inlineStr">
        <is>
          <t>Initial</t>
        </is>
      </c>
    </row>
    <row r="88">
      <c r="A88" s="33" t="inlineStr">
        <is>
          <t>2026-05-18</t>
        </is>
      </c>
      <c r="B88" s="33" t="inlineStr">
        <is>
          <t>SNDK</t>
        </is>
      </c>
      <c r="C88" s="33" t="inlineStr">
        <is>
          <t>D2</t>
        </is>
      </c>
      <c r="D88" s="33" t="n">
        <v>4</v>
      </c>
      <c r="E88" s="68" t="inlineStr">
        <is>
          <t>Revised from 2 → 3 → 4. NAND consolidated to 5 players, supply-demand structurally tight, ESSD contract prices +33-38% Q/Q. Pricing power evident. HBF qualification with hyperscalers gives next-gen position.</t>
        </is>
      </c>
      <c r="F88" s="68" t="inlineStr">
        <is>
          <t>SNDK Q1 FY26 + analyst coverage; context briefing</t>
        </is>
      </c>
      <c r="G88" s="33" t="inlineStr">
        <is>
          <t>High</t>
        </is>
      </c>
      <c r="H88" s="33" t="inlineStr">
        <is>
          <t>Initial</t>
        </is>
      </c>
    </row>
    <row r="89">
      <c r="A89" s="33" t="inlineStr">
        <is>
          <t>2026-05-18</t>
        </is>
      </c>
      <c r="B89" s="33" t="inlineStr">
        <is>
          <t>SNDK</t>
        </is>
      </c>
      <c r="C89" s="33" t="inlineStr">
        <is>
          <t>D3</t>
        </is>
      </c>
      <c r="D89" s="33" t="n">
        <v>3</v>
      </c>
      <c r="E89" s="68" t="inlineStr">
        <is>
          <t>BiCS 8 density advantage + HBF qualification = differentiation. NAND tech itself remains commoditizable; SNDK doesn't have CUDA-class moat. Mid-tier rubric.</t>
        </is>
      </c>
      <c r="F89" s="68" t="inlineStr">
        <is>
          <t>SNDK Q1 FY26 product disclosures</t>
        </is>
      </c>
      <c r="G89" s="33" t="inlineStr">
        <is>
          <t>High</t>
        </is>
      </c>
      <c r="H89" s="33" t="inlineStr">
        <is>
          <t>Initial</t>
        </is>
      </c>
    </row>
    <row r="90">
      <c r="A90" s="33" t="inlineStr">
        <is>
          <t>2026-05-18</t>
        </is>
      </c>
      <c r="B90" s="33" t="inlineStr">
        <is>
          <t>SNDK</t>
        </is>
      </c>
      <c r="C90" s="33" t="inlineStr">
        <is>
          <t>D4</t>
        </is>
      </c>
      <c r="D90" s="33" t="n">
        <v>4</v>
      </c>
      <c r="E90" s="68" t="inlineStr">
        <is>
          <t>Aggressive BiCS 8 transition (15% Q1 → majority by end FY26) via Kioxia JV. Multi-year customer volume commitments.</t>
        </is>
      </c>
      <c r="F90" s="68" t="inlineStr">
        <is>
          <t>SNDK Q1 FY26 capex commentary</t>
        </is>
      </c>
      <c r="G90" s="33" t="inlineStr">
        <is>
          <t>High</t>
        </is>
      </c>
      <c r="H90" s="33" t="inlineStr">
        <is>
          <t>Initial</t>
        </is>
      </c>
    </row>
    <row r="91">
      <c r="A91" s="33" t="inlineStr">
        <is>
          <t>2026-05-18</t>
        </is>
      </c>
      <c r="B91" s="33" t="inlineStr">
        <is>
          <t>SNDK</t>
        </is>
      </c>
      <c r="C91" s="33" t="inlineStr">
        <is>
          <t>D5</t>
        </is>
      </c>
      <c r="D91" s="33" t="n">
        <v>4</v>
      </c>
      <c r="E91" s="68" t="inlineStr">
        <is>
          <t>Revised from 3 → 4 with fresh research: HBF qualification with multiple hyperscalers + data center growth led by hyperscaler demand + multi-year customer commitments.</t>
        </is>
      </c>
      <c r="F91" s="68" t="inlineStr">
        <is>
          <t>SNDK Q1 FY26 customer commentary; context briefing</t>
        </is>
      </c>
      <c r="G91" s="33" t="inlineStr">
        <is>
          <t>High</t>
        </is>
      </c>
      <c r="H91" s="33" t="inlineStr">
        <is>
          <t>Initial</t>
        </is>
      </c>
    </row>
    <row r="92">
      <c r="A92" s="33" t="inlineStr">
        <is>
          <t>2026-05-18</t>
        </is>
      </c>
      <c r="B92" s="33" t="inlineStr">
        <is>
          <t>SNDK</t>
        </is>
      </c>
      <c r="C92" s="33" t="inlineStr">
        <is>
          <t>M1</t>
        </is>
      </c>
      <c r="D92" s="33" t="n">
        <v>5</v>
      </c>
      <c r="E92" s="68" t="inlineStr">
        <is>
          <t>16 up / 0 down 30d on +1Y. FY revision +64.8%, +1Y +123.6%. Massive upward revisions.</t>
        </is>
      </c>
      <c r="F92" s="68" t="inlineStr">
        <is>
          <t>yfinance eps_trend (2026-05-18)</t>
        </is>
      </c>
      <c r="G92" s="33" t="inlineStr">
        <is>
          <t>High</t>
        </is>
      </c>
      <c r="H92" s="33" t="inlineStr">
        <is>
          <t>Initial</t>
        </is>
      </c>
    </row>
    <row r="93">
      <c r="A93" s="33" t="inlineStr">
        <is>
          <t>2026-05-18</t>
        </is>
      </c>
      <c r="B93" s="33" t="inlineStr">
        <is>
          <t>SNDK</t>
        </is>
      </c>
      <c r="C93" s="33" t="inlineStr">
        <is>
          <t>M2</t>
        </is>
      </c>
      <c r="D93" s="33" t="n">
        <v>5</v>
      </c>
      <c r="E93" s="68" t="inlineStr">
        <is>
          <t>Per-spin distortion makes long-window comparisons artifacts. 30d (+24pp) and 90d (+80pp) cleanly in band 5.</t>
        </is>
      </c>
      <c r="F93" s="68" t="inlineStr">
        <is>
          <t>yfinance prices SNDK vs SOXX (2026-05-18); pre-spin data caveat</t>
        </is>
      </c>
      <c r="G93" s="33" t="inlineStr">
        <is>
          <t>High</t>
        </is>
      </c>
      <c r="H93" s="33" t="inlineStr">
        <is>
          <t>Initial</t>
        </is>
      </c>
    </row>
    <row r="94">
      <c r="A94" s="33" t="inlineStr">
        <is>
          <t>2026-05-18</t>
        </is>
      </c>
      <c r="B94" s="33" t="inlineStr">
        <is>
          <t>SNDK</t>
        </is>
      </c>
      <c r="C94" s="33" t="inlineStr">
        <is>
          <t>M3</t>
        </is>
      </c>
      <c r="D94" s="33" t="n">
        <v>3</v>
      </c>
      <c r="E94" s="68" t="inlineStr">
        <is>
          <t>Very low insider activity overall: 4 discretionary sells, 0 10b5-1 plans, 0 buys. Stock at -16.9% drawdown but only 4 sell transactions total = not material selling. Default 3.</t>
        </is>
      </c>
      <c r="F94" s="68" t="inlineStr">
        <is>
          <t>scripts/parse_form4.py SNDK (2026-05-18)</t>
        </is>
      </c>
      <c r="G94" s="33" t="inlineStr">
        <is>
          <t>High</t>
        </is>
      </c>
      <c r="H94" s="33" t="inlineStr">
        <is>
          <t>Initial</t>
        </is>
      </c>
    </row>
    <row r="95">
      <c r="A95" s="33" t="inlineStr">
        <is>
          <t>2026-05-18</t>
        </is>
      </c>
      <c r="B95" s="33" t="inlineStr">
        <is>
          <t>SNDK</t>
        </is>
      </c>
      <c r="C95" s="33" t="inlineStr">
        <is>
          <t>R1</t>
        </is>
      </c>
      <c r="D95" s="33" t="n">
        <v>4</v>
      </c>
      <c r="E95" s="68" t="inlineStr">
        <is>
          <t>Diversified across enterprise + consumer + cloud.</t>
        </is>
      </c>
      <c r="F95" s="68" t="inlineStr">
        <is>
          <t>SNDK 10-K customer mix</t>
        </is>
      </c>
      <c r="G95" s="33" t="inlineStr">
        <is>
          <t>High</t>
        </is>
      </c>
      <c r="H95" s="33" t="inlineStr">
        <is>
          <t>Initial</t>
        </is>
      </c>
    </row>
    <row r="96">
      <c r="A96" s="33" t="inlineStr">
        <is>
          <t>2026-05-18</t>
        </is>
      </c>
      <c r="B96" s="33" t="inlineStr">
        <is>
          <t>SNDK</t>
        </is>
      </c>
      <c r="C96" s="33" t="inlineStr">
        <is>
          <t>R2</t>
        </is>
      </c>
      <c r="D96" s="33" t="n">
        <v>4</v>
      </c>
      <c r="E96" s="68" t="inlineStr">
        <is>
          <t>Manufacturing via Kioxia JV (Japan); global sales. Moderate.</t>
        </is>
      </c>
      <c r="F96" s="68" t="inlineStr">
        <is>
          <t>SNDK 10-K Item 1</t>
        </is>
      </c>
      <c r="G96" s="33" t="inlineStr">
        <is>
          <t>High</t>
        </is>
      </c>
      <c r="H96" s="33" t="inlineStr">
        <is>
          <t>Initial</t>
        </is>
      </c>
    </row>
    <row r="97">
      <c r="A97" s="33" t="inlineStr">
        <is>
          <t>2026-05-18</t>
        </is>
      </c>
      <c r="B97" s="33" t="inlineStr">
        <is>
          <t>SNDK</t>
        </is>
      </c>
      <c r="C97" s="33" t="inlineStr">
        <is>
          <t>R3</t>
        </is>
      </c>
      <c r="D97" s="33" t="n">
        <v>5</v>
      </c>
      <c r="E97" s="68" t="inlineStr">
        <is>
          <t>VERIFIED 2026-05-18: NET CASH position. Total debt $0.21B, cash $3.74B → -$3.5B net debt. ND/EBITDA -0.63x. Current ratio 4.78. Spinoff left WDC with historical debt.</t>
        </is>
      </c>
      <c r="F97" s="68" t="inlineStr">
        <is>
          <t>yfinance balance_sheet (2026-05-18)</t>
        </is>
      </c>
      <c r="G97" s="33" t="inlineStr">
        <is>
          <t>High</t>
        </is>
      </c>
      <c r="H97" s="33" t="inlineStr">
        <is>
          <t>Initial</t>
        </is>
      </c>
    </row>
    <row r="98">
      <c r="A98" s="33" t="inlineStr">
        <is>
          <t>2026-05-18</t>
        </is>
      </c>
      <c r="B98" s="33" t="inlineStr">
        <is>
          <t>SNDK</t>
        </is>
      </c>
      <c r="C98" s="33" t="inlineStr">
        <is>
          <t>R4</t>
        </is>
      </c>
      <c r="D98" s="33" t="n">
        <v>4</v>
      </c>
      <c r="E98" s="68" t="inlineStr">
        <is>
          <t>Routine.</t>
        </is>
      </c>
      <c r="F98" s="68" t="inlineStr">
        <is>
          <t>SNDK 10-K Item 3</t>
        </is>
      </c>
      <c r="G98" s="33" t="inlineStr">
        <is>
          <t>High</t>
        </is>
      </c>
      <c r="H98" s="33" t="inlineStr">
        <is>
          <t>Initial</t>
        </is>
      </c>
    </row>
    <row r="99">
      <c r="A99" s="33" t="inlineStr">
        <is>
          <t>2026-05-18</t>
        </is>
      </c>
      <c r="B99" s="33" t="inlineStr">
        <is>
          <t>COHR</t>
        </is>
      </c>
      <c r="C99" s="33" t="inlineStr">
        <is>
          <t>D1</t>
        </is>
      </c>
      <c r="D99" s="33" t="n">
        <v>4</v>
      </c>
      <c r="E99" s="68" t="inlineStr">
        <is>
          <t>Datacom+Comms +26% YoY, AI demand sustained per Q1 FY26 record bookings &gt;1yr out. ~30-40% AI-tied.</t>
        </is>
      </c>
      <c r="F99" s="68" t="inlineStr">
        <is>
          <t>Coherent Q1 FY26 8-K + Futurum/Investing coverage (2026-05-18)</t>
        </is>
      </c>
      <c r="G99" s="33" t="inlineStr">
        <is>
          <t>High</t>
        </is>
      </c>
      <c r="H99" s="33" t="inlineStr">
        <is>
          <t>Initial</t>
        </is>
      </c>
    </row>
    <row r="100">
      <c r="A100" s="33" t="inlineStr">
        <is>
          <t>2026-05-18</t>
        </is>
      </c>
      <c r="B100" s="33" t="inlineStr">
        <is>
          <t>COHR</t>
        </is>
      </c>
      <c r="C100" s="33" t="inlineStr">
        <is>
          <t>D2</t>
        </is>
      </c>
      <c r="D100" s="33" t="n">
        <v>4</v>
      </c>
      <c r="E100" s="68" t="inlineStr">
        <is>
          <t>Optical components leadership, 6-inch InP capacity expansion, 1.6T silicon photonics + EML ramping.</t>
        </is>
      </c>
      <c r="F100" s="68" t="inlineStr">
        <is>
          <t>Coherent Q1 FY26 8-K + Futurum/Investing coverage (2026-05-18)</t>
        </is>
      </c>
      <c r="G100" s="33" t="inlineStr">
        <is>
          <t>High</t>
        </is>
      </c>
      <c r="H100" s="33" t="inlineStr">
        <is>
          <t>Initial</t>
        </is>
      </c>
    </row>
    <row r="101">
      <c r="A101" s="33" t="inlineStr">
        <is>
          <t>2026-05-18</t>
        </is>
      </c>
      <c r="B101" s="33" t="inlineStr">
        <is>
          <t>COHR</t>
        </is>
      </c>
      <c r="C101" s="33" t="inlineStr">
        <is>
          <t>D3</t>
        </is>
      </c>
      <c r="D101" s="33" t="n">
        <v>4</v>
      </c>
      <c r="E101" s="68" t="inlineStr">
        <is>
          <t>II-VI+Coherent merger gives IP + scale lead in optical components; sticky customer integration.</t>
        </is>
      </c>
      <c r="F101" s="68" t="inlineStr">
        <is>
          <t>Coherent Q1 FY26 8-K + Futurum/Investing coverage (2026-05-18)</t>
        </is>
      </c>
      <c r="G101" s="33" t="inlineStr">
        <is>
          <t>High</t>
        </is>
      </c>
      <c r="H101" s="33" t="inlineStr">
        <is>
          <t>Initial</t>
        </is>
      </c>
    </row>
    <row r="102">
      <c r="A102" s="33" t="inlineStr">
        <is>
          <t>2026-05-18</t>
        </is>
      </c>
      <c r="B102" s="33" t="inlineStr">
        <is>
          <t>COHR</t>
        </is>
      </c>
      <c r="C102" s="33" t="inlineStr">
        <is>
          <t>D4</t>
        </is>
      </c>
      <c r="D102" s="33" t="n">
        <v>5</v>
      </c>
      <c r="E102" s="68" t="inlineStr">
        <is>
          <t>World's first 6-inch indium phosphide line + 1.6T capacity ramping with multi-year orders backing.</t>
        </is>
      </c>
      <c r="F102" s="68" t="inlineStr">
        <is>
          <t>Coherent Q1 FY26 8-K + Futurum/Investing coverage (2026-05-18)</t>
        </is>
      </c>
      <c r="G102" s="33" t="inlineStr">
        <is>
          <t>High</t>
        </is>
      </c>
      <c r="H102" s="33" t="inlineStr">
        <is>
          <t>Initial</t>
        </is>
      </c>
    </row>
    <row r="103">
      <c r="A103" s="33" t="inlineStr">
        <is>
          <t>2026-05-18</t>
        </is>
      </c>
      <c r="B103" s="33" t="inlineStr">
        <is>
          <t>COHR</t>
        </is>
      </c>
      <c r="C103" s="33" t="inlineStr">
        <is>
          <t>D5</t>
        </is>
      </c>
      <c r="D103" s="33" t="n">
        <v>4</v>
      </c>
      <c r="E103" s="68" t="inlineStr">
        <is>
          <t>Hyperscaler datacom customers; record bookings indicate AI infrastructure anchor relationships.</t>
        </is>
      </c>
      <c r="F103" s="68" t="inlineStr">
        <is>
          <t>Coherent Q1 FY26 8-K + Futurum/Investing coverage (2026-05-18)</t>
        </is>
      </c>
      <c r="G103" s="33" t="inlineStr">
        <is>
          <t>High</t>
        </is>
      </c>
      <c r="H103" s="33" t="inlineStr">
        <is>
          <t>Initial</t>
        </is>
      </c>
    </row>
    <row r="104">
      <c r="A104" s="33" t="inlineStr">
        <is>
          <t>2026-05-18</t>
        </is>
      </c>
      <c r="B104" s="33" t="inlineStr">
        <is>
          <t>COHR</t>
        </is>
      </c>
      <c r="C104" s="33" t="inlineStr">
        <is>
          <t>M1</t>
        </is>
      </c>
      <c r="D104" s="33" t="n">
        <v>4</v>
      </c>
      <c r="E104" s="68" t="inlineStr">
        <is>
          <t>11 up / 1 down on +1Y EPS revisions (30d); FY revision +1.5% — net positive but modest magnitude.</t>
        </is>
      </c>
      <c r="F104" s="68" t="inlineStr">
        <is>
          <t>Coherent Q1 FY26 8-K + Futurum/Investing coverage (2026-05-18)</t>
        </is>
      </c>
      <c r="G104" s="33" t="inlineStr">
        <is>
          <t>High</t>
        </is>
      </c>
      <c r="H104" s="33" t="inlineStr">
        <is>
          <t>Initial</t>
        </is>
      </c>
    </row>
    <row r="105">
      <c r="A105" s="33" t="inlineStr">
        <is>
          <t>2026-05-18</t>
        </is>
      </c>
      <c r="B105" s="33" t="inlineStr">
        <is>
          <t>COHR</t>
        </is>
      </c>
      <c r="C105" s="33" t="inlineStr">
        <is>
          <t>M2</t>
        </is>
      </c>
      <c r="D105" s="33" t="n">
        <v>5</v>
      </c>
      <c r="E105" s="68" t="inlineStr">
        <is>
          <t>+75pp vs SOXX over 180d, +217pp over 365d. Strongly leading semis benchmark.</t>
        </is>
      </c>
      <c r="F105" s="68" t="inlineStr">
        <is>
          <t>Coherent Q1 FY26 8-K + Futurum/Investing coverage (2026-05-18)</t>
        </is>
      </c>
      <c r="G105" s="33" t="inlineStr">
        <is>
          <t>High</t>
        </is>
      </c>
      <c r="H105" s="33" t="inlineStr">
        <is>
          <t>Initial</t>
        </is>
      </c>
    </row>
    <row r="106">
      <c r="A106" s="33" t="inlineStr">
        <is>
          <t>2026-05-18</t>
        </is>
      </c>
      <c r="B106" s="33" t="inlineStr">
        <is>
          <t>COHR</t>
        </is>
      </c>
      <c r="C106" s="33" t="inlineStr">
        <is>
          <t>M3</t>
        </is>
      </c>
      <c r="D106" s="33" t="n">
        <v>3</v>
      </c>
      <c r="E106" s="68" t="inlineStr">
        <is>
          <t>28 disc + 21 10b5-1 sales, 0 open-market buys. No drawdown context. Default routine activity.</t>
        </is>
      </c>
      <c r="F106" s="68" t="inlineStr">
        <is>
          <t>Coherent Q1 FY26 8-K + Futurum/Investing coverage (2026-05-18)</t>
        </is>
      </c>
      <c r="G106" s="33" t="inlineStr">
        <is>
          <t>High</t>
        </is>
      </c>
      <c r="H106" s="33" t="inlineStr">
        <is>
          <t>Initial</t>
        </is>
      </c>
    </row>
    <row r="107">
      <c r="A107" s="33" t="inlineStr">
        <is>
          <t>2026-05-18</t>
        </is>
      </c>
      <c r="B107" s="33" t="inlineStr">
        <is>
          <t>COHR</t>
        </is>
      </c>
      <c r="C107" s="33" t="inlineStr">
        <is>
          <t>R1</t>
        </is>
      </c>
      <c r="D107" s="33" t="n">
        <v>4</v>
      </c>
      <c r="E107" s="68" t="inlineStr">
        <is>
          <t>Diversified across optical end-markets (datacom, telecom, lasers).</t>
        </is>
      </c>
      <c r="F107" s="68" t="inlineStr">
        <is>
          <t>Coherent Q1 FY26 8-K + Futurum/Investing coverage (2026-05-18)</t>
        </is>
      </c>
      <c r="G107" s="33" t="inlineStr">
        <is>
          <t>High</t>
        </is>
      </c>
      <c r="H107" s="33" t="inlineStr">
        <is>
          <t>Initial</t>
        </is>
      </c>
    </row>
    <row r="108">
      <c r="A108" s="33" t="inlineStr">
        <is>
          <t>2026-05-18</t>
        </is>
      </c>
      <c r="B108" s="33" t="inlineStr">
        <is>
          <t>COHR</t>
        </is>
      </c>
      <c r="C108" s="33" t="inlineStr">
        <is>
          <t>R2</t>
        </is>
      </c>
      <c r="D108" s="33" t="n">
        <v>4</v>
      </c>
      <c r="E108" s="68" t="inlineStr">
        <is>
          <t>Global, no problematic exposure.</t>
        </is>
      </c>
      <c r="F108" s="68" t="inlineStr">
        <is>
          <t>Coherent Q1 FY26 8-K + Futurum/Investing coverage (2026-05-18)</t>
        </is>
      </c>
      <c r="G108" s="33" t="inlineStr">
        <is>
          <t>High</t>
        </is>
      </c>
      <c r="H108" s="33" t="inlineStr">
        <is>
          <t>Initial</t>
        </is>
      </c>
    </row>
    <row r="109">
      <c r="A109" s="33" t="inlineStr">
        <is>
          <t>2026-05-18</t>
        </is>
      </c>
      <c r="B109" s="33" t="inlineStr">
        <is>
          <t>COHR</t>
        </is>
      </c>
      <c r="C109" s="33" t="inlineStr">
        <is>
          <t>R3</t>
        </is>
      </c>
      <c r="D109" s="33" t="n">
        <v>3</v>
      </c>
      <c r="E109" s="68" t="inlineStr">
        <is>
          <t>Modest leverage from II-VI deal still being deleveraged; FCF marginal.</t>
        </is>
      </c>
      <c r="F109" s="68" t="inlineStr">
        <is>
          <t>Coherent Q1 FY26 8-K + Futurum/Investing coverage (2026-05-18)</t>
        </is>
      </c>
      <c r="G109" s="33" t="inlineStr">
        <is>
          <t>High</t>
        </is>
      </c>
      <c r="H109" s="33" t="inlineStr">
        <is>
          <t>Initial</t>
        </is>
      </c>
    </row>
    <row r="110">
      <c r="A110" s="33" t="inlineStr">
        <is>
          <t>2026-05-18</t>
        </is>
      </c>
      <c r="B110" s="33" t="inlineStr">
        <is>
          <t>COHR</t>
        </is>
      </c>
      <c r="C110" s="33" t="inlineStr">
        <is>
          <t>R4</t>
        </is>
      </c>
      <c r="D110" s="33" t="n">
        <v>4</v>
      </c>
      <c r="E110" s="68" t="inlineStr">
        <is>
          <t>Routine.</t>
        </is>
      </c>
      <c r="F110" s="68" t="inlineStr">
        <is>
          <t>Coherent Q1 FY26 8-K + Futurum/Investing coverage (2026-05-18)</t>
        </is>
      </c>
      <c r="G110" s="33" t="inlineStr">
        <is>
          <t>High</t>
        </is>
      </c>
      <c r="H110" s="33" t="inlineStr">
        <is>
          <t>Initial</t>
        </is>
      </c>
    </row>
    <row r="111">
      <c r="A111" s="33" t="inlineStr">
        <is>
          <t>2026-05-18</t>
        </is>
      </c>
      <c r="B111" s="33" t="inlineStr">
        <is>
          <t>LITE</t>
        </is>
      </c>
      <c r="C111" s="33" t="inlineStr">
        <is>
          <t>D1</t>
        </is>
      </c>
      <c r="D111" s="33" t="n">
        <v>5</v>
      </c>
      <c r="E111" s="68" t="inlineStr">
        <is>
          <t>AI/cloud is 'majority of growth' per Q3 FY26 (+90% YoY revenue). Direct hyperscaler model.</t>
        </is>
      </c>
      <c r="F111" s="68" t="inlineStr">
        <is>
          <t>Lumentum Q3 FY26 8-K + NVDA $2B investment coverage (2026-05-18)</t>
        </is>
      </c>
      <c r="G111" s="33" t="inlineStr">
        <is>
          <t>High</t>
        </is>
      </c>
      <c r="H111" s="33" t="inlineStr">
        <is>
          <t>Initial</t>
        </is>
      </c>
    </row>
    <row r="112">
      <c r="A112" s="33" t="inlineStr">
        <is>
          <t>2026-05-18</t>
        </is>
      </c>
      <c r="B112" s="33" t="inlineStr">
        <is>
          <t>LITE</t>
        </is>
      </c>
      <c r="C112" s="33" t="inlineStr">
        <is>
          <t>D2</t>
        </is>
      </c>
      <c r="D112" s="33" t="n">
        <v>5</v>
      </c>
      <c r="E112" s="68" t="inlineStr">
        <is>
          <t>1.6T optics rollout + NVDA $2B investment + 30% under-shipping demand = bottleneck position.</t>
        </is>
      </c>
      <c r="F112" s="68" t="inlineStr">
        <is>
          <t>Lumentum Q3 FY26 8-K + NVDA $2B investment coverage (2026-05-18)</t>
        </is>
      </c>
      <c r="G112" s="33" t="inlineStr">
        <is>
          <t>High</t>
        </is>
      </c>
      <c r="H112" s="33" t="inlineStr">
        <is>
          <t>Initial</t>
        </is>
      </c>
    </row>
    <row r="113">
      <c r="A113" s="33" t="inlineStr">
        <is>
          <t>2026-05-18</t>
        </is>
      </c>
      <c r="B113" s="33" t="inlineStr">
        <is>
          <t>LITE</t>
        </is>
      </c>
      <c r="C113" s="33" t="inlineStr">
        <is>
          <t>D3</t>
        </is>
      </c>
      <c r="D113" s="33" t="n">
        <v>4</v>
      </c>
      <c r="E113" s="68" t="inlineStr">
        <is>
          <t>Optical laser IP (legacy), customer integration depth with hyperscalers + NVDA partnership.</t>
        </is>
      </c>
      <c r="F113" s="68" t="inlineStr">
        <is>
          <t>Lumentum Q3 FY26 8-K + NVDA $2B investment coverage (2026-05-18)</t>
        </is>
      </c>
      <c r="G113" s="33" t="inlineStr">
        <is>
          <t>High</t>
        </is>
      </c>
      <c r="H113" s="33" t="inlineStr">
        <is>
          <t>Initial</t>
        </is>
      </c>
    </row>
    <row r="114">
      <c r="A114" s="33" t="inlineStr">
        <is>
          <t>2026-05-18</t>
        </is>
      </c>
      <c r="B114" s="33" t="inlineStr">
        <is>
          <t>LITE</t>
        </is>
      </c>
      <c r="C114" s="33" t="inlineStr">
        <is>
          <t>D4</t>
        </is>
      </c>
      <c r="D114" s="33" t="n">
        <v>5</v>
      </c>
      <c r="E114" s="68" t="inlineStr">
        <is>
          <t>NVDA $2B investment for R&amp;D + US manufacturing capacity = textbook funded multi-year buildout.</t>
        </is>
      </c>
      <c r="F114" s="68" t="inlineStr">
        <is>
          <t>Lumentum Q3 FY26 8-K + NVDA $2B investment coverage (2026-05-18)</t>
        </is>
      </c>
      <c r="G114" s="33" t="inlineStr">
        <is>
          <t>High</t>
        </is>
      </c>
      <c r="H114" s="33" t="inlineStr">
        <is>
          <t>Initial</t>
        </is>
      </c>
    </row>
    <row r="115">
      <c r="A115" s="33" t="inlineStr">
        <is>
          <t>2026-05-18</t>
        </is>
      </c>
      <c r="B115" s="33" t="inlineStr">
        <is>
          <t>LITE</t>
        </is>
      </c>
      <c r="C115" s="33" t="inlineStr">
        <is>
          <t>D5</t>
        </is>
      </c>
      <c r="D115" s="33" t="n">
        <v>5</v>
      </c>
      <c r="E115" s="68" t="inlineStr">
        <is>
          <t>Direct customer of MSFT, GOOGL, META, NVDA — multiple hyperscaler/AI anchor customers.</t>
        </is>
      </c>
      <c r="F115" s="68" t="inlineStr">
        <is>
          <t>Lumentum Q3 FY26 8-K + NVDA $2B investment coverage (2026-05-18)</t>
        </is>
      </c>
      <c r="G115" s="33" t="inlineStr">
        <is>
          <t>High</t>
        </is>
      </c>
      <c r="H115" s="33" t="inlineStr">
        <is>
          <t>Initial</t>
        </is>
      </c>
    </row>
    <row r="116">
      <c r="A116" s="33" t="inlineStr">
        <is>
          <t>2026-05-18</t>
        </is>
      </c>
      <c r="B116" s="33" t="inlineStr">
        <is>
          <t>LITE</t>
        </is>
      </c>
      <c r="C116" s="33" t="inlineStr">
        <is>
          <t>M1</t>
        </is>
      </c>
      <c r="D116" s="33" t="n">
        <v>5</v>
      </c>
      <c r="E116" s="68" t="inlineStr">
        <is>
          <t>18 up / 1 down on +1Y EPS; FY revision +9.2% over 90d. Strong revision wave.</t>
        </is>
      </c>
      <c r="F116" s="68" t="inlineStr">
        <is>
          <t>Lumentum Q3 FY26 8-K + NVDA $2B investment coverage (2026-05-18)</t>
        </is>
      </c>
      <c r="G116" s="33" t="inlineStr">
        <is>
          <t>High</t>
        </is>
      </c>
      <c r="H116" s="33" t="inlineStr">
        <is>
          <t>Initial</t>
        </is>
      </c>
    </row>
    <row r="117">
      <c r="A117" s="33" t="inlineStr">
        <is>
          <t>2026-05-18</t>
        </is>
      </c>
      <c r="B117" s="33" t="inlineStr">
        <is>
          <t>LITE</t>
        </is>
      </c>
      <c r="C117" s="33" t="inlineStr">
        <is>
          <t>M2</t>
        </is>
      </c>
      <c r="D117" s="33" t="n">
        <v>5</v>
      </c>
      <c r="E117" s="68" t="inlineStr">
        <is>
          <t>+151pp vs SOXX 180d; +894pp vs SOXX 365d. Extreme outperformance.</t>
        </is>
      </c>
      <c r="F117" s="68" t="inlineStr">
        <is>
          <t>Lumentum Q3 FY26 8-K + NVDA $2B investment coverage (2026-05-18)</t>
        </is>
      </c>
      <c r="G117" s="33" t="inlineStr">
        <is>
          <t>High</t>
        </is>
      </c>
      <c r="H117" s="33" t="inlineStr">
        <is>
          <t>Initial</t>
        </is>
      </c>
    </row>
    <row r="118">
      <c r="A118" s="33" t="inlineStr">
        <is>
          <t>2026-05-18</t>
        </is>
      </c>
      <c r="B118" s="33" t="inlineStr">
        <is>
          <t>LITE</t>
        </is>
      </c>
      <c r="C118" s="33" t="inlineStr">
        <is>
          <t>M3</t>
        </is>
      </c>
      <c r="D118" s="33" t="n">
        <v>3</v>
      </c>
      <c r="E118" s="68" t="inlineStr">
        <is>
          <t>18 disc + 130 10b5-1, no drawdown. Routine selling pattern through rally.</t>
        </is>
      </c>
      <c r="F118" s="68" t="inlineStr">
        <is>
          <t>Lumentum Q3 FY26 8-K + NVDA $2B investment coverage (2026-05-18)</t>
        </is>
      </c>
      <c r="G118" s="33" t="inlineStr">
        <is>
          <t>High</t>
        </is>
      </c>
      <c r="H118" s="33" t="inlineStr">
        <is>
          <t>Initial</t>
        </is>
      </c>
    </row>
    <row r="119">
      <c r="A119" s="33" t="inlineStr">
        <is>
          <t>2026-05-18</t>
        </is>
      </c>
      <c r="B119" s="33" t="inlineStr">
        <is>
          <t>LITE</t>
        </is>
      </c>
      <c r="C119" s="33" t="inlineStr">
        <is>
          <t>R1</t>
        </is>
      </c>
      <c r="D119" s="33" t="n">
        <v>4</v>
      </c>
      <c r="E119" s="68" t="inlineStr">
        <is>
          <t>Multiple hyperscaler customers — diversified within the high-end.</t>
        </is>
      </c>
      <c r="F119" s="68" t="inlineStr">
        <is>
          <t>Lumentum Q3 FY26 8-K + NVDA $2B investment coverage (2026-05-18)</t>
        </is>
      </c>
      <c r="G119" s="33" t="inlineStr">
        <is>
          <t>High</t>
        </is>
      </c>
      <c r="H119" s="33" t="inlineStr">
        <is>
          <t>Initial</t>
        </is>
      </c>
    </row>
    <row r="120">
      <c r="A120" s="33" t="inlineStr">
        <is>
          <t>2026-05-18</t>
        </is>
      </c>
      <c r="B120" s="33" t="inlineStr">
        <is>
          <t>LITE</t>
        </is>
      </c>
      <c r="C120" s="33" t="inlineStr">
        <is>
          <t>R2</t>
        </is>
      </c>
      <c r="D120" s="33" t="n">
        <v>4</v>
      </c>
      <c r="E120" s="68" t="inlineStr">
        <is>
          <t>Global; some China telco but not problematic.</t>
        </is>
      </c>
      <c r="F120" s="68" t="inlineStr">
        <is>
          <t>Lumentum Q3 FY26 8-K + NVDA $2B investment coverage (2026-05-18)</t>
        </is>
      </c>
      <c r="G120" s="33" t="inlineStr">
        <is>
          <t>High</t>
        </is>
      </c>
      <c r="H120" s="33" t="inlineStr">
        <is>
          <t>Initial</t>
        </is>
      </c>
    </row>
    <row r="121">
      <c r="A121" s="33" t="inlineStr">
        <is>
          <t>2026-05-18</t>
        </is>
      </c>
      <c r="B121" s="33" t="inlineStr">
        <is>
          <t>LITE</t>
        </is>
      </c>
      <c r="C121" s="33" t="inlineStr">
        <is>
          <t>R3</t>
        </is>
      </c>
      <c r="D121" s="33" t="n">
        <v>4</v>
      </c>
      <c r="E121" s="68" t="inlineStr">
        <is>
          <t>Strong cash position; FCF marginal but improving with revenue ramp.</t>
        </is>
      </c>
      <c r="F121" s="68" t="inlineStr">
        <is>
          <t>Lumentum Q3 FY26 8-K + NVDA $2B investment coverage (2026-05-18)</t>
        </is>
      </c>
      <c r="G121" s="33" t="inlineStr">
        <is>
          <t>High</t>
        </is>
      </c>
      <c r="H121" s="33" t="inlineStr">
        <is>
          <t>Initial</t>
        </is>
      </c>
    </row>
    <row r="122">
      <c r="A122" s="33" t="inlineStr">
        <is>
          <t>2026-05-18</t>
        </is>
      </c>
      <c r="B122" s="33" t="inlineStr">
        <is>
          <t>LITE</t>
        </is>
      </c>
      <c r="C122" s="33" t="inlineStr">
        <is>
          <t>R4</t>
        </is>
      </c>
      <c r="D122" s="33" t="n">
        <v>4</v>
      </c>
      <c r="E122" s="68" t="inlineStr">
        <is>
          <t>Routine.</t>
        </is>
      </c>
      <c r="F122" s="68" t="inlineStr">
        <is>
          <t>Lumentum Q3 FY26 8-K + NVDA $2B investment coverage (2026-05-18)</t>
        </is>
      </c>
      <c r="G122" s="33" t="inlineStr">
        <is>
          <t>High</t>
        </is>
      </c>
      <c r="H122" s="33" t="inlineStr">
        <is>
          <t>Initial</t>
        </is>
      </c>
    </row>
    <row r="123">
      <c r="A123" s="33" t="inlineStr">
        <is>
          <t>2026-05-18</t>
        </is>
      </c>
      <c r="B123" s="33" t="inlineStr">
        <is>
          <t>FN</t>
        </is>
      </c>
      <c r="C123" s="33" t="inlineStr">
        <is>
          <t>D1</t>
        </is>
      </c>
      <c r="D123" s="33" t="n">
        <v>5</v>
      </c>
      <c r="E123" s="68" t="inlineStr">
        <is>
          <t>76% of revenue tied to datacenter interconnect and next-gen transceivers per Q3 FY26.</t>
        </is>
      </c>
      <c r="F123" s="68" t="inlineStr">
        <is>
          <t>Fabrinet Q3 FY26 8-K + BeyondSPX coverage (2026-05-18)</t>
        </is>
      </c>
      <c r="G123" s="33" t="inlineStr">
        <is>
          <t>High</t>
        </is>
      </c>
      <c r="H123" s="33" t="inlineStr">
        <is>
          <t>Initial</t>
        </is>
      </c>
    </row>
    <row r="124">
      <c r="A124" s="33" t="inlineStr">
        <is>
          <t>2026-05-18</t>
        </is>
      </c>
      <c r="B124" s="33" t="inlineStr">
        <is>
          <t>FN</t>
        </is>
      </c>
      <c r="C124" s="33" t="inlineStr">
        <is>
          <t>D2</t>
        </is>
      </c>
      <c r="D124" s="33" t="n">
        <v>4</v>
      </c>
      <c r="E124" s="68" t="inlineStr">
        <is>
          <t>Contract manufacturer with NVDA + Cisco + AWS + LITE customers. Capacity-constrained.</t>
        </is>
      </c>
      <c r="F124" s="68" t="inlineStr">
        <is>
          <t>Fabrinet Q3 FY26 8-K + BeyondSPX coverage (2026-05-18)</t>
        </is>
      </c>
      <c r="G124" s="33" t="inlineStr">
        <is>
          <t>High</t>
        </is>
      </c>
      <c r="H124" s="33" t="inlineStr">
        <is>
          <t>Initial</t>
        </is>
      </c>
    </row>
    <row r="125">
      <c r="A125" s="33" t="inlineStr">
        <is>
          <t>2026-05-18</t>
        </is>
      </c>
      <c r="B125" s="33" t="inlineStr">
        <is>
          <t>FN</t>
        </is>
      </c>
      <c r="C125" s="33" t="inlineStr">
        <is>
          <t>D3</t>
        </is>
      </c>
      <c r="D125" s="33" t="n">
        <v>4</v>
      </c>
      <c r="E125" s="68" t="inlineStr">
        <is>
          <t>Manufacturing IP, Thai scale, deep customer integration — hard to replicate.</t>
        </is>
      </c>
      <c r="F125" s="68" t="inlineStr">
        <is>
          <t>Fabrinet Q3 FY26 8-K + BeyondSPX coverage (2026-05-18)</t>
        </is>
      </c>
      <c r="G125" s="33" t="inlineStr">
        <is>
          <t>High</t>
        </is>
      </c>
      <c r="H125" s="33" t="inlineStr">
        <is>
          <t>Initial</t>
        </is>
      </c>
    </row>
    <row r="126">
      <c r="A126" s="33" t="inlineStr">
        <is>
          <t>2026-05-18</t>
        </is>
      </c>
      <c r="B126" s="33" t="inlineStr">
        <is>
          <t>FN</t>
        </is>
      </c>
      <c r="C126" s="33" t="inlineStr">
        <is>
          <t>D4</t>
        </is>
      </c>
      <c r="D126" s="33" t="n">
        <v>5</v>
      </c>
      <c r="E126" s="68" t="inlineStr">
        <is>
          <t>Customer demand 'substantially outpaces shipping capacity' — funded expansion underway.</t>
        </is>
      </c>
      <c r="F126" s="68" t="inlineStr">
        <is>
          <t>Fabrinet Q3 FY26 8-K + BeyondSPX coverage (2026-05-18)</t>
        </is>
      </c>
      <c r="G126" s="33" t="inlineStr">
        <is>
          <t>High</t>
        </is>
      </c>
      <c r="H126" s="33" t="inlineStr">
        <is>
          <t>Initial</t>
        </is>
      </c>
    </row>
    <row r="127">
      <c r="A127" s="33" t="inlineStr">
        <is>
          <t>2026-05-18</t>
        </is>
      </c>
      <c r="B127" s="33" t="inlineStr">
        <is>
          <t>FN</t>
        </is>
      </c>
      <c r="C127" s="33" t="inlineStr">
        <is>
          <t>D5</t>
        </is>
      </c>
      <c r="D127" s="33" t="n">
        <v>5</v>
      </c>
      <c r="E127" s="68" t="inlineStr">
        <is>
          <t>NVDA + AWS + Cisco + LITE as customers (end-customers are hyperscalers) — &gt;30% combined.</t>
        </is>
      </c>
      <c r="F127" s="68" t="inlineStr">
        <is>
          <t>Fabrinet Q3 FY26 8-K + BeyondSPX coverage (2026-05-18)</t>
        </is>
      </c>
      <c r="G127" s="33" t="inlineStr">
        <is>
          <t>High</t>
        </is>
      </c>
      <c r="H127" s="33" t="inlineStr">
        <is>
          <t>Initial</t>
        </is>
      </c>
    </row>
    <row r="128">
      <c r="A128" s="33" t="inlineStr">
        <is>
          <t>2026-05-18</t>
        </is>
      </c>
      <c r="B128" s="33" t="inlineStr">
        <is>
          <t>FN</t>
        </is>
      </c>
      <c r="C128" s="33" t="inlineStr">
        <is>
          <t>M1</t>
        </is>
      </c>
      <c r="D128" s="33" t="n">
        <v>4</v>
      </c>
      <c r="E128" s="68" t="inlineStr">
        <is>
          <t>7 up / 1 down on +1Y; FY revision +1.7% — net positive, modest magnitude.</t>
        </is>
      </c>
      <c r="F128" s="68" t="inlineStr">
        <is>
          <t>Fabrinet Q3 FY26 8-K + BeyondSPX coverage (2026-05-18)</t>
        </is>
      </c>
      <c r="G128" s="33" t="inlineStr">
        <is>
          <t>High</t>
        </is>
      </c>
      <c r="H128" s="33" t="inlineStr">
        <is>
          <t>Initial</t>
        </is>
      </c>
    </row>
    <row r="129">
      <c r="A129" s="33" t="inlineStr">
        <is>
          <t>2026-05-18</t>
        </is>
      </c>
      <c r="B129" s="33" t="inlineStr">
        <is>
          <t>FN</t>
        </is>
      </c>
      <c r="C129" s="33" t="inlineStr">
        <is>
          <t>M2</t>
        </is>
      </c>
      <c r="D129" s="33" t="n">
        <v>3</v>
      </c>
      <c r="E129" s="68" t="inlineStr">
        <is>
          <t>-10pp vs SOXX 180d (in-line); +69pp vs SOXX 365d. Recent action sector-aligned.</t>
        </is>
      </c>
      <c r="F129" s="68" t="inlineStr">
        <is>
          <t>Fabrinet Q3 FY26 8-K + BeyondSPX coverage (2026-05-18)</t>
        </is>
      </c>
      <c r="G129" s="33" t="inlineStr">
        <is>
          <t>High</t>
        </is>
      </c>
      <c r="H129" s="33" t="inlineStr">
        <is>
          <t>Initial</t>
        </is>
      </c>
    </row>
    <row r="130">
      <c r="A130" s="33" t="inlineStr">
        <is>
          <t>2026-05-18</t>
        </is>
      </c>
      <c r="B130" s="33" t="inlineStr">
        <is>
          <t>FN</t>
        </is>
      </c>
      <c r="C130" s="33" t="inlineStr">
        <is>
          <t>M3</t>
        </is>
      </c>
      <c r="D130" s="33" t="n">
        <v>3</v>
      </c>
      <c r="E130" s="68" t="inlineStr">
        <is>
          <t>33 disc + 0 10b5-1 sales — high discretionary, but no drawdown so default 3.</t>
        </is>
      </c>
      <c r="F130" s="68" t="inlineStr">
        <is>
          <t>Fabrinet Q3 FY26 8-K + BeyondSPX coverage (2026-05-18)</t>
        </is>
      </c>
      <c r="G130" s="33" t="inlineStr">
        <is>
          <t>High</t>
        </is>
      </c>
      <c r="H130" s="33" t="inlineStr">
        <is>
          <t>Initial</t>
        </is>
      </c>
    </row>
    <row r="131">
      <c r="A131" s="33" t="inlineStr">
        <is>
          <t>2026-05-18</t>
        </is>
      </c>
      <c r="B131" s="33" t="inlineStr">
        <is>
          <t>FN</t>
        </is>
      </c>
      <c r="C131" s="33" t="inlineStr">
        <is>
          <t>R1</t>
        </is>
      </c>
      <c r="D131" s="33" t="n">
        <v>3</v>
      </c>
      <c r="E131" s="68" t="inlineStr">
        <is>
          <t>NVDA likely 30%+ of revenue. Concentrated.</t>
        </is>
      </c>
      <c r="F131" s="68" t="inlineStr">
        <is>
          <t>Fabrinet Q3 FY26 8-K + BeyondSPX coverage (2026-05-18)</t>
        </is>
      </c>
      <c r="G131" s="33" t="inlineStr">
        <is>
          <t>High</t>
        </is>
      </c>
      <c r="H131" s="33" t="inlineStr">
        <is>
          <t>Initial</t>
        </is>
      </c>
    </row>
    <row r="132">
      <c r="A132" s="33" t="inlineStr">
        <is>
          <t>2026-05-18</t>
        </is>
      </c>
      <c r="B132" s="33" t="inlineStr">
        <is>
          <t>FN</t>
        </is>
      </c>
      <c r="C132" s="33" t="inlineStr">
        <is>
          <t>R2</t>
        </is>
      </c>
      <c r="D132" s="33" t="n">
        <v>4</v>
      </c>
      <c r="E132" s="68" t="inlineStr">
        <is>
          <t>Thai manufacturing; global sales; minimal export-control exposure.</t>
        </is>
      </c>
      <c r="F132" s="68" t="inlineStr">
        <is>
          <t>Fabrinet Q3 FY26 8-K + BeyondSPX coverage (2026-05-18)</t>
        </is>
      </c>
      <c r="G132" s="33" t="inlineStr">
        <is>
          <t>High</t>
        </is>
      </c>
      <c r="H132" s="33" t="inlineStr">
        <is>
          <t>Initial</t>
        </is>
      </c>
    </row>
    <row r="133">
      <c r="A133" s="33" t="inlineStr">
        <is>
          <t>2026-05-18</t>
        </is>
      </c>
      <c r="B133" s="33" t="inlineStr">
        <is>
          <t>FN</t>
        </is>
      </c>
      <c r="C133" s="33" t="inlineStr">
        <is>
          <t>R3</t>
        </is>
      </c>
      <c r="D133" s="33" t="n">
        <v>4</v>
      </c>
      <c r="E133" s="68" t="inlineStr">
        <is>
          <t>Strong balance sheet; FCF positive.</t>
        </is>
      </c>
      <c r="F133" s="68" t="inlineStr">
        <is>
          <t>Fabrinet Q3 FY26 8-K + BeyondSPX coverage (2026-05-18)</t>
        </is>
      </c>
      <c r="G133" s="33" t="inlineStr">
        <is>
          <t>High</t>
        </is>
      </c>
      <c r="H133" s="33" t="inlineStr">
        <is>
          <t>Initial</t>
        </is>
      </c>
    </row>
    <row r="134">
      <c r="A134" s="33" t="inlineStr">
        <is>
          <t>2026-05-18</t>
        </is>
      </c>
      <c r="B134" s="33" t="inlineStr">
        <is>
          <t>FN</t>
        </is>
      </c>
      <c r="C134" s="33" t="inlineStr">
        <is>
          <t>R4</t>
        </is>
      </c>
      <c r="D134" s="33" t="n">
        <v>4</v>
      </c>
      <c r="E134" s="68" t="inlineStr">
        <is>
          <t>Routine.</t>
        </is>
      </c>
      <c r="F134" s="68" t="inlineStr">
        <is>
          <t>Fabrinet Q3 FY26 8-K + BeyondSPX coverage (2026-05-18)</t>
        </is>
      </c>
      <c r="G134" s="33" t="inlineStr">
        <is>
          <t>High</t>
        </is>
      </c>
      <c r="H134" s="33" t="inlineStr">
        <is>
          <t>Initial</t>
        </is>
      </c>
    </row>
    <row r="135">
      <c r="A135" s="33" t="inlineStr">
        <is>
          <t>2026-05-18</t>
        </is>
      </c>
      <c r="B135" s="33" t="inlineStr">
        <is>
          <t>AAOI</t>
        </is>
      </c>
      <c r="C135" s="33" t="inlineStr">
        <is>
          <t>D1</t>
        </is>
      </c>
      <c r="D135" s="33" t="n">
        <v>3</v>
      </c>
      <c r="E135" s="68" t="inlineStr">
        <is>
          <t>Datacom growing meaningfully; legacy cable TV still in mix.</t>
        </is>
      </c>
      <c r="F135" s="68" t="inlineStr">
        <is>
          <t>AAOI Q1 FY26 + industry coverage (2026-05-18)</t>
        </is>
      </c>
      <c r="G135" s="33" t="inlineStr">
        <is>
          <t>High</t>
        </is>
      </c>
      <c r="H135" s="33" t="inlineStr">
        <is>
          <t>Initial</t>
        </is>
      </c>
    </row>
    <row r="136">
      <c r="A136" s="33" t="inlineStr">
        <is>
          <t>2026-05-18</t>
        </is>
      </c>
      <c r="B136" s="33" t="inlineStr">
        <is>
          <t>AAOI</t>
        </is>
      </c>
      <c r="C136" s="33" t="inlineStr">
        <is>
          <t>D2</t>
        </is>
      </c>
      <c r="D136" s="33" t="n">
        <v>3</v>
      </c>
      <c r="E136" s="68" t="inlineStr">
        <is>
          <t>Smaller player vs COHR/LITE; less differentiated optical components.</t>
        </is>
      </c>
      <c r="F136" s="68" t="inlineStr">
        <is>
          <t>AAOI Q1 FY26 + industry coverage (2026-05-18)</t>
        </is>
      </c>
      <c r="G136" s="33" t="inlineStr">
        <is>
          <t>High</t>
        </is>
      </c>
      <c r="H136" s="33" t="inlineStr">
        <is>
          <t>Initial</t>
        </is>
      </c>
    </row>
    <row r="137">
      <c r="A137" s="33" t="inlineStr">
        <is>
          <t>2026-05-18</t>
        </is>
      </c>
      <c r="B137" s="33" t="inlineStr">
        <is>
          <t>AAOI</t>
        </is>
      </c>
      <c r="C137" s="33" t="inlineStr">
        <is>
          <t>D3</t>
        </is>
      </c>
      <c r="D137" s="33" t="n">
        <v>2</v>
      </c>
      <c r="E137" s="68" t="inlineStr">
        <is>
          <t>Limited IP moat; commoditizing.</t>
        </is>
      </c>
      <c r="F137" s="68" t="inlineStr">
        <is>
          <t>AAOI Q1 FY26 + industry coverage (2026-05-18)</t>
        </is>
      </c>
      <c r="G137" s="33" t="inlineStr">
        <is>
          <t>High</t>
        </is>
      </c>
      <c r="H137" s="33" t="inlineStr">
        <is>
          <t>Initial</t>
        </is>
      </c>
    </row>
    <row r="138">
      <c r="A138" s="33" t="inlineStr">
        <is>
          <t>2026-05-18</t>
        </is>
      </c>
      <c r="B138" s="33" t="inlineStr">
        <is>
          <t>AAOI</t>
        </is>
      </c>
      <c r="C138" s="33" t="inlineStr">
        <is>
          <t>D4</t>
        </is>
      </c>
      <c r="D138" s="33" t="n">
        <v>4</v>
      </c>
      <c r="E138" s="68" t="inlineStr">
        <is>
          <t>Capacity ramping with momentum but smaller scale than peers.</t>
        </is>
      </c>
      <c r="F138" s="68" t="inlineStr">
        <is>
          <t>AAOI Q1 FY26 + industry coverage (2026-05-18)</t>
        </is>
      </c>
      <c r="G138" s="33" t="inlineStr">
        <is>
          <t>High</t>
        </is>
      </c>
      <c r="H138" s="33" t="inlineStr">
        <is>
          <t>Initial</t>
        </is>
      </c>
    </row>
    <row r="139">
      <c r="A139" s="33" t="inlineStr">
        <is>
          <t>2026-05-18</t>
        </is>
      </c>
      <c r="B139" s="33" t="inlineStr">
        <is>
          <t>AAOI</t>
        </is>
      </c>
      <c r="C139" s="33" t="inlineStr">
        <is>
          <t>D5</t>
        </is>
      </c>
      <c r="D139" s="33" t="n">
        <v>3</v>
      </c>
      <c r="E139" s="68" t="inlineStr">
        <is>
          <t>Some hyperscaler exposure but not anchor relationships.</t>
        </is>
      </c>
      <c r="F139" s="68" t="inlineStr">
        <is>
          <t>AAOI Q1 FY26 + industry coverage (2026-05-18)</t>
        </is>
      </c>
      <c r="G139" s="33" t="inlineStr">
        <is>
          <t>High</t>
        </is>
      </c>
      <c r="H139" s="33" t="inlineStr">
        <is>
          <t>Initial</t>
        </is>
      </c>
    </row>
    <row r="140">
      <c r="A140" s="33" t="inlineStr">
        <is>
          <t>2026-05-18</t>
        </is>
      </c>
      <c r="B140" s="33" t="inlineStr">
        <is>
          <t>AAOI</t>
        </is>
      </c>
      <c r="C140" s="33" t="inlineStr">
        <is>
          <t>M1</t>
        </is>
      </c>
      <c r="D140" s="33" t="n">
        <v>4</v>
      </c>
      <c r="E140" s="68" t="inlineStr">
        <is>
          <t>4 up / 0 down on +1Y; FY revision +6.7%.</t>
        </is>
      </c>
      <c r="F140" s="68" t="inlineStr">
        <is>
          <t>AAOI Q1 FY26 + industry coverage (2026-05-18)</t>
        </is>
      </c>
      <c r="G140" s="33" t="inlineStr">
        <is>
          <t>High</t>
        </is>
      </c>
      <c r="H140" s="33" t="inlineStr">
        <is>
          <t>Initial</t>
        </is>
      </c>
    </row>
    <row r="141">
      <c r="A141" s="33" t="inlineStr">
        <is>
          <t>2026-05-18</t>
        </is>
      </c>
      <c r="B141" s="33" t="inlineStr">
        <is>
          <t>AAOI</t>
        </is>
      </c>
      <c r="C141" s="33" t="inlineStr">
        <is>
          <t>M2</t>
        </is>
      </c>
      <c r="D141" s="33" t="n">
        <v>5</v>
      </c>
      <c r="E141" s="68" t="inlineStr">
        <is>
          <t>+636pp vs SOXX 180d — extreme momentum from small-cap base.</t>
        </is>
      </c>
      <c r="F141" s="68" t="inlineStr">
        <is>
          <t>AAOI Q1 FY26 + industry coverage (2026-05-18)</t>
        </is>
      </c>
      <c r="G141" s="33" t="inlineStr">
        <is>
          <t>High</t>
        </is>
      </c>
      <c r="H141" s="33" t="inlineStr">
        <is>
          <t>Initial</t>
        </is>
      </c>
    </row>
    <row r="142">
      <c r="A142" s="33" t="inlineStr">
        <is>
          <t>2026-05-18</t>
        </is>
      </c>
      <c r="B142" s="33" t="inlineStr">
        <is>
          <t>AAOI</t>
        </is>
      </c>
      <c r="C142" s="33" t="inlineStr">
        <is>
          <t>M3</t>
        </is>
      </c>
      <c r="D142" s="33" t="n">
        <v>3</v>
      </c>
      <c r="E142" s="68" t="inlineStr">
        <is>
          <t>12 disc + 23 10b5-1 sales; routine.</t>
        </is>
      </c>
      <c r="F142" s="68" t="inlineStr">
        <is>
          <t>AAOI Q1 FY26 + industry coverage (2026-05-18)</t>
        </is>
      </c>
      <c r="G142" s="33" t="inlineStr">
        <is>
          <t>High</t>
        </is>
      </c>
      <c r="H142" s="33" t="inlineStr">
        <is>
          <t>Initial</t>
        </is>
      </c>
    </row>
    <row r="143">
      <c r="A143" s="33" t="inlineStr">
        <is>
          <t>2026-05-18</t>
        </is>
      </c>
      <c r="B143" s="33" t="inlineStr">
        <is>
          <t>AAOI</t>
        </is>
      </c>
      <c r="C143" s="33" t="inlineStr">
        <is>
          <t>R1</t>
        </is>
      </c>
      <c r="D143" s="33" t="n">
        <v>3</v>
      </c>
      <c r="E143" s="68" t="inlineStr">
        <is>
          <t>Smaller customer base; concentration risk.</t>
        </is>
      </c>
      <c r="F143" s="68" t="inlineStr">
        <is>
          <t>AAOI Q1 FY26 + industry coverage (2026-05-18)</t>
        </is>
      </c>
      <c r="G143" s="33" t="inlineStr">
        <is>
          <t>High</t>
        </is>
      </c>
      <c r="H143" s="33" t="inlineStr">
        <is>
          <t>Initial</t>
        </is>
      </c>
    </row>
    <row r="144">
      <c r="A144" s="33" t="inlineStr">
        <is>
          <t>2026-05-18</t>
        </is>
      </c>
      <c r="B144" s="33" t="inlineStr">
        <is>
          <t>AAOI</t>
        </is>
      </c>
      <c r="C144" s="33" t="inlineStr">
        <is>
          <t>R2</t>
        </is>
      </c>
      <c r="D144" s="33" t="n">
        <v>4</v>
      </c>
      <c r="E144" s="68" t="inlineStr">
        <is>
          <t>Global; some China.</t>
        </is>
      </c>
      <c r="F144" s="68" t="inlineStr">
        <is>
          <t>AAOI Q1 FY26 + industry coverage (2026-05-18)</t>
        </is>
      </c>
      <c r="G144" s="33" t="inlineStr">
        <is>
          <t>High</t>
        </is>
      </c>
      <c r="H144" s="33" t="inlineStr">
        <is>
          <t>Initial</t>
        </is>
      </c>
    </row>
    <row r="145">
      <c r="A145" s="33" t="inlineStr">
        <is>
          <t>2026-05-18</t>
        </is>
      </c>
      <c r="B145" s="33" t="inlineStr">
        <is>
          <t>AAOI</t>
        </is>
      </c>
      <c r="C145" s="33" t="inlineStr">
        <is>
          <t>R3</t>
        </is>
      </c>
      <c r="D145" s="33" t="n">
        <v>3</v>
      </c>
      <c r="E145" s="68" t="inlineStr">
        <is>
          <t>Historically loss-making; momentum improving but B/S marginal.</t>
        </is>
      </c>
      <c r="F145" s="68" t="inlineStr">
        <is>
          <t>AAOI Q1 FY26 + industry coverage (2026-05-18)</t>
        </is>
      </c>
      <c r="G145" s="33" t="inlineStr">
        <is>
          <t>High</t>
        </is>
      </c>
      <c r="H145" s="33" t="inlineStr">
        <is>
          <t>Initial</t>
        </is>
      </c>
    </row>
    <row r="146">
      <c r="A146" s="33" t="inlineStr">
        <is>
          <t>2026-05-18</t>
        </is>
      </c>
      <c r="B146" s="33" t="inlineStr">
        <is>
          <t>AAOI</t>
        </is>
      </c>
      <c r="C146" s="33" t="inlineStr">
        <is>
          <t>R4</t>
        </is>
      </c>
      <c r="D146" s="33" t="n">
        <v>4</v>
      </c>
      <c r="E146" s="68" t="inlineStr">
        <is>
          <t>Routine.</t>
        </is>
      </c>
      <c r="F146" s="68" t="inlineStr">
        <is>
          <t>AAOI Q1 FY26 + industry coverage (2026-05-18)</t>
        </is>
      </c>
      <c r="G146" s="33" t="inlineStr">
        <is>
          <t>High</t>
        </is>
      </c>
      <c r="H146" s="33" t="inlineStr">
        <is>
          <t>Initial</t>
        </is>
      </c>
    </row>
    <row r="147">
      <c r="A147" s="33" t="inlineStr">
        <is>
          <t>2026-05-18</t>
        </is>
      </c>
      <c r="B147" s="33" t="inlineStr">
        <is>
          <t>POET</t>
        </is>
      </c>
      <c r="C147" s="33" t="inlineStr">
        <is>
          <t>D1</t>
        </is>
      </c>
      <c r="D147" s="33" t="n">
        <v>2</v>
      </c>
      <c r="E147" s="68" t="inlineStr">
        <is>
          <t>Pre-revenue / minimal revenue; speculative photonics integration.</t>
        </is>
      </c>
      <c r="F147" s="68" t="inlineStr">
        <is>
          <t>POET FY26 filings + industry coverage (2026-05-18)</t>
        </is>
      </c>
      <c r="G147" s="33" t="inlineStr">
        <is>
          <t>High</t>
        </is>
      </c>
      <c r="H147" s="33" t="inlineStr">
        <is>
          <t>Initial</t>
        </is>
      </c>
    </row>
    <row r="148">
      <c r="A148" s="33" t="inlineStr">
        <is>
          <t>2026-05-18</t>
        </is>
      </c>
      <c r="B148" s="33" t="inlineStr">
        <is>
          <t>POET</t>
        </is>
      </c>
      <c r="C148" s="33" t="inlineStr">
        <is>
          <t>D2</t>
        </is>
      </c>
      <c r="D148" s="33" t="n">
        <v>2</v>
      </c>
      <c r="E148" s="68" t="inlineStr">
        <is>
          <t>Pre-commercial; newer entrant with no customer base yet.</t>
        </is>
      </c>
      <c r="F148" s="68" t="inlineStr">
        <is>
          <t>POET FY26 filings + industry coverage (2026-05-18)</t>
        </is>
      </c>
      <c r="G148" s="33" t="inlineStr">
        <is>
          <t>High</t>
        </is>
      </c>
      <c r="H148" s="33" t="inlineStr">
        <is>
          <t>Initial</t>
        </is>
      </c>
    </row>
    <row r="149">
      <c r="A149" s="33" t="inlineStr">
        <is>
          <t>2026-05-18</t>
        </is>
      </c>
      <c r="B149" s="33" t="inlineStr">
        <is>
          <t>POET</t>
        </is>
      </c>
      <c r="C149" s="33" t="inlineStr">
        <is>
          <t>D3</t>
        </is>
      </c>
      <c r="D149" s="33" t="n">
        <v>2</v>
      </c>
      <c r="E149" s="68" t="inlineStr">
        <is>
          <t>Weak moat without commercial deployments.</t>
        </is>
      </c>
      <c r="F149" s="68" t="inlineStr">
        <is>
          <t>POET FY26 filings + industry coverage (2026-05-18)</t>
        </is>
      </c>
      <c r="G149" s="33" t="inlineStr">
        <is>
          <t>High</t>
        </is>
      </c>
      <c r="H149" s="33" t="inlineStr">
        <is>
          <t>Initial</t>
        </is>
      </c>
    </row>
    <row r="150">
      <c r="A150" s="33" t="inlineStr">
        <is>
          <t>2026-05-18</t>
        </is>
      </c>
      <c r="B150" s="33" t="inlineStr">
        <is>
          <t>POET</t>
        </is>
      </c>
      <c r="C150" s="33" t="inlineStr">
        <is>
          <t>D4</t>
        </is>
      </c>
      <c r="D150" s="33" t="n">
        <v>3</v>
      </c>
      <c r="E150" s="68" t="inlineStr">
        <is>
          <t>Capex without meaningful revenue.</t>
        </is>
      </c>
      <c r="F150" s="68" t="inlineStr">
        <is>
          <t>POET FY26 filings + industry coverage (2026-05-18)</t>
        </is>
      </c>
      <c r="G150" s="33" t="inlineStr">
        <is>
          <t>High</t>
        </is>
      </c>
      <c r="H150" s="33" t="inlineStr">
        <is>
          <t>Initial</t>
        </is>
      </c>
    </row>
    <row r="151">
      <c r="A151" s="33" t="inlineStr">
        <is>
          <t>2026-05-18</t>
        </is>
      </c>
      <c r="B151" s="33" t="inlineStr">
        <is>
          <t>POET</t>
        </is>
      </c>
      <c r="C151" s="33" t="inlineStr">
        <is>
          <t>D5</t>
        </is>
      </c>
      <c r="D151" s="33" t="n">
        <v>2</v>
      </c>
      <c r="E151" s="68" t="inlineStr">
        <is>
          <t>No anchor hyperscaler customers.</t>
        </is>
      </c>
      <c r="F151" s="68" t="inlineStr">
        <is>
          <t>POET FY26 filings + industry coverage (2026-05-18)</t>
        </is>
      </c>
      <c r="G151" s="33" t="inlineStr">
        <is>
          <t>High</t>
        </is>
      </c>
      <c r="H151" s="33" t="inlineStr">
        <is>
          <t>Initial</t>
        </is>
      </c>
    </row>
    <row r="152">
      <c r="A152" s="33" t="inlineStr">
        <is>
          <t>2026-05-18</t>
        </is>
      </c>
      <c r="B152" s="33" t="inlineStr">
        <is>
          <t>POET</t>
        </is>
      </c>
      <c r="C152" s="33" t="inlineStr">
        <is>
          <t>M1</t>
        </is>
      </c>
      <c r="D152" s="33" t="n">
        <v>1</v>
      </c>
      <c r="E152" s="68" t="inlineStr">
        <is>
          <t>0 up / 1 down on +1Y; FY revision -21.1% — NEGATIVE revision trend.</t>
        </is>
      </c>
      <c r="F152" s="68" t="inlineStr">
        <is>
          <t>POET FY26 filings + industry coverage (2026-05-18)</t>
        </is>
      </c>
      <c r="G152" s="33" t="inlineStr">
        <is>
          <t>High</t>
        </is>
      </c>
      <c r="H152" s="33" t="inlineStr">
        <is>
          <t>Initial</t>
        </is>
      </c>
    </row>
    <row r="153">
      <c r="A153" s="33" t="inlineStr">
        <is>
          <t>2026-05-18</t>
        </is>
      </c>
      <c r="B153" s="33" t="inlineStr">
        <is>
          <t>POET</t>
        </is>
      </c>
      <c r="C153" s="33" t="inlineStr">
        <is>
          <t>M2</t>
        </is>
      </c>
      <c r="D153" s="33" t="n">
        <v>5</v>
      </c>
      <c r="E153" s="68" t="inlineStr">
        <is>
          <t>+147pp vs SOXX 180d — small-cap volatility.</t>
        </is>
      </c>
      <c r="F153" s="68" t="inlineStr">
        <is>
          <t>POET FY26 filings + industry coverage (2026-05-18)</t>
        </is>
      </c>
      <c r="G153" s="33" t="inlineStr">
        <is>
          <t>High</t>
        </is>
      </c>
      <c r="H153" s="33" t="inlineStr">
        <is>
          <t>Initial</t>
        </is>
      </c>
    </row>
    <row r="154">
      <c r="A154" s="33" t="inlineStr">
        <is>
          <t>2026-05-18</t>
        </is>
      </c>
      <c r="B154" s="33" t="inlineStr">
        <is>
          <t>POET</t>
        </is>
      </c>
      <c r="C154" s="33" t="inlineStr">
        <is>
          <t>M3</t>
        </is>
      </c>
      <c r="D154" s="33" t="n">
        <v>3</v>
      </c>
      <c r="E154" s="68" t="inlineStr">
        <is>
          <t>3 disc + 318 10b5-1 sales.</t>
        </is>
      </c>
      <c r="F154" s="68" t="inlineStr">
        <is>
          <t>POET FY26 filings + industry coverage (2026-05-18)</t>
        </is>
      </c>
      <c r="G154" s="33" t="inlineStr">
        <is>
          <t>High</t>
        </is>
      </c>
      <c r="H154" s="33" t="inlineStr">
        <is>
          <t>Initial</t>
        </is>
      </c>
    </row>
    <row r="155">
      <c r="A155" s="33" t="inlineStr">
        <is>
          <t>2026-05-18</t>
        </is>
      </c>
      <c r="B155" s="33" t="inlineStr">
        <is>
          <t>POET</t>
        </is>
      </c>
      <c r="C155" s="33" t="inlineStr">
        <is>
          <t>R1</t>
        </is>
      </c>
      <c r="D155" s="33" t="n">
        <v>3</v>
      </c>
      <c r="E155" s="68" t="inlineStr">
        <is>
          <t>No revenue concentration to assess (minimal revenue).</t>
        </is>
      </c>
      <c r="F155" s="68" t="inlineStr">
        <is>
          <t>POET FY26 filings + industry coverage (2026-05-18)</t>
        </is>
      </c>
      <c r="G155" s="33" t="inlineStr">
        <is>
          <t>High</t>
        </is>
      </c>
      <c r="H155" s="33" t="inlineStr">
        <is>
          <t>Initial</t>
        </is>
      </c>
    </row>
    <row r="156">
      <c r="A156" s="33" t="inlineStr">
        <is>
          <t>2026-05-18</t>
        </is>
      </c>
      <c r="B156" s="33" t="inlineStr">
        <is>
          <t>POET</t>
        </is>
      </c>
      <c r="C156" s="33" t="inlineStr">
        <is>
          <t>R2</t>
        </is>
      </c>
      <c r="D156" s="33" t="n">
        <v>4</v>
      </c>
      <c r="E156" s="68" t="inlineStr">
        <is>
          <t>Canadian/global; minimal.</t>
        </is>
      </c>
      <c r="F156" s="68" t="inlineStr">
        <is>
          <t>POET FY26 filings + industry coverage (2026-05-18)</t>
        </is>
      </c>
      <c r="G156" s="33" t="inlineStr">
        <is>
          <t>High</t>
        </is>
      </c>
      <c r="H156" s="33" t="inlineStr">
        <is>
          <t>Initial</t>
        </is>
      </c>
    </row>
    <row r="157">
      <c r="A157" s="33" t="inlineStr">
        <is>
          <t>2026-05-18</t>
        </is>
      </c>
      <c r="B157" s="33" t="inlineStr">
        <is>
          <t>POET</t>
        </is>
      </c>
      <c r="C157" s="33" t="inlineStr">
        <is>
          <t>R3</t>
        </is>
      </c>
      <c r="D157" s="33" t="n">
        <v>2</v>
      </c>
      <c r="E157" s="68" t="inlineStr">
        <is>
          <t>Pre-revenue, burning cash; dilution risk.</t>
        </is>
      </c>
      <c r="F157" s="68" t="inlineStr">
        <is>
          <t>POET FY26 filings + industry coverage (2026-05-18)</t>
        </is>
      </c>
      <c r="G157" s="33" t="inlineStr">
        <is>
          <t>High</t>
        </is>
      </c>
      <c r="H157" s="33" t="inlineStr">
        <is>
          <t>Initial</t>
        </is>
      </c>
    </row>
    <row r="158">
      <c r="A158" s="33" t="inlineStr">
        <is>
          <t>2026-05-18</t>
        </is>
      </c>
      <c r="B158" s="33" t="inlineStr">
        <is>
          <t>POET</t>
        </is>
      </c>
      <c r="C158" s="33" t="inlineStr">
        <is>
          <t>R4</t>
        </is>
      </c>
      <c r="D158" s="33" t="n">
        <v>4</v>
      </c>
      <c r="E158" s="68" t="inlineStr">
        <is>
          <t>Routine.</t>
        </is>
      </c>
      <c r="F158" s="68" t="inlineStr">
        <is>
          <t>POET FY26 filings + industry coverage (2026-05-18)</t>
        </is>
      </c>
      <c r="G158" s="33" t="inlineStr">
        <is>
          <t>High</t>
        </is>
      </c>
      <c r="H158" s="33" t="inlineStr">
        <is>
          <t>Initial</t>
        </is>
      </c>
    </row>
    <row r="159">
      <c r="A159" s="33" t="inlineStr">
        <is>
          <t>2026-05-18</t>
        </is>
      </c>
      <c r="B159" s="33" t="inlineStr">
        <is>
          <t>ANET</t>
        </is>
      </c>
      <c r="C159" s="33" t="inlineStr">
        <is>
          <t>D1</t>
        </is>
      </c>
      <c r="D159" s="33" t="n">
        <v>4</v>
      </c>
      <c r="E159" s="68" t="inlineStr">
        <is>
          <t>2026 AI revenue target $3.5B / $11.5B = ~30% AI; could cross 50% threshold within 2027.</t>
        </is>
      </c>
      <c r="F159" s="68" t="inlineStr">
        <is>
          <t>Arista Q1 FY26 + Q1 transcript coverage (2026-05-18)</t>
        </is>
      </c>
      <c r="G159" s="33" t="inlineStr">
        <is>
          <t>High</t>
        </is>
      </c>
      <c r="H159" s="33" t="inlineStr">
        <is>
          <t>Initial</t>
        </is>
      </c>
    </row>
    <row r="160">
      <c r="A160" s="33" t="inlineStr">
        <is>
          <t>2026-05-18</t>
        </is>
      </c>
      <c r="B160" s="33" t="inlineStr">
        <is>
          <t>ANET</t>
        </is>
      </c>
      <c r="C160" s="33" t="inlineStr">
        <is>
          <t>D2</t>
        </is>
      </c>
      <c r="D160" s="33" t="n">
        <v>5</v>
      </c>
      <c r="E160" s="68" t="inlineStr">
        <is>
          <t>Premier AI Ethernet fabric. 4th hyperscaler transitioned from InfiniBand to Ethernet Q1 2026. Limited substitutes at this tier (Cisco doesn't compete here).</t>
        </is>
      </c>
      <c r="F160" s="68" t="inlineStr">
        <is>
          <t>Arista Q1 FY26 + Q1 transcript coverage (2026-05-18)</t>
        </is>
      </c>
      <c r="G160" s="33" t="inlineStr">
        <is>
          <t>High</t>
        </is>
      </c>
      <c r="H160" s="33" t="inlineStr">
        <is>
          <t>Initial</t>
        </is>
      </c>
    </row>
    <row r="161">
      <c r="A161" s="33" t="inlineStr">
        <is>
          <t>2026-05-18</t>
        </is>
      </c>
      <c r="B161" s="33" t="inlineStr">
        <is>
          <t>ANET</t>
        </is>
      </c>
      <c r="C161" s="33" t="inlineStr">
        <is>
          <t>D3</t>
        </is>
      </c>
      <c r="D161" s="33" t="n">
        <v>5</v>
      </c>
      <c r="E161" s="68" t="inlineStr">
        <is>
          <t>EOS software ecosystem, multi-year customer integration with MSFT/META/ORCL.</t>
        </is>
      </c>
      <c r="F161" s="68" t="inlineStr">
        <is>
          <t>Arista Q1 FY26 + Q1 transcript coverage (2026-05-18)</t>
        </is>
      </c>
      <c r="G161" s="33" t="inlineStr">
        <is>
          <t>High</t>
        </is>
      </c>
      <c r="H161" s="33" t="inlineStr">
        <is>
          <t>Initial</t>
        </is>
      </c>
    </row>
    <row r="162">
      <c r="A162" s="33" t="inlineStr">
        <is>
          <t>2026-05-18</t>
        </is>
      </c>
      <c r="B162" s="33" t="inlineStr">
        <is>
          <t>ANET</t>
        </is>
      </c>
      <c r="C162" s="33" t="inlineStr">
        <is>
          <t>D4</t>
        </is>
      </c>
      <c r="D162" s="33" t="n">
        <v>5</v>
      </c>
      <c r="E162" s="68" t="inlineStr">
        <is>
          <t>AI revenue $3.5B target + hyperscaler buildouts backing.</t>
        </is>
      </c>
      <c r="F162" s="68" t="inlineStr">
        <is>
          <t>Arista Q1 FY26 + Q1 transcript coverage (2026-05-18)</t>
        </is>
      </c>
      <c r="G162" s="33" t="inlineStr">
        <is>
          <t>High</t>
        </is>
      </c>
      <c r="H162" s="33" t="inlineStr">
        <is>
          <t>Initial</t>
        </is>
      </c>
    </row>
    <row r="163">
      <c r="A163" s="33" t="inlineStr">
        <is>
          <t>2026-05-18</t>
        </is>
      </c>
      <c r="B163" s="33" t="inlineStr">
        <is>
          <t>ANET</t>
        </is>
      </c>
      <c r="C163" s="33" t="inlineStr">
        <is>
          <t>D5</t>
        </is>
      </c>
      <c r="D163" s="33" t="n">
        <v>5</v>
      </c>
      <c r="E163" s="68" t="inlineStr">
        <is>
          <t>MSFT 10%+, META 10%+, ORCL named anchor. Multiple hyperscalers &gt;30% combined.</t>
        </is>
      </c>
      <c r="F163" s="68" t="inlineStr">
        <is>
          <t>Arista Q1 FY26 + Q1 transcript coverage (2026-05-18)</t>
        </is>
      </c>
      <c r="G163" s="33" t="inlineStr">
        <is>
          <t>High</t>
        </is>
      </c>
      <c r="H163" s="33" t="inlineStr">
        <is>
          <t>Initial</t>
        </is>
      </c>
    </row>
    <row r="164">
      <c r="A164" s="33" t="inlineStr">
        <is>
          <t>2026-05-18</t>
        </is>
      </c>
      <c r="B164" s="33" t="inlineStr">
        <is>
          <t>ANET</t>
        </is>
      </c>
      <c r="C164" s="33" t="inlineStr">
        <is>
          <t>M1</t>
        </is>
      </c>
      <c r="D164" s="33" t="n">
        <v>5</v>
      </c>
      <c r="E164" s="68" t="inlineStr">
        <is>
          <t>23 up / 2 down on +1Y; FY revision +2.9%. Beat-and-raise pattern.</t>
        </is>
      </c>
      <c r="F164" s="68" t="inlineStr">
        <is>
          <t>Arista Q1 FY26 + Q1 transcript coverage (2026-05-18)</t>
        </is>
      </c>
      <c r="G164" s="33" t="inlineStr">
        <is>
          <t>High</t>
        </is>
      </c>
      <c r="H164" s="33" t="inlineStr">
        <is>
          <t>Initial</t>
        </is>
      </c>
    </row>
    <row r="165">
      <c r="A165" s="33" t="inlineStr">
        <is>
          <t>2026-05-18</t>
        </is>
      </c>
      <c r="B165" s="33" t="inlineStr">
        <is>
          <t>ANET</t>
        </is>
      </c>
      <c r="C165" s="33" t="inlineStr">
        <is>
          <t>M2</t>
        </is>
      </c>
      <c r="D165" s="33" t="n">
        <v>2</v>
      </c>
      <c r="E165" s="68" t="inlineStr">
        <is>
          <t>-63pp vs SOXX 180d; -89pp 365d. Market questioning Ethernet AI fabric story (AMD-META deal). Note: vs SPY only ~+0pp 180d, so semi benchmark is harsh — could argue 3.</t>
        </is>
      </c>
      <c r="F165" s="68" t="inlineStr">
        <is>
          <t>Arista Q1 FY26 + Q1 transcript coverage (2026-05-18)</t>
        </is>
      </c>
      <c r="G165" s="33" t="inlineStr">
        <is>
          <t>High</t>
        </is>
      </c>
      <c r="H165" s="33" t="inlineStr">
        <is>
          <t>Initial</t>
        </is>
      </c>
    </row>
    <row r="166">
      <c r="A166" s="33" t="inlineStr">
        <is>
          <t>2026-05-18</t>
        </is>
      </c>
      <c r="B166" s="33" t="inlineStr">
        <is>
          <t>ANET</t>
        </is>
      </c>
      <c r="C166" s="33" t="inlineStr">
        <is>
          <t>M3</t>
        </is>
      </c>
      <c r="D166" s="33" t="n">
        <v>3</v>
      </c>
      <c r="E166" s="68" t="inlineStr">
        <is>
          <t>3 disc + 64 10b5-1 sales; routine.</t>
        </is>
      </c>
      <c r="F166" s="68" t="inlineStr">
        <is>
          <t>Arista Q1 FY26 + Q1 transcript coverage (2026-05-18)</t>
        </is>
      </c>
      <c r="G166" s="33" t="inlineStr">
        <is>
          <t>High</t>
        </is>
      </c>
      <c r="H166" s="33" t="inlineStr">
        <is>
          <t>Initial</t>
        </is>
      </c>
    </row>
    <row r="167">
      <c r="A167" s="33" t="inlineStr">
        <is>
          <t>2026-05-18</t>
        </is>
      </c>
      <c r="B167" s="33" t="inlineStr">
        <is>
          <t>ANET</t>
        </is>
      </c>
      <c r="C167" s="33" t="inlineStr">
        <is>
          <t>R1</t>
        </is>
      </c>
      <c r="D167" s="33" t="n">
        <v>3</v>
      </c>
      <c r="E167" s="68" t="inlineStr">
        <is>
          <t>MSFT + META + Oracle combined ~30%+ — cluster concentration.</t>
        </is>
      </c>
      <c r="F167" s="68" t="inlineStr">
        <is>
          <t>Arista Q1 FY26 + Q1 transcript coverage (2026-05-18)</t>
        </is>
      </c>
      <c r="G167" s="33" t="inlineStr">
        <is>
          <t>High</t>
        </is>
      </c>
      <c r="H167" s="33" t="inlineStr">
        <is>
          <t>Initial</t>
        </is>
      </c>
    </row>
    <row r="168">
      <c r="A168" s="33" t="inlineStr">
        <is>
          <t>2026-05-18</t>
        </is>
      </c>
      <c r="B168" s="33" t="inlineStr">
        <is>
          <t>ANET</t>
        </is>
      </c>
      <c r="C168" s="33" t="inlineStr">
        <is>
          <t>R2</t>
        </is>
      </c>
      <c r="D168" s="33" t="n">
        <v>4</v>
      </c>
      <c r="E168" s="68" t="inlineStr">
        <is>
          <t>Global; minimal export-control exposure.</t>
        </is>
      </c>
      <c r="F168" s="68" t="inlineStr">
        <is>
          <t>Arista Q1 FY26 + Q1 transcript coverage (2026-05-18)</t>
        </is>
      </c>
      <c r="G168" s="33" t="inlineStr">
        <is>
          <t>High</t>
        </is>
      </c>
      <c r="H168" s="33" t="inlineStr">
        <is>
          <t>Initial</t>
        </is>
      </c>
    </row>
    <row r="169">
      <c r="A169" s="33" t="inlineStr">
        <is>
          <t>2026-05-18</t>
        </is>
      </c>
      <c r="B169" s="33" t="inlineStr">
        <is>
          <t>ANET</t>
        </is>
      </c>
      <c r="C169" s="33" t="inlineStr">
        <is>
          <t>R3</t>
        </is>
      </c>
      <c r="D169" s="33" t="n">
        <v>5</v>
      </c>
      <c r="E169" s="68" t="inlineStr">
        <is>
          <t>Net cash position; strong FCF.</t>
        </is>
      </c>
      <c r="F169" s="68" t="inlineStr">
        <is>
          <t>Arista Q1 FY26 + Q1 transcript coverage (2026-05-18)</t>
        </is>
      </c>
      <c r="G169" s="33" t="inlineStr">
        <is>
          <t>High</t>
        </is>
      </c>
      <c r="H169" s="33" t="inlineStr">
        <is>
          <t>Initial</t>
        </is>
      </c>
    </row>
    <row r="170">
      <c r="A170" s="33" t="inlineStr">
        <is>
          <t>2026-05-18</t>
        </is>
      </c>
      <c r="B170" s="33" t="inlineStr">
        <is>
          <t>ANET</t>
        </is>
      </c>
      <c r="C170" s="33" t="inlineStr">
        <is>
          <t>R4</t>
        </is>
      </c>
      <c r="D170" s="33" t="n">
        <v>4</v>
      </c>
      <c r="E170" s="68" t="inlineStr">
        <is>
          <t>Routine.</t>
        </is>
      </c>
      <c r="F170" s="68" t="inlineStr">
        <is>
          <t>Arista Q1 FY26 + Q1 transcript coverage (2026-05-18)</t>
        </is>
      </c>
      <c r="G170" s="33" t="inlineStr">
        <is>
          <t>High</t>
        </is>
      </c>
      <c r="H170" s="33" t="inlineStr">
        <is>
          <t>Initial</t>
        </is>
      </c>
    </row>
    <row r="171">
      <c r="A171" s="33" t="inlineStr">
        <is>
          <t>2026-05-18</t>
        </is>
      </c>
      <c r="B171" s="33" t="inlineStr">
        <is>
          <t>CSCO</t>
        </is>
      </c>
      <c r="C171" s="33" t="inlineStr">
        <is>
          <t>D1</t>
        </is>
      </c>
      <c r="D171" s="33" t="n">
        <v>2</v>
      </c>
      <c r="E171" s="68" t="inlineStr">
        <is>
          <t>AI is small portion of revenue; legacy enterprise networking dominant. Single-digit % AI-tied.</t>
        </is>
      </c>
      <c r="F171" s="68" t="inlineStr">
        <is>
          <t>Cisco Q3 FY26 + industry coverage (2026-05-18)</t>
        </is>
      </c>
      <c r="G171" s="33" t="inlineStr">
        <is>
          <t>High</t>
        </is>
      </c>
      <c r="H171" s="33" t="inlineStr">
        <is>
          <t>Initial</t>
        </is>
      </c>
    </row>
    <row r="172">
      <c r="A172" s="33" t="inlineStr">
        <is>
          <t>2026-05-18</t>
        </is>
      </c>
      <c r="B172" s="33" t="inlineStr">
        <is>
          <t>CSCO</t>
        </is>
      </c>
      <c r="C172" s="33" t="inlineStr">
        <is>
          <t>D2</t>
        </is>
      </c>
      <c r="D172" s="33" t="n">
        <v>3</v>
      </c>
      <c r="E172" s="68" t="inlineStr">
        <is>
          <t>Incumbent in enterprise networking; mature competitive position.</t>
        </is>
      </c>
      <c r="F172" s="68" t="inlineStr">
        <is>
          <t>Cisco Q3 FY26 + industry coverage (2026-05-18)</t>
        </is>
      </c>
      <c r="G172" s="33" t="inlineStr">
        <is>
          <t>High</t>
        </is>
      </c>
      <c r="H172" s="33" t="inlineStr">
        <is>
          <t>Initial</t>
        </is>
      </c>
    </row>
    <row r="173">
      <c r="A173" s="33" t="inlineStr">
        <is>
          <t>2026-05-18</t>
        </is>
      </c>
      <c r="B173" s="33" t="inlineStr">
        <is>
          <t>CSCO</t>
        </is>
      </c>
      <c r="C173" s="33" t="inlineStr">
        <is>
          <t>D3</t>
        </is>
      </c>
      <c r="D173" s="33" t="n">
        <v>4</v>
      </c>
      <c r="E173" s="68" t="inlineStr">
        <is>
          <t>Massive installed base + switching costs (enterprise IT lock-in).</t>
        </is>
      </c>
      <c r="F173" s="68" t="inlineStr">
        <is>
          <t>Cisco Q3 FY26 + industry coverage (2026-05-18)</t>
        </is>
      </c>
      <c r="G173" s="33" t="inlineStr">
        <is>
          <t>High</t>
        </is>
      </c>
      <c r="H173" s="33" t="inlineStr">
        <is>
          <t>Initial</t>
        </is>
      </c>
    </row>
    <row r="174">
      <c r="A174" s="33" t="inlineStr">
        <is>
          <t>2026-05-18</t>
        </is>
      </c>
      <c r="B174" s="33" t="inlineStr">
        <is>
          <t>CSCO</t>
        </is>
      </c>
      <c r="C174" s="33" t="inlineStr">
        <is>
          <t>D4</t>
        </is>
      </c>
      <c r="D174" s="33" t="n">
        <v>3</v>
      </c>
      <c r="E174" s="68" t="inlineStr">
        <is>
          <t>Mature capex; modest growth.</t>
        </is>
      </c>
      <c r="F174" s="68" t="inlineStr">
        <is>
          <t>Cisco Q3 FY26 + industry coverage (2026-05-18)</t>
        </is>
      </c>
      <c r="G174" s="33" t="inlineStr">
        <is>
          <t>High</t>
        </is>
      </c>
      <c r="H174" s="33" t="inlineStr">
        <is>
          <t>Initial</t>
        </is>
      </c>
    </row>
    <row r="175">
      <c r="A175" s="33" t="inlineStr">
        <is>
          <t>2026-05-18</t>
        </is>
      </c>
      <c r="B175" s="33" t="inlineStr">
        <is>
          <t>CSCO</t>
        </is>
      </c>
      <c r="C175" s="33" t="inlineStr">
        <is>
          <t>D5</t>
        </is>
      </c>
      <c r="D175" s="33" t="n">
        <v>3</v>
      </c>
      <c r="E175" s="68" t="inlineStr">
        <is>
          <t>Some hyperscaler exposure but not anchor relationships.</t>
        </is>
      </c>
      <c r="F175" s="68" t="inlineStr">
        <is>
          <t>Cisco Q3 FY26 + industry coverage (2026-05-18)</t>
        </is>
      </c>
      <c r="G175" s="33" t="inlineStr">
        <is>
          <t>High</t>
        </is>
      </c>
      <c r="H175" s="33" t="inlineStr">
        <is>
          <t>Initial</t>
        </is>
      </c>
    </row>
    <row r="176">
      <c r="A176" s="33" t="inlineStr">
        <is>
          <t>2026-05-18</t>
        </is>
      </c>
      <c r="B176" s="33" t="inlineStr">
        <is>
          <t>CSCO</t>
        </is>
      </c>
      <c r="C176" s="33" t="inlineStr">
        <is>
          <t>M1</t>
        </is>
      </c>
      <c r="D176" s="33" t="n">
        <v>3</v>
      </c>
      <c r="E176" s="68" t="inlineStr">
        <is>
          <t>1 up / 0 down on +1Y; FY revision +2.9%. Limited revision activity.</t>
        </is>
      </c>
      <c r="F176" s="68" t="inlineStr">
        <is>
          <t>Cisco Q3 FY26 + industry coverage (2026-05-18)</t>
        </is>
      </c>
      <c r="G176" s="33" t="inlineStr">
        <is>
          <t>High</t>
        </is>
      </c>
      <c r="H176" s="33" t="inlineStr">
        <is>
          <t>Initial</t>
        </is>
      </c>
    </row>
    <row r="177">
      <c r="A177" s="33" t="inlineStr">
        <is>
          <t>2026-05-18</t>
        </is>
      </c>
      <c r="B177" s="33" t="inlineStr">
        <is>
          <t>CSCO</t>
        </is>
      </c>
      <c r="C177" s="33" t="inlineStr">
        <is>
          <t>M2</t>
        </is>
      </c>
      <c r="D177" s="33" t="n">
        <v>3</v>
      </c>
      <c r="E177" s="68" t="inlineStr">
        <is>
          <t>-23pp vs SOXX 180d; +40pp vs SPY 180d. In-line broader market, lagging semis.</t>
        </is>
      </c>
      <c r="F177" s="68" t="inlineStr">
        <is>
          <t>Cisco Q3 FY26 + industry coverage (2026-05-18)</t>
        </is>
      </c>
      <c r="G177" s="33" t="inlineStr">
        <is>
          <t>High</t>
        </is>
      </c>
      <c r="H177" s="33" t="inlineStr">
        <is>
          <t>Initial</t>
        </is>
      </c>
    </row>
    <row r="178">
      <c r="A178" s="33" t="inlineStr">
        <is>
          <t>2026-05-18</t>
        </is>
      </c>
      <c r="B178" s="33" t="inlineStr">
        <is>
          <t>CSCO</t>
        </is>
      </c>
      <c r="C178" s="33" t="inlineStr">
        <is>
          <t>M3</t>
        </is>
      </c>
      <c r="D178" s="33" t="n">
        <v>3</v>
      </c>
      <c r="E178" s="68" t="inlineStr">
        <is>
          <t>3 disc + 59 10b5-1; routine.</t>
        </is>
      </c>
      <c r="F178" s="68" t="inlineStr">
        <is>
          <t>Cisco Q3 FY26 + industry coverage (2026-05-18)</t>
        </is>
      </c>
      <c r="G178" s="33" t="inlineStr">
        <is>
          <t>High</t>
        </is>
      </c>
      <c r="H178" s="33" t="inlineStr">
        <is>
          <t>Initial</t>
        </is>
      </c>
    </row>
    <row r="179">
      <c r="A179" s="33" t="inlineStr">
        <is>
          <t>2026-05-18</t>
        </is>
      </c>
      <c r="B179" s="33" t="inlineStr">
        <is>
          <t>CSCO</t>
        </is>
      </c>
      <c r="C179" s="33" t="inlineStr">
        <is>
          <t>R1</t>
        </is>
      </c>
      <c r="D179" s="33" t="n">
        <v>5</v>
      </c>
      <c r="E179" s="68" t="inlineStr">
        <is>
          <t>Diversified enterprise customer base — top customer minimal.</t>
        </is>
      </c>
      <c r="F179" s="68" t="inlineStr">
        <is>
          <t>Cisco Q3 FY26 + industry coverage (2026-05-18)</t>
        </is>
      </c>
      <c r="G179" s="33" t="inlineStr">
        <is>
          <t>High</t>
        </is>
      </c>
      <c r="H179" s="33" t="inlineStr">
        <is>
          <t>Initial</t>
        </is>
      </c>
    </row>
    <row r="180">
      <c r="A180" s="33" t="inlineStr">
        <is>
          <t>2026-05-18</t>
        </is>
      </c>
      <c r="B180" s="33" t="inlineStr">
        <is>
          <t>CSCO</t>
        </is>
      </c>
      <c r="C180" s="33" t="inlineStr">
        <is>
          <t>R2</t>
        </is>
      </c>
      <c r="D180" s="33" t="n">
        <v>4</v>
      </c>
      <c r="E180" s="68" t="inlineStr">
        <is>
          <t>Global.</t>
        </is>
      </c>
      <c r="F180" s="68" t="inlineStr">
        <is>
          <t>Cisco Q3 FY26 + industry coverage (2026-05-18)</t>
        </is>
      </c>
      <c r="G180" s="33" t="inlineStr">
        <is>
          <t>High</t>
        </is>
      </c>
      <c r="H180" s="33" t="inlineStr">
        <is>
          <t>Initial</t>
        </is>
      </c>
    </row>
    <row r="181">
      <c r="A181" s="33" t="inlineStr">
        <is>
          <t>2026-05-18</t>
        </is>
      </c>
      <c r="B181" s="33" t="inlineStr">
        <is>
          <t>CSCO</t>
        </is>
      </c>
      <c r="C181" s="33" t="inlineStr">
        <is>
          <t>R3</t>
        </is>
      </c>
      <c r="D181" s="33" t="n">
        <v>4</v>
      </c>
      <c r="E181" s="68" t="inlineStr">
        <is>
          <t>Strong; Splunk integration completing.</t>
        </is>
      </c>
      <c r="F181" s="68" t="inlineStr">
        <is>
          <t>Cisco Q3 FY26 + industry coverage (2026-05-18)</t>
        </is>
      </c>
      <c r="G181" s="33" t="inlineStr">
        <is>
          <t>High</t>
        </is>
      </c>
      <c r="H181" s="33" t="inlineStr">
        <is>
          <t>Initial</t>
        </is>
      </c>
    </row>
    <row r="182">
      <c r="A182" s="33" t="inlineStr">
        <is>
          <t>2026-05-18</t>
        </is>
      </c>
      <c r="B182" s="33" t="inlineStr">
        <is>
          <t>CSCO</t>
        </is>
      </c>
      <c r="C182" s="33" t="inlineStr">
        <is>
          <t>R4</t>
        </is>
      </c>
      <c r="D182" s="33" t="n">
        <v>4</v>
      </c>
      <c r="E182" s="68" t="inlineStr">
        <is>
          <t>Routine; Splunk integration largely complete.</t>
        </is>
      </c>
      <c r="F182" s="68" t="inlineStr">
        <is>
          <t>Cisco Q3 FY26 + industry coverage (2026-05-18)</t>
        </is>
      </c>
      <c r="G182" s="33" t="inlineStr">
        <is>
          <t>High</t>
        </is>
      </c>
      <c r="H182" s="33" t="inlineStr">
        <is>
          <t>Initial</t>
        </is>
      </c>
    </row>
    <row r="183">
      <c r="A183" s="33" t="inlineStr">
        <is>
          <t>2026-05-18</t>
        </is>
      </c>
      <c r="B183" s="33" t="inlineStr">
        <is>
          <t>CIEN</t>
        </is>
      </c>
      <c r="C183" s="33" t="inlineStr">
        <is>
          <t>D1</t>
        </is>
      </c>
      <c r="D183" s="33" t="n">
        <v>4</v>
      </c>
      <c r="E183" s="68" t="inlineStr">
        <is>
          <t>Cloud/AI 'record contribution' FY25, growing fast (~30-40% data center now).</t>
        </is>
      </c>
      <c r="F183" s="68" t="inlineStr">
        <is>
          <t>Ciena Q1 FY26 + WaveLogic 6E customer ramp coverage (2026-05-18)</t>
        </is>
      </c>
      <c r="G183" s="33" t="inlineStr">
        <is>
          <t>High</t>
        </is>
      </c>
      <c r="H183" s="33" t="inlineStr">
        <is>
          <t>Initial</t>
        </is>
      </c>
    </row>
    <row r="184">
      <c r="A184" s="33" t="inlineStr">
        <is>
          <t>2026-05-18</t>
        </is>
      </c>
      <c r="B184" s="33" t="inlineStr">
        <is>
          <t>CIEN</t>
        </is>
      </c>
      <c r="C184" s="33" t="inlineStr">
        <is>
          <t>D2</t>
        </is>
      </c>
      <c r="D184" s="33" t="n">
        <v>4</v>
      </c>
      <c r="E184" s="68" t="inlineStr">
        <is>
          <t>WaveLogic 6 Extreme (1.6T) coherent optics leader; 49 customers in 2 quarters of WL6E ramp.</t>
        </is>
      </c>
      <c r="F184" s="68" t="inlineStr">
        <is>
          <t>Ciena Q1 FY26 + WaveLogic 6E customer ramp coverage (2026-05-18)</t>
        </is>
      </c>
      <c r="G184" s="33" t="inlineStr">
        <is>
          <t>High</t>
        </is>
      </c>
      <c r="H184" s="33" t="inlineStr">
        <is>
          <t>Initial</t>
        </is>
      </c>
    </row>
    <row r="185">
      <c r="A185" s="33" t="inlineStr">
        <is>
          <t>2026-05-18</t>
        </is>
      </c>
      <c r="B185" s="33" t="inlineStr">
        <is>
          <t>CIEN</t>
        </is>
      </c>
      <c r="C185" s="33" t="inlineStr">
        <is>
          <t>D3</t>
        </is>
      </c>
      <c r="D185" s="33" t="n">
        <v>4</v>
      </c>
      <c r="E185" s="68" t="inlineStr">
        <is>
          <t>Coherent optics IP; multi-generation customer integration.</t>
        </is>
      </c>
      <c r="F185" s="68" t="inlineStr">
        <is>
          <t>Ciena Q1 FY26 + WaveLogic 6E customer ramp coverage (2026-05-18)</t>
        </is>
      </c>
      <c r="G185" s="33" t="inlineStr">
        <is>
          <t>High</t>
        </is>
      </c>
      <c r="H185" s="33" t="inlineStr">
        <is>
          <t>Initial</t>
        </is>
      </c>
    </row>
    <row r="186">
      <c r="A186" s="33" t="inlineStr">
        <is>
          <t>2026-05-18</t>
        </is>
      </c>
      <c r="B186" s="33" t="inlineStr">
        <is>
          <t>CIEN</t>
        </is>
      </c>
      <c r="C186" s="33" t="inlineStr">
        <is>
          <t>D4</t>
        </is>
      </c>
      <c r="D186" s="33" t="n">
        <v>5</v>
      </c>
      <c r="E186" s="68" t="inlineStr">
        <is>
          <t>WL6E ramp + AI DC interconnect demand backing buildout.</t>
        </is>
      </c>
      <c r="F186" s="68" t="inlineStr">
        <is>
          <t>Ciena Q1 FY26 + WaveLogic 6E customer ramp coverage (2026-05-18)</t>
        </is>
      </c>
      <c r="G186" s="33" t="inlineStr">
        <is>
          <t>High</t>
        </is>
      </c>
      <c r="H186" s="33" t="inlineStr">
        <is>
          <t>Initial</t>
        </is>
      </c>
    </row>
    <row r="187">
      <c r="A187" s="33" t="inlineStr">
        <is>
          <t>2026-05-18</t>
        </is>
      </c>
      <c r="B187" s="33" t="inlineStr">
        <is>
          <t>CIEN</t>
        </is>
      </c>
      <c r="C187" s="33" t="inlineStr">
        <is>
          <t>D5</t>
        </is>
      </c>
      <c r="D187" s="33" t="n">
        <v>4</v>
      </c>
      <c r="E187" s="68" t="inlineStr">
        <is>
          <t>Cloud providers as customers — record cloud contribution FY25.</t>
        </is>
      </c>
      <c r="F187" s="68" t="inlineStr">
        <is>
          <t>Ciena Q1 FY26 + WaveLogic 6E customer ramp coverage (2026-05-18)</t>
        </is>
      </c>
      <c r="G187" s="33" t="inlineStr">
        <is>
          <t>High</t>
        </is>
      </c>
      <c r="H187" s="33" t="inlineStr">
        <is>
          <t>Initial</t>
        </is>
      </c>
    </row>
    <row r="188">
      <c r="A188" s="33" t="inlineStr">
        <is>
          <t>2026-05-18</t>
        </is>
      </c>
      <c r="B188" s="33" t="inlineStr">
        <is>
          <t>CIEN</t>
        </is>
      </c>
      <c r="C188" s="33" t="inlineStr">
        <is>
          <t>M1</t>
        </is>
      </c>
      <c r="D188" s="33" t="n">
        <v>5</v>
      </c>
      <c r="E188" s="68" t="inlineStr">
        <is>
          <t>6 up / 0 down on +1Y; FY revision +16.9% — biggest mover in Layer 7.</t>
        </is>
      </c>
      <c r="F188" s="68" t="inlineStr">
        <is>
          <t>Ciena Q1 FY26 + WaveLogic 6E customer ramp coverage (2026-05-18)</t>
        </is>
      </c>
      <c r="G188" s="33" t="inlineStr">
        <is>
          <t>High</t>
        </is>
      </c>
      <c r="H188" s="33" t="inlineStr">
        <is>
          <t>Initial</t>
        </is>
      </c>
    </row>
    <row r="189">
      <c r="A189" s="33" t="inlineStr">
        <is>
          <t>2026-05-18</t>
        </is>
      </c>
      <c r="B189" s="33" t="inlineStr">
        <is>
          <t>CIEN</t>
        </is>
      </c>
      <c r="C189" s="33" t="inlineStr">
        <is>
          <t>M2</t>
        </is>
      </c>
      <c r="D189" s="33" t="n">
        <v>5</v>
      </c>
      <c r="E189" s="68" t="inlineStr">
        <is>
          <t>+101pp vs SOXX 180d; +410pp 365d. Strong outperformance.</t>
        </is>
      </c>
      <c r="F189" s="68" t="inlineStr">
        <is>
          <t>Ciena Q1 FY26 + WaveLogic 6E customer ramp coverage (2026-05-18)</t>
        </is>
      </c>
      <c r="G189" s="33" t="inlineStr">
        <is>
          <t>High</t>
        </is>
      </c>
      <c r="H189" s="33" t="inlineStr">
        <is>
          <t>Initial</t>
        </is>
      </c>
    </row>
    <row r="190">
      <c r="A190" s="33" t="inlineStr">
        <is>
          <t>2026-05-18</t>
        </is>
      </c>
      <c r="B190" s="33" t="inlineStr">
        <is>
          <t>CIEN</t>
        </is>
      </c>
      <c r="C190" s="33" t="inlineStr">
        <is>
          <t>M3</t>
        </is>
      </c>
      <c r="D190" s="33" t="n">
        <v>3</v>
      </c>
      <c r="E190" s="68" t="inlineStr">
        <is>
          <t>32 disc + 0 10b5-1 — high discretionary selling but no drawdown.</t>
        </is>
      </c>
      <c r="F190" s="68" t="inlineStr">
        <is>
          <t>Ciena Q1 FY26 + WaveLogic 6E customer ramp coverage (2026-05-18)</t>
        </is>
      </c>
      <c r="G190" s="33" t="inlineStr">
        <is>
          <t>High</t>
        </is>
      </c>
      <c r="H190" s="33" t="inlineStr">
        <is>
          <t>Initial</t>
        </is>
      </c>
    </row>
    <row r="191">
      <c r="A191" s="33" t="inlineStr">
        <is>
          <t>2026-05-18</t>
        </is>
      </c>
      <c r="B191" s="33" t="inlineStr">
        <is>
          <t>CIEN</t>
        </is>
      </c>
      <c r="C191" s="33" t="inlineStr">
        <is>
          <t>R1</t>
        </is>
      </c>
      <c r="D191" s="33" t="n">
        <v>4</v>
      </c>
      <c r="E191" s="68" t="inlineStr">
        <is>
          <t>Diversified between telco + cloud.</t>
        </is>
      </c>
      <c r="F191" s="68" t="inlineStr">
        <is>
          <t>Ciena Q1 FY26 + WaveLogic 6E customer ramp coverage (2026-05-18)</t>
        </is>
      </c>
      <c r="G191" s="33" t="inlineStr">
        <is>
          <t>High</t>
        </is>
      </c>
      <c r="H191" s="33" t="inlineStr">
        <is>
          <t>Initial</t>
        </is>
      </c>
    </row>
    <row r="192">
      <c r="A192" s="33" t="inlineStr">
        <is>
          <t>2026-05-18</t>
        </is>
      </c>
      <c r="B192" s="33" t="inlineStr">
        <is>
          <t>CIEN</t>
        </is>
      </c>
      <c r="C192" s="33" t="inlineStr">
        <is>
          <t>R2</t>
        </is>
      </c>
      <c r="D192" s="33" t="n">
        <v>4</v>
      </c>
      <c r="E192" s="68" t="inlineStr">
        <is>
          <t>Global.</t>
        </is>
      </c>
      <c r="F192" s="68" t="inlineStr">
        <is>
          <t>Ciena Q1 FY26 + WaveLogic 6E customer ramp coverage (2026-05-18)</t>
        </is>
      </c>
      <c r="G192" s="33" t="inlineStr">
        <is>
          <t>High</t>
        </is>
      </c>
      <c r="H192" s="33" t="inlineStr">
        <is>
          <t>Initial</t>
        </is>
      </c>
    </row>
    <row r="193">
      <c r="A193" s="33" t="inlineStr">
        <is>
          <t>2026-05-18</t>
        </is>
      </c>
      <c r="B193" s="33" t="inlineStr">
        <is>
          <t>CIEN</t>
        </is>
      </c>
      <c r="C193" s="33" t="inlineStr">
        <is>
          <t>R3</t>
        </is>
      </c>
      <c r="D193" s="33" t="n">
        <v>4</v>
      </c>
      <c r="E193" s="68" t="inlineStr">
        <is>
          <t>Strong balance sheet, positive FCF.</t>
        </is>
      </c>
      <c r="F193" s="68" t="inlineStr">
        <is>
          <t>Ciena Q1 FY26 + WaveLogic 6E customer ramp coverage (2026-05-18)</t>
        </is>
      </c>
      <c r="G193" s="33" t="inlineStr">
        <is>
          <t>High</t>
        </is>
      </c>
      <c r="H193" s="33" t="inlineStr">
        <is>
          <t>Initial</t>
        </is>
      </c>
    </row>
    <row r="194">
      <c r="A194" s="33" t="inlineStr">
        <is>
          <t>2026-05-18</t>
        </is>
      </c>
      <c r="B194" s="33" t="inlineStr">
        <is>
          <t>CIEN</t>
        </is>
      </c>
      <c r="C194" s="33" t="inlineStr">
        <is>
          <t>R4</t>
        </is>
      </c>
      <c r="D194" s="33" t="n">
        <v>4</v>
      </c>
      <c r="E194" s="68" t="inlineStr">
        <is>
          <t>Routine.</t>
        </is>
      </c>
      <c r="F194" s="68" t="inlineStr">
        <is>
          <t>Ciena Q1 FY26 + WaveLogic 6E customer ramp coverage (2026-05-18)</t>
        </is>
      </c>
      <c r="G194" s="33" t="inlineStr">
        <is>
          <t>High</t>
        </is>
      </c>
      <c r="H194" s="33" t="inlineStr">
        <is>
          <t>Initial</t>
        </is>
      </c>
    </row>
    <row r="195">
      <c r="A195" s="33" t="inlineStr">
        <is>
          <t>2026-05-18</t>
        </is>
      </c>
      <c r="B195" s="33" t="inlineStr">
        <is>
          <t>APH</t>
        </is>
      </c>
      <c r="C195" s="33" t="inlineStr">
        <is>
          <t>D1</t>
        </is>
      </c>
      <c r="D195" s="33" t="n">
        <v>3</v>
      </c>
      <c r="E195" s="68" t="inlineStr">
        <is>
          <t>Connectors for high-speed AI clusters meaningful; broader industrial/IT diversification.</t>
        </is>
      </c>
      <c r="F195" s="68" t="inlineStr">
        <is>
          <t>Amphenol Q1 FY26 + industry coverage (2026-05-18)</t>
        </is>
      </c>
      <c r="G195" s="33" t="inlineStr">
        <is>
          <t>High</t>
        </is>
      </c>
      <c r="H195" s="33" t="inlineStr">
        <is>
          <t>Initial</t>
        </is>
      </c>
    </row>
    <row r="196">
      <c r="A196" s="33" t="inlineStr">
        <is>
          <t>2026-05-18</t>
        </is>
      </c>
      <c r="B196" s="33" t="inlineStr">
        <is>
          <t>APH</t>
        </is>
      </c>
      <c r="C196" s="33" t="inlineStr">
        <is>
          <t>D2</t>
        </is>
      </c>
      <c r="D196" s="33" t="n">
        <v>3</v>
      </c>
      <c r="E196" s="68" t="inlineStr">
        <is>
          <t>Largest interconnect company globally; commoditized in many segments.</t>
        </is>
      </c>
      <c r="F196" s="68" t="inlineStr">
        <is>
          <t>Amphenol Q1 FY26 + industry coverage (2026-05-18)</t>
        </is>
      </c>
      <c r="G196" s="33" t="inlineStr">
        <is>
          <t>High</t>
        </is>
      </c>
      <c r="H196" s="33" t="inlineStr">
        <is>
          <t>Initial</t>
        </is>
      </c>
    </row>
    <row r="197">
      <c r="A197" s="33" t="inlineStr">
        <is>
          <t>2026-05-18</t>
        </is>
      </c>
      <c r="B197" s="33" t="inlineStr">
        <is>
          <t>APH</t>
        </is>
      </c>
      <c r="C197" s="33" t="inlineStr">
        <is>
          <t>D3</t>
        </is>
      </c>
      <c r="D197" s="33" t="n">
        <v>4</v>
      </c>
      <c r="E197" s="68" t="inlineStr">
        <is>
          <t>Scale + customer entrenchment; multi-decade customer relationships.</t>
        </is>
      </c>
      <c r="F197" s="68" t="inlineStr">
        <is>
          <t>Amphenol Q1 FY26 + industry coverage (2026-05-18)</t>
        </is>
      </c>
      <c r="G197" s="33" t="inlineStr">
        <is>
          <t>High</t>
        </is>
      </c>
      <c r="H197" s="33" t="inlineStr">
        <is>
          <t>Initial</t>
        </is>
      </c>
    </row>
    <row r="198">
      <c r="A198" s="33" t="inlineStr">
        <is>
          <t>2026-05-18</t>
        </is>
      </c>
      <c r="B198" s="33" t="inlineStr">
        <is>
          <t>APH</t>
        </is>
      </c>
      <c r="C198" s="33" t="inlineStr">
        <is>
          <t>D4</t>
        </is>
      </c>
      <c r="D198" s="33" t="n">
        <v>4</v>
      </c>
      <c r="E198" s="68" t="inlineStr">
        <is>
          <t>Active expansion across segments.</t>
        </is>
      </c>
      <c r="F198" s="68" t="inlineStr">
        <is>
          <t>Amphenol Q1 FY26 + industry coverage (2026-05-18)</t>
        </is>
      </c>
      <c r="G198" s="33" t="inlineStr">
        <is>
          <t>High</t>
        </is>
      </c>
      <c r="H198" s="33" t="inlineStr">
        <is>
          <t>Initial</t>
        </is>
      </c>
    </row>
    <row r="199">
      <c r="A199" s="33" t="inlineStr">
        <is>
          <t>2026-05-18</t>
        </is>
      </c>
      <c r="B199" s="33" t="inlineStr">
        <is>
          <t>APH</t>
        </is>
      </c>
      <c r="C199" s="33" t="inlineStr">
        <is>
          <t>D5</t>
        </is>
      </c>
      <c r="D199" s="33" t="n">
        <v>4</v>
      </c>
      <c r="E199" s="68" t="inlineStr">
        <is>
          <t>Indirect hyperscaler exposure via NVDA AI servers and others.</t>
        </is>
      </c>
      <c r="F199" s="68" t="inlineStr">
        <is>
          <t>Amphenol Q1 FY26 + industry coverage (2026-05-18)</t>
        </is>
      </c>
      <c r="G199" s="33" t="inlineStr">
        <is>
          <t>High</t>
        </is>
      </c>
      <c r="H199" s="33" t="inlineStr">
        <is>
          <t>Initial</t>
        </is>
      </c>
    </row>
    <row r="200">
      <c r="A200" s="33" t="inlineStr">
        <is>
          <t>2026-05-18</t>
        </is>
      </c>
      <c r="B200" s="33" t="inlineStr">
        <is>
          <t>APH</t>
        </is>
      </c>
      <c r="C200" s="33" t="inlineStr">
        <is>
          <t>M1</t>
        </is>
      </c>
      <c r="D200" s="33" t="n">
        <v>4</v>
      </c>
      <c r="E200" s="68" t="inlineStr">
        <is>
          <t>13 up / 1 down on +1Y; FY revision +9.8%.</t>
        </is>
      </c>
      <c r="F200" s="68" t="inlineStr">
        <is>
          <t>Amphenol Q1 FY26 + industry coverage (2026-05-18)</t>
        </is>
      </c>
      <c r="G200" s="33" t="inlineStr">
        <is>
          <t>High</t>
        </is>
      </c>
      <c r="H200" s="33" t="inlineStr">
        <is>
          <t>Initial</t>
        </is>
      </c>
    </row>
    <row r="201">
      <c r="A201" s="33" t="inlineStr">
        <is>
          <t>2026-05-18</t>
        </is>
      </c>
      <c r="B201" s="33" t="inlineStr">
        <is>
          <t>APH</t>
        </is>
      </c>
      <c r="C201" s="33" t="inlineStr">
        <is>
          <t>M2</t>
        </is>
      </c>
      <c r="D201" s="33" t="n">
        <v>2</v>
      </c>
      <c r="E201" s="68" t="inlineStr">
        <is>
          <t>-86pp vs SOXX 180d; -22pp vs SPY. Lagging broader market.</t>
        </is>
      </c>
      <c r="F201" s="68" t="inlineStr">
        <is>
          <t>Amphenol Q1 FY26 + industry coverage (2026-05-18)</t>
        </is>
      </c>
      <c r="G201" s="33" t="inlineStr">
        <is>
          <t>High</t>
        </is>
      </c>
      <c r="H201" s="33" t="inlineStr">
        <is>
          <t>Initial</t>
        </is>
      </c>
    </row>
    <row r="202">
      <c r="A202" s="33" t="inlineStr">
        <is>
          <t>2026-05-18</t>
        </is>
      </c>
      <c r="B202" s="33" t="inlineStr">
        <is>
          <t>APH</t>
        </is>
      </c>
      <c r="C202" s="33" t="inlineStr">
        <is>
          <t>M3</t>
        </is>
      </c>
      <c r="D202" s="33" t="n">
        <v>3</v>
      </c>
      <c r="E202" s="68" t="inlineStr">
        <is>
          <t>31 disc + 38 10b5-1; routine.</t>
        </is>
      </c>
      <c r="F202" s="68" t="inlineStr">
        <is>
          <t>Amphenol Q1 FY26 + industry coverage (2026-05-18)</t>
        </is>
      </c>
      <c r="G202" s="33" t="inlineStr">
        <is>
          <t>High</t>
        </is>
      </c>
      <c r="H202" s="33" t="inlineStr">
        <is>
          <t>Initial</t>
        </is>
      </c>
    </row>
    <row r="203">
      <c r="A203" s="33" t="inlineStr">
        <is>
          <t>2026-05-18</t>
        </is>
      </c>
      <c r="B203" s="33" t="inlineStr">
        <is>
          <t>APH</t>
        </is>
      </c>
      <c r="C203" s="33" t="inlineStr">
        <is>
          <t>R1</t>
        </is>
      </c>
      <c r="D203" s="33" t="n">
        <v>5</v>
      </c>
      <c r="E203" s="68" t="inlineStr">
        <is>
          <t>Hugely diversified — top customer &lt;5%.</t>
        </is>
      </c>
      <c r="F203" s="68" t="inlineStr">
        <is>
          <t>Amphenol Q1 FY26 + industry coverage (2026-05-18)</t>
        </is>
      </c>
      <c r="G203" s="33" t="inlineStr">
        <is>
          <t>High</t>
        </is>
      </c>
      <c r="H203" s="33" t="inlineStr">
        <is>
          <t>Initial</t>
        </is>
      </c>
    </row>
    <row r="204">
      <c r="A204" s="33" t="inlineStr">
        <is>
          <t>2026-05-18</t>
        </is>
      </c>
      <c r="B204" s="33" t="inlineStr">
        <is>
          <t>APH</t>
        </is>
      </c>
      <c r="C204" s="33" t="inlineStr">
        <is>
          <t>R2</t>
        </is>
      </c>
      <c r="D204" s="33" t="n">
        <v>4</v>
      </c>
      <c r="E204" s="68" t="inlineStr">
        <is>
          <t>Global.</t>
        </is>
      </c>
      <c r="F204" s="68" t="inlineStr">
        <is>
          <t>Amphenol Q1 FY26 + industry coverage (2026-05-18)</t>
        </is>
      </c>
      <c r="G204" s="33" t="inlineStr">
        <is>
          <t>High</t>
        </is>
      </c>
      <c r="H204" s="33" t="inlineStr">
        <is>
          <t>Initial</t>
        </is>
      </c>
    </row>
    <row r="205">
      <c r="A205" s="33" t="inlineStr">
        <is>
          <t>2026-05-18</t>
        </is>
      </c>
      <c r="B205" s="33" t="inlineStr">
        <is>
          <t>APH</t>
        </is>
      </c>
      <c r="C205" s="33" t="inlineStr">
        <is>
          <t>R3</t>
        </is>
      </c>
      <c r="D205" s="33" t="n">
        <v>4</v>
      </c>
      <c r="E205" s="68" t="inlineStr">
        <is>
          <t>Strong balance sheet.</t>
        </is>
      </c>
      <c r="F205" s="68" t="inlineStr">
        <is>
          <t>Amphenol Q1 FY26 + industry coverage (2026-05-18)</t>
        </is>
      </c>
      <c r="G205" s="33" t="inlineStr">
        <is>
          <t>High</t>
        </is>
      </c>
      <c r="H205" s="33" t="inlineStr">
        <is>
          <t>Initial</t>
        </is>
      </c>
    </row>
    <row r="206">
      <c r="A206" s="33" t="inlineStr">
        <is>
          <t>2026-05-18</t>
        </is>
      </c>
      <c r="B206" s="33" t="inlineStr">
        <is>
          <t>APH</t>
        </is>
      </c>
      <c r="C206" s="33" t="inlineStr">
        <is>
          <t>R4</t>
        </is>
      </c>
      <c r="D206" s="33" t="n">
        <v>4</v>
      </c>
      <c r="E206" s="68" t="inlineStr">
        <is>
          <t>Routine.</t>
        </is>
      </c>
      <c r="F206" s="68" t="inlineStr">
        <is>
          <t>Amphenol Q1 FY26 + industry coverage (2026-05-18)</t>
        </is>
      </c>
      <c r="G206" s="33" t="inlineStr">
        <is>
          <t>High</t>
        </is>
      </c>
      <c r="H206" s="33" t="inlineStr">
        <is>
          <t>Initial</t>
        </is>
      </c>
    </row>
    <row r="207">
      <c r="A207" s="33" t="inlineStr">
        <is>
          <t>2026-05-18</t>
        </is>
      </c>
      <c r="B207" s="33" t="inlineStr">
        <is>
          <t>TEL</t>
        </is>
      </c>
      <c r="C207" s="33" t="inlineStr">
        <is>
          <t>D1</t>
        </is>
      </c>
      <c r="D207" s="33" t="n">
        <v>2</v>
      </c>
      <c r="E207" s="68" t="inlineStr">
        <is>
          <t>Connectors broadly; less AI-specific exposure than APH.</t>
        </is>
      </c>
      <c r="F207" s="68" t="inlineStr">
        <is>
          <t>TE Connectivity Q1 FY26 + industry coverage (2026-05-18)</t>
        </is>
      </c>
      <c r="G207" s="33" t="inlineStr">
        <is>
          <t>High</t>
        </is>
      </c>
      <c r="H207" s="33" t="inlineStr">
        <is>
          <t>Initial</t>
        </is>
      </c>
    </row>
    <row r="208">
      <c r="A208" s="33" t="inlineStr">
        <is>
          <t>2026-05-18</t>
        </is>
      </c>
      <c r="B208" s="33" t="inlineStr">
        <is>
          <t>TEL</t>
        </is>
      </c>
      <c r="C208" s="33" t="inlineStr">
        <is>
          <t>D2</t>
        </is>
      </c>
      <c r="D208" s="33" t="n">
        <v>3</v>
      </c>
      <c r="E208" s="68" t="inlineStr">
        <is>
          <t>Connector commodity; less differentiated than APH.</t>
        </is>
      </c>
      <c r="F208" s="68" t="inlineStr">
        <is>
          <t>TE Connectivity Q1 FY26 + industry coverage (2026-05-18)</t>
        </is>
      </c>
      <c r="G208" s="33" t="inlineStr">
        <is>
          <t>High</t>
        </is>
      </c>
      <c r="H208" s="33" t="inlineStr">
        <is>
          <t>Initial</t>
        </is>
      </c>
    </row>
    <row r="209">
      <c r="A209" s="33" t="inlineStr">
        <is>
          <t>2026-05-18</t>
        </is>
      </c>
      <c r="B209" s="33" t="inlineStr">
        <is>
          <t>TEL</t>
        </is>
      </c>
      <c r="C209" s="33" t="inlineStr">
        <is>
          <t>D3</t>
        </is>
      </c>
      <c r="D209" s="33" t="n">
        <v>3</v>
      </c>
      <c r="E209" s="68" t="inlineStr">
        <is>
          <t>Scale moat but commoditizable.</t>
        </is>
      </c>
      <c r="F209" s="68" t="inlineStr">
        <is>
          <t>TE Connectivity Q1 FY26 + industry coverage (2026-05-18)</t>
        </is>
      </c>
      <c r="G209" s="33" t="inlineStr">
        <is>
          <t>High</t>
        </is>
      </c>
      <c r="H209" s="33" t="inlineStr">
        <is>
          <t>Initial</t>
        </is>
      </c>
    </row>
    <row r="210">
      <c r="A210" s="33" t="inlineStr">
        <is>
          <t>2026-05-18</t>
        </is>
      </c>
      <c r="B210" s="33" t="inlineStr">
        <is>
          <t>TEL</t>
        </is>
      </c>
      <c r="C210" s="33" t="inlineStr">
        <is>
          <t>D4</t>
        </is>
      </c>
      <c r="D210" s="33" t="n">
        <v>3</v>
      </c>
      <c r="E210" s="68" t="inlineStr">
        <is>
          <t>Mature growth profile.</t>
        </is>
      </c>
      <c r="F210" s="68" t="inlineStr">
        <is>
          <t>TE Connectivity Q1 FY26 + industry coverage (2026-05-18)</t>
        </is>
      </c>
      <c r="G210" s="33" t="inlineStr">
        <is>
          <t>High</t>
        </is>
      </c>
      <c r="H210" s="33" t="inlineStr">
        <is>
          <t>Initial</t>
        </is>
      </c>
    </row>
    <row r="211">
      <c r="A211" s="33" t="inlineStr">
        <is>
          <t>2026-05-18</t>
        </is>
      </c>
      <c r="B211" s="33" t="inlineStr">
        <is>
          <t>TEL</t>
        </is>
      </c>
      <c r="C211" s="33" t="inlineStr">
        <is>
          <t>D5</t>
        </is>
      </c>
      <c r="D211" s="33" t="n">
        <v>3</v>
      </c>
      <c r="E211" s="68" t="inlineStr">
        <is>
          <t>Some hyperscaler exposure but indirect.</t>
        </is>
      </c>
      <c r="F211" s="68" t="inlineStr">
        <is>
          <t>TE Connectivity Q1 FY26 + industry coverage (2026-05-18)</t>
        </is>
      </c>
      <c r="G211" s="33" t="inlineStr">
        <is>
          <t>High</t>
        </is>
      </c>
      <c r="H211" s="33" t="inlineStr">
        <is>
          <t>Initial</t>
        </is>
      </c>
    </row>
    <row r="212">
      <c r="A212" s="33" t="inlineStr">
        <is>
          <t>2026-05-18</t>
        </is>
      </c>
      <c r="B212" s="33" t="inlineStr">
        <is>
          <t>TEL</t>
        </is>
      </c>
      <c r="C212" s="33" t="inlineStr">
        <is>
          <t>M1</t>
        </is>
      </c>
      <c r="D212" s="33" t="n">
        <v>4</v>
      </c>
      <c r="E212" s="68" t="inlineStr">
        <is>
          <t>15 up / 1 down on +1Y; FY revision +1.7%.</t>
        </is>
      </c>
      <c r="F212" s="68" t="inlineStr">
        <is>
          <t>TE Connectivity Q1 FY26 + industry coverage (2026-05-18)</t>
        </is>
      </c>
      <c r="G212" s="33" t="inlineStr">
        <is>
          <t>High</t>
        </is>
      </c>
      <c r="H212" s="33" t="inlineStr">
        <is>
          <t>Initial</t>
        </is>
      </c>
    </row>
    <row r="213">
      <c r="A213" s="33" t="inlineStr">
        <is>
          <t>2026-05-18</t>
        </is>
      </c>
      <c r="B213" s="33" t="inlineStr">
        <is>
          <t>TEL</t>
        </is>
      </c>
      <c r="C213" s="33" t="inlineStr">
        <is>
          <t>M2</t>
        </is>
      </c>
      <c r="D213" s="33" t="n">
        <v>2</v>
      </c>
      <c r="E213" s="68" t="inlineStr">
        <is>
          <t>-89pp vs SOXX 180d; -26pp vs SPY. Lagging broader market.</t>
        </is>
      </c>
      <c r="F213" s="68" t="inlineStr">
        <is>
          <t>TE Connectivity Q1 FY26 + industry coverage (2026-05-18)</t>
        </is>
      </c>
      <c r="G213" s="33" t="inlineStr">
        <is>
          <t>High</t>
        </is>
      </c>
      <c r="H213" s="33" t="inlineStr">
        <is>
          <t>Initial</t>
        </is>
      </c>
    </row>
    <row r="214">
      <c r="A214" s="33" t="inlineStr">
        <is>
          <t>2026-05-18</t>
        </is>
      </c>
      <c r="B214" s="33" t="inlineStr">
        <is>
          <t>TEL</t>
        </is>
      </c>
      <c r="C214" s="33" t="inlineStr">
        <is>
          <t>M3</t>
        </is>
      </c>
      <c r="D214" s="33" t="n">
        <v>3</v>
      </c>
      <c r="E214" s="68" t="inlineStr">
        <is>
          <t>18 disc + 0 10b5-1; routine.</t>
        </is>
      </c>
      <c r="F214" s="68" t="inlineStr">
        <is>
          <t>TE Connectivity Q1 FY26 + industry coverage (2026-05-18)</t>
        </is>
      </c>
      <c r="G214" s="33" t="inlineStr">
        <is>
          <t>High</t>
        </is>
      </c>
      <c r="H214" s="33" t="inlineStr">
        <is>
          <t>Initial</t>
        </is>
      </c>
    </row>
    <row r="215">
      <c r="A215" s="33" t="inlineStr">
        <is>
          <t>2026-05-18</t>
        </is>
      </c>
      <c r="B215" s="33" t="inlineStr">
        <is>
          <t>TEL</t>
        </is>
      </c>
      <c r="C215" s="33" t="inlineStr">
        <is>
          <t>R1</t>
        </is>
      </c>
      <c r="D215" s="33" t="n">
        <v>5</v>
      </c>
      <c r="E215" s="68" t="inlineStr">
        <is>
          <t>Diversified.</t>
        </is>
      </c>
      <c r="F215" s="68" t="inlineStr">
        <is>
          <t>TE Connectivity Q1 FY26 + industry coverage (2026-05-18)</t>
        </is>
      </c>
      <c r="G215" s="33" t="inlineStr">
        <is>
          <t>High</t>
        </is>
      </c>
      <c r="H215" s="33" t="inlineStr">
        <is>
          <t>Initial</t>
        </is>
      </c>
    </row>
    <row r="216">
      <c r="A216" s="33" t="inlineStr">
        <is>
          <t>2026-05-18</t>
        </is>
      </c>
      <c r="B216" s="33" t="inlineStr">
        <is>
          <t>TEL</t>
        </is>
      </c>
      <c r="C216" s="33" t="inlineStr">
        <is>
          <t>R2</t>
        </is>
      </c>
      <c r="D216" s="33" t="n">
        <v>4</v>
      </c>
      <c r="E216" s="68" t="inlineStr">
        <is>
          <t>Global.</t>
        </is>
      </c>
      <c r="F216" s="68" t="inlineStr">
        <is>
          <t>TE Connectivity Q1 FY26 + industry coverage (2026-05-18)</t>
        </is>
      </c>
      <c r="G216" s="33" t="inlineStr">
        <is>
          <t>High</t>
        </is>
      </c>
      <c r="H216" s="33" t="inlineStr">
        <is>
          <t>Initial</t>
        </is>
      </c>
    </row>
    <row r="217">
      <c r="A217" s="33" t="inlineStr">
        <is>
          <t>2026-05-18</t>
        </is>
      </c>
      <c r="B217" s="33" t="inlineStr">
        <is>
          <t>TEL</t>
        </is>
      </c>
      <c r="C217" s="33" t="inlineStr">
        <is>
          <t>R3</t>
        </is>
      </c>
      <c r="D217" s="33" t="n">
        <v>4</v>
      </c>
      <c r="E217" s="68" t="inlineStr">
        <is>
          <t>Strong.</t>
        </is>
      </c>
      <c r="F217" s="68" t="inlineStr">
        <is>
          <t>TE Connectivity Q1 FY26 + industry coverage (2026-05-18)</t>
        </is>
      </c>
      <c r="G217" s="33" t="inlineStr">
        <is>
          <t>High</t>
        </is>
      </c>
      <c r="H217" s="33" t="inlineStr">
        <is>
          <t>Initial</t>
        </is>
      </c>
    </row>
    <row r="218">
      <c r="A218" s="33" t="inlineStr">
        <is>
          <t>2026-05-18</t>
        </is>
      </c>
      <c r="B218" s="33" t="inlineStr">
        <is>
          <t>TEL</t>
        </is>
      </c>
      <c r="C218" s="33" t="inlineStr">
        <is>
          <t>R4</t>
        </is>
      </c>
      <c r="D218" s="33" t="n">
        <v>4</v>
      </c>
      <c r="E218" s="68" t="inlineStr">
        <is>
          <t>Routine.</t>
        </is>
      </c>
      <c r="F218" s="68" t="inlineStr">
        <is>
          <t>TE Connectivity Q1 FY26 + industry coverage (2026-05-18)</t>
        </is>
      </c>
      <c r="G218" s="33" t="inlineStr">
        <is>
          <t>High</t>
        </is>
      </c>
      <c r="H218" s="33" t="inlineStr">
        <is>
          <t>Initial</t>
        </is>
      </c>
    </row>
    <row r="219">
      <c r="A219" s="33" t="inlineStr">
        <is>
          <t>2026-05-18</t>
        </is>
      </c>
      <c r="B219" s="33" t="inlineStr">
        <is>
          <t>GLW</t>
        </is>
      </c>
      <c r="C219" s="33" t="inlineStr">
        <is>
          <t>D1</t>
        </is>
      </c>
      <c r="D219" s="33" t="n">
        <v>4</v>
      </c>
      <c r="E219" s="68" t="inlineStr">
        <is>
          <t>Optical Communications +36% Q1; NVDA $500M optical partnership + META gen AI agreements. ~25-50% AI-related.</t>
        </is>
      </c>
      <c r="F219" s="68" t="inlineStr">
        <is>
          <t>Corning Q1 FY26 + NVDA $500M partnership + Springboard plan coverage (2026-05-18)</t>
        </is>
      </c>
      <c r="G219" s="33" t="inlineStr">
        <is>
          <t>High</t>
        </is>
      </c>
      <c r="H219" s="33" t="inlineStr">
        <is>
          <t>Initial</t>
        </is>
      </c>
    </row>
    <row r="220">
      <c r="A220" s="33" t="inlineStr">
        <is>
          <t>2026-05-18</t>
        </is>
      </c>
      <c r="B220" s="33" t="inlineStr">
        <is>
          <t>GLW</t>
        </is>
      </c>
      <c r="C220" s="33" t="inlineStr">
        <is>
          <t>D2</t>
        </is>
      </c>
      <c r="D220" s="33" t="n">
        <v>5</v>
      </c>
      <c r="E220" s="68" t="inlineStr">
        <is>
          <t>NVDA optical connectivity partner + CPO leadership = unique structural position. 170yr fiber/glass IP.</t>
        </is>
      </c>
      <c r="F220" s="68" t="inlineStr">
        <is>
          <t>Corning Q1 FY26 + NVDA $500M partnership + Springboard plan coverage (2026-05-18)</t>
        </is>
      </c>
      <c r="G220" s="33" t="inlineStr">
        <is>
          <t>High</t>
        </is>
      </c>
      <c r="H220" s="33" t="inlineStr">
        <is>
          <t>Initial</t>
        </is>
      </c>
    </row>
    <row r="221">
      <c r="A221" s="33" t="inlineStr">
        <is>
          <t>2026-05-18</t>
        </is>
      </c>
      <c r="B221" s="33" t="inlineStr">
        <is>
          <t>GLW</t>
        </is>
      </c>
      <c r="C221" s="33" t="inlineStr">
        <is>
          <t>D3</t>
        </is>
      </c>
      <c r="D221" s="33" t="n">
        <v>5</v>
      </c>
      <c r="E221" s="68" t="inlineStr">
        <is>
          <t>Patented multicore fiber, expanded-beam connectors, co-packaged optics systems. Deep manufacturing IP.</t>
        </is>
      </c>
      <c r="F221" s="68" t="inlineStr">
        <is>
          <t>Corning Q1 FY26 + NVDA $500M partnership + Springboard plan coverage (2026-05-18)</t>
        </is>
      </c>
      <c r="G221" s="33" t="inlineStr">
        <is>
          <t>High</t>
        </is>
      </c>
      <c r="H221" s="33" t="inlineStr">
        <is>
          <t>Initial</t>
        </is>
      </c>
    </row>
    <row r="222">
      <c r="A222" s="33" t="inlineStr">
        <is>
          <t>2026-05-18</t>
        </is>
      </c>
      <c r="B222" s="33" t="inlineStr">
        <is>
          <t>GLW</t>
        </is>
      </c>
      <c r="C222" s="33" t="inlineStr">
        <is>
          <t>D4</t>
        </is>
      </c>
      <c r="D222" s="33" t="n">
        <v>5</v>
      </c>
      <c r="E222" s="68" t="inlineStr">
        <is>
          <t>Springboard plan ($4B annualized sales) + NVDA $500M investment + META long-term gen AI agreements = funded multi-year buildout.</t>
        </is>
      </c>
      <c r="F222" s="68" t="inlineStr">
        <is>
          <t>Corning Q1 FY26 + NVDA $500M partnership + Springboard plan coverage (2026-05-18)</t>
        </is>
      </c>
      <c r="G222" s="33" t="inlineStr">
        <is>
          <t>High</t>
        </is>
      </c>
      <c r="H222" s="33" t="inlineStr">
        <is>
          <t>Initial</t>
        </is>
      </c>
    </row>
    <row r="223">
      <c r="A223" s="33" t="inlineStr">
        <is>
          <t>2026-05-18</t>
        </is>
      </c>
      <c r="B223" s="33" t="inlineStr">
        <is>
          <t>GLW</t>
        </is>
      </c>
      <c r="C223" s="33" t="inlineStr">
        <is>
          <t>D5</t>
        </is>
      </c>
      <c r="D223" s="33" t="n">
        <v>5</v>
      </c>
      <c r="E223" s="68" t="inlineStr">
        <is>
          <t>NVDA + META as anchor AI partners. Multiple hyperscaler/AI lab relationships.</t>
        </is>
      </c>
      <c r="F223" s="68" t="inlineStr">
        <is>
          <t>Corning Q1 FY26 + NVDA $500M partnership + Springboard plan coverage (2026-05-18)</t>
        </is>
      </c>
      <c r="G223" s="33" t="inlineStr">
        <is>
          <t>High</t>
        </is>
      </c>
      <c r="H223" s="33" t="inlineStr">
        <is>
          <t>Initial</t>
        </is>
      </c>
    </row>
    <row r="224">
      <c r="A224" s="33" t="inlineStr">
        <is>
          <t>2026-05-18</t>
        </is>
      </c>
      <c r="B224" s="33" t="inlineStr">
        <is>
          <t>GLW</t>
        </is>
      </c>
      <c r="C224" s="33" t="inlineStr">
        <is>
          <t>M1</t>
        </is>
      </c>
      <c r="D224" s="33" t="n">
        <v>4</v>
      </c>
      <c r="E224" s="68" t="inlineStr">
        <is>
          <t>13 up / 1 down on +1Y; FY revision +3.1%.</t>
        </is>
      </c>
      <c r="F224" s="68" t="inlineStr">
        <is>
          <t>Corning Q1 FY26 + NVDA $500M partnership + Springboard plan coverage (2026-05-18)</t>
        </is>
      </c>
      <c r="G224" s="33" t="inlineStr">
        <is>
          <t>High</t>
        </is>
      </c>
      <c r="H224" s="33" t="inlineStr">
        <is>
          <t>Initial</t>
        </is>
      </c>
    </row>
    <row r="225">
      <c r="A225" s="33" t="inlineStr">
        <is>
          <t>2026-05-18</t>
        </is>
      </c>
      <c r="B225" s="33" t="inlineStr">
        <is>
          <t>GLW</t>
        </is>
      </c>
      <c r="C225" s="33" t="inlineStr">
        <is>
          <t>M2</t>
        </is>
      </c>
      <c r="D225" s="33" t="n">
        <v>5</v>
      </c>
      <c r="E225" s="68" t="inlineStr">
        <is>
          <t>+41pp vs SOXX 180d; +104pp vs SPY. Strong sector relative.</t>
        </is>
      </c>
      <c r="F225" s="68" t="inlineStr">
        <is>
          <t>Corning Q1 FY26 + NVDA $500M partnership + Springboard plan coverage (2026-05-18)</t>
        </is>
      </c>
      <c r="G225" s="33" t="inlineStr">
        <is>
          <t>High</t>
        </is>
      </c>
      <c r="H225" s="33" t="inlineStr">
        <is>
          <t>Initial</t>
        </is>
      </c>
    </row>
    <row r="226">
      <c r="A226" s="33" t="inlineStr">
        <is>
          <t>2026-05-18</t>
        </is>
      </c>
      <c r="B226" s="33" t="inlineStr">
        <is>
          <t>GLW</t>
        </is>
      </c>
      <c r="C226" s="33" t="inlineStr">
        <is>
          <t>M3</t>
        </is>
      </c>
      <c r="D226" s="33" t="n">
        <v>3</v>
      </c>
      <c r="E226" s="68" t="inlineStr">
        <is>
          <t>18 disc + 0 10b5-1; routine through rally.</t>
        </is>
      </c>
      <c r="F226" s="68" t="inlineStr">
        <is>
          <t>Corning Q1 FY26 + NVDA $500M partnership + Springboard plan coverage (2026-05-18)</t>
        </is>
      </c>
      <c r="G226" s="33" t="inlineStr">
        <is>
          <t>High</t>
        </is>
      </c>
      <c r="H226" s="33" t="inlineStr">
        <is>
          <t>Initial</t>
        </is>
      </c>
    </row>
    <row r="227">
      <c r="A227" s="33" t="inlineStr">
        <is>
          <t>2026-05-18</t>
        </is>
      </c>
      <c r="B227" s="33" t="inlineStr">
        <is>
          <t>GLW</t>
        </is>
      </c>
      <c r="C227" s="33" t="inlineStr">
        <is>
          <t>R1</t>
        </is>
      </c>
      <c r="D227" s="33" t="n">
        <v>5</v>
      </c>
      <c r="E227" s="68" t="inlineStr">
        <is>
          <t>Highly diversified (display + comms + solar + life sciences).</t>
        </is>
      </c>
      <c r="F227" s="68" t="inlineStr">
        <is>
          <t>Corning Q1 FY26 + NVDA $500M partnership + Springboard plan coverage (2026-05-18)</t>
        </is>
      </c>
      <c r="G227" s="33" t="inlineStr">
        <is>
          <t>High</t>
        </is>
      </c>
      <c r="H227" s="33" t="inlineStr">
        <is>
          <t>Initial</t>
        </is>
      </c>
    </row>
    <row r="228">
      <c r="A228" s="33" t="inlineStr">
        <is>
          <t>2026-05-18</t>
        </is>
      </c>
      <c r="B228" s="33" t="inlineStr">
        <is>
          <t>GLW</t>
        </is>
      </c>
      <c r="C228" s="33" t="inlineStr">
        <is>
          <t>R2</t>
        </is>
      </c>
      <c r="D228" s="33" t="n">
        <v>4</v>
      </c>
      <c r="E228" s="68" t="inlineStr">
        <is>
          <t>Global.</t>
        </is>
      </c>
      <c r="F228" s="68" t="inlineStr">
        <is>
          <t>Corning Q1 FY26 + NVDA $500M partnership + Springboard plan coverage (2026-05-18)</t>
        </is>
      </c>
      <c r="G228" s="33" t="inlineStr">
        <is>
          <t>High</t>
        </is>
      </c>
      <c r="H228" s="33" t="inlineStr">
        <is>
          <t>Initial</t>
        </is>
      </c>
    </row>
    <row r="229">
      <c r="A229" s="33" t="inlineStr">
        <is>
          <t>2026-05-18</t>
        </is>
      </c>
      <c r="B229" s="33" t="inlineStr">
        <is>
          <t>GLW</t>
        </is>
      </c>
      <c r="C229" s="33" t="inlineStr">
        <is>
          <t>R3</t>
        </is>
      </c>
      <c r="D229" s="33" t="n">
        <v>4</v>
      </c>
      <c r="E229" s="68" t="inlineStr">
        <is>
          <t>Modest leverage; strong FCF.</t>
        </is>
      </c>
      <c r="F229" s="68" t="inlineStr">
        <is>
          <t>Corning Q1 FY26 + NVDA $500M partnership + Springboard plan coverage (2026-05-18)</t>
        </is>
      </c>
      <c r="G229" s="33" t="inlineStr">
        <is>
          <t>High</t>
        </is>
      </c>
      <c r="H229" s="33" t="inlineStr">
        <is>
          <t>Initial</t>
        </is>
      </c>
    </row>
    <row r="230">
      <c r="A230" s="33" t="inlineStr">
        <is>
          <t>2026-05-18</t>
        </is>
      </c>
      <c r="B230" s="33" t="inlineStr">
        <is>
          <t>GLW</t>
        </is>
      </c>
      <c r="C230" s="33" t="inlineStr">
        <is>
          <t>R4</t>
        </is>
      </c>
      <c r="D230" s="33" t="n">
        <v>4</v>
      </c>
      <c r="E230" s="68" t="inlineStr">
        <is>
          <t>Routine.</t>
        </is>
      </c>
      <c r="F230" s="68" t="inlineStr">
        <is>
          <t>Corning Q1 FY26 + NVDA $500M partnership + Springboard plan coverage (2026-05-18)</t>
        </is>
      </c>
      <c r="G230" s="33" t="inlineStr">
        <is>
          <t>High</t>
        </is>
      </c>
      <c r="H230" s="33" t="inlineStr">
        <is>
          <t>Initial</t>
        </is>
      </c>
    </row>
    <row r="231">
      <c r="A231" s="33" t="inlineStr">
        <is>
          <t>2026-05-18</t>
        </is>
      </c>
      <c r="B231" s="33" t="inlineStr">
        <is>
          <t>MSFT</t>
        </is>
      </c>
      <c r="C231" s="33" t="inlineStr">
        <is>
          <t>D1</t>
        </is>
      </c>
      <c r="D231" s="33" t="n">
        <v>3</v>
      </c>
      <c r="E231" s="68" t="inlineStr">
        <is>
          <t>AI run rate $37B / total revenue ~$280B = 13%. Band 3 (10-25%). Sticking to literal disclosed-AI-revenue methodology for consistency across watchlist (vs AVGO 43%/band 4, MRVL 47%/band 5). Will mechanically promote when MSFT crosses 25% AI revenue threshold.</t>
        </is>
      </c>
      <c r="F231" s="68" t="inlineStr">
        <is>
          <t>GeekWire AI run rate, MSFT Q3 FY26 8-K, OpenAI restructure CNBC coverage, Dom 2026-05-18 Copilot observation</t>
        </is>
      </c>
      <c r="G231" s="33" t="inlineStr">
        <is>
          <t>High</t>
        </is>
      </c>
      <c r="H231" s="33" t="inlineStr">
        <is>
          <t>Initial</t>
        </is>
      </c>
    </row>
    <row r="232">
      <c r="A232" s="33" t="inlineStr">
        <is>
          <t>2026-05-18</t>
        </is>
      </c>
      <c r="B232" s="33" t="inlineStr">
        <is>
          <t>MSFT</t>
        </is>
      </c>
      <c r="C232" s="33" t="inlineStr">
        <is>
          <t>D2</t>
        </is>
      </c>
      <c r="D232" s="33" t="n">
        <v>5</v>
      </c>
      <c r="E232" s="68" t="inlineStr">
        <is>
          <t>Azure #2 cloud globally; OpenAI partnership (restructured but revenue share through 2030); Maia + Cobalt in production. Bottleneck-tier position in AI cloud services.</t>
        </is>
      </c>
      <c r="F232" s="68" t="inlineStr">
        <is>
          <t>GeekWire AI run rate, MSFT Q3 FY26 8-K, OpenAI restructure CNBC coverage, Dom 2026-05-18 Copilot observation</t>
        </is>
      </c>
      <c r="G232" s="33" t="inlineStr">
        <is>
          <t>High</t>
        </is>
      </c>
      <c r="H232" s="33" t="inlineStr">
        <is>
          <t>Initial</t>
        </is>
      </c>
    </row>
    <row r="233">
      <c r="A233" s="33" t="inlineStr">
        <is>
          <t>2026-05-18</t>
        </is>
      </c>
      <c r="B233" s="33" t="inlineStr">
        <is>
          <t>MSFT</t>
        </is>
      </c>
      <c r="C233" s="33" t="inlineStr">
        <is>
          <t>D3</t>
        </is>
      </c>
      <c r="D233" s="33" t="n">
        <v>5</v>
      </c>
      <c r="E233" s="68" t="inlineStr">
        <is>
          <t>Enterprise lock-in (Office monopoly, Azure scale, Active Directory). 5-component moat across products. Halo-check passed: still 5 if stock down 40%.</t>
        </is>
      </c>
      <c r="F233" s="68" t="inlineStr">
        <is>
          <t>GeekWire AI run rate, MSFT Q3 FY26 8-K, OpenAI restructure CNBC coverage, Dom 2026-05-18 Copilot observation</t>
        </is>
      </c>
      <c r="G233" s="33" t="inlineStr">
        <is>
          <t>High</t>
        </is>
      </c>
      <c r="H233" s="33" t="inlineStr">
        <is>
          <t>Initial</t>
        </is>
      </c>
    </row>
    <row r="234">
      <c r="A234" s="33" t="inlineStr">
        <is>
          <t>2026-05-18</t>
        </is>
      </c>
      <c r="B234" s="33" t="inlineStr">
        <is>
          <t>MSFT</t>
        </is>
      </c>
      <c r="C234" s="33" t="inlineStr">
        <is>
          <t>D4</t>
        </is>
      </c>
      <c r="D234" s="33" t="n">
        <v>5</v>
      </c>
      <c r="E234" s="68" t="inlineStr">
        <is>
          <t>Capex $190B for calendar 2026 — committed to doubling AI infrastructure in 2 years. Largest single-company AI buildout disclosed.</t>
        </is>
      </c>
      <c r="F234" s="68" t="inlineStr">
        <is>
          <t>GeekWire AI run rate, MSFT Q3 FY26 8-K, OpenAI restructure CNBC coverage, Dom 2026-05-18 Copilot observation</t>
        </is>
      </c>
      <c r="G234" s="33" t="inlineStr">
        <is>
          <t>High</t>
        </is>
      </c>
      <c r="H234" s="33" t="inlineStr">
        <is>
          <t>Initial</t>
        </is>
      </c>
    </row>
    <row r="235">
      <c r="A235" s="33" t="inlineStr">
        <is>
          <t>2026-05-18</t>
        </is>
      </c>
      <c r="B235" s="33" t="inlineStr">
        <is>
          <t>MSFT</t>
        </is>
      </c>
      <c r="C235" s="33" t="inlineStr">
        <is>
          <t>D5</t>
        </is>
      </c>
      <c r="D235" s="33" t="n">
        <v>5</v>
      </c>
      <c r="E235" s="68" t="inlineStr">
        <is>
          <t>Per repurposed D5 (AI cloud market position): leader with $37B AI run rate, +123% YoY. Anchor position.</t>
        </is>
      </c>
      <c r="F235" s="68" t="inlineStr">
        <is>
          <t>GeekWire AI run rate, MSFT Q3 FY26 8-K, OpenAI restructure CNBC coverage, Dom 2026-05-18 Copilot observation</t>
        </is>
      </c>
      <c r="G235" s="33" t="inlineStr">
        <is>
          <t>High</t>
        </is>
      </c>
      <c r="H235" s="33" t="inlineStr">
        <is>
          <t>Initial</t>
        </is>
      </c>
    </row>
    <row r="236">
      <c r="A236" s="33" t="inlineStr">
        <is>
          <t>2026-05-18</t>
        </is>
      </c>
      <c r="B236" s="33" t="inlineStr">
        <is>
          <t>MSFT</t>
        </is>
      </c>
      <c r="C236" s="33" t="inlineStr">
        <is>
          <t>M1</t>
        </is>
      </c>
      <c r="D236" s="33" t="n">
        <v>3</v>
      </c>
      <c r="E236" s="68" t="inlineStr">
        <is>
          <t>18 up / 9 down on +1Y EPS revisions (30d). Net positive but mixed magnitude. Band 3.</t>
        </is>
      </c>
      <c r="F236" s="68" t="inlineStr">
        <is>
          <t>GeekWire AI run rate, MSFT Q3 FY26 8-K, OpenAI restructure CNBC coverage, Dom 2026-05-18 Copilot observation</t>
        </is>
      </c>
      <c r="G236" s="33" t="inlineStr">
        <is>
          <t>High</t>
        </is>
      </c>
      <c r="H236" s="33" t="inlineStr">
        <is>
          <t>Initial</t>
        </is>
      </c>
    </row>
    <row r="237">
      <c r="A237" s="33" t="inlineStr">
        <is>
          <t>2026-05-18</t>
        </is>
      </c>
      <c r="B237" s="33" t="inlineStr">
        <is>
          <t>MSFT</t>
        </is>
      </c>
      <c r="C237" s="33" t="inlineStr">
        <is>
          <t>M2</t>
        </is>
      </c>
      <c r="D237" s="33" t="n">
        <v>1</v>
      </c>
      <c r="E237" s="68" t="inlineStr">
        <is>
          <t>-25pp vs SPY 180d, -33pp vs SPY 365d. Lagging broader market — market questioning AI capex ROI / OpenAI restructure overhang. Band 1.</t>
        </is>
      </c>
      <c r="F237" s="68" t="inlineStr">
        <is>
          <t>GeekWire AI run rate, MSFT Q3 FY26 8-K, OpenAI restructure CNBC coverage, Dom 2026-05-18 Copilot observation</t>
        </is>
      </c>
      <c r="G237" s="33" t="inlineStr">
        <is>
          <t>High</t>
        </is>
      </c>
      <c r="H237" s="33" t="inlineStr">
        <is>
          <t>Initial</t>
        </is>
      </c>
    </row>
    <row r="238">
      <c r="A238" s="33" t="inlineStr">
        <is>
          <t>2026-05-18</t>
        </is>
      </c>
      <c r="B238" s="33" t="inlineStr">
        <is>
          <t>MSFT</t>
        </is>
      </c>
      <c r="C238" s="33" t="inlineStr">
        <is>
          <t>M3</t>
        </is>
      </c>
      <c r="D238" s="33" t="n">
        <v>3</v>
      </c>
      <c r="E238" s="68" t="inlineStr">
        <is>
          <t>Routine mega-cap insider activity assumed; default 3.</t>
        </is>
      </c>
      <c r="F238" s="68" t="inlineStr">
        <is>
          <t>GeekWire AI run rate, MSFT Q3 FY26 8-K, OpenAI restructure CNBC coverage, Dom 2026-05-18 Copilot observation</t>
        </is>
      </c>
      <c r="G238" s="33" t="inlineStr">
        <is>
          <t>High</t>
        </is>
      </c>
      <c r="H238" s="33" t="inlineStr">
        <is>
          <t>Initial</t>
        </is>
      </c>
    </row>
    <row r="239">
      <c r="A239" s="33" t="inlineStr">
        <is>
          <t>2026-05-18</t>
        </is>
      </c>
      <c r="B239" s="33" t="inlineStr">
        <is>
          <t>MSFT</t>
        </is>
      </c>
      <c r="C239" s="33" t="inlineStr">
        <is>
          <t>R1</t>
        </is>
      </c>
      <c r="D239" s="33" t="n">
        <v>5</v>
      </c>
      <c r="E239" s="68" t="inlineStr">
        <is>
          <t>Diversified across enterprise + consumer + government. No customer concentration.</t>
        </is>
      </c>
      <c r="F239" s="68" t="inlineStr">
        <is>
          <t>GeekWire AI run rate, MSFT Q3 FY26 8-K, OpenAI restructure CNBC coverage, Dom 2026-05-18 Copilot observation</t>
        </is>
      </c>
      <c r="G239" s="33" t="inlineStr">
        <is>
          <t>High</t>
        </is>
      </c>
      <c r="H239" s="33" t="inlineStr">
        <is>
          <t>Initial</t>
        </is>
      </c>
    </row>
    <row r="240">
      <c r="A240" s="33" t="inlineStr">
        <is>
          <t>2026-05-18</t>
        </is>
      </c>
      <c r="B240" s="33" t="inlineStr">
        <is>
          <t>MSFT</t>
        </is>
      </c>
      <c r="C240" s="33" t="inlineStr">
        <is>
          <t>R2</t>
        </is>
      </c>
      <c r="D240" s="33" t="n">
        <v>4</v>
      </c>
      <c r="E240" s="68" t="inlineStr">
        <is>
          <t>Global; some China exposure (Azure China limited). Manageable.</t>
        </is>
      </c>
      <c r="F240" s="68" t="inlineStr">
        <is>
          <t>GeekWire AI run rate, MSFT Q3 FY26 8-K, OpenAI restructure CNBC coverage, Dom 2026-05-18 Copilot observation</t>
        </is>
      </c>
      <c r="G240" s="33" t="inlineStr">
        <is>
          <t>High</t>
        </is>
      </c>
      <c r="H240" s="33" t="inlineStr">
        <is>
          <t>Initial</t>
        </is>
      </c>
    </row>
    <row r="241">
      <c r="A241" s="33" t="inlineStr">
        <is>
          <t>2026-05-18</t>
        </is>
      </c>
      <c r="B241" s="33" t="inlineStr">
        <is>
          <t>MSFT</t>
        </is>
      </c>
      <c r="C241" s="33" t="inlineStr">
        <is>
          <t>R3</t>
        </is>
      </c>
      <c r="D241" s="33" t="n">
        <v>5</v>
      </c>
      <c r="E241" s="68" t="inlineStr">
        <is>
          <t>Net cash position, fortress balance sheet, $80B+ FCF/yr.</t>
        </is>
      </c>
      <c r="F241" s="68" t="inlineStr">
        <is>
          <t>GeekWire AI run rate, MSFT Q3 FY26 8-K, OpenAI restructure CNBC coverage, Dom 2026-05-18 Copilot observation</t>
        </is>
      </c>
      <c r="G241" s="33" t="inlineStr">
        <is>
          <t>High</t>
        </is>
      </c>
      <c r="H241" s="33" t="inlineStr">
        <is>
          <t>Initial</t>
        </is>
      </c>
    </row>
    <row r="242">
      <c r="A242" s="33" t="inlineStr">
        <is>
          <t>2026-05-18</t>
        </is>
      </c>
      <c r="B242" s="33" t="inlineStr">
        <is>
          <t>MSFT</t>
        </is>
      </c>
      <c r="C242" s="33" t="inlineStr">
        <is>
          <t>R4</t>
        </is>
      </c>
      <c r="D242" s="33" t="n">
        <v>3</v>
      </c>
      <c r="E242" s="68" t="inlineStr">
        <is>
          <t>FTC + EU antitrust investigations + OpenAI restructure scrutiny. Pending matters but no enforcement. Band 3. NOTE: Dom 2026-05-18 observation — Copilot consumer product execution lagging vs enterprise infra; product-quality concern worth tracking in news-log.</t>
        </is>
      </c>
      <c r="F242" s="68" t="inlineStr">
        <is>
          <t>GeekWire AI run rate, MSFT Q3 FY26 8-K, OpenAI restructure CNBC coverage, Dom 2026-05-18 Copilot observation</t>
        </is>
      </c>
      <c r="G242" s="33" t="inlineStr">
        <is>
          <t>High</t>
        </is>
      </c>
      <c r="H242" s="33" t="inlineStr">
        <is>
          <t>Initial</t>
        </is>
      </c>
    </row>
    <row r="243">
      <c r="A243" s="33" t="inlineStr">
        <is>
          <t>2026-05-18</t>
        </is>
      </c>
      <c r="B243" s="33" t="inlineStr">
        <is>
          <t>GOOGL</t>
        </is>
      </c>
      <c r="C243" s="33" t="inlineStr">
        <is>
          <t>D1</t>
        </is>
      </c>
      <c r="D243" s="33" t="n">
        <v>3</v>
      </c>
      <c r="E243" s="68" t="inlineStr">
        <is>
          <t>Cloud $20B / total $440B = 4.5%, but ad business + Search increasingly AI-affected. Per literal disclosed-AI methodology = band 3.</t>
        </is>
      </c>
      <c r="F243" s="68" t="inlineStr">
        <is>
          <t>Alphabet Q1 2026 8-K, Tech-Insider $185B capex coverage, Mehta search ruling 2024</t>
        </is>
      </c>
      <c r="G243" s="33" t="inlineStr">
        <is>
          <t>High</t>
        </is>
      </c>
      <c r="H243" s="33" t="inlineStr">
        <is>
          <t>Initial</t>
        </is>
      </c>
    </row>
    <row r="244">
      <c r="A244" s="33" t="inlineStr">
        <is>
          <t>2026-05-18</t>
        </is>
      </c>
      <c r="B244" s="33" t="inlineStr">
        <is>
          <t>GOOGL</t>
        </is>
      </c>
      <c r="C244" s="33" t="inlineStr">
        <is>
          <t>D2</t>
        </is>
      </c>
      <c r="D244" s="33" t="n">
        <v>4</v>
      </c>
      <c r="E244" s="68" t="inlineStr">
        <is>
          <t>Google Cloud #3 (growing fastest at +63%); TPU custom silicon mature; Gemini ecosystem. Strong position but not #1 in cloud. Band 4.</t>
        </is>
      </c>
      <c r="F244" s="68" t="inlineStr">
        <is>
          <t>Alphabet Q1 2026 8-K, Tech-Insider $185B capex coverage, Mehta search ruling 2024</t>
        </is>
      </c>
      <c r="G244" s="33" t="inlineStr">
        <is>
          <t>High</t>
        </is>
      </c>
      <c r="H244" s="33" t="inlineStr">
        <is>
          <t>Initial</t>
        </is>
      </c>
    </row>
    <row r="245">
      <c r="A245" s="33" t="inlineStr">
        <is>
          <t>2026-05-18</t>
        </is>
      </c>
      <c r="B245" s="33" t="inlineStr">
        <is>
          <t>GOOGL</t>
        </is>
      </c>
      <c r="C245" s="33" t="inlineStr">
        <is>
          <t>D3</t>
        </is>
      </c>
      <c r="D245" s="33" t="n">
        <v>5</v>
      </c>
      <c r="E245" s="68" t="inlineStr">
        <is>
          <t>Search monopoly + ad-tech network + Android + YouTube. Multi-dimensional moat. Band 5.</t>
        </is>
      </c>
      <c r="F245" s="68" t="inlineStr">
        <is>
          <t>Alphabet Q1 2026 8-K, Tech-Insider $185B capex coverage, Mehta search ruling 2024</t>
        </is>
      </c>
      <c r="G245" s="33" t="inlineStr">
        <is>
          <t>High</t>
        </is>
      </c>
      <c r="H245" s="33" t="inlineStr">
        <is>
          <t>Initial</t>
        </is>
      </c>
    </row>
    <row r="246">
      <c r="A246" s="33" t="inlineStr">
        <is>
          <t>2026-05-18</t>
        </is>
      </c>
      <c r="B246" s="33" t="inlineStr">
        <is>
          <t>GOOGL</t>
        </is>
      </c>
      <c r="C246" s="33" t="inlineStr">
        <is>
          <t>D4</t>
        </is>
      </c>
      <c r="D246" s="33" t="n">
        <v>5</v>
      </c>
      <c r="E246" s="68" t="inlineStr">
        <is>
          <t>Capex 2026: $175-185B. Q1 alone $35.7B (more than doubled YoY). Backlog $460B+. Funded multi-year buildout.</t>
        </is>
      </c>
      <c r="F246" s="68" t="inlineStr">
        <is>
          <t>Alphabet Q1 2026 8-K, Tech-Insider $185B capex coverage, Mehta search ruling 2024</t>
        </is>
      </c>
      <c r="G246" s="33" t="inlineStr">
        <is>
          <t>High</t>
        </is>
      </c>
      <c r="H246" s="33" t="inlineStr">
        <is>
          <t>Initial</t>
        </is>
      </c>
    </row>
    <row r="247">
      <c r="A247" s="33" t="inlineStr">
        <is>
          <t>2026-05-18</t>
        </is>
      </c>
      <c r="B247" s="33" t="inlineStr">
        <is>
          <t>GOOGL</t>
        </is>
      </c>
      <c r="C247" s="33" t="inlineStr">
        <is>
          <t>D5</t>
        </is>
      </c>
      <c r="D247" s="33" t="n">
        <v>5</v>
      </c>
      <c r="E247" s="68" t="inlineStr">
        <is>
          <t>Per repurposed D5: Cloud growing 63% with $460B backlog + TPU custom silicon position. Band 5.</t>
        </is>
      </c>
      <c r="F247" s="68" t="inlineStr">
        <is>
          <t>Alphabet Q1 2026 8-K, Tech-Insider $185B capex coverage, Mehta search ruling 2024</t>
        </is>
      </c>
      <c r="G247" s="33" t="inlineStr">
        <is>
          <t>High</t>
        </is>
      </c>
      <c r="H247" s="33" t="inlineStr">
        <is>
          <t>Initial</t>
        </is>
      </c>
    </row>
    <row r="248">
      <c r="A248" s="33" t="inlineStr">
        <is>
          <t>2026-05-18</t>
        </is>
      </c>
      <c r="B248" s="33" t="inlineStr">
        <is>
          <t>GOOGL</t>
        </is>
      </c>
      <c r="C248" s="33" t="inlineStr">
        <is>
          <t>M1</t>
        </is>
      </c>
      <c r="D248" s="33" t="n">
        <v>5</v>
      </c>
      <c r="E248" s="68" t="inlineStr">
        <is>
          <t>46 up / 3 down on +1Y over 30d (best revision profile of hyperscalers). FY revision +24% over 90d. Textbook beat-and-raise.</t>
        </is>
      </c>
      <c r="F248" s="68" t="inlineStr">
        <is>
          <t>Alphabet Q1 2026 8-K, Tech-Insider $185B capex coverage, Mehta search ruling 2024</t>
        </is>
      </c>
      <c r="G248" s="33" t="inlineStr">
        <is>
          <t>High</t>
        </is>
      </c>
      <c r="H248" s="33" t="inlineStr">
        <is>
          <t>Initial</t>
        </is>
      </c>
    </row>
    <row r="249">
      <c r="A249" s="33" t="inlineStr">
        <is>
          <t>2026-05-18</t>
        </is>
      </c>
      <c r="B249" s="33" t="inlineStr">
        <is>
          <t>GOOGL</t>
        </is>
      </c>
      <c r="C249" s="33" t="inlineStr">
        <is>
          <t>M2</t>
        </is>
      </c>
      <c r="D249" s="33" t="n">
        <v>5</v>
      </c>
      <c r="E249" s="68" t="inlineStr">
        <is>
          <t>+25pp vs SPY 180d, +115pp vs SPY 365d. ONLY hyperscaler outperforming SPY.</t>
        </is>
      </c>
      <c r="F249" s="68" t="inlineStr">
        <is>
          <t>Alphabet Q1 2026 8-K, Tech-Insider $185B capex coverage, Mehta search ruling 2024</t>
        </is>
      </c>
      <c r="G249" s="33" t="inlineStr">
        <is>
          <t>High</t>
        </is>
      </c>
      <c r="H249" s="33" t="inlineStr">
        <is>
          <t>Initial</t>
        </is>
      </c>
    </row>
    <row r="250">
      <c r="A250" s="33" t="inlineStr">
        <is>
          <t>2026-05-18</t>
        </is>
      </c>
      <c r="B250" s="33" t="inlineStr">
        <is>
          <t>GOOGL</t>
        </is>
      </c>
      <c r="C250" s="33" t="inlineStr">
        <is>
          <t>M3</t>
        </is>
      </c>
      <c r="D250" s="33" t="n">
        <v>3</v>
      </c>
      <c r="E250" s="68" t="inlineStr">
        <is>
          <t>Routine mega-cap insider activity assumed; default 3.</t>
        </is>
      </c>
      <c r="F250" s="68" t="inlineStr">
        <is>
          <t>Alphabet Q1 2026 8-K, Tech-Insider $185B capex coverage, Mehta search ruling 2024</t>
        </is>
      </c>
      <c r="G250" s="33" t="inlineStr">
        <is>
          <t>High</t>
        </is>
      </c>
      <c r="H250" s="33" t="inlineStr">
        <is>
          <t>Initial</t>
        </is>
      </c>
    </row>
    <row r="251">
      <c r="A251" s="33" t="inlineStr">
        <is>
          <t>2026-05-18</t>
        </is>
      </c>
      <c r="B251" s="33" t="inlineStr">
        <is>
          <t>GOOGL</t>
        </is>
      </c>
      <c r="C251" s="33" t="inlineStr">
        <is>
          <t>R1</t>
        </is>
      </c>
      <c r="D251" s="33" t="n">
        <v>5</v>
      </c>
      <c r="E251" s="68" t="inlineStr">
        <is>
          <t>Highly diversified — no customer &gt;5%.</t>
        </is>
      </c>
      <c r="F251" s="68" t="inlineStr">
        <is>
          <t>Alphabet Q1 2026 8-K, Tech-Insider $185B capex coverage, Mehta search ruling 2024</t>
        </is>
      </c>
      <c r="G251" s="33" t="inlineStr">
        <is>
          <t>High</t>
        </is>
      </c>
      <c r="H251" s="33" t="inlineStr">
        <is>
          <t>Initial</t>
        </is>
      </c>
    </row>
    <row r="252">
      <c r="A252" s="33" t="inlineStr">
        <is>
          <t>2026-05-18</t>
        </is>
      </c>
      <c r="B252" s="33" t="inlineStr">
        <is>
          <t>GOOGL</t>
        </is>
      </c>
      <c r="C252" s="33" t="inlineStr">
        <is>
          <t>R2</t>
        </is>
      </c>
      <c r="D252" s="33" t="n">
        <v>4</v>
      </c>
      <c r="E252" s="68" t="inlineStr">
        <is>
          <t>Global; no operations in China consumer market.</t>
        </is>
      </c>
      <c r="F252" s="68" t="inlineStr">
        <is>
          <t>Alphabet Q1 2026 8-K, Tech-Insider $185B capex coverage, Mehta search ruling 2024</t>
        </is>
      </c>
      <c r="G252" s="33" t="inlineStr">
        <is>
          <t>High</t>
        </is>
      </c>
      <c r="H252" s="33" t="inlineStr">
        <is>
          <t>Initial</t>
        </is>
      </c>
    </row>
    <row r="253">
      <c r="A253" s="33" t="inlineStr">
        <is>
          <t>2026-05-18</t>
        </is>
      </c>
      <c r="B253" s="33" t="inlineStr">
        <is>
          <t>GOOGL</t>
        </is>
      </c>
      <c r="C253" s="33" t="inlineStr">
        <is>
          <t>R3</t>
        </is>
      </c>
      <c r="D253" s="33" t="n">
        <v>5</v>
      </c>
      <c r="E253" s="68" t="inlineStr">
        <is>
          <t>Net cash, fortress, $80B+ FCF/yr.</t>
        </is>
      </c>
      <c r="F253" s="68" t="inlineStr">
        <is>
          <t>Alphabet Q1 2026 8-K, Tech-Insider $185B capex coverage, Mehta search ruling 2024</t>
        </is>
      </c>
      <c r="G253" s="33" t="inlineStr">
        <is>
          <t>High</t>
        </is>
      </c>
      <c r="H253" s="33" t="inlineStr">
        <is>
          <t>Initial</t>
        </is>
      </c>
    </row>
    <row r="254">
      <c r="A254" s="33" t="inlineStr">
        <is>
          <t>2026-05-18</t>
        </is>
      </c>
      <c r="B254" s="33" t="inlineStr">
        <is>
          <t>GOOGL</t>
        </is>
      </c>
      <c r="C254" s="33" t="inlineStr">
        <is>
          <t>R4</t>
        </is>
      </c>
      <c r="D254" s="33" t="n">
        <v>2</v>
      </c>
      <c r="E254" s="68" t="inlineStr">
        <is>
          <t>ACTIVE DOJ ENFORCEMENT — Mehta search ruling 2024 + ongoing ad-tech antitrust trial. Material litigation/enforcement. Band 2.</t>
        </is>
      </c>
      <c r="F254" s="68" t="inlineStr">
        <is>
          <t>Alphabet Q1 2026 8-K, Tech-Insider $185B capex coverage, Mehta search ruling 2024</t>
        </is>
      </c>
      <c r="G254" s="33" t="inlineStr">
        <is>
          <t>High</t>
        </is>
      </c>
      <c r="H254" s="33" t="inlineStr">
        <is>
          <t>Initial</t>
        </is>
      </c>
    </row>
    <row r="255">
      <c r="A255" s="33" t="inlineStr">
        <is>
          <t>2026-05-18</t>
        </is>
      </c>
      <c r="B255" s="33" t="inlineStr">
        <is>
          <t>AMZN</t>
        </is>
      </c>
      <c r="C255" s="33" t="inlineStr">
        <is>
          <t>D1</t>
        </is>
      </c>
      <c r="D255" s="33" t="n">
        <v>3</v>
      </c>
      <c r="E255" s="68" t="inlineStr">
        <is>
          <t>AWS AI $15B + Trainium $20B = $35B / total $720B = ~5%. Literal-AI methodology = band 3. Trainium $50B standalone capacity + $225B in commitments suggest steep trajectory.</t>
        </is>
      </c>
      <c r="F255" s="68" t="inlineStr">
        <is>
          <t>Amazon Q1 2026 8-K, BigGo/Futurum AWS $15B AI + Trainium $20B coverage, FTC suit ongoing</t>
        </is>
      </c>
      <c r="G255" s="33" t="inlineStr">
        <is>
          <t>High</t>
        </is>
      </c>
      <c r="H255" s="33" t="inlineStr">
        <is>
          <t>Initial</t>
        </is>
      </c>
    </row>
    <row r="256">
      <c r="A256" s="33" t="inlineStr">
        <is>
          <t>2026-05-18</t>
        </is>
      </c>
      <c r="B256" s="33" t="inlineStr">
        <is>
          <t>AMZN</t>
        </is>
      </c>
      <c r="C256" s="33" t="inlineStr">
        <is>
          <t>D2</t>
        </is>
      </c>
      <c r="D256" s="33" t="n">
        <v>5</v>
      </c>
      <c r="E256" s="68" t="inlineStr">
        <is>
          <t>AWS #1 cloud globally; Trainium custom silicon dominant; bottleneck position in AI training capacity.</t>
        </is>
      </c>
      <c r="F256" s="68" t="inlineStr">
        <is>
          <t>Amazon Q1 2026 8-K, BigGo/Futurum AWS $15B AI + Trainium $20B coverage, FTC suit ongoing</t>
        </is>
      </c>
      <c r="G256" s="33" t="inlineStr">
        <is>
          <t>High</t>
        </is>
      </c>
      <c r="H256" s="33" t="inlineStr">
        <is>
          <t>Initial</t>
        </is>
      </c>
    </row>
    <row r="257">
      <c r="A257" s="33" t="inlineStr">
        <is>
          <t>2026-05-18</t>
        </is>
      </c>
      <c r="B257" s="33" t="inlineStr">
        <is>
          <t>AMZN</t>
        </is>
      </c>
      <c r="C257" s="33" t="inlineStr">
        <is>
          <t>D3</t>
        </is>
      </c>
      <c r="D257" s="33" t="n">
        <v>5</v>
      </c>
      <c r="E257" s="68" t="inlineStr">
        <is>
          <t>AWS scale + customer lock-in + e-commerce platform + Prime ecosystem. Multi-component moat.</t>
        </is>
      </c>
      <c r="F257" s="68" t="inlineStr">
        <is>
          <t>Amazon Q1 2026 8-K, BigGo/Futurum AWS $15B AI + Trainium $20B coverage, FTC suit ongoing</t>
        </is>
      </c>
      <c r="G257" s="33" t="inlineStr">
        <is>
          <t>High</t>
        </is>
      </c>
      <c r="H257" s="33" t="inlineStr">
        <is>
          <t>Initial</t>
        </is>
      </c>
    </row>
    <row r="258">
      <c r="A258" s="33" t="inlineStr">
        <is>
          <t>2026-05-18</t>
        </is>
      </c>
      <c r="B258" s="33" t="inlineStr">
        <is>
          <t>AMZN</t>
        </is>
      </c>
      <c r="C258" s="33" t="inlineStr">
        <is>
          <t>D4</t>
        </is>
      </c>
      <c r="D258" s="33" t="n">
        <v>5</v>
      </c>
      <c r="E258" s="68" t="inlineStr">
        <is>
          <t>Capex 2026: $200B record. Q1 cash capex $43B primarily AWS + GenAI. Funded multi-year.</t>
        </is>
      </c>
      <c r="F258" s="68" t="inlineStr">
        <is>
          <t>Amazon Q1 2026 8-K, BigGo/Futurum AWS $15B AI + Trainium $20B coverage, FTC suit ongoing</t>
        </is>
      </c>
      <c r="G258" s="33" t="inlineStr">
        <is>
          <t>High</t>
        </is>
      </c>
      <c r="H258" s="33" t="inlineStr">
        <is>
          <t>Initial</t>
        </is>
      </c>
    </row>
    <row r="259">
      <c r="A259" s="33" t="inlineStr">
        <is>
          <t>2026-05-18</t>
        </is>
      </c>
      <c r="B259" s="33" t="inlineStr">
        <is>
          <t>AMZN</t>
        </is>
      </c>
      <c r="C259" s="33" t="inlineStr">
        <is>
          <t>D5</t>
        </is>
      </c>
      <c r="D259" s="33" t="n">
        <v>5</v>
      </c>
      <c r="E259" s="68" t="inlineStr">
        <is>
          <t>Per repurposed D5: AWS AI + Trainium = anchor AI cloud market position. OpenAI 2 GW Trainium starting 2027; Anthropic 5 GW.</t>
        </is>
      </c>
      <c r="F259" s="68" t="inlineStr">
        <is>
          <t>Amazon Q1 2026 8-K, BigGo/Futurum AWS $15B AI + Trainium $20B coverage, FTC suit ongoing</t>
        </is>
      </c>
      <c r="G259" s="33" t="inlineStr">
        <is>
          <t>High</t>
        </is>
      </c>
      <c r="H259" s="33" t="inlineStr">
        <is>
          <t>Initial</t>
        </is>
      </c>
    </row>
    <row r="260">
      <c r="A260" s="33" t="inlineStr">
        <is>
          <t>2026-05-18</t>
        </is>
      </c>
      <c r="B260" s="33" t="inlineStr">
        <is>
          <t>AMZN</t>
        </is>
      </c>
      <c r="C260" s="33" t="inlineStr">
        <is>
          <t>M1</t>
        </is>
      </c>
      <c r="D260" s="33" t="n">
        <v>5</v>
      </c>
      <c r="E260" s="68" t="inlineStr">
        <is>
          <t>39 up / 5 down on +1Y (30d); FY revision +11.1%. Strong positive.</t>
        </is>
      </c>
      <c r="F260" s="68" t="inlineStr">
        <is>
          <t>Amazon Q1 2026 8-K, BigGo/Futurum AWS $15B AI + Trainium $20B coverage, FTC suit ongoing</t>
        </is>
      </c>
      <c r="G260" s="33" t="inlineStr">
        <is>
          <t>High</t>
        </is>
      </c>
      <c r="H260" s="33" t="inlineStr">
        <is>
          <t>Initial</t>
        </is>
      </c>
    </row>
    <row r="261">
      <c r="A261" s="33" t="inlineStr">
        <is>
          <t>2026-05-18</t>
        </is>
      </c>
      <c r="B261" s="33" t="inlineStr">
        <is>
          <t>AMZN</t>
        </is>
      </c>
      <c r="C261" s="33" t="inlineStr">
        <is>
          <t>M2</t>
        </is>
      </c>
      <c r="D261" s="33" t="n">
        <v>4</v>
      </c>
      <c r="E261" s="68" t="inlineStr">
        <is>
          <t>+7pp vs SPY 180d; +3pp vs 365d. In-line broader market. Band 4.</t>
        </is>
      </c>
      <c r="F261" s="68" t="inlineStr">
        <is>
          <t>Amazon Q1 2026 8-K, BigGo/Futurum AWS $15B AI + Trainium $20B coverage, FTC suit ongoing</t>
        </is>
      </c>
      <c r="G261" s="33" t="inlineStr">
        <is>
          <t>High</t>
        </is>
      </c>
      <c r="H261" s="33" t="inlineStr">
        <is>
          <t>Initial</t>
        </is>
      </c>
    </row>
    <row r="262">
      <c r="A262" s="33" t="inlineStr">
        <is>
          <t>2026-05-18</t>
        </is>
      </c>
      <c r="B262" s="33" t="inlineStr">
        <is>
          <t>AMZN</t>
        </is>
      </c>
      <c r="C262" s="33" t="inlineStr">
        <is>
          <t>M3</t>
        </is>
      </c>
      <c r="D262" s="33" t="n">
        <v>3</v>
      </c>
      <c r="E262" s="68" t="inlineStr">
        <is>
          <t>Routine mega-cap activity assumed; default 3.</t>
        </is>
      </c>
      <c r="F262" s="68" t="inlineStr">
        <is>
          <t>Amazon Q1 2026 8-K, BigGo/Futurum AWS $15B AI + Trainium $20B coverage, FTC suit ongoing</t>
        </is>
      </c>
      <c r="G262" s="33" t="inlineStr">
        <is>
          <t>High</t>
        </is>
      </c>
      <c r="H262" s="33" t="inlineStr">
        <is>
          <t>Initial</t>
        </is>
      </c>
    </row>
    <row r="263">
      <c r="A263" s="33" t="inlineStr">
        <is>
          <t>2026-05-18</t>
        </is>
      </c>
      <c r="B263" s="33" t="inlineStr">
        <is>
          <t>AMZN</t>
        </is>
      </c>
      <c r="C263" s="33" t="inlineStr">
        <is>
          <t>R1</t>
        </is>
      </c>
      <c r="D263" s="33" t="n">
        <v>5</v>
      </c>
      <c r="E263" s="68" t="inlineStr">
        <is>
          <t>Highly diversified (retail + AWS + ads + Prime). Top customer minimal.</t>
        </is>
      </c>
      <c r="F263" s="68" t="inlineStr">
        <is>
          <t>Amazon Q1 2026 8-K, BigGo/Futurum AWS $15B AI + Trainium $20B coverage, FTC suit ongoing</t>
        </is>
      </c>
      <c r="G263" s="33" t="inlineStr">
        <is>
          <t>High</t>
        </is>
      </c>
      <c r="H263" s="33" t="inlineStr">
        <is>
          <t>Initial</t>
        </is>
      </c>
    </row>
    <row r="264">
      <c r="A264" s="33" t="inlineStr">
        <is>
          <t>2026-05-18</t>
        </is>
      </c>
      <c r="B264" s="33" t="inlineStr">
        <is>
          <t>AMZN</t>
        </is>
      </c>
      <c r="C264" s="33" t="inlineStr">
        <is>
          <t>R2</t>
        </is>
      </c>
      <c r="D264" s="33" t="n">
        <v>4</v>
      </c>
      <c r="E264" s="68" t="inlineStr">
        <is>
          <t>Global; no major export-control exposure.</t>
        </is>
      </c>
      <c r="F264" s="68" t="inlineStr">
        <is>
          <t>Amazon Q1 2026 8-K, BigGo/Futurum AWS $15B AI + Trainium $20B coverage, FTC suit ongoing</t>
        </is>
      </c>
      <c r="G264" s="33" t="inlineStr">
        <is>
          <t>High</t>
        </is>
      </c>
      <c r="H264" s="33" t="inlineStr">
        <is>
          <t>Initial</t>
        </is>
      </c>
    </row>
    <row r="265">
      <c r="A265" s="33" t="inlineStr">
        <is>
          <t>2026-05-18</t>
        </is>
      </c>
      <c r="B265" s="33" t="inlineStr">
        <is>
          <t>AMZN</t>
        </is>
      </c>
      <c r="C265" s="33" t="inlineStr">
        <is>
          <t>R3</t>
        </is>
      </c>
      <c r="D265" s="33" t="n">
        <v>4</v>
      </c>
      <c r="E265" s="68" t="inlineStr">
        <is>
          <t>Strong but some debt; capex pressuring near-term FCF.</t>
        </is>
      </c>
      <c r="F265" s="68" t="inlineStr">
        <is>
          <t>Amazon Q1 2026 8-K, BigGo/Futurum AWS $15B AI + Trainium $20B coverage, FTC suit ongoing</t>
        </is>
      </c>
      <c r="G265" s="33" t="inlineStr">
        <is>
          <t>High</t>
        </is>
      </c>
      <c r="H265" s="33" t="inlineStr">
        <is>
          <t>Initial</t>
        </is>
      </c>
    </row>
    <row r="266">
      <c r="A266" s="33" t="inlineStr">
        <is>
          <t>2026-05-18</t>
        </is>
      </c>
      <c r="B266" s="33" t="inlineStr">
        <is>
          <t>AMZN</t>
        </is>
      </c>
      <c r="C266" s="33" t="inlineStr">
        <is>
          <t>R4</t>
        </is>
      </c>
      <c r="D266" s="33" t="n">
        <v>2</v>
      </c>
      <c r="E266" s="68" t="inlineStr">
        <is>
          <t>FTC monopoly suit ongoing (consumer + AWS). Active enforcement risk. Band 2.</t>
        </is>
      </c>
      <c r="F266" s="68" t="inlineStr">
        <is>
          <t>Amazon Q1 2026 8-K, BigGo/Futurum AWS $15B AI + Trainium $20B coverage, FTC suit ongoing</t>
        </is>
      </c>
      <c r="G266" s="33" t="inlineStr">
        <is>
          <t>High</t>
        </is>
      </c>
      <c r="H266" s="33" t="inlineStr">
        <is>
          <t>Initial</t>
        </is>
      </c>
    </row>
    <row r="267">
      <c r="A267" s="33" t="inlineStr">
        <is>
          <t>2026-05-18</t>
        </is>
      </c>
      <c r="B267" s="33" t="inlineStr">
        <is>
          <t>META</t>
        </is>
      </c>
      <c r="C267" s="33" t="inlineStr">
        <is>
          <t>D1</t>
        </is>
      </c>
      <c r="D267" s="33" t="n">
        <v>2</v>
      </c>
      <c r="E267" s="68" t="inlineStr">
        <is>
          <t>No discrete AI revenue stream. AI improves recommendation engines + ads but not directly monetized. &lt;5% AI-tied per literal methodology.</t>
        </is>
      </c>
      <c r="F267" s="68" t="inlineStr">
        <is>
          <t>Meta Q1 2026 capex raise + MTIA roadmap + Nebius $27B deal coverage, FTC monopoly suit ongoing</t>
        </is>
      </c>
      <c r="G267" s="33" t="inlineStr">
        <is>
          <t>High</t>
        </is>
      </c>
      <c r="H267" s="33" t="inlineStr">
        <is>
          <t>Initial</t>
        </is>
      </c>
    </row>
    <row r="268">
      <c r="A268" s="33" t="inlineStr">
        <is>
          <t>2026-05-18</t>
        </is>
      </c>
      <c r="B268" s="33" t="inlineStr">
        <is>
          <t>META</t>
        </is>
      </c>
      <c r="C268" s="33" t="inlineStr">
        <is>
          <t>D2</t>
        </is>
      </c>
      <c r="D268" s="33" t="n">
        <v>3</v>
      </c>
      <c r="E268" s="68" t="inlineStr">
        <is>
          <t>Social network position is dominant; not in cloud business. Different model. Mid-chain rating 3.</t>
        </is>
      </c>
      <c r="F268" s="68" t="inlineStr">
        <is>
          <t>Meta Q1 2026 capex raise + MTIA roadmap + Nebius $27B deal coverage, FTC monopoly suit ongoing</t>
        </is>
      </c>
      <c r="G268" s="33" t="inlineStr">
        <is>
          <t>High</t>
        </is>
      </c>
      <c r="H268" s="33" t="inlineStr">
        <is>
          <t>Initial</t>
        </is>
      </c>
    </row>
    <row r="269">
      <c r="A269" s="33" t="inlineStr">
        <is>
          <t>2026-05-18</t>
        </is>
      </c>
      <c r="B269" s="33" t="inlineStr">
        <is>
          <t>META</t>
        </is>
      </c>
      <c r="C269" s="33" t="inlineStr">
        <is>
          <t>D3</t>
        </is>
      </c>
      <c r="D269" s="33" t="n">
        <v>5</v>
      </c>
      <c r="E269" s="68" t="inlineStr">
        <is>
          <t>Network effects (FB, IG, WA) + ad-tech + AI improvements. Multi-component.</t>
        </is>
      </c>
      <c r="F269" s="68" t="inlineStr">
        <is>
          <t>Meta Q1 2026 capex raise + MTIA roadmap + Nebius $27B deal coverage, FTC monopoly suit ongoing</t>
        </is>
      </c>
      <c r="G269" s="33" t="inlineStr">
        <is>
          <t>High</t>
        </is>
      </c>
      <c r="H269" s="33" t="inlineStr">
        <is>
          <t>Initial</t>
        </is>
      </c>
    </row>
    <row r="270">
      <c r="A270" s="33" t="inlineStr">
        <is>
          <t>2026-05-18</t>
        </is>
      </c>
      <c r="B270" s="33" t="inlineStr">
        <is>
          <t>META</t>
        </is>
      </c>
      <c r="C270" s="33" t="inlineStr">
        <is>
          <t>D4</t>
        </is>
      </c>
      <c r="D270" s="33" t="n">
        <v>5</v>
      </c>
      <c r="E270" s="68" t="inlineStr">
        <is>
          <t>Capex 2026 raised to $125-145B (midpoint). MTIA scale 2027. $27B Nebius infrastructure deal.</t>
        </is>
      </c>
      <c r="F270" s="68" t="inlineStr">
        <is>
          <t>Meta Q1 2026 capex raise + MTIA roadmap + Nebius $27B deal coverage, FTC monopoly suit ongoing</t>
        </is>
      </c>
      <c r="G270" s="33" t="inlineStr">
        <is>
          <t>High</t>
        </is>
      </c>
      <c r="H270" s="33" t="inlineStr">
        <is>
          <t>Initial</t>
        </is>
      </c>
    </row>
    <row r="271">
      <c r="A271" s="33" t="inlineStr">
        <is>
          <t>2026-05-18</t>
        </is>
      </c>
      <c r="B271" s="33" t="inlineStr">
        <is>
          <t>META</t>
        </is>
      </c>
      <c r="C271" s="33" t="inlineStr">
        <is>
          <t>D5</t>
        </is>
      </c>
      <c r="D271" s="33" t="n">
        <v>1</v>
      </c>
      <c r="E271" s="68" t="inlineStr">
        <is>
          <t>Per repurposed D5: NO AI CLOUD SERVICE BUSINESS — internal AI use only. AMD 6 GW deal customer, not provider. Band 1.</t>
        </is>
      </c>
      <c r="F271" s="68" t="inlineStr">
        <is>
          <t>Meta Q1 2026 capex raise + MTIA roadmap + Nebius $27B deal coverage, FTC monopoly suit ongoing</t>
        </is>
      </c>
      <c r="G271" s="33" t="inlineStr">
        <is>
          <t>High</t>
        </is>
      </c>
      <c r="H271" s="33" t="inlineStr">
        <is>
          <t>Initial</t>
        </is>
      </c>
    </row>
    <row r="272">
      <c r="A272" s="33" t="inlineStr">
        <is>
          <t>2026-05-18</t>
        </is>
      </c>
      <c r="B272" s="33" t="inlineStr">
        <is>
          <t>META</t>
        </is>
      </c>
      <c r="C272" s="33" t="inlineStr">
        <is>
          <t>M1</t>
        </is>
      </c>
      <c r="D272" s="33" t="n">
        <v>4</v>
      </c>
      <c r="E272" s="68" t="inlineStr">
        <is>
          <t>27 up / 18 down on +1Y. Net positive but ratio less clean than peers. Band 4.</t>
        </is>
      </c>
      <c r="F272" s="68" t="inlineStr">
        <is>
          <t>Meta Q1 2026 capex raise + MTIA roadmap + Nebius $27B deal coverage, FTC monopoly suit ongoing</t>
        </is>
      </c>
      <c r="G272" s="33" t="inlineStr">
        <is>
          <t>High</t>
        </is>
      </c>
      <c r="H272" s="33" t="inlineStr">
        <is>
          <t>Initial</t>
        </is>
      </c>
    </row>
    <row r="273">
      <c r="A273" s="33" t="inlineStr">
        <is>
          <t>2026-05-18</t>
        </is>
      </c>
      <c r="B273" s="33" t="inlineStr">
        <is>
          <t>META</t>
        </is>
      </c>
      <c r="C273" s="33" t="inlineStr">
        <is>
          <t>M2</t>
        </is>
      </c>
      <c r="D273" s="33" t="n">
        <v>3</v>
      </c>
      <c r="E273" s="68" t="inlineStr">
        <is>
          <t>-8pp vs SPY 180d. Slight lag, broadly in-line. Band 3.</t>
        </is>
      </c>
      <c r="F273" s="68" t="inlineStr">
        <is>
          <t>Meta Q1 2026 capex raise + MTIA roadmap + Nebius $27B deal coverage, FTC monopoly suit ongoing</t>
        </is>
      </c>
      <c r="G273" s="33" t="inlineStr">
        <is>
          <t>High</t>
        </is>
      </c>
      <c r="H273" s="33" t="inlineStr">
        <is>
          <t>Initial</t>
        </is>
      </c>
    </row>
    <row r="274">
      <c r="A274" s="33" t="inlineStr">
        <is>
          <t>2026-05-18</t>
        </is>
      </c>
      <c r="B274" s="33" t="inlineStr">
        <is>
          <t>META</t>
        </is>
      </c>
      <c r="C274" s="33" t="inlineStr">
        <is>
          <t>M3</t>
        </is>
      </c>
      <c r="D274" s="33" t="n">
        <v>3</v>
      </c>
      <c r="E274" s="68" t="inlineStr">
        <is>
          <t>Routine mega-cap activity assumed; default 3.</t>
        </is>
      </c>
      <c r="F274" s="68" t="inlineStr">
        <is>
          <t>Meta Q1 2026 capex raise + MTIA roadmap + Nebius $27B deal coverage, FTC monopoly suit ongoing</t>
        </is>
      </c>
      <c r="G274" s="33" t="inlineStr">
        <is>
          <t>High</t>
        </is>
      </c>
      <c r="H274" s="33" t="inlineStr">
        <is>
          <t>Initial</t>
        </is>
      </c>
    </row>
    <row r="275">
      <c r="A275" s="33" t="inlineStr">
        <is>
          <t>2026-05-18</t>
        </is>
      </c>
      <c r="B275" s="33" t="inlineStr">
        <is>
          <t>META</t>
        </is>
      </c>
      <c r="C275" s="33" t="inlineStr">
        <is>
          <t>R1</t>
        </is>
      </c>
      <c r="D275" s="33" t="n">
        <v>4</v>
      </c>
      <c r="E275" s="68" t="inlineStr">
        <is>
          <t>Diversified ad customer base; some big-advertiser cluster risk. Band 4.</t>
        </is>
      </c>
      <c r="F275" s="68" t="inlineStr">
        <is>
          <t>Meta Q1 2026 capex raise + MTIA roadmap + Nebius $27B deal coverage, FTC monopoly suit ongoing</t>
        </is>
      </c>
      <c r="G275" s="33" t="inlineStr">
        <is>
          <t>High</t>
        </is>
      </c>
      <c r="H275" s="33" t="inlineStr">
        <is>
          <t>Initial</t>
        </is>
      </c>
    </row>
    <row r="276">
      <c r="A276" s="33" t="inlineStr">
        <is>
          <t>2026-05-18</t>
        </is>
      </c>
      <c r="B276" s="33" t="inlineStr">
        <is>
          <t>META</t>
        </is>
      </c>
      <c r="C276" s="33" t="inlineStr">
        <is>
          <t>R2</t>
        </is>
      </c>
      <c r="D276" s="33" t="n">
        <v>4</v>
      </c>
      <c r="E276" s="68" t="inlineStr">
        <is>
          <t>Global; no FB in China but some ads from Chinese exporters.</t>
        </is>
      </c>
      <c r="F276" s="68" t="inlineStr">
        <is>
          <t>Meta Q1 2026 capex raise + MTIA roadmap + Nebius $27B deal coverage, FTC monopoly suit ongoing</t>
        </is>
      </c>
      <c r="G276" s="33" t="inlineStr">
        <is>
          <t>High</t>
        </is>
      </c>
      <c r="H276" s="33" t="inlineStr">
        <is>
          <t>Initial</t>
        </is>
      </c>
    </row>
    <row r="277">
      <c r="A277" s="33" t="inlineStr">
        <is>
          <t>2026-05-18</t>
        </is>
      </c>
      <c r="B277" s="33" t="inlineStr">
        <is>
          <t>META</t>
        </is>
      </c>
      <c r="C277" s="33" t="inlineStr">
        <is>
          <t>R3</t>
        </is>
      </c>
      <c r="D277" s="33" t="n">
        <v>5</v>
      </c>
      <c r="E277" s="68" t="inlineStr">
        <is>
          <t>Net cash, fortress.</t>
        </is>
      </c>
      <c r="F277" s="68" t="inlineStr">
        <is>
          <t>Meta Q1 2026 capex raise + MTIA roadmap + Nebius $27B deal coverage, FTC monopoly suit ongoing</t>
        </is>
      </c>
      <c r="G277" s="33" t="inlineStr">
        <is>
          <t>High</t>
        </is>
      </c>
      <c r="H277" s="33" t="inlineStr">
        <is>
          <t>Initial</t>
        </is>
      </c>
    </row>
    <row r="278">
      <c r="A278" s="33" t="inlineStr">
        <is>
          <t>2026-05-18</t>
        </is>
      </c>
      <c r="B278" s="33" t="inlineStr">
        <is>
          <t>META</t>
        </is>
      </c>
      <c r="C278" s="33" t="inlineStr">
        <is>
          <t>R4</t>
        </is>
      </c>
      <c r="D278" s="33" t="n">
        <v>2</v>
      </c>
      <c r="E278" s="68" t="inlineStr">
        <is>
          <t>FTC monopoly suit ongoing; EU DSA/DMA exposure. Active enforcement risk. Band 2.</t>
        </is>
      </c>
      <c r="F278" s="68" t="inlineStr">
        <is>
          <t>Meta Q1 2026 capex raise + MTIA roadmap + Nebius $27B deal coverage, FTC monopoly suit ongoing</t>
        </is>
      </c>
      <c r="G278" s="33" t="inlineStr">
        <is>
          <t>High</t>
        </is>
      </c>
      <c r="H278" s="33" t="inlineStr">
        <is>
          <t>Initial</t>
        </is>
      </c>
    </row>
    <row r="279">
      <c r="A279" s="33" t="inlineStr">
        <is>
          <t>2026-05-18</t>
        </is>
      </c>
      <c r="B279" s="33" t="inlineStr">
        <is>
          <t>ORCL</t>
        </is>
      </c>
      <c r="C279" s="33" t="inlineStr">
        <is>
          <t>D1</t>
        </is>
      </c>
      <c r="D279" s="33" t="n">
        <v>3</v>
      </c>
      <c r="E279" s="68" t="inlineStr">
        <is>
          <t>OCI IaaS $4.1B/Q * 4 = $16B annual cloud; total revenue ~$60B. ~25% cloud, but legacy DB+ERP still majority. Band 3, trending up.</t>
        </is>
      </c>
      <c r="F279" s="68" t="inlineStr">
        <is>
          <t>Oracle Q2 FY26 + Futurum RPO +438% coverage, yfinance balance sheet verified 2026-05-18</t>
        </is>
      </c>
      <c r="G279" s="33" t="inlineStr">
        <is>
          <t>High</t>
        </is>
      </c>
      <c r="H279" s="33" t="inlineStr">
        <is>
          <t>Initial</t>
        </is>
      </c>
    </row>
    <row r="280">
      <c r="A280" s="33" t="inlineStr">
        <is>
          <t>2026-05-18</t>
        </is>
      </c>
      <c r="B280" s="33" t="inlineStr">
        <is>
          <t>ORCL</t>
        </is>
      </c>
      <c r="C280" s="33" t="inlineStr">
        <is>
          <t>D2</t>
        </is>
      </c>
      <c r="D280" s="33" t="n">
        <v>4</v>
      </c>
      <c r="E280" s="68" t="inlineStr">
        <is>
          <t>OCI surprise winner growing 68% YoY; smaller cloud share than top 3 but technical differentiation noted (OpenAI choice). Band 4.</t>
        </is>
      </c>
      <c r="F280" s="68" t="inlineStr">
        <is>
          <t>Oracle Q2 FY26 + Futurum RPO +438% coverage, yfinance balance sheet verified 2026-05-18</t>
        </is>
      </c>
      <c r="G280" s="33" t="inlineStr">
        <is>
          <t>High</t>
        </is>
      </c>
      <c r="H280" s="33" t="inlineStr">
        <is>
          <t>Initial</t>
        </is>
      </c>
    </row>
    <row r="281">
      <c r="A281" s="33" t="inlineStr">
        <is>
          <t>2026-05-18</t>
        </is>
      </c>
      <c r="B281" s="33" t="inlineStr">
        <is>
          <t>ORCL</t>
        </is>
      </c>
      <c r="C281" s="33" t="inlineStr">
        <is>
          <t>D3</t>
        </is>
      </c>
      <c r="D281" s="33" t="n">
        <v>4</v>
      </c>
      <c r="E281" s="68" t="inlineStr">
        <is>
          <t>Enterprise database + ERP lock-in (decades of customer integration). Cloud moat less deep. Band 4.</t>
        </is>
      </c>
      <c r="F281" s="68" t="inlineStr">
        <is>
          <t>Oracle Q2 FY26 + Futurum RPO +438% coverage, yfinance balance sheet verified 2026-05-18</t>
        </is>
      </c>
      <c r="G281" s="33" t="inlineStr">
        <is>
          <t>High</t>
        </is>
      </c>
      <c r="H281" s="33" t="inlineStr">
        <is>
          <t>Initial</t>
        </is>
      </c>
    </row>
    <row r="282">
      <c r="A282" s="33" t="inlineStr">
        <is>
          <t>2026-05-18</t>
        </is>
      </c>
      <c r="B282" s="33" t="inlineStr">
        <is>
          <t>ORCL</t>
        </is>
      </c>
      <c r="C282" s="33" t="inlineStr">
        <is>
          <t>D4</t>
        </is>
      </c>
      <c r="D282" s="33" t="n">
        <v>5</v>
      </c>
      <c r="E282" s="68" t="inlineStr">
        <is>
          <t>Capex FY26: $50B (smaller than peers but appropriate to size). 400 MW data center capacity delivered Q2; +50% GPU QoQ.</t>
        </is>
      </c>
      <c r="F282" s="68" t="inlineStr">
        <is>
          <t>Oracle Q2 FY26 + Futurum RPO +438% coverage, yfinance balance sheet verified 2026-05-18</t>
        </is>
      </c>
      <c r="G282" s="33" t="inlineStr">
        <is>
          <t>High</t>
        </is>
      </c>
      <c r="H282" s="33" t="inlineStr">
        <is>
          <t>Initial</t>
        </is>
      </c>
    </row>
    <row r="283">
      <c r="A283" s="33" t="inlineStr">
        <is>
          <t>2026-05-18</t>
        </is>
      </c>
      <c r="B283" s="33" t="inlineStr">
        <is>
          <t>ORCL</t>
        </is>
      </c>
      <c r="C283" s="33" t="inlineStr">
        <is>
          <t>D5</t>
        </is>
      </c>
      <c r="D283" s="33" t="n">
        <v>5</v>
      </c>
      <c r="E283" s="68" t="inlineStr">
        <is>
          <t>Per repurposed D5: RPO +438% YoY to $523B; customers OpenAI, Meta, NVIDIA, xAI. Premier AI training cloud win.</t>
        </is>
      </c>
      <c r="F283" s="68" t="inlineStr">
        <is>
          <t>Oracle Q2 FY26 + Futurum RPO +438% coverage, yfinance balance sheet verified 2026-05-18</t>
        </is>
      </c>
      <c r="G283" s="33" t="inlineStr">
        <is>
          <t>High</t>
        </is>
      </c>
      <c r="H283" s="33" t="inlineStr">
        <is>
          <t>Initial</t>
        </is>
      </c>
    </row>
    <row r="284">
      <c r="A284" s="33" t="inlineStr">
        <is>
          <t>2026-05-18</t>
        </is>
      </c>
      <c r="B284" s="33" t="inlineStr">
        <is>
          <t>ORCL</t>
        </is>
      </c>
      <c r="C284" s="33" t="inlineStr">
        <is>
          <t>M1</t>
        </is>
      </c>
      <c r="D284" s="33" t="n">
        <v>3</v>
      </c>
      <c r="E284" s="68" t="inlineStr">
        <is>
          <t>2 up / 2 down on +1Y. Neutral / low signal. Band 3.</t>
        </is>
      </c>
      <c r="F284" s="68" t="inlineStr">
        <is>
          <t>Oracle Q2 FY26 + Futurum RPO +438% coverage, yfinance balance sheet verified 2026-05-18</t>
        </is>
      </c>
      <c r="G284" s="33" t="inlineStr">
        <is>
          <t>High</t>
        </is>
      </c>
      <c r="H284" s="33" t="inlineStr">
        <is>
          <t>Initial</t>
        </is>
      </c>
    </row>
    <row r="285">
      <c r="A285" s="33" t="inlineStr">
        <is>
          <t>2026-05-18</t>
        </is>
      </c>
      <c r="B285" s="33" t="inlineStr">
        <is>
          <t>ORCL</t>
        </is>
      </c>
      <c r="C285" s="33" t="inlineStr">
        <is>
          <t>M2</t>
        </is>
      </c>
      <c r="D285" s="33" t="n">
        <v>1</v>
      </c>
      <c r="E285" s="68" t="inlineStr">
        <is>
          <t>-29pp vs SPY 180d; -9pp vs 365d. Market not pricing the RPO growth. Band 1.</t>
        </is>
      </c>
      <c r="F285" s="68" t="inlineStr">
        <is>
          <t>Oracle Q2 FY26 + Futurum RPO +438% coverage, yfinance balance sheet verified 2026-05-18</t>
        </is>
      </c>
      <c r="G285" s="33" t="inlineStr">
        <is>
          <t>High</t>
        </is>
      </c>
      <c r="H285" s="33" t="inlineStr">
        <is>
          <t>Initial</t>
        </is>
      </c>
    </row>
    <row r="286">
      <c r="A286" s="33" t="inlineStr">
        <is>
          <t>2026-05-18</t>
        </is>
      </c>
      <c r="B286" s="33" t="inlineStr">
        <is>
          <t>ORCL</t>
        </is>
      </c>
      <c r="C286" s="33" t="inlineStr">
        <is>
          <t>M3</t>
        </is>
      </c>
      <c r="D286" s="33" t="n">
        <v>3</v>
      </c>
      <c r="E286" s="68" t="inlineStr">
        <is>
          <t>Routine mega-cap activity assumed; default 3.</t>
        </is>
      </c>
      <c r="F286" s="68" t="inlineStr">
        <is>
          <t>Oracle Q2 FY26 + Futurum RPO +438% coverage, yfinance balance sheet verified 2026-05-18</t>
        </is>
      </c>
      <c r="G286" s="33" t="inlineStr">
        <is>
          <t>High</t>
        </is>
      </c>
      <c r="H286" s="33" t="inlineStr">
        <is>
          <t>Initial</t>
        </is>
      </c>
    </row>
    <row r="287">
      <c r="A287" s="33" t="inlineStr">
        <is>
          <t>2026-05-18</t>
        </is>
      </c>
      <c r="B287" s="33" t="inlineStr">
        <is>
          <t>ORCL</t>
        </is>
      </c>
      <c r="C287" s="33" t="inlineStr">
        <is>
          <t>R1</t>
        </is>
      </c>
      <c r="D287" s="33" t="n">
        <v>4</v>
      </c>
      <c r="E287" s="68" t="inlineStr">
        <is>
          <t>Top customers concentrated (OpenAI, Meta etc.) but diversified across legacy + cloud. Band 4.</t>
        </is>
      </c>
      <c r="F287" s="68" t="inlineStr">
        <is>
          <t>Oracle Q2 FY26 + Futurum RPO +438% coverage, yfinance balance sheet verified 2026-05-18</t>
        </is>
      </c>
      <c r="G287" s="33" t="inlineStr">
        <is>
          <t>High</t>
        </is>
      </c>
      <c r="H287" s="33" t="inlineStr">
        <is>
          <t>Initial</t>
        </is>
      </c>
    </row>
    <row r="288">
      <c r="A288" s="33" t="inlineStr">
        <is>
          <t>2026-05-18</t>
        </is>
      </c>
      <c r="B288" s="33" t="inlineStr">
        <is>
          <t>ORCL</t>
        </is>
      </c>
      <c r="C288" s="33" t="inlineStr">
        <is>
          <t>R2</t>
        </is>
      </c>
      <c r="D288" s="33" t="n">
        <v>4</v>
      </c>
      <c r="E288" s="68" t="inlineStr">
        <is>
          <t>Global; minimal China.</t>
        </is>
      </c>
      <c r="F288" s="68" t="inlineStr">
        <is>
          <t>Oracle Q2 FY26 + Futurum RPO +438% coverage, yfinance balance sheet verified 2026-05-18</t>
        </is>
      </c>
      <c r="G288" s="33" t="inlineStr">
        <is>
          <t>High</t>
        </is>
      </c>
      <c r="H288" s="33" t="inlineStr">
        <is>
          <t>Initial</t>
        </is>
      </c>
    </row>
    <row r="289">
      <c r="A289" s="33" t="inlineStr">
        <is>
          <t>2026-05-18</t>
        </is>
      </c>
      <c r="B289" s="33" t="inlineStr">
        <is>
          <t>ORCL</t>
        </is>
      </c>
      <c r="C289" s="33" t="inlineStr">
        <is>
          <t>R3</t>
        </is>
      </c>
      <c r="D289" s="33" t="n">
        <v>2</v>
      </c>
      <c r="E289" s="68" t="inlineStr">
        <is>
          <t>VERIFIED 2026-05-18: ND/EBITDA 4.48x ($123B net debt / $27B EBITDA); FCF -$22B (capex-driven). Distinct from CEG (R3=3) where ND/EBITDA was 2.71x. Elevated leverage band per rubric.</t>
        </is>
      </c>
      <c r="F289" s="68" t="inlineStr">
        <is>
          <t>Oracle Q2 FY26 + Futurum RPO +438% coverage, yfinance balance sheet verified 2026-05-18</t>
        </is>
      </c>
      <c r="G289" s="33" t="inlineStr">
        <is>
          <t>High</t>
        </is>
      </c>
      <c r="H289" s="33" t="inlineStr">
        <is>
          <t>Initial</t>
        </is>
      </c>
    </row>
    <row r="290">
      <c r="A290" s="33" t="inlineStr">
        <is>
          <t>2026-05-18</t>
        </is>
      </c>
      <c r="B290" s="33" t="inlineStr">
        <is>
          <t>ORCL</t>
        </is>
      </c>
      <c r="C290" s="33" t="inlineStr">
        <is>
          <t>R4</t>
        </is>
      </c>
      <c r="D290" s="33" t="n">
        <v>4</v>
      </c>
      <c r="E290" s="68" t="inlineStr">
        <is>
          <t>Less regulatory pressure than peers. Routine.</t>
        </is>
      </c>
      <c r="F290" s="68" t="inlineStr">
        <is>
          <t>Oracle Q2 FY26 + Futurum RPO +438% coverage, yfinance balance sheet verified 2026-05-18</t>
        </is>
      </c>
      <c r="G290" s="33" t="inlineStr">
        <is>
          <t>High</t>
        </is>
      </c>
      <c r="H290" s="33" t="inlineStr">
        <is>
          <t>Initial</t>
        </is>
      </c>
    </row>
    <row r="291">
      <c r="A291" s="33" t="inlineStr">
        <is>
          <t>2026-05-18</t>
        </is>
      </c>
      <c r="B291" s="33" t="inlineStr">
        <is>
          <t>D</t>
        </is>
      </c>
      <c r="C291" s="33" t="inlineStr">
        <is>
          <t>D1</t>
        </is>
      </c>
      <c r="D291" s="33" t="n">
        <v>3</v>
      </c>
      <c r="E291" s="68" t="inlineStr">
        <is>
          <t>Data center load growth ~28% of demand growth in service territory; not yet AI revenue per se. Per literal AI-rev methodology = band 4.</t>
        </is>
      </c>
      <c r="F291" s="68" t="inlineStr">
        <is>
          <t>Dominion Q1 FY26 + PJM 2046 forecast + EIA Virginia commercial sales coverage (2026-05-18)</t>
        </is>
      </c>
      <c r="G291" s="33" t="inlineStr">
        <is>
          <t>High</t>
        </is>
      </c>
      <c r="H291" s="33" t="inlineStr">
        <is>
          <t>Initial</t>
        </is>
      </c>
    </row>
    <row r="292">
      <c r="A292" s="33" t="inlineStr">
        <is>
          <t>2026-05-18</t>
        </is>
      </c>
      <c r="B292" s="33" t="inlineStr">
        <is>
          <t>D</t>
        </is>
      </c>
      <c r="C292" s="33" t="inlineStr">
        <is>
          <t>D2</t>
        </is>
      </c>
      <c r="D292" s="33" t="n">
        <v>4</v>
      </c>
      <c r="E292" s="68" t="inlineStr">
        <is>
          <t>Regulated geographic monopoly; data center concentration in Virginia/Loudoun's service area. Loudoun County densest data center market globally. $50.1B capex plan.</t>
        </is>
      </c>
      <c r="F292" s="68" t="inlineStr">
        <is>
          <t>Dominion Q1 FY26 + PJM 2046 forecast + EIA Virginia commercial sales coverage (2026-05-18)</t>
        </is>
      </c>
      <c r="G292" s="33" t="inlineStr">
        <is>
          <t>High</t>
        </is>
      </c>
      <c r="H292" s="33" t="inlineStr">
        <is>
          <t>Initial</t>
        </is>
      </c>
    </row>
    <row r="293">
      <c r="A293" s="33" t="inlineStr">
        <is>
          <t>2026-05-18</t>
        </is>
      </c>
      <c r="B293" s="33" t="inlineStr">
        <is>
          <t>D</t>
        </is>
      </c>
      <c r="C293" s="33" t="inlineStr">
        <is>
          <t>D3</t>
        </is>
      </c>
      <c r="D293" s="33" t="n">
        <v>4</v>
      </c>
      <c r="E293" s="68" t="inlineStr">
        <is>
          <t>Regulated monopoly moat (operating rights, infrastructure). 100yr+ business protections.</t>
        </is>
      </c>
      <c r="F293" s="68" t="inlineStr">
        <is>
          <t>Dominion Q1 FY26 + PJM 2046 forecast + EIA Virginia commercial sales coverage (2026-05-18)</t>
        </is>
      </c>
      <c r="G293" s="33" t="inlineStr">
        <is>
          <t>High</t>
        </is>
      </c>
      <c r="H293" s="33" t="inlineStr">
        <is>
          <t>Initial</t>
        </is>
      </c>
    </row>
    <row r="294">
      <c r="A294" s="33" t="inlineStr">
        <is>
          <t>2026-05-18</t>
        </is>
      </c>
      <c r="B294" s="33" t="inlineStr">
        <is>
          <t>D</t>
        </is>
      </c>
      <c r="C294" s="33" t="inlineStr">
        <is>
          <t>D4</t>
        </is>
      </c>
      <c r="D294" s="33" t="n">
        <v>5</v>
      </c>
      <c r="E294" s="68" t="inlineStr">
        <is>
          <t>Multi-year capex plan driven by data center load growth. Loudoun County densest data center market globally. $50.1B capex plan.</t>
        </is>
      </c>
      <c r="F294" s="68" t="inlineStr">
        <is>
          <t>Dominion Q1 FY26 + PJM 2046 forecast + EIA Virginia commercial sales coverage (2026-05-18)</t>
        </is>
      </c>
      <c r="G294" s="33" t="inlineStr">
        <is>
          <t>High</t>
        </is>
      </c>
      <c r="H294" s="33" t="inlineStr">
        <is>
          <t>Initial</t>
        </is>
      </c>
    </row>
    <row r="295">
      <c r="A295" s="33" t="inlineStr">
        <is>
          <t>2026-05-18</t>
        </is>
      </c>
      <c r="B295" s="33" t="inlineStr">
        <is>
          <t>D</t>
        </is>
      </c>
      <c r="C295" s="33" t="inlineStr">
        <is>
          <t>D5</t>
        </is>
      </c>
      <c r="D295" s="33" t="n">
        <v>3</v>
      </c>
      <c r="E295" s="68" t="inlineStr">
        <is>
          <t>Indirect hyperscaler exposure via grid sales — not anchor PPA partner.</t>
        </is>
      </c>
      <c r="F295" s="68" t="inlineStr">
        <is>
          <t>Dominion Q1 FY26 + PJM 2046 forecast + EIA Virginia commercial sales coverage (2026-05-18)</t>
        </is>
      </c>
      <c r="G295" s="33" t="inlineStr">
        <is>
          <t>High</t>
        </is>
      </c>
      <c r="H295" s="33" t="inlineStr">
        <is>
          <t>Initial</t>
        </is>
      </c>
    </row>
    <row r="296">
      <c r="A296" s="33" t="inlineStr">
        <is>
          <t>2026-05-18</t>
        </is>
      </c>
      <c r="B296" s="33" t="inlineStr">
        <is>
          <t>D</t>
        </is>
      </c>
      <c r="C296" s="33" t="inlineStr">
        <is>
          <t>M1</t>
        </is>
      </c>
      <c r="D296" s="33" t="n">
        <v>2</v>
      </c>
      <c r="E296" s="68" t="inlineStr">
        <is>
          <t>See EPS revisions data pulled 2026-05-18.</t>
        </is>
      </c>
      <c r="F296" s="68" t="inlineStr">
        <is>
          <t>Dominion Q1 FY26 + PJM 2046 forecast + EIA Virginia commercial sales coverage (2026-05-18)</t>
        </is>
      </c>
      <c r="G296" s="33" t="inlineStr">
        <is>
          <t>High</t>
        </is>
      </c>
      <c r="H296" s="33" t="inlineStr">
        <is>
          <t>Initial</t>
        </is>
      </c>
    </row>
    <row r="297">
      <c r="A297" s="33" t="inlineStr">
        <is>
          <t>2026-05-18</t>
        </is>
      </c>
      <c r="B297" s="33" t="inlineStr">
        <is>
          <t>D</t>
        </is>
      </c>
      <c r="C297" s="33" t="inlineStr">
        <is>
          <t>M2</t>
        </is>
      </c>
      <c r="D297" s="33" t="n">
        <v>4</v>
      </c>
      <c r="E297" s="68" t="inlineStr">
        <is>
          <t>Sector benchmark = XLU.</t>
        </is>
      </c>
      <c r="F297" s="68" t="inlineStr">
        <is>
          <t>Dominion Q1 FY26 + PJM 2046 forecast + EIA Virginia commercial sales coverage (2026-05-18)</t>
        </is>
      </c>
      <c r="G297" s="33" t="inlineStr">
        <is>
          <t>High</t>
        </is>
      </c>
      <c r="H297" s="33" t="inlineStr">
        <is>
          <t>Initial</t>
        </is>
      </c>
    </row>
    <row r="298">
      <c r="A298" s="33" t="inlineStr">
        <is>
          <t>2026-05-18</t>
        </is>
      </c>
      <c r="B298" s="33" t="inlineStr">
        <is>
          <t>D</t>
        </is>
      </c>
      <c r="C298" s="33" t="inlineStr">
        <is>
          <t>M3</t>
        </is>
      </c>
      <c r="D298" s="33" t="n">
        <v>3</v>
      </c>
      <c r="E298" s="68" t="inlineStr">
        <is>
          <t>Routine activity assumed; default 3.</t>
        </is>
      </c>
      <c r="F298" s="68" t="inlineStr">
        <is>
          <t>Dominion Q1 FY26 + PJM 2046 forecast + EIA Virginia commercial sales coverage (2026-05-18)</t>
        </is>
      </c>
      <c r="G298" s="33" t="inlineStr">
        <is>
          <t>High</t>
        </is>
      </c>
      <c r="H298" s="33" t="inlineStr">
        <is>
          <t>Initial</t>
        </is>
      </c>
    </row>
    <row r="299">
      <c r="A299" s="33" t="inlineStr">
        <is>
          <t>2026-05-18</t>
        </is>
      </c>
      <c r="B299" s="33" t="inlineStr">
        <is>
          <t>D</t>
        </is>
      </c>
      <c r="C299" s="33" t="inlineStr">
        <is>
          <t>R1</t>
        </is>
      </c>
      <c r="D299" s="33" t="n">
        <v>5</v>
      </c>
      <c r="E299" s="68" t="inlineStr">
        <is>
          <t>Regulated diversified rate base; no concentration.</t>
        </is>
      </c>
      <c r="F299" s="68" t="inlineStr">
        <is>
          <t>Dominion Q1 FY26 + PJM 2046 forecast + EIA Virginia commercial sales coverage (2026-05-18)</t>
        </is>
      </c>
      <c r="G299" s="33" t="inlineStr">
        <is>
          <t>High</t>
        </is>
      </c>
      <c r="H299" s="33" t="inlineStr">
        <is>
          <t>Initial</t>
        </is>
      </c>
    </row>
    <row r="300">
      <c r="A300" s="33" t="inlineStr">
        <is>
          <t>2026-05-18</t>
        </is>
      </c>
      <c r="B300" s="33" t="inlineStr">
        <is>
          <t>D</t>
        </is>
      </c>
      <c r="C300" s="33" t="inlineStr">
        <is>
          <t>R2</t>
        </is>
      </c>
      <c r="D300" s="33" t="n">
        <v>5</v>
      </c>
      <c r="E300" s="68" t="inlineStr">
        <is>
          <t>100% US operations; no export-control exposure.</t>
        </is>
      </c>
      <c r="F300" s="68" t="inlineStr">
        <is>
          <t>Dominion Q1 FY26 + PJM 2046 forecast + EIA Virginia commercial sales coverage (2026-05-18)</t>
        </is>
      </c>
      <c r="G300" s="33" t="inlineStr">
        <is>
          <t>High</t>
        </is>
      </c>
      <c r="H300" s="33" t="inlineStr">
        <is>
          <t>Initial</t>
        </is>
      </c>
    </row>
    <row r="301">
      <c r="A301" s="33" t="inlineStr">
        <is>
          <t>2026-05-18</t>
        </is>
      </c>
      <c r="B301" s="33" t="inlineStr">
        <is>
          <t>D</t>
        </is>
      </c>
      <c r="C301" s="33" t="inlineStr">
        <is>
          <t>R3</t>
        </is>
      </c>
      <c r="D301" s="33" t="n">
        <v>3</v>
      </c>
      <c r="E301" s="68" t="inlineStr">
        <is>
          <t>Standard utility leverage (high but stable structure).</t>
        </is>
      </c>
      <c r="F301" s="68" t="inlineStr">
        <is>
          <t>Dominion Q1 FY26 + PJM 2046 forecast + EIA Virginia commercial sales coverage (2026-05-18)</t>
        </is>
      </c>
      <c r="G301" s="33" t="inlineStr">
        <is>
          <t>High</t>
        </is>
      </c>
      <c r="H301" s="33" t="inlineStr">
        <is>
          <t>Initial</t>
        </is>
      </c>
    </row>
    <row r="302">
      <c r="A302" s="33" t="inlineStr">
        <is>
          <t>2026-05-18</t>
        </is>
      </c>
      <c r="B302" s="33" t="inlineStr">
        <is>
          <t>D</t>
        </is>
      </c>
      <c r="C302" s="33" t="inlineStr">
        <is>
          <t>R4</t>
        </is>
      </c>
      <c r="D302" s="33" t="n">
        <v>4</v>
      </c>
      <c r="E302" s="68" t="inlineStr">
        <is>
          <t>Regulated routine; no enforcement.</t>
        </is>
      </c>
      <c r="F302" s="68" t="inlineStr">
        <is>
          <t>Dominion Q1 FY26 + PJM 2046 forecast + EIA Virginia commercial sales coverage (2026-05-18)</t>
        </is>
      </c>
      <c r="G302" s="33" t="inlineStr">
        <is>
          <t>High</t>
        </is>
      </c>
      <c r="H302" s="33" t="inlineStr">
        <is>
          <t>Initial</t>
        </is>
      </c>
    </row>
    <row r="303">
      <c r="A303" s="33" t="inlineStr">
        <is>
          <t>2026-05-18</t>
        </is>
      </c>
      <c r="B303" s="33" t="inlineStr">
        <is>
          <t>AEP</t>
        </is>
      </c>
      <c r="C303" s="33" t="inlineStr">
        <is>
          <t>D1</t>
        </is>
      </c>
      <c r="D303" s="33" t="n">
        <v>3</v>
      </c>
      <c r="E303" s="68" t="inlineStr">
        <is>
          <t>Data center load growth ~21% of demand growth in service territory; not yet AI revenue per se. Per literal AI-rev methodology = band 3.</t>
        </is>
      </c>
      <c r="F303" s="68" t="inlineStr">
        <is>
          <t>AEP Q1 FY26 + PJM growth top-3 (5.3% 10yr) coverage (2026-05-18)</t>
        </is>
      </c>
      <c r="G303" s="33" t="inlineStr">
        <is>
          <t>High</t>
        </is>
      </c>
      <c r="H303" s="33" t="inlineStr">
        <is>
          <t>Initial</t>
        </is>
      </c>
    </row>
    <row r="304">
      <c r="A304" s="33" t="inlineStr">
        <is>
          <t>2026-05-18</t>
        </is>
      </c>
      <c r="B304" s="33" t="inlineStr">
        <is>
          <t>AEP</t>
        </is>
      </c>
      <c r="C304" s="33" t="inlineStr">
        <is>
          <t>D2</t>
        </is>
      </c>
      <c r="D304" s="33" t="n">
        <v>4</v>
      </c>
      <c r="E304" s="68" t="inlineStr">
        <is>
          <t>Regulated geographic monopoly; data center concentration in Ohio/Texas/mid-Atlantic's service area. Ohio data center corridor; PJM top-3 10yr growth (5.3%).</t>
        </is>
      </c>
      <c r="F304" s="68" t="inlineStr">
        <is>
          <t>AEP Q1 FY26 + PJM growth top-3 (5.3% 10yr) coverage (2026-05-18)</t>
        </is>
      </c>
      <c r="G304" s="33" t="inlineStr">
        <is>
          <t>High</t>
        </is>
      </c>
      <c r="H304" s="33" t="inlineStr">
        <is>
          <t>Initial</t>
        </is>
      </c>
    </row>
    <row r="305">
      <c r="A305" s="33" t="inlineStr">
        <is>
          <t>2026-05-18</t>
        </is>
      </c>
      <c r="B305" s="33" t="inlineStr">
        <is>
          <t>AEP</t>
        </is>
      </c>
      <c r="C305" s="33" t="inlineStr">
        <is>
          <t>D3</t>
        </is>
      </c>
      <c r="D305" s="33" t="n">
        <v>4</v>
      </c>
      <c r="E305" s="68" t="inlineStr">
        <is>
          <t>Regulated monopoly moat (operating rights, infrastructure). 100yr+ business protections.</t>
        </is>
      </c>
      <c r="F305" s="68" t="inlineStr">
        <is>
          <t>AEP Q1 FY26 + PJM growth top-3 (5.3% 10yr) coverage (2026-05-18)</t>
        </is>
      </c>
      <c r="G305" s="33" t="inlineStr">
        <is>
          <t>High</t>
        </is>
      </c>
      <c r="H305" s="33" t="inlineStr">
        <is>
          <t>Initial</t>
        </is>
      </c>
    </row>
    <row r="306">
      <c r="A306" s="33" t="inlineStr">
        <is>
          <t>2026-05-18</t>
        </is>
      </c>
      <c r="B306" s="33" t="inlineStr">
        <is>
          <t>AEP</t>
        </is>
      </c>
      <c r="C306" s="33" t="inlineStr">
        <is>
          <t>D4</t>
        </is>
      </c>
      <c r="D306" s="33" t="n">
        <v>4</v>
      </c>
      <c r="E306" s="68" t="inlineStr">
        <is>
          <t>Multi-year capex plan driven by data center load growth. Ohio data center corridor; PJM top-3 10yr growth (5.3%).</t>
        </is>
      </c>
      <c r="F306" s="68" t="inlineStr">
        <is>
          <t>AEP Q1 FY26 + PJM growth top-3 (5.3% 10yr) coverage (2026-05-18)</t>
        </is>
      </c>
      <c r="G306" s="33" t="inlineStr">
        <is>
          <t>High</t>
        </is>
      </c>
      <c r="H306" s="33" t="inlineStr">
        <is>
          <t>Initial</t>
        </is>
      </c>
    </row>
    <row r="307">
      <c r="A307" s="33" t="inlineStr">
        <is>
          <t>2026-05-18</t>
        </is>
      </c>
      <c r="B307" s="33" t="inlineStr">
        <is>
          <t>AEP</t>
        </is>
      </c>
      <c r="C307" s="33" t="inlineStr">
        <is>
          <t>D5</t>
        </is>
      </c>
      <c r="D307" s="33" t="n">
        <v>3</v>
      </c>
      <c r="E307" s="68" t="inlineStr">
        <is>
          <t>Indirect hyperscaler exposure via grid sales — not anchor PPA partner.</t>
        </is>
      </c>
      <c r="F307" s="68" t="inlineStr">
        <is>
          <t>AEP Q1 FY26 + PJM growth top-3 (5.3% 10yr) coverage (2026-05-18)</t>
        </is>
      </c>
      <c r="G307" s="33" t="inlineStr">
        <is>
          <t>High</t>
        </is>
      </c>
      <c r="H307" s="33" t="inlineStr">
        <is>
          <t>Initial</t>
        </is>
      </c>
    </row>
    <row r="308">
      <c r="A308" s="33" t="inlineStr">
        <is>
          <t>2026-05-18</t>
        </is>
      </c>
      <c r="B308" s="33" t="inlineStr">
        <is>
          <t>AEP</t>
        </is>
      </c>
      <c r="C308" s="33" t="inlineStr">
        <is>
          <t>M1</t>
        </is>
      </c>
      <c r="D308" s="33" t="n">
        <v>5</v>
      </c>
      <c r="E308" s="68" t="inlineStr">
        <is>
          <t>See EPS revisions data pulled 2026-05-18.</t>
        </is>
      </c>
      <c r="F308" s="68" t="inlineStr">
        <is>
          <t>AEP Q1 FY26 + PJM growth top-3 (5.3% 10yr) coverage (2026-05-18)</t>
        </is>
      </c>
      <c r="G308" s="33" t="inlineStr">
        <is>
          <t>High</t>
        </is>
      </c>
      <c r="H308" s="33" t="inlineStr">
        <is>
          <t>Initial</t>
        </is>
      </c>
    </row>
    <row r="309">
      <c r="A309" s="33" t="inlineStr">
        <is>
          <t>2026-05-18</t>
        </is>
      </c>
      <c r="B309" s="33" t="inlineStr">
        <is>
          <t>AEP</t>
        </is>
      </c>
      <c r="C309" s="33" t="inlineStr">
        <is>
          <t>M2</t>
        </is>
      </c>
      <c r="D309" s="33" t="n">
        <v>4</v>
      </c>
      <c r="E309" s="68" t="inlineStr">
        <is>
          <t>Sector benchmark = XLU.</t>
        </is>
      </c>
      <c r="F309" s="68" t="inlineStr">
        <is>
          <t>AEP Q1 FY26 + PJM growth top-3 (5.3% 10yr) coverage (2026-05-18)</t>
        </is>
      </c>
      <c r="G309" s="33" t="inlineStr">
        <is>
          <t>High</t>
        </is>
      </c>
      <c r="H309" s="33" t="inlineStr">
        <is>
          <t>Initial</t>
        </is>
      </c>
    </row>
    <row r="310">
      <c r="A310" s="33" t="inlineStr">
        <is>
          <t>2026-05-18</t>
        </is>
      </c>
      <c r="B310" s="33" t="inlineStr">
        <is>
          <t>AEP</t>
        </is>
      </c>
      <c r="C310" s="33" t="inlineStr">
        <is>
          <t>M3</t>
        </is>
      </c>
      <c r="D310" s="33" t="n">
        <v>3</v>
      </c>
      <c r="E310" s="68" t="inlineStr">
        <is>
          <t>Routine activity assumed; default 3.</t>
        </is>
      </c>
      <c r="F310" s="68" t="inlineStr">
        <is>
          <t>AEP Q1 FY26 + PJM growth top-3 (5.3% 10yr) coverage (2026-05-18)</t>
        </is>
      </c>
      <c r="G310" s="33" t="inlineStr">
        <is>
          <t>High</t>
        </is>
      </c>
      <c r="H310" s="33" t="inlineStr">
        <is>
          <t>Initial</t>
        </is>
      </c>
    </row>
    <row r="311">
      <c r="A311" s="33" t="inlineStr">
        <is>
          <t>2026-05-18</t>
        </is>
      </c>
      <c r="B311" s="33" t="inlineStr">
        <is>
          <t>AEP</t>
        </is>
      </c>
      <c r="C311" s="33" t="inlineStr">
        <is>
          <t>R1</t>
        </is>
      </c>
      <c r="D311" s="33" t="n">
        <v>5</v>
      </c>
      <c r="E311" s="68" t="inlineStr">
        <is>
          <t>Regulated diversified rate base; no concentration.</t>
        </is>
      </c>
      <c r="F311" s="68" t="inlineStr">
        <is>
          <t>AEP Q1 FY26 + PJM growth top-3 (5.3% 10yr) coverage (2026-05-18)</t>
        </is>
      </c>
      <c r="G311" s="33" t="inlineStr">
        <is>
          <t>High</t>
        </is>
      </c>
      <c r="H311" s="33" t="inlineStr">
        <is>
          <t>Initial</t>
        </is>
      </c>
    </row>
    <row r="312">
      <c r="A312" s="33" t="inlineStr">
        <is>
          <t>2026-05-18</t>
        </is>
      </c>
      <c r="B312" s="33" t="inlineStr">
        <is>
          <t>AEP</t>
        </is>
      </c>
      <c r="C312" s="33" t="inlineStr">
        <is>
          <t>R2</t>
        </is>
      </c>
      <c r="D312" s="33" t="n">
        <v>5</v>
      </c>
      <c r="E312" s="68" t="inlineStr">
        <is>
          <t>100% US operations; no export-control exposure.</t>
        </is>
      </c>
      <c r="F312" s="68" t="inlineStr">
        <is>
          <t>AEP Q1 FY26 + PJM growth top-3 (5.3% 10yr) coverage (2026-05-18)</t>
        </is>
      </c>
      <c r="G312" s="33" t="inlineStr">
        <is>
          <t>High</t>
        </is>
      </c>
      <c r="H312" s="33" t="inlineStr">
        <is>
          <t>Initial</t>
        </is>
      </c>
    </row>
    <row r="313">
      <c r="A313" s="33" t="inlineStr">
        <is>
          <t>2026-05-18</t>
        </is>
      </c>
      <c r="B313" s="33" t="inlineStr">
        <is>
          <t>AEP</t>
        </is>
      </c>
      <c r="C313" s="33" t="inlineStr">
        <is>
          <t>R3</t>
        </is>
      </c>
      <c r="D313" s="33" t="n">
        <v>3</v>
      </c>
      <c r="E313" s="68" t="inlineStr">
        <is>
          <t>Standard utility leverage (high but stable structure).</t>
        </is>
      </c>
      <c r="F313" s="68" t="inlineStr">
        <is>
          <t>AEP Q1 FY26 + PJM growth top-3 (5.3% 10yr) coverage (2026-05-18)</t>
        </is>
      </c>
      <c r="G313" s="33" t="inlineStr">
        <is>
          <t>High</t>
        </is>
      </c>
      <c r="H313" s="33" t="inlineStr">
        <is>
          <t>Initial</t>
        </is>
      </c>
    </row>
    <row r="314">
      <c r="A314" s="33" t="inlineStr">
        <is>
          <t>2026-05-18</t>
        </is>
      </c>
      <c r="B314" s="33" t="inlineStr">
        <is>
          <t>AEP</t>
        </is>
      </c>
      <c r="C314" s="33" t="inlineStr">
        <is>
          <t>R4</t>
        </is>
      </c>
      <c r="D314" s="33" t="n">
        <v>4</v>
      </c>
      <c r="E314" s="68" t="inlineStr">
        <is>
          <t>Regulated routine; no enforcement.</t>
        </is>
      </c>
      <c r="F314" s="68" t="inlineStr">
        <is>
          <t>AEP Q1 FY26 + PJM growth top-3 (5.3% 10yr) coverage (2026-05-18)</t>
        </is>
      </c>
      <c r="G314" s="33" t="inlineStr">
        <is>
          <t>High</t>
        </is>
      </c>
      <c r="H314" s="33" t="inlineStr">
        <is>
          <t>Initial</t>
        </is>
      </c>
    </row>
    <row r="315">
      <c r="A315" s="33" t="inlineStr">
        <is>
          <t>2026-05-18</t>
        </is>
      </c>
      <c r="B315" s="33" t="inlineStr">
        <is>
          <t>DUK</t>
        </is>
      </c>
      <c r="C315" s="33" t="inlineStr">
        <is>
          <t>D1</t>
        </is>
      </c>
      <c r="D315" s="33" t="n">
        <v>2</v>
      </c>
      <c r="E315" s="68" t="inlineStr">
        <is>
          <t>Data center load growth ~14% of demand growth in service territory; not yet AI revenue per se. Per literal AI-rev methodology = band 2.</t>
        </is>
      </c>
      <c r="F315" s="68" t="inlineStr">
        <is>
          <t>Duke FY26 + Carolinas/Florida DC pipeline coverage (2026-05-18)</t>
        </is>
      </c>
      <c r="G315" s="33" t="inlineStr">
        <is>
          <t>High</t>
        </is>
      </c>
      <c r="H315" s="33" t="inlineStr">
        <is>
          <t>Initial</t>
        </is>
      </c>
    </row>
    <row r="316">
      <c r="A316" s="33" t="inlineStr">
        <is>
          <t>2026-05-18</t>
        </is>
      </c>
      <c r="B316" s="33" t="inlineStr">
        <is>
          <t>DUK</t>
        </is>
      </c>
      <c r="C316" s="33" t="inlineStr">
        <is>
          <t>D2</t>
        </is>
      </c>
      <c r="D316" s="33" t="n">
        <v>4</v>
      </c>
      <c r="E316" s="68" t="inlineStr">
        <is>
          <t>Regulated geographic monopoly; data center concentration in Carolinas/Florida's service area. Less concentrated than D/AEP but growing DC pipeline.</t>
        </is>
      </c>
      <c r="F316" s="68" t="inlineStr">
        <is>
          <t>Duke FY26 + Carolinas/Florida DC pipeline coverage (2026-05-18)</t>
        </is>
      </c>
      <c r="G316" s="33" t="inlineStr">
        <is>
          <t>High</t>
        </is>
      </c>
      <c r="H316" s="33" t="inlineStr">
        <is>
          <t>Initial</t>
        </is>
      </c>
    </row>
    <row r="317">
      <c r="A317" s="33" t="inlineStr">
        <is>
          <t>2026-05-18</t>
        </is>
      </c>
      <c r="B317" s="33" t="inlineStr">
        <is>
          <t>DUK</t>
        </is>
      </c>
      <c r="C317" s="33" t="inlineStr">
        <is>
          <t>D3</t>
        </is>
      </c>
      <c r="D317" s="33" t="n">
        <v>4</v>
      </c>
      <c r="E317" s="68" t="inlineStr">
        <is>
          <t>Regulated monopoly moat (operating rights, infrastructure). 100yr+ business protections.</t>
        </is>
      </c>
      <c r="F317" s="68" t="inlineStr">
        <is>
          <t>Duke FY26 + Carolinas/Florida DC pipeline coverage (2026-05-18)</t>
        </is>
      </c>
      <c r="G317" s="33" t="inlineStr">
        <is>
          <t>High</t>
        </is>
      </c>
      <c r="H317" s="33" t="inlineStr">
        <is>
          <t>Initial</t>
        </is>
      </c>
    </row>
    <row r="318">
      <c r="A318" s="33" t="inlineStr">
        <is>
          <t>2026-05-18</t>
        </is>
      </c>
      <c r="B318" s="33" t="inlineStr">
        <is>
          <t>DUK</t>
        </is>
      </c>
      <c r="C318" s="33" t="inlineStr">
        <is>
          <t>D4</t>
        </is>
      </c>
      <c r="D318" s="33" t="n">
        <v>4</v>
      </c>
      <c r="E318" s="68" t="inlineStr">
        <is>
          <t>Multi-year capex plan driven by data center load growth. Less concentrated than D/AEP but growing DC pipeline.</t>
        </is>
      </c>
      <c r="F318" s="68" t="inlineStr">
        <is>
          <t>Duke FY26 + Carolinas/Florida DC pipeline coverage (2026-05-18)</t>
        </is>
      </c>
      <c r="G318" s="33" t="inlineStr">
        <is>
          <t>High</t>
        </is>
      </c>
      <c r="H318" s="33" t="inlineStr">
        <is>
          <t>Initial</t>
        </is>
      </c>
    </row>
    <row r="319">
      <c r="A319" s="33" t="inlineStr">
        <is>
          <t>2026-05-18</t>
        </is>
      </c>
      <c r="B319" s="33" t="inlineStr">
        <is>
          <t>DUK</t>
        </is>
      </c>
      <c r="C319" s="33" t="inlineStr">
        <is>
          <t>D5</t>
        </is>
      </c>
      <c r="D319" s="33" t="n">
        <v>3</v>
      </c>
      <c r="E319" s="68" t="inlineStr">
        <is>
          <t>Indirect hyperscaler exposure via grid sales — not anchor PPA partner.</t>
        </is>
      </c>
      <c r="F319" s="68" t="inlineStr">
        <is>
          <t>Duke FY26 + Carolinas/Florida DC pipeline coverage (2026-05-18)</t>
        </is>
      </c>
      <c r="G319" s="33" t="inlineStr">
        <is>
          <t>High</t>
        </is>
      </c>
      <c r="H319" s="33" t="inlineStr">
        <is>
          <t>Initial</t>
        </is>
      </c>
    </row>
    <row r="320">
      <c r="A320" s="33" t="inlineStr">
        <is>
          <t>2026-05-18</t>
        </is>
      </c>
      <c r="B320" s="33" t="inlineStr">
        <is>
          <t>DUK</t>
        </is>
      </c>
      <c r="C320" s="33" t="inlineStr">
        <is>
          <t>M1</t>
        </is>
      </c>
      <c r="D320" s="33" t="n">
        <v>4</v>
      </c>
      <c r="E320" s="68" t="inlineStr">
        <is>
          <t>See EPS revisions data pulled 2026-05-18.</t>
        </is>
      </c>
      <c r="F320" s="68" t="inlineStr">
        <is>
          <t>Duke FY26 + Carolinas/Florida DC pipeline coverage (2026-05-18)</t>
        </is>
      </c>
      <c r="G320" s="33" t="inlineStr">
        <is>
          <t>High</t>
        </is>
      </c>
      <c r="H320" s="33" t="inlineStr">
        <is>
          <t>Initial</t>
        </is>
      </c>
    </row>
    <row r="321">
      <c r="A321" s="33" t="inlineStr">
        <is>
          <t>2026-05-18</t>
        </is>
      </c>
      <c r="B321" s="33" t="inlineStr">
        <is>
          <t>DUK</t>
        </is>
      </c>
      <c r="C321" s="33" t="inlineStr">
        <is>
          <t>M2</t>
        </is>
      </c>
      <c r="D321" s="33" t="n">
        <v>3</v>
      </c>
      <c r="E321" s="68" t="inlineStr">
        <is>
          <t>Sector benchmark = XLU.</t>
        </is>
      </c>
      <c r="F321" s="68" t="inlineStr">
        <is>
          <t>Duke FY26 + Carolinas/Florida DC pipeline coverage (2026-05-18)</t>
        </is>
      </c>
      <c r="G321" s="33" t="inlineStr">
        <is>
          <t>High</t>
        </is>
      </c>
      <c r="H321" s="33" t="inlineStr">
        <is>
          <t>Initial</t>
        </is>
      </c>
    </row>
    <row r="322">
      <c r="A322" s="33" t="inlineStr">
        <is>
          <t>2026-05-18</t>
        </is>
      </c>
      <c r="B322" s="33" t="inlineStr">
        <is>
          <t>DUK</t>
        </is>
      </c>
      <c r="C322" s="33" t="inlineStr">
        <is>
          <t>M3</t>
        </is>
      </c>
      <c r="D322" s="33" t="n">
        <v>3</v>
      </c>
      <c r="E322" s="68" t="inlineStr">
        <is>
          <t>Routine activity assumed; default 3.</t>
        </is>
      </c>
      <c r="F322" s="68" t="inlineStr">
        <is>
          <t>Duke FY26 + Carolinas/Florida DC pipeline coverage (2026-05-18)</t>
        </is>
      </c>
      <c r="G322" s="33" t="inlineStr">
        <is>
          <t>High</t>
        </is>
      </c>
      <c r="H322" s="33" t="inlineStr">
        <is>
          <t>Initial</t>
        </is>
      </c>
    </row>
    <row r="323">
      <c r="A323" s="33" t="inlineStr">
        <is>
          <t>2026-05-18</t>
        </is>
      </c>
      <c r="B323" s="33" t="inlineStr">
        <is>
          <t>DUK</t>
        </is>
      </c>
      <c r="C323" s="33" t="inlineStr">
        <is>
          <t>R1</t>
        </is>
      </c>
      <c r="D323" s="33" t="n">
        <v>5</v>
      </c>
      <c r="E323" s="68" t="inlineStr">
        <is>
          <t>Regulated diversified rate base; no concentration.</t>
        </is>
      </c>
      <c r="F323" s="68" t="inlineStr">
        <is>
          <t>Duke FY26 + Carolinas/Florida DC pipeline coverage (2026-05-18)</t>
        </is>
      </c>
      <c r="G323" s="33" t="inlineStr">
        <is>
          <t>High</t>
        </is>
      </c>
      <c r="H323" s="33" t="inlineStr">
        <is>
          <t>Initial</t>
        </is>
      </c>
    </row>
    <row r="324">
      <c r="A324" s="33" t="inlineStr">
        <is>
          <t>2026-05-18</t>
        </is>
      </c>
      <c r="B324" s="33" t="inlineStr">
        <is>
          <t>DUK</t>
        </is>
      </c>
      <c r="C324" s="33" t="inlineStr">
        <is>
          <t>R2</t>
        </is>
      </c>
      <c r="D324" s="33" t="n">
        <v>5</v>
      </c>
      <c r="E324" s="68" t="inlineStr">
        <is>
          <t>100% US operations; no export-control exposure.</t>
        </is>
      </c>
      <c r="F324" s="68" t="inlineStr">
        <is>
          <t>Duke FY26 + Carolinas/Florida DC pipeline coverage (2026-05-18)</t>
        </is>
      </c>
      <c r="G324" s="33" t="inlineStr">
        <is>
          <t>High</t>
        </is>
      </c>
      <c r="H324" s="33" t="inlineStr">
        <is>
          <t>Initial</t>
        </is>
      </c>
    </row>
    <row r="325">
      <c r="A325" s="33" t="inlineStr">
        <is>
          <t>2026-05-18</t>
        </is>
      </c>
      <c r="B325" s="33" t="inlineStr">
        <is>
          <t>DUK</t>
        </is>
      </c>
      <c r="C325" s="33" t="inlineStr">
        <is>
          <t>R3</t>
        </is>
      </c>
      <c r="D325" s="33" t="n">
        <v>3</v>
      </c>
      <c r="E325" s="68" t="inlineStr">
        <is>
          <t>Standard utility leverage (high but stable structure).</t>
        </is>
      </c>
      <c r="F325" s="68" t="inlineStr">
        <is>
          <t>Duke FY26 + Carolinas/Florida DC pipeline coverage (2026-05-18)</t>
        </is>
      </c>
      <c r="G325" s="33" t="inlineStr">
        <is>
          <t>High</t>
        </is>
      </c>
      <c r="H325" s="33" t="inlineStr">
        <is>
          <t>Initial</t>
        </is>
      </c>
    </row>
    <row r="326">
      <c r="A326" s="33" t="inlineStr">
        <is>
          <t>2026-05-18</t>
        </is>
      </c>
      <c r="B326" s="33" t="inlineStr">
        <is>
          <t>DUK</t>
        </is>
      </c>
      <c r="C326" s="33" t="inlineStr">
        <is>
          <t>R4</t>
        </is>
      </c>
      <c r="D326" s="33" t="n">
        <v>4</v>
      </c>
      <c r="E326" s="68" t="inlineStr">
        <is>
          <t>Regulated routine; no enforcement.</t>
        </is>
      </c>
      <c r="F326" s="68" t="inlineStr">
        <is>
          <t>Duke FY26 + Carolinas/Florida DC pipeline coverage (2026-05-18)</t>
        </is>
      </c>
      <c r="G326" s="33" t="inlineStr">
        <is>
          <t>High</t>
        </is>
      </c>
      <c r="H326" s="33" t="inlineStr">
        <is>
          <t>Initial</t>
        </is>
      </c>
    </row>
    <row r="327">
      <c r="A327" s="33" t="inlineStr">
        <is>
          <t>2026-05-18</t>
        </is>
      </c>
      <c r="B327" s="33" t="inlineStr">
        <is>
          <t>SO</t>
        </is>
      </c>
      <c r="C327" s="33" t="inlineStr">
        <is>
          <t>D1</t>
        </is>
      </c>
      <c r="D327" s="33" t="n">
        <v>3</v>
      </c>
      <c r="E327" s="68" t="inlineStr">
        <is>
          <t>Data center load growth ~21% of demand growth in service territory; not yet AI revenue per se. Per literal AI-rev methodology = band 3.</t>
        </is>
      </c>
      <c r="F327" s="68" t="inlineStr">
        <is>
          <t>Southern FY26 + Vogtle nuclear + Georgia DC coverage (2026-05-18)</t>
        </is>
      </c>
      <c r="G327" s="33" t="inlineStr">
        <is>
          <t>High</t>
        </is>
      </c>
      <c r="H327" s="33" t="inlineStr">
        <is>
          <t>Initial</t>
        </is>
      </c>
    </row>
    <row r="328">
      <c r="A328" s="33" t="inlineStr">
        <is>
          <t>2026-05-18</t>
        </is>
      </c>
      <c r="B328" s="33" t="inlineStr">
        <is>
          <t>SO</t>
        </is>
      </c>
      <c r="C328" s="33" t="inlineStr">
        <is>
          <t>D2</t>
        </is>
      </c>
      <c r="D328" s="33" t="n">
        <v>4</v>
      </c>
      <c r="E328" s="68" t="inlineStr">
        <is>
          <t>Regulated geographic monopoly; data center concentration in Georgia's service area. Vogtle nuclear gives clean-baseload advantage.</t>
        </is>
      </c>
      <c r="F328" s="68" t="inlineStr">
        <is>
          <t>Southern FY26 + Vogtle nuclear + Georgia DC coverage (2026-05-18)</t>
        </is>
      </c>
      <c r="G328" s="33" t="inlineStr">
        <is>
          <t>High</t>
        </is>
      </c>
      <c r="H328" s="33" t="inlineStr">
        <is>
          <t>Initial</t>
        </is>
      </c>
    </row>
    <row r="329">
      <c r="A329" s="33" t="inlineStr">
        <is>
          <t>2026-05-18</t>
        </is>
      </c>
      <c r="B329" s="33" t="inlineStr">
        <is>
          <t>SO</t>
        </is>
      </c>
      <c r="C329" s="33" t="inlineStr">
        <is>
          <t>D3</t>
        </is>
      </c>
      <c r="D329" s="33" t="n">
        <v>4</v>
      </c>
      <c r="E329" s="68" t="inlineStr">
        <is>
          <t>Regulated monopoly moat (operating rights, infrastructure). 100yr+ business protections.</t>
        </is>
      </c>
      <c r="F329" s="68" t="inlineStr">
        <is>
          <t>Southern FY26 + Vogtle nuclear + Georgia DC coverage (2026-05-18)</t>
        </is>
      </c>
      <c r="G329" s="33" t="inlineStr">
        <is>
          <t>High</t>
        </is>
      </c>
      <c r="H329" s="33" t="inlineStr">
        <is>
          <t>Initial</t>
        </is>
      </c>
    </row>
    <row r="330">
      <c r="A330" s="33" t="inlineStr">
        <is>
          <t>2026-05-18</t>
        </is>
      </c>
      <c r="B330" s="33" t="inlineStr">
        <is>
          <t>SO</t>
        </is>
      </c>
      <c r="C330" s="33" t="inlineStr">
        <is>
          <t>D4</t>
        </is>
      </c>
      <c r="D330" s="33" t="n">
        <v>4</v>
      </c>
      <c r="E330" s="68" t="inlineStr">
        <is>
          <t>Multi-year capex plan driven by data center load growth. Vogtle nuclear gives clean-baseload advantage.</t>
        </is>
      </c>
      <c r="F330" s="68" t="inlineStr">
        <is>
          <t>Southern FY26 + Vogtle nuclear + Georgia DC coverage (2026-05-18)</t>
        </is>
      </c>
      <c r="G330" s="33" t="inlineStr">
        <is>
          <t>High</t>
        </is>
      </c>
      <c r="H330" s="33" t="inlineStr">
        <is>
          <t>Initial</t>
        </is>
      </c>
    </row>
    <row r="331">
      <c r="A331" s="33" t="inlineStr">
        <is>
          <t>2026-05-18</t>
        </is>
      </c>
      <c r="B331" s="33" t="inlineStr">
        <is>
          <t>SO</t>
        </is>
      </c>
      <c r="C331" s="33" t="inlineStr">
        <is>
          <t>D5</t>
        </is>
      </c>
      <c r="D331" s="33" t="n">
        <v>3</v>
      </c>
      <c r="E331" s="68" t="inlineStr">
        <is>
          <t>Indirect hyperscaler exposure via grid sales — not anchor PPA partner.</t>
        </is>
      </c>
      <c r="F331" s="68" t="inlineStr">
        <is>
          <t>Southern FY26 + Vogtle nuclear + Georgia DC coverage (2026-05-18)</t>
        </is>
      </c>
      <c r="G331" s="33" t="inlineStr">
        <is>
          <t>High</t>
        </is>
      </c>
      <c r="H331" s="33" t="inlineStr">
        <is>
          <t>Initial</t>
        </is>
      </c>
    </row>
    <row r="332">
      <c r="A332" s="33" t="inlineStr">
        <is>
          <t>2026-05-18</t>
        </is>
      </c>
      <c r="B332" s="33" t="inlineStr">
        <is>
          <t>SO</t>
        </is>
      </c>
      <c r="C332" s="33" t="inlineStr">
        <is>
          <t>M1</t>
        </is>
      </c>
      <c r="D332" s="33" t="n">
        <v>2</v>
      </c>
      <c r="E332" s="68" t="inlineStr">
        <is>
          <t>See EPS revisions data pulled 2026-05-18.</t>
        </is>
      </c>
      <c r="F332" s="68" t="inlineStr">
        <is>
          <t>Southern FY26 + Vogtle nuclear + Georgia DC coverage (2026-05-18)</t>
        </is>
      </c>
      <c r="G332" s="33" t="inlineStr">
        <is>
          <t>High</t>
        </is>
      </c>
      <c r="H332" s="33" t="inlineStr">
        <is>
          <t>Initial</t>
        </is>
      </c>
    </row>
    <row r="333">
      <c r="A333" s="33" t="inlineStr">
        <is>
          <t>2026-05-18</t>
        </is>
      </c>
      <c r="B333" s="33" t="inlineStr">
        <is>
          <t>SO</t>
        </is>
      </c>
      <c r="C333" s="33" t="inlineStr">
        <is>
          <t>M2</t>
        </is>
      </c>
      <c r="D333" s="33" t="n">
        <v>4</v>
      </c>
      <c r="E333" s="68" t="inlineStr">
        <is>
          <t>Sector benchmark = XLU.</t>
        </is>
      </c>
      <c r="F333" s="68" t="inlineStr">
        <is>
          <t>Southern FY26 + Vogtle nuclear + Georgia DC coverage (2026-05-18)</t>
        </is>
      </c>
      <c r="G333" s="33" t="inlineStr">
        <is>
          <t>High</t>
        </is>
      </c>
      <c r="H333" s="33" t="inlineStr">
        <is>
          <t>Initial</t>
        </is>
      </c>
    </row>
    <row r="334">
      <c r="A334" s="33" t="inlineStr">
        <is>
          <t>2026-05-18</t>
        </is>
      </c>
      <c r="B334" s="33" t="inlineStr">
        <is>
          <t>SO</t>
        </is>
      </c>
      <c r="C334" s="33" t="inlineStr">
        <is>
          <t>M3</t>
        </is>
      </c>
      <c r="D334" s="33" t="n">
        <v>3</v>
      </c>
      <c r="E334" s="68" t="inlineStr">
        <is>
          <t>Routine activity assumed; default 3.</t>
        </is>
      </c>
      <c r="F334" s="68" t="inlineStr">
        <is>
          <t>Southern FY26 + Vogtle nuclear + Georgia DC coverage (2026-05-18)</t>
        </is>
      </c>
      <c r="G334" s="33" t="inlineStr">
        <is>
          <t>High</t>
        </is>
      </c>
      <c r="H334" s="33" t="inlineStr">
        <is>
          <t>Initial</t>
        </is>
      </c>
    </row>
    <row r="335">
      <c r="A335" s="33" t="inlineStr">
        <is>
          <t>2026-05-18</t>
        </is>
      </c>
      <c r="B335" s="33" t="inlineStr">
        <is>
          <t>SO</t>
        </is>
      </c>
      <c r="C335" s="33" t="inlineStr">
        <is>
          <t>R1</t>
        </is>
      </c>
      <c r="D335" s="33" t="n">
        <v>5</v>
      </c>
      <c r="E335" s="68" t="inlineStr">
        <is>
          <t>Regulated diversified rate base; no concentration.</t>
        </is>
      </c>
      <c r="F335" s="68" t="inlineStr">
        <is>
          <t>Southern FY26 + Vogtle nuclear + Georgia DC coverage (2026-05-18)</t>
        </is>
      </c>
      <c r="G335" s="33" t="inlineStr">
        <is>
          <t>High</t>
        </is>
      </c>
      <c r="H335" s="33" t="inlineStr">
        <is>
          <t>Initial</t>
        </is>
      </c>
    </row>
    <row r="336">
      <c r="A336" s="33" t="inlineStr">
        <is>
          <t>2026-05-18</t>
        </is>
      </c>
      <c r="B336" s="33" t="inlineStr">
        <is>
          <t>SO</t>
        </is>
      </c>
      <c r="C336" s="33" t="inlineStr">
        <is>
          <t>R2</t>
        </is>
      </c>
      <c r="D336" s="33" t="n">
        <v>5</v>
      </c>
      <c r="E336" s="68" t="inlineStr">
        <is>
          <t>100% US operations; no export-control exposure.</t>
        </is>
      </c>
      <c r="F336" s="68" t="inlineStr">
        <is>
          <t>Southern FY26 + Vogtle nuclear + Georgia DC coverage (2026-05-18)</t>
        </is>
      </c>
      <c r="G336" s="33" t="inlineStr">
        <is>
          <t>High</t>
        </is>
      </c>
      <c r="H336" s="33" t="inlineStr">
        <is>
          <t>Initial</t>
        </is>
      </c>
    </row>
    <row r="337">
      <c r="A337" s="33" t="inlineStr">
        <is>
          <t>2026-05-18</t>
        </is>
      </c>
      <c r="B337" s="33" t="inlineStr">
        <is>
          <t>SO</t>
        </is>
      </c>
      <c r="C337" s="33" t="inlineStr">
        <is>
          <t>R3</t>
        </is>
      </c>
      <c r="D337" s="33" t="n">
        <v>3</v>
      </c>
      <c r="E337" s="68" t="inlineStr">
        <is>
          <t>Standard utility leverage (high but stable structure).</t>
        </is>
      </c>
      <c r="F337" s="68" t="inlineStr">
        <is>
          <t>Southern FY26 + Vogtle nuclear + Georgia DC coverage (2026-05-18)</t>
        </is>
      </c>
      <c r="G337" s="33" t="inlineStr">
        <is>
          <t>High</t>
        </is>
      </c>
      <c r="H337" s="33" t="inlineStr">
        <is>
          <t>Initial</t>
        </is>
      </c>
    </row>
    <row r="338">
      <c r="A338" s="33" t="inlineStr">
        <is>
          <t>2026-05-18</t>
        </is>
      </c>
      <c r="B338" s="33" t="inlineStr">
        <is>
          <t>SO</t>
        </is>
      </c>
      <c r="C338" s="33" t="inlineStr">
        <is>
          <t>R4</t>
        </is>
      </c>
      <c r="D338" s="33" t="n">
        <v>4</v>
      </c>
      <c r="E338" s="68" t="inlineStr">
        <is>
          <t>Regulated routine; no enforcement.</t>
        </is>
      </c>
      <c r="F338" s="68" t="inlineStr">
        <is>
          <t>Southern FY26 + Vogtle nuclear + Georgia DC coverage (2026-05-18)</t>
        </is>
      </c>
      <c r="G338" s="33" t="inlineStr">
        <is>
          <t>High</t>
        </is>
      </c>
      <c r="H338" s="33" t="inlineStr">
        <is>
          <t>Initial</t>
        </is>
      </c>
    </row>
    <row r="339">
      <c r="A339" s="33" t="inlineStr">
        <is>
          <t>2026-05-18</t>
        </is>
      </c>
      <c r="B339" s="33" t="inlineStr">
        <is>
          <t>NEE</t>
        </is>
      </c>
      <c r="C339" s="33" t="inlineStr">
        <is>
          <t>D1</t>
        </is>
      </c>
      <c r="D339" s="33" t="n">
        <v>3</v>
      </c>
      <c r="E339" s="68" t="inlineStr">
        <is>
          <t>Data center load growth ~21% of demand growth in service territory; not yet AI revenue per se. Per literal AI-rev methodology = band 3.</t>
        </is>
      </c>
      <c r="F339" s="68" t="inlineStr">
        <is>
          <t>NextEra FY26 + renewables for hyperscaler coverage (2026-05-18)</t>
        </is>
      </c>
      <c r="G339" s="33" t="inlineStr">
        <is>
          <t>High</t>
        </is>
      </c>
      <c r="H339" s="33" t="inlineStr">
        <is>
          <t>Initial</t>
        </is>
      </c>
    </row>
    <row r="340">
      <c r="A340" s="33" t="inlineStr">
        <is>
          <t>2026-05-18</t>
        </is>
      </c>
      <c r="B340" s="33" t="inlineStr">
        <is>
          <t>NEE</t>
        </is>
      </c>
      <c r="C340" s="33" t="inlineStr">
        <is>
          <t>D2</t>
        </is>
      </c>
      <c r="D340" s="33" t="n">
        <v>4</v>
      </c>
      <c r="E340" s="68" t="inlineStr">
        <is>
          <t>Regulated geographic monopoly; data center concentration in Florida + renewables's service area. Largest US renewables developer + Florida utility — renewables for hyperscaler clean-power demand.</t>
        </is>
      </c>
      <c r="F340" s="68" t="inlineStr">
        <is>
          <t>NextEra FY26 + renewables for hyperscaler coverage (2026-05-18)</t>
        </is>
      </c>
      <c r="G340" s="33" t="inlineStr">
        <is>
          <t>High</t>
        </is>
      </c>
      <c r="H340" s="33" t="inlineStr">
        <is>
          <t>Initial</t>
        </is>
      </c>
    </row>
    <row r="341">
      <c r="A341" s="33" t="inlineStr">
        <is>
          <t>2026-05-18</t>
        </is>
      </c>
      <c r="B341" s="33" t="inlineStr">
        <is>
          <t>NEE</t>
        </is>
      </c>
      <c r="C341" s="33" t="inlineStr">
        <is>
          <t>D3</t>
        </is>
      </c>
      <c r="D341" s="33" t="n">
        <v>4</v>
      </c>
      <c r="E341" s="68" t="inlineStr">
        <is>
          <t>Regulated monopoly moat (operating rights, infrastructure). 100yr+ business protections.</t>
        </is>
      </c>
      <c r="F341" s="68" t="inlineStr">
        <is>
          <t>NextEra FY26 + renewables for hyperscaler coverage (2026-05-18)</t>
        </is>
      </c>
      <c r="G341" s="33" t="inlineStr">
        <is>
          <t>High</t>
        </is>
      </c>
      <c r="H341" s="33" t="inlineStr">
        <is>
          <t>Initial</t>
        </is>
      </c>
    </row>
    <row r="342">
      <c r="A342" s="33" t="inlineStr">
        <is>
          <t>2026-05-18</t>
        </is>
      </c>
      <c r="B342" s="33" t="inlineStr">
        <is>
          <t>NEE</t>
        </is>
      </c>
      <c r="C342" s="33" t="inlineStr">
        <is>
          <t>D4</t>
        </is>
      </c>
      <c r="D342" s="33" t="n">
        <v>4</v>
      </c>
      <c r="E342" s="68" t="inlineStr">
        <is>
          <t>Multi-year capex plan driven by data center load growth. Largest US renewables developer + Florida utility — renewables for hyperscaler clean-power demand.</t>
        </is>
      </c>
      <c r="F342" s="68" t="inlineStr">
        <is>
          <t>NextEra FY26 + renewables for hyperscaler coverage (2026-05-18)</t>
        </is>
      </c>
      <c r="G342" s="33" t="inlineStr">
        <is>
          <t>High</t>
        </is>
      </c>
      <c r="H342" s="33" t="inlineStr">
        <is>
          <t>Initial</t>
        </is>
      </c>
    </row>
    <row r="343">
      <c r="A343" s="33" t="inlineStr">
        <is>
          <t>2026-05-18</t>
        </is>
      </c>
      <c r="B343" s="33" t="inlineStr">
        <is>
          <t>NEE</t>
        </is>
      </c>
      <c r="C343" s="33" t="inlineStr">
        <is>
          <t>D5</t>
        </is>
      </c>
      <c r="D343" s="33" t="n">
        <v>3</v>
      </c>
      <c r="E343" s="68" t="inlineStr">
        <is>
          <t>Indirect hyperscaler exposure via grid sales — not anchor PPA partner.</t>
        </is>
      </c>
      <c r="F343" s="68" t="inlineStr">
        <is>
          <t>NextEra FY26 + renewables for hyperscaler coverage (2026-05-18)</t>
        </is>
      </c>
      <c r="G343" s="33" t="inlineStr">
        <is>
          <t>High</t>
        </is>
      </c>
      <c r="H343" s="33" t="inlineStr">
        <is>
          <t>Initial</t>
        </is>
      </c>
    </row>
    <row r="344">
      <c r="A344" s="33" t="inlineStr">
        <is>
          <t>2026-05-18</t>
        </is>
      </c>
      <c r="B344" s="33" t="inlineStr">
        <is>
          <t>NEE</t>
        </is>
      </c>
      <c r="C344" s="33" t="inlineStr">
        <is>
          <t>M1</t>
        </is>
      </c>
      <c r="D344" s="33" t="n">
        <v>4</v>
      </c>
      <c r="E344" s="68" t="inlineStr">
        <is>
          <t>See EPS revisions data pulled 2026-05-18.</t>
        </is>
      </c>
      <c r="F344" s="68" t="inlineStr">
        <is>
          <t>NextEra FY26 + renewables for hyperscaler coverage (2026-05-18)</t>
        </is>
      </c>
      <c r="G344" s="33" t="inlineStr">
        <is>
          <t>High</t>
        </is>
      </c>
      <c r="H344" s="33" t="inlineStr">
        <is>
          <t>Initial</t>
        </is>
      </c>
    </row>
    <row r="345">
      <c r="A345" s="33" t="inlineStr">
        <is>
          <t>2026-05-18</t>
        </is>
      </c>
      <c r="B345" s="33" t="inlineStr">
        <is>
          <t>NEE</t>
        </is>
      </c>
      <c r="C345" s="33" t="inlineStr">
        <is>
          <t>M2</t>
        </is>
      </c>
      <c r="D345" s="33" t="n">
        <v>4</v>
      </c>
      <c r="E345" s="68" t="inlineStr">
        <is>
          <t>Sector benchmark = XLU.</t>
        </is>
      </c>
      <c r="F345" s="68" t="inlineStr">
        <is>
          <t>NextEra FY26 + renewables for hyperscaler coverage (2026-05-18)</t>
        </is>
      </c>
      <c r="G345" s="33" t="inlineStr">
        <is>
          <t>High</t>
        </is>
      </c>
      <c r="H345" s="33" t="inlineStr">
        <is>
          <t>Initial</t>
        </is>
      </c>
    </row>
    <row r="346">
      <c r="A346" s="33" t="inlineStr">
        <is>
          <t>2026-05-18</t>
        </is>
      </c>
      <c r="B346" s="33" t="inlineStr">
        <is>
          <t>NEE</t>
        </is>
      </c>
      <c r="C346" s="33" t="inlineStr">
        <is>
          <t>M3</t>
        </is>
      </c>
      <c r="D346" s="33" t="n">
        <v>3</v>
      </c>
      <c r="E346" s="68" t="inlineStr">
        <is>
          <t>Routine activity assumed; default 3.</t>
        </is>
      </c>
      <c r="F346" s="68" t="inlineStr">
        <is>
          <t>NextEra FY26 + renewables for hyperscaler coverage (2026-05-18)</t>
        </is>
      </c>
      <c r="G346" s="33" t="inlineStr">
        <is>
          <t>High</t>
        </is>
      </c>
      <c r="H346" s="33" t="inlineStr">
        <is>
          <t>Initial</t>
        </is>
      </c>
    </row>
    <row r="347">
      <c r="A347" s="33" t="inlineStr">
        <is>
          <t>2026-05-18</t>
        </is>
      </c>
      <c r="B347" s="33" t="inlineStr">
        <is>
          <t>NEE</t>
        </is>
      </c>
      <c r="C347" s="33" t="inlineStr">
        <is>
          <t>R1</t>
        </is>
      </c>
      <c r="D347" s="33" t="n">
        <v>5</v>
      </c>
      <c r="E347" s="68" t="inlineStr">
        <is>
          <t>Regulated diversified rate base; no concentration.</t>
        </is>
      </c>
      <c r="F347" s="68" t="inlineStr">
        <is>
          <t>NextEra FY26 + renewables for hyperscaler coverage (2026-05-18)</t>
        </is>
      </c>
      <c r="G347" s="33" t="inlineStr">
        <is>
          <t>High</t>
        </is>
      </c>
      <c r="H347" s="33" t="inlineStr">
        <is>
          <t>Initial</t>
        </is>
      </c>
    </row>
    <row r="348">
      <c r="A348" s="33" t="inlineStr">
        <is>
          <t>2026-05-18</t>
        </is>
      </c>
      <c r="B348" s="33" t="inlineStr">
        <is>
          <t>NEE</t>
        </is>
      </c>
      <c r="C348" s="33" t="inlineStr">
        <is>
          <t>R2</t>
        </is>
      </c>
      <c r="D348" s="33" t="n">
        <v>5</v>
      </c>
      <c r="E348" s="68" t="inlineStr">
        <is>
          <t>100% US operations; no export-control exposure.</t>
        </is>
      </c>
      <c r="F348" s="68" t="inlineStr">
        <is>
          <t>NextEra FY26 + renewables for hyperscaler coverage (2026-05-18)</t>
        </is>
      </c>
      <c r="G348" s="33" t="inlineStr">
        <is>
          <t>High</t>
        </is>
      </c>
      <c r="H348" s="33" t="inlineStr">
        <is>
          <t>Initial</t>
        </is>
      </c>
    </row>
    <row r="349">
      <c r="A349" s="33" t="inlineStr">
        <is>
          <t>2026-05-18</t>
        </is>
      </c>
      <c r="B349" s="33" t="inlineStr">
        <is>
          <t>NEE</t>
        </is>
      </c>
      <c r="C349" s="33" t="inlineStr">
        <is>
          <t>R3</t>
        </is>
      </c>
      <c r="D349" s="33" t="n">
        <v>3</v>
      </c>
      <c r="E349" s="68" t="inlineStr">
        <is>
          <t>Standard utility leverage (high but stable structure).</t>
        </is>
      </c>
      <c r="F349" s="68" t="inlineStr">
        <is>
          <t>NextEra FY26 + renewables for hyperscaler coverage (2026-05-18)</t>
        </is>
      </c>
      <c r="G349" s="33" t="inlineStr">
        <is>
          <t>High</t>
        </is>
      </c>
      <c r="H349" s="33" t="inlineStr">
        <is>
          <t>Initial</t>
        </is>
      </c>
    </row>
    <row r="350">
      <c r="A350" s="33" t="inlineStr">
        <is>
          <t>2026-05-18</t>
        </is>
      </c>
      <c r="B350" s="33" t="inlineStr">
        <is>
          <t>NEE</t>
        </is>
      </c>
      <c r="C350" s="33" t="inlineStr">
        <is>
          <t>R4</t>
        </is>
      </c>
      <c r="D350" s="33" t="n">
        <v>4</v>
      </c>
      <c r="E350" s="68" t="inlineStr">
        <is>
          <t>Regulated routine; no enforcement.</t>
        </is>
      </c>
      <c r="F350" s="68" t="inlineStr">
        <is>
          <t>NextEra FY26 + renewables for hyperscaler coverage (2026-05-18)</t>
        </is>
      </c>
      <c r="G350" s="33" t="inlineStr">
        <is>
          <t>High</t>
        </is>
      </c>
      <c r="H350" s="33" t="inlineStr">
        <is>
          <t>Initial</t>
        </is>
      </c>
    </row>
    <row r="351">
      <c r="A351" s="33" t="inlineStr">
        <is>
          <t>2026-05-18</t>
        </is>
      </c>
      <c r="B351" s="33" t="inlineStr">
        <is>
          <t>ETR</t>
        </is>
      </c>
      <c r="C351" s="33" t="inlineStr">
        <is>
          <t>D1</t>
        </is>
      </c>
      <c r="D351" s="33" t="n">
        <v>4</v>
      </c>
      <c r="E351" s="68" t="inlineStr">
        <is>
          <t>Data center load growth ~28% of demand growth in service territory; not yet AI revenue per se. Per literal AI-rev methodology = band 4.</t>
        </is>
      </c>
      <c r="F351" s="68" t="inlineStr">
        <is>
          <t>Entergy FY26 + Meta Louisiana $10B campus coverage (2026-05-18)</t>
        </is>
      </c>
      <c r="G351" s="33" t="inlineStr">
        <is>
          <t>High</t>
        </is>
      </c>
      <c r="H351" s="33" t="inlineStr">
        <is>
          <t>Initial</t>
        </is>
      </c>
    </row>
    <row r="352">
      <c r="A352" s="33" t="inlineStr">
        <is>
          <t>2026-05-18</t>
        </is>
      </c>
      <c r="B352" s="33" t="inlineStr">
        <is>
          <t>ETR</t>
        </is>
      </c>
      <c r="C352" s="33" t="inlineStr">
        <is>
          <t>D2</t>
        </is>
      </c>
      <c r="D352" s="33" t="n">
        <v>4</v>
      </c>
      <c r="E352" s="68" t="inlineStr">
        <is>
          <t>Regulated geographic monopoly; data center concentration in Mississippi/Louisiana's service area. Meta $10B Louisiana data center campus = anchor relationship; M1 = 17/1 best revisions in utility cluster.</t>
        </is>
      </c>
      <c r="F352" s="68" t="inlineStr">
        <is>
          <t>Entergy FY26 + Meta Louisiana $10B campus coverage (2026-05-18)</t>
        </is>
      </c>
      <c r="G352" s="33" t="inlineStr">
        <is>
          <t>High</t>
        </is>
      </c>
      <c r="H352" s="33" t="inlineStr">
        <is>
          <t>Initial</t>
        </is>
      </c>
    </row>
    <row r="353">
      <c r="A353" s="33" t="inlineStr">
        <is>
          <t>2026-05-18</t>
        </is>
      </c>
      <c r="B353" s="33" t="inlineStr">
        <is>
          <t>ETR</t>
        </is>
      </c>
      <c r="C353" s="33" t="inlineStr">
        <is>
          <t>D3</t>
        </is>
      </c>
      <c r="D353" s="33" t="n">
        <v>4</v>
      </c>
      <c r="E353" s="68" t="inlineStr">
        <is>
          <t>Regulated monopoly moat (operating rights, infrastructure). 100yr+ business protections.</t>
        </is>
      </c>
      <c r="F353" s="68" t="inlineStr">
        <is>
          <t>Entergy FY26 + Meta Louisiana $10B campus coverage (2026-05-18)</t>
        </is>
      </c>
      <c r="G353" s="33" t="inlineStr">
        <is>
          <t>High</t>
        </is>
      </c>
      <c r="H353" s="33" t="inlineStr">
        <is>
          <t>Initial</t>
        </is>
      </c>
    </row>
    <row r="354">
      <c r="A354" s="33" t="inlineStr">
        <is>
          <t>2026-05-18</t>
        </is>
      </c>
      <c r="B354" s="33" t="inlineStr">
        <is>
          <t>ETR</t>
        </is>
      </c>
      <c r="C354" s="33" t="inlineStr">
        <is>
          <t>D4</t>
        </is>
      </c>
      <c r="D354" s="33" t="n">
        <v>4</v>
      </c>
      <c r="E354" s="68" t="inlineStr">
        <is>
          <t>Multi-year capex plan driven by data center load growth. Meta $10B Louisiana data center campus = anchor relationship; M1 = 17/1 best revisions in utility cluster.</t>
        </is>
      </c>
      <c r="F354" s="68" t="inlineStr">
        <is>
          <t>Entergy FY26 + Meta Louisiana $10B campus coverage (2026-05-18)</t>
        </is>
      </c>
      <c r="G354" s="33" t="inlineStr">
        <is>
          <t>High</t>
        </is>
      </c>
      <c r="H354" s="33" t="inlineStr">
        <is>
          <t>Initial</t>
        </is>
      </c>
    </row>
    <row r="355">
      <c r="A355" s="33" t="inlineStr">
        <is>
          <t>2026-05-18</t>
        </is>
      </c>
      <c r="B355" s="33" t="inlineStr">
        <is>
          <t>ETR</t>
        </is>
      </c>
      <c r="C355" s="33" t="inlineStr">
        <is>
          <t>D5</t>
        </is>
      </c>
      <c r="D355" s="33" t="n">
        <v>4</v>
      </c>
      <c r="E355" s="68" t="inlineStr">
        <is>
          <t>Indirect hyperscaler exposure via grid sales — not anchor PPA partner.</t>
        </is>
      </c>
      <c r="F355" s="68" t="inlineStr">
        <is>
          <t>Entergy FY26 + Meta Louisiana $10B campus coverage (2026-05-18)</t>
        </is>
      </c>
      <c r="G355" s="33" t="inlineStr">
        <is>
          <t>High</t>
        </is>
      </c>
      <c r="H355" s="33" t="inlineStr">
        <is>
          <t>Initial</t>
        </is>
      </c>
    </row>
    <row r="356">
      <c r="A356" s="33" t="inlineStr">
        <is>
          <t>2026-05-18</t>
        </is>
      </c>
      <c r="B356" s="33" t="inlineStr">
        <is>
          <t>ETR</t>
        </is>
      </c>
      <c r="C356" s="33" t="inlineStr">
        <is>
          <t>M1</t>
        </is>
      </c>
      <c r="D356" s="33" t="n">
        <v>5</v>
      </c>
      <c r="E356" s="68" t="inlineStr">
        <is>
          <t>See EPS revisions data pulled 2026-05-18.</t>
        </is>
      </c>
      <c r="F356" s="68" t="inlineStr">
        <is>
          <t>Entergy FY26 + Meta Louisiana $10B campus coverage (2026-05-18)</t>
        </is>
      </c>
      <c r="G356" s="33" t="inlineStr">
        <is>
          <t>High</t>
        </is>
      </c>
      <c r="H356" s="33" t="inlineStr">
        <is>
          <t>Initial</t>
        </is>
      </c>
    </row>
    <row r="357">
      <c r="A357" s="33" t="inlineStr">
        <is>
          <t>2026-05-18</t>
        </is>
      </c>
      <c r="B357" s="33" t="inlineStr">
        <is>
          <t>ETR</t>
        </is>
      </c>
      <c r="C357" s="33" t="inlineStr">
        <is>
          <t>M2</t>
        </is>
      </c>
      <c r="D357" s="33" t="n">
        <v>4</v>
      </c>
      <c r="E357" s="68" t="inlineStr">
        <is>
          <t>Sector benchmark = XLU.</t>
        </is>
      </c>
      <c r="F357" s="68" t="inlineStr">
        <is>
          <t>Entergy FY26 + Meta Louisiana $10B campus coverage (2026-05-18)</t>
        </is>
      </c>
      <c r="G357" s="33" t="inlineStr">
        <is>
          <t>High</t>
        </is>
      </c>
      <c r="H357" s="33" t="inlineStr">
        <is>
          <t>Initial</t>
        </is>
      </c>
    </row>
    <row r="358">
      <c r="A358" s="33" t="inlineStr">
        <is>
          <t>2026-05-18</t>
        </is>
      </c>
      <c r="B358" s="33" t="inlineStr">
        <is>
          <t>ETR</t>
        </is>
      </c>
      <c r="C358" s="33" t="inlineStr">
        <is>
          <t>M3</t>
        </is>
      </c>
      <c r="D358" s="33" t="n">
        <v>3</v>
      </c>
      <c r="E358" s="68" t="inlineStr">
        <is>
          <t>Routine activity assumed; default 3.</t>
        </is>
      </c>
      <c r="F358" s="68" t="inlineStr">
        <is>
          <t>Entergy FY26 + Meta Louisiana $10B campus coverage (2026-05-18)</t>
        </is>
      </c>
      <c r="G358" s="33" t="inlineStr">
        <is>
          <t>High</t>
        </is>
      </c>
      <c r="H358" s="33" t="inlineStr">
        <is>
          <t>Initial</t>
        </is>
      </c>
    </row>
    <row r="359">
      <c r="A359" s="33" t="inlineStr">
        <is>
          <t>2026-05-18</t>
        </is>
      </c>
      <c r="B359" s="33" t="inlineStr">
        <is>
          <t>ETR</t>
        </is>
      </c>
      <c r="C359" s="33" t="inlineStr">
        <is>
          <t>R1</t>
        </is>
      </c>
      <c r="D359" s="33" t="n">
        <v>5</v>
      </c>
      <c r="E359" s="68" t="inlineStr">
        <is>
          <t>Regulated diversified rate base; no concentration.</t>
        </is>
      </c>
      <c r="F359" s="68" t="inlineStr">
        <is>
          <t>Entergy FY26 + Meta Louisiana $10B campus coverage (2026-05-18)</t>
        </is>
      </c>
      <c r="G359" s="33" t="inlineStr">
        <is>
          <t>High</t>
        </is>
      </c>
      <c r="H359" s="33" t="inlineStr">
        <is>
          <t>Initial</t>
        </is>
      </c>
    </row>
    <row r="360">
      <c r="A360" s="33" t="inlineStr">
        <is>
          <t>2026-05-18</t>
        </is>
      </c>
      <c r="B360" s="33" t="inlineStr">
        <is>
          <t>ETR</t>
        </is>
      </c>
      <c r="C360" s="33" t="inlineStr">
        <is>
          <t>R2</t>
        </is>
      </c>
      <c r="D360" s="33" t="n">
        <v>5</v>
      </c>
      <c r="E360" s="68" t="inlineStr">
        <is>
          <t>100% US operations; no export-control exposure.</t>
        </is>
      </c>
      <c r="F360" s="68" t="inlineStr">
        <is>
          <t>Entergy FY26 + Meta Louisiana $10B campus coverage (2026-05-18)</t>
        </is>
      </c>
      <c r="G360" s="33" t="inlineStr">
        <is>
          <t>High</t>
        </is>
      </c>
      <c r="H360" s="33" t="inlineStr">
        <is>
          <t>Initial</t>
        </is>
      </c>
    </row>
    <row r="361">
      <c r="A361" s="33" t="inlineStr">
        <is>
          <t>2026-05-18</t>
        </is>
      </c>
      <c r="B361" s="33" t="inlineStr">
        <is>
          <t>ETR</t>
        </is>
      </c>
      <c r="C361" s="33" t="inlineStr">
        <is>
          <t>R3</t>
        </is>
      </c>
      <c r="D361" s="33" t="n">
        <v>3</v>
      </c>
      <c r="E361" s="68" t="inlineStr">
        <is>
          <t>Standard utility leverage (high but stable structure).</t>
        </is>
      </c>
      <c r="F361" s="68" t="inlineStr">
        <is>
          <t>Entergy FY26 + Meta Louisiana $10B campus coverage (2026-05-18)</t>
        </is>
      </c>
      <c r="G361" s="33" t="inlineStr">
        <is>
          <t>High</t>
        </is>
      </c>
      <c r="H361" s="33" t="inlineStr">
        <is>
          <t>Initial</t>
        </is>
      </c>
    </row>
    <row r="362">
      <c r="A362" s="33" t="inlineStr">
        <is>
          <t>2026-05-18</t>
        </is>
      </c>
      <c r="B362" s="33" t="inlineStr">
        <is>
          <t>ETR</t>
        </is>
      </c>
      <c r="C362" s="33" t="inlineStr">
        <is>
          <t>R4</t>
        </is>
      </c>
      <c r="D362" s="33" t="n">
        <v>4</v>
      </c>
      <c r="E362" s="68" t="inlineStr">
        <is>
          <t>Regulated routine; no enforcement.</t>
        </is>
      </c>
      <c r="F362" s="68" t="inlineStr">
        <is>
          <t>Entergy FY26 + Meta Louisiana $10B campus coverage (2026-05-18)</t>
        </is>
      </c>
      <c r="G362" s="33" t="inlineStr">
        <is>
          <t>High</t>
        </is>
      </c>
      <c r="H362" s="33" t="inlineStr">
        <is>
          <t>Initial</t>
        </is>
      </c>
    </row>
    <row r="363">
      <c r="A363" s="33" t="inlineStr">
        <is>
          <t>2026-05-18</t>
        </is>
      </c>
      <c r="B363" s="33" t="inlineStr">
        <is>
          <t>PPL</t>
        </is>
      </c>
      <c r="C363" s="33" t="inlineStr">
        <is>
          <t>D1</t>
        </is>
      </c>
      <c r="D363" s="33" t="n">
        <v>3</v>
      </c>
      <c r="E363" s="68" t="inlineStr">
        <is>
          <t>Data center load growth ~21% of demand growth in service territory; not yet AI revenue per se. Per literal AI-rev methodology = band 3.</t>
        </is>
      </c>
      <c r="F363" s="68" t="inlineStr">
        <is>
          <t>PPL FY26 + PJM 10yr growth top-1 (6.4%) coverage (2026-05-18)</t>
        </is>
      </c>
      <c r="G363" s="33" t="inlineStr">
        <is>
          <t>High</t>
        </is>
      </c>
      <c r="H363" s="33" t="inlineStr">
        <is>
          <t>Initial</t>
        </is>
      </c>
    </row>
    <row r="364">
      <c r="A364" s="33" t="inlineStr">
        <is>
          <t>2026-05-18</t>
        </is>
      </c>
      <c r="B364" s="33" t="inlineStr">
        <is>
          <t>PPL</t>
        </is>
      </c>
      <c r="C364" s="33" t="inlineStr">
        <is>
          <t>D2</t>
        </is>
      </c>
      <c r="D364" s="33" t="n">
        <v>4</v>
      </c>
      <c r="E364" s="68" t="inlineStr">
        <is>
          <t>Regulated geographic monopoly; data center concentration in Pennsylvania/Kentucky's service area. PJM top growth rate (6.4% 10yr) but smaller absolute DC pipeline.</t>
        </is>
      </c>
      <c r="F364" s="68" t="inlineStr">
        <is>
          <t>PPL FY26 + PJM 10yr growth top-1 (6.4%) coverage (2026-05-18)</t>
        </is>
      </c>
      <c r="G364" s="33" t="inlineStr">
        <is>
          <t>High</t>
        </is>
      </c>
      <c r="H364" s="33" t="inlineStr">
        <is>
          <t>Initial</t>
        </is>
      </c>
    </row>
    <row r="365">
      <c r="A365" s="33" t="inlineStr">
        <is>
          <t>2026-05-18</t>
        </is>
      </c>
      <c r="B365" s="33" t="inlineStr">
        <is>
          <t>PPL</t>
        </is>
      </c>
      <c r="C365" s="33" t="inlineStr">
        <is>
          <t>D3</t>
        </is>
      </c>
      <c r="D365" s="33" t="n">
        <v>4</v>
      </c>
      <c r="E365" s="68" t="inlineStr">
        <is>
          <t>Regulated monopoly moat (operating rights, infrastructure). 100yr+ business protections.</t>
        </is>
      </c>
      <c r="F365" s="68" t="inlineStr">
        <is>
          <t>PPL FY26 + PJM 10yr growth top-1 (6.4%) coverage (2026-05-18)</t>
        </is>
      </c>
      <c r="G365" s="33" t="inlineStr">
        <is>
          <t>High</t>
        </is>
      </c>
      <c r="H365" s="33" t="inlineStr">
        <is>
          <t>Initial</t>
        </is>
      </c>
    </row>
    <row r="366">
      <c r="A366" s="33" t="inlineStr">
        <is>
          <t>2026-05-18</t>
        </is>
      </c>
      <c r="B366" s="33" t="inlineStr">
        <is>
          <t>PPL</t>
        </is>
      </c>
      <c r="C366" s="33" t="inlineStr">
        <is>
          <t>D4</t>
        </is>
      </c>
      <c r="D366" s="33" t="n">
        <v>4</v>
      </c>
      <c r="E366" s="68" t="inlineStr">
        <is>
          <t>Multi-year capex plan driven by data center load growth. PJM top growth rate (6.4% 10yr) but smaller absolute DC pipeline.</t>
        </is>
      </c>
      <c r="F366" s="68" t="inlineStr">
        <is>
          <t>PPL FY26 + PJM 10yr growth top-1 (6.4%) coverage (2026-05-18)</t>
        </is>
      </c>
      <c r="G366" s="33" t="inlineStr">
        <is>
          <t>High</t>
        </is>
      </c>
      <c r="H366" s="33" t="inlineStr">
        <is>
          <t>Initial</t>
        </is>
      </c>
    </row>
    <row r="367">
      <c r="A367" s="33" t="inlineStr">
        <is>
          <t>2026-05-18</t>
        </is>
      </c>
      <c r="B367" s="33" t="inlineStr">
        <is>
          <t>PPL</t>
        </is>
      </c>
      <c r="C367" s="33" t="inlineStr">
        <is>
          <t>D5</t>
        </is>
      </c>
      <c r="D367" s="33" t="n">
        <v>3</v>
      </c>
      <c r="E367" s="68" t="inlineStr">
        <is>
          <t>Indirect hyperscaler exposure via grid sales — not anchor PPA partner.</t>
        </is>
      </c>
      <c r="F367" s="68" t="inlineStr">
        <is>
          <t>PPL FY26 + PJM 10yr growth top-1 (6.4%) coverage (2026-05-18)</t>
        </is>
      </c>
      <c r="G367" s="33" t="inlineStr">
        <is>
          <t>High</t>
        </is>
      </c>
      <c r="H367" s="33" t="inlineStr">
        <is>
          <t>Initial</t>
        </is>
      </c>
    </row>
    <row r="368">
      <c r="A368" s="33" t="inlineStr">
        <is>
          <t>2026-05-18</t>
        </is>
      </c>
      <c r="B368" s="33" t="inlineStr">
        <is>
          <t>PPL</t>
        </is>
      </c>
      <c r="C368" s="33" t="inlineStr">
        <is>
          <t>M1</t>
        </is>
      </c>
      <c r="D368" s="33" t="n">
        <v>3</v>
      </c>
      <c r="E368" s="68" t="inlineStr">
        <is>
          <t>See EPS revisions data pulled 2026-05-18.</t>
        </is>
      </c>
      <c r="F368" s="68" t="inlineStr">
        <is>
          <t>PPL FY26 + PJM 10yr growth top-1 (6.4%) coverage (2026-05-18)</t>
        </is>
      </c>
      <c r="G368" s="33" t="inlineStr">
        <is>
          <t>High</t>
        </is>
      </c>
      <c r="H368" s="33" t="inlineStr">
        <is>
          <t>Initial</t>
        </is>
      </c>
    </row>
    <row r="369">
      <c r="A369" s="33" t="inlineStr">
        <is>
          <t>2026-05-18</t>
        </is>
      </c>
      <c r="B369" s="33" t="inlineStr">
        <is>
          <t>PPL</t>
        </is>
      </c>
      <c r="C369" s="33" t="inlineStr">
        <is>
          <t>M2</t>
        </is>
      </c>
      <c r="D369" s="33" t="n">
        <v>3</v>
      </c>
      <c r="E369" s="68" t="inlineStr">
        <is>
          <t>Sector benchmark = XLU.</t>
        </is>
      </c>
      <c r="F369" s="68" t="inlineStr">
        <is>
          <t>PPL FY26 + PJM 10yr growth top-1 (6.4%) coverage (2026-05-18)</t>
        </is>
      </c>
      <c r="G369" s="33" t="inlineStr">
        <is>
          <t>High</t>
        </is>
      </c>
      <c r="H369" s="33" t="inlineStr">
        <is>
          <t>Initial</t>
        </is>
      </c>
    </row>
    <row r="370">
      <c r="A370" s="33" t="inlineStr">
        <is>
          <t>2026-05-18</t>
        </is>
      </c>
      <c r="B370" s="33" t="inlineStr">
        <is>
          <t>PPL</t>
        </is>
      </c>
      <c r="C370" s="33" t="inlineStr">
        <is>
          <t>M3</t>
        </is>
      </c>
      <c r="D370" s="33" t="n">
        <v>3</v>
      </c>
      <c r="E370" s="68" t="inlineStr">
        <is>
          <t>Routine activity assumed; default 3.</t>
        </is>
      </c>
      <c r="F370" s="68" t="inlineStr">
        <is>
          <t>PPL FY26 + PJM 10yr growth top-1 (6.4%) coverage (2026-05-18)</t>
        </is>
      </c>
      <c r="G370" s="33" t="inlineStr">
        <is>
          <t>High</t>
        </is>
      </c>
      <c r="H370" s="33" t="inlineStr">
        <is>
          <t>Initial</t>
        </is>
      </c>
    </row>
    <row r="371">
      <c r="A371" s="33" t="inlineStr">
        <is>
          <t>2026-05-18</t>
        </is>
      </c>
      <c r="B371" s="33" t="inlineStr">
        <is>
          <t>PPL</t>
        </is>
      </c>
      <c r="C371" s="33" t="inlineStr">
        <is>
          <t>R1</t>
        </is>
      </c>
      <c r="D371" s="33" t="n">
        <v>5</v>
      </c>
      <c r="E371" s="68" t="inlineStr">
        <is>
          <t>Regulated diversified rate base; no concentration.</t>
        </is>
      </c>
      <c r="F371" s="68" t="inlineStr">
        <is>
          <t>PPL FY26 + PJM 10yr growth top-1 (6.4%) coverage (2026-05-18)</t>
        </is>
      </c>
      <c r="G371" s="33" t="inlineStr">
        <is>
          <t>High</t>
        </is>
      </c>
      <c r="H371" s="33" t="inlineStr">
        <is>
          <t>Initial</t>
        </is>
      </c>
    </row>
    <row r="372">
      <c r="A372" s="33" t="inlineStr">
        <is>
          <t>2026-05-18</t>
        </is>
      </c>
      <c r="B372" s="33" t="inlineStr">
        <is>
          <t>PPL</t>
        </is>
      </c>
      <c r="C372" s="33" t="inlineStr">
        <is>
          <t>R2</t>
        </is>
      </c>
      <c r="D372" s="33" t="n">
        <v>5</v>
      </c>
      <c r="E372" s="68" t="inlineStr">
        <is>
          <t>100% US operations; no export-control exposure.</t>
        </is>
      </c>
      <c r="F372" s="68" t="inlineStr">
        <is>
          <t>PPL FY26 + PJM 10yr growth top-1 (6.4%) coverage (2026-05-18)</t>
        </is>
      </c>
      <c r="G372" s="33" t="inlineStr">
        <is>
          <t>High</t>
        </is>
      </c>
      <c r="H372" s="33" t="inlineStr">
        <is>
          <t>Initial</t>
        </is>
      </c>
    </row>
    <row r="373">
      <c r="A373" s="33" t="inlineStr">
        <is>
          <t>2026-05-18</t>
        </is>
      </c>
      <c r="B373" s="33" t="inlineStr">
        <is>
          <t>PPL</t>
        </is>
      </c>
      <c r="C373" s="33" t="inlineStr">
        <is>
          <t>R3</t>
        </is>
      </c>
      <c r="D373" s="33" t="n">
        <v>3</v>
      </c>
      <c r="E373" s="68" t="inlineStr">
        <is>
          <t>Standard utility leverage (high but stable structure).</t>
        </is>
      </c>
      <c r="F373" s="68" t="inlineStr">
        <is>
          <t>PPL FY26 + PJM 10yr growth top-1 (6.4%) coverage (2026-05-18)</t>
        </is>
      </c>
      <c r="G373" s="33" t="inlineStr">
        <is>
          <t>High</t>
        </is>
      </c>
      <c r="H373" s="33" t="inlineStr">
        <is>
          <t>Initial</t>
        </is>
      </c>
    </row>
    <row r="374">
      <c r="A374" s="33" t="inlineStr">
        <is>
          <t>2026-05-18</t>
        </is>
      </c>
      <c r="B374" s="33" t="inlineStr">
        <is>
          <t>PPL</t>
        </is>
      </c>
      <c r="C374" s="33" t="inlineStr">
        <is>
          <t>R4</t>
        </is>
      </c>
      <c r="D374" s="33" t="n">
        <v>4</v>
      </c>
      <c r="E374" s="68" t="inlineStr">
        <is>
          <t>Regulated routine; no enforcement.</t>
        </is>
      </c>
      <c r="F374" s="68" t="inlineStr">
        <is>
          <t>PPL FY26 + PJM 10yr growth top-1 (6.4%) coverage (2026-05-18)</t>
        </is>
      </c>
      <c r="G374" s="33" t="inlineStr">
        <is>
          <t>High</t>
        </is>
      </c>
      <c r="H374" s="33" t="inlineStr">
        <is>
          <t>Initial</t>
        </is>
      </c>
    </row>
    <row r="375">
      <c r="A375" s="33" t="inlineStr">
        <is>
          <t>2026-05-18</t>
        </is>
      </c>
      <c r="B375" s="33" t="inlineStr">
        <is>
          <t>XEL</t>
        </is>
      </c>
      <c r="C375" s="33" t="inlineStr">
        <is>
          <t>D1</t>
        </is>
      </c>
      <c r="D375" s="33" t="n">
        <v>2</v>
      </c>
      <c r="E375" s="68" t="inlineStr">
        <is>
          <t>Data center load growth ~14% of demand growth in service territory; not yet AI revenue per se. Per literal AI-rev methodology = band 2.</t>
        </is>
      </c>
      <c r="F375" s="68" t="inlineStr">
        <is>
          <t>Xcel FY26 + Colorado/Minnesota coverage (2026-05-18)</t>
        </is>
      </c>
      <c r="G375" s="33" t="inlineStr">
        <is>
          <t>High</t>
        </is>
      </c>
      <c r="H375" s="33" t="inlineStr">
        <is>
          <t>Initial</t>
        </is>
      </c>
    </row>
    <row r="376">
      <c r="A376" s="33" t="inlineStr">
        <is>
          <t>2026-05-18</t>
        </is>
      </c>
      <c r="B376" s="33" t="inlineStr">
        <is>
          <t>XEL</t>
        </is>
      </c>
      <c r="C376" s="33" t="inlineStr">
        <is>
          <t>D2</t>
        </is>
      </c>
      <c r="D376" s="33" t="n">
        <v>3</v>
      </c>
      <c r="E376" s="68" t="inlineStr">
        <is>
          <t>Regulated geographic monopoly; data center concentration in Colorado/Minnesota's service area. Less data center concentration vs PJM utilities.</t>
        </is>
      </c>
      <c r="F376" s="68" t="inlineStr">
        <is>
          <t>Xcel FY26 + Colorado/Minnesota coverage (2026-05-18)</t>
        </is>
      </c>
      <c r="G376" s="33" t="inlineStr">
        <is>
          <t>High</t>
        </is>
      </c>
      <c r="H376" s="33" t="inlineStr">
        <is>
          <t>Initial</t>
        </is>
      </c>
    </row>
    <row r="377">
      <c r="A377" s="33" t="inlineStr">
        <is>
          <t>2026-05-18</t>
        </is>
      </c>
      <c r="B377" s="33" t="inlineStr">
        <is>
          <t>XEL</t>
        </is>
      </c>
      <c r="C377" s="33" t="inlineStr">
        <is>
          <t>D3</t>
        </is>
      </c>
      <c r="D377" s="33" t="n">
        <v>4</v>
      </c>
      <c r="E377" s="68" t="inlineStr">
        <is>
          <t>Regulated monopoly moat (operating rights, infrastructure). 100yr+ business protections.</t>
        </is>
      </c>
      <c r="F377" s="68" t="inlineStr">
        <is>
          <t>Xcel FY26 + Colorado/Minnesota coverage (2026-05-18)</t>
        </is>
      </c>
      <c r="G377" s="33" t="inlineStr">
        <is>
          <t>High</t>
        </is>
      </c>
      <c r="H377" s="33" t="inlineStr">
        <is>
          <t>Initial</t>
        </is>
      </c>
    </row>
    <row r="378">
      <c r="A378" s="33" t="inlineStr">
        <is>
          <t>2026-05-18</t>
        </is>
      </c>
      <c r="B378" s="33" t="inlineStr">
        <is>
          <t>XEL</t>
        </is>
      </c>
      <c r="C378" s="33" t="inlineStr">
        <is>
          <t>D4</t>
        </is>
      </c>
      <c r="D378" s="33" t="n">
        <v>3</v>
      </c>
      <c r="E378" s="68" t="inlineStr">
        <is>
          <t>Multi-year capex plan driven by data center load growth. Less data center concentration vs PJM utilities.</t>
        </is>
      </c>
      <c r="F378" s="68" t="inlineStr">
        <is>
          <t>Xcel FY26 + Colorado/Minnesota coverage (2026-05-18)</t>
        </is>
      </c>
      <c r="G378" s="33" t="inlineStr">
        <is>
          <t>High</t>
        </is>
      </c>
      <c r="H378" s="33" t="inlineStr">
        <is>
          <t>Initial</t>
        </is>
      </c>
    </row>
    <row r="379">
      <c r="A379" s="33" t="inlineStr">
        <is>
          <t>2026-05-18</t>
        </is>
      </c>
      <c r="B379" s="33" t="inlineStr">
        <is>
          <t>XEL</t>
        </is>
      </c>
      <c r="C379" s="33" t="inlineStr">
        <is>
          <t>D5</t>
        </is>
      </c>
      <c r="D379" s="33" t="n">
        <v>2</v>
      </c>
      <c r="E379" s="68" t="inlineStr">
        <is>
          <t>Indirect hyperscaler exposure via grid sales — not anchor PPA partner.</t>
        </is>
      </c>
      <c r="F379" s="68" t="inlineStr">
        <is>
          <t>Xcel FY26 + Colorado/Minnesota coverage (2026-05-18)</t>
        </is>
      </c>
      <c r="G379" s="33" t="inlineStr">
        <is>
          <t>High</t>
        </is>
      </c>
      <c r="H379" s="33" t="inlineStr">
        <is>
          <t>Initial</t>
        </is>
      </c>
    </row>
    <row r="380">
      <c r="A380" s="33" t="inlineStr">
        <is>
          <t>2026-05-18</t>
        </is>
      </c>
      <c r="B380" s="33" t="inlineStr">
        <is>
          <t>XEL</t>
        </is>
      </c>
      <c r="C380" s="33" t="inlineStr">
        <is>
          <t>M1</t>
        </is>
      </c>
      <c r="D380" s="33" t="n">
        <v>3</v>
      </c>
      <c r="E380" s="68" t="inlineStr">
        <is>
          <t>See EPS revisions data pulled 2026-05-18.</t>
        </is>
      </c>
      <c r="F380" s="68" t="inlineStr">
        <is>
          <t>Xcel FY26 + Colorado/Minnesota coverage (2026-05-18)</t>
        </is>
      </c>
      <c r="G380" s="33" t="inlineStr">
        <is>
          <t>High</t>
        </is>
      </c>
      <c r="H380" s="33" t="inlineStr">
        <is>
          <t>Initial</t>
        </is>
      </c>
    </row>
    <row r="381">
      <c r="A381" s="33" t="inlineStr">
        <is>
          <t>2026-05-18</t>
        </is>
      </c>
      <c r="B381" s="33" t="inlineStr">
        <is>
          <t>XEL</t>
        </is>
      </c>
      <c r="C381" s="33" t="inlineStr">
        <is>
          <t>M2</t>
        </is>
      </c>
      <c r="D381" s="33" t="n">
        <v>3</v>
      </c>
      <c r="E381" s="68" t="inlineStr">
        <is>
          <t>Sector benchmark = XLU.</t>
        </is>
      </c>
      <c r="F381" s="68" t="inlineStr">
        <is>
          <t>Xcel FY26 + Colorado/Minnesota coverage (2026-05-18)</t>
        </is>
      </c>
      <c r="G381" s="33" t="inlineStr">
        <is>
          <t>High</t>
        </is>
      </c>
      <c r="H381" s="33" t="inlineStr">
        <is>
          <t>Initial</t>
        </is>
      </c>
    </row>
    <row r="382">
      <c r="A382" s="33" t="inlineStr">
        <is>
          <t>2026-05-18</t>
        </is>
      </c>
      <c r="B382" s="33" t="inlineStr">
        <is>
          <t>XEL</t>
        </is>
      </c>
      <c r="C382" s="33" t="inlineStr">
        <is>
          <t>M3</t>
        </is>
      </c>
      <c r="D382" s="33" t="n">
        <v>3</v>
      </c>
      <c r="E382" s="68" t="inlineStr">
        <is>
          <t>Routine activity assumed; default 3.</t>
        </is>
      </c>
      <c r="F382" s="68" t="inlineStr">
        <is>
          <t>Xcel FY26 + Colorado/Minnesota coverage (2026-05-18)</t>
        </is>
      </c>
      <c r="G382" s="33" t="inlineStr">
        <is>
          <t>High</t>
        </is>
      </c>
      <c r="H382" s="33" t="inlineStr">
        <is>
          <t>Initial</t>
        </is>
      </c>
    </row>
    <row r="383">
      <c r="A383" s="33" t="inlineStr">
        <is>
          <t>2026-05-18</t>
        </is>
      </c>
      <c r="B383" s="33" t="inlineStr">
        <is>
          <t>XEL</t>
        </is>
      </c>
      <c r="C383" s="33" t="inlineStr">
        <is>
          <t>R1</t>
        </is>
      </c>
      <c r="D383" s="33" t="n">
        <v>5</v>
      </c>
      <c r="E383" s="68" t="inlineStr">
        <is>
          <t>Regulated diversified rate base; no concentration.</t>
        </is>
      </c>
      <c r="F383" s="68" t="inlineStr">
        <is>
          <t>Xcel FY26 + Colorado/Minnesota coverage (2026-05-18)</t>
        </is>
      </c>
      <c r="G383" s="33" t="inlineStr">
        <is>
          <t>High</t>
        </is>
      </c>
      <c r="H383" s="33" t="inlineStr">
        <is>
          <t>Initial</t>
        </is>
      </c>
    </row>
    <row r="384">
      <c r="A384" s="33" t="inlineStr">
        <is>
          <t>2026-05-18</t>
        </is>
      </c>
      <c r="B384" s="33" t="inlineStr">
        <is>
          <t>XEL</t>
        </is>
      </c>
      <c r="C384" s="33" t="inlineStr">
        <is>
          <t>R2</t>
        </is>
      </c>
      <c r="D384" s="33" t="n">
        <v>5</v>
      </c>
      <c r="E384" s="68" t="inlineStr">
        <is>
          <t>100% US operations; no export-control exposure.</t>
        </is>
      </c>
      <c r="F384" s="68" t="inlineStr">
        <is>
          <t>Xcel FY26 + Colorado/Minnesota coverage (2026-05-18)</t>
        </is>
      </c>
      <c r="G384" s="33" t="inlineStr">
        <is>
          <t>High</t>
        </is>
      </c>
      <c r="H384" s="33" t="inlineStr">
        <is>
          <t>Initial</t>
        </is>
      </c>
    </row>
    <row r="385">
      <c r="A385" s="33" t="inlineStr">
        <is>
          <t>2026-05-18</t>
        </is>
      </c>
      <c r="B385" s="33" t="inlineStr">
        <is>
          <t>XEL</t>
        </is>
      </c>
      <c r="C385" s="33" t="inlineStr">
        <is>
          <t>R3</t>
        </is>
      </c>
      <c r="D385" s="33" t="n">
        <v>3</v>
      </c>
      <c r="E385" s="68" t="inlineStr">
        <is>
          <t>Standard utility leverage (high but stable structure).</t>
        </is>
      </c>
      <c r="F385" s="68" t="inlineStr">
        <is>
          <t>Xcel FY26 + Colorado/Minnesota coverage (2026-05-18)</t>
        </is>
      </c>
      <c r="G385" s="33" t="inlineStr">
        <is>
          <t>High</t>
        </is>
      </c>
      <c r="H385" s="33" t="inlineStr">
        <is>
          <t>Initial</t>
        </is>
      </c>
    </row>
    <row r="386">
      <c r="A386" s="33" t="inlineStr">
        <is>
          <t>2026-05-18</t>
        </is>
      </c>
      <c r="B386" s="33" t="inlineStr">
        <is>
          <t>XEL</t>
        </is>
      </c>
      <c r="C386" s="33" t="inlineStr">
        <is>
          <t>R4</t>
        </is>
      </c>
      <c r="D386" s="33" t="n">
        <v>4</v>
      </c>
      <c r="E386" s="68" t="inlineStr">
        <is>
          <t>Regulated routine; no enforcement.</t>
        </is>
      </c>
      <c r="F386" s="68" t="inlineStr">
        <is>
          <t>Xcel FY26 + Colorado/Minnesota coverage (2026-05-18)</t>
        </is>
      </c>
      <c r="G386" s="33" t="inlineStr">
        <is>
          <t>High</t>
        </is>
      </c>
      <c r="H386" s="33" t="inlineStr">
        <is>
          <t>Initial</t>
        </is>
      </c>
    </row>
    <row r="387">
      <c r="A387" s="33" t="inlineStr">
        <is>
          <t>2026-05-18</t>
        </is>
      </c>
      <c r="B387" s="33" t="inlineStr">
        <is>
          <t>VST</t>
        </is>
      </c>
      <c r="C387" s="33" t="inlineStr">
        <is>
          <t>D1</t>
        </is>
      </c>
      <c r="D387" s="33" t="n">
        <v>4</v>
      </c>
      <c r="E387" s="68" t="inlineStr">
        <is>
          <t>20-year Meta PPA (Jan 2026) for 2.1 GW nuclear + 20-yr AWS PPA up to 1.2 GW Comanche Peak. AI-anchored nuclear revenue is meaningful and growing.</t>
        </is>
      </c>
      <c r="F387" s="68" t="inlineStr">
        <is>
          <t>Vistra 8-K + Meta 20yr 2.1GW nuclear PPA + AWS 1.2GW Comanche Peak coverage (2026-05-18)</t>
        </is>
      </c>
      <c r="G387" s="33" t="inlineStr">
        <is>
          <t>High</t>
        </is>
      </c>
      <c r="H387" s="33" t="inlineStr">
        <is>
          <t>Initial</t>
        </is>
      </c>
    </row>
    <row r="388">
      <c r="A388" s="33" t="inlineStr">
        <is>
          <t>2026-05-18</t>
        </is>
      </c>
      <c r="B388" s="33" t="inlineStr">
        <is>
          <t>VST</t>
        </is>
      </c>
      <c r="C388" s="33" t="inlineStr">
        <is>
          <t>D2</t>
        </is>
      </c>
      <c r="D388" s="33" t="n">
        <v>5</v>
      </c>
      <c r="E388" s="68" t="inlineStr">
        <is>
          <t>Texas IPP + nuclear fleet (post-Energy Harbor) = bottleneck position similar to CEG.</t>
        </is>
      </c>
      <c r="F388" s="68" t="inlineStr">
        <is>
          <t>Vistra 8-K + Meta 20yr 2.1GW nuclear PPA + AWS 1.2GW Comanche Peak coverage (2026-05-18)</t>
        </is>
      </c>
      <c r="G388" s="33" t="inlineStr">
        <is>
          <t>High</t>
        </is>
      </c>
      <c r="H388" s="33" t="inlineStr">
        <is>
          <t>Initial</t>
        </is>
      </c>
    </row>
    <row r="389">
      <c r="A389" s="33" t="inlineStr">
        <is>
          <t>2026-05-18</t>
        </is>
      </c>
      <c r="B389" s="33" t="inlineStr">
        <is>
          <t>VST</t>
        </is>
      </c>
      <c r="C389" s="33" t="inlineStr">
        <is>
          <t>D3</t>
        </is>
      </c>
      <c r="D389" s="33" t="n">
        <v>4</v>
      </c>
      <c r="E389" s="68" t="inlineStr">
        <is>
          <t>Nuclear license moat + regulatory + PPA stickiness.</t>
        </is>
      </c>
      <c r="F389" s="68" t="inlineStr">
        <is>
          <t>Vistra 8-K + Meta 20yr 2.1GW nuclear PPA + AWS 1.2GW Comanche Peak coverage (2026-05-18)</t>
        </is>
      </c>
      <c r="G389" s="33" t="inlineStr">
        <is>
          <t>High</t>
        </is>
      </c>
      <c r="H389" s="33" t="inlineStr">
        <is>
          <t>Initial</t>
        </is>
      </c>
    </row>
    <row r="390">
      <c r="A390" s="33" t="inlineStr">
        <is>
          <t>2026-05-18</t>
        </is>
      </c>
      <c r="B390" s="33" t="inlineStr">
        <is>
          <t>VST</t>
        </is>
      </c>
      <c r="C390" s="33" t="inlineStr">
        <is>
          <t>D4</t>
        </is>
      </c>
      <c r="D390" s="33" t="n">
        <v>5</v>
      </c>
      <c r="E390" s="68" t="inlineStr">
        <is>
          <t>Multiple PPAs backing buildout + Comanche Peak ramp.</t>
        </is>
      </c>
      <c r="F390" s="68" t="inlineStr">
        <is>
          <t>Vistra 8-K + Meta 20yr 2.1GW nuclear PPA + AWS 1.2GW Comanche Peak coverage (2026-05-18)</t>
        </is>
      </c>
      <c r="G390" s="33" t="inlineStr">
        <is>
          <t>High</t>
        </is>
      </c>
      <c r="H390" s="33" t="inlineStr">
        <is>
          <t>Initial</t>
        </is>
      </c>
    </row>
    <row r="391">
      <c r="A391" s="33" t="inlineStr">
        <is>
          <t>2026-05-18</t>
        </is>
      </c>
      <c r="B391" s="33" t="inlineStr">
        <is>
          <t>VST</t>
        </is>
      </c>
      <c r="C391" s="33" t="inlineStr">
        <is>
          <t>D5</t>
        </is>
      </c>
      <c r="D391" s="33" t="n">
        <v>5</v>
      </c>
      <c r="E391" s="68" t="inlineStr">
        <is>
          <t>Meta + AWS as anchor PPA customers.</t>
        </is>
      </c>
      <c r="F391" s="68" t="inlineStr">
        <is>
          <t>Vistra 8-K + Meta 20yr 2.1GW nuclear PPA + AWS 1.2GW Comanche Peak coverage (2026-05-18)</t>
        </is>
      </c>
      <c r="G391" s="33" t="inlineStr">
        <is>
          <t>High</t>
        </is>
      </c>
      <c r="H391" s="33" t="inlineStr">
        <is>
          <t>Initial</t>
        </is>
      </c>
    </row>
    <row r="392">
      <c r="A392" s="33" t="inlineStr">
        <is>
          <t>2026-05-18</t>
        </is>
      </c>
      <c r="B392" s="33" t="inlineStr">
        <is>
          <t>VST</t>
        </is>
      </c>
      <c r="C392" s="33" t="inlineStr">
        <is>
          <t>M1</t>
        </is>
      </c>
      <c r="D392" s="33" t="n">
        <v>3</v>
      </c>
      <c r="E392" s="68" t="inlineStr">
        <is>
          <t>3 up / 2 down on +1Y. FY revision +7.1%. Net positive.</t>
        </is>
      </c>
      <c r="F392" s="68" t="inlineStr">
        <is>
          <t>Vistra 8-K + Meta 20yr 2.1GW nuclear PPA + AWS 1.2GW Comanche Peak coverage (2026-05-18)</t>
        </is>
      </c>
      <c r="G392" s="33" t="inlineStr">
        <is>
          <t>High</t>
        </is>
      </c>
      <c r="H392" s="33" t="inlineStr">
        <is>
          <t>Initial</t>
        </is>
      </c>
    </row>
    <row r="393">
      <c r="A393" s="33" t="inlineStr">
        <is>
          <t>2026-05-18</t>
        </is>
      </c>
      <c r="B393" s="33" t="inlineStr">
        <is>
          <t>VST</t>
        </is>
      </c>
      <c r="C393" s="33" t="inlineStr">
        <is>
          <t>M2</t>
        </is>
      </c>
      <c r="D393" s="33" t="n">
        <v>1</v>
      </c>
      <c r="E393" s="68" t="inlineStr">
        <is>
          <t>-24pp vs XLU 180d — market not pricing PPAs yet.</t>
        </is>
      </c>
      <c r="F393" s="68" t="inlineStr">
        <is>
          <t>Vistra 8-K + Meta 20yr 2.1GW nuclear PPA + AWS 1.2GW Comanche Peak coverage (2026-05-18)</t>
        </is>
      </c>
      <c r="G393" s="33" t="inlineStr">
        <is>
          <t>High</t>
        </is>
      </c>
      <c r="H393" s="33" t="inlineStr">
        <is>
          <t>Initial</t>
        </is>
      </c>
    </row>
    <row r="394">
      <c r="A394" s="33" t="inlineStr">
        <is>
          <t>2026-05-18</t>
        </is>
      </c>
      <c r="B394" s="33" t="inlineStr">
        <is>
          <t>VST</t>
        </is>
      </c>
      <c r="C394" s="33" t="inlineStr">
        <is>
          <t>M3</t>
        </is>
      </c>
      <c r="D394" s="33" t="n">
        <v>3</v>
      </c>
      <c r="E394" s="68" t="inlineStr">
        <is>
          <t>Routine; default 3.</t>
        </is>
      </c>
      <c r="F394" s="68" t="inlineStr">
        <is>
          <t>Vistra 8-K + Meta 20yr 2.1GW nuclear PPA + AWS 1.2GW Comanche Peak coverage (2026-05-18)</t>
        </is>
      </c>
      <c r="G394" s="33" t="inlineStr">
        <is>
          <t>High</t>
        </is>
      </c>
      <c r="H394" s="33" t="inlineStr">
        <is>
          <t>Initial</t>
        </is>
      </c>
    </row>
    <row r="395">
      <c r="A395" s="33" t="inlineStr">
        <is>
          <t>2026-05-18</t>
        </is>
      </c>
      <c r="B395" s="33" t="inlineStr">
        <is>
          <t>VST</t>
        </is>
      </c>
      <c r="C395" s="33" t="inlineStr">
        <is>
          <t>R1</t>
        </is>
      </c>
      <c r="D395" s="33" t="n">
        <v>4</v>
      </c>
      <c r="E395" s="68" t="inlineStr">
        <is>
          <t>Multiple hyperscaler PPA customers but concentrated relationships.</t>
        </is>
      </c>
      <c r="F395" s="68" t="inlineStr">
        <is>
          <t>Vistra 8-K + Meta 20yr 2.1GW nuclear PPA + AWS 1.2GW Comanche Peak coverage (2026-05-18)</t>
        </is>
      </c>
      <c r="G395" s="33" t="inlineStr">
        <is>
          <t>High</t>
        </is>
      </c>
      <c r="H395" s="33" t="inlineStr">
        <is>
          <t>Initial</t>
        </is>
      </c>
    </row>
    <row r="396">
      <c r="A396" s="33" t="inlineStr">
        <is>
          <t>2026-05-18</t>
        </is>
      </c>
      <c r="B396" s="33" t="inlineStr">
        <is>
          <t>VST</t>
        </is>
      </c>
      <c r="C396" s="33" t="inlineStr">
        <is>
          <t>R2</t>
        </is>
      </c>
      <c r="D396" s="33" t="n">
        <v>5</v>
      </c>
      <c r="E396" s="68" t="inlineStr">
        <is>
          <t>100% US.</t>
        </is>
      </c>
      <c r="F396" s="68" t="inlineStr">
        <is>
          <t>Vistra 8-K + Meta 20yr 2.1GW nuclear PPA + AWS 1.2GW Comanche Peak coverage (2026-05-18)</t>
        </is>
      </c>
      <c r="G396" s="33" t="inlineStr">
        <is>
          <t>High</t>
        </is>
      </c>
      <c r="H396" s="33" t="inlineStr">
        <is>
          <t>Initial</t>
        </is>
      </c>
    </row>
    <row r="397">
      <c r="A397" s="33" t="inlineStr">
        <is>
          <t>2026-05-18</t>
        </is>
      </c>
      <c r="B397" s="33" t="inlineStr">
        <is>
          <t>VST</t>
        </is>
      </c>
      <c r="C397" s="33" t="inlineStr">
        <is>
          <t>R3</t>
        </is>
      </c>
      <c r="D397" s="33" t="n">
        <v>4</v>
      </c>
      <c r="E397" s="68" t="inlineStr">
        <is>
          <t>ND/EBITDA 2.8x — moderate leverage (better than TLN).</t>
        </is>
      </c>
      <c r="F397" s="68" t="inlineStr">
        <is>
          <t>Vistra 8-K + Meta 20yr 2.1GW nuclear PPA + AWS 1.2GW Comanche Peak coverage (2026-05-18)</t>
        </is>
      </c>
      <c r="G397" s="33" t="inlineStr">
        <is>
          <t>High</t>
        </is>
      </c>
      <c r="H397" s="33" t="inlineStr">
        <is>
          <t>Initial</t>
        </is>
      </c>
    </row>
    <row r="398">
      <c r="A398" s="33" t="inlineStr">
        <is>
          <t>2026-05-18</t>
        </is>
      </c>
      <c r="B398" s="33" t="inlineStr">
        <is>
          <t>VST</t>
        </is>
      </c>
      <c r="C398" s="33" t="inlineStr">
        <is>
          <t>R4</t>
        </is>
      </c>
      <c r="D398" s="33" t="n">
        <v>4</v>
      </c>
      <c r="E398" s="68" t="inlineStr">
        <is>
          <t>Routine.</t>
        </is>
      </c>
      <c r="F398" s="68" t="inlineStr">
        <is>
          <t>Vistra 8-K + Meta 20yr 2.1GW nuclear PPA + AWS 1.2GW Comanche Peak coverage (2026-05-18)</t>
        </is>
      </c>
      <c r="G398" s="33" t="inlineStr">
        <is>
          <t>High</t>
        </is>
      </c>
      <c r="H398" s="33" t="inlineStr">
        <is>
          <t>Initial</t>
        </is>
      </c>
    </row>
    <row r="399">
      <c r="A399" s="33" t="inlineStr">
        <is>
          <t>2026-05-18</t>
        </is>
      </c>
      <c r="B399" s="33" t="inlineStr">
        <is>
          <t>TLN</t>
        </is>
      </c>
      <c r="C399" s="33" t="inlineStr">
        <is>
          <t>D1</t>
        </is>
      </c>
      <c r="D399" s="33" t="n">
        <v>5</v>
      </c>
      <c r="E399" s="68" t="inlineStr">
        <is>
          <t>$18B AWS Susquehanna PPA for 1.9 GW (June 2025) — anchor nuclear-for-AI relationship. Highest pure-AI exposure in IPPs.</t>
        </is>
      </c>
      <c r="F399" s="68" t="inlineStr">
        <is>
          <t>Talen Energy 8-K + AWS Susquehanna $18B 1.9GW PPA coverage (2026-05-18)</t>
        </is>
      </c>
      <c r="G399" s="33" t="inlineStr">
        <is>
          <t>High</t>
        </is>
      </c>
      <c r="H399" s="33" t="inlineStr">
        <is>
          <t>Initial</t>
        </is>
      </c>
    </row>
    <row r="400">
      <c r="A400" s="33" t="inlineStr">
        <is>
          <t>2026-05-18</t>
        </is>
      </c>
      <c r="B400" s="33" t="inlineStr">
        <is>
          <t>TLN</t>
        </is>
      </c>
      <c r="C400" s="33" t="inlineStr">
        <is>
          <t>D2</t>
        </is>
      </c>
      <c r="D400" s="33" t="n">
        <v>5</v>
      </c>
      <c r="E400" s="68" t="inlineStr">
        <is>
          <t>Susquehanna nuclear baseload bottleneck for AWS east coast.</t>
        </is>
      </c>
      <c r="F400" s="68" t="inlineStr">
        <is>
          <t>Talen Energy 8-K + AWS Susquehanna $18B 1.9GW PPA coverage (2026-05-18)</t>
        </is>
      </c>
      <c r="G400" s="33" t="inlineStr">
        <is>
          <t>High</t>
        </is>
      </c>
      <c r="H400" s="33" t="inlineStr">
        <is>
          <t>Initial</t>
        </is>
      </c>
    </row>
    <row r="401">
      <c r="A401" s="33" t="inlineStr">
        <is>
          <t>2026-05-18</t>
        </is>
      </c>
      <c r="B401" s="33" t="inlineStr">
        <is>
          <t>TLN</t>
        </is>
      </c>
      <c r="C401" s="33" t="inlineStr">
        <is>
          <t>D3</t>
        </is>
      </c>
      <c r="D401" s="33" t="n">
        <v>4</v>
      </c>
      <c r="E401" s="68" t="inlineStr">
        <is>
          <t>Nuclear license + PPA stickiness.</t>
        </is>
      </c>
      <c r="F401" s="68" t="inlineStr">
        <is>
          <t>Talen Energy 8-K + AWS Susquehanna $18B 1.9GW PPA coverage (2026-05-18)</t>
        </is>
      </c>
      <c r="G401" s="33" t="inlineStr">
        <is>
          <t>High</t>
        </is>
      </c>
      <c r="H401" s="33" t="inlineStr">
        <is>
          <t>Initial</t>
        </is>
      </c>
    </row>
    <row r="402">
      <c r="A402" s="33" t="inlineStr">
        <is>
          <t>2026-05-18</t>
        </is>
      </c>
      <c r="B402" s="33" t="inlineStr">
        <is>
          <t>TLN</t>
        </is>
      </c>
      <c r="C402" s="33" t="inlineStr">
        <is>
          <t>D4</t>
        </is>
      </c>
      <c r="D402" s="33" t="n">
        <v>5</v>
      </c>
      <c r="E402" s="68" t="inlineStr">
        <is>
          <t>AWS PPA backing multi-year buildout.</t>
        </is>
      </c>
      <c r="F402" s="68" t="inlineStr">
        <is>
          <t>Talen Energy 8-K + AWS Susquehanna $18B 1.9GW PPA coverage (2026-05-18)</t>
        </is>
      </c>
      <c r="G402" s="33" t="inlineStr">
        <is>
          <t>High</t>
        </is>
      </c>
      <c r="H402" s="33" t="inlineStr">
        <is>
          <t>Initial</t>
        </is>
      </c>
    </row>
    <row r="403">
      <c r="A403" s="33" t="inlineStr">
        <is>
          <t>2026-05-18</t>
        </is>
      </c>
      <c r="B403" s="33" t="inlineStr">
        <is>
          <t>TLN</t>
        </is>
      </c>
      <c r="C403" s="33" t="inlineStr">
        <is>
          <t>D5</t>
        </is>
      </c>
      <c r="D403" s="33" t="n">
        <v>5</v>
      </c>
      <c r="E403" s="68" t="inlineStr">
        <is>
          <t>AWS as anchor PPA customer.</t>
        </is>
      </c>
      <c r="F403" s="68" t="inlineStr">
        <is>
          <t>Talen Energy 8-K + AWS Susquehanna $18B 1.9GW PPA coverage (2026-05-18)</t>
        </is>
      </c>
      <c r="G403" s="33" t="inlineStr">
        <is>
          <t>High</t>
        </is>
      </c>
      <c r="H403" s="33" t="inlineStr">
        <is>
          <t>Initial</t>
        </is>
      </c>
    </row>
    <row r="404">
      <c r="A404" s="33" t="inlineStr">
        <is>
          <t>2026-05-18</t>
        </is>
      </c>
      <c r="B404" s="33" t="inlineStr">
        <is>
          <t>TLN</t>
        </is>
      </c>
      <c r="C404" s="33" t="inlineStr">
        <is>
          <t>M1</t>
        </is>
      </c>
      <c r="D404" s="33" t="n">
        <v>4</v>
      </c>
      <c r="E404" s="68" t="inlineStr">
        <is>
          <t>2 up / 0 down on +1Y. Net positive.</t>
        </is>
      </c>
      <c r="F404" s="68" t="inlineStr">
        <is>
          <t>Talen Energy 8-K + AWS Susquehanna $18B 1.9GW PPA coverage (2026-05-18)</t>
        </is>
      </c>
      <c r="G404" s="33" t="inlineStr">
        <is>
          <t>High</t>
        </is>
      </c>
      <c r="H404" s="33" t="inlineStr">
        <is>
          <t>Initial</t>
        </is>
      </c>
    </row>
    <row r="405">
      <c r="A405" s="33" t="inlineStr">
        <is>
          <t>2026-05-18</t>
        </is>
      </c>
      <c r="B405" s="33" t="inlineStr">
        <is>
          <t>TLN</t>
        </is>
      </c>
      <c r="C405" s="33" t="inlineStr">
        <is>
          <t>M2</t>
        </is>
      </c>
      <c r="D405" s="33" t="n">
        <v>2</v>
      </c>
      <c r="E405" s="68" t="inlineStr">
        <is>
          <t>-18pp vs XLU 180d — market not yet pricing AWS deal value.</t>
        </is>
      </c>
      <c r="F405" s="68" t="inlineStr">
        <is>
          <t>Talen Energy 8-K + AWS Susquehanna $18B 1.9GW PPA coverage (2026-05-18)</t>
        </is>
      </c>
      <c r="G405" s="33" t="inlineStr">
        <is>
          <t>High</t>
        </is>
      </c>
      <c r="H405" s="33" t="inlineStr">
        <is>
          <t>Initial</t>
        </is>
      </c>
    </row>
    <row r="406">
      <c r="A406" s="33" t="inlineStr">
        <is>
          <t>2026-05-18</t>
        </is>
      </c>
      <c r="B406" s="33" t="inlineStr">
        <is>
          <t>TLN</t>
        </is>
      </c>
      <c r="C406" s="33" t="inlineStr">
        <is>
          <t>M3</t>
        </is>
      </c>
      <c r="D406" s="33" t="n">
        <v>3</v>
      </c>
      <c r="E406" s="68" t="inlineStr">
        <is>
          <t>Routine; default 3.</t>
        </is>
      </c>
      <c r="F406" s="68" t="inlineStr">
        <is>
          <t>Talen Energy 8-K + AWS Susquehanna $18B 1.9GW PPA coverage (2026-05-18)</t>
        </is>
      </c>
      <c r="G406" s="33" t="inlineStr">
        <is>
          <t>High</t>
        </is>
      </c>
      <c r="H406" s="33" t="inlineStr">
        <is>
          <t>Initial</t>
        </is>
      </c>
    </row>
    <row r="407">
      <c r="A407" s="33" t="inlineStr">
        <is>
          <t>2026-05-18</t>
        </is>
      </c>
      <c r="B407" s="33" t="inlineStr">
        <is>
          <t>TLN</t>
        </is>
      </c>
      <c r="C407" s="33" t="inlineStr">
        <is>
          <t>R1</t>
        </is>
      </c>
      <c r="D407" s="33" t="n">
        <v>3</v>
      </c>
      <c r="E407" s="68" t="inlineStr">
        <is>
          <t>AWS concentration is real (single dominant PPA customer).</t>
        </is>
      </c>
      <c r="F407" s="68" t="inlineStr">
        <is>
          <t>Talen Energy 8-K + AWS Susquehanna $18B 1.9GW PPA coverage (2026-05-18)</t>
        </is>
      </c>
      <c r="G407" s="33" t="inlineStr">
        <is>
          <t>High</t>
        </is>
      </c>
      <c r="H407" s="33" t="inlineStr">
        <is>
          <t>Initial</t>
        </is>
      </c>
    </row>
    <row r="408">
      <c r="A408" s="33" t="inlineStr">
        <is>
          <t>2026-05-18</t>
        </is>
      </c>
      <c r="B408" s="33" t="inlineStr">
        <is>
          <t>TLN</t>
        </is>
      </c>
      <c r="C408" s="33" t="inlineStr">
        <is>
          <t>R2</t>
        </is>
      </c>
      <c r="D408" s="33" t="n">
        <v>5</v>
      </c>
      <c r="E408" s="68" t="inlineStr">
        <is>
          <t>100% US.</t>
        </is>
      </c>
      <c r="F408" s="68" t="inlineStr">
        <is>
          <t>Talen Energy 8-K + AWS Susquehanna $18B 1.9GW PPA coverage (2026-05-18)</t>
        </is>
      </c>
      <c r="G408" s="33" t="inlineStr">
        <is>
          <t>High</t>
        </is>
      </c>
      <c r="H408" s="33" t="inlineStr">
        <is>
          <t>Initial</t>
        </is>
      </c>
    </row>
    <row r="409">
      <c r="A409" s="33" t="inlineStr">
        <is>
          <t>2026-05-18</t>
        </is>
      </c>
      <c r="B409" s="33" t="inlineStr">
        <is>
          <t>TLN</t>
        </is>
      </c>
      <c r="C409" s="33" t="inlineStr">
        <is>
          <t>R3</t>
        </is>
      </c>
      <c r="D409" s="33" t="n">
        <v>2</v>
      </c>
      <c r="E409" s="68" t="inlineStr">
        <is>
          <t>ND/EBITDA 8.9x — elevated leverage. Band 2 per rubric. Quarterly review item: is high leverage justified by $18B locked PPA?</t>
        </is>
      </c>
      <c r="F409" s="68" t="inlineStr">
        <is>
          <t>Talen Energy 8-K + AWS Susquehanna $18B 1.9GW PPA coverage (2026-05-18)</t>
        </is>
      </c>
      <c r="G409" s="33" t="inlineStr">
        <is>
          <t>High</t>
        </is>
      </c>
      <c r="H409" s="33" t="inlineStr">
        <is>
          <t>Initial</t>
        </is>
      </c>
    </row>
    <row r="410">
      <c r="A410" s="33" t="inlineStr">
        <is>
          <t>2026-05-18</t>
        </is>
      </c>
      <c r="B410" s="33" t="inlineStr">
        <is>
          <t>TLN</t>
        </is>
      </c>
      <c r="C410" s="33" t="inlineStr">
        <is>
          <t>R4</t>
        </is>
      </c>
      <c r="D410" s="33" t="n">
        <v>4</v>
      </c>
      <c r="E410" s="68" t="inlineStr">
        <is>
          <t>Routine.</t>
        </is>
      </c>
      <c r="F410" s="68" t="inlineStr">
        <is>
          <t>Talen Energy 8-K + AWS Susquehanna $18B 1.9GW PPA coverage (2026-05-18)</t>
        </is>
      </c>
      <c r="G410" s="33" t="inlineStr">
        <is>
          <t>High</t>
        </is>
      </c>
      <c r="H410" s="33" t="inlineStr">
        <is>
          <t>Initial</t>
        </is>
      </c>
    </row>
    <row r="411">
      <c r="A411" s="33" t="inlineStr">
        <is>
          <t>2026-05-18</t>
        </is>
      </c>
      <c r="B411" s="33" t="inlineStr">
        <is>
          <t>NRG</t>
        </is>
      </c>
      <c r="C411" s="33" t="inlineStr">
        <is>
          <t>D1</t>
        </is>
      </c>
      <c r="D411" s="33" t="n">
        <v>2</v>
      </c>
      <c r="E411" s="68" t="inlineStr">
        <is>
          <t>Texas IPP + retail electricity. Limited direct hyperscaler PPA exposure.</t>
        </is>
      </c>
      <c r="F411" s="68" t="inlineStr">
        <is>
          <t>NRG FY26 + retail+gen Texas coverage (2026-05-18)</t>
        </is>
      </c>
      <c r="G411" s="33" t="inlineStr">
        <is>
          <t>High</t>
        </is>
      </c>
      <c r="H411" s="33" t="inlineStr">
        <is>
          <t>Initial</t>
        </is>
      </c>
    </row>
    <row r="412">
      <c r="A412" s="33" t="inlineStr">
        <is>
          <t>2026-05-18</t>
        </is>
      </c>
      <c r="B412" s="33" t="inlineStr">
        <is>
          <t>NRG</t>
        </is>
      </c>
      <c r="C412" s="33" t="inlineStr">
        <is>
          <t>D2</t>
        </is>
      </c>
      <c r="D412" s="33" t="n">
        <v>3</v>
      </c>
      <c r="E412" s="68" t="inlineStr">
        <is>
          <t>Texas merchant generation + retail competitive.</t>
        </is>
      </c>
      <c r="F412" s="68" t="inlineStr">
        <is>
          <t>NRG FY26 + retail+gen Texas coverage (2026-05-18)</t>
        </is>
      </c>
      <c r="G412" s="33" t="inlineStr">
        <is>
          <t>High</t>
        </is>
      </c>
      <c r="H412" s="33" t="inlineStr">
        <is>
          <t>Initial</t>
        </is>
      </c>
    </row>
    <row r="413">
      <c r="A413" s="33" t="inlineStr">
        <is>
          <t>2026-05-18</t>
        </is>
      </c>
      <c r="B413" s="33" t="inlineStr">
        <is>
          <t>NRG</t>
        </is>
      </c>
      <c r="C413" s="33" t="inlineStr">
        <is>
          <t>D3</t>
        </is>
      </c>
      <c r="D413" s="33" t="n">
        <v>3</v>
      </c>
      <c r="E413" s="68" t="inlineStr">
        <is>
          <t>Mid-tier moat.</t>
        </is>
      </c>
      <c r="F413" s="68" t="inlineStr">
        <is>
          <t>NRG FY26 + retail+gen Texas coverage (2026-05-18)</t>
        </is>
      </c>
      <c r="G413" s="33" t="inlineStr">
        <is>
          <t>High</t>
        </is>
      </c>
      <c r="H413" s="33" t="inlineStr">
        <is>
          <t>Initial</t>
        </is>
      </c>
    </row>
    <row r="414">
      <c r="A414" s="33" t="inlineStr">
        <is>
          <t>2026-05-18</t>
        </is>
      </c>
      <c r="B414" s="33" t="inlineStr">
        <is>
          <t>NRG</t>
        </is>
      </c>
      <c r="C414" s="33" t="inlineStr">
        <is>
          <t>D4</t>
        </is>
      </c>
      <c r="D414" s="33" t="n">
        <v>3</v>
      </c>
      <c r="E414" s="68" t="inlineStr">
        <is>
          <t>Steady-state capex.</t>
        </is>
      </c>
      <c r="F414" s="68" t="inlineStr">
        <is>
          <t>NRG FY26 + retail+gen Texas coverage (2026-05-18)</t>
        </is>
      </c>
      <c r="G414" s="33" t="inlineStr">
        <is>
          <t>High</t>
        </is>
      </c>
      <c r="H414" s="33" t="inlineStr">
        <is>
          <t>Initial</t>
        </is>
      </c>
    </row>
    <row r="415">
      <c r="A415" s="33" t="inlineStr">
        <is>
          <t>2026-05-18</t>
        </is>
      </c>
      <c r="B415" s="33" t="inlineStr">
        <is>
          <t>NRG</t>
        </is>
      </c>
      <c r="C415" s="33" t="inlineStr">
        <is>
          <t>D5</t>
        </is>
      </c>
      <c r="D415" s="33" t="n">
        <v>2</v>
      </c>
      <c r="E415" s="68" t="inlineStr">
        <is>
          <t>Limited direct hyperscaler exposure.</t>
        </is>
      </c>
      <c r="F415" s="68" t="inlineStr">
        <is>
          <t>NRG FY26 + retail+gen Texas coverage (2026-05-18)</t>
        </is>
      </c>
      <c r="G415" s="33" t="inlineStr">
        <is>
          <t>High</t>
        </is>
      </c>
      <c r="H415" s="33" t="inlineStr">
        <is>
          <t>Initial</t>
        </is>
      </c>
    </row>
    <row r="416">
      <c r="A416" s="33" t="inlineStr">
        <is>
          <t>2026-05-18</t>
        </is>
      </c>
      <c r="B416" s="33" t="inlineStr">
        <is>
          <t>NRG</t>
        </is>
      </c>
      <c r="C416" s="33" t="inlineStr">
        <is>
          <t>M1</t>
        </is>
      </c>
      <c r="D416" s="33" t="n">
        <v>5</v>
      </c>
      <c r="E416" s="68" t="inlineStr">
        <is>
          <t>6 up / 1 down on +1Y. Best M1 in IPP cluster.</t>
        </is>
      </c>
      <c r="F416" s="68" t="inlineStr">
        <is>
          <t>NRG FY26 + retail+gen Texas coverage (2026-05-18)</t>
        </is>
      </c>
      <c r="G416" s="33" t="inlineStr">
        <is>
          <t>High</t>
        </is>
      </c>
      <c r="H416" s="33" t="inlineStr">
        <is>
          <t>Initial</t>
        </is>
      </c>
    </row>
    <row r="417">
      <c r="A417" s="33" t="inlineStr">
        <is>
          <t>2026-05-18</t>
        </is>
      </c>
      <c r="B417" s="33" t="inlineStr">
        <is>
          <t>NRG</t>
        </is>
      </c>
      <c r="C417" s="33" t="inlineStr">
        <is>
          <t>M2</t>
        </is>
      </c>
      <c r="D417" s="33" t="n">
        <v>1</v>
      </c>
      <c r="E417" s="68" t="inlineStr">
        <is>
          <t>-26pp vs XLU 180d — heavy lag.</t>
        </is>
      </c>
      <c r="F417" s="68" t="inlineStr">
        <is>
          <t>NRG FY26 + retail+gen Texas coverage (2026-05-18)</t>
        </is>
      </c>
      <c r="G417" s="33" t="inlineStr">
        <is>
          <t>High</t>
        </is>
      </c>
      <c r="H417" s="33" t="inlineStr">
        <is>
          <t>Initial</t>
        </is>
      </c>
    </row>
    <row r="418">
      <c r="A418" s="33" t="inlineStr">
        <is>
          <t>2026-05-18</t>
        </is>
      </c>
      <c r="B418" s="33" t="inlineStr">
        <is>
          <t>NRG</t>
        </is>
      </c>
      <c r="C418" s="33" t="inlineStr">
        <is>
          <t>M3</t>
        </is>
      </c>
      <c r="D418" s="33" t="n">
        <v>3</v>
      </c>
      <c r="E418" s="68" t="inlineStr">
        <is>
          <t>Routine; default 3.</t>
        </is>
      </c>
      <c r="F418" s="68" t="inlineStr">
        <is>
          <t>NRG FY26 + retail+gen Texas coverage (2026-05-18)</t>
        </is>
      </c>
      <c r="G418" s="33" t="inlineStr">
        <is>
          <t>High</t>
        </is>
      </c>
      <c r="H418" s="33" t="inlineStr">
        <is>
          <t>Initial</t>
        </is>
      </c>
    </row>
    <row r="419">
      <c r="A419" s="33" t="inlineStr">
        <is>
          <t>2026-05-18</t>
        </is>
      </c>
      <c r="B419" s="33" t="inlineStr">
        <is>
          <t>NRG</t>
        </is>
      </c>
      <c r="C419" s="33" t="inlineStr">
        <is>
          <t>R1</t>
        </is>
      </c>
      <c r="D419" s="33" t="n">
        <v>4</v>
      </c>
      <c r="E419" s="68" t="inlineStr">
        <is>
          <t>Retail customer diversified; gen has some concentration.</t>
        </is>
      </c>
      <c r="F419" s="68" t="inlineStr">
        <is>
          <t>NRG FY26 + retail+gen Texas coverage (2026-05-18)</t>
        </is>
      </c>
      <c r="G419" s="33" t="inlineStr">
        <is>
          <t>High</t>
        </is>
      </c>
      <c r="H419" s="33" t="inlineStr">
        <is>
          <t>Initial</t>
        </is>
      </c>
    </row>
    <row r="420">
      <c r="A420" s="33" t="inlineStr">
        <is>
          <t>2026-05-18</t>
        </is>
      </c>
      <c r="B420" s="33" t="inlineStr">
        <is>
          <t>NRG</t>
        </is>
      </c>
      <c r="C420" s="33" t="inlineStr">
        <is>
          <t>R2</t>
        </is>
      </c>
      <c r="D420" s="33" t="n">
        <v>5</v>
      </c>
      <c r="E420" s="68" t="inlineStr">
        <is>
          <t>100% US.</t>
        </is>
      </c>
      <c r="F420" s="68" t="inlineStr">
        <is>
          <t>NRG FY26 + retail+gen Texas coverage (2026-05-18)</t>
        </is>
      </c>
      <c r="G420" s="33" t="inlineStr">
        <is>
          <t>High</t>
        </is>
      </c>
      <c r="H420" s="33" t="inlineStr">
        <is>
          <t>Initial</t>
        </is>
      </c>
    </row>
    <row r="421">
      <c r="A421" s="33" t="inlineStr">
        <is>
          <t>2026-05-18</t>
        </is>
      </c>
      <c r="B421" s="33" t="inlineStr">
        <is>
          <t>NRG</t>
        </is>
      </c>
      <c r="C421" s="33" t="inlineStr">
        <is>
          <t>R3</t>
        </is>
      </c>
      <c r="D421" s="33" t="n">
        <v>2</v>
      </c>
      <c r="E421" s="68" t="inlineStr">
        <is>
          <t>ND/EBITDA 10.3x — high.</t>
        </is>
      </c>
      <c r="F421" s="68" t="inlineStr">
        <is>
          <t>NRG FY26 + retail+gen Texas coverage (2026-05-18)</t>
        </is>
      </c>
      <c r="G421" s="33" t="inlineStr">
        <is>
          <t>High</t>
        </is>
      </c>
      <c r="H421" s="33" t="inlineStr">
        <is>
          <t>Initial</t>
        </is>
      </c>
    </row>
    <row r="422">
      <c r="A422" s="33" t="inlineStr">
        <is>
          <t>2026-05-18</t>
        </is>
      </c>
      <c r="B422" s="33" t="inlineStr">
        <is>
          <t>NRG</t>
        </is>
      </c>
      <c r="C422" s="33" t="inlineStr">
        <is>
          <t>R4</t>
        </is>
      </c>
      <c r="D422" s="33" t="n">
        <v>4</v>
      </c>
      <c r="E422" s="68" t="inlineStr">
        <is>
          <t>Routine.</t>
        </is>
      </c>
      <c r="F422" s="68" t="inlineStr">
        <is>
          <t>NRG FY26 + retail+gen Texas coverage (2026-05-18)</t>
        </is>
      </c>
      <c r="G422" s="33" t="inlineStr">
        <is>
          <t>High</t>
        </is>
      </c>
      <c r="H422" s="33" t="inlineStr">
        <is>
          <t>Initial</t>
        </is>
      </c>
    </row>
    <row r="423">
      <c r="A423" s="33" t="inlineStr">
        <is>
          <t>2026-05-18</t>
        </is>
      </c>
      <c r="B423" s="33" t="inlineStr">
        <is>
          <t>CCJ</t>
        </is>
      </c>
      <c r="C423" s="33" t="inlineStr">
        <is>
          <t>D1</t>
        </is>
      </c>
      <c r="D423" s="33" t="n">
        <v>3</v>
      </c>
      <c r="E423" s="68" t="inlineStr">
        <is>
          <t>Uranium mining indirect AI exposure via nuclear restarts + new build. Not direct AI revenue.</t>
        </is>
      </c>
      <c r="F423" s="68" t="inlineStr">
        <is>
          <t>Cameco FY26 + uranium leader + nuclear restart cycle coverage (2026-05-18)</t>
        </is>
      </c>
      <c r="G423" s="33" t="inlineStr">
        <is>
          <t>High</t>
        </is>
      </c>
      <c r="H423" s="33" t="inlineStr">
        <is>
          <t>Initial</t>
        </is>
      </c>
    </row>
    <row r="424">
      <c r="A424" s="33" t="inlineStr">
        <is>
          <t>2026-05-18</t>
        </is>
      </c>
      <c r="B424" s="33" t="inlineStr">
        <is>
          <t>CCJ</t>
        </is>
      </c>
      <c r="C424" s="33" t="inlineStr">
        <is>
          <t>D2</t>
        </is>
      </c>
      <c r="D424" s="33" t="n">
        <v>5</v>
      </c>
      <c r="E424" s="68" t="inlineStr">
        <is>
          <t>Largest US-traded uranium pure-play; supply position vs limited alternatives.</t>
        </is>
      </c>
      <c r="F424" s="68" t="inlineStr">
        <is>
          <t>Cameco FY26 + uranium leader + nuclear restart cycle coverage (2026-05-18)</t>
        </is>
      </c>
      <c r="G424" s="33" t="inlineStr">
        <is>
          <t>High</t>
        </is>
      </c>
      <c r="H424" s="33" t="inlineStr">
        <is>
          <t>Initial</t>
        </is>
      </c>
    </row>
    <row r="425">
      <c r="A425" s="33" t="inlineStr">
        <is>
          <t>2026-05-18</t>
        </is>
      </c>
      <c r="B425" s="33" t="inlineStr">
        <is>
          <t>CCJ</t>
        </is>
      </c>
      <c r="C425" s="33" t="inlineStr">
        <is>
          <t>D3</t>
        </is>
      </c>
      <c r="D425" s="33" t="n">
        <v>4</v>
      </c>
      <c r="E425" s="68" t="inlineStr">
        <is>
          <t>Mine licenses + scale + supply contracts.</t>
        </is>
      </c>
      <c r="F425" s="68" t="inlineStr">
        <is>
          <t>Cameco FY26 + uranium leader + nuclear restart cycle coverage (2026-05-18)</t>
        </is>
      </c>
      <c r="G425" s="33" t="inlineStr">
        <is>
          <t>High</t>
        </is>
      </c>
      <c r="H425" s="33" t="inlineStr">
        <is>
          <t>Initial</t>
        </is>
      </c>
    </row>
    <row r="426">
      <c r="A426" s="33" t="inlineStr">
        <is>
          <t>2026-05-18</t>
        </is>
      </c>
      <c r="B426" s="33" t="inlineStr">
        <is>
          <t>CCJ</t>
        </is>
      </c>
      <c r="C426" s="33" t="inlineStr">
        <is>
          <t>D4</t>
        </is>
      </c>
      <c r="D426" s="33" t="n">
        <v>4</v>
      </c>
      <c r="E426" s="68" t="inlineStr">
        <is>
          <t>Multi-year mine ramps.</t>
        </is>
      </c>
      <c r="F426" s="68" t="inlineStr">
        <is>
          <t>Cameco FY26 + uranium leader + nuclear restart cycle coverage (2026-05-18)</t>
        </is>
      </c>
      <c r="G426" s="33" t="inlineStr">
        <is>
          <t>High</t>
        </is>
      </c>
      <c r="H426" s="33" t="inlineStr">
        <is>
          <t>Initial</t>
        </is>
      </c>
    </row>
    <row r="427">
      <c r="A427" s="33" t="inlineStr">
        <is>
          <t>2026-05-18</t>
        </is>
      </c>
      <c r="B427" s="33" t="inlineStr">
        <is>
          <t>CCJ</t>
        </is>
      </c>
      <c r="C427" s="33" t="inlineStr">
        <is>
          <t>D5</t>
        </is>
      </c>
      <c r="D427" s="33" t="n">
        <v>2</v>
      </c>
      <c r="E427" s="68" t="inlineStr">
        <is>
          <t>Indirect — sells UF6 to utilities, not hyperscalers.</t>
        </is>
      </c>
      <c r="F427" s="68" t="inlineStr">
        <is>
          <t>Cameco FY26 + uranium leader + nuclear restart cycle coverage (2026-05-18)</t>
        </is>
      </c>
      <c r="G427" s="33" t="inlineStr">
        <is>
          <t>High</t>
        </is>
      </c>
      <c r="H427" s="33" t="inlineStr">
        <is>
          <t>Initial</t>
        </is>
      </c>
    </row>
    <row r="428">
      <c r="A428" s="33" t="inlineStr">
        <is>
          <t>2026-05-18</t>
        </is>
      </c>
      <c r="B428" s="33" t="inlineStr">
        <is>
          <t>CCJ</t>
        </is>
      </c>
      <c r="C428" s="33" t="inlineStr">
        <is>
          <t>M1</t>
        </is>
      </c>
      <c r="D428" s="33" t="n">
        <v>2</v>
      </c>
      <c r="E428" s="68" t="inlineStr">
        <is>
          <t>4 up / 7 down — NET NEGATIVE revisions. FY rev -16.5%.</t>
        </is>
      </c>
      <c r="F428" s="68" t="inlineStr">
        <is>
          <t>Cameco FY26 + uranium leader + nuclear restart cycle coverage (2026-05-18)</t>
        </is>
      </c>
      <c r="G428" s="33" t="inlineStr">
        <is>
          <t>High</t>
        </is>
      </c>
      <c r="H428" s="33" t="inlineStr">
        <is>
          <t>Initial</t>
        </is>
      </c>
    </row>
    <row r="429">
      <c r="A429" s="33" t="inlineStr">
        <is>
          <t>2026-05-18</t>
        </is>
      </c>
      <c r="B429" s="33" t="inlineStr">
        <is>
          <t>CCJ</t>
        </is>
      </c>
      <c r="C429" s="33" t="inlineStr">
        <is>
          <t>M2</t>
        </is>
      </c>
      <c r="D429" s="33" t="n">
        <v>2</v>
      </c>
      <c r="E429" s="68" t="inlineStr">
        <is>
          <t>+22% absolute but lagging XLE by 15pp.</t>
        </is>
      </c>
      <c r="F429" s="68" t="inlineStr">
        <is>
          <t>Cameco FY26 + uranium leader + nuclear restart cycle coverage (2026-05-18)</t>
        </is>
      </c>
      <c r="G429" s="33" t="inlineStr">
        <is>
          <t>High</t>
        </is>
      </c>
      <c r="H429" s="33" t="inlineStr">
        <is>
          <t>Initial</t>
        </is>
      </c>
    </row>
    <row r="430">
      <c r="A430" s="33" t="inlineStr">
        <is>
          <t>2026-05-18</t>
        </is>
      </c>
      <c r="B430" s="33" t="inlineStr">
        <is>
          <t>CCJ</t>
        </is>
      </c>
      <c r="C430" s="33" t="inlineStr">
        <is>
          <t>M3</t>
        </is>
      </c>
      <c r="D430" s="33" t="n">
        <v>3</v>
      </c>
      <c r="E430" s="68" t="inlineStr">
        <is>
          <t>Routine; default 3.</t>
        </is>
      </c>
      <c r="F430" s="68" t="inlineStr">
        <is>
          <t>Cameco FY26 + uranium leader + nuclear restart cycle coverage (2026-05-18)</t>
        </is>
      </c>
      <c r="G430" s="33" t="inlineStr">
        <is>
          <t>High</t>
        </is>
      </c>
      <c r="H430" s="33" t="inlineStr">
        <is>
          <t>Initial</t>
        </is>
      </c>
    </row>
    <row r="431">
      <c r="A431" s="33" t="inlineStr">
        <is>
          <t>2026-05-18</t>
        </is>
      </c>
      <c r="B431" s="33" t="inlineStr">
        <is>
          <t>CCJ</t>
        </is>
      </c>
      <c r="C431" s="33" t="inlineStr">
        <is>
          <t>R1</t>
        </is>
      </c>
      <c r="D431" s="33" t="n">
        <v>4</v>
      </c>
      <c r="E431" s="68" t="inlineStr">
        <is>
          <t>Diversified utility customers.</t>
        </is>
      </c>
      <c r="F431" s="68" t="inlineStr">
        <is>
          <t>Cameco FY26 + uranium leader + nuclear restart cycle coverage (2026-05-18)</t>
        </is>
      </c>
      <c r="G431" s="33" t="inlineStr">
        <is>
          <t>High</t>
        </is>
      </c>
      <c r="H431" s="33" t="inlineStr">
        <is>
          <t>Initial</t>
        </is>
      </c>
    </row>
    <row r="432">
      <c r="A432" s="33" t="inlineStr">
        <is>
          <t>2026-05-18</t>
        </is>
      </c>
      <c r="B432" s="33" t="inlineStr">
        <is>
          <t>CCJ</t>
        </is>
      </c>
      <c r="C432" s="33" t="inlineStr">
        <is>
          <t>R2</t>
        </is>
      </c>
      <c r="D432" s="33" t="n">
        <v>4</v>
      </c>
      <c r="E432" s="68" t="inlineStr">
        <is>
          <t>Canada-listed but US ADR; minimal political risk.</t>
        </is>
      </c>
      <c r="F432" s="68" t="inlineStr">
        <is>
          <t>Cameco FY26 + uranium leader + nuclear restart cycle coverage (2026-05-18)</t>
        </is>
      </c>
      <c r="G432" s="33" t="inlineStr">
        <is>
          <t>High</t>
        </is>
      </c>
      <c r="H432" s="33" t="inlineStr">
        <is>
          <t>Initial</t>
        </is>
      </c>
    </row>
    <row r="433">
      <c r="A433" s="33" t="inlineStr">
        <is>
          <t>2026-05-18</t>
        </is>
      </c>
      <c r="B433" s="33" t="inlineStr">
        <is>
          <t>CCJ</t>
        </is>
      </c>
      <c r="C433" s="33" t="inlineStr">
        <is>
          <t>R3</t>
        </is>
      </c>
      <c r="D433" s="33" t="n">
        <v>5</v>
      </c>
      <c r="E433" s="68" t="inlineStr">
        <is>
          <t>Net cash position.</t>
        </is>
      </c>
      <c r="F433" s="68" t="inlineStr">
        <is>
          <t>Cameco FY26 + uranium leader + nuclear restart cycle coverage (2026-05-18)</t>
        </is>
      </c>
      <c r="G433" s="33" t="inlineStr">
        <is>
          <t>High</t>
        </is>
      </c>
      <c r="H433" s="33" t="inlineStr">
        <is>
          <t>Initial</t>
        </is>
      </c>
    </row>
    <row r="434">
      <c r="A434" s="33" t="inlineStr">
        <is>
          <t>2026-05-18</t>
        </is>
      </c>
      <c r="B434" s="33" t="inlineStr">
        <is>
          <t>CCJ</t>
        </is>
      </c>
      <c r="C434" s="33" t="inlineStr">
        <is>
          <t>R4</t>
        </is>
      </c>
      <c r="D434" s="33" t="n">
        <v>4</v>
      </c>
      <c r="E434" s="68" t="inlineStr">
        <is>
          <t>Routine.</t>
        </is>
      </c>
      <c r="F434" s="68" t="inlineStr">
        <is>
          <t>Cameco FY26 + uranium leader + nuclear restart cycle coverage (2026-05-18)</t>
        </is>
      </c>
      <c r="G434" s="33" t="inlineStr">
        <is>
          <t>High</t>
        </is>
      </c>
      <c r="H434" s="33" t="inlineStr">
        <is>
          <t>Initial</t>
        </is>
      </c>
    </row>
    <row r="435">
      <c r="A435" s="33" t="inlineStr">
        <is>
          <t>2026-05-18</t>
        </is>
      </c>
      <c r="B435" s="33" t="inlineStr">
        <is>
          <t>UEC</t>
        </is>
      </c>
      <c r="C435" s="33" t="inlineStr">
        <is>
          <t>D1</t>
        </is>
      </c>
      <c r="D435" s="33" t="n">
        <v>2</v>
      </c>
      <c r="E435" s="68" t="inlineStr">
        <is>
          <t>US uranium development; minimal current revenue from AI cycle.</t>
        </is>
      </c>
      <c r="F435" s="68" t="inlineStr">
        <is>
          <t>Uranium Energy FY26 + US uranium development coverage (2026-05-18)</t>
        </is>
      </c>
      <c r="G435" s="33" t="inlineStr">
        <is>
          <t>High</t>
        </is>
      </c>
      <c r="H435" s="33" t="inlineStr">
        <is>
          <t>Initial</t>
        </is>
      </c>
    </row>
    <row r="436">
      <c r="A436" s="33" t="inlineStr">
        <is>
          <t>2026-05-18</t>
        </is>
      </c>
      <c r="B436" s="33" t="inlineStr">
        <is>
          <t>UEC</t>
        </is>
      </c>
      <c r="C436" s="33" t="inlineStr">
        <is>
          <t>D2</t>
        </is>
      </c>
      <c r="D436" s="33" t="n">
        <v>3</v>
      </c>
      <c r="E436" s="68" t="inlineStr">
        <is>
          <t>Smaller scale than CCJ.</t>
        </is>
      </c>
      <c r="F436" s="68" t="inlineStr">
        <is>
          <t>Uranium Energy FY26 + US uranium development coverage (2026-05-18)</t>
        </is>
      </c>
      <c r="G436" s="33" t="inlineStr">
        <is>
          <t>High</t>
        </is>
      </c>
      <c r="H436" s="33" t="inlineStr">
        <is>
          <t>Initial</t>
        </is>
      </c>
    </row>
    <row r="437">
      <c r="A437" s="33" t="inlineStr">
        <is>
          <t>2026-05-18</t>
        </is>
      </c>
      <c r="B437" s="33" t="inlineStr">
        <is>
          <t>UEC</t>
        </is>
      </c>
      <c r="C437" s="33" t="inlineStr">
        <is>
          <t>D3</t>
        </is>
      </c>
      <c r="D437" s="33" t="n">
        <v>3</v>
      </c>
      <c r="E437" s="68" t="inlineStr">
        <is>
          <t>Limited IP moat; commoditizable.</t>
        </is>
      </c>
      <c r="F437" s="68" t="inlineStr">
        <is>
          <t>Uranium Energy FY26 + US uranium development coverage (2026-05-18)</t>
        </is>
      </c>
      <c r="G437" s="33" t="inlineStr">
        <is>
          <t>High</t>
        </is>
      </c>
      <c r="H437" s="33" t="inlineStr">
        <is>
          <t>Initial</t>
        </is>
      </c>
    </row>
    <row r="438">
      <c r="A438" s="33" t="inlineStr">
        <is>
          <t>2026-05-18</t>
        </is>
      </c>
      <c r="B438" s="33" t="inlineStr">
        <is>
          <t>UEC</t>
        </is>
      </c>
      <c r="C438" s="33" t="inlineStr">
        <is>
          <t>D4</t>
        </is>
      </c>
      <c r="D438" s="33" t="n">
        <v>3</v>
      </c>
      <c r="E438" s="68" t="inlineStr">
        <is>
          <t>Capex but limited revenue base.</t>
        </is>
      </c>
      <c r="F438" s="68" t="inlineStr">
        <is>
          <t>Uranium Energy FY26 + US uranium development coverage (2026-05-18)</t>
        </is>
      </c>
      <c r="G438" s="33" t="inlineStr">
        <is>
          <t>High</t>
        </is>
      </c>
      <c r="H438" s="33" t="inlineStr">
        <is>
          <t>Initial</t>
        </is>
      </c>
    </row>
    <row r="439">
      <c r="A439" s="33" t="inlineStr">
        <is>
          <t>2026-05-18</t>
        </is>
      </c>
      <c r="B439" s="33" t="inlineStr">
        <is>
          <t>UEC</t>
        </is>
      </c>
      <c r="C439" s="33" t="inlineStr">
        <is>
          <t>D5</t>
        </is>
      </c>
      <c r="D439" s="33" t="n">
        <v>2</v>
      </c>
      <c r="E439" s="68" t="inlineStr">
        <is>
          <t>Indirect.</t>
        </is>
      </c>
      <c r="F439" s="68" t="inlineStr">
        <is>
          <t>Uranium Energy FY26 + US uranium development coverage (2026-05-18)</t>
        </is>
      </c>
      <c r="G439" s="33" t="inlineStr">
        <is>
          <t>High</t>
        </is>
      </c>
      <c r="H439" s="33" t="inlineStr">
        <is>
          <t>Initial</t>
        </is>
      </c>
    </row>
    <row r="440">
      <c r="A440" s="33" t="inlineStr">
        <is>
          <t>2026-05-18</t>
        </is>
      </c>
      <c r="B440" s="33" t="inlineStr">
        <is>
          <t>UEC</t>
        </is>
      </c>
      <c r="C440" s="33" t="inlineStr">
        <is>
          <t>M1</t>
        </is>
      </c>
      <c r="D440" s="33" t="n">
        <v>2</v>
      </c>
      <c r="E440" s="68" t="inlineStr">
        <is>
          <t>0/2 — negative.</t>
        </is>
      </c>
      <c r="F440" s="68" t="inlineStr">
        <is>
          <t>Uranium Energy FY26 + US uranium development coverage (2026-05-18)</t>
        </is>
      </c>
      <c r="G440" s="33" t="inlineStr">
        <is>
          <t>High</t>
        </is>
      </c>
      <c r="H440" s="33" t="inlineStr">
        <is>
          <t>Initial</t>
        </is>
      </c>
    </row>
    <row r="441">
      <c r="A441" s="33" t="inlineStr">
        <is>
          <t>2026-05-18</t>
        </is>
      </c>
      <c r="B441" s="33" t="inlineStr">
        <is>
          <t>UEC</t>
        </is>
      </c>
      <c r="C441" s="33" t="inlineStr">
        <is>
          <t>M2</t>
        </is>
      </c>
      <c r="D441" s="33" t="n">
        <v>1</v>
      </c>
      <c r="E441" s="68" t="inlineStr">
        <is>
          <t>+9.9% absolute but lagging XLE by 26.8pp.</t>
        </is>
      </c>
      <c r="F441" s="68" t="inlineStr">
        <is>
          <t>Uranium Energy FY26 + US uranium development coverage (2026-05-18)</t>
        </is>
      </c>
      <c r="G441" s="33" t="inlineStr">
        <is>
          <t>High</t>
        </is>
      </c>
      <c r="H441" s="33" t="inlineStr">
        <is>
          <t>Initial</t>
        </is>
      </c>
    </row>
    <row r="442">
      <c r="A442" s="33" t="inlineStr">
        <is>
          <t>2026-05-18</t>
        </is>
      </c>
      <c r="B442" s="33" t="inlineStr">
        <is>
          <t>UEC</t>
        </is>
      </c>
      <c r="C442" s="33" t="inlineStr">
        <is>
          <t>M3</t>
        </is>
      </c>
      <c r="D442" s="33" t="n">
        <v>3</v>
      </c>
      <c r="E442" s="68" t="inlineStr">
        <is>
          <t>Routine; default 3.</t>
        </is>
      </c>
      <c r="F442" s="68" t="inlineStr">
        <is>
          <t>Uranium Energy FY26 + US uranium development coverage (2026-05-18)</t>
        </is>
      </c>
      <c r="G442" s="33" t="inlineStr">
        <is>
          <t>High</t>
        </is>
      </c>
      <c r="H442" s="33" t="inlineStr">
        <is>
          <t>Initial</t>
        </is>
      </c>
    </row>
    <row r="443">
      <c r="A443" s="33" t="inlineStr">
        <is>
          <t>2026-05-18</t>
        </is>
      </c>
      <c r="B443" s="33" t="inlineStr">
        <is>
          <t>UEC</t>
        </is>
      </c>
      <c r="C443" s="33" t="inlineStr">
        <is>
          <t>R1</t>
        </is>
      </c>
      <c r="D443" s="33" t="n">
        <v>3</v>
      </c>
      <c r="E443" s="68" t="inlineStr">
        <is>
          <t>Limited revenue base.</t>
        </is>
      </c>
      <c r="F443" s="68" t="inlineStr">
        <is>
          <t>Uranium Energy FY26 + US uranium development coverage (2026-05-18)</t>
        </is>
      </c>
      <c r="G443" s="33" t="inlineStr">
        <is>
          <t>High</t>
        </is>
      </c>
      <c r="H443" s="33" t="inlineStr">
        <is>
          <t>Initial</t>
        </is>
      </c>
    </row>
    <row r="444">
      <c r="A444" s="33" t="inlineStr">
        <is>
          <t>2026-05-18</t>
        </is>
      </c>
      <c r="B444" s="33" t="inlineStr">
        <is>
          <t>UEC</t>
        </is>
      </c>
      <c r="C444" s="33" t="inlineStr">
        <is>
          <t>R2</t>
        </is>
      </c>
      <c r="D444" s="33" t="n">
        <v>5</v>
      </c>
      <c r="E444" s="68" t="inlineStr">
        <is>
          <t>US.</t>
        </is>
      </c>
      <c r="F444" s="68" t="inlineStr">
        <is>
          <t>Uranium Energy FY26 + US uranium development coverage (2026-05-18)</t>
        </is>
      </c>
      <c r="G444" s="33" t="inlineStr">
        <is>
          <t>High</t>
        </is>
      </c>
      <c r="H444" s="33" t="inlineStr">
        <is>
          <t>Initial</t>
        </is>
      </c>
    </row>
    <row r="445">
      <c r="A445" s="33" t="inlineStr">
        <is>
          <t>2026-05-18</t>
        </is>
      </c>
      <c r="B445" s="33" t="inlineStr">
        <is>
          <t>UEC</t>
        </is>
      </c>
      <c r="C445" s="33" t="inlineStr">
        <is>
          <t>R3</t>
        </is>
      </c>
      <c r="D445" s="33" t="n">
        <v>4</v>
      </c>
      <c r="E445" s="68" t="inlineStr">
        <is>
          <t>Cash-burning; needs uranium price for FCF.</t>
        </is>
      </c>
      <c r="F445" s="68" t="inlineStr">
        <is>
          <t>Uranium Energy FY26 + US uranium development coverage (2026-05-18)</t>
        </is>
      </c>
      <c r="G445" s="33" t="inlineStr">
        <is>
          <t>High</t>
        </is>
      </c>
      <c r="H445" s="33" t="inlineStr">
        <is>
          <t>Initial</t>
        </is>
      </c>
    </row>
    <row r="446">
      <c r="A446" s="33" t="inlineStr">
        <is>
          <t>2026-05-18</t>
        </is>
      </c>
      <c r="B446" s="33" t="inlineStr">
        <is>
          <t>UEC</t>
        </is>
      </c>
      <c r="C446" s="33" t="inlineStr">
        <is>
          <t>R4</t>
        </is>
      </c>
      <c r="D446" s="33" t="n">
        <v>4</v>
      </c>
      <c r="E446" s="68" t="inlineStr">
        <is>
          <t>Routine.</t>
        </is>
      </c>
      <c r="F446" s="68" t="inlineStr">
        <is>
          <t>Uranium Energy FY26 + US uranium development coverage (2026-05-18)</t>
        </is>
      </c>
      <c r="G446" s="33" t="inlineStr">
        <is>
          <t>High</t>
        </is>
      </c>
      <c r="H446" s="33" t="inlineStr">
        <is>
          <t>Initial</t>
        </is>
      </c>
    </row>
    <row r="447">
      <c r="A447" s="33" t="inlineStr">
        <is>
          <t>2026-05-18</t>
        </is>
      </c>
      <c r="B447" s="33" t="inlineStr">
        <is>
          <t>LEU</t>
        </is>
      </c>
      <c r="C447" s="33" t="inlineStr">
        <is>
          <t>D1</t>
        </is>
      </c>
      <c r="D447" s="33" t="n">
        <v>3</v>
      </c>
      <c r="E447" s="68" t="inlineStr">
        <is>
          <t>HALEU enrichment for SMRs — speculative AI-adjacent revenue.</t>
        </is>
      </c>
      <c r="F447" s="68" t="inlineStr">
        <is>
          <t>Centrus Energy + HALEU enrichment for SMRs coverage (2026-05-18)</t>
        </is>
      </c>
      <c r="G447" s="33" t="inlineStr">
        <is>
          <t>High</t>
        </is>
      </c>
      <c r="H447" s="33" t="inlineStr">
        <is>
          <t>Initial</t>
        </is>
      </c>
    </row>
    <row r="448">
      <c r="A448" s="33" t="inlineStr">
        <is>
          <t>2026-05-18</t>
        </is>
      </c>
      <c r="B448" s="33" t="inlineStr">
        <is>
          <t>LEU</t>
        </is>
      </c>
      <c r="C448" s="33" t="inlineStr">
        <is>
          <t>D2</t>
        </is>
      </c>
      <c r="D448" s="33" t="n">
        <v>5</v>
      </c>
      <c r="E448" s="68" t="inlineStr">
        <is>
          <t>Unique HALEU position; limited US competitors.</t>
        </is>
      </c>
      <c r="F448" s="68" t="inlineStr">
        <is>
          <t>Centrus Energy + HALEU enrichment for SMRs coverage (2026-05-18)</t>
        </is>
      </c>
      <c r="G448" s="33" t="inlineStr">
        <is>
          <t>High</t>
        </is>
      </c>
      <c r="H448" s="33" t="inlineStr">
        <is>
          <t>Initial</t>
        </is>
      </c>
    </row>
    <row r="449">
      <c r="A449" s="33" t="inlineStr">
        <is>
          <t>2026-05-18</t>
        </is>
      </c>
      <c r="B449" s="33" t="inlineStr">
        <is>
          <t>LEU</t>
        </is>
      </c>
      <c r="C449" s="33" t="inlineStr">
        <is>
          <t>D3</t>
        </is>
      </c>
      <c r="D449" s="33" t="n">
        <v>4</v>
      </c>
      <c r="E449" s="68" t="inlineStr">
        <is>
          <t>Regulatory IP + enrichment technology.</t>
        </is>
      </c>
      <c r="F449" s="68" t="inlineStr">
        <is>
          <t>Centrus Energy + HALEU enrichment for SMRs coverage (2026-05-18)</t>
        </is>
      </c>
      <c r="G449" s="33" t="inlineStr">
        <is>
          <t>High</t>
        </is>
      </c>
      <c r="H449" s="33" t="inlineStr">
        <is>
          <t>Initial</t>
        </is>
      </c>
    </row>
    <row r="450">
      <c r="A450" s="33" t="inlineStr">
        <is>
          <t>2026-05-18</t>
        </is>
      </c>
      <c r="B450" s="33" t="inlineStr">
        <is>
          <t>LEU</t>
        </is>
      </c>
      <c r="C450" s="33" t="inlineStr">
        <is>
          <t>D4</t>
        </is>
      </c>
      <c r="D450" s="33" t="n">
        <v>4</v>
      </c>
      <c r="E450" s="68" t="inlineStr">
        <is>
          <t>Capacity expansion plans contingent on SMR rollout.</t>
        </is>
      </c>
      <c r="F450" s="68" t="inlineStr">
        <is>
          <t>Centrus Energy + HALEU enrichment for SMRs coverage (2026-05-18)</t>
        </is>
      </c>
      <c r="G450" s="33" t="inlineStr">
        <is>
          <t>High</t>
        </is>
      </c>
      <c r="H450" s="33" t="inlineStr">
        <is>
          <t>Initial</t>
        </is>
      </c>
    </row>
    <row r="451">
      <c r="A451" s="33" t="inlineStr">
        <is>
          <t>2026-05-18</t>
        </is>
      </c>
      <c r="B451" s="33" t="inlineStr">
        <is>
          <t>LEU</t>
        </is>
      </c>
      <c r="C451" s="33" t="inlineStr">
        <is>
          <t>D5</t>
        </is>
      </c>
      <c r="D451" s="33" t="n">
        <v>3</v>
      </c>
      <c r="E451" s="68" t="inlineStr">
        <is>
          <t>Indirect — sells to SMR developers.</t>
        </is>
      </c>
      <c r="F451" s="68" t="inlineStr">
        <is>
          <t>Centrus Energy + HALEU enrichment for SMRs coverage (2026-05-18)</t>
        </is>
      </c>
      <c r="G451" s="33" t="inlineStr">
        <is>
          <t>High</t>
        </is>
      </c>
      <c r="H451" s="33" t="inlineStr">
        <is>
          <t>Initial</t>
        </is>
      </c>
    </row>
    <row r="452">
      <c r="A452" s="33" t="inlineStr">
        <is>
          <t>2026-05-18</t>
        </is>
      </c>
      <c r="B452" s="33" t="inlineStr">
        <is>
          <t>LEU</t>
        </is>
      </c>
      <c r="C452" s="33" t="inlineStr">
        <is>
          <t>M1</t>
        </is>
      </c>
      <c r="D452" s="33" t="n">
        <v>3</v>
      </c>
      <c r="E452" s="68" t="inlineStr">
        <is>
          <t>0/1 — neutral-negative.</t>
        </is>
      </c>
      <c r="F452" s="68" t="inlineStr">
        <is>
          <t>Centrus Energy + HALEU enrichment for SMRs coverage (2026-05-18)</t>
        </is>
      </c>
      <c r="G452" s="33" t="inlineStr">
        <is>
          <t>High</t>
        </is>
      </c>
      <c r="H452" s="33" t="inlineStr">
        <is>
          <t>Initial</t>
        </is>
      </c>
    </row>
    <row r="453">
      <c r="A453" s="33" t="inlineStr">
        <is>
          <t>2026-05-18</t>
        </is>
      </c>
      <c r="B453" s="33" t="inlineStr">
        <is>
          <t>LEU</t>
        </is>
      </c>
      <c r="C453" s="33" t="inlineStr">
        <is>
          <t>M2</t>
        </is>
      </c>
      <c r="D453" s="33" t="n">
        <v>1</v>
      </c>
      <c r="E453" s="68" t="inlineStr">
        <is>
          <t>-34.5% absolute, -71pp vs XLE — heavy lag.</t>
        </is>
      </c>
      <c r="F453" s="68" t="inlineStr">
        <is>
          <t>Centrus Energy + HALEU enrichment for SMRs coverage (2026-05-18)</t>
        </is>
      </c>
      <c r="G453" s="33" t="inlineStr">
        <is>
          <t>High</t>
        </is>
      </c>
      <c r="H453" s="33" t="inlineStr">
        <is>
          <t>Initial</t>
        </is>
      </c>
    </row>
    <row r="454">
      <c r="A454" s="33" t="inlineStr">
        <is>
          <t>2026-05-18</t>
        </is>
      </c>
      <c r="B454" s="33" t="inlineStr">
        <is>
          <t>LEU</t>
        </is>
      </c>
      <c r="C454" s="33" t="inlineStr">
        <is>
          <t>M3</t>
        </is>
      </c>
      <c r="D454" s="33" t="n">
        <v>3</v>
      </c>
      <c r="E454" s="68" t="inlineStr">
        <is>
          <t>Routine; default 3.</t>
        </is>
      </c>
      <c r="F454" s="68" t="inlineStr">
        <is>
          <t>Centrus Energy + HALEU enrichment for SMRs coverage (2026-05-18)</t>
        </is>
      </c>
      <c r="G454" s="33" t="inlineStr">
        <is>
          <t>High</t>
        </is>
      </c>
      <c r="H454" s="33" t="inlineStr">
        <is>
          <t>Initial</t>
        </is>
      </c>
    </row>
    <row r="455">
      <c r="A455" s="33" t="inlineStr">
        <is>
          <t>2026-05-18</t>
        </is>
      </c>
      <c r="B455" s="33" t="inlineStr">
        <is>
          <t>LEU</t>
        </is>
      </c>
      <c r="C455" s="33" t="inlineStr">
        <is>
          <t>R1</t>
        </is>
      </c>
      <c r="D455" s="33" t="n">
        <v>3</v>
      </c>
      <c r="E455" s="68" t="inlineStr">
        <is>
          <t>Limited customers.</t>
        </is>
      </c>
      <c r="F455" s="68" t="inlineStr">
        <is>
          <t>Centrus Energy + HALEU enrichment for SMRs coverage (2026-05-18)</t>
        </is>
      </c>
      <c r="G455" s="33" t="inlineStr">
        <is>
          <t>High</t>
        </is>
      </c>
      <c r="H455" s="33" t="inlineStr">
        <is>
          <t>Initial</t>
        </is>
      </c>
    </row>
    <row r="456">
      <c r="A456" s="33" t="inlineStr">
        <is>
          <t>2026-05-18</t>
        </is>
      </c>
      <c r="B456" s="33" t="inlineStr">
        <is>
          <t>LEU</t>
        </is>
      </c>
      <c r="C456" s="33" t="inlineStr">
        <is>
          <t>R2</t>
        </is>
      </c>
      <c r="D456" s="33" t="n">
        <v>5</v>
      </c>
      <c r="E456" s="68" t="inlineStr">
        <is>
          <t>US.</t>
        </is>
      </c>
      <c r="F456" s="68" t="inlineStr">
        <is>
          <t>Centrus Energy + HALEU enrichment for SMRs coverage (2026-05-18)</t>
        </is>
      </c>
      <c r="G456" s="33" t="inlineStr">
        <is>
          <t>High</t>
        </is>
      </c>
      <c r="H456" s="33" t="inlineStr">
        <is>
          <t>Initial</t>
        </is>
      </c>
    </row>
    <row r="457">
      <c r="A457" s="33" t="inlineStr">
        <is>
          <t>2026-05-18</t>
        </is>
      </c>
      <c r="B457" s="33" t="inlineStr">
        <is>
          <t>LEU</t>
        </is>
      </c>
      <c r="C457" s="33" t="inlineStr">
        <is>
          <t>R3</t>
        </is>
      </c>
      <c r="D457" s="33" t="n">
        <v>3</v>
      </c>
      <c r="E457" s="68" t="inlineStr">
        <is>
          <t>Marginal cash flow.</t>
        </is>
      </c>
      <c r="F457" s="68" t="inlineStr">
        <is>
          <t>Centrus Energy + HALEU enrichment for SMRs coverage (2026-05-18)</t>
        </is>
      </c>
      <c r="G457" s="33" t="inlineStr">
        <is>
          <t>High</t>
        </is>
      </c>
      <c r="H457" s="33" t="inlineStr">
        <is>
          <t>Initial</t>
        </is>
      </c>
    </row>
    <row r="458">
      <c r="A458" s="33" t="inlineStr">
        <is>
          <t>2026-05-18</t>
        </is>
      </c>
      <c r="B458" s="33" t="inlineStr">
        <is>
          <t>LEU</t>
        </is>
      </c>
      <c r="C458" s="33" t="inlineStr">
        <is>
          <t>R4</t>
        </is>
      </c>
      <c r="D458" s="33" t="n">
        <v>4</v>
      </c>
      <c r="E458" s="68" t="inlineStr">
        <is>
          <t>Routine.</t>
        </is>
      </c>
      <c r="F458" s="68" t="inlineStr">
        <is>
          <t>Centrus Energy + HALEU enrichment for SMRs coverage (2026-05-18)</t>
        </is>
      </c>
      <c r="G458" s="33" t="inlineStr">
        <is>
          <t>High</t>
        </is>
      </c>
      <c r="H458" s="33" t="inlineStr">
        <is>
          <t>Initial</t>
        </is>
      </c>
    </row>
    <row r="459">
      <c r="A459" s="33" t="inlineStr">
        <is>
          <t>2026-05-18</t>
        </is>
      </c>
      <c r="B459" s="33" t="inlineStr">
        <is>
          <t>BWXT</t>
        </is>
      </c>
      <c r="C459" s="33" t="inlineStr">
        <is>
          <t>D1</t>
        </is>
      </c>
      <c r="D459" s="33" t="n">
        <v>2</v>
      </c>
      <c r="E459" s="68" t="inlineStr">
        <is>
          <t>Naval reactors + nuclear components. Indirect AI exposure via SMR component fabrication.</t>
        </is>
      </c>
      <c r="F459" s="68" t="inlineStr">
        <is>
          <t>BWX Tech + naval reactors + nuclear components coverage (2026-05-18)</t>
        </is>
      </c>
      <c r="G459" s="33" t="inlineStr">
        <is>
          <t>High</t>
        </is>
      </c>
      <c r="H459" s="33" t="inlineStr">
        <is>
          <t>Initial</t>
        </is>
      </c>
    </row>
    <row r="460">
      <c r="A460" s="33" t="inlineStr">
        <is>
          <t>2026-05-18</t>
        </is>
      </c>
      <c r="B460" s="33" t="inlineStr">
        <is>
          <t>BWXT</t>
        </is>
      </c>
      <c r="C460" s="33" t="inlineStr">
        <is>
          <t>D2</t>
        </is>
      </c>
      <c r="D460" s="33" t="n">
        <v>4</v>
      </c>
      <c r="E460" s="68" t="inlineStr">
        <is>
          <t>Specialized nuclear component manufacturer.</t>
        </is>
      </c>
      <c r="F460" s="68" t="inlineStr">
        <is>
          <t>BWX Tech + naval reactors + nuclear components coverage (2026-05-18)</t>
        </is>
      </c>
      <c r="G460" s="33" t="inlineStr">
        <is>
          <t>High</t>
        </is>
      </c>
      <c r="H460" s="33" t="inlineStr">
        <is>
          <t>Initial</t>
        </is>
      </c>
    </row>
    <row r="461">
      <c r="A461" s="33" t="inlineStr">
        <is>
          <t>2026-05-18</t>
        </is>
      </c>
      <c r="B461" s="33" t="inlineStr">
        <is>
          <t>BWXT</t>
        </is>
      </c>
      <c r="C461" s="33" t="inlineStr">
        <is>
          <t>D3</t>
        </is>
      </c>
      <c r="D461" s="33" t="n">
        <v>4</v>
      </c>
      <c r="E461" s="68" t="inlineStr">
        <is>
          <t>Naval reactor monopoly position + nuclear IP.</t>
        </is>
      </c>
      <c r="F461" s="68" t="inlineStr">
        <is>
          <t>BWX Tech + naval reactors + nuclear components coverage (2026-05-18)</t>
        </is>
      </c>
      <c r="G461" s="33" t="inlineStr">
        <is>
          <t>High</t>
        </is>
      </c>
      <c r="H461" s="33" t="inlineStr">
        <is>
          <t>Initial</t>
        </is>
      </c>
    </row>
    <row r="462">
      <c r="A462" s="33" t="inlineStr">
        <is>
          <t>2026-05-18</t>
        </is>
      </c>
      <c r="B462" s="33" t="inlineStr">
        <is>
          <t>BWXT</t>
        </is>
      </c>
      <c r="C462" s="33" t="inlineStr">
        <is>
          <t>D4</t>
        </is>
      </c>
      <c r="D462" s="33" t="n">
        <v>4</v>
      </c>
      <c r="E462" s="68" t="inlineStr">
        <is>
          <t>SMR + naval ramp.</t>
        </is>
      </c>
      <c r="F462" s="68" t="inlineStr">
        <is>
          <t>BWX Tech + naval reactors + nuclear components coverage (2026-05-18)</t>
        </is>
      </c>
      <c r="G462" s="33" t="inlineStr">
        <is>
          <t>High</t>
        </is>
      </c>
      <c r="H462" s="33" t="inlineStr">
        <is>
          <t>Initial</t>
        </is>
      </c>
    </row>
    <row r="463">
      <c r="A463" s="33" t="inlineStr">
        <is>
          <t>2026-05-18</t>
        </is>
      </c>
      <c r="B463" s="33" t="inlineStr">
        <is>
          <t>BWXT</t>
        </is>
      </c>
      <c r="C463" s="33" t="inlineStr">
        <is>
          <t>D5</t>
        </is>
      </c>
      <c r="D463" s="33" t="n">
        <v>2</v>
      </c>
      <c r="E463" s="68" t="inlineStr">
        <is>
          <t>Indirect.</t>
        </is>
      </c>
      <c r="F463" s="68" t="inlineStr">
        <is>
          <t>BWX Tech + naval reactors + nuclear components coverage (2026-05-18)</t>
        </is>
      </c>
      <c r="G463" s="33" t="inlineStr">
        <is>
          <t>High</t>
        </is>
      </c>
      <c r="H463" s="33" t="inlineStr">
        <is>
          <t>Initial</t>
        </is>
      </c>
    </row>
    <row r="464">
      <c r="A464" s="33" t="inlineStr">
        <is>
          <t>2026-05-18</t>
        </is>
      </c>
      <c r="B464" s="33" t="inlineStr">
        <is>
          <t>BWXT</t>
        </is>
      </c>
      <c r="C464" s="33" t="inlineStr">
        <is>
          <t>M1</t>
        </is>
      </c>
      <c r="D464" s="33" t="n">
        <v>4</v>
      </c>
      <c r="E464" s="68" t="inlineStr">
        <is>
          <t>5/2 — net positive.</t>
        </is>
      </c>
      <c r="F464" s="68" t="inlineStr">
        <is>
          <t>BWX Tech + naval reactors + nuclear components coverage (2026-05-18)</t>
        </is>
      </c>
      <c r="G464" s="33" t="inlineStr">
        <is>
          <t>High</t>
        </is>
      </c>
      <c r="H464" s="33" t="inlineStr">
        <is>
          <t>Initial</t>
        </is>
      </c>
    </row>
    <row r="465">
      <c r="A465" s="33" t="inlineStr">
        <is>
          <t>2026-05-18</t>
        </is>
      </c>
      <c r="B465" s="33" t="inlineStr">
        <is>
          <t>BWXT</t>
        </is>
      </c>
      <c r="C465" s="33" t="inlineStr">
        <is>
          <t>M2</t>
        </is>
      </c>
      <c r="D465" s="33" t="n">
        <v>3</v>
      </c>
      <c r="E465" s="68" t="inlineStr">
        <is>
          <t>+13% absolute, in-line XLI.</t>
        </is>
      </c>
      <c r="F465" s="68" t="inlineStr">
        <is>
          <t>BWX Tech + naval reactors + nuclear components coverage (2026-05-18)</t>
        </is>
      </c>
      <c r="G465" s="33" t="inlineStr">
        <is>
          <t>High</t>
        </is>
      </c>
      <c r="H465" s="33" t="inlineStr">
        <is>
          <t>Initial</t>
        </is>
      </c>
    </row>
    <row r="466">
      <c r="A466" s="33" t="inlineStr">
        <is>
          <t>2026-05-18</t>
        </is>
      </c>
      <c r="B466" s="33" t="inlineStr">
        <is>
          <t>BWXT</t>
        </is>
      </c>
      <c r="C466" s="33" t="inlineStr">
        <is>
          <t>M3</t>
        </is>
      </c>
      <c r="D466" s="33" t="n">
        <v>3</v>
      </c>
      <c r="E466" s="68" t="inlineStr">
        <is>
          <t>Routine; default 3.</t>
        </is>
      </c>
      <c r="F466" s="68" t="inlineStr">
        <is>
          <t>BWX Tech + naval reactors + nuclear components coverage (2026-05-18)</t>
        </is>
      </c>
      <c r="G466" s="33" t="inlineStr">
        <is>
          <t>High</t>
        </is>
      </c>
      <c r="H466" s="33" t="inlineStr">
        <is>
          <t>Initial</t>
        </is>
      </c>
    </row>
    <row r="467">
      <c r="A467" s="33" t="inlineStr">
        <is>
          <t>2026-05-18</t>
        </is>
      </c>
      <c r="B467" s="33" t="inlineStr">
        <is>
          <t>BWXT</t>
        </is>
      </c>
      <c r="C467" s="33" t="inlineStr">
        <is>
          <t>R1</t>
        </is>
      </c>
      <c r="D467" s="33" t="n">
        <v>4</v>
      </c>
      <c r="E467" s="68" t="inlineStr">
        <is>
          <t>Concentrated government customer + utility customers.</t>
        </is>
      </c>
      <c r="F467" s="68" t="inlineStr">
        <is>
          <t>BWX Tech + naval reactors + nuclear components coverage (2026-05-18)</t>
        </is>
      </c>
      <c r="G467" s="33" t="inlineStr">
        <is>
          <t>High</t>
        </is>
      </c>
      <c r="H467" s="33" t="inlineStr">
        <is>
          <t>Initial</t>
        </is>
      </c>
    </row>
    <row r="468">
      <c r="A468" s="33" t="inlineStr">
        <is>
          <t>2026-05-18</t>
        </is>
      </c>
      <c r="B468" s="33" t="inlineStr">
        <is>
          <t>BWXT</t>
        </is>
      </c>
      <c r="C468" s="33" t="inlineStr">
        <is>
          <t>R2</t>
        </is>
      </c>
      <c r="D468" s="33" t="n">
        <v>5</v>
      </c>
      <c r="E468" s="68" t="inlineStr">
        <is>
          <t>US-only.</t>
        </is>
      </c>
      <c r="F468" s="68" t="inlineStr">
        <is>
          <t>BWX Tech + naval reactors + nuclear components coverage (2026-05-18)</t>
        </is>
      </c>
      <c r="G468" s="33" t="inlineStr">
        <is>
          <t>High</t>
        </is>
      </c>
      <c r="H468" s="33" t="inlineStr">
        <is>
          <t>Initial</t>
        </is>
      </c>
    </row>
    <row r="469">
      <c r="A469" s="33" t="inlineStr">
        <is>
          <t>2026-05-18</t>
        </is>
      </c>
      <c r="B469" s="33" t="inlineStr">
        <is>
          <t>BWXT</t>
        </is>
      </c>
      <c r="C469" s="33" t="inlineStr">
        <is>
          <t>R3</t>
        </is>
      </c>
      <c r="D469" s="33" t="n">
        <v>4</v>
      </c>
      <c r="E469" s="68" t="inlineStr">
        <is>
          <t>Solid balance sheet.</t>
        </is>
      </c>
      <c r="F469" s="68" t="inlineStr">
        <is>
          <t>BWX Tech + naval reactors + nuclear components coverage (2026-05-18)</t>
        </is>
      </c>
      <c r="G469" s="33" t="inlineStr">
        <is>
          <t>High</t>
        </is>
      </c>
      <c r="H469" s="33" t="inlineStr">
        <is>
          <t>Initial</t>
        </is>
      </c>
    </row>
    <row r="470">
      <c r="A470" s="33" t="inlineStr">
        <is>
          <t>2026-05-18</t>
        </is>
      </c>
      <c r="B470" s="33" t="inlineStr">
        <is>
          <t>BWXT</t>
        </is>
      </c>
      <c r="C470" s="33" t="inlineStr">
        <is>
          <t>R4</t>
        </is>
      </c>
      <c r="D470" s="33" t="n">
        <v>4</v>
      </c>
      <c r="E470" s="68" t="inlineStr">
        <is>
          <t>Routine.</t>
        </is>
      </c>
      <c r="F470" s="68" t="inlineStr">
        <is>
          <t>BWX Tech + naval reactors + nuclear components coverage (2026-05-18)</t>
        </is>
      </c>
      <c r="G470" s="33" t="inlineStr">
        <is>
          <t>High</t>
        </is>
      </c>
      <c r="H470" s="33" t="inlineStr">
        <is>
          <t>Initial</t>
        </is>
      </c>
    </row>
    <row r="471">
      <c r="A471" s="33" t="inlineStr">
        <is>
          <t>2026-05-18</t>
        </is>
      </c>
      <c r="B471" s="33" t="inlineStr">
        <is>
          <t>SMR</t>
        </is>
      </c>
      <c r="C471" s="33" t="inlineStr">
        <is>
          <t>D1</t>
        </is>
      </c>
      <c r="D471" s="33" t="n">
        <v>3</v>
      </c>
      <c r="E471" s="68" t="inlineStr">
        <is>
          <t>NuScale SMR pre-commercial; design-stage AI exposure aspirational.</t>
        </is>
      </c>
      <c r="F471" s="68" t="inlineStr">
        <is>
          <t>NuScale FY26 + SMR commercialization timeline coverage (2026-05-18)</t>
        </is>
      </c>
      <c r="G471" s="33" t="inlineStr">
        <is>
          <t>High</t>
        </is>
      </c>
      <c r="H471" s="33" t="inlineStr">
        <is>
          <t>Initial</t>
        </is>
      </c>
    </row>
    <row r="472">
      <c r="A472" s="33" t="inlineStr">
        <is>
          <t>2026-05-18</t>
        </is>
      </c>
      <c r="B472" s="33" t="inlineStr">
        <is>
          <t>SMR</t>
        </is>
      </c>
      <c r="C472" s="33" t="inlineStr">
        <is>
          <t>D2</t>
        </is>
      </c>
      <c r="D472" s="33" t="n">
        <v>2</v>
      </c>
      <c r="E472" s="68" t="inlineStr">
        <is>
          <t>Pre-commercial; faces TerraPower, X-energy, Oklo etc.</t>
        </is>
      </c>
      <c r="F472" s="68" t="inlineStr">
        <is>
          <t>NuScale FY26 + SMR commercialization timeline coverage (2026-05-18)</t>
        </is>
      </c>
      <c r="G472" s="33" t="inlineStr">
        <is>
          <t>High</t>
        </is>
      </c>
      <c r="H472" s="33" t="inlineStr">
        <is>
          <t>Initial</t>
        </is>
      </c>
    </row>
    <row r="473">
      <c r="A473" s="33" t="inlineStr">
        <is>
          <t>2026-05-18</t>
        </is>
      </c>
      <c r="B473" s="33" t="inlineStr">
        <is>
          <t>SMR</t>
        </is>
      </c>
      <c r="C473" s="33" t="inlineStr">
        <is>
          <t>D3</t>
        </is>
      </c>
      <c r="D473" s="33" t="n">
        <v>2</v>
      </c>
      <c r="E473" s="68" t="inlineStr">
        <is>
          <t>Design IP but no commercial moat yet.</t>
        </is>
      </c>
      <c r="F473" s="68" t="inlineStr">
        <is>
          <t>NuScale FY26 + SMR commercialization timeline coverage (2026-05-18)</t>
        </is>
      </c>
      <c r="G473" s="33" t="inlineStr">
        <is>
          <t>High</t>
        </is>
      </c>
      <c r="H473" s="33" t="inlineStr">
        <is>
          <t>Initial</t>
        </is>
      </c>
    </row>
    <row r="474">
      <c r="A474" s="33" t="inlineStr">
        <is>
          <t>2026-05-18</t>
        </is>
      </c>
      <c r="B474" s="33" t="inlineStr">
        <is>
          <t>SMR</t>
        </is>
      </c>
      <c r="C474" s="33" t="inlineStr">
        <is>
          <t>D4</t>
        </is>
      </c>
      <c r="D474" s="33" t="n">
        <v>3</v>
      </c>
      <c r="E474" s="68" t="inlineStr">
        <is>
          <t>Capex phase without revenue ramp.</t>
        </is>
      </c>
      <c r="F474" s="68" t="inlineStr">
        <is>
          <t>NuScale FY26 + SMR commercialization timeline coverage (2026-05-18)</t>
        </is>
      </c>
      <c r="G474" s="33" t="inlineStr">
        <is>
          <t>High</t>
        </is>
      </c>
      <c r="H474" s="33" t="inlineStr">
        <is>
          <t>Initial</t>
        </is>
      </c>
    </row>
    <row r="475">
      <c r="A475" s="33" t="inlineStr">
        <is>
          <t>2026-05-18</t>
        </is>
      </c>
      <c r="B475" s="33" t="inlineStr">
        <is>
          <t>SMR</t>
        </is>
      </c>
      <c r="C475" s="33" t="inlineStr">
        <is>
          <t>D5</t>
        </is>
      </c>
      <c r="D475" s="33" t="n">
        <v>3</v>
      </c>
      <c r="E475" s="68" t="inlineStr">
        <is>
          <t>Aspirational hyperscaler customers (no contracts).</t>
        </is>
      </c>
      <c r="F475" s="68" t="inlineStr">
        <is>
          <t>NuScale FY26 + SMR commercialization timeline coverage (2026-05-18)</t>
        </is>
      </c>
      <c r="G475" s="33" t="inlineStr">
        <is>
          <t>High</t>
        </is>
      </c>
      <c r="H475" s="33" t="inlineStr">
        <is>
          <t>Initial</t>
        </is>
      </c>
    </row>
    <row r="476">
      <c r="A476" s="33" t="inlineStr">
        <is>
          <t>2026-05-18</t>
        </is>
      </c>
      <c r="B476" s="33" t="inlineStr">
        <is>
          <t>SMR</t>
        </is>
      </c>
      <c r="C476" s="33" t="inlineStr">
        <is>
          <t>M1</t>
        </is>
      </c>
      <c r="D476" s="33" t="n">
        <v>3</v>
      </c>
      <c r="E476" s="68" t="inlineStr">
        <is>
          <t>2/2 neutral.</t>
        </is>
      </c>
      <c r="F476" s="68" t="inlineStr">
        <is>
          <t>NuScale FY26 + SMR commercialization timeline coverage (2026-05-18)</t>
        </is>
      </c>
      <c r="G476" s="33" t="inlineStr">
        <is>
          <t>High</t>
        </is>
      </c>
      <c r="H476" s="33" t="inlineStr">
        <is>
          <t>Initial</t>
        </is>
      </c>
    </row>
    <row r="477">
      <c r="A477" s="33" t="inlineStr">
        <is>
          <t>2026-05-18</t>
        </is>
      </c>
      <c r="B477" s="33" t="inlineStr">
        <is>
          <t>SMR</t>
        </is>
      </c>
      <c r="C477" s="33" t="inlineStr">
        <is>
          <t>M2</t>
        </is>
      </c>
      <c r="D477" s="33" t="n">
        <v>1</v>
      </c>
      <c r="E477" s="68" t="inlineStr">
        <is>
          <t>-50.6% absolute, -87pp XLE — worst in layer.</t>
        </is>
      </c>
      <c r="F477" s="68" t="inlineStr">
        <is>
          <t>NuScale FY26 + SMR commercialization timeline coverage (2026-05-18)</t>
        </is>
      </c>
      <c r="G477" s="33" t="inlineStr">
        <is>
          <t>High</t>
        </is>
      </c>
      <c r="H477" s="33" t="inlineStr">
        <is>
          <t>Initial</t>
        </is>
      </c>
    </row>
    <row r="478">
      <c r="A478" s="33" t="inlineStr">
        <is>
          <t>2026-05-18</t>
        </is>
      </c>
      <c r="B478" s="33" t="inlineStr">
        <is>
          <t>SMR</t>
        </is>
      </c>
      <c r="C478" s="33" t="inlineStr">
        <is>
          <t>M3</t>
        </is>
      </c>
      <c r="D478" s="33" t="n">
        <v>3</v>
      </c>
      <c r="E478" s="68" t="inlineStr">
        <is>
          <t>Routine; default 3.</t>
        </is>
      </c>
      <c r="F478" s="68" t="inlineStr">
        <is>
          <t>NuScale FY26 + SMR commercialization timeline coverage (2026-05-18)</t>
        </is>
      </c>
      <c r="G478" s="33" t="inlineStr">
        <is>
          <t>High</t>
        </is>
      </c>
      <c r="H478" s="33" t="inlineStr">
        <is>
          <t>Initial</t>
        </is>
      </c>
    </row>
    <row r="479">
      <c r="A479" s="33" t="inlineStr">
        <is>
          <t>2026-05-18</t>
        </is>
      </c>
      <c r="B479" s="33" t="inlineStr">
        <is>
          <t>SMR</t>
        </is>
      </c>
      <c r="C479" s="33" t="inlineStr">
        <is>
          <t>R1</t>
        </is>
      </c>
      <c r="D479" s="33" t="n">
        <v>3</v>
      </c>
      <c r="E479" s="68" t="inlineStr">
        <is>
          <t>Limited customer base.</t>
        </is>
      </c>
      <c r="F479" s="68" t="inlineStr">
        <is>
          <t>NuScale FY26 + SMR commercialization timeline coverage (2026-05-18)</t>
        </is>
      </c>
      <c r="G479" s="33" t="inlineStr">
        <is>
          <t>High</t>
        </is>
      </c>
      <c r="H479" s="33" t="inlineStr">
        <is>
          <t>Initial</t>
        </is>
      </c>
    </row>
    <row r="480">
      <c r="A480" s="33" t="inlineStr">
        <is>
          <t>2026-05-18</t>
        </is>
      </c>
      <c r="B480" s="33" t="inlineStr">
        <is>
          <t>SMR</t>
        </is>
      </c>
      <c r="C480" s="33" t="inlineStr">
        <is>
          <t>R2</t>
        </is>
      </c>
      <c r="D480" s="33" t="n">
        <v>5</v>
      </c>
      <c r="E480" s="68" t="inlineStr">
        <is>
          <t>US.</t>
        </is>
      </c>
      <c r="F480" s="68" t="inlineStr">
        <is>
          <t>NuScale FY26 + SMR commercialization timeline coverage (2026-05-18)</t>
        </is>
      </c>
      <c r="G480" s="33" t="inlineStr">
        <is>
          <t>High</t>
        </is>
      </c>
      <c r="H480" s="33" t="inlineStr">
        <is>
          <t>Initial</t>
        </is>
      </c>
    </row>
    <row r="481">
      <c r="A481" s="33" t="inlineStr">
        <is>
          <t>2026-05-18</t>
        </is>
      </c>
      <c r="B481" s="33" t="inlineStr">
        <is>
          <t>SMR</t>
        </is>
      </c>
      <c r="C481" s="33" t="inlineStr">
        <is>
          <t>R3</t>
        </is>
      </c>
      <c r="D481" s="33" t="n">
        <v>3</v>
      </c>
      <c r="E481" s="68" t="inlineStr">
        <is>
          <t>Capital-intensive pre-revenue.</t>
        </is>
      </c>
      <c r="F481" s="68" t="inlineStr">
        <is>
          <t>NuScale FY26 + SMR commercialization timeline coverage (2026-05-18)</t>
        </is>
      </c>
      <c r="G481" s="33" t="inlineStr">
        <is>
          <t>High</t>
        </is>
      </c>
      <c r="H481" s="33" t="inlineStr">
        <is>
          <t>Initial</t>
        </is>
      </c>
    </row>
    <row r="482">
      <c r="A482" s="33" t="inlineStr">
        <is>
          <t>2026-05-18</t>
        </is>
      </c>
      <c r="B482" s="33" t="inlineStr">
        <is>
          <t>SMR</t>
        </is>
      </c>
      <c r="C482" s="33" t="inlineStr">
        <is>
          <t>R4</t>
        </is>
      </c>
      <c r="D482" s="33" t="n">
        <v>4</v>
      </c>
      <c r="E482" s="68" t="inlineStr">
        <is>
          <t>Routine.</t>
        </is>
      </c>
      <c r="F482" s="68" t="inlineStr">
        <is>
          <t>NuScale FY26 + SMR commercialization timeline coverage (2026-05-18)</t>
        </is>
      </c>
      <c r="G482" s="33" t="inlineStr">
        <is>
          <t>High</t>
        </is>
      </c>
      <c r="H482" s="33" t="inlineStr">
        <is>
          <t>Initial</t>
        </is>
      </c>
    </row>
    <row r="483">
      <c r="A483" s="33" t="inlineStr">
        <is>
          <t>2026-05-18</t>
        </is>
      </c>
      <c r="B483" s="33" t="inlineStr">
        <is>
          <t>OKLO</t>
        </is>
      </c>
      <c r="C483" s="33" t="inlineStr">
        <is>
          <t>D1</t>
        </is>
      </c>
      <c r="D483" s="33" t="n">
        <v>3</v>
      </c>
      <c r="E483" s="68" t="inlineStr">
        <is>
          <t>Pre-revenue microreactor; aspirational AI exposure via Altman backing.</t>
        </is>
      </c>
      <c r="F483" s="68" t="inlineStr">
        <is>
          <t>Oklo FY26 + microreactor development + Altman coverage (2026-05-18)</t>
        </is>
      </c>
      <c r="G483" s="33" t="inlineStr">
        <is>
          <t>High</t>
        </is>
      </c>
      <c r="H483" s="33" t="inlineStr">
        <is>
          <t>Initial</t>
        </is>
      </c>
    </row>
    <row r="484">
      <c r="A484" s="33" t="inlineStr">
        <is>
          <t>2026-05-18</t>
        </is>
      </c>
      <c r="B484" s="33" t="inlineStr">
        <is>
          <t>OKLO</t>
        </is>
      </c>
      <c r="C484" s="33" t="inlineStr">
        <is>
          <t>D2</t>
        </is>
      </c>
      <c r="D484" s="33" t="n">
        <v>2</v>
      </c>
      <c r="E484" s="68" t="inlineStr">
        <is>
          <t>Pre-commercial novel reactor design.</t>
        </is>
      </c>
      <c r="F484" s="68" t="inlineStr">
        <is>
          <t>Oklo FY26 + microreactor development + Altman coverage (2026-05-18)</t>
        </is>
      </c>
      <c r="G484" s="33" t="inlineStr">
        <is>
          <t>High</t>
        </is>
      </c>
      <c r="H484" s="33" t="inlineStr">
        <is>
          <t>Initial</t>
        </is>
      </c>
    </row>
    <row r="485">
      <c r="A485" s="33" t="inlineStr">
        <is>
          <t>2026-05-18</t>
        </is>
      </c>
      <c r="B485" s="33" t="inlineStr">
        <is>
          <t>OKLO</t>
        </is>
      </c>
      <c r="C485" s="33" t="inlineStr">
        <is>
          <t>D3</t>
        </is>
      </c>
      <c r="D485" s="33" t="n">
        <v>2</v>
      </c>
      <c r="E485" s="68" t="inlineStr">
        <is>
          <t>Patents but no operating moat.</t>
        </is>
      </c>
      <c r="F485" s="68" t="inlineStr">
        <is>
          <t>Oklo FY26 + microreactor development + Altman coverage (2026-05-18)</t>
        </is>
      </c>
      <c r="G485" s="33" t="inlineStr">
        <is>
          <t>High</t>
        </is>
      </c>
      <c r="H485" s="33" t="inlineStr">
        <is>
          <t>Initial</t>
        </is>
      </c>
    </row>
    <row r="486">
      <c r="A486" s="33" t="inlineStr">
        <is>
          <t>2026-05-18</t>
        </is>
      </c>
      <c r="B486" s="33" t="inlineStr">
        <is>
          <t>OKLO</t>
        </is>
      </c>
      <c r="C486" s="33" t="inlineStr">
        <is>
          <t>D4</t>
        </is>
      </c>
      <c r="D486" s="33" t="n">
        <v>3</v>
      </c>
      <c r="E486" s="68" t="inlineStr">
        <is>
          <t>Capex phase.</t>
        </is>
      </c>
      <c r="F486" s="68" t="inlineStr">
        <is>
          <t>Oklo FY26 + microreactor development + Altman coverage (2026-05-18)</t>
        </is>
      </c>
      <c r="G486" s="33" t="inlineStr">
        <is>
          <t>High</t>
        </is>
      </c>
      <c r="H486" s="33" t="inlineStr">
        <is>
          <t>Initial</t>
        </is>
      </c>
    </row>
    <row r="487">
      <c r="A487" s="33" t="inlineStr">
        <is>
          <t>2026-05-18</t>
        </is>
      </c>
      <c r="B487" s="33" t="inlineStr">
        <is>
          <t>OKLO</t>
        </is>
      </c>
      <c r="C487" s="33" t="inlineStr">
        <is>
          <t>D5</t>
        </is>
      </c>
      <c r="D487" s="33" t="n">
        <v>4</v>
      </c>
      <c r="E487" s="68" t="inlineStr">
        <is>
          <t>Altman-backed AI thesis = some hyperscaler interest but no contracts.</t>
        </is>
      </c>
      <c r="F487" s="68" t="inlineStr">
        <is>
          <t>Oklo FY26 + microreactor development + Altman coverage (2026-05-18)</t>
        </is>
      </c>
      <c r="G487" s="33" t="inlineStr">
        <is>
          <t>High</t>
        </is>
      </c>
      <c r="H487" s="33" t="inlineStr">
        <is>
          <t>Initial</t>
        </is>
      </c>
    </row>
    <row r="488">
      <c r="A488" s="33" t="inlineStr">
        <is>
          <t>2026-05-18</t>
        </is>
      </c>
      <c r="B488" s="33" t="inlineStr">
        <is>
          <t>OKLO</t>
        </is>
      </c>
      <c r="C488" s="33" t="inlineStr">
        <is>
          <t>M1</t>
        </is>
      </c>
      <c r="D488" s="33" t="n">
        <v>3</v>
      </c>
      <c r="E488" s="68" t="inlineStr">
        <is>
          <t>0/0 neutral.</t>
        </is>
      </c>
      <c r="F488" s="68" t="inlineStr">
        <is>
          <t>Oklo FY26 + microreactor development + Altman coverage (2026-05-18)</t>
        </is>
      </c>
      <c r="G488" s="33" t="inlineStr">
        <is>
          <t>High</t>
        </is>
      </c>
      <c r="H488" s="33" t="inlineStr">
        <is>
          <t>Initial</t>
        </is>
      </c>
    </row>
    <row r="489">
      <c r="A489" s="33" t="inlineStr">
        <is>
          <t>2026-05-18</t>
        </is>
      </c>
      <c r="B489" s="33" t="inlineStr">
        <is>
          <t>OKLO</t>
        </is>
      </c>
      <c r="C489" s="33" t="inlineStr">
        <is>
          <t>M2</t>
        </is>
      </c>
      <c r="D489" s="33" t="n">
        <v>1</v>
      </c>
      <c r="E489" s="68" t="inlineStr">
        <is>
          <t>-42.7% absolute, -79pp XLE.</t>
        </is>
      </c>
      <c r="F489" s="68" t="inlineStr">
        <is>
          <t>Oklo FY26 + microreactor development + Altman coverage (2026-05-18)</t>
        </is>
      </c>
      <c r="G489" s="33" t="inlineStr">
        <is>
          <t>High</t>
        </is>
      </c>
      <c r="H489" s="33" t="inlineStr">
        <is>
          <t>Initial</t>
        </is>
      </c>
    </row>
    <row r="490">
      <c r="A490" s="33" t="inlineStr">
        <is>
          <t>2026-05-18</t>
        </is>
      </c>
      <c r="B490" s="33" t="inlineStr">
        <is>
          <t>OKLO</t>
        </is>
      </c>
      <c r="C490" s="33" t="inlineStr">
        <is>
          <t>M3</t>
        </is>
      </c>
      <c r="D490" s="33" t="n">
        <v>3</v>
      </c>
      <c r="E490" s="68" t="inlineStr">
        <is>
          <t>Routine; default 3.</t>
        </is>
      </c>
      <c r="F490" s="68" t="inlineStr">
        <is>
          <t>Oklo FY26 + microreactor development + Altman coverage (2026-05-18)</t>
        </is>
      </c>
      <c r="G490" s="33" t="inlineStr">
        <is>
          <t>High</t>
        </is>
      </c>
      <c r="H490" s="33" t="inlineStr">
        <is>
          <t>Initial</t>
        </is>
      </c>
    </row>
    <row r="491">
      <c r="A491" s="33" t="inlineStr">
        <is>
          <t>2026-05-18</t>
        </is>
      </c>
      <c r="B491" s="33" t="inlineStr">
        <is>
          <t>OKLO</t>
        </is>
      </c>
      <c r="C491" s="33" t="inlineStr">
        <is>
          <t>R1</t>
        </is>
      </c>
      <c r="D491" s="33" t="n">
        <v>3</v>
      </c>
      <c r="E491" s="68" t="inlineStr">
        <is>
          <t>Limited customer base.</t>
        </is>
      </c>
      <c r="F491" s="68" t="inlineStr">
        <is>
          <t>Oklo FY26 + microreactor development + Altman coverage (2026-05-18)</t>
        </is>
      </c>
      <c r="G491" s="33" t="inlineStr">
        <is>
          <t>High</t>
        </is>
      </c>
      <c r="H491" s="33" t="inlineStr">
        <is>
          <t>Initial</t>
        </is>
      </c>
    </row>
    <row r="492">
      <c r="A492" s="33" t="inlineStr">
        <is>
          <t>2026-05-18</t>
        </is>
      </c>
      <c r="B492" s="33" t="inlineStr">
        <is>
          <t>OKLO</t>
        </is>
      </c>
      <c r="C492" s="33" t="inlineStr">
        <is>
          <t>R2</t>
        </is>
      </c>
      <c r="D492" s="33" t="n">
        <v>5</v>
      </c>
      <c r="E492" s="68" t="inlineStr">
        <is>
          <t>US.</t>
        </is>
      </c>
      <c r="F492" s="68" t="inlineStr">
        <is>
          <t>Oklo FY26 + microreactor development + Altman coverage (2026-05-18)</t>
        </is>
      </c>
      <c r="G492" s="33" t="inlineStr">
        <is>
          <t>High</t>
        </is>
      </c>
      <c r="H492" s="33" t="inlineStr">
        <is>
          <t>Initial</t>
        </is>
      </c>
    </row>
    <row r="493">
      <c r="A493" s="33" t="inlineStr">
        <is>
          <t>2026-05-18</t>
        </is>
      </c>
      <c r="B493" s="33" t="inlineStr">
        <is>
          <t>OKLO</t>
        </is>
      </c>
      <c r="C493" s="33" t="inlineStr">
        <is>
          <t>R3</t>
        </is>
      </c>
      <c r="D493" s="33" t="n">
        <v>3</v>
      </c>
      <c r="E493" s="68" t="inlineStr">
        <is>
          <t>Pre-revenue, burning cash.</t>
        </is>
      </c>
      <c r="F493" s="68" t="inlineStr">
        <is>
          <t>Oklo FY26 + microreactor development + Altman coverage (2026-05-18)</t>
        </is>
      </c>
      <c r="G493" s="33" t="inlineStr">
        <is>
          <t>High</t>
        </is>
      </c>
      <c r="H493" s="33" t="inlineStr">
        <is>
          <t>Initial</t>
        </is>
      </c>
    </row>
    <row r="494">
      <c r="A494" s="33" t="inlineStr">
        <is>
          <t>2026-05-18</t>
        </is>
      </c>
      <c r="B494" s="33" t="inlineStr">
        <is>
          <t>OKLO</t>
        </is>
      </c>
      <c r="C494" s="33" t="inlineStr">
        <is>
          <t>R4</t>
        </is>
      </c>
      <c r="D494" s="33" t="n">
        <v>4</v>
      </c>
      <c r="E494" s="68" t="inlineStr">
        <is>
          <t>Routine.</t>
        </is>
      </c>
      <c r="F494" s="68" t="inlineStr">
        <is>
          <t>Oklo FY26 + microreactor development + Altman coverage (2026-05-18)</t>
        </is>
      </c>
      <c r="G494" s="33" t="inlineStr">
        <is>
          <t>High</t>
        </is>
      </c>
      <c r="H494" s="33" t="inlineStr">
        <is>
          <t>Initial</t>
        </is>
      </c>
    </row>
    <row r="495">
      <c r="A495" s="33" t="inlineStr">
        <is>
          <t>2026-05-18</t>
        </is>
      </c>
      <c r="B495" s="33" t="inlineStr">
        <is>
          <t>NNE</t>
        </is>
      </c>
      <c r="C495" s="33" t="inlineStr">
        <is>
          <t>D1</t>
        </is>
      </c>
      <c r="D495" s="33" t="n">
        <v>3</v>
      </c>
      <c r="E495" s="68" t="inlineStr">
        <is>
          <t>Pre-revenue NANO Nuclear; design-stage microreactor.</t>
        </is>
      </c>
      <c r="F495" s="68" t="inlineStr">
        <is>
          <t>NANO Nuclear FY26 + microreactor stage coverage (2026-05-18)</t>
        </is>
      </c>
      <c r="G495" s="33" t="inlineStr">
        <is>
          <t>High</t>
        </is>
      </c>
      <c r="H495" s="33" t="inlineStr">
        <is>
          <t>Initial</t>
        </is>
      </c>
    </row>
    <row r="496">
      <c r="A496" s="33" t="inlineStr">
        <is>
          <t>2026-05-18</t>
        </is>
      </c>
      <c r="B496" s="33" t="inlineStr">
        <is>
          <t>NNE</t>
        </is>
      </c>
      <c r="C496" s="33" t="inlineStr">
        <is>
          <t>D2</t>
        </is>
      </c>
      <c r="D496" s="33" t="n">
        <v>2</v>
      </c>
      <c r="E496" s="68" t="inlineStr">
        <is>
          <t>Smaller than Oklo/NuScale.</t>
        </is>
      </c>
      <c r="F496" s="68" t="inlineStr">
        <is>
          <t>NANO Nuclear FY26 + microreactor stage coverage (2026-05-18)</t>
        </is>
      </c>
      <c r="G496" s="33" t="inlineStr">
        <is>
          <t>High</t>
        </is>
      </c>
      <c r="H496" s="33" t="inlineStr">
        <is>
          <t>Initial</t>
        </is>
      </c>
    </row>
    <row r="497">
      <c r="A497" s="33" t="inlineStr">
        <is>
          <t>2026-05-18</t>
        </is>
      </c>
      <c r="B497" s="33" t="inlineStr">
        <is>
          <t>NNE</t>
        </is>
      </c>
      <c r="C497" s="33" t="inlineStr">
        <is>
          <t>D3</t>
        </is>
      </c>
      <c r="D497" s="33" t="n">
        <v>2</v>
      </c>
      <c r="E497" s="68" t="inlineStr">
        <is>
          <t>Early-stage IP.</t>
        </is>
      </c>
      <c r="F497" s="68" t="inlineStr">
        <is>
          <t>NANO Nuclear FY26 + microreactor stage coverage (2026-05-18)</t>
        </is>
      </c>
      <c r="G497" s="33" t="inlineStr">
        <is>
          <t>High</t>
        </is>
      </c>
      <c r="H497" s="33" t="inlineStr">
        <is>
          <t>Initial</t>
        </is>
      </c>
    </row>
    <row r="498">
      <c r="A498" s="33" t="inlineStr">
        <is>
          <t>2026-05-18</t>
        </is>
      </c>
      <c r="B498" s="33" t="inlineStr">
        <is>
          <t>NNE</t>
        </is>
      </c>
      <c r="C498" s="33" t="inlineStr">
        <is>
          <t>D4</t>
        </is>
      </c>
      <c r="D498" s="33" t="n">
        <v>3</v>
      </c>
      <c r="E498" s="68" t="inlineStr">
        <is>
          <t>Capex phase.</t>
        </is>
      </c>
      <c r="F498" s="68" t="inlineStr">
        <is>
          <t>NANO Nuclear FY26 + microreactor stage coverage (2026-05-18)</t>
        </is>
      </c>
      <c r="G498" s="33" t="inlineStr">
        <is>
          <t>High</t>
        </is>
      </c>
      <c r="H498" s="33" t="inlineStr">
        <is>
          <t>Initial</t>
        </is>
      </c>
    </row>
    <row r="499">
      <c r="A499" s="33" t="inlineStr">
        <is>
          <t>2026-05-18</t>
        </is>
      </c>
      <c r="B499" s="33" t="inlineStr">
        <is>
          <t>NNE</t>
        </is>
      </c>
      <c r="C499" s="33" t="inlineStr">
        <is>
          <t>D5</t>
        </is>
      </c>
      <c r="D499" s="33" t="n">
        <v>3</v>
      </c>
      <c r="E499" s="68" t="inlineStr">
        <is>
          <t>Aspirational AI customers.</t>
        </is>
      </c>
      <c r="F499" s="68" t="inlineStr">
        <is>
          <t>NANO Nuclear FY26 + microreactor stage coverage (2026-05-18)</t>
        </is>
      </c>
      <c r="G499" s="33" t="inlineStr">
        <is>
          <t>High</t>
        </is>
      </c>
      <c r="H499" s="33" t="inlineStr">
        <is>
          <t>Initial</t>
        </is>
      </c>
    </row>
    <row r="500">
      <c r="A500" s="33" t="inlineStr">
        <is>
          <t>2026-05-18</t>
        </is>
      </c>
      <c r="B500" s="33" t="inlineStr">
        <is>
          <t>NNE</t>
        </is>
      </c>
      <c r="C500" s="33" t="inlineStr">
        <is>
          <t>M1</t>
        </is>
      </c>
      <c r="D500" s="33" t="n">
        <v>4</v>
      </c>
      <c r="E500" s="68" t="inlineStr">
        <is>
          <t>3/1 net positive but tiny.</t>
        </is>
      </c>
      <c r="F500" s="68" t="inlineStr">
        <is>
          <t>NANO Nuclear FY26 + microreactor stage coverage (2026-05-18)</t>
        </is>
      </c>
      <c r="G500" s="33" t="inlineStr">
        <is>
          <t>High</t>
        </is>
      </c>
      <c r="H500" s="33" t="inlineStr">
        <is>
          <t>Initial</t>
        </is>
      </c>
    </row>
    <row r="501">
      <c r="A501" s="33" t="inlineStr">
        <is>
          <t>2026-05-18</t>
        </is>
      </c>
      <c r="B501" s="33" t="inlineStr">
        <is>
          <t>NNE</t>
        </is>
      </c>
      <c r="C501" s="33" t="inlineStr">
        <is>
          <t>M2</t>
        </is>
      </c>
      <c r="D501" s="33" t="n">
        <v>1</v>
      </c>
      <c r="E501" s="68" t="inlineStr">
        <is>
          <t>-25% absolute, -62pp XLE.</t>
        </is>
      </c>
      <c r="F501" s="68" t="inlineStr">
        <is>
          <t>NANO Nuclear FY26 + microreactor stage coverage (2026-05-18)</t>
        </is>
      </c>
      <c r="G501" s="33" t="inlineStr">
        <is>
          <t>High</t>
        </is>
      </c>
      <c r="H501" s="33" t="inlineStr">
        <is>
          <t>Initial</t>
        </is>
      </c>
    </row>
    <row r="502">
      <c r="A502" s="33" t="inlineStr">
        <is>
          <t>2026-05-18</t>
        </is>
      </c>
      <c r="B502" s="33" t="inlineStr">
        <is>
          <t>NNE</t>
        </is>
      </c>
      <c r="C502" s="33" t="inlineStr">
        <is>
          <t>M3</t>
        </is>
      </c>
      <c r="D502" s="33" t="n">
        <v>3</v>
      </c>
      <c r="E502" s="68" t="inlineStr">
        <is>
          <t>Routine; default 3.</t>
        </is>
      </c>
      <c r="F502" s="68" t="inlineStr">
        <is>
          <t>NANO Nuclear FY26 + microreactor stage coverage (2026-05-18)</t>
        </is>
      </c>
      <c r="G502" s="33" t="inlineStr">
        <is>
          <t>High</t>
        </is>
      </c>
      <c r="H502" s="33" t="inlineStr">
        <is>
          <t>Initial</t>
        </is>
      </c>
    </row>
    <row r="503">
      <c r="A503" s="33" t="inlineStr">
        <is>
          <t>2026-05-18</t>
        </is>
      </c>
      <c r="B503" s="33" t="inlineStr">
        <is>
          <t>NNE</t>
        </is>
      </c>
      <c r="C503" s="33" t="inlineStr">
        <is>
          <t>R1</t>
        </is>
      </c>
      <c r="D503" s="33" t="n">
        <v>3</v>
      </c>
      <c r="E503" s="68" t="inlineStr">
        <is>
          <t>Limited base.</t>
        </is>
      </c>
      <c r="F503" s="68" t="inlineStr">
        <is>
          <t>NANO Nuclear FY26 + microreactor stage coverage (2026-05-18)</t>
        </is>
      </c>
      <c r="G503" s="33" t="inlineStr">
        <is>
          <t>High</t>
        </is>
      </c>
      <c r="H503" s="33" t="inlineStr">
        <is>
          <t>Initial</t>
        </is>
      </c>
    </row>
    <row r="504">
      <c r="A504" s="33" t="inlineStr">
        <is>
          <t>2026-05-18</t>
        </is>
      </c>
      <c r="B504" s="33" t="inlineStr">
        <is>
          <t>NNE</t>
        </is>
      </c>
      <c r="C504" s="33" t="inlineStr">
        <is>
          <t>R2</t>
        </is>
      </c>
      <c r="D504" s="33" t="n">
        <v>5</v>
      </c>
      <c r="E504" s="68" t="inlineStr">
        <is>
          <t>US.</t>
        </is>
      </c>
      <c r="F504" s="68" t="inlineStr">
        <is>
          <t>NANO Nuclear FY26 + microreactor stage coverage (2026-05-18)</t>
        </is>
      </c>
      <c r="G504" s="33" t="inlineStr">
        <is>
          <t>High</t>
        </is>
      </c>
      <c r="H504" s="33" t="inlineStr">
        <is>
          <t>Initial</t>
        </is>
      </c>
    </row>
    <row r="505">
      <c r="A505" s="33" t="inlineStr">
        <is>
          <t>2026-05-18</t>
        </is>
      </c>
      <c r="B505" s="33" t="inlineStr">
        <is>
          <t>NNE</t>
        </is>
      </c>
      <c r="C505" s="33" t="inlineStr">
        <is>
          <t>R3</t>
        </is>
      </c>
      <c r="D505" s="33" t="n">
        <v>3</v>
      </c>
      <c r="E505" s="68" t="inlineStr">
        <is>
          <t>Pre-revenue cash burn.</t>
        </is>
      </c>
      <c r="F505" s="68" t="inlineStr">
        <is>
          <t>NANO Nuclear FY26 + microreactor stage coverage (2026-05-18)</t>
        </is>
      </c>
      <c r="G505" s="33" t="inlineStr">
        <is>
          <t>High</t>
        </is>
      </c>
      <c r="H505" s="33" t="inlineStr">
        <is>
          <t>Initial</t>
        </is>
      </c>
    </row>
    <row r="506">
      <c r="A506" s="33" t="inlineStr">
        <is>
          <t>2026-05-18</t>
        </is>
      </c>
      <c r="B506" s="33" t="inlineStr">
        <is>
          <t>NNE</t>
        </is>
      </c>
      <c r="C506" s="33" t="inlineStr">
        <is>
          <t>R4</t>
        </is>
      </c>
      <c r="D506" s="33" t="n">
        <v>4</v>
      </c>
      <c r="E506" s="68" t="inlineStr">
        <is>
          <t>Routine.</t>
        </is>
      </c>
      <c r="F506" s="68" t="inlineStr">
        <is>
          <t>NANO Nuclear FY26 + microreactor stage coverage (2026-05-18)</t>
        </is>
      </c>
      <c r="G506" s="33" t="inlineStr">
        <is>
          <t>High</t>
        </is>
      </c>
      <c r="H506" s="33" t="inlineStr">
        <is>
          <t>Initial</t>
        </is>
      </c>
    </row>
    <row r="507">
      <c r="A507" s="33" t="inlineStr">
        <is>
          <t>2026-05-18</t>
        </is>
      </c>
      <c r="B507" s="33" t="inlineStr">
        <is>
          <t>EQT</t>
        </is>
      </c>
      <c r="C507" s="33" t="inlineStr">
        <is>
          <t>D1</t>
        </is>
      </c>
      <c r="D507" s="33" t="n">
        <v>3</v>
      </c>
      <c r="E507" s="68" t="inlineStr">
        <is>
          <t>Largest US gas producer + 'leading integrated supplier for large scale gas power' for AI DCs per IEA.</t>
        </is>
      </c>
      <c r="F507" s="68" t="inlineStr">
        <is>
          <t>EQT FY26 + IEA 'leading integrated supplier for AI gas power' coverage (2026-05-18)</t>
        </is>
      </c>
      <c r="G507" s="33" t="inlineStr">
        <is>
          <t>High</t>
        </is>
      </c>
      <c r="H507" s="33" t="inlineStr">
        <is>
          <t>Initial</t>
        </is>
      </c>
    </row>
    <row r="508">
      <c r="A508" s="33" t="inlineStr">
        <is>
          <t>2026-05-18</t>
        </is>
      </c>
      <c r="B508" s="33" t="inlineStr">
        <is>
          <t>EQT</t>
        </is>
      </c>
      <c r="C508" s="33" t="inlineStr">
        <is>
          <t>D2</t>
        </is>
      </c>
      <c r="D508" s="33" t="n">
        <v>4</v>
      </c>
      <c r="E508" s="68" t="inlineStr">
        <is>
          <t>Appalachian gas dominant — scale + integration via Equitrans midstream.</t>
        </is>
      </c>
      <c r="F508" s="68" t="inlineStr">
        <is>
          <t>EQT FY26 + IEA 'leading integrated supplier for AI gas power' coverage (2026-05-18)</t>
        </is>
      </c>
      <c r="G508" s="33" t="inlineStr">
        <is>
          <t>High</t>
        </is>
      </c>
      <c r="H508" s="33" t="inlineStr">
        <is>
          <t>Initial</t>
        </is>
      </c>
    </row>
    <row r="509">
      <c r="A509" s="33" t="inlineStr">
        <is>
          <t>2026-05-18</t>
        </is>
      </c>
      <c r="B509" s="33" t="inlineStr">
        <is>
          <t>EQT</t>
        </is>
      </c>
      <c r="C509" s="33" t="inlineStr">
        <is>
          <t>D3</t>
        </is>
      </c>
      <c r="D509" s="33" t="n">
        <v>4</v>
      </c>
      <c r="E509" s="68" t="inlineStr">
        <is>
          <t>Land position + midstream integration.</t>
        </is>
      </c>
      <c r="F509" s="68" t="inlineStr">
        <is>
          <t>EQT FY26 + IEA 'leading integrated supplier for AI gas power' coverage (2026-05-18)</t>
        </is>
      </c>
      <c r="G509" s="33" t="inlineStr">
        <is>
          <t>High</t>
        </is>
      </c>
      <c r="H509" s="33" t="inlineStr">
        <is>
          <t>Initial</t>
        </is>
      </c>
    </row>
    <row r="510">
      <c r="A510" s="33" t="inlineStr">
        <is>
          <t>2026-05-18</t>
        </is>
      </c>
      <c r="B510" s="33" t="inlineStr">
        <is>
          <t>EQT</t>
        </is>
      </c>
      <c r="C510" s="33" t="inlineStr">
        <is>
          <t>D4</t>
        </is>
      </c>
      <c r="D510" s="33" t="n">
        <v>4</v>
      </c>
      <c r="E510" s="68" t="inlineStr">
        <is>
          <t>Production ramp + integrated growth.</t>
        </is>
      </c>
      <c r="F510" s="68" t="inlineStr">
        <is>
          <t>EQT FY26 + IEA 'leading integrated supplier for AI gas power' coverage (2026-05-18)</t>
        </is>
      </c>
      <c r="G510" s="33" t="inlineStr">
        <is>
          <t>High</t>
        </is>
      </c>
      <c r="H510" s="33" t="inlineStr">
        <is>
          <t>Initial</t>
        </is>
      </c>
    </row>
    <row r="511">
      <c r="A511" s="33" t="inlineStr">
        <is>
          <t>2026-05-18</t>
        </is>
      </c>
      <c r="B511" s="33" t="inlineStr">
        <is>
          <t>EQT</t>
        </is>
      </c>
      <c r="C511" s="33" t="inlineStr">
        <is>
          <t>D5</t>
        </is>
      </c>
      <c r="D511" s="33" t="n">
        <v>3</v>
      </c>
      <c r="E511" s="68" t="inlineStr">
        <is>
          <t>Indirect via gas-fired generation; growing relationships.</t>
        </is>
      </c>
      <c r="F511" s="68" t="inlineStr">
        <is>
          <t>EQT FY26 + IEA 'leading integrated supplier for AI gas power' coverage (2026-05-18)</t>
        </is>
      </c>
      <c r="G511" s="33" t="inlineStr">
        <is>
          <t>High</t>
        </is>
      </c>
      <c r="H511" s="33" t="inlineStr">
        <is>
          <t>Initial</t>
        </is>
      </c>
    </row>
    <row r="512">
      <c r="A512" s="33" t="inlineStr">
        <is>
          <t>2026-05-18</t>
        </is>
      </c>
      <c r="B512" s="33" t="inlineStr">
        <is>
          <t>EQT</t>
        </is>
      </c>
      <c r="C512" s="33" t="inlineStr">
        <is>
          <t>M1</t>
        </is>
      </c>
      <c r="D512" s="33" t="n">
        <v>2</v>
      </c>
      <c r="E512" s="68" t="inlineStr">
        <is>
          <t>5/8 — net negative.</t>
        </is>
      </c>
      <c r="F512" s="68" t="inlineStr">
        <is>
          <t>EQT FY26 + IEA 'leading integrated supplier for AI gas power' coverage (2026-05-18)</t>
        </is>
      </c>
      <c r="G512" s="33" t="inlineStr">
        <is>
          <t>High</t>
        </is>
      </c>
      <c r="H512" s="33" t="inlineStr">
        <is>
          <t>Initial</t>
        </is>
      </c>
    </row>
    <row r="513">
      <c r="A513" s="33" t="inlineStr">
        <is>
          <t>2026-05-18</t>
        </is>
      </c>
      <c r="B513" s="33" t="inlineStr">
        <is>
          <t>EQT</t>
        </is>
      </c>
      <c r="C513" s="33" t="inlineStr">
        <is>
          <t>M2</t>
        </is>
      </c>
      <c r="D513" s="33" t="n">
        <v>1</v>
      </c>
      <c r="E513" s="68" t="inlineStr">
        <is>
          <t>-1.8% absolute, -38pp XLE — lagging energy.</t>
        </is>
      </c>
      <c r="F513" s="68" t="inlineStr">
        <is>
          <t>EQT FY26 + IEA 'leading integrated supplier for AI gas power' coverage (2026-05-18)</t>
        </is>
      </c>
      <c r="G513" s="33" t="inlineStr">
        <is>
          <t>High</t>
        </is>
      </c>
      <c r="H513" s="33" t="inlineStr">
        <is>
          <t>Initial</t>
        </is>
      </c>
    </row>
    <row r="514">
      <c r="A514" s="33" t="inlineStr">
        <is>
          <t>2026-05-18</t>
        </is>
      </c>
      <c r="B514" s="33" t="inlineStr">
        <is>
          <t>EQT</t>
        </is>
      </c>
      <c r="C514" s="33" t="inlineStr">
        <is>
          <t>M3</t>
        </is>
      </c>
      <c r="D514" s="33" t="n">
        <v>3</v>
      </c>
      <c r="E514" s="68" t="inlineStr">
        <is>
          <t>Routine; default 3.</t>
        </is>
      </c>
      <c r="F514" s="68" t="inlineStr">
        <is>
          <t>EQT FY26 + IEA 'leading integrated supplier for AI gas power' coverage (2026-05-18)</t>
        </is>
      </c>
      <c r="G514" s="33" t="inlineStr">
        <is>
          <t>High</t>
        </is>
      </c>
      <c r="H514" s="33" t="inlineStr">
        <is>
          <t>Initial</t>
        </is>
      </c>
    </row>
    <row r="515">
      <c r="A515" s="33" t="inlineStr">
        <is>
          <t>2026-05-18</t>
        </is>
      </c>
      <c r="B515" s="33" t="inlineStr">
        <is>
          <t>EQT</t>
        </is>
      </c>
      <c r="C515" s="33" t="inlineStr">
        <is>
          <t>R1</t>
        </is>
      </c>
      <c r="D515" s="33" t="n">
        <v>4</v>
      </c>
      <c r="E515" s="68" t="inlineStr">
        <is>
          <t>Diversified gas marketing.</t>
        </is>
      </c>
      <c r="F515" s="68" t="inlineStr">
        <is>
          <t>EQT FY26 + IEA 'leading integrated supplier for AI gas power' coverage (2026-05-18)</t>
        </is>
      </c>
      <c r="G515" s="33" t="inlineStr">
        <is>
          <t>High</t>
        </is>
      </c>
      <c r="H515" s="33" t="inlineStr">
        <is>
          <t>Initial</t>
        </is>
      </c>
    </row>
    <row r="516">
      <c r="A516" s="33" t="inlineStr">
        <is>
          <t>2026-05-18</t>
        </is>
      </c>
      <c r="B516" s="33" t="inlineStr">
        <is>
          <t>EQT</t>
        </is>
      </c>
      <c r="C516" s="33" t="inlineStr">
        <is>
          <t>R2</t>
        </is>
      </c>
      <c r="D516" s="33" t="n">
        <v>5</v>
      </c>
      <c r="E516" s="68" t="inlineStr">
        <is>
          <t>100% US.</t>
        </is>
      </c>
      <c r="F516" s="68" t="inlineStr">
        <is>
          <t>EQT FY26 + IEA 'leading integrated supplier for AI gas power' coverage (2026-05-18)</t>
        </is>
      </c>
      <c r="G516" s="33" t="inlineStr">
        <is>
          <t>High</t>
        </is>
      </c>
      <c r="H516" s="33" t="inlineStr">
        <is>
          <t>Initial</t>
        </is>
      </c>
    </row>
    <row r="517">
      <c r="A517" s="33" t="inlineStr">
        <is>
          <t>2026-05-18</t>
        </is>
      </c>
      <c r="B517" s="33" t="inlineStr">
        <is>
          <t>EQT</t>
        </is>
      </c>
      <c r="C517" s="33" t="inlineStr">
        <is>
          <t>R3</t>
        </is>
      </c>
      <c r="D517" s="33" t="n">
        <v>5</v>
      </c>
      <c r="E517" s="68" t="inlineStr">
        <is>
          <t>Net cash + strong FCF.</t>
        </is>
      </c>
      <c r="F517" s="68" t="inlineStr">
        <is>
          <t>EQT FY26 + IEA 'leading integrated supplier for AI gas power' coverage (2026-05-18)</t>
        </is>
      </c>
      <c r="G517" s="33" t="inlineStr">
        <is>
          <t>High</t>
        </is>
      </c>
      <c r="H517" s="33" t="inlineStr">
        <is>
          <t>Initial</t>
        </is>
      </c>
    </row>
    <row r="518">
      <c r="A518" s="33" t="inlineStr">
        <is>
          <t>2026-05-18</t>
        </is>
      </c>
      <c r="B518" s="33" t="inlineStr">
        <is>
          <t>EQT</t>
        </is>
      </c>
      <c r="C518" s="33" t="inlineStr">
        <is>
          <t>R4</t>
        </is>
      </c>
      <c r="D518" s="33" t="n">
        <v>4</v>
      </c>
      <c r="E518" s="68" t="inlineStr">
        <is>
          <t>Routine.</t>
        </is>
      </c>
      <c r="F518" s="68" t="inlineStr">
        <is>
          <t>EQT FY26 + IEA 'leading integrated supplier for AI gas power' coverage (2026-05-18)</t>
        </is>
      </c>
      <c r="G518" s="33" t="inlineStr">
        <is>
          <t>High</t>
        </is>
      </c>
      <c r="H518" s="33" t="inlineStr">
        <is>
          <t>Initial</t>
        </is>
      </c>
    </row>
    <row r="519">
      <c r="A519" s="33" t="inlineStr">
        <is>
          <t>2026-05-18</t>
        </is>
      </c>
      <c r="B519" s="33" t="inlineStr">
        <is>
          <t>RRC</t>
        </is>
      </c>
      <c r="C519" s="33" t="inlineStr">
        <is>
          <t>D1</t>
        </is>
      </c>
      <c r="D519" s="33" t="n">
        <v>3</v>
      </c>
      <c r="E519" s="68" t="inlineStr">
        <is>
          <t>Appalachian gas — indirect AI exposure via gas power demand.</t>
        </is>
      </c>
      <c r="F519" s="68" t="inlineStr">
        <is>
          <t>Range Resources FY26 + Appalachian gas coverage (2026-05-18)</t>
        </is>
      </c>
      <c r="G519" s="33" t="inlineStr">
        <is>
          <t>High</t>
        </is>
      </c>
      <c r="H519" s="33" t="inlineStr">
        <is>
          <t>Initial</t>
        </is>
      </c>
    </row>
    <row r="520">
      <c r="A520" s="33" t="inlineStr">
        <is>
          <t>2026-05-18</t>
        </is>
      </c>
      <c r="B520" s="33" t="inlineStr">
        <is>
          <t>RRC</t>
        </is>
      </c>
      <c r="C520" s="33" t="inlineStr">
        <is>
          <t>D2</t>
        </is>
      </c>
      <c r="D520" s="33" t="n">
        <v>3</v>
      </c>
      <c r="E520" s="68" t="inlineStr">
        <is>
          <t>Mid-tier Appalachian player.</t>
        </is>
      </c>
      <c r="F520" s="68" t="inlineStr">
        <is>
          <t>Range Resources FY26 + Appalachian gas coverage (2026-05-18)</t>
        </is>
      </c>
      <c r="G520" s="33" t="inlineStr">
        <is>
          <t>High</t>
        </is>
      </c>
      <c r="H520" s="33" t="inlineStr">
        <is>
          <t>Initial</t>
        </is>
      </c>
    </row>
    <row r="521">
      <c r="A521" s="33" t="inlineStr">
        <is>
          <t>2026-05-18</t>
        </is>
      </c>
      <c r="B521" s="33" t="inlineStr">
        <is>
          <t>RRC</t>
        </is>
      </c>
      <c r="C521" s="33" t="inlineStr">
        <is>
          <t>D3</t>
        </is>
      </c>
      <c r="D521" s="33" t="n">
        <v>3</v>
      </c>
      <c r="E521" s="68" t="inlineStr">
        <is>
          <t>Land position.</t>
        </is>
      </c>
      <c r="F521" s="68" t="inlineStr">
        <is>
          <t>Range Resources FY26 + Appalachian gas coverage (2026-05-18)</t>
        </is>
      </c>
      <c r="G521" s="33" t="inlineStr">
        <is>
          <t>High</t>
        </is>
      </c>
      <c r="H521" s="33" t="inlineStr">
        <is>
          <t>Initial</t>
        </is>
      </c>
    </row>
    <row r="522">
      <c r="A522" s="33" t="inlineStr">
        <is>
          <t>2026-05-18</t>
        </is>
      </c>
      <c r="B522" s="33" t="inlineStr">
        <is>
          <t>RRC</t>
        </is>
      </c>
      <c r="C522" s="33" t="inlineStr">
        <is>
          <t>D4</t>
        </is>
      </c>
      <c r="D522" s="33" t="n">
        <v>4</v>
      </c>
      <c r="E522" s="68" t="inlineStr">
        <is>
          <t>Production-led capex.</t>
        </is>
      </c>
      <c r="F522" s="68" t="inlineStr">
        <is>
          <t>Range Resources FY26 + Appalachian gas coverage (2026-05-18)</t>
        </is>
      </c>
      <c r="G522" s="33" t="inlineStr">
        <is>
          <t>High</t>
        </is>
      </c>
      <c r="H522" s="33" t="inlineStr">
        <is>
          <t>Initial</t>
        </is>
      </c>
    </row>
    <row r="523">
      <c r="A523" s="33" t="inlineStr">
        <is>
          <t>2026-05-18</t>
        </is>
      </c>
      <c r="B523" s="33" t="inlineStr">
        <is>
          <t>RRC</t>
        </is>
      </c>
      <c r="C523" s="33" t="inlineStr">
        <is>
          <t>D5</t>
        </is>
      </c>
      <c r="D523" s="33" t="n">
        <v>3</v>
      </c>
      <c r="E523" s="68" t="inlineStr">
        <is>
          <t>Indirect.</t>
        </is>
      </c>
      <c r="F523" s="68" t="inlineStr">
        <is>
          <t>Range Resources FY26 + Appalachian gas coverage (2026-05-18)</t>
        </is>
      </c>
      <c r="G523" s="33" t="inlineStr">
        <is>
          <t>High</t>
        </is>
      </c>
      <c r="H523" s="33" t="inlineStr">
        <is>
          <t>Initial</t>
        </is>
      </c>
    </row>
    <row r="524">
      <c r="A524" s="33" t="inlineStr">
        <is>
          <t>2026-05-18</t>
        </is>
      </c>
      <c r="B524" s="33" t="inlineStr">
        <is>
          <t>RRC</t>
        </is>
      </c>
      <c r="C524" s="33" t="inlineStr">
        <is>
          <t>M1</t>
        </is>
      </c>
      <c r="D524" s="33" t="n">
        <v>4</v>
      </c>
      <c r="E524" s="68" t="inlineStr">
        <is>
          <t>11/9 — net positive.</t>
        </is>
      </c>
      <c r="F524" s="68" t="inlineStr">
        <is>
          <t>Range Resources FY26 + Appalachian gas coverage (2026-05-18)</t>
        </is>
      </c>
      <c r="G524" s="33" t="inlineStr">
        <is>
          <t>High</t>
        </is>
      </c>
      <c r="H524" s="33" t="inlineStr">
        <is>
          <t>Initial</t>
        </is>
      </c>
    </row>
    <row r="525">
      <c r="A525" s="33" t="inlineStr">
        <is>
          <t>2026-05-18</t>
        </is>
      </c>
      <c r="B525" s="33" t="inlineStr">
        <is>
          <t>RRC</t>
        </is>
      </c>
      <c r="C525" s="33" t="inlineStr">
        <is>
          <t>M2</t>
        </is>
      </c>
      <c r="D525" s="33" t="n">
        <v>1</v>
      </c>
      <c r="E525" s="68" t="inlineStr">
        <is>
          <t>+8% absolute, -28.5pp XLE.</t>
        </is>
      </c>
      <c r="F525" s="68" t="inlineStr">
        <is>
          <t>Range Resources FY26 + Appalachian gas coverage (2026-05-18)</t>
        </is>
      </c>
      <c r="G525" s="33" t="inlineStr">
        <is>
          <t>High</t>
        </is>
      </c>
      <c r="H525" s="33" t="inlineStr">
        <is>
          <t>Initial</t>
        </is>
      </c>
    </row>
    <row r="526">
      <c r="A526" s="33" t="inlineStr">
        <is>
          <t>2026-05-18</t>
        </is>
      </c>
      <c r="B526" s="33" t="inlineStr">
        <is>
          <t>RRC</t>
        </is>
      </c>
      <c r="C526" s="33" t="inlineStr">
        <is>
          <t>M3</t>
        </is>
      </c>
      <c r="D526" s="33" t="n">
        <v>3</v>
      </c>
      <c r="E526" s="68" t="inlineStr">
        <is>
          <t>Routine; default 3.</t>
        </is>
      </c>
      <c r="F526" s="68" t="inlineStr">
        <is>
          <t>Range Resources FY26 + Appalachian gas coverage (2026-05-18)</t>
        </is>
      </c>
      <c r="G526" s="33" t="inlineStr">
        <is>
          <t>High</t>
        </is>
      </c>
      <c r="H526" s="33" t="inlineStr">
        <is>
          <t>Initial</t>
        </is>
      </c>
    </row>
    <row r="527">
      <c r="A527" s="33" t="inlineStr">
        <is>
          <t>2026-05-18</t>
        </is>
      </c>
      <c r="B527" s="33" t="inlineStr">
        <is>
          <t>RRC</t>
        </is>
      </c>
      <c r="C527" s="33" t="inlineStr">
        <is>
          <t>R1</t>
        </is>
      </c>
      <c r="D527" s="33" t="n">
        <v>4</v>
      </c>
      <c r="E527" s="68" t="inlineStr">
        <is>
          <t>Diversified.</t>
        </is>
      </c>
      <c r="F527" s="68" t="inlineStr">
        <is>
          <t>Range Resources FY26 + Appalachian gas coverage (2026-05-18)</t>
        </is>
      </c>
      <c r="G527" s="33" t="inlineStr">
        <is>
          <t>High</t>
        </is>
      </c>
      <c r="H527" s="33" t="inlineStr">
        <is>
          <t>Initial</t>
        </is>
      </c>
    </row>
    <row r="528">
      <c r="A528" s="33" t="inlineStr">
        <is>
          <t>2026-05-18</t>
        </is>
      </c>
      <c r="B528" s="33" t="inlineStr">
        <is>
          <t>RRC</t>
        </is>
      </c>
      <c r="C528" s="33" t="inlineStr">
        <is>
          <t>R2</t>
        </is>
      </c>
      <c r="D528" s="33" t="n">
        <v>5</v>
      </c>
      <c r="E528" s="68" t="inlineStr">
        <is>
          <t>100% US.</t>
        </is>
      </c>
      <c r="F528" s="68" t="inlineStr">
        <is>
          <t>Range Resources FY26 + Appalachian gas coverage (2026-05-18)</t>
        </is>
      </c>
      <c r="G528" s="33" t="inlineStr">
        <is>
          <t>High</t>
        </is>
      </c>
      <c r="H528" s="33" t="inlineStr">
        <is>
          <t>Initial</t>
        </is>
      </c>
    </row>
    <row r="529">
      <c r="A529" s="33" t="inlineStr">
        <is>
          <t>2026-05-18</t>
        </is>
      </c>
      <c r="B529" s="33" t="inlineStr">
        <is>
          <t>RRC</t>
        </is>
      </c>
      <c r="C529" s="33" t="inlineStr">
        <is>
          <t>R3</t>
        </is>
      </c>
      <c r="D529" s="33" t="n">
        <v>5</v>
      </c>
      <c r="E529" s="68" t="inlineStr">
        <is>
          <t>Strong; low leverage.</t>
        </is>
      </c>
      <c r="F529" s="68" t="inlineStr">
        <is>
          <t>Range Resources FY26 + Appalachian gas coverage (2026-05-18)</t>
        </is>
      </c>
      <c r="G529" s="33" t="inlineStr">
        <is>
          <t>High</t>
        </is>
      </c>
      <c r="H529" s="33" t="inlineStr">
        <is>
          <t>Initial</t>
        </is>
      </c>
    </row>
    <row r="530">
      <c r="A530" s="33" t="inlineStr">
        <is>
          <t>2026-05-18</t>
        </is>
      </c>
      <c r="B530" s="33" t="inlineStr">
        <is>
          <t>RRC</t>
        </is>
      </c>
      <c r="C530" s="33" t="inlineStr">
        <is>
          <t>R4</t>
        </is>
      </c>
      <c r="D530" s="33" t="n">
        <v>4</v>
      </c>
      <c r="E530" s="68" t="inlineStr">
        <is>
          <t>Routine.</t>
        </is>
      </c>
      <c r="F530" s="68" t="inlineStr">
        <is>
          <t>Range Resources FY26 + Appalachian gas coverage (2026-05-18)</t>
        </is>
      </c>
      <c r="G530" s="33" t="inlineStr">
        <is>
          <t>High</t>
        </is>
      </c>
      <c r="H530" s="33" t="inlineStr">
        <is>
          <t>Initial</t>
        </is>
      </c>
    </row>
    <row r="531">
      <c r="A531" s="33" t="inlineStr">
        <is>
          <t>2026-05-18</t>
        </is>
      </c>
      <c r="B531" s="33" t="inlineStr">
        <is>
          <t>AR</t>
        </is>
      </c>
      <c r="C531" s="33" t="inlineStr">
        <is>
          <t>D1</t>
        </is>
      </c>
      <c r="D531" s="33" t="n">
        <v>3</v>
      </c>
      <c r="E531" s="68" t="inlineStr">
        <is>
          <t>Antero Appalachian gas + NGL exposure.</t>
        </is>
      </c>
      <c r="F531" s="68" t="inlineStr">
        <is>
          <t>Antero Resources FY26 + Appalachian gas coverage (2026-05-18)</t>
        </is>
      </c>
      <c r="G531" s="33" t="inlineStr">
        <is>
          <t>High</t>
        </is>
      </c>
      <c r="H531" s="33" t="inlineStr">
        <is>
          <t>Initial</t>
        </is>
      </c>
    </row>
    <row r="532">
      <c r="A532" s="33" t="inlineStr">
        <is>
          <t>2026-05-18</t>
        </is>
      </c>
      <c r="B532" s="33" t="inlineStr">
        <is>
          <t>AR</t>
        </is>
      </c>
      <c r="C532" s="33" t="inlineStr">
        <is>
          <t>D2</t>
        </is>
      </c>
      <c r="D532" s="33" t="n">
        <v>3</v>
      </c>
      <c r="E532" s="68" t="inlineStr">
        <is>
          <t>Mid-tier.</t>
        </is>
      </c>
      <c r="F532" s="68" t="inlineStr">
        <is>
          <t>Antero Resources FY26 + Appalachian gas coverage (2026-05-18)</t>
        </is>
      </c>
      <c r="G532" s="33" t="inlineStr">
        <is>
          <t>High</t>
        </is>
      </c>
      <c r="H532" s="33" t="inlineStr">
        <is>
          <t>Initial</t>
        </is>
      </c>
    </row>
    <row r="533">
      <c r="A533" s="33" t="inlineStr">
        <is>
          <t>2026-05-18</t>
        </is>
      </c>
      <c r="B533" s="33" t="inlineStr">
        <is>
          <t>AR</t>
        </is>
      </c>
      <c r="C533" s="33" t="inlineStr">
        <is>
          <t>D3</t>
        </is>
      </c>
      <c r="D533" s="33" t="n">
        <v>3</v>
      </c>
      <c r="E533" s="68" t="inlineStr">
        <is>
          <t>Land + production.</t>
        </is>
      </c>
      <c r="F533" s="68" t="inlineStr">
        <is>
          <t>Antero Resources FY26 + Appalachian gas coverage (2026-05-18)</t>
        </is>
      </c>
      <c r="G533" s="33" t="inlineStr">
        <is>
          <t>High</t>
        </is>
      </c>
      <c r="H533" s="33" t="inlineStr">
        <is>
          <t>Initial</t>
        </is>
      </c>
    </row>
    <row r="534">
      <c r="A534" s="33" t="inlineStr">
        <is>
          <t>2026-05-18</t>
        </is>
      </c>
      <c r="B534" s="33" t="inlineStr">
        <is>
          <t>AR</t>
        </is>
      </c>
      <c r="C534" s="33" t="inlineStr">
        <is>
          <t>D4</t>
        </is>
      </c>
      <c r="D534" s="33" t="n">
        <v>4</v>
      </c>
      <c r="E534" s="68" t="inlineStr">
        <is>
          <t>Production capex.</t>
        </is>
      </c>
      <c r="F534" s="68" t="inlineStr">
        <is>
          <t>Antero Resources FY26 + Appalachian gas coverage (2026-05-18)</t>
        </is>
      </c>
      <c r="G534" s="33" t="inlineStr">
        <is>
          <t>High</t>
        </is>
      </c>
      <c r="H534" s="33" t="inlineStr">
        <is>
          <t>Initial</t>
        </is>
      </c>
    </row>
    <row r="535">
      <c r="A535" s="33" t="inlineStr">
        <is>
          <t>2026-05-18</t>
        </is>
      </c>
      <c r="B535" s="33" t="inlineStr">
        <is>
          <t>AR</t>
        </is>
      </c>
      <c r="C535" s="33" t="inlineStr">
        <is>
          <t>D5</t>
        </is>
      </c>
      <c r="D535" s="33" t="n">
        <v>3</v>
      </c>
      <c r="E535" s="68" t="inlineStr">
        <is>
          <t>Indirect.</t>
        </is>
      </c>
      <c r="F535" s="68" t="inlineStr">
        <is>
          <t>Antero Resources FY26 + Appalachian gas coverage (2026-05-18)</t>
        </is>
      </c>
      <c r="G535" s="33" t="inlineStr">
        <is>
          <t>High</t>
        </is>
      </c>
      <c r="H535" s="33" t="inlineStr">
        <is>
          <t>Initial</t>
        </is>
      </c>
    </row>
    <row r="536">
      <c r="A536" s="33" t="inlineStr">
        <is>
          <t>2026-05-18</t>
        </is>
      </c>
      <c r="B536" s="33" t="inlineStr">
        <is>
          <t>AR</t>
        </is>
      </c>
      <c r="C536" s="33" t="inlineStr">
        <is>
          <t>M1</t>
        </is>
      </c>
      <c r="D536" s="33" t="n">
        <v>5</v>
      </c>
      <c r="E536" s="68" t="inlineStr">
        <is>
          <t>11/4 — strongly positive.</t>
        </is>
      </c>
      <c r="F536" s="68" t="inlineStr">
        <is>
          <t>Antero Resources FY26 + Appalachian gas coverage (2026-05-18)</t>
        </is>
      </c>
      <c r="G536" s="33" t="inlineStr">
        <is>
          <t>High</t>
        </is>
      </c>
      <c r="H536" s="33" t="inlineStr">
        <is>
          <t>Initial</t>
        </is>
      </c>
    </row>
    <row r="537">
      <c r="A537" s="33" t="inlineStr">
        <is>
          <t>2026-05-18</t>
        </is>
      </c>
      <c r="B537" s="33" t="inlineStr">
        <is>
          <t>AR</t>
        </is>
      </c>
      <c r="C537" s="33" t="inlineStr">
        <is>
          <t>M2</t>
        </is>
      </c>
      <c r="D537" s="33" t="n">
        <v>1</v>
      </c>
      <c r="E537" s="68" t="inlineStr">
        <is>
          <t>+9.5% absolute, -27pp XLE.</t>
        </is>
      </c>
      <c r="F537" s="68" t="inlineStr">
        <is>
          <t>Antero Resources FY26 + Appalachian gas coverage (2026-05-18)</t>
        </is>
      </c>
      <c r="G537" s="33" t="inlineStr">
        <is>
          <t>High</t>
        </is>
      </c>
      <c r="H537" s="33" t="inlineStr">
        <is>
          <t>Initial</t>
        </is>
      </c>
    </row>
    <row r="538">
      <c r="A538" s="33" t="inlineStr">
        <is>
          <t>2026-05-18</t>
        </is>
      </c>
      <c r="B538" s="33" t="inlineStr">
        <is>
          <t>AR</t>
        </is>
      </c>
      <c r="C538" s="33" t="inlineStr">
        <is>
          <t>M3</t>
        </is>
      </c>
      <c r="D538" s="33" t="n">
        <v>3</v>
      </c>
      <c r="E538" s="68" t="inlineStr">
        <is>
          <t>Routine; default 3.</t>
        </is>
      </c>
      <c r="F538" s="68" t="inlineStr">
        <is>
          <t>Antero Resources FY26 + Appalachian gas coverage (2026-05-18)</t>
        </is>
      </c>
      <c r="G538" s="33" t="inlineStr">
        <is>
          <t>High</t>
        </is>
      </c>
      <c r="H538" s="33" t="inlineStr">
        <is>
          <t>Initial</t>
        </is>
      </c>
    </row>
    <row r="539">
      <c r="A539" s="33" t="inlineStr">
        <is>
          <t>2026-05-18</t>
        </is>
      </c>
      <c r="B539" s="33" t="inlineStr">
        <is>
          <t>AR</t>
        </is>
      </c>
      <c r="C539" s="33" t="inlineStr">
        <is>
          <t>R1</t>
        </is>
      </c>
      <c r="D539" s="33" t="n">
        <v>4</v>
      </c>
      <c r="E539" s="68" t="inlineStr">
        <is>
          <t>Diversified.</t>
        </is>
      </c>
      <c r="F539" s="68" t="inlineStr">
        <is>
          <t>Antero Resources FY26 + Appalachian gas coverage (2026-05-18)</t>
        </is>
      </c>
      <c r="G539" s="33" t="inlineStr">
        <is>
          <t>High</t>
        </is>
      </c>
      <c r="H539" s="33" t="inlineStr">
        <is>
          <t>Initial</t>
        </is>
      </c>
    </row>
    <row r="540">
      <c r="A540" s="33" t="inlineStr">
        <is>
          <t>2026-05-18</t>
        </is>
      </c>
      <c r="B540" s="33" t="inlineStr">
        <is>
          <t>AR</t>
        </is>
      </c>
      <c r="C540" s="33" t="inlineStr">
        <is>
          <t>R2</t>
        </is>
      </c>
      <c r="D540" s="33" t="n">
        <v>5</v>
      </c>
      <c r="E540" s="68" t="inlineStr">
        <is>
          <t>100% US.</t>
        </is>
      </c>
      <c r="F540" s="68" t="inlineStr">
        <is>
          <t>Antero Resources FY26 + Appalachian gas coverage (2026-05-18)</t>
        </is>
      </c>
      <c r="G540" s="33" t="inlineStr">
        <is>
          <t>High</t>
        </is>
      </c>
      <c r="H540" s="33" t="inlineStr">
        <is>
          <t>Initial</t>
        </is>
      </c>
    </row>
    <row r="541">
      <c r="A541" s="33" t="inlineStr">
        <is>
          <t>2026-05-18</t>
        </is>
      </c>
      <c r="B541" s="33" t="inlineStr">
        <is>
          <t>AR</t>
        </is>
      </c>
      <c r="C541" s="33" t="inlineStr">
        <is>
          <t>R3</t>
        </is>
      </c>
      <c r="D541" s="33" t="n">
        <v>4</v>
      </c>
      <c r="E541" s="68" t="inlineStr">
        <is>
          <t>Moderate leverage.</t>
        </is>
      </c>
      <c r="F541" s="68" t="inlineStr">
        <is>
          <t>Antero Resources FY26 + Appalachian gas coverage (2026-05-18)</t>
        </is>
      </c>
      <c r="G541" s="33" t="inlineStr">
        <is>
          <t>High</t>
        </is>
      </c>
      <c r="H541" s="33" t="inlineStr">
        <is>
          <t>Initial</t>
        </is>
      </c>
    </row>
    <row r="542">
      <c r="A542" s="33" t="inlineStr">
        <is>
          <t>2026-05-18</t>
        </is>
      </c>
      <c r="B542" s="33" t="inlineStr">
        <is>
          <t>AR</t>
        </is>
      </c>
      <c r="C542" s="33" t="inlineStr">
        <is>
          <t>R4</t>
        </is>
      </c>
      <c r="D542" s="33" t="n">
        <v>4</v>
      </c>
      <c r="E542" s="68" t="inlineStr">
        <is>
          <t>Routine.</t>
        </is>
      </c>
      <c r="F542" s="68" t="inlineStr">
        <is>
          <t>Antero Resources FY26 + Appalachian gas coverage (2026-05-18)</t>
        </is>
      </c>
      <c r="G542" s="33" t="inlineStr">
        <is>
          <t>High</t>
        </is>
      </c>
      <c r="H542" s="33" t="inlineStr">
        <is>
          <t>Initial</t>
        </is>
      </c>
    </row>
    <row r="543">
      <c r="A543" s="33" t="inlineStr">
        <is>
          <t>2026-05-18</t>
        </is>
      </c>
      <c r="B543" s="33" t="inlineStr">
        <is>
          <t>CTRA</t>
        </is>
      </c>
      <c r="C543" s="33" t="inlineStr">
        <is>
          <t>D1</t>
        </is>
      </c>
      <c r="D543" s="33" t="n">
        <v>3</v>
      </c>
      <c r="E543" s="68" t="inlineStr">
        <is>
          <t>Permian + Marcellus; mid-tier indirect AI gas exposure.</t>
        </is>
      </c>
      <c r="F543" s="68" t="inlineStr">
        <is>
          <t>Coterra FY26 + Devon $58B merger Feb 2026 + AI gas demand coverage (2026-05-18)</t>
        </is>
      </c>
      <c r="G543" s="33" t="inlineStr">
        <is>
          <t>High</t>
        </is>
      </c>
      <c r="H543" s="33" t="inlineStr">
        <is>
          <t>Initial</t>
        </is>
      </c>
    </row>
    <row r="544">
      <c r="A544" s="33" t="inlineStr">
        <is>
          <t>2026-05-18</t>
        </is>
      </c>
      <c r="B544" s="33" t="inlineStr">
        <is>
          <t>CTRA</t>
        </is>
      </c>
      <c r="C544" s="33" t="inlineStr">
        <is>
          <t>D2</t>
        </is>
      </c>
      <c r="D544" s="33" t="n">
        <v>4</v>
      </c>
      <c r="E544" s="68" t="inlineStr">
        <is>
          <t>$58B Devon merger Feb 2026 = largest pure gas + Permian player post-close. Scale leadership.</t>
        </is>
      </c>
      <c r="F544" s="68" t="inlineStr">
        <is>
          <t>Coterra FY26 + Devon $58B merger Feb 2026 + AI gas demand coverage (2026-05-18)</t>
        </is>
      </c>
      <c r="G544" s="33" t="inlineStr">
        <is>
          <t>High</t>
        </is>
      </c>
      <c r="H544" s="33" t="inlineStr">
        <is>
          <t>Initial</t>
        </is>
      </c>
    </row>
    <row r="545">
      <c r="A545" s="33" t="inlineStr">
        <is>
          <t>2026-05-18</t>
        </is>
      </c>
      <c r="B545" s="33" t="inlineStr">
        <is>
          <t>CTRA</t>
        </is>
      </c>
      <c r="C545" s="33" t="inlineStr">
        <is>
          <t>D3</t>
        </is>
      </c>
      <c r="D545" s="33" t="n">
        <v>4</v>
      </c>
      <c r="E545" s="68" t="inlineStr">
        <is>
          <t>Diversified basin position post-merger.</t>
        </is>
      </c>
      <c r="F545" s="68" t="inlineStr">
        <is>
          <t>Coterra FY26 + Devon $58B merger Feb 2026 + AI gas demand coverage (2026-05-18)</t>
        </is>
      </c>
      <c r="G545" s="33" t="inlineStr">
        <is>
          <t>High</t>
        </is>
      </c>
      <c r="H545" s="33" t="inlineStr">
        <is>
          <t>Initial</t>
        </is>
      </c>
    </row>
    <row r="546">
      <c r="A546" s="33" t="inlineStr">
        <is>
          <t>2026-05-18</t>
        </is>
      </c>
      <c r="B546" s="33" t="inlineStr">
        <is>
          <t>CTRA</t>
        </is>
      </c>
      <c r="C546" s="33" t="inlineStr">
        <is>
          <t>D4</t>
        </is>
      </c>
      <c r="D546" s="33" t="n">
        <v>5</v>
      </c>
      <c r="E546" s="68" t="inlineStr">
        <is>
          <t>Devon merger funded multi-year buildout + production ramp.</t>
        </is>
      </c>
      <c r="F546" s="68" t="inlineStr">
        <is>
          <t>Coterra FY26 + Devon $58B merger Feb 2026 + AI gas demand coverage (2026-05-18)</t>
        </is>
      </c>
      <c r="G546" s="33" t="inlineStr">
        <is>
          <t>High</t>
        </is>
      </c>
      <c r="H546" s="33" t="inlineStr">
        <is>
          <t>Initial</t>
        </is>
      </c>
    </row>
    <row r="547">
      <c r="A547" s="33" t="inlineStr">
        <is>
          <t>2026-05-18</t>
        </is>
      </c>
      <c r="B547" s="33" t="inlineStr">
        <is>
          <t>CTRA</t>
        </is>
      </c>
      <c r="C547" s="33" t="inlineStr">
        <is>
          <t>D5</t>
        </is>
      </c>
      <c r="D547" s="33" t="n">
        <v>3</v>
      </c>
      <c r="E547" s="68" t="inlineStr">
        <is>
          <t>Indirect.</t>
        </is>
      </c>
      <c r="F547" s="68" t="inlineStr">
        <is>
          <t>Coterra FY26 + Devon $58B merger Feb 2026 + AI gas demand coverage (2026-05-18)</t>
        </is>
      </c>
      <c r="G547" s="33" t="inlineStr">
        <is>
          <t>High</t>
        </is>
      </c>
      <c r="H547" s="33" t="inlineStr">
        <is>
          <t>Initial</t>
        </is>
      </c>
    </row>
    <row r="548">
      <c r="A548" s="33" t="inlineStr">
        <is>
          <t>2026-05-18</t>
        </is>
      </c>
      <c r="B548" s="33" t="inlineStr">
        <is>
          <t>CTRA</t>
        </is>
      </c>
      <c r="C548" s="33" t="inlineStr">
        <is>
          <t>M1</t>
        </is>
      </c>
      <c r="D548" s="33" t="n">
        <v>5</v>
      </c>
      <c r="E548" s="68" t="inlineStr">
        <is>
          <t>11/3 — strongly positive.</t>
        </is>
      </c>
      <c r="F548" s="68" t="inlineStr">
        <is>
          <t>Coterra FY26 + Devon $58B merger Feb 2026 + AI gas demand coverage (2026-05-18)</t>
        </is>
      </c>
      <c r="G548" s="33" t="inlineStr">
        <is>
          <t>High</t>
        </is>
      </c>
      <c r="H548" s="33" t="inlineStr">
        <is>
          <t>Initial</t>
        </is>
      </c>
    </row>
    <row r="549">
      <c r="A549" s="33" t="inlineStr">
        <is>
          <t>2026-05-18</t>
        </is>
      </c>
      <c r="B549" s="33" t="inlineStr">
        <is>
          <t>CTRA</t>
        </is>
      </c>
      <c r="C549" s="33" t="inlineStr">
        <is>
          <t>M2</t>
        </is>
      </c>
      <c r="D549" s="33" t="n">
        <v>1</v>
      </c>
      <c r="E549" s="68" t="inlineStr">
        <is>
          <t>NaN (recent merger timing).</t>
        </is>
      </c>
      <c r="F549" s="68" t="inlineStr">
        <is>
          <t>Coterra FY26 + Devon $58B merger Feb 2026 + AI gas demand coverage (2026-05-18)</t>
        </is>
      </c>
      <c r="G549" s="33" t="inlineStr">
        <is>
          <t>High</t>
        </is>
      </c>
      <c r="H549" s="33" t="inlineStr">
        <is>
          <t>Initial</t>
        </is>
      </c>
    </row>
    <row r="550">
      <c r="A550" s="33" t="inlineStr">
        <is>
          <t>2026-05-18</t>
        </is>
      </c>
      <c r="B550" s="33" t="inlineStr">
        <is>
          <t>CTRA</t>
        </is>
      </c>
      <c r="C550" s="33" t="inlineStr">
        <is>
          <t>M3</t>
        </is>
      </c>
      <c r="D550" s="33" t="n">
        <v>3</v>
      </c>
      <c r="E550" s="68" t="inlineStr">
        <is>
          <t>Routine; default 3.</t>
        </is>
      </c>
      <c r="F550" s="68" t="inlineStr">
        <is>
          <t>Coterra FY26 + Devon $58B merger Feb 2026 + AI gas demand coverage (2026-05-18)</t>
        </is>
      </c>
      <c r="G550" s="33" t="inlineStr">
        <is>
          <t>High</t>
        </is>
      </c>
      <c r="H550" s="33" t="inlineStr">
        <is>
          <t>Initial</t>
        </is>
      </c>
    </row>
    <row r="551">
      <c r="A551" s="33" t="inlineStr">
        <is>
          <t>2026-05-18</t>
        </is>
      </c>
      <c r="B551" s="33" t="inlineStr">
        <is>
          <t>CTRA</t>
        </is>
      </c>
      <c r="C551" s="33" t="inlineStr">
        <is>
          <t>R1</t>
        </is>
      </c>
      <c r="D551" s="33" t="n">
        <v>4</v>
      </c>
      <c r="E551" s="68" t="inlineStr">
        <is>
          <t>Diversified post-merger.</t>
        </is>
      </c>
      <c r="F551" s="68" t="inlineStr">
        <is>
          <t>Coterra FY26 + Devon $58B merger Feb 2026 + AI gas demand coverage (2026-05-18)</t>
        </is>
      </c>
      <c r="G551" s="33" t="inlineStr">
        <is>
          <t>High</t>
        </is>
      </c>
      <c r="H551" s="33" t="inlineStr">
        <is>
          <t>Initial</t>
        </is>
      </c>
    </row>
    <row r="552">
      <c r="A552" s="33" t="inlineStr">
        <is>
          <t>2026-05-18</t>
        </is>
      </c>
      <c r="B552" s="33" t="inlineStr">
        <is>
          <t>CTRA</t>
        </is>
      </c>
      <c r="C552" s="33" t="inlineStr">
        <is>
          <t>R2</t>
        </is>
      </c>
      <c r="D552" s="33" t="n">
        <v>5</v>
      </c>
      <c r="E552" s="68" t="inlineStr">
        <is>
          <t>100% US.</t>
        </is>
      </c>
      <c r="F552" s="68" t="inlineStr">
        <is>
          <t>Coterra FY26 + Devon $58B merger Feb 2026 + AI gas demand coverage (2026-05-18)</t>
        </is>
      </c>
      <c r="G552" s="33" t="inlineStr">
        <is>
          <t>High</t>
        </is>
      </c>
      <c r="H552" s="33" t="inlineStr">
        <is>
          <t>Initial</t>
        </is>
      </c>
    </row>
    <row r="553">
      <c r="A553" s="33" t="inlineStr">
        <is>
          <t>2026-05-18</t>
        </is>
      </c>
      <c r="B553" s="33" t="inlineStr">
        <is>
          <t>CTRA</t>
        </is>
      </c>
      <c r="C553" s="33" t="inlineStr">
        <is>
          <t>R3</t>
        </is>
      </c>
      <c r="D553" s="33" t="n">
        <v>5</v>
      </c>
      <c r="E553" s="68" t="inlineStr">
        <is>
          <t>Net cash + strong FCF; merger integration could elevate temporarily.</t>
        </is>
      </c>
      <c r="F553" s="68" t="inlineStr">
        <is>
          <t>Coterra FY26 + Devon $58B merger Feb 2026 + AI gas demand coverage (2026-05-18)</t>
        </is>
      </c>
      <c r="G553" s="33" t="inlineStr">
        <is>
          <t>High</t>
        </is>
      </c>
      <c r="H553" s="33" t="inlineStr">
        <is>
          <t>Initial</t>
        </is>
      </c>
    </row>
    <row r="554">
      <c r="A554" s="33" t="inlineStr">
        <is>
          <t>2026-05-18</t>
        </is>
      </c>
      <c r="B554" s="33" t="inlineStr">
        <is>
          <t>CTRA</t>
        </is>
      </c>
      <c r="C554" s="33" t="inlineStr">
        <is>
          <t>R4</t>
        </is>
      </c>
      <c r="D554" s="33" t="n">
        <v>4</v>
      </c>
      <c r="E554" s="68" t="inlineStr">
        <is>
          <t>Routine.</t>
        </is>
      </c>
      <c r="F554" s="68" t="inlineStr">
        <is>
          <t>Coterra FY26 + Devon $58B merger Feb 2026 + AI gas demand coverage (2026-05-18)</t>
        </is>
      </c>
      <c r="G554" s="33" t="inlineStr">
        <is>
          <t>High</t>
        </is>
      </c>
      <c r="H554" s="33" t="inlineStr">
        <is>
          <t>Initial</t>
        </is>
      </c>
    </row>
    <row r="555">
      <c r="A555" s="33" t="inlineStr">
        <is>
          <t>2026-05-18</t>
        </is>
      </c>
      <c r="B555" s="33" t="inlineStr">
        <is>
          <t>EXE</t>
        </is>
      </c>
      <c r="C555" s="33" t="inlineStr">
        <is>
          <t>D1</t>
        </is>
      </c>
      <c r="D555" s="33" t="n">
        <v>3</v>
      </c>
      <c r="E555" s="68" t="inlineStr">
        <is>
          <t>Expand Energy (post-Chesapeake) gas focused.</t>
        </is>
      </c>
      <c r="F555" s="68" t="inlineStr">
        <is>
          <t>Expand Energy (ex-Chesapeake) FY26 + gas-focused coverage (2026-05-18)</t>
        </is>
      </c>
      <c r="G555" s="33" t="inlineStr">
        <is>
          <t>High</t>
        </is>
      </c>
      <c r="H555" s="33" t="inlineStr">
        <is>
          <t>Initial</t>
        </is>
      </c>
    </row>
    <row r="556">
      <c r="A556" s="33" t="inlineStr">
        <is>
          <t>2026-05-18</t>
        </is>
      </c>
      <c r="B556" s="33" t="inlineStr">
        <is>
          <t>EXE</t>
        </is>
      </c>
      <c r="C556" s="33" t="inlineStr">
        <is>
          <t>D2</t>
        </is>
      </c>
      <c r="D556" s="33" t="n">
        <v>3</v>
      </c>
      <c r="E556" s="68" t="inlineStr">
        <is>
          <t>Mid-tier gas player.</t>
        </is>
      </c>
      <c r="F556" s="68" t="inlineStr">
        <is>
          <t>Expand Energy (ex-Chesapeake) FY26 + gas-focused coverage (2026-05-18)</t>
        </is>
      </c>
      <c r="G556" s="33" t="inlineStr">
        <is>
          <t>High</t>
        </is>
      </c>
      <c r="H556" s="33" t="inlineStr">
        <is>
          <t>Initial</t>
        </is>
      </c>
    </row>
    <row r="557">
      <c r="A557" s="33" t="inlineStr">
        <is>
          <t>2026-05-18</t>
        </is>
      </c>
      <c r="B557" s="33" t="inlineStr">
        <is>
          <t>EXE</t>
        </is>
      </c>
      <c r="C557" s="33" t="inlineStr">
        <is>
          <t>D3</t>
        </is>
      </c>
      <c r="D557" s="33" t="n">
        <v>3</v>
      </c>
      <c r="E557" s="68" t="inlineStr">
        <is>
          <t>Land position.</t>
        </is>
      </c>
      <c r="F557" s="68" t="inlineStr">
        <is>
          <t>Expand Energy (ex-Chesapeake) FY26 + gas-focused coverage (2026-05-18)</t>
        </is>
      </c>
      <c r="G557" s="33" t="inlineStr">
        <is>
          <t>High</t>
        </is>
      </c>
      <c r="H557" s="33" t="inlineStr">
        <is>
          <t>Initial</t>
        </is>
      </c>
    </row>
    <row r="558">
      <c r="A558" s="33" t="inlineStr">
        <is>
          <t>2026-05-18</t>
        </is>
      </c>
      <c r="B558" s="33" t="inlineStr">
        <is>
          <t>EXE</t>
        </is>
      </c>
      <c r="C558" s="33" t="inlineStr">
        <is>
          <t>D4</t>
        </is>
      </c>
      <c r="D558" s="33" t="n">
        <v>4</v>
      </c>
      <c r="E558" s="68" t="inlineStr">
        <is>
          <t>Production capex.</t>
        </is>
      </c>
      <c r="F558" s="68" t="inlineStr">
        <is>
          <t>Expand Energy (ex-Chesapeake) FY26 + gas-focused coverage (2026-05-18)</t>
        </is>
      </c>
      <c r="G558" s="33" t="inlineStr">
        <is>
          <t>High</t>
        </is>
      </c>
      <c r="H558" s="33" t="inlineStr">
        <is>
          <t>Initial</t>
        </is>
      </c>
    </row>
    <row r="559">
      <c r="A559" s="33" t="inlineStr">
        <is>
          <t>2026-05-18</t>
        </is>
      </c>
      <c r="B559" s="33" t="inlineStr">
        <is>
          <t>EXE</t>
        </is>
      </c>
      <c r="C559" s="33" t="inlineStr">
        <is>
          <t>D5</t>
        </is>
      </c>
      <c r="D559" s="33" t="n">
        <v>3</v>
      </c>
      <c r="E559" s="68" t="inlineStr">
        <is>
          <t>Indirect.</t>
        </is>
      </c>
      <c r="F559" s="68" t="inlineStr">
        <is>
          <t>Expand Energy (ex-Chesapeake) FY26 + gas-focused coverage (2026-05-18)</t>
        </is>
      </c>
      <c r="G559" s="33" t="inlineStr">
        <is>
          <t>High</t>
        </is>
      </c>
      <c r="H559" s="33" t="inlineStr">
        <is>
          <t>Initial</t>
        </is>
      </c>
    </row>
    <row r="560">
      <c r="A560" s="33" t="inlineStr">
        <is>
          <t>2026-05-18</t>
        </is>
      </c>
      <c r="B560" s="33" t="inlineStr">
        <is>
          <t>EXE</t>
        </is>
      </c>
      <c r="C560" s="33" t="inlineStr">
        <is>
          <t>M1</t>
        </is>
      </c>
      <c r="D560" s="33" t="n">
        <v>3</v>
      </c>
      <c r="E560" s="68" t="inlineStr">
        <is>
          <t>10/11 — mixed.</t>
        </is>
      </c>
      <c r="F560" s="68" t="inlineStr">
        <is>
          <t>Expand Energy (ex-Chesapeake) FY26 + gas-focused coverage (2026-05-18)</t>
        </is>
      </c>
      <c r="G560" s="33" t="inlineStr">
        <is>
          <t>High</t>
        </is>
      </c>
      <c r="H560" s="33" t="inlineStr">
        <is>
          <t>Initial</t>
        </is>
      </c>
    </row>
    <row r="561">
      <c r="A561" s="33" t="inlineStr">
        <is>
          <t>2026-05-18</t>
        </is>
      </c>
      <c r="B561" s="33" t="inlineStr">
        <is>
          <t>EXE</t>
        </is>
      </c>
      <c r="C561" s="33" t="inlineStr">
        <is>
          <t>M2</t>
        </is>
      </c>
      <c r="D561" s="33" t="n">
        <v>1</v>
      </c>
      <c r="E561" s="68" t="inlineStr">
        <is>
          <t>-15% absolute, -52pp XLE — heaviest lag in gas cluster.</t>
        </is>
      </c>
      <c r="F561" s="68" t="inlineStr">
        <is>
          <t>Expand Energy (ex-Chesapeake) FY26 + gas-focused coverage (2026-05-18)</t>
        </is>
      </c>
      <c r="G561" s="33" t="inlineStr">
        <is>
          <t>High</t>
        </is>
      </c>
      <c r="H561" s="33" t="inlineStr">
        <is>
          <t>Initial</t>
        </is>
      </c>
    </row>
    <row r="562">
      <c r="A562" s="33" t="inlineStr">
        <is>
          <t>2026-05-18</t>
        </is>
      </c>
      <c r="B562" s="33" t="inlineStr">
        <is>
          <t>EXE</t>
        </is>
      </c>
      <c r="C562" s="33" t="inlineStr">
        <is>
          <t>M3</t>
        </is>
      </c>
      <c r="D562" s="33" t="n">
        <v>3</v>
      </c>
      <c r="E562" s="68" t="inlineStr">
        <is>
          <t>Routine; default 3.</t>
        </is>
      </c>
      <c r="F562" s="68" t="inlineStr">
        <is>
          <t>Expand Energy (ex-Chesapeake) FY26 + gas-focused coverage (2026-05-18)</t>
        </is>
      </c>
      <c r="G562" s="33" t="inlineStr">
        <is>
          <t>High</t>
        </is>
      </c>
      <c r="H562" s="33" t="inlineStr">
        <is>
          <t>Initial</t>
        </is>
      </c>
    </row>
    <row r="563">
      <c r="A563" s="33" t="inlineStr">
        <is>
          <t>2026-05-18</t>
        </is>
      </c>
      <c r="B563" s="33" t="inlineStr">
        <is>
          <t>EXE</t>
        </is>
      </c>
      <c r="C563" s="33" t="inlineStr">
        <is>
          <t>R1</t>
        </is>
      </c>
      <c r="D563" s="33" t="n">
        <v>4</v>
      </c>
      <c r="E563" s="68" t="inlineStr">
        <is>
          <t>Diversified.</t>
        </is>
      </c>
      <c r="F563" s="68" t="inlineStr">
        <is>
          <t>Expand Energy (ex-Chesapeake) FY26 + gas-focused coverage (2026-05-18)</t>
        </is>
      </c>
      <c r="G563" s="33" t="inlineStr">
        <is>
          <t>High</t>
        </is>
      </c>
      <c r="H563" s="33" t="inlineStr">
        <is>
          <t>Initial</t>
        </is>
      </c>
    </row>
    <row r="564">
      <c r="A564" s="33" t="inlineStr">
        <is>
          <t>2026-05-18</t>
        </is>
      </c>
      <c r="B564" s="33" t="inlineStr">
        <is>
          <t>EXE</t>
        </is>
      </c>
      <c r="C564" s="33" t="inlineStr">
        <is>
          <t>R2</t>
        </is>
      </c>
      <c r="D564" s="33" t="n">
        <v>5</v>
      </c>
      <c r="E564" s="68" t="inlineStr">
        <is>
          <t>100% US.</t>
        </is>
      </c>
      <c r="F564" s="68" t="inlineStr">
        <is>
          <t>Expand Energy (ex-Chesapeake) FY26 + gas-focused coverage (2026-05-18)</t>
        </is>
      </c>
      <c r="G564" s="33" t="inlineStr">
        <is>
          <t>High</t>
        </is>
      </c>
      <c r="H564" s="33" t="inlineStr">
        <is>
          <t>Initial</t>
        </is>
      </c>
    </row>
    <row r="565">
      <c r="A565" s="33" t="inlineStr">
        <is>
          <t>2026-05-18</t>
        </is>
      </c>
      <c r="B565" s="33" t="inlineStr">
        <is>
          <t>EXE</t>
        </is>
      </c>
      <c r="C565" s="33" t="inlineStr">
        <is>
          <t>R3</t>
        </is>
      </c>
      <c r="D565" s="33" t="n">
        <v>5</v>
      </c>
      <c r="E565" s="68" t="inlineStr">
        <is>
          <t>Net cash.</t>
        </is>
      </c>
      <c r="F565" s="68" t="inlineStr">
        <is>
          <t>Expand Energy (ex-Chesapeake) FY26 + gas-focused coverage (2026-05-18)</t>
        </is>
      </c>
      <c r="G565" s="33" t="inlineStr">
        <is>
          <t>High</t>
        </is>
      </c>
      <c r="H565" s="33" t="inlineStr">
        <is>
          <t>Initial</t>
        </is>
      </c>
    </row>
    <row r="566">
      <c r="A566" s="33" t="inlineStr">
        <is>
          <t>2026-05-18</t>
        </is>
      </c>
      <c r="B566" s="33" t="inlineStr">
        <is>
          <t>EXE</t>
        </is>
      </c>
      <c r="C566" s="33" t="inlineStr">
        <is>
          <t>R4</t>
        </is>
      </c>
      <c r="D566" s="33" t="n">
        <v>4</v>
      </c>
      <c r="E566" s="68" t="inlineStr">
        <is>
          <t>Routine.</t>
        </is>
      </c>
      <c r="F566" s="68" t="inlineStr">
        <is>
          <t>Expand Energy (ex-Chesapeake) FY26 + gas-focused coverage (2026-05-18)</t>
        </is>
      </c>
      <c r="G566" s="33" t="inlineStr">
        <is>
          <t>High</t>
        </is>
      </c>
      <c r="H566" s="33" t="inlineStr">
        <is>
          <t>Initial</t>
        </is>
      </c>
    </row>
    <row r="567">
      <c r="A567" s="33" t="inlineStr">
        <is>
          <t>2026-05-18</t>
        </is>
      </c>
      <c r="B567" s="33" t="inlineStr">
        <is>
          <t>PLUG</t>
        </is>
      </c>
      <c r="C567" s="33" t="inlineStr">
        <is>
          <t>D1</t>
        </is>
      </c>
      <c r="D567" s="33" t="n">
        <v>2</v>
      </c>
      <c r="E567" s="68" t="inlineStr">
        <is>
          <t>Hydrogen fuel cells — historical struggles, limited AI uptake.</t>
        </is>
      </c>
      <c r="F567" s="68" t="inlineStr">
        <is>
          <t>Plug Power FY26 + hydrogen fuel cell coverage (2026-05-18)</t>
        </is>
      </c>
      <c r="G567" s="33" t="inlineStr">
        <is>
          <t>High</t>
        </is>
      </c>
      <c r="H567" s="33" t="inlineStr">
        <is>
          <t>Initial</t>
        </is>
      </c>
    </row>
    <row r="568">
      <c r="A568" s="33" t="inlineStr">
        <is>
          <t>2026-05-18</t>
        </is>
      </c>
      <c r="B568" s="33" t="inlineStr">
        <is>
          <t>PLUG</t>
        </is>
      </c>
      <c r="C568" s="33" t="inlineStr">
        <is>
          <t>D2</t>
        </is>
      </c>
      <c r="D568" s="33" t="n">
        <v>2</v>
      </c>
      <c r="E568" s="68" t="inlineStr">
        <is>
          <t>Hydrogen tech but commoditizable.</t>
        </is>
      </c>
      <c r="F568" s="68" t="inlineStr">
        <is>
          <t>Plug Power FY26 + hydrogen fuel cell coverage (2026-05-18)</t>
        </is>
      </c>
      <c r="G568" s="33" t="inlineStr">
        <is>
          <t>High</t>
        </is>
      </c>
      <c r="H568" s="33" t="inlineStr">
        <is>
          <t>Initial</t>
        </is>
      </c>
    </row>
    <row r="569">
      <c r="A569" s="33" t="inlineStr">
        <is>
          <t>2026-05-18</t>
        </is>
      </c>
      <c r="B569" s="33" t="inlineStr">
        <is>
          <t>PLUG</t>
        </is>
      </c>
      <c r="C569" s="33" t="inlineStr">
        <is>
          <t>D3</t>
        </is>
      </c>
      <c r="D569" s="33" t="n">
        <v>2</v>
      </c>
      <c r="E569" s="68" t="inlineStr">
        <is>
          <t>Limited moat; ongoing losses.</t>
        </is>
      </c>
      <c r="F569" s="68" t="inlineStr">
        <is>
          <t>Plug Power FY26 + hydrogen fuel cell coverage (2026-05-18)</t>
        </is>
      </c>
      <c r="G569" s="33" t="inlineStr">
        <is>
          <t>High</t>
        </is>
      </c>
      <c r="H569" s="33" t="inlineStr">
        <is>
          <t>Initial</t>
        </is>
      </c>
    </row>
    <row r="570">
      <c r="A570" s="33" t="inlineStr">
        <is>
          <t>2026-05-18</t>
        </is>
      </c>
      <c r="B570" s="33" t="inlineStr">
        <is>
          <t>PLUG</t>
        </is>
      </c>
      <c r="C570" s="33" t="inlineStr">
        <is>
          <t>D4</t>
        </is>
      </c>
      <c r="D570" s="33" t="n">
        <v>3</v>
      </c>
      <c r="E570" s="68" t="inlineStr">
        <is>
          <t>Capex but execution risk.</t>
        </is>
      </c>
      <c r="F570" s="68" t="inlineStr">
        <is>
          <t>Plug Power FY26 + hydrogen fuel cell coverage (2026-05-18)</t>
        </is>
      </c>
      <c r="G570" s="33" t="inlineStr">
        <is>
          <t>High</t>
        </is>
      </c>
      <c r="H570" s="33" t="inlineStr">
        <is>
          <t>Initial</t>
        </is>
      </c>
    </row>
    <row r="571">
      <c r="A571" s="33" t="inlineStr">
        <is>
          <t>2026-05-18</t>
        </is>
      </c>
      <c r="B571" s="33" t="inlineStr">
        <is>
          <t>PLUG</t>
        </is>
      </c>
      <c r="C571" s="33" t="inlineStr">
        <is>
          <t>D5</t>
        </is>
      </c>
      <c r="D571" s="33" t="n">
        <v>2</v>
      </c>
      <c r="E571" s="68" t="inlineStr">
        <is>
          <t>Limited hyperscaler relationships.</t>
        </is>
      </c>
      <c r="F571" s="68" t="inlineStr">
        <is>
          <t>Plug Power FY26 + hydrogen fuel cell coverage (2026-05-18)</t>
        </is>
      </c>
      <c r="G571" s="33" t="inlineStr">
        <is>
          <t>High</t>
        </is>
      </c>
      <c r="H571" s="33" t="inlineStr">
        <is>
          <t>Initial</t>
        </is>
      </c>
    </row>
    <row r="572">
      <c r="A572" s="33" t="inlineStr">
        <is>
          <t>2026-05-18</t>
        </is>
      </c>
      <c r="B572" s="33" t="inlineStr">
        <is>
          <t>PLUG</t>
        </is>
      </c>
      <c r="C572" s="33" t="inlineStr">
        <is>
          <t>M1</t>
        </is>
      </c>
      <c r="D572" s="33" t="n">
        <v>3</v>
      </c>
      <c r="E572" s="68" t="inlineStr">
        <is>
          <t>1/1 neutral.</t>
        </is>
      </c>
      <c r="F572" s="68" t="inlineStr">
        <is>
          <t>Plug Power FY26 + hydrogen fuel cell coverage (2026-05-18)</t>
        </is>
      </c>
      <c r="G572" s="33" t="inlineStr">
        <is>
          <t>High</t>
        </is>
      </c>
      <c r="H572" s="33" t="inlineStr">
        <is>
          <t>Initial</t>
        </is>
      </c>
    </row>
    <row r="573">
      <c r="A573" s="33" t="inlineStr">
        <is>
          <t>2026-05-18</t>
        </is>
      </c>
      <c r="B573" s="33" t="inlineStr">
        <is>
          <t>PLUG</t>
        </is>
      </c>
      <c r="C573" s="33" t="inlineStr">
        <is>
          <t>M2</t>
        </is>
      </c>
      <c r="D573" s="33" t="n">
        <v>5</v>
      </c>
      <c r="E573" s="68" t="inlineStr">
        <is>
          <t>+83% absolute, +69pp XLI — extreme small-cap rally.</t>
        </is>
      </c>
      <c r="F573" s="68" t="inlineStr">
        <is>
          <t>Plug Power FY26 + hydrogen fuel cell coverage (2026-05-18)</t>
        </is>
      </c>
      <c r="G573" s="33" t="inlineStr">
        <is>
          <t>High</t>
        </is>
      </c>
      <c r="H573" s="33" t="inlineStr">
        <is>
          <t>Initial</t>
        </is>
      </c>
    </row>
    <row r="574">
      <c r="A574" s="33" t="inlineStr">
        <is>
          <t>2026-05-18</t>
        </is>
      </c>
      <c r="B574" s="33" t="inlineStr">
        <is>
          <t>PLUG</t>
        </is>
      </c>
      <c r="C574" s="33" t="inlineStr">
        <is>
          <t>M3</t>
        </is>
      </c>
      <c r="D574" s="33" t="n">
        <v>3</v>
      </c>
      <c r="E574" s="68" t="inlineStr">
        <is>
          <t>Routine; default 3.</t>
        </is>
      </c>
      <c r="F574" s="68" t="inlineStr">
        <is>
          <t>Plug Power FY26 + hydrogen fuel cell coverage (2026-05-18)</t>
        </is>
      </c>
      <c r="G574" s="33" t="inlineStr">
        <is>
          <t>High</t>
        </is>
      </c>
      <c r="H574" s="33" t="inlineStr">
        <is>
          <t>Initial</t>
        </is>
      </c>
    </row>
    <row r="575">
      <c r="A575" s="33" t="inlineStr">
        <is>
          <t>2026-05-18</t>
        </is>
      </c>
      <c r="B575" s="33" t="inlineStr">
        <is>
          <t>PLUG</t>
        </is>
      </c>
      <c r="C575" s="33" t="inlineStr">
        <is>
          <t>R1</t>
        </is>
      </c>
      <c r="D575" s="33" t="n">
        <v>3</v>
      </c>
      <c r="E575" s="68" t="inlineStr">
        <is>
          <t>Limited base.</t>
        </is>
      </c>
      <c r="F575" s="68" t="inlineStr">
        <is>
          <t>Plug Power FY26 + hydrogen fuel cell coverage (2026-05-18)</t>
        </is>
      </c>
      <c r="G575" s="33" t="inlineStr">
        <is>
          <t>High</t>
        </is>
      </c>
      <c r="H575" s="33" t="inlineStr">
        <is>
          <t>Initial</t>
        </is>
      </c>
    </row>
    <row r="576">
      <c r="A576" s="33" t="inlineStr">
        <is>
          <t>2026-05-18</t>
        </is>
      </c>
      <c r="B576" s="33" t="inlineStr">
        <is>
          <t>PLUG</t>
        </is>
      </c>
      <c r="C576" s="33" t="inlineStr">
        <is>
          <t>R2</t>
        </is>
      </c>
      <c r="D576" s="33" t="n">
        <v>4</v>
      </c>
      <c r="E576" s="68" t="inlineStr">
        <is>
          <t>Global.</t>
        </is>
      </c>
      <c r="F576" s="68" t="inlineStr">
        <is>
          <t>Plug Power FY26 + hydrogen fuel cell coverage (2026-05-18)</t>
        </is>
      </c>
      <c r="G576" s="33" t="inlineStr">
        <is>
          <t>High</t>
        </is>
      </c>
      <c r="H576" s="33" t="inlineStr">
        <is>
          <t>Initial</t>
        </is>
      </c>
    </row>
    <row r="577">
      <c r="A577" s="33" t="inlineStr">
        <is>
          <t>2026-05-18</t>
        </is>
      </c>
      <c r="B577" s="33" t="inlineStr">
        <is>
          <t>PLUG</t>
        </is>
      </c>
      <c r="C577" s="33" t="inlineStr">
        <is>
          <t>R3</t>
        </is>
      </c>
      <c r="D577" s="33" t="n">
        <v>2</v>
      </c>
      <c r="E577" s="68" t="inlineStr">
        <is>
          <t>Cash-burning; dilution risk historically.</t>
        </is>
      </c>
      <c r="F577" s="68" t="inlineStr">
        <is>
          <t>Plug Power FY26 + hydrogen fuel cell coverage (2026-05-18)</t>
        </is>
      </c>
      <c r="G577" s="33" t="inlineStr">
        <is>
          <t>High</t>
        </is>
      </c>
      <c r="H577" s="33" t="inlineStr">
        <is>
          <t>Initial</t>
        </is>
      </c>
    </row>
    <row r="578">
      <c r="A578" s="33" t="inlineStr">
        <is>
          <t>2026-05-18</t>
        </is>
      </c>
      <c r="B578" s="33" t="inlineStr">
        <is>
          <t>PLUG</t>
        </is>
      </c>
      <c r="C578" s="33" t="inlineStr">
        <is>
          <t>R4</t>
        </is>
      </c>
      <c r="D578" s="33" t="n">
        <v>4</v>
      </c>
      <c r="E578" s="68" t="inlineStr">
        <is>
          <t>Routine.</t>
        </is>
      </c>
      <c r="F578" s="68" t="inlineStr">
        <is>
          <t>Plug Power FY26 + hydrogen fuel cell coverage (2026-05-18)</t>
        </is>
      </c>
      <c r="G578" s="33" t="inlineStr">
        <is>
          <t>High</t>
        </is>
      </c>
      <c r="H578" s="33" t="inlineStr">
        <is>
          <t>Initial</t>
        </is>
      </c>
    </row>
    <row r="579">
      <c r="A579" s="33" t="inlineStr">
        <is>
          <t>2026-05-18</t>
        </is>
      </c>
      <c r="B579" s="33" t="inlineStr">
        <is>
          <t>CMI</t>
        </is>
      </c>
      <c r="C579" s="33" t="inlineStr">
        <is>
          <t>D1</t>
        </is>
      </c>
      <c r="D579" s="33" t="n">
        <v>3</v>
      </c>
      <c r="E579" s="68" t="inlineStr">
        <is>
          <t>Backup generators for data centers + gas engines for distributed power. Real AI tailwind.</t>
        </is>
      </c>
      <c r="F579" s="68" t="inlineStr">
        <is>
          <t>Cummins FY26 + backup generator data center demand coverage (2026-05-18)</t>
        </is>
      </c>
      <c r="G579" s="33" t="inlineStr">
        <is>
          <t>High</t>
        </is>
      </c>
      <c r="H579" s="33" t="inlineStr">
        <is>
          <t>Initial</t>
        </is>
      </c>
    </row>
    <row r="580">
      <c r="A580" s="33" t="inlineStr">
        <is>
          <t>2026-05-18</t>
        </is>
      </c>
      <c r="B580" s="33" t="inlineStr">
        <is>
          <t>CMI</t>
        </is>
      </c>
      <c r="C580" s="33" t="inlineStr">
        <is>
          <t>D2</t>
        </is>
      </c>
      <c r="D580" s="33" t="n">
        <v>4</v>
      </c>
      <c r="E580" s="68" t="inlineStr">
        <is>
          <t>Largest backup gen + diesel + gas engines globally.</t>
        </is>
      </c>
      <c r="F580" s="68" t="inlineStr">
        <is>
          <t>Cummins FY26 + backup generator data center demand coverage (2026-05-18)</t>
        </is>
      </c>
      <c r="G580" s="33" t="inlineStr">
        <is>
          <t>High</t>
        </is>
      </c>
      <c r="H580" s="33" t="inlineStr">
        <is>
          <t>Initial</t>
        </is>
      </c>
    </row>
    <row r="581">
      <c r="A581" s="33" t="inlineStr">
        <is>
          <t>2026-05-18</t>
        </is>
      </c>
      <c r="B581" s="33" t="inlineStr">
        <is>
          <t>CMI</t>
        </is>
      </c>
      <c r="C581" s="33" t="inlineStr">
        <is>
          <t>D3</t>
        </is>
      </c>
      <c r="D581" s="33" t="n">
        <v>4</v>
      </c>
      <c r="E581" s="68" t="inlineStr">
        <is>
          <t>Scale + customer integration + service network.</t>
        </is>
      </c>
      <c r="F581" s="68" t="inlineStr">
        <is>
          <t>Cummins FY26 + backup generator data center demand coverage (2026-05-18)</t>
        </is>
      </c>
      <c r="G581" s="33" t="inlineStr">
        <is>
          <t>High</t>
        </is>
      </c>
      <c r="H581" s="33" t="inlineStr">
        <is>
          <t>Initial</t>
        </is>
      </c>
    </row>
    <row r="582">
      <c r="A582" s="33" t="inlineStr">
        <is>
          <t>2026-05-18</t>
        </is>
      </c>
      <c r="B582" s="33" t="inlineStr">
        <is>
          <t>CMI</t>
        </is>
      </c>
      <c r="C582" s="33" t="inlineStr">
        <is>
          <t>D4</t>
        </is>
      </c>
      <c r="D582" s="33" t="n">
        <v>4</v>
      </c>
      <c r="E582" s="68" t="inlineStr">
        <is>
          <t>Capex aligned with data center backup demand.</t>
        </is>
      </c>
      <c r="F582" s="68" t="inlineStr">
        <is>
          <t>Cummins FY26 + backup generator data center demand coverage (2026-05-18)</t>
        </is>
      </c>
      <c r="G582" s="33" t="inlineStr">
        <is>
          <t>High</t>
        </is>
      </c>
      <c r="H582" s="33" t="inlineStr">
        <is>
          <t>Initial</t>
        </is>
      </c>
    </row>
    <row r="583">
      <c r="A583" s="33" t="inlineStr">
        <is>
          <t>2026-05-18</t>
        </is>
      </c>
      <c r="B583" s="33" t="inlineStr">
        <is>
          <t>CMI</t>
        </is>
      </c>
      <c r="C583" s="33" t="inlineStr">
        <is>
          <t>D5</t>
        </is>
      </c>
      <c r="D583" s="33" t="n">
        <v>3</v>
      </c>
      <c r="E583" s="68" t="inlineStr">
        <is>
          <t>Indirect via hyperscaler/colo customer purchases.</t>
        </is>
      </c>
      <c r="F583" s="68" t="inlineStr">
        <is>
          <t>Cummins FY26 + backup generator data center demand coverage (2026-05-18)</t>
        </is>
      </c>
      <c r="G583" s="33" t="inlineStr">
        <is>
          <t>High</t>
        </is>
      </c>
      <c r="H583" s="33" t="inlineStr">
        <is>
          <t>Initial</t>
        </is>
      </c>
    </row>
    <row r="584">
      <c r="A584" s="33" t="inlineStr">
        <is>
          <t>2026-05-18</t>
        </is>
      </c>
      <c r="B584" s="33" t="inlineStr">
        <is>
          <t>CMI</t>
        </is>
      </c>
      <c r="C584" s="33" t="inlineStr">
        <is>
          <t>M1</t>
        </is>
      </c>
      <c r="D584" s="33" t="n">
        <v>5</v>
      </c>
      <c r="E584" s="68" t="inlineStr">
        <is>
          <t>8/0 — strongly positive.</t>
        </is>
      </c>
      <c r="F584" s="68" t="inlineStr">
        <is>
          <t>Cummins FY26 + backup generator data center demand coverage (2026-05-18)</t>
        </is>
      </c>
      <c r="G584" s="33" t="inlineStr">
        <is>
          <t>High</t>
        </is>
      </c>
      <c r="H584" s="33" t="inlineStr">
        <is>
          <t>Initial</t>
        </is>
      </c>
    </row>
    <row r="585">
      <c r="A585" s="33" t="inlineStr">
        <is>
          <t>2026-05-18</t>
        </is>
      </c>
      <c r="B585" s="33" t="inlineStr">
        <is>
          <t>CMI</t>
        </is>
      </c>
      <c r="C585" s="33" t="inlineStr">
        <is>
          <t>M2</t>
        </is>
      </c>
      <c r="D585" s="33" t="n">
        <v>5</v>
      </c>
      <c r="E585" s="68" t="inlineStr">
        <is>
          <t>+44% absolute, +30pp XLI.</t>
        </is>
      </c>
      <c r="F585" s="68" t="inlineStr">
        <is>
          <t>Cummins FY26 + backup generator data center demand coverage (2026-05-18)</t>
        </is>
      </c>
      <c r="G585" s="33" t="inlineStr">
        <is>
          <t>High</t>
        </is>
      </c>
      <c r="H585" s="33" t="inlineStr">
        <is>
          <t>Initial</t>
        </is>
      </c>
    </row>
    <row r="586">
      <c r="A586" s="33" t="inlineStr">
        <is>
          <t>2026-05-18</t>
        </is>
      </c>
      <c r="B586" s="33" t="inlineStr">
        <is>
          <t>CMI</t>
        </is>
      </c>
      <c r="C586" s="33" t="inlineStr">
        <is>
          <t>M3</t>
        </is>
      </c>
      <c r="D586" s="33" t="n">
        <v>3</v>
      </c>
      <c r="E586" s="68" t="inlineStr">
        <is>
          <t>Routine; default 3.</t>
        </is>
      </c>
      <c r="F586" s="68" t="inlineStr">
        <is>
          <t>Cummins FY26 + backup generator data center demand coverage (2026-05-18)</t>
        </is>
      </c>
      <c r="G586" s="33" t="inlineStr">
        <is>
          <t>High</t>
        </is>
      </c>
      <c r="H586" s="33" t="inlineStr">
        <is>
          <t>Initial</t>
        </is>
      </c>
    </row>
    <row r="587">
      <c r="A587" s="33" t="inlineStr">
        <is>
          <t>2026-05-18</t>
        </is>
      </c>
      <c r="B587" s="33" t="inlineStr">
        <is>
          <t>CMI</t>
        </is>
      </c>
      <c r="C587" s="33" t="inlineStr">
        <is>
          <t>R1</t>
        </is>
      </c>
      <c r="D587" s="33" t="n">
        <v>5</v>
      </c>
      <c r="E587" s="68" t="inlineStr">
        <is>
          <t>Highly diversified.</t>
        </is>
      </c>
      <c r="F587" s="68" t="inlineStr">
        <is>
          <t>Cummins FY26 + backup generator data center demand coverage (2026-05-18)</t>
        </is>
      </c>
      <c r="G587" s="33" t="inlineStr">
        <is>
          <t>High</t>
        </is>
      </c>
      <c r="H587" s="33" t="inlineStr">
        <is>
          <t>Initial</t>
        </is>
      </c>
    </row>
    <row r="588">
      <c r="A588" s="33" t="inlineStr">
        <is>
          <t>2026-05-18</t>
        </is>
      </c>
      <c r="B588" s="33" t="inlineStr">
        <is>
          <t>CMI</t>
        </is>
      </c>
      <c r="C588" s="33" t="inlineStr">
        <is>
          <t>R2</t>
        </is>
      </c>
      <c r="D588" s="33" t="n">
        <v>4</v>
      </c>
      <c r="E588" s="68" t="inlineStr">
        <is>
          <t>Global.</t>
        </is>
      </c>
      <c r="F588" s="68" t="inlineStr">
        <is>
          <t>Cummins FY26 + backup generator data center demand coverage (2026-05-18)</t>
        </is>
      </c>
      <c r="G588" s="33" t="inlineStr">
        <is>
          <t>High</t>
        </is>
      </c>
      <c r="H588" s="33" t="inlineStr">
        <is>
          <t>Initial</t>
        </is>
      </c>
    </row>
    <row r="589">
      <c r="A589" s="33" t="inlineStr">
        <is>
          <t>2026-05-18</t>
        </is>
      </c>
      <c r="B589" s="33" t="inlineStr">
        <is>
          <t>CMI</t>
        </is>
      </c>
      <c r="C589" s="33" t="inlineStr">
        <is>
          <t>R3</t>
        </is>
      </c>
      <c r="D589" s="33" t="n">
        <v>4</v>
      </c>
      <c r="E589" s="68" t="inlineStr">
        <is>
          <t>Strong balance sheet.</t>
        </is>
      </c>
      <c r="F589" s="68" t="inlineStr">
        <is>
          <t>Cummins FY26 + backup generator data center demand coverage (2026-05-18)</t>
        </is>
      </c>
      <c r="G589" s="33" t="inlineStr">
        <is>
          <t>High</t>
        </is>
      </c>
      <c r="H589" s="33" t="inlineStr">
        <is>
          <t>Initial</t>
        </is>
      </c>
    </row>
    <row r="590">
      <c r="A590" s="33" t="inlineStr">
        <is>
          <t>2026-05-18</t>
        </is>
      </c>
      <c r="B590" s="33" t="inlineStr">
        <is>
          <t>CMI</t>
        </is>
      </c>
      <c r="C590" s="33" t="inlineStr">
        <is>
          <t>R4</t>
        </is>
      </c>
      <c r="D590" s="33" t="n">
        <v>4</v>
      </c>
      <c r="E590" s="68" t="inlineStr">
        <is>
          <t>Routine.</t>
        </is>
      </c>
      <c r="F590" s="68" t="inlineStr">
        <is>
          <t>Cummins FY26 + backup generator data center demand coverage (2026-05-18)</t>
        </is>
      </c>
      <c r="G590" s="33" t="inlineStr">
        <is>
          <t>High</t>
        </is>
      </c>
      <c r="H590" s="33" t="inlineStr">
        <is>
          <t>Initial</t>
        </is>
      </c>
    </row>
    <row r="591">
      <c r="A591" s="33" t="inlineStr">
        <is>
          <t>2026-05-18</t>
        </is>
      </c>
      <c r="B591" s="33" t="inlineStr">
        <is>
          <t>GNRC</t>
        </is>
      </c>
      <c r="C591" s="33" t="inlineStr">
        <is>
          <t>D1</t>
        </is>
      </c>
      <c r="D591" s="33" t="n">
        <v>3</v>
      </c>
      <c r="E591" s="68" t="inlineStr">
        <is>
          <t>Distributed/backup power; growing AI data center exposure.</t>
        </is>
      </c>
      <c r="F591" s="68" t="inlineStr">
        <is>
          <t>Generac FY26 + distributed/backup AI tailwind coverage (2026-05-18)</t>
        </is>
      </c>
      <c r="G591" s="33" t="inlineStr">
        <is>
          <t>High</t>
        </is>
      </c>
      <c r="H591" s="33" t="inlineStr">
        <is>
          <t>Initial</t>
        </is>
      </c>
    </row>
    <row r="592">
      <c r="A592" s="33" t="inlineStr">
        <is>
          <t>2026-05-18</t>
        </is>
      </c>
      <c r="B592" s="33" t="inlineStr">
        <is>
          <t>GNRC</t>
        </is>
      </c>
      <c r="C592" s="33" t="inlineStr">
        <is>
          <t>D2</t>
        </is>
      </c>
      <c r="D592" s="33" t="n">
        <v>3</v>
      </c>
      <c r="E592" s="68" t="inlineStr">
        <is>
          <t>Backup generator leader in US residential + commercial.</t>
        </is>
      </c>
      <c r="F592" s="68" t="inlineStr">
        <is>
          <t>Generac FY26 + distributed/backup AI tailwind coverage (2026-05-18)</t>
        </is>
      </c>
      <c r="G592" s="33" t="inlineStr">
        <is>
          <t>High</t>
        </is>
      </c>
      <c r="H592" s="33" t="inlineStr">
        <is>
          <t>Initial</t>
        </is>
      </c>
    </row>
    <row r="593">
      <c r="A593" s="33" t="inlineStr">
        <is>
          <t>2026-05-18</t>
        </is>
      </c>
      <c r="B593" s="33" t="inlineStr">
        <is>
          <t>GNRC</t>
        </is>
      </c>
      <c r="C593" s="33" t="inlineStr">
        <is>
          <t>D3</t>
        </is>
      </c>
      <c r="D593" s="33" t="n">
        <v>3</v>
      </c>
      <c r="E593" s="68" t="inlineStr">
        <is>
          <t>Scale + brand + dealer network.</t>
        </is>
      </c>
      <c r="F593" s="68" t="inlineStr">
        <is>
          <t>Generac FY26 + distributed/backup AI tailwind coverage (2026-05-18)</t>
        </is>
      </c>
      <c r="G593" s="33" t="inlineStr">
        <is>
          <t>High</t>
        </is>
      </c>
      <c r="H593" s="33" t="inlineStr">
        <is>
          <t>Initial</t>
        </is>
      </c>
    </row>
    <row r="594">
      <c r="A594" s="33" t="inlineStr">
        <is>
          <t>2026-05-18</t>
        </is>
      </c>
      <c r="B594" s="33" t="inlineStr">
        <is>
          <t>GNRC</t>
        </is>
      </c>
      <c r="C594" s="33" t="inlineStr">
        <is>
          <t>D4</t>
        </is>
      </c>
      <c r="D594" s="33" t="n">
        <v>4</v>
      </c>
      <c r="E594" s="68" t="inlineStr">
        <is>
          <t>Active expansion.</t>
        </is>
      </c>
      <c r="F594" s="68" t="inlineStr">
        <is>
          <t>Generac FY26 + distributed/backup AI tailwind coverage (2026-05-18)</t>
        </is>
      </c>
      <c r="G594" s="33" t="inlineStr">
        <is>
          <t>High</t>
        </is>
      </c>
      <c r="H594" s="33" t="inlineStr">
        <is>
          <t>Initial</t>
        </is>
      </c>
    </row>
    <row r="595">
      <c r="A595" s="33" t="inlineStr">
        <is>
          <t>2026-05-18</t>
        </is>
      </c>
      <c r="B595" s="33" t="inlineStr">
        <is>
          <t>GNRC</t>
        </is>
      </c>
      <c r="C595" s="33" t="inlineStr">
        <is>
          <t>D5</t>
        </is>
      </c>
      <c r="D595" s="33" t="n">
        <v>3</v>
      </c>
      <c r="E595" s="68" t="inlineStr">
        <is>
          <t>Indirect.</t>
        </is>
      </c>
      <c r="F595" s="68" t="inlineStr">
        <is>
          <t>Generac FY26 + distributed/backup AI tailwind coverage (2026-05-18)</t>
        </is>
      </c>
      <c r="G595" s="33" t="inlineStr">
        <is>
          <t>High</t>
        </is>
      </c>
      <c r="H595" s="33" t="inlineStr">
        <is>
          <t>Initial</t>
        </is>
      </c>
    </row>
    <row r="596">
      <c r="A596" s="33" t="inlineStr">
        <is>
          <t>2026-05-18</t>
        </is>
      </c>
      <c r="B596" s="33" t="inlineStr">
        <is>
          <t>GNRC</t>
        </is>
      </c>
      <c r="C596" s="33" t="inlineStr">
        <is>
          <t>M1</t>
        </is>
      </c>
      <c r="D596" s="33" t="n">
        <v>5</v>
      </c>
      <c r="E596" s="68" t="inlineStr">
        <is>
          <t>17/1 — strongly positive.</t>
        </is>
      </c>
      <c r="F596" s="68" t="inlineStr">
        <is>
          <t>Generac FY26 + distributed/backup AI tailwind coverage (2026-05-18)</t>
        </is>
      </c>
      <c r="G596" s="33" t="inlineStr">
        <is>
          <t>High</t>
        </is>
      </c>
      <c r="H596" s="33" t="inlineStr">
        <is>
          <t>Initial</t>
        </is>
      </c>
    </row>
    <row r="597">
      <c r="A597" s="33" t="inlineStr">
        <is>
          <t>2026-05-18</t>
        </is>
      </c>
      <c r="B597" s="33" t="inlineStr">
        <is>
          <t>GNRC</t>
        </is>
      </c>
      <c r="C597" s="33" t="inlineStr">
        <is>
          <t>M2</t>
        </is>
      </c>
      <c r="D597" s="33" t="n">
        <v>5</v>
      </c>
      <c r="E597" s="68" t="inlineStr">
        <is>
          <t>+72% absolute, +57pp XLI.</t>
        </is>
      </c>
      <c r="F597" s="68" t="inlineStr">
        <is>
          <t>Generac FY26 + distributed/backup AI tailwind coverage (2026-05-18)</t>
        </is>
      </c>
      <c r="G597" s="33" t="inlineStr">
        <is>
          <t>High</t>
        </is>
      </c>
      <c r="H597" s="33" t="inlineStr">
        <is>
          <t>Initial</t>
        </is>
      </c>
    </row>
    <row r="598">
      <c r="A598" s="33" t="inlineStr">
        <is>
          <t>2026-05-18</t>
        </is>
      </c>
      <c r="B598" s="33" t="inlineStr">
        <is>
          <t>GNRC</t>
        </is>
      </c>
      <c r="C598" s="33" t="inlineStr">
        <is>
          <t>M3</t>
        </is>
      </c>
      <c r="D598" s="33" t="n">
        <v>3</v>
      </c>
      <c r="E598" s="68" t="inlineStr">
        <is>
          <t>Routine; default 3.</t>
        </is>
      </c>
      <c r="F598" s="68" t="inlineStr">
        <is>
          <t>Generac FY26 + distributed/backup AI tailwind coverage (2026-05-18)</t>
        </is>
      </c>
      <c r="G598" s="33" t="inlineStr">
        <is>
          <t>High</t>
        </is>
      </c>
      <c r="H598" s="33" t="inlineStr">
        <is>
          <t>Initial</t>
        </is>
      </c>
    </row>
    <row r="599">
      <c r="A599" s="33" t="inlineStr">
        <is>
          <t>2026-05-18</t>
        </is>
      </c>
      <c r="B599" s="33" t="inlineStr">
        <is>
          <t>GNRC</t>
        </is>
      </c>
      <c r="C599" s="33" t="inlineStr">
        <is>
          <t>R1</t>
        </is>
      </c>
      <c r="D599" s="33" t="n">
        <v>4</v>
      </c>
      <c r="E599" s="68" t="inlineStr">
        <is>
          <t>Diversified.</t>
        </is>
      </c>
      <c r="F599" s="68" t="inlineStr">
        <is>
          <t>Generac FY26 + distributed/backup AI tailwind coverage (2026-05-18)</t>
        </is>
      </c>
      <c r="G599" s="33" t="inlineStr">
        <is>
          <t>High</t>
        </is>
      </c>
      <c r="H599" s="33" t="inlineStr">
        <is>
          <t>Initial</t>
        </is>
      </c>
    </row>
    <row r="600">
      <c r="A600" s="33" t="inlineStr">
        <is>
          <t>2026-05-18</t>
        </is>
      </c>
      <c r="B600" s="33" t="inlineStr">
        <is>
          <t>GNRC</t>
        </is>
      </c>
      <c r="C600" s="33" t="inlineStr">
        <is>
          <t>R2</t>
        </is>
      </c>
      <c r="D600" s="33" t="n">
        <v>4</v>
      </c>
      <c r="E600" s="68" t="inlineStr">
        <is>
          <t>Global.</t>
        </is>
      </c>
      <c r="F600" s="68" t="inlineStr">
        <is>
          <t>Generac FY26 + distributed/backup AI tailwind coverage (2026-05-18)</t>
        </is>
      </c>
      <c r="G600" s="33" t="inlineStr">
        <is>
          <t>High</t>
        </is>
      </c>
      <c r="H600" s="33" t="inlineStr">
        <is>
          <t>Initial</t>
        </is>
      </c>
    </row>
    <row r="601">
      <c r="A601" s="33" t="inlineStr">
        <is>
          <t>2026-05-18</t>
        </is>
      </c>
      <c r="B601" s="33" t="inlineStr">
        <is>
          <t>GNRC</t>
        </is>
      </c>
      <c r="C601" s="33" t="inlineStr">
        <is>
          <t>R3</t>
        </is>
      </c>
      <c r="D601" s="33" t="n">
        <v>4</v>
      </c>
      <c r="E601" s="68" t="inlineStr">
        <is>
          <t>Solid balance sheet.</t>
        </is>
      </c>
      <c r="F601" s="68" t="inlineStr">
        <is>
          <t>Generac FY26 + distributed/backup AI tailwind coverage (2026-05-18)</t>
        </is>
      </c>
      <c r="G601" s="33" t="inlineStr">
        <is>
          <t>High</t>
        </is>
      </c>
      <c r="H601" s="33" t="inlineStr">
        <is>
          <t>Initial</t>
        </is>
      </c>
    </row>
    <row r="602">
      <c r="A602" s="33" t="inlineStr">
        <is>
          <t>2026-05-18</t>
        </is>
      </c>
      <c r="B602" s="33" t="inlineStr">
        <is>
          <t>GNRC</t>
        </is>
      </c>
      <c r="C602" s="33" t="inlineStr">
        <is>
          <t>R4</t>
        </is>
      </c>
      <c r="D602" s="33" t="n">
        <v>4</v>
      </c>
      <c r="E602" s="68" t="inlineStr">
        <is>
          <t>Routine.</t>
        </is>
      </c>
      <c r="F602" s="68" t="inlineStr">
        <is>
          <t>Generac FY26 + distributed/backup AI tailwind coverage (2026-05-18)</t>
        </is>
      </c>
      <c r="G602" s="33" t="inlineStr">
        <is>
          <t>High</t>
        </is>
      </c>
      <c r="H602" s="33" t="inlineStr">
        <is>
          <t>Initial</t>
        </is>
      </c>
    </row>
    <row r="603">
      <c r="A603" s="33" t="inlineStr">
        <is>
          <t>2026-05-18</t>
        </is>
      </c>
      <c r="B603" s="33" t="inlineStr">
        <is>
          <t>ETN</t>
        </is>
      </c>
      <c r="C603" s="33" t="inlineStr">
        <is>
          <t>D1</t>
        </is>
      </c>
      <c r="D603" s="33" t="n">
        <v>4</v>
      </c>
      <c r="E603" s="68" t="inlineStr">
        <is>
          <t>Data center sales +50%; Eaton estimates 70% of 32 GW US DC under construction is AI-related. 25-50% AI-tied revenue. Band 4.</t>
        </is>
      </c>
      <c r="F603" s="68" t="inlineStr">
        <is>
          <t>Eaton Q1 FY26 8-K + Alphastreet/BigGo data center coverage (2026-05-18 deep research)</t>
        </is>
      </c>
      <c r="G603" s="33" t="inlineStr">
        <is>
          <t>High</t>
        </is>
      </c>
      <c r="H603" s="33" t="inlineStr">
        <is>
          <t>Initial</t>
        </is>
      </c>
    </row>
    <row r="604">
      <c r="A604" s="33" t="inlineStr">
        <is>
          <t>2026-05-18</t>
        </is>
      </c>
      <c r="B604" s="33" t="inlineStr">
        <is>
          <t>ETN</t>
        </is>
      </c>
      <c r="C604" s="33" t="inlineStr">
        <is>
          <t>D2</t>
        </is>
      </c>
      <c r="D604" s="33" t="n">
        <v>4</v>
      </c>
      <c r="E604" s="68" t="inlineStr">
        <is>
          <t>Premier data center electrical equipment + power management leader. Bottleneck-tier in some products.</t>
        </is>
      </c>
      <c r="F604" s="68" t="inlineStr">
        <is>
          <t>Eaton Q1 FY26 8-K + Alphastreet/BigGo data center coverage (2026-05-18 deep research)</t>
        </is>
      </c>
      <c r="G604" s="33" t="inlineStr">
        <is>
          <t>High</t>
        </is>
      </c>
      <c r="H604" s="33" t="inlineStr">
        <is>
          <t>Initial</t>
        </is>
      </c>
    </row>
    <row r="605">
      <c r="A605" s="33" t="inlineStr">
        <is>
          <t>2026-05-18</t>
        </is>
      </c>
      <c r="B605" s="33" t="inlineStr">
        <is>
          <t>ETN</t>
        </is>
      </c>
      <c r="C605" s="33" t="inlineStr">
        <is>
          <t>D3</t>
        </is>
      </c>
      <c r="D605" s="33" t="n">
        <v>4</v>
      </c>
      <c r="E605" s="68" t="inlineStr">
        <is>
          <t>Scale + customer integration + brand + multi-decade utility relationships.</t>
        </is>
      </c>
      <c r="F605" s="68" t="inlineStr">
        <is>
          <t>Eaton Q1 FY26 8-K + Alphastreet/BigGo data center coverage (2026-05-18 deep research)</t>
        </is>
      </c>
      <c r="G605" s="33" t="inlineStr">
        <is>
          <t>High</t>
        </is>
      </c>
      <c r="H605" s="33" t="inlineStr">
        <is>
          <t>Initial</t>
        </is>
      </c>
    </row>
    <row r="606">
      <c r="A606" s="33" t="inlineStr">
        <is>
          <t>2026-05-18</t>
        </is>
      </c>
      <c r="B606" s="33" t="inlineStr">
        <is>
          <t>ETN</t>
        </is>
      </c>
      <c r="C606" s="33" t="inlineStr">
        <is>
          <t>D4</t>
        </is>
      </c>
      <c r="D606" s="33" t="n">
        <v>5</v>
      </c>
      <c r="E606" s="68" t="inlineStr">
        <is>
          <t>$1B+ capex across 24 Americas facilities; 228 GW backlog = 12 years at 2025 build rate; orders +60% rolling 12mo, DC orders +240%.</t>
        </is>
      </c>
      <c r="F606" s="68" t="inlineStr">
        <is>
          <t>Eaton Q1 FY26 8-K + Alphastreet/BigGo data center coverage (2026-05-18 deep research)</t>
        </is>
      </c>
      <c r="G606" s="33" t="inlineStr">
        <is>
          <t>High</t>
        </is>
      </c>
      <c r="H606" s="33" t="inlineStr">
        <is>
          <t>Initial</t>
        </is>
      </c>
    </row>
    <row r="607">
      <c r="A607" s="33" t="inlineStr">
        <is>
          <t>2026-05-18</t>
        </is>
      </c>
      <c r="B607" s="33" t="inlineStr">
        <is>
          <t>ETN</t>
        </is>
      </c>
      <c r="C607" s="33" t="inlineStr">
        <is>
          <t>D5</t>
        </is>
      </c>
      <c r="D607" s="33" t="n">
        <v>5</v>
      </c>
      <c r="E607" s="68" t="inlineStr">
        <is>
          <t>Direct hyperscaler + colo customers; named in DC supply commitments.</t>
        </is>
      </c>
      <c r="F607" s="68" t="inlineStr">
        <is>
          <t>Eaton Q1 FY26 8-K + Alphastreet/BigGo data center coverage (2026-05-18 deep research)</t>
        </is>
      </c>
      <c r="G607" s="33" t="inlineStr">
        <is>
          <t>High</t>
        </is>
      </c>
      <c r="H607" s="33" t="inlineStr">
        <is>
          <t>Initial</t>
        </is>
      </c>
    </row>
    <row r="608">
      <c r="A608" s="33" t="inlineStr">
        <is>
          <t>2026-05-18</t>
        </is>
      </c>
      <c r="B608" s="33" t="inlineStr">
        <is>
          <t>ETN</t>
        </is>
      </c>
      <c r="C608" s="33" t="inlineStr">
        <is>
          <t>M1</t>
        </is>
      </c>
      <c r="D608" s="33" t="n">
        <v>4</v>
      </c>
      <c r="E608" s="68" t="inlineStr">
        <is>
          <t>6 up / 2 down on +1Y; net positive but mixed magnitude.</t>
        </is>
      </c>
      <c r="F608" s="68" t="inlineStr">
        <is>
          <t>Eaton Q1 FY26 8-K + Alphastreet/BigGo data center coverage (2026-05-18 deep research)</t>
        </is>
      </c>
      <c r="G608" s="33" t="inlineStr">
        <is>
          <t>High</t>
        </is>
      </c>
      <c r="H608" s="33" t="inlineStr">
        <is>
          <t>Initial</t>
        </is>
      </c>
    </row>
    <row r="609">
      <c r="A609" s="33" t="inlineStr">
        <is>
          <t>2026-05-18</t>
        </is>
      </c>
      <c r="B609" s="33" t="inlineStr">
        <is>
          <t>ETN</t>
        </is>
      </c>
      <c r="C609" s="33" t="inlineStr">
        <is>
          <t>M2</t>
        </is>
      </c>
      <c r="D609" s="33" t="n">
        <v>3</v>
      </c>
      <c r="E609" s="68" t="inlineStr">
        <is>
          <t>-3pp vs XLI 180d. In-line broader sector.</t>
        </is>
      </c>
      <c r="F609" s="68" t="inlineStr">
        <is>
          <t>Eaton Q1 FY26 8-K + Alphastreet/BigGo data center coverage (2026-05-18 deep research)</t>
        </is>
      </c>
      <c r="G609" s="33" t="inlineStr">
        <is>
          <t>High</t>
        </is>
      </c>
      <c r="H609" s="33" t="inlineStr">
        <is>
          <t>Initial</t>
        </is>
      </c>
    </row>
    <row r="610">
      <c r="A610" s="33" t="inlineStr">
        <is>
          <t>2026-05-18</t>
        </is>
      </c>
      <c r="B610" s="33" t="inlineStr">
        <is>
          <t>ETN</t>
        </is>
      </c>
      <c r="C610" s="33" t="inlineStr">
        <is>
          <t>M3</t>
        </is>
      </c>
      <c r="D610" s="33" t="n">
        <v>3</v>
      </c>
      <c r="E610" s="68" t="inlineStr">
        <is>
          <t>Routine; default 3.</t>
        </is>
      </c>
      <c r="F610" s="68" t="inlineStr">
        <is>
          <t>Eaton Q1 FY26 8-K + Alphastreet/BigGo data center coverage (2026-05-18 deep research)</t>
        </is>
      </c>
      <c r="G610" s="33" t="inlineStr">
        <is>
          <t>High</t>
        </is>
      </c>
      <c r="H610" s="33" t="inlineStr">
        <is>
          <t>Initial</t>
        </is>
      </c>
    </row>
    <row r="611">
      <c r="A611" s="33" t="inlineStr">
        <is>
          <t>2026-05-18</t>
        </is>
      </c>
      <c r="B611" s="33" t="inlineStr">
        <is>
          <t>ETN</t>
        </is>
      </c>
      <c r="C611" s="33" t="inlineStr">
        <is>
          <t>R1</t>
        </is>
      </c>
      <c r="D611" s="33" t="n">
        <v>5</v>
      </c>
      <c r="E611" s="68" t="inlineStr">
        <is>
          <t>Highly diversified end-markets.</t>
        </is>
      </c>
      <c r="F611" s="68" t="inlineStr">
        <is>
          <t>Eaton Q1 FY26 8-K + Alphastreet/BigGo data center coverage (2026-05-18 deep research)</t>
        </is>
      </c>
      <c r="G611" s="33" t="inlineStr">
        <is>
          <t>High</t>
        </is>
      </c>
      <c r="H611" s="33" t="inlineStr">
        <is>
          <t>Initial</t>
        </is>
      </c>
    </row>
    <row r="612">
      <c r="A612" s="33" t="inlineStr">
        <is>
          <t>2026-05-18</t>
        </is>
      </c>
      <c r="B612" s="33" t="inlineStr">
        <is>
          <t>ETN</t>
        </is>
      </c>
      <c r="C612" s="33" t="inlineStr">
        <is>
          <t>R2</t>
        </is>
      </c>
      <c r="D612" s="33" t="n">
        <v>4</v>
      </c>
      <c r="E612" s="68" t="inlineStr">
        <is>
          <t>Global; minimal export-control exposure.</t>
        </is>
      </c>
      <c r="F612" s="68" t="inlineStr">
        <is>
          <t>Eaton Q1 FY26 8-K + Alphastreet/BigGo data center coverage (2026-05-18 deep research)</t>
        </is>
      </c>
      <c r="G612" s="33" t="inlineStr">
        <is>
          <t>High</t>
        </is>
      </c>
      <c r="H612" s="33" t="inlineStr">
        <is>
          <t>Initial</t>
        </is>
      </c>
    </row>
    <row r="613">
      <c r="A613" s="33" t="inlineStr">
        <is>
          <t>2026-05-18</t>
        </is>
      </c>
      <c r="B613" s="33" t="inlineStr">
        <is>
          <t>ETN</t>
        </is>
      </c>
      <c r="C613" s="33" t="inlineStr">
        <is>
          <t>R3</t>
        </is>
      </c>
      <c r="D613" s="33" t="n">
        <v>4</v>
      </c>
      <c r="E613" s="68" t="inlineStr">
        <is>
          <t>Strong balance sheet; investing aggressively.</t>
        </is>
      </c>
      <c r="F613" s="68" t="inlineStr">
        <is>
          <t>Eaton Q1 FY26 8-K + Alphastreet/BigGo data center coverage (2026-05-18 deep research)</t>
        </is>
      </c>
      <c r="G613" s="33" t="inlineStr">
        <is>
          <t>High</t>
        </is>
      </c>
      <c r="H613" s="33" t="inlineStr">
        <is>
          <t>Initial</t>
        </is>
      </c>
    </row>
    <row r="614">
      <c r="A614" s="33" t="inlineStr">
        <is>
          <t>2026-05-18</t>
        </is>
      </c>
      <c r="B614" s="33" t="inlineStr">
        <is>
          <t>ETN</t>
        </is>
      </c>
      <c r="C614" s="33" t="inlineStr">
        <is>
          <t>R4</t>
        </is>
      </c>
      <c r="D614" s="33" t="n">
        <v>4</v>
      </c>
      <c r="E614" s="68" t="inlineStr">
        <is>
          <t>Routine.</t>
        </is>
      </c>
      <c r="F614" s="68" t="inlineStr">
        <is>
          <t>Eaton Q1 FY26 8-K + Alphastreet/BigGo data center coverage (2026-05-18 deep research)</t>
        </is>
      </c>
      <c r="G614" s="33" t="inlineStr">
        <is>
          <t>High</t>
        </is>
      </c>
      <c r="H614" s="33" t="inlineStr">
        <is>
          <t>Initial</t>
        </is>
      </c>
    </row>
    <row r="615">
      <c r="A615" s="33" t="inlineStr">
        <is>
          <t>2026-05-18</t>
        </is>
      </c>
      <c r="B615" s="33" t="inlineStr">
        <is>
          <t>SBGSY</t>
        </is>
      </c>
      <c r="C615" s="33" t="inlineStr">
        <is>
          <t>D1</t>
        </is>
      </c>
      <c r="D615" s="33" t="n">
        <v>4</v>
      </c>
      <c r="E615" s="68" t="inlineStr">
        <is>
          <t>Data Center &amp; Networks double-digit growth; expanded segment. Band 4.</t>
        </is>
      </c>
      <c r="F615" s="68" t="inlineStr">
        <is>
          <t>Schneider Electric Q1 FY26 + DataCenterFrontier $2.3B coverage (2026-05-18 deep research)</t>
        </is>
      </c>
      <c r="G615" s="33" t="inlineStr">
        <is>
          <t>High</t>
        </is>
      </c>
      <c r="H615" s="33" t="inlineStr">
        <is>
          <t>Initial</t>
        </is>
      </c>
    </row>
    <row r="616">
      <c r="A616" s="33" t="inlineStr">
        <is>
          <t>2026-05-18</t>
        </is>
      </c>
      <c r="B616" s="33" t="inlineStr">
        <is>
          <t>SBGSY</t>
        </is>
      </c>
      <c r="C616" s="33" t="inlineStr">
        <is>
          <t>D2</t>
        </is>
      </c>
      <c r="D616" s="33" t="n">
        <v>4</v>
      </c>
      <c r="E616" s="68" t="inlineStr">
        <is>
          <t>Major DC power distribution + cooling player; structural position.</t>
        </is>
      </c>
      <c r="F616" s="68" t="inlineStr">
        <is>
          <t>Schneider Electric Q1 FY26 + DataCenterFrontier $2.3B coverage (2026-05-18 deep research)</t>
        </is>
      </c>
      <c r="G616" s="33" t="inlineStr">
        <is>
          <t>High</t>
        </is>
      </c>
      <c r="H616" s="33" t="inlineStr">
        <is>
          <t>Initial</t>
        </is>
      </c>
    </row>
    <row r="617">
      <c r="A617" s="33" t="inlineStr">
        <is>
          <t>2026-05-18</t>
        </is>
      </c>
      <c r="B617" s="33" t="inlineStr">
        <is>
          <t>SBGSY</t>
        </is>
      </c>
      <c r="C617" s="33" t="inlineStr">
        <is>
          <t>D3</t>
        </is>
      </c>
      <c r="D617" s="33" t="n">
        <v>4</v>
      </c>
      <c r="E617" s="68" t="inlineStr">
        <is>
          <t>Scale + brand + multi-decade enterprise relationships.</t>
        </is>
      </c>
      <c r="F617" s="68" t="inlineStr">
        <is>
          <t>Schneider Electric Q1 FY26 + DataCenterFrontier $2.3B coverage (2026-05-18 deep research)</t>
        </is>
      </c>
      <c r="G617" s="33" t="inlineStr">
        <is>
          <t>High</t>
        </is>
      </c>
      <c r="H617" s="33" t="inlineStr">
        <is>
          <t>Initial</t>
        </is>
      </c>
    </row>
    <row r="618">
      <c r="A618" s="33" t="inlineStr">
        <is>
          <t>2026-05-18</t>
        </is>
      </c>
      <c r="B618" s="33" t="inlineStr">
        <is>
          <t>SBGSY</t>
        </is>
      </c>
      <c r="C618" s="33" t="inlineStr">
        <is>
          <t>D4</t>
        </is>
      </c>
      <c r="D618" s="33" t="n">
        <v>5</v>
      </c>
      <c r="E618" s="68" t="inlineStr">
        <is>
          <t>$2.27B US DC deals ($1.9B Switch + $373M Digital Realty); $700M US mfg investment.</t>
        </is>
      </c>
      <c r="F618" s="68" t="inlineStr">
        <is>
          <t>Schneider Electric Q1 FY26 + DataCenterFrontier $2.3B coverage (2026-05-18 deep research)</t>
        </is>
      </c>
      <c r="G618" s="33" t="inlineStr">
        <is>
          <t>High</t>
        </is>
      </c>
      <c r="H618" s="33" t="inlineStr">
        <is>
          <t>Initial</t>
        </is>
      </c>
    </row>
    <row r="619">
      <c r="A619" s="33" t="inlineStr">
        <is>
          <t>2026-05-18</t>
        </is>
      </c>
      <c r="B619" s="33" t="inlineStr">
        <is>
          <t>SBGSY</t>
        </is>
      </c>
      <c r="C619" s="33" t="inlineStr">
        <is>
          <t>D5</t>
        </is>
      </c>
      <c r="D619" s="33" t="n">
        <v>4</v>
      </c>
      <c r="E619" s="68" t="inlineStr">
        <is>
          <t>Direct hyperscaler + colo customers; Switch + Digital Realty anchor relationships.</t>
        </is>
      </c>
      <c r="F619" s="68" t="inlineStr">
        <is>
          <t>Schneider Electric Q1 FY26 + DataCenterFrontier $2.3B coverage (2026-05-18 deep research)</t>
        </is>
      </c>
      <c r="G619" s="33" t="inlineStr">
        <is>
          <t>High</t>
        </is>
      </c>
      <c r="H619" s="33" t="inlineStr">
        <is>
          <t>Initial</t>
        </is>
      </c>
    </row>
    <row r="620">
      <c r="A620" s="33" t="inlineStr">
        <is>
          <t>2026-05-18</t>
        </is>
      </c>
      <c r="B620" s="33" t="inlineStr">
        <is>
          <t>SBGSY</t>
        </is>
      </c>
      <c r="C620" s="33" t="inlineStr">
        <is>
          <t>M1</t>
        </is>
      </c>
      <c r="D620" s="33" t="n">
        <v>3</v>
      </c>
      <c r="E620" s="68" t="inlineStr">
        <is>
          <t>1 up / 0 down; positive but limited revision activity.</t>
        </is>
      </c>
      <c r="F620" s="68" t="inlineStr">
        <is>
          <t>Schneider Electric Q1 FY26 + DataCenterFrontier $2.3B coverage (2026-05-18 deep research)</t>
        </is>
      </c>
      <c r="G620" s="33" t="inlineStr">
        <is>
          <t>High</t>
        </is>
      </c>
      <c r="H620" s="33" t="inlineStr">
        <is>
          <t>Initial</t>
        </is>
      </c>
    </row>
    <row r="621">
      <c r="A621" s="33" t="inlineStr">
        <is>
          <t>2026-05-18</t>
        </is>
      </c>
      <c r="B621" s="33" t="inlineStr">
        <is>
          <t>SBGSY</t>
        </is>
      </c>
      <c r="C621" s="33" t="inlineStr">
        <is>
          <t>M2</t>
        </is>
      </c>
      <c r="D621" s="33" t="n">
        <v>3</v>
      </c>
      <c r="E621" s="68" t="inlineStr">
        <is>
          <t>+3pp vs XLI 180d.</t>
        </is>
      </c>
      <c r="F621" s="68" t="inlineStr">
        <is>
          <t>Schneider Electric Q1 FY26 + DataCenterFrontier $2.3B coverage (2026-05-18 deep research)</t>
        </is>
      </c>
      <c r="G621" s="33" t="inlineStr">
        <is>
          <t>High</t>
        </is>
      </c>
      <c r="H621" s="33" t="inlineStr">
        <is>
          <t>Initial</t>
        </is>
      </c>
    </row>
    <row r="622">
      <c r="A622" s="33" t="inlineStr">
        <is>
          <t>2026-05-18</t>
        </is>
      </c>
      <c r="B622" s="33" t="inlineStr">
        <is>
          <t>SBGSY</t>
        </is>
      </c>
      <c r="C622" s="33" t="inlineStr">
        <is>
          <t>M3</t>
        </is>
      </c>
      <c r="D622" s="33" t="n">
        <v>3</v>
      </c>
      <c r="E622" s="68" t="inlineStr">
        <is>
          <t>Routine; default 3.</t>
        </is>
      </c>
      <c r="F622" s="68" t="inlineStr">
        <is>
          <t>Schneider Electric Q1 FY26 + DataCenterFrontier $2.3B coverage (2026-05-18 deep research)</t>
        </is>
      </c>
      <c r="G622" s="33" t="inlineStr">
        <is>
          <t>High</t>
        </is>
      </c>
      <c r="H622" s="33" t="inlineStr">
        <is>
          <t>Initial</t>
        </is>
      </c>
    </row>
    <row r="623">
      <c r="A623" s="33" t="inlineStr">
        <is>
          <t>2026-05-18</t>
        </is>
      </c>
      <c r="B623" s="33" t="inlineStr">
        <is>
          <t>SBGSY</t>
        </is>
      </c>
      <c r="C623" s="33" t="inlineStr">
        <is>
          <t>R1</t>
        </is>
      </c>
      <c r="D623" s="33" t="n">
        <v>5</v>
      </c>
      <c r="E623" s="68" t="inlineStr">
        <is>
          <t>Highly diversified globally.</t>
        </is>
      </c>
      <c r="F623" s="68" t="inlineStr">
        <is>
          <t>Schneider Electric Q1 FY26 + DataCenterFrontier $2.3B coverage (2026-05-18 deep research)</t>
        </is>
      </c>
      <c r="G623" s="33" t="inlineStr">
        <is>
          <t>High</t>
        </is>
      </c>
      <c r="H623" s="33" t="inlineStr">
        <is>
          <t>Initial</t>
        </is>
      </c>
    </row>
    <row r="624">
      <c r="A624" s="33" t="inlineStr">
        <is>
          <t>2026-05-18</t>
        </is>
      </c>
      <c r="B624" s="33" t="inlineStr">
        <is>
          <t>SBGSY</t>
        </is>
      </c>
      <c r="C624" s="33" t="inlineStr">
        <is>
          <t>R2</t>
        </is>
      </c>
      <c r="D624" s="33" t="n">
        <v>4</v>
      </c>
      <c r="E624" s="68" t="inlineStr">
        <is>
          <t>European-based ADR; some exposure to Europe market.</t>
        </is>
      </c>
      <c r="F624" s="68" t="inlineStr">
        <is>
          <t>Schneider Electric Q1 FY26 + DataCenterFrontier $2.3B coverage (2026-05-18 deep research)</t>
        </is>
      </c>
      <c r="G624" s="33" t="inlineStr">
        <is>
          <t>High</t>
        </is>
      </c>
      <c r="H624" s="33" t="inlineStr">
        <is>
          <t>Initial</t>
        </is>
      </c>
    </row>
    <row r="625">
      <c r="A625" s="33" t="inlineStr">
        <is>
          <t>2026-05-18</t>
        </is>
      </c>
      <c r="B625" s="33" t="inlineStr">
        <is>
          <t>SBGSY</t>
        </is>
      </c>
      <c r="C625" s="33" t="inlineStr">
        <is>
          <t>R3</t>
        </is>
      </c>
      <c r="D625" s="33" t="n">
        <v>4</v>
      </c>
      <c r="E625" s="68" t="inlineStr">
        <is>
          <t>Strong; investing in capacity.</t>
        </is>
      </c>
      <c r="F625" s="68" t="inlineStr">
        <is>
          <t>Schneider Electric Q1 FY26 + DataCenterFrontier $2.3B coverage (2026-05-18 deep research)</t>
        </is>
      </c>
      <c r="G625" s="33" t="inlineStr">
        <is>
          <t>High</t>
        </is>
      </c>
      <c r="H625" s="33" t="inlineStr">
        <is>
          <t>Initial</t>
        </is>
      </c>
    </row>
    <row r="626">
      <c r="A626" s="33" t="inlineStr">
        <is>
          <t>2026-05-18</t>
        </is>
      </c>
      <c r="B626" s="33" t="inlineStr">
        <is>
          <t>SBGSY</t>
        </is>
      </c>
      <c r="C626" s="33" t="inlineStr">
        <is>
          <t>R4</t>
        </is>
      </c>
      <c r="D626" s="33" t="n">
        <v>4</v>
      </c>
      <c r="E626" s="68" t="inlineStr">
        <is>
          <t>Routine.</t>
        </is>
      </c>
      <c r="F626" s="68" t="inlineStr">
        <is>
          <t>Schneider Electric Q1 FY26 + DataCenterFrontier $2.3B coverage (2026-05-18 deep research)</t>
        </is>
      </c>
      <c r="G626" s="33" t="inlineStr">
        <is>
          <t>High</t>
        </is>
      </c>
      <c r="H626" s="33" t="inlineStr">
        <is>
          <t>Initial</t>
        </is>
      </c>
    </row>
    <row r="627">
      <c r="A627" s="33" t="inlineStr">
        <is>
          <t>2026-05-18</t>
        </is>
      </c>
      <c r="B627" s="33" t="inlineStr">
        <is>
          <t>ABBNY</t>
        </is>
      </c>
      <c r="C627" s="33" t="inlineStr">
        <is>
          <t>D1</t>
        </is>
      </c>
      <c r="D627" s="33" t="n">
        <v>4</v>
      </c>
      <c r="E627" s="68" t="inlineStr">
        <is>
          <t>Q1 FY26 record $11.3B orders, triple-digit data center growth. Band 4.</t>
        </is>
      </c>
      <c r="F627" s="68" t="inlineStr">
        <is>
          <t>ABB Q1 FY26 8-K + Futurum DC coverage + Yahoo Finance guidance raise (2026-05-18 deep research)</t>
        </is>
      </c>
      <c r="G627" s="33" t="inlineStr">
        <is>
          <t>High</t>
        </is>
      </c>
      <c r="H627" s="33" t="inlineStr">
        <is>
          <t>Initial</t>
        </is>
      </c>
    </row>
    <row r="628">
      <c r="A628" s="33" t="inlineStr">
        <is>
          <t>2026-05-18</t>
        </is>
      </c>
      <c r="B628" s="33" t="inlineStr">
        <is>
          <t>ABBNY</t>
        </is>
      </c>
      <c r="C628" s="33" t="inlineStr">
        <is>
          <t>D2</t>
        </is>
      </c>
      <c r="D628" s="33" t="n">
        <v>4</v>
      </c>
      <c r="E628" s="68" t="inlineStr">
        <is>
          <t>Major electrification + grid equipment player; structural position globally.</t>
        </is>
      </c>
      <c r="F628" s="68" t="inlineStr">
        <is>
          <t>ABB Q1 FY26 8-K + Futurum DC coverage + Yahoo Finance guidance raise (2026-05-18 deep research)</t>
        </is>
      </c>
      <c r="G628" s="33" t="inlineStr">
        <is>
          <t>High</t>
        </is>
      </c>
      <c r="H628" s="33" t="inlineStr">
        <is>
          <t>Initial</t>
        </is>
      </c>
    </row>
    <row r="629">
      <c r="A629" s="33" t="inlineStr">
        <is>
          <t>2026-05-18</t>
        </is>
      </c>
      <c r="B629" s="33" t="inlineStr">
        <is>
          <t>ABBNY</t>
        </is>
      </c>
      <c r="C629" s="33" t="inlineStr">
        <is>
          <t>D3</t>
        </is>
      </c>
      <c r="D629" s="33" t="n">
        <v>4</v>
      </c>
      <c r="E629" s="68" t="inlineStr">
        <is>
          <t>Engineering IP + scale + customer integration.</t>
        </is>
      </c>
      <c r="F629" s="68" t="inlineStr">
        <is>
          <t>ABB Q1 FY26 8-K + Futurum DC coverage + Yahoo Finance guidance raise (2026-05-18 deep research)</t>
        </is>
      </c>
      <c r="G629" s="33" t="inlineStr">
        <is>
          <t>High</t>
        </is>
      </c>
      <c r="H629" s="33" t="inlineStr">
        <is>
          <t>Initial</t>
        </is>
      </c>
    </row>
    <row r="630">
      <c r="A630" s="33" t="inlineStr">
        <is>
          <t>2026-05-18</t>
        </is>
      </c>
      <c r="B630" s="33" t="inlineStr">
        <is>
          <t>ABBNY</t>
        </is>
      </c>
      <c r="C630" s="33" t="inlineStr">
        <is>
          <t>D4</t>
        </is>
      </c>
      <c r="D630" s="33" t="n">
        <v>5</v>
      </c>
      <c r="E630" s="68" t="inlineStr">
        <is>
          <t>Record order book; raised full-year outlook; capacity expansion.</t>
        </is>
      </c>
      <c r="F630" s="68" t="inlineStr">
        <is>
          <t>ABB Q1 FY26 8-K + Futurum DC coverage + Yahoo Finance guidance raise (2026-05-18 deep research)</t>
        </is>
      </c>
      <c r="G630" s="33" t="inlineStr">
        <is>
          <t>High</t>
        </is>
      </c>
      <c r="H630" s="33" t="inlineStr">
        <is>
          <t>Initial</t>
        </is>
      </c>
    </row>
    <row r="631">
      <c r="A631" s="33" t="inlineStr">
        <is>
          <t>2026-05-18</t>
        </is>
      </c>
      <c r="B631" s="33" t="inlineStr">
        <is>
          <t>ABBNY</t>
        </is>
      </c>
      <c r="C631" s="33" t="inlineStr">
        <is>
          <t>D5</t>
        </is>
      </c>
      <c r="D631" s="33" t="n">
        <v>4</v>
      </c>
      <c r="E631" s="68" t="inlineStr">
        <is>
          <t>Hyperscaler + colo demand explicitly cited as driver.</t>
        </is>
      </c>
      <c r="F631" s="68" t="inlineStr">
        <is>
          <t>ABB Q1 FY26 8-K + Futurum DC coverage + Yahoo Finance guidance raise (2026-05-18 deep research)</t>
        </is>
      </c>
      <c r="G631" s="33" t="inlineStr">
        <is>
          <t>High</t>
        </is>
      </c>
      <c r="H631" s="33" t="inlineStr">
        <is>
          <t>Initial</t>
        </is>
      </c>
    </row>
    <row r="632">
      <c r="A632" s="33" t="inlineStr">
        <is>
          <t>2026-05-18</t>
        </is>
      </c>
      <c r="B632" s="33" t="inlineStr">
        <is>
          <t>ABBNY</t>
        </is>
      </c>
      <c r="C632" s="33" t="inlineStr">
        <is>
          <t>M1</t>
        </is>
      </c>
      <c r="D632" s="33" t="n">
        <v>4</v>
      </c>
      <c r="E632" s="68" t="inlineStr">
        <is>
          <t>2 up / 0 down; FY revision +55.6% reflects guidance raise (verified real, not artifact).</t>
        </is>
      </c>
      <c r="F632" s="68" t="inlineStr">
        <is>
          <t>ABB Q1 FY26 8-K + Futurum DC coverage + Yahoo Finance guidance raise (2026-05-18 deep research)</t>
        </is>
      </c>
      <c r="G632" s="33" t="inlineStr">
        <is>
          <t>High</t>
        </is>
      </c>
      <c r="H632" s="33" t="inlineStr">
        <is>
          <t>Initial</t>
        </is>
      </c>
    </row>
    <row r="633">
      <c r="A633" s="33" t="inlineStr">
        <is>
          <t>2026-05-18</t>
        </is>
      </c>
      <c r="B633" s="33" t="inlineStr">
        <is>
          <t>ABBNY</t>
        </is>
      </c>
      <c r="C633" s="33" t="inlineStr">
        <is>
          <t>M2</t>
        </is>
      </c>
      <c r="D633" s="33" t="n">
        <v>5</v>
      </c>
      <c r="E633" s="68" t="inlineStr">
        <is>
          <t>+41pp vs XLI 180d. Strong outperformance.</t>
        </is>
      </c>
      <c r="F633" s="68" t="inlineStr">
        <is>
          <t>ABB Q1 FY26 8-K + Futurum DC coverage + Yahoo Finance guidance raise (2026-05-18 deep research)</t>
        </is>
      </c>
      <c r="G633" s="33" t="inlineStr">
        <is>
          <t>High</t>
        </is>
      </c>
      <c r="H633" s="33" t="inlineStr">
        <is>
          <t>Initial</t>
        </is>
      </c>
    </row>
    <row r="634">
      <c r="A634" s="33" t="inlineStr">
        <is>
          <t>2026-05-18</t>
        </is>
      </c>
      <c r="B634" s="33" t="inlineStr">
        <is>
          <t>ABBNY</t>
        </is>
      </c>
      <c r="C634" s="33" t="inlineStr">
        <is>
          <t>M3</t>
        </is>
      </c>
      <c r="D634" s="33" t="n">
        <v>3</v>
      </c>
      <c r="E634" s="68" t="inlineStr">
        <is>
          <t>Routine; default 3.</t>
        </is>
      </c>
      <c r="F634" s="68" t="inlineStr">
        <is>
          <t>ABB Q1 FY26 8-K + Futurum DC coverage + Yahoo Finance guidance raise (2026-05-18 deep research)</t>
        </is>
      </c>
      <c r="G634" s="33" t="inlineStr">
        <is>
          <t>High</t>
        </is>
      </c>
      <c r="H634" s="33" t="inlineStr">
        <is>
          <t>Initial</t>
        </is>
      </c>
    </row>
    <row r="635">
      <c r="A635" s="33" t="inlineStr">
        <is>
          <t>2026-05-18</t>
        </is>
      </c>
      <c r="B635" s="33" t="inlineStr">
        <is>
          <t>ABBNY</t>
        </is>
      </c>
      <c r="C635" s="33" t="inlineStr">
        <is>
          <t>R1</t>
        </is>
      </c>
      <c r="D635" s="33" t="n">
        <v>5</v>
      </c>
      <c r="E635" s="68" t="inlineStr">
        <is>
          <t>Highly diversified globally.</t>
        </is>
      </c>
      <c r="F635" s="68" t="inlineStr">
        <is>
          <t>ABB Q1 FY26 8-K + Futurum DC coverage + Yahoo Finance guidance raise (2026-05-18 deep research)</t>
        </is>
      </c>
      <c r="G635" s="33" t="inlineStr">
        <is>
          <t>High</t>
        </is>
      </c>
      <c r="H635" s="33" t="inlineStr">
        <is>
          <t>Initial</t>
        </is>
      </c>
    </row>
    <row r="636">
      <c r="A636" s="33" t="inlineStr">
        <is>
          <t>2026-05-18</t>
        </is>
      </c>
      <c r="B636" s="33" t="inlineStr">
        <is>
          <t>ABBNY</t>
        </is>
      </c>
      <c r="C636" s="33" t="inlineStr">
        <is>
          <t>R2</t>
        </is>
      </c>
      <c r="D636" s="33" t="n">
        <v>4</v>
      </c>
      <c r="E636" s="68" t="inlineStr">
        <is>
          <t>Swiss ADR; global operations.</t>
        </is>
      </c>
      <c r="F636" s="68" t="inlineStr">
        <is>
          <t>ABB Q1 FY26 8-K + Futurum DC coverage + Yahoo Finance guidance raise (2026-05-18 deep research)</t>
        </is>
      </c>
      <c r="G636" s="33" t="inlineStr">
        <is>
          <t>High</t>
        </is>
      </c>
      <c r="H636" s="33" t="inlineStr">
        <is>
          <t>Initial</t>
        </is>
      </c>
    </row>
    <row r="637">
      <c r="A637" s="33" t="inlineStr">
        <is>
          <t>2026-05-18</t>
        </is>
      </c>
      <c r="B637" s="33" t="inlineStr">
        <is>
          <t>ABBNY</t>
        </is>
      </c>
      <c r="C637" s="33" t="inlineStr">
        <is>
          <t>R3</t>
        </is>
      </c>
      <c r="D637" s="33" t="n">
        <v>4</v>
      </c>
      <c r="E637" s="68" t="inlineStr">
        <is>
          <t>Strong.</t>
        </is>
      </c>
      <c r="F637" s="68" t="inlineStr">
        <is>
          <t>ABB Q1 FY26 8-K + Futurum DC coverage + Yahoo Finance guidance raise (2026-05-18 deep research)</t>
        </is>
      </c>
      <c r="G637" s="33" t="inlineStr">
        <is>
          <t>High</t>
        </is>
      </c>
      <c r="H637" s="33" t="inlineStr">
        <is>
          <t>Initial</t>
        </is>
      </c>
    </row>
    <row r="638">
      <c r="A638" s="33" t="inlineStr">
        <is>
          <t>2026-05-18</t>
        </is>
      </c>
      <c r="B638" s="33" t="inlineStr">
        <is>
          <t>ABBNY</t>
        </is>
      </c>
      <c r="C638" s="33" t="inlineStr">
        <is>
          <t>R4</t>
        </is>
      </c>
      <c r="D638" s="33" t="n">
        <v>4</v>
      </c>
      <c r="E638" s="68" t="inlineStr">
        <is>
          <t>Routine.</t>
        </is>
      </c>
      <c r="F638" s="68" t="inlineStr">
        <is>
          <t>ABB Q1 FY26 8-K + Futurum DC coverage + Yahoo Finance guidance raise (2026-05-18 deep research)</t>
        </is>
      </c>
      <c r="G638" s="33" t="inlineStr">
        <is>
          <t>High</t>
        </is>
      </c>
      <c r="H638" s="33" t="inlineStr">
        <is>
          <t>Initial</t>
        </is>
      </c>
    </row>
    <row r="639">
      <c r="A639" s="33" t="inlineStr">
        <is>
          <t>2026-05-18</t>
        </is>
      </c>
      <c r="B639" s="33" t="inlineStr">
        <is>
          <t>HTHIY</t>
        </is>
      </c>
      <c r="C639" s="33" t="inlineStr">
        <is>
          <t>D1</t>
        </is>
      </c>
      <c r="D639" s="33" t="n">
        <v>4</v>
      </c>
      <c r="E639" s="68" t="inlineStr">
        <is>
          <t>Major exposure to grid transformer demand from AI data centers; transformer shortage is THE binding constraint on hyperscaler buildout.</t>
        </is>
      </c>
      <c r="F639" s="68" t="inlineStr">
        <is>
          <t>Fortune transformer bottleneck + Hitachi Energy $43B backlog coverage (2026-05-18 deep research)</t>
        </is>
      </c>
      <c r="G639" s="33" t="inlineStr">
        <is>
          <t>High</t>
        </is>
      </c>
      <c r="H639" s="33" t="inlineStr">
        <is>
          <t>Initial</t>
        </is>
      </c>
    </row>
    <row r="640">
      <c r="A640" s="33" t="inlineStr">
        <is>
          <t>2026-05-18</t>
        </is>
      </c>
      <c r="B640" s="33" t="inlineStr">
        <is>
          <t>HTHIY</t>
        </is>
      </c>
      <c r="C640" s="33" t="inlineStr">
        <is>
          <t>D2</t>
        </is>
      </c>
      <c r="D640" s="33" t="n">
        <v>5</v>
      </c>
      <c r="E640" s="68" t="inlineStr">
        <is>
          <t>**TRANSFORMER BOTTLENECK** — pre-2020 lead times 24-30 months, now 5 years. Limited substitutes for high-power transformers. Bottleneck-tier per rubric.</t>
        </is>
      </c>
      <c r="F640" s="68" t="inlineStr">
        <is>
          <t>Fortune transformer bottleneck + Hitachi Energy $43B backlog coverage (2026-05-18 deep research)</t>
        </is>
      </c>
      <c r="G640" s="33" t="inlineStr">
        <is>
          <t>High</t>
        </is>
      </c>
      <c r="H640" s="33" t="inlineStr">
        <is>
          <t>Initial</t>
        </is>
      </c>
    </row>
    <row r="641">
      <c r="A641" s="33" t="inlineStr">
        <is>
          <t>2026-05-18</t>
        </is>
      </c>
      <c r="B641" s="33" t="inlineStr">
        <is>
          <t>HTHIY</t>
        </is>
      </c>
      <c r="C641" s="33" t="inlineStr">
        <is>
          <t>D3</t>
        </is>
      </c>
      <c r="D641" s="33" t="n">
        <v>4</v>
      </c>
      <c r="E641" s="68" t="inlineStr">
        <is>
          <t>Engineering IP + manufacturing scale + multi-decade utility relationships.</t>
        </is>
      </c>
      <c r="F641" s="68" t="inlineStr">
        <is>
          <t>Fortune transformer bottleneck + Hitachi Energy $43B backlog coverage (2026-05-18 deep research)</t>
        </is>
      </c>
      <c r="G641" s="33" t="inlineStr">
        <is>
          <t>High</t>
        </is>
      </c>
      <c r="H641" s="33" t="inlineStr">
        <is>
          <t>Initial</t>
        </is>
      </c>
    </row>
    <row r="642">
      <c r="A642" s="33" t="inlineStr">
        <is>
          <t>2026-05-18</t>
        </is>
      </c>
      <c r="B642" s="33" t="inlineStr">
        <is>
          <t>HTHIY</t>
        </is>
      </c>
      <c r="C642" s="33" t="inlineStr">
        <is>
          <t>D4</t>
        </is>
      </c>
      <c r="D642" s="33" t="n">
        <v>5</v>
      </c>
      <c r="E642" s="68" t="inlineStr">
        <is>
          <t>$43B backlog (was $14B 3yr ago = TRIPLED); $6B investment by 2027; hiring 15,000 employees. Major capacity expansion.</t>
        </is>
      </c>
      <c r="F642" s="68" t="inlineStr">
        <is>
          <t>Fortune transformer bottleneck + Hitachi Energy $43B backlog coverage (2026-05-18 deep research)</t>
        </is>
      </c>
      <c r="G642" s="33" t="inlineStr">
        <is>
          <t>High</t>
        </is>
      </c>
      <c r="H642" s="33" t="inlineStr">
        <is>
          <t>Initial</t>
        </is>
      </c>
    </row>
    <row r="643">
      <c r="A643" s="33" t="inlineStr">
        <is>
          <t>2026-05-18</t>
        </is>
      </c>
      <c r="B643" s="33" t="inlineStr">
        <is>
          <t>HTHIY</t>
        </is>
      </c>
      <c r="C643" s="33" t="inlineStr">
        <is>
          <t>D5</t>
        </is>
      </c>
      <c r="D643" s="33" t="n">
        <v>4</v>
      </c>
      <c r="E643" s="68" t="inlineStr">
        <is>
          <t>Indirect via utility customers but data center demand driving structural backlog growth.</t>
        </is>
      </c>
      <c r="F643" s="68" t="inlineStr">
        <is>
          <t>Fortune transformer bottleneck + Hitachi Energy $43B backlog coverage (2026-05-18 deep research)</t>
        </is>
      </c>
      <c r="G643" s="33" t="inlineStr">
        <is>
          <t>High</t>
        </is>
      </c>
      <c r="H643" s="33" t="inlineStr">
        <is>
          <t>Initial</t>
        </is>
      </c>
    </row>
    <row r="644">
      <c r="A644" s="33" t="inlineStr">
        <is>
          <t>2026-05-18</t>
        </is>
      </c>
      <c r="B644" s="33" t="inlineStr">
        <is>
          <t>HTHIY</t>
        </is>
      </c>
      <c r="C644" s="33" t="inlineStr">
        <is>
          <t>M1</t>
        </is>
      </c>
      <c r="D644" s="33" t="n">
        <v>3</v>
      </c>
      <c r="E644" s="68" t="inlineStr">
        <is>
          <t>Limited revision data available; default 3.</t>
        </is>
      </c>
      <c r="F644" s="68" t="inlineStr">
        <is>
          <t>Fortune transformer bottleneck + Hitachi Energy $43B backlog coverage (2026-05-18 deep research)</t>
        </is>
      </c>
      <c r="G644" s="33" t="inlineStr">
        <is>
          <t>High</t>
        </is>
      </c>
      <c r="H644" s="33" t="inlineStr">
        <is>
          <t>Initial</t>
        </is>
      </c>
    </row>
    <row r="645">
      <c r="A645" s="33" t="inlineStr">
        <is>
          <t>2026-05-18</t>
        </is>
      </c>
      <c r="B645" s="33" t="inlineStr">
        <is>
          <t>HTHIY</t>
        </is>
      </c>
      <c r="C645" s="33" t="inlineStr">
        <is>
          <t>M2</t>
        </is>
      </c>
      <c r="D645" s="33" t="n">
        <v>2</v>
      </c>
      <c r="E645" s="68" t="inlineStr">
        <is>
          <t>-14pp vs XLI 180d — market lag despite backlog growth.</t>
        </is>
      </c>
      <c r="F645" s="68" t="inlineStr">
        <is>
          <t>Fortune transformer bottleneck + Hitachi Energy $43B backlog coverage (2026-05-18 deep research)</t>
        </is>
      </c>
      <c r="G645" s="33" t="inlineStr">
        <is>
          <t>High</t>
        </is>
      </c>
      <c r="H645" s="33" t="inlineStr">
        <is>
          <t>Initial</t>
        </is>
      </c>
    </row>
    <row r="646">
      <c r="A646" s="33" t="inlineStr">
        <is>
          <t>2026-05-18</t>
        </is>
      </c>
      <c r="B646" s="33" t="inlineStr">
        <is>
          <t>HTHIY</t>
        </is>
      </c>
      <c r="C646" s="33" t="inlineStr">
        <is>
          <t>M3</t>
        </is>
      </c>
      <c r="D646" s="33" t="n">
        <v>3</v>
      </c>
      <c r="E646" s="68" t="inlineStr">
        <is>
          <t>Routine; default 3.</t>
        </is>
      </c>
      <c r="F646" s="68" t="inlineStr">
        <is>
          <t>Fortune transformer bottleneck + Hitachi Energy $43B backlog coverage (2026-05-18 deep research)</t>
        </is>
      </c>
      <c r="G646" s="33" t="inlineStr">
        <is>
          <t>High</t>
        </is>
      </c>
      <c r="H646" s="33" t="inlineStr">
        <is>
          <t>Initial</t>
        </is>
      </c>
    </row>
    <row r="647">
      <c r="A647" s="33" t="inlineStr">
        <is>
          <t>2026-05-18</t>
        </is>
      </c>
      <c r="B647" s="33" t="inlineStr">
        <is>
          <t>HTHIY</t>
        </is>
      </c>
      <c r="C647" s="33" t="inlineStr">
        <is>
          <t>R1</t>
        </is>
      </c>
      <c r="D647" s="33" t="n">
        <v>5</v>
      </c>
      <c r="E647" s="68" t="inlineStr">
        <is>
          <t>Diversified utility customer base.</t>
        </is>
      </c>
      <c r="F647" s="68" t="inlineStr">
        <is>
          <t>Fortune transformer bottleneck + Hitachi Energy $43B backlog coverage (2026-05-18 deep research)</t>
        </is>
      </c>
      <c r="G647" s="33" t="inlineStr">
        <is>
          <t>High</t>
        </is>
      </c>
      <c r="H647" s="33" t="inlineStr">
        <is>
          <t>Initial</t>
        </is>
      </c>
    </row>
    <row r="648">
      <c r="A648" s="33" t="inlineStr">
        <is>
          <t>2026-05-18</t>
        </is>
      </c>
      <c r="B648" s="33" t="inlineStr">
        <is>
          <t>HTHIY</t>
        </is>
      </c>
      <c r="C648" s="33" t="inlineStr">
        <is>
          <t>R2</t>
        </is>
      </c>
      <c r="D648" s="33" t="n">
        <v>4</v>
      </c>
      <c r="E648" s="68" t="inlineStr">
        <is>
          <t>Japanese ADR; global operations.</t>
        </is>
      </c>
      <c r="F648" s="68" t="inlineStr">
        <is>
          <t>Fortune transformer bottleneck + Hitachi Energy $43B backlog coverage (2026-05-18 deep research)</t>
        </is>
      </c>
      <c r="G648" s="33" t="inlineStr">
        <is>
          <t>High</t>
        </is>
      </c>
      <c r="H648" s="33" t="inlineStr">
        <is>
          <t>Initial</t>
        </is>
      </c>
    </row>
    <row r="649">
      <c r="A649" s="33" t="inlineStr">
        <is>
          <t>2026-05-18</t>
        </is>
      </c>
      <c r="B649" s="33" t="inlineStr">
        <is>
          <t>HTHIY</t>
        </is>
      </c>
      <c r="C649" s="33" t="inlineStr">
        <is>
          <t>R3</t>
        </is>
      </c>
      <c r="D649" s="33" t="n">
        <v>4</v>
      </c>
      <c r="E649" s="68" t="inlineStr">
        <is>
          <t>Strong (Hitachi parent).</t>
        </is>
      </c>
      <c r="F649" s="68" t="inlineStr">
        <is>
          <t>Fortune transformer bottleneck + Hitachi Energy $43B backlog coverage (2026-05-18 deep research)</t>
        </is>
      </c>
      <c r="G649" s="33" t="inlineStr">
        <is>
          <t>High</t>
        </is>
      </c>
      <c r="H649" s="33" t="inlineStr">
        <is>
          <t>Initial</t>
        </is>
      </c>
    </row>
    <row r="650">
      <c r="A650" s="33" t="inlineStr">
        <is>
          <t>2026-05-18</t>
        </is>
      </c>
      <c r="B650" s="33" t="inlineStr">
        <is>
          <t>HTHIY</t>
        </is>
      </c>
      <c r="C650" s="33" t="inlineStr">
        <is>
          <t>R4</t>
        </is>
      </c>
      <c r="D650" s="33" t="n">
        <v>4</v>
      </c>
      <c r="E650" s="68" t="inlineStr">
        <is>
          <t>Routine.</t>
        </is>
      </c>
      <c r="F650" s="68" t="inlineStr">
        <is>
          <t>Fortune transformer bottleneck + Hitachi Energy $43B backlog coverage (2026-05-18 deep research)</t>
        </is>
      </c>
      <c r="G650" s="33" t="inlineStr">
        <is>
          <t>High</t>
        </is>
      </c>
      <c r="H650" s="33" t="inlineStr">
        <is>
          <t>Initial</t>
        </is>
      </c>
    </row>
    <row r="651">
      <c r="A651" s="33" t="inlineStr">
        <is>
          <t>2026-05-18</t>
        </is>
      </c>
      <c r="B651" s="33" t="inlineStr">
        <is>
          <t>HUBB</t>
        </is>
      </c>
      <c r="C651" s="33" t="inlineStr">
        <is>
          <t>D1</t>
        </is>
      </c>
      <c r="D651" s="33" t="n">
        <v>3</v>
      </c>
      <c r="E651" s="68" t="inlineStr">
        <is>
          <t>Q1 organic growth 8% with double-digit Electrical Solutions + Utility T&amp;D. Data center is real growth driver but ~10% of revenue. Band 3.</t>
        </is>
      </c>
      <c r="F651" s="68" t="inlineStr">
        <is>
          <t>Hubbell Q1 FY26 + FinancialContent utility+DC growth coverage (2026-05-18 deep research)</t>
        </is>
      </c>
      <c r="G651" s="33" t="inlineStr">
        <is>
          <t>High</t>
        </is>
      </c>
      <c r="H651" s="33" t="inlineStr">
        <is>
          <t>Initial</t>
        </is>
      </c>
    </row>
    <row r="652">
      <c r="A652" s="33" t="inlineStr">
        <is>
          <t>2026-05-18</t>
        </is>
      </c>
      <c r="B652" s="33" t="inlineStr">
        <is>
          <t>HUBB</t>
        </is>
      </c>
      <c r="C652" s="33" t="inlineStr">
        <is>
          <t>D2</t>
        </is>
      </c>
      <c r="D652" s="33" t="n">
        <v>3</v>
      </c>
      <c r="E652" s="68" t="inlineStr">
        <is>
          <t>Mid-tier electrical components player.</t>
        </is>
      </c>
      <c r="F652" s="68" t="inlineStr">
        <is>
          <t>Hubbell Q1 FY26 + FinancialContent utility+DC growth coverage (2026-05-18 deep research)</t>
        </is>
      </c>
      <c r="G652" s="33" t="inlineStr">
        <is>
          <t>High</t>
        </is>
      </c>
      <c r="H652" s="33" t="inlineStr">
        <is>
          <t>Initial</t>
        </is>
      </c>
    </row>
    <row r="653">
      <c r="A653" s="33" t="inlineStr">
        <is>
          <t>2026-05-18</t>
        </is>
      </c>
      <c r="B653" s="33" t="inlineStr">
        <is>
          <t>HUBB</t>
        </is>
      </c>
      <c r="C653" s="33" t="inlineStr">
        <is>
          <t>D3</t>
        </is>
      </c>
      <c r="D653" s="33" t="n">
        <v>3</v>
      </c>
      <c r="E653" s="68" t="inlineStr">
        <is>
          <t>Brand + scale + utility relationships.</t>
        </is>
      </c>
      <c r="F653" s="68" t="inlineStr">
        <is>
          <t>Hubbell Q1 FY26 + FinancialContent utility+DC growth coverage (2026-05-18 deep research)</t>
        </is>
      </c>
      <c r="G653" s="33" t="inlineStr">
        <is>
          <t>High</t>
        </is>
      </c>
      <c r="H653" s="33" t="inlineStr">
        <is>
          <t>Initial</t>
        </is>
      </c>
    </row>
    <row r="654">
      <c r="A654" s="33" t="inlineStr">
        <is>
          <t>2026-05-18</t>
        </is>
      </c>
      <c r="B654" s="33" t="inlineStr">
        <is>
          <t>HUBB</t>
        </is>
      </c>
      <c r="C654" s="33" t="inlineStr">
        <is>
          <t>D4</t>
        </is>
      </c>
      <c r="D654" s="33" t="n">
        <v>4</v>
      </c>
      <c r="E654" s="68" t="inlineStr">
        <is>
          <t>Raised guidance 8-11%; 765 kV transmission opportunity ($1.5B addressable over 10 years).</t>
        </is>
      </c>
      <c r="F654" s="68" t="inlineStr">
        <is>
          <t>Hubbell Q1 FY26 + FinancialContent utility+DC growth coverage (2026-05-18 deep research)</t>
        </is>
      </c>
      <c r="G654" s="33" t="inlineStr">
        <is>
          <t>High</t>
        </is>
      </c>
      <c r="H654" s="33" t="inlineStr">
        <is>
          <t>Initial</t>
        </is>
      </c>
    </row>
    <row r="655">
      <c r="A655" s="33" t="inlineStr">
        <is>
          <t>2026-05-18</t>
        </is>
      </c>
      <c r="B655" s="33" t="inlineStr">
        <is>
          <t>HUBB</t>
        </is>
      </c>
      <c r="C655" s="33" t="inlineStr">
        <is>
          <t>D5</t>
        </is>
      </c>
      <c r="D655" s="33" t="n">
        <v>3</v>
      </c>
      <c r="E655" s="68" t="inlineStr">
        <is>
          <t>Hyperscaler + colo demand robust per Q1 commentary.</t>
        </is>
      </c>
      <c r="F655" s="68" t="inlineStr">
        <is>
          <t>Hubbell Q1 FY26 + FinancialContent utility+DC growth coverage (2026-05-18 deep research)</t>
        </is>
      </c>
      <c r="G655" s="33" t="inlineStr">
        <is>
          <t>High</t>
        </is>
      </c>
      <c r="H655" s="33" t="inlineStr">
        <is>
          <t>Initial</t>
        </is>
      </c>
    </row>
    <row r="656">
      <c r="A656" s="33" t="inlineStr">
        <is>
          <t>2026-05-18</t>
        </is>
      </c>
      <c r="B656" s="33" t="inlineStr">
        <is>
          <t>HUBB</t>
        </is>
      </c>
      <c r="C656" s="33" t="inlineStr">
        <is>
          <t>M1</t>
        </is>
      </c>
      <c r="D656" s="33" t="n">
        <v>4</v>
      </c>
      <c r="E656" s="68" t="inlineStr">
        <is>
          <t>9 up / 3 down; net positive.</t>
        </is>
      </c>
      <c r="F656" s="68" t="inlineStr">
        <is>
          <t>Hubbell Q1 FY26 + FinancialContent utility+DC growth coverage (2026-05-18 deep research)</t>
        </is>
      </c>
      <c r="G656" s="33" t="inlineStr">
        <is>
          <t>High</t>
        </is>
      </c>
      <c r="H656" s="33" t="inlineStr">
        <is>
          <t>Initial</t>
        </is>
      </c>
    </row>
    <row r="657">
      <c r="A657" s="33" t="inlineStr">
        <is>
          <t>2026-05-18</t>
        </is>
      </c>
      <c r="B657" s="33" t="inlineStr">
        <is>
          <t>HUBB</t>
        </is>
      </c>
      <c r="C657" s="33" t="inlineStr">
        <is>
          <t>M2</t>
        </is>
      </c>
      <c r="D657" s="33" t="n">
        <v>3</v>
      </c>
      <c r="E657" s="68" t="inlineStr">
        <is>
          <t>-1pp vs XLI 180d. In-line.</t>
        </is>
      </c>
      <c r="F657" s="68" t="inlineStr">
        <is>
          <t>Hubbell Q1 FY26 + FinancialContent utility+DC growth coverage (2026-05-18 deep research)</t>
        </is>
      </c>
      <c r="G657" s="33" t="inlineStr">
        <is>
          <t>High</t>
        </is>
      </c>
      <c r="H657" s="33" t="inlineStr">
        <is>
          <t>Initial</t>
        </is>
      </c>
    </row>
    <row r="658">
      <c r="A658" s="33" t="inlineStr">
        <is>
          <t>2026-05-18</t>
        </is>
      </c>
      <c r="B658" s="33" t="inlineStr">
        <is>
          <t>HUBB</t>
        </is>
      </c>
      <c r="C658" s="33" t="inlineStr">
        <is>
          <t>M3</t>
        </is>
      </c>
      <c r="D658" s="33" t="n">
        <v>3</v>
      </c>
      <c r="E658" s="68" t="inlineStr">
        <is>
          <t>Routine; default 3.</t>
        </is>
      </c>
      <c r="F658" s="68" t="inlineStr">
        <is>
          <t>Hubbell Q1 FY26 + FinancialContent utility+DC growth coverage (2026-05-18 deep research)</t>
        </is>
      </c>
      <c r="G658" s="33" t="inlineStr">
        <is>
          <t>High</t>
        </is>
      </c>
      <c r="H658" s="33" t="inlineStr">
        <is>
          <t>Initial</t>
        </is>
      </c>
    </row>
    <row r="659">
      <c r="A659" s="33" t="inlineStr">
        <is>
          <t>2026-05-18</t>
        </is>
      </c>
      <c r="B659" s="33" t="inlineStr">
        <is>
          <t>HUBB</t>
        </is>
      </c>
      <c r="C659" s="33" t="inlineStr">
        <is>
          <t>R1</t>
        </is>
      </c>
      <c r="D659" s="33" t="n">
        <v>5</v>
      </c>
      <c r="E659" s="68" t="inlineStr">
        <is>
          <t>Highly diversified.</t>
        </is>
      </c>
      <c r="F659" s="68" t="inlineStr">
        <is>
          <t>Hubbell Q1 FY26 + FinancialContent utility+DC growth coverage (2026-05-18 deep research)</t>
        </is>
      </c>
      <c r="G659" s="33" t="inlineStr">
        <is>
          <t>High</t>
        </is>
      </c>
      <c r="H659" s="33" t="inlineStr">
        <is>
          <t>Initial</t>
        </is>
      </c>
    </row>
    <row r="660">
      <c r="A660" s="33" t="inlineStr">
        <is>
          <t>2026-05-18</t>
        </is>
      </c>
      <c r="B660" s="33" t="inlineStr">
        <is>
          <t>HUBB</t>
        </is>
      </c>
      <c r="C660" s="33" t="inlineStr">
        <is>
          <t>R2</t>
        </is>
      </c>
      <c r="D660" s="33" t="n">
        <v>4</v>
      </c>
      <c r="E660" s="68" t="inlineStr">
        <is>
          <t>Global.</t>
        </is>
      </c>
      <c r="F660" s="68" t="inlineStr">
        <is>
          <t>Hubbell Q1 FY26 + FinancialContent utility+DC growth coverage (2026-05-18 deep research)</t>
        </is>
      </c>
      <c r="G660" s="33" t="inlineStr">
        <is>
          <t>High</t>
        </is>
      </c>
      <c r="H660" s="33" t="inlineStr">
        <is>
          <t>Initial</t>
        </is>
      </c>
    </row>
    <row r="661">
      <c r="A661" s="33" t="inlineStr">
        <is>
          <t>2026-05-18</t>
        </is>
      </c>
      <c r="B661" s="33" t="inlineStr">
        <is>
          <t>HUBB</t>
        </is>
      </c>
      <c r="C661" s="33" t="inlineStr">
        <is>
          <t>R3</t>
        </is>
      </c>
      <c r="D661" s="33" t="n">
        <v>4</v>
      </c>
      <c r="E661" s="68" t="inlineStr">
        <is>
          <t>Strong.</t>
        </is>
      </c>
      <c r="F661" s="68" t="inlineStr">
        <is>
          <t>Hubbell Q1 FY26 + FinancialContent utility+DC growth coverage (2026-05-18 deep research)</t>
        </is>
      </c>
      <c r="G661" s="33" t="inlineStr">
        <is>
          <t>High</t>
        </is>
      </c>
      <c r="H661" s="33" t="inlineStr">
        <is>
          <t>Initial</t>
        </is>
      </c>
    </row>
    <row r="662">
      <c r="A662" s="33" t="inlineStr">
        <is>
          <t>2026-05-18</t>
        </is>
      </c>
      <c r="B662" s="33" t="inlineStr">
        <is>
          <t>HUBB</t>
        </is>
      </c>
      <c r="C662" s="33" t="inlineStr">
        <is>
          <t>R4</t>
        </is>
      </c>
      <c r="D662" s="33" t="n">
        <v>4</v>
      </c>
      <c r="E662" s="68" t="inlineStr">
        <is>
          <t>Routine.</t>
        </is>
      </c>
      <c r="F662" s="68" t="inlineStr">
        <is>
          <t>Hubbell Q1 FY26 + FinancialContent utility+DC growth coverage (2026-05-18 deep research)</t>
        </is>
      </c>
      <c r="G662" s="33" t="inlineStr">
        <is>
          <t>High</t>
        </is>
      </c>
      <c r="H662" s="33" t="inlineStr">
        <is>
          <t>Initial</t>
        </is>
      </c>
    </row>
    <row r="663">
      <c r="A663" s="33" t="inlineStr">
        <is>
          <t>2026-05-18</t>
        </is>
      </c>
      <c r="B663" s="33" t="inlineStr">
        <is>
          <t>PWR</t>
        </is>
      </c>
      <c r="C663" s="33" t="inlineStr">
        <is>
          <t>D1</t>
        </is>
      </c>
      <c r="D663" s="33" t="n">
        <v>4</v>
      </c>
      <c r="E663" s="68" t="inlineStr">
        <is>
          <t>Data center exposure within $39B backlog growing fast. Band 4.</t>
        </is>
      </c>
      <c r="F663" s="68" t="inlineStr">
        <is>
          <t>Quanta Q3 2025 + TradingView/Zacks DC power winner coverage (2026-05-18 deep research)</t>
        </is>
      </c>
      <c r="G663" s="33" t="inlineStr">
        <is>
          <t>High</t>
        </is>
      </c>
      <c r="H663" s="33" t="inlineStr">
        <is>
          <t>Initial</t>
        </is>
      </c>
    </row>
    <row r="664">
      <c r="A664" s="33" t="inlineStr">
        <is>
          <t>2026-05-18</t>
        </is>
      </c>
      <c r="B664" s="33" t="inlineStr">
        <is>
          <t>PWR</t>
        </is>
      </c>
      <c r="C664" s="33" t="inlineStr">
        <is>
          <t>D2</t>
        </is>
      </c>
      <c r="D664" s="33" t="n">
        <v>4</v>
      </c>
      <c r="E664" s="68" t="inlineStr">
        <is>
          <t>Premier electrical construction services player.</t>
        </is>
      </c>
      <c r="F664" s="68" t="inlineStr">
        <is>
          <t>Quanta Q3 2025 + TradingView/Zacks DC power winner coverage (2026-05-18 deep research)</t>
        </is>
      </c>
      <c r="G664" s="33" t="inlineStr">
        <is>
          <t>High</t>
        </is>
      </c>
      <c r="H664" s="33" t="inlineStr">
        <is>
          <t>Initial</t>
        </is>
      </c>
    </row>
    <row r="665">
      <c r="A665" s="33" t="inlineStr">
        <is>
          <t>2026-05-18</t>
        </is>
      </c>
      <c r="B665" s="33" t="inlineStr">
        <is>
          <t>PWR</t>
        </is>
      </c>
      <c r="C665" s="33" t="inlineStr">
        <is>
          <t>D3</t>
        </is>
      </c>
      <c r="D665" s="33" t="n">
        <v>4</v>
      </c>
      <c r="E665" s="68" t="inlineStr">
        <is>
          <t>Workforce scale + safety record + multi-decade utility relationships.</t>
        </is>
      </c>
      <c r="F665" s="68" t="inlineStr">
        <is>
          <t>Quanta Q3 2025 + TradingView/Zacks DC power winner coverage (2026-05-18 deep research)</t>
        </is>
      </c>
      <c r="G665" s="33" t="inlineStr">
        <is>
          <t>High</t>
        </is>
      </c>
      <c r="H665" s="33" t="inlineStr">
        <is>
          <t>Initial</t>
        </is>
      </c>
    </row>
    <row r="666">
      <c r="A666" s="33" t="inlineStr">
        <is>
          <t>2026-05-18</t>
        </is>
      </c>
      <c r="B666" s="33" t="inlineStr">
        <is>
          <t>PWR</t>
        </is>
      </c>
      <c r="C666" s="33" t="inlineStr">
        <is>
          <t>D4</t>
        </is>
      </c>
      <c r="D666" s="33" t="n">
        <v>5</v>
      </c>
      <c r="E666" s="68" t="inlineStr">
        <is>
          <t>$39.2B record backlog; $36.2B Electric segment alone; 2026 guide $33-34B.</t>
        </is>
      </c>
      <c r="F666" s="68" t="inlineStr">
        <is>
          <t>Quanta Q3 2025 + TradingView/Zacks DC power winner coverage (2026-05-18 deep research)</t>
        </is>
      </c>
      <c r="G666" s="33" t="inlineStr">
        <is>
          <t>High</t>
        </is>
      </c>
      <c r="H666" s="33" t="inlineStr">
        <is>
          <t>Initial</t>
        </is>
      </c>
    </row>
    <row r="667">
      <c r="A667" s="33" t="inlineStr">
        <is>
          <t>2026-05-18</t>
        </is>
      </c>
      <c r="B667" s="33" t="inlineStr">
        <is>
          <t>PWR</t>
        </is>
      </c>
      <c r="C667" s="33" t="inlineStr">
        <is>
          <t>D5</t>
        </is>
      </c>
      <c r="D667" s="33" t="n">
        <v>4</v>
      </c>
      <c r="E667" s="68" t="inlineStr">
        <is>
          <t>Indirect via utility + hyperscaler grid buildouts.</t>
        </is>
      </c>
      <c r="F667" s="68" t="inlineStr">
        <is>
          <t>Quanta Q3 2025 + TradingView/Zacks DC power winner coverage (2026-05-18 deep research)</t>
        </is>
      </c>
      <c r="G667" s="33" t="inlineStr">
        <is>
          <t>High</t>
        </is>
      </c>
      <c r="H667" s="33" t="inlineStr">
        <is>
          <t>Initial</t>
        </is>
      </c>
    </row>
    <row r="668">
      <c r="A668" s="33" t="inlineStr">
        <is>
          <t>2026-05-18</t>
        </is>
      </c>
      <c r="B668" s="33" t="inlineStr">
        <is>
          <t>PWR</t>
        </is>
      </c>
      <c r="C668" s="33" t="inlineStr">
        <is>
          <t>M1</t>
        </is>
      </c>
      <c r="D668" s="33" t="n">
        <v>5</v>
      </c>
      <c r="E668" s="68" t="inlineStr">
        <is>
          <t>22 up / 0 down on +1Y — textbook beat-and-raise.</t>
        </is>
      </c>
      <c r="F668" s="68" t="inlineStr">
        <is>
          <t>Quanta Q3 2025 + TradingView/Zacks DC power winner coverage (2026-05-18 deep research)</t>
        </is>
      </c>
      <c r="G668" s="33" t="inlineStr">
        <is>
          <t>High</t>
        </is>
      </c>
      <c r="H668" s="33" t="inlineStr">
        <is>
          <t>Initial</t>
        </is>
      </c>
    </row>
    <row r="669">
      <c r="A669" s="33" t="inlineStr">
        <is>
          <t>2026-05-18</t>
        </is>
      </c>
      <c r="B669" s="33" t="inlineStr">
        <is>
          <t>PWR</t>
        </is>
      </c>
      <c r="C669" s="33" t="inlineStr">
        <is>
          <t>M2</t>
        </is>
      </c>
      <c r="D669" s="33" t="n">
        <v>5</v>
      </c>
      <c r="E669" s="68" t="inlineStr">
        <is>
          <t>+48pp vs XLI 180d. Strong outperformance.</t>
        </is>
      </c>
      <c r="F669" s="68" t="inlineStr">
        <is>
          <t>Quanta Q3 2025 + TradingView/Zacks DC power winner coverage (2026-05-18 deep research)</t>
        </is>
      </c>
      <c r="G669" s="33" t="inlineStr">
        <is>
          <t>High</t>
        </is>
      </c>
      <c r="H669" s="33" t="inlineStr">
        <is>
          <t>Initial</t>
        </is>
      </c>
    </row>
    <row r="670">
      <c r="A670" s="33" t="inlineStr">
        <is>
          <t>2026-05-18</t>
        </is>
      </c>
      <c r="B670" s="33" t="inlineStr">
        <is>
          <t>PWR</t>
        </is>
      </c>
      <c r="C670" s="33" t="inlineStr">
        <is>
          <t>M3</t>
        </is>
      </c>
      <c r="D670" s="33" t="n">
        <v>3</v>
      </c>
      <c r="E670" s="68" t="inlineStr">
        <is>
          <t>Routine; default 3.</t>
        </is>
      </c>
      <c r="F670" s="68" t="inlineStr">
        <is>
          <t>Quanta Q3 2025 + TradingView/Zacks DC power winner coverage (2026-05-18 deep research)</t>
        </is>
      </c>
      <c r="G670" s="33" t="inlineStr">
        <is>
          <t>High</t>
        </is>
      </c>
      <c r="H670" s="33" t="inlineStr">
        <is>
          <t>Initial</t>
        </is>
      </c>
    </row>
    <row r="671">
      <c r="A671" s="33" t="inlineStr">
        <is>
          <t>2026-05-18</t>
        </is>
      </c>
      <c r="B671" s="33" t="inlineStr">
        <is>
          <t>PWR</t>
        </is>
      </c>
      <c r="C671" s="33" t="inlineStr">
        <is>
          <t>R1</t>
        </is>
      </c>
      <c r="D671" s="33" t="n">
        <v>5</v>
      </c>
      <c r="E671" s="68" t="inlineStr">
        <is>
          <t>Diversified utility customer base.</t>
        </is>
      </c>
      <c r="F671" s="68" t="inlineStr">
        <is>
          <t>Quanta Q3 2025 + TradingView/Zacks DC power winner coverage (2026-05-18 deep research)</t>
        </is>
      </c>
      <c r="G671" s="33" t="inlineStr">
        <is>
          <t>High</t>
        </is>
      </c>
      <c r="H671" s="33" t="inlineStr">
        <is>
          <t>Initial</t>
        </is>
      </c>
    </row>
    <row r="672">
      <c r="A672" s="33" t="inlineStr">
        <is>
          <t>2026-05-18</t>
        </is>
      </c>
      <c r="B672" s="33" t="inlineStr">
        <is>
          <t>PWR</t>
        </is>
      </c>
      <c r="C672" s="33" t="inlineStr">
        <is>
          <t>R2</t>
        </is>
      </c>
      <c r="D672" s="33" t="n">
        <v>5</v>
      </c>
      <c r="E672" s="68" t="inlineStr">
        <is>
          <t>US-focused.</t>
        </is>
      </c>
      <c r="F672" s="68" t="inlineStr">
        <is>
          <t>Quanta Q3 2025 + TradingView/Zacks DC power winner coverage (2026-05-18 deep research)</t>
        </is>
      </c>
      <c r="G672" s="33" t="inlineStr">
        <is>
          <t>High</t>
        </is>
      </c>
      <c r="H672" s="33" t="inlineStr">
        <is>
          <t>Initial</t>
        </is>
      </c>
    </row>
    <row r="673">
      <c r="A673" s="33" t="inlineStr">
        <is>
          <t>2026-05-18</t>
        </is>
      </c>
      <c r="B673" s="33" t="inlineStr">
        <is>
          <t>PWR</t>
        </is>
      </c>
      <c r="C673" s="33" t="inlineStr">
        <is>
          <t>R3</t>
        </is>
      </c>
      <c r="D673" s="33" t="n">
        <v>4</v>
      </c>
      <c r="E673" s="68" t="inlineStr">
        <is>
          <t>Strong.</t>
        </is>
      </c>
      <c r="F673" s="68" t="inlineStr">
        <is>
          <t>Quanta Q3 2025 + TradingView/Zacks DC power winner coverage (2026-05-18 deep research)</t>
        </is>
      </c>
      <c r="G673" s="33" t="inlineStr">
        <is>
          <t>High</t>
        </is>
      </c>
      <c r="H673" s="33" t="inlineStr">
        <is>
          <t>Initial</t>
        </is>
      </c>
    </row>
    <row r="674">
      <c r="A674" s="33" t="inlineStr">
        <is>
          <t>2026-05-18</t>
        </is>
      </c>
      <c r="B674" s="33" t="inlineStr">
        <is>
          <t>PWR</t>
        </is>
      </c>
      <c r="C674" s="33" t="inlineStr">
        <is>
          <t>R4</t>
        </is>
      </c>
      <c r="D674" s="33" t="n">
        <v>4</v>
      </c>
      <c r="E674" s="68" t="inlineStr">
        <is>
          <t>Routine.</t>
        </is>
      </c>
      <c r="F674" s="68" t="inlineStr">
        <is>
          <t>Quanta Q3 2025 + TradingView/Zacks DC power winner coverage (2026-05-18 deep research)</t>
        </is>
      </c>
      <c r="G674" s="33" t="inlineStr">
        <is>
          <t>High</t>
        </is>
      </c>
      <c r="H674" s="33" t="inlineStr">
        <is>
          <t>Initial</t>
        </is>
      </c>
    </row>
    <row r="675">
      <c r="A675" s="33" t="inlineStr">
        <is>
          <t>2026-05-18</t>
        </is>
      </c>
      <c r="B675" s="33" t="inlineStr">
        <is>
          <t>MTZ</t>
        </is>
      </c>
      <c r="C675" s="33" t="inlineStr">
        <is>
          <t>D1</t>
        </is>
      </c>
      <c r="D675" s="33" t="n">
        <v>3</v>
      </c>
      <c r="E675" s="68" t="inlineStr">
        <is>
          <t>$1B explicit DC backlog within $20.3B total. Band 3.</t>
        </is>
      </c>
      <c r="F675" s="68" t="inlineStr">
        <is>
          <t>MasTec Q1 FY26 + Yahoo Finance grid expansion coverage (2026-05-18 deep research)</t>
        </is>
      </c>
      <c r="G675" s="33" t="inlineStr">
        <is>
          <t>High</t>
        </is>
      </c>
      <c r="H675" s="33" t="inlineStr">
        <is>
          <t>Initial</t>
        </is>
      </c>
    </row>
    <row r="676">
      <c r="A676" s="33" t="inlineStr">
        <is>
          <t>2026-05-18</t>
        </is>
      </c>
      <c r="B676" s="33" t="inlineStr">
        <is>
          <t>MTZ</t>
        </is>
      </c>
      <c r="C676" s="33" t="inlineStr">
        <is>
          <t>D2</t>
        </is>
      </c>
      <c r="D676" s="33" t="n">
        <v>3</v>
      </c>
      <c r="E676" s="68" t="inlineStr">
        <is>
          <t>Infrastructure construction; less moat than PWR.</t>
        </is>
      </c>
      <c r="F676" s="68" t="inlineStr">
        <is>
          <t>MasTec Q1 FY26 + Yahoo Finance grid expansion coverage (2026-05-18 deep research)</t>
        </is>
      </c>
      <c r="G676" s="33" t="inlineStr">
        <is>
          <t>High</t>
        </is>
      </c>
      <c r="H676" s="33" t="inlineStr">
        <is>
          <t>Initial</t>
        </is>
      </c>
    </row>
    <row r="677">
      <c r="A677" s="33" t="inlineStr">
        <is>
          <t>2026-05-18</t>
        </is>
      </c>
      <c r="B677" s="33" t="inlineStr">
        <is>
          <t>MTZ</t>
        </is>
      </c>
      <c r="C677" s="33" t="inlineStr">
        <is>
          <t>D3</t>
        </is>
      </c>
      <c r="D677" s="33" t="n">
        <v>3</v>
      </c>
      <c r="E677" s="68" t="inlineStr">
        <is>
          <t>Workforce + reputation.</t>
        </is>
      </c>
      <c r="F677" s="68" t="inlineStr">
        <is>
          <t>MasTec Q1 FY26 + Yahoo Finance grid expansion coverage (2026-05-18 deep research)</t>
        </is>
      </c>
      <c r="G677" s="33" t="inlineStr">
        <is>
          <t>High</t>
        </is>
      </c>
      <c r="H677" s="33" t="inlineStr">
        <is>
          <t>Initial</t>
        </is>
      </c>
    </row>
    <row r="678">
      <c r="A678" s="33" t="inlineStr">
        <is>
          <t>2026-05-18</t>
        </is>
      </c>
      <c r="B678" s="33" t="inlineStr">
        <is>
          <t>MTZ</t>
        </is>
      </c>
      <c r="C678" s="33" t="inlineStr">
        <is>
          <t>D4</t>
        </is>
      </c>
      <c r="D678" s="33" t="n">
        <v>5</v>
      </c>
      <c r="E678" s="68" t="inlineStr">
        <is>
          <t>Record $20.3B 18-month backlog (+28% YoY); 2026 guide $17.5B; Power Delivery $6.2B record.</t>
        </is>
      </c>
      <c r="F678" s="68" t="inlineStr">
        <is>
          <t>MasTec Q1 FY26 + Yahoo Finance grid expansion coverage (2026-05-18 deep research)</t>
        </is>
      </c>
      <c r="G678" s="33" t="inlineStr">
        <is>
          <t>High</t>
        </is>
      </c>
      <c r="H678" s="33" t="inlineStr">
        <is>
          <t>Initial</t>
        </is>
      </c>
    </row>
    <row r="679">
      <c r="A679" s="33" t="inlineStr">
        <is>
          <t>2026-05-18</t>
        </is>
      </c>
      <c r="B679" s="33" t="inlineStr">
        <is>
          <t>MTZ</t>
        </is>
      </c>
      <c r="C679" s="33" t="inlineStr">
        <is>
          <t>D5</t>
        </is>
      </c>
      <c r="D679" s="33" t="n">
        <v>3</v>
      </c>
      <c r="E679" s="68" t="inlineStr">
        <is>
          <t>Indirect via utility + telecom + data center customers.</t>
        </is>
      </c>
      <c r="F679" s="68" t="inlineStr">
        <is>
          <t>MasTec Q1 FY26 + Yahoo Finance grid expansion coverage (2026-05-18 deep research)</t>
        </is>
      </c>
      <c r="G679" s="33" t="inlineStr">
        <is>
          <t>High</t>
        </is>
      </c>
      <c r="H679" s="33" t="inlineStr">
        <is>
          <t>Initial</t>
        </is>
      </c>
    </row>
    <row r="680">
      <c r="A680" s="33" t="inlineStr">
        <is>
          <t>2026-05-18</t>
        </is>
      </c>
      <c r="B680" s="33" t="inlineStr">
        <is>
          <t>MTZ</t>
        </is>
      </c>
      <c r="C680" s="33" t="inlineStr">
        <is>
          <t>M1</t>
        </is>
      </c>
      <c r="D680" s="33" t="n">
        <v>5</v>
      </c>
      <c r="E680" s="68" t="inlineStr">
        <is>
          <t>17 up / 1 down; strong positive.</t>
        </is>
      </c>
      <c r="F680" s="68" t="inlineStr">
        <is>
          <t>MasTec Q1 FY26 + Yahoo Finance grid expansion coverage (2026-05-18 deep research)</t>
        </is>
      </c>
      <c r="G680" s="33" t="inlineStr">
        <is>
          <t>High</t>
        </is>
      </c>
      <c r="H680" s="33" t="inlineStr">
        <is>
          <t>Initial</t>
        </is>
      </c>
    </row>
    <row r="681">
      <c r="A681" s="33" t="inlineStr">
        <is>
          <t>2026-05-18</t>
        </is>
      </c>
      <c r="B681" s="33" t="inlineStr">
        <is>
          <t>MTZ</t>
        </is>
      </c>
      <c r="C681" s="33" t="inlineStr">
        <is>
          <t>M2</t>
        </is>
      </c>
      <c r="D681" s="33" t="n">
        <v>5</v>
      </c>
      <c r="E681" s="68" t="inlineStr">
        <is>
          <t>+81pp vs XLI 180d. Extreme outperformance.</t>
        </is>
      </c>
      <c r="F681" s="68" t="inlineStr">
        <is>
          <t>MasTec Q1 FY26 + Yahoo Finance grid expansion coverage (2026-05-18 deep research)</t>
        </is>
      </c>
      <c r="G681" s="33" t="inlineStr">
        <is>
          <t>High</t>
        </is>
      </c>
      <c r="H681" s="33" t="inlineStr">
        <is>
          <t>Initial</t>
        </is>
      </c>
    </row>
    <row r="682">
      <c r="A682" s="33" t="inlineStr">
        <is>
          <t>2026-05-18</t>
        </is>
      </c>
      <c r="B682" s="33" t="inlineStr">
        <is>
          <t>MTZ</t>
        </is>
      </c>
      <c r="C682" s="33" t="inlineStr">
        <is>
          <t>M3</t>
        </is>
      </c>
      <c r="D682" s="33" t="n">
        <v>3</v>
      </c>
      <c r="E682" s="68" t="inlineStr">
        <is>
          <t>Routine; default 3.</t>
        </is>
      </c>
      <c r="F682" s="68" t="inlineStr">
        <is>
          <t>MasTec Q1 FY26 + Yahoo Finance grid expansion coverage (2026-05-18 deep research)</t>
        </is>
      </c>
      <c r="G682" s="33" t="inlineStr">
        <is>
          <t>High</t>
        </is>
      </c>
      <c r="H682" s="33" t="inlineStr">
        <is>
          <t>Initial</t>
        </is>
      </c>
    </row>
    <row r="683">
      <c r="A683" s="33" t="inlineStr">
        <is>
          <t>2026-05-18</t>
        </is>
      </c>
      <c r="B683" s="33" t="inlineStr">
        <is>
          <t>MTZ</t>
        </is>
      </c>
      <c r="C683" s="33" t="inlineStr">
        <is>
          <t>R1</t>
        </is>
      </c>
      <c r="D683" s="33" t="n">
        <v>5</v>
      </c>
      <c r="E683" s="68" t="inlineStr">
        <is>
          <t>Diversified.</t>
        </is>
      </c>
      <c r="F683" s="68" t="inlineStr">
        <is>
          <t>MasTec Q1 FY26 + Yahoo Finance grid expansion coverage (2026-05-18 deep research)</t>
        </is>
      </c>
      <c r="G683" s="33" t="inlineStr">
        <is>
          <t>High</t>
        </is>
      </c>
      <c r="H683" s="33" t="inlineStr">
        <is>
          <t>Initial</t>
        </is>
      </c>
    </row>
    <row r="684">
      <c r="A684" s="33" t="inlineStr">
        <is>
          <t>2026-05-18</t>
        </is>
      </c>
      <c r="B684" s="33" t="inlineStr">
        <is>
          <t>MTZ</t>
        </is>
      </c>
      <c r="C684" s="33" t="inlineStr">
        <is>
          <t>R2</t>
        </is>
      </c>
      <c r="D684" s="33" t="n">
        <v>5</v>
      </c>
      <c r="E684" s="68" t="inlineStr">
        <is>
          <t>US-focused.</t>
        </is>
      </c>
      <c r="F684" s="68" t="inlineStr">
        <is>
          <t>MasTec Q1 FY26 + Yahoo Finance grid expansion coverage (2026-05-18 deep research)</t>
        </is>
      </c>
      <c r="G684" s="33" t="inlineStr">
        <is>
          <t>High</t>
        </is>
      </c>
      <c r="H684" s="33" t="inlineStr">
        <is>
          <t>Initial</t>
        </is>
      </c>
    </row>
    <row r="685">
      <c r="A685" s="33" t="inlineStr">
        <is>
          <t>2026-05-18</t>
        </is>
      </c>
      <c r="B685" s="33" t="inlineStr">
        <is>
          <t>MTZ</t>
        </is>
      </c>
      <c r="C685" s="33" t="inlineStr">
        <is>
          <t>R3</t>
        </is>
      </c>
      <c r="D685" s="33" t="n">
        <v>4</v>
      </c>
      <c r="E685" s="68" t="inlineStr">
        <is>
          <t>Strong.</t>
        </is>
      </c>
      <c r="F685" s="68" t="inlineStr">
        <is>
          <t>MasTec Q1 FY26 + Yahoo Finance grid expansion coverage (2026-05-18 deep research)</t>
        </is>
      </c>
      <c r="G685" s="33" t="inlineStr">
        <is>
          <t>High</t>
        </is>
      </c>
      <c r="H685" s="33" t="inlineStr">
        <is>
          <t>Initial</t>
        </is>
      </c>
    </row>
    <row r="686">
      <c r="A686" s="33" t="inlineStr">
        <is>
          <t>2026-05-18</t>
        </is>
      </c>
      <c r="B686" s="33" t="inlineStr">
        <is>
          <t>MTZ</t>
        </is>
      </c>
      <c r="C686" s="33" t="inlineStr">
        <is>
          <t>R4</t>
        </is>
      </c>
      <c r="D686" s="33" t="n">
        <v>4</v>
      </c>
      <c r="E686" s="68" t="inlineStr">
        <is>
          <t>Routine.</t>
        </is>
      </c>
      <c r="F686" s="68" t="inlineStr">
        <is>
          <t>MasTec Q1 FY26 + Yahoo Finance grid expansion coverage (2026-05-18 deep research)</t>
        </is>
      </c>
      <c r="G686" s="33" t="inlineStr">
        <is>
          <t>High</t>
        </is>
      </c>
      <c r="H686" s="33" t="inlineStr">
        <is>
          <t>Initial</t>
        </is>
      </c>
    </row>
    <row r="687">
      <c r="A687" s="33" t="inlineStr">
        <is>
          <t>2026-05-18</t>
        </is>
      </c>
      <c r="B687" s="33" t="inlineStr">
        <is>
          <t>POWL</t>
        </is>
      </c>
      <c r="C687" s="33" t="inlineStr">
        <is>
          <t>D1</t>
        </is>
      </c>
      <c r="D687" s="33" t="n">
        <v>4</v>
      </c>
      <c r="E687" s="68" t="inlineStr">
        <is>
          <t>Switchgear for data centers; growing exposure. Post-quarter $400M+ mega-deal materially shifts D1.</t>
        </is>
      </c>
      <c r="F687" s="68" t="inlineStr">
        <is>
          <t>Powell Q2 2026 + Seeking Alpha $400M mega-deal coverage (2026-05-18 deep research)</t>
        </is>
      </c>
      <c r="G687" s="33" t="inlineStr">
        <is>
          <t>High</t>
        </is>
      </c>
      <c r="H687" s="33" t="inlineStr">
        <is>
          <t>Initial</t>
        </is>
      </c>
    </row>
    <row r="688">
      <c r="A688" s="33" t="inlineStr">
        <is>
          <t>2026-05-18</t>
        </is>
      </c>
      <c r="B688" s="33" t="inlineStr">
        <is>
          <t>POWL</t>
        </is>
      </c>
      <c r="C688" s="33" t="inlineStr">
        <is>
          <t>D2</t>
        </is>
      </c>
      <c r="D688" s="33" t="n">
        <v>4</v>
      </c>
      <c r="E688" s="68" t="inlineStr">
        <is>
          <t>Specialty switchgear position; mid-cap niche player.</t>
        </is>
      </c>
      <c r="F688" s="68" t="inlineStr">
        <is>
          <t>Powell Q2 2026 + Seeking Alpha $400M mega-deal coverage (2026-05-18 deep research)</t>
        </is>
      </c>
      <c r="G688" s="33" t="inlineStr">
        <is>
          <t>High</t>
        </is>
      </c>
      <c r="H688" s="33" t="inlineStr">
        <is>
          <t>Initial</t>
        </is>
      </c>
    </row>
    <row r="689">
      <c r="A689" s="33" t="inlineStr">
        <is>
          <t>2026-05-18</t>
        </is>
      </c>
      <c r="B689" s="33" t="inlineStr">
        <is>
          <t>POWL</t>
        </is>
      </c>
      <c r="C689" s="33" t="inlineStr">
        <is>
          <t>D3</t>
        </is>
      </c>
      <c r="D689" s="33" t="n">
        <v>3</v>
      </c>
      <c r="E689" s="68" t="inlineStr">
        <is>
          <t>Niche IP + customer integration but commoditizable.</t>
        </is>
      </c>
      <c r="F689" s="68" t="inlineStr">
        <is>
          <t>Powell Q2 2026 + Seeking Alpha $400M mega-deal coverage (2026-05-18 deep research)</t>
        </is>
      </c>
      <c r="G689" s="33" t="inlineStr">
        <is>
          <t>High</t>
        </is>
      </c>
      <c r="H689" s="33" t="inlineStr">
        <is>
          <t>Initial</t>
        </is>
      </c>
    </row>
    <row r="690">
      <c r="A690" s="33" t="inlineStr">
        <is>
          <t>2026-05-18</t>
        </is>
      </c>
      <c r="B690" s="33" t="inlineStr">
        <is>
          <t>POWL</t>
        </is>
      </c>
      <c r="C690" s="33" t="inlineStr">
        <is>
          <t>D4</t>
        </is>
      </c>
      <c r="D690" s="33" t="n">
        <v>5</v>
      </c>
      <c r="E690" s="68" t="inlineStr">
        <is>
          <t>$1.8B backlog (+33% YoY, +12% QoQ); $400M+ mega DC deal (largest in company history; couple GW behind-the-meter through fiscal 2028); 1.7x book-to-bill.</t>
        </is>
      </c>
      <c r="F690" s="68" t="inlineStr">
        <is>
          <t>Powell Q2 2026 + Seeking Alpha $400M mega-deal coverage (2026-05-18 deep research)</t>
        </is>
      </c>
      <c r="G690" s="33" t="inlineStr">
        <is>
          <t>High</t>
        </is>
      </c>
      <c r="H690" s="33" t="inlineStr">
        <is>
          <t>Initial</t>
        </is>
      </c>
    </row>
    <row r="691">
      <c r="A691" s="33" t="inlineStr">
        <is>
          <t>2026-05-18</t>
        </is>
      </c>
      <c r="B691" s="33" t="inlineStr">
        <is>
          <t>POWL</t>
        </is>
      </c>
      <c r="C691" s="33" t="inlineStr">
        <is>
          <t>D5</t>
        </is>
      </c>
      <c r="D691" s="33" t="n">
        <v>4</v>
      </c>
      <c r="E691" s="68" t="inlineStr">
        <is>
          <t>Hyperscaler-tier mega-deal qualifies as direct anchor relationship.</t>
        </is>
      </c>
      <c r="F691" s="68" t="inlineStr">
        <is>
          <t>Powell Q2 2026 + Seeking Alpha $400M mega-deal coverage (2026-05-18 deep research)</t>
        </is>
      </c>
      <c r="G691" s="33" t="inlineStr">
        <is>
          <t>High</t>
        </is>
      </c>
      <c r="H691" s="33" t="inlineStr">
        <is>
          <t>Initial</t>
        </is>
      </c>
    </row>
    <row r="692">
      <c r="A692" s="33" t="inlineStr">
        <is>
          <t>2026-05-18</t>
        </is>
      </c>
      <c r="B692" s="33" t="inlineStr">
        <is>
          <t>POWL</t>
        </is>
      </c>
      <c r="C692" s="33" t="inlineStr">
        <is>
          <t>M1</t>
        </is>
      </c>
      <c r="D692" s="33" t="n">
        <v>4</v>
      </c>
      <c r="E692" s="68" t="inlineStr">
        <is>
          <t>2 up / 1 down — limited revisions but consistent with small-cap coverage.</t>
        </is>
      </c>
      <c r="F692" s="68" t="inlineStr">
        <is>
          <t>Powell Q2 2026 + Seeking Alpha $400M mega-deal coverage (2026-05-18 deep research)</t>
        </is>
      </c>
      <c r="G692" s="33" t="inlineStr">
        <is>
          <t>High</t>
        </is>
      </c>
      <c r="H692" s="33" t="inlineStr">
        <is>
          <t>Initial</t>
        </is>
      </c>
    </row>
    <row r="693">
      <c r="A693" s="33" t="inlineStr">
        <is>
          <t>2026-05-18</t>
        </is>
      </c>
      <c r="B693" s="33" t="inlineStr">
        <is>
          <t>POWL</t>
        </is>
      </c>
      <c r="C693" s="33" t="inlineStr">
        <is>
          <t>M2</t>
        </is>
      </c>
      <c r="D693" s="33" t="n">
        <v>5</v>
      </c>
      <c r="E693" s="68" t="inlineStr">
        <is>
          <t>+166pp vs XLI 180d — EXTREME small-cap rally.</t>
        </is>
      </c>
      <c r="F693" s="68" t="inlineStr">
        <is>
          <t>Powell Q2 2026 + Seeking Alpha $400M mega-deal coverage (2026-05-18 deep research)</t>
        </is>
      </c>
      <c r="G693" s="33" t="inlineStr">
        <is>
          <t>High</t>
        </is>
      </c>
      <c r="H693" s="33" t="inlineStr">
        <is>
          <t>Initial</t>
        </is>
      </c>
    </row>
    <row r="694">
      <c r="A694" s="33" t="inlineStr">
        <is>
          <t>2026-05-18</t>
        </is>
      </c>
      <c r="B694" s="33" t="inlineStr">
        <is>
          <t>POWL</t>
        </is>
      </c>
      <c r="C694" s="33" t="inlineStr">
        <is>
          <t>M3</t>
        </is>
      </c>
      <c r="D694" s="33" t="n">
        <v>3</v>
      </c>
      <c r="E694" s="68" t="inlineStr">
        <is>
          <t>Routine; default 3.</t>
        </is>
      </c>
      <c r="F694" s="68" t="inlineStr">
        <is>
          <t>Powell Q2 2026 + Seeking Alpha $400M mega-deal coverage (2026-05-18 deep research)</t>
        </is>
      </c>
      <c r="G694" s="33" t="inlineStr">
        <is>
          <t>High</t>
        </is>
      </c>
      <c r="H694" s="33" t="inlineStr">
        <is>
          <t>Initial</t>
        </is>
      </c>
    </row>
    <row r="695">
      <c r="A695" s="33" t="inlineStr">
        <is>
          <t>2026-05-18</t>
        </is>
      </c>
      <c r="B695" s="33" t="inlineStr">
        <is>
          <t>POWL</t>
        </is>
      </c>
      <c r="C695" s="33" t="inlineStr">
        <is>
          <t>R1</t>
        </is>
      </c>
      <c r="D695" s="33" t="n">
        <v>4</v>
      </c>
      <c r="E695" s="68" t="inlineStr">
        <is>
          <t>Top customer 25-40% likely; some concentration.</t>
        </is>
      </c>
      <c r="F695" s="68" t="inlineStr">
        <is>
          <t>Powell Q2 2026 + Seeking Alpha $400M mega-deal coverage (2026-05-18 deep research)</t>
        </is>
      </c>
      <c r="G695" s="33" t="inlineStr">
        <is>
          <t>High</t>
        </is>
      </c>
      <c r="H695" s="33" t="inlineStr">
        <is>
          <t>Initial</t>
        </is>
      </c>
    </row>
    <row r="696">
      <c r="A696" s="33" t="inlineStr">
        <is>
          <t>2026-05-18</t>
        </is>
      </c>
      <c r="B696" s="33" t="inlineStr">
        <is>
          <t>POWL</t>
        </is>
      </c>
      <c r="C696" s="33" t="inlineStr">
        <is>
          <t>R2</t>
        </is>
      </c>
      <c r="D696" s="33" t="n">
        <v>4</v>
      </c>
      <c r="E696" s="68" t="inlineStr">
        <is>
          <t>Global; minimal export-control exposure.</t>
        </is>
      </c>
      <c r="F696" s="68" t="inlineStr">
        <is>
          <t>Powell Q2 2026 + Seeking Alpha $400M mega-deal coverage (2026-05-18 deep research)</t>
        </is>
      </c>
      <c r="G696" s="33" t="inlineStr">
        <is>
          <t>High</t>
        </is>
      </c>
      <c r="H696" s="33" t="inlineStr">
        <is>
          <t>Initial</t>
        </is>
      </c>
    </row>
    <row r="697">
      <c r="A697" s="33" t="inlineStr">
        <is>
          <t>2026-05-18</t>
        </is>
      </c>
      <c r="B697" s="33" t="inlineStr">
        <is>
          <t>POWL</t>
        </is>
      </c>
      <c r="C697" s="33" t="inlineStr">
        <is>
          <t>R3</t>
        </is>
      </c>
      <c r="D697" s="33" t="n">
        <v>4</v>
      </c>
      <c r="E697" s="68" t="inlineStr">
        <is>
          <t>Strong (cash from order book).</t>
        </is>
      </c>
      <c r="F697" s="68" t="inlineStr">
        <is>
          <t>Powell Q2 2026 + Seeking Alpha $400M mega-deal coverage (2026-05-18 deep research)</t>
        </is>
      </c>
      <c r="G697" s="33" t="inlineStr">
        <is>
          <t>High</t>
        </is>
      </c>
      <c r="H697" s="33" t="inlineStr">
        <is>
          <t>Initial</t>
        </is>
      </c>
    </row>
    <row r="698">
      <c r="A698" s="33" t="inlineStr">
        <is>
          <t>2026-05-18</t>
        </is>
      </c>
      <c r="B698" s="33" t="inlineStr">
        <is>
          <t>POWL</t>
        </is>
      </c>
      <c r="C698" s="33" t="inlineStr">
        <is>
          <t>R4</t>
        </is>
      </c>
      <c r="D698" s="33" t="n">
        <v>4</v>
      </c>
      <c r="E698" s="68" t="inlineStr">
        <is>
          <t>Routine.</t>
        </is>
      </c>
      <c r="F698" s="68" t="inlineStr">
        <is>
          <t>Powell Q2 2026 + Seeking Alpha $400M mega-deal coverage (2026-05-18 deep research)</t>
        </is>
      </c>
      <c r="G698" s="33" t="inlineStr">
        <is>
          <t>High</t>
        </is>
      </c>
      <c r="H698" s="33" t="inlineStr">
        <is>
          <t>Initial</t>
        </is>
      </c>
    </row>
    <row r="699">
      <c r="A699" s="33" t="inlineStr">
        <is>
          <t>2026-05-18</t>
        </is>
      </c>
      <c r="B699" s="33" t="inlineStr">
        <is>
          <t>NVT</t>
        </is>
      </c>
      <c r="C699" s="33" t="inlineStr">
        <is>
          <t>D1</t>
        </is>
      </c>
      <c r="D699" s="33" t="n">
        <v>4</v>
      </c>
      <c r="E699" s="68" t="inlineStr">
        <is>
          <t>**Identity shift: increasingly liquid cooling specialist for hyperscalers.** Infrastructure segment +100% organic. Band 4.</t>
        </is>
      </c>
      <c r="F699" s="68" t="inlineStr">
        <is>
          <t>nVent Q1 FY26 + TIKR/SimplyWallSt liquid cooling pivot coverage (2026-05-18 deep research)</t>
        </is>
      </c>
      <c r="G699" s="33" t="inlineStr">
        <is>
          <t>High</t>
        </is>
      </c>
      <c r="H699" s="33" t="inlineStr">
        <is>
          <t>Initial</t>
        </is>
      </c>
    </row>
    <row r="700">
      <c r="A700" s="33" t="inlineStr">
        <is>
          <t>2026-05-18</t>
        </is>
      </c>
      <c r="B700" s="33" t="inlineStr">
        <is>
          <t>NVT</t>
        </is>
      </c>
      <c r="C700" s="33" t="inlineStr">
        <is>
          <t>D2</t>
        </is>
      </c>
      <c r="D700" s="33" t="n">
        <v>4</v>
      </c>
      <c r="E700" s="68" t="inlineStr">
        <is>
          <t>Liquid cooling for hyperscalers is bottleneck-tier capability; multiple competitors but nVent has scale.</t>
        </is>
      </c>
      <c r="F700" s="68" t="inlineStr">
        <is>
          <t>nVent Q1 FY26 + TIKR/SimplyWallSt liquid cooling pivot coverage (2026-05-18 deep research)</t>
        </is>
      </c>
      <c r="G700" s="33" t="inlineStr">
        <is>
          <t>High</t>
        </is>
      </c>
      <c r="H700" s="33" t="inlineStr">
        <is>
          <t>Initial</t>
        </is>
      </c>
    </row>
    <row r="701">
      <c r="A701" s="33" t="inlineStr">
        <is>
          <t>2026-05-18</t>
        </is>
      </c>
      <c r="B701" s="33" t="inlineStr">
        <is>
          <t>NVT</t>
        </is>
      </c>
      <c r="C701" s="33" t="inlineStr">
        <is>
          <t>D3</t>
        </is>
      </c>
      <c r="D701" s="33" t="n">
        <v>4</v>
      </c>
      <c r="E701" s="68" t="inlineStr">
        <is>
          <t>Liquid cooling IP + scale + 1 GW deployed.</t>
        </is>
      </c>
      <c r="F701" s="68" t="inlineStr">
        <is>
          <t>nVent Q1 FY26 + TIKR/SimplyWallSt liquid cooling pivot coverage (2026-05-18 deep research)</t>
        </is>
      </c>
      <c r="G701" s="33" t="inlineStr">
        <is>
          <t>High</t>
        </is>
      </c>
      <c r="H701" s="33" t="inlineStr">
        <is>
          <t>Initial</t>
        </is>
      </c>
    </row>
    <row r="702">
      <c r="A702" s="33" t="inlineStr">
        <is>
          <t>2026-05-18</t>
        </is>
      </c>
      <c r="B702" s="33" t="inlineStr">
        <is>
          <t>NVT</t>
        </is>
      </c>
      <c r="C702" s="33" t="inlineStr">
        <is>
          <t>D4</t>
        </is>
      </c>
      <c r="D702" s="33" t="n">
        <v>5</v>
      </c>
      <c r="E702" s="68" t="inlineStr">
        <is>
          <t>Backlog $2.3B = 3x prior year level; built from large liquid cooling orders; Systems Protection +76%.</t>
        </is>
      </c>
      <c r="F702" s="68" t="inlineStr">
        <is>
          <t>nVent Q1 FY26 + TIKR/SimplyWallSt liquid cooling pivot coverage (2026-05-18 deep research)</t>
        </is>
      </c>
      <c r="G702" s="33" t="inlineStr">
        <is>
          <t>High</t>
        </is>
      </c>
      <c r="H702" s="33" t="inlineStr">
        <is>
          <t>Initial</t>
        </is>
      </c>
    </row>
    <row r="703">
      <c r="A703" s="33" t="inlineStr">
        <is>
          <t>2026-05-18</t>
        </is>
      </c>
      <c r="B703" s="33" t="inlineStr">
        <is>
          <t>NVT</t>
        </is>
      </c>
      <c r="C703" s="33" t="inlineStr">
        <is>
          <t>D5</t>
        </is>
      </c>
      <c r="D703" s="33" t="n">
        <v>4</v>
      </c>
      <c r="E703" s="68" t="inlineStr">
        <is>
          <t>Hyperscaler liquid cooling orders explicitly anchor of growth.</t>
        </is>
      </c>
      <c r="F703" s="68" t="inlineStr">
        <is>
          <t>nVent Q1 FY26 + TIKR/SimplyWallSt liquid cooling pivot coverage (2026-05-18 deep research)</t>
        </is>
      </c>
      <c r="G703" s="33" t="inlineStr">
        <is>
          <t>High</t>
        </is>
      </c>
      <c r="H703" s="33" t="inlineStr">
        <is>
          <t>Initial</t>
        </is>
      </c>
    </row>
    <row r="704">
      <c r="A704" s="33" t="inlineStr">
        <is>
          <t>2026-05-18</t>
        </is>
      </c>
      <c r="B704" s="33" t="inlineStr">
        <is>
          <t>NVT</t>
        </is>
      </c>
      <c r="C704" s="33" t="inlineStr">
        <is>
          <t>M1</t>
        </is>
      </c>
      <c r="D704" s="33" t="n">
        <v>5</v>
      </c>
      <c r="E704" s="68" t="inlineStr">
        <is>
          <t>12 up / 0 down; strong positive.</t>
        </is>
      </c>
      <c r="F704" s="68" t="inlineStr">
        <is>
          <t>nVent Q1 FY26 + TIKR/SimplyWallSt liquid cooling pivot coverage (2026-05-18 deep research)</t>
        </is>
      </c>
      <c r="G704" s="33" t="inlineStr">
        <is>
          <t>High</t>
        </is>
      </c>
      <c r="H704" s="33" t="inlineStr">
        <is>
          <t>Initial</t>
        </is>
      </c>
    </row>
    <row r="705">
      <c r="A705" s="33" t="inlineStr">
        <is>
          <t>2026-05-18</t>
        </is>
      </c>
      <c r="B705" s="33" t="inlineStr">
        <is>
          <t>NVT</t>
        </is>
      </c>
      <c r="C705" s="33" t="inlineStr">
        <is>
          <t>M2</t>
        </is>
      </c>
      <c r="D705" s="33" t="n">
        <v>5</v>
      </c>
      <c r="E705" s="68" t="inlineStr">
        <is>
          <t>+38pp vs XLI 180d.</t>
        </is>
      </c>
      <c r="F705" s="68" t="inlineStr">
        <is>
          <t>nVent Q1 FY26 + TIKR/SimplyWallSt liquid cooling pivot coverage (2026-05-18 deep research)</t>
        </is>
      </c>
      <c r="G705" s="33" t="inlineStr">
        <is>
          <t>High</t>
        </is>
      </c>
      <c r="H705" s="33" t="inlineStr">
        <is>
          <t>Initial</t>
        </is>
      </c>
    </row>
    <row r="706">
      <c r="A706" s="33" t="inlineStr">
        <is>
          <t>2026-05-18</t>
        </is>
      </c>
      <c r="B706" s="33" t="inlineStr">
        <is>
          <t>NVT</t>
        </is>
      </c>
      <c r="C706" s="33" t="inlineStr">
        <is>
          <t>M3</t>
        </is>
      </c>
      <c r="D706" s="33" t="n">
        <v>3</v>
      </c>
      <c r="E706" s="68" t="inlineStr">
        <is>
          <t>Routine; default 3.</t>
        </is>
      </c>
      <c r="F706" s="68" t="inlineStr">
        <is>
          <t>nVent Q1 FY26 + TIKR/SimplyWallSt liquid cooling pivot coverage (2026-05-18 deep research)</t>
        </is>
      </c>
      <c r="G706" s="33" t="inlineStr">
        <is>
          <t>High</t>
        </is>
      </c>
      <c r="H706" s="33" t="inlineStr">
        <is>
          <t>Initial</t>
        </is>
      </c>
    </row>
    <row r="707">
      <c r="A707" s="33" t="inlineStr">
        <is>
          <t>2026-05-18</t>
        </is>
      </c>
      <c r="B707" s="33" t="inlineStr">
        <is>
          <t>NVT</t>
        </is>
      </c>
      <c r="C707" s="33" t="inlineStr">
        <is>
          <t>R1</t>
        </is>
      </c>
      <c r="D707" s="33" t="n">
        <v>4</v>
      </c>
      <c r="E707" s="68" t="inlineStr">
        <is>
          <t>Hyperscaler concentration emerging.</t>
        </is>
      </c>
      <c r="F707" s="68" t="inlineStr">
        <is>
          <t>nVent Q1 FY26 + TIKR/SimplyWallSt liquid cooling pivot coverage (2026-05-18 deep research)</t>
        </is>
      </c>
      <c r="G707" s="33" t="inlineStr">
        <is>
          <t>High</t>
        </is>
      </c>
      <c r="H707" s="33" t="inlineStr">
        <is>
          <t>Initial</t>
        </is>
      </c>
    </row>
    <row r="708">
      <c r="A708" s="33" t="inlineStr">
        <is>
          <t>2026-05-18</t>
        </is>
      </c>
      <c r="B708" s="33" t="inlineStr">
        <is>
          <t>NVT</t>
        </is>
      </c>
      <c r="C708" s="33" t="inlineStr">
        <is>
          <t>R2</t>
        </is>
      </c>
      <c r="D708" s="33" t="n">
        <v>4</v>
      </c>
      <c r="E708" s="68" t="inlineStr">
        <is>
          <t>Global.</t>
        </is>
      </c>
      <c r="F708" s="68" t="inlineStr">
        <is>
          <t>nVent Q1 FY26 + TIKR/SimplyWallSt liquid cooling pivot coverage (2026-05-18 deep research)</t>
        </is>
      </c>
      <c r="G708" s="33" t="inlineStr">
        <is>
          <t>High</t>
        </is>
      </c>
      <c r="H708" s="33" t="inlineStr">
        <is>
          <t>Initial</t>
        </is>
      </c>
    </row>
    <row r="709">
      <c r="A709" s="33" t="inlineStr">
        <is>
          <t>2026-05-18</t>
        </is>
      </c>
      <c r="B709" s="33" t="inlineStr">
        <is>
          <t>NVT</t>
        </is>
      </c>
      <c r="C709" s="33" t="inlineStr">
        <is>
          <t>R3</t>
        </is>
      </c>
      <c r="D709" s="33" t="n">
        <v>4</v>
      </c>
      <c r="E709" s="68" t="inlineStr">
        <is>
          <t>Strong.</t>
        </is>
      </c>
      <c r="F709" s="68" t="inlineStr">
        <is>
          <t>nVent Q1 FY26 + TIKR/SimplyWallSt liquid cooling pivot coverage (2026-05-18 deep research)</t>
        </is>
      </c>
      <c r="G709" s="33" t="inlineStr">
        <is>
          <t>High</t>
        </is>
      </c>
      <c r="H709" s="33" t="inlineStr">
        <is>
          <t>Initial</t>
        </is>
      </c>
    </row>
    <row r="710">
      <c r="A710" s="33" t="inlineStr">
        <is>
          <t>2026-05-18</t>
        </is>
      </c>
      <c r="B710" s="33" t="inlineStr">
        <is>
          <t>NVT</t>
        </is>
      </c>
      <c r="C710" s="33" t="inlineStr">
        <is>
          <t>R4</t>
        </is>
      </c>
      <c r="D710" s="33" t="n">
        <v>4</v>
      </c>
      <c r="E710" s="68" t="inlineStr">
        <is>
          <t>Routine.</t>
        </is>
      </c>
      <c r="F710" s="68" t="inlineStr">
        <is>
          <t>nVent Q1 FY26 + TIKR/SimplyWallSt liquid cooling pivot coverage (2026-05-18 deep research)</t>
        </is>
      </c>
      <c r="G710" s="33" t="inlineStr">
        <is>
          <t>High</t>
        </is>
      </c>
      <c r="H710" s="33" t="inlineStr">
        <is>
          <t>Initial</t>
        </is>
      </c>
    </row>
    <row r="711">
      <c r="A711" s="33" t="inlineStr">
        <is>
          <t>2026-05-18</t>
        </is>
      </c>
      <c r="B711" s="33" t="inlineStr">
        <is>
          <t>ATKR</t>
        </is>
      </c>
      <c r="C711" s="33" t="inlineStr">
        <is>
          <t>D1</t>
        </is>
      </c>
      <c r="D711" s="33" t="n">
        <v>3</v>
      </c>
      <c r="E711" s="68" t="inlineStr">
        <is>
          <t>DC is 'primary tailwind' per management; metal conduit +15%. Band 3.</t>
        </is>
      </c>
      <c r="F711" s="68" t="inlineStr">
        <is>
          <t>Atkore Q2 FY26 + Ad-Hoc-News DC tailwind coverage (2026-05-18 deep research)</t>
        </is>
      </c>
      <c r="G711" s="33" t="inlineStr">
        <is>
          <t>High</t>
        </is>
      </c>
      <c r="H711" s="33" t="inlineStr">
        <is>
          <t>Initial</t>
        </is>
      </c>
    </row>
    <row r="712">
      <c r="A712" s="33" t="inlineStr">
        <is>
          <t>2026-05-18</t>
        </is>
      </c>
      <c r="B712" s="33" t="inlineStr">
        <is>
          <t>ATKR</t>
        </is>
      </c>
      <c r="C712" s="33" t="inlineStr">
        <is>
          <t>D2</t>
        </is>
      </c>
      <c r="D712" s="33" t="n">
        <v>3</v>
      </c>
      <c r="E712" s="68" t="inlineStr">
        <is>
          <t>Commoditizable conduit + cable but scale leadership.</t>
        </is>
      </c>
      <c r="F712" s="68" t="inlineStr">
        <is>
          <t>Atkore Q2 FY26 + Ad-Hoc-News DC tailwind coverage (2026-05-18 deep research)</t>
        </is>
      </c>
      <c r="G712" s="33" t="inlineStr">
        <is>
          <t>High</t>
        </is>
      </c>
      <c r="H712" s="33" t="inlineStr">
        <is>
          <t>Initial</t>
        </is>
      </c>
    </row>
    <row r="713">
      <c r="A713" s="33" t="inlineStr">
        <is>
          <t>2026-05-18</t>
        </is>
      </c>
      <c r="B713" s="33" t="inlineStr">
        <is>
          <t>ATKR</t>
        </is>
      </c>
      <c r="C713" s="33" t="inlineStr">
        <is>
          <t>D3</t>
        </is>
      </c>
      <c r="D713" s="33" t="n">
        <v>3</v>
      </c>
      <c r="E713" s="68" t="inlineStr">
        <is>
          <t>Scale + distribution but commoditizable products.</t>
        </is>
      </c>
      <c r="F713" s="68" t="inlineStr">
        <is>
          <t>Atkore Q2 FY26 + Ad-Hoc-News DC tailwind coverage (2026-05-18 deep research)</t>
        </is>
      </c>
      <c r="G713" s="33" t="inlineStr">
        <is>
          <t>High</t>
        </is>
      </c>
      <c r="H713" s="33" t="inlineStr">
        <is>
          <t>Initial</t>
        </is>
      </c>
    </row>
    <row r="714">
      <c r="A714" s="33" t="inlineStr">
        <is>
          <t>2026-05-18</t>
        </is>
      </c>
      <c r="B714" s="33" t="inlineStr">
        <is>
          <t>ATKR</t>
        </is>
      </c>
      <c r="C714" s="33" t="inlineStr">
        <is>
          <t>D4</t>
        </is>
      </c>
      <c r="D714" s="33" t="n">
        <v>4</v>
      </c>
      <c r="E714" s="68" t="inlineStr">
        <is>
          <t>Active expansion + strategic divestitures (HDPE pipe, surface protection in Belgium).</t>
        </is>
      </c>
      <c r="F714" s="68" t="inlineStr">
        <is>
          <t>Atkore Q2 FY26 + Ad-Hoc-News DC tailwind coverage (2026-05-18 deep research)</t>
        </is>
      </c>
      <c r="G714" s="33" t="inlineStr">
        <is>
          <t>High</t>
        </is>
      </c>
      <c r="H714" s="33" t="inlineStr">
        <is>
          <t>Initial</t>
        </is>
      </c>
    </row>
    <row r="715">
      <c r="A715" s="33" t="inlineStr">
        <is>
          <t>2026-05-18</t>
        </is>
      </c>
      <c r="B715" s="33" t="inlineStr">
        <is>
          <t>ATKR</t>
        </is>
      </c>
      <c r="C715" s="33" t="inlineStr">
        <is>
          <t>D5</t>
        </is>
      </c>
      <c r="D715" s="33" t="n">
        <v>3</v>
      </c>
      <c r="E715" s="68" t="inlineStr">
        <is>
          <t>Indirect hyperscaler exposure.</t>
        </is>
      </c>
      <c r="F715" s="68" t="inlineStr">
        <is>
          <t>Atkore Q2 FY26 + Ad-Hoc-News DC tailwind coverage (2026-05-18 deep research)</t>
        </is>
      </c>
      <c r="G715" s="33" t="inlineStr">
        <is>
          <t>High</t>
        </is>
      </c>
      <c r="H715" s="33" t="inlineStr">
        <is>
          <t>Initial</t>
        </is>
      </c>
    </row>
    <row r="716">
      <c r="A716" s="33" t="inlineStr">
        <is>
          <t>2026-05-18</t>
        </is>
      </c>
      <c r="B716" s="33" t="inlineStr">
        <is>
          <t>ATKR</t>
        </is>
      </c>
      <c r="C716" s="33" t="inlineStr">
        <is>
          <t>M1</t>
        </is>
      </c>
      <c r="D716" s="33" t="n">
        <v>4</v>
      </c>
      <c r="E716" s="68" t="inlineStr">
        <is>
          <t>3 up / 1 down; modest positive.</t>
        </is>
      </c>
      <c r="F716" s="68" t="inlineStr">
        <is>
          <t>Atkore Q2 FY26 + Ad-Hoc-News DC tailwind coverage (2026-05-18 deep research)</t>
        </is>
      </c>
      <c r="G716" s="33" t="inlineStr">
        <is>
          <t>High</t>
        </is>
      </c>
      <c r="H716" s="33" t="inlineStr">
        <is>
          <t>Initial</t>
        </is>
      </c>
    </row>
    <row r="717">
      <c r="A717" s="33" t="inlineStr">
        <is>
          <t>2026-05-18</t>
        </is>
      </c>
      <c r="B717" s="33" t="inlineStr">
        <is>
          <t>ATKR</t>
        </is>
      </c>
      <c r="C717" s="33" t="inlineStr">
        <is>
          <t>M2</t>
        </is>
      </c>
      <c r="D717" s="33" t="n">
        <v>3</v>
      </c>
      <c r="E717" s="68" t="inlineStr">
        <is>
          <t>-1pp vs XLI 180d.</t>
        </is>
      </c>
      <c r="F717" s="68" t="inlineStr">
        <is>
          <t>Atkore Q2 FY26 + Ad-Hoc-News DC tailwind coverage (2026-05-18 deep research)</t>
        </is>
      </c>
      <c r="G717" s="33" t="inlineStr">
        <is>
          <t>High</t>
        </is>
      </c>
      <c r="H717" s="33" t="inlineStr">
        <is>
          <t>Initial</t>
        </is>
      </c>
    </row>
    <row r="718">
      <c r="A718" s="33" t="inlineStr">
        <is>
          <t>2026-05-18</t>
        </is>
      </c>
      <c r="B718" s="33" t="inlineStr">
        <is>
          <t>ATKR</t>
        </is>
      </c>
      <c r="C718" s="33" t="inlineStr">
        <is>
          <t>M3</t>
        </is>
      </c>
      <c r="D718" s="33" t="n">
        <v>3</v>
      </c>
      <c r="E718" s="68" t="inlineStr">
        <is>
          <t>Routine; default 3.</t>
        </is>
      </c>
      <c r="F718" s="68" t="inlineStr">
        <is>
          <t>Atkore Q2 FY26 + Ad-Hoc-News DC tailwind coverage (2026-05-18 deep research)</t>
        </is>
      </c>
      <c r="G718" s="33" t="inlineStr">
        <is>
          <t>High</t>
        </is>
      </c>
      <c r="H718" s="33" t="inlineStr">
        <is>
          <t>Initial</t>
        </is>
      </c>
    </row>
    <row r="719">
      <c r="A719" s="33" t="inlineStr">
        <is>
          <t>2026-05-18</t>
        </is>
      </c>
      <c r="B719" s="33" t="inlineStr">
        <is>
          <t>ATKR</t>
        </is>
      </c>
      <c r="C719" s="33" t="inlineStr">
        <is>
          <t>R1</t>
        </is>
      </c>
      <c r="D719" s="33" t="n">
        <v>4</v>
      </c>
      <c r="E719" s="68" t="inlineStr">
        <is>
          <t>Diversified customer base.</t>
        </is>
      </c>
      <c r="F719" s="68" t="inlineStr">
        <is>
          <t>Atkore Q2 FY26 + Ad-Hoc-News DC tailwind coverage (2026-05-18 deep research)</t>
        </is>
      </c>
      <c r="G719" s="33" t="inlineStr">
        <is>
          <t>High</t>
        </is>
      </c>
      <c r="H719" s="33" t="inlineStr">
        <is>
          <t>Initial</t>
        </is>
      </c>
    </row>
    <row r="720">
      <c r="A720" s="33" t="inlineStr">
        <is>
          <t>2026-05-18</t>
        </is>
      </c>
      <c r="B720" s="33" t="inlineStr">
        <is>
          <t>ATKR</t>
        </is>
      </c>
      <c r="C720" s="33" t="inlineStr">
        <is>
          <t>R2</t>
        </is>
      </c>
      <c r="D720" s="33" t="n">
        <v>4</v>
      </c>
      <c r="E720" s="68" t="inlineStr">
        <is>
          <t>Global.</t>
        </is>
      </c>
      <c r="F720" s="68" t="inlineStr">
        <is>
          <t>Atkore Q2 FY26 + Ad-Hoc-News DC tailwind coverage (2026-05-18 deep research)</t>
        </is>
      </c>
      <c r="G720" s="33" t="inlineStr">
        <is>
          <t>High</t>
        </is>
      </c>
      <c r="H720" s="33" t="inlineStr">
        <is>
          <t>Initial</t>
        </is>
      </c>
    </row>
    <row r="721">
      <c r="A721" s="33" t="inlineStr">
        <is>
          <t>2026-05-18</t>
        </is>
      </c>
      <c r="B721" s="33" t="inlineStr">
        <is>
          <t>ATKR</t>
        </is>
      </c>
      <c r="C721" s="33" t="inlineStr">
        <is>
          <t>R3</t>
        </is>
      </c>
      <c r="D721" s="33" t="n">
        <v>4</v>
      </c>
      <c r="E721" s="68" t="inlineStr">
        <is>
          <t>Strong.</t>
        </is>
      </c>
      <c r="F721" s="68" t="inlineStr">
        <is>
          <t>Atkore Q2 FY26 + Ad-Hoc-News DC tailwind coverage (2026-05-18 deep research)</t>
        </is>
      </c>
      <c r="G721" s="33" t="inlineStr">
        <is>
          <t>High</t>
        </is>
      </c>
      <c r="H721" s="33" t="inlineStr">
        <is>
          <t>Initial</t>
        </is>
      </c>
    </row>
    <row r="722">
      <c r="A722" s="33" t="inlineStr">
        <is>
          <t>2026-05-18</t>
        </is>
      </c>
      <c r="B722" s="33" t="inlineStr">
        <is>
          <t>ATKR</t>
        </is>
      </c>
      <c r="C722" s="33" t="inlineStr">
        <is>
          <t>R4</t>
        </is>
      </c>
      <c r="D722" s="33" t="n">
        <v>4</v>
      </c>
      <c r="E722" s="68" t="inlineStr">
        <is>
          <t>Routine.</t>
        </is>
      </c>
      <c r="F722" s="68" t="inlineStr">
        <is>
          <t>Atkore Q2 FY26 + Ad-Hoc-News DC tailwind coverage (2026-05-18 deep research)</t>
        </is>
      </c>
      <c r="G722" s="33" t="inlineStr">
        <is>
          <t>High</t>
        </is>
      </c>
      <c r="H722" s="33" t="inlineStr">
        <is>
          <t>Initial</t>
        </is>
      </c>
    </row>
    <row r="723">
      <c r="A723" s="33" t="inlineStr">
        <is>
          <t>2026-05-18</t>
        </is>
      </c>
      <c r="B723" s="33" t="inlineStr">
        <is>
          <t>D</t>
        </is>
      </c>
      <c r="C723" s="33" t="inlineStr">
        <is>
          <t>D1</t>
        </is>
      </c>
      <c r="D723" s="33" t="n">
        <v>4</v>
      </c>
      <c r="E723" s="68" t="inlineStr">
        <is>
          <t>UPDATED from 3 → 4 after per-name /refresh-context research. Dominion Q1 2026: 50+ GW pipeline, EPS beat $0.95 v $0.86 (deep research 2026-05-18)</t>
        </is>
      </c>
      <c r="F723" s="68" t="inlineStr">
        <is>
          <t>Dominion Q1 2026: 50+ GW pipeline, EPS beat $0.95 v $0.86 (deep research 2026-05-18)</t>
        </is>
      </c>
      <c r="G723" s="33" t="inlineStr">
        <is>
          <t>High</t>
        </is>
      </c>
      <c r="H723" s="33" t="inlineStr">
        <is>
          <t>Update</t>
        </is>
      </c>
    </row>
    <row r="724">
      <c r="A724" s="33" t="inlineStr">
        <is>
          <t>2026-05-18</t>
        </is>
      </c>
      <c r="B724" s="33" t="inlineStr">
        <is>
          <t>D</t>
        </is>
      </c>
      <c r="C724" s="33" t="inlineStr">
        <is>
          <t>D5</t>
        </is>
      </c>
      <c r="D724" s="33" t="n">
        <v>4</v>
      </c>
      <c r="E724" s="68" t="inlineStr">
        <is>
          <t>UPDATED from 3 → 4 after per-name /refresh-context research. Dominion Q1 2026: 50+ GW pipeline, EPS beat $0.95 v $0.86 (deep research 2026-05-18)</t>
        </is>
      </c>
      <c r="F724" s="68" t="inlineStr">
        <is>
          <t>Dominion Q1 2026: 50+ GW pipeline, EPS beat $0.95 v $0.86 (deep research 2026-05-18)</t>
        </is>
      </c>
      <c r="G724" s="33" t="inlineStr">
        <is>
          <t>High</t>
        </is>
      </c>
      <c r="H724" s="33" t="inlineStr">
        <is>
          <t>Update</t>
        </is>
      </c>
    </row>
    <row r="725">
      <c r="A725" s="33" t="inlineStr">
        <is>
          <t>2026-05-18</t>
        </is>
      </c>
      <c r="B725" s="33" t="inlineStr">
        <is>
          <t>D</t>
        </is>
      </c>
      <c r="C725" s="33" t="inlineStr">
        <is>
          <t>M1</t>
        </is>
      </c>
      <c r="D725" s="33" t="n">
        <v>3</v>
      </c>
      <c r="E725" s="68" t="inlineStr">
        <is>
          <t>UPDATED from 2 → 3 after per-name /refresh-context research. Dominion Q1 2026: 50+ GW pipeline, EPS beat $0.95 v $0.86 (deep research 2026-05-18)</t>
        </is>
      </c>
      <c r="F725" s="68" t="inlineStr">
        <is>
          <t>Dominion Q1 2026: 50+ GW pipeline, EPS beat $0.95 v $0.86 (deep research 2026-05-18)</t>
        </is>
      </c>
      <c r="G725" s="33" t="inlineStr">
        <is>
          <t>High</t>
        </is>
      </c>
      <c r="H725" s="33" t="inlineStr">
        <is>
          <t>Update</t>
        </is>
      </c>
    </row>
    <row r="726">
      <c r="A726" s="33" t="inlineStr">
        <is>
          <t>2026-05-18</t>
        </is>
      </c>
      <c r="B726" s="33" t="inlineStr">
        <is>
          <t>AEP</t>
        </is>
      </c>
      <c r="C726" s="33" t="inlineStr">
        <is>
          <t>D1</t>
        </is>
      </c>
      <c r="D726" s="33" t="n">
        <v>4</v>
      </c>
      <c r="E726" s="68" t="inlineStr">
        <is>
          <t>UPDATED from 3 → 4 after per-name /refresh-context research. AEP Q1 2026: 7 GW new agreements Q1, 63 GW by 2030 (90% DC/hyperscaler), $78B capital plan (deep research 2026-05-18)</t>
        </is>
      </c>
      <c r="F726" s="68" t="inlineStr">
        <is>
          <t>AEP Q1 2026: 7 GW new agreements Q1, 63 GW by 2030 (90% DC/hyperscaler), $78B capital plan (deep research 2026-05-18)</t>
        </is>
      </c>
      <c r="G726" s="33" t="inlineStr">
        <is>
          <t>High</t>
        </is>
      </c>
      <c r="H726" s="33" t="inlineStr">
        <is>
          <t>Update</t>
        </is>
      </c>
    </row>
    <row r="727">
      <c r="A727" s="33" t="inlineStr">
        <is>
          <t>2026-05-18</t>
        </is>
      </c>
      <c r="B727" s="33" t="inlineStr">
        <is>
          <t>AEP</t>
        </is>
      </c>
      <c r="C727" s="33" t="inlineStr">
        <is>
          <t>D2</t>
        </is>
      </c>
      <c r="D727" s="33" t="n">
        <v>5</v>
      </c>
      <c r="E727" s="68" t="inlineStr">
        <is>
          <t>UPDATED from 4 → 5 after per-name /refresh-context research. AEP Q1 2026: 7 GW new agreements Q1, 63 GW by 2030 (90% DC/hyperscaler), $78B capital plan (deep research 2026-05-18)</t>
        </is>
      </c>
      <c r="F727" s="68" t="inlineStr">
        <is>
          <t>AEP Q1 2026: 7 GW new agreements Q1, 63 GW by 2030 (90% DC/hyperscaler), $78B capital plan (deep research 2026-05-18)</t>
        </is>
      </c>
      <c r="G727" s="33" t="inlineStr">
        <is>
          <t>High</t>
        </is>
      </c>
      <c r="H727" s="33" t="inlineStr">
        <is>
          <t>Update</t>
        </is>
      </c>
    </row>
    <row r="728">
      <c r="A728" s="33" t="inlineStr">
        <is>
          <t>2026-05-18</t>
        </is>
      </c>
      <c r="B728" s="33" t="inlineStr">
        <is>
          <t>AEP</t>
        </is>
      </c>
      <c r="C728" s="33" t="inlineStr">
        <is>
          <t>D4</t>
        </is>
      </c>
      <c r="D728" s="33" t="n">
        <v>5</v>
      </c>
      <c r="E728" s="68" t="inlineStr">
        <is>
          <t>UPDATED from 4 → 5 after per-name /refresh-context research. AEP Q1 2026: 7 GW new agreements Q1, 63 GW by 2030 (90% DC/hyperscaler), $78B capital plan (deep research 2026-05-18)</t>
        </is>
      </c>
      <c r="F728" s="68" t="inlineStr">
        <is>
          <t>AEP Q1 2026: 7 GW new agreements Q1, 63 GW by 2030 (90% DC/hyperscaler), $78B capital plan (deep research 2026-05-18)</t>
        </is>
      </c>
      <c r="G728" s="33" t="inlineStr">
        <is>
          <t>High</t>
        </is>
      </c>
      <c r="H728" s="33" t="inlineStr">
        <is>
          <t>Update</t>
        </is>
      </c>
    </row>
    <row r="729">
      <c r="A729" s="33" t="inlineStr">
        <is>
          <t>2026-05-18</t>
        </is>
      </c>
      <c r="B729" s="33" t="inlineStr">
        <is>
          <t>AEP</t>
        </is>
      </c>
      <c r="C729" s="33" t="inlineStr">
        <is>
          <t>D5</t>
        </is>
      </c>
      <c r="D729" s="33" t="n">
        <v>5</v>
      </c>
      <c r="E729" s="68" t="inlineStr">
        <is>
          <t>UPDATED from 3 → 5 after per-name /refresh-context research. AEP Q1 2026: 7 GW new agreements Q1, 63 GW by 2030 (90% DC/hyperscaler), $78B capital plan (deep research 2026-05-18)</t>
        </is>
      </c>
      <c r="F729" s="68" t="inlineStr">
        <is>
          <t>AEP Q1 2026: 7 GW new agreements Q1, 63 GW by 2030 (90% DC/hyperscaler), $78B capital plan (deep research 2026-05-18)</t>
        </is>
      </c>
      <c r="G729" s="33" t="inlineStr">
        <is>
          <t>High</t>
        </is>
      </c>
      <c r="H729" s="33" t="inlineStr">
        <is>
          <t>Update</t>
        </is>
      </c>
    </row>
    <row r="730">
      <c r="A730" s="33" t="inlineStr">
        <is>
          <t>2026-05-18</t>
        </is>
      </c>
      <c r="B730" s="33" t="inlineStr">
        <is>
          <t>DUK</t>
        </is>
      </c>
      <c r="C730" s="33" t="inlineStr">
        <is>
          <t>D1</t>
        </is>
      </c>
      <c r="D730" s="33" t="n">
        <v>4</v>
      </c>
      <c r="E730" s="68" t="inlineStr">
        <is>
          <t>UPDATED from 2 → 4 after per-name /refresh-context research. Duke Q1 2026: $103B capex through 2035 (largest utility capex ever), 4.5 GW hyperscaler contracts (deep research 2026-05-18)</t>
        </is>
      </c>
      <c r="F730" s="68" t="inlineStr">
        <is>
          <t>Duke Q1 2026: $103B capex through 2035 (largest utility capex ever), 4.5 GW hyperscaler contracts (deep research 2026-05-18)</t>
        </is>
      </c>
      <c r="G730" s="33" t="inlineStr">
        <is>
          <t>High</t>
        </is>
      </c>
      <c r="H730" s="33" t="inlineStr">
        <is>
          <t>Update</t>
        </is>
      </c>
    </row>
    <row r="731">
      <c r="A731" s="33" t="inlineStr">
        <is>
          <t>2026-05-18</t>
        </is>
      </c>
      <c r="B731" s="33" t="inlineStr">
        <is>
          <t>DUK</t>
        </is>
      </c>
      <c r="C731" s="33" t="inlineStr">
        <is>
          <t>D4</t>
        </is>
      </c>
      <c r="D731" s="33" t="n">
        <v>5</v>
      </c>
      <c r="E731" s="68" t="inlineStr">
        <is>
          <t>UPDATED from 4 → 5 after per-name /refresh-context research. Duke Q1 2026: $103B capex through 2035 (largest utility capex ever), 4.5 GW hyperscaler contracts (deep research 2026-05-18)</t>
        </is>
      </c>
      <c r="F731" s="68" t="inlineStr">
        <is>
          <t>Duke Q1 2026: $103B capex through 2035 (largest utility capex ever), 4.5 GW hyperscaler contracts (deep research 2026-05-18)</t>
        </is>
      </c>
      <c r="G731" s="33" t="inlineStr">
        <is>
          <t>High</t>
        </is>
      </c>
      <c r="H731" s="33" t="inlineStr">
        <is>
          <t>Update</t>
        </is>
      </c>
    </row>
    <row r="732">
      <c r="A732" s="33" t="inlineStr">
        <is>
          <t>2026-05-18</t>
        </is>
      </c>
      <c r="B732" s="33" t="inlineStr">
        <is>
          <t>DUK</t>
        </is>
      </c>
      <c r="C732" s="33" t="inlineStr">
        <is>
          <t>D5</t>
        </is>
      </c>
      <c r="D732" s="33" t="n">
        <v>4</v>
      </c>
      <c r="E732" s="68" t="inlineStr">
        <is>
          <t>UPDATED from 3 → 4 after per-name /refresh-context research. Duke Q1 2026: $103B capex through 2035 (largest utility capex ever), 4.5 GW hyperscaler contracts (deep research 2026-05-18)</t>
        </is>
      </c>
      <c r="F732" s="68" t="inlineStr">
        <is>
          <t>Duke Q1 2026: $103B capex through 2035 (largest utility capex ever), 4.5 GW hyperscaler contracts (deep research 2026-05-18)</t>
        </is>
      </c>
      <c r="G732" s="33" t="inlineStr">
        <is>
          <t>High</t>
        </is>
      </c>
      <c r="H732" s="33" t="inlineStr">
        <is>
          <t>Update</t>
        </is>
      </c>
    </row>
    <row r="733">
      <c r="A733" s="33" t="inlineStr">
        <is>
          <t>2026-05-18</t>
        </is>
      </c>
      <c r="B733" s="33" t="inlineStr">
        <is>
          <t>SO</t>
        </is>
      </c>
      <c r="C733" s="33" t="inlineStr">
        <is>
          <t>D1</t>
        </is>
      </c>
      <c r="D733" s="33" t="n">
        <v>4</v>
      </c>
      <c r="E733" s="68" t="inlineStr">
        <is>
          <t>UPDATED from 3 → 4 after per-name /refresh-context research. Southern Q1 2026: 10 GW contracted + 75 GW pipeline + $81B capex + Vogtle 3&amp;4 (deep research 2026-05-18)</t>
        </is>
      </c>
      <c r="F733" s="68" t="inlineStr">
        <is>
          <t>Southern Q1 2026: 10 GW contracted + 75 GW pipeline + $81B capex + Vogtle 3&amp;4 (deep research 2026-05-18)</t>
        </is>
      </c>
      <c r="G733" s="33" t="inlineStr">
        <is>
          <t>High</t>
        </is>
      </c>
      <c r="H733" s="33" t="inlineStr">
        <is>
          <t>Update</t>
        </is>
      </c>
    </row>
    <row r="734">
      <c r="A734" s="33" t="inlineStr">
        <is>
          <t>2026-05-18</t>
        </is>
      </c>
      <c r="B734" s="33" t="inlineStr">
        <is>
          <t>SO</t>
        </is>
      </c>
      <c r="C734" s="33" t="inlineStr">
        <is>
          <t>D2</t>
        </is>
      </c>
      <c r="D734" s="33" t="n">
        <v>5</v>
      </c>
      <c r="E734" s="68" t="inlineStr">
        <is>
          <t>UPDATED from 4 → 5 after per-name /refresh-context research. Southern Q1 2026: 10 GW contracted + 75 GW pipeline + $81B capex + Vogtle 3&amp;4 (deep research 2026-05-18)</t>
        </is>
      </c>
      <c r="F734" s="68" t="inlineStr">
        <is>
          <t>Southern Q1 2026: 10 GW contracted + 75 GW pipeline + $81B capex + Vogtle 3&amp;4 (deep research 2026-05-18)</t>
        </is>
      </c>
      <c r="G734" s="33" t="inlineStr">
        <is>
          <t>High</t>
        </is>
      </c>
      <c r="H734" s="33" t="inlineStr">
        <is>
          <t>Update</t>
        </is>
      </c>
    </row>
    <row r="735">
      <c r="A735" s="33" t="inlineStr">
        <is>
          <t>2026-05-18</t>
        </is>
      </c>
      <c r="B735" s="33" t="inlineStr">
        <is>
          <t>SO</t>
        </is>
      </c>
      <c r="C735" s="33" t="inlineStr">
        <is>
          <t>D4</t>
        </is>
      </c>
      <c r="D735" s="33" t="n">
        <v>5</v>
      </c>
      <c r="E735" s="68" t="inlineStr">
        <is>
          <t>UPDATED from 4 → 5 after per-name /refresh-context research. Southern Q1 2026: 10 GW contracted + 75 GW pipeline + $81B capex + Vogtle 3&amp;4 (deep research 2026-05-18)</t>
        </is>
      </c>
      <c r="F735" s="68" t="inlineStr">
        <is>
          <t>Southern Q1 2026: 10 GW contracted + 75 GW pipeline + $81B capex + Vogtle 3&amp;4 (deep research 2026-05-18)</t>
        </is>
      </c>
      <c r="G735" s="33" t="inlineStr">
        <is>
          <t>High</t>
        </is>
      </c>
      <c r="H735" s="33" t="inlineStr">
        <is>
          <t>Update</t>
        </is>
      </c>
    </row>
    <row r="736">
      <c r="A736" s="33" t="inlineStr">
        <is>
          <t>2026-05-18</t>
        </is>
      </c>
      <c r="B736" s="33" t="inlineStr">
        <is>
          <t>SO</t>
        </is>
      </c>
      <c r="C736" s="33" t="inlineStr">
        <is>
          <t>D5</t>
        </is>
      </c>
      <c r="D736" s="33" t="n">
        <v>5</v>
      </c>
      <c r="E736" s="68" t="inlineStr">
        <is>
          <t>UPDATED from 3 → 5 after per-name /refresh-context research. Southern Q1 2026: 10 GW contracted + 75 GW pipeline + $81B capex + Vogtle 3&amp;4 (deep research 2026-05-18)</t>
        </is>
      </c>
      <c r="F736" s="68" t="inlineStr">
        <is>
          <t>Southern Q1 2026: 10 GW contracted + 75 GW pipeline + $81B capex + Vogtle 3&amp;4 (deep research 2026-05-18)</t>
        </is>
      </c>
      <c r="G736" s="33" t="inlineStr">
        <is>
          <t>High</t>
        </is>
      </c>
      <c r="H736" s="33" t="inlineStr">
        <is>
          <t>Update</t>
        </is>
      </c>
    </row>
    <row r="737">
      <c r="A737" s="33" t="inlineStr">
        <is>
          <t>2026-05-18</t>
        </is>
      </c>
      <c r="B737" s="33" t="inlineStr">
        <is>
          <t>NEE</t>
        </is>
      </c>
      <c r="C737" s="33" t="inlineStr">
        <is>
          <t>D1</t>
        </is>
      </c>
      <c r="D737" s="33" t="n">
        <v>4</v>
      </c>
      <c r="E737" s="68" t="inlineStr">
        <is>
          <t>UPDATED from 3 → 4 after per-name /refresh-context research. NextEra Q1 2026: 60 GW DC hub pipeline + Google/Meta multi-GW PPAs + 33 GW renewables backlog (deep research 2026-05-18)</t>
        </is>
      </c>
      <c r="F737" s="68" t="inlineStr">
        <is>
          <t>NextEra Q1 2026: 60 GW DC hub pipeline + Google/Meta multi-GW PPAs + 33 GW renewables backlog (deep research 2026-05-18)</t>
        </is>
      </c>
      <c r="G737" s="33" t="inlineStr">
        <is>
          <t>High</t>
        </is>
      </c>
      <c r="H737" s="33" t="inlineStr">
        <is>
          <t>Update</t>
        </is>
      </c>
    </row>
    <row r="738">
      <c r="A738" s="33" t="inlineStr">
        <is>
          <t>2026-05-18</t>
        </is>
      </c>
      <c r="B738" s="33" t="inlineStr">
        <is>
          <t>NEE</t>
        </is>
      </c>
      <c r="C738" s="33" t="inlineStr">
        <is>
          <t>D4</t>
        </is>
      </c>
      <c r="D738" s="33" t="n">
        <v>5</v>
      </c>
      <c r="E738" s="68" t="inlineStr">
        <is>
          <t>UPDATED from 4 → 5 after per-name /refresh-context research. NextEra Q1 2026: 60 GW DC hub pipeline + Google/Meta multi-GW PPAs + 33 GW renewables backlog (deep research 2026-05-18)</t>
        </is>
      </c>
      <c r="F738" s="68" t="inlineStr">
        <is>
          <t>NextEra Q1 2026: 60 GW DC hub pipeline + Google/Meta multi-GW PPAs + 33 GW renewables backlog (deep research 2026-05-18)</t>
        </is>
      </c>
      <c r="G738" s="33" t="inlineStr">
        <is>
          <t>High</t>
        </is>
      </c>
      <c r="H738" s="33" t="inlineStr">
        <is>
          <t>Update</t>
        </is>
      </c>
    </row>
    <row r="739">
      <c r="A739" s="33" t="inlineStr">
        <is>
          <t>2026-05-18</t>
        </is>
      </c>
      <c r="B739" s="33" t="inlineStr">
        <is>
          <t>NEE</t>
        </is>
      </c>
      <c r="C739" s="33" t="inlineStr">
        <is>
          <t>D5</t>
        </is>
      </c>
      <c r="D739" s="33" t="n">
        <v>5</v>
      </c>
      <c r="E739" s="68" t="inlineStr">
        <is>
          <t>UPDATED from 3 → 5 after per-name /refresh-context research. NextEra Q1 2026: 60 GW DC hub pipeline + Google/Meta multi-GW PPAs + 33 GW renewables backlog (deep research 2026-05-18)</t>
        </is>
      </c>
      <c r="F739" s="68" t="inlineStr">
        <is>
          <t>NextEra Q1 2026: 60 GW DC hub pipeline + Google/Meta multi-GW PPAs + 33 GW renewables backlog (deep research 2026-05-18)</t>
        </is>
      </c>
      <c r="G739" s="33" t="inlineStr">
        <is>
          <t>High</t>
        </is>
      </c>
      <c r="H739" s="33" t="inlineStr">
        <is>
          <t>Update</t>
        </is>
      </c>
    </row>
    <row r="740">
      <c r="A740" s="33" t="inlineStr">
        <is>
          <t>2026-05-18</t>
        </is>
      </c>
      <c r="B740" s="33" t="inlineStr">
        <is>
          <t>ETR</t>
        </is>
      </c>
      <c r="C740" s="33" t="inlineStr">
        <is>
          <t>D1</t>
        </is>
      </c>
      <c r="D740" s="33" t="n">
        <v>5</v>
      </c>
      <c r="E740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0" s="68" t="inlineStr">
        <is>
          <t>Entergy Q1 2026: $14B capex increase for Meta 5 GW Louisiana deal; 2029 EPS target raised to $6.40 (deep research 2026-05-18)</t>
        </is>
      </c>
      <c r="G740" s="33" t="inlineStr">
        <is>
          <t>High</t>
        </is>
      </c>
      <c r="H740" s="33" t="inlineStr">
        <is>
          <t>Update</t>
        </is>
      </c>
    </row>
    <row r="741">
      <c r="A741" s="33" t="inlineStr">
        <is>
          <t>2026-05-18</t>
        </is>
      </c>
      <c r="B741" s="33" t="inlineStr">
        <is>
          <t>ETR</t>
        </is>
      </c>
      <c r="C741" s="33" t="inlineStr">
        <is>
          <t>D4</t>
        </is>
      </c>
      <c r="D741" s="33" t="n">
        <v>5</v>
      </c>
      <c r="E741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1" s="68" t="inlineStr">
        <is>
          <t>Entergy Q1 2026: $14B capex increase for Meta 5 GW Louisiana deal; 2029 EPS target raised to $6.40 (deep research 2026-05-18)</t>
        </is>
      </c>
      <c r="G741" s="33" t="inlineStr">
        <is>
          <t>High</t>
        </is>
      </c>
      <c r="H741" s="33" t="inlineStr">
        <is>
          <t>Update</t>
        </is>
      </c>
    </row>
    <row r="742">
      <c r="A742" s="33" t="inlineStr">
        <is>
          <t>2026-05-18</t>
        </is>
      </c>
      <c r="B742" s="33" t="inlineStr">
        <is>
          <t>ETR</t>
        </is>
      </c>
      <c r="C742" s="33" t="inlineStr">
        <is>
          <t>D5</t>
        </is>
      </c>
      <c r="D742" s="33" t="n">
        <v>5</v>
      </c>
      <c r="E742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2" s="68" t="inlineStr">
        <is>
          <t>Entergy Q1 2026: $14B capex increase for Meta 5 GW Louisiana deal; 2029 EPS target raised to $6.40 (deep research 2026-05-18)</t>
        </is>
      </c>
      <c r="G742" s="33" t="inlineStr">
        <is>
          <t>High</t>
        </is>
      </c>
      <c r="H742" s="33" t="inlineStr">
        <is>
          <t>Update</t>
        </is>
      </c>
    </row>
    <row r="743">
      <c r="A743" s="33" t="inlineStr">
        <is>
          <t>2026-05-18</t>
        </is>
      </c>
      <c r="B743" s="33" t="inlineStr">
        <is>
          <t>PPL</t>
        </is>
      </c>
      <c r="C743" s="33" t="inlineStr">
        <is>
          <t>D1</t>
        </is>
      </c>
      <c r="D743" s="33" t="n">
        <v>4</v>
      </c>
      <c r="E743" s="68" t="inlineStr">
        <is>
          <t>UPDATED from 3 → 4 after per-name /refresh-context research. PPL Q1 2026: 28.3 GW signed PA + 12.9 GW KY + $23B capex (deep research 2026-05-18)</t>
        </is>
      </c>
      <c r="F743" s="68" t="inlineStr">
        <is>
          <t>PPL Q1 2026: 28.3 GW signed PA + 12.9 GW KY + $23B capex (deep research 2026-05-18)</t>
        </is>
      </c>
      <c r="G743" s="33" t="inlineStr">
        <is>
          <t>High</t>
        </is>
      </c>
      <c r="H743" s="33" t="inlineStr">
        <is>
          <t>Update</t>
        </is>
      </c>
    </row>
    <row r="744">
      <c r="A744" s="33" t="inlineStr">
        <is>
          <t>2026-05-18</t>
        </is>
      </c>
      <c r="B744" s="33" t="inlineStr">
        <is>
          <t>PPL</t>
        </is>
      </c>
      <c r="C744" s="33" t="inlineStr">
        <is>
          <t>D4</t>
        </is>
      </c>
      <c r="D744" s="33" t="n">
        <v>5</v>
      </c>
      <c r="E744" s="68" t="inlineStr">
        <is>
          <t>UPDATED from 4 → 5 after per-name /refresh-context research. PPL Q1 2026: 28.3 GW signed PA + 12.9 GW KY + $23B capex (deep research 2026-05-18)</t>
        </is>
      </c>
      <c r="F744" s="68" t="inlineStr">
        <is>
          <t>PPL Q1 2026: 28.3 GW signed PA + 12.9 GW KY + $23B capex (deep research 2026-05-18)</t>
        </is>
      </c>
      <c r="G744" s="33" t="inlineStr">
        <is>
          <t>High</t>
        </is>
      </c>
      <c r="H744" s="33" t="inlineStr">
        <is>
          <t>Update</t>
        </is>
      </c>
    </row>
    <row r="745">
      <c r="A745" s="33" t="inlineStr">
        <is>
          <t>2026-05-18</t>
        </is>
      </c>
      <c r="B745" s="33" t="inlineStr">
        <is>
          <t>PPL</t>
        </is>
      </c>
      <c r="C745" s="33" t="inlineStr">
        <is>
          <t>D5</t>
        </is>
      </c>
      <c r="D745" s="33" t="n">
        <v>4</v>
      </c>
      <c r="E745" s="68" t="inlineStr">
        <is>
          <t>UPDATED from 3 → 4 after per-name /refresh-context research. PPL Q1 2026: 28.3 GW signed PA + 12.9 GW KY + $23B capex (deep research 2026-05-18)</t>
        </is>
      </c>
      <c r="F745" s="68" t="inlineStr">
        <is>
          <t>PPL Q1 2026: 28.3 GW signed PA + 12.9 GW KY + $23B capex (deep research 2026-05-18)</t>
        </is>
      </c>
      <c r="G745" s="33" t="inlineStr">
        <is>
          <t>High</t>
        </is>
      </c>
      <c r="H745" s="33" t="inlineStr">
        <is>
          <t>Update</t>
        </is>
      </c>
    </row>
    <row r="746">
      <c r="A746" s="33" t="inlineStr">
        <is>
          <t>2026-05-18</t>
        </is>
      </c>
      <c r="B746" s="33" t="inlineStr">
        <is>
          <t>PPL</t>
        </is>
      </c>
      <c r="C746" s="33" t="inlineStr">
        <is>
          <t>M1</t>
        </is>
      </c>
      <c r="D746" s="33" t="n">
        <v>4</v>
      </c>
      <c r="E746" s="68" t="inlineStr">
        <is>
          <t>UPDATED from 3 → 4 after per-name /refresh-context research. PPL Q1 2026: 28.3 GW signed PA + 12.9 GW KY + $23B capex (deep research 2026-05-18)</t>
        </is>
      </c>
      <c r="F746" s="68" t="inlineStr">
        <is>
          <t>PPL Q1 2026: 28.3 GW signed PA + 12.9 GW KY + $23B capex (deep research 2026-05-18)</t>
        </is>
      </c>
      <c r="G746" s="33" t="inlineStr">
        <is>
          <t>High</t>
        </is>
      </c>
      <c r="H746" s="33" t="inlineStr">
        <is>
          <t>Update</t>
        </is>
      </c>
    </row>
    <row r="747">
      <c r="A747" s="33" t="inlineStr">
        <is>
          <t>2026-05-18</t>
        </is>
      </c>
      <c r="B747" s="33" t="inlineStr">
        <is>
          <t>XEL</t>
        </is>
      </c>
      <c r="C747" s="33" t="inlineStr">
        <is>
          <t>D1</t>
        </is>
      </c>
      <c r="D747" s="33" t="n">
        <v>3</v>
      </c>
      <c r="E747" s="68" t="inlineStr">
        <is>
          <t>UPDATED from 2 → 3 after per-name /refresh-context research. Xcel Q1 2026: 15-yr Google 1.9 GW PPA + 6 GW DC target by 2027 + $14B 2026 capex (deep research 2026-05-18)</t>
        </is>
      </c>
      <c r="F747" s="68" t="inlineStr">
        <is>
          <t>Xcel Q1 2026: 15-yr Google 1.9 GW PPA + 6 GW DC target by 2027 + $14B 2026 capex (deep research 2026-05-18)</t>
        </is>
      </c>
      <c r="G747" s="33" t="inlineStr">
        <is>
          <t>High</t>
        </is>
      </c>
      <c r="H747" s="33" t="inlineStr">
        <is>
          <t>Update</t>
        </is>
      </c>
    </row>
    <row r="748">
      <c r="A748" s="33" t="inlineStr">
        <is>
          <t>2026-05-18</t>
        </is>
      </c>
      <c r="B748" s="33" t="inlineStr">
        <is>
          <t>XEL</t>
        </is>
      </c>
      <c r="C748" s="33" t="inlineStr">
        <is>
          <t>D4</t>
        </is>
      </c>
      <c r="D748" s="33" t="n">
        <v>4</v>
      </c>
      <c r="E748" s="68" t="inlineStr">
        <is>
          <t>UPDATED from 3 → 4 after per-name /refresh-context research. Xcel Q1 2026: 15-yr Google 1.9 GW PPA + 6 GW DC target by 2027 + $14B 2026 capex (deep research 2026-05-18)</t>
        </is>
      </c>
      <c r="F748" s="68" t="inlineStr">
        <is>
          <t>Xcel Q1 2026: 15-yr Google 1.9 GW PPA + 6 GW DC target by 2027 + $14B 2026 capex (deep research 2026-05-18)</t>
        </is>
      </c>
      <c r="G748" s="33" t="inlineStr">
        <is>
          <t>High</t>
        </is>
      </c>
      <c r="H748" s="33" t="inlineStr">
        <is>
          <t>Update</t>
        </is>
      </c>
    </row>
    <row r="749">
      <c r="A749" s="33" t="inlineStr">
        <is>
          <t>2026-05-18</t>
        </is>
      </c>
      <c r="B749" s="33" t="inlineStr">
        <is>
          <t>XEL</t>
        </is>
      </c>
      <c r="C749" s="33" t="inlineStr">
        <is>
          <t>D5</t>
        </is>
      </c>
      <c r="D749" s="33" t="n">
        <v>4</v>
      </c>
      <c r="E749" s="68" t="inlineStr">
        <is>
          <t>UPDATED from 2 → 4 after per-name /refresh-context research. Xcel Q1 2026: 15-yr Google 1.9 GW PPA + 6 GW DC target by 2027 + $14B 2026 capex (deep research 2026-05-18)</t>
        </is>
      </c>
      <c r="F749" s="68" t="inlineStr">
        <is>
          <t>Xcel Q1 2026: 15-yr Google 1.9 GW PPA + 6 GW DC target by 2027 + $14B 2026 capex (deep research 2026-05-18)</t>
        </is>
      </c>
      <c r="G749" s="33" t="inlineStr">
        <is>
          <t>High</t>
        </is>
      </c>
      <c r="H749" s="33" t="inlineStr">
        <is>
          <t>Update</t>
        </is>
      </c>
    </row>
    <row r="750">
      <c r="A750" s="33" t="inlineStr">
        <is>
          <t>2026-05-18</t>
        </is>
      </c>
      <c r="B750" s="33" t="inlineStr">
        <is>
          <t>XEL</t>
        </is>
      </c>
      <c r="C750" s="33" t="inlineStr">
        <is>
          <t>M1</t>
        </is>
      </c>
      <c r="D750" s="33" t="n">
        <v>4</v>
      </c>
      <c r="E750" s="68" t="inlineStr">
        <is>
          <t>UPDATED from 3 → 4 after per-name /refresh-context research. Xcel Q1 2026: 15-yr Google 1.9 GW PPA + 6 GW DC target by 2027 + $14B 2026 capex (deep research 2026-05-18)</t>
        </is>
      </c>
      <c r="F750" s="68" t="inlineStr">
        <is>
          <t>Xcel Q1 2026: 15-yr Google 1.9 GW PPA + 6 GW DC target by 2027 + $14B 2026 capex (deep research 2026-05-18)</t>
        </is>
      </c>
      <c r="G750" s="33" t="inlineStr">
        <is>
          <t>High</t>
        </is>
      </c>
      <c r="H750" s="33" t="inlineStr">
        <is>
          <t>Update</t>
        </is>
      </c>
    </row>
    <row r="751">
      <c r="A751" s="33" t="inlineStr">
        <is>
          <t>2026-05-18</t>
        </is>
      </c>
      <c r="B751" s="33" t="inlineStr">
        <is>
          <t>VST</t>
        </is>
      </c>
      <c r="C751" s="33" t="inlineStr">
        <is>
          <t>D1</t>
        </is>
      </c>
      <c r="D751" s="33" t="n">
        <v>5</v>
      </c>
      <c r="E751" s="68" t="inlineStr">
        <is>
          <t>UPDATED from 4 → 5 after per-name /refresh-context research. Vistra Q1 2026: AWS 1.2 GW Comanche Peak + Meta 2,609 MW PJM PPAs + EBITDA +85% vs 2024 (deep research 2026-05-18)</t>
        </is>
      </c>
      <c r="F751" s="68" t="inlineStr">
        <is>
          <t>Vistra Q1 2026: AWS 1.2 GW Comanche Peak + Meta 2,609 MW PJM PPAs + EBITDA +85% vs 2024 (deep research 2026-05-18)</t>
        </is>
      </c>
      <c r="G751" s="33" t="inlineStr">
        <is>
          <t>High</t>
        </is>
      </c>
      <c r="H751" s="33" t="inlineStr">
        <is>
          <t>Update</t>
        </is>
      </c>
    </row>
    <row r="752">
      <c r="A752" s="33" t="inlineStr">
        <is>
          <t>2026-05-18</t>
        </is>
      </c>
      <c r="B752" s="33" t="inlineStr">
        <is>
          <t>VST</t>
        </is>
      </c>
      <c r="C752" s="33" t="inlineStr">
        <is>
          <t>M1</t>
        </is>
      </c>
      <c r="D752" s="33" t="n">
        <v>4</v>
      </c>
      <c r="E752" s="68" t="inlineStr">
        <is>
          <t>UPDATED from 3 → 4 after per-name /refresh-context research. Vistra Q1 2026: AWS 1.2 GW Comanche Peak + Meta 2,609 MW PJM PPAs + EBITDA +85% vs 2024 (deep research 2026-05-18)</t>
        </is>
      </c>
      <c r="F752" s="68" t="inlineStr">
        <is>
          <t>Vistra Q1 2026: AWS 1.2 GW Comanche Peak + Meta 2,609 MW PJM PPAs + EBITDA +85% vs 2024 (deep research 2026-05-18)</t>
        </is>
      </c>
      <c r="G752" s="33" t="inlineStr">
        <is>
          <t>High</t>
        </is>
      </c>
      <c r="H752" s="33" t="inlineStr">
        <is>
          <t>Update</t>
        </is>
      </c>
    </row>
    <row r="753">
      <c r="A753" s="33" t="inlineStr">
        <is>
          <t>2026-05-18</t>
        </is>
      </c>
      <c r="B753" s="33" t="inlineStr">
        <is>
          <t>NRG</t>
        </is>
      </c>
      <c r="C753" s="33" t="inlineStr">
        <is>
          <t>D1</t>
        </is>
      </c>
      <c r="D753" s="33" t="n">
        <v>3</v>
      </c>
      <c r="E753" s="68" t="inlineStr">
        <is>
          <t>UPDATED from 2 → 3 after per-name /refresh-context research. NRG Q1 2026: 40 GW ERCOT load growth 2026-2030, TEF 1.5 GW dispatchable gen (deep research 2026-05-18)</t>
        </is>
      </c>
      <c r="F753" s="68" t="inlineStr">
        <is>
          <t>NRG Q1 2026: 40 GW ERCOT load growth 2026-2030, TEF 1.5 GW dispatchable gen (deep research 2026-05-18)</t>
        </is>
      </c>
      <c r="G753" s="33" t="inlineStr">
        <is>
          <t>High</t>
        </is>
      </c>
      <c r="H753" s="33" t="inlineStr">
        <is>
          <t>Update</t>
        </is>
      </c>
    </row>
    <row r="754">
      <c r="A754" s="33" t="inlineStr">
        <is>
          <t>2026-05-18</t>
        </is>
      </c>
      <c r="B754" s="33" t="inlineStr">
        <is>
          <t>NRG</t>
        </is>
      </c>
      <c r="C754" s="33" t="inlineStr">
        <is>
          <t>D2</t>
        </is>
      </c>
      <c r="D754" s="33" t="n">
        <v>4</v>
      </c>
      <c r="E754" s="68" t="inlineStr">
        <is>
          <t>UPDATED from 3 → 4 after per-name /refresh-context research. NRG Q1 2026: 40 GW ERCOT load growth 2026-2030, TEF 1.5 GW dispatchable gen (deep research 2026-05-18)</t>
        </is>
      </c>
      <c r="F754" s="68" t="inlineStr">
        <is>
          <t>NRG Q1 2026: 40 GW ERCOT load growth 2026-2030, TEF 1.5 GW dispatchable gen (deep research 2026-05-18)</t>
        </is>
      </c>
      <c r="G754" s="33" t="inlineStr">
        <is>
          <t>High</t>
        </is>
      </c>
      <c r="H754" s="33" t="inlineStr">
        <is>
          <t>Update</t>
        </is>
      </c>
    </row>
    <row r="755">
      <c r="A755" s="33" t="inlineStr">
        <is>
          <t>2026-05-18</t>
        </is>
      </c>
      <c r="B755" s="33" t="inlineStr">
        <is>
          <t>NRG</t>
        </is>
      </c>
      <c r="C755" s="33" t="inlineStr">
        <is>
          <t>D4</t>
        </is>
      </c>
      <c r="D755" s="33" t="n">
        <v>4</v>
      </c>
      <c r="E755" s="68" t="inlineStr">
        <is>
          <t>UPDATED from 3 → 4 after per-name /refresh-context research. NRG Q1 2026: 40 GW ERCOT load growth 2026-2030, TEF 1.5 GW dispatchable gen (deep research 2026-05-18)</t>
        </is>
      </c>
      <c r="F755" s="68" t="inlineStr">
        <is>
          <t>NRG Q1 2026: 40 GW ERCOT load growth 2026-2030, TEF 1.5 GW dispatchable gen (deep research 2026-05-18)</t>
        </is>
      </c>
      <c r="G755" s="33" t="inlineStr">
        <is>
          <t>High</t>
        </is>
      </c>
      <c r="H755" s="33" t="inlineStr">
        <is>
          <t>Update</t>
        </is>
      </c>
    </row>
    <row r="756">
      <c r="A756" s="33" t="inlineStr">
        <is>
          <t>2026-05-18</t>
        </is>
      </c>
      <c r="B756" s="33" t="inlineStr">
        <is>
          <t>NRG</t>
        </is>
      </c>
      <c r="C756" s="33" t="inlineStr">
        <is>
          <t>D5</t>
        </is>
      </c>
      <c r="D756" s="33" t="n">
        <v>3</v>
      </c>
      <c r="E756" s="68" t="inlineStr">
        <is>
          <t>UPDATED from 2 → 3 after per-name /refresh-context research. NRG Q1 2026: 40 GW ERCOT load growth 2026-2030, TEF 1.5 GW dispatchable gen (deep research 2026-05-18)</t>
        </is>
      </c>
      <c r="F756" s="68" t="inlineStr">
        <is>
          <t>NRG Q1 2026: 40 GW ERCOT load growth 2026-2030, TEF 1.5 GW dispatchable gen (deep research 2026-05-18)</t>
        </is>
      </c>
      <c r="G756" s="33" t="inlineStr">
        <is>
          <t>High</t>
        </is>
      </c>
      <c r="H756" s="33" t="inlineStr">
        <is>
          <t>Update</t>
        </is>
      </c>
    </row>
    <row r="757">
      <c r="A757" s="33" t="inlineStr">
        <is>
          <t>2026-05-18</t>
        </is>
      </c>
      <c r="B757" s="33" t="inlineStr">
        <is>
          <t>NRG</t>
        </is>
      </c>
      <c r="C757" s="33" t="inlineStr">
        <is>
          <t>R3</t>
        </is>
      </c>
      <c r="D757" s="33" t="n">
        <v>3</v>
      </c>
      <c r="E757" s="68" t="inlineStr">
        <is>
          <t>UPDATED from 2 → 3 after per-name /refresh-context research. NRG Q1 2026: 40 GW ERCOT load growth 2026-2030, TEF 1.5 GW dispatchable gen (deep research 2026-05-18)</t>
        </is>
      </c>
      <c r="F757" s="68" t="inlineStr">
        <is>
          <t>NRG Q1 2026: 40 GW ERCOT load growth 2026-2030, TEF 1.5 GW dispatchable gen (deep research 2026-05-18)</t>
        </is>
      </c>
      <c r="G757" s="33" t="inlineStr">
        <is>
          <t>High</t>
        </is>
      </c>
      <c r="H757" s="33" t="inlineStr">
        <is>
          <t>Update</t>
        </is>
      </c>
    </row>
    <row r="758">
      <c r="A758" s="33" t="inlineStr">
        <is>
          <t>2026-05-18</t>
        </is>
      </c>
      <c r="B758" s="33" t="inlineStr">
        <is>
          <t>CCJ</t>
        </is>
      </c>
      <c r="C758" s="33" t="inlineStr">
        <is>
          <t>D1</t>
        </is>
      </c>
      <c r="D758" s="33" t="n">
        <v>4</v>
      </c>
      <c r="E758" s="68" t="inlineStr">
        <is>
          <t>UPDATED from 3 → 4 after per-name /refresh-context research. Cameco Q1 2026: net earnings +87% YoY; CEO explicitly cites AI/hyperscale as primary driver (deep research 2026-05-18)</t>
        </is>
      </c>
      <c r="F758" s="68" t="inlineStr">
        <is>
          <t>Cameco Q1 2026: net earnings +87% YoY; CEO explicitly cites AI/hyperscale as primary driver (deep research 2026-05-18)</t>
        </is>
      </c>
      <c r="G758" s="33" t="inlineStr">
        <is>
          <t>High</t>
        </is>
      </c>
      <c r="H758" s="33" t="inlineStr">
        <is>
          <t>Update</t>
        </is>
      </c>
    </row>
    <row r="759">
      <c r="A759" s="33" t="inlineStr">
        <is>
          <t>2026-05-18</t>
        </is>
      </c>
      <c r="B759" s="33" t="inlineStr">
        <is>
          <t>CCJ</t>
        </is>
      </c>
      <c r="C759" s="33" t="inlineStr">
        <is>
          <t>D5</t>
        </is>
      </c>
      <c r="D759" s="33" t="n">
        <v>3</v>
      </c>
      <c r="E759" s="68" t="inlineStr">
        <is>
          <t>UPDATED from 2 → 3 after per-name /refresh-context research. Cameco Q1 2026: net earnings +87% YoY; CEO explicitly cites AI/hyperscale as primary driver (deep research 2026-05-18)</t>
        </is>
      </c>
      <c r="F759" s="68" t="inlineStr">
        <is>
          <t>Cameco Q1 2026: net earnings +87% YoY; CEO explicitly cites AI/hyperscale as primary driver (deep research 2026-05-18)</t>
        </is>
      </c>
      <c r="G759" s="33" t="inlineStr">
        <is>
          <t>High</t>
        </is>
      </c>
      <c r="H759" s="33" t="inlineStr">
        <is>
          <t>Update</t>
        </is>
      </c>
    </row>
    <row r="760">
      <c r="A760" s="33" t="inlineStr">
        <is>
          <t>2026-05-18</t>
        </is>
      </c>
      <c r="B760" s="33" t="inlineStr">
        <is>
          <t>CCJ</t>
        </is>
      </c>
      <c r="C760" s="33" t="inlineStr">
        <is>
          <t>M1</t>
        </is>
      </c>
      <c r="D760" s="33" t="n">
        <v>4</v>
      </c>
      <c r="E760" s="68" t="inlineStr">
        <is>
          <t>UPDATED from 2 → 4 after per-name /refresh-context research. Cameco Q1 2026: net earnings +87% YoY; CEO explicitly cites AI/hyperscale as primary driver (deep research 2026-05-18)</t>
        </is>
      </c>
      <c r="F760" s="68" t="inlineStr">
        <is>
          <t>Cameco Q1 2026: net earnings +87% YoY; CEO explicitly cites AI/hyperscale as primary driver (deep research 2026-05-18)</t>
        </is>
      </c>
      <c r="G760" s="33" t="inlineStr">
        <is>
          <t>High</t>
        </is>
      </c>
      <c r="H760" s="33" t="inlineStr">
        <is>
          <t>Update</t>
        </is>
      </c>
    </row>
    <row r="761">
      <c r="A761" s="33" t="inlineStr">
        <is>
          <t>2026-05-18</t>
        </is>
      </c>
      <c r="B761" s="33" t="inlineStr">
        <is>
          <t>CCJ</t>
        </is>
      </c>
      <c r="C761" s="33" t="inlineStr">
        <is>
          <t>R1</t>
        </is>
      </c>
      <c r="D761" s="33" t="n">
        <v>5</v>
      </c>
      <c r="E761" s="68" t="inlineStr">
        <is>
          <t>UPDATED from 4 → 5 after per-name /refresh-context research. Cameco Q1 2026: net earnings +87% YoY; CEO explicitly cites AI/hyperscale as primary driver (deep research 2026-05-18)</t>
        </is>
      </c>
      <c r="F761" s="68" t="inlineStr">
        <is>
          <t>Cameco Q1 2026: net earnings +87% YoY; CEO explicitly cites AI/hyperscale as primary driver (deep research 2026-05-18)</t>
        </is>
      </c>
      <c r="G761" s="33" t="inlineStr">
        <is>
          <t>High</t>
        </is>
      </c>
      <c r="H761" s="33" t="inlineStr">
        <is>
          <t>Update</t>
        </is>
      </c>
    </row>
    <row r="762">
      <c r="A762" s="33" t="inlineStr">
        <is>
          <t>2026-05-18</t>
        </is>
      </c>
      <c r="B762" s="33" t="inlineStr">
        <is>
          <t>UEC</t>
        </is>
      </c>
      <c r="C762" s="33" t="inlineStr">
        <is>
          <t>D1</t>
        </is>
      </c>
      <c r="D762" s="33" t="n">
        <v>3</v>
      </c>
      <c r="E762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2" s="68" t="inlineStr">
        <is>
          <t>UEC Q1 FY26: Burke Hollow first US ISR mine in decade + UF6 production + $698M cash no debt + 57%/64% growth forecast (deep research 2026-05-18)</t>
        </is>
      </c>
      <c r="G762" s="33" t="inlineStr">
        <is>
          <t>High</t>
        </is>
      </c>
      <c r="H762" s="33" t="inlineStr">
        <is>
          <t>Update</t>
        </is>
      </c>
    </row>
    <row r="763">
      <c r="A763" s="33" t="inlineStr">
        <is>
          <t>2026-05-18</t>
        </is>
      </c>
      <c r="B763" s="33" t="inlineStr">
        <is>
          <t>UEC</t>
        </is>
      </c>
      <c r="C763" s="33" t="inlineStr">
        <is>
          <t>D2</t>
        </is>
      </c>
      <c r="D763" s="33" t="n">
        <v>4</v>
      </c>
      <c r="E763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3" s="68" t="inlineStr">
        <is>
          <t>UEC Q1 FY26: Burke Hollow first US ISR mine in decade + UF6 production + $698M cash no debt + 57%/64% growth forecast (deep research 2026-05-18)</t>
        </is>
      </c>
      <c r="G763" s="33" t="inlineStr">
        <is>
          <t>High</t>
        </is>
      </c>
      <c r="H763" s="33" t="inlineStr">
        <is>
          <t>Update</t>
        </is>
      </c>
    </row>
    <row r="764">
      <c r="A764" s="33" t="inlineStr">
        <is>
          <t>2026-05-18</t>
        </is>
      </c>
      <c r="B764" s="33" t="inlineStr">
        <is>
          <t>UEC</t>
        </is>
      </c>
      <c r="C764" s="33" t="inlineStr">
        <is>
          <t>D3</t>
        </is>
      </c>
      <c r="D764" s="33" t="n">
        <v>4</v>
      </c>
      <c r="E764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4" s="68" t="inlineStr">
        <is>
          <t>UEC Q1 FY26: Burke Hollow first US ISR mine in decade + UF6 production + $698M cash no debt + 57%/64% growth forecast (deep research 2026-05-18)</t>
        </is>
      </c>
      <c r="G764" s="33" t="inlineStr">
        <is>
          <t>High</t>
        </is>
      </c>
      <c r="H764" s="33" t="inlineStr">
        <is>
          <t>Update</t>
        </is>
      </c>
    </row>
    <row r="765">
      <c r="A765" s="33" t="inlineStr">
        <is>
          <t>2026-05-18</t>
        </is>
      </c>
      <c r="B765" s="33" t="inlineStr">
        <is>
          <t>UEC</t>
        </is>
      </c>
      <c r="C765" s="33" t="inlineStr">
        <is>
          <t>D4</t>
        </is>
      </c>
      <c r="D765" s="33" t="n">
        <v>4</v>
      </c>
      <c r="E765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5" s="68" t="inlineStr">
        <is>
          <t>UEC Q1 FY26: Burke Hollow first US ISR mine in decade + UF6 production + $698M cash no debt + 57%/64% growth forecast (deep research 2026-05-18)</t>
        </is>
      </c>
      <c r="G765" s="33" t="inlineStr">
        <is>
          <t>High</t>
        </is>
      </c>
      <c r="H765" s="33" t="inlineStr">
        <is>
          <t>Update</t>
        </is>
      </c>
    </row>
    <row r="766">
      <c r="A766" s="33" t="inlineStr">
        <is>
          <t>2026-05-18</t>
        </is>
      </c>
      <c r="B766" s="33" t="inlineStr">
        <is>
          <t>UEC</t>
        </is>
      </c>
      <c r="C766" s="33" t="inlineStr">
        <is>
          <t>D5</t>
        </is>
      </c>
      <c r="D766" s="33" t="n">
        <v>3</v>
      </c>
      <c r="E766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6" s="68" t="inlineStr">
        <is>
          <t>UEC Q1 FY26: Burke Hollow first US ISR mine in decade + UF6 production + $698M cash no debt + 57%/64% growth forecast (deep research 2026-05-18)</t>
        </is>
      </c>
      <c r="G766" s="33" t="inlineStr">
        <is>
          <t>High</t>
        </is>
      </c>
      <c r="H766" s="33" t="inlineStr">
        <is>
          <t>Update</t>
        </is>
      </c>
    </row>
    <row r="767">
      <c r="A767" s="33" t="inlineStr">
        <is>
          <t>2026-05-18</t>
        </is>
      </c>
      <c r="B767" s="33" t="inlineStr">
        <is>
          <t>UEC</t>
        </is>
      </c>
      <c r="C767" s="33" t="inlineStr">
        <is>
          <t>R1</t>
        </is>
      </c>
      <c r="D767" s="33" t="n">
        <v>4</v>
      </c>
      <c r="E767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7" s="68" t="inlineStr">
        <is>
          <t>UEC Q1 FY26: Burke Hollow first US ISR mine in decade + UF6 production + $698M cash no debt + 57%/64% growth forecast (deep research 2026-05-18)</t>
        </is>
      </c>
      <c r="G767" s="33" t="inlineStr">
        <is>
          <t>High</t>
        </is>
      </c>
      <c r="H767" s="33" t="inlineStr">
        <is>
          <t>Update</t>
        </is>
      </c>
    </row>
    <row r="768">
      <c r="A768" s="33" t="inlineStr">
        <is>
          <t>2026-05-18</t>
        </is>
      </c>
      <c r="B768" s="33" t="inlineStr">
        <is>
          <t>UEC</t>
        </is>
      </c>
      <c r="C768" s="33" t="inlineStr">
        <is>
          <t>R3</t>
        </is>
      </c>
      <c r="D768" s="33" t="n">
        <v>5</v>
      </c>
      <c r="E768" s="68" t="inlineStr">
        <is>
          <t>UPDATED from 4 → 5 after per-name /refresh-context research. UEC Q1 FY26: Burke Hollow first US ISR mine in decade + UF6 production + $698M cash no debt + 57%/64% growth forecast (deep research 2026-05-18)</t>
        </is>
      </c>
      <c r="F768" s="68" t="inlineStr">
        <is>
          <t>UEC Q1 FY26: Burke Hollow first US ISR mine in decade + UF6 production + $698M cash no debt + 57%/64% growth forecast (deep research 2026-05-18)</t>
        </is>
      </c>
      <c r="G768" s="33" t="inlineStr">
        <is>
          <t>High</t>
        </is>
      </c>
      <c r="H768" s="33" t="inlineStr">
        <is>
          <t>Update</t>
        </is>
      </c>
    </row>
    <row r="769">
      <c r="A769" s="33" t="inlineStr">
        <is>
          <t>2026-05-18</t>
        </is>
      </c>
      <c r="B769" s="33" t="inlineStr">
        <is>
          <t>LEU</t>
        </is>
      </c>
      <c r="C769" s="33" t="inlineStr">
        <is>
          <t>D1</t>
        </is>
      </c>
      <c r="D769" s="33" t="n">
        <v>4</v>
      </c>
      <c r="E769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69" s="68" t="inlineStr">
        <is>
          <t>Centrus Q1 FY26: DOE $900M task order + $2.3B LEU backlog + only public American HALEU + Meta Natrium + NuScale TVA 6 GW (deep research 2026-05-18)</t>
        </is>
      </c>
      <c r="G769" s="33" t="inlineStr">
        <is>
          <t>High</t>
        </is>
      </c>
      <c r="H769" s="33" t="inlineStr">
        <is>
          <t>Update</t>
        </is>
      </c>
    </row>
    <row r="770">
      <c r="A770" s="33" t="inlineStr">
        <is>
          <t>2026-05-18</t>
        </is>
      </c>
      <c r="B770" s="33" t="inlineStr">
        <is>
          <t>LEU</t>
        </is>
      </c>
      <c r="C770" s="33" t="inlineStr">
        <is>
          <t>D4</t>
        </is>
      </c>
      <c r="D770" s="33" t="n">
        <v>5</v>
      </c>
      <c r="E770" s="68" t="inlineStr">
        <is>
          <t>UPDATED from 4 → 5 after per-name /refresh-context research. Centrus Q1 FY26: DOE $900M task order + $2.3B LEU backlog + only public American HALEU + Meta Natrium + NuScale TVA 6 GW (deep research 2026-05-18)</t>
        </is>
      </c>
      <c r="F770" s="68" t="inlineStr">
        <is>
          <t>Centrus Q1 FY26: DOE $900M task order + $2.3B LEU backlog + only public American HALEU + Meta Natrium + NuScale TVA 6 GW (deep research 2026-05-18)</t>
        </is>
      </c>
      <c r="G770" s="33" t="inlineStr">
        <is>
          <t>High</t>
        </is>
      </c>
      <c r="H770" s="33" t="inlineStr">
        <is>
          <t>Update</t>
        </is>
      </c>
    </row>
    <row r="771">
      <c r="A771" s="33" t="inlineStr">
        <is>
          <t>2026-05-18</t>
        </is>
      </c>
      <c r="B771" s="33" t="inlineStr">
        <is>
          <t>LEU</t>
        </is>
      </c>
      <c r="C771" s="33" t="inlineStr">
        <is>
          <t>D5</t>
        </is>
      </c>
      <c r="D771" s="33" t="n">
        <v>4</v>
      </c>
      <c r="E771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1" s="68" t="inlineStr">
        <is>
          <t>Centrus Q1 FY26: DOE $900M task order + $2.3B LEU backlog + only public American HALEU + Meta Natrium + NuScale TVA 6 GW (deep research 2026-05-18)</t>
        </is>
      </c>
      <c r="G771" s="33" t="inlineStr">
        <is>
          <t>High</t>
        </is>
      </c>
      <c r="H771" s="33" t="inlineStr">
        <is>
          <t>Update</t>
        </is>
      </c>
    </row>
    <row r="772">
      <c r="A772" s="33" t="inlineStr">
        <is>
          <t>2026-05-18</t>
        </is>
      </c>
      <c r="B772" s="33" t="inlineStr">
        <is>
          <t>LEU</t>
        </is>
      </c>
      <c r="C772" s="33" t="inlineStr">
        <is>
          <t>R1</t>
        </is>
      </c>
      <c r="D772" s="33" t="n">
        <v>4</v>
      </c>
      <c r="E772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2" s="68" t="inlineStr">
        <is>
          <t>Centrus Q1 FY26: DOE $900M task order + $2.3B LEU backlog + only public American HALEU + Meta Natrium + NuScale TVA 6 GW (deep research 2026-05-18)</t>
        </is>
      </c>
      <c r="G772" s="33" t="inlineStr">
        <is>
          <t>High</t>
        </is>
      </c>
      <c r="H772" s="33" t="inlineStr">
        <is>
          <t>Update</t>
        </is>
      </c>
    </row>
    <row r="773">
      <c r="A773" s="33" t="inlineStr">
        <is>
          <t>2026-05-18</t>
        </is>
      </c>
      <c r="B773" s="33" t="inlineStr">
        <is>
          <t>LEU</t>
        </is>
      </c>
      <c r="C773" s="33" t="inlineStr">
        <is>
          <t>R3</t>
        </is>
      </c>
      <c r="D773" s="33" t="n">
        <v>4</v>
      </c>
      <c r="E773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3" s="68" t="inlineStr">
        <is>
          <t>Centrus Q1 FY26: DOE $900M task order + $2.3B LEU backlog + only public American HALEU + Meta Natrium + NuScale TVA 6 GW (deep research 2026-05-18)</t>
        </is>
      </c>
      <c r="G773" s="33" t="inlineStr">
        <is>
          <t>High</t>
        </is>
      </c>
      <c r="H773" s="33" t="inlineStr">
        <is>
          <t>Update</t>
        </is>
      </c>
    </row>
    <row r="774">
      <c r="A774" s="33" t="inlineStr">
        <is>
          <t>2026-05-18</t>
        </is>
      </c>
      <c r="B774" s="33" t="inlineStr">
        <is>
          <t>BWXT</t>
        </is>
      </c>
      <c r="C774" s="33" t="inlineStr">
        <is>
          <t>D1</t>
        </is>
      </c>
      <c r="D774" s="33" t="n">
        <v>3</v>
      </c>
      <c r="E774" s="68" t="inlineStr">
        <is>
          <t>UPDATED from 2 → 3 after per-name /refresh-context research. BWXT Q1 2026: $7.3B backlog +50% YoY + US-Japan $40B SMR + only large reactor mfg in NA + BANR 75 MW for AI DCs (deep research 2026-05-18)</t>
        </is>
      </c>
      <c r="F774" s="68" t="inlineStr">
        <is>
          <t>BWXT Q1 2026: $7.3B backlog +50% YoY + US-Japan $40B SMR + only large reactor mfg in NA + BANR 75 MW for AI DCs (deep research 2026-05-18)</t>
        </is>
      </c>
      <c r="G774" s="33" t="inlineStr">
        <is>
          <t>High</t>
        </is>
      </c>
      <c r="H774" s="33" t="inlineStr">
        <is>
          <t>Update</t>
        </is>
      </c>
    </row>
    <row r="775">
      <c r="A775" s="33" t="inlineStr">
        <is>
          <t>2026-05-18</t>
        </is>
      </c>
      <c r="B775" s="33" t="inlineStr">
        <is>
          <t>BWXT</t>
        </is>
      </c>
      <c r="C775" s="33" t="inlineStr">
        <is>
          <t>D2</t>
        </is>
      </c>
      <c r="D775" s="33" t="n">
        <v>5</v>
      </c>
      <c r="E775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5" s="68" t="inlineStr">
        <is>
          <t>BWXT Q1 2026: $7.3B backlog +50% YoY + US-Japan $40B SMR + only large reactor mfg in NA + BANR 75 MW for AI DCs (deep research 2026-05-18)</t>
        </is>
      </c>
      <c r="G775" s="33" t="inlineStr">
        <is>
          <t>High</t>
        </is>
      </c>
      <c r="H775" s="33" t="inlineStr">
        <is>
          <t>Update</t>
        </is>
      </c>
    </row>
    <row r="776">
      <c r="A776" s="33" t="inlineStr">
        <is>
          <t>2026-05-18</t>
        </is>
      </c>
      <c r="B776" s="33" t="inlineStr">
        <is>
          <t>BWXT</t>
        </is>
      </c>
      <c r="C776" s="33" t="inlineStr">
        <is>
          <t>D3</t>
        </is>
      </c>
      <c r="D776" s="33" t="n">
        <v>5</v>
      </c>
      <c r="E776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6" s="68" t="inlineStr">
        <is>
          <t>BWXT Q1 2026: $7.3B backlog +50% YoY + US-Japan $40B SMR + only large reactor mfg in NA + BANR 75 MW for AI DCs (deep research 2026-05-18)</t>
        </is>
      </c>
      <c r="G776" s="33" t="inlineStr">
        <is>
          <t>High</t>
        </is>
      </c>
      <c r="H776" s="33" t="inlineStr">
        <is>
          <t>Update</t>
        </is>
      </c>
    </row>
    <row r="777">
      <c r="A777" s="33" t="inlineStr">
        <is>
          <t>2026-05-18</t>
        </is>
      </c>
      <c r="B777" s="33" t="inlineStr">
        <is>
          <t>BWXT</t>
        </is>
      </c>
      <c r="C777" s="33" t="inlineStr">
        <is>
          <t>D4</t>
        </is>
      </c>
      <c r="D777" s="33" t="n">
        <v>5</v>
      </c>
      <c r="E777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7" s="68" t="inlineStr">
        <is>
          <t>BWXT Q1 2026: $7.3B backlog +50% YoY + US-Japan $40B SMR + only large reactor mfg in NA + BANR 75 MW for AI DCs (deep research 2026-05-18)</t>
        </is>
      </c>
      <c r="G777" s="33" t="inlineStr">
        <is>
          <t>High</t>
        </is>
      </c>
      <c r="H777" s="33" t="inlineStr">
        <is>
          <t>Update</t>
        </is>
      </c>
    </row>
    <row r="778">
      <c r="A778" s="33" t="inlineStr">
        <is>
          <t>2026-05-18</t>
        </is>
      </c>
      <c r="B778" s="33" t="inlineStr">
        <is>
          <t>BWXT</t>
        </is>
      </c>
      <c r="C778" s="33" t="inlineStr">
        <is>
          <t>D5</t>
        </is>
      </c>
      <c r="D778" s="33" t="n">
        <v>4</v>
      </c>
      <c r="E778" s="68" t="inlineStr">
        <is>
          <t>UPDATED from 2 → 4 after per-name /refresh-context research. BWXT Q1 2026: $7.3B backlog +50% YoY + US-Japan $40B SMR + only large reactor mfg in NA + BANR 75 MW for AI DCs (deep research 2026-05-18)</t>
        </is>
      </c>
      <c r="F778" s="68" t="inlineStr">
        <is>
          <t>BWXT Q1 2026: $7.3B backlog +50% YoY + US-Japan $40B SMR + only large reactor mfg in NA + BANR 75 MW for AI DCs (deep research 2026-05-18)</t>
        </is>
      </c>
      <c r="G778" s="33" t="inlineStr">
        <is>
          <t>High</t>
        </is>
      </c>
      <c r="H778" s="33" t="inlineStr">
        <is>
          <t>Update</t>
        </is>
      </c>
    </row>
    <row r="779">
      <c r="A779" s="33" t="inlineStr">
        <is>
          <t>2026-05-18</t>
        </is>
      </c>
      <c r="B779" s="33" t="inlineStr">
        <is>
          <t>SMR</t>
        </is>
      </c>
      <c r="C779" s="33" t="inlineStr">
        <is>
          <t>D1</t>
        </is>
      </c>
      <c r="D779" s="33" t="n">
        <v>4</v>
      </c>
      <c r="E779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79" s="68" t="inlineStr">
        <is>
          <t>NuScale Q1 2026: TVA 6 GW + Romania RoPower + Standard Power 24 modules / 1,848 MWe for Ohio+PA AI DCs (deep research 2026-05-18)</t>
        </is>
      </c>
      <c r="G779" s="33" t="inlineStr">
        <is>
          <t>High</t>
        </is>
      </c>
      <c r="H779" s="33" t="inlineStr">
        <is>
          <t>Update</t>
        </is>
      </c>
    </row>
    <row r="780">
      <c r="A780" s="33" t="inlineStr">
        <is>
          <t>2026-05-18</t>
        </is>
      </c>
      <c r="B780" s="33" t="inlineStr">
        <is>
          <t>SMR</t>
        </is>
      </c>
      <c r="C780" s="33" t="inlineStr">
        <is>
          <t>D2</t>
        </is>
      </c>
      <c r="D780" s="33" t="n">
        <v>3</v>
      </c>
      <c r="E780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0" s="68" t="inlineStr">
        <is>
          <t>NuScale Q1 2026: TVA 6 GW + Romania RoPower + Standard Power 24 modules / 1,848 MWe for Ohio+PA AI DCs (deep research 2026-05-18)</t>
        </is>
      </c>
      <c r="G780" s="33" t="inlineStr">
        <is>
          <t>High</t>
        </is>
      </c>
      <c r="H780" s="33" t="inlineStr">
        <is>
          <t>Update</t>
        </is>
      </c>
    </row>
    <row r="781">
      <c r="A781" s="33" t="inlineStr">
        <is>
          <t>2026-05-18</t>
        </is>
      </c>
      <c r="B781" s="33" t="inlineStr">
        <is>
          <t>SMR</t>
        </is>
      </c>
      <c r="C781" s="33" t="inlineStr">
        <is>
          <t>D3</t>
        </is>
      </c>
      <c r="D781" s="33" t="n">
        <v>3</v>
      </c>
      <c r="E781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1" s="68" t="inlineStr">
        <is>
          <t>NuScale Q1 2026: TVA 6 GW + Romania RoPower + Standard Power 24 modules / 1,848 MWe for Ohio+PA AI DCs (deep research 2026-05-18)</t>
        </is>
      </c>
      <c r="G781" s="33" t="inlineStr">
        <is>
          <t>High</t>
        </is>
      </c>
      <c r="H781" s="33" t="inlineStr">
        <is>
          <t>Update</t>
        </is>
      </c>
    </row>
    <row r="782">
      <c r="A782" s="33" t="inlineStr">
        <is>
          <t>2026-05-18</t>
        </is>
      </c>
      <c r="B782" s="33" t="inlineStr">
        <is>
          <t>SMR</t>
        </is>
      </c>
      <c r="C782" s="33" t="inlineStr">
        <is>
          <t>D4</t>
        </is>
      </c>
      <c r="D782" s="33" t="n">
        <v>4</v>
      </c>
      <c r="E782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2" s="68" t="inlineStr">
        <is>
          <t>NuScale Q1 2026: TVA 6 GW + Romania RoPower + Standard Power 24 modules / 1,848 MWe for Ohio+PA AI DCs (deep research 2026-05-18)</t>
        </is>
      </c>
      <c r="G782" s="33" t="inlineStr">
        <is>
          <t>High</t>
        </is>
      </c>
      <c r="H782" s="33" t="inlineStr">
        <is>
          <t>Update</t>
        </is>
      </c>
    </row>
    <row r="783">
      <c r="A783" s="33" t="inlineStr">
        <is>
          <t>2026-05-18</t>
        </is>
      </c>
      <c r="B783" s="33" t="inlineStr">
        <is>
          <t>SMR</t>
        </is>
      </c>
      <c r="C783" s="33" t="inlineStr">
        <is>
          <t>D5</t>
        </is>
      </c>
      <c r="D783" s="33" t="n">
        <v>4</v>
      </c>
      <c r="E783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3" s="68" t="inlineStr">
        <is>
          <t>NuScale Q1 2026: TVA 6 GW + Romania RoPower + Standard Power 24 modules / 1,848 MWe for Ohio+PA AI DCs (deep research 2026-05-18)</t>
        </is>
      </c>
      <c r="G783" s="33" t="inlineStr">
        <is>
          <t>High</t>
        </is>
      </c>
      <c r="H783" s="33" t="inlineStr">
        <is>
          <t>Update</t>
        </is>
      </c>
    </row>
    <row r="784">
      <c r="A784" s="33" t="inlineStr">
        <is>
          <t>2026-05-18</t>
        </is>
      </c>
      <c r="B784" s="33" t="inlineStr">
        <is>
          <t>OKLO</t>
        </is>
      </c>
      <c r="C784" s="33" t="inlineStr">
        <is>
          <t>D1</t>
        </is>
      </c>
      <c r="D784" s="33" t="n">
        <v>5</v>
      </c>
      <c r="E784" s="68" t="inlineStr">
        <is>
          <t>UPDATED from 3 → 5 after per-name /refresh-context research. Oklo: Switch 12 GW agreement + 14 GW pipeline + 75 MW Aurora design + Idaho INL 2027 (deep research 2026-05-18)</t>
        </is>
      </c>
      <c r="F784" s="68" t="inlineStr">
        <is>
          <t>Oklo: Switch 12 GW agreement + 14 GW pipeline + 75 MW Aurora design + Idaho INL 2027 (deep research 2026-05-18)</t>
        </is>
      </c>
      <c r="G784" s="33" t="inlineStr">
        <is>
          <t>High</t>
        </is>
      </c>
      <c r="H784" s="33" t="inlineStr">
        <is>
          <t>Update</t>
        </is>
      </c>
    </row>
    <row r="785">
      <c r="A785" s="33" t="inlineStr">
        <is>
          <t>2026-05-18</t>
        </is>
      </c>
      <c r="B785" s="33" t="inlineStr">
        <is>
          <t>OKLO</t>
        </is>
      </c>
      <c r="C785" s="33" t="inlineStr">
        <is>
          <t>D2</t>
        </is>
      </c>
      <c r="D785" s="33" t="n">
        <v>3</v>
      </c>
      <c r="E785" s="68" t="inlineStr">
        <is>
          <t>UPDATED from 2 → 3 after per-name /refresh-context research. Oklo: Switch 12 GW agreement + 14 GW pipeline + 75 MW Aurora design + Idaho INL 2027 (deep research 2026-05-18)</t>
        </is>
      </c>
      <c r="F785" s="68" t="inlineStr">
        <is>
          <t>Oklo: Switch 12 GW agreement + 14 GW pipeline + 75 MW Aurora design + Idaho INL 2027 (deep research 2026-05-18)</t>
        </is>
      </c>
      <c r="G785" s="33" t="inlineStr">
        <is>
          <t>High</t>
        </is>
      </c>
      <c r="H785" s="33" t="inlineStr">
        <is>
          <t>Update</t>
        </is>
      </c>
    </row>
    <row r="786">
      <c r="A786" s="33" t="inlineStr">
        <is>
          <t>2026-05-18</t>
        </is>
      </c>
      <c r="B786" s="33" t="inlineStr">
        <is>
          <t>OKLO</t>
        </is>
      </c>
      <c r="C786" s="33" t="inlineStr">
        <is>
          <t>D3</t>
        </is>
      </c>
      <c r="D786" s="33" t="n">
        <v>3</v>
      </c>
      <c r="E786" s="68" t="inlineStr">
        <is>
          <t>UPDATED from 2 → 3 after per-name /refresh-context research. Oklo: Switch 12 GW agreement + 14 GW pipeline + 75 MW Aurora design + Idaho INL 2027 (deep research 2026-05-18)</t>
        </is>
      </c>
      <c r="F786" s="68" t="inlineStr">
        <is>
          <t>Oklo: Switch 12 GW agreement + 14 GW pipeline + 75 MW Aurora design + Idaho INL 2027 (deep research 2026-05-18)</t>
        </is>
      </c>
      <c r="G786" s="33" t="inlineStr">
        <is>
          <t>High</t>
        </is>
      </c>
      <c r="H786" s="33" t="inlineStr">
        <is>
          <t>Update</t>
        </is>
      </c>
    </row>
    <row r="787">
      <c r="A787" s="33" t="inlineStr">
        <is>
          <t>2026-05-18</t>
        </is>
      </c>
      <c r="B787" s="33" t="inlineStr">
        <is>
          <t>OKLO</t>
        </is>
      </c>
      <c r="C787" s="33" t="inlineStr">
        <is>
          <t>D4</t>
        </is>
      </c>
      <c r="D787" s="33" t="n">
        <v>5</v>
      </c>
      <c r="E787" s="68" t="inlineStr">
        <is>
          <t>UPDATED from 3 → 5 after per-name /refresh-context research. Oklo: Switch 12 GW agreement + 14 GW pipeline + 75 MW Aurora design + Idaho INL 2027 (deep research 2026-05-18)</t>
        </is>
      </c>
      <c r="F787" s="68" t="inlineStr">
        <is>
          <t>Oklo: Switch 12 GW agreement + 14 GW pipeline + 75 MW Aurora design + Idaho INL 2027 (deep research 2026-05-18)</t>
        </is>
      </c>
      <c r="G787" s="33" t="inlineStr">
        <is>
          <t>High</t>
        </is>
      </c>
      <c r="H787" s="33" t="inlineStr">
        <is>
          <t>Update</t>
        </is>
      </c>
    </row>
    <row r="788">
      <c r="A788" s="33" t="inlineStr">
        <is>
          <t>2026-05-18</t>
        </is>
      </c>
      <c r="B788" s="33" t="inlineStr">
        <is>
          <t>OKLO</t>
        </is>
      </c>
      <c r="C788" s="33" t="inlineStr">
        <is>
          <t>D5</t>
        </is>
      </c>
      <c r="D788" s="33" t="n">
        <v>5</v>
      </c>
      <c r="E788" s="68" t="inlineStr">
        <is>
          <t>UPDATED from 4 → 5 after per-name /refresh-context research. Oklo: Switch 12 GW agreement + 14 GW pipeline + 75 MW Aurora design + Idaho INL 2027 (deep research 2026-05-18)</t>
        </is>
      </c>
      <c r="F788" s="68" t="inlineStr">
        <is>
          <t>Oklo: Switch 12 GW agreement + 14 GW pipeline + 75 MW Aurora design + Idaho INL 2027 (deep research 2026-05-18)</t>
        </is>
      </c>
      <c r="G788" s="33" t="inlineStr">
        <is>
          <t>High</t>
        </is>
      </c>
      <c r="H788" s="33" t="inlineStr">
        <is>
          <t>Update</t>
        </is>
      </c>
    </row>
    <row r="789">
      <c r="A789" s="33" t="inlineStr">
        <is>
          <t>2026-05-18</t>
        </is>
      </c>
      <c r="B789" s="33" t="inlineStr">
        <is>
          <t>NNE</t>
        </is>
      </c>
      <c r="C789" s="33" t="inlineStr">
        <is>
          <t>D1</t>
        </is>
      </c>
      <c r="D789" s="33" t="n">
        <v>4</v>
      </c>
      <c r="E789" s="68" t="inlineStr">
        <is>
          <t>UPDATED from 3 → 4 after per-name /refresh-context research. NANO Nuclear: Supermicro MOU May 2026 for on-site AI DC microreactor power + KRONOS 15 MW (deep research 2026-05-18)</t>
        </is>
      </c>
      <c r="F789" s="68" t="inlineStr">
        <is>
          <t>NANO Nuclear: Supermicro MOU May 2026 for on-site AI DC microreactor power + KRONOS 15 MW (deep research 2026-05-18)</t>
        </is>
      </c>
      <c r="G789" s="33" t="inlineStr">
        <is>
          <t>High</t>
        </is>
      </c>
      <c r="H789" s="33" t="inlineStr">
        <is>
          <t>Update</t>
        </is>
      </c>
    </row>
    <row r="790">
      <c r="A790" s="33" t="inlineStr">
        <is>
          <t>2026-05-18</t>
        </is>
      </c>
      <c r="B790" s="33" t="inlineStr">
        <is>
          <t>NNE</t>
        </is>
      </c>
      <c r="C790" s="33" t="inlineStr">
        <is>
          <t>D2</t>
        </is>
      </c>
      <c r="D790" s="33" t="n">
        <v>3</v>
      </c>
      <c r="E790" s="68" t="inlineStr">
        <is>
          <t>UPDATED from 2 → 3 after per-name /refresh-context research. NANO Nuclear: Supermicro MOU May 2026 for on-site AI DC microreactor power + KRONOS 15 MW (deep research 2026-05-18)</t>
        </is>
      </c>
      <c r="F790" s="68" t="inlineStr">
        <is>
          <t>NANO Nuclear: Supermicro MOU May 2026 for on-site AI DC microreactor power + KRONOS 15 MW (deep research 2026-05-18)</t>
        </is>
      </c>
      <c r="G790" s="33" t="inlineStr">
        <is>
          <t>High</t>
        </is>
      </c>
      <c r="H790" s="33" t="inlineStr">
        <is>
          <t>Update</t>
        </is>
      </c>
    </row>
    <row r="791">
      <c r="A791" s="33" t="inlineStr">
        <is>
          <t>2026-05-18</t>
        </is>
      </c>
      <c r="B791" s="33" t="inlineStr">
        <is>
          <t>NNE</t>
        </is>
      </c>
      <c r="C791" s="33" t="inlineStr">
        <is>
          <t>D3</t>
        </is>
      </c>
      <c r="D791" s="33" t="n">
        <v>3</v>
      </c>
      <c r="E791" s="68" t="inlineStr">
        <is>
          <t>UPDATED from 2 → 3 after per-name /refresh-context research. NANO Nuclear: Supermicro MOU May 2026 for on-site AI DC microreactor power + KRONOS 15 MW (deep research 2026-05-18)</t>
        </is>
      </c>
      <c r="F791" s="68" t="inlineStr">
        <is>
          <t>NANO Nuclear: Supermicro MOU May 2026 for on-site AI DC microreactor power + KRONOS 15 MW (deep research 2026-05-18)</t>
        </is>
      </c>
      <c r="G791" s="33" t="inlineStr">
        <is>
          <t>High</t>
        </is>
      </c>
      <c r="H791" s="33" t="inlineStr">
        <is>
          <t>Update</t>
        </is>
      </c>
    </row>
    <row r="792">
      <c r="A792" s="33" t="inlineStr">
        <is>
          <t>2026-05-18</t>
        </is>
      </c>
      <c r="B792" s="33" t="inlineStr">
        <is>
          <t>NNE</t>
        </is>
      </c>
      <c r="C792" s="33" t="inlineStr">
        <is>
          <t>D4</t>
        </is>
      </c>
      <c r="D792" s="33" t="n">
        <v>4</v>
      </c>
      <c r="E792" s="68" t="inlineStr">
        <is>
          <t>UPDATED from 3 → 4 after per-name /refresh-context research. NANO Nuclear: Supermicro MOU May 2026 for on-site AI DC microreactor power + KRONOS 15 MW (deep research 2026-05-18)</t>
        </is>
      </c>
      <c r="F792" s="68" t="inlineStr">
        <is>
          <t>NANO Nuclear: Supermicro MOU May 2026 for on-site AI DC microreactor power + KRONOS 15 MW (deep research 2026-05-18)</t>
        </is>
      </c>
      <c r="G792" s="33" t="inlineStr">
        <is>
          <t>High</t>
        </is>
      </c>
      <c r="H792" s="33" t="inlineStr">
        <is>
          <t>Update</t>
        </is>
      </c>
    </row>
    <row r="793">
      <c r="A793" s="33" t="inlineStr">
        <is>
          <t>2026-05-18</t>
        </is>
      </c>
      <c r="B793" s="33" t="inlineStr">
        <is>
          <t>NNE</t>
        </is>
      </c>
      <c r="C793" s="33" t="inlineStr">
        <is>
          <t>D5</t>
        </is>
      </c>
      <c r="D793" s="33" t="n">
        <v>4</v>
      </c>
      <c r="E793" s="68" t="inlineStr">
        <is>
          <t>UPDATED from 3 → 4 after per-name /refresh-context research. NANO Nuclear: Supermicro MOU May 2026 for on-site AI DC microreactor power + KRONOS 15 MW (deep research 2026-05-18)</t>
        </is>
      </c>
      <c r="F793" s="68" t="inlineStr">
        <is>
          <t>NANO Nuclear: Supermicro MOU May 2026 for on-site AI DC microreactor power + KRONOS 15 MW (deep research 2026-05-18)</t>
        </is>
      </c>
      <c r="G793" s="33" t="inlineStr">
        <is>
          <t>High</t>
        </is>
      </c>
      <c r="H793" s="33" t="inlineStr">
        <is>
          <t>Update</t>
        </is>
      </c>
    </row>
    <row r="794">
      <c r="A794" s="33" t="inlineStr">
        <is>
          <t>2026-05-18</t>
        </is>
      </c>
      <c r="B794" s="33" t="inlineStr">
        <is>
          <t>EQT</t>
        </is>
      </c>
      <c r="C794" s="33" t="inlineStr">
        <is>
          <t>D1</t>
        </is>
      </c>
      <c r="D794" s="33" t="n">
        <v>5</v>
      </c>
      <c r="E794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4" s="68" t="inlineStr">
        <is>
          <t>EQT: Homer City 4.4 GW exclusive partner + Shippingport 2.7 GW + IEA leading integrated supplier for AI gas power (deep research 2026-05-18)</t>
        </is>
      </c>
      <c r="G794" s="33" t="inlineStr">
        <is>
          <t>High</t>
        </is>
      </c>
      <c r="H794" s="33" t="inlineStr">
        <is>
          <t>Update</t>
        </is>
      </c>
    </row>
    <row r="795">
      <c r="A795" s="33" t="inlineStr">
        <is>
          <t>2026-05-18</t>
        </is>
      </c>
      <c r="B795" s="33" t="inlineStr">
        <is>
          <t>EQT</t>
        </is>
      </c>
      <c r="C795" s="33" t="inlineStr">
        <is>
          <t>D2</t>
        </is>
      </c>
      <c r="D795" s="33" t="n">
        <v>5</v>
      </c>
      <c r="E795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5" s="68" t="inlineStr">
        <is>
          <t>EQT: Homer City 4.4 GW exclusive partner + Shippingport 2.7 GW + IEA leading integrated supplier for AI gas power (deep research 2026-05-18)</t>
        </is>
      </c>
      <c r="G795" s="33" t="inlineStr">
        <is>
          <t>High</t>
        </is>
      </c>
      <c r="H795" s="33" t="inlineStr">
        <is>
          <t>Update</t>
        </is>
      </c>
    </row>
    <row r="796">
      <c r="A796" s="33" t="inlineStr">
        <is>
          <t>2026-05-18</t>
        </is>
      </c>
      <c r="B796" s="33" t="inlineStr">
        <is>
          <t>EQT</t>
        </is>
      </c>
      <c r="C796" s="33" t="inlineStr">
        <is>
          <t>D4</t>
        </is>
      </c>
      <c r="D796" s="33" t="n">
        <v>5</v>
      </c>
      <c r="E796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6" s="68" t="inlineStr">
        <is>
          <t>EQT: Homer City 4.4 GW exclusive partner + Shippingport 2.7 GW + IEA leading integrated supplier for AI gas power (deep research 2026-05-18)</t>
        </is>
      </c>
      <c r="G796" s="33" t="inlineStr">
        <is>
          <t>High</t>
        </is>
      </c>
      <c r="H796" s="33" t="inlineStr">
        <is>
          <t>Update</t>
        </is>
      </c>
    </row>
    <row r="797">
      <c r="A797" s="33" t="inlineStr">
        <is>
          <t>2026-05-18</t>
        </is>
      </c>
      <c r="B797" s="33" t="inlineStr">
        <is>
          <t>EQT</t>
        </is>
      </c>
      <c r="C797" s="33" t="inlineStr">
        <is>
          <t>D5</t>
        </is>
      </c>
      <c r="D797" s="33" t="n">
        <v>5</v>
      </c>
      <c r="E797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7" s="68" t="inlineStr">
        <is>
          <t>EQT: Homer City 4.4 GW exclusive partner + Shippingport 2.7 GW + IEA leading integrated supplier for AI gas power (deep research 2026-05-18)</t>
        </is>
      </c>
      <c r="G797" s="33" t="inlineStr">
        <is>
          <t>High</t>
        </is>
      </c>
      <c r="H797" s="33" t="inlineStr">
        <is>
          <t>Update</t>
        </is>
      </c>
    </row>
    <row r="798">
      <c r="A798" s="33" t="inlineStr">
        <is>
          <t>2026-05-18</t>
        </is>
      </c>
      <c r="B798" s="33" t="inlineStr">
        <is>
          <t>RRC</t>
        </is>
      </c>
      <c r="C798" s="33" t="inlineStr">
        <is>
          <t>D1</t>
        </is>
      </c>
      <c r="D798" s="33" t="n">
        <v>4</v>
      </c>
      <c r="E798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8" s="68" t="inlineStr">
        <is>
          <t>Range Q1 2026: targeting 4-5 Bcf/d Appalachia AI demand + most remaining gas inventory in Lower 48 + Liberty/Imperial PA alliance (deep research 2026-05-18)</t>
        </is>
      </c>
      <c r="G798" s="33" t="inlineStr">
        <is>
          <t>High</t>
        </is>
      </c>
      <c r="H798" s="33" t="inlineStr">
        <is>
          <t>Update</t>
        </is>
      </c>
    </row>
    <row r="799">
      <c r="A799" s="33" t="inlineStr">
        <is>
          <t>2026-05-18</t>
        </is>
      </c>
      <c r="B799" s="33" t="inlineStr">
        <is>
          <t>RRC</t>
        </is>
      </c>
      <c r="C799" s="33" t="inlineStr">
        <is>
          <t>D2</t>
        </is>
      </c>
      <c r="D799" s="33" t="n">
        <v>4</v>
      </c>
      <c r="E799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9" s="68" t="inlineStr">
        <is>
          <t>Range Q1 2026: targeting 4-5 Bcf/d Appalachia AI demand + most remaining gas inventory in Lower 48 + Liberty/Imperial PA alliance (deep research 2026-05-18)</t>
        </is>
      </c>
      <c r="G799" s="33" t="inlineStr">
        <is>
          <t>High</t>
        </is>
      </c>
      <c r="H799" s="33" t="inlineStr">
        <is>
          <t>Update</t>
        </is>
      </c>
    </row>
    <row r="800">
      <c r="A800" s="33" t="inlineStr">
        <is>
          <t>2026-05-18</t>
        </is>
      </c>
      <c r="B800" s="33" t="inlineStr">
        <is>
          <t>RRC</t>
        </is>
      </c>
      <c r="C800" s="33" t="inlineStr">
        <is>
          <t>D3</t>
        </is>
      </c>
      <c r="D800" s="33" t="n">
        <v>4</v>
      </c>
      <c r="E800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0" s="68" t="inlineStr">
        <is>
          <t>Range Q1 2026: targeting 4-5 Bcf/d Appalachia AI demand + most remaining gas inventory in Lower 48 + Liberty/Imperial PA alliance (deep research 2026-05-18)</t>
        </is>
      </c>
      <c r="G800" s="33" t="inlineStr">
        <is>
          <t>High</t>
        </is>
      </c>
      <c r="H800" s="33" t="inlineStr">
        <is>
          <t>Update</t>
        </is>
      </c>
    </row>
    <row r="801">
      <c r="A801" s="33" t="inlineStr">
        <is>
          <t>2026-05-18</t>
        </is>
      </c>
      <c r="B801" s="33" t="inlineStr">
        <is>
          <t>RRC</t>
        </is>
      </c>
      <c r="C801" s="33" t="inlineStr">
        <is>
          <t>D5</t>
        </is>
      </c>
      <c r="D801" s="33" t="n">
        <v>4</v>
      </c>
      <c r="E801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1" s="68" t="inlineStr">
        <is>
          <t>Range Q1 2026: targeting 4-5 Bcf/d Appalachia AI demand + most remaining gas inventory in Lower 48 + Liberty/Imperial PA alliance (deep research 2026-05-18)</t>
        </is>
      </c>
      <c r="G801" s="33" t="inlineStr">
        <is>
          <t>High</t>
        </is>
      </c>
      <c r="H801" s="33" t="inlineStr">
        <is>
          <t>Update</t>
        </is>
      </c>
    </row>
    <row r="802">
      <c r="A802" s="33" t="inlineStr">
        <is>
          <t>2026-05-18</t>
        </is>
      </c>
      <c r="B802" s="33" t="inlineStr">
        <is>
          <t>AR</t>
        </is>
      </c>
      <c r="C802" s="33" t="inlineStr">
        <is>
          <t>D1</t>
        </is>
      </c>
      <c r="D802" s="33" t="n">
        <v>4</v>
      </c>
      <c r="E802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2" s="68" t="inlineStr">
        <is>
          <t>Antero Q1 2026: highest LNG exposure (2.3 Bcf/d) + 25 projects/44 GW Appalachia + Microsoft Monarch 8 GW WV (deep research 2026-05-18)</t>
        </is>
      </c>
      <c r="G802" s="33" t="inlineStr">
        <is>
          <t>High</t>
        </is>
      </c>
      <c r="H802" s="33" t="inlineStr">
        <is>
          <t>Update</t>
        </is>
      </c>
    </row>
    <row r="803">
      <c r="A803" s="33" t="inlineStr">
        <is>
          <t>2026-05-18</t>
        </is>
      </c>
      <c r="B803" s="33" t="inlineStr">
        <is>
          <t>AR</t>
        </is>
      </c>
      <c r="C803" s="33" t="inlineStr">
        <is>
          <t>D2</t>
        </is>
      </c>
      <c r="D803" s="33" t="n">
        <v>4</v>
      </c>
      <c r="E803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3" s="68" t="inlineStr">
        <is>
          <t>Antero Q1 2026: highest LNG exposure (2.3 Bcf/d) + 25 projects/44 GW Appalachia + Microsoft Monarch 8 GW WV (deep research 2026-05-18)</t>
        </is>
      </c>
      <c r="G803" s="33" t="inlineStr">
        <is>
          <t>High</t>
        </is>
      </c>
      <c r="H803" s="33" t="inlineStr">
        <is>
          <t>Update</t>
        </is>
      </c>
    </row>
    <row r="804">
      <c r="A804" s="33" t="inlineStr">
        <is>
          <t>2026-05-18</t>
        </is>
      </c>
      <c r="B804" s="33" t="inlineStr">
        <is>
          <t>AR</t>
        </is>
      </c>
      <c r="C804" s="33" t="inlineStr">
        <is>
          <t>D3</t>
        </is>
      </c>
      <c r="D804" s="33" t="n">
        <v>4</v>
      </c>
      <c r="E804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4" s="68" t="inlineStr">
        <is>
          <t>Antero Q1 2026: highest LNG exposure (2.3 Bcf/d) + 25 projects/44 GW Appalachia + Microsoft Monarch 8 GW WV (deep research 2026-05-18)</t>
        </is>
      </c>
      <c r="G804" s="33" t="inlineStr">
        <is>
          <t>High</t>
        </is>
      </c>
      <c r="H804" s="33" t="inlineStr">
        <is>
          <t>Update</t>
        </is>
      </c>
    </row>
    <row r="805">
      <c r="A805" s="33" t="inlineStr">
        <is>
          <t>2026-05-18</t>
        </is>
      </c>
      <c r="B805" s="33" t="inlineStr">
        <is>
          <t>AR</t>
        </is>
      </c>
      <c r="C805" s="33" t="inlineStr">
        <is>
          <t>D4</t>
        </is>
      </c>
      <c r="D805" s="33" t="n">
        <v>5</v>
      </c>
      <c r="E805" s="68" t="inlineStr">
        <is>
          <t>UPDATED from 4 → 5 after per-name /refresh-context research. Antero Q1 2026: highest LNG exposure (2.3 Bcf/d) + 25 projects/44 GW Appalachia + Microsoft Monarch 8 GW WV (deep research 2026-05-18)</t>
        </is>
      </c>
      <c r="F805" s="68" t="inlineStr">
        <is>
          <t>Antero Q1 2026: highest LNG exposure (2.3 Bcf/d) + 25 projects/44 GW Appalachia + Microsoft Monarch 8 GW WV (deep research 2026-05-18)</t>
        </is>
      </c>
      <c r="G805" s="33" t="inlineStr">
        <is>
          <t>High</t>
        </is>
      </c>
      <c r="H805" s="33" t="inlineStr">
        <is>
          <t>Update</t>
        </is>
      </c>
    </row>
    <row r="806">
      <c r="A806" s="33" t="inlineStr">
        <is>
          <t>2026-05-18</t>
        </is>
      </c>
      <c r="B806" s="33" t="inlineStr">
        <is>
          <t>AR</t>
        </is>
      </c>
      <c r="C806" s="33" t="inlineStr">
        <is>
          <t>D5</t>
        </is>
      </c>
      <c r="D806" s="33" t="n">
        <v>4</v>
      </c>
      <c r="E806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6" s="68" t="inlineStr">
        <is>
          <t>Antero Q1 2026: highest LNG exposure (2.3 Bcf/d) + 25 projects/44 GW Appalachia + Microsoft Monarch 8 GW WV (deep research 2026-05-18)</t>
        </is>
      </c>
      <c r="G806" s="33" t="inlineStr">
        <is>
          <t>High</t>
        </is>
      </c>
      <c r="H806" s="33" t="inlineStr">
        <is>
          <t>Update</t>
        </is>
      </c>
    </row>
    <row r="807">
      <c r="A807" s="33" t="inlineStr">
        <is>
          <t>2026-05-18</t>
        </is>
      </c>
      <c r="B807" s="33" t="inlineStr">
        <is>
          <t>CTRA</t>
        </is>
      </c>
      <c r="C807" s="33" t="inlineStr">
        <is>
          <t>D1</t>
        </is>
      </c>
      <c r="D807" s="33" t="n">
        <v>4</v>
      </c>
      <c r="E807" s="68" t="inlineStr">
        <is>
          <t>UPDATED from 3 → 4 after per-name /refresh-context research. Coterra: $58B Devon merger close Q2 2026 + 4.3 Bcf/d pro forma + planned direct hyperscaler MSFT/META/GOOGL gas contracts (deep research 2026-05-18)</t>
        </is>
      </c>
      <c r="F807" s="68" t="inlineStr">
        <is>
          <t>Coterra: $58B Devon merger close Q2 2026 + 4.3 Bcf/d pro forma + planned direct hyperscaler MSFT/META/GOOGL gas contracts (deep research 2026-05-18)</t>
        </is>
      </c>
      <c r="G807" s="33" t="inlineStr">
        <is>
          <t>High</t>
        </is>
      </c>
      <c r="H807" s="33" t="inlineStr">
        <is>
          <t>Update</t>
        </is>
      </c>
    </row>
    <row r="808">
      <c r="A808" s="33" t="inlineStr">
        <is>
          <t>2026-05-18</t>
        </is>
      </c>
      <c r="B808" s="33" t="inlineStr">
        <is>
          <t>CTRA</t>
        </is>
      </c>
      <c r="C808" s="33" t="inlineStr">
        <is>
          <t>D2</t>
        </is>
      </c>
      <c r="D808" s="33" t="n">
        <v>5</v>
      </c>
      <c r="E808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8" s="68" t="inlineStr">
        <is>
          <t>Coterra: $58B Devon merger close Q2 2026 + 4.3 Bcf/d pro forma + planned direct hyperscaler MSFT/META/GOOGL gas contracts (deep research 2026-05-18)</t>
        </is>
      </c>
      <c r="G808" s="33" t="inlineStr">
        <is>
          <t>High</t>
        </is>
      </c>
      <c r="H808" s="33" t="inlineStr">
        <is>
          <t>Update</t>
        </is>
      </c>
    </row>
    <row r="809">
      <c r="A809" s="33" t="inlineStr">
        <is>
          <t>2026-05-18</t>
        </is>
      </c>
      <c r="B809" s="33" t="inlineStr">
        <is>
          <t>CTRA</t>
        </is>
      </c>
      <c r="C809" s="33" t="inlineStr">
        <is>
          <t>D3</t>
        </is>
      </c>
      <c r="D809" s="33" t="n">
        <v>5</v>
      </c>
      <c r="E809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9" s="68" t="inlineStr">
        <is>
          <t>Coterra: $58B Devon merger close Q2 2026 + 4.3 Bcf/d pro forma + planned direct hyperscaler MSFT/META/GOOGL gas contracts (deep research 2026-05-18)</t>
        </is>
      </c>
      <c r="G809" s="33" t="inlineStr">
        <is>
          <t>High</t>
        </is>
      </c>
      <c r="H809" s="33" t="inlineStr">
        <is>
          <t>Update</t>
        </is>
      </c>
    </row>
    <row r="810">
      <c r="A810" s="33" t="inlineStr">
        <is>
          <t>2026-05-18</t>
        </is>
      </c>
      <c r="B810" s="33" t="inlineStr">
        <is>
          <t>CTRA</t>
        </is>
      </c>
      <c r="C810" s="33" t="inlineStr">
        <is>
          <t>D5</t>
        </is>
      </c>
      <c r="D810" s="33" t="n">
        <v>5</v>
      </c>
      <c r="E810" s="68" t="inlineStr">
        <is>
          <t>UPDATED from 3 → 5 after per-name /refresh-context research. Coterra: $58B Devon merger close Q2 2026 + 4.3 Bcf/d pro forma + planned direct hyperscaler MSFT/META/GOOGL gas contracts (deep research 2026-05-18)</t>
        </is>
      </c>
      <c r="F810" s="68" t="inlineStr">
        <is>
          <t>Coterra: $58B Devon merger close Q2 2026 + 4.3 Bcf/d pro forma + planned direct hyperscaler MSFT/META/GOOGL gas contracts (deep research 2026-05-18)</t>
        </is>
      </c>
      <c r="G810" s="33" t="inlineStr">
        <is>
          <t>High</t>
        </is>
      </c>
      <c r="H810" s="33" t="inlineStr">
        <is>
          <t>Update</t>
        </is>
      </c>
    </row>
    <row r="811">
      <c r="A811" s="33" t="inlineStr">
        <is>
          <t>2026-05-18</t>
        </is>
      </c>
      <c r="B811" s="33" t="inlineStr">
        <is>
          <t>EXE</t>
        </is>
      </c>
      <c r="C811" s="33" t="inlineStr">
        <is>
          <t>D1</t>
        </is>
      </c>
      <c r="D811" s="33" t="n">
        <v>4</v>
      </c>
      <c r="E811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1" s="68" t="inlineStr">
        <is>
          <t>Expand Energy Q1 2026: 4-6 Bcf/d Appalachia AI demand + Haynesville 72% lowest breakeven + 62.9% EPS growth forecast (deep research 2026-05-18)</t>
        </is>
      </c>
      <c r="G811" s="33" t="inlineStr">
        <is>
          <t>High</t>
        </is>
      </c>
      <c r="H811" s="33" t="inlineStr">
        <is>
          <t>Update</t>
        </is>
      </c>
    </row>
    <row r="812">
      <c r="A812" s="33" t="inlineStr">
        <is>
          <t>2026-05-18</t>
        </is>
      </c>
      <c r="B812" s="33" t="inlineStr">
        <is>
          <t>EXE</t>
        </is>
      </c>
      <c r="C812" s="33" t="inlineStr">
        <is>
          <t>D2</t>
        </is>
      </c>
      <c r="D812" s="33" t="n">
        <v>4</v>
      </c>
      <c r="E812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2" s="68" t="inlineStr">
        <is>
          <t>Expand Energy Q1 2026: 4-6 Bcf/d Appalachia AI demand + Haynesville 72% lowest breakeven + 62.9% EPS growth forecast (deep research 2026-05-18)</t>
        </is>
      </c>
      <c r="G812" s="33" t="inlineStr">
        <is>
          <t>High</t>
        </is>
      </c>
      <c r="H812" s="33" t="inlineStr">
        <is>
          <t>Update</t>
        </is>
      </c>
    </row>
    <row r="813">
      <c r="A813" s="33" t="inlineStr">
        <is>
          <t>2026-05-18</t>
        </is>
      </c>
      <c r="B813" s="33" t="inlineStr">
        <is>
          <t>EXE</t>
        </is>
      </c>
      <c r="C813" s="33" t="inlineStr">
        <is>
          <t>D3</t>
        </is>
      </c>
      <c r="D813" s="33" t="n">
        <v>4</v>
      </c>
      <c r="E813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3" s="68" t="inlineStr">
        <is>
          <t>Expand Energy Q1 2026: 4-6 Bcf/d Appalachia AI demand + Haynesville 72% lowest breakeven + 62.9% EPS growth forecast (deep research 2026-05-18)</t>
        </is>
      </c>
      <c r="G813" s="33" t="inlineStr">
        <is>
          <t>High</t>
        </is>
      </c>
      <c r="H813" s="33" t="inlineStr">
        <is>
          <t>Update</t>
        </is>
      </c>
    </row>
    <row r="814">
      <c r="A814" s="33" t="inlineStr">
        <is>
          <t>2026-05-18</t>
        </is>
      </c>
      <c r="B814" s="33" t="inlineStr">
        <is>
          <t>EXE</t>
        </is>
      </c>
      <c r="C814" s="33" t="inlineStr">
        <is>
          <t>D4</t>
        </is>
      </c>
      <c r="D814" s="33" t="n">
        <v>5</v>
      </c>
      <c r="E814" s="68" t="inlineStr">
        <is>
          <t>UPDATED from 4 → 5 after per-name /refresh-context research. Expand Energy Q1 2026: 4-6 Bcf/d Appalachia AI demand + Haynesville 72% lowest breakeven + 62.9% EPS growth forecast (deep research 2026-05-18)</t>
        </is>
      </c>
      <c r="F814" s="68" t="inlineStr">
        <is>
          <t>Expand Energy Q1 2026: 4-6 Bcf/d Appalachia AI demand + Haynesville 72% lowest breakeven + 62.9% EPS growth forecast (deep research 2026-05-18)</t>
        </is>
      </c>
      <c r="G814" s="33" t="inlineStr">
        <is>
          <t>High</t>
        </is>
      </c>
      <c r="H814" s="33" t="inlineStr">
        <is>
          <t>Update</t>
        </is>
      </c>
    </row>
    <row r="815">
      <c r="A815" s="33" t="inlineStr">
        <is>
          <t>2026-05-18</t>
        </is>
      </c>
      <c r="B815" s="33" t="inlineStr">
        <is>
          <t>EXE</t>
        </is>
      </c>
      <c r="C815" s="33" t="inlineStr">
        <is>
          <t>D5</t>
        </is>
      </c>
      <c r="D815" s="33" t="n">
        <v>4</v>
      </c>
      <c r="E815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5" s="68" t="inlineStr">
        <is>
          <t>Expand Energy Q1 2026: 4-6 Bcf/d Appalachia AI demand + Haynesville 72% lowest breakeven + 62.9% EPS growth forecast (deep research 2026-05-18)</t>
        </is>
      </c>
      <c r="G815" s="33" t="inlineStr">
        <is>
          <t>High</t>
        </is>
      </c>
      <c r="H815" s="33" t="inlineStr">
        <is>
          <t>Update</t>
        </is>
      </c>
    </row>
    <row r="816">
      <c r="A816" s="33" t="inlineStr">
        <is>
          <t>2026-05-18</t>
        </is>
      </c>
      <c r="B816" s="33" t="inlineStr">
        <is>
          <t>EXE</t>
        </is>
      </c>
      <c r="C816" s="33" t="inlineStr">
        <is>
          <t>M1</t>
        </is>
      </c>
      <c r="D816" s="33" t="n">
        <v>5</v>
      </c>
      <c r="E816" s="68" t="inlineStr">
        <is>
          <t>UPDATED from 3 → 5 after per-name /refresh-context research. Expand Energy Q1 2026: 4-6 Bcf/d Appalachia AI demand + Haynesville 72% lowest breakeven + 62.9% EPS growth forecast (deep research 2026-05-18)</t>
        </is>
      </c>
      <c r="F816" s="68" t="inlineStr">
        <is>
          <t>Expand Energy Q1 2026: 4-6 Bcf/d Appalachia AI demand + Haynesville 72% lowest breakeven + 62.9% EPS growth forecast (deep research 2026-05-18)</t>
        </is>
      </c>
      <c r="G816" s="33" t="inlineStr">
        <is>
          <t>High</t>
        </is>
      </c>
      <c r="H816" s="33" t="inlineStr">
        <is>
          <t>Update</t>
        </is>
      </c>
    </row>
    <row r="817">
      <c r="A817" s="33" t="inlineStr">
        <is>
          <t>2026-05-18</t>
        </is>
      </c>
      <c r="B817" s="33" t="inlineStr">
        <is>
          <t>CMI</t>
        </is>
      </c>
      <c r="C817" s="33" t="inlineStr">
        <is>
          <t>D1</t>
        </is>
      </c>
      <c r="D817" s="33" t="n">
        <v>4</v>
      </c>
      <c r="E817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7" s="68" t="inlineStr">
        <is>
          <t>Cummins Q1 2026: Power Systems record $1.96B (+19%); 29.5% margin; backlog stretches into 2028 + 2026 guidance raised (deep research 2026-05-18)</t>
        </is>
      </c>
      <c r="G817" s="33" t="inlineStr">
        <is>
          <t>High</t>
        </is>
      </c>
      <c r="H817" s="33" t="inlineStr">
        <is>
          <t>Update</t>
        </is>
      </c>
    </row>
    <row r="818">
      <c r="A818" s="33" t="inlineStr">
        <is>
          <t>2026-05-18</t>
        </is>
      </c>
      <c r="B818" s="33" t="inlineStr">
        <is>
          <t>CMI</t>
        </is>
      </c>
      <c r="C818" s="33" t="inlineStr">
        <is>
          <t>D4</t>
        </is>
      </c>
      <c r="D818" s="33" t="n">
        <v>5</v>
      </c>
      <c r="E818" s="68" t="inlineStr">
        <is>
          <t>UPDATED from 4 → 5 after per-name /refresh-context research. Cummins Q1 2026: Power Systems record $1.96B (+19%); 29.5% margin; backlog stretches into 2028 + 2026 guidance raised (deep research 2026-05-18)</t>
        </is>
      </c>
      <c r="F818" s="68" t="inlineStr">
        <is>
          <t>Cummins Q1 2026: Power Systems record $1.96B (+19%); 29.5% margin; backlog stretches into 2028 + 2026 guidance raised (deep research 2026-05-18)</t>
        </is>
      </c>
      <c r="G818" s="33" t="inlineStr">
        <is>
          <t>High</t>
        </is>
      </c>
      <c r="H818" s="33" t="inlineStr">
        <is>
          <t>Update</t>
        </is>
      </c>
    </row>
    <row r="819">
      <c r="A819" s="33" t="inlineStr">
        <is>
          <t>2026-05-18</t>
        </is>
      </c>
      <c r="B819" s="33" t="inlineStr">
        <is>
          <t>CMI</t>
        </is>
      </c>
      <c r="C819" s="33" t="inlineStr">
        <is>
          <t>D5</t>
        </is>
      </c>
      <c r="D819" s="33" t="n">
        <v>4</v>
      </c>
      <c r="E819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9" s="68" t="inlineStr">
        <is>
          <t>Cummins Q1 2026: Power Systems record $1.96B (+19%); 29.5% margin; backlog stretches into 2028 + 2026 guidance raised (deep research 2026-05-18)</t>
        </is>
      </c>
      <c r="G819" s="33" t="inlineStr">
        <is>
          <t>High</t>
        </is>
      </c>
      <c r="H819" s="33" t="inlineStr">
        <is>
          <t>Update</t>
        </is>
      </c>
    </row>
    <row r="820">
      <c r="A820" s="33" t="inlineStr">
        <is>
          <t>2026-05-18</t>
        </is>
      </c>
      <c r="B820" s="33" t="inlineStr">
        <is>
          <t>GNRC</t>
        </is>
      </c>
      <c r="C820" s="33" t="inlineStr">
        <is>
          <t>D1</t>
        </is>
      </c>
      <c r="D820" s="33" t="n">
        <v>4</v>
      </c>
      <c r="E820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0" s="68" t="inlineStr">
        <is>
          <t>Generac Q1 2026: $1B DC revenue path by 2028 + final-stage hyperscaler vendor approval + EPC Power AI DC partnership + 2026 outlook raised (deep research 2026-05-18)</t>
        </is>
      </c>
      <c r="G820" s="33" t="inlineStr">
        <is>
          <t>High</t>
        </is>
      </c>
      <c r="H820" s="33" t="inlineStr">
        <is>
          <t>Update</t>
        </is>
      </c>
    </row>
    <row r="821">
      <c r="A821" s="33" t="inlineStr">
        <is>
          <t>2026-05-18</t>
        </is>
      </c>
      <c r="B821" s="33" t="inlineStr">
        <is>
          <t>GNRC</t>
        </is>
      </c>
      <c r="C821" s="33" t="inlineStr">
        <is>
          <t>D2</t>
        </is>
      </c>
      <c r="D821" s="33" t="n">
        <v>4</v>
      </c>
      <c r="E821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1" s="68" t="inlineStr">
        <is>
          <t>Generac Q1 2026: $1B DC revenue path by 2028 + final-stage hyperscaler vendor approval + EPC Power AI DC partnership + 2026 outlook raised (deep research 2026-05-18)</t>
        </is>
      </c>
      <c r="G821" s="33" t="inlineStr">
        <is>
          <t>High</t>
        </is>
      </c>
      <c r="H821" s="33" t="inlineStr">
        <is>
          <t>Update</t>
        </is>
      </c>
    </row>
    <row r="822">
      <c r="A822" s="33" t="inlineStr">
        <is>
          <t>2026-05-18</t>
        </is>
      </c>
      <c r="B822" s="33" t="inlineStr">
        <is>
          <t>GNRC</t>
        </is>
      </c>
      <c r="C822" s="33" t="inlineStr">
        <is>
          <t>D4</t>
        </is>
      </c>
      <c r="D822" s="33" t="n">
        <v>5</v>
      </c>
      <c r="E822" s="68" t="inlineStr">
        <is>
          <t>UPDATED from 4 → 5 after per-name /refresh-context research. Generac Q1 2026: $1B DC revenue path by 2028 + final-stage hyperscaler vendor approval + EPC Power AI DC partnership + 2026 outlook raised (deep research 2026-05-18)</t>
        </is>
      </c>
      <c r="F822" s="68" t="inlineStr">
        <is>
          <t>Generac Q1 2026: $1B DC revenue path by 2028 + final-stage hyperscaler vendor approval + EPC Power AI DC partnership + 2026 outlook raised (deep research 2026-05-18)</t>
        </is>
      </c>
      <c r="G822" s="33" t="inlineStr">
        <is>
          <t>High</t>
        </is>
      </c>
      <c r="H822" s="33" t="inlineStr">
        <is>
          <t>Update</t>
        </is>
      </c>
    </row>
    <row r="823">
      <c r="A823" s="33" t="inlineStr">
        <is>
          <t>2026-05-18</t>
        </is>
      </c>
      <c r="B823" s="33" t="inlineStr">
        <is>
          <t>GNRC</t>
        </is>
      </c>
      <c r="C823" s="33" t="inlineStr">
        <is>
          <t>D5</t>
        </is>
      </c>
      <c r="D823" s="33" t="n">
        <v>4</v>
      </c>
      <c r="E823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3" s="68" t="inlineStr">
        <is>
          <t>Generac Q1 2026: $1B DC revenue path by 2028 + final-stage hyperscaler vendor approval + EPC Power AI DC partnership + 2026 outlook raised (deep research 2026-05-18)</t>
        </is>
      </c>
      <c r="G823" s="33" t="inlineStr">
        <is>
          <t>High</t>
        </is>
      </c>
      <c r="H823" s="33" t="inlineStr">
        <is>
          <t>Update</t>
        </is>
      </c>
    </row>
    <row r="824">
      <c r="A824" s="33" t="inlineStr">
        <is>
          <t>2026-05-18</t>
        </is>
      </c>
      <c r="B824" s="33" t="inlineStr">
        <is>
          <t>DLR</t>
        </is>
      </c>
      <c r="C824" s="33" t="inlineStr">
        <is>
          <t>D1</t>
        </is>
      </c>
      <c r="D824" s="33" t="n">
        <v>5</v>
      </c>
      <c r="E824" s="68" t="inlineStr">
        <is>
          <t>DC pure-play REIT; 21% of signings AI-oriented; $98M zero-1MW interconnection bookings (record); rapidly increasing AI share.</t>
        </is>
      </c>
      <c r="F824" s="68" t="inlineStr">
        <is>
          <t>Digital Realty Q1 2026 8-K + record bookings $707M + 200 MW AI lease coverage (per-name research 2026-05-18)</t>
        </is>
      </c>
      <c r="G824" s="33" t="inlineStr">
        <is>
          <t>High</t>
        </is>
      </c>
      <c r="H824" s="33" t="inlineStr">
        <is>
          <t>Initial</t>
        </is>
      </c>
    </row>
    <row r="825">
      <c r="A825" s="33" t="inlineStr">
        <is>
          <t>2026-05-18</t>
        </is>
      </c>
      <c r="B825" s="33" t="inlineStr">
        <is>
          <t>DLR</t>
        </is>
      </c>
      <c r="C825" s="33" t="inlineStr">
        <is>
          <t>D2</t>
        </is>
      </c>
      <c r="D825" s="33" t="n">
        <v>5</v>
      </c>
      <c r="E825" s="68" t="inlineStr">
        <is>
          <t>Top DC REIT by capacity; bottleneck-tier in hyperscaler colocation real estate.</t>
        </is>
      </c>
      <c r="F825" s="68" t="inlineStr">
        <is>
          <t>Digital Realty Q1 2026 8-K + record bookings $707M + 200 MW AI lease coverage (per-name research 2026-05-18)</t>
        </is>
      </c>
      <c r="G825" s="33" t="inlineStr">
        <is>
          <t>High</t>
        </is>
      </c>
      <c r="H825" s="33" t="inlineStr">
        <is>
          <t>Initial</t>
        </is>
      </c>
    </row>
    <row r="826">
      <c r="A826" s="33" t="inlineStr">
        <is>
          <t>2026-05-18</t>
        </is>
      </c>
      <c r="B826" s="33" t="inlineStr">
        <is>
          <t>DLR</t>
        </is>
      </c>
      <c r="C826" s="33" t="inlineStr">
        <is>
          <t>D3</t>
        </is>
      </c>
      <c r="D826" s="33" t="n">
        <v>4</v>
      </c>
      <c r="E826" s="68" t="inlineStr">
        <is>
          <t>Scale + multi-decade hyperscaler relationships + global footprint. Not 5 because DC real estate inherently commoditizable on land/power side.</t>
        </is>
      </c>
      <c r="F826" s="68" t="inlineStr">
        <is>
          <t>Digital Realty Q1 2026 8-K + record bookings $707M + 200 MW AI lease coverage (per-name research 2026-05-18)</t>
        </is>
      </c>
      <c r="G826" s="33" t="inlineStr">
        <is>
          <t>High</t>
        </is>
      </c>
      <c r="H826" s="33" t="inlineStr">
        <is>
          <t>Initial</t>
        </is>
      </c>
    </row>
    <row r="827">
      <c r="A827" s="33" t="inlineStr">
        <is>
          <t>2026-05-18</t>
        </is>
      </c>
      <c r="B827" s="33" t="inlineStr">
        <is>
          <t>DLR</t>
        </is>
      </c>
      <c r="C827" s="33" t="inlineStr">
        <is>
          <t>D4</t>
        </is>
      </c>
      <c r="D827" s="33" t="n">
        <v>5</v>
      </c>
      <c r="E827" s="68" t="inlineStr">
        <is>
          <t>$1.8B backlog + 1.2 GW under construction (+50% sequential, 61% preleased at 11.4% yield).</t>
        </is>
      </c>
      <c r="F827" s="68" t="inlineStr">
        <is>
          <t>Digital Realty Q1 2026 8-K + record bookings $707M + 200 MW AI lease coverage (per-name research 2026-05-18)</t>
        </is>
      </c>
      <c r="G827" s="33" t="inlineStr">
        <is>
          <t>High</t>
        </is>
      </c>
      <c r="H827" s="33" t="inlineStr">
        <is>
          <t>Initial</t>
        </is>
      </c>
    </row>
    <row r="828">
      <c r="A828" s="33" t="inlineStr">
        <is>
          <t>2026-05-18</t>
        </is>
      </c>
      <c r="B828" s="33" t="inlineStr">
        <is>
          <t>DLR</t>
        </is>
      </c>
      <c r="C828" s="33" t="inlineStr">
        <is>
          <t>D5</t>
        </is>
      </c>
      <c r="D828" s="33" t="n">
        <v>5</v>
      </c>
      <c r="E828" s="68" t="inlineStr">
        <is>
          <t>200 MW AI inference lease — largest single lease in company history with AA-rated hyperscaler.</t>
        </is>
      </c>
      <c r="F828" s="68" t="inlineStr">
        <is>
          <t>Digital Realty Q1 2026 8-K + record bookings $707M + 200 MW AI lease coverage (per-name research 2026-05-18)</t>
        </is>
      </c>
      <c r="G828" s="33" t="inlineStr">
        <is>
          <t>High</t>
        </is>
      </c>
      <c r="H828" s="33" t="inlineStr">
        <is>
          <t>Initial</t>
        </is>
      </c>
    </row>
    <row r="829">
      <c r="A829" s="33" t="inlineStr">
        <is>
          <t>2026-05-18</t>
        </is>
      </c>
      <c r="B829" s="33" t="inlineStr">
        <is>
          <t>DLR</t>
        </is>
      </c>
      <c r="C829" s="33" t="inlineStr">
        <is>
          <t>M1</t>
        </is>
      </c>
      <c r="D829" s="33" t="n">
        <v>2</v>
      </c>
      <c r="E829" s="68" t="inlineStr">
        <is>
          <t>0 up / 1 down on +1Y; FY revision -5.5%. Net negative. Band 2.</t>
        </is>
      </c>
      <c r="F829" s="68" t="inlineStr">
        <is>
          <t>Digital Realty Q1 2026 8-K + record bookings $707M + 200 MW AI lease coverage (per-name research 2026-05-18)</t>
        </is>
      </c>
      <c r="G829" s="33" t="inlineStr">
        <is>
          <t>High</t>
        </is>
      </c>
      <c r="H829" s="33" t="inlineStr">
        <is>
          <t>Initial</t>
        </is>
      </c>
    </row>
    <row r="830">
      <c r="A830" s="33" t="inlineStr">
        <is>
          <t>2026-05-18</t>
        </is>
      </c>
      <c r="B830" s="33" t="inlineStr">
        <is>
          <t>DLR</t>
        </is>
      </c>
      <c r="C830" s="33" t="inlineStr">
        <is>
          <t>M2</t>
        </is>
      </c>
      <c r="D830" s="33" t="n">
        <v>4</v>
      </c>
      <c r="E830" s="68" t="inlineStr">
        <is>
          <t>+10pp vs XLRE 180d.</t>
        </is>
      </c>
      <c r="F830" s="68" t="inlineStr">
        <is>
          <t>Digital Realty Q1 2026 8-K + record bookings $707M + 200 MW AI lease coverage (per-name research 2026-05-18)</t>
        </is>
      </c>
      <c r="G830" s="33" t="inlineStr">
        <is>
          <t>High</t>
        </is>
      </c>
      <c r="H830" s="33" t="inlineStr">
        <is>
          <t>Initial</t>
        </is>
      </c>
    </row>
    <row r="831">
      <c r="A831" s="33" t="inlineStr">
        <is>
          <t>2026-05-18</t>
        </is>
      </c>
      <c r="B831" s="33" t="inlineStr">
        <is>
          <t>DLR</t>
        </is>
      </c>
      <c r="C831" s="33" t="inlineStr">
        <is>
          <t>M3</t>
        </is>
      </c>
      <c r="D831" s="33" t="n">
        <v>3</v>
      </c>
      <c r="E831" s="68" t="inlineStr">
        <is>
          <t>Routine; default 3.</t>
        </is>
      </c>
      <c r="F831" s="68" t="inlineStr">
        <is>
          <t>Digital Realty Q1 2026 8-K + record bookings $707M + 200 MW AI lease coverage (per-name research 2026-05-18)</t>
        </is>
      </c>
      <c r="G831" s="33" t="inlineStr">
        <is>
          <t>High</t>
        </is>
      </c>
      <c r="H831" s="33" t="inlineStr">
        <is>
          <t>Initial</t>
        </is>
      </c>
    </row>
    <row r="832">
      <c r="A832" s="33" t="inlineStr">
        <is>
          <t>2026-05-18</t>
        </is>
      </c>
      <c r="B832" s="33" t="inlineStr">
        <is>
          <t>DLR</t>
        </is>
      </c>
      <c r="C832" s="33" t="inlineStr">
        <is>
          <t>R1</t>
        </is>
      </c>
      <c r="D832" s="33" t="n">
        <v>4</v>
      </c>
      <c r="E832" s="68" t="inlineStr">
        <is>
          <t>Concentration in top hyperscaler customers but &gt;5 anchor relationships.</t>
        </is>
      </c>
      <c r="F832" s="68" t="inlineStr">
        <is>
          <t>Digital Realty Q1 2026 8-K + record bookings $707M + 200 MW AI lease coverage (per-name research 2026-05-18)</t>
        </is>
      </c>
      <c r="G832" s="33" t="inlineStr">
        <is>
          <t>High</t>
        </is>
      </c>
      <c r="H832" s="33" t="inlineStr">
        <is>
          <t>Initial</t>
        </is>
      </c>
    </row>
    <row r="833">
      <c r="A833" s="33" t="inlineStr">
        <is>
          <t>2026-05-18</t>
        </is>
      </c>
      <c r="B833" s="33" t="inlineStr">
        <is>
          <t>DLR</t>
        </is>
      </c>
      <c r="C833" s="33" t="inlineStr">
        <is>
          <t>R2</t>
        </is>
      </c>
      <c r="D833" s="33" t="n">
        <v>4</v>
      </c>
      <c r="E833" s="68" t="inlineStr">
        <is>
          <t>Global; minimal export-control exposure.</t>
        </is>
      </c>
      <c r="F833" s="68" t="inlineStr">
        <is>
          <t>Digital Realty Q1 2026 8-K + record bookings $707M + 200 MW AI lease coverage (per-name research 2026-05-18)</t>
        </is>
      </c>
      <c r="G833" s="33" t="inlineStr">
        <is>
          <t>High</t>
        </is>
      </c>
      <c r="H833" s="33" t="inlineStr">
        <is>
          <t>Initial</t>
        </is>
      </c>
    </row>
    <row r="834">
      <c r="A834" s="33" t="inlineStr">
        <is>
          <t>2026-05-18</t>
        </is>
      </c>
      <c r="B834" s="33" t="inlineStr">
        <is>
          <t>DLR</t>
        </is>
      </c>
      <c r="C834" s="33" t="inlineStr">
        <is>
          <t>R3</t>
        </is>
      </c>
      <c r="D834" s="33" t="n">
        <v>3</v>
      </c>
      <c r="E834" s="68" t="inlineStr">
        <is>
          <t>ND/EBITDA 5.9x — typical REIT leverage but high; band 3.</t>
        </is>
      </c>
      <c r="F834" s="68" t="inlineStr">
        <is>
          <t>Digital Realty Q1 2026 8-K + record bookings $707M + 200 MW AI lease coverage (per-name research 2026-05-18)</t>
        </is>
      </c>
      <c r="G834" s="33" t="inlineStr">
        <is>
          <t>High</t>
        </is>
      </c>
      <c r="H834" s="33" t="inlineStr">
        <is>
          <t>Initial</t>
        </is>
      </c>
    </row>
    <row r="835">
      <c r="A835" s="33" t="inlineStr">
        <is>
          <t>2026-05-18</t>
        </is>
      </c>
      <c r="B835" s="33" t="inlineStr">
        <is>
          <t>DLR</t>
        </is>
      </c>
      <c r="C835" s="33" t="inlineStr">
        <is>
          <t>R4</t>
        </is>
      </c>
      <c r="D835" s="33" t="n">
        <v>4</v>
      </c>
      <c r="E835" s="68" t="inlineStr">
        <is>
          <t>Routine.</t>
        </is>
      </c>
      <c r="F835" s="68" t="inlineStr">
        <is>
          <t>Digital Realty Q1 2026 8-K + record bookings $707M + 200 MW AI lease coverage (per-name research 2026-05-18)</t>
        </is>
      </c>
      <c r="G835" s="33" t="inlineStr">
        <is>
          <t>High</t>
        </is>
      </c>
      <c r="H835" s="33" t="inlineStr">
        <is>
          <t>Initial</t>
        </is>
      </c>
    </row>
    <row r="836">
      <c r="A836" s="33" t="inlineStr">
        <is>
          <t>2026-05-18</t>
        </is>
      </c>
      <c r="B836" s="33" t="inlineStr">
        <is>
          <t>EQIX</t>
        </is>
      </c>
      <c r="C836" s="33" t="inlineStr">
        <is>
          <t>D1</t>
        </is>
      </c>
      <c r="D836" s="33" t="n">
        <v>4</v>
      </c>
      <c r="E836" s="68" t="inlineStr">
        <is>
          <t>60% of Q1 largest deals AI-related; 8 of top 10 AI providers + 4 of top 5 neoclouds expanding; AI Fabric connections tripled YoY.</t>
        </is>
      </c>
      <c r="F836" s="68" t="inlineStr">
        <is>
          <t>Equinix Q1 2026 + 60% AI deals + 8/10 AI providers expanding (per-name research 2026-05-18)</t>
        </is>
      </c>
      <c r="G836" s="33" t="inlineStr">
        <is>
          <t>High</t>
        </is>
      </c>
      <c r="H836" s="33" t="inlineStr">
        <is>
          <t>Initial</t>
        </is>
      </c>
    </row>
    <row r="837">
      <c r="A837" s="33" t="inlineStr">
        <is>
          <t>2026-05-18</t>
        </is>
      </c>
      <c r="B837" s="33" t="inlineStr">
        <is>
          <t>EQIX</t>
        </is>
      </c>
      <c r="C837" s="33" t="inlineStr">
        <is>
          <t>D2</t>
        </is>
      </c>
      <c r="D837" s="33" t="n">
        <v>5</v>
      </c>
      <c r="E837" s="68" t="inlineStr">
        <is>
          <t>Top interconnection REIT globally; bottleneck-tier in carrier-neutral colocation.</t>
        </is>
      </c>
      <c r="F837" s="68" t="inlineStr">
        <is>
          <t>Equinix Q1 2026 + 60% AI deals + 8/10 AI providers expanding (per-name research 2026-05-18)</t>
        </is>
      </c>
      <c r="G837" s="33" t="inlineStr">
        <is>
          <t>High</t>
        </is>
      </c>
      <c r="H837" s="33" t="inlineStr">
        <is>
          <t>Initial</t>
        </is>
      </c>
    </row>
    <row r="838">
      <c r="A838" s="33" t="inlineStr">
        <is>
          <t>2026-05-18</t>
        </is>
      </c>
      <c r="B838" s="33" t="inlineStr">
        <is>
          <t>EQIX</t>
        </is>
      </c>
      <c r="C838" s="33" t="inlineStr">
        <is>
          <t>D3</t>
        </is>
      </c>
      <c r="D838" s="33" t="n">
        <v>5</v>
      </c>
      <c r="E838" s="68" t="inlineStr">
        <is>
          <t>Network effects via Fabric + interconnection ecosystem + 30+ year customer relationships. Could argue 5 for network effects; quarterly review item per Dom 2026-05-18.</t>
        </is>
      </c>
      <c r="F838" s="68" t="inlineStr">
        <is>
          <t>Equinix Q1 2026 + 60% AI deals + 8/10 AI providers expanding (per-name research 2026-05-18)</t>
        </is>
      </c>
      <c r="G838" s="33" t="inlineStr">
        <is>
          <t>High</t>
        </is>
      </c>
      <c r="H838" s="33" t="inlineStr">
        <is>
          <t>Initial</t>
        </is>
      </c>
    </row>
    <row r="839">
      <c r="A839" s="33" t="inlineStr">
        <is>
          <t>2026-05-18</t>
        </is>
      </c>
      <c r="B839" s="33" t="inlineStr">
        <is>
          <t>EQIX</t>
        </is>
      </c>
      <c r="C839" s="33" t="inlineStr">
        <is>
          <t>D4</t>
        </is>
      </c>
      <c r="D839" s="33" t="n">
        <v>5</v>
      </c>
      <c r="E839" s="68" t="inlineStr">
        <is>
          <t>46 major projects across 32 markets; 6 xScale builds; 25% of 2026 capacity pre-sold; raised guide.</t>
        </is>
      </c>
      <c r="F839" s="68" t="inlineStr">
        <is>
          <t>Equinix Q1 2026 + 60% AI deals + 8/10 AI providers expanding (per-name research 2026-05-18)</t>
        </is>
      </c>
      <c r="G839" s="33" t="inlineStr">
        <is>
          <t>High</t>
        </is>
      </c>
      <c r="H839" s="33" t="inlineStr">
        <is>
          <t>Initial</t>
        </is>
      </c>
    </row>
    <row r="840">
      <c r="A840" s="33" t="inlineStr">
        <is>
          <t>2026-05-18</t>
        </is>
      </c>
      <c r="B840" s="33" t="inlineStr">
        <is>
          <t>EQIX</t>
        </is>
      </c>
      <c r="C840" s="33" t="inlineStr">
        <is>
          <t>D5</t>
        </is>
      </c>
      <c r="D840" s="33" t="n">
        <v>5</v>
      </c>
      <c r="E840" s="68" t="inlineStr">
        <is>
          <t>8 of top 10 AI model providers + 4 of top 5 neoclouds; multiple hyperscalers anchor.</t>
        </is>
      </c>
      <c r="F840" s="68" t="inlineStr">
        <is>
          <t>Equinix Q1 2026 + 60% AI deals + 8/10 AI providers expanding (per-name research 2026-05-18)</t>
        </is>
      </c>
      <c r="G840" s="33" t="inlineStr">
        <is>
          <t>High</t>
        </is>
      </c>
      <c r="H840" s="33" t="inlineStr">
        <is>
          <t>Initial</t>
        </is>
      </c>
    </row>
    <row r="841">
      <c r="A841" s="33" t="inlineStr">
        <is>
          <t>2026-05-18</t>
        </is>
      </c>
      <c r="B841" s="33" t="inlineStr">
        <is>
          <t>EQIX</t>
        </is>
      </c>
      <c r="C841" s="33" t="inlineStr">
        <is>
          <t>M1</t>
        </is>
      </c>
      <c r="D841" s="33" t="n">
        <v>4</v>
      </c>
      <c r="E841" s="68" t="inlineStr">
        <is>
          <t>4 up / 0 down on +1Y; FY revision +6.9%.</t>
        </is>
      </c>
      <c r="F841" s="68" t="inlineStr">
        <is>
          <t>Equinix Q1 2026 + 60% AI deals + 8/10 AI providers expanding (per-name research 2026-05-18)</t>
        </is>
      </c>
      <c r="G841" s="33" t="inlineStr">
        <is>
          <t>High</t>
        </is>
      </c>
      <c r="H841" s="33" t="inlineStr">
        <is>
          <t>Initial</t>
        </is>
      </c>
    </row>
    <row r="842">
      <c r="A842" s="33" t="inlineStr">
        <is>
          <t>2026-05-18</t>
        </is>
      </c>
      <c r="B842" s="33" t="inlineStr">
        <is>
          <t>EQIX</t>
        </is>
      </c>
      <c r="C842" s="33" t="inlineStr">
        <is>
          <t>M2</t>
        </is>
      </c>
      <c r="D842" s="33" t="n">
        <v>5</v>
      </c>
      <c r="E842" s="68" t="inlineStr">
        <is>
          <t>+30pp vs XLRE 180d.</t>
        </is>
      </c>
      <c r="F842" s="68" t="inlineStr">
        <is>
          <t>Equinix Q1 2026 + 60% AI deals + 8/10 AI providers expanding (per-name research 2026-05-18)</t>
        </is>
      </c>
      <c r="G842" s="33" t="inlineStr">
        <is>
          <t>High</t>
        </is>
      </c>
      <c r="H842" s="33" t="inlineStr">
        <is>
          <t>Initial</t>
        </is>
      </c>
    </row>
    <row r="843">
      <c r="A843" s="33" t="inlineStr">
        <is>
          <t>2026-05-18</t>
        </is>
      </c>
      <c r="B843" s="33" t="inlineStr">
        <is>
          <t>EQIX</t>
        </is>
      </c>
      <c r="C843" s="33" t="inlineStr">
        <is>
          <t>M3</t>
        </is>
      </c>
      <c r="D843" s="33" t="n">
        <v>3</v>
      </c>
      <c r="E843" s="68" t="inlineStr">
        <is>
          <t>Routine; default 3.</t>
        </is>
      </c>
      <c r="F843" s="68" t="inlineStr">
        <is>
          <t>Equinix Q1 2026 + 60% AI deals + 8/10 AI providers expanding (per-name research 2026-05-18)</t>
        </is>
      </c>
      <c r="G843" s="33" t="inlineStr">
        <is>
          <t>High</t>
        </is>
      </c>
      <c r="H843" s="33" t="inlineStr">
        <is>
          <t>Initial</t>
        </is>
      </c>
    </row>
    <row r="844">
      <c r="A844" s="33" t="inlineStr">
        <is>
          <t>2026-05-18</t>
        </is>
      </c>
      <c r="B844" s="33" t="inlineStr">
        <is>
          <t>EQIX</t>
        </is>
      </c>
      <c r="C844" s="33" t="inlineStr">
        <is>
          <t>R1</t>
        </is>
      </c>
      <c r="D844" s="33" t="n">
        <v>4</v>
      </c>
      <c r="E844" s="68" t="inlineStr">
        <is>
          <t>Diversified across 10,000+ customers.</t>
        </is>
      </c>
      <c r="F844" s="68" t="inlineStr">
        <is>
          <t>Equinix Q1 2026 + 60% AI deals + 8/10 AI providers expanding (per-name research 2026-05-18)</t>
        </is>
      </c>
      <c r="G844" s="33" t="inlineStr">
        <is>
          <t>High</t>
        </is>
      </c>
      <c r="H844" s="33" t="inlineStr">
        <is>
          <t>Initial</t>
        </is>
      </c>
    </row>
    <row r="845">
      <c r="A845" s="33" t="inlineStr">
        <is>
          <t>2026-05-18</t>
        </is>
      </c>
      <c r="B845" s="33" t="inlineStr">
        <is>
          <t>EQIX</t>
        </is>
      </c>
      <c r="C845" s="33" t="inlineStr">
        <is>
          <t>R2</t>
        </is>
      </c>
      <c r="D845" s="33" t="n">
        <v>4</v>
      </c>
      <c r="E845" s="68" t="inlineStr">
        <is>
          <t>Global.</t>
        </is>
      </c>
      <c r="F845" s="68" t="inlineStr">
        <is>
          <t>Equinix Q1 2026 + 60% AI deals + 8/10 AI providers expanding (per-name research 2026-05-18)</t>
        </is>
      </c>
      <c r="G845" s="33" t="inlineStr">
        <is>
          <t>High</t>
        </is>
      </c>
      <c r="H845" s="33" t="inlineStr">
        <is>
          <t>Initial</t>
        </is>
      </c>
    </row>
    <row r="846">
      <c r="A846" s="33" t="inlineStr">
        <is>
          <t>2026-05-18</t>
        </is>
      </c>
      <c r="B846" s="33" t="inlineStr">
        <is>
          <t>EQIX</t>
        </is>
      </c>
      <c r="C846" s="33" t="inlineStr">
        <is>
          <t>R3</t>
        </is>
      </c>
      <c r="D846" s="33" t="n">
        <v>3</v>
      </c>
      <c r="E846" s="68" t="inlineStr">
        <is>
          <t>ND/EBITDA 5.1x — typical REIT.</t>
        </is>
      </c>
      <c r="F846" s="68" t="inlineStr">
        <is>
          <t>Equinix Q1 2026 + 60% AI deals + 8/10 AI providers expanding (per-name research 2026-05-18)</t>
        </is>
      </c>
      <c r="G846" s="33" t="inlineStr">
        <is>
          <t>High</t>
        </is>
      </c>
      <c r="H846" s="33" t="inlineStr">
        <is>
          <t>Initial</t>
        </is>
      </c>
    </row>
    <row r="847">
      <c r="A847" s="33" t="inlineStr">
        <is>
          <t>2026-05-18</t>
        </is>
      </c>
      <c r="B847" s="33" t="inlineStr">
        <is>
          <t>EQIX</t>
        </is>
      </c>
      <c r="C847" s="33" t="inlineStr">
        <is>
          <t>R4</t>
        </is>
      </c>
      <c r="D847" s="33" t="n">
        <v>4</v>
      </c>
      <c r="E847" s="68" t="inlineStr">
        <is>
          <t>Routine.</t>
        </is>
      </c>
      <c r="F847" s="68" t="inlineStr">
        <is>
          <t>Equinix Q1 2026 + 60% AI deals + 8/10 AI providers expanding (per-name research 2026-05-18)</t>
        </is>
      </c>
      <c r="G847" s="33" t="inlineStr">
        <is>
          <t>High</t>
        </is>
      </c>
      <c r="H847" s="33" t="inlineStr">
        <is>
          <t>Initial</t>
        </is>
      </c>
    </row>
    <row r="848">
      <c r="A848" s="33" t="inlineStr">
        <is>
          <t>2026-05-18</t>
        </is>
      </c>
      <c r="B848" s="33" t="inlineStr">
        <is>
          <t>IRM</t>
        </is>
      </c>
      <c r="C848" s="33" t="inlineStr">
        <is>
          <t>D1</t>
        </is>
      </c>
      <c r="D848" s="33" t="n">
        <v>4</v>
      </c>
      <c r="E848" s="68" t="inlineStr">
        <is>
          <t>Data center revenue +47% YoY; 22 MW Q1 leases + 10 MW Amsterdam; ~25%+ segment growth target.</t>
        </is>
      </c>
      <c r="F848" s="68" t="inlineStr">
        <is>
          <t>Iron Mountain Q1 2026 + DC +47% + 1.4 GW developable (per-name research 2026-05-18)</t>
        </is>
      </c>
      <c r="G848" s="33" t="inlineStr">
        <is>
          <t>High</t>
        </is>
      </c>
      <c r="H848" s="33" t="inlineStr">
        <is>
          <t>Initial</t>
        </is>
      </c>
    </row>
    <row r="849">
      <c r="A849" s="33" t="inlineStr">
        <is>
          <t>2026-05-18</t>
        </is>
      </c>
      <c r="B849" s="33" t="inlineStr">
        <is>
          <t>IRM</t>
        </is>
      </c>
      <c r="C849" s="33" t="inlineStr">
        <is>
          <t>D2</t>
        </is>
      </c>
      <c r="D849" s="33" t="n">
        <v>3</v>
      </c>
      <c r="E849" s="68" t="inlineStr">
        <is>
          <t>Smaller DC REIT; pivot from storage to data center underway; mid-tier vs DLR/EQIX scale.</t>
        </is>
      </c>
      <c r="F849" s="68" t="inlineStr">
        <is>
          <t>Iron Mountain Q1 2026 + DC +47% + 1.4 GW developable (per-name research 2026-05-18)</t>
        </is>
      </c>
      <c r="G849" s="33" t="inlineStr">
        <is>
          <t>High</t>
        </is>
      </c>
      <c r="H849" s="33" t="inlineStr">
        <is>
          <t>Initial</t>
        </is>
      </c>
    </row>
    <row r="850">
      <c r="A850" s="33" t="inlineStr">
        <is>
          <t>2026-05-18</t>
        </is>
      </c>
      <c r="B850" s="33" t="inlineStr">
        <is>
          <t>IRM</t>
        </is>
      </c>
      <c r="C850" s="33" t="inlineStr">
        <is>
          <t>D3</t>
        </is>
      </c>
      <c r="D850" s="33" t="n">
        <v>3</v>
      </c>
      <c r="E850" s="68" t="inlineStr">
        <is>
          <t>Brand from storage business + 1.4 GW developable capacity. Mid-tier moat.</t>
        </is>
      </c>
      <c r="F850" s="68" t="inlineStr">
        <is>
          <t>Iron Mountain Q1 2026 + DC +47% + 1.4 GW developable (per-name research 2026-05-18)</t>
        </is>
      </c>
      <c r="G850" s="33" t="inlineStr">
        <is>
          <t>High</t>
        </is>
      </c>
      <c r="H850" s="33" t="inlineStr">
        <is>
          <t>Initial</t>
        </is>
      </c>
    </row>
    <row r="851">
      <c r="A851" s="33" t="inlineStr">
        <is>
          <t>2026-05-18</t>
        </is>
      </c>
      <c r="B851" s="33" t="inlineStr">
        <is>
          <t>IRM</t>
        </is>
      </c>
      <c r="C851" s="33" t="inlineStr">
        <is>
          <t>D4</t>
        </is>
      </c>
      <c r="D851" s="33" t="n">
        <v>5</v>
      </c>
      <c r="E851" s="68" t="inlineStr">
        <is>
          <t>1.4 GW developable + 400 MW energizing in 24 months + 100 MW lease target. Strong pipeline.</t>
        </is>
      </c>
      <c r="F851" s="68" t="inlineStr">
        <is>
          <t>Iron Mountain Q1 2026 + DC +47% + 1.4 GW developable (per-name research 2026-05-18)</t>
        </is>
      </c>
      <c r="G851" s="33" t="inlineStr">
        <is>
          <t>High</t>
        </is>
      </c>
      <c r="H851" s="33" t="inlineStr">
        <is>
          <t>Initial</t>
        </is>
      </c>
    </row>
    <row r="852">
      <c r="A852" s="33" t="inlineStr">
        <is>
          <t>2026-05-18</t>
        </is>
      </c>
      <c r="B852" s="33" t="inlineStr">
        <is>
          <t>IRM</t>
        </is>
      </c>
      <c r="C852" s="33" t="inlineStr">
        <is>
          <t>D5</t>
        </is>
      </c>
      <c r="D852" s="33" t="n">
        <v>4</v>
      </c>
      <c r="E852" s="68" t="inlineStr">
        <is>
          <t>10-15 year hyperscaler durations; pre-leased model.</t>
        </is>
      </c>
      <c r="F852" s="68" t="inlineStr">
        <is>
          <t>Iron Mountain Q1 2026 + DC +47% + 1.4 GW developable (per-name research 2026-05-18)</t>
        </is>
      </c>
      <c r="G852" s="33" t="inlineStr">
        <is>
          <t>High</t>
        </is>
      </c>
      <c r="H852" s="33" t="inlineStr">
        <is>
          <t>Initial</t>
        </is>
      </c>
    </row>
    <row r="853">
      <c r="A853" s="33" t="inlineStr">
        <is>
          <t>2026-05-18</t>
        </is>
      </c>
      <c r="B853" s="33" t="inlineStr">
        <is>
          <t>IRM</t>
        </is>
      </c>
      <c r="C853" s="33" t="inlineStr">
        <is>
          <t>M1</t>
        </is>
      </c>
      <c r="D853" s="33" t="n">
        <v>4</v>
      </c>
      <c r="E853" s="68" t="inlineStr">
        <is>
          <t>6 up / 0 down on +1Y; FY revision +7.4%.</t>
        </is>
      </c>
      <c r="F853" s="68" t="inlineStr">
        <is>
          <t>Iron Mountain Q1 2026 + DC +47% + 1.4 GW developable (per-name research 2026-05-18)</t>
        </is>
      </c>
      <c r="G853" s="33" t="inlineStr">
        <is>
          <t>High</t>
        </is>
      </c>
      <c r="H853" s="33" t="inlineStr">
        <is>
          <t>Initial</t>
        </is>
      </c>
    </row>
    <row r="854">
      <c r="A854" s="33" t="inlineStr">
        <is>
          <t>2026-05-18</t>
        </is>
      </c>
      <c r="B854" s="33" t="inlineStr">
        <is>
          <t>IRM</t>
        </is>
      </c>
      <c r="C854" s="33" t="inlineStr">
        <is>
          <t>M2</t>
        </is>
      </c>
      <c r="D854" s="33" t="n">
        <v>5</v>
      </c>
      <c r="E854" s="68" t="inlineStr">
        <is>
          <t>+36pp vs XLRE 180d.</t>
        </is>
      </c>
      <c r="F854" s="68" t="inlineStr">
        <is>
          <t>Iron Mountain Q1 2026 + DC +47% + 1.4 GW developable (per-name research 2026-05-18)</t>
        </is>
      </c>
      <c r="G854" s="33" t="inlineStr">
        <is>
          <t>High</t>
        </is>
      </c>
      <c r="H854" s="33" t="inlineStr">
        <is>
          <t>Initial</t>
        </is>
      </c>
    </row>
    <row r="855">
      <c r="A855" s="33" t="inlineStr">
        <is>
          <t>2026-05-18</t>
        </is>
      </c>
      <c r="B855" s="33" t="inlineStr">
        <is>
          <t>IRM</t>
        </is>
      </c>
      <c r="C855" s="33" t="inlineStr">
        <is>
          <t>M3</t>
        </is>
      </c>
      <c r="D855" s="33" t="n">
        <v>3</v>
      </c>
      <c r="E855" s="68" t="inlineStr">
        <is>
          <t>Routine; default 3.</t>
        </is>
      </c>
      <c r="F855" s="68" t="inlineStr">
        <is>
          <t>Iron Mountain Q1 2026 + DC +47% + 1.4 GW developable (per-name research 2026-05-18)</t>
        </is>
      </c>
      <c r="G855" s="33" t="inlineStr">
        <is>
          <t>High</t>
        </is>
      </c>
      <c r="H855" s="33" t="inlineStr">
        <is>
          <t>Initial</t>
        </is>
      </c>
    </row>
    <row r="856">
      <c r="A856" s="33" t="inlineStr">
        <is>
          <t>2026-05-18</t>
        </is>
      </c>
      <c r="B856" s="33" t="inlineStr">
        <is>
          <t>IRM</t>
        </is>
      </c>
      <c r="C856" s="33" t="inlineStr">
        <is>
          <t>R1</t>
        </is>
      </c>
      <c r="D856" s="33" t="n">
        <v>4</v>
      </c>
      <c r="E856" s="68" t="inlineStr">
        <is>
          <t>Diversified across storage + DC customer base.</t>
        </is>
      </c>
      <c r="F856" s="68" t="inlineStr">
        <is>
          <t>Iron Mountain Q1 2026 + DC +47% + 1.4 GW developable (per-name research 2026-05-18)</t>
        </is>
      </c>
      <c r="G856" s="33" t="inlineStr">
        <is>
          <t>High</t>
        </is>
      </c>
      <c r="H856" s="33" t="inlineStr">
        <is>
          <t>Initial</t>
        </is>
      </c>
    </row>
    <row r="857">
      <c r="A857" s="33" t="inlineStr">
        <is>
          <t>2026-05-18</t>
        </is>
      </c>
      <c r="B857" s="33" t="inlineStr">
        <is>
          <t>IRM</t>
        </is>
      </c>
      <c r="C857" s="33" t="inlineStr">
        <is>
          <t>R2</t>
        </is>
      </c>
      <c r="D857" s="33" t="n">
        <v>4</v>
      </c>
      <c r="E857" s="68" t="inlineStr">
        <is>
          <t>Global.</t>
        </is>
      </c>
      <c r="F857" s="68" t="inlineStr">
        <is>
          <t>Iron Mountain Q1 2026 + DC +47% + 1.4 GW developable (per-name research 2026-05-18)</t>
        </is>
      </c>
      <c r="G857" s="33" t="inlineStr">
        <is>
          <t>High</t>
        </is>
      </c>
      <c r="H857" s="33" t="inlineStr">
        <is>
          <t>Initial</t>
        </is>
      </c>
    </row>
    <row r="858">
      <c r="A858" s="33" t="inlineStr">
        <is>
          <t>2026-05-18</t>
        </is>
      </c>
      <c r="B858" s="33" t="inlineStr">
        <is>
          <t>IRM</t>
        </is>
      </c>
      <c r="C858" s="33" t="inlineStr">
        <is>
          <t>R3</t>
        </is>
      </c>
      <c r="D858" s="33" t="n">
        <v>2</v>
      </c>
      <c r="E858" s="68" t="inlineStr">
        <is>
          <t>ND/EBITDA 7.9x — high; REIT leverage but at the upper end. Quarterly review item per Dom 2026-05-18.</t>
        </is>
      </c>
      <c r="F858" s="68" t="inlineStr">
        <is>
          <t>Iron Mountain Q1 2026 + DC +47% + 1.4 GW developable (per-name research 2026-05-18)</t>
        </is>
      </c>
      <c r="G858" s="33" t="inlineStr">
        <is>
          <t>High</t>
        </is>
      </c>
      <c r="H858" s="33" t="inlineStr">
        <is>
          <t>Initial</t>
        </is>
      </c>
    </row>
    <row r="859">
      <c r="A859" s="33" t="inlineStr">
        <is>
          <t>2026-05-18</t>
        </is>
      </c>
      <c r="B859" s="33" t="inlineStr">
        <is>
          <t>IRM</t>
        </is>
      </c>
      <c r="C859" s="33" t="inlineStr">
        <is>
          <t>R4</t>
        </is>
      </c>
      <c r="D859" s="33" t="n">
        <v>4</v>
      </c>
      <c r="E859" s="68" t="inlineStr">
        <is>
          <t>Routine.</t>
        </is>
      </c>
      <c r="F859" s="68" t="inlineStr">
        <is>
          <t>Iron Mountain Q1 2026 + DC +47% + 1.4 GW developable (per-name research 2026-05-18)</t>
        </is>
      </c>
      <c r="G859" s="33" t="inlineStr">
        <is>
          <t>High</t>
        </is>
      </c>
      <c r="H859" s="33" t="inlineStr">
        <is>
          <t>Initial</t>
        </is>
      </c>
    </row>
    <row r="860">
      <c r="A860" s="33" t="inlineStr">
        <is>
          <t>2026-05-18</t>
        </is>
      </c>
      <c r="B860" s="33" t="inlineStr">
        <is>
          <t>FIX</t>
        </is>
      </c>
      <c r="C860" s="33" t="inlineStr">
        <is>
          <t>D1</t>
        </is>
      </c>
      <c r="D860" s="33" t="n">
        <v>5</v>
      </c>
      <c r="E860" s="68" t="inlineStr">
        <is>
          <t>45% of revenue from data centers (2025); ~50%+ trajectory with 109% backlog growth driven by hyperscalers. Crosses rubric &gt;50% threshold structurally.</t>
        </is>
      </c>
      <c r="F860" s="68" t="inlineStr">
        <is>
          <t>Comfort Systems Q1 2026 + $15B backlog +109% + 45% DC revenue (per-name research 2026-05-18)</t>
        </is>
      </c>
      <c r="G860" s="33" t="inlineStr">
        <is>
          <t>High</t>
        </is>
      </c>
      <c r="H860" s="33" t="inlineStr">
        <is>
          <t>Initial</t>
        </is>
      </c>
    </row>
    <row r="861">
      <c r="A861" s="33" t="inlineStr">
        <is>
          <t>2026-05-18</t>
        </is>
      </c>
      <c r="B861" s="33" t="inlineStr">
        <is>
          <t>FIX</t>
        </is>
      </c>
      <c r="C861" s="33" t="inlineStr">
        <is>
          <t>D2</t>
        </is>
      </c>
      <c r="D861" s="33" t="n">
        <v>4</v>
      </c>
      <c r="E861" s="68" t="inlineStr">
        <is>
          <t>Major mechanical/electrical contractor; multiple peer-level competitors (EME, etc.) but executes for every major hyperscaler.</t>
        </is>
      </c>
      <c r="F861" s="68" t="inlineStr">
        <is>
          <t>Comfort Systems Q1 2026 + $15B backlog +109% + 45% DC revenue (per-name research 2026-05-18)</t>
        </is>
      </c>
      <c r="G861" s="33" t="inlineStr">
        <is>
          <t>High</t>
        </is>
      </c>
      <c r="H861" s="33" t="inlineStr">
        <is>
          <t>Initial</t>
        </is>
      </c>
    </row>
    <row r="862">
      <c r="A862" s="33" t="inlineStr">
        <is>
          <t>2026-05-18</t>
        </is>
      </c>
      <c r="B862" s="33" t="inlineStr">
        <is>
          <t>FIX</t>
        </is>
      </c>
      <c r="C862" s="33" t="inlineStr">
        <is>
          <t>D3</t>
        </is>
      </c>
      <c r="D862" s="33" t="n">
        <v>4</v>
      </c>
      <c r="E862" s="68" t="inlineStr">
        <is>
          <t>Workforce scale + safety record + multi-decade hyperscaler relationships. Not 5 because services are competitive at the bid level.</t>
        </is>
      </c>
      <c r="F862" s="68" t="inlineStr">
        <is>
          <t>Comfort Systems Q1 2026 + $15B backlog +109% + 45% DC revenue (per-name research 2026-05-18)</t>
        </is>
      </c>
      <c r="G862" s="33" t="inlineStr">
        <is>
          <t>High</t>
        </is>
      </c>
      <c r="H862" s="33" t="inlineStr">
        <is>
          <t>Initial</t>
        </is>
      </c>
    </row>
    <row r="863">
      <c r="A863" s="33" t="inlineStr">
        <is>
          <t>2026-05-18</t>
        </is>
      </c>
      <c r="B863" s="33" t="inlineStr">
        <is>
          <t>FIX</t>
        </is>
      </c>
      <c r="C863" s="33" t="inlineStr">
        <is>
          <t>D4</t>
        </is>
      </c>
      <c r="D863" s="33" t="n">
        <v>5</v>
      </c>
      <c r="E863" s="68" t="inlineStr">
        <is>
          <t>$15.0B backlog (+109% YoY); 51% organic growth; doubled DC exposure.</t>
        </is>
      </c>
      <c r="F863" s="68" t="inlineStr">
        <is>
          <t>Comfort Systems Q1 2026 + $15B backlog +109% + 45% DC revenue (per-name research 2026-05-18)</t>
        </is>
      </c>
      <c r="G863" s="33" t="inlineStr">
        <is>
          <t>High</t>
        </is>
      </c>
      <c r="H863" s="33" t="inlineStr">
        <is>
          <t>Initial</t>
        </is>
      </c>
    </row>
    <row r="864">
      <c r="A864" s="33" t="inlineStr">
        <is>
          <t>2026-05-18</t>
        </is>
      </c>
      <c r="B864" s="33" t="inlineStr">
        <is>
          <t>FIX</t>
        </is>
      </c>
      <c r="C864" s="33" t="inlineStr">
        <is>
          <t>D5</t>
        </is>
      </c>
      <c r="D864" s="33" t="n">
        <v>5</v>
      </c>
      <c r="E864" s="68" t="inlineStr">
        <is>
          <t>'Pouring concrete for every hyperscaler' per industry framing; multiple hyperscaler anchor relationships.</t>
        </is>
      </c>
      <c r="F864" s="68" t="inlineStr">
        <is>
          <t>Comfort Systems Q1 2026 + $15B backlog +109% + 45% DC revenue (per-name research 2026-05-18)</t>
        </is>
      </c>
      <c r="G864" s="33" t="inlineStr">
        <is>
          <t>High</t>
        </is>
      </c>
      <c r="H864" s="33" t="inlineStr">
        <is>
          <t>Initial</t>
        </is>
      </c>
    </row>
    <row r="865">
      <c r="A865" s="33" t="inlineStr">
        <is>
          <t>2026-05-18</t>
        </is>
      </c>
      <c r="B865" s="33" t="inlineStr">
        <is>
          <t>FIX</t>
        </is>
      </c>
      <c r="C865" s="33" t="inlineStr">
        <is>
          <t>M1</t>
        </is>
      </c>
      <c r="D865" s="33" t="n">
        <v>5</v>
      </c>
      <c r="E865" s="68" t="inlineStr">
        <is>
          <t>6 up / 0 down on +1Y; FY revision +39%. Textbook beat-and-raise.</t>
        </is>
      </c>
      <c r="F865" s="68" t="inlineStr">
        <is>
          <t>Comfort Systems Q1 2026 + $15B backlog +109% + 45% DC revenue (per-name research 2026-05-18)</t>
        </is>
      </c>
      <c r="G865" s="33" t="inlineStr">
        <is>
          <t>High</t>
        </is>
      </c>
      <c r="H865" s="33" t="inlineStr">
        <is>
          <t>Initial</t>
        </is>
      </c>
    </row>
    <row r="866">
      <c r="A866" s="33" t="inlineStr">
        <is>
          <t>2026-05-18</t>
        </is>
      </c>
      <c r="B866" s="33" t="inlineStr">
        <is>
          <t>FIX</t>
        </is>
      </c>
      <c r="C866" s="33" t="inlineStr">
        <is>
          <t>M2</t>
        </is>
      </c>
      <c r="D866" s="33" t="n">
        <v>5</v>
      </c>
      <c r="E866" s="68" t="inlineStr">
        <is>
          <t>+85pp vs XLI 180d — extreme outperformance.</t>
        </is>
      </c>
      <c r="F866" s="68" t="inlineStr">
        <is>
          <t>Comfort Systems Q1 2026 + $15B backlog +109% + 45% DC revenue (per-name research 2026-05-18)</t>
        </is>
      </c>
      <c r="G866" s="33" t="inlineStr">
        <is>
          <t>High</t>
        </is>
      </c>
      <c r="H866" s="33" t="inlineStr">
        <is>
          <t>Initial</t>
        </is>
      </c>
    </row>
    <row r="867">
      <c r="A867" s="33" t="inlineStr">
        <is>
          <t>2026-05-18</t>
        </is>
      </c>
      <c r="B867" s="33" t="inlineStr">
        <is>
          <t>FIX</t>
        </is>
      </c>
      <c r="C867" s="33" t="inlineStr">
        <is>
          <t>M3</t>
        </is>
      </c>
      <c r="D867" s="33" t="n">
        <v>3</v>
      </c>
      <c r="E867" s="68" t="inlineStr">
        <is>
          <t>Routine; default 3.</t>
        </is>
      </c>
      <c r="F867" s="68" t="inlineStr">
        <is>
          <t>Comfort Systems Q1 2026 + $15B backlog +109% + 45% DC revenue (per-name research 2026-05-18)</t>
        </is>
      </c>
      <c r="G867" s="33" t="inlineStr">
        <is>
          <t>High</t>
        </is>
      </c>
      <c r="H867" s="33" t="inlineStr">
        <is>
          <t>Initial</t>
        </is>
      </c>
    </row>
    <row r="868">
      <c r="A868" s="33" t="inlineStr">
        <is>
          <t>2026-05-18</t>
        </is>
      </c>
      <c r="B868" s="33" t="inlineStr">
        <is>
          <t>FIX</t>
        </is>
      </c>
      <c r="C868" s="33" t="inlineStr">
        <is>
          <t>R1</t>
        </is>
      </c>
      <c r="D868" s="33" t="n">
        <v>5</v>
      </c>
      <c r="E868" s="68" t="inlineStr">
        <is>
          <t>Diversified hyperscaler + general contractor work.</t>
        </is>
      </c>
      <c r="F868" s="68" t="inlineStr">
        <is>
          <t>Comfort Systems Q1 2026 + $15B backlog +109% + 45% DC revenue (per-name research 2026-05-18)</t>
        </is>
      </c>
      <c r="G868" s="33" t="inlineStr">
        <is>
          <t>High</t>
        </is>
      </c>
      <c r="H868" s="33" t="inlineStr">
        <is>
          <t>Initial</t>
        </is>
      </c>
    </row>
    <row r="869">
      <c r="A869" s="33" t="inlineStr">
        <is>
          <t>2026-05-18</t>
        </is>
      </c>
      <c r="B869" s="33" t="inlineStr">
        <is>
          <t>FIX</t>
        </is>
      </c>
      <c r="C869" s="33" t="inlineStr">
        <is>
          <t>R2</t>
        </is>
      </c>
      <c r="D869" s="33" t="n">
        <v>5</v>
      </c>
      <c r="E869" s="68" t="inlineStr">
        <is>
          <t>US-focused.</t>
        </is>
      </c>
      <c r="F869" s="68" t="inlineStr">
        <is>
          <t>Comfort Systems Q1 2026 + $15B backlog +109% + 45% DC revenue (per-name research 2026-05-18)</t>
        </is>
      </c>
      <c r="G869" s="33" t="inlineStr">
        <is>
          <t>High</t>
        </is>
      </c>
      <c r="H869" s="33" t="inlineStr">
        <is>
          <t>Initial</t>
        </is>
      </c>
    </row>
    <row r="870">
      <c r="A870" s="33" t="inlineStr">
        <is>
          <t>2026-05-18</t>
        </is>
      </c>
      <c r="B870" s="33" t="inlineStr">
        <is>
          <t>FIX</t>
        </is>
      </c>
      <c r="C870" s="33" t="inlineStr">
        <is>
          <t>R3</t>
        </is>
      </c>
      <c r="D870" s="33" t="n">
        <v>4</v>
      </c>
      <c r="E870" s="68" t="inlineStr">
        <is>
          <t>ND/EBITDA 0.1x — essentially net cash. Strong.</t>
        </is>
      </c>
      <c r="F870" s="68" t="inlineStr">
        <is>
          <t>Comfort Systems Q1 2026 + $15B backlog +109% + 45% DC revenue (per-name research 2026-05-18)</t>
        </is>
      </c>
      <c r="G870" s="33" t="inlineStr">
        <is>
          <t>High</t>
        </is>
      </c>
      <c r="H870" s="33" t="inlineStr">
        <is>
          <t>Initial</t>
        </is>
      </c>
    </row>
    <row r="871">
      <c r="A871" s="33" t="inlineStr">
        <is>
          <t>2026-05-18</t>
        </is>
      </c>
      <c r="B871" s="33" t="inlineStr">
        <is>
          <t>FIX</t>
        </is>
      </c>
      <c r="C871" s="33" t="inlineStr">
        <is>
          <t>R4</t>
        </is>
      </c>
      <c r="D871" s="33" t="n">
        <v>4</v>
      </c>
      <c r="E871" s="68" t="inlineStr">
        <is>
          <t>Routine.</t>
        </is>
      </c>
      <c r="F871" s="68" t="inlineStr">
        <is>
          <t>Comfort Systems Q1 2026 + $15B backlog +109% + 45% DC revenue (per-name research 2026-05-18)</t>
        </is>
      </c>
      <c r="G871" s="33" t="inlineStr">
        <is>
          <t>High</t>
        </is>
      </c>
      <c r="H871" s="33" t="inlineStr">
        <is>
          <t>Initial</t>
        </is>
      </c>
    </row>
    <row r="872">
      <c r="A872" s="33" t="inlineStr">
        <is>
          <t>2026-05-18</t>
        </is>
      </c>
      <c r="B872" s="33" t="inlineStr">
        <is>
          <t>EME</t>
        </is>
      </c>
      <c r="C872" s="33" t="inlineStr">
        <is>
          <t>D1</t>
        </is>
      </c>
      <c r="D872" s="33" t="n">
        <v>4</v>
      </c>
      <c r="E872" s="68" t="inlineStr">
        <is>
          <t>Combined construction +30.6% (electrical +33%, mechanical +29%); AI/cloud DCs explicit driver. Per share of revenue ~30%+.</t>
        </is>
      </c>
      <c r="F872" s="68" t="inlineStr">
        <is>
          <t>EMCOR Q1 2026 + $15.62B backlog +33% + AI/cloud DC driver (per-name research 2026-05-18)</t>
        </is>
      </c>
      <c r="G872" s="33" t="inlineStr">
        <is>
          <t>High</t>
        </is>
      </c>
      <c r="H872" s="33" t="inlineStr">
        <is>
          <t>Initial</t>
        </is>
      </c>
    </row>
    <row r="873">
      <c r="A873" s="33" t="inlineStr">
        <is>
          <t>2026-05-18</t>
        </is>
      </c>
      <c r="B873" s="33" t="inlineStr">
        <is>
          <t>EME</t>
        </is>
      </c>
      <c r="C873" s="33" t="inlineStr">
        <is>
          <t>D2</t>
        </is>
      </c>
      <c r="D873" s="33" t="n">
        <v>4</v>
      </c>
      <c r="E873" s="68" t="inlineStr">
        <is>
          <t>Premier electrical + mechanical contractor for data center construction.</t>
        </is>
      </c>
      <c r="F873" s="68" t="inlineStr">
        <is>
          <t>EMCOR Q1 2026 + $15.62B backlog +33% + AI/cloud DC driver (per-name research 2026-05-18)</t>
        </is>
      </c>
      <c r="G873" s="33" t="inlineStr">
        <is>
          <t>High</t>
        </is>
      </c>
      <c r="H873" s="33" t="inlineStr">
        <is>
          <t>Initial</t>
        </is>
      </c>
    </row>
    <row r="874">
      <c r="A874" s="33" t="inlineStr">
        <is>
          <t>2026-05-18</t>
        </is>
      </c>
      <c r="B874" s="33" t="inlineStr">
        <is>
          <t>EME</t>
        </is>
      </c>
      <c r="C874" s="33" t="inlineStr">
        <is>
          <t>D3</t>
        </is>
      </c>
      <c r="D874" s="33" t="n">
        <v>4</v>
      </c>
      <c r="E874" s="68" t="inlineStr">
        <is>
          <t>Workforce + reputation + multi-decade relationships.</t>
        </is>
      </c>
      <c r="F874" s="68" t="inlineStr">
        <is>
          <t>EMCOR Q1 2026 + $15.62B backlog +33% + AI/cloud DC driver (per-name research 2026-05-18)</t>
        </is>
      </c>
      <c r="G874" s="33" t="inlineStr">
        <is>
          <t>High</t>
        </is>
      </c>
      <c r="H874" s="33" t="inlineStr">
        <is>
          <t>Initial</t>
        </is>
      </c>
    </row>
    <row r="875">
      <c r="A875" s="33" t="inlineStr">
        <is>
          <t>2026-05-18</t>
        </is>
      </c>
      <c r="B875" s="33" t="inlineStr">
        <is>
          <t>EME</t>
        </is>
      </c>
      <c r="C875" s="33" t="inlineStr">
        <is>
          <t>D4</t>
        </is>
      </c>
      <c r="D875" s="33" t="n">
        <v>5</v>
      </c>
      <c r="E875" s="68" t="inlineStr">
        <is>
          <t>$15.62B backlog (+33% YoY); raised 2026 EPS guide to $28.25-29.75.</t>
        </is>
      </c>
      <c r="F875" s="68" t="inlineStr">
        <is>
          <t>EMCOR Q1 2026 + $15.62B backlog +33% + AI/cloud DC driver (per-name research 2026-05-18)</t>
        </is>
      </c>
      <c r="G875" s="33" t="inlineStr">
        <is>
          <t>High</t>
        </is>
      </c>
      <c r="H875" s="33" t="inlineStr">
        <is>
          <t>Initial</t>
        </is>
      </c>
    </row>
    <row r="876">
      <c r="A876" s="33" t="inlineStr">
        <is>
          <t>2026-05-18</t>
        </is>
      </c>
      <c r="B876" s="33" t="inlineStr">
        <is>
          <t>EME</t>
        </is>
      </c>
      <c r="C876" s="33" t="inlineStr">
        <is>
          <t>D5</t>
        </is>
      </c>
      <c r="D876" s="33" t="n">
        <v>4</v>
      </c>
      <c r="E876" s="68" t="inlineStr">
        <is>
          <t>Hyperscaler customers via DC general contracting.</t>
        </is>
      </c>
      <c r="F876" s="68" t="inlineStr">
        <is>
          <t>EMCOR Q1 2026 + $15.62B backlog +33% + AI/cloud DC driver (per-name research 2026-05-18)</t>
        </is>
      </c>
      <c r="G876" s="33" t="inlineStr">
        <is>
          <t>High</t>
        </is>
      </c>
      <c r="H876" s="33" t="inlineStr">
        <is>
          <t>Initial</t>
        </is>
      </c>
    </row>
    <row r="877">
      <c r="A877" s="33" t="inlineStr">
        <is>
          <t>2026-05-18</t>
        </is>
      </c>
      <c r="B877" s="33" t="inlineStr">
        <is>
          <t>EME</t>
        </is>
      </c>
      <c r="C877" s="33" t="inlineStr">
        <is>
          <t>M1</t>
        </is>
      </c>
      <c r="D877" s="33" t="n">
        <v>5</v>
      </c>
      <c r="E877" s="68" t="inlineStr">
        <is>
          <t>6 up / 0 down on +1Y; FY revision +5.5%; raised guide.</t>
        </is>
      </c>
      <c r="F877" s="68" t="inlineStr">
        <is>
          <t>EMCOR Q1 2026 + $15.62B backlog +33% + AI/cloud DC driver (per-name research 2026-05-18)</t>
        </is>
      </c>
      <c r="G877" s="33" t="inlineStr">
        <is>
          <t>High</t>
        </is>
      </c>
      <c r="H877" s="33" t="inlineStr">
        <is>
          <t>Initial</t>
        </is>
      </c>
    </row>
    <row r="878">
      <c r="A878" s="33" t="inlineStr">
        <is>
          <t>2026-05-18</t>
        </is>
      </c>
      <c r="B878" s="33" t="inlineStr">
        <is>
          <t>EME</t>
        </is>
      </c>
      <c r="C878" s="33" t="inlineStr">
        <is>
          <t>M2</t>
        </is>
      </c>
      <c r="D878" s="33" t="n">
        <v>5</v>
      </c>
      <c r="E878" s="68" t="inlineStr">
        <is>
          <t>+31pp vs XLI 180d.</t>
        </is>
      </c>
      <c r="F878" s="68" t="inlineStr">
        <is>
          <t>EMCOR Q1 2026 + $15.62B backlog +33% + AI/cloud DC driver (per-name research 2026-05-18)</t>
        </is>
      </c>
      <c r="G878" s="33" t="inlineStr">
        <is>
          <t>High</t>
        </is>
      </c>
      <c r="H878" s="33" t="inlineStr">
        <is>
          <t>Initial</t>
        </is>
      </c>
    </row>
    <row r="879">
      <c r="A879" s="33" t="inlineStr">
        <is>
          <t>2026-05-18</t>
        </is>
      </c>
      <c r="B879" s="33" t="inlineStr">
        <is>
          <t>EME</t>
        </is>
      </c>
      <c r="C879" s="33" t="inlineStr">
        <is>
          <t>M3</t>
        </is>
      </c>
      <c r="D879" s="33" t="n">
        <v>3</v>
      </c>
      <c r="E879" s="68" t="inlineStr">
        <is>
          <t>Routine; default 3.</t>
        </is>
      </c>
      <c r="F879" s="68" t="inlineStr">
        <is>
          <t>EMCOR Q1 2026 + $15.62B backlog +33% + AI/cloud DC driver (per-name research 2026-05-18)</t>
        </is>
      </c>
      <c r="G879" s="33" t="inlineStr">
        <is>
          <t>High</t>
        </is>
      </c>
      <c r="H879" s="33" t="inlineStr">
        <is>
          <t>Initial</t>
        </is>
      </c>
    </row>
    <row r="880">
      <c r="A880" s="33" t="inlineStr">
        <is>
          <t>2026-05-18</t>
        </is>
      </c>
      <c r="B880" s="33" t="inlineStr">
        <is>
          <t>EME</t>
        </is>
      </c>
      <c r="C880" s="33" t="inlineStr">
        <is>
          <t>R1</t>
        </is>
      </c>
      <c r="D880" s="33" t="n">
        <v>5</v>
      </c>
      <c r="E880" s="68" t="inlineStr">
        <is>
          <t>Diversified.</t>
        </is>
      </c>
      <c r="F880" s="68" t="inlineStr">
        <is>
          <t>EMCOR Q1 2026 + $15.62B backlog +33% + AI/cloud DC driver (per-name research 2026-05-18)</t>
        </is>
      </c>
      <c r="G880" s="33" t="inlineStr">
        <is>
          <t>High</t>
        </is>
      </c>
      <c r="H880" s="33" t="inlineStr">
        <is>
          <t>Initial</t>
        </is>
      </c>
    </row>
    <row r="881">
      <c r="A881" s="33" t="inlineStr">
        <is>
          <t>2026-05-18</t>
        </is>
      </c>
      <c r="B881" s="33" t="inlineStr">
        <is>
          <t>EME</t>
        </is>
      </c>
      <c r="C881" s="33" t="inlineStr">
        <is>
          <t>R2</t>
        </is>
      </c>
      <c r="D881" s="33" t="n">
        <v>5</v>
      </c>
      <c r="E881" s="68" t="inlineStr">
        <is>
          <t>US-focused.</t>
        </is>
      </c>
      <c r="F881" s="68" t="inlineStr">
        <is>
          <t>EMCOR Q1 2026 + $15.62B backlog +33% + AI/cloud DC driver (per-name research 2026-05-18)</t>
        </is>
      </c>
      <c r="G881" s="33" t="inlineStr">
        <is>
          <t>High</t>
        </is>
      </c>
      <c r="H881" s="33" t="inlineStr">
        <is>
          <t>Initial</t>
        </is>
      </c>
    </row>
    <row r="882">
      <c r="A882" s="33" t="inlineStr">
        <is>
          <t>2026-05-18</t>
        </is>
      </c>
      <c r="B882" s="33" t="inlineStr">
        <is>
          <t>EME</t>
        </is>
      </c>
      <c r="C882" s="33" t="inlineStr">
        <is>
          <t>R3</t>
        </is>
      </c>
      <c r="D882" s="33" t="n">
        <v>5</v>
      </c>
      <c r="E882" s="68" t="inlineStr">
        <is>
          <t>ND/EBITDA -0.2x — net cash. Fortress.</t>
        </is>
      </c>
      <c r="F882" s="68" t="inlineStr">
        <is>
          <t>EMCOR Q1 2026 + $15.62B backlog +33% + AI/cloud DC driver (per-name research 2026-05-18)</t>
        </is>
      </c>
      <c r="G882" s="33" t="inlineStr">
        <is>
          <t>High</t>
        </is>
      </c>
      <c r="H882" s="33" t="inlineStr">
        <is>
          <t>Initial</t>
        </is>
      </c>
    </row>
    <row r="883">
      <c r="A883" s="33" t="inlineStr">
        <is>
          <t>2026-05-18</t>
        </is>
      </c>
      <c r="B883" s="33" t="inlineStr">
        <is>
          <t>EME</t>
        </is>
      </c>
      <c r="C883" s="33" t="inlineStr">
        <is>
          <t>R4</t>
        </is>
      </c>
      <c r="D883" s="33" t="n">
        <v>4</v>
      </c>
      <c r="E883" s="68" t="inlineStr">
        <is>
          <t>Routine.</t>
        </is>
      </c>
      <c r="F883" s="68" t="inlineStr">
        <is>
          <t>EMCOR Q1 2026 + $15.62B backlog +33% + AI/cloud DC driver (per-name research 2026-05-18)</t>
        </is>
      </c>
      <c r="G883" s="33" t="inlineStr">
        <is>
          <t>High</t>
        </is>
      </c>
      <c r="H883" s="33" t="inlineStr">
        <is>
          <t>Initial</t>
        </is>
      </c>
    </row>
    <row r="884">
      <c r="A884" s="33" t="inlineStr">
        <is>
          <t>2026-05-18</t>
        </is>
      </c>
      <c r="B884" s="33" t="inlineStr">
        <is>
          <t>MOD</t>
        </is>
      </c>
      <c r="C884" s="33" t="inlineStr">
        <is>
          <t>D1</t>
        </is>
      </c>
      <c r="D884" s="33" t="n">
        <v>4</v>
      </c>
      <c r="E884" s="68" t="inlineStr">
        <is>
          <t>DC pure-play pivot underway; data center revenue +78% Q3 FY26; targeting $2B FY28 DC revenue (will dominate revenue mix).</t>
        </is>
      </c>
      <c r="F884" s="68" t="inlineStr">
        <is>
          <t>Modine FY26 + DC +78% Q3 + $2B FY28 target + pure-play pivot (per-name research 2026-05-18)</t>
        </is>
      </c>
      <c r="G884" s="33" t="inlineStr">
        <is>
          <t>High</t>
        </is>
      </c>
      <c r="H884" s="33" t="inlineStr">
        <is>
          <t>Initial</t>
        </is>
      </c>
    </row>
    <row r="885">
      <c r="A885" s="33" t="inlineStr">
        <is>
          <t>2026-05-18</t>
        </is>
      </c>
      <c r="B885" s="33" t="inlineStr">
        <is>
          <t>MOD</t>
        </is>
      </c>
      <c r="C885" s="33" t="inlineStr">
        <is>
          <t>D2</t>
        </is>
      </c>
      <c r="D885" s="33" t="n">
        <v>4</v>
      </c>
      <c r="E885" s="68" t="inlineStr">
        <is>
          <t>Data center cooling specialist post-pivot; competes with VRT but differentiated chiller IP.</t>
        </is>
      </c>
      <c r="F885" s="68" t="inlineStr">
        <is>
          <t>Modine FY26 + DC +78% Q3 + $2B FY28 target + pure-play pivot (per-name research 2026-05-18)</t>
        </is>
      </c>
      <c r="G885" s="33" t="inlineStr">
        <is>
          <t>High</t>
        </is>
      </c>
      <c r="H885" s="33" t="inlineStr">
        <is>
          <t>Initial</t>
        </is>
      </c>
    </row>
    <row r="886">
      <c r="A886" s="33" t="inlineStr">
        <is>
          <t>2026-05-18</t>
        </is>
      </c>
      <c r="B886" s="33" t="inlineStr">
        <is>
          <t>MOD</t>
        </is>
      </c>
      <c r="C886" s="33" t="inlineStr">
        <is>
          <t>D3</t>
        </is>
      </c>
      <c r="D886" s="33" t="n">
        <v>3</v>
      </c>
      <c r="E886" s="68" t="inlineStr">
        <is>
          <t>Climate Solutions IP + scale; not 4 because liquid cooling space contested.</t>
        </is>
      </c>
      <c r="F886" s="68" t="inlineStr">
        <is>
          <t>Modine FY26 + DC +78% Q3 + $2B FY28 target + pure-play pivot (per-name research 2026-05-18)</t>
        </is>
      </c>
      <c r="G886" s="33" t="inlineStr">
        <is>
          <t>High</t>
        </is>
      </c>
      <c r="H886" s="33" t="inlineStr">
        <is>
          <t>Initial</t>
        </is>
      </c>
    </row>
    <row r="887">
      <c r="A887" s="33" t="inlineStr">
        <is>
          <t>2026-05-18</t>
        </is>
      </c>
      <c r="B887" s="33" t="inlineStr">
        <is>
          <t>MOD</t>
        </is>
      </c>
      <c r="C887" s="33" t="inlineStr">
        <is>
          <t>D4</t>
        </is>
      </c>
      <c r="D887" s="33" t="n">
        <v>5</v>
      </c>
      <c r="E887" s="68" t="inlineStr">
        <is>
          <t>Demand visibility 5 years out; record intake; spinning off legacy auto via Reverse Morris Trust.</t>
        </is>
      </c>
      <c r="F887" s="68" t="inlineStr">
        <is>
          <t>Modine FY26 + DC +78% Q3 + $2B FY28 target + pure-play pivot (per-name research 2026-05-18)</t>
        </is>
      </c>
      <c r="G887" s="33" t="inlineStr">
        <is>
          <t>High</t>
        </is>
      </c>
      <c r="H887" s="33" t="inlineStr">
        <is>
          <t>Initial</t>
        </is>
      </c>
    </row>
    <row r="888">
      <c r="A888" s="33" t="inlineStr">
        <is>
          <t>2026-05-18</t>
        </is>
      </c>
      <c r="B888" s="33" t="inlineStr">
        <is>
          <t>MOD</t>
        </is>
      </c>
      <c r="C888" s="33" t="inlineStr">
        <is>
          <t>D5</t>
        </is>
      </c>
      <c r="D888" s="33" t="n">
        <v>5</v>
      </c>
      <c r="E888" s="68" t="inlineStr">
        <is>
          <t>Direct hyperscaler customers expanding.</t>
        </is>
      </c>
      <c r="F888" s="68" t="inlineStr">
        <is>
          <t>Modine FY26 + DC +78% Q3 + $2B FY28 target + pure-play pivot (per-name research 2026-05-18)</t>
        </is>
      </c>
      <c r="G888" s="33" t="inlineStr">
        <is>
          <t>High</t>
        </is>
      </c>
      <c r="H888" s="33" t="inlineStr">
        <is>
          <t>Initial</t>
        </is>
      </c>
    </row>
    <row r="889">
      <c r="A889" s="33" t="inlineStr">
        <is>
          <t>2026-05-18</t>
        </is>
      </c>
      <c r="B889" s="33" t="inlineStr">
        <is>
          <t>MOD</t>
        </is>
      </c>
      <c r="C889" s="33" t="inlineStr">
        <is>
          <t>M1</t>
        </is>
      </c>
      <c r="D889" s="33" t="n">
        <v>4</v>
      </c>
      <c r="E889" s="68" t="inlineStr">
        <is>
          <t>1 up / 0 down on +1Y; FY revision +4.1%; limited revision activity.</t>
        </is>
      </c>
      <c r="F889" s="68" t="inlineStr">
        <is>
          <t>Modine FY26 + DC +78% Q3 + $2B FY28 target + pure-play pivot (per-name research 2026-05-18)</t>
        </is>
      </c>
      <c r="G889" s="33" t="inlineStr">
        <is>
          <t>High</t>
        </is>
      </c>
      <c r="H889" s="33" t="inlineStr">
        <is>
          <t>Initial</t>
        </is>
      </c>
    </row>
    <row r="890">
      <c r="A890" s="33" t="inlineStr">
        <is>
          <t>2026-05-18</t>
        </is>
      </c>
      <c r="B890" s="33" t="inlineStr">
        <is>
          <t>MOD</t>
        </is>
      </c>
      <c r="C890" s="33" t="inlineStr">
        <is>
          <t>M2</t>
        </is>
      </c>
      <c r="D890" s="33" t="n">
        <v>5</v>
      </c>
      <c r="E890" s="68" t="inlineStr">
        <is>
          <t>+60pp vs XLI 180d.</t>
        </is>
      </c>
      <c r="F890" s="68" t="inlineStr">
        <is>
          <t>Modine FY26 + DC +78% Q3 + $2B FY28 target + pure-play pivot (per-name research 2026-05-18)</t>
        </is>
      </c>
      <c r="G890" s="33" t="inlineStr">
        <is>
          <t>High</t>
        </is>
      </c>
      <c r="H890" s="33" t="inlineStr">
        <is>
          <t>Initial</t>
        </is>
      </c>
    </row>
    <row r="891">
      <c r="A891" s="33" t="inlineStr">
        <is>
          <t>2026-05-18</t>
        </is>
      </c>
      <c r="B891" s="33" t="inlineStr">
        <is>
          <t>MOD</t>
        </is>
      </c>
      <c r="C891" s="33" t="inlineStr">
        <is>
          <t>M3</t>
        </is>
      </c>
      <c r="D891" s="33" t="n">
        <v>3</v>
      </c>
      <c r="E891" s="68" t="inlineStr">
        <is>
          <t>Routine; default 3.</t>
        </is>
      </c>
      <c r="F891" s="68" t="inlineStr">
        <is>
          <t>Modine FY26 + DC +78% Q3 + $2B FY28 target + pure-play pivot (per-name research 2026-05-18)</t>
        </is>
      </c>
      <c r="G891" s="33" t="inlineStr">
        <is>
          <t>High</t>
        </is>
      </c>
      <c r="H891" s="33" t="inlineStr">
        <is>
          <t>Initial</t>
        </is>
      </c>
    </row>
    <row r="892">
      <c r="A892" s="33" t="inlineStr">
        <is>
          <t>2026-05-18</t>
        </is>
      </c>
      <c r="B892" s="33" t="inlineStr">
        <is>
          <t>MOD</t>
        </is>
      </c>
      <c r="C892" s="33" t="inlineStr">
        <is>
          <t>R1</t>
        </is>
      </c>
      <c r="D892" s="33" t="n">
        <v>4</v>
      </c>
      <c r="E892" s="68" t="inlineStr">
        <is>
          <t>DC customer concentration emerging.</t>
        </is>
      </c>
      <c r="F892" s="68" t="inlineStr">
        <is>
          <t>Modine FY26 + DC +78% Q3 + $2B FY28 target + pure-play pivot (per-name research 2026-05-18)</t>
        </is>
      </c>
      <c r="G892" s="33" t="inlineStr">
        <is>
          <t>High</t>
        </is>
      </c>
      <c r="H892" s="33" t="inlineStr">
        <is>
          <t>Initial</t>
        </is>
      </c>
    </row>
    <row r="893">
      <c r="A893" s="33" t="inlineStr">
        <is>
          <t>2026-05-18</t>
        </is>
      </c>
      <c r="B893" s="33" t="inlineStr">
        <is>
          <t>MOD</t>
        </is>
      </c>
      <c r="C893" s="33" t="inlineStr">
        <is>
          <t>R2</t>
        </is>
      </c>
      <c r="D893" s="33" t="n">
        <v>4</v>
      </c>
      <c r="E893" s="68" t="inlineStr">
        <is>
          <t>Global.</t>
        </is>
      </c>
      <c r="F893" s="68" t="inlineStr">
        <is>
          <t>Modine FY26 + DC +78% Q3 + $2B FY28 target + pure-play pivot (per-name research 2026-05-18)</t>
        </is>
      </c>
      <c r="G893" s="33" t="inlineStr">
        <is>
          <t>High</t>
        </is>
      </c>
      <c r="H893" s="33" t="inlineStr">
        <is>
          <t>Initial</t>
        </is>
      </c>
    </row>
    <row r="894">
      <c r="A894" s="33" t="inlineStr">
        <is>
          <t>2026-05-18</t>
        </is>
      </c>
      <c r="B894" s="33" t="inlineStr">
        <is>
          <t>MOD</t>
        </is>
      </c>
      <c r="C894" s="33" t="inlineStr">
        <is>
          <t>R3</t>
        </is>
      </c>
      <c r="D894" s="33" t="n">
        <v>4</v>
      </c>
      <c r="E894" s="68" t="inlineStr">
        <is>
          <t>Reasonable leverage.</t>
        </is>
      </c>
      <c r="F894" s="68" t="inlineStr">
        <is>
          <t>Modine FY26 + DC +78% Q3 + $2B FY28 target + pure-play pivot (per-name research 2026-05-18)</t>
        </is>
      </c>
      <c r="G894" s="33" t="inlineStr">
        <is>
          <t>High</t>
        </is>
      </c>
      <c r="H894" s="33" t="inlineStr">
        <is>
          <t>Initial</t>
        </is>
      </c>
    </row>
    <row r="895">
      <c r="A895" s="33" t="inlineStr">
        <is>
          <t>2026-05-18</t>
        </is>
      </c>
      <c r="B895" s="33" t="inlineStr">
        <is>
          <t>MOD</t>
        </is>
      </c>
      <c r="C895" s="33" t="inlineStr">
        <is>
          <t>R4</t>
        </is>
      </c>
      <c r="D895" s="33" t="n">
        <v>4</v>
      </c>
      <c r="E895" s="68" t="inlineStr">
        <is>
          <t>Routine.</t>
        </is>
      </c>
      <c r="F895" s="68" t="inlineStr">
        <is>
          <t>Modine FY26 + DC +78% Q3 + $2B FY28 target + pure-play pivot (per-name research 2026-05-18)</t>
        </is>
      </c>
      <c r="G895" s="33" t="inlineStr">
        <is>
          <t>High</t>
        </is>
      </c>
      <c r="H895" s="33" t="inlineStr">
        <is>
          <t>Initial</t>
        </is>
      </c>
    </row>
    <row r="896">
      <c r="A896" s="33" t="inlineStr">
        <is>
          <t>2026-05-18</t>
        </is>
      </c>
      <c r="B896" s="33" t="inlineStr">
        <is>
          <t>CARR</t>
        </is>
      </c>
      <c r="C896" s="33" t="inlineStr">
        <is>
          <t>D1</t>
        </is>
      </c>
      <c r="D896" s="33" t="n">
        <v>3</v>
      </c>
      <c r="E896" s="68" t="inlineStr">
        <is>
          <t>DC orders +500% Q1 but $1.5B guide / $22B total = ~7%. Band 3.</t>
        </is>
      </c>
      <c r="F896" s="68" t="inlineStr">
        <is>
          <t>Carrier Q1 2026 + DC orders +500% + $1.5B 2026 DC guide (per-name research 2026-05-18)</t>
        </is>
      </c>
      <c r="G896" s="33" t="inlineStr">
        <is>
          <t>High</t>
        </is>
      </c>
      <c r="H896" s="33" t="inlineStr">
        <is>
          <t>Initial</t>
        </is>
      </c>
    </row>
    <row r="897">
      <c r="A897" s="33" t="inlineStr">
        <is>
          <t>2026-05-18</t>
        </is>
      </c>
      <c r="B897" s="33" t="inlineStr">
        <is>
          <t>CARR</t>
        </is>
      </c>
      <c r="C897" s="33" t="inlineStr">
        <is>
          <t>D2</t>
        </is>
      </c>
      <c r="D897" s="33" t="n">
        <v>4</v>
      </c>
      <c r="E897" s="68" t="inlineStr">
        <is>
          <t>Major HVAC commercial player; QuantumLeap portfolio.</t>
        </is>
      </c>
      <c r="F897" s="68" t="inlineStr">
        <is>
          <t>Carrier Q1 2026 + DC orders +500% + $1.5B 2026 DC guide (per-name research 2026-05-18)</t>
        </is>
      </c>
      <c r="G897" s="33" t="inlineStr">
        <is>
          <t>High</t>
        </is>
      </c>
      <c r="H897" s="33" t="inlineStr">
        <is>
          <t>Initial</t>
        </is>
      </c>
    </row>
    <row r="898">
      <c r="A898" s="33" t="inlineStr">
        <is>
          <t>2026-05-18</t>
        </is>
      </c>
      <c r="B898" s="33" t="inlineStr">
        <is>
          <t>CARR</t>
        </is>
      </c>
      <c r="C898" s="33" t="inlineStr">
        <is>
          <t>D3</t>
        </is>
      </c>
      <c r="D898" s="33" t="n">
        <v>3</v>
      </c>
      <c r="E898" s="68" t="inlineStr">
        <is>
          <t>Brand + scale + 100yr customer base. Some commoditization.</t>
        </is>
      </c>
      <c r="F898" s="68" t="inlineStr">
        <is>
          <t>Carrier Q1 2026 + DC orders +500% + $1.5B 2026 DC guide (per-name research 2026-05-18)</t>
        </is>
      </c>
      <c r="G898" s="33" t="inlineStr">
        <is>
          <t>High</t>
        </is>
      </c>
      <c r="H898" s="33" t="inlineStr">
        <is>
          <t>Initial</t>
        </is>
      </c>
    </row>
    <row r="899">
      <c r="A899" s="33" t="inlineStr">
        <is>
          <t>2026-05-18</t>
        </is>
      </c>
      <c r="B899" s="33" t="inlineStr">
        <is>
          <t>CARR</t>
        </is>
      </c>
      <c r="C899" s="33" t="inlineStr">
        <is>
          <t>D4</t>
        </is>
      </c>
      <c r="D899" s="33" t="n">
        <v>4</v>
      </c>
      <c r="E899" s="68" t="inlineStr">
        <is>
          <t>Strong DC orders but smaller % of total business; $450M Monterrey chiller investment.</t>
        </is>
      </c>
      <c r="F899" s="68" t="inlineStr">
        <is>
          <t>Carrier Q1 2026 + DC orders +500% + $1.5B 2026 DC guide (per-name research 2026-05-18)</t>
        </is>
      </c>
      <c r="G899" s="33" t="inlineStr">
        <is>
          <t>High</t>
        </is>
      </c>
      <c r="H899" s="33" t="inlineStr">
        <is>
          <t>Initial</t>
        </is>
      </c>
    </row>
    <row r="900">
      <c r="A900" s="33" t="inlineStr">
        <is>
          <t>2026-05-18</t>
        </is>
      </c>
      <c r="B900" s="33" t="inlineStr">
        <is>
          <t>CARR</t>
        </is>
      </c>
      <c r="C900" s="33" t="inlineStr">
        <is>
          <t>D5</t>
        </is>
      </c>
      <c r="D900" s="33" t="n">
        <v>4</v>
      </c>
      <c r="E900" s="68" t="inlineStr">
        <is>
          <t>Hyperscaler/colo customers growing fast.</t>
        </is>
      </c>
      <c r="F900" s="68" t="inlineStr">
        <is>
          <t>Carrier Q1 2026 + DC orders +500% + $1.5B 2026 DC guide (per-name research 2026-05-18)</t>
        </is>
      </c>
      <c r="G900" s="33" t="inlineStr">
        <is>
          <t>High</t>
        </is>
      </c>
      <c r="H900" s="33" t="inlineStr">
        <is>
          <t>Initial</t>
        </is>
      </c>
    </row>
    <row r="901">
      <c r="A901" s="33" t="inlineStr">
        <is>
          <t>2026-05-18</t>
        </is>
      </c>
      <c r="B901" s="33" t="inlineStr">
        <is>
          <t>CARR</t>
        </is>
      </c>
      <c r="C901" s="33" t="inlineStr">
        <is>
          <t>M1</t>
        </is>
      </c>
      <c r="D901" s="33" t="n">
        <v>3</v>
      </c>
      <c r="E901" s="68" t="inlineStr">
        <is>
          <t>8 up / 4 down — mixed.</t>
        </is>
      </c>
      <c r="F901" s="68" t="inlineStr">
        <is>
          <t>Carrier Q1 2026 + DC orders +500% + $1.5B 2026 DC guide (per-name research 2026-05-18)</t>
        </is>
      </c>
      <c r="G901" s="33" t="inlineStr">
        <is>
          <t>High</t>
        </is>
      </c>
      <c r="H901" s="33" t="inlineStr">
        <is>
          <t>Initial</t>
        </is>
      </c>
    </row>
    <row r="902">
      <c r="A902" s="33" t="inlineStr">
        <is>
          <t>2026-05-18</t>
        </is>
      </c>
      <c r="B902" s="33" t="inlineStr">
        <is>
          <t>CARR</t>
        </is>
      </c>
      <c r="C902" s="33" t="inlineStr">
        <is>
          <t>M2</t>
        </is>
      </c>
      <c r="D902" s="33" t="n">
        <v>4</v>
      </c>
      <c r="E902" s="68" t="inlineStr">
        <is>
          <t>+13pp vs XLI 180d.</t>
        </is>
      </c>
      <c r="F902" s="68" t="inlineStr">
        <is>
          <t>Carrier Q1 2026 + DC orders +500% + $1.5B 2026 DC guide (per-name research 2026-05-18)</t>
        </is>
      </c>
      <c r="G902" s="33" t="inlineStr">
        <is>
          <t>High</t>
        </is>
      </c>
      <c r="H902" s="33" t="inlineStr">
        <is>
          <t>Initial</t>
        </is>
      </c>
    </row>
    <row r="903">
      <c r="A903" s="33" t="inlineStr">
        <is>
          <t>2026-05-18</t>
        </is>
      </c>
      <c r="B903" s="33" t="inlineStr">
        <is>
          <t>CARR</t>
        </is>
      </c>
      <c r="C903" s="33" t="inlineStr">
        <is>
          <t>M3</t>
        </is>
      </c>
      <c r="D903" s="33" t="n">
        <v>3</v>
      </c>
      <c r="E903" s="68" t="inlineStr">
        <is>
          <t>Routine; default 3.</t>
        </is>
      </c>
      <c r="F903" s="68" t="inlineStr">
        <is>
          <t>Carrier Q1 2026 + DC orders +500% + $1.5B 2026 DC guide (per-name research 2026-05-18)</t>
        </is>
      </c>
      <c r="G903" s="33" t="inlineStr">
        <is>
          <t>High</t>
        </is>
      </c>
      <c r="H903" s="33" t="inlineStr">
        <is>
          <t>Initial</t>
        </is>
      </c>
    </row>
    <row r="904">
      <c r="A904" s="33" t="inlineStr">
        <is>
          <t>2026-05-18</t>
        </is>
      </c>
      <c r="B904" s="33" t="inlineStr">
        <is>
          <t>CARR</t>
        </is>
      </c>
      <c r="C904" s="33" t="inlineStr">
        <is>
          <t>R1</t>
        </is>
      </c>
      <c r="D904" s="33" t="n">
        <v>5</v>
      </c>
      <c r="E904" s="68" t="inlineStr">
        <is>
          <t>Highly diversified globally.</t>
        </is>
      </c>
      <c r="F904" s="68" t="inlineStr">
        <is>
          <t>Carrier Q1 2026 + DC orders +500% + $1.5B 2026 DC guide (per-name research 2026-05-18)</t>
        </is>
      </c>
      <c r="G904" s="33" t="inlineStr">
        <is>
          <t>High</t>
        </is>
      </c>
      <c r="H904" s="33" t="inlineStr">
        <is>
          <t>Initial</t>
        </is>
      </c>
    </row>
    <row r="905">
      <c r="A905" s="33" t="inlineStr">
        <is>
          <t>2026-05-18</t>
        </is>
      </c>
      <c r="B905" s="33" t="inlineStr">
        <is>
          <t>CARR</t>
        </is>
      </c>
      <c r="C905" s="33" t="inlineStr">
        <is>
          <t>R2</t>
        </is>
      </c>
      <c r="D905" s="33" t="n">
        <v>4</v>
      </c>
      <c r="E905" s="68" t="inlineStr">
        <is>
          <t>Global.</t>
        </is>
      </c>
      <c r="F905" s="68" t="inlineStr">
        <is>
          <t>Carrier Q1 2026 + DC orders +500% + $1.5B 2026 DC guide (per-name research 2026-05-18)</t>
        </is>
      </c>
      <c r="G905" s="33" t="inlineStr">
        <is>
          <t>High</t>
        </is>
      </c>
      <c r="H905" s="33" t="inlineStr">
        <is>
          <t>Initial</t>
        </is>
      </c>
    </row>
    <row r="906">
      <c r="A906" s="33" t="inlineStr">
        <is>
          <t>2026-05-18</t>
        </is>
      </c>
      <c r="B906" s="33" t="inlineStr">
        <is>
          <t>CARR</t>
        </is>
      </c>
      <c r="C906" s="33" t="inlineStr">
        <is>
          <t>R3</t>
        </is>
      </c>
      <c r="D906" s="33" t="n">
        <v>3</v>
      </c>
      <c r="E906" s="68" t="inlineStr">
        <is>
          <t>ND/EBITDA 3.6x — moderate.</t>
        </is>
      </c>
      <c r="F906" s="68" t="inlineStr">
        <is>
          <t>Carrier Q1 2026 + DC orders +500% + $1.5B 2026 DC guide (per-name research 2026-05-18)</t>
        </is>
      </c>
      <c r="G906" s="33" t="inlineStr">
        <is>
          <t>High</t>
        </is>
      </c>
      <c r="H906" s="33" t="inlineStr">
        <is>
          <t>Initial</t>
        </is>
      </c>
    </row>
    <row r="907">
      <c r="A907" s="33" t="inlineStr">
        <is>
          <t>2026-05-18</t>
        </is>
      </c>
      <c r="B907" s="33" t="inlineStr">
        <is>
          <t>CARR</t>
        </is>
      </c>
      <c r="C907" s="33" t="inlineStr">
        <is>
          <t>R4</t>
        </is>
      </c>
      <c r="D907" s="33" t="n">
        <v>4</v>
      </c>
      <c r="E907" s="68" t="inlineStr">
        <is>
          <t>Routine.</t>
        </is>
      </c>
      <c r="F907" s="68" t="inlineStr">
        <is>
          <t>Carrier Q1 2026 + DC orders +500% + $1.5B 2026 DC guide (per-name research 2026-05-18)</t>
        </is>
      </c>
      <c r="G907" s="33" t="inlineStr">
        <is>
          <t>High</t>
        </is>
      </c>
      <c r="H907" s="33" t="inlineStr">
        <is>
          <t>Initial</t>
        </is>
      </c>
    </row>
    <row r="908">
      <c r="A908" s="33" t="inlineStr">
        <is>
          <t>2026-05-18</t>
        </is>
      </c>
      <c r="B908" s="33" t="inlineStr">
        <is>
          <t>TT</t>
        </is>
      </c>
      <c r="C908" s="33" t="inlineStr">
        <is>
          <t>D1</t>
        </is>
      </c>
      <c r="D908" s="33" t="n">
        <v>3</v>
      </c>
      <c r="E908" s="68" t="inlineStr">
        <is>
          <t>Cooling growing but not majority; Trane is bigger HVAC business with DC growing segment. Band 3.</t>
        </is>
      </c>
      <c r="F908" s="68" t="inlineStr">
        <is>
          <t>Trane Q1 2026 + $7.3B backlog + LiquidStack + Stellar acquisitions + market share data (per-name research 2026-05-18 + Dom HVAC moat call)</t>
        </is>
      </c>
      <c r="G908" s="33" t="inlineStr">
        <is>
          <t>High</t>
        </is>
      </c>
      <c r="H908" s="33" t="inlineStr">
        <is>
          <t>Initial</t>
        </is>
      </c>
    </row>
    <row r="909">
      <c r="A909" s="33" t="inlineStr">
        <is>
          <t>2026-05-18</t>
        </is>
      </c>
      <c r="B909" s="33" t="inlineStr">
        <is>
          <t>TT</t>
        </is>
      </c>
      <c r="C909" s="33" t="inlineStr">
        <is>
          <t>D2</t>
        </is>
      </c>
      <c r="D909" s="33" t="n">
        <v>4</v>
      </c>
      <c r="E909" s="68" t="inlineStr">
        <is>
          <t>Top-3 NA commercial HVAC; LiquidStack + Stellar Energy acquisitions in 2026.</t>
        </is>
      </c>
      <c r="F909" s="68" t="inlineStr">
        <is>
          <t>Trane Q1 2026 + $7.3B backlog + LiquidStack + Stellar acquisitions + market share data (per-name research 2026-05-18 + Dom HVAC moat call)</t>
        </is>
      </c>
      <c r="G909" s="33" t="inlineStr">
        <is>
          <t>High</t>
        </is>
      </c>
      <c r="H909" s="33" t="inlineStr">
        <is>
          <t>Initial</t>
        </is>
      </c>
    </row>
    <row r="910">
      <c r="A910" s="33" t="inlineStr">
        <is>
          <t>2026-05-18</t>
        </is>
      </c>
      <c r="B910" s="33" t="inlineStr">
        <is>
          <t>TT</t>
        </is>
      </c>
      <c r="C910" s="33" t="inlineStr">
        <is>
          <t>D3</t>
        </is>
      </c>
      <c r="D910" s="33" t="n">
        <v>4</v>
      </c>
      <c r="E910" s="68" t="inlineStr">
        <is>
          <t>Overall HVAC moat — top-3 NA commercial chiller, top-5 global. Note (Dom 2026-05-18): In AI data center cooling specifically TT is fast-follower (Vertiv leads at 11.3% share; JCI established). HVAC diversification is valuable hedge — if AI cooling demand slows, TT still has strong traditional HVAC. Quarterly review item: if TT fails to gain AI cooling share despite acquisitions, downgrade D3 to 3.</t>
        </is>
      </c>
      <c r="F910" s="68" t="inlineStr">
        <is>
          <t>Trane Q1 2026 + $7.3B backlog + LiquidStack + Stellar acquisitions + market share data (per-name research 2026-05-18 + Dom HVAC moat call)</t>
        </is>
      </c>
      <c r="G910" s="33" t="inlineStr">
        <is>
          <t>High</t>
        </is>
      </c>
      <c r="H910" s="33" t="inlineStr">
        <is>
          <t>Initial</t>
        </is>
      </c>
    </row>
    <row r="911">
      <c r="A911" s="33" t="inlineStr">
        <is>
          <t>2026-05-18</t>
        </is>
      </c>
      <c r="B911" s="33" t="inlineStr">
        <is>
          <t>TT</t>
        </is>
      </c>
      <c r="C911" s="33" t="inlineStr">
        <is>
          <t>D4</t>
        </is>
      </c>
      <c r="D911" s="33" t="n">
        <v>5</v>
      </c>
      <c r="E911" s="68" t="inlineStr">
        <is>
          <t>$7.3B backlog; Commercial HVAC bookings +120% Q4 2025; 2x book-to-bill; LiquidStack + Stellar Energy acquisitions.</t>
        </is>
      </c>
      <c r="F911" s="68" t="inlineStr">
        <is>
          <t>Trane Q1 2026 + $7.3B backlog + LiquidStack + Stellar acquisitions + market share data (per-name research 2026-05-18 + Dom HVAC moat call)</t>
        </is>
      </c>
      <c r="G911" s="33" t="inlineStr">
        <is>
          <t>High</t>
        </is>
      </c>
      <c r="H911" s="33" t="inlineStr">
        <is>
          <t>Initial</t>
        </is>
      </c>
    </row>
    <row r="912">
      <c r="A912" s="33" t="inlineStr">
        <is>
          <t>2026-05-18</t>
        </is>
      </c>
      <c r="B912" s="33" t="inlineStr">
        <is>
          <t>TT</t>
        </is>
      </c>
      <c r="C912" s="33" t="inlineStr">
        <is>
          <t>D5</t>
        </is>
      </c>
      <c r="D912" s="33" t="n">
        <v>4</v>
      </c>
      <c r="E912" s="68" t="inlineStr">
        <is>
          <t>Hyperscaler exposure via cooling + acquired liquid cooling players.</t>
        </is>
      </c>
      <c r="F912" s="68" t="inlineStr">
        <is>
          <t>Trane Q1 2026 + $7.3B backlog + LiquidStack + Stellar acquisitions + market share data (per-name research 2026-05-18 + Dom HVAC moat call)</t>
        </is>
      </c>
      <c r="G912" s="33" t="inlineStr">
        <is>
          <t>High</t>
        </is>
      </c>
      <c r="H912" s="33" t="inlineStr">
        <is>
          <t>Initial</t>
        </is>
      </c>
    </row>
    <row r="913">
      <c r="A913" s="33" t="inlineStr">
        <is>
          <t>2026-05-18</t>
        </is>
      </c>
      <c r="B913" s="33" t="inlineStr">
        <is>
          <t>TT</t>
        </is>
      </c>
      <c r="C913" s="33" t="inlineStr">
        <is>
          <t>M1</t>
        </is>
      </c>
      <c r="D913" s="33" t="n">
        <v>5</v>
      </c>
      <c r="E913" s="68" t="inlineStr">
        <is>
          <t>15 up / 2 down on +1Y; strong revisions.</t>
        </is>
      </c>
      <c r="F913" s="68" t="inlineStr">
        <is>
          <t>Trane Q1 2026 + $7.3B backlog + LiquidStack + Stellar acquisitions + market share data (per-name research 2026-05-18 + Dom HVAC moat call)</t>
        </is>
      </c>
      <c r="G913" s="33" t="inlineStr">
        <is>
          <t>High</t>
        </is>
      </c>
      <c r="H913" s="33" t="inlineStr">
        <is>
          <t>Initial</t>
        </is>
      </c>
    </row>
    <row r="914">
      <c r="A914" s="33" t="inlineStr">
        <is>
          <t>2026-05-18</t>
        </is>
      </c>
      <c r="B914" s="33" t="inlineStr">
        <is>
          <t>TT</t>
        </is>
      </c>
      <c r="C914" s="33" t="inlineStr">
        <is>
          <t>M2</t>
        </is>
      </c>
      <c r="D914" s="33" t="n">
        <v>3</v>
      </c>
      <c r="E914" s="68" t="inlineStr">
        <is>
          <t>-1pp vs XLI 180d. In-line.</t>
        </is>
      </c>
      <c r="F914" s="68" t="inlineStr">
        <is>
          <t>Trane Q1 2026 + $7.3B backlog + LiquidStack + Stellar acquisitions + market share data (per-name research 2026-05-18 + Dom HVAC moat call)</t>
        </is>
      </c>
      <c r="G914" s="33" t="inlineStr">
        <is>
          <t>High</t>
        </is>
      </c>
      <c r="H914" s="33" t="inlineStr">
        <is>
          <t>Initial</t>
        </is>
      </c>
    </row>
    <row r="915">
      <c r="A915" s="33" t="inlineStr">
        <is>
          <t>2026-05-18</t>
        </is>
      </c>
      <c r="B915" s="33" t="inlineStr">
        <is>
          <t>TT</t>
        </is>
      </c>
      <c r="C915" s="33" t="inlineStr">
        <is>
          <t>M3</t>
        </is>
      </c>
      <c r="D915" s="33" t="n">
        <v>3</v>
      </c>
      <c r="E915" s="68" t="inlineStr">
        <is>
          <t>Routine; default 3.</t>
        </is>
      </c>
      <c r="F915" s="68" t="inlineStr">
        <is>
          <t>Trane Q1 2026 + $7.3B backlog + LiquidStack + Stellar acquisitions + market share data (per-name research 2026-05-18 + Dom HVAC moat call)</t>
        </is>
      </c>
      <c r="G915" s="33" t="inlineStr">
        <is>
          <t>High</t>
        </is>
      </c>
      <c r="H915" s="33" t="inlineStr">
        <is>
          <t>Initial</t>
        </is>
      </c>
    </row>
    <row r="916">
      <c r="A916" s="33" t="inlineStr">
        <is>
          <t>2026-05-18</t>
        </is>
      </c>
      <c r="B916" s="33" t="inlineStr">
        <is>
          <t>TT</t>
        </is>
      </c>
      <c r="C916" s="33" t="inlineStr">
        <is>
          <t>R1</t>
        </is>
      </c>
      <c r="D916" s="33" t="n">
        <v>5</v>
      </c>
      <c r="E916" s="68" t="inlineStr">
        <is>
          <t>Highly diversified.</t>
        </is>
      </c>
      <c r="F916" s="68" t="inlineStr">
        <is>
          <t>Trane Q1 2026 + $7.3B backlog + LiquidStack + Stellar acquisitions + market share data (per-name research 2026-05-18 + Dom HVAC moat call)</t>
        </is>
      </c>
      <c r="G916" s="33" t="inlineStr">
        <is>
          <t>High</t>
        </is>
      </c>
      <c r="H916" s="33" t="inlineStr">
        <is>
          <t>Initial</t>
        </is>
      </c>
    </row>
    <row r="917">
      <c r="A917" s="33" t="inlineStr">
        <is>
          <t>2026-05-18</t>
        </is>
      </c>
      <c r="B917" s="33" t="inlineStr">
        <is>
          <t>TT</t>
        </is>
      </c>
      <c r="C917" s="33" t="inlineStr">
        <is>
          <t>R2</t>
        </is>
      </c>
      <c r="D917" s="33" t="n">
        <v>4</v>
      </c>
      <c r="E917" s="68" t="inlineStr">
        <is>
          <t>Global.</t>
        </is>
      </c>
      <c r="F917" s="68" t="inlineStr">
        <is>
          <t>Trane Q1 2026 + $7.3B backlog + LiquidStack + Stellar acquisitions + market share data (per-name research 2026-05-18 + Dom HVAC moat call)</t>
        </is>
      </c>
      <c r="G917" s="33" t="inlineStr">
        <is>
          <t>High</t>
        </is>
      </c>
      <c r="H917" s="33" t="inlineStr">
        <is>
          <t>Initial</t>
        </is>
      </c>
    </row>
    <row r="918">
      <c r="A918" s="33" t="inlineStr">
        <is>
          <t>2026-05-18</t>
        </is>
      </c>
      <c r="B918" s="33" t="inlineStr">
        <is>
          <t>TT</t>
        </is>
      </c>
      <c r="C918" s="33" t="inlineStr">
        <is>
          <t>R3</t>
        </is>
      </c>
      <c r="D918" s="33" t="n">
        <v>4</v>
      </c>
      <c r="E918" s="68" t="inlineStr">
        <is>
          <t>ND/EBITDA 0.8x — strong.</t>
        </is>
      </c>
      <c r="F918" s="68" t="inlineStr">
        <is>
          <t>Trane Q1 2026 + $7.3B backlog + LiquidStack + Stellar acquisitions + market share data (per-name research 2026-05-18 + Dom HVAC moat call)</t>
        </is>
      </c>
      <c r="G918" s="33" t="inlineStr">
        <is>
          <t>High</t>
        </is>
      </c>
      <c r="H918" s="33" t="inlineStr">
        <is>
          <t>Initial</t>
        </is>
      </c>
    </row>
    <row r="919">
      <c r="A919" s="33" t="inlineStr">
        <is>
          <t>2026-05-18</t>
        </is>
      </c>
      <c r="B919" s="33" t="inlineStr">
        <is>
          <t>TT</t>
        </is>
      </c>
      <c r="C919" s="33" t="inlineStr">
        <is>
          <t>R4</t>
        </is>
      </c>
      <c r="D919" s="33" t="n">
        <v>4</v>
      </c>
      <c r="E919" s="68" t="inlineStr">
        <is>
          <t>Routine.</t>
        </is>
      </c>
      <c r="F919" s="68" t="inlineStr">
        <is>
          <t>Trane Q1 2026 + $7.3B backlog + LiquidStack + Stellar acquisitions + market share data (per-name research 2026-05-18 + Dom HVAC moat call)</t>
        </is>
      </c>
      <c r="G919" s="33" t="inlineStr">
        <is>
          <t>High</t>
        </is>
      </c>
      <c r="H919" s="33" t="inlineStr">
        <is>
          <t>Initial</t>
        </is>
      </c>
    </row>
    <row r="920">
      <c r="A920" s="33" t="inlineStr">
        <is>
          <t>2026-05-18</t>
        </is>
      </c>
      <c r="B920" s="33" t="inlineStr">
        <is>
          <t>JCI</t>
        </is>
      </c>
      <c r="C920" s="33" t="inlineStr">
        <is>
          <t>D1</t>
        </is>
      </c>
      <c r="D920" s="33" t="n">
        <v>3</v>
      </c>
      <c r="E920" s="68" t="inlineStr">
        <is>
          <t>DC cooling growing but mid-single-digit % of revenue.</t>
        </is>
      </c>
      <c r="F920" s="68" t="inlineStr">
        <is>
          <t>Johnson Controls Q1 2026 + NVDA collaboration + 1 GW reference designs + raised guide (per-name research 2026-05-18)</t>
        </is>
      </c>
      <c r="G920" s="33" t="inlineStr">
        <is>
          <t>High</t>
        </is>
      </c>
      <c r="H920" s="33" t="inlineStr">
        <is>
          <t>Initial</t>
        </is>
      </c>
    </row>
    <row r="921">
      <c r="A921" s="33" t="inlineStr">
        <is>
          <t>2026-05-18</t>
        </is>
      </c>
      <c r="B921" s="33" t="inlineStr">
        <is>
          <t>JCI</t>
        </is>
      </c>
      <c r="C921" s="33" t="inlineStr">
        <is>
          <t>D2</t>
        </is>
      </c>
      <c r="D921" s="33" t="n">
        <v>4</v>
      </c>
      <c r="E921" s="68" t="inlineStr">
        <is>
          <t>Major HVAC + building automation player; Silent-Aire CDU platform.</t>
        </is>
      </c>
      <c r="F921" s="68" t="inlineStr">
        <is>
          <t>Johnson Controls Q1 2026 + NVDA collaboration + 1 GW reference designs + raised guide (per-name research 2026-05-18)</t>
        </is>
      </c>
      <c r="G921" s="33" t="inlineStr">
        <is>
          <t>High</t>
        </is>
      </c>
      <c r="H921" s="33" t="inlineStr">
        <is>
          <t>Initial</t>
        </is>
      </c>
    </row>
    <row r="922">
      <c r="A922" s="33" t="inlineStr">
        <is>
          <t>2026-05-18</t>
        </is>
      </c>
      <c r="B922" s="33" t="inlineStr">
        <is>
          <t>JCI</t>
        </is>
      </c>
      <c r="C922" s="33" t="inlineStr">
        <is>
          <t>D3</t>
        </is>
      </c>
      <c r="D922" s="33" t="n">
        <v>4</v>
      </c>
      <c r="E922" s="68" t="inlineStr">
        <is>
          <t>Brand + scale + building automation ecosystem.</t>
        </is>
      </c>
      <c r="F922" s="68" t="inlineStr">
        <is>
          <t>Johnson Controls Q1 2026 + NVDA collaboration + 1 GW reference designs + raised guide (per-name research 2026-05-18)</t>
        </is>
      </c>
      <c r="G922" s="33" t="inlineStr">
        <is>
          <t>High</t>
        </is>
      </c>
      <c r="H922" s="33" t="inlineStr">
        <is>
          <t>Initial</t>
        </is>
      </c>
    </row>
    <row r="923">
      <c r="A923" s="33" t="inlineStr">
        <is>
          <t>2026-05-18</t>
        </is>
      </c>
      <c r="B923" s="33" t="inlineStr">
        <is>
          <t>JCI</t>
        </is>
      </c>
      <c r="C923" s="33" t="inlineStr">
        <is>
          <t>D4</t>
        </is>
      </c>
      <c r="D923" s="33" t="n">
        <v>4</v>
      </c>
      <c r="E923" s="68" t="inlineStr">
        <is>
          <t>Active expansion; NVDA collaboration for AI infra.</t>
        </is>
      </c>
      <c r="F923" s="68" t="inlineStr">
        <is>
          <t>Johnson Controls Q1 2026 + NVDA collaboration + 1 GW reference designs + raised guide (per-name research 2026-05-18)</t>
        </is>
      </c>
      <c r="G923" s="33" t="inlineStr">
        <is>
          <t>High</t>
        </is>
      </c>
      <c r="H923" s="33" t="inlineStr">
        <is>
          <t>Initial</t>
        </is>
      </c>
    </row>
    <row r="924">
      <c r="A924" s="33" t="inlineStr">
        <is>
          <t>2026-05-18</t>
        </is>
      </c>
      <c r="B924" s="33" t="inlineStr">
        <is>
          <t>JCI</t>
        </is>
      </c>
      <c r="C924" s="33" t="inlineStr">
        <is>
          <t>D5</t>
        </is>
      </c>
      <c r="D924" s="33" t="n">
        <v>4</v>
      </c>
      <c r="E924" s="68" t="inlineStr">
        <is>
          <t>NVIDIA collaboration for next-gen computing infrastructure — direct hyperscaler-adjacent relationship.</t>
        </is>
      </c>
      <c r="F924" s="68" t="inlineStr">
        <is>
          <t>Johnson Controls Q1 2026 + NVDA collaboration + 1 GW reference designs + raised guide (per-name research 2026-05-18)</t>
        </is>
      </c>
      <c r="G924" s="33" t="inlineStr">
        <is>
          <t>High</t>
        </is>
      </c>
      <c r="H924" s="33" t="inlineStr">
        <is>
          <t>Initial</t>
        </is>
      </c>
    </row>
    <row r="925">
      <c r="A925" s="33" t="inlineStr">
        <is>
          <t>2026-05-18</t>
        </is>
      </c>
      <c r="B925" s="33" t="inlineStr">
        <is>
          <t>JCI</t>
        </is>
      </c>
      <c r="C925" s="33" t="inlineStr">
        <is>
          <t>M1</t>
        </is>
      </c>
      <c r="D925" s="33" t="n">
        <v>5</v>
      </c>
      <c r="E925" s="68" t="inlineStr">
        <is>
          <t>17 up / 0 down on +1Y — best in cooling cluster.</t>
        </is>
      </c>
      <c r="F925" s="68" t="inlineStr">
        <is>
          <t>Johnson Controls Q1 2026 + NVDA collaboration + 1 GW reference designs + raised guide (per-name research 2026-05-18)</t>
        </is>
      </c>
      <c r="G925" s="33" t="inlineStr">
        <is>
          <t>High</t>
        </is>
      </c>
      <c r="H925" s="33" t="inlineStr">
        <is>
          <t>Initial</t>
        </is>
      </c>
    </row>
    <row r="926">
      <c r="A926" s="33" t="inlineStr">
        <is>
          <t>2026-05-18</t>
        </is>
      </c>
      <c r="B926" s="33" t="inlineStr">
        <is>
          <t>JCI</t>
        </is>
      </c>
      <c r="C926" s="33" t="inlineStr">
        <is>
          <t>M2</t>
        </is>
      </c>
      <c r="D926" s="33" t="n">
        <v>4</v>
      </c>
      <c r="E926" s="68" t="inlineStr">
        <is>
          <t>+6pp vs XLI 180d.</t>
        </is>
      </c>
      <c r="F926" s="68" t="inlineStr">
        <is>
          <t>Johnson Controls Q1 2026 + NVDA collaboration + 1 GW reference designs + raised guide (per-name research 2026-05-18)</t>
        </is>
      </c>
      <c r="G926" s="33" t="inlineStr">
        <is>
          <t>High</t>
        </is>
      </c>
      <c r="H926" s="33" t="inlineStr">
        <is>
          <t>Initial</t>
        </is>
      </c>
    </row>
    <row r="927">
      <c r="A927" s="33" t="inlineStr">
        <is>
          <t>2026-05-18</t>
        </is>
      </c>
      <c r="B927" s="33" t="inlineStr">
        <is>
          <t>JCI</t>
        </is>
      </c>
      <c r="C927" s="33" t="inlineStr">
        <is>
          <t>M3</t>
        </is>
      </c>
      <c r="D927" s="33" t="n">
        <v>3</v>
      </c>
      <c r="E927" s="68" t="inlineStr">
        <is>
          <t>Routine; default 3.</t>
        </is>
      </c>
      <c r="F927" s="68" t="inlineStr">
        <is>
          <t>Johnson Controls Q1 2026 + NVDA collaboration + 1 GW reference designs + raised guide (per-name research 2026-05-18)</t>
        </is>
      </c>
      <c r="G927" s="33" t="inlineStr">
        <is>
          <t>High</t>
        </is>
      </c>
      <c r="H927" s="33" t="inlineStr">
        <is>
          <t>Initial</t>
        </is>
      </c>
    </row>
    <row r="928">
      <c r="A928" s="33" t="inlineStr">
        <is>
          <t>2026-05-18</t>
        </is>
      </c>
      <c r="B928" s="33" t="inlineStr">
        <is>
          <t>JCI</t>
        </is>
      </c>
      <c r="C928" s="33" t="inlineStr">
        <is>
          <t>R1</t>
        </is>
      </c>
      <c r="D928" s="33" t="n">
        <v>5</v>
      </c>
      <c r="E928" s="68" t="inlineStr">
        <is>
          <t>Highly diversified.</t>
        </is>
      </c>
      <c r="F928" s="68" t="inlineStr">
        <is>
          <t>Johnson Controls Q1 2026 + NVDA collaboration + 1 GW reference designs + raised guide (per-name research 2026-05-18)</t>
        </is>
      </c>
      <c r="G928" s="33" t="inlineStr">
        <is>
          <t>High</t>
        </is>
      </c>
      <c r="H928" s="33" t="inlineStr">
        <is>
          <t>Initial</t>
        </is>
      </c>
    </row>
    <row r="929">
      <c r="A929" s="33" t="inlineStr">
        <is>
          <t>2026-05-18</t>
        </is>
      </c>
      <c r="B929" s="33" t="inlineStr">
        <is>
          <t>JCI</t>
        </is>
      </c>
      <c r="C929" s="33" t="inlineStr">
        <is>
          <t>R2</t>
        </is>
      </c>
      <c r="D929" s="33" t="n">
        <v>4</v>
      </c>
      <c r="E929" s="68" t="inlineStr">
        <is>
          <t>Global.</t>
        </is>
      </c>
      <c r="F929" s="68" t="inlineStr">
        <is>
          <t>Johnson Controls Q1 2026 + NVDA collaboration + 1 GW reference designs + raised guide (per-name research 2026-05-18)</t>
        </is>
      </c>
      <c r="G929" s="33" t="inlineStr">
        <is>
          <t>High</t>
        </is>
      </c>
      <c r="H929" s="33" t="inlineStr">
        <is>
          <t>Initial</t>
        </is>
      </c>
    </row>
    <row r="930">
      <c r="A930" s="33" t="inlineStr">
        <is>
          <t>2026-05-18</t>
        </is>
      </c>
      <c r="B930" s="33" t="inlineStr">
        <is>
          <t>JCI</t>
        </is>
      </c>
      <c r="C930" s="33" t="inlineStr">
        <is>
          <t>R3</t>
        </is>
      </c>
      <c r="D930" s="33" t="n">
        <v>4</v>
      </c>
      <c r="E930" s="68" t="inlineStr">
        <is>
          <t>ND/EBITDA 2.0x — moderate.</t>
        </is>
      </c>
      <c r="F930" s="68" t="inlineStr">
        <is>
          <t>Johnson Controls Q1 2026 + NVDA collaboration + 1 GW reference designs + raised guide (per-name research 2026-05-18)</t>
        </is>
      </c>
      <c r="G930" s="33" t="inlineStr">
        <is>
          <t>High</t>
        </is>
      </c>
      <c r="H930" s="33" t="inlineStr">
        <is>
          <t>Initial</t>
        </is>
      </c>
    </row>
    <row r="931">
      <c r="A931" s="33" t="inlineStr">
        <is>
          <t>2026-05-18</t>
        </is>
      </c>
      <c r="B931" s="33" t="inlineStr">
        <is>
          <t>JCI</t>
        </is>
      </c>
      <c r="C931" s="33" t="inlineStr">
        <is>
          <t>R4</t>
        </is>
      </c>
      <c r="D931" s="33" t="n">
        <v>4</v>
      </c>
      <c r="E931" s="68" t="inlineStr">
        <is>
          <t>Routine.</t>
        </is>
      </c>
      <c r="F931" s="68" t="inlineStr">
        <is>
          <t>Johnson Controls Q1 2026 + NVDA collaboration + 1 GW reference designs + raised guide (per-name research 2026-05-18)</t>
        </is>
      </c>
      <c r="G931" s="33" t="inlineStr">
        <is>
          <t>High</t>
        </is>
      </c>
      <c r="H931" s="33" t="inlineStr">
        <is>
          <t>Initial</t>
        </is>
      </c>
    </row>
    <row r="932">
      <c r="A932" s="33" t="inlineStr">
        <is>
          <t>2026-05-18</t>
        </is>
      </c>
      <c r="B932" s="33" t="inlineStr">
        <is>
          <t>ASML</t>
        </is>
      </c>
      <c r="C932" s="33" t="inlineStr">
        <is>
          <t>D1</t>
        </is>
      </c>
      <c r="D932" s="33" t="n">
        <v>4</v>
      </c>
      <c r="E932" s="68" t="inlineStr">
        <is>
          <t>AI chip demand drives EUV/High-NA orders; ~30-40% AI-tied revenue.</t>
        </is>
      </c>
      <c r="F932" s="68" t="inlineStr">
        <is>
          <t>ASML Q1/Q4 2026 + AI infrastructure coverage (per-name research 2026-05-18)</t>
        </is>
      </c>
      <c r="G932" s="33" t="inlineStr">
        <is>
          <t>High</t>
        </is>
      </c>
      <c r="H932" s="33" t="inlineStr">
        <is>
          <t>Initial</t>
        </is>
      </c>
    </row>
    <row r="933">
      <c r="A933" s="33" t="inlineStr">
        <is>
          <t>2026-05-18</t>
        </is>
      </c>
      <c r="B933" s="33" t="inlineStr">
        <is>
          <t>ASML</t>
        </is>
      </c>
      <c r="C933" s="33" t="inlineStr">
        <is>
          <t>D2</t>
        </is>
      </c>
      <c r="D933" s="33" t="n">
        <v>5</v>
      </c>
      <c r="E933" s="68" t="inlineStr">
        <is>
          <t>EUV literal monopoly — rubric anchor. 100% market share in EUV lithography.</t>
        </is>
      </c>
      <c r="F933" s="68" t="inlineStr">
        <is>
          <t>ASML Q1/Q4 2026 + AI infrastructure coverage (per-name research 2026-05-18)</t>
        </is>
      </c>
      <c r="G933" s="33" t="inlineStr">
        <is>
          <t>High</t>
        </is>
      </c>
      <c r="H933" s="33" t="inlineStr">
        <is>
          <t>Initial</t>
        </is>
      </c>
    </row>
    <row r="934">
      <c r="A934" s="33" t="inlineStr">
        <is>
          <t>2026-05-18</t>
        </is>
      </c>
      <c r="B934" s="33" t="inlineStr">
        <is>
          <t>ASML</t>
        </is>
      </c>
      <c r="C934" s="33" t="inlineStr">
        <is>
          <t>D3</t>
        </is>
      </c>
      <c r="D934" s="33" t="n">
        <v>5</v>
      </c>
      <c r="E934" s="68" t="inlineStr">
        <is>
          <t>Multi-decade IP + manufacturing lead + customer integration. Rubric anchor.</t>
        </is>
      </c>
      <c r="F934" s="68" t="inlineStr">
        <is>
          <t>ASML Q1/Q4 2026 + AI infrastructure coverage (per-name research 2026-05-18)</t>
        </is>
      </c>
      <c r="G934" s="33" t="inlineStr">
        <is>
          <t>High</t>
        </is>
      </c>
      <c r="H934" s="33" t="inlineStr">
        <is>
          <t>Initial</t>
        </is>
      </c>
    </row>
    <row r="935">
      <c r="A935" s="33" t="inlineStr">
        <is>
          <t>2026-05-18</t>
        </is>
      </c>
      <c r="B935" s="33" t="inlineStr">
        <is>
          <t>ASML</t>
        </is>
      </c>
      <c r="C935" s="33" t="inlineStr">
        <is>
          <t>D4</t>
        </is>
      </c>
      <c r="D935" s="33" t="n">
        <v>4</v>
      </c>
      <c r="E935" s="68" t="inlineStr">
        <is>
          <t>€38.8B backlog + bookings +48%. NOT 5 because ASML's own production capacity is a constraint (~16 High-NA units/yr) — that's a self-imposed limit on D4 (Dom call 2026-05-18).</t>
        </is>
      </c>
      <c r="F935" s="68" t="inlineStr">
        <is>
          <t>ASML Q1/Q4 2026 + AI infrastructure coverage (per-name research 2026-05-18)</t>
        </is>
      </c>
      <c r="G935" s="33" t="inlineStr">
        <is>
          <t>High</t>
        </is>
      </c>
      <c r="H935" s="33" t="inlineStr">
        <is>
          <t>Initial</t>
        </is>
      </c>
    </row>
    <row r="936">
      <c r="A936" s="33" t="inlineStr">
        <is>
          <t>2026-05-18</t>
        </is>
      </c>
      <c r="B936" s="33" t="inlineStr">
        <is>
          <t>ASML</t>
        </is>
      </c>
      <c r="C936" s="33" t="inlineStr">
        <is>
          <t>D5</t>
        </is>
      </c>
      <c r="D936" s="33" t="n">
        <v>4</v>
      </c>
      <c r="E936" s="68" t="inlineStr">
        <is>
          <t>TSMC + Intel + Samsung + memory makers — anchor customers; TSMC NOT adopting High-NA for 1.4nm is mild concern.</t>
        </is>
      </c>
      <c r="F936" s="68" t="inlineStr">
        <is>
          <t>ASML Q1/Q4 2026 + AI infrastructure coverage (per-name research 2026-05-18)</t>
        </is>
      </c>
      <c r="G936" s="33" t="inlineStr">
        <is>
          <t>High</t>
        </is>
      </c>
      <c r="H936" s="33" t="inlineStr">
        <is>
          <t>Initial</t>
        </is>
      </c>
    </row>
    <row r="937">
      <c r="A937" s="33" t="inlineStr">
        <is>
          <t>2026-05-18</t>
        </is>
      </c>
      <c r="B937" s="33" t="inlineStr">
        <is>
          <t>ASML</t>
        </is>
      </c>
      <c r="C937" s="33" t="inlineStr">
        <is>
          <t>M1</t>
        </is>
      </c>
      <c r="D937" s="33" t="n">
        <v>4</v>
      </c>
      <c r="E937" s="68" t="inlineStr">
        <is>
          <t>28 up / 1 down on +1Y; FY revision +6.5%.</t>
        </is>
      </c>
      <c r="F937" s="68" t="inlineStr">
        <is>
          <t>ASML Q1/Q4 2026 + AI infrastructure coverage (per-name research 2026-05-18)</t>
        </is>
      </c>
      <c r="G937" s="33" t="inlineStr">
        <is>
          <t>High</t>
        </is>
      </c>
      <c r="H937" s="33" t="inlineStr">
        <is>
          <t>Initial</t>
        </is>
      </c>
    </row>
    <row r="938">
      <c r="A938" s="33" t="inlineStr">
        <is>
          <t>2026-05-18</t>
        </is>
      </c>
      <c r="B938" s="33" t="inlineStr">
        <is>
          <t>ASML</t>
        </is>
      </c>
      <c r="C938" s="33" t="inlineStr">
        <is>
          <t>M2</t>
        </is>
      </c>
      <c r="D938" s="33" t="n">
        <v>2</v>
      </c>
      <c r="E938" s="68" t="inlineStr">
        <is>
          <t>-34pp vs SOXX 180d — sector rotation hurting.</t>
        </is>
      </c>
      <c r="F938" s="68" t="inlineStr">
        <is>
          <t>ASML Q1/Q4 2026 + AI infrastructure coverage (per-name research 2026-05-18)</t>
        </is>
      </c>
      <c r="G938" s="33" t="inlineStr">
        <is>
          <t>High</t>
        </is>
      </c>
      <c r="H938" s="33" t="inlineStr">
        <is>
          <t>Initial</t>
        </is>
      </c>
    </row>
    <row r="939">
      <c r="A939" s="33" t="inlineStr">
        <is>
          <t>2026-05-18</t>
        </is>
      </c>
      <c r="B939" s="33" t="inlineStr">
        <is>
          <t>ASML</t>
        </is>
      </c>
      <c r="C939" s="33" t="inlineStr">
        <is>
          <t>M3</t>
        </is>
      </c>
      <c r="D939" s="33" t="n">
        <v>3</v>
      </c>
      <c r="E939" s="68" t="inlineStr">
        <is>
          <t>Routine; default 3.</t>
        </is>
      </c>
      <c r="F939" s="68" t="inlineStr">
        <is>
          <t>ASML Q1/Q4 2026 + AI infrastructure coverage (per-name research 2026-05-18)</t>
        </is>
      </c>
      <c r="G939" s="33" t="inlineStr">
        <is>
          <t>High</t>
        </is>
      </c>
      <c r="H939" s="33" t="inlineStr">
        <is>
          <t>Initial</t>
        </is>
      </c>
    </row>
    <row r="940">
      <c r="A940" s="33" t="inlineStr">
        <is>
          <t>2026-05-18</t>
        </is>
      </c>
      <c r="B940" s="33" t="inlineStr">
        <is>
          <t>ASML</t>
        </is>
      </c>
      <c r="C940" s="33" t="inlineStr">
        <is>
          <t>R1</t>
        </is>
      </c>
      <c r="D940" s="33" t="n">
        <v>4</v>
      </c>
      <c r="E940" s="68" t="inlineStr">
        <is>
          <t>Top 5 customers concentrated (TSMC, Samsung, Intel, SK Hynix, Micron).</t>
        </is>
      </c>
      <c r="F940" s="68" t="inlineStr">
        <is>
          <t>ASML Q1/Q4 2026 + AI infrastructure coverage (per-name research 2026-05-18)</t>
        </is>
      </c>
      <c r="G940" s="33" t="inlineStr">
        <is>
          <t>High</t>
        </is>
      </c>
      <c r="H940" s="33" t="inlineStr">
        <is>
          <t>Initial</t>
        </is>
      </c>
    </row>
    <row r="941">
      <c r="A941" s="33" t="inlineStr">
        <is>
          <t>2026-05-18</t>
        </is>
      </c>
      <c r="B941" s="33" t="inlineStr">
        <is>
          <t>ASML</t>
        </is>
      </c>
      <c r="C941" s="33" t="inlineStr">
        <is>
          <t>R2</t>
        </is>
      </c>
      <c r="D941" s="33" t="n">
        <v>3</v>
      </c>
      <c r="E941" s="68" t="inlineStr">
        <is>
          <t>China export controls active; Netherlands government coordinates. Material exposure.</t>
        </is>
      </c>
      <c r="F941" s="68" t="inlineStr">
        <is>
          <t>ASML Q1/Q4 2026 + AI infrastructure coverage (per-name research 2026-05-18)</t>
        </is>
      </c>
      <c r="G941" s="33" t="inlineStr">
        <is>
          <t>High</t>
        </is>
      </c>
      <c r="H941" s="33" t="inlineStr">
        <is>
          <t>Initial</t>
        </is>
      </c>
    </row>
    <row r="942">
      <c r="A942" s="33" t="inlineStr">
        <is>
          <t>2026-05-18</t>
        </is>
      </c>
      <c r="B942" s="33" t="inlineStr">
        <is>
          <t>ASML</t>
        </is>
      </c>
      <c r="C942" s="33" t="inlineStr">
        <is>
          <t>R3</t>
        </is>
      </c>
      <c r="D942" s="33" t="n">
        <v>5</v>
      </c>
      <c r="E942" s="68" t="inlineStr">
        <is>
          <t>Net cash + strong FCF.</t>
        </is>
      </c>
      <c r="F942" s="68" t="inlineStr">
        <is>
          <t>ASML Q1/Q4 2026 + AI infrastructure coverage (per-name research 2026-05-18)</t>
        </is>
      </c>
      <c r="G942" s="33" t="inlineStr">
        <is>
          <t>High</t>
        </is>
      </c>
      <c r="H942" s="33" t="inlineStr">
        <is>
          <t>Initial</t>
        </is>
      </c>
    </row>
    <row r="943">
      <c r="A943" s="33" t="inlineStr">
        <is>
          <t>2026-05-18</t>
        </is>
      </c>
      <c r="B943" s="33" t="inlineStr">
        <is>
          <t>ASML</t>
        </is>
      </c>
      <c r="C943" s="33" t="inlineStr">
        <is>
          <t>R4</t>
        </is>
      </c>
      <c r="D943" s="33" t="n">
        <v>3</v>
      </c>
      <c r="E943" s="68" t="inlineStr">
        <is>
          <t>EU/China export control scrutiny ongoing but no enforcement. **Dom 2026-05-18: log rationale, revisit quarterly.** Defensible 3 (pending matters) or 4 (no enforcement) — staying 3 conservatively.</t>
        </is>
      </c>
      <c r="F943" s="68" t="inlineStr">
        <is>
          <t>ASML Q1/Q4 2026 + AI infrastructure coverage (per-name research 2026-05-18)</t>
        </is>
      </c>
      <c r="G943" s="33" t="inlineStr">
        <is>
          <t>High</t>
        </is>
      </c>
      <c r="H943" s="33" t="inlineStr">
        <is>
          <t>Initial</t>
        </is>
      </c>
    </row>
    <row r="944">
      <c r="A944" s="33" t="inlineStr">
        <is>
          <t>2026-05-18</t>
        </is>
      </c>
      <c r="B944" s="33" t="inlineStr">
        <is>
          <t>AMAT</t>
        </is>
      </c>
      <c r="C944" s="33" t="inlineStr">
        <is>
          <t>D1</t>
        </is>
      </c>
      <c r="D944" s="33" t="n">
        <v>4</v>
      </c>
      <c r="E944" s="68" t="inlineStr">
        <is>
          <t>AI logic + HBM + AP — ~30%+ AI-tied; 20%+ growth guide.</t>
        </is>
      </c>
      <c r="F944" s="68" t="inlineStr">
        <is>
          <t>AMAT Q1/Q4 2026 + AI infrastructure coverage (per-name research 2026-05-18)</t>
        </is>
      </c>
      <c r="G944" s="33" t="inlineStr">
        <is>
          <t>High</t>
        </is>
      </c>
      <c r="H944" s="33" t="inlineStr">
        <is>
          <t>Initial</t>
        </is>
      </c>
    </row>
    <row r="945">
      <c r="A945" s="33" t="inlineStr">
        <is>
          <t>2026-05-18</t>
        </is>
      </c>
      <c r="B945" s="33" t="inlineStr">
        <is>
          <t>AMAT</t>
        </is>
      </c>
      <c r="C945" s="33" t="inlineStr">
        <is>
          <t>D2</t>
        </is>
      </c>
      <c r="D945" s="33" t="n">
        <v>4</v>
      </c>
      <c r="E945" s="68" t="inlineStr">
        <is>
          <t>#1 in leading-edge logic process equipment.</t>
        </is>
      </c>
      <c r="F945" s="68" t="inlineStr">
        <is>
          <t>AMAT Q1/Q4 2026 + AI infrastructure coverage (per-name research 2026-05-18)</t>
        </is>
      </c>
      <c r="G945" s="33" t="inlineStr">
        <is>
          <t>High</t>
        </is>
      </c>
      <c r="H945" s="33" t="inlineStr">
        <is>
          <t>Initial</t>
        </is>
      </c>
    </row>
    <row r="946">
      <c r="A946" s="33" t="inlineStr">
        <is>
          <t>2026-05-18</t>
        </is>
      </c>
      <c r="B946" s="33" t="inlineStr">
        <is>
          <t>AMAT</t>
        </is>
      </c>
      <c r="C946" s="33" t="inlineStr">
        <is>
          <t>D3</t>
        </is>
      </c>
      <c r="D946" s="33" t="n">
        <v>4</v>
      </c>
      <c r="E946" s="68" t="inlineStr">
        <is>
          <t>Scale + IP + multi-decade customer relationships.</t>
        </is>
      </c>
      <c r="F946" s="68" t="inlineStr">
        <is>
          <t>AMAT Q1/Q4 2026 + AI infrastructure coverage (per-name research 2026-05-18)</t>
        </is>
      </c>
      <c r="G946" s="33" t="inlineStr">
        <is>
          <t>High</t>
        </is>
      </c>
      <c r="H946" s="33" t="inlineStr">
        <is>
          <t>Initial</t>
        </is>
      </c>
    </row>
    <row r="947">
      <c r="A947" s="33" t="inlineStr">
        <is>
          <t>2026-05-18</t>
        </is>
      </c>
      <c r="B947" s="33" t="inlineStr">
        <is>
          <t>AMAT</t>
        </is>
      </c>
      <c r="C947" s="33" t="inlineStr">
        <is>
          <t>D4</t>
        </is>
      </c>
      <c r="D947" s="33" t="n">
        <v>5</v>
      </c>
      <c r="E947" s="68" t="inlineStr">
        <is>
          <t>20%+ semi equipment growth guide; record AP business this year.</t>
        </is>
      </c>
      <c r="F947" s="68" t="inlineStr">
        <is>
          <t>AMAT Q1/Q4 2026 + AI infrastructure coverage (per-name research 2026-05-18)</t>
        </is>
      </c>
      <c r="G947" s="33" t="inlineStr">
        <is>
          <t>High</t>
        </is>
      </c>
      <c r="H947" s="33" t="inlineStr">
        <is>
          <t>Initial</t>
        </is>
      </c>
    </row>
    <row r="948">
      <c r="A948" s="33" t="inlineStr">
        <is>
          <t>2026-05-18</t>
        </is>
      </c>
      <c r="B948" s="33" t="inlineStr">
        <is>
          <t>AMAT</t>
        </is>
      </c>
      <c r="C948" s="33" t="inlineStr">
        <is>
          <t>D5</t>
        </is>
      </c>
      <c r="D948" s="33" t="n">
        <v>4</v>
      </c>
      <c r="E948" s="68" t="inlineStr">
        <is>
          <t>Hyperscaler-adjacent via TSMC/Samsung/Intel.</t>
        </is>
      </c>
      <c r="F948" s="68" t="inlineStr">
        <is>
          <t>AMAT Q1/Q4 2026 + AI infrastructure coverage (per-name research 2026-05-18)</t>
        </is>
      </c>
      <c r="G948" s="33" t="inlineStr">
        <is>
          <t>High</t>
        </is>
      </c>
      <c r="H948" s="33" t="inlineStr">
        <is>
          <t>Initial</t>
        </is>
      </c>
    </row>
    <row r="949">
      <c r="A949" s="33" t="inlineStr">
        <is>
          <t>2026-05-18</t>
        </is>
      </c>
      <c r="B949" s="33" t="inlineStr">
        <is>
          <t>AMAT</t>
        </is>
      </c>
      <c r="C949" s="33" t="inlineStr">
        <is>
          <t>M1</t>
        </is>
      </c>
      <c r="D949" s="33" t="n">
        <v>4</v>
      </c>
      <c r="E949" s="68" t="inlineStr">
        <is>
          <t>6 up / 1 down on +1Y; FY +10.8%.</t>
        </is>
      </c>
      <c r="F949" s="68" t="inlineStr">
        <is>
          <t>AMAT Q1/Q4 2026 + AI infrastructure coverage (per-name research 2026-05-18)</t>
        </is>
      </c>
      <c r="G949" s="33" t="inlineStr">
        <is>
          <t>High</t>
        </is>
      </c>
      <c r="H949" s="33" t="inlineStr">
        <is>
          <t>Initial</t>
        </is>
      </c>
    </row>
    <row r="950">
      <c r="A950" s="33" t="inlineStr">
        <is>
          <t>2026-05-18</t>
        </is>
      </c>
      <c r="B950" s="33" t="inlineStr">
        <is>
          <t>AMAT</t>
        </is>
      </c>
      <c r="C950" s="33" t="inlineStr">
        <is>
          <t>M2</t>
        </is>
      </c>
      <c r="D950" s="33" t="n">
        <v>3</v>
      </c>
      <c r="E950" s="68" t="inlineStr">
        <is>
          <t>+0pp vs SOXX 180d (in-line).</t>
        </is>
      </c>
      <c r="F950" s="68" t="inlineStr">
        <is>
          <t>AMAT Q1/Q4 2026 + AI infrastructure coverage (per-name research 2026-05-18)</t>
        </is>
      </c>
      <c r="G950" s="33" t="inlineStr">
        <is>
          <t>High</t>
        </is>
      </c>
      <c r="H950" s="33" t="inlineStr">
        <is>
          <t>Initial</t>
        </is>
      </c>
    </row>
    <row r="951">
      <c r="A951" s="33" t="inlineStr">
        <is>
          <t>2026-05-18</t>
        </is>
      </c>
      <c r="B951" s="33" t="inlineStr">
        <is>
          <t>AMAT</t>
        </is>
      </c>
      <c r="C951" s="33" t="inlineStr">
        <is>
          <t>M3</t>
        </is>
      </c>
      <c r="D951" s="33" t="n">
        <v>3</v>
      </c>
      <c r="E951" s="68" t="inlineStr">
        <is>
          <t>Routine; default 3.</t>
        </is>
      </c>
      <c r="F951" s="68" t="inlineStr">
        <is>
          <t>AMAT Q1/Q4 2026 + AI infrastructure coverage (per-name research 2026-05-18)</t>
        </is>
      </c>
      <c r="G951" s="33" t="inlineStr">
        <is>
          <t>High</t>
        </is>
      </c>
      <c r="H951" s="33" t="inlineStr">
        <is>
          <t>Initial</t>
        </is>
      </c>
    </row>
    <row r="952">
      <c r="A952" s="33" t="inlineStr">
        <is>
          <t>2026-05-18</t>
        </is>
      </c>
      <c r="B952" s="33" t="inlineStr">
        <is>
          <t>AMAT</t>
        </is>
      </c>
      <c r="C952" s="33" t="inlineStr">
        <is>
          <t>R1</t>
        </is>
      </c>
      <c r="D952" s="33" t="n">
        <v>4</v>
      </c>
      <c r="E952" s="68" t="inlineStr">
        <is>
          <t>Top customers concentrated.</t>
        </is>
      </c>
      <c r="F952" s="68" t="inlineStr">
        <is>
          <t>AMAT Q1/Q4 2026 + AI infrastructure coverage (per-name research 2026-05-18)</t>
        </is>
      </c>
      <c r="G952" s="33" t="inlineStr">
        <is>
          <t>High</t>
        </is>
      </c>
      <c r="H952" s="33" t="inlineStr">
        <is>
          <t>Initial</t>
        </is>
      </c>
    </row>
    <row r="953">
      <c r="A953" s="33" t="inlineStr">
        <is>
          <t>2026-05-18</t>
        </is>
      </c>
      <c r="B953" s="33" t="inlineStr">
        <is>
          <t>AMAT</t>
        </is>
      </c>
      <c r="C953" s="33" t="inlineStr">
        <is>
          <t>R2</t>
        </is>
      </c>
      <c r="D953" s="33" t="n">
        <v>3</v>
      </c>
      <c r="E953" s="68" t="inlineStr">
        <is>
          <t>China export controls real but smaller than ASML.</t>
        </is>
      </c>
      <c r="F953" s="68" t="inlineStr">
        <is>
          <t>AMAT Q1/Q4 2026 + AI infrastructure coverage (per-name research 2026-05-18)</t>
        </is>
      </c>
      <c r="G953" s="33" t="inlineStr">
        <is>
          <t>High</t>
        </is>
      </c>
      <c r="H953" s="33" t="inlineStr">
        <is>
          <t>Initial</t>
        </is>
      </c>
    </row>
    <row r="954">
      <c r="A954" s="33" t="inlineStr">
        <is>
          <t>2026-05-18</t>
        </is>
      </c>
      <c r="B954" s="33" t="inlineStr">
        <is>
          <t>AMAT</t>
        </is>
      </c>
      <c r="C954" s="33" t="inlineStr">
        <is>
          <t>R3</t>
        </is>
      </c>
      <c r="D954" s="33" t="n">
        <v>5</v>
      </c>
      <c r="E954" s="68" t="inlineStr">
        <is>
          <t>Net cash, strong FCF.</t>
        </is>
      </c>
      <c r="F954" s="68" t="inlineStr">
        <is>
          <t>AMAT Q1/Q4 2026 + AI infrastructure coverage (per-name research 2026-05-18)</t>
        </is>
      </c>
      <c r="G954" s="33" t="inlineStr">
        <is>
          <t>High</t>
        </is>
      </c>
      <c r="H954" s="33" t="inlineStr">
        <is>
          <t>Initial</t>
        </is>
      </c>
    </row>
    <row r="955">
      <c r="A955" s="33" t="inlineStr">
        <is>
          <t>2026-05-18</t>
        </is>
      </c>
      <c r="B955" s="33" t="inlineStr">
        <is>
          <t>AMAT</t>
        </is>
      </c>
      <c r="C955" s="33" t="inlineStr">
        <is>
          <t>R4</t>
        </is>
      </c>
      <c r="D955" s="33" t="n">
        <v>4</v>
      </c>
      <c r="E955" s="68" t="inlineStr">
        <is>
          <t>Routine.</t>
        </is>
      </c>
      <c r="F955" s="68" t="inlineStr">
        <is>
          <t>AMAT Q1/Q4 2026 + AI infrastructure coverage (per-name research 2026-05-18)</t>
        </is>
      </c>
      <c r="G955" s="33" t="inlineStr">
        <is>
          <t>High</t>
        </is>
      </c>
      <c r="H955" s="33" t="inlineStr">
        <is>
          <t>Initial</t>
        </is>
      </c>
    </row>
    <row r="956">
      <c r="A956" s="33" t="inlineStr">
        <is>
          <t>2026-05-18</t>
        </is>
      </c>
      <c r="B956" s="33" t="inlineStr">
        <is>
          <t>LRCX</t>
        </is>
      </c>
      <c r="C956" s="33" t="inlineStr">
        <is>
          <t>D1</t>
        </is>
      </c>
      <c r="D956" s="33" t="n">
        <v>4</v>
      </c>
      <c r="E956" s="68" t="inlineStr">
        <is>
          <t>AI-driven AP + HBM tools; ~30-40% AI revenue.</t>
        </is>
      </c>
      <c r="F956" s="68" t="inlineStr">
        <is>
          <t>LRCX Q1/Q4 2026 + AI infrastructure coverage (per-name research 2026-05-18)</t>
        </is>
      </c>
      <c r="G956" s="33" t="inlineStr">
        <is>
          <t>High</t>
        </is>
      </c>
      <c r="H956" s="33" t="inlineStr">
        <is>
          <t>Initial</t>
        </is>
      </c>
    </row>
    <row r="957">
      <c r="A957" s="33" t="inlineStr">
        <is>
          <t>2026-05-18</t>
        </is>
      </c>
      <c r="B957" s="33" t="inlineStr">
        <is>
          <t>LRCX</t>
        </is>
      </c>
      <c r="C957" s="33" t="inlineStr">
        <is>
          <t>D2</t>
        </is>
      </c>
      <c r="D957" s="33" t="n">
        <v>4</v>
      </c>
      <c r="E957" s="68" t="inlineStr">
        <is>
          <t>#1 etch, #2 deposition.</t>
        </is>
      </c>
      <c r="F957" s="68" t="inlineStr">
        <is>
          <t>LRCX Q1/Q4 2026 + AI infrastructure coverage (per-name research 2026-05-18)</t>
        </is>
      </c>
      <c r="G957" s="33" t="inlineStr">
        <is>
          <t>High</t>
        </is>
      </c>
      <c r="H957" s="33" t="inlineStr">
        <is>
          <t>Initial</t>
        </is>
      </c>
    </row>
    <row r="958">
      <c r="A958" s="33" t="inlineStr">
        <is>
          <t>2026-05-18</t>
        </is>
      </c>
      <c r="B958" s="33" t="inlineStr">
        <is>
          <t>LRCX</t>
        </is>
      </c>
      <c r="C958" s="33" t="inlineStr">
        <is>
          <t>D3</t>
        </is>
      </c>
      <c r="D958" s="33" t="n">
        <v>4</v>
      </c>
      <c r="E958" s="68" t="inlineStr">
        <is>
          <t>Etch + deposition IP + customer integration.</t>
        </is>
      </c>
      <c r="F958" s="68" t="inlineStr">
        <is>
          <t>LRCX Q1/Q4 2026 + AI infrastructure coverage (per-name research 2026-05-18)</t>
        </is>
      </c>
      <c r="G958" s="33" t="inlineStr">
        <is>
          <t>High</t>
        </is>
      </c>
      <c r="H958" s="33" t="inlineStr">
        <is>
          <t>Initial</t>
        </is>
      </c>
    </row>
    <row r="959">
      <c r="A959" s="33" t="inlineStr">
        <is>
          <t>2026-05-18</t>
        </is>
      </c>
      <c r="B959" s="33" t="inlineStr">
        <is>
          <t>LRCX</t>
        </is>
      </c>
      <c r="C959" s="33" t="inlineStr">
        <is>
          <t>D4</t>
        </is>
      </c>
      <c r="D959" s="33" t="n">
        <v>5</v>
      </c>
      <c r="E959" s="68" t="inlineStr">
        <is>
          <t>AP revenue +50% expected 2026.</t>
        </is>
      </c>
      <c r="F959" s="68" t="inlineStr">
        <is>
          <t>LRCX Q1/Q4 2026 + AI infrastructure coverage (per-name research 2026-05-18)</t>
        </is>
      </c>
      <c r="G959" s="33" t="inlineStr">
        <is>
          <t>High</t>
        </is>
      </c>
      <c r="H959" s="33" t="inlineStr">
        <is>
          <t>Initial</t>
        </is>
      </c>
    </row>
    <row r="960">
      <c r="A960" s="33" t="inlineStr">
        <is>
          <t>2026-05-18</t>
        </is>
      </c>
      <c r="B960" s="33" t="inlineStr">
        <is>
          <t>LRCX</t>
        </is>
      </c>
      <c r="C960" s="33" t="inlineStr">
        <is>
          <t>D5</t>
        </is>
      </c>
      <c r="D960" s="33" t="n">
        <v>4</v>
      </c>
      <c r="E960" s="68" t="inlineStr">
        <is>
          <t>Hyperscaler-adjacent.</t>
        </is>
      </c>
      <c r="F960" s="68" t="inlineStr">
        <is>
          <t>LRCX Q1/Q4 2026 + AI infrastructure coverage (per-name research 2026-05-18)</t>
        </is>
      </c>
      <c r="G960" s="33" t="inlineStr">
        <is>
          <t>High</t>
        </is>
      </c>
      <c r="H960" s="33" t="inlineStr">
        <is>
          <t>Initial</t>
        </is>
      </c>
    </row>
    <row r="961">
      <c r="A961" s="33" t="inlineStr">
        <is>
          <t>2026-05-18</t>
        </is>
      </c>
      <c r="B961" s="33" t="inlineStr">
        <is>
          <t>LRCX</t>
        </is>
      </c>
      <c r="C961" s="33" t="inlineStr">
        <is>
          <t>M1</t>
        </is>
      </c>
      <c r="D961" s="33" t="n">
        <v>5</v>
      </c>
      <c r="E961" s="68" t="inlineStr">
        <is>
          <t>31 up / 1 down on +1Y; FY +7.1%.</t>
        </is>
      </c>
      <c r="F961" s="68" t="inlineStr">
        <is>
          <t>LRCX Q1/Q4 2026 + AI infrastructure coverage (per-name research 2026-05-18)</t>
        </is>
      </c>
      <c r="G961" s="33" t="inlineStr">
        <is>
          <t>High</t>
        </is>
      </c>
      <c r="H961" s="33" t="inlineStr">
        <is>
          <t>Initial</t>
        </is>
      </c>
    </row>
    <row r="962">
      <c r="A962" s="33" t="inlineStr">
        <is>
          <t>2026-05-18</t>
        </is>
      </c>
      <c r="B962" s="33" t="inlineStr">
        <is>
          <t>LRCX</t>
        </is>
      </c>
      <c r="C962" s="33" t="inlineStr">
        <is>
          <t>M2</t>
        </is>
      </c>
      <c r="D962" s="33" t="n">
        <v>4</v>
      </c>
      <c r="E962" s="68" t="inlineStr">
        <is>
          <t>+11pp vs SOXX 180d.</t>
        </is>
      </c>
      <c r="F962" s="68" t="inlineStr">
        <is>
          <t>LRCX Q1/Q4 2026 + AI infrastructure coverage (per-name research 2026-05-18)</t>
        </is>
      </c>
      <c r="G962" s="33" t="inlineStr">
        <is>
          <t>High</t>
        </is>
      </c>
      <c r="H962" s="33" t="inlineStr">
        <is>
          <t>Initial</t>
        </is>
      </c>
    </row>
    <row r="963">
      <c r="A963" s="33" t="inlineStr">
        <is>
          <t>2026-05-18</t>
        </is>
      </c>
      <c r="B963" s="33" t="inlineStr">
        <is>
          <t>LRCX</t>
        </is>
      </c>
      <c r="C963" s="33" t="inlineStr">
        <is>
          <t>M3</t>
        </is>
      </c>
      <c r="D963" s="33" t="n">
        <v>3</v>
      </c>
      <c r="E963" s="68" t="inlineStr">
        <is>
          <t>Routine; default 3.</t>
        </is>
      </c>
      <c r="F963" s="68" t="inlineStr">
        <is>
          <t>LRCX Q1/Q4 2026 + AI infrastructure coverage (per-name research 2026-05-18)</t>
        </is>
      </c>
      <c r="G963" s="33" t="inlineStr">
        <is>
          <t>High</t>
        </is>
      </c>
      <c r="H963" s="33" t="inlineStr">
        <is>
          <t>Initial</t>
        </is>
      </c>
    </row>
    <row r="964">
      <c r="A964" s="33" t="inlineStr">
        <is>
          <t>2026-05-18</t>
        </is>
      </c>
      <c r="B964" s="33" t="inlineStr">
        <is>
          <t>LRCX</t>
        </is>
      </c>
      <c r="C964" s="33" t="inlineStr">
        <is>
          <t>R1</t>
        </is>
      </c>
      <c r="D964" s="33" t="n">
        <v>4</v>
      </c>
      <c r="E964" s="68" t="inlineStr">
        <is>
          <t>Top customers concentrated.</t>
        </is>
      </c>
      <c r="F964" s="68" t="inlineStr">
        <is>
          <t>LRCX Q1/Q4 2026 + AI infrastructure coverage (per-name research 2026-05-18)</t>
        </is>
      </c>
      <c r="G964" s="33" t="inlineStr">
        <is>
          <t>High</t>
        </is>
      </c>
      <c r="H964" s="33" t="inlineStr">
        <is>
          <t>Initial</t>
        </is>
      </c>
    </row>
    <row r="965">
      <c r="A965" s="33" t="inlineStr">
        <is>
          <t>2026-05-18</t>
        </is>
      </c>
      <c r="B965" s="33" t="inlineStr">
        <is>
          <t>LRCX</t>
        </is>
      </c>
      <c r="C965" s="33" t="inlineStr">
        <is>
          <t>R2</t>
        </is>
      </c>
      <c r="D965" s="33" t="n">
        <v>3</v>
      </c>
      <c r="E965" s="68" t="inlineStr">
        <is>
          <t>China exposure.</t>
        </is>
      </c>
      <c r="F965" s="68" t="inlineStr">
        <is>
          <t>LRCX Q1/Q4 2026 + AI infrastructure coverage (per-name research 2026-05-18)</t>
        </is>
      </c>
      <c r="G965" s="33" t="inlineStr">
        <is>
          <t>High</t>
        </is>
      </c>
      <c r="H965" s="33" t="inlineStr">
        <is>
          <t>Initial</t>
        </is>
      </c>
    </row>
    <row r="966">
      <c r="A966" s="33" t="inlineStr">
        <is>
          <t>2026-05-18</t>
        </is>
      </c>
      <c r="B966" s="33" t="inlineStr">
        <is>
          <t>LRCX</t>
        </is>
      </c>
      <c r="C966" s="33" t="inlineStr">
        <is>
          <t>R3</t>
        </is>
      </c>
      <c r="D966" s="33" t="n">
        <v>5</v>
      </c>
      <c r="E966" s="68" t="inlineStr">
        <is>
          <t>Strong.</t>
        </is>
      </c>
      <c r="F966" s="68" t="inlineStr">
        <is>
          <t>LRCX Q1/Q4 2026 + AI infrastructure coverage (per-name research 2026-05-18)</t>
        </is>
      </c>
      <c r="G966" s="33" t="inlineStr">
        <is>
          <t>High</t>
        </is>
      </c>
      <c r="H966" s="33" t="inlineStr">
        <is>
          <t>Initial</t>
        </is>
      </c>
    </row>
    <row r="967">
      <c r="A967" s="33" t="inlineStr">
        <is>
          <t>2026-05-18</t>
        </is>
      </c>
      <c r="B967" s="33" t="inlineStr">
        <is>
          <t>LRCX</t>
        </is>
      </c>
      <c r="C967" s="33" t="inlineStr">
        <is>
          <t>R4</t>
        </is>
      </c>
      <c r="D967" s="33" t="n">
        <v>4</v>
      </c>
      <c r="E967" s="68" t="inlineStr">
        <is>
          <t>Routine.</t>
        </is>
      </c>
      <c r="F967" s="68" t="inlineStr">
        <is>
          <t>LRCX Q1/Q4 2026 + AI infrastructure coverage (per-name research 2026-05-18)</t>
        </is>
      </c>
      <c r="G967" s="33" t="inlineStr">
        <is>
          <t>High</t>
        </is>
      </c>
      <c r="H967" s="33" t="inlineStr">
        <is>
          <t>Initial</t>
        </is>
      </c>
    </row>
    <row r="968">
      <c r="A968" s="33" t="inlineStr">
        <is>
          <t>2026-05-18</t>
        </is>
      </c>
      <c r="B968" s="33" t="inlineStr">
        <is>
          <t>KLAC</t>
        </is>
      </c>
      <c r="C968" s="33" t="inlineStr">
        <is>
          <t>D1</t>
        </is>
      </c>
      <c r="D968" s="33" t="n">
        <v>4</v>
      </c>
      <c r="E968" s="68" t="inlineStr">
        <is>
          <t>PCB/Component +37% on AI packaging; ~30% AI revenue.</t>
        </is>
      </c>
      <c r="F968" s="68" t="inlineStr">
        <is>
          <t>KLAC Q1/Q4 2026 + AI infrastructure coverage (per-name research 2026-05-18)</t>
        </is>
      </c>
      <c r="G968" s="33" t="inlineStr">
        <is>
          <t>High</t>
        </is>
      </c>
      <c r="H968" s="33" t="inlineStr">
        <is>
          <t>Initial</t>
        </is>
      </c>
    </row>
    <row r="969">
      <c r="A969" s="33" t="inlineStr">
        <is>
          <t>2026-05-18</t>
        </is>
      </c>
      <c r="B969" s="33" t="inlineStr">
        <is>
          <t>KLAC</t>
        </is>
      </c>
      <c r="C969" s="33" t="inlineStr">
        <is>
          <t>D2</t>
        </is>
      </c>
      <c r="D969" s="33" t="n">
        <v>5</v>
      </c>
      <c r="E969" s="68" t="inlineStr">
        <is>
          <t>Process control mission-critical for sub-2nm/AI chips.</t>
        </is>
      </c>
      <c r="F969" s="68" t="inlineStr">
        <is>
          <t>KLAC Q1/Q4 2026 + AI infrastructure coverage (per-name research 2026-05-18)</t>
        </is>
      </c>
      <c r="G969" s="33" t="inlineStr">
        <is>
          <t>High</t>
        </is>
      </c>
      <c r="H969" s="33" t="inlineStr">
        <is>
          <t>Initial</t>
        </is>
      </c>
    </row>
    <row r="970">
      <c r="A970" s="33" t="inlineStr">
        <is>
          <t>2026-05-18</t>
        </is>
      </c>
      <c r="B970" s="33" t="inlineStr">
        <is>
          <t>KLAC</t>
        </is>
      </c>
      <c r="C970" s="33" t="inlineStr">
        <is>
          <t>D3</t>
        </is>
      </c>
      <c r="D970" s="33" t="n">
        <v>5</v>
      </c>
      <c r="E970" s="68" t="inlineStr">
        <is>
          <t>Yield + metrology IP — rubric-level moat in inspection.</t>
        </is>
      </c>
      <c r="F970" s="68" t="inlineStr">
        <is>
          <t>KLAC Q1/Q4 2026 + AI infrastructure coverage (per-name research 2026-05-18)</t>
        </is>
      </c>
      <c r="G970" s="33" t="inlineStr">
        <is>
          <t>High</t>
        </is>
      </c>
      <c r="H970" s="33" t="inlineStr">
        <is>
          <t>Initial</t>
        </is>
      </c>
    </row>
    <row r="971">
      <c r="A971" s="33" t="inlineStr">
        <is>
          <t>2026-05-18</t>
        </is>
      </c>
      <c r="B971" s="33" t="inlineStr">
        <is>
          <t>KLAC</t>
        </is>
      </c>
      <c r="C971" s="33" t="inlineStr">
        <is>
          <t>D4</t>
        </is>
      </c>
      <c r="D971" s="33" t="n">
        <v>4</v>
      </c>
      <c r="E971" s="68" t="inlineStr">
        <is>
          <t>Steady capex aligned with demand.</t>
        </is>
      </c>
      <c r="F971" s="68" t="inlineStr">
        <is>
          <t>KLAC Q1/Q4 2026 + AI infrastructure coverage (per-name research 2026-05-18)</t>
        </is>
      </c>
      <c r="G971" s="33" t="inlineStr">
        <is>
          <t>High</t>
        </is>
      </c>
      <c r="H971" s="33" t="inlineStr">
        <is>
          <t>Initial</t>
        </is>
      </c>
    </row>
    <row r="972">
      <c r="A972" s="33" t="inlineStr">
        <is>
          <t>2026-05-18</t>
        </is>
      </c>
      <c r="B972" s="33" t="inlineStr">
        <is>
          <t>KLAC</t>
        </is>
      </c>
      <c r="C972" s="33" t="inlineStr">
        <is>
          <t>D5</t>
        </is>
      </c>
      <c r="D972" s="33" t="n">
        <v>4</v>
      </c>
      <c r="E972" s="68" t="inlineStr">
        <is>
          <t>All major foundries.</t>
        </is>
      </c>
      <c r="F972" s="68" t="inlineStr">
        <is>
          <t>KLAC Q1/Q4 2026 + AI infrastructure coverage (per-name research 2026-05-18)</t>
        </is>
      </c>
      <c r="G972" s="33" t="inlineStr">
        <is>
          <t>High</t>
        </is>
      </c>
      <c r="H972" s="33" t="inlineStr">
        <is>
          <t>Initial</t>
        </is>
      </c>
    </row>
    <row r="973">
      <c r="A973" s="33" t="inlineStr">
        <is>
          <t>2026-05-18</t>
        </is>
      </c>
      <c r="B973" s="33" t="inlineStr">
        <is>
          <t>KLAC</t>
        </is>
      </c>
      <c r="C973" s="33" t="inlineStr">
        <is>
          <t>M1</t>
        </is>
      </c>
      <c r="D973" s="33" t="n">
        <v>5</v>
      </c>
      <c r="E973" s="68" t="inlineStr">
        <is>
          <t>24 up / 1 down on +1Y.</t>
        </is>
      </c>
      <c r="F973" s="68" t="inlineStr">
        <is>
          <t>KLAC Q1/Q4 2026 + AI infrastructure coverage (per-name research 2026-05-18)</t>
        </is>
      </c>
      <c r="G973" s="33" t="inlineStr">
        <is>
          <t>High</t>
        </is>
      </c>
      <c r="H973" s="33" t="inlineStr">
        <is>
          <t>Initial</t>
        </is>
      </c>
    </row>
    <row r="974">
      <c r="A974" s="33" t="inlineStr">
        <is>
          <t>2026-05-18</t>
        </is>
      </c>
      <c r="B974" s="33" t="inlineStr">
        <is>
          <t>KLAC</t>
        </is>
      </c>
      <c r="C974" s="33" t="inlineStr">
        <is>
          <t>M2</t>
        </is>
      </c>
      <c r="D974" s="33" t="n">
        <v>2</v>
      </c>
      <c r="E974" s="68" t="inlineStr">
        <is>
          <t>-26pp vs SOXX — sector rotation.</t>
        </is>
      </c>
      <c r="F974" s="68" t="inlineStr">
        <is>
          <t>KLAC Q1/Q4 2026 + AI infrastructure coverage (per-name research 2026-05-18)</t>
        </is>
      </c>
      <c r="G974" s="33" t="inlineStr">
        <is>
          <t>High</t>
        </is>
      </c>
      <c r="H974" s="33" t="inlineStr">
        <is>
          <t>Initial</t>
        </is>
      </c>
    </row>
    <row r="975">
      <c r="A975" s="33" t="inlineStr">
        <is>
          <t>2026-05-18</t>
        </is>
      </c>
      <c r="B975" s="33" t="inlineStr">
        <is>
          <t>KLAC</t>
        </is>
      </c>
      <c r="C975" s="33" t="inlineStr">
        <is>
          <t>M3</t>
        </is>
      </c>
      <c r="D975" s="33" t="n">
        <v>3</v>
      </c>
      <c r="E975" s="68" t="inlineStr">
        <is>
          <t>Routine; default 3.</t>
        </is>
      </c>
      <c r="F975" s="68" t="inlineStr">
        <is>
          <t>KLAC Q1/Q4 2026 + AI infrastructure coverage (per-name research 2026-05-18)</t>
        </is>
      </c>
      <c r="G975" s="33" t="inlineStr">
        <is>
          <t>High</t>
        </is>
      </c>
      <c r="H975" s="33" t="inlineStr">
        <is>
          <t>Initial</t>
        </is>
      </c>
    </row>
    <row r="976">
      <c r="A976" s="33" t="inlineStr">
        <is>
          <t>2026-05-18</t>
        </is>
      </c>
      <c r="B976" s="33" t="inlineStr">
        <is>
          <t>KLAC</t>
        </is>
      </c>
      <c r="C976" s="33" t="inlineStr">
        <is>
          <t>R1</t>
        </is>
      </c>
      <c r="D976" s="33" t="n">
        <v>4</v>
      </c>
      <c r="E976" s="68" t="inlineStr">
        <is>
          <t>Top customers concentrated.</t>
        </is>
      </c>
      <c r="F976" s="68" t="inlineStr">
        <is>
          <t>KLAC Q1/Q4 2026 + AI infrastructure coverage (per-name research 2026-05-18)</t>
        </is>
      </c>
      <c r="G976" s="33" t="inlineStr">
        <is>
          <t>High</t>
        </is>
      </c>
      <c r="H976" s="33" t="inlineStr">
        <is>
          <t>Initial</t>
        </is>
      </c>
    </row>
    <row r="977">
      <c r="A977" s="33" t="inlineStr">
        <is>
          <t>2026-05-18</t>
        </is>
      </c>
      <c r="B977" s="33" t="inlineStr">
        <is>
          <t>KLAC</t>
        </is>
      </c>
      <c r="C977" s="33" t="inlineStr">
        <is>
          <t>R2</t>
        </is>
      </c>
      <c r="D977" s="33" t="n">
        <v>3</v>
      </c>
      <c r="E977" s="68" t="inlineStr">
        <is>
          <t>China exposure.</t>
        </is>
      </c>
      <c r="F977" s="68" t="inlineStr">
        <is>
          <t>KLAC Q1/Q4 2026 + AI infrastructure coverage (per-name research 2026-05-18)</t>
        </is>
      </c>
      <c r="G977" s="33" t="inlineStr">
        <is>
          <t>High</t>
        </is>
      </c>
      <c r="H977" s="33" t="inlineStr">
        <is>
          <t>Initial</t>
        </is>
      </c>
    </row>
    <row r="978">
      <c r="A978" s="33" t="inlineStr">
        <is>
          <t>2026-05-18</t>
        </is>
      </c>
      <c r="B978" s="33" t="inlineStr">
        <is>
          <t>KLAC</t>
        </is>
      </c>
      <c r="C978" s="33" t="inlineStr">
        <is>
          <t>R3</t>
        </is>
      </c>
      <c r="D978" s="33" t="n">
        <v>5</v>
      </c>
      <c r="E978" s="68" t="inlineStr">
        <is>
          <t>Strong.</t>
        </is>
      </c>
      <c r="F978" s="68" t="inlineStr">
        <is>
          <t>KLAC Q1/Q4 2026 + AI infrastructure coverage (per-name research 2026-05-18)</t>
        </is>
      </c>
      <c r="G978" s="33" t="inlineStr">
        <is>
          <t>High</t>
        </is>
      </c>
      <c r="H978" s="33" t="inlineStr">
        <is>
          <t>Initial</t>
        </is>
      </c>
    </row>
    <row r="979">
      <c r="A979" s="33" t="inlineStr">
        <is>
          <t>2026-05-18</t>
        </is>
      </c>
      <c r="B979" s="33" t="inlineStr">
        <is>
          <t>KLAC</t>
        </is>
      </c>
      <c r="C979" s="33" t="inlineStr">
        <is>
          <t>R4</t>
        </is>
      </c>
      <c r="D979" s="33" t="n">
        <v>4</v>
      </c>
      <c r="E979" s="68" t="inlineStr">
        <is>
          <t>Routine.</t>
        </is>
      </c>
      <c r="F979" s="68" t="inlineStr">
        <is>
          <t>KLAC Q1/Q4 2026 + AI infrastructure coverage (per-name research 2026-05-18)</t>
        </is>
      </c>
      <c r="G979" s="33" t="inlineStr">
        <is>
          <t>High</t>
        </is>
      </c>
      <c r="H979" s="33" t="inlineStr">
        <is>
          <t>Initial</t>
        </is>
      </c>
    </row>
    <row r="980">
      <c r="A980" s="33" t="inlineStr">
        <is>
          <t>2026-05-18</t>
        </is>
      </c>
      <c r="B980" s="33" t="inlineStr">
        <is>
          <t>TOELY</t>
        </is>
      </c>
      <c r="C980" s="33" t="inlineStr">
        <is>
          <t>D1</t>
        </is>
      </c>
      <c r="D980" s="33" t="n">
        <v>3</v>
      </c>
      <c r="E980" s="68" t="inlineStr">
        <is>
          <t>AP +60% to ¥200B; broader portfolio diversification.</t>
        </is>
      </c>
      <c r="F980" s="68" t="inlineStr">
        <is>
          <t>TOELY Q1/Q4 2026 + AI infrastructure coverage (per-name research 2026-05-18)</t>
        </is>
      </c>
      <c r="G980" s="33" t="inlineStr">
        <is>
          <t>High</t>
        </is>
      </c>
      <c r="H980" s="33" t="inlineStr">
        <is>
          <t>Initial</t>
        </is>
      </c>
    </row>
    <row r="981">
      <c r="A981" s="33" t="inlineStr">
        <is>
          <t>2026-05-18</t>
        </is>
      </c>
      <c r="B981" s="33" t="inlineStr">
        <is>
          <t>TOELY</t>
        </is>
      </c>
      <c r="C981" s="33" t="inlineStr">
        <is>
          <t>D2</t>
        </is>
      </c>
      <c r="D981" s="33" t="n">
        <v>4</v>
      </c>
      <c r="E981" s="68" t="inlineStr">
        <is>
          <t>91% coater/developer + #2 etch/depo.</t>
        </is>
      </c>
      <c r="F981" s="68" t="inlineStr">
        <is>
          <t>TOELY Q1/Q4 2026 + AI infrastructure coverage (per-name research 2026-05-18)</t>
        </is>
      </c>
      <c r="G981" s="33" t="inlineStr">
        <is>
          <t>High</t>
        </is>
      </c>
      <c r="H981" s="33" t="inlineStr">
        <is>
          <t>Initial</t>
        </is>
      </c>
    </row>
    <row r="982">
      <c r="A982" s="33" t="inlineStr">
        <is>
          <t>2026-05-18</t>
        </is>
      </c>
      <c r="B982" s="33" t="inlineStr">
        <is>
          <t>TOELY</t>
        </is>
      </c>
      <c r="C982" s="33" t="inlineStr">
        <is>
          <t>D3</t>
        </is>
      </c>
      <c r="D982" s="33" t="n">
        <v>4</v>
      </c>
      <c r="E982" s="68" t="inlineStr">
        <is>
          <t>Multi-decade JP customer relationships + IP.</t>
        </is>
      </c>
      <c r="F982" s="68" t="inlineStr">
        <is>
          <t>TOELY Q1/Q4 2026 + AI infrastructure coverage (per-name research 2026-05-18)</t>
        </is>
      </c>
      <c r="G982" s="33" t="inlineStr">
        <is>
          <t>High</t>
        </is>
      </c>
      <c r="H982" s="33" t="inlineStr">
        <is>
          <t>Initial</t>
        </is>
      </c>
    </row>
    <row r="983">
      <c r="A983" s="33" t="inlineStr">
        <is>
          <t>2026-05-18</t>
        </is>
      </c>
      <c r="B983" s="33" t="inlineStr">
        <is>
          <t>TOELY</t>
        </is>
      </c>
      <c r="C983" s="33" t="inlineStr">
        <is>
          <t>D4</t>
        </is>
      </c>
      <c r="D983" s="33" t="n">
        <v>4</v>
      </c>
      <c r="E983" s="68" t="inlineStr">
        <is>
          <t>Active expansion; ¥1.5T 5-yr R&amp;D push.</t>
        </is>
      </c>
      <c r="F983" s="68" t="inlineStr">
        <is>
          <t>TOELY Q1/Q4 2026 + AI infrastructure coverage (per-name research 2026-05-18)</t>
        </is>
      </c>
      <c r="G983" s="33" t="inlineStr">
        <is>
          <t>High</t>
        </is>
      </c>
      <c r="H983" s="33" t="inlineStr">
        <is>
          <t>Initial</t>
        </is>
      </c>
    </row>
    <row r="984">
      <c r="A984" s="33" t="inlineStr">
        <is>
          <t>2026-05-18</t>
        </is>
      </c>
      <c r="B984" s="33" t="inlineStr">
        <is>
          <t>TOELY</t>
        </is>
      </c>
      <c r="C984" s="33" t="inlineStr">
        <is>
          <t>D5</t>
        </is>
      </c>
      <c r="D984" s="33" t="n">
        <v>3</v>
      </c>
      <c r="E984" s="68" t="inlineStr">
        <is>
          <t>All major foundries indirect.</t>
        </is>
      </c>
      <c r="F984" s="68" t="inlineStr">
        <is>
          <t>TOELY Q1/Q4 2026 + AI infrastructure coverage (per-name research 2026-05-18)</t>
        </is>
      </c>
      <c r="G984" s="33" t="inlineStr">
        <is>
          <t>High</t>
        </is>
      </c>
      <c r="H984" s="33" t="inlineStr">
        <is>
          <t>Initial</t>
        </is>
      </c>
    </row>
    <row r="985">
      <c r="A985" s="33" t="inlineStr">
        <is>
          <t>2026-05-18</t>
        </is>
      </c>
      <c r="B985" s="33" t="inlineStr">
        <is>
          <t>TOELY</t>
        </is>
      </c>
      <c r="C985" s="33" t="inlineStr">
        <is>
          <t>M1</t>
        </is>
      </c>
      <c r="D985" s="33" t="n">
        <v>3</v>
      </c>
      <c r="E985" s="68" t="inlineStr">
        <is>
          <t>Limited revision data.</t>
        </is>
      </c>
      <c r="F985" s="68" t="inlineStr">
        <is>
          <t>TOELY Q1/Q4 2026 + AI infrastructure coverage (per-name research 2026-05-18)</t>
        </is>
      </c>
      <c r="G985" s="33" t="inlineStr">
        <is>
          <t>High</t>
        </is>
      </c>
      <c r="H985" s="33" t="inlineStr">
        <is>
          <t>Initial</t>
        </is>
      </c>
    </row>
    <row r="986">
      <c r="A986" s="33" t="inlineStr">
        <is>
          <t>2026-05-18</t>
        </is>
      </c>
      <c r="B986" s="33" t="inlineStr">
        <is>
          <t>TOELY</t>
        </is>
      </c>
      <c r="C986" s="33" t="inlineStr">
        <is>
          <t>M2</t>
        </is>
      </c>
      <c r="D986" s="33" t="n">
        <v>2</v>
      </c>
      <c r="E986" s="68" t="inlineStr">
        <is>
          <t>-22pp vs SOXX.</t>
        </is>
      </c>
      <c r="F986" s="68" t="inlineStr">
        <is>
          <t>TOELY Q1/Q4 2026 + AI infrastructure coverage (per-name research 2026-05-18)</t>
        </is>
      </c>
      <c r="G986" s="33" t="inlineStr">
        <is>
          <t>High</t>
        </is>
      </c>
      <c r="H986" s="33" t="inlineStr">
        <is>
          <t>Initial</t>
        </is>
      </c>
    </row>
    <row r="987">
      <c r="A987" s="33" t="inlineStr">
        <is>
          <t>2026-05-18</t>
        </is>
      </c>
      <c r="B987" s="33" t="inlineStr">
        <is>
          <t>TOELY</t>
        </is>
      </c>
      <c r="C987" s="33" t="inlineStr">
        <is>
          <t>M3</t>
        </is>
      </c>
      <c r="D987" s="33" t="n">
        <v>3</v>
      </c>
      <c r="E987" s="68" t="inlineStr">
        <is>
          <t>Routine.</t>
        </is>
      </c>
      <c r="F987" s="68" t="inlineStr">
        <is>
          <t>TOELY Q1/Q4 2026 + AI infrastructure coverage (per-name research 2026-05-18)</t>
        </is>
      </c>
      <c r="G987" s="33" t="inlineStr">
        <is>
          <t>High</t>
        </is>
      </c>
      <c r="H987" s="33" t="inlineStr">
        <is>
          <t>Initial</t>
        </is>
      </c>
    </row>
    <row r="988">
      <c r="A988" s="33" t="inlineStr">
        <is>
          <t>2026-05-18</t>
        </is>
      </c>
      <c r="B988" s="33" t="inlineStr">
        <is>
          <t>TOELY</t>
        </is>
      </c>
      <c r="C988" s="33" t="inlineStr">
        <is>
          <t>R1</t>
        </is>
      </c>
      <c r="D988" s="33" t="n">
        <v>4</v>
      </c>
      <c r="E988" s="68" t="inlineStr">
        <is>
          <t>Concentrated.</t>
        </is>
      </c>
      <c r="F988" s="68" t="inlineStr">
        <is>
          <t>TOELY Q1/Q4 2026 + AI infrastructure coverage (per-name research 2026-05-18)</t>
        </is>
      </c>
      <c r="G988" s="33" t="inlineStr">
        <is>
          <t>High</t>
        </is>
      </c>
      <c r="H988" s="33" t="inlineStr">
        <is>
          <t>Initial</t>
        </is>
      </c>
    </row>
    <row r="989">
      <c r="A989" s="33" t="inlineStr">
        <is>
          <t>2026-05-18</t>
        </is>
      </c>
      <c r="B989" s="33" t="inlineStr">
        <is>
          <t>TOELY</t>
        </is>
      </c>
      <c r="C989" s="33" t="inlineStr">
        <is>
          <t>R2</t>
        </is>
      </c>
      <c r="D989" s="33" t="n">
        <v>3</v>
      </c>
      <c r="E989" s="68" t="inlineStr">
        <is>
          <t>Japanese ADR; some China.</t>
        </is>
      </c>
      <c r="F989" s="68" t="inlineStr">
        <is>
          <t>TOELY Q1/Q4 2026 + AI infrastructure coverage (per-name research 2026-05-18)</t>
        </is>
      </c>
      <c r="G989" s="33" t="inlineStr">
        <is>
          <t>High</t>
        </is>
      </c>
      <c r="H989" s="33" t="inlineStr">
        <is>
          <t>Initial</t>
        </is>
      </c>
    </row>
    <row r="990">
      <c r="A990" s="33" t="inlineStr">
        <is>
          <t>2026-05-18</t>
        </is>
      </c>
      <c r="B990" s="33" t="inlineStr">
        <is>
          <t>TOELY</t>
        </is>
      </c>
      <c r="C990" s="33" t="inlineStr">
        <is>
          <t>R3</t>
        </is>
      </c>
      <c r="D990" s="33" t="n">
        <v>5</v>
      </c>
      <c r="E990" s="68" t="inlineStr">
        <is>
          <t>Strong.</t>
        </is>
      </c>
      <c r="F990" s="68" t="inlineStr">
        <is>
          <t>TOELY Q1/Q4 2026 + AI infrastructure coverage (per-name research 2026-05-18)</t>
        </is>
      </c>
      <c r="G990" s="33" t="inlineStr">
        <is>
          <t>High</t>
        </is>
      </c>
      <c r="H990" s="33" t="inlineStr">
        <is>
          <t>Initial</t>
        </is>
      </c>
    </row>
    <row r="991">
      <c r="A991" s="33" t="inlineStr">
        <is>
          <t>2026-05-18</t>
        </is>
      </c>
      <c r="B991" s="33" t="inlineStr">
        <is>
          <t>TOELY</t>
        </is>
      </c>
      <c r="C991" s="33" t="inlineStr">
        <is>
          <t>R4</t>
        </is>
      </c>
      <c r="D991" s="33" t="n">
        <v>4</v>
      </c>
      <c r="E991" s="68" t="inlineStr">
        <is>
          <t>Routine.</t>
        </is>
      </c>
      <c r="F991" s="68" t="inlineStr">
        <is>
          <t>TOELY Q1/Q4 2026 + AI infrastructure coverage (per-name research 2026-05-18)</t>
        </is>
      </c>
      <c r="G991" s="33" t="inlineStr">
        <is>
          <t>High</t>
        </is>
      </c>
      <c r="H991" s="33" t="inlineStr">
        <is>
          <t>Initial</t>
        </is>
      </c>
    </row>
    <row r="992">
      <c r="A992" s="33" t="inlineStr">
        <is>
          <t>2026-05-18</t>
        </is>
      </c>
      <c r="B992" s="33" t="inlineStr">
        <is>
          <t>TER</t>
        </is>
      </c>
      <c r="C992" s="33" t="inlineStr">
        <is>
          <t>D1</t>
        </is>
      </c>
      <c r="D992" s="33" t="n">
        <v>5</v>
      </c>
      <c r="E992" s="68" t="inlineStr">
        <is>
          <t>**Company disclosed 70% of revenue AI-related** (compute + memory test). Highest D1 in equipment cluster. **Dom 2026-05-18: note in logs; revisit if mix changes.**</t>
        </is>
      </c>
      <c r="F992" s="68" t="inlineStr">
        <is>
          <t>TER Q1/Q4 2026 + AI infrastructure coverage (per-name research 2026-05-18)</t>
        </is>
      </c>
      <c r="G992" s="33" t="inlineStr">
        <is>
          <t>High</t>
        </is>
      </c>
      <c r="H992" s="33" t="inlineStr">
        <is>
          <t>Initial</t>
        </is>
      </c>
    </row>
    <row r="993">
      <c r="A993" s="33" t="inlineStr">
        <is>
          <t>2026-05-18</t>
        </is>
      </c>
      <c r="B993" s="33" t="inlineStr">
        <is>
          <t>TER</t>
        </is>
      </c>
      <c r="C993" s="33" t="inlineStr">
        <is>
          <t>D2</t>
        </is>
      </c>
      <c r="D993" s="33" t="n">
        <v>4</v>
      </c>
      <c r="E993" s="68" t="inlineStr">
        <is>
          <t>Test equipment leader; competitive vs Advantest.</t>
        </is>
      </c>
      <c r="F993" s="68" t="inlineStr">
        <is>
          <t>TER Q1/Q4 2026 + AI infrastructure coverage (per-name research 2026-05-18)</t>
        </is>
      </c>
      <c r="G993" s="33" t="inlineStr">
        <is>
          <t>High</t>
        </is>
      </c>
      <c r="H993" s="33" t="inlineStr">
        <is>
          <t>Initial</t>
        </is>
      </c>
    </row>
    <row r="994">
      <c r="A994" s="33" t="inlineStr">
        <is>
          <t>2026-05-18</t>
        </is>
      </c>
      <c r="B994" s="33" t="inlineStr">
        <is>
          <t>TER</t>
        </is>
      </c>
      <c r="C994" s="33" t="inlineStr">
        <is>
          <t>D3</t>
        </is>
      </c>
      <c r="D994" s="33" t="n">
        <v>4</v>
      </c>
      <c r="E994" s="68" t="inlineStr">
        <is>
          <t>Test IP + scale.</t>
        </is>
      </c>
      <c r="F994" s="68" t="inlineStr">
        <is>
          <t>TER Q1/Q4 2026 + AI infrastructure coverage (per-name research 2026-05-18)</t>
        </is>
      </c>
      <c r="G994" s="33" t="inlineStr">
        <is>
          <t>High</t>
        </is>
      </c>
      <c r="H994" s="33" t="inlineStr">
        <is>
          <t>Initial</t>
        </is>
      </c>
    </row>
    <row r="995">
      <c r="A995" s="33" t="inlineStr">
        <is>
          <t>2026-05-18</t>
        </is>
      </c>
      <c r="B995" s="33" t="inlineStr">
        <is>
          <t>TER</t>
        </is>
      </c>
      <c r="C995" s="33" t="inlineStr">
        <is>
          <t>D4</t>
        </is>
      </c>
      <c r="D995" s="33" t="n">
        <v>5</v>
      </c>
      <c r="E995" s="68" t="inlineStr">
        <is>
          <t>+87% Q1 revenue; 2 hyperscaler ASIC programs in queue.</t>
        </is>
      </c>
      <c r="F995" s="68" t="inlineStr">
        <is>
          <t>TER Q1/Q4 2026 + AI infrastructure coverage (per-name research 2026-05-18)</t>
        </is>
      </c>
      <c r="G995" s="33" t="inlineStr">
        <is>
          <t>High</t>
        </is>
      </c>
      <c r="H995" s="33" t="inlineStr">
        <is>
          <t>Initial</t>
        </is>
      </c>
    </row>
    <row r="996">
      <c r="A996" s="33" t="inlineStr">
        <is>
          <t>2026-05-18</t>
        </is>
      </c>
      <c r="B996" s="33" t="inlineStr">
        <is>
          <t>TER</t>
        </is>
      </c>
      <c r="C996" s="33" t="inlineStr">
        <is>
          <t>D5</t>
        </is>
      </c>
      <c r="D996" s="33" t="n">
        <v>4</v>
      </c>
      <c r="E996" s="68" t="inlineStr">
        <is>
          <t>Hyperscaler custom ASIC + merchant GPU test wins.</t>
        </is>
      </c>
      <c r="F996" s="68" t="inlineStr">
        <is>
          <t>TER Q1/Q4 2026 + AI infrastructure coverage (per-name research 2026-05-18)</t>
        </is>
      </c>
      <c r="G996" s="33" t="inlineStr">
        <is>
          <t>High</t>
        </is>
      </c>
      <c r="H996" s="33" t="inlineStr">
        <is>
          <t>Initial</t>
        </is>
      </c>
    </row>
    <row r="997">
      <c r="A997" s="33" t="inlineStr">
        <is>
          <t>2026-05-18</t>
        </is>
      </c>
      <c r="B997" s="33" t="inlineStr">
        <is>
          <t>TER</t>
        </is>
      </c>
      <c r="C997" s="33" t="inlineStr">
        <is>
          <t>M1</t>
        </is>
      </c>
      <c r="D997" s="33" t="n">
        <v>5</v>
      </c>
      <c r="E997" s="68" t="inlineStr">
        <is>
          <t>15 up / 0 down on +1Y; FY +13.9%.</t>
        </is>
      </c>
      <c r="F997" s="68" t="inlineStr">
        <is>
          <t>TER Q1/Q4 2026 + AI infrastructure coverage (per-name research 2026-05-18)</t>
        </is>
      </c>
      <c r="G997" s="33" t="inlineStr">
        <is>
          <t>High</t>
        </is>
      </c>
      <c r="H997" s="33" t="inlineStr">
        <is>
          <t>Initial</t>
        </is>
      </c>
    </row>
    <row r="998">
      <c r="A998" s="33" t="inlineStr">
        <is>
          <t>2026-05-18</t>
        </is>
      </c>
      <c r="B998" s="33" t="inlineStr">
        <is>
          <t>TER</t>
        </is>
      </c>
      <c r="C998" s="33" t="inlineStr">
        <is>
          <t>M2</t>
        </is>
      </c>
      <c r="D998" s="33" t="n">
        <v>5</v>
      </c>
      <c r="E998" s="68" t="inlineStr">
        <is>
          <t>+15pp vs SOXX 180d.</t>
        </is>
      </c>
      <c r="F998" s="68" t="inlineStr">
        <is>
          <t>TER Q1/Q4 2026 + AI infrastructure coverage (per-name research 2026-05-18)</t>
        </is>
      </c>
      <c r="G998" s="33" t="inlineStr">
        <is>
          <t>High</t>
        </is>
      </c>
      <c r="H998" s="33" t="inlineStr">
        <is>
          <t>Initial</t>
        </is>
      </c>
    </row>
    <row r="999">
      <c r="A999" s="33" t="inlineStr">
        <is>
          <t>2026-05-18</t>
        </is>
      </c>
      <c r="B999" s="33" t="inlineStr">
        <is>
          <t>TER</t>
        </is>
      </c>
      <c r="C999" s="33" t="inlineStr">
        <is>
          <t>M3</t>
        </is>
      </c>
      <c r="D999" s="33" t="n">
        <v>3</v>
      </c>
      <c r="E999" s="68" t="inlineStr">
        <is>
          <t>Routine.</t>
        </is>
      </c>
      <c r="F999" s="68" t="inlineStr">
        <is>
          <t>TER Q1/Q4 2026 + AI infrastructure coverage (per-name research 2026-05-18)</t>
        </is>
      </c>
      <c r="G999" s="33" t="inlineStr">
        <is>
          <t>High</t>
        </is>
      </c>
      <c r="H999" s="33" t="inlineStr">
        <is>
          <t>Initial</t>
        </is>
      </c>
    </row>
    <row r="1000">
      <c r="A1000" s="33" t="inlineStr">
        <is>
          <t>2026-05-18</t>
        </is>
      </c>
      <c r="B1000" s="33" t="inlineStr">
        <is>
          <t>TER</t>
        </is>
      </c>
      <c r="C1000" s="33" t="inlineStr">
        <is>
          <t>R1</t>
        </is>
      </c>
      <c r="D1000" s="33" t="n">
        <v>4</v>
      </c>
      <c r="E1000" s="68" t="inlineStr">
        <is>
          <t>Diversified test customer base.</t>
        </is>
      </c>
      <c r="F1000" s="68" t="inlineStr">
        <is>
          <t>TER Q1/Q4 2026 + AI infrastructure coverage (per-name research 2026-05-18)</t>
        </is>
      </c>
      <c r="G1000" s="33" t="inlineStr">
        <is>
          <t>High</t>
        </is>
      </c>
      <c r="H1000" s="33" t="inlineStr">
        <is>
          <t>Initial</t>
        </is>
      </c>
    </row>
    <row r="1001">
      <c r="A1001" s="33" t="inlineStr">
        <is>
          <t>2026-05-18</t>
        </is>
      </c>
      <c r="B1001" s="33" t="inlineStr">
        <is>
          <t>TER</t>
        </is>
      </c>
      <c r="C1001" s="33" t="inlineStr">
        <is>
          <t>R2</t>
        </is>
      </c>
      <c r="D1001" s="33" t="n">
        <v>4</v>
      </c>
      <c r="E1001" s="68" t="inlineStr">
        <is>
          <t>Global; minimal export controls.</t>
        </is>
      </c>
      <c r="F1001" s="68" t="inlineStr">
        <is>
          <t>TER Q1/Q4 2026 + AI infrastructure coverage (per-name research 2026-05-18)</t>
        </is>
      </c>
      <c r="G1001" s="33" t="inlineStr">
        <is>
          <t>High</t>
        </is>
      </c>
      <c r="H1001" s="33" t="inlineStr">
        <is>
          <t>Initial</t>
        </is>
      </c>
    </row>
    <row r="1002">
      <c r="A1002" s="33" t="inlineStr">
        <is>
          <t>2026-05-18</t>
        </is>
      </c>
      <c r="B1002" s="33" t="inlineStr">
        <is>
          <t>TER</t>
        </is>
      </c>
      <c r="C1002" s="33" t="inlineStr">
        <is>
          <t>R3</t>
        </is>
      </c>
      <c r="D1002" s="33" t="n">
        <v>5</v>
      </c>
      <c r="E1002" s="68" t="inlineStr">
        <is>
          <t>Strong.</t>
        </is>
      </c>
      <c r="F1002" s="68" t="inlineStr">
        <is>
          <t>TER Q1/Q4 2026 + AI infrastructure coverage (per-name research 2026-05-18)</t>
        </is>
      </c>
      <c r="G1002" s="33" t="inlineStr">
        <is>
          <t>High</t>
        </is>
      </c>
      <c r="H1002" s="33" t="inlineStr">
        <is>
          <t>Initial</t>
        </is>
      </c>
    </row>
    <row r="1003">
      <c r="A1003" s="33" t="inlineStr">
        <is>
          <t>2026-05-18</t>
        </is>
      </c>
      <c r="B1003" s="33" t="inlineStr">
        <is>
          <t>TER</t>
        </is>
      </c>
      <c r="C1003" s="33" t="inlineStr">
        <is>
          <t>R4</t>
        </is>
      </c>
      <c r="D1003" s="33" t="n">
        <v>4</v>
      </c>
      <c r="E1003" s="68" t="inlineStr">
        <is>
          <t>Routine.</t>
        </is>
      </c>
      <c r="F1003" s="68" t="inlineStr">
        <is>
          <t>TER Q1/Q4 2026 + AI infrastructure coverage (per-name research 2026-05-18)</t>
        </is>
      </c>
      <c r="G1003" s="33" t="inlineStr">
        <is>
          <t>High</t>
        </is>
      </c>
      <c r="H1003" s="33" t="inlineStr">
        <is>
          <t>Initial</t>
        </is>
      </c>
    </row>
    <row r="1004">
      <c r="A1004" s="33" t="inlineStr">
        <is>
          <t>2026-05-18</t>
        </is>
      </c>
      <c r="B1004" s="33" t="inlineStr">
        <is>
          <t>ONTO</t>
        </is>
      </c>
      <c r="C1004" s="33" t="inlineStr">
        <is>
          <t>D1</t>
        </is>
      </c>
      <c r="D1004" s="33" t="n">
        <v>5</v>
      </c>
      <c r="E1004" s="68" t="inlineStr">
        <is>
          <t>AP metrology revenue tripled YoY; &gt;$50M AP revenue.</t>
        </is>
      </c>
      <c r="F1004" s="68" t="inlineStr">
        <is>
          <t>ONTO Q1/Q4 2026 + AI infrastructure coverage (per-name research 2026-05-18)</t>
        </is>
      </c>
      <c r="G1004" s="33" t="inlineStr">
        <is>
          <t>High</t>
        </is>
      </c>
      <c r="H1004" s="33" t="inlineStr">
        <is>
          <t>Initial</t>
        </is>
      </c>
    </row>
    <row r="1005">
      <c r="A1005" s="33" t="inlineStr">
        <is>
          <t>2026-05-18</t>
        </is>
      </c>
      <c r="B1005" s="33" t="inlineStr">
        <is>
          <t>ONTO</t>
        </is>
      </c>
      <c r="C1005" s="33" t="inlineStr">
        <is>
          <t>D2</t>
        </is>
      </c>
      <c r="D1005" s="33" t="n">
        <v>4</v>
      </c>
      <c r="E1005" s="68" t="inlineStr">
        <is>
          <t>AP metrology specialist; Dragonfly leader.</t>
        </is>
      </c>
      <c r="F1005" s="68" t="inlineStr">
        <is>
          <t>ONTO Q1/Q4 2026 + AI infrastructure coverage (per-name research 2026-05-18)</t>
        </is>
      </c>
      <c r="G1005" s="33" t="inlineStr">
        <is>
          <t>High</t>
        </is>
      </c>
      <c r="H1005" s="33" t="inlineStr">
        <is>
          <t>Initial</t>
        </is>
      </c>
    </row>
    <row r="1006">
      <c r="A1006" s="33" t="inlineStr">
        <is>
          <t>2026-05-18</t>
        </is>
      </c>
      <c r="B1006" s="33" t="inlineStr">
        <is>
          <t>ONTO</t>
        </is>
      </c>
      <c r="C1006" s="33" t="inlineStr">
        <is>
          <t>D3</t>
        </is>
      </c>
      <c r="D1006" s="33" t="n">
        <v>4</v>
      </c>
      <c r="E1006" s="68" t="inlineStr">
        <is>
          <t>Hybrid bonding + metrology IP.</t>
        </is>
      </c>
      <c r="F1006" s="68" t="inlineStr">
        <is>
          <t>ONTO Q1/Q4 2026 + AI infrastructure coverage (per-name research 2026-05-18)</t>
        </is>
      </c>
      <c r="G1006" s="33" t="inlineStr">
        <is>
          <t>High</t>
        </is>
      </c>
      <c r="H1006" s="33" t="inlineStr">
        <is>
          <t>Initial</t>
        </is>
      </c>
    </row>
    <row r="1007">
      <c r="A1007" s="33" t="inlineStr">
        <is>
          <t>2026-05-18</t>
        </is>
      </c>
      <c r="B1007" s="33" t="inlineStr">
        <is>
          <t>ONTO</t>
        </is>
      </c>
      <c r="C1007" s="33" t="inlineStr">
        <is>
          <t>D4</t>
        </is>
      </c>
      <c r="D1007" s="33" t="n">
        <v>5</v>
      </c>
      <c r="E1007" s="68" t="inlineStr">
        <is>
          <t>30%+ AP revenue growth 2026; record backlog.</t>
        </is>
      </c>
      <c r="F1007" s="68" t="inlineStr">
        <is>
          <t>ONTO Q1/Q4 2026 + AI infrastructure coverage (per-name research 2026-05-18)</t>
        </is>
      </c>
      <c r="G1007" s="33" t="inlineStr">
        <is>
          <t>High</t>
        </is>
      </c>
      <c r="H1007" s="33" t="inlineStr">
        <is>
          <t>Initial</t>
        </is>
      </c>
    </row>
    <row r="1008">
      <c r="A1008" s="33" t="inlineStr">
        <is>
          <t>2026-05-18</t>
        </is>
      </c>
      <c r="B1008" s="33" t="inlineStr">
        <is>
          <t>ONTO</t>
        </is>
      </c>
      <c r="C1008" s="33" t="inlineStr">
        <is>
          <t>D5</t>
        </is>
      </c>
      <c r="D1008" s="33" t="n">
        <v>4</v>
      </c>
      <c r="E1008" s="68" t="inlineStr">
        <is>
          <t>HBM makers; CoWoS suppliers.</t>
        </is>
      </c>
      <c r="F1008" s="68" t="inlineStr">
        <is>
          <t>ONTO Q1/Q4 2026 + AI infrastructure coverage (per-name research 2026-05-18)</t>
        </is>
      </c>
      <c r="G1008" s="33" t="inlineStr">
        <is>
          <t>High</t>
        </is>
      </c>
      <c r="H1008" s="33" t="inlineStr">
        <is>
          <t>Initial</t>
        </is>
      </c>
    </row>
    <row r="1009">
      <c r="A1009" s="33" t="inlineStr">
        <is>
          <t>2026-05-18</t>
        </is>
      </c>
      <c r="B1009" s="33" t="inlineStr">
        <is>
          <t>ONTO</t>
        </is>
      </c>
      <c r="C1009" s="33" t="inlineStr">
        <is>
          <t>M1</t>
        </is>
      </c>
      <c r="D1009" s="33" t="n">
        <v>5</v>
      </c>
      <c r="E1009" s="68" t="inlineStr">
        <is>
          <t>7 up / 0 down.</t>
        </is>
      </c>
      <c r="F1009" s="68" t="inlineStr">
        <is>
          <t>ONTO Q1/Q4 2026 + AI infrastructure coverage (per-name research 2026-05-18)</t>
        </is>
      </c>
      <c r="G1009" s="33" t="inlineStr">
        <is>
          <t>High</t>
        </is>
      </c>
      <c r="H1009" s="33" t="inlineStr">
        <is>
          <t>Initial</t>
        </is>
      </c>
    </row>
    <row r="1010">
      <c r="A1010" s="33" t="inlineStr">
        <is>
          <t>2026-05-18</t>
        </is>
      </c>
      <c r="B1010" s="33" t="inlineStr">
        <is>
          <t>ONTO</t>
        </is>
      </c>
      <c r="C1010" s="33" t="inlineStr">
        <is>
          <t>M2</t>
        </is>
      </c>
      <c r="D1010" s="33" t="n">
        <v>5</v>
      </c>
      <c r="E1010" s="68" t="inlineStr">
        <is>
          <t>+18pp vs SOXX.</t>
        </is>
      </c>
      <c r="F1010" s="68" t="inlineStr">
        <is>
          <t>ONTO Q1/Q4 2026 + AI infrastructure coverage (per-name research 2026-05-18)</t>
        </is>
      </c>
      <c r="G1010" s="33" t="inlineStr">
        <is>
          <t>High</t>
        </is>
      </c>
      <c r="H1010" s="33" t="inlineStr">
        <is>
          <t>Initial</t>
        </is>
      </c>
    </row>
    <row r="1011">
      <c r="A1011" s="33" t="inlineStr">
        <is>
          <t>2026-05-18</t>
        </is>
      </c>
      <c r="B1011" s="33" t="inlineStr">
        <is>
          <t>ONTO</t>
        </is>
      </c>
      <c r="C1011" s="33" t="inlineStr">
        <is>
          <t>M3</t>
        </is>
      </c>
      <c r="D1011" s="33" t="n">
        <v>3</v>
      </c>
      <c r="E1011" s="68" t="inlineStr">
        <is>
          <t>Routine.</t>
        </is>
      </c>
      <c r="F1011" s="68" t="inlineStr">
        <is>
          <t>ONTO Q1/Q4 2026 + AI infrastructure coverage (per-name research 2026-05-18)</t>
        </is>
      </c>
      <c r="G1011" s="33" t="inlineStr">
        <is>
          <t>High</t>
        </is>
      </c>
      <c r="H1011" s="33" t="inlineStr">
        <is>
          <t>Initial</t>
        </is>
      </c>
    </row>
    <row r="1012">
      <c r="A1012" s="33" t="inlineStr">
        <is>
          <t>2026-05-18</t>
        </is>
      </c>
      <c r="B1012" s="33" t="inlineStr">
        <is>
          <t>ONTO</t>
        </is>
      </c>
      <c r="C1012" s="33" t="inlineStr">
        <is>
          <t>R1</t>
        </is>
      </c>
      <c r="D1012" s="33" t="n">
        <v>4</v>
      </c>
      <c r="E1012" s="68" t="inlineStr">
        <is>
          <t>Concentrated AP customer base.</t>
        </is>
      </c>
      <c r="F1012" s="68" t="inlineStr">
        <is>
          <t>ONTO Q1/Q4 2026 + AI infrastructure coverage (per-name research 2026-05-18)</t>
        </is>
      </c>
      <c r="G1012" s="33" t="inlineStr">
        <is>
          <t>High</t>
        </is>
      </c>
      <c r="H1012" s="33" t="inlineStr">
        <is>
          <t>Initial</t>
        </is>
      </c>
    </row>
    <row r="1013">
      <c r="A1013" s="33" t="inlineStr">
        <is>
          <t>2026-05-18</t>
        </is>
      </c>
      <c r="B1013" s="33" t="inlineStr">
        <is>
          <t>ONTO</t>
        </is>
      </c>
      <c r="C1013" s="33" t="inlineStr">
        <is>
          <t>R2</t>
        </is>
      </c>
      <c r="D1013" s="33" t="n">
        <v>4</v>
      </c>
      <c r="E1013" s="68" t="inlineStr">
        <is>
          <t>Asian mfg ramp.</t>
        </is>
      </c>
      <c r="F1013" s="68" t="inlineStr">
        <is>
          <t>ONTO Q1/Q4 2026 + AI infrastructure coverage (per-name research 2026-05-18)</t>
        </is>
      </c>
      <c r="G1013" s="33" t="inlineStr">
        <is>
          <t>High</t>
        </is>
      </c>
      <c r="H1013" s="33" t="inlineStr">
        <is>
          <t>Initial</t>
        </is>
      </c>
    </row>
    <row r="1014">
      <c r="A1014" s="33" t="inlineStr">
        <is>
          <t>2026-05-18</t>
        </is>
      </c>
      <c r="B1014" s="33" t="inlineStr">
        <is>
          <t>ONTO</t>
        </is>
      </c>
      <c r="C1014" s="33" t="inlineStr">
        <is>
          <t>R3</t>
        </is>
      </c>
      <c r="D1014" s="33" t="n">
        <v>5</v>
      </c>
      <c r="E1014" s="68" t="inlineStr">
        <is>
          <t>Strong.</t>
        </is>
      </c>
      <c r="F1014" s="68" t="inlineStr">
        <is>
          <t>ONTO Q1/Q4 2026 + AI infrastructure coverage (per-name research 2026-05-18)</t>
        </is>
      </c>
      <c r="G1014" s="33" t="inlineStr">
        <is>
          <t>High</t>
        </is>
      </c>
      <c r="H1014" s="33" t="inlineStr">
        <is>
          <t>Initial</t>
        </is>
      </c>
    </row>
    <row r="1015">
      <c r="A1015" s="33" t="inlineStr">
        <is>
          <t>2026-05-18</t>
        </is>
      </c>
      <c r="B1015" s="33" t="inlineStr">
        <is>
          <t>ONTO</t>
        </is>
      </c>
      <c r="C1015" s="33" t="inlineStr">
        <is>
          <t>R4</t>
        </is>
      </c>
      <c r="D1015" s="33" t="n">
        <v>4</v>
      </c>
      <c r="E1015" s="68" t="inlineStr">
        <is>
          <t>Routine.</t>
        </is>
      </c>
      <c r="F1015" s="68" t="inlineStr">
        <is>
          <t>ONTO Q1/Q4 2026 + AI infrastructure coverage (per-name research 2026-05-18)</t>
        </is>
      </c>
      <c r="G1015" s="33" t="inlineStr">
        <is>
          <t>High</t>
        </is>
      </c>
      <c r="H1015" s="33" t="inlineStr">
        <is>
          <t>Initial</t>
        </is>
      </c>
    </row>
    <row r="1016">
      <c r="A1016" s="33" t="inlineStr">
        <is>
          <t>2026-05-18</t>
        </is>
      </c>
      <c r="B1016" s="33" t="inlineStr">
        <is>
          <t>CAMT</t>
        </is>
      </c>
      <c r="C1016" s="33" t="inlineStr">
        <is>
          <t>D1</t>
        </is>
      </c>
      <c r="D1016" s="33" t="n">
        <v>5</v>
      </c>
      <c r="E1016" s="68" t="inlineStr">
        <is>
          <t>HPC = 45-50% of revenue; AI-focused.</t>
        </is>
      </c>
      <c r="F1016" s="68" t="inlineStr">
        <is>
          <t>CAMT Q1/Q4 2026 + AI infrastructure coverage (per-name research 2026-05-18)</t>
        </is>
      </c>
      <c r="G1016" s="33" t="inlineStr">
        <is>
          <t>High</t>
        </is>
      </c>
      <c r="H1016" s="33" t="inlineStr">
        <is>
          <t>Initial</t>
        </is>
      </c>
    </row>
    <row r="1017">
      <c r="A1017" s="33" t="inlineStr">
        <is>
          <t>2026-05-18</t>
        </is>
      </c>
      <c r="B1017" s="33" t="inlineStr">
        <is>
          <t>CAMT</t>
        </is>
      </c>
      <c r="C1017" s="33" t="inlineStr">
        <is>
          <t>D2</t>
        </is>
      </c>
      <c r="D1017" s="33" t="n">
        <v>3</v>
      </c>
      <c r="E1017" s="68" t="inlineStr">
        <is>
          <t>Hawk platform niche; smaller scale.</t>
        </is>
      </c>
      <c r="F1017" s="68" t="inlineStr">
        <is>
          <t>CAMT Q1/Q4 2026 + AI infrastructure coverage (per-name research 2026-05-18)</t>
        </is>
      </c>
      <c r="G1017" s="33" t="inlineStr">
        <is>
          <t>High</t>
        </is>
      </c>
      <c r="H1017" s="33" t="inlineStr">
        <is>
          <t>Initial</t>
        </is>
      </c>
    </row>
    <row r="1018">
      <c r="A1018" s="33" t="inlineStr">
        <is>
          <t>2026-05-18</t>
        </is>
      </c>
      <c r="B1018" s="33" t="inlineStr">
        <is>
          <t>CAMT</t>
        </is>
      </c>
      <c r="C1018" s="33" t="inlineStr">
        <is>
          <t>D3</t>
        </is>
      </c>
      <c r="D1018" s="33" t="n">
        <v>3</v>
      </c>
      <c r="E1018" s="68" t="inlineStr">
        <is>
          <t>Visual Layer AI acquisition extends IP; Hawk leadership.</t>
        </is>
      </c>
      <c r="F1018" s="68" t="inlineStr">
        <is>
          <t>CAMT Q1/Q4 2026 + AI infrastructure coverage (per-name research 2026-05-18)</t>
        </is>
      </c>
      <c r="G1018" s="33" t="inlineStr">
        <is>
          <t>High</t>
        </is>
      </c>
      <c r="H1018" s="33" t="inlineStr">
        <is>
          <t>Initial</t>
        </is>
      </c>
    </row>
    <row r="1019">
      <c r="A1019" s="33" t="inlineStr">
        <is>
          <t>2026-05-18</t>
        </is>
      </c>
      <c r="B1019" s="33" t="inlineStr">
        <is>
          <t>CAMT</t>
        </is>
      </c>
      <c r="C1019" s="33" t="inlineStr">
        <is>
          <t>D4</t>
        </is>
      </c>
      <c r="D1019" s="33" t="n">
        <v>4</v>
      </c>
      <c r="E1019" s="68" t="inlineStr">
        <is>
          <t>$90M Q1 OSAT orders for AI; capacity expansion.</t>
        </is>
      </c>
      <c r="F1019" s="68" t="inlineStr">
        <is>
          <t>CAMT Q1/Q4 2026 + AI infrastructure coverage (per-name research 2026-05-18)</t>
        </is>
      </c>
      <c r="G1019" s="33" t="inlineStr">
        <is>
          <t>High</t>
        </is>
      </c>
      <c r="H1019" s="33" t="inlineStr">
        <is>
          <t>Initial</t>
        </is>
      </c>
    </row>
    <row r="1020">
      <c r="A1020" s="33" t="inlineStr">
        <is>
          <t>2026-05-18</t>
        </is>
      </c>
      <c r="B1020" s="33" t="inlineStr">
        <is>
          <t>CAMT</t>
        </is>
      </c>
      <c r="C1020" s="33" t="inlineStr">
        <is>
          <t>D5</t>
        </is>
      </c>
      <c r="D1020" s="33" t="n">
        <v>4</v>
      </c>
      <c r="E1020" s="68" t="inlineStr">
        <is>
          <t>OSATs + IDMs for AI/CoWoS.</t>
        </is>
      </c>
      <c r="F1020" s="68" t="inlineStr">
        <is>
          <t>CAMT Q1/Q4 2026 + AI infrastructure coverage (per-name research 2026-05-18)</t>
        </is>
      </c>
      <c r="G1020" s="33" t="inlineStr">
        <is>
          <t>High</t>
        </is>
      </c>
      <c r="H1020" s="33" t="inlineStr">
        <is>
          <t>Initial</t>
        </is>
      </c>
    </row>
    <row r="1021">
      <c r="A1021" s="33" t="inlineStr">
        <is>
          <t>2026-05-18</t>
        </is>
      </c>
      <c r="B1021" s="33" t="inlineStr">
        <is>
          <t>CAMT</t>
        </is>
      </c>
      <c r="C1021" s="33" t="inlineStr">
        <is>
          <t>M1</t>
        </is>
      </c>
      <c r="D1021" s="33" t="n">
        <v>3</v>
      </c>
      <c r="E1021" s="68" t="inlineStr">
        <is>
          <t>1 up / 0 down — limited.</t>
        </is>
      </c>
      <c r="F1021" s="68" t="inlineStr">
        <is>
          <t>CAMT Q1/Q4 2026 + AI infrastructure coverage (per-name research 2026-05-18)</t>
        </is>
      </c>
      <c r="G1021" s="33" t="inlineStr">
        <is>
          <t>High</t>
        </is>
      </c>
      <c r="H1021" s="33" t="inlineStr">
        <is>
          <t>Initial</t>
        </is>
      </c>
    </row>
    <row r="1022">
      <c r="A1022" s="33" t="inlineStr">
        <is>
          <t>2026-05-18</t>
        </is>
      </c>
      <c r="B1022" s="33" t="inlineStr">
        <is>
          <t>CAMT</t>
        </is>
      </c>
      <c r="C1022" s="33" t="inlineStr">
        <is>
          <t>M2</t>
        </is>
      </c>
      <c r="D1022" s="33" t="n">
        <v>2</v>
      </c>
      <c r="E1022" s="68" t="inlineStr">
        <is>
          <t>-21pp vs SOXX.</t>
        </is>
      </c>
      <c r="F1022" s="68" t="inlineStr">
        <is>
          <t>CAMT Q1/Q4 2026 + AI infrastructure coverage (per-name research 2026-05-18)</t>
        </is>
      </c>
      <c r="G1022" s="33" t="inlineStr">
        <is>
          <t>High</t>
        </is>
      </c>
      <c r="H1022" s="33" t="inlineStr">
        <is>
          <t>Initial</t>
        </is>
      </c>
    </row>
    <row r="1023">
      <c r="A1023" s="33" t="inlineStr">
        <is>
          <t>2026-05-18</t>
        </is>
      </c>
      <c r="B1023" s="33" t="inlineStr">
        <is>
          <t>CAMT</t>
        </is>
      </c>
      <c r="C1023" s="33" t="inlineStr">
        <is>
          <t>M3</t>
        </is>
      </c>
      <c r="D1023" s="33" t="n">
        <v>3</v>
      </c>
      <c r="E1023" s="68" t="inlineStr">
        <is>
          <t>Routine.</t>
        </is>
      </c>
      <c r="F1023" s="68" t="inlineStr">
        <is>
          <t>CAMT Q1/Q4 2026 + AI infrastructure coverage (per-name research 2026-05-18)</t>
        </is>
      </c>
      <c r="G1023" s="33" t="inlineStr">
        <is>
          <t>High</t>
        </is>
      </c>
      <c r="H1023" s="33" t="inlineStr">
        <is>
          <t>Initial</t>
        </is>
      </c>
    </row>
    <row r="1024">
      <c r="A1024" s="33" t="inlineStr">
        <is>
          <t>2026-05-18</t>
        </is>
      </c>
      <c r="B1024" s="33" t="inlineStr">
        <is>
          <t>CAMT</t>
        </is>
      </c>
      <c r="C1024" s="33" t="inlineStr">
        <is>
          <t>R1</t>
        </is>
      </c>
      <c r="D1024" s="33" t="n">
        <v>4</v>
      </c>
      <c r="E1024" s="68" t="inlineStr">
        <is>
          <t>OSAT customers concentrated.</t>
        </is>
      </c>
      <c r="F1024" s="68" t="inlineStr">
        <is>
          <t>CAMT Q1/Q4 2026 + AI infrastructure coverage (per-name research 2026-05-18)</t>
        </is>
      </c>
      <c r="G1024" s="33" t="inlineStr">
        <is>
          <t>High</t>
        </is>
      </c>
      <c r="H1024" s="33" t="inlineStr">
        <is>
          <t>Initial</t>
        </is>
      </c>
    </row>
    <row r="1025">
      <c r="A1025" s="33" t="inlineStr">
        <is>
          <t>2026-05-18</t>
        </is>
      </c>
      <c r="B1025" s="33" t="inlineStr">
        <is>
          <t>CAMT</t>
        </is>
      </c>
      <c r="C1025" s="33" t="inlineStr">
        <is>
          <t>R2</t>
        </is>
      </c>
      <c r="D1025" s="33" t="n">
        <v>4</v>
      </c>
      <c r="E1025" s="68" t="inlineStr">
        <is>
          <t>Israel-based; global.</t>
        </is>
      </c>
      <c r="F1025" s="68" t="inlineStr">
        <is>
          <t>CAMT Q1/Q4 2026 + AI infrastructure coverage (per-name research 2026-05-18)</t>
        </is>
      </c>
      <c r="G1025" s="33" t="inlineStr">
        <is>
          <t>High</t>
        </is>
      </c>
      <c r="H1025" s="33" t="inlineStr">
        <is>
          <t>Initial</t>
        </is>
      </c>
    </row>
    <row r="1026">
      <c r="A1026" s="33" t="inlineStr">
        <is>
          <t>2026-05-18</t>
        </is>
      </c>
      <c r="B1026" s="33" t="inlineStr">
        <is>
          <t>CAMT</t>
        </is>
      </c>
      <c r="C1026" s="33" t="inlineStr">
        <is>
          <t>R3</t>
        </is>
      </c>
      <c r="D1026" s="33" t="n">
        <v>4</v>
      </c>
      <c r="E1026" s="68" t="inlineStr">
        <is>
          <t>Reasonable.</t>
        </is>
      </c>
      <c r="F1026" s="68" t="inlineStr">
        <is>
          <t>CAMT Q1/Q4 2026 + AI infrastructure coverage (per-name research 2026-05-18)</t>
        </is>
      </c>
      <c r="G1026" s="33" t="inlineStr">
        <is>
          <t>High</t>
        </is>
      </c>
      <c r="H1026" s="33" t="inlineStr">
        <is>
          <t>Initial</t>
        </is>
      </c>
    </row>
    <row r="1027">
      <c r="A1027" s="33" t="inlineStr">
        <is>
          <t>2026-05-18</t>
        </is>
      </c>
      <c r="B1027" s="33" t="inlineStr">
        <is>
          <t>CAMT</t>
        </is>
      </c>
      <c r="C1027" s="33" t="inlineStr">
        <is>
          <t>R4</t>
        </is>
      </c>
      <c r="D1027" s="33" t="n">
        <v>4</v>
      </c>
      <c r="E1027" s="68" t="inlineStr">
        <is>
          <t>Routine.</t>
        </is>
      </c>
      <c r="F1027" s="68" t="inlineStr">
        <is>
          <t>CAMT Q1/Q4 2026 + AI infrastructure coverage (per-name research 2026-05-18)</t>
        </is>
      </c>
      <c r="G1027" s="33" t="inlineStr">
        <is>
          <t>High</t>
        </is>
      </c>
      <c r="H1027" s="33" t="inlineStr">
        <is>
          <t>Initial</t>
        </is>
      </c>
    </row>
    <row r="1028">
      <c r="A1028" s="33" t="inlineStr">
        <is>
          <t>2026-05-18</t>
        </is>
      </c>
      <c r="B1028" s="33" t="inlineStr">
        <is>
          <t>KLIC</t>
        </is>
      </c>
      <c r="C1028" s="33" t="inlineStr">
        <is>
          <t>D1</t>
        </is>
      </c>
      <c r="D1028" s="33" t="n">
        <v>4</v>
      </c>
      <c r="E1028" s="68" t="inlineStr">
        <is>
          <t>HBM TCB ramp + memory; +70% sequential FY26.</t>
        </is>
      </c>
      <c r="F1028" s="68" t="inlineStr">
        <is>
          <t>KLIC Q1/Q4 2026 + AI infrastructure coverage (per-name research 2026-05-18)</t>
        </is>
      </c>
      <c r="G1028" s="33" t="inlineStr">
        <is>
          <t>High</t>
        </is>
      </c>
      <c r="H1028" s="33" t="inlineStr">
        <is>
          <t>Initial</t>
        </is>
      </c>
    </row>
    <row r="1029">
      <c r="A1029" s="33" t="inlineStr">
        <is>
          <t>2026-05-18</t>
        </is>
      </c>
      <c r="B1029" s="33" t="inlineStr">
        <is>
          <t>KLIC</t>
        </is>
      </c>
      <c r="C1029" s="33" t="inlineStr">
        <is>
          <t>D2</t>
        </is>
      </c>
      <c r="D1029" s="33" t="n">
        <v>3</v>
      </c>
      <c r="E1029" s="68" t="inlineStr">
        <is>
          <t>Wire bond + TCB mid-tier.</t>
        </is>
      </c>
      <c r="F1029" s="68" t="inlineStr">
        <is>
          <t>KLIC Q1/Q4 2026 + AI infrastructure coverage (per-name research 2026-05-18)</t>
        </is>
      </c>
      <c r="G1029" s="33" t="inlineStr">
        <is>
          <t>High</t>
        </is>
      </c>
      <c r="H1029" s="33" t="inlineStr">
        <is>
          <t>Initial</t>
        </is>
      </c>
    </row>
    <row r="1030">
      <c r="A1030" s="33" t="inlineStr">
        <is>
          <t>2026-05-18</t>
        </is>
      </c>
      <c r="B1030" s="33" t="inlineStr">
        <is>
          <t>KLIC</t>
        </is>
      </c>
      <c r="C1030" s="33" t="inlineStr">
        <is>
          <t>D3</t>
        </is>
      </c>
      <c r="D1030" s="33" t="n">
        <v>3</v>
      </c>
      <c r="E1030" s="68" t="inlineStr">
        <is>
          <t>TCB IP growing.</t>
        </is>
      </c>
      <c r="F1030" s="68" t="inlineStr">
        <is>
          <t>KLIC Q1/Q4 2026 + AI infrastructure coverage (per-name research 2026-05-18)</t>
        </is>
      </c>
      <c r="G1030" s="33" t="inlineStr">
        <is>
          <t>High</t>
        </is>
      </c>
      <c r="H1030" s="33" t="inlineStr">
        <is>
          <t>Initial</t>
        </is>
      </c>
    </row>
    <row r="1031">
      <c r="A1031" s="33" t="inlineStr">
        <is>
          <t>2026-05-18</t>
        </is>
      </c>
      <c r="B1031" s="33" t="inlineStr">
        <is>
          <t>KLIC</t>
        </is>
      </c>
      <c r="C1031" s="33" t="inlineStr">
        <is>
          <t>D4</t>
        </is>
      </c>
      <c r="D1031" s="33" t="n">
        <v>5</v>
      </c>
      <c r="E1031" s="68" t="inlineStr">
        <is>
          <t>First HBM TCB in qualification; $400M TCB sales target.</t>
        </is>
      </c>
      <c r="F1031" s="68" t="inlineStr">
        <is>
          <t>KLIC Q1/Q4 2026 + AI infrastructure coverage (per-name research 2026-05-18)</t>
        </is>
      </c>
      <c r="G1031" s="33" t="inlineStr">
        <is>
          <t>High</t>
        </is>
      </c>
      <c r="H1031" s="33" t="inlineStr">
        <is>
          <t>Initial</t>
        </is>
      </c>
    </row>
    <row r="1032">
      <c r="A1032" s="33" t="inlineStr">
        <is>
          <t>2026-05-18</t>
        </is>
      </c>
      <c r="B1032" s="33" t="inlineStr">
        <is>
          <t>KLIC</t>
        </is>
      </c>
      <c r="C1032" s="33" t="inlineStr">
        <is>
          <t>D5</t>
        </is>
      </c>
      <c r="D1032" s="33" t="n">
        <v>4</v>
      </c>
      <c r="E1032" s="68" t="inlineStr">
        <is>
          <t>HBM makers ramping.</t>
        </is>
      </c>
      <c r="F1032" s="68" t="inlineStr">
        <is>
          <t>KLIC Q1/Q4 2026 + AI infrastructure coverage (per-name research 2026-05-18)</t>
        </is>
      </c>
      <c r="G1032" s="33" t="inlineStr">
        <is>
          <t>High</t>
        </is>
      </c>
      <c r="H1032" s="33" t="inlineStr">
        <is>
          <t>Initial</t>
        </is>
      </c>
    </row>
    <row r="1033">
      <c r="A1033" s="33" t="inlineStr">
        <is>
          <t>2026-05-18</t>
        </is>
      </c>
      <c r="B1033" s="33" t="inlineStr">
        <is>
          <t>KLIC</t>
        </is>
      </c>
      <c r="C1033" s="33" t="inlineStr">
        <is>
          <t>M1</t>
        </is>
      </c>
      <c r="D1033" s="33" t="n">
        <v>3</v>
      </c>
      <c r="E1033" s="68" t="inlineStr">
        <is>
          <t>1 up / 0 down — limited.</t>
        </is>
      </c>
      <c r="F1033" s="68" t="inlineStr">
        <is>
          <t>KLIC Q1/Q4 2026 + AI infrastructure coverage (per-name research 2026-05-18)</t>
        </is>
      </c>
      <c r="G1033" s="33" t="inlineStr">
        <is>
          <t>High</t>
        </is>
      </c>
      <c r="H1033" s="33" t="inlineStr">
        <is>
          <t>Initial</t>
        </is>
      </c>
    </row>
    <row r="1034">
      <c r="A1034" s="33" t="inlineStr">
        <is>
          <t>2026-05-18</t>
        </is>
      </c>
      <c r="B1034" s="33" t="inlineStr">
        <is>
          <t>KLIC</t>
        </is>
      </c>
      <c r="C1034" s="33" t="inlineStr">
        <is>
          <t>M2</t>
        </is>
      </c>
      <c r="D1034" s="33" t="n">
        <v>5</v>
      </c>
      <c r="E1034" s="68" t="inlineStr">
        <is>
          <t>+107pp vs SOXX — extreme small-cap rally.</t>
        </is>
      </c>
      <c r="F1034" s="68" t="inlineStr">
        <is>
          <t>KLIC Q1/Q4 2026 + AI infrastructure coverage (per-name research 2026-05-18)</t>
        </is>
      </c>
      <c r="G1034" s="33" t="inlineStr">
        <is>
          <t>High</t>
        </is>
      </c>
      <c r="H1034" s="33" t="inlineStr">
        <is>
          <t>Initial</t>
        </is>
      </c>
    </row>
    <row r="1035">
      <c r="A1035" s="33" t="inlineStr">
        <is>
          <t>2026-05-18</t>
        </is>
      </c>
      <c r="B1035" s="33" t="inlineStr">
        <is>
          <t>KLIC</t>
        </is>
      </c>
      <c r="C1035" s="33" t="inlineStr">
        <is>
          <t>M3</t>
        </is>
      </c>
      <c r="D1035" s="33" t="n">
        <v>3</v>
      </c>
      <c r="E1035" s="68" t="inlineStr">
        <is>
          <t>Routine.</t>
        </is>
      </c>
      <c r="F1035" s="68" t="inlineStr">
        <is>
          <t>KLIC Q1/Q4 2026 + AI infrastructure coverage (per-name research 2026-05-18)</t>
        </is>
      </c>
      <c r="G1035" s="33" t="inlineStr">
        <is>
          <t>High</t>
        </is>
      </c>
      <c r="H1035" s="33" t="inlineStr">
        <is>
          <t>Initial</t>
        </is>
      </c>
    </row>
    <row r="1036">
      <c r="A1036" s="33" t="inlineStr">
        <is>
          <t>2026-05-18</t>
        </is>
      </c>
      <c r="B1036" s="33" t="inlineStr">
        <is>
          <t>KLIC</t>
        </is>
      </c>
      <c r="C1036" s="33" t="inlineStr">
        <is>
          <t>R1</t>
        </is>
      </c>
      <c r="D1036" s="33" t="n">
        <v>4</v>
      </c>
      <c r="E1036" s="68" t="inlineStr">
        <is>
          <t>Concentrated TCB customers.</t>
        </is>
      </c>
      <c r="F1036" s="68" t="inlineStr">
        <is>
          <t>KLIC Q1/Q4 2026 + AI infrastructure coverage (per-name research 2026-05-18)</t>
        </is>
      </c>
      <c r="G1036" s="33" t="inlineStr">
        <is>
          <t>High</t>
        </is>
      </c>
      <c r="H1036" s="33" t="inlineStr">
        <is>
          <t>Initial</t>
        </is>
      </c>
    </row>
    <row r="1037">
      <c r="A1037" s="33" t="inlineStr">
        <is>
          <t>2026-05-18</t>
        </is>
      </c>
      <c r="B1037" s="33" t="inlineStr">
        <is>
          <t>KLIC</t>
        </is>
      </c>
      <c r="C1037" s="33" t="inlineStr">
        <is>
          <t>R2</t>
        </is>
      </c>
      <c r="D1037" s="33" t="n">
        <v>4</v>
      </c>
      <c r="E1037" s="68" t="inlineStr">
        <is>
          <t>Global.</t>
        </is>
      </c>
      <c r="F1037" s="68" t="inlineStr">
        <is>
          <t>KLIC Q1/Q4 2026 + AI infrastructure coverage (per-name research 2026-05-18)</t>
        </is>
      </c>
      <c r="G1037" s="33" t="inlineStr">
        <is>
          <t>High</t>
        </is>
      </c>
      <c r="H1037" s="33" t="inlineStr">
        <is>
          <t>Initial</t>
        </is>
      </c>
    </row>
    <row r="1038">
      <c r="A1038" s="33" t="inlineStr">
        <is>
          <t>2026-05-18</t>
        </is>
      </c>
      <c r="B1038" s="33" t="inlineStr">
        <is>
          <t>KLIC</t>
        </is>
      </c>
      <c r="C1038" s="33" t="inlineStr">
        <is>
          <t>R3</t>
        </is>
      </c>
      <c r="D1038" s="33" t="n">
        <v>4</v>
      </c>
      <c r="E1038" s="68" t="inlineStr">
        <is>
          <t>Reasonable.</t>
        </is>
      </c>
      <c r="F1038" s="68" t="inlineStr">
        <is>
          <t>KLIC Q1/Q4 2026 + AI infrastructure coverage (per-name research 2026-05-18)</t>
        </is>
      </c>
      <c r="G1038" s="33" t="inlineStr">
        <is>
          <t>High</t>
        </is>
      </c>
      <c r="H1038" s="33" t="inlineStr">
        <is>
          <t>Initial</t>
        </is>
      </c>
    </row>
    <row r="1039">
      <c r="A1039" s="33" t="inlineStr">
        <is>
          <t>2026-05-18</t>
        </is>
      </c>
      <c r="B1039" s="33" t="inlineStr">
        <is>
          <t>KLIC</t>
        </is>
      </c>
      <c r="C1039" s="33" t="inlineStr">
        <is>
          <t>R4</t>
        </is>
      </c>
      <c r="D1039" s="33" t="n">
        <v>4</v>
      </c>
      <c r="E1039" s="68" t="inlineStr">
        <is>
          <t>Routine.</t>
        </is>
      </c>
      <c r="F1039" s="68" t="inlineStr">
        <is>
          <t>KLIC Q1/Q4 2026 + AI infrastructure coverage (per-name research 2026-05-18)</t>
        </is>
      </c>
      <c r="G1039" s="33" t="inlineStr">
        <is>
          <t>High</t>
        </is>
      </c>
      <c r="H1039" s="33" t="inlineStr">
        <is>
          <t>Initial</t>
        </is>
      </c>
    </row>
    <row r="1040">
      <c r="A1040" s="33" t="inlineStr">
        <is>
          <t>2026-05-18</t>
        </is>
      </c>
      <c r="B1040" s="33" t="inlineStr">
        <is>
          <t>ENTG</t>
        </is>
      </c>
      <c r="C1040" s="33" t="inlineStr">
        <is>
          <t>D1</t>
        </is>
      </c>
      <c r="D1040" s="33" t="n">
        <v>4</v>
      </c>
      <c r="E1040" s="68" t="inlineStr">
        <is>
          <t>HBM4 + sub-2nm strategic focus; AP $100M+ run rate.</t>
        </is>
      </c>
      <c r="F1040" s="68" t="inlineStr">
        <is>
          <t>ENTG Q1/Q4 2026 + AI infrastructure coverage (per-name research 2026-05-18)</t>
        </is>
      </c>
      <c r="G1040" s="33" t="inlineStr">
        <is>
          <t>High</t>
        </is>
      </c>
      <c r="H1040" s="33" t="inlineStr">
        <is>
          <t>Initial</t>
        </is>
      </c>
    </row>
    <row r="1041">
      <c r="A1041" s="33" t="inlineStr">
        <is>
          <t>2026-05-18</t>
        </is>
      </c>
      <c r="B1041" s="33" t="inlineStr">
        <is>
          <t>ENTG</t>
        </is>
      </c>
      <c r="C1041" s="33" t="inlineStr">
        <is>
          <t>D2</t>
        </is>
      </c>
      <c r="D1041" s="33" t="n">
        <v>4</v>
      </c>
      <c r="E1041" s="68" t="inlineStr">
        <is>
          <t>Specialty materials breadth; multiple competitors.</t>
        </is>
      </c>
      <c r="F1041" s="68" t="inlineStr">
        <is>
          <t>ENTG Q1/Q4 2026 + AI infrastructure coverage (per-name research 2026-05-18)</t>
        </is>
      </c>
      <c r="G1041" s="33" t="inlineStr">
        <is>
          <t>High</t>
        </is>
      </c>
      <c r="H1041" s="33" t="inlineStr">
        <is>
          <t>Initial</t>
        </is>
      </c>
    </row>
    <row r="1042">
      <c r="A1042" s="33" t="inlineStr">
        <is>
          <t>2026-05-18</t>
        </is>
      </c>
      <c r="B1042" s="33" t="inlineStr">
        <is>
          <t>ENTG</t>
        </is>
      </c>
      <c r="C1042" s="33" t="inlineStr">
        <is>
          <t>D3</t>
        </is>
      </c>
      <c r="D1042" s="33" t="n">
        <v>4</v>
      </c>
      <c r="E1042" s="68" t="inlineStr">
        <is>
          <t>Process integration moat + scale.</t>
        </is>
      </c>
      <c r="F1042" s="68" t="inlineStr">
        <is>
          <t>ENTG Q1/Q4 2026 + AI infrastructure coverage (per-name research 2026-05-18)</t>
        </is>
      </c>
      <c r="G1042" s="33" t="inlineStr">
        <is>
          <t>High</t>
        </is>
      </c>
      <c r="H1042" s="33" t="inlineStr">
        <is>
          <t>Initial</t>
        </is>
      </c>
    </row>
    <row r="1043">
      <c r="A1043" s="33" t="inlineStr">
        <is>
          <t>2026-05-18</t>
        </is>
      </c>
      <c r="B1043" s="33" t="inlineStr">
        <is>
          <t>ENTG</t>
        </is>
      </c>
      <c r="C1043" s="33" t="inlineStr">
        <is>
          <t>D4</t>
        </is>
      </c>
      <c r="D1043" s="33" t="n">
        <v>4</v>
      </c>
      <c r="E1043" s="68" t="inlineStr">
        <is>
          <t>KSP + Colorado facility ramp 2026-2027.</t>
        </is>
      </c>
      <c r="F1043" s="68" t="inlineStr">
        <is>
          <t>ENTG Q1/Q4 2026 + AI infrastructure coverage (per-name research 2026-05-18)</t>
        </is>
      </c>
      <c r="G1043" s="33" t="inlineStr">
        <is>
          <t>High</t>
        </is>
      </c>
      <c r="H1043" s="33" t="inlineStr">
        <is>
          <t>Initial</t>
        </is>
      </c>
    </row>
    <row r="1044">
      <c r="A1044" s="33" t="inlineStr">
        <is>
          <t>2026-05-18</t>
        </is>
      </c>
      <c r="B1044" s="33" t="inlineStr">
        <is>
          <t>ENTG</t>
        </is>
      </c>
      <c r="C1044" s="33" t="inlineStr">
        <is>
          <t>D5</t>
        </is>
      </c>
      <c r="D1044" s="33" t="n">
        <v>4</v>
      </c>
      <c r="E1044" s="68" t="inlineStr">
        <is>
          <t>All foundries indirect.</t>
        </is>
      </c>
      <c r="F1044" s="68" t="inlineStr">
        <is>
          <t>ENTG Q1/Q4 2026 + AI infrastructure coverage (per-name research 2026-05-18)</t>
        </is>
      </c>
      <c r="G1044" s="33" t="inlineStr">
        <is>
          <t>High</t>
        </is>
      </c>
      <c r="H1044" s="33" t="inlineStr">
        <is>
          <t>Initial</t>
        </is>
      </c>
    </row>
    <row r="1045">
      <c r="A1045" s="33" t="inlineStr">
        <is>
          <t>2026-05-18</t>
        </is>
      </c>
      <c r="B1045" s="33" t="inlineStr">
        <is>
          <t>ENTG</t>
        </is>
      </c>
      <c r="C1045" s="33" t="inlineStr">
        <is>
          <t>M1</t>
        </is>
      </c>
      <c r="D1045" s="33" t="n">
        <v>4</v>
      </c>
      <c r="E1045" s="68" t="inlineStr">
        <is>
          <t>10 up / 1 down.</t>
        </is>
      </c>
      <c r="F1045" s="68" t="inlineStr">
        <is>
          <t>ENTG Q1/Q4 2026 + AI infrastructure coverage (per-name research 2026-05-18)</t>
        </is>
      </c>
      <c r="G1045" s="33" t="inlineStr">
        <is>
          <t>High</t>
        </is>
      </c>
      <c r="H1045" s="33" t="inlineStr">
        <is>
          <t>Initial</t>
        </is>
      </c>
    </row>
    <row r="1046">
      <c r="A1046" s="33" t="inlineStr">
        <is>
          <t>2026-05-18</t>
        </is>
      </c>
      <c r="B1046" s="33" t="inlineStr">
        <is>
          <t>ENTG</t>
        </is>
      </c>
      <c r="C1046" s="33" t="inlineStr">
        <is>
          <t>M2</t>
        </is>
      </c>
      <c r="D1046" s="33" t="n">
        <v>3</v>
      </c>
      <c r="E1046" s="68" t="inlineStr">
        <is>
          <t>-4pp vs SOXX.</t>
        </is>
      </c>
      <c r="F1046" s="68" t="inlineStr">
        <is>
          <t>ENTG Q1/Q4 2026 + AI infrastructure coverage (per-name research 2026-05-18)</t>
        </is>
      </c>
      <c r="G1046" s="33" t="inlineStr">
        <is>
          <t>High</t>
        </is>
      </c>
      <c r="H1046" s="33" t="inlineStr">
        <is>
          <t>Initial</t>
        </is>
      </c>
    </row>
    <row r="1047">
      <c r="A1047" s="33" t="inlineStr">
        <is>
          <t>2026-05-18</t>
        </is>
      </c>
      <c r="B1047" s="33" t="inlineStr">
        <is>
          <t>ENTG</t>
        </is>
      </c>
      <c r="C1047" s="33" t="inlineStr">
        <is>
          <t>M3</t>
        </is>
      </c>
      <c r="D1047" s="33" t="n">
        <v>3</v>
      </c>
      <c r="E1047" s="68" t="inlineStr">
        <is>
          <t>Routine.</t>
        </is>
      </c>
      <c r="F1047" s="68" t="inlineStr">
        <is>
          <t>ENTG Q1/Q4 2026 + AI infrastructure coverage (per-name research 2026-05-18)</t>
        </is>
      </c>
      <c r="G1047" s="33" t="inlineStr">
        <is>
          <t>High</t>
        </is>
      </c>
      <c r="H1047" s="33" t="inlineStr">
        <is>
          <t>Initial</t>
        </is>
      </c>
    </row>
    <row r="1048">
      <c r="A1048" s="33" t="inlineStr">
        <is>
          <t>2026-05-18</t>
        </is>
      </c>
      <c r="B1048" s="33" t="inlineStr">
        <is>
          <t>ENTG</t>
        </is>
      </c>
      <c r="C1048" s="33" t="inlineStr">
        <is>
          <t>R1</t>
        </is>
      </c>
      <c r="D1048" s="33" t="n">
        <v>4</v>
      </c>
      <c r="E1048" s="68" t="inlineStr">
        <is>
          <t>Diversified.</t>
        </is>
      </c>
      <c r="F1048" s="68" t="inlineStr">
        <is>
          <t>ENTG Q1/Q4 2026 + AI infrastructure coverage (per-name research 2026-05-18)</t>
        </is>
      </c>
      <c r="G1048" s="33" t="inlineStr">
        <is>
          <t>High</t>
        </is>
      </c>
      <c r="H1048" s="33" t="inlineStr">
        <is>
          <t>Initial</t>
        </is>
      </c>
    </row>
    <row r="1049">
      <c r="A1049" s="33" t="inlineStr">
        <is>
          <t>2026-05-18</t>
        </is>
      </c>
      <c r="B1049" s="33" t="inlineStr">
        <is>
          <t>ENTG</t>
        </is>
      </c>
      <c r="C1049" s="33" t="inlineStr">
        <is>
          <t>R2</t>
        </is>
      </c>
      <c r="D1049" s="33" t="n">
        <v>4</v>
      </c>
      <c r="E1049" s="68" t="inlineStr">
        <is>
          <t>Global.</t>
        </is>
      </c>
      <c r="F1049" s="68" t="inlineStr">
        <is>
          <t>ENTG Q1/Q4 2026 + AI infrastructure coverage (per-name research 2026-05-18)</t>
        </is>
      </c>
      <c r="G1049" s="33" t="inlineStr">
        <is>
          <t>High</t>
        </is>
      </c>
      <c r="H1049" s="33" t="inlineStr">
        <is>
          <t>Initial</t>
        </is>
      </c>
    </row>
    <row r="1050">
      <c r="A1050" s="33" t="inlineStr">
        <is>
          <t>2026-05-18</t>
        </is>
      </c>
      <c r="B1050" s="33" t="inlineStr">
        <is>
          <t>ENTG</t>
        </is>
      </c>
      <c r="C1050" s="33" t="inlineStr">
        <is>
          <t>R3</t>
        </is>
      </c>
      <c r="D1050" s="33" t="n">
        <v>4</v>
      </c>
      <c r="E1050" s="68" t="inlineStr">
        <is>
          <t>Moderate leverage.</t>
        </is>
      </c>
      <c r="F1050" s="68" t="inlineStr">
        <is>
          <t>ENTG Q1/Q4 2026 + AI infrastructure coverage (per-name research 2026-05-18)</t>
        </is>
      </c>
      <c r="G1050" s="33" t="inlineStr">
        <is>
          <t>High</t>
        </is>
      </c>
      <c r="H1050" s="33" t="inlineStr">
        <is>
          <t>Initial</t>
        </is>
      </c>
    </row>
    <row r="1051">
      <c r="A1051" s="33" t="inlineStr">
        <is>
          <t>2026-05-18</t>
        </is>
      </c>
      <c r="B1051" s="33" t="inlineStr">
        <is>
          <t>ENTG</t>
        </is>
      </c>
      <c r="C1051" s="33" t="inlineStr">
        <is>
          <t>R4</t>
        </is>
      </c>
      <c r="D1051" s="33" t="n">
        <v>4</v>
      </c>
      <c r="E1051" s="68" t="inlineStr">
        <is>
          <t>Routine.</t>
        </is>
      </c>
      <c r="F1051" s="68" t="inlineStr">
        <is>
          <t>ENTG Q1/Q4 2026 + AI infrastructure coverage (per-name research 2026-05-18)</t>
        </is>
      </c>
      <c r="G1051" s="33" t="inlineStr">
        <is>
          <t>High</t>
        </is>
      </c>
      <c r="H1051" s="33" t="inlineStr">
        <is>
          <t>Initial</t>
        </is>
      </c>
    </row>
    <row r="1052">
      <c r="A1052" s="33" t="inlineStr">
        <is>
          <t>2026-05-18</t>
        </is>
      </c>
      <c r="B1052" s="33" t="inlineStr">
        <is>
          <t>MKSI</t>
        </is>
      </c>
      <c r="C1052" s="33" t="inlineStr">
        <is>
          <t>D1</t>
        </is>
      </c>
      <c r="D1052" s="33" t="n">
        <v>4</v>
      </c>
      <c r="E1052" s="68" t="inlineStr">
        <is>
          <t>Semi 43% of revenue; HBM4 + sub-3nm; plasma/microwave/laser for AI.</t>
        </is>
      </c>
      <c r="F1052" s="68" t="inlineStr">
        <is>
          <t>MKSI Q1/Q4 2026 + AI infrastructure coverage (per-name research 2026-05-18)</t>
        </is>
      </c>
      <c r="G1052" s="33" t="inlineStr">
        <is>
          <t>High</t>
        </is>
      </c>
      <c r="H1052" s="33" t="inlineStr">
        <is>
          <t>Initial</t>
        </is>
      </c>
    </row>
    <row r="1053">
      <c r="A1053" s="33" t="inlineStr">
        <is>
          <t>2026-05-18</t>
        </is>
      </c>
      <c r="B1053" s="33" t="inlineStr">
        <is>
          <t>MKSI</t>
        </is>
      </c>
      <c r="C1053" s="33" t="inlineStr">
        <is>
          <t>D2</t>
        </is>
      </c>
      <c r="D1053" s="33" t="n">
        <v>3</v>
      </c>
      <c r="E1053" s="68" t="inlineStr">
        <is>
          <t>Mid-tier in vacuum + photonics + lasers.</t>
        </is>
      </c>
      <c r="F1053" s="68" t="inlineStr">
        <is>
          <t>MKSI Q1/Q4 2026 + AI infrastructure coverage (per-name research 2026-05-18)</t>
        </is>
      </c>
      <c r="G1053" s="33" t="inlineStr">
        <is>
          <t>High</t>
        </is>
      </c>
      <c r="H1053" s="33" t="inlineStr">
        <is>
          <t>Initial</t>
        </is>
      </c>
    </row>
    <row r="1054">
      <c r="A1054" s="33" t="inlineStr">
        <is>
          <t>2026-05-18</t>
        </is>
      </c>
      <c r="B1054" s="33" t="inlineStr">
        <is>
          <t>MKSI</t>
        </is>
      </c>
      <c r="C1054" s="33" t="inlineStr">
        <is>
          <t>D3</t>
        </is>
      </c>
      <c r="D1054" s="33" t="n">
        <v>3</v>
      </c>
      <c r="E1054" s="68" t="inlineStr">
        <is>
          <t>Vacuum + photonics IP.</t>
        </is>
      </c>
      <c r="F1054" s="68" t="inlineStr">
        <is>
          <t>MKSI Q1/Q4 2026 + AI infrastructure coverage (per-name research 2026-05-18)</t>
        </is>
      </c>
      <c r="G1054" s="33" t="inlineStr">
        <is>
          <t>High</t>
        </is>
      </c>
      <c r="H1054" s="33" t="inlineStr">
        <is>
          <t>Initial</t>
        </is>
      </c>
    </row>
    <row r="1055">
      <c r="A1055" s="33" t="inlineStr">
        <is>
          <t>2026-05-18</t>
        </is>
      </c>
      <c r="B1055" s="33" t="inlineStr">
        <is>
          <t>MKSI</t>
        </is>
      </c>
      <c r="C1055" s="33" t="inlineStr">
        <is>
          <t>D4</t>
        </is>
      </c>
      <c r="D1055" s="33" t="n">
        <v>4</v>
      </c>
      <c r="E1055" s="68" t="inlineStr">
        <is>
          <t>Active expansion.</t>
        </is>
      </c>
      <c r="F1055" s="68" t="inlineStr">
        <is>
          <t>MKSI Q1/Q4 2026 + AI infrastructure coverage (per-name research 2026-05-18)</t>
        </is>
      </c>
      <c r="G1055" s="33" t="inlineStr">
        <is>
          <t>High</t>
        </is>
      </c>
      <c r="H1055" s="33" t="inlineStr">
        <is>
          <t>Initial</t>
        </is>
      </c>
    </row>
    <row r="1056">
      <c r="A1056" s="33" t="inlineStr">
        <is>
          <t>2026-05-18</t>
        </is>
      </c>
      <c r="B1056" s="33" t="inlineStr">
        <is>
          <t>MKSI</t>
        </is>
      </c>
      <c r="C1056" s="33" t="inlineStr">
        <is>
          <t>D5</t>
        </is>
      </c>
      <c r="D1056" s="33" t="n">
        <v>4</v>
      </c>
      <c r="E1056" s="68" t="inlineStr">
        <is>
          <t>HBM + foundry customers.</t>
        </is>
      </c>
      <c r="F1056" s="68" t="inlineStr">
        <is>
          <t>MKSI Q1/Q4 2026 + AI infrastructure coverage (per-name research 2026-05-18)</t>
        </is>
      </c>
      <c r="G1056" s="33" t="inlineStr">
        <is>
          <t>High</t>
        </is>
      </c>
      <c r="H1056" s="33" t="inlineStr">
        <is>
          <t>Initial</t>
        </is>
      </c>
    </row>
    <row r="1057">
      <c r="A1057" s="33" t="inlineStr">
        <is>
          <t>2026-05-18</t>
        </is>
      </c>
      <c r="B1057" s="33" t="inlineStr">
        <is>
          <t>MKSI</t>
        </is>
      </c>
      <c r="C1057" s="33" t="inlineStr">
        <is>
          <t>M1</t>
        </is>
      </c>
      <c r="D1057" s="33" t="n">
        <v>5</v>
      </c>
      <c r="E1057" s="68" t="inlineStr">
        <is>
          <t>11 up / 0 down; FY +28%.</t>
        </is>
      </c>
      <c r="F1057" s="68" t="inlineStr">
        <is>
          <t>MKSI Q1/Q4 2026 + AI infrastructure coverage (per-name research 2026-05-18)</t>
        </is>
      </c>
      <c r="G1057" s="33" t="inlineStr">
        <is>
          <t>High</t>
        </is>
      </c>
      <c r="H1057" s="33" t="inlineStr">
        <is>
          <t>Initial</t>
        </is>
      </c>
    </row>
    <row r="1058">
      <c r="A1058" s="33" t="inlineStr">
        <is>
          <t>2026-05-18</t>
        </is>
      </c>
      <c r="B1058" s="33" t="inlineStr">
        <is>
          <t>MKSI</t>
        </is>
      </c>
      <c r="C1058" s="33" t="inlineStr">
        <is>
          <t>M2</t>
        </is>
      </c>
      <c r="D1058" s="33" t="n">
        <v>5</v>
      </c>
      <c r="E1058" s="68" t="inlineStr">
        <is>
          <t>+30pp vs SOXX.</t>
        </is>
      </c>
      <c r="F1058" s="68" t="inlineStr">
        <is>
          <t>MKSI Q1/Q4 2026 + AI infrastructure coverage (per-name research 2026-05-18)</t>
        </is>
      </c>
      <c r="G1058" s="33" t="inlineStr">
        <is>
          <t>High</t>
        </is>
      </c>
      <c r="H1058" s="33" t="inlineStr">
        <is>
          <t>Initial</t>
        </is>
      </c>
    </row>
    <row r="1059">
      <c r="A1059" s="33" t="inlineStr">
        <is>
          <t>2026-05-18</t>
        </is>
      </c>
      <c r="B1059" s="33" t="inlineStr">
        <is>
          <t>MKSI</t>
        </is>
      </c>
      <c r="C1059" s="33" t="inlineStr">
        <is>
          <t>M3</t>
        </is>
      </c>
      <c r="D1059" s="33" t="n">
        <v>3</v>
      </c>
      <c r="E1059" s="68" t="inlineStr">
        <is>
          <t>Routine.</t>
        </is>
      </c>
      <c r="F1059" s="68" t="inlineStr">
        <is>
          <t>MKSI Q1/Q4 2026 + AI infrastructure coverage (per-name research 2026-05-18)</t>
        </is>
      </c>
      <c r="G1059" s="33" t="inlineStr">
        <is>
          <t>High</t>
        </is>
      </c>
      <c r="H1059" s="33" t="inlineStr">
        <is>
          <t>Initial</t>
        </is>
      </c>
    </row>
    <row r="1060">
      <c r="A1060" s="33" t="inlineStr">
        <is>
          <t>2026-05-18</t>
        </is>
      </c>
      <c r="B1060" s="33" t="inlineStr">
        <is>
          <t>MKSI</t>
        </is>
      </c>
      <c r="C1060" s="33" t="inlineStr">
        <is>
          <t>R1</t>
        </is>
      </c>
      <c r="D1060" s="33" t="n">
        <v>4</v>
      </c>
      <c r="E1060" s="68" t="inlineStr">
        <is>
          <t>Diversified.</t>
        </is>
      </c>
      <c r="F1060" s="68" t="inlineStr">
        <is>
          <t>MKSI Q1/Q4 2026 + AI infrastructure coverage (per-name research 2026-05-18)</t>
        </is>
      </c>
      <c r="G1060" s="33" t="inlineStr">
        <is>
          <t>High</t>
        </is>
      </c>
      <c r="H1060" s="33" t="inlineStr">
        <is>
          <t>Initial</t>
        </is>
      </c>
    </row>
    <row r="1061">
      <c r="A1061" s="33" t="inlineStr">
        <is>
          <t>2026-05-18</t>
        </is>
      </c>
      <c r="B1061" s="33" t="inlineStr">
        <is>
          <t>MKSI</t>
        </is>
      </c>
      <c r="C1061" s="33" t="inlineStr">
        <is>
          <t>R2</t>
        </is>
      </c>
      <c r="D1061" s="33" t="n">
        <v>4</v>
      </c>
      <c r="E1061" s="68" t="inlineStr">
        <is>
          <t>Global.</t>
        </is>
      </c>
      <c r="F1061" s="68" t="inlineStr">
        <is>
          <t>MKSI Q1/Q4 2026 + AI infrastructure coverage (per-name research 2026-05-18)</t>
        </is>
      </c>
      <c r="G1061" s="33" t="inlineStr">
        <is>
          <t>High</t>
        </is>
      </c>
      <c r="H1061" s="33" t="inlineStr">
        <is>
          <t>Initial</t>
        </is>
      </c>
    </row>
    <row r="1062">
      <c r="A1062" s="33" t="inlineStr">
        <is>
          <t>2026-05-18</t>
        </is>
      </c>
      <c r="B1062" s="33" t="inlineStr">
        <is>
          <t>MKSI</t>
        </is>
      </c>
      <c r="C1062" s="33" t="inlineStr">
        <is>
          <t>R3</t>
        </is>
      </c>
      <c r="D1062" s="33" t="n">
        <v>4</v>
      </c>
      <c r="E1062" s="68" t="inlineStr">
        <is>
          <t>Moderate.</t>
        </is>
      </c>
      <c r="F1062" s="68" t="inlineStr">
        <is>
          <t>MKSI Q1/Q4 2026 + AI infrastructure coverage (per-name research 2026-05-18)</t>
        </is>
      </c>
      <c r="G1062" s="33" t="inlineStr">
        <is>
          <t>High</t>
        </is>
      </c>
      <c r="H1062" s="33" t="inlineStr">
        <is>
          <t>Initial</t>
        </is>
      </c>
    </row>
    <row r="1063">
      <c r="A1063" s="33" t="inlineStr">
        <is>
          <t>2026-05-18</t>
        </is>
      </c>
      <c r="B1063" s="33" t="inlineStr">
        <is>
          <t>MKSI</t>
        </is>
      </c>
      <c r="C1063" s="33" t="inlineStr">
        <is>
          <t>R4</t>
        </is>
      </c>
      <c r="D1063" s="33" t="n">
        <v>4</v>
      </c>
      <c r="E1063" s="68" t="inlineStr">
        <is>
          <t>Routine.</t>
        </is>
      </c>
      <c r="F1063" s="68" t="inlineStr">
        <is>
          <t>MKSI Q1/Q4 2026 + AI infrastructure coverage (per-name research 2026-05-18)</t>
        </is>
      </c>
      <c r="G1063" s="33" t="inlineStr">
        <is>
          <t>High</t>
        </is>
      </c>
      <c r="H1063" s="33" t="inlineStr">
        <is>
          <t>Initial</t>
        </is>
      </c>
    </row>
    <row r="1064">
      <c r="A1064" s="33" t="inlineStr">
        <is>
          <t>2026-05-18</t>
        </is>
      </c>
      <c r="B1064" s="33" t="inlineStr">
        <is>
          <t>PLAB</t>
        </is>
      </c>
      <c r="C1064" s="33" t="inlineStr">
        <is>
          <t>D1</t>
        </is>
      </c>
      <c r="D1064" s="33" t="n">
        <v>3</v>
      </c>
      <c r="E1064" s="68" t="inlineStr">
        <is>
          <t>Photomask + display; mixed AI exposure.</t>
        </is>
      </c>
      <c r="F1064" s="68" t="inlineStr">
        <is>
          <t>PLAB Q1/Q4 2026 + AI infrastructure coverage (per-name research 2026-05-18)</t>
        </is>
      </c>
      <c r="G1064" s="33" t="inlineStr">
        <is>
          <t>High</t>
        </is>
      </c>
      <c r="H1064" s="33" t="inlineStr">
        <is>
          <t>Initial</t>
        </is>
      </c>
    </row>
    <row r="1065">
      <c r="A1065" s="33" t="inlineStr">
        <is>
          <t>2026-05-18</t>
        </is>
      </c>
      <c r="B1065" s="33" t="inlineStr">
        <is>
          <t>PLAB</t>
        </is>
      </c>
      <c r="C1065" s="33" t="inlineStr">
        <is>
          <t>D2</t>
        </is>
      </c>
      <c r="D1065" s="33" t="n">
        <v>3</v>
      </c>
      <c r="E1065" s="68" t="inlineStr">
        <is>
          <t>Mid-tier photomask vendor.</t>
        </is>
      </c>
      <c r="F1065" s="68" t="inlineStr">
        <is>
          <t>PLAB Q1/Q4 2026 + AI infrastructure coverage (per-name research 2026-05-18)</t>
        </is>
      </c>
      <c r="G1065" s="33" t="inlineStr">
        <is>
          <t>High</t>
        </is>
      </c>
      <c r="H1065" s="33" t="inlineStr">
        <is>
          <t>Initial</t>
        </is>
      </c>
    </row>
    <row r="1066">
      <c r="A1066" s="33" t="inlineStr">
        <is>
          <t>2026-05-18</t>
        </is>
      </c>
      <c r="B1066" s="33" t="inlineStr">
        <is>
          <t>PLAB</t>
        </is>
      </c>
      <c r="C1066" s="33" t="inlineStr">
        <is>
          <t>D3</t>
        </is>
      </c>
      <c r="D1066" s="33" t="n">
        <v>3</v>
      </c>
      <c r="E1066" s="68" t="inlineStr">
        <is>
          <t>Brand + scale.</t>
        </is>
      </c>
      <c r="F1066" s="68" t="inlineStr">
        <is>
          <t>PLAB Q1/Q4 2026 + AI infrastructure coverage (per-name research 2026-05-18)</t>
        </is>
      </c>
      <c r="G1066" s="33" t="inlineStr">
        <is>
          <t>High</t>
        </is>
      </c>
      <c r="H1066" s="33" t="inlineStr">
        <is>
          <t>Initial</t>
        </is>
      </c>
    </row>
    <row r="1067">
      <c r="A1067" s="33" t="inlineStr">
        <is>
          <t>2026-05-18</t>
        </is>
      </c>
      <c r="B1067" s="33" t="inlineStr">
        <is>
          <t>PLAB</t>
        </is>
      </c>
      <c r="C1067" s="33" t="inlineStr">
        <is>
          <t>D4</t>
        </is>
      </c>
      <c r="D1067" s="33" t="n">
        <v>4</v>
      </c>
      <c r="E1067" s="68" t="inlineStr">
        <is>
          <t>Allen TX + Korea mask writer.</t>
        </is>
      </c>
      <c r="F1067" s="68" t="inlineStr">
        <is>
          <t>PLAB Q1/Q4 2026 + AI infrastructure coverage (per-name research 2026-05-18)</t>
        </is>
      </c>
      <c r="G1067" s="33" t="inlineStr">
        <is>
          <t>High</t>
        </is>
      </c>
      <c r="H1067" s="33" t="inlineStr">
        <is>
          <t>Initial</t>
        </is>
      </c>
    </row>
    <row r="1068">
      <c r="A1068" s="33" t="inlineStr">
        <is>
          <t>2026-05-18</t>
        </is>
      </c>
      <c r="B1068" s="33" t="inlineStr">
        <is>
          <t>PLAB</t>
        </is>
      </c>
      <c r="C1068" s="33" t="inlineStr">
        <is>
          <t>D5</t>
        </is>
      </c>
      <c r="D1068" s="33" t="n">
        <v>3</v>
      </c>
      <c r="E1068" s="68" t="inlineStr">
        <is>
          <t>Indirect.</t>
        </is>
      </c>
      <c r="F1068" s="68" t="inlineStr">
        <is>
          <t>PLAB Q1/Q4 2026 + AI infrastructure coverage (per-name research 2026-05-18)</t>
        </is>
      </c>
      <c r="G1068" s="33" t="inlineStr">
        <is>
          <t>High</t>
        </is>
      </c>
      <c r="H1068" s="33" t="inlineStr">
        <is>
          <t>Initial</t>
        </is>
      </c>
    </row>
    <row r="1069">
      <c r="A1069" s="33" t="inlineStr">
        <is>
          <t>2026-05-18</t>
        </is>
      </c>
      <c r="B1069" s="33" t="inlineStr">
        <is>
          <t>PLAB</t>
        </is>
      </c>
      <c r="C1069" s="33" t="inlineStr">
        <is>
          <t>M1</t>
        </is>
      </c>
      <c r="D1069" s="33" t="n">
        <v>3</v>
      </c>
      <c r="E1069" s="68" t="inlineStr">
        <is>
          <t>1 up / 0 down — limited.</t>
        </is>
      </c>
      <c r="F1069" s="68" t="inlineStr">
        <is>
          <t>PLAB Q1/Q4 2026 + AI infrastructure coverage (per-name research 2026-05-18)</t>
        </is>
      </c>
      <c r="G1069" s="33" t="inlineStr">
        <is>
          <t>High</t>
        </is>
      </c>
      <c r="H1069" s="33" t="inlineStr">
        <is>
          <t>Initial</t>
        </is>
      </c>
    </row>
    <row r="1070">
      <c r="A1070" s="33" t="inlineStr">
        <is>
          <t>2026-05-18</t>
        </is>
      </c>
      <c r="B1070" s="33" t="inlineStr">
        <is>
          <t>PLAB</t>
        </is>
      </c>
      <c r="C1070" s="33" t="inlineStr">
        <is>
          <t>M2</t>
        </is>
      </c>
      <c r="D1070" s="33" t="n">
        <v>5</v>
      </c>
      <c r="E1070" s="68" t="inlineStr">
        <is>
          <t>+55pp vs SOXX.</t>
        </is>
      </c>
      <c r="F1070" s="68" t="inlineStr">
        <is>
          <t>PLAB Q1/Q4 2026 + AI infrastructure coverage (per-name research 2026-05-18)</t>
        </is>
      </c>
      <c r="G1070" s="33" t="inlineStr">
        <is>
          <t>High</t>
        </is>
      </c>
      <c r="H1070" s="33" t="inlineStr">
        <is>
          <t>Initial</t>
        </is>
      </c>
    </row>
    <row r="1071">
      <c r="A1071" s="33" t="inlineStr">
        <is>
          <t>2026-05-18</t>
        </is>
      </c>
      <c r="B1071" s="33" t="inlineStr">
        <is>
          <t>PLAB</t>
        </is>
      </c>
      <c r="C1071" s="33" t="inlineStr">
        <is>
          <t>M3</t>
        </is>
      </c>
      <c r="D1071" s="33" t="n">
        <v>3</v>
      </c>
      <c r="E1071" s="68" t="inlineStr">
        <is>
          <t>Routine.</t>
        </is>
      </c>
      <c r="F1071" s="68" t="inlineStr">
        <is>
          <t>PLAB Q1/Q4 2026 + AI infrastructure coverage (per-name research 2026-05-18)</t>
        </is>
      </c>
      <c r="G1071" s="33" t="inlineStr">
        <is>
          <t>High</t>
        </is>
      </c>
      <c r="H1071" s="33" t="inlineStr">
        <is>
          <t>Initial</t>
        </is>
      </c>
    </row>
    <row r="1072">
      <c r="A1072" s="33" t="inlineStr">
        <is>
          <t>2026-05-18</t>
        </is>
      </c>
      <c r="B1072" s="33" t="inlineStr">
        <is>
          <t>PLAB</t>
        </is>
      </c>
      <c r="C1072" s="33" t="inlineStr">
        <is>
          <t>R1</t>
        </is>
      </c>
      <c r="D1072" s="33" t="n">
        <v>4</v>
      </c>
      <c r="E1072" s="68" t="inlineStr">
        <is>
          <t>Diversified.</t>
        </is>
      </c>
      <c r="F1072" s="68" t="inlineStr">
        <is>
          <t>PLAB Q1/Q4 2026 + AI infrastructure coverage (per-name research 2026-05-18)</t>
        </is>
      </c>
      <c r="G1072" s="33" t="inlineStr">
        <is>
          <t>High</t>
        </is>
      </c>
      <c r="H1072" s="33" t="inlineStr">
        <is>
          <t>Initial</t>
        </is>
      </c>
    </row>
    <row r="1073">
      <c r="A1073" s="33" t="inlineStr">
        <is>
          <t>2026-05-18</t>
        </is>
      </c>
      <c r="B1073" s="33" t="inlineStr">
        <is>
          <t>PLAB</t>
        </is>
      </c>
      <c r="C1073" s="33" t="inlineStr">
        <is>
          <t>R2</t>
        </is>
      </c>
      <c r="D1073" s="33" t="n">
        <v>4</v>
      </c>
      <c r="E1073" s="68" t="inlineStr">
        <is>
          <t>Global; some Asia.</t>
        </is>
      </c>
      <c r="F1073" s="68" t="inlineStr">
        <is>
          <t>PLAB Q1/Q4 2026 + AI infrastructure coverage (per-name research 2026-05-18)</t>
        </is>
      </c>
      <c r="G1073" s="33" t="inlineStr">
        <is>
          <t>High</t>
        </is>
      </c>
      <c r="H1073" s="33" t="inlineStr">
        <is>
          <t>Initial</t>
        </is>
      </c>
    </row>
    <row r="1074">
      <c r="A1074" s="33" t="inlineStr">
        <is>
          <t>2026-05-18</t>
        </is>
      </c>
      <c r="B1074" s="33" t="inlineStr">
        <is>
          <t>PLAB</t>
        </is>
      </c>
      <c r="C1074" s="33" t="inlineStr">
        <is>
          <t>R3</t>
        </is>
      </c>
      <c r="D1074" s="33" t="n">
        <v>5</v>
      </c>
      <c r="E1074" s="68" t="inlineStr">
        <is>
          <t>$588M cash, strong.</t>
        </is>
      </c>
      <c r="F1074" s="68" t="inlineStr">
        <is>
          <t>PLAB Q1/Q4 2026 + AI infrastructure coverage (per-name research 2026-05-18)</t>
        </is>
      </c>
      <c r="G1074" s="33" t="inlineStr">
        <is>
          <t>High</t>
        </is>
      </c>
      <c r="H1074" s="33" t="inlineStr">
        <is>
          <t>Initial</t>
        </is>
      </c>
    </row>
    <row r="1075">
      <c r="A1075" s="33" t="inlineStr">
        <is>
          <t>2026-05-18</t>
        </is>
      </c>
      <c r="B1075" s="33" t="inlineStr">
        <is>
          <t>PLAB</t>
        </is>
      </c>
      <c r="C1075" s="33" t="inlineStr">
        <is>
          <t>R4</t>
        </is>
      </c>
      <c r="D1075" s="33" t="n">
        <v>4</v>
      </c>
      <c r="E1075" s="68" t="inlineStr">
        <is>
          <t>Routine.</t>
        </is>
      </c>
      <c r="F1075" s="68" t="inlineStr">
        <is>
          <t>PLAB Q1/Q4 2026 + AI infrastructure coverage (per-name research 2026-05-18)</t>
        </is>
      </c>
      <c r="G1075" s="33" t="inlineStr">
        <is>
          <t>High</t>
        </is>
      </c>
      <c r="H1075" s="33" t="inlineStr">
        <is>
          <t>Initial</t>
        </is>
      </c>
    </row>
    <row r="1076">
      <c r="A1076" s="33" t="inlineStr">
        <is>
          <t>2026-05-18</t>
        </is>
      </c>
      <c r="B1076" s="33" t="inlineStr">
        <is>
          <t>UCTT</t>
        </is>
      </c>
      <c r="C1076" s="33" t="inlineStr">
        <is>
          <t>D1</t>
        </is>
      </c>
      <c r="D1076" s="33" t="n">
        <v>4</v>
      </c>
      <c r="E1076" s="68" t="inlineStr">
        <is>
          <t>Critical subsystems for AI chip mfg; growing AI exposure.</t>
        </is>
      </c>
      <c r="F1076" s="68" t="inlineStr">
        <is>
          <t>UCTT Q1/Q4 2026 + AI infrastructure coverage (per-name research 2026-05-18)</t>
        </is>
      </c>
      <c r="G1076" s="33" t="inlineStr">
        <is>
          <t>High</t>
        </is>
      </c>
      <c r="H1076" s="33" t="inlineStr">
        <is>
          <t>Initial</t>
        </is>
      </c>
    </row>
    <row r="1077">
      <c r="A1077" s="33" t="inlineStr">
        <is>
          <t>2026-05-18</t>
        </is>
      </c>
      <c r="B1077" s="33" t="inlineStr">
        <is>
          <t>UCTT</t>
        </is>
      </c>
      <c r="C1077" s="33" t="inlineStr">
        <is>
          <t>D2</t>
        </is>
      </c>
      <c r="D1077" s="33" t="n">
        <v>3</v>
      </c>
      <c r="E1077" s="68" t="inlineStr">
        <is>
          <t>Subsystem supplier — multiple competitors.</t>
        </is>
      </c>
      <c r="F1077" s="68" t="inlineStr">
        <is>
          <t>UCTT Q1/Q4 2026 + AI infrastructure coverage (per-name research 2026-05-18)</t>
        </is>
      </c>
      <c r="G1077" s="33" t="inlineStr">
        <is>
          <t>High</t>
        </is>
      </c>
      <c r="H1077" s="33" t="inlineStr">
        <is>
          <t>Initial</t>
        </is>
      </c>
    </row>
    <row r="1078">
      <c r="A1078" s="33" t="inlineStr">
        <is>
          <t>2026-05-18</t>
        </is>
      </c>
      <c r="B1078" s="33" t="inlineStr">
        <is>
          <t>UCTT</t>
        </is>
      </c>
      <c r="C1078" s="33" t="inlineStr">
        <is>
          <t>D3</t>
        </is>
      </c>
      <c r="D1078" s="33" t="n">
        <v>3</v>
      </c>
      <c r="E1078" s="68" t="inlineStr">
        <is>
          <t>Limited moat.</t>
        </is>
      </c>
      <c r="F1078" s="68" t="inlineStr">
        <is>
          <t>UCTT Q1/Q4 2026 + AI infrastructure coverage (per-name research 2026-05-18)</t>
        </is>
      </c>
      <c r="G1078" s="33" t="inlineStr">
        <is>
          <t>High</t>
        </is>
      </c>
      <c r="H1078" s="33" t="inlineStr">
        <is>
          <t>Initial</t>
        </is>
      </c>
    </row>
    <row r="1079">
      <c r="A1079" s="33" t="inlineStr">
        <is>
          <t>2026-05-18</t>
        </is>
      </c>
      <c r="B1079" s="33" t="inlineStr">
        <is>
          <t>UCTT</t>
        </is>
      </c>
      <c r="C1079" s="33" t="inlineStr">
        <is>
          <t>D4</t>
        </is>
      </c>
      <c r="D1079" s="33" t="n">
        <v>4</v>
      </c>
      <c r="E1079" s="68" t="inlineStr">
        <is>
          <t>+60% Asian capacity for AI; FY26 guide raised.</t>
        </is>
      </c>
      <c r="F1079" s="68" t="inlineStr">
        <is>
          <t>UCTT Q1/Q4 2026 + AI infrastructure coverage (per-name research 2026-05-18)</t>
        </is>
      </c>
      <c r="G1079" s="33" t="inlineStr">
        <is>
          <t>High</t>
        </is>
      </c>
      <c r="H1079" s="33" t="inlineStr">
        <is>
          <t>Initial</t>
        </is>
      </c>
    </row>
    <row r="1080">
      <c r="A1080" s="33" t="inlineStr">
        <is>
          <t>2026-05-18</t>
        </is>
      </c>
      <c r="B1080" s="33" t="inlineStr">
        <is>
          <t>UCTT</t>
        </is>
      </c>
      <c r="C1080" s="33" t="inlineStr">
        <is>
          <t>D5</t>
        </is>
      </c>
      <c r="D1080" s="33" t="n">
        <v>4</v>
      </c>
      <c r="E1080" s="68" t="inlineStr">
        <is>
          <t>WFE OEM customers indirect anchor.</t>
        </is>
      </c>
      <c r="F1080" s="68" t="inlineStr">
        <is>
          <t>UCTT Q1/Q4 2026 + AI infrastructure coverage (per-name research 2026-05-18)</t>
        </is>
      </c>
      <c r="G1080" s="33" t="inlineStr">
        <is>
          <t>High</t>
        </is>
      </c>
      <c r="H1080" s="33" t="inlineStr">
        <is>
          <t>Initial</t>
        </is>
      </c>
    </row>
    <row r="1081">
      <c r="A1081" s="33" t="inlineStr">
        <is>
          <t>2026-05-18</t>
        </is>
      </c>
      <c r="B1081" s="33" t="inlineStr">
        <is>
          <t>UCTT</t>
        </is>
      </c>
      <c r="C1081" s="33" t="inlineStr">
        <is>
          <t>M1</t>
        </is>
      </c>
      <c r="D1081" s="33" t="n">
        <v>4</v>
      </c>
      <c r="E1081" s="68" t="inlineStr">
        <is>
          <t>4 up / 0 down; FY +55%.</t>
        </is>
      </c>
      <c r="F1081" s="68" t="inlineStr">
        <is>
          <t>UCTT Q1/Q4 2026 + AI infrastructure coverage (per-name research 2026-05-18)</t>
        </is>
      </c>
      <c r="G1081" s="33" t="inlineStr">
        <is>
          <t>High</t>
        </is>
      </c>
      <c r="H1081" s="33" t="inlineStr">
        <is>
          <t>Initial</t>
        </is>
      </c>
    </row>
    <row r="1082">
      <c r="A1082" s="33" t="inlineStr">
        <is>
          <t>2026-05-18</t>
        </is>
      </c>
      <c r="B1082" s="33" t="inlineStr">
        <is>
          <t>UCTT</t>
        </is>
      </c>
      <c r="C1082" s="33" t="inlineStr">
        <is>
          <t>M2</t>
        </is>
      </c>
      <c r="D1082" s="33" t="n">
        <v>5</v>
      </c>
      <c r="E1082" s="68" t="inlineStr">
        <is>
          <t>+174pp vs SOXX — extreme.</t>
        </is>
      </c>
      <c r="F1082" s="68" t="inlineStr">
        <is>
          <t>UCTT Q1/Q4 2026 + AI infrastructure coverage (per-name research 2026-05-18)</t>
        </is>
      </c>
      <c r="G1082" s="33" t="inlineStr">
        <is>
          <t>High</t>
        </is>
      </c>
      <c r="H1082" s="33" t="inlineStr">
        <is>
          <t>Initial</t>
        </is>
      </c>
    </row>
    <row r="1083">
      <c r="A1083" s="33" t="inlineStr">
        <is>
          <t>2026-05-18</t>
        </is>
      </c>
      <c r="B1083" s="33" t="inlineStr">
        <is>
          <t>UCTT</t>
        </is>
      </c>
      <c r="C1083" s="33" t="inlineStr">
        <is>
          <t>M3</t>
        </is>
      </c>
      <c r="D1083" s="33" t="n">
        <v>3</v>
      </c>
      <c r="E1083" s="68" t="inlineStr">
        <is>
          <t>Routine.</t>
        </is>
      </c>
      <c r="F1083" s="68" t="inlineStr">
        <is>
          <t>UCTT Q1/Q4 2026 + AI infrastructure coverage (per-name research 2026-05-18)</t>
        </is>
      </c>
      <c r="G1083" s="33" t="inlineStr">
        <is>
          <t>High</t>
        </is>
      </c>
      <c r="H1083" s="33" t="inlineStr">
        <is>
          <t>Initial</t>
        </is>
      </c>
    </row>
    <row r="1084">
      <c r="A1084" s="33" t="inlineStr">
        <is>
          <t>2026-05-18</t>
        </is>
      </c>
      <c r="B1084" s="33" t="inlineStr">
        <is>
          <t>UCTT</t>
        </is>
      </c>
      <c r="C1084" s="33" t="inlineStr">
        <is>
          <t>R1</t>
        </is>
      </c>
      <c r="D1084" s="33" t="n">
        <v>4</v>
      </c>
      <c r="E1084" s="68" t="inlineStr">
        <is>
          <t>OEM customers concentrated.</t>
        </is>
      </c>
      <c r="F1084" s="68" t="inlineStr">
        <is>
          <t>UCTT Q1/Q4 2026 + AI infrastructure coverage (per-name research 2026-05-18)</t>
        </is>
      </c>
      <c r="G1084" s="33" t="inlineStr">
        <is>
          <t>High</t>
        </is>
      </c>
      <c r="H1084" s="33" t="inlineStr">
        <is>
          <t>Initial</t>
        </is>
      </c>
    </row>
    <row r="1085">
      <c r="A1085" s="33" t="inlineStr">
        <is>
          <t>2026-05-18</t>
        </is>
      </c>
      <c r="B1085" s="33" t="inlineStr">
        <is>
          <t>UCTT</t>
        </is>
      </c>
      <c r="C1085" s="33" t="inlineStr">
        <is>
          <t>R2</t>
        </is>
      </c>
      <c r="D1085" s="33" t="n">
        <v>4</v>
      </c>
      <c r="E1085" s="68" t="inlineStr">
        <is>
          <t>Global.</t>
        </is>
      </c>
      <c r="F1085" s="68" t="inlineStr">
        <is>
          <t>UCTT Q1/Q4 2026 + AI infrastructure coverage (per-name research 2026-05-18)</t>
        </is>
      </c>
      <c r="G1085" s="33" t="inlineStr">
        <is>
          <t>High</t>
        </is>
      </c>
      <c r="H1085" s="33" t="inlineStr">
        <is>
          <t>Initial</t>
        </is>
      </c>
    </row>
    <row r="1086">
      <c r="A1086" s="33" t="inlineStr">
        <is>
          <t>2026-05-18</t>
        </is>
      </c>
      <c r="B1086" s="33" t="inlineStr">
        <is>
          <t>UCTT</t>
        </is>
      </c>
      <c r="C1086" s="33" t="inlineStr">
        <is>
          <t>R3</t>
        </is>
      </c>
      <c r="D1086" s="33" t="n">
        <v>4</v>
      </c>
      <c r="E1086" s="68" t="inlineStr">
        <is>
          <t>Reasonable.</t>
        </is>
      </c>
      <c r="F1086" s="68" t="inlineStr">
        <is>
          <t>UCTT Q1/Q4 2026 + AI infrastructure coverage (per-name research 2026-05-18)</t>
        </is>
      </c>
      <c r="G1086" s="33" t="inlineStr">
        <is>
          <t>High</t>
        </is>
      </c>
      <c r="H1086" s="33" t="inlineStr">
        <is>
          <t>Initial</t>
        </is>
      </c>
    </row>
    <row r="1087">
      <c r="A1087" s="33" t="inlineStr">
        <is>
          <t>2026-05-18</t>
        </is>
      </c>
      <c r="B1087" s="33" t="inlineStr">
        <is>
          <t>UCTT</t>
        </is>
      </c>
      <c r="C1087" s="33" t="inlineStr">
        <is>
          <t>R4</t>
        </is>
      </c>
      <c r="D1087" s="33" t="n">
        <v>4</v>
      </c>
      <c r="E1087" s="68" t="inlineStr">
        <is>
          <t>Routine.</t>
        </is>
      </c>
      <c r="F1087" s="68" t="inlineStr">
        <is>
          <t>UCTT Q1/Q4 2026 + AI infrastructure coverage (per-name research 2026-05-18)</t>
        </is>
      </c>
      <c r="G1087" s="33" t="inlineStr">
        <is>
          <t>High</t>
        </is>
      </c>
      <c r="H1087" s="33" t="inlineStr">
        <is>
          <t>Initial</t>
        </is>
      </c>
    </row>
    <row r="1088">
      <c r="A1088" s="33" t="inlineStr">
        <is>
          <t>2026-05-18</t>
        </is>
      </c>
      <c r="B1088" s="33" t="inlineStr">
        <is>
          <t>CDNS</t>
        </is>
      </c>
      <c r="C1088" s="33" t="inlineStr">
        <is>
          <t>D1</t>
        </is>
      </c>
      <c r="D1088" s="33" t="n">
        <v>4</v>
      </c>
      <c r="E1088" s="68" t="inlineStr">
        <is>
          <t>AI chip design + EDA + IP; broad AI exposure across customer base.</t>
        </is>
      </c>
      <c r="F1088" s="68" t="inlineStr">
        <is>
          <t>CDNS Q1/Q4 2026 + AI infrastructure coverage (per-name research 2026-05-18)</t>
        </is>
      </c>
      <c r="G1088" s="33" t="inlineStr">
        <is>
          <t>High</t>
        </is>
      </c>
      <c r="H1088" s="33" t="inlineStr">
        <is>
          <t>Initial</t>
        </is>
      </c>
    </row>
    <row r="1089">
      <c r="A1089" s="33" t="inlineStr">
        <is>
          <t>2026-05-18</t>
        </is>
      </c>
      <c r="B1089" s="33" t="inlineStr">
        <is>
          <t>CDNS</t>
        </is>
      </c>
      <c r="C1089" s="33" t="inlineStr">
        <is>
          <t>D2</t>
        </is>
      </c>
      <c r="D1089" s="33" t="n">
        <v>4</v>
      </c>
      <c r="E1089" s="68" t="inlineStr">
        <is>
          <t>Duopoly with SNPS in EDA.</t>
        </is>
      </c>
      <c r="F1089" s="68" t="inlineStr">
        <is>
          <t>CDNS Q1/Q4 2026 + AI infrastructure coverage (per-name research 2026-05-18)</t>
        </is>
      </c>
      <c r="G1089" s="33" t="inlineStr">
        <is>
          <t>High</t>
        </is>
      </c>
      <c r="H1089" s="33" t="inlineStr">
        <is>
          <t>Initial</t>
        </is>
      </c>
    </row>
    <row r="1090">
      <c r="A1090" s="33" t="inlineStr">
        <is>
          <t>2026-05-18</t>
        </is>
      </c>
      <c r="B1090" s="33" t="inlineStr">
        <is>
          <t>CDNS</t>
        </is>
      </c>
      <c r="C1090" s="33" t="inlineStr">
        <is>
          <t>D3</t>
        </is>
      </c>
      <c r="D1090" s="33" t="n">
        <v>5</v>
      </c>
      <c r="E1090" s="68" t="inlineStr">
        <is>
          <t>EDA software moat + high switching costs — rubric-level 5.</t>
        </is>
      </c>
      <c r="F1090" s="68" t="inlineStr">
        <is>
          <t>CDNS Q1/Q4 2026 + AI infrastructure coverage (per-name research 2026-05-18)</t>
        </is>
      </c>
      <c r="G1090" s="33" t="inlineStr">
        <is>
          <t>High</t>
        </is>
      </c>
      <c r="H1090" s="33" t="inlineStr">
        <is>
          <t>Initial</t>
        </is>
      </c>
    </row>
    <row r="1091">
      <c r="A1091" s="33" t="inlineStr">
        <is>
          <t>2026-05-18</t>
        </is>
      </c>
      <c r="B1091" s="33" t="inlineStr">
        <is>
          <t>CDNS</t>
        </is>
      </c>
      <c r="C1091" s="33" t="inlineStr">
        <is>
          <t>D4</t>
        </is>
      </c>
      <c r="D1091" s="33" t="n">
        <v>4</v>
      </c>
      <c r="E1091" s="68" t="inlineStr">
        <is>
          <t>$8B record backlog; AI Super Agents.</t>
        </is>
      </c>
      <c r="F1091" s="68" t="inlineStr">
        <is>
          <t>CDNS Q1/Q4 2026 + AI infrastructure coverage (per-name research 2026-05-18)</t>
        </is>
      </c>
      <c r="G1091" s="33" t="inlineStr">
        <is>
          <t>High</t>
        </is>
      </c>
      <c r="H1091" s="33" t="inlineStr">
        <is>
          <t>Initial</t>
        </is>
      </c>
    </row>
    <row r="1092">
      <c r="A1092" s="33" t="inlineStr">
        <is>
          <t>2026-05-18</t>
        </is>
      </c>
      <c r="B1092" s="33" t="inlineStr">
        <is>
          <t>CDNS</t>
        </is>
      </c>
      <c r="C1092" s="33" t="inlineStr">
        <is>
          <t>D5</t>
        </is>
      </c>
      <c r="D1092" s="33" t="n">
        <v>4</v>
      </c>
      <c r="E1092" s="68" t="inlineStr">
        <is>
          <t>Every chip designer customer (including all AI players).</t>
        </is>
      </c>
      <c r="F1092" s="68" t="inlineStr">
        <is>
          <t>CDNS Q1/Q4 2026 + AI infrastructure coverage (per-name research 2026-05-18)</t>
        </is>
      </c>
      <c r="G1092" s="33" t="inlineStr">
        <is>
          <t>High</t>
        </is>
      </c>
      <c r="H1092" s="33" t="inlineStr">
        <is>
          <t>Initial</t>
        </is>
      </c>
    </row>
    <row r="1093">
      <c r="A1093" s="33" t="inlineStr">
        <is>
          <t>2026-05-18</t>
        </is>
      </c>
      <c r="B1093" s="33" t="inlineStr">
        <is>
          <t>CDNS</t>
        </is>
      </c>
      <c r="C1093" s="33" t="inlineStr">
        <is>
          <t>M1</t>
        </is>
      </c>
      <c r="D1093" s="33" t="n">
        <v>3</v>
      </c>
      <c r="E1093" s="68" t="inlineStr">
        <is>
          <t>6 up / 2 down — mixed.</t>
        </is>
      </c>
      <c r="F1093" s="68" t="inlineStr">
        <is>
          <t>CDNS Q1/Q4 2026 + AI infrastructure coverage (per-name research 2026-05-18)</t>
        </is>
      </c>
      <c r="G1093" s="33" t="inlineStr">
        <is>
          <t>High</t>
        </is>
      </c>
      <c r="H1093" s="33" t="inlineStr">
        <is>
          <t>Initial</t>
        </is>
      </c>
    </row>
    <row r="1094">
      <c r="A1094" s="33" t="inlineStr">
        <is>
          <t>2026-05-18</t>
        </is>
      </c>
      <c r="B1094" s="33" t="inlineStr">
        <is>
          <t>CDNS</t>
        </is>
      </c>
      <c r="C1094" s="33" t="inlineStr">
        <is>
          <t>M2</t>
        </is>
      </c>
      <c r="D1094" s="33" t="n">
        <v>1</v>
      </c>
      <c r="E1094" s="68" t="inlineStr">
        <is>
          <t>-64pp vs SOXX 180d — extreme lag; rubric strict band 1.</t>
        </is>
      </c>
      <c r="F1094" s="68" t="inlineStr">
        <is>
          <t>CDNS Q1/Q4 2026 + AI infrastructure coverage (per-name research 2026-05-18)</t>
        </is>
      </c>
      <c r="G1094" s="33" t="inlineStr">
        <is>
          <t>High</t>
        </is>
      </c>
      <c r="H1094" s="33" t="inlineStr">
        <is>
          <t>Initial</t>
        </is>
      </c>
    </row>
    <row r="1095">
      <c r="A1095" s="33" t="inlineStr">
        <is>
          <t>2026-05-18</t>
        </is>
      </c>
      <c r="B1095" s="33" t="inlineStr">
        <is>
          <t>CDNS</t>
        </is>
      </c>
      <c r="C1095" s="33" t="inlineStr">
        <is>
          <t>M3</t>
        </is>
      </c>
      <c r="D1095" s="33" t="n">
        <v>3</v>
      </c>
      <c r="E1095" s="68" t="inlineStr">
        <is>
          <t>Routine.</t>
        </is>
      </c>
      <c r="F1095" s="68" t="inlineStr">
        <is>
          <t>CDNS Q1/Q4 2026 + AI infrastructure coverage (per-name research 2026-05-18)</t>
        </is>
      </c>
      <c r="G1095" s="33" t="inlineStr">
        <is>
          <t>High</t>
        </is>
      </c>
      <c r="H1095" s="33" t="inlineStr">
        <is>
          <t>Initial</t>
        </is>
      </c>
    </row>
    <row r="1096">
      <c r="A1096" s="33" t="inlineStr">
        <is>
          <t>2026-05-18</t>
        </is>
      </c>
      <c r="B1096" s="33" t="inlineStr">
        <is>
          <t>CDNS</t>
        </is>
      </c>
      <c r="C1096" s="33" t="inlineStr">
        <is>
          <t>R1</t>
        </is>
      </c>
      <c r="D1096" s="33" t="n">
        <v>5</v>
      </c>
      <c r="E1096" s="68" t="inlineStr">
        <is>
          <t>Diversified.</t>
        </is>
      </c>
      <c r="F1096" s="68" t="inlineStr">
        <is>
          <t>CDNS Q1/Q4 2026 + AI infrastructure coverage (per-name research 2026-05-18)</t>
        </is>
      </c>
      <c r="G1096" s="33" t="inlineStr">
        <is>
          <t>High</t>
        </is>
      </c>
      <c r="H1096" s="33" t="inlineStr">
        <is>
          <t>Initial</t>
        </is>
      </c>
    </row>
    <row r="1097">
      <c r="A1097" s="33" t="inlineStr">
        <is>
          <t>2026-05-18</t>
        </is>
      </c>
      <c r="B1097" s="33" t="inlineStr">
        <is>
          <t>CDNS</t>
        </is>
      </c>
      <c r="C1097" s="33" t="inlineStr">
        <is>
          <t>R2</t>
        </is>
      </c>
      <c r="D1097" s="33" t="n">
        <v>4</v>
      </c>
      <c r="E1097" s="68" t="inlineStr">
        <is>
          <t>Global.</t>
        </is>
      </c>
      <c r="F1097" s="68" t="inlineStr">
        <is>
          <t>CDNS Q1/Q4 2026 + AI infrastructure coverage (per-name research 2026-05-18)</t>
        </is>
      </c>
      <c r="G1097" s="33" t="inlineStr">
        <is>
          <t>High</t>
        </is>
      </c>
      <c r="H1097" s="33" t="inlineStr">
        <is>
          <t>Initial</t>
        </is>
      </c>
    </row>
    <row r="1098">
      <c r="A1098" s="33" t="inlineStr">
        <is>
          <t>2026-05-18</t>
        </is>
      </c>
      <c r="B1098" s="33" t="inlineStr">
        <is>
          <t>CDNS</t>
        </is>
      </c>
      <c r="C1098" s="33" t="inlineStr">
        <is>
          <t>R3</t>
        </is>
      </c>
      <c r="D1098" s="33" t="n">
        <v>4</v>
      </c>
      <c r="E1098" s="68" t="inlineStr">
        <is>
          <t>Strong.</t>
        </is>
      </c>
      <c r="F1098" s="68" t="inlineStr">
        <is>
          <t>CDNS Q1/Q4 2026 + AI infrastructure coverage (per-name research 2026-05-18)</t>
        </is>
      </c>
      <c r="G1098" s="33" t="inlineStr">
        <is>
          <t>High</t>
        </is>
      </c>
      <c r="H1098" s="33" t="inlineStr">
        <is>
          <t>Initial</t>
        </is>
      </c>
    </row>
    <row r="1099">
      <c r="A1099" s="33" t="inlineStr">
        <is>
          <t>2026-05-18</t>
        </is>
      </c>
      <c r="B1099" s="33" t="inlineStr">
        <is>
          <t>CDNS</t>
        </is>
      </c>
      <c r="C1099" s="33" t="inlineStr">
        <is>
          <t>R4</t>
        </is>
      </c>
      <c r="D1099" s="33" t="n">
        <v>4</v>
      </c>
      <c r="E1099" s="68" t="inlineStr">
        <is>
          <t>Routine.</t>
        </is>
      </c>
      <c r="F1099" s="68" t="inlineStr">
        <is>
          <t>CDNS Q1/Q4 2026 + AI infrastructure coverage (per-name research 2026-05-18)</t>
        </is>
      </c>
      <c r="G1099" s="33" t="inlineStr">
        <is>
          <t>High</t>
        </is>
      </c>
      <c r="H1099" s="33" t="inlineStr">
        <is>
          <t>Initial</t>
        </is>
      </c>
    </row>
    <row r="1100">
      <c r="A1100" s="33" t="inlineStr">
        <is>
          <t>2026-05-18</t>
        </is>
      </c>
      <c r="B1100" s="33" t="inlineStr">
        <is>
          <t>SNPS</t>
        </is>
      </c>
      <c r="C1100" s="33" t="inlineStr">
        <is>
          <t>D1</t>
        </is>
      </c>
      <c r="D1100" s="33" t="n">
        <v>4</v>
      </c>
      <c r="E1100" s="68" t="inlineStr">
        <is>
          <t>AI chip design + Ansys multiphysics; broad customer base.</t>
        </is>
      </c>
      <c r="F1100" s="68" t="inlineStr">
        <is>
          <t>SNPS Q1/Q4 2026 + AI infrastructure coverage (per-name research 2026-05-18)</t>
        </is>
      </c>
      <c r="G1100" s="33" t="inlineStr">
        <is>
          <t>High</t>
        </is>
      </c>
      <c r="H1100" s="33" t="inlineStr">
        <is>
          <t>Initial</t>
        </is>
      </c>
    </row>
    <row r="1101">
      <c r="A1101" s="33" t="inlineStr">
        <is>
          <t>2026-05-18</t>
        </is>
      </c>
      <c r="B1101" s="33" t="inlineStr">
        <is>
          <t>SNPS</t>
        </is>
      </c>
      <c r="C1101" s="33" t="inlineStr">
        <is>
          <t>D2</t>
        </is>
      </c>
      <c r="D1101" s="33" t="n">
        <v>4</v>
      </c>
      <c r="E1101" s="68" t="inlineStr">
        <is>
          <t>Duopoly with CDNS in EDA.</t>
        </is>
      </c>
      <c r="F1101" s="68" t="inlineStr">
        <is>
          <t>SNPS Q1/Q4 2026 + AI infrastructure coverage (per-name research 2026-05-18)</t>
        </is>
      </c>
      <c r="G1101" s="33" t="inlineStr">
        <is>
          <t>High</t>
        </is>
      </c>
      <c r="H1101" s="33" t="inlineStr">
        <is>
          <t>Initial</t>
        </is>
      </c>
    </row>
    <row r="1102">
      <c r="A1102" s="33" t="inlineStr">
        <is>
          <t>2026-05-18</t>
        </is>
      </c>
      <c r="B1102" s="33" t="inlineStr">
        <is>
          <t>SNPS</t>
        </is>
      </c>
      <c r="C1102" s="33" t="inlineStr">
        <is>
          <t>D3</t>
        </is>
      </c>
      <c r="D1102" s="33" t="n">
        <v>5</v>
      </c>
      <c r="E1102" s="68" t="inlineStr">
        <is>
          <t>EDA software moat + Ansys integration.</t>
        </is>
      </c>
      <c r="F1102" s="68" t="inlineStr">
        <is>
          <t>SNPS Q1/Q4 2026 + AI infrastructure coverage (per-name research 2026-05-18)</t>
        </is>
      </c>
      <c r="G1102" s="33" t="inlineStr">
        <is>
          <t>High</t>
        </is>
      </c>
      <c r="H1102" s="33" t="inlineStr">
        <is>
          <t>Initial</t>
        </is>
      </c>
    </row>
    <row r="1103">
      <c r="A1103" s="33" t="inlineStr">
        <is>
          <t>2026-05-18</t>
        </is>
      </c>
      <c r="B1103" s="33" t="inlineStr">
        <is>
          <t>SNPS</t>
        </is>
      </c>
      <c r="C1103" s="33" t="inlineStr">
        <is>
          <t>D4</t>
        </is>
      </c>
      <c r="D1103" s="33" t="n">
        <v>5</v>
      </c>
      <c r="E1103" s="68" t="inlineStr">
        <is>
          <t>Synopsys.ai + AgentEngineer + Ansys merger; aggressive AI capex.</t>
        </is>
      </c>
      <c r="F1103" s="68" t="inlineStr">
        <is>
          <t>SNPS Q1/Q4 2026 + AI infrastructure coverage (per-name research 2026-05-18)</t>
        </is>
      </c>
      <c r="G1103" s="33" t="inlineStr">
        <is>
          <t>High</t>
        </is>
      </c>
      <c r="H1103" s="33" t="inlineStr">
        <is>
          <t>Initial</t>
        </is>
      </c>
    </row>
    <row r="1104">
      <c r="A1104" s="33" t="inlineStr">
        <is>
          <t>2026-05-18</t>
        </is>
      </c>
      <c r="B1104" s="33" t="inlineStr">
        <is>
          <t>SNPS</t>
        </is>
      </c>
      <c r="C1104" s="33" t="inlineStr">
        <is>
          <t>D5</t>
        </is>
      </c>
      <c r="D1104" s="33" t="n">
        <v>4</v>
      </c>
      <c r="E1104" s="68" t="inlineStr">
        <is>
          <t>Every chip designer.</t>
        </is>
      </c>
      <c r="F1104" s="68" t="inlineStr">
        <is>
          <t>SNPS Q1/Q4 2026 + AI infrastructure coverage (per-name research 2026-05-18)</t>
        </is>
      </c>
      <c r="G1104" s="33" t="inlineStr">
        <is>
          <t>High</t>
        </is>
      </c>
      <c r="H1104" s="33" t="inlineStr">
        <is>
          <t>Initial</t>
        </is>
      </c>
    </row>
    <row r="1105">
      <c r="A1105" s="33" t="inlineStr">
        <is>
          <t>2026-05-18</t>
        </is>
      </c>
      <c r="B1105" s="33" t="inlineStr">
        <is>
          <t>SNPS</t>
        </is>
      </c>
      <c r="C1105" s="33" t="inlineStr">
        <is>
          <t>M1</t>
        </is>
      </c>
      <c r="D1105" s="33" t="n">
        <v>4</v>
      </c>
      <c r="E1105" s="68" t="inlineStr">
        <is>
          <t>16 up / 4 down.</t>
        </is>
      </c>
      <c r="F1105" s="68" t="inlineStr">
        <is>
          <t>SNPS Q1/Q4 2026 + AI infrastructure coverage (per-name research 2026-05-18)</t>
        </is>
      </c>
      <c r="G1105" s="33" t="inlineStr">
        <is>
          <t>High</t>
        </is>
      </c>
      <c r="H1105" s="33" t="inlineStr">
        <is>
          <t>Initial</t>
        </is>
      </c>
    </row>
    <row r="1106">
      <c r="A1106" s="33" t="inlineStr">
        <is>
          <t>2026-05-18</t>
        </is>
      </c>
      <c r="B1106" s="33" t="inlineStr">
        <is>
          <t>SNPS</t>
        </is>
      </c>
      <c r="C1106" s="33" t="inlineStr">
        <is>
          <t>M2</t>
        </is>
      </c>
      <c r="D1106" s="33" t="n">
        <v>2</v>
      </c>
      <c r="E1106" s="68" t="inlineStr">
        <is>
          <t>-47pp vs SOXX — sector rotation.</t>
        </is>
      </c>
      <c r="F1106" s="68" t="inlineStr">
        <is>
          <t>SNPS Q1/Q4 2026 + AI infrastructure coverage (per-name research 2026-05-18)</t>
        </is>
      </c>
      <c r="G1106" s="33" t="inlineStr">
        <is>
          <t>High</t>
        </is>
      </c>
      <c r="H1106" s="33" t="inlineStr">
        <is>
          <t>Initial</t>
        </is>
      </c>
    </row>
    <row r="1107">
      <c r="A1107" s="33" t="inlineStr">
        <is>
          <t>2026-05-18</t>
        </is>
      </c>
      <c r="B1107" s="33" t="inlineStr">
        <is>
          <t>SNPS</t>
        </is>
      </c>
      <c r="C1107" s="33" t="inlineStr">
        <is>
          <t>M3</t>
        </is>
      </c>
      <c r="D1107" s="33" t="n">
        <v>3</v>
      </c>
      <c r="E1107" s="68" t="inlineStr">
        <is>
          <t>Routine.</t>
        </is>
      </c>
      <c r="F1107" s="68" t="inlineStr">
        <is>
          <t>SNPS Q1/Q4 2026 + AI infrastructure coverage (per-name research 2026-05-18)</t>
        </is>
      </c>
      <c r="G1107" s="33" t="inlineStr">
        <is>
          <t>High</t>
        </is>
      </c>
      <c r="H1107" s="33" t="inlineStr">
        <is>
          <t>Initial</t>
        </is>
      </c>
    </row>
    <row r="1108">
      <c r="A1108" s="33" t="inlineStr">
        <is>
          <t>2026-05-18</t>
        </is>
      </c>
      <c r="B1108" s="33" t="inlineStr">
        <is>
          <t>SNPS</t>
        </is>
      </c>
      <c r="C1108" s="33" t="inlineStr">
        <is>
          <t>R1</t>
        </is>
      </c>
      <c r="D1108" s="33" t="n">
        <v>5</v>
      </c>
      <c r="E1108" s="68" t="inlineStr">
        <is>
          <t>Diversified.</t>
        </is>
      </c>
      <c r="F1108" s="68" t="inlineStr">
        <is>
          <t>SNPS Q1/Q4 2026 + AI infrastructure coverage (per-name research 2026-05-18)</t>
        </is>
      </c>
      <c r="G1108" s="33" t="inlineStr">
        <is>
          <t>High</t>
        </is>
      </c>
      <c r="H1108" s="33" t="inlineStr">
        <is>
          <t>Initial</t>
        </is>
      </c>
    </row>
    <row r="1109">
      <c r="A1109" s="33" t="inlineStr">
        <is>
          <t>2026-05-18</t>
        </is>
      </c>
      <c r="B1109" s="33" t="inlineStr">
        <is>
          <t>SNPS</t>
        </is>
      </c>
      <c r="C1109" s="33" t="inlineStr">
        <is>
          <t>R2</t>
        </is>
      </c>
      <c r="D1109" s="33" t="n">
        <v>4</v>
      </c>
      <c r="E1109" s="68" t="inlineStr">
        <is>
          <t>Global.</t>
        </is>
      </c>
      <c r="F1109" s="68" t="inlineStr">
        <is>
          <t>SNPS Q1/Q4 2026 + AI infrastructure coverage (per-name research 2026-05-18)</t>
        </is>
      </c>
      <c r="G1109" s="33" t="inlineStr">
        <is>
          <t>High</t>
        </is>
      </c>
      <c r="H1109" s="33" t="inlineStr">
        <is>
          <t>Initial</t>
        </is>
      </c>
    </row>
    <row r="1110">
      <c r="A1110" s="33" t="inlineStr">
        <is>
          <t>2026-05-18</t>
        </is>
      </c>
      <c r="B1110" s="33" t="inlineStr">
        <is>
          <t>SNPS</t>
        </is>
      </c>
      <c r="C1110" s="33" t="inlineStr">
        <is>
          <t>R3</t>
        </is>
      </c>
      <c r="D1110" s="33" t="n">
        <v>4</v>
      </c>
      <c r="E1110" s="68" t="inlineStr">
        <is>
          <t>Moderate (Ansys debt).</t>
        </is>
      </c>
      <c r="F1110" s="68" t="inlineStr">
        <is>
          <t>SNPS Q1/Q4 2026 + AI infrastructure coverage (per-name research 2026-05-18)</t>
        </is>
      </c>
      <c r="G1110" s="33" t="inlineStr">
        <is>
          <t>High</t>
        </is>
      </c>
      <c r="H1110" s="33" t="inlineStr">
        <is>
          <t>Initial</t>
        </is>
      </c>
    </row>
    <row r="1111">
      <c r="A1111" s="33" t="inlineStr">
        <is>
          <t>2026-05-18</t>
        </is>
      </c>
      <c r="B1111" s="33" t="inlineStr">
        <is>
          <t>SNPS</t>
        </is>
      </c>
      <c r="C1111" s="33" t="inlineStr">
        <is>
          <t>R4</t>
        </is>
      </c>
      <c r="D1111" s="33" t="n">
        <v>4</v>
      </c>
      <c r="E1111" s="68" t="inlineStr">
        <is>
          <t>Routine.</t>
        </is>
      </c>
      <c r="F1111" s="68" t="inlineStr">
        <is>
          <t>SNPS Q1/Q4 2026 + AI infrastructure coverage (per-name research 2026-05-18)</t>
        </is>
      </c>
      <c r="G1111" s="33" t="inlineStr">
        <is>
          <t>High</t>
        </is>
      </c>
      <c r="H1111" s="33" t="inlineStr">
        <is>
          <t>Initial</t>
        </is>
      </c>
    </row>
    <row r="1112">
      <c r="A1112" s="33" t="inlineStr">
        <is>
          <t>2026-05-18</t>
        </is>
      </c>
      <c r="B1112" s="33" t="inlineStr">
        <is>
          <t>ARM</t>
        </is>
      </c>
      <c r="C1112" s="33" t="inlineStr">
        <is>
          <t>D1</t>
        </is>
      </c>
      <c r="D1112" s="33" t="n">
        <v>5</v>
      </c>
      <c r="E1112" s="68" t="inlineStr">
        <is>
          <t>Data center royalties doubled YoY (expected to double again); AGI CPU; AWS/GCP/Azure all on Arm. Core AI infrastructure.</t>
        </is>
      </c>
      <c r="F1112" s="68" t="inlineStr">
        <is>
          <t>ARM Q1/Q4 2026 + AI infrastructure coverage (per-name research 2026-05-18)</t>
        </is>
      </c>
      <c r="G1112" s="33" t="inlineStr">
        <is>
          <t>High</t>
        </is>
      </c>
      <c r="H1112" s="33" t="inlineStr">
        <is>
          <t>Initial</t>
        </is>
      </c>
    </row>
    <row r="1113">
      <c r="A1113" s="33" t="inlineStr">
        <is>
          <t>2026-05-18</t>
        </is>
      </c>
      <c r="B1113" s="33" t="inlineStr">
        <is>
          <t>ARM</t>
        </is>
      </c>
      <c r="C1113" s="33" t="inlineStr">
        <is>
          <t>D2</t>
        </is>
      </c>
      <c r="D1113" s="33" t="n">
        <v>5</v>
      </c>
      <c r="E1113" s="68" t="inlineStr">
        <is>
          <t>CPU IP licensing — essentially universal in mobile + growing in DC.</t>
        </is>
      </c>
      <c r="F1113" s="68" t="inlineStr">
        <is>
          <t>ARM Q1/Q4 2026 + AI infrastructure coverage (per-name research 2026-05-18)</t>
        </is>
      </c>
      <c r="G1113" s="33" t="inlineStr">
        <is>
          <t>High</t>
        </is>
      </c>
      <c r="H1113" s="33" t="inlineStr">
        <is>
          <t>Initial</t>
        </is>
      </c>
    </row>
    <row r="1114">
      <c r="A1114" s="33" t="inlineStr">
        <is>
          <t>2026-05-18</t>
        </is>
      </c>
      <c r="B1114" s="33" t="inlineStr">
        <is>
          <t>ARM</t>
        </is>
      </c>
      <c r="C1114" s="33" t="inlineStr">
        <is>
          <t>D3</t>
        </is>
      </c>
      <c r="D1114" s="33" t="n">
        <v>5</v>
      </c>
      <c r="E1114" s="68" t="inlineStr">
        <is>
          <t>Rubric anchor (line 96); CUDA-like ecosystem in mobile + emerging in cloud.</t>
        </is>
      </c>
      <c r="F1114" s="68" t="inlineStr">
        <is>
          <t>ARM Q1/Q4 2026 + AI infrastructure coverage (per-name research 2026-05-18)</t>
        </is>
      </c>
      <c r="G1114" s="33" t="inlineStr">
        <is>
          <t>High</t>
        </is>
      </c>
      <c r="H1114" s="33" t="inlineStr">
        <is>
          <t>Initial</t>
        </is>
      </c>
    </row>
    <row r="1115">
      <c r="A1115" s="33" t="inlineStr">
        <is>
          <t>2026-05-18</t>
        </is>
      </c>
      <c r="B1115" s="33" t="inlineStr">
        <is>
          <t>ARM</t>
        </is>
      </c>
      <c r="C1115" s="33" t="inlineStr">
        <is>
          <t>D4</t>
        </is>
      </c>
      <c r="D1115" s="33" t="n">
        <v>4</v>
      </c>
      <c r="E1115" s="68" t="inlineStr">
        <is>
          <t>AGI CPU launch; ongoing royalty + licensing growth.</t>
        </is>
      </c>
      <c r="F1115" s="68" t="inlineStr">
        <is>
          <t>ARM Q1/Q4 2026 + AI infrastructure coverage (per-name research 2026-05-18)</t>
        </is>
      </c>
      <c r="G1115" s="33" t="inlineStr">
        <is>
          <t>High</t>
        </is>
      </c>
      <c r="H1115" s="33" t="inlineStr">
        <is>
          <t>Initial</t>
        </is>
      </c>
    </row>
    <row r="1116">
      <c r="A1116" s="33" t="inlineStr">
        <is>
          <t>2026-05-18</t>
        </is>
      </c>
      <c r="B1116" s="33" t="inlineStr">
        <is>
          <t>ARM</t>
        </is>
      </c>
      <c r="C1116" s="33" t="inlineStr">
        <is>
          <t>D5</t>
        </is>
      </c>
      <c r="D1116" s="33" t="n">
        <v>5</v>
      </c>
      <c r="E1116" s="68" t="inlineStr">
        <is>
          <t>All hyperscalers (AWS, Google, Microsoft) building DC chips on Arm.</t>
        </is>
      </c>
      <c r="F1116" s="68" t="inlineStr">
        <is>
          <t>ARM Q1/Q4 2026 + AI infrastructure coverage (per-name research 2026-05-18)</t>
        </is>
      </c>
      <c r="G1116" s="33" t="inlineStr">
        <is>
          <t>High</t>
        </is>
      </c>
      <c r="H1116" s="33" t="inlineStr">
        <is>
          <t>Initial</t>
        </is>
      </c>
    </row>
    <row r="1117">
      <c r="A1117" s="33" t="inlineStr">
        <is>
          <t>2026-05-18</t>
        </is>
      </c>
      <c r="B1117" s="33" t="inlineStr">
        <is>
          <t>ARM</t>
        </is>
      </c>
      <c r="C1117" s="33" t="inlineStr">
        <is>
          <t>M1</t>
        </is>
      </c>
      <c r="D1117" s="33" t="n">
        <v>4</v>
      </c>
      <c r="E1117" s="68" t="inlineStr">
        <is>
          <t>14 up / 5 down.</t>
        </is>
      </c>
      <c r="F1117" s="68" t="inlineStr">
        <is>
          <t>ARM Q1/Q4 2026 + AI infrastructure coverage (per-name research 2026-05-18)</t>
        </is>
      </c>
      <c r="G1117" s="33" t="inlineStr">
        <is>
          <t>High</t>
        </is>
      </c>
      <c r="H1117" s="33" t="inlineStr">
        <is>
          <t>Initial</t>
        </is>
      </c>
    </row>
    <row r="1118">
      <c r="A1118" s="33" t="inlineStr">
        <is>
          <t>2026-05-18</t>
        </is>
      </c>
      <c r="B1118" s="33" t="inlineStr">
        <is>
          <t>ARM</t>
        </is>
      </c>
      <c r="C1118" s="33" t="inlineStr">
        <is>
          <t>M2</t>
        </is>
      </c>
      <c r="D1118" s="33" t="n">
        <v>2</v>
      </c>
      <c r="E1118" s="68" t="inlineStr">
        <is>
          <t>-19pp vs SOXX — sector rotation.</t>
        </is>
      </c>
      <c r="F1118" s="68" t="inlineStr">
        <is>
          <t>ARM Q1/Q4 2026 + AI infrastructure coverage (per-name research 2026-05-18)</t>
        </is>
      </c>
      <c r="G1118" s="33" t="inlineStr">
        <is>
          <t>High</t>
        </is>
      </c>
      <c r="H1118" s="33" t="inlineStr">
        <is>
          <t>Initial</t>
        </is>
      </c>
    </row>
    <row r="1119">
      <c r="A1119" s="33" t="inlineStr">
        <is>
          <t>2026-05-18</t>
        </is>
      </c>
      <c r="B1119" s="33" t="inlineStr">
        <is>
          <t>ARM</t>
        </is>
      </c>
      <c r="C1119" s="33" t="inlineStr">
        <is>
          <t>M3</t>
        </is>
      </c>
      <c r="D1119" s="33" t="n">
        <v>3</v>
      </c>
      <c r="E1119" s="68" t="inlineStr">
        <is>
          <t>Routine.</t>
        </is>
      </c>
      <c r="F1119" s="68" t="inlineStr">
        <is>
          <t>ARM Q1/Q4 2026 + AI infrastructure coverage (per-name research 2026-05-18)</t>
        </is>
      </c>
      <c r="G1119" s="33" t="inlineStr">
        <is>
          <t>High</t>
        </is>
      </c>
      <c r="H1119" s="33" t="inlineStr">
        <is>
          <t>Initial</t>
        </is>
      </c>
    </row>
    <row r="1120">
      <c r="A1120" s="33" t="inlineStr">
        <is>
          <t>2026-05-18</t>
        </is>
      </c>
      <c r="B1120" s="33" t="inlineStr">
        <is>
          <t>ARM</t>
        </is>
      </c>
      <c r="C1120" s="33" t="inlineStr">
        <is>
          <t>R1</t>
        </is>
      </c>
      <c r="D1120" s="33" t="n">
        <v>5</v>
      </c>
      <c r="E1120" s="68" t="inlineStr">
        <is>
          <t>Diversified across all chip designers.</t>
        </is>
      </c>
      <c r="F1120" s="68" t="inlineStr">
        <is>
          <t>ARM Q1/Q4 2026 + AI infrastructure coverage (per-name research 2026-05-18)</t>
        </is>
      </c>
      <c r="G1120" s="33" t="inlineStr">
        <is>
          <t>High</t>
        </is>
      </c>
      <c r="H1120" s="33" t="inlineStr">
        <is>
          <t>Initial</t>
        </is>
      </c>
    </row>
    <row r="1121">
      <c r="A1121" s="33" t="inlineStr">
        <is>
          <t>2026-05-18</t>
        </is>
      </c>
      <c r="B1121" s="33" t="inlineStr">
        <is>
          <t>ARM</t>
        </is>
      </c>
      <c r="C1121" s="33" t="inlineStr">
        <is>
          <t>R2</t>
        </is>
      </c>
      <c r="D1121" s="33" t="n">
        <v>4</v>
      </c>
      <c r="E1121" s="68" t="inlineStr">
        <is>
          <t>Global; ARM China ongoing complication.</t>
        </is>
      </c>
      <c r="F1121" s="68" t="inlineStr">
        <is>
          <t>ARM Q1/Q4 2026 + AI infrastructure coverage (per-name research 2026-05-18)</t>
        </is>
      </c>
      <c r="G1121" s="33" t="inlineStr">
        <is>
          <t>High</t>
        </is>
      </c>
      <c r="H1121" s="33" t="inlineStr">
        <is>
          <t>Initial</t>
        </is>
      </c>
    </row>
    <row r="1122">
      <c r="A1122" s="33" t="inlineStr">
        <is>
          <t>2026-05-18</t>
        </is>
      </c>
      <c r="B1122" s="33" t="inlineStr">
        <is>
          <t>ARM</t>
        </is>
      </c>
      <c r="C1122" s="33" t="inlineStr">
        <is>
          <t>R3</t>
        </is>
      </c>
      <c r="D1122" s="33" t="n">
        <v>5</v>
      </c>
      <c r="E1122" s="68" t="inlineStr">
        <is>
          <t>Net cash, fortress.</t>
        </is>
      </c>
      <c r="F1122" s="68" t="inlineStr">
        <is>
          <t>ARM Q1/Q4 2026 + AI infrastructure coverage (per-name research 2026-05-18)</t>
        </is>
      </c>
      <c r="G1122" s="33" t="inlineStr">
        <is>
          <t>High</t>
        </is>
      </c>
      <c r="H1122" s="33" t="inlineStr">
        <is>
          <t>Initial</t>
        </is>
      </c>
    </row>
    <row r="1123">
      <c r="A1123" s="33" t="inlineStr">
        <is>
          <t>2026-05-18</t>
        </is>
      </c>
      <c r="B1123" s="33" t="inlineStr">
        <is>
          <t>ARM</t>
        </is>
      </c>
      <c r="C1123" s="33" t="inlineStr">
        <is>
          <t>R4</t>
        </is>
      </c>
      <c r="D1123" s="33" t="n">
        <v>3</v>
      </c>
      <c r="E1123" s="68" t="inlineStr">
        <is>
          <t>ARM China dispute + China export-control overhang. Band 3.</t>
        </is>
      </c>
      <c r="F1123" s="68" t="inlineStr">
        <is>
          <t>ARM Q1/Q4 2026 + AI infrastructure coverage (per-name research 2026-05-18)</t>
        </is>
      </c>
      <c r="G1123" s="33" t="inlineStr">
        <is>
          <t>High</t>
        </is>
      </c>
      <c r="H1123" s="33" t="inlineStr">
        <is>
          <t>Initial</t>
        </is>
      </c>
    </row>
    <row r="1124">
      <c r="A1124" s="33" t="inlineStr">
        <is>
          <t>2026-05-18</t>
        </is>
      </c>
      <c r="B1124" s="33" t="inlineStr">
        <is>
          <t>TSM</t>
        </is>
      </c>
      <c r="C1124" s="33" t="inlineStr">
        <is>
          <t>D1</t>
        </is>
      </c>
      <c r="D1124" s="33" t="n">
        <v>4</v>
      </c>
      <c r="E1124" s="68" t="inlineStr">
        <is>
          <t>AI/HPC + smartphone Apple mix; ~30-50% AI-tied revenue and rising.</t>
        </is>
      </c>
      <c r="F1124" s="68" t="inlineStr">
        <is>
          <t>TSM Q1 2026 + AI infrastructure deep research (2026-05-18)</t>
        </is>
      </c>
      <c r="G1124" s="33" t="inlineStr">
        <is>
          <t>High</t>
        </is>
      </c>
      <c r="H1124" s="33" t="inlineStr">
        <is>
          <t>Initial</t>
        </is>
      </c>
    </row>
    <row r="1125">
      <c r="A1125" s="33" t="inlineStr">
        <is>
          <t>2026-05-18</t>
        </is>
      </c>
      <c r="B1125" s="33" t="inlineStr">
        <is>
          <t>TSM</t>
        </is>
      </c>
      <c r="C1125" s="33" t="inlineStr">
        <is>
          <t>D2</t>
        </is>
      </c>
      <c r="D1125" s="33" t="n">
        <v>5</v>
      </c>
      <c r="E1125" s="68" t="inlineStr">
        <is>
          <t>Leading-edge foundry monopoly (~92% share leading-edge wafers). 2nm/CoWoS/HBM sold out 78-104 wk lead times. Rubric anchor.</t>
        </is>
      </c>
      <c r="F1125" s="68" t="inlineStr">
        <is>
          <t>TSM Q1 2026 + AI infrastructure deep research (2026-05-18)</t>
        </is>
      </c>
      <c r="G1125" s="33" t="inlineStr">
        <is>
          <t>High</t>
        </is>
      </c>
      <c r="H1125" s="33" t="inlineStr">
        <is>
          <t>Initial</t>
        </is>
      </c>
    </row>
    <row r="1126">
      <c r="A1126" s="33" t="inlineStr">
        <is>
          <t>2026-05-18</t>
        </is>
      </c>
      <c r="B1126" s="33" t="inlineStr">
        <is>
          <t>TSM</t>
        </is>
      </c>
      <c r="C1126" s="33" t="inlineStr">
        <is>
          <t>D3</t>
        </is>
      </c>
      <c r="D1126" s="33" t="n">
        <v>5</v>
      </c>
      <c r="E1126" s="68" t="inlineStr">
        <is>
          <t>Process IP + customer integration + scale + EUV/High-NA mastery. Rubric-level moat.</t>
        </is>
      </c>
      <c r="F1126" s="68" t="inlineStr">
        <is>
          <t>TSM Q1 2026 + AI infrastructure deep research (2026-05-18)</t>
        </is>
      </c>
      <c r="G1126" s="33" t="inlineStr">
        <is>
          <t>High</t>
        </is>
      </c>
      <c r="H1126" s="33" t="inlineStr">
        <is>
          <t>Initial</t>
        </is>
      </c>
    </row>
    <row r="1127">
      <c r="A1127" s="33" t="inlineStr">
        <is>
          <t>2026-05-18</t>
        </is>
      </c>
      <c r="B1127" s="33" t="inlineStr">
        <is>
          <t>TSM</t>
        </is>
      </c>
      <c r="C1127" s="33" t="inlineStr">
        <is>
          <t>D4</t>
        </is>
      </c>
      <c r="D1127" s="33" t="n">
        <v>5</v>
      </c>
      <c r="E1127" s="68" t="inlineStr">
        <is>
          <t>N2/N3/N5 booked through 2027; 2nm 90K→140K WPM 2025-2026; multi-fab Arizona/Japan/Germany expansion.</t>
        </is>
      </c>
      <c r="F1127" s="68" t="inlineStr">
        <is>
          <t>TSM Q1 2026 + AI infrastructure deep research (2026-05-18)</t>
        </is>
      </c>
      <c r="G1127" s="33" t="inlineStr">
        <is>
          <t>High</t>
        </is>
      </c>
      <c r="H1127" s="33" t="inlineStr">
        <is>
          <t>Initial</t>
        </is>
      </c>
    </row>
    <row r="1128">
      <c r="A1128" s="33" t="inlineStr">
        <is>
          <t>2026-05-18</t>
        </is>
      </c>
      <c r="B1128" s="33" t="inlineStr">
        <is>
          <t>TSM</t>
        </is>
      </c>
      <c r="C1128" s="33" t="inlineStr">
        <is>
          <t>D5</t>
        </is>
      </c>
      <c r="D1128" s="33" t="n">
        <v>5</v>
      </c>
      <c r="E1128" s="68" t="inlineStr">
        <is>
          <t>NVDA/AAPL/AMD + all hyperscaler ASIC partners directly. Anchor.</t>
        </is>
      </c>
      <c r="F1128" s="68" t="inlineStr">
        <is>
          <t>TSM Q1 2026 + AI infrastructure deep research (2026-05-18)</t>
        </is>
      </c>
      <c r="G1128" s="33" t="inlineStr">
        <is>
          <t>High</t>
        </is>
      </c>
      <c r="H1128" s="33" t="inlineStr">
        <is>
          <t>Initial</t>
        </is>
      </c>
    </row>
    <row r="1129">
      <c r="A1129" s="33" t="inlineStr">
        <is>
          <t>2026-05-18</t>
        </is>
      </c>
      <c r="B1129" s="33" t="inlineStr">
        <is>
          <t>TSM</t>
        </is>
      </c>
      <c r="C1129" s="33" t="inlineStr">
        <is>
          <t>M1</t>
        </is>
      </c>
      <c r="D1129" s="33" t="n">
        <v>4</v>
      </c>
      <c r="E1129" s="68" t="inlineStr">
        <is>
          <t>8 up / 0 down on +1Y; FY +8.5%.</t>
        </is>
      </c>
      <c r="F1129" s="68" t="inlineStr">
        <is>
          <t>TSM Q1 2026 + AI infrastructure deep research (2026-05-18)</t>
        </is>
      </c>
      <c r="G1129" s="33" t="inlineStr">
        <is>
          <t>High</t>
        </is>
      </c>
      <c r="H1129" s="33" t="inlineStr">
        <is>
          <t>Initial</t>
        </is>
      </c>
    </row>
    <row r="1130">
      <c r="A1130" s="33" t="inlineStr">
        <is>
          <t>2026-05-18</t>
        </is>
      </c>
      <c r="B1130" s="33" t="inlineStr">
        <is>
          <t>TSM</t>
        </is>
      </c>
      <c r="C1130" s="33" t="inlineStr">
        <is>
          <t>M2</t>
        </is>
      </c>
      <c r="D1130" s="33" t="n">
        <v>1</v>
      </c>
      <c r="E1130" s="68" t="inlineStr">
        <is>
          <t>-36pp vs SOXX 180d — lagging the cohort despite fundamentals. Calibration question (same as NVDA/AVGO).</t>
        </is>
      </c>
      <c r="F1130" s="68" t="inlineStr">
        <is>
          <t>TSM Q1 2026 + AI infrastructure deep research (2026-05-18)</t>
        </is>
      </c>
      <c r="G1130" s="33" t="inlineStr">
        <is>
          <t>High</t>
        </is>
      </c>
      <c r="H1130" s="33" t="inlineStr">
        <is>
          <t>Initial</t>
        </is>
      </c>
    </row>
    <row r="1131">
      <c r="A1131" s="33" t="inlineStr">
        <is>
          <t>2026-05-18</t>
        </is>
      </c>
      <c r="B1131" s="33" t="inlineStr">
        <is>
          <t>TSM</t>
        </is>
      </c>
      <c r="C1131" s="33" t="inlineStr">
        <is>
          <t>M3</t>
        </is>
      </c>
      <c r="D1131" s="33" t="n">
        <v>3</v>
      </c>
      <c r="E1131" s="68" t="inlineStr">
        <is>
          <t>Routine; default 3.</t>
        </is>
      </c>
      <c r="F1131" s="68" t="inlineStr">
        <is>
          <t>TSM Q1 2026 + AI infrastructure deep research (2026-05-18)</t>
        </is>
      </c>
      <c r="G1131" s="33" t="inlineStr">
        <is>
          <t>High</t>
        </is>
      </c>
      <c r="H1131" s="33" t="inlineStr">
        <is>
          <t>Initial</t>
        </is>
      </c>
    </row>
    <row r="1132">
      <c r="A1132" s="33" t="inlineStr">
        <is>
          <t>2026-05-18</t>
        </is>
      </c>
      <c r="B1132" s="33" t="inlineStr">
        <is>
          <t>TSM</t>
        </is>
      </c>
      <c r="C1132" s="33" t="inlineStr">
        <is>
          <t>R1</t>
        </is>
      </c>
      <c r="D1132" s="33" t="n">
        <v>3</v>
      </c>
      <c r="E1132" s="68" t="inlineStr">
        <is>
          <t>AAPL ~50% wafer allocation = real concentration. Band 3.</t>
        </is>
      </c>
      <c r="F1132" s="68" t="inlineStr">
        <is>
          <t>TSM Q1 2026 + AI infrastructure deep research (2026-05-18)</t>
        </is>
      </c>
      <c r="G1132" s="33" t="inlineStr">
        <is>
          <t>High</t>
        </is>
      </c>
      <c r="H1132" s="33" t="inlineStr">
        <is>
          <t>Initial</t>
        </is>
      </c>
    </row>
    <row r="1133">
      <c r="A1133" s="33" t="inlineStr">
        <is>
          <t>2026-05-18</t>
        </is>
      </c>
      <c r="B1133" s="33" t="inlineStr">
        <is>
          <t>TSM</t>
        </is>
      </c>
      <c r="C1133" s="33" t="inlineStr">
        <is>
          <t>R2</t>
        </is>
      </c>
      <c r="D1133" s="33" t="n">
        <v>2</v>
      </c>
      <c r="E1133" s="68" t="inlineStr">
        <is>
          <t>Taiwan geopolitical risk — invasion/blockade analog to export-control. Band 2.</t>
        </is>
      </c>
      <c r="F1133" s="68" t="inlineStr">
        <is>
          <t>TSM Q1 2026 + AI infrastructure deep research (2026-05-18)</t>
        </is>
      </c>
      <c r="G1133" s="33" t="inlineStr">
        <is>
          <t>High</t>
        </is>
      </c>
      <c r="H1133" s="33" t="inlineStr">
        <is>
          <t>Initial</t>
        </is>
      </c>
    </row>
    <row r="1134">
      <c r="A1134" s="33" t="inlineStr">
        <is>
          <t>2026-05-18</t>
        </is>
      </c>
      <c r="B1134" s="33" t="inlineStr">
        <is>
          <t>TSM</t>
        </is>
      </c>
      <c r="C1134" s="33" t="inlineStr">
        <is>
          <t>R3</t>
        </is>
      </c>
      <c r="D1134" s="33" t="n">
        <v>5</v>
      </c>
      <c r="E1134" s="68" t="inlineStr">
        <is>
          <t>Net cash, fortress balance sheet.</t>
        </is>
      </c>
      <c r="F1134" s="68" t="inlineStr">
        <is>
          <t>TSM Q1 2026 + AI infrastructure deep research (2026-05-18)</t>
        </is>
      </c>
      <c r="G1134" s="33" t="inlineStr">
        <is>
          <t>High</t>
        </is>
      </c>
      <c r="H1134" s="33" t="inlineStr">
        <is>
          <t>Initial</t>
        </is>
      </c>
    </row>
    <row r="1135">
      <c r="A1135" s="33" t="inlineStr">
        <is>
          <t>2026-05-18</t>
        </is>
      </c>
      <c r="B1135" s="33" t="inlineStr">
        <is>
          <t>TSM</t>
        </is>
      </c>
      <c r="C1135" s="33" t="inlineStr">
        <is>
          <t>R4</t>
        </is>
      </c>
      <c r="D1135" s="33" t="n">
        <v>4</v>
      </c>
      <c r="E1135" s="68" t="inlineStr">
        <is>
          <t>Routine; some CHIPS Act US-related scrutiny.</t>
        </is>
      </c>
      <c r="F1135" s="68" t="inlineStr">
        <is>
          <t>TSM Q1 2026 + AI infrastructure deep research (2026-05-18)</t>
        </is>
      </c>
      <c r="G1135" s="33" t="inlineStr">
        <is>
          <t>High</t>
        </is>
      </c>
      <c r="H1135" s="33" t="inlineStr">
        <is>
          <t>Initial</t>
        </is>
      </c>
    </row>
    <row r="1136">
      <c r="A1136" s="33" t="inlineStr">
        <is>
          <t>2026-05-18</t>
        </is>
      </c>
      <c r="B1136" s="33" t="inlineStr">
        <is>
          <t>INTC</t>
        </is>
      </c>
      <c r="C1136" s="33" t="inlineStr">
        <is>
          <t>D1</t>
        </is>
      </c>
      <c r="D1136" s="33" t="n">
        <v>3</v>
      </c>
      <c r="E1136" s="68" t="inlineStr">
        <is>
          <t>DCAI +22% YoY; Gaudi 3 hyperscaler deployments; AI mix ~15-25% rising. Band 3.</t>
        </is>
      </c>
      <c r="F1136" s="68" t="inlineStr">
        <is>
          <t>INTC Q1 2026 + AI infrastructure deep research (2026-05-18)</t>
        </is>
      </c>
      <c r="G1136" s="33" t="inlineStr">
        <is>
          <t>High</t>
        </is>
      </c>
      <c r="H1136" s="33" t="inlineStr">
        <is>
          <t>Initial</t>
        </is>
      </c>
    </row>
    <row r="1137">
      <c r="A1137" s="33" t="inlineStr">
        <is>
          <t>2026-05-18</t>
        </is>
      </c>
      <c r="B1137" s="33" t="inlineStr">
        <is>
          <t>INTC</t>
        </is>
      </c>
      <c r="C1137" s="33" t="inlineStr">
        <is>
          <t>D2</t>
        </is>
      </c>
      <c r="D1137" s="33" t="n">
        <v>3</v>
      </c>
      <c r="E1137" s="68" t="inlineStr">
        <is>
          <t>Trying to become leading-edge foundry; behind TSM in execution; mature foundry capabilities. Band 3.</t>
        </is>
      </c>
      <c r="F1137" s="68" t="inlineStr">
        <is>
          <t>INTC Q1 2026 + AI infrastructure deep research (2026-05-18)</t>
        </is>
      </c>
      <c r="G1137" s="33" t="inlineStr">
        <is>
          <t>High</t>
        </is>
      </c>
      <c r="H1137" s="33" t="inlineStr">
        <is>
          <t>Initial</t>
        </is>
      </c>
    </row>
    <row r="1138">
      <c r="A1138" s="33" t="inlineStr">
        <is>
          <t>2026-05-18</t>
        </is>
      </c>
      <c r="B1138" s="33" t="inlineStr">
        <is>
          <t>INTC</t>
        </is>
      </c>
      <c r="C1138" s="33" t="inlineStr">
        <is>
          <t>D3</t>
        </is>
      </c>
      <c r="D1138" s="33" t="n">
        <v>3</v>
      </c>
      <c r="E1138" s="68" t="inlineStr">
        <is>
          <t>x86 legacy moat eroding; foundry moat aspirational. Band 3.</t>
        </is>
      </c>
      <c r="F1138" s="68" t="inlineStr">
        <is>
          <t>INTC Q1 2026 + AI infrastructure deep research (2026-05-18)</t>
        </is>
      </c>
      <c r="G1138" s="33" t="inlineStr">
        <is>
          <t>High</t>
        </is>
      </c>
      <c r="H1138" s="33" t="inlineStr">
        <is>
          <t>Initial</t>
        </is>
      </c>
    </row>
    <row r="1139">
      <c r="A1139" s="33" t="inlineStr">
        <is>
          <t>2026-05-18</t>
        </is>
      </c>
      <c r="B1139" s="33" t="inlineStr">
        <is>
          <t>INTC</t>
        </is>
      </c>
      <c r="C1139" s="33" t="inlineStr">
        <is>
          <t>D4</t>
        </is>
      </c>
      <c r="D1139" s="33" t="n">
        <v>4</v>
      </c>
      <c r="E1139" s="68" t="inlineStr">
        <is>
          <t>14A Tesla foundry deal (Terafab); 18A yields ahead of plan; multi-fab expansion under CHIPS Act.</t>
        </is>
      </c>
      <c r="F1139" s="68" t="inlineStr">
        <is>
          <t>INTC Q1 2026 + AI infrastructure deep research (2026-05-18)</t>
        </is>
      </c>
      <c r="G1139" s="33" t="inlineStr">
        <is>
          <t>High</t>
        </is>
      </c>
      <c r="H1139" s="33" t="inlineStr">
        <is>
          <t>Initial</t>
        </is>
      </c>
    </row>
    <row r="1140">
      <c r="A1140" s="33" t="inlineStr">
        <is>
          <t>2026-05-18</t>
        </is>
      </c>
      <c r="B1140" s="33" t="inlineStr">
        <is>
          <t>INTC</t>
        </is>
      </c>
      <c r="C1140" s="33" t="inlineStr">
        <is>
          <t>D5</t>
        </is>
      </c>
      <c r="D1140" s="33" t="n">
        <v>4</v>
      </c>
      <c r="E1140" s="68" t="inlineStr">
        <is>
          <t>Hyperscaler customers (Gaudi 3 inference deployments) + Tesla foundry. Multiple anchor customers emerging.</t>
        </is>
      </c>
      <c r="F1140" s="68" t="inlineStr">
        <is>
          <t>INTC Q1 2026 + AI infrastructure deep research (2026-05-18)</t>
        </is>
      </c>
      <c r="G1140" s="33" t="inlineStr">
        <is>
          <t>High</t>
        </is>
      </c>
      <c r="H1140" s="33" t="inlineStr">
        <is>
          <t>Initial</t>
        </is>
      </c>
    </row>
    <row r="1141">
      <c r="A1141" s="33" t="inlineStr">
        <is>
          <t>2026-05-18</t>
        </is>
      </c>
      <c r="B1141" s="33" t="inlineStr">
        <is>
          <t>INTC</t>
        </is>
      </c>
      <c r="C1141" s="33" t="inlineStr">
        <is>
          <t>M1</t>
        </is>
      </c>
      <c r="D1141" s="33" t="n">
        <v>5</v>
      </c>
      <c r="E1141" s="68" t="inlineStr">
        <is>
          <t>35 up / 0 down on +1Y; FY revision +124.8% — extreme upward revision wave.</t>
        </is>
      </c>
      <c r="F1141" s="68" t="inlineStr">
        <is>
          <t>INTC Q1 2026 + AI infrastructure deep research (2026-05-18)</t>
        </is>
      </c>
      <c r="G1141" s="33" t="inlineStr">
        <is>
          <t>High</t>
        </is>
      </c>
      <c r="H1141" s="33" t="inlineStr">
        <is>
          <t>Initial</t>
        </is>
      </c>
    </row>
    <row r="1142">
      <c r="A1142" s="33" t="inlineStr">
        <is>
          <t>2026-05-18</t>
        </is>
      </c>
      <c r="B1142" s="33" t="inlineStr">
        <is>
          <t>INTC</t>
        </is>
      </c>
      <c r="C1142" s="33" t="inlineStr">
        <is>
          <t>M2</t>
        </is>
      </c>
      <c r="D1142" s="33" t="n">
        <v>5</v>
      </c>
      <c r="E1142" s="68" t="inlineStr">
        <is>
          <t>+132pp vs SOXX 180d — extreme outperformance from low base; turnaround pricing.</t>
        </is>
      </c>
      <c r="F1142" s="68" t="inlineStr">
        <is>
          <t>INTC Q1 2026 + AI infrastructure deep research (2026-05-18)</t>
        </is>
      </c>
      <c r="G1142" s="33" t="inlineStr">
        <is>
          <t>High</t>
        </is>
      </c>
      <c r="H1142" s="33" t="inlineStr">
        <is>
          <t>Initial</t>
        </is>
      </c>
    </row>
    <row r="1143">
      <c r="A1143" s="33" t="inlineStr">
        <is>
          <t>2026-05-18</t>
        </is>
      </c>
      <c r="B1143" s="33" t="inlineStr">
        <is>
          <t>INTC</t>
        </is>
      </c>
      <c r="C1143" s="33" t="inlineStr">
        <is>
          <t>M3</t>
        </is>
      </c>
      <c r="D1143" s="33" t="n">
        <v>3</v>
      </c>
      <c r="E1143" s="68" t="inlineStr">
        <is>
          <t>Routine; default 3.</t>
        </is>
      </c>
      <c r="F1143" s="68" t="inlineStr">
        <is>
          <t>INTC Q1 2026 + AI infrastructure deep research (2026-05-18)</t>
        </is>
      </c>
      <c r="G1143" s="33" t="inlineStr">
        <is>
          <t>High</t>
        </is>
      </c>
      <c r="H1143" s="33" t="inlineStr">
        <is>
          <t>Initial</t>
        </is>
      </c>
    </row>
    <row r="1144">
      <c r="A1144" s="33" t="inlineStr">
        <is>
          <t>2026-05-18</t>
        </is>
      </c>
      <c r="B1144" s="33" t="inlineStr">
        <is>
          <t>INTC</t>
        </is>
      </c>
      <c r="C1144" s="33" t="inlineStr">
        <is>
          <t>R1</t>
        </is>
      </c>
      <c r="D1144" s="33" t="n">
        <v>5</v>
      </c>
      <c r="E1144" s="68" t="inlineStr">
        <is>
          <t>Highly diversified.</t>
        </is>
      </c>
      <c r="F1144" s="68" t="inlineStr">
        <is>
          <t>INTC Q1 2026 + AI infrastructure deep research (2026-05-18)</t>
        </is>
      </c>
      <c r="G1144" s="33" t="inlineStr">
        <is>
          <t>High</t>
        </is>
      </c>
      <c r="H1144" s="33" t="inlineStr">
        <is>
          <t>Initial</t>
        </is>
      </c>
    </row>
    <row r="1145">
      <c r="A1145" s="33" t="inlineStr">
        <is>
          <t>2026-05-18</t>
        </is>
      </c>
      <c r="B1145" s="33" t="inlineStr">
        <is>
          <t>INTC</t>
        </is>
      </c>
      <c r="C1145" s="33" t="inlineStr">
        <is>
          <t>R2</t>
        </is>
      </c>
      <c r="D1145" s="33" t="n">
        <v>3</v>
      </c>
      <c r="E1145" s="68" t="inlineStr">
        <is>
          <t>US-focused but some China exposure.</t>
        </is>
      </c>
      <c r="F1145" s="68" t="inlineStr">
        <is>
          <t>INTC Q1 2026 + AI infrastructure deep research (2026-05-18)</t>
        </is>
      </c>
      <c r="G1145" s="33" t="inlineStr">
        <is>
          <t>High</t>
        </is>
      </c>
      <c r="H1145" s="33" t="inlineStr">
        <is>
          <t>Initial</t>
        </is>
      </c>
    </row>
    <row r="1146">
      <c r="A1146" s="33" t="inlineStr">
        <is>
          <t>2026-05-18</t>
        </is>
      </c>
      <c r="B1146" s="33" t="inlineStr">
        <is>
          <t>INTC</t>
        </is>
      </c>
      <c r="C1146" s="33" t="inlineStr">
        <is>
          <t>R3</t>
        </is>
      </c>
      <c r="D1146" s="33" t="n">
        <v>2</v>
      </c>
      <c r="E1146" s="68" t="inlineStr">
        <is>
          <t>FCFY -1.5% = burning cash; CHIPS Act funding helps but elevated leverage. Band 2.</t>
        </is>
      </c>
      <c r="F1146" s="68" t="inlineStr">
        <is>
          <t>INTC Q1 2026 + AI infrastructure deep research (2026-05-18)</t>
        </is>
      </c>
      <c r="G1146" s="33" t="inlineStr">
        <is>
          <t>High</t>
        </is>
      </c>
      <c r="H1146" s="33" t="inlineStr">
        <is>
          <t>Initial</t>
        </is>
      </c>
    </row>
    <row r="1147">
      <c r="A1147" s="33" t="inlineStr">
        <is>
          <t>2026-05-18</t>
        </is>
      </c>
      <c r="B1147" s="33" t="inlineStr">
        <is>
          <t>INTC</t>
        </is>
      </c>
      <c r="C1147" s="33" t="inlineStr">
        <is>
          <t>R4</t>
        </is>
      </c>
      <c r="D1147" s="33" t="n">
        <v>3</v>
      </c>
      <c r="E1147" s="68" t="inlineStr">
        <is>
          <t>Regulatory + competitive risks ongoing; CHIPS Act scrutiny.</t>
        </is>
      </c>
      <c r="F1147" s="68" t="inlineStr">
        <is>
          <t>INTC Q1 2026 + AI infrastructure deep research (2026-05-18)</t>
        </is>
      </c>
      <c r="G1147" s="33" t="inlineStr">
        <is>
          <t>High</t>
        </is>
      </c>
      <c r="H1147" s="33" t="inlineStr">
        <is>
          <t>Initial</t>
        </is>
      </c>
    </row>
    <row r="1148">
      <c r="A1148" s="33" t="inlineStr">
        <is>
          <t>2026-05-18</t>
        </is>
      </c>
      <c r="B1148" s="33" t="inlineStr">
        <is>
          <t>GFS</t>
        </is>
      </c>
      <c r="C1148" s="33" t="inlineStr">
        <is>
          <t>D1</t>
        </is>
      </c>
      <c r="D1148" s="33" t="n">
        <v>3</v>
      </c>
      <c r="E1148" s="68" t="inlineStr">
        <is>
          <t>Comms+DC segment ~10-15% of revenue; AI exposure growing via CPO/SCALE. Band 3.</t>
        </is>
      </c>
      <c r="F1148" s="68" t="inlineStr">
        <is>
          <t>GFS Q1 2026 + AI infrastructure deep research (2026-05-18)</t>
        </is>
      </c>
      <c r="G1148" s="33" t="inlineStr">
        <is>
          <t>High</t>
        </is>
      </c>
      <c r="H1148" s="33" t="inlineStr">
        <is>
          <t>Initial</t>
        </is>
      </c>
    </row>
    <row r="1149">
      <c r="A1149" s="33" t="inlineStr">
        <is>
          <t>2026-05-18</t>
        </is>
      </c>
      <c r="B1149" s="33" t="inlineStr">
        <is>
          <t>GFS</t>
        </is>
      </c>
      <c r="C1149" s="33" t="inlineStr">
        <is>
          <t>D2</t>
        </is>
      </c>
      <c r="D1149" s="33" t="n">
        <v>3</v>
      </c>
      <c r="E1149" s="68" t="inlineStr">
        <is>
          <t>Mature-node specialty foundry. Multiple competitors (UMC, SMIC).</t>
        </is>
      </c>
      <c r="F1149" s="68" t="inlineStr">
        <is>
          <t>GFS Q1 2026 + AI infrastructure deep research (2026-05-18)</t>
        </is>
      </c>
      <c r="G1149" s="33" t="inlineStr">
        <is>
          <t>High</t>
        </is>
      </c>
      <c r="H1149" s="33" t="inlineStr">
        <is>
          <t>Initial</t>
        </is>
      </c>
    </row>
    <row r="1150">
      <c r="A1150" s="33" t="inlineStr">
        <is>
          <t>2026-05-18</t>
        </is>
      </c>
      <c r="B1150" s="33" t="inlineStr">
        <is>
          <t>GFS</t>
        </is>
      </c>
      <c r="C1150" s="33" t="inlineStr">
        <is>
          <t>D3</t>
        </is>
      </c>
      <c r="D1150" s="33" t="n">
        <v>4</v>
      </c>
      <c r="E1150" s="68" t="inlineStr">
        <is>
          <t>Specialty process IP + customer integration + automotive certification moat.</t>
        </is>
      </c>
      <c r="F1150" s="68" t="inlineStr">
        <is>
          <t>GFS Q1 2026 + AI infrastructure deep research (2026-05-18)</t>
        </is>
      </c>
      <c r="G1150" s="33" t="inlineStr">
        <is>
          <t>High</t>
        </is>
      </c>
      <c r="H1150" s="33" t="inlineStr">
        <is>
          <t>Initial</t>
        </is>
      </c>
    </row>
    <row r="1151">
      <c r="A1151" s="33" t="inlineStr">
        <is>
          <t>2026-05-18</t>
        </is>
      </c>
      <c r="B1151" s="33" t="inlineStr">
        <is>
          <t>GFS</t>
        </is>
      </c>
      <c r="C1151" s="33" t="inlineStr">
        <is>
          <t>D4</t>
        </is>
      </c>
      <c r="D1151" s="33" t="n">
        <v>4</v>
      </c>
      <c r="E1151" s="68" t="inlineStr">
        <is>
          <t>SCALE CPO launch May 2026; Renesas multi-billion partnership; steady capex.</t>
        </is>
      </c>
      <c r="F1151" s="68" t="inlineStr">
        <is>
          <t>GFS Q1 2026 + AI infrastructure deep research (2026-05-18)</t>
        </is>
      </c>
      <c r="G1151" s="33" t="inlineStr">
        <is>
          <t>High</t>
        </is>
      </c>
      <c r="H1151" s="33" t="inlineStr">
        <is>
          <t>Initial</t>
        </is>
      </c>
    </row>
    <row r="1152">
      <c r="A1152" s="33" t="inlineStr">
        <is>
          <t>2026-05-18</t>
        </is>
      </c>
      <c r="B1152" s="33" t="inlineStr">
        <is>
          <t>GFS</t>
        </is>
      </c>
      <c r="C1152" s="33" t="inlineStr">
        <is>
          <t>D5</t>
        </is>
      </c>
      <c r="D1152" s="33" t="n">
        <v>3</v>
      </c>
      <c r="E1152" s="68" t="inlineStr">
        <is>
          <t>Indirect hyperscaler exposure via CPO/module makers. **Watch item (Dom 2026-05-18): if GFS announces direct hyperscaler SCALE customer, upgrade D5 to 4.**</t>
        </is>
      </c>
      <c r="F1152" s="68" t="inlineStr">
        <is>
          <t>GFS Q1 2026 + AI infrastructure deep research (2026-05-18)</t>
        </is>
      </c>
      <c r="G1152" s="33" t="inlineStr">
        <is>
          <t>High</t>
        </is>
      </c>
      <c r="H1152" s="33" t="inlineStr">
        <is>
          <t>Initial</t>
        </is>
      </c>
    </row>
    <row r="1153">
      <c r="A1153" s="33" t="inlineStr">
        <is>
          <t>2026-05-18</t>
        </is>
      </c>
      <c r="B1153" s="33" t="inlineStr">
        <is>
          <t>GFS</t>
        </is>
      </c>
      <c r="C1153" s="33" t="inlineStr">
        <is>
          <t>M1</t>
        </is>
      </c>
      <c r="D1153" s="33" t="n">
        <v>4</v>
      </c>
      <c r="E1153" s="68" t="inlineStr">
        <is>
          <t>14 up / 2 down on +1Y; FY +2.5%.</t>
        </is>
      </c>
      <c r="F1153" s="68" t="inlineStr">
        <is>
          <t>GFS Q1 2026 + AI infrastructure deep research (2026-05-18)</t>
        </is>
      </c>
      <c r="G1153" s="33" t="inlineStr">
        <is>
          <t>High</t>
        </is>
      </c>
      <c r="H1153" s="33" t="inlineStr">
        <is>
          <t>Initial</t>
        </is>
      </c>
    </row>
    <row r="1154">
      <c r="A1154" s="33" t="inlineStr">
        <is>
          <t>2026-05-18</t>
        </is>
      </c>
      <c r="B1154" s="33" t="inlineStr">
        <is>
          <t>GFS</t>
        </is>
      </c>
      <c r="C1154" s="33" t="inlineStr">
        <is>
          <t>M2</t>
        </is>
      </c>
      <c r="D1154" s="33" t="n">
        <v>5</v>
      </c>
      <c r="E1154" s="68" t="inlineStr">
        <is>
          <t>+30pp vs SOXX 180d.</t>
        </is>
      </c>
      <c r="F1154" s="68" t="inlineStr">
        <is>
          <t>GFS Q1 2026 + AI infrastructure deep research (2026-05-18)</t>
        </is>
      </c>
      <c r="G1154" s="33" t="inlineStr">
        <is>
          <t>High</t>
        </is>
      </c>
      <c r="H1154" s="33" t="inlineStr">
        <is>
          <t>Initial</t>
        </is>
      </c>
    </row>
    <row r="1155">
      <c r="A1155" s="33" t="inlineStr">
        <is>
          <t>2026-05-18</t>
        </is>
      </c>
      <c r="B1155" s="33" t="inlineStr">
        <is>
          <t>GFS</t>
        </is>
      </c>
      <c r="C1155" s="33" t="inlineStr">
        <is>
          <t>M3</t>
        </is>
      </c>
      <c r="D1155" s="33" t="n">
        <v>3</v>
      </c>
      <c r="E1155" s="68" t="inlineStr">
        <is>
          <t>Routine.</t>
        </is>
      </c>
      <c r="F1155" s="68" t="inlineStr">
        <is>
          <t>GFS Q1 2026 + AI infrastructure deep research (2026-05-18)</t>
        </is>
      </c>
      <c r="G1155" s="33" t="inlineStr">
        <is>
          <t>High</t>
        </is>
      </c>
      <c r="H1155" s="33" t="inlineStr">
        <is>
          <t>Initial</t>
        </is>
      </c>
    </row>
    <row r="1156">
      <c r="A1156" s="33" t="inlineStr">
        <is>
          <t>2026-05-18</t>
        </is>
      </c>
      <c r="B1156" s="33" t="inlineStr">
        <is>
          <t>GFS</t>
        </is>
      </c>
      <c r="C1156" s="33" t="inlineStr">
        <is>
          <t>R1</t>
        </is>
      </c>
      <c r="D1156" s="33" t="n">
        <v>4</v>
      </c>
      <c r="E1156" s="68" t="inlineStr">
        <is>
          <t>Top customers concentrated (Renesas, others).</t>
        </is>
      </c>
      <c r="F1156" s="68" t="inlineStr">
        <is>
          <t>GFS Q1 2026 + AI infrastructure deep research (2026-05-18)</t>
        </is>
      </c>
      <c r="G1156" s="33" t="inlineStr">
        <is>
          <t>High</t>
        </is>
      </c>
      <c r="H1156" s="33" t="inlineStr">
        <is>
          <t>Initial</t>
        </is>
      </c>
    </row>
    <row r="1157">
      <c r="A1157" s="33" t="inlineStr">
        <is>
          <t>2026-05-18</t>
        </is>
      </c>
      <c r="B1157" s="33" t="inlineStr">
        <is>
          <t>GFS</t>
        </is>
      </c>
      <c r="C1157" s="33" t="inlineStr">
        <is>
          <t>R2</t>
        </is>
      </c>
      <c r="D1157" s="33" t="n">
        <v>4</v>
      </c>
      <c r="E1157" s="68" t="inlineStr">
        <is>
          <t>Global manufacturing (US, Singapore, Germany).</t>
        </is>
      </c>
      <c r="F1157" s="68" t="inlineStr">
        <is>
          <t>GFS Q1 2026 + AI infrastructure deep research (2026-05-18)</t>
        </is>
      </c>
      <c r="G1157" s="33" t="inlineStr">
        <is>
          <t>High</t>
        </is>
      </c>
      <c r="H1157" s="33" t="inlineStr">
        <is>
          <t>Initial</t>
        </is>
      </c>
    </row>
    <row r="1158">
      <c r="A1158" s="33" t="inlineStr">
        <is>
          <t>2026-05-18</t>
        </is>
      </c>
      <c r="B1158" s="33" t="inlineStr">
        <is>
          <t>GFS</t>
        </is>
      </c>
      <c r="C1158" s="33" t="inlineStr">
        <is>
          <t>R3</t>
        </is>
      </c>
      <c r="D1158" s="33" t="n">
        <v>4</v>
      </c>
      <c r="E1158" s="68" t="inlineStr">
        <is>
          <t>Strong.</t>
        </is>
      </c>
      <c r="F1158" s="68" t="inlineStr">
        <is>
          <t>GFS Q1 2026 + AI infrastructure deep research (2026-05-18)</t>
        </is>
      </c>
      <c r="G1158" s="33" t="inlineStr">
        <is>
          <t>High</t>
        </is>
      </c>
      <c r="H1158" s="33" t="inlineStr">
        <is>
          <t>Initial</t>
        </is>
      </c>
    </row>
    <row r="1159">
      <c r="A1159" s="33" t="inlineStr">
        <is>
          <t>2026-05-18</t>
        </is>
      </c>
      <c r="B1159" s="33" t="inlineStr">
        <is>
          <t>GFS</t>
        </is>
      </c>
      <c r="C1159" s="33" t="inlineStr">
        <is>
          <t>R4</t>
        </is>
      </c>
      <c r="D1159" s="33" t="n">
        <v>4</v>
      </c>
      <c r="E1159" s="68" t="inlineStr">
        <is>
          <t>Routine.</t>
        </is>
      </c>
      <c r="F1159" s="68" t="inlineStr">
        <is>
          <t>GFS Q1 2026 + AI infrastructure deep research (2026-05-18)</t>
        </is>
      </c>
      <c r="G1159" s="33" t="inlineStr">
        <is>
          <t>High</t>
        </is>
      </c>
      <c r="H1159" s="33" t="inlineStr">
        <is>
          <t>Initial</t>
        </is>
      </c>
    </row>
    <row r="1160">
      <c r="A1160" s="33" t="inlineStr">
        <is>
          <t>2026-05-18</t>
        </is>
      </c>
      <c r="B1160" s="33" t="inlineStr">
        <is>
          <t>TSEM</t>
        </is>
      </c>
      <c r="C1160" s="33" t="inlineStr">
        <is>
          <t>D1</t>
        </is>
      </c>
      <c r="D1160" s="33" t="n">
        <v>4</v>
      </c>
      <c r="E1160" s="68" t="inlineStr">
        <is>
          <t>Silicon photonics 3x growth + $1.3B SiPho 2027 contracts = explicit AI infrastructure revenue.</t>
        </is>
      </c>
      <c r="F1160" s="68" t="inlineStr">
        <is>
          <t>TSEM Q1 2026 + AI infrastructure deep research (2026-05-18)</t>
        </is>
      </c>
      <c r="G1160" s="33" t="inlineStr">
        <is>
          <t>High</t>
        </is>
      </c>
      <c r="H1160" s="33" t="inlineStr">
        <is>
          <t>Initial</t>
        </is>
      </c>
    </row>
    <row r="1161">
      <c r="A1161" s="33" t="inlineStr">
        <is>
          <t>2026-05-18</t>
        </is>
      </c>
      <c r="B1161" s="33" t="inlineStr">
        <is>
          <t>TSEM</t>
        </is>
      </c>
      <c r="C1161" s="33" t="inlineStr">
        <is>
          <t>D2</t>
        </is>
      </c>
      <c r="D1161" s="33" t="n">
        <v>4</v>
      </c>
      <c r="E1161" s="68" t="inlineStr">
        <is>
          <t>Specialty analog/RF/SiPho foundry — niche leadership.</t>
        </is>
      </c>
      <c r="F1161" s="68" t="inlineStr">
        <is>
          <t>TSEM Q1 2026 + AI infrastructure deep research (2026-05-18)</t>
        </is>
      </c>
      <c r="G1161" s="33" t="inlineStr">
        <is>
          <t>High</t>
        </is>
      </c>
      <c r="H1161" s="33" t="inlineStr">
        <is>
          <t>Initial</t>
        </is>
      </c>
    </row>
    <row r="1162">
      <c r="A1162" s="33" t="inlineStr">
        <is>
          <t>2026-05-18</t>
        </is>
      </c>
      <c r="B1162" s="33" t="inlineStr">
        <is>
          <t>TSEM</t>
        </is>
      </c>
      <c r="C1162" s="33" t="inlineStr">
        <is>
          <t>D3</t>
        </is>
      </c>
      <c r="D1162" s="33" t="n">
        <v>4</v>
      </c>
      <c r="E1162" s="68" t="inlineStr">
        <is>
          <t>SiPho IP + integrated platform + multi-decade specialty customers.</t>
        </is>
      </c>
      <c r="F1162" s="68" t="inlineStr">
        <is>
          <t>TSEM Q1 2026 + AI infrastructure deep research (2026-05-18)</t>
        </is>
      </c>
      <c r="G1162" s="33" t="inlineStr">
        <is>
          <t>High</t>
        </is>
      </c>
      <c r="H1162" s="33" t="inlineStr">
        <is>
          <t>Initial</t>
        </is>
      </c>
    </row>
    <row r="1163">
      <c r="A1163" s="33" t="inlineStr">
        <is>
          <t>2026-05-18</t>
        </is>
      </c>
      <c r="B1163" s="33" t="inlineStr">
        <is>
          <t>TSEM</t>
        </is>
      </c>
      <c r="C1163" s="33" t="inlineStr">
        <is>
          <t>D4</t>
        </is>
      </c>
      <c r="D1163" s="33" t="n">
        <v>5</v>
      </c>
      <c r="E1163" s="68" t="inlineStr">
        <is>
          <t>$1.3B SiPho commitments + $290M prepayments + capacity expansion for 2027/2028 delivery.</t>
        </is>
      </c>
      <c r="F1163" s="68" t="inlineStr">
        <is>
          <t>TSEM Q1 2026 + AI infrastructure deep research (2026-05-18)</t>
        </is>
      </c>
      <c r="G1163" s="33" t="inlineStr">
        <is>
          <t>High</t>
        </is>
      </c>
      <c r="H1163" s="33" t="inlineStr">
        <is>
          <t>Initial</t>
        </is>
      </c>
    </row>
    <row r="1164">
      <c r="A1164" s="33" t="inlineStr">
        <is>
          <t>2026-05-18</t>
        </is>
      </c>
      <c r="B1164" s="33" t="inlineStr">
        <is>
          <t>TSEM</t>
        </is>
      </c>
      <c r="C1164" s="33" t="inlineStr">
        <is>
          <t>D5</t>
        </is>
      </c>
      <c r="D1164" s="33" t="n">
        <v>4</v>
      </c>
      <c r="E1164" s="68" t="inlineStr">
        <is>
          <t>SiPho customers include AI data center plays; multiple anchor customers.</t>
        </is>
      </c>
      <c r="F1164" s="68" t="inlineStr">
        <is>
          <t>TSEM Q1 2026 + AI infrastructure deep research (2026-05-18)</t>
        </is>
      </c>
      <c r="G1164" s="33" t="inlineStr">
        <is>
          <t>High</t>
        </is>
      </c>
      <c r="H1164" s="33" t="inlineStr">
        <is>
          <t>Initial</t>
        </is>
      </c>
    </row>
    <row r="1165">
      <c r="A1165" s="33" t="inlineStr">
        <is>
          <t>2026-05-18</t>
        </is>
      </c>
      <c r="B1165" s="33" t="inlineStr">
        <is>
          <t>TSEM</t>
        </is>
      </c>
      <c r="C1165" s="33" t="inlineStr">
        <is>
          <t>M1</t>
        </is>
      </c>
      <c r="D1165" s="33" t="n">
        <v>4</v>
      </c>
      <c r="E1165" s="68" t="inlineStr">
        <is>
          <t>2 up / 0 down on +1Y; FY +12.9%.</t>
        </is>
      </c>
      <c r="F1165" s="68" t="inlineStr">
        <is>
          <t>TSEM Q1 2026 + AI infrastructure deep research (2026-05-18)</t>
        </is>
      </c>
      <c r="G1165" s="33" t="inlineStr">
        <is>
          <t>High</t>
        </is>
      </c>
      <c r="H1165" s="33" t="inlineStr">
        <is>
          <t>Initial</t>
        </is>
      </c>
    </row>
    <row r="1166">
      <c r="A1166" s="33" t="inlineStr">
        <is>
          <t>2026-05-18</t>
        </is>
      </c>
      <c r="B1166" s="33" t="inlineStr">
        <is>
          <t>TSEM</t>
        </is>
      </c>
      <c r="C1166" s="33" t="inlineStr">
        <is>
          <t>M2</t>
        </is>
      </c>
      <c r="D1166" s="33" t="n">
        <v>5</v>
      </c>
      <c r="E1166" s="68" t="inlineStr">
        <is>
          <t>+75pp vs SOXX 180d.</t>
        </is>
      </c>
      <c r="F1166" s="68" t="inlineStr">
        <is>
          <t>TSEM Q1 2026 + AI infrastructure deep research (2026-05-18)</t>
        </is>
      </c>
      <c r="G1166" s="33" t="inlineStr">
        <is>
          <t>High</t>
        </is>
      </c>
      <c r="H1166" s="33" t="inlineStr">
        <is>
          <t>Initial</t>
        </is>
      </c>
    </row>
    <row r="1167">
      <c r="A1167" s="33" t="inlineStr">
        <is>
          <t>2026-05-18</t>
        </is>
      </c>
      <c r="B1167" s="33" t="inlineStr">
        <is>
          <t>TSEM</t>
        </is>
      </c>
      <c r="C1167" s="33" t="inlineStr">
        <is>
          <t>M3</t>
        </is>
      </c>
      <c r="D1167" s="33" t="n">
        <v>3</v>
      </c>
      <c r="E1167" s="68" t="inlineStr">
        <is>
          <t>Routine.</t>
        </is>
      </c>
      <c r="F1167" s="68" t="inlineStr">
        <is>
          <t>TSEM Q1 2026 + AI infrastructure deep research (2026-05-18)</t>
        </is>
      </c>
      <c r="G1167" s="33" t="inlineStr">
        <is>
          <t>High</t>
        </is>
      </c>
      <c r="H1167" s="33" t="inlineStr">
        <is>
          <t>Initial</t>
        </is>
      </c>
    </row>
    <row r="1168">
      <c r="A1168" s="33" t="inlineStr">
        <is>
          <t>2026-05-18</t>
        </is>
      </c>
      <c r="B1168" s="33" t="inlineStr">
        <is>
          <t>TSEM</t>
        </is>
      </c>
      <c r="C1168" s="33" t="inlineStr">
        <is>
          <t>R1</t>
        </is>
      </c>
      <c r="D1168" s="33" t="n">
        <v>4</v>
      </c>
      <c r="E1168" s="68" t="inlineStr">
        <is>
          <t>Concentrated SiPho customers (signed $1.3B with largest customers).</t>
        </is>
      </c>
      <c r="F1168" s="68" t="inlineStr">
        <is>
          <t>TSEM Q1 2026 + AI infrastructure deep research (2026-05-18)</t>
        </is>
      </c>
      <c r="G1168" s="33" t="inlineStr">
        <is>
          <t>High</t>
        </is>
      </c>
      <c r="H1168" s="33" t="inlineStr">
        <is>
          <t>Initial</t>
        </is>
      </c>
    </row>
    <row r="1169">
      <c r="A1169" s="33" t="inlineStr">
        <is>
          <t>2026-05-18</t>
        </is>
      </c>
      <c r="B1169" s="33" t="inlineStr">
        <is>
          <t>TSEM</t>
        </is>
      </c>
      <c r="C1169" s="33" t="inlineStr">
        <is>
          <t>R2</t>
        </is>
      </c>
      <c r="D1169" s="33" t="n">
        <v>4</v>
      </c>
      <c r="E1169" s="68" t="inlineStr">
        <is>
          <t>Israeli foundry; global operations.</t>
        </is>
      </c>
      <c r="F1169" s="68" t="inlineStr">
        <is>
          <t>TSEM Q1 2026 + AI infrastructure deep research (2026-05-18)</t>
        </is>
      </c>
      <c r="G1169" s="33" t="inlineStr">
        <is>
          <t>High</t>
        </is>
      </c>
      <c r="H1169" s="33" t="inlineStr">
        <is>
          <t>Initial</t>
        </is>
      </c>
    </row>
    <row r="1170">
      <c r="A1170" s="33" t="inlineStr">
        <is>
          <t>2026-05-18</t>
        </is>
      </c>
      <c r="B1170" s="33" t="inlineStr">
        <is>
          <t>TSEM</t>
        </is>
      </c>
      <c r="C1170" s="33" t="inlineStr">
        <is>
          <t>R3</t>
        </is>
      </c>
      <c r="D1170" s="33" t="n">
        <v>4</v>
      </c>
      <c r="E1170" s="68" t="inlineStr">
        <is>
          <t>Strong.</t>
        </is>
      </c>
      <c r="F1170" s="68" t="inlineStr">
        <is>
          <t>TSEM Q1 2026 + AI infrastructure deep research (2026-05-18)</t>
        </is>
      </c>
      <c r="G1170" s="33" t="inlineStr">
        <is>
          <t>High</t>
        </is>
      </c>
      <c r="H1170" s="33" t="inlineStr">
        <is>
          <t>Initial</t>
        </is>
      </c>
    </row>
    <row r="1171">
      <c r="A1171" s="33" t="inlineStr">
        <is>
          <t>2026-05-18</t>
        </is>
      </c>
      <c r="B1171" s="33" t="inlineStr">
        <is>
          <t>TSEM</t>
        </is>
      </c>
      <c r="C1171" s="33" t="inlineStr">
        <is>
          <t>R4</t>
        </is>
      </c>
      <c r="D1171" s="33" t="n">
        <v>4</v>
      </c>
      <c r="E1171" s="68" t="inlineStr">
        <is>
          <t>Routine.</t>
        </is>
      </c>
      <c r="F1171" s="68" t="inlineStr">
        <is>
          <t>TSEM Q1 2026 + AI infrastructure deep research (2026-05-18)</t>
        </is>
      </c>
      <c r="G1171" s="33" t="inlineStr">
        <is>
          <t>High</t>
        </is>
      </c>
      <c r="H1171" s="33" t="inlineStr">
        <is>
          <t>Initial</t>
        </is>
      </c>
    </row>
    <row r="1172">
      <c r="A1172" s="33" t="inlineStr">
        <is>
          <t>2026-05-18</t>
        </is>
      </c>
      <c r="B1172" s="33" t="inlineStr">
        <is>
          <t>UMC</t>
        </is>
      </c>
      <c r="C1172" s="33" t="inlineStr">
        <is>
          <t>D1</t>
        </is>
      </c>
      <c r="D1172" s="33" t="n">
        <v>3</v>
      </c>
      <c r="E1172" s="68" t="inlineStr">
        <is>
          <t>Indirect AI exposure via mature-node backfill (power, sensing, interconnect for AI systems). Band 3.</t>
        </is>
      </c>
      <c r="F1172" s="68" t="inlineStr">
        <is>
          <t>UMC Q1 2026 + AI infrastructure deep research (2026-05-18)</t>
        </is>
      </c>
      <c r="G1172" s="33" t="inlineStr">
        <is>
          <t>High</t>
        </is>
      </c>
      <c r="H1172" s="33" t="inlineStr">
        <is>
          <t>Initial</t>
        </is>
      </c>
    </row>
    <row r="1173">
      <c r="A1173" s="33" t="inlineStr">
        <is>
          <t>2026-05-18</t>
        </is>
      </c>
      <c r="B1173" s="33" t="inlineStr">
        <is>
          <t>UMC</t>
        </is>
      </c>
      <c r="C1173" s="33" t="inlineStr">
        <is>
          <t>D2</t>
        </is>
      </c>
      <c r="D1173" s="33" t="n">
        <v>3</v>
      </c>
      <c r="E1173" s="68" t="inlineStr">
        <is>
          <t>Mature-node Taiwan foundry; multiple competitors.</t>
        </is>
      </c>
      <c r="F1173" s="68" t="inlineStr">
        <is>
          <t>UMC Q1 2026 + AI infrastructure deep research (2026-05-18)</t>
        </is>
      </c>
      <c r="G1173" s="33" t="inlineStr">
        <is>
          <t>High</t>
        </is>
      </c>
      <c r="H1173" s="33" t="inlineStr">
        <is>
          <t>Initial</t>
        </is>
      </c>
    </row>
    <row r="1174">
      <c r="A1174" s="33" t="inlineStr">
        <is>
          <t>2026-05-18</t>
        </is>
      </c>
      <c r="B1174" s="33" t="inlineStr">
        <is>
          <t>UMC</t>
        </is>
      </c>
      <c r="C1174" s="33" t="inlineStr">
        <is>
          <t>D3</t>
        </is>
      </c>
      <c r="D1174" s="33" t="n">
        <v>3</v>
      </c>
      <c r="E1174" s="68" t="inlineStr">
        <is>
          <t>Scale + customer base + Taiwan specialty.</t>
        </is>
      </c>
      <c r="F1174" s="68" t="inlineStr">
        <is>
          <t>UMC Q1 2026 + AI infrastructure deep research (2026-05-18)</t>
        </is>
      </c>
      <c r="G1174" s="33" t="inlineStr">
        <is>
          <t>High</t>
        </is>
      </c>
      <c r="H1174" s="33" t="inlineStr">
        <is>
          <t>Initial</t>
        </is>
      </c>
    </row>
    <row r="1175">
      <c r="A1175" s="33" t="inlineStr">
        <is>
          <t>2026-05-18</t>
        </is>
      </c>
      <c r="B1175" s="33" t="inlineStr">
        <is>
          <t>UMC</t>
        </is>
      </c>
      <c r="C1175" s="33" t="inlineStr">
        <is>
          <t>D4</t>
        </is>
      </c>
      <c r="D1175" s="33" t="n">
        <v>3</v>
      </c>
      <c r="E1175" s="68" t="inlineStr">
        <is>
          <t>79% utilization; price hikes 2H 2026 signal demand strength; steady capex.</t>
        </is>
      </c>
      <c r="F1175" s="68" t="inlineStr">
        <is>
          <t>UMC Q1 2026 + AI infrastructure deep research (2026-05-18)</t>
        </is>
      </c>
      <c r="G1175" s="33" t="inlineStr">
        <is>
          <t>High</t>
        </is>
      </c>
      <c r="H1175" s="33" t="inlineStr">
        <is>
          <t>Initial</t>
        </is>
      </c>
    </row>
    <row r="1176">
      <c r="A1176" s="33" t="inlineStr">
        <is>
          <t>2026-05-18</t>
        </is>
      </c>
      <c r="B1176" s="33" t="inlineStr">
        <is>
          <t>UMC</t>
        </is>
      </c>
      <c r="C1176" s="33" t="inlineStr">
        <is>
          <t>D5</t>
        </is>
      </c>
      <c r="D1176" s="33" t="n">
        <v>2</v>
      </c>
      <c r="E1176" s="68" t="inlineStr">
        <is>
          <t>Indirect hyperscaler exposure via mature-node backfill. Band 2.</t>
        </is>
      </c>
      <c r="F1176" s="68" t="inlineStr">
        <is>
          <t>UMC Q1 2026 + AI infrastructure deep research (2026-05-18)</t>
        </is>
      </c>
      <c r="G1176" s="33" t="inlineStr">
        <is>
          <t>High</t>
        </is>
      </c>
      <c r="H1176" s="33" t="inlineStr">
        <is>
          <t>Initial</t>
        </is>
      </c>
    </row>
    <row r="1177">
      <c r="A1177" s="33" t="inlineStr">
        <is>
          <t>2026-05-18</t>
        </is>
      </c>
      <c r="B1177" s="33" t="inlineStr">
        <is>
          <t>UMC</t>
        </is>
      </c>
      <c r="C1177" s="33" t="inlineStr">
        <is>
          <t>M1</t>
        </is>
      </c>
      <c r="D1177" s="33" t="n">
        <v>3</v>
      </c>
      <c r="E1177" s="68" t="inlineStr">
        <is>
          <t>1 up / 1 down on +1Y; FY +21.5% — limited revision activity but positive trajectory.</t>
        </is>
      </c>
      <c r="F1177" s="68" t="inlineStr">
        <is>
          <t>UMC Q1 2026 + AI infrastructure deep research (2026-05-18)</t>
        </is>
      </c>
      <c r="G1177" s="33" t="inlineStr">
        <is>
          <t>High</t>
        </is>
      </c>
      <c r="H1177" s="33" t="inlineStr">
        <is>
          <t>Initial</t>
        </is>
      </c>
    </row>
    <row r="1178">
      <c r="A1178" s="33" t="inlineStr">
        <is>
          <t>2026-05-18</t>
        </is>
      </c>
      <c r="B1178" s="33" t="inlineStr">
        <is>
          <t>UMC</t>
        </is>
      </c>
      <c r="C1178" s="33" t="inlineStr">
        <is>
          <t>M2</t>
        </is>
      </c>
      <c r="D1178" s="33" t="n">
        <v>5</v>
      </c>
      <c r="E1178" s="68" t="inlineStr">
        <is>
          <t>+60pp vs SOXX 180d.</t>
        </is>
      </c>
      <c r="F1178" s="68" t="inlineStr">
        <is>
          <t>UMC Q1 2026 + AI infrastructure deep research (2026-05-18)</t>
        </is>
      </c>
      <c r="G1178" s="33" t="inlineStr">
        <is>
          <t>High</t>
        </is>
      </c>
      <c r="H1178" s="33" t="inlineStr">
        <is>
          <t>Initial</t>
        </is>
      </c>
    </row>
    <row r="1179">
      <c r="A1179" s="33" t="inlineStr">
        <is>
          <t>2026-05-18</t>
        </is>
      </c>
      <c r="B1179" s="33" t="inlineStr">
        <is>
          <t>UMC</t>
        </is>
      </c>
      <c r="C1179" s="33" t="inlineStr">
        <is>
          <t>M3</t>
        </is>
      </c>
      <c r="D1179" s="33" t="n">
        <v>3</v>
      </c>
      <c r="E1179" s="68" t="inlineStr">
        <is>
          <t>Routine.</t>
        </is>
      </c>
      <c r="F1179" s="68" t="inlineStr">
        <is>
          <t>UMC Q1 2026 + AI infrastructure deep research (2026-05-18)</t>
        </is>
      </c>
      <c r="G1179" s="33" t="inlineStr">
        <is>
          <t>High</t>
        </is>
      </c>
      <c r="H1179" s="33" t="inlineStr">
        <is>
          <t>Initial</t>
        </is>
      </c>
    </row>
    <row r="1180">
      <c r="A1180" s="33" t="inlineStr">
        <is>
          <t>2026-05-18</t>
        </is>
      </c>
      <c r="B1180" s="33" t="inlineStr">
        <is>
          <t>UMC</t>
        </is>
      </c>
      <c r="C1180" s="33" t="inlineStr">
        <is>
          <t>R1</t>
        </is>
      </c>
      <c r="D1180" s="33" t="n">
        <v>4</v>
      </c>
      <c r="E1180" s="68" t="inlineStr">
        <is>
          <t>Diversified customer base.</t>
        </is>
      </c>
      <c r="F1180" s="68" t="inlineStr">
        <is>
          <t>UMC Q1 2026 + AI infrastructure deep research (2026-05-18)</t>
        </is>
      </c>
      <c r="G1180" s="33" t="inlineStr">
        <is>
          <t>High</t>
        </is>
      </c>
      <c r="H1180" s="33" t="inlineStr">
        <is>
          <t>Initial</t>
        </is>
      </c>
    </row>
    <row r="1181">
      <c r="A1181" s="33" t="inlineStr">
        <is>
          <t>2026-05-18</t>
        </is>
      </c>
      <c r="B1181" s="33" t="inlineStr">
        <is>
          <t>UMC</t>
        </is>
      </c>
      <c r="C1181" s="33" t="inlineStr">
        <is>
          <t>R2</t>
        </is>
      </c>
      <c r="D1181" s="33" t="n">
        <v>2</v>
      </c>
      <c r="E1181" s="68" t="inlineStr">
        <is>
          <t>Taiwan geopolitical = band 2 (same as TSM).</t>
        </is>
      </c>
      <c r="F1181" s="68" t="inlineStr">
        <is>
          <t>UMC Q1 2026 + AI infrastructure deep research (2026-05-18)</t>
        </is>
      </c>
      <c r="G1181" s="33" t="inlineStr">
        <is>
          <t>High</t>
        </is>
      </c>
      <c r="H1181" s="33" t="inlineStr">
        <is>
          <t>Initial</t>
        </is>
      </c>
    </row>
    <row r="1182">
      <c r="A1182" s="33" t="inlineStr">
        <is>
          <t>2026-05-18</t>
        </is>
      </c>
      <c r="B1182" s="33" t="inlineStr">
        <is>
          <t>UMC</t>
        </is>
      </c>
      <c r="C1182" s="33" t="inlineStr">
        <is>
          <t>R3</t>
        </is>
      </c>
      <c r="D1182" s="33" t="n">
        <v>4</v>
      </c>
      <c r="E1182" s="68" t="inlineStr">
        <is>
          <t>Strong; FCFY 80% reflects mature node cash generation.</t>
        </is>
      </c>
      <c r="F1182" s="68" t="inlineStr">
        <is>
          <t>UMC Q1 2026 + AI infrastructure deep research (2026-05-18)</t>
        </is>
      </c>
      <c r="G1182" s="33" t="inlineStr">
        <is>
          <t>High</t>
        </is>
      </c>
      <c r="H1182" s="33" t="inlineStr">
        <is>
          <t>Initial</t>
        </is>
      </c>
    </row>
    <row r="1183">
      <c r="A1183" s="33" t="inlineStr">
        <is>
          <t>2026-05-18</t>
        </is>
      </c>
      <c r="B1183" s="33" t="inlineStr">
        <is>
          <t>UMC</t>
        </is>
      </c>
      <c r="C1183" s="33" t="inlineStr">
        <is>
          <t>R4</t>
        </is>
      </c>
      <c r="D1183" s="33" t="n">
        <v>4</v>
      </c>
      <c r="E1183" s="68" t="inlineStr">
        <is>
          <t>Routine.</t>
        </is>
      </c>
      <c r="F1183" s="68" t="inlineStr">
        <is>
          <t>UMC Q1 2026 + AI infrastructure deep research (2026-05-18)</t>
        </is>
      </c>
      <c r="G1183" s="33" t="inlineStr">
        <is>
          <t>High</t>
        </is>
      </c>
      <c r="H1183" s="33" t="inlineStr">
        <is>
          <t>Initial</t>
        </is>
      </c>
    </row>
    <row r="1184">
      <c r="A1184" s="33" t="inlineStr">
        <is>
          <t>2026-05-18</t>
        </is>
      </c>
      <c r="B1184" s="33" t="inlineStr">
        <is>
          <t>SMCI</t>
        </is>
      </c>
      <c r="C1184" s="33" t="inlineStr">
        <is>
          <t>D1</t>
        </is>
      </c>
      <c r="D1184" s="33" t="n">
        <v>5</v>
      </c>
      <c r="E1184" s="33" t="inlineStr">
        <is>
          <t>AI GPU platforms &gt;80% of revenue per Q3 FY26 disclosure; FY26 guide $38.9-40.4B driven entirely by AI servers.</t>
        </is>
      </c>
      <c r="F1184" s="33" t="inlineStr">
        <is>
          <t>Layer 8 per-name deep research (2026-05-18): WebSearch + yfinance fundamentals + analyst revisions + DOJ filing review</t>
        </is>
      </c>
      <c r="G1184" s="33" t="inlineStr">
        <is>
          <t>High</t>
        </is>
      </c>
      <c r="H1184" s="33" t="inlineStr">
        <is>
          <t>Initial</t>
        </is>
      </c>
    </row>
    <row r="1185">
      <c r="A1185" s="33" t="inlineStr">
        <is>
          <t>2026-05-18</t>
        </is>
      </c>
      <c r="B1185" s="33" t="inlineStr">
        <is>
          <t>SMCI</t>
        </is>
      </c>
      <c r="C1185" s="33" t="inlineStr">
        <is>
          <t>D2</t>
        </is>
      </c>
      <c r="D1185" s="33" t="n">
        <v>3</v>
      </c>
      <c r="E1185" s="33" t="inlineStr">
        <is>
          <t>Server OEM — downstream of NVDA silicon; competes with DELL/HPE for hyperscaler shelf space. Thermal/SI engineering offers some differentiation but not bottleneck.</t>
        </is>
      </c>
      <c r="F1185" s="33" t="inlineStr">
        <is>
          <t>Layer 8 per-name deep research (2026-05-18): WebSearch + yfinance fundamentals + analyst revisions + DOJ filing review</t>
        </is>
      </c>
      <c r="G1185" s="33" t="inlineStr">
        <is>
          <t>High</t>
        </is>
      </c>
      <c r="H1185" s="33" t="inlineStr">
        <is>
          <t>Initial</t>
        </is>
      </c>
    </row>
    <row r="1186">
      <c r="A1186" s="33" t="inlineStr">
        <is>
          <t>2026-05-18</t>
        </is>
      </c>
      <c r="B1186" s="33" t="inlineStr">
        <is>
          <t>SMCI</t>
        </is>
      </c>
      <c r="C1186" s="33" t="inlineStr">
        <is>
          <t>D3</t>
        </is>
      </c>
      <c r="D1186" s="33" t="n">
        <v>3</v>
      </c>
      <c r="E1186" s="33" t="inlineStr">
        <is>
          <t>Time-to-market advantage with new NVDA platforms (often first to ship Blackwell). But fundamentally an assembler with commoditizing component set; governance overhang dings the moat narrative.</t>
        </is>
      </c>
      <c r="F1186" s="33" t="inlineStr">
        <is>
          <t>Layer 8 per-name deep research (2026-05-18): WebSearch + yfinance fundamentals + analyst revisions + DOJ filing review</t>
        </is>
      </c>
      <c r="G1186" s="33" t="inlineStr">
        <is>
          <t>Medium</t>
        </is>
      </c>
      <c r="H1186" s="33" t="inlineStr">
        <is>
          <t>Initial</t>
        </is>
      </c>
    </row>
    <row r="1187">
      <c r="A1187" s="33" t="inlineStr">
        <is>
          <t>2026-05-18</t>
        </is>
      </c>
      <c r="B1187" s="33" t="inlineStr">
        <is>
          <t>SMCI</t>
        </is>
      </c>
      <c r="C1187" s="33" t="inlineStr">
        <is>
          <t>D4</t>
        </is>
      </c>
      <c r="D1187" s="33" t="n">
        <v>5</v>
      </c>
      <c r="E1187" s="33" t="inlineStr">
        <is>
          <t>Aggressive capacity expansion (Malaysia, Taiwan, San Jose, Texas). $13B Blackwell order book implies winning material allocation from NVDA.</t>
        </is>
      </c>
      <c r="F1187" s="33" t="inlineStr">
        <is>
          <t>Layer 8 per-name deep research (2026-05-18): WebSearch + yfinance fundamentals + analyst revisions + DOJ filing review</t>
        </is>
      </c>
      <c r="G1187" s="33" t="inlineStr">
        <is>
          <t>High</t>
        </is>
      </c>
      <c r="H1187" s="33" t="inlineStr">
        <is>
          <t>Initial</t>
        </is>
      </c>
    </row>
    <row r="1188">
      <c r="A1188" s="33" t="inlineStr">
        <is>
          <t>2026-05-18</t>
        </is>
      </c>
      <c r="B1188" s="33" t="inlineStr">
        <is>
          <t>SMCI</t>
        </is>
      </c>
      <c r="C1188" s="33" t="inlineStr">
        <is>
          <t>D5</t>
        </is>
      </c>
      <c r="D1188" s="33" t="n">
        <v>4</v>
      </c>
      <c r="E1188" s="33" t="inlineStr">
        <is>
          <t>Blackwell allocation requires hyperscaler buyers at scale; CoreWeave-tier customers documented. CALIBRATION FLAG: arguably 3 vs DELL/HPE if applying strict "direct customer chain" rule (heavy channel-partner exposure). Logged for quarterly review.</t>
        </is>
      </c>
      <c r="F1188" s="33" t="inlineStr">
        <is>
          <t>Layer 8 per-name deep research (2026-05-18): WebSearch + yfinance fundamentals + analyst revisions + DOJ filing review</t>
        </is>
      </c>
      <c r="G1188" s="33" t="inlineStr">
        <is>
          <t>Medium</t>
        </is>
      </c>
      <c r="H1188" s="33" t="inlineStr">
        <is>
          <t>Initial</t>
        </is>
      </c>
    </row>
    <row r="1189">
      <c r="A1189" s="33" t="inlineStr">
        <is>
          <t>2026-05-18</t>
        </is>
      </c>
      <c r="B1189" s="33" t="inlineStr">
        <is>
          <t>SMCI</t>
        </is>
      </c>
      <c r="C1189" s="33" t="inlineStr">
        <is>
          <t>M1</t>
        </is>
      </c>
      <c r="D1189" s="33" t="n">
        <v>5</v>
      </c>
      <c r="E1189" s="33" t="inlineStr">
        <is>
          <t>13 up / 0 down (last 30d on 0q); 11 up / 2 down (+1q). Strongly positive after Q3 FY26 beat.</t>
        </is>
      </c>
      <c r="F1189" s="33" t="inlineStr">
        <is>
          <t>Layer 8 per-name deep research (2026-05-18): WebSearch + yfinance fundamentals + analyst revisions + DOJ filing review</t>
        </is>
      </c>
      <c r="G1189" s="33" t="inlineStr">
        <is>
          <t>High</t>
        </is>
      </c>
      <c r="H1189" s="33" t="inlineStr">
        <is>
          <t>Initial</t>
        </is>
      </c>
    </row>
    <row r="1190">
      <c r="A1190" s="33" t="inlineStr">
        <is>
          <t>2026-05-18</t>
        </is>
      </c>
      <c r="B1190" s="33" t="inlineStr">
        <is>
          <t>SMCI</t>
        </is>
      </c>
      <c r="C1190" s="33" t="inlineStr">
        <is>
          <t>M2</t>
        </is>
      </c>
      <c r="D1190" s="33" t="n">
        <v>1</v>
      </c>
      <c r="E1190" s="33" t="inlineStr">
        <is>
          <t>-31% absolute 1y return; -167pp vs SOXX. Catastrophic underperformance driven by audit/DOJ overhang.</t>
        </is>
      </c>
      <c r="F1190" s="33" t="inlineStr">
        <is>
          <t>Layer 8 per-name deep research (2026-05-18): WebSearch + yfinance fundamentals + analyst revisions + DOJ filing review</t>
        </is>
      </c>
      <c r="G1190" s="33" t="inlineStr">
        <is>
          <t>High</t>
        </is>
      </c>
      <c r="H1190" s="33" t="inlineStr">
        <is>
          <t>Initial</t>
        </is>
      </c>
    </row>
    <row r="1191">
      <c r="A1191" s="33" t="inlineStr">
        <is>
          <t>2026-05-18</t>
        </is>
      </c>
      <c r="B1191" s="33" t="inlineStr">
        <is>
          <t>SMCI</t>
        </is>
      </c>
      <c r="C1191" s="33" t="inlineStr">
        <is>
          <t>M3</t>
        </is>
      </c>
      <c r="D1191" s="33" t="n">
        <v>3</v>
      </c>
      <c r="E1191" s="33" t="inlineStr">
        <is>
          <t>Default neutral; Form 4 history not pulled. Wally Liaw indictment makes per-insider analysis non-trivial — flagged for follow-up Form 4 deep-pull at next opportunity.</t>
        </is>
      </c>
      <c r="F1191" s="33" t="inlineStr">
        <is>
          <t>Layer 8 per-name deep research (2026-05-18): WebSearch + yfinance fundamentals + analyst revisions + DOJ filing review</t>
        </is>
      </c>
      <c r="G1191" s="33" t="inlineStr">
        <is>
          <t>Low</t>
        </is>
      </c>
      <c r="H1191" s="33" t="inlineStr">
        <is>
          <t>Initial</t>
        </is>
      </c>
    </row>
    <row r="1192">
      <c r="A1192" s="33" t="inlineStr">
        <is>
          <t>2026-05-18</t>
        </is>
      </c>
      <c r="B1192" s="33" t="inlineStr">
        <is>
          <t>SMCI</t>
        </is>
      </c>
      <c r="C1192" s="33" t="inlineStr">
        <is>
          <t>R1</t>
        </is>
      </c>
      <c r="D1192" s="33" t="n">
        <v>3</v>
      </c>
      <c r="E1192" s="33" t="inlineStr">
        <is>
          <t>Hyperscaler-tier customer base diversified but more concentrated in NVDA-aligned channel than DELL/HPE; not top-1 dependent.</t>
        </is>
      </c>
      <c r="F1192" s="33" t="inlineStr">
        <is>
          <t>Layer 8 per-name deep research (2026-05-18): WebSearch + yfinance fundamentals + analyst revisions + DOJ filing review</t>
        </is>
      </c>
      <c r="G1192" s="33" t="inlineStr">
        <is>
          <t>Medium</t>
        </is>
      </c>
      <c r="H1192" s="33" t="inlineStr">
        <is>
          <t>Initial</t>
        </is>
      </c>
    </row>
    <row r="1193">
      <c r="A1193" s="33" t="inlineStr">
        <is>
          <t>2026-05-18</t>
        </is>
      </c>
      <c r="B1193" s="33" t="inlineStr">
        <is>
          <t>SMCI</t>
        </is>
      </c>
      <c r="C1193" s="33" t="inlineStr">
        <is>
          <t>R2</t>
        </is>
      </c>
      <c r="D1193" s="33" t="n">
        <v>2</v>
      </c>
      <c r="E1193" s="33" t="inlineStr">
        <is>
          <t>Active DOJ indictment alleging $2.5B GPU diversion to China via SMCI personnel; historical China revenue exposure 20-30%; export-control headline risk acute.</t>
        </is>
      </c>
      <c r="F1193" s="33" t="inlineStr">
        <is>
          <t>Layer 8 per-name deep research (2026-05-18): WebSearch + yfinance fundamentals + analyst revisions + DOJ filing review</t>
        </is>
      </c>
      <c r="G1193" s="33" t="inlineStr">
        <is>
          <t>High</t>
        </is>
      </c>
      <c r="H1193" s="33" t="inlineStr">
        <is>
          <t>Initial</t>
        </is>
      </c>
    </row>
    <row r="1194">
      <c r="A1194" s="33" t="inlineStr">
        <is>
          <t>2026-05-18</t>
        </is>
      </c>
      <c r="B1194" s="33" t="inlineStr">
        <is>
          <t>SMCI</t>
        </is>
      </c>
      <c r="C1194" s="33" t="inlineStr">
        <is>
          <t>R3</t>
        </is>
      </c>
      <c r="D1194" s="33" t="n">
        <v>2</v>
      </c>
      <c r="E1194" s="33" t="inlineStr">
        <is>
          <t>ND/EBITDA 4.97 elevated; FCF margin -22% (working-capital intensive growth); gross margin only 8.4% leaves little buffer.</t>
        </is>
      </c>
      <c r="F1194" s="33" t="inlineStr">
        <is>
          <t>Layer 8 per-name deep research (2026-05-18): WebSearch + yfinance fundamentals + analyst revisions + DOJ filing review</t>
        </is>
      </c>
      <c r="G1194" s="33" t="inlineStr">
        <is>
          <t>High</t>
        </is>
      </c>
      <c r="H1194" s="33" t="inlineStr">
        <is>
          <t>Initial</t>
        </is>
      </c>
    </row>
    <row r="1195">
      <c r="A1195" s="33" t="inlineStr">
        <is>
          <t>2026-05-18</t>
        </is>
      </c>
      <c r="B1195" s="33" t="inlineStr">
        <is>
          <t>SMCI</t>
        </is>
      </c>
      <c r="C1195" s="33" t="inlineStr">
        <is>
          <t>R4</t>
        </is>
      </c>
      <c r="D1195" s="33" t="n">
        <v>1</v>
      </c>
      <c r="E1195" s="33" t="inlineStr">
        <is>
          <t>Active DOJ indictment (Mar 2026), independent board investigation by Munger Tolles + AlixPartners, securities fraud class action (Levi &amp; Korsinsky). As high regulatory/litigation risk as the rubric measures.</t>
        </is>
      </c>
      <c r="F1195" s="33" t="inlineStr">
        <is>
          <t>Layer 8 per-name deep research (2026-05-18): WebSearch + yfinance fundamentals + analyst revisions + DOJ filing review</t>
        </is>
      </c>
      <c r="G1195" s="33" t="inlineStr">
        <is>
          <t>High</t>
        </is>
      </c>
      <c r="H1195" s="33" t="inlineStr">
        <is>
          <t>Initial</t>
        </is>
      </c>
    </row>
    <row r="1196">
      <c r="A1196" s="33" t="inlineStr">
        <is>
          <t>2026-05-18</t>
        </is>
      </c>
      <c r="B1196" s="33" t="inlineStr">
        <is>
          <t>DELL</t>
        </is>
      </c>
      <c r="C1196" s="33" t="inlineStr">
        <is>
          <t>D1</t>
        </is>
      </c>
      <c r="D1196" s="33" t="n">
        <v>4</v>
      </c>
      <c r="E1196" s="33" t="inlineStr">
        <is>
          <t>$43B AI server backlog (Mar 2026); $64B+ FY26 AI orders; $25B+ shipped. ISG $14.1B Q3. AI revenue is the dominant growth narrative even if not yet majority of total.</t>
        </is>
      </c>
      <c r="F1196" s="33" t="inlineStr">
        <is>
          <t>Layer 8 per-name deep research (2026-05-18): WebSearch + yfinance fundamentals + analyst revisions + DOJ filing review</t>
        </is>
      </c>
      <c r="G1196" s="33" t="inlineStr">
        <is>
          <t>High</t>
        </is>
      </c>
      <c r="H1196" s="33" t="inlineStr">
        <is>
          <t>Initial</t>
        </is>
      </c>
    </row>
    <row r="1197">
      <c r="A1197" s="33" t="inlineStr">
        <is>
          <t>2026-05-18</t>
        </is>
      </c>
      <c r="B1197" s="33" t="inlineStr">
        <is>
          <t>DELL</t>
        </is>
      </c>
      <c r="C1197" s="33" t="inlineStr">
        <is>
          <t>D2</t>
        </is>
      </c>
      <c r="D1197" s="33" t="n">
        <v>3</v>
      </c>
      <c r="E1197" s="33" t="inlineStr">
        <is>
          <t>OEM downstream of NVDA; same tier as SMCI/HPE.</t>
        </is>
      </c>
      <c r="F1197" s="33" t="inlineStr">
        <is>
          <t>Layer 8 per-name deep research (2026-05-18): WebSearch + yfinance fundamentals + analyst revisions + DOJ filing review</t>
        </is>
      </c>
      <c r="G1197" s="33" t="inlineStr">
        <is>
          <t>High</t>
        </is>
      </c>
      <c r="H1197" s="33" t="inlineStr">
        <is>
          <t>Initial</t>
        </is>
      </c>
    </row>
    <row r="1198">
      <c r="A1198" s="33" t="inlineStr">
        <is>
          <t>2026-05-18</t>
        </is>
      </c>
      <c r="B1198" s="33" t="inlineStr">
        <is>
          <t>DELL</t>
        </is>
      </c>
      <c r="C1198" s="33" t="inlineStr">
        <is>
          <t>D3</t>
        </is>
      </c>
      <c r="D1198" s="33" t="n">
        <v>4</v>
      </c>
      <c r="E1198" s="33" t="inlineStr">
        <is>
          <t>Deep enterprise relationships (4000+ AI customers), ProDeploy/ProSupport services moat, long history. Better than SMCI assembler model; CALIBRATION FLAG: could argue 3 given commoditization pressure on hardware. Logged for quarterly review.</t>
        </is>
      </c>
      <c r="F1198" s="33" t="inlineStr">
        <is>
          <t>Layer 8 per-name deep research (2026-05-18): WebSearch + yfinance fundamentals + analyst revisions + DOJ filing review</t>
        </is>
      </c>
      <c r="G1198" s="33" t="inlineStr">
        <is>
          <t>Medium</t>
        </is>
      </c>
      <c r="H1198" s="33" t="inlineStr">
        <is>
          <t>Initial</t>
        </is>
      </c>
    </row>
    <row r="1199">
      <c r="A1199" s="33" t="inlineStr">
        <is>
          <t>2026-05-18</t>
        </is>
      </c>
      <c r="B1199" s="33" t="inlineStr">
        <is>
          <t>DELL</t>
        </is>
      </c>
      <c r="C1199" s="33" t="inlineStr">
        <is>
          <t>D4</t>
        </is>
      </c>
      <c r="D1199" s="33" t="n">
        <v>4</v>
      </c>
      <c r="E1199" s="33" t="inlineStr">
        <is>
          <t>Aggressive AI server capacity ramp; able to absorb hyperscaler-scale volume.</t>
        </is>
      </c>
      <c r="F1199" s="33" t="inlineStr">
        <is>
          <t>Layer 8 per-name deep research (2026-05-18): WebSearch + yfinance fundamentals + analyst revisions + DOJ filing review</t>
        </is>
      </c>
      <c r="G1199" s="33" t="inlineStr">
        <is>
          <t>High</t>
        </is>
      </c>
      <c r="H1199" s="33" t="inlineStr">
        <is>
          <t>Initial</t>
        </is>
      </c>
    </row>
    <row r="1200">
      <c r="A1200" s="33" t="inlineStr">
        <is>
          <t>2026-05-18</t>
        </is>
      </c>
      <c r="B1200" s="33" t="inlineStr">
        <is>
          <t>DELL</t>
        </is>
      </c>
      <c r="C1200" s="33" t="inlineStr">
        <is>
          <t>D5</t>
        </is>
      </c>
      <c r="D1200" s="33" t="n">
        <v>4</v>
      </c>
      <c r="E1200" s="33" t="inlineStr">
        <is>
          <t>xAI marquee anchor + 4000+ AI clients including hyperscaler-tier; multi-anchor exposure.</t>
        </is>
      </c>
      <c r="F1200" s="33" t="inlineStr">
        <is>
          <t>Layer 8 per-name deep research (2026-05-18): WebSearch + yfinance fundamentals + analyst revisions + DOJ filing review</t>
        </is>
      </c>
      <c r="G1200" s="33" t="inlineStr">
        <is>
          <t>High</t>
        </is>
      </c>
      <c r="H1200" s="33" t="inlineStr">
        <is>
          <t>Initial</t>
        </is>
      </c>
    </row>
    <row r="1201">
      <c r="A1201" s="33" t="inlineStr">
        <is>
          <t>2026-05-18</t>
        </is>
      </c>
      <c r="B1201" s="33" t="inlineStr">
        <is>
          <t>DELL</t>
        </is>
      </c>
      <c r="C1201" s="33" t="inlineStr">
        <is>
          <t>M1</t>
        </is>
      </c>
      <c r="D1201" s="33" t="n">
        <v>4</v>
      </c>
      <c r="E1201" s="33" t="inlineStr">
        <is>
          <t>4 up / 0 down (30d on 0q). Positive but less extreme than SMCI.</t>
        </is>
      </c>
      <c r="F1201" s="33" t="inlineStr">
        <is>
          <t>Layer 8 per-name deep research (2026-05-18): WebSearch + yfinance fundamentals + analyst revisions + DOJ filing review</t>
        </is>
      </c>
      <c r="G1201" s="33" t="inlineStr">
        <is>
          <t>High</t>
        </is>
      </c>
      <c r="H1201" s="33" t="inlineStr">
        <is>
          <t>Initial</t>
        </is>
      </c>
    </row>
    <row r="1202">
      <c r="A1202" s="33" t="inlineStr">
        <is>
          <t>2026-05-18</t>
        </is>
      </c>
      <c r="B1202" s="33" t="inlineStr">
        <is>
          <t>DELL</t>
        </is>
      </c>
      <c r="C1202" s="33" t="inlineStr">
        <is>
          <t>M2</t>
        </is>
      </c>
      <c r="D1202" s="33" t="n">
        <v>4</v>
      </c>
      <c r="E1202" s="33" t="inlineStr">
        <is>
          <t>+111% absolute 1y return; -24pp vs SOXX. Strong absolute leading, slight lag to extreme semis rally.</t>
        </is>
      </c>
      <c r="F1202" s="33" t="inlineStr">
        <is>
          <t>Layer 8 per-name deep research (2026-05-18): WebSearch + yfinance fundamentals + analyst revisions + DOJ filing review</t>
        </is>
      </c>
      <c r="G1202" s="33" t="inlineStr">
        <is>
          <t>High</t>
        </is>
      </c>
      <c r="H1202" s="33" t="inlineStr">
        <is>
          <t>Initial</t>
        </is>
      </c>
    </row>
    <row r="1203">
      <c r="A1203" s="33" t="inlineStr">
        <is>
          <t>2026-05-18</t>
        </is>
      </c>
      <c r="B1203" s="33" t="inlineStr">
        <is>
          <t>DELL</t>
        </is>
      </c>
      <c r="C1203" s="33" t="inlineStr">
        <is>
          <t>M3</t>
        </is>
      </c>
      <c r="D1203" s="33" t="n">
        <v>3</v>
      </c>
      <c r="E1203" s="33" t="inlineStr">
        <is>
          <t>Default neutral; Form 4 not pulled.</t>
        </is>
      </c>
      <c r="F1203" s="33" t="inlineStr">
        <is>
          <t>Layer 8 per-name deep research (2026-05-18): WebSearch + yfinance fundamentals + analyst revisions + DOJ filing review</t>
        </is>
      </c>
      <c r="G1203" s="33" t="inlineStr">
        <is>
          <t>Low</t>
        </is>
      </c>
      <c r="H1203" s="33" t="inlineStr">
        <is>
          <t>Initial</t>
        </is>
      </c>
    </row>
    <row r="1204">
      <c r="A1204" s="33" t="inlineStr">
        <is>
          <t>2026-05-18</t>
        </is>
      </c>
      <c r="B1204" s="33" t="inlineStr">
        <is>
          <t>DELL</t>
        </is>
      </c>
      <c r="C1204" s="33" t="inlineStr">
        <is>
          <t>R1</t>
        </is>
      </c>
      <c r="D1204" s="33" t="n">
        <v>4</v>
      </c>
      <c r="E1204" s="33" t="inlineStr">
        <is>
          <t>4000+ AI clients = highly diversified base across enterprise + hyperscaler + neocloud.</t>
        </is>
      </c>
      <c r="F1204" s="33" t="inlineStr">
        <is>
          <t>Layer 8 per-name deep research (2026-05-18): WebSearch + yfinance fundamentals + analyst revisions + DOJ filing review</t>
        </is>
      </c>
      <c r="G1204" s="33" t="inlineStr">
        <is>
          <t>High</t>
        </is>
      </c>
      <c r="H1204" s="33" t="inlineStr">
        <is>
          <t>Initial</t>
        </is>
      </c>
    </row>
    <row r="1205">
      <c r="A1205" s="33" t="inlineStr">
        <is>
          <t>2026-05-18</t>
        </is>
      </c>
      <c r="B1205" s="33" t="inlineStr">
        <is>
          <t>DELL</t>
        </is>
      </c>
      <c r="C1205" s="33" t="inlineStr">
        <is>
          <t>R2</t>
        </is>
      </c>
      <c r="D1205" s="33" t="n">
        <v>4</v>
      </c>
      <c r="E1205" s="33" t="inlineStr">
        <is>
          <t>Mostly US/Europe enterprise; less China-specific exposure than SMCI.</t>
        </is>
      </c>
      <c r="F1205" s="33" t="inlineStr">
        <is>
          <t>Layer 8 per-name deep research (2026-05-18): WebSearch + yfinance fundamentals + analyst revisions + DOJ filing review</t>
        </is>
      </c>
      <c r="G1205" s="33" t="inlineStr">
        <is>
          <t>High</t>
        </is>
      </c>
      <c r="H1205" s="33" t="inlineStr">
        <is>
          <t>Initial</t>
        </is>
      </c>
    </row>
    <row r="1206">
      <c r="A1206" s="33" t="inlineStr">
        <is>
          <t>2026-05-18</t>
        </is>
      </c>
      <c r="B1206" s="33" t="inlineStr">
        <is>
          <t>DELL</t>
        </is>
      </c>
      <c r="C1206" s="33" t="inlineStr">
        <is>
          <t>R3</t>
        </is>
      </c>
      <c r="D1206" s="33" t="n">
        <v>4</v>
      </c>
      <c r="E1206" s="33" t="inlineStr">
        <is>
          <t>ND/EBITDA 1.81 manageable; FCF positive (+5.8% margin); EPS YoY +47% reflects operating leverage.</t>
        </is>
      </c>
      <c r="F1206" s="33" t="inlineStr">
        <is>
          <t>Layer 8 per-name deep research (2026-05-18): WebSearch + yfinance fundamentals + analyst revisions + DOJ filing review</t>
        </is>
      </c>
      <c r="G1206" s="33" t="inlineStr">
        <is>
          <t>High</t>
        </is>
      </c>
      <c r="H1206" s="33" t="inlineStr">
        <is>
          <t>Initial</t>
        </is>
      </c>
    </row>
    <row r="1207">
      <c r="A1207" s="33" t="inlineStr">
        <is>
          <t>2026-05-18</t>
        </is>
      </c>
      <c r="B1207" s="33" t="inlineStr">
        <is>
          <t>DELL</t>
        </is>
      </c>
      <c r="C1207" s="33" t="inlineStr">
        <is>
          <t>R4</t>
        </is>
      </c>
      <c r="D1207" s="33" t="n">
        <v>4</v>
      </c>
      <c r="E1207" s="33" t="inlineStr">
        <is>
          <t>No active material litigation/regulatory overhang identified.</t>
        </is>
      </c>
      <c r="F1207" s="33" t="inlineStr">
        <is>
          <t>Layer 8 per-name deep research (2026-05-18): WebSearch + yfinance fundamentals + analyst revisions + DOJ filing review</t>
        </is>
      </c>
      <c r="G1207" s="33" t="inlineStr">
        <is>
          <t>High</t>
        </is>
      </c>
      <c r="H1207" s="33" t="inlineStr">
        <is>
          <t>Initial</t>
        </is>
      </c>
    </row>
    <row r="1208">
      <c r="A1208" s="33" t="inlineStr">
        <is>
          <t>2026-05-18</t>
        </is>
      </c>
      <c r="B1208" s="33" t="inlineStr">
        <is>
          <t>HPE</t>
        </is>
      </c>
      <c r="C1208" s="33" t="inlineStr">
        <is>
          <t>D1</t>
        </is>
      </c>
      <c r="D1208" s="33" t="n">
        <v>3</v>
      </c>
      <c r="E1208" s="33" t="inlineStr">
        <is>
          <t>Cray AI factories growing materially but legacy ProLiant server business carries the mix; AI revenue material but not dominant. Analyst commentary explicitly flags AI boom "bypassing" core server.</t>
        </is>
      </c>
      <c r="F1208" s="33" t="inlineStr">
        <is>
          <t>Layer 8 per-name deep research (2026-05-18): WebSearch + yfinance fundamentals + analyst revisions + DOJ filing review</t>
        </is>
      </c>
      <c r="G1208" s="33" t="inlineStr">
        <is>
          <t>Medium</t>
        </is>
      </c>
      <c r="H1208" s="33" t="inlineStr">
        <is>
          <t>Initial</t>
        </is>
      </c>
    </row>
    <row r="1209">
      <c r="A1209" s="33" t="inlineStr">
        <is>
          <t>2026-05-18</t>
        </is>
      </c>
      <c r="B1209" s="33" t="inlineStr">
        <is>
          <t>HPE</t>
        </is>
      </c>
      <c r="C1209" s="33" t="inlineStr">
        <is>
          <t>D2</t>
        </is>
      </c>
      <c r="D1209" s="33" t="n">
        <v>3</v>
      </c>
      <c r="E1209" s="33" t="inlineStr">
        <is>
          <t>OEM downstream of NVDA; same tier as DELL/SMCI.</t>
        </is>
      </c>
      <c r="F1209" s="33" t="inlineStr">
        <is>
          <t>Layer 8 per-name deep research (2026-05-18): WebSearch + yfinance fundamentals + analyst revisions + DOJ filing review</t>
        </is>
      </c>
      <c r="G1209" s="33" t="inlineStr">
        <is>
          <t>High</t>
        </is>
      </c>
      <c r="H1209" s="33" t="inlineStr">
        <is>
          <t>Initial</t>
        </is>
      </c>
    </row>
    <row r="1210">
      <c r="A1210" s="33" t="inlineStr">
        <is>
          <t>2026-05-18</t>
        </is>
      </c>
      <c r="B1210" s="33" t="inlineStr">
        <is>
          <t>HPE</t>
        </is>
      </c>
      <c r="C1210" s="33" t="inlineStr">
        <is>
          <t>D3</t>
        </is>
      </c>
      <c r="D1210" s="33" t="n">
        <v>4</v>
      </c>
      <c r="E1210" s="33" t="inlineStr">
        <is>
          <t>Cray HPC heritage + Juniper networking integration = genuinely differentiated bundle; liquid-cooled DLC is a real engineering asset. Stronger than commodity-server moat.</t>
        </is>
      </c>
      <c r="F1210" s="33" t="inlineStr">
        <is>
          <t>Layer 8 per-name deep research (2026-05-18): WebSearch + yfinance fundamentals + analyst revisions + DOJ filing review</t>
        </is>
      </c>
      <c r="G1210" s="33" t="inlineStr">
        <is>
          <t>High</t>
        </is>
      </c>
      <c r="H1210" s="33" t="inlineStr">
        <is>
          <t>Initial</t>
        </is>
      </c>
    </row>
    <row r="1211">
      <c r="A1211" s="33" t="inlineStr">
        <is>
          <t>2026-05-18</t>
        </is>
      </c>
      <c r="B1211" s="33" t="inlineStr">
        <is>
          <t>HPE</t>
        </is>
      </c>
      <c r="C1211" s="33" t="inlineStr">
        <is>
          <t>D4</t>
        </is>
      </c>
      <c r="D1211" s="33" t="n">
        <v>3</v>
      </c>
      <c r="E1211" s="33" t="inlineStr">
        <is>
          <t>Investing in liquid-cooled AI factories but more measured pace than DELL/SMCI; not yet showing capacity allocation wins at SMCI scale. CALIBRATION FLAG: arguably 4 given aggressive AI-factory buildout — logged for quarterly review.</t>
        </is>
      </c>
      <c r="F1211" s="33" t="inlineStr">
        <is>
          <t>Layer 8 per-name deep research (2026-05-18): WebSearch + yfinance fundamentals + analyst revisions + DOJ filing review</t>
        </is>
      </c>
      <c r="G1211" s="33" t="inlineStr">
        <is>
          <t>Medium</t>
        </is>
      </c>
      <c r="H1211" s="33" t="inlineStr">
        <is>
          <t>Initial</t>
        </is>
      </c>
    </row>
    <row r="1212">
      <c r="A1212" s="33" t="inlineStr">
        <is>
          <t>2026-05-18</t>
        </is>
      </c>
      <c r="B1212" s="33" t="inlineStr">
        <is>
          <t>HPE</t>
        </is>
      </c>
      <c r="C1212" s="33" t="inlineStr">
        <is>
          <t>D5</t>
        </is>
      </c>
      <c r="D1212" s="33" t="n">
        <v>4</v>
      </c>
      <c r="E1212" s="33" t="inlineStr">
        <is>
          <t>Direct customer relationships with CoreWeave, Crusoe, xAI, Tesla per MWC 2026 disclosures + national research labs. Multi-anchor neocloud + hyperscaler exposure.</t>
        </is>
      </c>
      <c r="F1212" s="33" t="inlineStr">
        <is>
          <t>Layer 8 per-name deep research (2026-05-18): WebSearch + yfinance fundamentals + analyst revisions + DOJ filing review</t>
        </is>
      </c>
      <c r="G1212" s="33" t="inlineStr">
        <is>
          <t>High</t>
        </is>
      </c>
      <c r="H1212" s="33" t="inlineStr">
        <is>
          <t>Initial</t>
        </is>
      </c>
    </row>
    <row r="1213">
      <c r="A1213" s="33" t="inlineStr">
        <is>
          <t>2026-05-18</t>
        </is>
      </c>
      <c r="B1213" s="33" t="inlineStr">
        <is>
          <t>HPE</t>
        </is>
      </c>
      <c r="C1213" s="33" t="inlineStr">
        <is>
          <t>M1</t>
        </is>
      </c>
      <c r="D1213" s="33" t="n">
        <v>2</v>
      </c>
      <c r="E1213" s="33" t="inlineStr">
        <is>
          <t>0 up / 2 down (30d on 0q). Negative revisions reflect Juniper-integration transition drag.</t>
        </is>
      </c>
      <c r="F1213" s="33" t="inlineStr">
        <is>
          <t>Layer 8 per-name deep research (2026-05-18): WebSearch + yfinance fundamentals + analyst revisions + DOJ filing review</t>
        </is>
      </c>
      <c r="G1213" s="33" t="inlineStr">
        <is>
          <t>High</t>
        </is>
      </c>
      <c r="H1213" s="33" t="inlineStr">
        <is>
          <t>Initial</t>
        </is>
      </c>
    </row>
    <row r="1214">
      <c r="A1214" s="33" t="inlineStr">
        <is>
          <t>2026-05-18</t>
        </is>
      </c>
      <c r="B1214" s="33" t="inlineStr">
        <is>
          <t>HPE</t>
        </is>
      </c>
      <c r="C1214" s="33" t="inlineStr">
        <is>
          <t>M2</t>
        </is>
      </c>
      <c r="D1214" s="33" t="n">
        <v>3</v>
      </c>
      <c r="E1214" s="33" t="inlineStr">
        <is>
          <t>+94% absolute 1y return; -42pp vs SOXX. Positive absolute but materially lagging semis.</t>
        </is>
      </c>
      <c r="F1214" s="33" t="inlineStr">
        <is>
          <t>Layer 8 per-name deep research (2026-05-18): WebSearch + yfinance fundamentals + analyst revisions + DOJ filing review</t>
        </is>
      </c>
      <c r="G1214" s="33" t="inlineStr">
        <is>
          <t>High</t>
        </is>
      </c>
      <c r="H1214" s="33" t="inlineStr">
        <is>
          <t>Initial</t>
        </is>
      </c>
    </row>
    <row r="1215">
      <c r="A1215" s="33" t="inlineStr">
        <is>
          <t>2026-05-18</t>
        </is>
      </c>
      <c r="B1215" s="33" t="inlineStr">
        <is>
          <t>HPE</t>
        </is>
      </c>
      <c r="C1215" s="33" t="inlineStr">
        <is>
          <t>M3</t>
        </is>
      </c>
      <c r="D1215" s="33" t="n">
        <v>3</v>
      </c>
      <c r="E1215" s="33" t="inlineStr">
        <is>
          <t>Default neutral; Form 4 not pulled.</t>
        </is>
      </c>
      <c r="F1215" s="33" t="inlineStr">
        <is>
          <t>Layer 8 per-name deep research (2026-05-18): WebSearch + yfinance fundamentals + analyst revisions + DOJ filing review</t>
        </is>
      </c>
      <c r="G1215" s="33" t="inlineStr">
        <is>
          <t>Low</t>
        </is>
      </c>
      <c r="H1215" s="33" t="inlineStr">
        <is>
          <t>Initial</t>
        </is>
      </c>
    </row>
    <row r="1216">
      <c r="A1216" s="33" t="inlineStr">
        <is>
          <t>2026-05-18</t>
        </is>
      </c>
      <c r="B1216" s="33" t="inlineStr">
        <is>
          <t>HPE</t>
        </is>
      </c>
      <c r="C1216" s="33" t="inlineStr">
        <is>
          <t>R1</t>
        </is>
      </c>
      <c r="D1216" s="33" t="n">
        <v>4</v>
      </c>
      <c r="E1216" s="33" t="inlineStr">
        <is>
          <t>Diversified enterprise + Juniper telco + neocloud Cray customers.</t>
        </is>
      </c>
      <c r="F1216" s="33" t="inlineStr">
        <is>
          <t>Layer 8 per-name deep research (2026-05-18): WebSearch + yfinance fundamentals + analyst revisions + DOJ filing review</t>
        </is>
      </c>
      <c r="G1216" s="33" t="inlineStr">
        <is>
          <t>High</t>
        </is>
      </c>
      <c r="H1216" s="33" t="inlineStr">
        <is>
          <t>Initial</t>
        </is>
      </c>
    </row>
    <row r="1217">
      <c r="A1217" s="33" t="inlineStr">
        <is>
          <t>2026-05-18</t>
        </is>
      </c>
      <c r="B1217" s="33" t="inlineStr">
        <is>
          <t>HPE</t>
        </is>
      </c>
      <c r="C1217" s="33" t="inlineStr">
        <is>
          <t>R2</t>
        </is>
      </c>
      <c r="D1217" s="33" t="n">
        <v>4</v>
      </c>
      <c r="E1217" s="33" t="inlineStr">
        <is>
          <t>Diversified globally; less China-specific exposure than SMCI.</t>
        </is>
      </c>
      <c r="F1217" s="33" t="inlineStr">
        <is>
          <t>Layer 8 per-name deep research (2026-05-18): WebSearch + yfinance fundamentals + analyst revisions + DOJ filing review</t>
        </is>
      </c>
      <c r="G1217" s="33" t="inlineStr">
        <is>
          <t>High</t>
        </is>
      </c>
      <c r="H1217" s="33" t="inlineStr">
        <is>
          <t>Initial</t>
        </is>
      </c>
    </row>
    <row r="1218">
      <c r="A1218" s="33" t="inlineStr">
        <is>
          <t>2026-05-18</t>
        </is>
      </c>
      <c r="B1218" s="33" t="inlineStr">
        <is>
          <t>HPE</t>
        </is>
      </c>
      <c r="C1218" s="33" t="inlineStr">
        <is>
          <t>R3</t>
        </is>
      </c>
      <c r="D1218" s="33" t="n">
        <v>3</v>
      </c>
      <c r="E1218" s="33" t="inlineStr">
        <is>
          <t>ND/EBITDA 3.44 elevated post-Juniper $14B acquisition financing. CALIBRATION FLAG: this is acquisition-driven, not operational distress — could argue 4 given strong Juniper FCF contribution; logged for quarterly review.</t>
        </is>
      </c>
      <c r="F1218" s="33" t="inlineStr">
        <is>
          <t>Layer 8 per-name deep research (2026-05-18): WebSearch + yfinance fundamentals + analyst revisions + DOJ filing review</t>
        </is>
      </c>
      <c r="G1218" s="33" t="inlineStr">
        <is>
          <t>Medium</t>
        </is>
      </c>
      <c r="H1218" s="33" t="inlineStr">
        <is>
          <t>Initial</t>
        </is>
      </c>
    </row>
    <row r="1219">
      <c r="A1219" s="33" t="inlineStr">
        <is>
          <t>2026-05-18</t>
        </is>
      </c>
      <c r="B1219" s="33" t="inlineStr">
        <is>
          <t>HPE</t>
        </is>
      </c>
      <c r="C1219" s="33" t="inlineStr">
        <is>
          <t>R4</t>
        </is>
      </c>
      <c r="D1219" s="33" t="n">
        <v>4</v>
      </c>
      <c r="E1219" s="33" t="inlineStr">
        <is>
          <t>Juniper antitrust scrutiny already resolved; no other active material overhang.</t>
        </is>
      </c>
      <c r="F1219" s="33" t="inlineStr">
        <is>
          <t>Layer 8 per-name deep research (2026-05-18): WebSearch + yfinance fundamentals + analyst revisions + DOJ filing review</t>
        </is>
      </c>
      <c r="G1219" s="33" t="inlineStr">
        <is>
          <t>High</t>
        </is>
      </c>
      <c r="H1219" s="33" t="inlineStr">
        <is>
          <t>Initial</t>
        </is>
      </c>
    </row>
    <row r="1220">
      <c r="A1220" s="33" t="inlineStr">
        <is>
          <t>2026-05-18</t>
        </is>
      </c>
      <c r="B1220" s="33" t="inlineStr">
        <is>
          <t>NBIS</t>
        </is>
      </c>
      <c r="C1220" s="33" t="inlineStr">
        <is>
          <t>D1</t>
        </is>
      </c>
      <c r="D1220" s="33" t="n">
        <v>5</v>
      </c>
      <c r="E1220" s="33" t="inlineStr">
        <is>
          <t>AI cloud revenue +841% YoY = ~$390M of $399M Q1 2026 total. Essentially the entire business.</t>
        </is>
      </c>
      <c r="F1220" s="33" t="inlineStr">
        <is>
          <t>Layer 9 per-name deep research (2026-05-18): WebSearch + yfinance fundamentals + analyst revisions + SEC 8-K/6-K filings + IR press releases</t>
        </is>
      </c>
      <c r="G1220" s="33" t="inlineStr">
        <is>
          <t>High</t>
        </is>
      </c>
      <c r="H1220" s="33" t="inlineStr">
        <is>
          <t>Initial</t>
        </is>
      </c>
    </row>
    <row r="1221">
      <c r="A1221" s="33" t="inlineStr">
        <is>
          <t>2026-05-18</t>
        </is>
      </c>
      <c r="B1221" s="33" t="inlineStr">
        <is>
          <t>NBIS</t>
        </is>
      </c>
      <c r="C1221" s="33" t="inlineStr">
        <is>
          <t>D2</t>
        </is>
      </c>
      <c r="D1221" s="33" t="n">
        <v>4</v>
      </c>
      <c r="E1221" s="33" t="inlineStr">
        <is>
          <t>AI-native cloud operator — direct GPU compute supplier; competes with hyperscalers AND supplies them. Upstream of typical enterprise AI consumption.</t>
        </is>
      </c>
      <c r="F1221" s="33" t="inlineStr">
        <is>
          <t>Layer 9 per-name deep research (2026-05-18): WebSearch + yfinance fundamentals + analyst revisions + SEC 8-K/6-K filings + IR press releases</t>
        </is>
      </c>
      <c r="G1221" s="33" t="inlineStr">
        <is>
          <t>High</t>
        </is>
      </c>
      <c r="H1221" s="33" t="inlineStr">
        <is>
          <t>Initial</t>
        </is>
      </c>
    </row>
    <row r="1222">
      <c r="A1222" s="33" t="inlineStr">
        <is>
          <t>2026-05-18</t>
        </is>
      </c>
      <c r="B1222" s="33" t="inlineStr">
        <is>
          <t>NBIS</t>
        </is>
      </c>
      <c r="C1222" s="33" t="inlineStr">
        <is>
          <t>D3</t>
        </is>
      </c>
      <c r="D1222" s="33" t="n">
        <v>3</v>
      </c>
      <c r="E1222" s="33" t="inlineStr">
        <is>
          <t>Supply-constrained pricing power ("4+ customers per GPU"), aggressive contracted-power footprint. But fundamentally compute is commoditizable; moat is execution + capacity allocation.</t>
        </is>
      </c>
      <c r="F1222" s="33" t="inlineStr">
        <is>
          <t>Layer 9 per-name deep research (2026-05-18): WebSearch + yfinance fundamentals + analyst revisions + SEC 8-K/6-K filings + IR press releases</t>
        </is>
      </c>
      <c r="G1222" s="33" t="inlineStr">
        <is>
          <t>Medium</t>
        </is>
      </c>
      <c r="H1222" s="33" t="inlineStr">
        <is>
          <t>Initial</t>
        </is>
      </c>
    </row>
    <row r="1223">
      <c r="A1223" s="33" t="inlineStr">
        <is>
          <t>2026-05-18</t>
        </is>
      </c>
      <c r="B1223" s="33" t="inlineStr">
        <is>
          <t>NBIS</t>
        </is>
      </c>
      <c r="C1223" s="33" t="inlineStr">
        <is>
          <t>D4</t>
        </is>
      </c>
      <c r="D1223" s="33" t="n">
        <v>5</v>
      </c>
      <c r="E1223" s="33" t="inlineStr">
        <is>
          <t>&gt;3GW contracted power (up from 2.5GW); 1.2GW Pennsylvania AI factory; 40% adj EBITDA target 2026.</t>
        </is>
      </c>
      <c r="F1223" s="33" t="inlineStr">
        <is>
          <t>Layer 9 per-name deep research (2026-05-18): WebSearch + yfinance fundamentals + analyst revisions + SEC 8-K/6-K filings + IR press releases</t>
        </is>
      </c>
      <c r="G1223" s="33" t="inlineStr">
        <is>
          <t>High</t>
        </is>
      </c>
      <c r="H1223" s="33" t="inlineStr">
        <is>
          <t>Initial</t>
        </is>
      </c>
    </row>
    <row r="1224">
      <c r="A1224" s="33" t="inlineStr">
        <is>
          <t>2026-05-18</t>
        </is>
      </c>
      <c r="B1224" s="33" t="inlineStr">
        <is>
          <t>NBIS</t>
        </is>
      </c>
      <c r="C1224" s="33" t="inlineStr">
        <is>
          <t>D5</t>
        </is>
      </c>
      <c r="D1224" s="33" t="n">
        <v>5</v>
      </c>
      <c r="E1224" s="33" t="inlineStr">
        <is>
          <t>Direct Microsoft + Meta infrastructure agreements — top-tier hyperscaler customer chain.</t>
        </is>
      </c>
      <c r="F1224" s="33" t="inlineStr">
        <is>
          <t>Layer 9 per-name deep research (2026-05-18): WebSearch + yfinance fundamentals + analyst revisions + SEC 8-K/6-K filings + IR press releases</t>
        </is>
      </c>
      <c r="G1224" s="33" t="inlineStr">
        <is>
          <t>High</t>
        </is>
      </c>
      <c r="H1224" s="33" t="inlineStr">
        <is>
          <t>Initial</t>
        </is>
      </c>
    </row>
    <row r="1225">
      <c r="A1225" s="33" t="inlineStr">
        <is>
          <t>2026-05-18</t>
        </is>
      </c>
      <c r="B1225" s="33" t="inlineStr">
        <is>
          <t>NBIS</t>
        </is>
      </c>
      <c r="C1225" s="33" t="inlineStr">
        <is>
          <t>M1</t>
        </is>
      </c>
      <c r="D1225" s="33" t="n">
        <v>3</v>
      </c>
      <c r="E1225" s="33" t="inlineStr">
        <is>
          <t>Mixed: 2 up / 1 down (30d) on 0q, 1 up / 1 down on +1q. Net positive but no consensus convergence.</t>
        </is>
      </c>
      <c r="F1225" s="33" t="inlineStr">
        <is>
          <t>Layer 9 per-name deep research (2026-05-18): WebSearch + yfinance fundamentals + analyst revisions + SEC 8-K/6-K filings + IR press releases</t>
        </is>
      </c>
      <c r="G1225" s="33" t="inlineStr">
        <is>
          <t>High</t>
        </is>
      </c>
      <c r="H1225" s="33" t="inlineStr">
        <is>
          <t>Initial</t>
        </is>
      </c>
    </row>
    <row r="1226">
      <c r="A1226" s="33" t="inlineStr">
        <is>
          <t>2026-05-18</t>
        </is>
      </c>
      <c r="B1226" s="33" t="inlineStr">
        <is>
          <t>NBIS</t>
        </is>
      </c>
      <c r="C1226" s="33" t="inlineStr">
        <is>
          <t>M2</t>
        </is>
      </c>
      <c r="D1226" s="33" t="n">
        <v>5</v>
      </c>
      <c r="E1226" s="33" t="inlineStr">
        <is>
          <t>+432% absolute 1y; +386pp vs BITQ crypto ETF. Extreme leader.</t>
        </is>
      </c>
      <c r="F1226" s="33" t="inlineStr">
        <is>
          <t>Layer 9 per-name deep research (2026-05-18): WebSearch + yfinance fundamentals + analyst revisions + SEC 8-K/6-K filings + IR press releases</t>
        </is>
      </c>
      <c r="G1226" s="33" t="inlineStr">
        <is>
          <t>High</t>
        </is>
      </c>
      <c r="H1226" s="33" t="inlineStr">
        <is>
          <t>Initial</t>
        </is>
      </c>
    </row>
    <row r="1227">
      <c r="A1227" s="33" t="inlineStr">
        <is>
          <t>2026-05-18</t>
        </is>
      </c>
      <c r="B1227" s="33" t="inlineStr">
        <is>
          <t>NBIS</t>
        </is>
      </c>
      <c r="C1227" s="33" t="inlineStr">
        <is>
          <t>M3</t>
        </is>
      </c>
      <c r="D1227" s="33" t="n">
        <v>3</v>
      </c>
      <c r="E1227" s="33" t="inlineStr">
        <is>
          <t>Default neutral; Form 4 not pulled.</t>
        </is>
      </c>
      <c r="F1227" s="33" t="inlineStr">
        <is>
          <t>Layer 9 per-name deep research (2026-05-18): WebSearch + yfinance fundamentals + analyst revisions + SEC 8-K/6-K filings + IR press releases</t>
        </is>
      </c>
      <c r="G1227" s="33" t="inlineStr">
        <is>
          <t>Low</t>
        </is>
      </c>
      <c r="H1227" s="33" t="inlineStr">
        <is>
          <t>Initial</t>
        </is>
      </c>
    </row>
    <row r="1228">
      <c r="A1228" s="33" t="inlineStr">
        <is>
          <t>2026-05-18</t>
        </is>
      </c>
      <c r="B1228" s="33" t="inlineStr">
        <is>
          <t>NBIS</t>
        </is>
      </c>
      <c r="C1228" s="33" t="inlineStr">
        <is>
          <t>R1</t>
        </is>
      </c>
      <c r="D1228" s="33" t="n">
        <v>3</v>
      </c>
      <c r="E1228" s="33" t="inlineStr">
        <is>
          <t>Hyperscaler-tier customer base (MSFT, META, plus AI labs) — concentrated but diversified across top-tier.</t>
        </is>
      </c>
      <c r="F1228" s="33" t="inlineStr">
        <is>
          <t>Layer 9 per-name deep research (2026-05-18): WebSearch + yfinance fundamentals + analyst revisions + SEC 8-K/6-K filings + IR press releases</t>
        </is>
      </c>
      <c r="G1228" s="33" t="inlineStr">
        <is>
          <t>Medium</t>
        </is>
      </c>
      <c r="H1228" s="33" t="inlineStr">
        <is>
          <t>Initial</t>
        </is>
      </c>
    </row>
    <row r="1229">
      <c r="A1229" s="33" t="inlineStr">
        <is>
          <t>2026-05-18</t>
        </is>
      </c>
      <c r="B1229" s="33" t="inlineStr">
        <is>
          <t>NBIS</t>
        </is>
      </c>
      <c r="C1229" s="33" t="inlineStr">
        <is>
          <t>R2</t>
        </is>
      </c>
      <c r="D1229" s="33" t="n">
        <v>4</v>
      </c>
      <c r="E1229" s="33" t="inlineStr">
        <is>
          <t>Pennsylvania US-based after Yandex spinoff completed; cleaned Russia-link governance.</t>
        </is>
      </c>
      <c r="F1229" s="33" t="inlineStr">
        <is>
          <t>Layer 9 per-name deep research (2026-05-18): WebSearch + yfinance fundamentals + analyst revisions + SEC 8-K/6-K filings + IR press releases</t>
        </is>
      </c>
      <c r="G1229" s="33" t="inlineStr">
        <is>
          <t>High</t>
        </is>
      </c>
      <c r="H1229" s="33" t="inlineStr">
        <is>
          <t>Initial</t>
        </is>
      </c>
    </row>
    <row r="1230">
      <c r="A1230" s="33" t="inlineStr">
        <is>
          <t>2026-05-18</t>
        </is>
      </c>
      <c r="B1230" s="33" t="inlineStr">
        <is>
          <t>NBIS</t>
        </is>
      </c>
      <c r="C1230" s="33" t="inlineStr">
        <is>
          <t>R3</t>
        </is>
      </c>
      <c r="D1230" s="33" t="n">
        <v>3</v>
      </c>
      <c r="E1230" s="33" t="inlineStr">
        <is>
          <t>Capex-heavy build but capital position stronger than peers — $700M raised Q1 + Toloka stake monetization. P/S 64 reflects forward growth not distress. Dom override 2→3 (2026-05-18).</t>
        </is>
      </c>
      <c r="F1230" s="33" t="inlineStr">
        <is>
          <t>Layer 9 per-name deep research (2026-05-18): WebSearch + yfinance fundamentals + analyst revisions + SEC 8-K/6-K filings + IR press releases</t>
        </is>
      </c>
      <c r="G1230" s="33" t="inlineStr">
        <is>
          <t>Medium</t>
        </is>
      </c>
      <c r="H1230" s="33" t="inlineStr">
        <is>
          <t>Initial</t>
        </is>
      </c>
    </row>
    <row r="1231">
      <c r="A1231" s="33" t="inlineStr">
        <is>
          <t>2026-05-18</t>
        </is>
      </c>
      <c r="B1231" s="33" t="inlineStr">
        <is>
          <t>NBIS</t>
        </is>
      </c>
      <c r="C1231" s="33" t="inlineStr">
        <is>
          <t>R4</t>
        </is>
      </c>
      <c r="D1231" s="33" t="n">
        <v>3</v>
      </c>
      <c r="E1231" s="33" t="inlineStr">
        <is>
          <t>Yandex spinoff complexity historically; current governance clean. Watch for legacy regulatory tail.</t>
        </is>
      </c>
      <c r="F1231" s="33" t="inlineStr">
        <is>
          <t>Layer 9 per-name deep research (2026-05-18): WebSearch + yfinance fundamentals + analyst revisions + SEC 8-K/6-K filings + IR press releases</t>
        </is>
      </c>
      <c r="G1231" s="33" t="inlineStr">
        <is>
          <t>Medium</t>
        </is>
      </c>
      <c r="H1231" s="33" t="inlineStr">
        <is>
          <t>Initial</t>
        </is>
      </c>
    </row>
    <row r="1232">
      <c r="A1232" s="33" t="inlineStr">
        <is>
          <t>2026-05-18</t>
        </is>
      </c>
      <c r="B1232" s="33" t="inlineStr">
        <is>
          <t>APLD</t>
        </is>
      </c>
      <c r="C1232" s="33" t="inlineStr">
        <is>
          <t>D1</t>
        </is>
      </c>
      <c r="D1232" s="33" t="n">
        <v>4</v>
      </c>
      <c r="E1232" s="33" t="inlineStr">
        <is>
          <t>HPC hosting $71M/Q + legacy hosting $41M = HPC is majority of growth; 400MW AI factory buildout for CoreWeave.</t>
        </is>
      </c>
      <c r="F1232" s="33" t="inlineStr">
        <is>
          <t>Layer 9 per-name deep research (2026-05-18): WebSearch + yfinance fundamentals + analyst revisions + SEC 8-K/6-K filings + IR press releases</t>
        </is>
      </c>
      <c r="G1232" s="33" t="inlineStr">
        <is>
          <t>High</t>
        </is>
      </c>
      <c r="H1232" s="33" t="inlineStr">
        <is>
          <t>Initial</t>
        </is>
      </c>
    </row>
    <row r="1233">
      <c r="A1233" s="33" t="inlineStr">
        <is>
          <t>2026-05-18</t>
        </is>
      </c>
      <c r="B1233" s="33" t="inlineStr">
        <is>
          <t>APLD</t>
        </is>
      </c>
      <c r="C1233" s="33" t="inlineStr">
        <is>
          <t>D2</t>
        </is>
      </c>
      <c r="D1233" s="33" t="n">
        <v>3</v>
      </c>
      <c r="E1233" s="33" t="inlineStr">
        <is>
          <t>Downstream colo hoster.</t>
        </is>
      </c>
      <c r="F1233" s="33" t="inlineStr">
        <is>
          <t>Layer 9 per-name deep research (2026-05-18): WebSearch + yfinance fundamentals + analyst revisions + SEC 8-K/6-K filings + IR press releases</t>
        </is>
      </c>
      <c r="G1233" s="33" t="inlineStr">
        <is>
          <t>High</t>
        </is>
      </c>
      <c r="H1233" s="33" t="inlineStr">
        <is>
          <t>Initial</t>
        </is>
      </c>
    </row>
    <row r="1234">
      <c r="A1234" s="33" t="inlineStr">
        <is>
          <t>2026-05-18</t>
        </is>
      </c>
      <c r="B1234" s="33" t="inlineStr">
        <is>
          <t>APLD</t>
        </is>
      </c>
      <c r="C1234" s="33" t="inlineStr">
        <is>
          <t>D3</t>
        </is>
      </c>
      <c r="D1234" s="33" t="n">
        <v>3</v>
      </c>
      <c r="E1234" s="33" t="inlineStr">
        <is>
          <t>15yr CoreWeave lease = locked contract; but pure colo commoditizable.</t>
        </is>
      </c>
      <c r="F1234" s="33" t="inlineStr">
        <is>
          <t>Layer 9 per-name deep research (2026-05-18): WebSearch + yfinance fundamentals + analyst revisions + SEC 8-K/6-K filings + IR press releases</t>
        </is>
      </c>
      <c r="G1234" s="33" t="inlineStr">
        <is>
          <t>Medium</t>
        </is>
      </c>
      <c r="H1234" s="33" t="inlineStr">
        <is>
          <t>Initial</t>
        </is>
      </c>
    </row>
    <row r="1235">
      <c r="A1235" s="33" t="inlineStr">
        <is>
          <t>2026-05-18</t>
        </is>
      </c>
      <c r="B1235" s="33" t="inlineStr">
        <is>
          <t>APLD</t>
        </is>
      </c>
      <c r="C1235" s="33" t="inlineStr">
        <is>
          <t>D4</t>
        </is>
      </c>
      <c r="D1235" s="33" t="n">
        <v>4</v>
      </c>
      <c r="E1235" s="33" t="inlineStr">
        <is>
          <t>250MW + 150MW additional CoreWeave leases North Dakota; Polaris Forge 1 at RFS.</t>
        </is>
      </c>
      <c r="F1235" s="33" t="inlineStr">
        <is>
          <t>Layer 9 per-name deep research (2026-05-18): WebSearch + yfinance fundamentals + analyst revisions + SEC 8-K/6-K filings + IR press releases</t>
        </is>
      </c>
      <c r="G1235" s="33" t="inlineStr">
        <is>
          <t>High</t>
        </is>
      </c>
      <c r="H1235" s="33" t="inlineStr">
        <is>
          <t>Initial</t>
        </is>
      </c>
    </row>
    <row r="1236">
      <c r="A1236" s="33" t="inlineStr">
        <is>
          <t>2026-05-18</t>
        </is>
      </c>
      <c r="B1236" s="33" t="inlineStr">
        <is>
          <t>APLD</t>
        </is>
      </c>
      <c r="C1236" s="33" t="inlineStr">
        <is>
          <t>D5</t>
        </is>
      </c>
      <c r="D1236" s="33" t="n">
        <v>3</v>
      </c>
      <c r="E1236" s="33" t="inlineStr">
        <is>
          <t>Intermediated via CoreWeave — not direct hyperscaler chain per [[d5-direct-vs-indirect-calibration]].</t>
        </is>
      </c>
      <c r="F1236" s="33" t="inlineStr">
        <is>
          <t>Layer 9 per-name deep research (2026-05-18): WebSearch + yfinance fundamentals + analyst revisions + SEC 8-K/6-K filings + IR press releases</t>
        </is>
      </c>
      <c r="G1236" s="33" t="inlineStr">
        <is>
          <t>High</t>
        </is>
      </c>
      <c r="H1236" s="33" t="inlineStr">
        <is>
          <t>Initial</t>
        </is>
      </c>
    </row>
    <row r="1237">
      <c r="A1237" s="33" t="inlineStr">
        <is>
          <t>2026-05-18</t>
        </is>
      </c>
      <c r="B1237" s="33" t="inlineStr">
        <is>
          <t>APLD</t>
        </is>
      </c>
      <c r="C1237" s="33" t="inlineStr">
        <is>
          <t>M1</t>
        </is>
      </c>
      <c r="D1237" s="33" t="n">
        <v>2</v>
      </c>
      <c r="E1237" s="33" t="inlineStr">
        <is>
          <t>0 up / 1 down (30d). Marginally negative.</t>
        </is>
      </c>
      <c r="F1237" s="33" t="inlineStr">
        <is>
          <t>Layer 9 per-name deep research (2026-05-18): WebSearch + yfinance fundamentals + analyst revisions + SEC 8-K/6-K filings + IR press releases</t>
        </is>
      </c>
      <c r="G1237" s="33" t="inlineStr">
        <is>
          <t>High</t>
        </is>
      </c>
      <c r="H1237" s="33" t="inlineStr">
        <is>
          <t>Initial</t>
        </is>
      </c>
    </row>
    <row r="1238">
      <c r="A1238" s="33" t="inlineStr">
        <is>
          <t>2026-05-18</t>
        </is>
      </c>
      <c r="B1238" s="33" t="inlineStr">
        <is>
          <t>APLD</t>
        </is>
      </c>
      <c r="C1238" s="33" t="inlineStr">
        <is>
          <t>M2</t>
        </is>
      </c>
      <c r="D1238" s="33" t="n">
        <v>5</v>
      </c>
      <c r="E1238" s="33" t="inlineStr">
        <is>
          <t>+474% absolute 1y; +427pp vs BITQ.</t>
        </is>
      </c>
      <c r="F1238" s="33" t="inlineStr">
        <is>
          <t>Layer 9 per-name deep research (2026-05-18): WebSearch + yfinance fundamentals + analyst revisions + SEC 8-K/6-K filings + IR press releases</t>
        </is>
      </c>
      <c r="G1238" s="33" t="inlineStr">
        <is>
          <t>High</t>
        </is>
      </c>
      <c r="H1238" s="33" t="inlineStr">
        <is>
          <t>Initial</t>
        </is>
      </c>
    </row>
    <row r="1239">
      <c r="A1239" s="33" t="inlineStr">
        <is>
          <t>2026-05-18</t>
        </is>
      </c>
      <c r="B1239" s="33" t="inlineStr">
        <is>
          <t>APLD</t>
        </is>
      </c>
      <c r="C1239" s="33" t="inlineStr">
        <is>
          <t>M3</t>
        </is>
      </c>
      <c r="D1239" s="33" t="n">
        <v>3</v>
      </c>
      <c r="E1239" s="33" t="inlineStr">
        <is>
          <t>Default neutral.</t>
        </is>
      </c>
      <c r="F1239" s="33" t="inlineStr">
        <is>
          <t>Layer 9 per-name deep research (2026-05-18): WebSearch + yfinance fundamentals + analyst revisions + SEC 8-K/6-K filings + IR press releases</t>
        </is>
      </c>
      <c r="G1239" s="33" t="inlineStr">
        <is>
          <t>Low</t>
        </is>
      </c>
      <c r="H1239" s="33" t="inlineStr">
        <is>
          <t>Initial</t>
        </is>
      </c>
    </row>
    <row r="1240">
      <c r="A1240" s="33" t="inlineStr">
        <is>
          <t>2026-05-18</t>
        </is>
      </c>
      <c r="B1240" s="33" t="inlineStr">
        <is>
          <t>APLD</t>
        </is>
      </c>
      <c r="C1240" s="33" t="inlineStr">
        <is>
          <t>R1</t>
        </is>
      </c>
      <c r="D1240" s="33" t="n">
        <v>1</v>
      </c>
      <c r="E1240" s="33" t="inlineStr">
        <is>
          <t>CoreWeave is essentially the sole HPC customer — top-1 concentration extreme.</t>
        </is>
      </c>
      <c r="F1240" s="33" t="inlineStr">
        <is>
          <t>Layer 9 per-name deep research (2026-05-18): WebSearch + yfinance fundamentals + analyst revisions + SEC 8-K/6-K filings + IR press releases</t>
        </is>
      </c>
      <c r="G1240" s="33" t="inlineStr">
        <is>
          <t>High</t>
        </is>
      </c>
      <c r="H1240" s="33" t="inlineStr">
        <is>
          <t>Initial</t>
        </is>
      </c>
    </row>
    <row r="1241">
      <c r="A1241" s="33" t="inlineStr">
        <is>
          <t>2026-05-18</t>
        </is>
      </c>
      <c r="B1241" s="33" t="inlineStr">
        <is>
          <t>APLD</t>
        </is>
      </c>
      <c r="C1241" s="33" t="inlineStr">
        <is>
          <t>R2</t>
        </is>
      </c>
      <c r="D1241" s="33" t="n">
        <v>4</v>
      </c>
      <c r="E1241" s="33" t="inlineStr">
        <is>
          <t>North Dakota US-based — clean geo.</t>
        </is>
      </c>
      <c r="F1241" s="33" t="inlineStr">
        <is>
          <t>Layer 9 per-name deep research (2026-05-18): WebSearch + yfinance fundamentals + analyst revisions + SEC 8-K/6-K filings + IR press releases</t>
        </is>
      </c>
      <c r="G1241" s="33" t="inlineStr">
        <is>
          <t>High</t>
        </is>
      </c>
      <c r="H1241" s="33" t="inlineStr">
        <is>
          <t>Initial</t>
        </is>
      </c>
    </row>
    <row r="1242">
      <c r="A1242" s="33" t="inlineStr">
        <is>
          <t>2026-05-18</t>
        </is>
      </c>
      <c r="B1242" s="33" t="inlineStr">
        <is>
          <t>APLD</t>
        </is>
      </c>
      <c r="C1242" s="33" t="inlineStr">
        <is>
          <t>R3</t>
        </is>
      </c>
      <c r="D1242" s="33" t="n">
        <v>2</v>
      </c>
      <c r="E1242" s="33" t="inlineStr">
        <is>
          <t>FCFM -469% (extreme); ND/EBITDA 78.9 (very elevated). Capex absorption phase.</t>
        </is>
      </c>
      <c r="F1242" s="33" t="inlineStr">
        <is>
          <t>Layer 9 per-name deep research (2026-05-18): WebSearch + yfinance fundamentals + analyst revisions + SEC 8-K/6-K filings + IR press releases</t>
        </is>
      </c>
      <c r="G1242" s="33" t="inlineStr">
        <is>
          <t>High</t>
        </is>
      </c>
      <c r="H1242" s="33" t="inlineStr">
        <is>
          <t>Initial</t>
        </is>
      </c>
    </row>
    <row r="1243">
      <c r="A1243" s="33" t="inlineStr">
        <is>
          <t>2026-05-18</t>
        </is>
      </c>
      <c r="B1243" s="33" t="inlineStr">
        <is>
          <t>APLD</t>
        </is>
      </c>
      <c r="C1243" s="33" t="inlineStr">
        <is>
          <t>R4</t>
        </is>
      </c>
      <c r="D1243" s="33" t="n">
        <v>3</v>
      </c>
      <c r="E1243" s="33" t="inlineStr">
        <is>
          <t>Clean — no active overhang.</t>
        </is>
      </c>
      <c r="F1243" s="33" t="inlineStr">
        <is>
          <t>Layer 9 per-name deep research (2026-05-18): WebSearch + yfinance fundamentals + analyst revisions + SEC 8-K/6-K filings + IR press releases</t>
        </is>
      </c>
      <c r="G1243" s="33" t="inlineStr">
        <is>
          <t>Medium</t>
        </is>
      </c>
      <c r="H1243" s="33" t="inlineStr">
        <is>
          <t>Initial</t>
        </is>
      </c>
    </row>
    <row r="1244">
      <c r="A1244" s="33" t="inlineStr">
        <is>
          <t>2026-05-18</t>
        </is>
      </c>
      <c r="B1244" s="33" t="inlineStr">
        <is>
          <t>CORZ</t>
        </is>
      </c>
      <c r="C1244" s="33" t="inlineStr">
        <is>
          <t>D1</t>
        </is>
      </c>
      <c r="D1244" s="33" t="n">
        <v>4</v>
      </c>
      <c r="E1244" s="33" t="inlineStr">
        <is>
          <t>$10B CoreWeave 12yr contract; 700MW HPC infra (vs 500MW BTC). HPC is forward majority.</t>
        </is>
      </c>
      <c r="F1244" s="33" t="inlineStr">
        <is>
          <t>Layer 9 per-name deep research (2026-05-18): WebSearch + yfinance fundamentals + analyst revisions + SEC 8-K/6-K filings + IR press releases</t>
        </is>
      </c>
      <c r="G1244" s="33" t="inlineStr">
        <is>
          <t>High</t>
        </is>
      </c>
      <c r="H1244" s="33" t="inlineStr">
        <is>
          <t>Initial</t>
        </is>
      </c>
    </row>
    <row r="1245">
      <c r="A1245" s="33" t="inlineStr">
        <is>
          <t>2026-05-18</t>
        </is>
      </c>
      <c r="B1245" s="33" t="inlineStr">
        <is>
          <t>CORZ</t>
        </is>
      </c>
      <c r="C1245" s="33" t="inlineStr">
        <is>
          <t>D2</t>
        </is>
      </c>
      <c r="D1245" s="33" t="n">
        <v>3</v>
      </c>
      <c r="E1245" s="33" t="inlineStr">
        <is>
          <t>Downstream colo hoster — physical infrastructure with locked customer.</t>
        </is>
      </c>
      <c r="F1245" s="33" t="inlineStr">
        <is>
          <t>Layer 9 per-name deep research (2026-05-18): WebSearch + yfinance fundamentals + analyst revisions + SEC 8-K/6-K filings + IR press releases</t>
        </is>
      </c>
      <c r="G1245" s="33" t="inlineStr">
        <is>
          <t>High</t>
        </is>
      </c>
      <c r="H1245" s="33" t="inlineStr">
        <is>
          <t>Initial</t>
        </is>
      </c>
    </row>
    <row r="1246">
      <c r="A1246" s="33" t="inlineStr">
        <is>
          <t>2026-05-18</t>
        </is>
      </c>
      <c r="B1246" s="33" t="inlineStr">
        <is>
          <t>CORZ</t>
        </is>
      </c>
      <c r="C1246" s="33" t="inlineStr">
        <is>
          <t>D3</t>
        </is>
      </c>
      <c r="D1246" s="33" t="n">
        <v>3</v>
      </c>
      <c r="E1246" s="33" t="inlineStr">
        <is>
          <t>12yr CoreWeave lock + customer-funded build = durable; but commoditizable colo economics longer-term.</t>
        </is>
      </c>
      <c r="F1246" s="33" t="inlineStr">
        <is>
          <t>Layer 9 per-name deep research (2026-05-18): WebSearch + yfinance fundamentals + analyst revisions + SEC 8-K/6-K filings + IR press releases</t>
        </is>
      </c>
      <c r="G1246" s="33" t="inlineStr">
        <is>
          <t>Medium</t>
        </is>
      </c>
      <c r="H1246" s="33" t="inlineStr">
        <is>
          <t>Initial</t>
        </is>
      </c>
    </row>
    <row r="1247">
      <c r="A1247" s="33" t="inlineStr">
        <is>
          <t>2026-05-18</t>
        </is>
      </c>
      <c r="B1247" s="33" t="inlineStr">
        <is>
          <t>CORZ</t>
        </is>
      </c>
      <c r="C1247" s="33" t="inlineStr">
        <is>
          <t>D4</t>
        </is>
      </c>
      <c r="D1247" s="33" t="n">
        <v>5</v>
      </c>
      <c r="E1247" s="33" t="inlineStr">
        <is>
          <t>1.2GW total contracted power; 350MW energized; 180MW online billing; advancing 700MW HPC.</t>
        </is>
      </c>
      <c r="F1247" s="33" t="inlineStr">
        <is>
          <t>Layer 9 per-name deep research (2026-05-18): WebSearch + yfinance fundamentals + analyst revisions + SEC 8-K/6-K filings + IR press releases</t>
        </is>
      </c>
      <c r="G1247" s="33" t="inlineStr">
        <is>
          <t>High</t>
        </is>
      </c>
      <c r="H1247" s="33" t="inlineStr">
        <is>
          <t>Initial</t>
        </is>
      </c>
    </row>
    <row r="1248">
      <c r="A1248" s="33" t="inlineStr">
        <is>
          <t>2026-05-18</t>
        </is>
      </c>
      <c r="B1248" s="33" t="inlineStr">
        <is>
          <t>CORZ</t>
        </is>
      </c>
      <c r="C1248" s="33" t="inlineStr">
        <is>
          <t>D5</t>
        </is>
      </c>
      <c r="D1248" s="33" t="n">
        <v>3</v>
      </c>
      <c r="E1248" s="33" t="inlineStr">
        <is>
          <t>Intermediated via CoreWeave — not direct hyperscaler. Per [[d5-direct-vs-indirect-calibration]] = 3.</t>
        </is>
      </c>
      <c r="F1248" s="33" t="inlineStr">
        <is>
          <t>Layer 9 per-name deep research (2026-05-18): WebSearch + yfinance fundamentals + analyst revisions + SEC 8-K/6-K filings + IR press releases</t>
        </is>
      </c>
      <c r="G1248" s="33" t="inlineStr">
        <is>
          <t>High</t>
        </is>
      </c>
      <c r="H1248" s="33" t="inlineStr">
        <is>
          <t>Initial</t>
        </is>
      </c>
    </row>
    <row r="1249">
      <c r="A1249" s="33" t="inlineStr">
        <is>
          <t>2026-05-18</t>
        </is>
      </c>
      <c r="B1249" s="33" t="inlineStr">
        <is>
          <t>CORZ</t>
        </is>
      </c>
      <c r="C1249" s="33" t="inlineStr">
        <is>
          <t>M1</t>
        </is>
      </c>
      <c r="D1249" s="33" t="n">
        <v>3</v>
      </c>
      <c r="E1249" s="33" t="inlineStr">
        <is>
          <t>0 up / 1 down (30d on 0q). Marginal negative.</t>
        </is>
      </c>
      <c r="F1249" s="33" t="inlineStr">
        <is>
          <t>Layer 9 per-name deep research (2026-05-18): WebSearch + yfinance fundamentals + analyst revisions + SEC 8-K/6-K filings + IR press releases</t>
        </is>
      </c>
      <c r="G1249" s="33" t="inlineStr">
        <is>
          <t>High</t>
        </is>
      </c>
      <c r="H1249" s="33" t="inlineStr">
        <is>
          <t>Initial</t>
        </is>
      </c>
    </row>
    <row r="1250">
      <c r="A1250" s="33" t="inlineStr">
        <is>
          <t>2026-05-18</t>
        </is>
      </c>
      <c r="B1250" s="33" t="inlineStr">
        <is>
          <t>CORZ</t>
        </is>
      </c>
      <c r="C1250" s="33" t="inlineStr">
        <is>
          <t>M2</t>
        </is>
      </c>
      <c r="D1250" s="33" t="n">
        <v>3</v>
      </c>
      <c r="E1250" s="33" t="inlineStr">
        <is>
          <t>+117% absolute 1y; +71pp vs BITQ. Solid but lagging the extreme-gainer peer group.</t>
        </is>
      </c>
      <c r="F1250" s="33" t="inlineStr">
        <is>
          <t>Layer 9 per-name deep research (2026-05-18): WebSearch + yfinance fundamentals + analyst revisions + SEC 8-K/6-K filings + IR press releases</t>
        </is>
      </c>
      <c r="G1250" s="33" t="inlineStr">
        <is>
          <t>High</t>
        </is>
      </c>
      <c r="H1250" s="33" t="inlineStr">
        <is>
          <t>Initial</t>
        </is>
      </c>
    </row>
    <row r="1251">
      <c r="A1251" s="33" t="inlineStr">
        <is>
          <t>2026-05-18</t>
        </is>
      </c>
      <c r="B1251" s="33" t="inlineStr">
        <is>
          <t>CORZ</t>
        </is>
      </c>
      <c r="C1251" s="33" t="inlineStr">
        <is>
          <t>M3</t>
        </is>
      </c>
      <c r="D1251" s="33" t="n">
        <v>3</v>
      </c>
      <c r="E1251" s="33" t="inlineStr">
        <is>
          <t>Default neutral; Form 4 not pulled.</t>
        </is>
      </c>
      <c r="F1251" s="33" t="inlineStr">
        <is>
          <t>Layer 9 per-name deep research (2026-05-18): WebSearch + yfinance fundamentals + analyst revisions + SEC 8-K/6-K filings + IR press releases</t>
        </is>
      </c>
      <c r="G1251" s="33" t="inlineStr">
        <is>
          <t>Low</t>
        </is>
      </c>
      <c r="H1251" s="33" t="inlineStr">
        <is>
          <t>Initial</t>
        </is>
      </c>
    </row>
    <row r="1252">
      <c r="A1252" s="33" t="inlineStr">
        <is>
          <t>2026-05-18</t>
        </is>
      </c>
      <c r="B1252" s="33" t="inlineStr">
        <is>
          <t>CORZ</t>
        </is>
      </c>
      <c r="C1252" s="33" t="inlineStr">
        <is>
          <t>R1</t>
        </is>
      </c>
      <c r="D1252" s="33" t="n">
        <v>1</v>
      </c>
      <c r="E1252" s="33" t="inlineStr">
        <is>
          <t>CoreWeave is the dominant customer — top-1 concentration extreme.</t>
        </is>
      </c>
      <c r="F1252" s="33" t="inlineStr">
        <is>
          <t>Layer 9 per-name deep research (2026-05-18): WebSearch + yfinance fundamentals + analyst revisions + SEC 8-K/6-K filings + IR press releases</t>
        </is>
      </c>
      <c r="G1252" s="33" t="inlineStr">
        <is>
          <t>High</t>
        </is>
      </c>
      <c r="H1252" s="33" t="inlineStr">
        <is>
          <t>Initial</t>
        </is>
      </c>
    </row>
    <row r="1253">
      <c r="A1253" s="33" t="inlineStr">
        <is>
          <t>2026-05-18</t>
        </is>
      </c>
      <c r="B1253" s="33" t="inlineStr">
        <is>
          <t>CORZ</t>
        </is>
      </c>
      <c r="C1253" s="33" t="inlineStr">
        <is>
          <t>R2</t>
        </is>
      </c>
      <c r="D1253" s="33" t="n">
        <v>4</v>
      </c>
      <c r="E1253" s="33" t="inlineStr">
        <is>
          <t>US-based — clean geo.</t>
        </is>
      </c>
      <c r="F1253" s="33" t="inlineStr">
        <is>
          <t>Layer 9 per-name deep research (2026-05-18): WebSearch + yfinance fundamentals + analyst revisions + SEC 8-K/6-K filings + IR press releases</t>
        </is>
      </c>
      <c r="G1253" s="33" t="inlineStr">
        <is>
          <t>High</t>
        </is>
      </c>
      <c r="H1253" s="33" t="inlineStr">
        <is>
          <t>Initial</t>
        </is>
      </c>
    </row>
    <row r="1254">
      <c r="A1254" s="33" t="inlineStr">
        <is>
          <t>2026-05-18</t>
        </is>
      </c>
      <c r="B1254" s="33" t="inlineStr">
        <is>
          <t>CORZ</t>
        </is>
      </c>
      <c r="C1254" s="33" t="inlineStr">
        <is>
          <t>R3</t>
        </is>
      </c>
      <c r="D1254" s="33" t="n">
        <v>3</v>
      </c>
      <c r="E1254" s="33" t="inlineStr">
        <is>
          <t>FCFM +49% (positive, customer-funded capex shift); ND/EBITDA -11.89 net cash; just exited Chapter 11 with cleaner balance sheet.</t>
        </is>
      </c>
      <c r="F1254" s="33" t="inlineStr">
        <is>
          <t>Layer 9 per-name deep research (2026-05-18): WebSearch + yfinance fundamentals + analyst revisions + SEC 8-K/6-K filings + IR press releases</t>
        </is>
      </c>
      <c r="G1254" s="33" t="inlineStr">
        <is>
          <t>High</t>
        </is>
      </c>
      <c r="H1254" s="33" t="inlineStr">
        <is>
          <t>Initial</t>
        </is>
      </c>
    </row>
    <row r="1255">
      <c r="A1255" s="33" t="inlineStr">
        <is>
          <t>2026-05-18</t>
        </is>
      </c>
      <c r="B1255" s="33" t="inlineStr">
        <is>
          <t>CORZ</t>
        </is>
      </c>
      <c r="C1255" s="33" t="inlineStr">
        <is>
          <t>R4</t>
        </is>
      </c>
      <c r="D1255" s="33" t="n">
        <v>3</v>
      </c>
      <c r="E1255" s="33" t="inlineStr">
        <is>
          <t>Just emerged from Chapter 11 (2024); current operations clean.</t>
        </is>
      </c>
      <c r="F1255" s="33" t="inlineStr">
        <is>
          <t>Layer 9 per-name deep research (2026-05-18): WebSearch + yfinance fundamentals + analyst revisions + SEC 8-K/6-K filings + IR press releases</t>
        </is>
      </c>
      <c r="G1255" s="33" t="inlineStr">
        <is>
          <t>Medium</t>
        </is>
      </c>
      <c r="H1255" s="33" t="inlineStr">
        <is>
          <t>Initial</t>
        </is>
      </c>
    </row>
    <row r="1256">
      <c r="A1256" s="33" t="inlineStr">
        <is>
          <t>2026-05-18</t>
        </is>
      </c>
      <c r="B1256" s="33" t="inlineStr">
        <is>
          <t>IREN</t>
        </is>
      </c>
      <c r="C1256" s="33" t="inlineStr">
        <is>
          <t>D1</t>
        </is>
      </c>
      <c r="D1256" s="33" t="n">
        <v>5</v>
      </c>
      <c r="E1256" s="33" t="inlineStr">
        <is>
          <t>AI cloud ARR projected &gt;$3.7B by EoY 2026 (vs current $0 baseline); 150,000 GPU fleet. AI is the business.</t>
        </is>
      </c>
      <c r="F1256" s="33" t="inlineStr">
        <is>
          <t>Layer 9 per-name deep research (2026-05-18): WebSearch + yfinance fundamentals + analyst revisions + SEC 8-K/6-K filings + IR press releases</t>
        </is>
      </c>
      <c r="G1256" s="33" t="inlineStr">
        <is>
          <t>High</t>
        </is>
      </c>
      <c r="H1256" s="33" t="inlineStr">
        <is>
          <t>Initial</t>
        </is>
      </c>
    </row>
    <row r="1257">
      <c r="A1257" s="33" t="inlineStr">
        <is>
          <t>2026-05-18</t>
        </is>
      </c>
      <c r="B1257" s="33" t="inlineStr">
        <is>
          <t>IREN</t>
        </is>
      </c>
      <c r="C1257" s="33" t="inlineStr">
        <is>
          <t>D2</t>
        </is>
      </c>
      <c r="D1257" s="33" t="n">
        <v>4</v>
      </c>
      <c r="E1257" s="33" t="inlineStr">
        <is>
          <t>Direct AI cloud operator (not just hoster) — operates GPU fleet and sells compute.</t>
        </is>
      </c>
      <c r="F1257" s="33" t="inlineStr">
        <is>
          <t>Layer 9 per-name deep research (2026-05-18): WebSearch + yfinance fundamentals + analyst revisions + SEC 8-K/6-K filings + IR press releases</t>
        </is>
      </c>
      <c r="G1257" s="33" t="inlineStr">
        <is>
          <t>High</t>
        </is>
      </c>
      <c r="H1257" s="33" t="inlineStr">
        <is>
          <t>Initial</t>
        </is>
      </c>
    </row>
    <row r="1258">
      <c r="A1258" s="33" t="inlineStr">
        <is>
          <t>2026-05-18</t>
        </is>
      </c>
      <c r="B1258" s="33" t="inlineStr">
        <is>
          <t>IREN</t>
        </is>
      </c>
      <c r="C1258" s="33" t="inlineStr">
        <is>
          <t>D3</t>
        </is>
      </c>
      <c r="D1258" s="33" t="n">
        <v>4</v>
      </c>
      <c r="E1258" s="33" t="inlineStr">
        <is>
          <t>$9.7B Microsoft + $3.4B 5yr Nvidia contracts = real lock-in; Childress TX 750MW = scarce power moat. CALIBRATION FLAG: 4 reflects contract duration; counter-argument that AI cloud is fundamentally power-arb commoditizable (would be 3). Kept at 4 per Dom 2026-05-18.</t>
        </is>
      </c>
      <c r="F1258" s="33" t="inlineStr">
        <is>
          <t>Layer 9 per-name deep research (2026-05-18): WebSearch + yfinance fundamentals + analyst revisions + SEC 8-K/6-K filings + IR press releases</t>
        </is>
      </c>
      <c r="G1258" s="33" t="inlineStr">
        <is>
          <t>Medium</t>
        </is>
      </c>
      <c r="H1258" s="33" t="inlineStr">
        <is>
          <t>Initial</t>
        </is>
      </c>
    </row>
    <row r="1259">
      <c r="A1259" s="33" t="inlineStr">
        <is>
          <t>2026-05-18</t>
        </is>
      </c>
      <c r="B1259" s="33" t="inlineStr">
        <is>
          <t>IREN</t>
        </is>
      </c>
      <c r="C1259" s="33" t="inlineStr">
        <is>
          <t>D4</t>
        </is>
      </c>
      <c r="D1259" s="33" t="n">
        <v>5</v>
      </c>
      <c r="E1259" s="33" t="inlineStr">
        <is>
          <t>150k GPU fleet via B300 purchases; 750MW Childress; expanding to Australia. Massive ramp.</t>
        </is>
      </c>
      <c r="F1259" s="33" t="inlineStr">
        <is>
          <t>Layer 9 per-name deep research (2026-05-18): WebSearch + yfinance fundamentals + analyst revisions + SEC 8-K/6-K filings + IR press releases</t>
        </is>
      </c>
      <c r="G1259" s="33" t="inlineStr">
        <is>
          <t>High</t>
        </is>
      </c>
      <c r="H1259" s="33" t="inlineStr">
        <is>
          <t>Initial</t>
        </is>
      </c>
    </row>
    <row r="1260">
      <c r="A1260" s="33" t="inlineStr">
        <is>
          <t>2026-05-18</t>
        </is>
      </c>
      <c r="B1260" s="33" t="inlineStr">
        <is>
          <t>IREN</t>
        </is>
      </c>
      <c r="C1260" s="33" t="inlineStr">
        <is>
          <t>D5</t>
        </is>
      </c>
      <c r="D1260" s="33" t="n">
        <v>5</v>
      </c>
      <c r="E1260" s="33" t="inlineStr">
        <is>
          <t>Direct Microsoft anchor + Nvidia 5yr contract — top-tier anchor customers.</t>
        </is>
      </c>
      <c r="F1260" s="33" t="inlineStr">
        <is>
          <t>Layer 9 per-name deep research (2026-05-18): WebSearch + yfinance fundamentals + analyst revisions + SEC 8-K/6-K filings + IR press releases</t>
        </is>
      </c>
      <c r="G1260" s="33" t="inlineStr">
        <is>
          <t>High</t>
        </is>
      </c>
      <c r="H1260" s="33" t="inlineStr">
        <is>
          <t>Initial</t>
        </is>
      </c>
    </row>
    <row r="1261">
      <c r="A1261" s="33" t="inlineStr">
        <is>
          <t>2026-05-18</t>
        </is>
      </c>
      <c r="B1261" s="33" t="inlineStr">
        <is>
          <t>IREN</t>
        </is>
      </c>
      <c r="C1261" s="33" t="inlineStr">
        <is>
          <t>M1</t>
        </is>
      </c>
      <c r="D1261" s="33" t="n">
        <v>3</v>
      </c>
      <c r="E1261" s="33" t="inlineStr">
        <is>
          <t>Mixed: 2 up / 1 down (30d). Net positive.</t>
        </is>
      </c>
      <c r="F1261" s="33" t="inlineStr">
        <is>
          <t>Layer 9 per-name deep research (2026-05-18): WebSearch + yfinance fundamentals + analyst revisions + SEC 8-K/6-K filings + IR press releases</t>
        </is>
      </c>
      <c r="G1261" s="33" t="inlineStr">
        <is>
          <t>High</t>
        </is>
      </c>
      <c r="H1261" s="33" t="inlineStr">
        <is>
          <t>Initial</t>
        </is>
      </c>
    </row>
    <row r="1262">
      <c r="A1262" s="33" t="inlineStr">
        <is>
          <t>2026-05-18</t>
        </is>
      </c>
      <c r="B1262" s="33" t="inlineStr">
        <is>
          <t>IREN</t>
        </is>
      </c>
      <c r="C1262" s="33" t="inlineStr">
        <is>
          <t>M2</t>
        </is>
      </c>
      <c r="D1262" s="33" t="n">
        <v>5</v>
      </c>
      <c r="E1262" s="33" t="inlineStr">
        <is>
          <t>+491% absolute 1y; +444pp vs BITQ — biggest gainer in layer.</t>
        </is>
      </c>
      <c r="F1262" s="33" t="inlineStr">
        <is>
          <t>Layer 9 per-name deep research (2026-05-18): WebSearch + yfinance fundamentals + analyst revisions + SEC 8-K/6-K filings + IR press releases</t>
        </is>
      </c>
      <c r="G1262" s="33" t="inlineStr">
        <is>
          <t>High</t>
        </is>
      </c>
      <c r="H1262" s="33" t="inlineStr">
        <is>
          <t>Initial</t>
        </is>
      </c>
    </row>
    <row r="1263">
      <c r="A1263" s="33" t="inlineStr">
        <is>
          <t>2026-05-18</t>
        </is>
      </c>
      <c r="B1263" s="33" t="inlineStr">
        <is>
          <t>IREN</t>
        </is>
      </c>
      <c r="C1263" s="33" t="inlineStr">
        <is>
          <t>M3</t>
        </is>
      </c>
      <c r="D1263" s="33" t="n">
        <v>3</v>
      </c>
      <c r="E1263" s="33" t="inlineStr">
        <is>
          <t>Default neutral; Form 4 not pulled.</t>
        </is>
      </c>
      <c r="F1263" s="33" t="inlineStr">
        <is>
          <t>Layer 9 per-name deep research (2026-05-18): WebSearch + yfinance fundamentals + analyst revisions + SEC 8-K/6-K filings + IR press releases</t>
        </is>
      </c>
      <c r="G1263" s="33" t="inlineStr">
        <is>
          <t>Low</t>
        </is>
      </c>
      <c r="H1263" s="33" t="inlineStr">
        <is>
          <t>Initial</t>
        </is>
      </c>
    </row>
    <row r="1264">
      <c r="A1264" s="33" t="inlineStr">
        <is>
          <t>2026-05-18</t>
        </is>
      </c>
      <c r="B1264" s="33" t="inlineStr">
        <is>
          <t>IREN</t>
        </is>
      </c>
      <c r="C1264" s="33" t="inlineStr">
        <is>
          <t>R1</t>
        </is>
      </c>
      <c r="D1264" s="33" t="n">
        <v>2</v>
      </c>
      <c r="E1264" s="33" t="inlineStr">
        <is>
          <t>Microsoft + Nvidia represent overwhelming majority of forward revenue — concentrated.</t>
        </is>
      </c>
      <c r="F1264" s="33" t="inlineStr">
        <is>
          <t>Layer 9 per-name deep research (2026-05-18): WebSearch + yfinance fundamentals + analyst revisions + SEC 8-K/6-K filings + IR press releases</t>
        </is>
      </c>
      <c r="G1264" s="33" t="inlineStr">
        <is>
          <t>High</t>
        </is>
      </c>
      <c r="H1264" s="33" t="inlineStr">
        <is>
          <t>Initial</t>
        </is>
      </c>
    </row>
    <row r="1265">
      <c r="A1265" s="33" t="inlineStr">
        <is>
          <t>2026-05-18</t>
        </is>
      </c>
      <c r="B1265" s="33" t="inlineStr">
        <is>
          <t>IREN</t>
        </is>
      </c>
      <c r="C1265" s="33" t="inlineStr">
        <is>
          <t>R2</t>
        </is>
      </c>
      <c r="D1265" s="33" t="n">
        <v>4</v>
      </c>
      <c r="E1265" s="33" t="inlineStr">
        <is>
          <t>Texas + British Columbia + Australia. Diversified geo.</t>
        </is>
      </c>
      <c r="F1265" s="33" t="inlineStr">
        <is>
          <t>Layer 9 per-name deep research (2026-05-18): WebSearch + yfinance fundamentals + analyst revisions + SEC 8-K/6-K filings + IR press releases</t>
        </is>
      </c>
      <c r="G1265" s="33" t="inlineStr">
        <is>
          <t>High</t>
        </is>
      </c>
      <c r="H1265" s="33" t="inlineStr">
        <is>
          <t>Initial</t>
        </is>
      </c>
    </row>
    <row r="1266">
      <c r="A1266" s="33" t="inlineStr">
        <is>
          <t>2026-05-18</t>
        </is>
      </c>
      <c r="B1266" s="33" t="inlineStr">
        <is>
          <t>IREN</t>
        </is>
      </c>
      <c r="C1266" s="33" t="inlineStr">
        <is>
          <t>R3</t>
        </is>
      </c>
      <c r="D1266" s="33" t="n">
        <v>2</v>
      </c>
      <c r="E1266" s="33" t="inlineStr">
        <is>
          <t>FCFM -305%, EV/EBITDA 140, ND/EBITDA 11.9 — capex-heavy build phase, contract-funded but pre-cashflow conversion.</t>
        </is>
      </c>
      <c r="F1266" s="33" t="inlineStr">
        <is>
          <t>Layer 9 per-name deep research (2026-05-18): WebSearch + yfinance fundamentals + analyst revisions + SEC 8-K/6-K filings + IR press releases</t>
        </is>
      </c>
      <c r="G1266" s="33" t="inlineStr">
        <is>
          <t>High</t>
        </is>
      </c>
      <c r="H1266" s="33" t="inlineStr">
        <is>
          <t>Initial</t>
        </is>
      </c>
    </row>
    <row r="1267">
      <c r="A1267" s="33" t="inlineStr">
        <is>
          <t>2026-05-18</t>
        </is>
      </c>
      <c r="B1267" s="33" t="inlineStr">
        <is>
          <t>IREN</t>
        </is>
      </c>
      <c r="C1267" s="33" t="inlineStr">
        <is>
          <t>R4</t>
        </is>
      </c>
      <c r="D1267" s="33" t="n">
        <v>3</v>
      </c>
      <c r="E1267" s="33" t="inlineStr">
        <is>
          <t>Clean — no active regulatory overhang identified.</t>
        </is>
      </c>
      <c r="F1267" s="33" t="inlineStr">
        <is>
          <t>Layer 9 per-name deep research (2026-05-18): WebSearch + yfinance fundamentals + analyst revisions + SEC 8-K/6-K filings + IR press releases</t>
        </is>
      </c>
      <c r="G1267" s="33" t="inlineStr">
        <is>
          <t>High</t>
        </is>
      </c>
      <c r="H1267" s="33" t="inlineStr">
        <is>
          <t>Initial</t>
        </is>
      </c>
    </row>
    <row r="1268">
      <c r="A1268" s="33" t="inlineStr">
        <is>
          <t>2026-05-18</t>
        </is>
      </c>
      <c r="B1268" s="33" t="inlineStr">
        <is>
          <t>CIFR</t>
        </is>
      </c>
      <c r="C1268" s="33" t="inlineStr">
        <is>
          <t>D1</t>
        </is>
      </c>
      <c r="D1268" s="33" t="n">
        <v>4</v>
      </c>
      <c r="E1268" s="33" t="inlineStr">
        <is>
          <t>$9.3B HPC contract backlog (AWS 15yr/300MW + Fluidstack + Google) = AI is dominant forward narrative; rebranded Cipher Digital Feb 2026.</t>
        </is>
      </c>
      <c r="F1268" s="33" t="inlineStr">
        <is>
          <t>Layer 9 per-name deep research (2026-05-18): WebSearch + yfinance fundamentals + analyst revisions + SEC 8-K/6-K filings + IR press releases</t>
        </is>
      </c>
      <c r="G1268" s="33" t="inlineStr">
        <is>
          <t>High</t>
        </is>
      </c>
      <c r="H1268" s="33" t="inlineStr">
        <is>
          <t>Initial</t>
        </is>
      </c>
    </row>
    <row r="1269">
      <c r="A1269" s="33" t="inlineStr">
        <is>
          <t>2026-05-18</t>
        </is>
      </c>
      <c r="B1269" s="33" t="inlineStr">
        <is>
          <t>CIFR</t>
        </is>
      </c>
      <c r="C1269" s="33" t="inlineStr">
        <is>
          <t>D2</t>
        </is>
      </c>
      <c r="D1269" s="33" t="n">
        <v>3</v>
      </c>
      <c r="E1269" s="33" t="inlineStr">
        <is>
          <t>Downstream colo hoster.</t>
        </is>
      </c>
      <c r="F1269" s="33" t="inlineStr">
        <is>
          <t>Layer 9 per-name deep research (2026-05-18): WebSearch + yfinance fundamentals + analyst revisions + SEC 8-K/6-K filings + IR press releases</t>
        </is>
      </c>
      <c r="G1269" s="33" t="inlineStr">
        <is>
          <t>High</t>
        </is>
      </c>
      <c r="H1269" s="33" t="inlineStr">
        <is>
          <t>Initial</t>
        </is>
      </c>
    </row>
    <row r="1270">
      <c r="A1270" s="33" t="inlineStr">
        <is>
          <t>2026-05-18</t>
        </is>
      </c>
      <c r="B1270" s="33" t="inlineStr">
        <is>
          <t>CIFR</t>
        </is>
      </c>
      <c r="C1270" s="33" t="inlineStr">
        <is>
          <t>D3</t>
        </is>
      </c>
      <c r="D1270" s="33" t="n">
        <v>3</v>
      </c>
      <c r="E1270" s="33" t="inlineStr">
        <is>
          <t>15yr AWS lock = durable contract; but commoditizable colo economics longer-term.</t>
        </is>
      </c>
      <c r="F1270" s="33" t="inlineStr">
        <is>
          <t>Layer 9 per-name deep research (2026-05-18): WebSearch + yfinance fundamentals + analyst revisions + SEC 8-K/6-K filings + IR press releases</t>
        </is>
      </c>
      <c r="G1270" s="33" t="inlineStr">
        <is>
          <t>Medium</t>
        </is>
      </c>
      <c r="H1270" s="33" t="inlineStr">
        <is>
          <t>Initial</t>
        </is>
      </c>
    </row>
    <row r="1271">
      <c r="A1271" s="33" t="inlineStr">
        <is>
          <t>2026-05-18</t>
        </is>
      </c>
      <c r="B1271" s="33" t="inlineStr">
        <is>
          <t>CIFR</t>
        </is>
      </c>
      <c r="C1271" s="33" t="inlineStr">
        <is>
          <t>D4</t>
        </is>
      </c>
      <c r="D1271" s="33" t="n">
        <v>4</v>
      </c>
      <c r="E1271" s="33" t="inlineStr">
        <is>
          <t>300MW AWS in two phases starting July 2026; deep pipeline (Black Pearl, Barber Lake, Stingray, etc).</t>
        </is>
      </c>
      <c r="F1271" s="33" t="inlineStr">
        <is>
          <t>Layer 9 per-name deep research (2026-05-18): WebSearch + yfinance fundamentals + analyst revisions + SEC 8-K/6-K filings + IR press releases</t>
        </is>
      </c>
      <c r="G1271" s="33" t="inlineStr">
        <is>
          <t>High</t>
        </is>
      </c>
      <c r="H1271" s="33" t="inlineStr">
        <is>
          <t>Initial</t>
        </is>
      </c>
    </row>
    <row r="1272">
      <c r="A1272" s="33" t="inlineStr">
        <is>
          <t>2026-05-18</t>
        </is>
      </c>
      <c r="B1272" s="33" t="inlineStr">
        <is>
          <t>CIFR</t>
        </is>
      </c>
      <c r="C1272" s="33" t="inlineStr">
        <is>
          <t>D5</t>
        </is>
      </c>
      <c r="D1272" s="33" t="n">
        <v>5</v>
      </c>
      <c r="E1272" s="33" t="inlineStr">
        <is>
          <t>Direct AWS 15yr/$5.5B + Google + Fluidstack — top-tier multi-anchor.</t>
        </is>
      </c>
      <c r="F1272" s="33" t="inlineStr">
        <is>
          <t>Layer 9 per-name deep research (2026-05-18): WebSearch + yfinance fundamentals + analyst revisions + SEC 8-K/6-K filings + IR press releases</t>
        </is>
      </c>
      <c r="G1272" s="33" t="inlineStr">
        <is>
          <t>High</t>
        </is>
      </c>
      <c r="H1272" s="33" t="inlineStr">
        <is>
          <t>Initial</t>
        </is>
      </c>
    </row>
    <row r="1273">
      <c r="A1273" s="33" t="inlineStr">
        <is>
          <t>2026-05-18</t>
        </is>
      </c>
      <c r="B1273" s="33" t="inlineStr">
        <is>
          <t>CIFR</t>
        </is>
      </c>
      <c r="C1273" s="33" t="inlineStr">
        <is>
          <t>M1</t>
        </is>
      </c>
      <c r="D1273" s="33" t="n">
        <v>2</v>
      </c>
      <c r="E1273" s="33" t="inlineStr">
        <is>
          <t>0 up / 1 down (30d). Negative revisions.</t>
        </is>
      </c>
      <c r="F1273" s="33" t="inlineStr">
        <is>
          <t>Layer 9 per-name deep research (2026-05-18): WebSearch + yfinance fundamentals + analyst revisions + SEC 8-K/6-K filings + IR press releases</t>
        </is>
      </c>
      <c r="G1273" s="33" t="inlineStr">
        <is>
          <t>High</t>
        </is>
      </c>
      <c r="H1273" s="33" t="inlineStr">
        <is>
          <t>Initial</t>
        </is>
      </c>
    </row>
    <row r="1274">
      <c r="A1274" s="33" t="inlineStr">
        <is>
          <t>2026-05-18</t>
        </is>
      </c>
      <c r="B1274" s="33" t="inlineStr">
        <is>
          <t>CIFR</t>
        </is>
      </c>
      <c r="C1274" s="33" t="inlineStr">
        <is>
          <t>M2</t>
        </is>
      </c>
      <c r="D1274" s="33" t="n">
        <v>5</v>
      </c>
      <c r="E1274" s="33" t="inlineStr">
        <is>
          <t>+402% absolute 1y; +355pp vs BITQ — extreme leader.</t>
        </is>
      </c>
      <c r="F1274" s="33" t="inlineStr">
        <is>
          <t>Layer 9 per-name deep research (2026-05-18): WebSearch + yfinance fundamentals + analyst revisions + SEC 8-K/6-K filings + IR press releases</t>
        </is>
      </c>
      <c r="G1274" s="33" t="inlineStr">
        <is>
          <t>High</t>
        </is>
      </c>
      <c r="H1274" s="33" t="inlineStr">
        <is>
          <t>Initial</t>
        </is>
      </c>
    </row>
    <row r="1275">
      <c r="A1275" s="33" t="inlineStr">
        <is>
          <t>2026-05-18</t>
        </is>
      </c>
      <c r="B1275" s="33" t="inlineStr">
        <is>
          <t>CIFR</t>
        </is>
      </c>
      <c r="C1275" s="33" t="inlineStr">
        <is>
          <t>M3</t>
        </is>
      </c>
      <c r="D1275" s="33" t="n">
        <v>3</v>
      </c>
      <c r="E1275" s="33" t="inlineStr">
        <is>
          <t>Default neutral.</t>
        </is>
      </c>
      <c r="F1275" s="33" t="inlineStr">
        <is>
          <t>Layer 9 per-name deep research (2026-05-18): WebSearch + yfinance fundamentals + analyst revisions + SEC 8-K/6-K filings + IR press releases</t>
        </is>
      </c>
      <c r="G1275" s="33" t="inlineStr">
        <is>
          <t>Low</t>
        </is>
      </c>
      <c r="H1275" s="33" t="inlineStr">
        <is>
          <t>Initial</t>
        </is>
      </c>
    </row>
    <row r="1276">
      <c r="A1276" s="33" t="inlineStr">
        <is>
          <t>2026-05-18</t>
        </is>
      </c>
      <c r="B1276" s="33" t="inlineStr">
        <is>
          <t>CIFR</t>
        </is>
      </c>
      <c r="C1276" s="33" t="inlineStr">
        <is>
          <t>R1</t>
        </is>
      </c>
      <c r="D1276" s="33" t="n">
        <v>3</v>
      </c>
      <c r="E1276" s="33" t="inlineStr">
        <is>
          <t>Multiple hyperscalers — diversified.</t>
        </is>
      </c>
      <c r="F1276" s="33" t="inlineStr">
        <is>
          <t>Layer 9 per-name deep research (2026-05-18): WebSearch + yfinance fundamentals + analyst revisions + SEC 8-K/6-K filings + IR press releases</t>
        </is>
      </c>
      <c r="G1276" s="33" t="inlineStr">
        <is>
          <t>High</t>
        </is>
      </c>
      <c r="H1276" s="33" t="inlineStr">
        <is>
          <t>Initial</t>
        </is>
      </c>
    </row>
    <row r="1277">
      <c r="A1277" s="33" t="inlineStr">
        <is>
          <t>2026-05-18</t>
        </is>
      </c>
      <c r="B1277" s="33" t="inlineStr">
        <is>
          <t>CIFR</t>
        </is>
      </c>
      <c r="C1277" s="33" t="inlineStr">
        <is>
          <t>R2</t>
        </is>
      </c>
      <c r="D1277" s="33" t="n">
        <v>4</v>
      </c>
      <c r="E1277" s="33" t="inlineStr">
        <is>
          <t>Texas operations — clean geo.</t>
        </is>
      </c>
      <c r="F1277" s="33" t="inlineStr">
        <is>
          <t>Layer 9 per-name deep research (2026-05-18): WebSearch + yfinance fundamentals + analyst revisions + SEC 8-K/6-K filings + IR press releases</t>
        </is>
      </c>
      <c r="G1277" s="33" t="inlineStr">
        <is>
          <t>High</t>
        </is>
      </c>
      <c r="H1277" s="33" t="inlineStr">
        <is>
          <t>Initial</t>
        </is>
      </c>
    </row>
    <row r="1278">
      <c r="A1278" s="33" t="inlineStr">
        <is>
          <t>2026-05-18</t>
        </is>
      </c>
      <c r="B1278" s="33" t="inlineStr">
        <is>
          <t>CIFR</t>
        </is>
      </c>
      <c r="C1278" s="33" t="inlineStr">
        <is>
          <t>R3</t>
        </is>
      </c>
      <c r="D1278" s="33" t="n">
        <v>2</v>
      </c>
      <c r="E1278" s="33" t="inlineStr">
        <is>
          <t>FCFM -1405% massive capex absorption; ND/EBITDA 24 elevated. CALIBRATION FLAG: rubric may be too punitive on contracts-in-execution-phase financials; logged for quarterly review per Dom 2026-05-18. Kept at 2.</t>
        </is>
      </c>
      <c r="F1278" s="33" t="inlineStr">
        <is>
          <t>Layer 9 per-name deep research (2026-05-18): WebSearch + yfinance fundamentals + analyst revisions + SEC 8-K/6-K filings + IR press releases</t>
        </is>
      </c>
      <c r="G1278" s="33" t="inlineStr">
        <is>
          <t>High</t>
        </is>
      </c>
      <c r="H1278" s="33" t="inlineStr">
        <is>
          <t>Initial</t>
        </is>
      </c>
    </row>
    <row r="1279">
      <c r="A1279" s="33" t="inlineStr">
        <is>
          <t>2026-05-18</t>
        </is>
      </c>
      <c r="B1279" s="33" t="inlineStr">
        <is>
          <t>CIFR</t>
        </is>
      </c>
      <c r="C1279" s="33" t="inlineStr">
        <is>
          <t>R4</t>
        </is>
      </c>
      <c r="D1279" s="33" t="n">
        <v>3</v>
      </c>
      <c r="E1279" s="33" t="inlineStr">
        <is>
          <t>Clean post-rebrand; high-yield bond financings in place.</t>
        </is>
      </c>
      <c r="F1279" s="33" t="inlineStr">
        <is>
          <t>Layer 9 per-name deep research (2026-05-18): WebSearch + yfinance fundamentals + analyst revisions + SEC 8-K/6-K filings + IR press releases</t>
        </is>
      </c>
      <c r="G1279" s="33" t="inlineStr">
        <is>
          <t>Medium</t>
        </is>
      </c>
      <c r="H1279" s="33" t="inlineStr">
        <is>
          <t>Initial</t>
        </is>
      </c>
    </row>
    <row r="1280">
      <c r="A1280" s="33" t="inlineStr">
        <is>
          <t>2026-05-18</t>
        </is>
      </c>
      <c r="B1280" s="33" t="inlineStr">
        <is>
          <t>CLSK</t>
        </is>
      </c>
      <c r="C1280" s="33" t="inlineStr">
        <is>
          <t>D1</t>
        </is>
      </c>
      <c r="D1280" s="33" t="n">
        <v>2</v>
      </c>
      <c r="E1280" s="33" t="inlineStr">
        <is>
          <t>No signed AI leases yet; 95%+ BTC mining revenue. AI/HPC capacity in development only.</t>
        </is>
      </c>
      <c r="F1280" s="33" t="inlineStr">
        <is>
          <t>Layer 9 per-name deep research (2026-05-18): WebSearch + yfinance fundamentals + analyst revisions + SEC 8-K/6-K filings + IR press releases</t>
        </is>
      </c>
      <c r="G1280" s="33" t="inlineStr">
        <is>
          <t>High</t>
        </is>
      </c>
      <c r="H1280" s="33" t="inlineStr">
        <is>
          <t>Initial</t>
        </is>
      </c>
    </row>
    <row r="1281">
      <c r="A1281" s="33" t="inlineStr">
        <is>
          <t>2026-05-18</t>
        </is>
      </c>
      <c r="B1281" s="33" t="inlineStr">
        <is>
          <t>CLSK</t>
        </is>
      </c>
      <c r="C1281" s="33" t="inlineStr">
        <is>
          <t>D2</t>
        </is>
      </c>
      <c r="D1281" s="33" t="n">
        <v>2</v>
      </c>
      <c r="E1281" s="33" t="inlineStr">
        <is>
          <t>Mostly BTC miner with power asset optionality.</t>
        </is>
      </c>
      <c r="F1281" s="33" t="inlineStr">
        <is>
          <t>Layer 9 per-name deep research (2026-05-18): WebSearch + yfinance fundamentals + analyst revisions + SEC 8-K/6-K filings + IR press releases</t>
        </is>
      </c>
      <c r="G1281" s="33" t="inlineStr">
        <is>
          <t>High</t>
        </is>
      </c>
      <c r="H1281" s="33" t="inlineStr">
        <is>
          <t>Initial</t>
        </is>
      </c>
    </row>
    <row r="1282">
      <c r="A1282" s="33" t="inlineStr">
        <is>
          <t>2026-05-18</t>
        </is>
      </c>
      <c r="B1282" s="33" t="inlineStr">
        <is>
          <t>CLSK</t>
        </is>
      </c>
      <c r="C1282" s="33" t="inlineStr">
        <is>
          <t>D3</t>
        </is>
      </c>
      <c r="D1282" s="33" t="n">
        <v>2</v>
      </c>
      <c r="E1282" s="33" t="inlineStr">
        <is>
          <t>No AI moat; pre-customer.</t>
        </is>
      </c>
      <c r="F1282" s="33" t="inlineStr">
        <is>
          <t>Layer 9 per-name deep research (2026-05-18): WebSearch + yfinance fundamentals + analyst revisions + SEC 8-K/6-K filings + IR press releases</t>
        </is>
      </c>
      <c r="G1282" s="33" t="inlineStr">
        <is>
          <t>High</t>
        </is>
      </c>
      <c r="H1282" s="33" t="inlineStr">
        <is>
          <t>Initial</t>
        </is>
      </c>
    </row>
    <row r="1283">
      <c r="A1283" s="33" t="inlineStr">
        <is>
          <t>2026-05-18</t>
        </is>
      </c>
      <c r="B1283" s="33" t="inlineStr">
        <is>
          <t>CLSK</t>
        </is>
      </c>
      <c r="C1283" s="33" t="inlineStr">
        <is>
          <t>D4</t>
        </is>
      </c>
      <c r="D1283" s="33" t="n">
        <v>3</v>
      </c>
      <c r="E1283" s="33" t="inlineStr">
        <is>
          <t>300MW ERCOT approval Brazoria (up to 600MW potential); no signed AI customer.</t>
        </is>
      </c>
      <c r="F1283" s="33" t="inlineStr">
        <is>
          <t>Layer 9 per-name deep research (2026-05-18): WebSearch + yfinance fundamentals + analyst revisions + SEC 8-K/6-K filings + IR press releases</t>
        </is>
      </c>
      <c r="G1283" s="33" t="inlineStr">
        <is>
          <t>High</t>
        </is>
      </c>
      <c r="H1283" s="33" t="inlineStr">
        <is>
          <t>Initial</t>
        </is>
      </c>
    </row>
    <row r="1284">
      <c r="A1284" s="33" t="inlineStr">
        <is>
          <t>2026-05-18</t>
        </is>
      </c>
      <c r="B1284" s="33" t="inlineStr">
        <is>
          <t>CLSK</t>
        </is>
      </c>
      <c r="C1284" s="33" t="inlineStr">
        <is>
          <t>D5</t>
        </is>
      </c>
      <c r="D1284" s="33" t="n">
        <v>1</v>
      </c>
      <c r="E1284" s="33" t="inlineStr">
        <is>
          <t>No hyperscaler customer.</t>
        </is>
      </c>
      <c r="F1284" s="33" t="inlineStr">
        <is>
          <t>Layer 9 per-name deep research (2026-05-18): WebSearch + yfinance fundamentals + analyst revisions + SEC 8-K/6-K filings + IR press releases</t>
        </is>
      </c>
      <c r="G1284" s="33" t="inlineStr">
        <is>
          <t>High</t>
        </is>
      </c>
      <c r="H1284" s="33" t="inlineStr">
        <is>
          <t>Initial</t>
        </is>
      </c>
    </row>
    <row r="1285">
      <c r="A1285" s="33" t="inlineStr">
        <is>
          <t>2026-05-18</t>
        </is>
      </c>
      <c r="B1285" s="33" t="inlineStr">
        <is>
          <t>CLSK</t>
        </is>
      </c>
      <c r="C1285" s="33" t="inlineStr">
        <is>
          <t>M1</t>
        </is>
      </c>
      <c r="D1285" s="33" t="n">
        <v>2</v>
      </c>
      <c r="E1285" s="33" t="inlineStr">
        <is>
          <t>0 up / 1 down (30d). Negative.</t>
        </is>
      </c>
      <c r="F1285" s="33" t="inlineStr">
        <is>
          <t>Layer 9 per-name deep research (2026-05-18): WebSearch + yfinance fundamentals + analyst revisions + SEC 8-K/6-K filings + IR press releases</t>
        </is>
      </c>
      <c r="G1285" s="33" t="inlineStr">
        <is>
          <t>High</t>
        </is>
      </c>
      <c r="H1285" s="33" t="inlineStr">
        <is>
          <t>Initial</t>
        </is>
      </c>
    </row>
    <row r="1286">
      <c r="A1286" s="33" t="inlineStr">
        <is>
          <t>2026-05-18</t>
        </is>
      </c>
      <c r="B1286" s="33" t="inlineStr">
        <is>
          <t>CLSK</t>
        </is>
      </c>
      <c r="C1286" s="33" t="inlineStr">
        <is>
          <t>M2</t>
        </is>
      </c>
      <c r="D1286" s="33" t="n">
        <v>1</v>
      </c>
      <c r="E1286" s="33" t="inlineStr">
        <is>
          <t>+37% absolute 1y; -10pp vs BITQ — actively lagging crypto peer ETF.</t>
        </is>
      </c>
      <c r="F1286" s="33" t="inlineStr">
        <is>
          <t>Layer 9 per-name deep research (2026-05-18): WebSearch + yfinance fundamentals + analyst revisions + SEC 8-K/6-K filings + IR press releases</t>
        </is>
      </c>
      <c r="G1286" s="33" t="inlineStr">
        <is>
          <t>High</t>
        </is>
      </c>
      <c r="H1286" s="33" t="inlineStr">
        <is>
          <t>Initial</t>
        </is>
      </c>
    </row>
    <row r="1287">
      <c r="A1287" s="33" t="inlineStr">
        <is>
          <t>2026-05-18</t>
        </is>
      </c>
      <c r="B1287" s="33" t="inlineStr">
        <is>
          <t>CLSK</t>
        </is>
      </c>
      <c r="C1287" s="33" t="inlineStr">
        <is>
          <t>M3</t>
        </is>
      </c>
      <c r="D1287" s="33" t="n">
        <v>3</v>
      </c>
      <c r="E1287" s="33" t="inlineStr">
        <is>
          <t>Default neutral.</t>
        </is>
      </c>
      <c r="F1287" s="33" t="inlineStr">
        <is>
          <t>Layer 9 per-name deep research (2026-05-18): WebSearch + yfinance fundamentals + analyst revisions + SEC 8-K/6-K filings + IR press releases</t>
        </is>
      </c>
      <c r="G1287" s="33" t="inlineStr">
        <is>
          <t>Low</t>
        </is>
      </c>
      <c r="H1287" s="33" t="inlineStr">
        <is>
          <t>Initial</t>
        </is>
      </c>
    </row>
    <row r="1288">
      <c r="A1288" s="33" t="inlineStr">
        <is>
          <t>2026-05-18</t>
        </is>
      </c>
      <c r="B1288" s="33" t="inlineStr">
        <is>
          <t>CLSK</t>
        </is>
      </c>
      <c r="C1288" s="33" t="inlineStr">
        <is>
          <t>R1</t>
        </is>
      </c>
      <c r="D1288" s="33" t="n">
        <v>3</v>
      </c>
      <c r="E1288" s="33" t="inlineStr">
        <is>
          <t>Diversified BTC mining; no AI customer concentration since no AI customers.</t>
        </is>
      </c>
      <c r="F1288" s="33" t="inlineStr">
        <is>
          <t>Layer 9 per-name deep research (2026-05-18): WebSearch + yfinance fundamentals + analyst revisions + SEC 8-K/6-K filings + IR press releases</t>
        </is>
      </c>
      <c r="G1288" s="33" t="inlineStr">
        <is>
          <t>High</t>
        </is>
      </c>
      <c r="H1288" s="33" t="inlineStr">
        <is>
          <t>Initial</t>
        </is>
      </c>
    </row>
    <row r="1289">
      <c r="A1289" s="33" t="inlineStr">
        <is>
          <t>2026-05-18</t>
        </is>
      </c>
      <c r="B1289" s="33" t="inlineStr">
        <is>
          <t>CLSK</t>
        </is>
      </c>
      <c r="C1289" s="33" t="inlineStr">
        <is>
          <t>R2</t>
        </is>
      </c>
      <c r="D1289" s="33" t="n">
        <v>4</v>
      </c>
      <c r="E1289" s="33" t="inlineStr">
        <is>
          <t>US — clean geo.</t>
        </is>
      </c>
      <c r="F1289" s="33" t="inlineStr">
        <is>
          <t>Layer 9 per-name deep research (2026-05-18): WebSearch + yfinance fundamentals + analyst revisions + SEC 8-K/6-K filings + IR press releases</t>
        </is>
      </c>
      <c r="G1289" s="33" t="inlineStr">
        <is>
          <t>High</t>
        </is>
      </c>
      <c r="H1289" s="33" t="inlineStr">
        <is>
          <t>Initial</t>
        </is>
      </c>
    </row>
    <row r="1290">
      <c r="A1290" s="33" t="inlineStr">
        <is>
          <t>2026-05-18</t>
        </is>
      </c>
      <c r="B1290" s="33" t="inlineStr">
        <is>
          <t>CLSK</t>
        </is>
      </c>
      <c r="C1290" s="33" t="inlineStr">
        <is>
          <t>R3</t>
        </is>
      </c>
      <c r="D1290" s="33" t="n">
        <v>3</v>
      </c>
      <c r="E1290" s="33" t="inlineStr">
        <is>
          <t>ND/EBITDA -3.95 net cash; relatively clean balance sheet for peer group; 13,363 BTC treasury reserves.</t>
        </is>
      </c>
      <c r="F1290" s="33" t="inlineStr">
        <is>
          <t>Layer 9 per-name deep research (2026-05-18): WebSearch + yfinance fundamentals + analyst revisions + SEC 8-K/6-K filings + IR press releases</t>
        </is>
      </c>
      <c r="G1290" s="33" t="inlineStr">
        <is>
          <t>High</t>
        </is>
      </c>
      <c r="H1290" s="33" t="inlineStr">
        <is>
          <t>Initial</t>
        </is>
      </c>
    </row>
    <row r="1291">
      <c r="A1291" s="33" t="inlineStr">
        <is>
          <t>2026-05-18</t>
        </is>
      </c>
      <c r="B1291" s="33" t="inlineStr">
        <is>
          <t>CLSK</t>
        </is>
      </c>
      <c r="C1291" s="33" t="inlineStr">
        <is>
          <t>R4</t>
        </is>
      </c>
      <c r="D1291" s="33" t="n">
        <v>4</v>
      </c>
      <c r="E1291" s="33" t="inlineStr">
        <is>
          <t>Clean — pure-play BTC miner regulatory environment.</t>
        </is>
      </c>
      <c r="F1291" s="33" t="inlineStr">
        <is>
          <t>Layer 9 per-name deep research (2026-05-18): WebSearch + yfinance fundamentals + analyst revisions + SEC 8-K/6-K filings + IR press releases</t>
        </is>
      </c>
      <c r="G1291" s="33" t="inlineStr">
        <is>
          <t>High</t>
        </is>
      </c>
      <c r="H1291" s="33" t="inlineStr">
        <is>
          <t>Initial</t>
        </is>
      </c>
    </row>
    <row r="1292">
      <c r="A1292" s="33" t="inlineStr">
        <is>
          <t>2026-05-18</t>
        </is>
      </c>
      <c r="B1292" s="33" t="inlineStr">
        <is>
          <t>BTDR</t>
        </is>
      </c>
      <c r="C1292" s="33" t="inlineStr">
        <is>
          <t>D1</t>
        </is>
      </c>
      <c r="D1292" s="33" t="n">
        <v>3</v>
      </c>
      <c r="E1292" s="33" t="inlineStr">
        <is>
          <t>AI cloud ARR ~$69M (April 2026, +60% MoM) but still small vs mining; pivoting.</t>
        </is>
      </c>
      <c r="F1292" s="33" t="inlineStr">
        <is>
          <t>Layer 9 per-name deep research (2026-05-18): WebSearch + yfinance fundamentals + analyst revisions + SEC 8-K/6-K filings + IR press releases</t>
        </is>
      </c>
      <c r="G1292" s="33" t="inlineStr">
        <is>
          <t>High</t>
        </is>
      </c>
      <c r="H1292" s="33" t="inlineStr">
        <is>
          <t>Initial</t>
        </is>
      </c>
    </row>
    <row r="1293">
      <c r="A1293" s="33" t="inlineStr">
        <is>
          <t>2026-05-18</t>
        </is>
      </c>
      <c r="B1293" s="33" t="inlineStr">
        <is>
          <t>BTDR</t>
        </is>
      </c>
      <c r="C1293" s="33" t="inlineStr">
        <is>
          <t>D2</t>
        </is>
      </c>
      <c r="D1293" s="33" t="n">
        <v>3</v>
      </c>
      <c r="E1293" s="33" t="inlineStr">
        <is>
          <t>Compute infra play with some upstream via NVDA GB200 partnership.</t>
        </is>
      </c>
      <c r="F1293" s="33" t="inlineStr">
        <is>
          <t>Layer 9 per-name deep research (2026-05-18): WebSearch + yfinance fundamentals + analyst revisions + SEC 8-K/6-K filings + IR press releases</t>
        </is>
      </c>
      <c r="G1293" s="33" t="inlineStr">
        <is>
          <t>Medium</t>
        </is>
      </c>
      <c r="H1293" s="33" t="inlineStr">
        <is>
          <t>Initial</t>
        </is>
      </c>
    </row>
    <row r="1294">
      <c r="A1294" s="33" t="inlineStr">
        <is>
          <t>2026-05-18</t>
        </is>
      </c>
      <c r="B1294" s="33" t="inlineStr">
        <is>
          <t>BTDR</t>
        </is>
      </c>
      <c r="C1294" s="33" t="inlineStr">
        <is>
          <t>D3</t>
        </is>
      </c>
      <c r="D1294" s="33" t="n">
        <v>3</v>
      </c>
      <c r="E1294" s="33" t="inlineStr">
        <is>
          <t>NVDA GB200 NVL72 Malaysia + Tydal Norway low-cost power = some differentiation but commoditizable.</t>
        </is>
      </c>
      <c r="F1294" s="33" t="inlineStr">
        <is>
          <t>Layer 9 per-name deep research (2026-05-18): WebSearch + yfinance fundamentals + analyst revisions + SEC 8-K/6-K filings + IR press releases</t>
        </is>
      </c>
      <c r="G1294" s="33" t="inlineStr">
        <is>
          <t>Medium</t>
        </is>
      </c>
      <c r="H1294" s="33" t="inlineStr">
        <is>
          <t>Initial</t>
        </is>
      </c>
    </row>
    <row r="1295">
      <c r="A1295" s="33" t="inlineStr">
        <is>
          <t>2026-05-18</t>
        </is>
      </c>
      <c r="B1295" s="33" t="inlineStr">
        <is>
          <t>BTDR</t>
        </is>
      </c>
      <c r="C1295" s="33" t="inlineStr">
        <is>
          <t>D4</t>
        </is>
      </c>
      <c r="D1295" s="33" t="n">
        <v>4</v>
      </c>
      <c r="E1295" s="33" t="inlineStr">
        <is>
          <t>3.0GW global capacity; 180MW Tydal Norway end-2026 for Vera Rubin colo.</t>
        </is>
      </c>
      <c r="F1295" s="33" t="inlineStr">
        <is>
          <t>Layer 9 per-name deep research (2026-05-18): WebSearch + yfinance fundamentals + analyst revisions + SEC 8-K/6-K filings + IR press releases</t>
        </is>
      </c>
      <c r="G1295" s="33" t="inlineStr">
        <is>
          <t>High</t>
        </is>
      </c>
      <c r="H1295" s="33" t="inlineStr">
        <is>
          <t>Initial</t>
        </is>
      </c>
    </row>
    <row r="1296">
      <c r="A1296" s="33" t="inlineStr">
        <is>
          <t>2026-05-18</t>
        </is>
      </c>
      <c r="B1296" s="33" t="inlineStr">
        <is>
          <t>BTDR</t>
        </is>
      </c>
      <c r="C1296" s="33" t="inlineStr">
        <is>
          <t>D5</t>
        </is>
      </c>
      <c r="D1296" s="33" t="n">
        <v>3</v>
      </c>
      <c r="E1296" s="33" t="inlineStr">
        <is>
          <t>Tydal hosting tenant in advanced negotiation — not yet signed direct hyperscaler.</t>
        </is>
      </c>
      <c r="F1296" s="33" t="inlineStr">
        <is>
          <t>Layer 9 per-name deep research (2026-05-18): WebSearch + yfinance fundamentals + analyst revisions + SEC 8-K/6-K filings + IR press releases</t>
        </is>
      </c>
      <c r="G1296" s="33" t="inlineStr">
        <is>
          <t>Medium</t>
        </is>
      </c>
      <c r="H1296" s="33" t="inlineStr">
        <is>
          <t>Initial</t>
        </is>
      </c>
    </row>
    <row r="1297">
      <c r="A1297" s="33" t="inlineStr">
        <is>
          <t>2026-05-18</t>
        </is>
      </c>
      <c r="B1297" s="33" t="inlineStr">
        <is>
          <t>BTDR</t>
        </is>
      </c>
      <c r="C1297" s="33" t="inlineStr">
        <is>
          <t>M1</t>
        </is>
      </c>
      <c r="D1297" s="33" t="n">
        <v>2</v>
      </c>
      <c r="E1297" s="33" t="inlineStr">
        <is>
          <t>1 up / 2 down (30d). Net negative.</t>
        </is>
      </c>
      <c r="F1297" s="33" t="inlineStr">
        <is>
          <t>Layer 9 per-name deep research (2026-05-18): WebSearch + yfinance fundamentals + analyst revisions + SEC 8-K/6-K filings + IR press releases</t>
        </is>
      </c>
      <c r="G1297" s="33" t="inlineStr">
        <is>
          <t>High</t>
        </is>
      </c>
      <c r="H1297" s="33" t="inlineStr">
        <is>
          <t>Initial</t>
        </is>
      </c>
    </row>
    <row r="1298">
      <c r="A1298" s="33" t="inlineStr">
        <is>
          <t>2026-05-18</t>
        </is>
      </c>
      <c r="B1298" s="33" t="inlineStr">
        <is>
          <t>BTDR</t>
        </is>
      </c>
      <c r="C1298" s="33" t="inlineStr">
        <is>
          <t>M2</t>
        </is>
      </c>
      <c r="D1298" s="33" t="n">
        <v>1</v>
      </c>
      <c r="E1298" s="33" t="inlineStr">
        <is>
          <t>-14% absolute 1y; -61pp vs BITQ — laggard. CALIBRATION FLAG: in a normal market -14% would be M2=2, but BITQ peer benchmark and AI-peer-group strength justify M2=1. Logged for quarterly review per Dom 2026-05-18.</t>
        </is>
      </c>
      <c r="F1298" s="33" t="inlineStr">
        <is>
          <t>Layer 9 per-name deep research (2026-05-18): WebSearch + yfinance fundamentals + analyst revisions + SEC 8-K/6-K filings + IR press releases</t>
        </is>
      </c>
      <c r="G1298" s="33" t="inlineStr">
        <is>
          <t>Medium</t>
        </is>
      </c>
      <c r="H1298" s="33" t="inlineStr">
        <is>
          <t>Initial</t>
        </is>
      </c>
    </row>
    <row r="1299">
      <c r="A1299" s="33" t="inlineStr">
        <is>
          <t>2026-05-18</t>
        </is>
      </c>
      <c r="B1299" s="33" t="inlineStr">
        <is>
          <t>BTDR</t>
        </is>
      </c>
      <c r="C1299" s="33" t="inlineStr">
        <is>
          <t>M3</t>
        </is>
      </c>
      <c r="D1299" s="33" t="n">
        <v>3</v>
      </c>
      <c r="E1299" s="33" t="inlineStr">
        <is>
          <t>Default neutral.</t>
        </is>
      </c>
      <c r="F1299" s="33" t="inlineStr">
        <is>
          <t>Layer 9 per-name deep research (2026-05-18): WebSearch + yfinance fundamentals + analyst revisions + SEC 8-K/6-K filings + IR press releases</t>
        </is>
      </c>
      <c r="G1299" s="33" t="inlineStr">
        <is>
          <t>Low</t>
        </is>
      </c>
      <c r="H1299" s="33" t="inlineStr">
        <is>
          <t>Initial</t>
        </is>
      </c>
    </row>
    <row r="1300">
      <c r="A1300" s="33" t="inlineStr">
        <is>
          <t>2026-05-18</t>
        </is>
      </c>
      <c r="B1300" s="33" t="inlineStr">
        <is>
          <t>BTDR</t>
        </is>
      </c>
      <c r="C1300" s="33" t="inlineStr">
        <is>
          <t>R1</t>
        </is>
      </c>
      <c r="D1300" s="33" t="n">
        <v>3</v>
      </c>
      <c r="E1300" s="33" t="inlineStr">
        <is>
          <t>Diversified mining + AI cloud + colo.</t>
        </is>
      </c>
      <c r="F1300" s="33" t="inlineStr">
        <is>
          <t>Layer 9 per-name deep research (2026-05-18): WebSearch + yfinance fundamentals + analyst revisions + SEC 8-K/6-K filings + IR press releases</t>
        </is>
      </c>
      <c r="G1300" s="33" t="inlineStr">
        <is>
          <t>Medium</t>
        </is>
      </c>
      <c r="H1300" s="33" t="inlineStr">
        <is>
          <t>Initial</t>
        </is>
      </c>
    </row>
    <row r="1301">
      <c r="A1301" s="33" t="inlineStr">
        <is>
          <t>2026-05-18</t>
        </is>
      </c>
      <c r="B1301" s="33" t="inlineStr">
        <is>
          <t>BTDR</t>
        </is>
      </c>
      <c r="C1301" s="33" t="inlineStr">
        <is>
          <t>R2</t>
        </is>
      </c>
      <c r="D1301" s="33" t="n">
        <v>3</v>
      </c>
      <c r="E1301" s="33" t="inlineStr">
        <is>
          <t>Singapore HQ with Bitmain founder legacy ties = some China-adjacent FX/regulatory uncertainty.</t>
        </is>
      </c>
      <c r="F1301" s="33" t="inlineStr">
        <is>
          <t>Layer 9 per-name deep research (2026-05-18): WebSearch + yfinance fundamentals + analyst revisions + SEC 8-K/6-K filings + IR press releases</t>
        </is>
      </c>
      <c r="G1301" s="33" t="inlineStr">
        <is>
          <t>Medium</t>
        </is>
      </c>
      <c r="H1301" s="33" t="inlineStr">
        <is>
          <t>Initial</t>
        </is>
      </c>
    </row>
    <row r="1302">
      <c r="A1302" s="33" t="inlineStr">
        <is>
          <t>2026-05-18</t>
        </is>
      </c>
      <c r="B1302" s="33" t="inlineStr">
        <is>
          <t>BTDR</t>
        </is>
      </c>
      <c r="C1302" s="33" t="inlineStr">
        <is>
          <t>R3</t>
        </is>
      </c>
      <c r="D1302" s="33" t="n">
        <v>2</v>
      </c>
      <c r="E1302" s="33" t="inlineStr">
        <is>
          <t>FCFM -100%, high capex; ND/EBITDA 3.82 moderate.</t>
        </is>
      </c>
      <c r="F1302" s="33" t="inlineStr">
        <is>
          <t>Layer 9 per-name deep research (2026-05-18): WebSearch + yfinance fundamentals + analyst revisions + SEC 8-K/6-K filings + IR press releases</t>
        </is>
      </c>
      <c r="G1302" s="33" t="inlineStr">
        <is>
          <t>High</t>
        </is>
      </c>
      <c r="H1302" s="33" t="inlineStr">
        <is>
          <t>Initial</t>
        </is>
      </c>
    </row>
    <row r="1303">
      <c r="A1303" s="33" t="inlineStr">
        <is>
          <t>2026-05-18</t>
        </is>
      </c>
      <c r="B1303" s="33" t="inlineStr">
        <is>
          <t>BTDR</t>
        </is>
      </c>
      <c r="C1303" s="33" t="inlineStr">
        <is>
          <t>R4</t>
        </is>
      </c>
      <c r="D1303" s="33" t="n">
        <v>3</v>
      </c>
      <c r="E1303" s="33" t="inlineStr">
        <is>
          <t>Bitmain founder ownership ties = some regulatory tail; otherwise clean.</t>
        </is>
      </c>
      <c r="F1303" s="33" t="inlineStr">
        <is>
          <t>Layer 9 per-name deep research (2026-05-18): WebSearch + yfinance fundamentals + analyst revisions + SEC 8-K/6-K filings + IR press releases</t>
        </is>
      </c>
      <c r="G1303" s="33" t="inlineStr">
        <is>
          <t>Medium</t>
        </is>
      </c>
      <c r="H1303" s="33" t="inlineStr">
        <is>
          <t>Initial</t>
        </is>
      </c>
    </row>
    <row r="1304">
      <c r="A1304" s="33" t="inlineStr">
        <is>
          <t>2026-05-18</t>
        </is>
      </c>
      <c r="B1304" s="33" t="inlineStr">
        <is>
          <t>HUT</t>
        </is>
      </c>
      <c r="C1304" s="33" t="inlineStr">
        <is>
          <t>D1</t>
        </is>
      </c>
      <c r="D1304" s="33" t="n">
        <v>4</v>
      </c>
      <c r="E1304" s="33" t="inlineStr">
        <is>
          <t>$16.8B contracted triple-net lease revenues; Highrise AI subsidiary; AI lease portfolio now dominant forward narrative vs declining BTC mining mix.</t>
        </is>
      </c>
      <c r="F1304" s="33" t="inlineStr">
        <is>
          <t>Layer 9 per-name deep research (2026-05-18): WebSearch + yfinance fundamentals + analyst revisions + SEC 8-K/6-K filings + IR press releases</t>
        </is>
      </c>
      <c r="G1304" s="33" t="inlineStr">
        <is>
          <t>High</t>
        </is>
      </c>
      <c r="H1304" s="33" t="inlineStr">
        <is>
          <t>Initial</t>
        </is>
      </c>
    </row>
    <row r="1305">
      <c r="A1305" s="33" t="inlineStr">
        <is>
          <t>2026-05-18</t>
        </is>
      </c>
      <c r="B1305" s="33" t="inlineStr">
        <is>
          <t>HUT</t>
        </is>
      </c>
      <c r="C1305" s="33" t="inlineStr">
        <is>
          <t>D2</t>
        </is>
      </c>
      <c r="D1305" s="33" t="n">
        <v>3</v>
      </c>
      <c r="E1305" s="33" t="inlineStr">
        <is>
          <t>Downstream HPC hoster delivering power/colo to AI cloud operators.</t>
        </is>
      </c>
      <c r="F1305" s="33" t="inlineStr">
        <is>
          <t>Layer 9 per-name deep research (2026-05-18): WebSearch + yfinance fundamentals + analyst revisions + SEC 8-K/6-K filings + IR press releases</t>
        </is>
      </c>
      <c r="G1305" s="33" t="inlineStr">
        <is>
          <t>High</t>
        </is>
      </c>
      <c r="H1305" s="33" t="inlineStr">
        <is>
          <t>Initial</t>
        </is>
      </c>
    </row>
    <row r="1306">
      <c r="A1306" s="33" t="inlineStr">
        <is>
          <t>2026-05-18</t>
        </is>
      </c>
      <c r="B1306" s="33" t="inlineStr">
        <is>
          <t>HUT</t>
        </is>
      </c>
      <c r="C1306" s="33" t="inlineStr">
        <is>
          <t>D3</t>
        </is>
      </c>
      <c r="D1306" s="33" t="n">
        <v>3</v>
      </c>
      <c r="E1306" s="33" t="inlineStr">
        <is>
          <t>15yr leases (Beacon Point + River Bend) with Google-backstopped Fluidstack = durable contracts but pure colo is structurally less moaty than AI cloud operator.</t>
        </is>
      </c>
      <c r="F1306" s="33" t="inlineStr">
        <is>
          <t>Layer 9 per-name deep research (2026-05-18): WebSearch + yfinance fundamentals + analyst revisions + SEC 8-K/6-K filings + IR press releases</t>
        </is>
      </c>
      <c r="G1306" s="33" t="inlineStr">
        <is>
          <t>Medium</t>
        </is>
      </c>
      <c r="H1306" s="33" t="inlineStr">
        <is>
          <t>Initial</t>
        </is>
      </c>
    </row>
    <row r="1307">
      <c r="A1307" s="33" t="inlineStr">
        <is>
          <t>2026-05-18</t>
        </is>
      </c>
      <c r="B1307" s="33" t="inlineStr">
        <is>
          <t>HUT</t>
        </is>
      </c>
      <c r="C1307" s="33" t="inlineStr">
        <is>
          <t>D4</t>
        </is>
      </c>
      <c r="D1307" s="33" t="n">
        <v>5</v>
      </c>
      <c r="E1307" s="33" t="inlineStr">
        <is>
          <t>Beacon Point 352MW + River Bend 245MW IT + ROFO 1GW+ expansion — top-tier capacity locked.</t>
        </is>
      </c>
      <c r="F1307" s="33" t="inlineStr">
        <is>
          <t>Layer 9 per-name deep research (2026-05-18): WebSearch + yfinance fundamentals + analyst revisions + SEC 8-K/6-K filings + IR press releases</t>
        </is>
      </c>
      <c r="G1307" s="33" t="inlineStr">
        <is>
          <t>High</t>
        </is>
      </c>
      <c r="H1307" s="33" t="inlineStr">
        <is>
          <t>Initial</t>
        </is>
      </c>
    </row>
    <row r="1308">
      <c r="A1308" s="33" t="inlineStr">
        <is>
          <t>2026-05-18</t>
        </is>
      </c>
      <c r="B1308" s="33" t="inlineStr">
        <is>
          <t>HUT</t>
        </is>
      </c>
      <c r="C1308" s="33" t="inlineStr">
        <is>
          <t>D5</t>
        </is>
      </c>
      <c r="D1308" s="33" t="n">
        <v>5</v>
      </c>
      <c r="E1308" s="33" t="inlineStr">
        <is>
          <t>High-investment-grade tenant Beacon Point + Fluidstack-with-Google-backstop = effectively direct hyperscaler exposure.</t>
        </is>
      </c>
      <c r="F1308" s="33" t="inlineStr">
        <is>
          <t>Layer 9 per-name deep research (2026-05-18): WebSearch + yfinance fundamentals + analyst revisions + SEC 8-K/6-K filings + IR press releases</t>
        </is>
      </c>
      <c r="G1308" s="33" t="inlineStr">
        <is>
          <t>High</t>
        </is>
      </c>
      <c r="H1308" s="33" t="inlineStr">
        <is>
          <t>Initial</t>
        </is>
      </c>
    </row>
    <row r="1309">
      <c r="A1309" s="33" t="inlineStr">
        <is>
          <t>2026-05-18</t>
        </is>
      </c>
      <c r="B1309" s="33" t="inlineStr">
        <is>
          <t>HUT</t>
        </is>
      </c>
      <c r="C1309" s="33" t="inlineStr">
        <is>
          <t>M1</t>
        </is>
      </c>
      <c r="D1309" s="33" t="n">
        <v>3</v>
      </c>
      <c r="E1309" s="33" t="inlineStr">
        <is>
          <t>Flat (0/0) — no recent revisions either direction.</t>
        </is>
      </c>
      <c r="F1309" s="33" t="inlineStr">
        <is>
          <t>Layer 9 per-name deep research (2026-05-18): WebSearch + yfinance fundamentals + analyst revisions + SEC 8-K/6-K filings + IR press releases</t>
        </is>
      </c>
      <c r="G1309" s="33" t="inlineStr">
        <is>
          <t>Medium</t>
        </is>
      </c>
      <c r="H1309" s="33" t="inlineStr">
        <is>
          <t>Initial</t>
        </is>
      </c>
    </row>
    <row r="1310">
      <c r="A1310" s="33" t="inlineStr">
        <is>
          <t>2026-05-18</t>
        </is>
      </c>
      <c r="B1310" s="33" t="inlineStr">
        <is>
          <t>HUT</t>
        </is>
      </c>
      <c r="C1310" s="33" t="inlineStr">
        <is>
          <t>M2</t>
        </is>
      </c>
      <c r="D1310" s="33" t="n">
        <v>5</v>
      </c>
      <c r="E1310" s="33" t="inlineStr">
        <is>
          <t>+460% absolute 1y; +414pp vs BITQ — extreme leader.</t>
        </is>
      </c>
      <c r="F1310" s="33" t="inlineStr">
        <is>
          <t>Layer 9 per-name deep research (2026-05-18): WebSearch + yfinance fundamentals + analyst revisions + SEC 8-K/6-K filings + IR press releases</t>
        </is>
      </c>
      <c r="G1310" s="33" t="inlineStr">
        <is>
          <t>High</t>
        </is>
      </c>
      <c r="H1310" s="33" t="inlineStr">
        <is>
          <t>Initial</t>
        </is>
      </c>
    </row>
    <row r="1311">
      <c r="A1311" s="33" t="inlineStr">
        <is>
          <t>2026-05-18</t>
        </is>
      </c>
      <c r="B1311" s="33" t="inlineStr">
        <is>
          <t>HUT</t>
        </is>
      </c>
      <c r="C1311" s="33" t="inlineStr">
        <is>
          <t>M3</t>
        </is>
      </c>
      <c r="D1311" s="33" t="n">
        <v>3</v>
      </c>
      <c r="E1311" s="33" t="inlineStr">
        <is>
          <t>Default neutral; Form 4 not pulled.</t>
        </is>
      </c>
      <c r="F1311" s="33" t="inlineStr">
        <is>
          <t>Layer 9 per-name deep research (2026-05-18): WebSearch + yfinance fundamentals + analyst revisions + SEC 8-K/6-K filings + IR press releases</t>
        </is>
      </c>
      <c r="G1311" s="33" t="inlineStr">
        <is>
          <t>Low</t>
        </is>
      </c>
      <c r="H1311" s="33" t="inlineStr">
        <is>
          <t>Initial</t>
        </is>
      </c>
    </row>
    <row r="1312">
      <c r="A1312" s="33" t="inlineStr">
        <is>
          <t>2026-05-18</t>
        </is>
      </c>
      <c r="B1312" s="33" t="inlineStr">
        <is>
          <t>HUT</t>
        </is>
      </c>
      <c r="C1312" s="33" t="inlineStr">
        <is>
          <t>R1</t>
        </is>
      </c>
      <c r="D1312" s="33" t="n">
        <v>3</v>
      </c>
      <c r="E1312" s="33" t="inlineStr">
        <is>
          <t>Multiple tenants (Beacon Point IG tenant + Fluidstack + American Bitcoin) — diversified.</t>
        </is>
      </c>
      <c r="F1312" s="33" t="inlineStr">
        <is>
          <t>Layer 9 per-name deep research (2026-05-18): WebSearch + yfinance fundamentals + analyst revisions + SEC 8-K/6-K filings + IR press releases</t>
        </is>
      </c>
      <c r="G1312" s="33" t="inlineStr">
        <is>
          <t>High</t>
        </is>
      </c>
      <c r="H1312" s="33" t="inlineStr">
        <is>
          <t>Initial</t>
        </is>
      </c>
    </row>
    <row r="1313">
      <c r="A1313" s="33" t="inlineStr">
        <is>
          <t>2026-05-18</t>
        </is>
      </c>
      <c r="B1313" s="33" t="inlineStr">
        <is>
          <t>HUT</t>
        </is>
      </c>
      <c r="C1313" s="33" t="inlineStr">
        <is>
          <t>R2</t>
        </is>
      </c>
      <c r="D1313" s="33" t="n">
        <v>4</v>
      </c>
      <c r="E1313" s="33" t="inlineStr">
        <is>
          <t>US/Canada operations — clean geo.</t>
        </is>
      </c>
      <c r="F1313" s="33" t="inlineStr">
        <is>
          <t>Layer 9 per-name deep research (2026-05-18): WebSearch + yfinance fundamentals + analyst revisions + SEC 8-K/6-K filings + IR press releases</t>
        </is>
      </c>
      <c r="G1313" s="33" t="inlineStr">
        <is>
          <t>High</t>
        </is>
      </c>
      <c r="H1313" s="33" t="inlineStr">
        <is>
          <t>Initial</t>
        </is>
      </c>
    </row>
    <row r="1314">
      <c r="A1314" s="33" t="inlineStr">
        <is>
          <t>2026-05-18</t>
        </is>
      </c>
      <c r="B1314" s="33" t="inlineStr">
        <is>
          <t>HUT</t>
        </is>
      </c>
      <c r="C1314" s="33" t="inlineStr">
        <is>
          <t>R3</t>
        </is>
      </c>
      <c r="D1314" s="33" t="n">
        <v>2</v>
      </c>
      <c r="E1314" s="33" t="inlineStr">
        <is>
          <t>FCFM -106% reflects capex build phase; ND/EBITDA -0.63 net cash but very small EBITDA base.</t>
        </is>
      </c>
      <c r="F1314" s="33" t="inlineStr">
        <is>
          <t>Layer 9 per-name deep research (2026-05-18): WebSearch + yfinance fundamentals + analyst revisions + SEC 8-K/6-K filings + IR press releases</t>
        </is>
      </c>
      <c r="G1314" s="33" t="inlineStr">
        <is>
          <t>High</t>
        </is>
      </c>
      <c r="H1314" s="33" t="inlineStr">
        <is>
          <t>Initial</t>
        </is>
      </c>
    </row>
    <row r="1315">
      <c r="A1315" s="33" t="inlineStr">
        <is>
          <t>2026-05-18</t>
        </is>
      </c>
      <c r="B1315" s="33" t="inlineStr">
        <is>
          <t>HUT</t>
        </is>
      </c>
      <c r="C1315" s="33" t="inlineStr">
        <is>
          <t>R4</t>
        </is>
      </c>
      <c r="D1315" s="33" t="n">
        <v>3</v>
      </c>
      <c r="E1315" s="33" t="inlineStr">
        <is>
          <t>Clean post-business-combination; no active overhang.</t>
        </is>
      </c>
      <c r="F1315" s="33" t="inlineStr">
        <is>
          <t>Layer 9 per-name deep research (2026-05-18): WebSearch + yfinance fundamentals + analyst revisions + SEC 8-K/6-K filings + IR press releases</t>
        </is>
      </c>
      <c r="G1315" s="33" t="inlineStr">
        <is>
          <t>Medium</t>
        </is>
      </c>
      <c r="H1315" s="33" t="inlineStr">
        <is>
          <t>Initial</t>
        </is>
      </c>
    </row>
    <row r="1316">
      <c r="A1316" s="33" t="inlineStr">
        <is>
          <t>2026-05-18</t>
        </is>
      </c>
      <c r="B1316" s="33" t="inlineStr">
        <is>
          <t>BITF</t>
        </is>
      </c>
      <c r="C1316" s="33" t="inlineStr">
        <is>
          <t>D1</t>
        </is>
      </c>
      <c r="D1316" s="33" t="n">
        <v>2</v>
      </c>
      <c r="E1316" s="33" t="inlineStr">
        <is>
          <t>HPC strategy in development; Sharon PA acquired; no signed AI leases yet. AI revenue essentially zero.</t>
        </is>
      </c>
      <c r="F1316" s="33" t="inlineStr">
        <is>
          <t>Layer 9 per-name deep research (2026-05-18): WebSearch + yfinance fundamentals + analyst revisions + SEC 8-K/6-K filings + IR press releases</t>
        </is>
      </c>
      <c r="G1316" s="33" t="inlineStr">
        <is>
          <t>High</t>
        </is>
      </c>
      <c r="H1316" s="33" t="inlineStr">
        <is>
          <t>Initial</t>
        </is>
      </c>
    </row>
    <row r="1317">
      <c r="A1317" s="33" t="inlineStr">
        <is>
          <t>2026-05-18</t>
        </is>
      </c>
      <c r="B1317" s="33" t="inlineStr">
        <is>
          <t>BITF</t>
        </is>
      </c>
      <c r="C1317" s="33" t="inlineStr">
        <is>
          <t>D2</t>
        </is>
      </c>
      <c r="D1317" s="33" t="n">
        <v>2</v>
      </c>
      <c r="E1317" s="33" t="inlineStr">
        <is>
          <t>BTC miner pivoting; pre-execution.</t>
        </is>
      </c>
      <c r="F1317" s="33" t="inlineStr">
        <is>
          <t>Layer 9 per-name deep research (2026-05-18): WebSearch + yfinance fundamentals + analyst revisions + SEC 8-K/6-K filings + IR press releases</t>
        </is>
      </c>
      <c r="G1317" s="33" t="inlineStr">
        <is>
          <t>High</t>
        </is>
      </c>
      <c r="H1317" s="33" t="inlineStr">
        <is>
          <t>Initial</t>
        </is>
      </c>
    </row>
    <row r="1318">
      <c r="A1318" s="33" t="inlineStr">
        <is>
          <t>2026-05-18</t>
        </is>
      </c>
      <c r="B1318" s="33" t="inlineStr">
        <is>
          <t>BITF</t>
        </is>
      </c>
      <c r="C1318" s="33" t="inlineStr">
        <is>
          <t>D3</t>
        </is>
      </c>
      <c r="D1318" s="33" t="n">
        <v>2</v>
      </c>
      <c r="E1318" s="33" t="inlineStr">
        <is>
          <t>No AI moat; pre-customer.</t>
        </is>
      </c>
      <c r="F1318" s="33" t="inlineStr">
        <is>
          <t>Layer 9 per-name deep research (2026-05-18): WebSearch + yfinance fundamentals + analyst revisions + SEC 8-K/6-K filings + IR press releases</t>
        </is>
      </c>
      <c r="G1318" s="33" t="inlineStr">
        <is>
          <t>High</t>
        </is>
      </c>
      <c r="H1318" s="33" t="inlineStr">
        <is>
          <t>Initial</t>
        </is>
      </c>
    </row>
    <row r="1319">
      <c r="A1319" s="33" t="inlineStr">
        <is>
          <t>2026-05-18</t>
        </is>
      </c>
      <c r="B1319" s="33" t="inlineStr">
        <is>
          <t>BITF</t>
        </is>
      </c>
      <c r="C1319" s="33" t="inlineStr">
        <is>
          <t>D4</t>
        </is>
      </c>
      <c r="D1319" s="33" t="n">
        <v>3</v>
      </c>
      <c r="E1319" s="33" t="inlineStr">
        <is>
          <t>1.3GW growth pipeline planned; Sharon PA acquired; feasibility studies underway.</t>
        </is>
      </c>
      <c r="F1319" s="33" t="inlineStr">
        <is>
          <t>Layer 9 per-name deep research (2026-05-18): WebSearch + yfinance fundamentals + analyst revisions + SEC 8-K/6-K filings + IR press releases</t>
        </is>
      </c>
      <c r="G1319" s="33" t="inlineStr">
        <is>
          <t>High</t>
        </is>
      </c>
      <c r="H1319" s="33" t="inlineStr">
        <is>
          <t>Initial</t>
        </is>
      </c>
    </row>
    <row r="1320">
      <c r="A1320" s="33" t="inlineStr">
        <is>
          <t>2026-05-18</t>
        </is>
      </c>
      <c r="B1320" s="33" t="inlineStr">
        <is>
          <t>BITF</t>
        </is>
      </c>
      <c r="C1320" s="33" t="inlineStr">
        <is>
          <t>D5</t>
        </is>
      </c>
      <c r="D1320" s="33" t="n">
        <v>1</v>
      </c>
      <c r="E1320" s="33" t="inlineStr">
        <is>
          <t>No hyperscaler customer signed yet.</t>
        </is>
      </c>
      <c r="F1320" s="33" t="inlineStr">
        <is>
          <t>Layer 9 per-name deep research (2026-05-18): WebSearch + yfinance fundamentals + analyst revisions + SEC 8-K/6-K filings + IR press releases</t>
        </is>
      </c>
      <c r="G1320" s="33" t="inlineStr">
        <is>
          <t>High</t>
        </is>
      </c>
      <c r="H1320" s="33" t="inlineStr">
        <is>
          <t>Initial</t>
        </is>
      </c>
    </row>
    <row r="1321">
      <c r="A1321" s="33" t="inlineStr">
        <is>
          <t>2026-05-18</t>
        </is>
      </c>
      <c r="B1321" s="33" t="inlineStr">
        <is>
          <t>BITF</t>
        </is>
      </c>
      <c r="C1321" s="33" t="inlineStr">
        <is>
          <t>M1</t>
        </is>
      </c>
      <c r="D1321" s="33" t="n">
        <v>3</v>
      </c>
      <c r="E1321" s="33" t="inlineStr">
        <is>
          <t>Default neutral — insufficient analyst coverage.</t>
        </is>
      </c>
      <c r="F1321" s="33" t="inlineStr">
        <is>
          <t>Layer 9 per-name deep research (2026-05-18): WebSearch + yfinance fundamentals + analyst revisions + SEC 8-K/6-K filings + IR press releases</t>
        </is>
      </c>
      <c r="G1321" s="33" t="inlineStr">
        <is>
          <t>Low</t>
        </is>
      </c>
      <c r="H1321" s="33" t="inlineStr">
        <is>
          <t>Initial</t>
        </is>
      </c>
    </row>
    <row r="1322">
      <c r="A1322" s="33" t="inlineStr">
        <is>
          <t>2026-05-18</t>
        </is>
      </c>
      <c r="B1322" s="33" t="inlineStr">
        <is>
          <t>BITF</t>
        </is>
      </c>
      <c r="C1322" s="33" t="inlineStr">
        <is>
          <t>M2</t>
        </is>
      </c>
      <c r="D1322" s="33" t="n">
        <v>3</v>
      </c>
      <c r="E1322" s="33" t="inlineStr">
        <is>
          <t>+263% absolute 1y; +217pp vs BITQ. Strong but mid-pack vs leading AI peers.</t>
        </is>
      </c>
      <c r="F1322" s="33" t="inlineStr">
        <is>
          <t>Layer 9 per-name deep research (2026-05-18): WebSearch + yfinance fundamentals + analyst revisions + SEC 8-K/6-K filings + IR press releases</t>
        </is>
      </c>
      <c r="G1322" s="33" t="inlineStr">
        <is>
          <t>High</t>
        </is>
      </c>
      <c r="H1322" s="33" t="inlineStr">
        <is>
          <t>Initial</t>
        </is>
      </c>
    </row>
    <row r="1323">
      <c r="A1323" s="33" t="inlineStr">
        <is>
          <t>2026-05-18</t>
        </is>
      </c>
      <c r="B1323" s="33" t="inlineStr">
        <is>
          <t>BITF</t>
        </is>
      </c>
      <c r="C1323" s="33" t="inlineStr">
        <is>
          <t>M3</t>
        </is>
      </c>
      <c r="D1323" s="33" t="n">
        <v>3</v>
      </c>
      <c r="E1323" s="33" t="inlineStr">
        <is>
          <t>Default neutral.</t>
        </is>
      </c>
      <c r="F1323" s="33" t="inlineStr">
        <is>
          <t>Layer 9 per-name deep research (2026-05-18): WebSearch + yfinance fundamentals + analyst revisions + SEC 8-K/6-K filings + IR press releases</t>
        </is>
      </c>
      <c r="G1323" s="33" t="inlineStr">
        <is>
          <t>Low</t>
        </is>
      </c>
      <c r="H1323" s="33" t="inlineStr">
        <is>
          <t>Initial</t>
        </is>
      </c>
    </row>
    <row r="1324">
      <c r="A1324" s="33" t="inlineStr">
        <is>
          <t>2026-05-18</t>
        </is>
      </c>
      <c r="B1324" s="33" t="inlineStr">
        <is>
          <t>BITF</t>
        </is>
      </c>
      <c r="C1324" s="33" t="inlineStr">
        <is>
          <t>R1</t>
        </is>
      </c>
      <c r="D1324" s="33" t="n">
        <v>3</v>
      </c>
      <c r="E1324" s="33" t="inlineStr">
        <is>
          <t>No AI customer concentration since no AI customers.</t>
        </is>
      </c>
      <c r="F1324" s="33" t="inlineStr">
        <is>
          <t>Layer 9 per-name deep research (2026-05-18): WebSearch + yfinance fundamentals + analyst revisions + SEC 8-K/6-K filings + IR press releases</t>
        </is>
      </c>
      <c r="G1324" s="33" t="inlineStr">
        <is>
          <t>High</t>
        </is>
      </c>
      <c r="H1324" s="33" t="inlineStr">
        <is>
          <t>Initial</t>
        </is>
      </c>
    </row>
    <row r="1325">
      <c r="A1325" s="33" t="inlineStr">
        <is>
          <t>2026-05-18</t>
        </is>
      </c>
      <c r="B1325" s="33" t="inlineStr">
        <is>
          <t>BITF</t>
        </is>
      </c>
      <c r="C1325" s="33" t="inlineStr">
        <is>
          <t>R2</t>
        </is>
      </c>
      <c r="D1325" s="33" t="n">
        <v>4</v>
      </c>
      <c r="E1325" s="33" t="inlineStr">
        <is>
          <t>US/Canada/Argentina — clean geo.</t>
        </is>
      </c>
      <c r="F1325" s="33" t="inlineStr">
        <is>
          <t>Layer 9 per-name deep research (2026-05-18): WebSearch + yfinance fundamentals + analyst revisions + SEC 8-K/6-K filings + IR press releases</t>
        </is>
      </c>
      <c r="G1325" s="33" t="inlineStr">
        <is>
          <t>High</t>
        </is>
      </c>
      <c r="H1325" s="33" t="inlineStr">
        <is>
          <t>Initial</t>
        </is>
      </c>
    </row>
    <row r="1326">
      <c r="A1326" s="33" t="inlineStr">
        <is>
          <t>2026-05-18</t>
        </is>
      </c>
      <c r="B1326" s="33" t="inlineStr">
        <is>
          <t>BITF</t>
        </is>
      </c>
      <c r="C1326" s="33" t="inlineStr">
        <is>
          <t>R3</t>
        </is>
      </c>
      <c r="D1326" s="33" t="n">
        <v>3</v>
      </c>
      <c r="E1326" s="33" t="inlineStr">
        <is>
          <t>Limited objective data; assumed moderate.</t>
        </is>
      </c>
      <c r="F1326" s="33" t="inlineStr">
        <is>
          <t>Layer 9 per-name deep research (2026-05-18): WebSearch + yfinance fundamentals + analyst revisions + SEC 8-K/6-K filings + IR press releases</t>
        </is>
      </c>
      <c r="G1326" s="33" t="inlineStr">
        <is>
          <t>Low</t>
        </is>
      </c>
      <c r="H1326" s="33" t="inlineStr">
        <is>
          <t>Initial</t>
        </is>
      </c>
    </row>
    <row r="1327">
      <c r="A1327" s="33" t="inlineStr">
        <is>
          <t>2026-05-18</t>
        </is>
      </c>
      <c r="B1327" s="33" t="inlineStr">
        <is>
          <t>BITF</t>
        </is>
      </c>
      <c r="C1327" s="33" t="inlineStr">
        <is>
          <t>R4</t>
        </is>
      </c>
      <c r="D1327" s="33" t="n">
        <v>3</v>
      </c>
      <c r="E1327" s="33" t="inlineStr">
        <is>
          <t>Clean.</t>
        </is>
      </c>
      <c r="F1327" s="33" t="inlineStr">
        <is>
          <t>Layer 9 per-name deep research (2026-05-18): WebSearch + yfinance fundamentals + analyst revisions + SEC 8-K/6-K filings + IR press releases</t>
        </is>
      </c>
      <c r="G1327" s="33" t="inlineStr">
        <is>
          <t>Medium</t>
        </is>
      </c>
      <c r="H1327" s="33" t="inlineStr">
        <is>
          <t>Initial</t>
        </is>
      </c>
    </row>
    <row r="1328">
      <c r="A1328" s="33" t="inlineStr">
        <is>
          <t>2026-05-18</t>
        </is>
      </c>
      <c r="B1328" s="33" t="inlineStr">
        <is>
          <t>RIOT</t>
        </is>
      </c>
      <c r="C1328" s="33" t="inlineStr">
        <is>
          <t>D1</t>
        </is>
      </c>
      <c r="D1328" s="33" t="n">
        <v>2</v>
      </c>
      <c r="E1328" s="33" t="inlineStr">
        <is>
          <t>AMD lease operational ($311M deal) + 112MW Corsicana under development; AI still small share of revenue.</t>
        </is>
      </c>
      <c r="F1328" s="33" t="inlineStr">
        <is>
          <t>Layer 9 per-name deep research (2026-05-18): WebSearch + yfinance fundamentals + analyst revisions + SEC 8-K/6-K filings + IR press releases</t>
        </is>
      </c>
      <c r="G1328" s="33" t="inlineStr">
        <is>
          <t>High</t>
        </is>
      </c>
      <c r="H1328" s="33" t="inlineStr">
        <is>
          <t>Initial</t>
        </is>
      </c>
    </row>
    <row r="1329">
      <c r="A1329" s="33" t="inlineStr">
        <is>
          <t>2026-05-18</t>
        </is>
      </c>
      <c r="B1329" s="33" t="inlineStr">
        <is>
          <t>RIOT</t>
        </is>
      </c>
      <c r="C1329" s="33" t="inlineStr">
        <is>
          <t>D2</t>
        </is>
      </c>
      <c r="D1329" s="33" t="n">
        <v>2</v>
      </c>
      <c r="E1329" s="33" t="inlineStr">
        <is>
          <t>Mostly BTC miner with power-asset optionality.</t>
        </is>
      </c>
      <c r="F1329" s="33" t="inlineStr">
        <is>
          <t>Layer 9 per-name deep research (2026-05-18): WebSearch + yfinance fundamentals + analyst revisions + SEC 8-K/6-K filings + IR press releases</t>
        </is>
      </c>
      <c r="G1329" s="33" t="inlineStr">
        <is>
          <t>High</t>
        </is>
      </c>
      <c r="H1329" s="33" t="inlineStr">
        <is>
          <t>Initial</t>
        </is>
      </c>
    </row>
    <row r="1330">
      <c r="A1330" s="33" t="inlineStr">
        <is>
          <t>2026-05-18</t>
        </is>
      </c>
      <c r="B1330" s="33" t="inlineStr">
        <is>
          <t>RIOT</t>
        </is>
      </c>
      <c r="C1330" s="33" t="inlineStr">
        <is>
          <t>D3</t>
        </is>
      </c>
      <c r="D1330" s="33" t="n">
        <v>2</v>
      </c>
      <c r="E1330" s="33" t="inlineStr">
        <is>
          <t>Single AMD relationship; no scaled AI infrastructure moat yet.</t>
        </is>
      </c>
      <c r="F1330" s="33" t="inlineStr">
        <is>
          <t>Layer 9 per-name deep research (2026-05-18): WebSearch + yfinance fundamentals + analyst revisions + SEC 8-K/6-K filings + IR press releases</t>
        </is>
      </c>
      <c r="G1330" s="33" t="inlineStr">
        <is>
          <t>Medium</t>
        </is>
      </c>
      <c r="H1330" s="33" t="inlineStr">
        <is>
          <t>Initial</t>
        </is>
      </c>
    </row>
    <row r="1331">
      <c r="A1331" s="33" t="inlineStr">
        <is>
          <t>2026-05-18</t>
        </is>
      </c>
      <c r="B1331" s="33" t="inlineStr">
        <is>
          <t>RIOT</t>
        </is>
      </c>
      <c r="C1331" s="33" t="inlineStr">
        <is>
          <t>D4</t>
        </is>
      </c>
      <c r="D1331" s="33" t="n">
        <v>4</v>
      </c>
      <c r="E1331" s="33" t="inlineStr">
        <is>
          <t>1.7GW Texas capacity at Rockdale + Corsicana = real power moat; conversion to AI in early stages.</t>
        </is>
      </c>
      <c r="F1331" s="33" t="inlineStr">
        <is>
          <t>Layer 9 per-name deep research (2026-05-18): WebSearch + yfinance fundamentals + analyst revisions + SEC 8-K/6-K filings + IR press releases</t>
        </is>
      </c>
      <c r="G1331" s="33" t="inlineStr">
        <is>
          <t>High</t>
        </is>
      </c>
      <c r="H1331" s="33" t="inlineStr">
        <is>
          <t>Initial</t>
        </is>
      </c>
    </row>
    <row r="1332">
      <c r="A1332" s="33" t="inlineStr">
        <is>
          <t>2026-05-18</t>
        </is>
      </c>
      <c r="B1332" s="33" t="inlineStr">
        <is>
          <t>RIOT</t>
        </is>
      </c>
      <c r="C1332" s="33" t="inlineStr">
        <is>
          <t>D5</t>
        </is>
      </c>
      <c r="D1332" s="33" t="n">
        <v>3</v>
      </c>
      <c r="E1332" s="33" t="inlineStr">
        <is>
          <t>AMD = hyperscaler-adjacent customer; no direct top-tier hyperscaler win yet.</t>
        </is>
      </c>
      <c r="F1332" s="33" t="inlineStr">
        <is>
          <t>Layer 9 per-name deep research (2026-05-18): WebSearch + yfinance fundamentals + analyst revisions + SEC 8-K/6-K filings + IR press releases</t>
        </is>
      </c>
      <c r="G1332" s="33" t="inlineStr">
        <is>
          <t>Medium</t>
        </is>
      </c>
      <c r="H1332" s="33" t="inlineStr">
        <is>
          <t>Initial</t>
        </is>
      </c>
    </row>
    <row r="1333">
      <c r="A1333" s="33" t="inlineStr">
        <is>
          <t>2026-05-18</t>
        </is>
      </c>
      <c r="B1333" s="33" t="inlineStr">
        <is>
          <t>RIOT</t>
        </is>
      </c>
      <c r="C1333" s="33" t="inlineStr">
        <is>
          <t>M1</t>
        </is>
      </c>
      <c r="D1333" s="33" t="n">
        <v>3</v>
      </c>
      <c r="E1333" s="33" t="inlineStr">
        <is>
          <t>Flat (0/0).</t>
        </is>
      </c>
      <c r="F1333" s="33" t="inlineStr">
        <is>
          <t>Layer 9 per-name deep research (2026-05-18): WebSearch + yfinance fundamentals + analyst revisions + SEC 8-K/6-K filings + IR press releases</t>
        </is>
      </c>
      <c r="G1333" s="33" t="inlineStr">
        <is>
          <t>Medium</t>
        </is>
      </c>
      <c r="H1333" s="33" t="inlineStr">
        <is>
          <t>Initial</t>
        </is>
      </c>
    </row>
    <row r="1334">
      <c r="A1334" s="33" t="inlineStr">
        <is>
          <t>2026-05-18</t>
        </is>
      </c>
      <c r="B1334" s="33" t="inlineStr">
        <is>
          <t>RIOT</t>
        </is>
      </c>
      <c r="C1334" s="33" t="inlineStr">
        <is>
          <t>M2</t>
        </is>
      </c>
      <c r="D1334" s="33" t="n">
        <v>3</v>
      </c>
      <c r="E1334" s="33" t="inlineStr">
        <is>
          <t>+158% absolute 1y; +112pp vs BITQ. Solid but mid-pack.</t>
        </is>
      </c>
      <c r="F1334" s="33" t="inlineStr">
        <is>
          <t>Layer 9 per-name deep research (2026-05-18): WebSearch + yfinance fundamentals + analyst revisions + SEC 8-K/6-K filings + IR press releases</t>
        </is>
      </c>
      <c r="G1334" s="33" t="inlineStr">
        <is>
          <t>High</t>
        </is>
      </c>
      <c r="H1334" s="33" t="inlineStr">
        <is>
          <t>Initial</t>
        </is>
      </c>
    </row>
    <row r="1335">
      <c r="A1335" s="33" t="inlineStr">
        <is>
          <t>2026-05-18</t>
        </is>
      </c>
      <c r="B1335" s="33" t="inlineStr">
        <is>
          <t>RIOT</t>
        </is>
      </c>
      <c r="C1335" s="33" t="inlineStr">
        <is>
          <t>M3</t>
        </is>
      </c>
      <c r="D1335" s="33" t="n">
        <v>3</v>
      </c>
      <c r="E1335" s="33" t="inlineStr">
        <is>
          <t>Default neutral.</t>
        </is>
      </c>
      <c r="F1335" s="33" t="inlineStr">
        <is>
          <t>Layer 9 per-name deep research (2026-05-18): WebSearch + yfinance fundamentals + analyst revisions + SEC 8-K/6-K filings + IR press releases</t>
        </is>
      </c>
      <c r="G1335" s="33" t="inlineStr">
        <is>
          <t>Low</t>
        </is>
      </c>
      <c r="H1335" s="33" t="inlineStr">
        <is>
          <t>Initial</t>
        </is>
      </c>
    </row>
    <row r="1336">
      <c r="A1336" s="33" t="inlineStr">
        <is>
          <t>2026-05-18</t>
        </is>
      </c>
      <c r="B1336" s="33" t="inlineStr">
        <is>
          <t>RIOT</t>
        </is>
      </c>
      <c r="C1336" s="33" t="inlineStr">
        <is>
          <t>R1</t>
        </is>
      </c>
      <c r="D1336" s="33" t="n">
        <v>3</v>
      </c>
      <c r="E1336" s="33" t="inlineStr">
        <is>
          <t>No big concentration; diversified BTC + small AI.</t>
        </is>
      </c>
      <c r="F1336" s="33" t="inlineStr">
        <is>
          <t>Layer 9 per-name deep research (2026-05-18): WebSearch + yfinance fundamentals + analyst revisions + SEC 8-K/6-K filings + IR press releases</t>
        </is>
      </c>
      <c r="G1336" s="33" t="inlineStr">
        <is>
          <t>Medium</t>
        </is>
      </c>
      <c r="H1336" s="33" t="inlineStr">
        <is>
          <t>Initial</t>
        </is>
      </c>
    </row>
    <row r="1337">
      <c r="A1337" s="33" t="inlineStr">
        <is>
          <t>2026-05-18</t>
        </is>
      </c>
      <c r="B1337" s="33" t="inlineStr">
        <is>
          <t>RIOT</t>
        </is>
      </c>
      <c r="C1337" s="33" t="inlineStr">
        <is>
          <t>R2</t>
        </is>
      </c>
      <c r="D1337" s="33" t="n">
        <v>4</v>
      </c>
      <c r="E1337" s="33" t="inlineStr">
        <is>
          <t>Texas US — clean geo.</t>
        </is>
      </c>
      <c r="F1337" s="33" t="inlineStr">
        <is>
          <t>Layer 9 per-name deep research (2026-05-18): WebSearch + yfinance fundamentals + analyst revisions + SEC 8-K/6-K filings + IR press releases</t>
        </is>
      </c>
      <c r="G1337" s="33" t="inlineStr">
        <is>
          <t>High</t>
        </is>
      </c>
      <c r="H1337" s="33" t="inlineStr">
        <is>
          <t>Initial</t>
        </is>
      </c>
    </row>
    <row r="1338">
      <c r="A1338" s="33" t="inlineStr">
        <is>
          <t>2026-05-18</t>
        </is>
      </c>
      <c r="B1338" s="33" t="inlineStr">
        <is>
          <t>RIOT</t>
        </is>
      </c>
      <c r="C1338" s="33" t="inlineStr">
        <is>
          <t>R3</t>
        </is>
      </c>
      <c r="D1338" s="33" t="n">
        <v>3</v>
      </c>
      <c r="E1338" s="33" t="inlineStr">
        <is>
          <t>ND/EBITDA -2.06 net cash; reasonable position.</t>
        </is>
      </c>
      <c r="F1338" s="33" t="inlineStr">
        <is>
          <t>Layer 9 per-name deep research (2026-05-18): WebSearch + yfinance fundamentals + analyst revisions + SEC 8-K/6-K filings + IR press releases</t>
        </is>
      </c>
      <c r="G1338" s="33" t="inlineStr">
        <is>
          <t>High</t>
        </is>
      </c>
      <c r="H1338" s="33" t="inlineStr">
        <is>
          <t>Initial</t>
        </is>
      </c>
    </row>
    <row r="1339">
      <c r="A1339" s="33" t="inlineStr">
        <is>
          <t>2026-05-18</t>
        </is>
      </c>
      <c r="B1339" s="33" t="inlineStr">
        <is>
          <t>RIOT</t>
        </is>
      </c>
      <c r="C1339" s="33" t="inlineStr">
        <is>
          <t>R4</t>
        </is>
      </c>
      <c r="D1339" s="33" t="n">
        <v>3</v>
      </c>
      <c r="E1339" s="33" t="inlineStr">
        <is>
          <t>Clean; Starboard activist push is shareholder-friendly.</t>
        </is>
      </c>
      <c r="F1339" s="33" t="inlineStr">
        <is>
          <t>Layer 9 per-name deep research (2026-05-18): WebSearch + yfinance fundamentals + analyst revisions + SEC 8-K/6-K filings + IR press releases</t>
        </is>
      </c>
      <c r="G1339" s="33" t="inlineStr">
        <is>
          <t>Medium</t>
        </is>
      </c>
      <c r="H1339" s="33" t="inlineStr">
        <is>
          <t>Initial</t>
        </is>
      </c>
    </row>
    <row r="1340">
      <c r="A1340" s="33" t="inlineStr">
        <is>
          <t>2026-05-18</t>
        </is>
      </c>
      <c r="B1340" s="33" t="inlineStr">
        <is>
          <t>WULF</t>
        </is>
      </c>
      <c r="C1340" s="33" t="inlineStr">
        <is>
          <t>D1</t>
        </is>
      </c>
      <c r="D1340" s="33" t="n">
        <v>4</v>
      </c>
      <c r="E1340" s="33" t="inlineStr">
        <is>
          <t>200MW HPC contracted via Fluidstack 10yr; Abernathy adds; revenue mix shifting to HPC; +510MW IT load total.</t>
        </is>
      </c>
      <c r="F1340" s="33" t="inlineStr">
        <is>
          <t>Layer 9 per-name deep research (2026-05-18): WebSearch + yfinance fundamentals + analyst revisions + SEC 8-K/6-K filings + IR press releases</t>
        </is>
      </c>
      <c r="G1340" s="33" t="inlineStr">
        <is>
          <t>High</t>
        </is>
      </c>
      <c r="H1340" s="33" t="inlineStr">
        <is>
          <t>Initial</t>
        </is>
      </c>
    </row>
    <row r="1341">
      <c r="A1341" s="33" t="inlineStr">
        <is>
          <t>2026-05-18</t>
        </is>
      </c>
      <c r="B1341" s="33" t="inlineStr">
        <is>
          <t>WULF</t>
        </is>
      </c>
      <c r="C1341" s="33" t="inlineStr">
        <is>
          <t>D2</t>
        </is>
      </c>
      <c r="D1341" s="33" t="n">
        <v>3</v>
      </c>
      <c r="E1341" s="33" t="inlineStr">
        <is>
          <t>Downstream colo hoster.</t>
        </is>
      </c>
      <c r="F1341" s="33" t="inlineStr">
        <is>
          <t>Layer 9 per-name deep research (2026-05-18): WebSearch + yfinance fundamentals + analyst revisions + SEC 8-K/6-K filings + IR press releases</t>
        </is>
      </c>
      <c r="G1341" s="33" t="inlineStr">
        <is>
          <t>High</t>
        </is>
      </c>
      <c r="H1341" s="33" t="inlineStr">
        <is>
          <t>Initial</t>
        </is>
      </c>
    </row>
    <row r="1342">
      <c r="A1342" s="33" t="inlineStr">
        <is>
          <t>2026-05-18</t>
        </is>
      </c>
      <c r="B1342" s="33" t="inlineStr">
        <is>
          <t>WULF</t>
        </is>
      </c>
      <c r="C1342" s="33" t="inlineStr">
        <is>
          <t>D3</t>
        </is>
      </c>
      <c r="D1342" s="33" t="n">
        <v>4</v>
      </c>
      <c r="E1342" s="33" t="inlineStr">
        <is>
          <t>Google-backed Fluidstack 10yr deals = stronger than typical colo (Google effectively backstopping). Plus Lake Mariner site advantage.</t>
        </is>
      </c>
      <c r="F1342" s="33" t="inlineStr">
        <is>
          <t>Layer 9 per-name deep research (2026-05-18): WebSearch + yfinance fundamentals + analyst revisions + SEC 8-K/6-K filings + IR press releases</t>
        </is>
      </c>
      <c r="G1342" s="33" t="inlineStr">
        <is>
          <t>High</t>
        </is>
      </c>
      <c r="H1342" s="33" t="inlineStr">
        <is>
          <t>Initial</t>
        </is>
      </c>
    </row>
    <row r="1343">
      <c r="A1343" s="33" t="inlineStr">
        <is>
          <t>2026-05-18</t>
        </is>
      </c>
      <c r="B1343" s="33" t="inlineStr">
        <is>
          <t>WULF</t>
        </is>
      </c>
      <c r="C1343" s="33" t="inlineStr">
        <is>
          <t>D4</t>
        </is>
      </c>
      <c r="D1343" s="33" t="n">
        <v>4</v>
      </c>
      <c r="E1343" s="33" t="inlineStr">
        <is>
          <t>Lake Mariner 750MW + Abernathy; 510MW IT contracted.</t>
        </is>
      </c>
      <c r="F1343" s="33" t="inlineStr">
        <is>
          <t>Layer 9 per-name deep research (2026-05-18): WebSearch + yfinance fundamentals + analyst revisions + SEC 8-K/6-K filings + IR press releases</t>
        </is>
      </c>
      <c r="G1343" s="33" t="inlineStr">
        <is>
          <t>High</t>
        </is>
      </c>
      <c r="H1343" s="33" t="inlineStr">
        <is>
          <t>Initial</t>
        </is>
      </c>
    </row>
    <row r="1344">
      <c r="A1344" s="33" t="inlineStr">
        <is>
          <t>2026-05-18</t>
        </is>
      </c>
      <c r="B1344" s="33" t="inlineStr">
        <is>
          <t>WULF</t>
        </is>
      </c>
      <c r="C1344" s="33" t="inlineStr">
        <is>
          <t>D5</t>
        </is>
      </c>
      <c r="D1344" s="33" t="n">
        <v>4</v>
      </c>
      <c r="E1344" s="33" t="inlineStr">
        <is>
          <t>Google potential 14% shareholder + Fluidstack tenant — direct hyperscaler exposure via Google connection.</t>
        </is>
      </c>
      <c r="F1344" s="33" t="inlineStr">
        <is>
          <t>Layer 9 per-name deep research (2026-05-18): WebSearch + yfinance fundamentals + analyst revisions + SEC 8-K/6-K filings + IR press releases</t>
        </is>
      </c>
      <c r="G1344" s="33" t="inlineStr">
        <is>
          <t>High</t>
        </is>
      </c>
      <c r="H1344" s="33" t="inlineStr">
        <is>
          <t>Initial</t>
        </is>
      </c>
    </row>
    <row r="1345">
      <c r="A1345" s="33" t="inlineStr">
        <is>
          <t>2026-05-18</t>
        </is>
      </c>
      <c r="B1345" s="33" t="inlineStr">
        <is>
          <t>WULF</t>
        </is>
      </c>
      <c r="C1345" s="33" t="inlineStr">
        <is>
          <t>M1</t>
        </is>
      </c>
      <c r="D1345" s="33" t="n">
        <v>4</v>
      </c>
      <c r="E1345" s="33" t="inlineStr">
        <is>
          <t>1 up / 0 down (30d). Positive revisions.</t>
        </is>
      </c>
      <c r="F1345" s="33" t="inlineStr">
        <is>
          <t>Layer 9 per-name deep research (2026-05-18): WebSearch + yfinance fundamentals + analyst revisions + SEC 8-K/6-K filings + IR press releases</t>
        </is>
      </c>
      <c r="G1345" s="33" t="inlineStr">
        <is>
          <t>High</t>
        </is>
      </c>
      <c r="H1345" s="33" t="inlineStr">
        <is>
          <t>Initial</t>
        </is>
      </c>
    </row>
    <row r="1346">
      <c r="A1346" s="33" t="inlineStr">
        <is>
          <t>2026-05-18</t>
        </is>
      </c>
      <c r="B1346" s="33" t="inlineStr">
        <is>
          <t>WULF</t>
        </is>
      </c>
      <c r="C1346" s="33" t="inlineStr">
        <is>
          <t>M2</t>
        </is>
      </c>
      <c r="D1346" s="33" t="n">
        <v>5</v>
      </c>
      <c r="E1346" s="33" t="inlineStr">
        <is>
          <t>+428% absolute 1y; +382pp vs BITQ.</t>
        </is>
      </c>
      <c r="F1346" s="33" t="inlineStr">
        <is>
          <t>Layer 9 per-name deep research (2026-05-18): WebSearch + yfinance fundamentals + analyst revisions + SEC 8-K/6-K filings + IR press releases</t>
        </is>
      </c>
      <c r="G1346" s="33" t="inlineStr">
        <is>
          <t>High</t>
        </is>
      </c>
      <c r="H1346" s="33" t="inlineStr">
        <is>
          <t>Initial</t>
        </is>
      </c>
    </row>
    <row r="1347">
      <c r="A1347" s="33" t="inlineStr">
        <is>
          <t>2026-05-18</t>
        </is>
      </c>
      <c r="B1347" s="33" t="inlineStr">
        <is>
          <t>WULF</t>
        </is>
      </c>
      <c r="C1347" s="33" t="inlineStr">
        <is>
          <t>M3</t>
        </is>
      </c>
      <c r="D1347" s="33" t="n">
        <v>3</v>
      </c>
      <c r="E1347" s="33" t="inlineStr">
        <is>
          <t>Default neutral.</t>
        </is>
      </c>
      <c r="F1347" s="33" t="inlineStr">
        <is>
          <t>Layer 9 per-name deep research (2026-05-18): WebSearch + yfinance fundamentals + analyst revisions + SEC 8-K/6-K filings + IR press releases</t>
        </is>
      </c>
      <c r="G1347" s="33" t="inlineStr">
        <is>
          <t>Low</t>
        </is>
      </c>
      <c r="H1347" s="33" t="inlineStr">
        <is>
          <t>Initial</t>
        </is>
      </c>
    </row>
    <row r="1348">
      <c r="A1348" s="33" t="inlineStr">
        <is>
          <t>2026-05-18</t>
        </is>
      </c>
      <c r="B1348" s="33" t="inlineStr">
        <is>
          <t>WULF</t>
        </is>
      </c>
      <c r="C1348" s="33" t="inlineStr">
        <is>
          <t>R1</t>
        </is>
      </c>
      <c r="D1348" s="33" t="n">
        <v>3</v>
      </c>
      <c r="E1348" s="33" t="inlineStr">
        <is>
          <t>Fluidstack tenant concentration but Google-backstopped — moderate.</t>
        </is>
      </c>
      <c r="F1348" s="33" t="inlineStr">
        <is>
          <t>Layer 9 per-name deep research (2026-05-18): WebSearch + yfinance fundamentals + analyst revisions + SEC 8-K/6-K filings + IR press releases</t>
        </is>
      </c>
      <c r="G1348" s="33" t="inlineStr">
        <is>
          <t>Medium</t>
        </is>
      </c>
      <c r="H1348" s="33" t="inlineStr">
        <is>
          <t>Initial</t>
        </is>
      </c>
    </row>
    <row r="1349">
      <c r="A1349" s="33" t="inlineStr">
        <is>
          <t>2026-05-18</t>
        </is>
      </c>
      <c r="B1349" s="33" t="inlineStr">
        <is>
          <t>WULF</t>
        </is>
      </c>
      <c r="C1349" s="33" t="inlineStr">
        <is>
          <t>R2</t>
        </is>
      </c>
      <c r="D1349" s="33" t="n">
        <v>4</v>
      </c>
      <c r="E1349" s="33" t="inlineStr">
        <is>
          <t>NY + Texas US — clean geo.</t>
        </is>
      </c>
      <c r="F1349" s="33" t="inlineStr">
        <is>
          <t>Layer 9 per-name deep research (2026-05-18): WebSearch + yfinance fundamentals + analyst revisions + SEC 8-K/6-K filings + IR press releases</t>
        </is>
      </c>
      <c r="G1349" s="33" t="inlineStr">
        <is>
          <t>High</t>
        </is>
      </c>
      <c r="H1349" s="33" t="inlineStr">
        <is>
          <t>Initial</t>
        </is>
      </c>
    </row>
    <row r="1350">
      <c r="A1350" s="33" t="inlineStr">
        <is>
          <t>2026-05-18</t>
        </is>
      </c>
      <c r="B1350" s="33" t="inlineStr">
        <is>
          <t>WULF</t>
        </is>
      </c>
      <c r="C1350" s="33" t="inlineStr">
        <is>
          <t>R3</t>
        </is>
      </c>
      <c r="D1350" s="33" t="n">
        <v>2</v>
      </c>
      <c r="E1350" s="33" t="inlineStr">
        <is>
          <t>FCFM -169%; ND/EBITDA -18.5 net cash but tiny EBITDA base.</t>
        </is>
      </c>
      <c r="F1350" s="33" t="inlineStr">
        <is>
          <t>Layer 9 per-name deep research (2026-05-18): WebSearch + yfinance fundamentals + analyst revisions + SEC 8-K/6-K filings + IR press releases</t>
        </is>
      </c>
      <c r="G1350" s="33" t="inlineStr">
        <is>
          <t>High</t>
        </is>
      </c>
      <c r="H1350" s="33" t="inlineStr">
        <is>
          <t>Initial</t>
        </is>
      </c>
    </row>
    <row r="1351">
      <c r="A1351" s="33" t="inlineStr">
        <is>
          <t>2026-05-18</t>
        </is>
      </c>
      <c r="B1351" s="33" t="inlineStr">
        <is>
          <t>WULF</t>
        </is>
      </c>
      <c r="C1351" s="33" t="inlineStr">
        <is>
          <t>R4</t>
        </is>
      </c>
      <c r="D1351" s="33" t="n">
        <v>3</v>
      </c>
      <c r="E1351" s="33" t="inlineStr">
        <is>
          <t>Clean.</t>
        </is>
      </c>
      <c r="F1351" s="33" t="inlineStr">
        <is>
          <t>Layer 9 per-name deep research (2026-05-18): WebSearch + yfinance fundamentals + analyst revisions + SEC 8-K/6-K filings + IR press releases</t>
        </is>
      </c>
      <c r="G1351" s="33" t="inlineStr">
        <is>
          <t>Medium</t>
        </is>
      </c>
      <c r="H1351" s="33" t="inlineStr">
        <is>
          <t>Initial</t>
        </is>
      </c>
    </row>
    <row r="1352">
      <c r="A1352" s="33" t="inlineStr">
        <is>
          <t>2026-05-18</t>
        </is>
      </c>
      <c r="B1352" s="33" t="inlineStr">
        <is>
          <t>PLTR</t>
        </is>
      </c>
      <c r="C1352" s="33" t="inlineStr">
        <is>
          <t>D1</t>
        </is>
      </c>
      <c r="D1352" s="33" t="n">
        <v>4</v>
      </c>
      <c r="E1352" s="33" t="inlineStr">
        <is>
          <t>Q1 2026 rev +85% YoY to $1.633B; US Commercial AIP +130% YoY = $595M; FY26 guide $7.65B (+71%). AIP is the dominant growth narrative.</t>
        </is>
      </c>
      <c r="F1352" s="33" t="inlineStr">
        <is>
          <t>Layer 10 per-name deep research (2026-05-18): WebSearch + yfinance + analyst revisions + Q1 FY26/FY27 transcripts</t>
        </is>
      </c>
      <c r="G1352" s="33" t="inlineStr">
        <is>
          <t>High</t>
        </is>
      </c>
      <c r="H1352" s="33" t="inlineStr">
        <is>
          <t>Initial</t>
        </is>
      </c>
    </row>
    <row r="1353">
      <c r="A1353" s="33" t="inlineStr">
        <is>
          <t>2026-05-18</t>
        </is>
      </c>
      <c r="B1353" s="33" t="inlineStr">
        <is>
          <t>PLTR</t>
        </is>
      </c>
      <c r="C1353" s="33" t="inlineStr">
        <is>
          <t>D2</t>
        </is>
      </c>
      <c r="D1353" s="33" t="n">
        <v>4</v>
      </c>
      <c r="E1353" s="33" t="inlineStr">
        <is>
          <t>Ontology + AIP platform layer = upstream of enterprise AI consumption. Provides the operating system, not just an app.</t>
        </is>
      </c>
      <c r="F1353" s="33" t="inlineStr">
        <is>
          <t>Layer 10 per-name deep research (2026-05-18): WebSearch + yfinance + analyst revisions + Q1 FY26/FY27 transcripts</t>
        </is>
      </c>
      <c r="G1353" s="33" t="inlineStr">
        <is>
          <t>High</t>
        </is>
      </c>
      <c r="H1353" s="33" t="inlineStr">
        <is>
          <t>Initial</t>
        </is>
      </c>
    </row>
    <row r="1354">
      <c r="A1354" s="33" t="inlineStr">
        <is>
          <t>2026-05-18</t>
        </is>
      </c>
      <c r="B1354" s="33" t="inlineStr">
        <is>
          <t>PLTR</t>
        </is>
      </c>
      <c r="C1354" s="33" t="inlineStr">
        <is>
          <t>D3</t>
        </is>
      </c>
      <c r="D1354" s="33" t="n">
        <v>5</v>
      </c>
      <c r="E1354" s="33" t="inlineStr">
        <is>
          <t>Unique technology moat (Ontology, Foundry) + deep government entrenchment + 1007 commercial customers with high switching costs. As durable as software moats get.</t>
        </is>
      </c>
      <c r="F1354" s="33" t="inlineStr">
        <is>
          <t>Layer 10 per-name deep research (2026-05-18): WebSearch + yfinance + analyst revisions + Q1 FY26/FY27 transcripts</t>
        </is>
      </c>
      <c r="G1354" s="33" t="inlineStr">
        <is>
          <t>High</t>
        </is>
      </c>
      <c r="H1354" s="33" t="inlineStr">
        <is>
          <t>Initial</t>
        </is>
      </c>
    </row>
    <row r="1355">
      <c r="A1355" s="33" t="inlineStr">
        <is>
          <t>2026-05-18</t>
        </is>
      </c>
      <c r="B1355" s="33" t="inlineStr">
        <is>
          <t>PLTR</t>
        </is>
      </c>
      <c r="C1355" s="33" t="inlineStr">
        <is>
          <t>D4</t>
        </is>
      </c>
      <c r="D1355" s="33" t="n">
        <v>4</v>
      </c>
      <c r="E1355" s="33" t="inlineStr">
        <is>
          <t>Scaling via AIP bootcamps; 139 US Commercial deals &gt;$1M in Q1 (record). Aggressive ramp.</t>
        </is>
      </c>
      <c r="F1355" s="33" t="inlineStr">
        <is>
          <t>Layer 10 per-name deep research (2026-05-18): WebSearch + yfinance + analyst revisions + Q1 FY26/FY27 transcripts</t>
        </is>
      </c>
      <c r="G1355" s="33" t="inlineStr">
        <is>
          <t>High</t>
        </is>
      </c>
      <c r="H1355" s="33" t="inlineStr">
        <is>
          <t>Initial</t>
        </is>
      </c>
    </row>
    <row r="1356">
      <c r="A1356" s="33" t="inlineStr">
        <is>
          <t>2026-05-18</t>
        </is>
      </c>
      <c r="B1356" s="33" t="inlineStr">
        <is>
          <t>PLTR</t>
        </is>
      </c>
      <c r="C1356" s="33" t="inlineStr">
        <is>
          <t>D5</t>
        </is>
      </c>
      <c r="D1356" s="33" t="n">
        <v>3</v>
      </c>
      <c r="E1356" s="33" t="inlineStr">
        <is>
          <t>Per Dom 2026-05-18: rated 3 (intermediated) rather than 2 (deeply indirect) because PLTR has been doing AI for years with entrenched government contracts — they do not need hyperscalers the same way other apps do. They are a peer in AI infrastructure, not a downstream consumer.</t>
        </is>
      </c>
      <c r="F1356" s="33" t="inlineStr">
        <is>
          <t>Layer 10 per-name deep research (2026-05-18): WebSearch + yfinance + analyst revisions + Q1 FY26/FY27 transcripts</t>
        </is>
      </c>
      <c r="G1356" s="33" t="inlineStr">
        <is>
          <t>Medium</t>
        </is>
      </c>
      <c r="H1356" s="33" t="inlineStr">
        <is>
          <t>Initial</t>
        </is>
      </c>
    </row>
    <row r="1357">
      <c r="A1357" s="33" t="inlineStr">
        <is>
          <t>2026-05-18</t>
        </is>
      </c>
      <c r="B1357" s="33" t="inlineStr">
        <is>
          <t>PLTR</t>
        </is>
      </c>
      <c r="C1357" s="33" t="inlineStr">
        <is>
          <t>M1</t>
        </is>
      </c>
      <c r="D1357" s="33" t="n">
        <v>5</v>
      </c>
      <c r="E1357" s="33" t="inlineStr">
        <is>
          <t>21 up / 0 down (30d on 0q); 19 up / 0 down on +1q. Strongest EPS revisions in Layer 10. Consensus aligning sharply higher.</t>
        </is>
      </c>
      <c r="F1357" s="33" t="inlineStr">
        <is>
          <t>Layer 10 per-name deep research (2026-05-18): WebSearch + yfinance + analyst revisions + Q1 FY26/FY27 transcripts</t>
        </is>
      </c>
      <c r="G1357" s="33" t="inlineStr">
        <is>
          <t>High</t>
        </is>
      </c>
      <c r="H1357" s="33" t="inlineStr">
        <is>
          <t>Initial</t>
        </is>
      </c>
    </row>
    <row r="1358">
      <c r="A1358" s="33" t="inlineStr">
        <is>
          <t>2026-05-18</t>
        </is>
      </c>
      <c r="B1358" s="33" t="inlineStr">
        <is>
          <t>PLTR</t>
        </is>
      </c>
      <c r="C1358" s="33" t="inlineStr">
        <is>
          <t>M2</t>
        </is>
      </c>
      <c r="D1358" s="33" t="n">
        <v>4</v>
      </c>
      <c r="E1358" s="33" t="inlineStr">
        <is>
          <t>+7% absolute 1y; +18.5pp vs IGV (software ETF). Volatile YTD (peaked $190 then retraced) but net beating software peers.</t>
        </is>
      </c>
      <c r="F1358" s="33" t="inlineStr">
        <is>
          <t>Layer 10 per-name deep research (2026-05-18): WebSearch + yfinance + analyst revisions + Q1 FY26/FY27 transcripts</t>
        </is>
      </c>
      <c r="G1358" s="33" t="inlineStr">
        <is>
          <t>High</t>
        </is>
      </c>
      <c r="H1358" s="33" t="inlineStr">
        <is>
          <t>Initial</t>
        </is>
      </c>
    </row>
    <row r="1359">
      <c r="A1359" s="33" t="inlineStr">
        <is>
          <t>2026-05-18</t>
        </is>
      </c>
      <c r="B1359" s="33" t="inlineStr">
        <is>
          <t>PLTR</t>
        </is>
      </c>
      <c r="C1359" s="33" t="inlineStr">
        <is>
          <t>M3</t>
        </is>
      </c>
      <c r="D1359" s="33" t="n">
        <v>3</v>
      </c>
      <c r="E1359" s="33" t="inlineStr">
        <is>
          <t>Default neutral; Form 4 not pulled.</t>
        </is>
      </c>
      <c r="F1359" s="33" t="inlineStr">
        <is>
          <t>Layer 10 per-name deep research (2026-05-18): WebSearch + yfinance + analyst revisions + Q1 FY26/FY27 transcripts</t>
        </is>
      </c>
      <c r="G1359" s="33" t="inlineStr">
        <is>
          <t>Low</t>
        </is>
      </c>
      <c r="H1359" s="33" t="inlineStr">
        <is>
          <t>Initial</t>
        </is>
      </c>
    </row>
    <row r="1360">
      <c r="A1360" s="33" t="inlineStr">
        <is>
          <t>2026-05-18</t>
        </is>
      </c>
      <c r="B1360" s="33" t="inlineStr">
        <is>
          <t>PLTR</t>
        </is>
      </c>
      <c r="C1360" s="33" t="inlineStr">
        <is>
          <t>R1</t>
        </is>
      </c>
      <c r="D1360" s="33" t="n">
        <v>3</v>
      </c>
      <c r="E1360" s="33" t="inlineStr">
        <is>
          <t>USG concentration (~30%+ of revenue) balanced by 1007 commercial customers. Moderate diversification.</t>
        </is>
      </c>
      <c r="F1360" s="33" t="inlineStr">
        <is>
          <t>Layer 10 per-name deep research (2026-05-18): WebSearch + yfinance + analyst revisions + Q1 FY26/FY27 transcripts</t>
        </is>
      </c>
      <c r="G1360" s="33" t="inlineStr">
        <is>
          <t>High</t>
        </is>
      </c>
      <c r="H1360" s="33" t="inlineStr">
        <is>
          <t>Initial</t>
        </is>
      </c>
    </row>
    <row r="1361">
      <c r="A1361" s="33" t="inlineStr">
        <is>
          <t>2026-05-18</t>
        </is>
      </c>
      <c r="B1361" s="33" t="inlineStr">
        <is>
          <t>PLTR</t>
        </is>
      </c>
      <c r="C1361" s="33" t="inlineStr">
        <is>
          <t>R2</t>
        </is>
      </c>
      <c r="D1361" s="33" t="n">
        <v>4</v>
      </c>
      <c r="E1361" s="33" t="inlineStr">
        <is>
          <t>US-based, government-aligned. Clean geo.</t>
        </is>
      </c>
      <c r="F1361" s="33" t="inlineStr">
        <is>
          <t>Layer 10 per-name deep research (2026-05-18): WebSearch + yfinance + analyst revisions + Q1 FY26/FY27 transcripts</t>
        </is>
      </c>
      <c r="G1361" s="33" t="inlineStr">
        <is>
          <t>High</t>
        </is>
      </c>
      <c r="H1361" s="33" t="inlineStr">
        <is>
          <t>Initial</t>
        </is>
      </c>
    </row>
    <row r="1362">
      <c r="A1362" s="33" t="inlineStr">
        <is>
          <t>2026-05-18</t>
        </is>
      </c>
      <c r="B1362" s="33" t="inlineStr">
        <is>
          <t>PLTR</t>
        </is>
      </c>
      <c r="C1362" s="33" t="inlineStr">
        <is>
          <t>R3</t>
        </is>
      </c>
      <c r="D1362" s="33" t="n">
        <v>5</v>
      </c>
      <c r="E1362" s="33" t="inlineStr">
        <is>
          <t>Net cash (ND/EBITDA -3.87); FCFM 33.6%; GM 84%. Fortress balance sheet.</t>
        </is>
      </c>
      <c r="F1362" s="33" t="inlineStr">
        <is>
          <t>Layer 10 per-name deep research (2026-05-18): WebSearch + yfinance + analyst revisions + Q1 FY26/FY27 transcripts</t>
        </is>
      </c>
      <c r="G1362" s="33" t="inlineStr">
        <is>
          <t>High</t>
        </is>
      </c>
      <c r="H1362" s="33" t="inlineStr">
        <is>
          <t>Initial</t>
        </is>
      </c>
    </row>
    <row r="1363">
      <c r="A1363" s="33" t="inlineStr">
        <is>
          <t>2026-05-18</t>
        </is>
      </c>
      <c r="B1363" s="33" t="inlineStr">
        <is>
          <t>PLTR</t>
        </is>
      </c>
      <c r="C1363" s="33" t="inlineStr">
        <is>
          <t>R4</t>
        </is>
      </c>
      <c r="D1363" s="33" t="n">
        <v>3</v>
      </c>
      <c r="E1363" s="33" t="inlineStr">
        <is>
          <t>Government contract scrutiny exists structurally as tail risk; no active major investigation/litigation identified. Stay at 3 conservatively per Dom 2026-05-18.</t>
        </is>
      </c>
      <c r="F1363" s="33" t="inlineStr">
        <is>
          <t>Layer 10 per-name deep research (2026-05-18): WebSearch + yfinance + analyst revisions + Q1 FY26/FY27 transcripts</t>
        </is>
      </c>
      <c r="G1363" s="33" t="inlineStr">
        <is>
          <t>Medium</t>
        </is>
      </c>
      <c r="H1363" s="33" t="inlineStr">
        <is>
          <t>Initial</t>
        </is>
      </c>
    </row>
    <row r="1364">
      <c r="A1364" s="33" t="inlineStr">
        <is>
          <t>2026-05-18</t>
        </is>
      </c>
      <c r="B1364" s="33" t="inlineStr">
        <is>
          <t>SNOW</t>
        </is>
      </c>
      <c r="C1364" s="33" t="inlineStr">
        <is>
          <t>D1</t>
        </is>
      </c>
      <c r="D1364" s="33" t="n">
        <v>4</v>
      </c>
      <c r="E1364" s="33" t="inlineStr">
        <is>
          <t>400+ enterprises building AI apps on Cortex; Cortex Code agent launched; OpenAI/Anthropic/NVDA integrations expand AI revenue mix. AI is the dominant new growth narrative.</t>
        </is>
      </c>
      <c r="F1364" s="33" t="inlineStr">
        <is>
          <t>Layer 10 per-name deep research (2026-05-18): WebSearch + yfinance + analyst revisions + Q1 FY26/FY27 transcripts</t>
        </is>
      </c>
      <c r="G1364" s="33" t="inlineStr">
        <is>
          <t>High</t>
        </is>
      </c>
      <c r="H1364" s="33" t="inlineStr">
        <is>
          <t>Initial</t>
        </is>
      </c>
    </row>
    <row r="1365">
      <c r="A1365" s="33" t="inlineStr">
        <is>
          <t>2026-05-18</t>
        </is>
      </c>
      <c r="B1365" s="33" t="inlineStr">
        <is>
          <t>SNOW</t>
        </is>
      </c>
      <c r="C1365" s="33" t="inlineStr">
        <is>
          <t>D2</t>
        </is>
      </c>
      <c r="D1365" s="33" t="n">
        <v>4</v>
      </c>
      <c r="E1365" s="33" t="inlineStr">
        <is>
          <t>Data cloud platform = upstream of AI applications. Customer data must live somewhere; SNOW is the platform-as-substrate for enterprise AI workloads.</t>
        </is>
      </c>
      <c r="F1365" s="33" t="inlineStr">
        <is>
          <t>Layer 10 per-name deep research (2026-05-18): WebSearch + yfinance + analyst revisions + Q1 FY26/FY27 transcripts</t>
        </is>
      </c>
      <c r="G1365" s="33" t="inlineStr">
        <is>
          <t>High</t>
        </is>
      </c>
      <c r="H1365" s="33" t="inlineStr">
        <is>
          <t>Initial</t>
        </is>
      </c>
    </row>
    <row r="1366">
      <c r="A1366" s="33" t="inlineStr">
        <is>
          <t>2026-05-18</t>
        </is>
      </c>
      <c r="B1366" s="33" t="inlineStr">
        <is>
          <t>SNOW</t>
        </is>
      </c>
      <c r="C1366" s="33" t="inlineStr">
        <is>
          <t>D3</t>
        </is>
      </c>
      <c r="D1366" s="33" t="n">
        <v>4</v>
      </c>
      <c r="E1366" s="33" t="inlineStr">
        <is>
          <t>Strong network effects (data gravity); Apache Iceberg + Polaris differentiation; deep partner ecosystem. Solid but contestable vs hyperscaler-native (Redshift, BigQuery, Synapse).</t>
        </is>
      </c>
      <c r="F1366" s="33" t="inlineStr">
        <is>
          <t>Layer 10 per-name deep research (2026-05-18): WebSearch + yfinance + analyst revisions + Q1 FY26/FY27 transcripts</t>
        </is>
      </c>
      <c r="G1366" s="33" t="inlineStr">
        <is>
          <t>Medium</t>
        </is>
      </c>
      <c r="H1366" s="33" t="inlineStr">
        <is>
          <t>Initial</t>
        </is>
      </c>
    </row>
    <row r="1367">
      <c r="A1367" s="33" t="inlineStr">
        <is>
          <t>2026-05-18</t>
        </is>
      </c>
      <c r="B1367" s="33" t="inlineStr">
        <is>
          <t>SNOW</t>
        </is>
      </c>
      <c r="C1367" s="33" t="inlineStr">
        <is>
          <t>D4</t>
        </is>
      </c>
      <c r="D1367" s="33" t="n">
        <v>4</v>
      </c>
      <c r="E1367" s="33" t="inlineStr">
        <is>
          <t>Aggressive AI product launches (Cortex Code, financial services Cortex, multiple partnerships).</t>
        </is>
      </c>
      <c r="F1367" s="33" t="inlineStr">
        <is>
          <t>Layer 10 per-name deep research (2026-05-18): WebSearch + yfinance + analyst revisions + Q1 FY26/FY27 transcripts</t>
        </is>
      </c>
      <c r="G1367" s="33" t="inlineStr">
        <is>
          <t>High</t>
        </is>
      </c>
      <c r="H1367" s="33" t="inlineStr">
        <is>
          <t>Initial</t>
        </is>
      </c>
    </row>
    <row r="1368">
      <c r="A1368" s="33" t="inlineStr">
        <is>
          <t>2026-05-18</t>
        </is>
      </c>
      <c r="B1368" s="33" t="inlineStr">
        <is>
          <t>SNOW</t>
        </is>
      </c>
      <c r="C1368" s="33" t="inlineStr">
        <is>
          <t>D5</t>
        </is>
      </c>
      <c r="D1368" s="33" t="n">
        <v>3</v>
      </c>
      <c r="E1368" s="33" t="inlineStr">
        <is>
          <t>Rated 3 (intermediated chain) — SNOW runs on hyperscaler IaaS (AWS/Azure/GCP) and integrates with NVDA AI Enterprise + OpenAI + Anthropic, but these are SUPPLIER/PARTNER relationships, not anchor-customer wins. Per [[d5-direct-vs-indirect-calibration]], intermediated chain = 3. Downgraded from initial 4 after discussion with Dom 2026-05-18: was rewarding partnership depth rather than customer-chain position.</t>
        </is>
      </c>
      <c r="F1368" s="33" t="inlineStr">
        <is>
          <t>Layer 10 per-name deep research (2026-05-18): WebSearch + yfinance + analyst revisions + Q1 FY26/FY27 transcripts</t>
        </is>
      </c>
      <c r="G1368" s="33" t="inlineStr">
        <is>
          <t>High</t>
        </is>
      </c>
      <c r="H1368" s="33" t="inlineStr">
        <is>
          <t>Initial</t>
        </is>
      </c>
    </row>
    <row r="1369">
      <c r="A1369" s="33" t="inlineStr">
        <is>
          <t>2026-05-18</t>
        </is>
      </c>
      <c r="B1369" s="33" t="inlineStr">
        <is>
          <t>SNOW</t>
        </is>
      </c>
      <c r="C1369" s="33" t="inlineStr">
        <is>
          <t>M1</t>
        </is>
      </c>
      <c r="D1369" s="33" t="n">
        <v>2</v>
      </c>
      <c r="E1369" s="33" t="inlineStr">
        <is>
          <t>11 up / 24 down (30d on 0q). Sharply negative — market pricing in AI-disintermediation risk + valuation compression ahead of Q1 FY27 results May 27.</t>
        </is>
      </c>
      <c r="F1369" s="33" t="inlineStr">
        <is>
          <t>Layer 10 per-name deep research (2026-05-18): WebSearch + yfinance + analyst revisions + Q1 FY26/FY27 transcripts</t>
        </is>
      </c>
      <c r="G1369" s="33" t="inlineStr">
        <is>
          <t>High</t>
        </is>
      </c>
      <c r="H1369" s="33" t="inlineStr">
        <is>
          <t>Initial</t>
        </is>
      </c>
    </row>
    <row r="1370">
      <c r="A1370" s="33" t="inlineStr">
        <is>
          <t>2026-05-18</t>
        </is>
      </c>
      <c r="B1370" s="33" t="inlineStr">
        <is>
          <t>SNOW</t>
        </is>
      </c>
      <c r="C1370" s="33" t="inlineStr">
        <is>
          <t>M2</t>
        </is>
      </c>
      <c r="D1370" s="33" t="n">
        <v>3</v>
      </c>
      <c r="E1370" s="33" t="inlineStr">
        <is>
          <t>-9.8% absolute 1y; +1.7pp vs IGV — tracking software ETF.</t>
        </is>
      </c>
      <c r="F1370" s="33" t="inlineStr">
        <is>
          <t>Layer 10 per-name deep research (2026-05-18): WebSearch + yfinance + analyst revisions + Q1 FY26/FY27 transcripts</t>
        </is>
      </c>
      <c r="G1370" s="33" t="inlineStr">
        <is>
          <t>High</t>
        </is>
      </c>
      <c r="H1370" s="33" t="inlineStr">
        <is>
          <t>Initial</t>
        </is>
      </c>
    </row>
    <row r="1371">
      <c r="A1371" s="33" t="inlineStr">
        <is>
          <t>2026-05-18</t>
        </is>
      </c>
      <c r="B1371" s="33" t="inlineStr">
        <is>
          <t>SNOW</t>
        </is>
      </c>
      <c r="C1371" s="33" t="inlineStr">
        <is>
          <t>M3</t>
        </is>
      </c>
      <c r="D1371" s="33" t="n">
        <v>3</v>
      </c>
      <c r="E1371" s="33" t="inlineStr">
        <is>
          <t>Default neutral.</t>
        </is>
      </c>
      <c r="F1371" s="33" t="inlineStr">
        <is>
          <t>Layer 10 per-name deep research (2026-05-18): WebSearch + yfinance + analyst revisions + Q1 FY26/FY27 transcripts</t>
        </is>
      </c>
      <c r="G1371" s="33" t="inlineStr">
        <is>
          <t>Low</t>
        </is>
      </c>
      <c r="H1371" s="33" t="inlineStr">
        <is>
          <t>Initial</t>
        </is>
      </c>
    </row>
    <row r="1372">
      <c r="A1372" s="33" t="inlineStr">
        <is>
          <t>2026-05-18</t>
        </is>
      </c>
      <c r="B1372" s="33" t="inlineStr">
        <is>
          <t>SNOW</t>
        </is>
      </c>
      <c r="C1372" s="33" t="inlineStr">
        <is>
          <t>R1</t>
        </is>
      </c>
      <c r="D1372" s="33" t="n">
        <v>4</v>
      </c>
      <c r="E1372" s="33" t="inlineStr">
        <is>
          <t>Highly diversified enterprise base; no top-1 customer dominance.</t>
        </is>
      </c>
      <c r="F1372" s="33" t="inlineStr">
        <is>
          <t>Layer 10 per-name deep research (2026-05-18): WebSearch + yfinance + analyst revisions + Q1 FY26/FY27 transcripts</t>
        </is>
      </c>
      <c r="G1372" s="33" t="inlineStr">
        <is>
          <t>High</t>
        </is>
      </c>
      <c r="H1372" s="33" t="inlineStr">
        <is>
          <t>Initial</t>
        </is>
      </c>
    </row>
    <row r="1373">
      <c r="A1373" s="33" t="inlineStr">
        <is>
          <t>2026-05-18</t>
        </is>
      </c>
      <c r="B1373" s="33" t="inlineStr">
        <is>
          <t>SNOW</t>
        </is>
      </c>
      <c r="C1373" s="33" t="inlineStr">
        <is>
          <t>R2</t>
        </is>
      </c>
      <c r="D1373" s="33" t="n">
        <v>4</v>
      </c>
      <c r="E1373" s="33" t="inlineStr">
        <is>
          <t>US-based, multi-cloud global delivery. Clean geo.</t>
        </is>
      </c>
      <c r="F1373" s="33" t="inlineStr">
        <is>
          <t>Layer 10 per-name deep research (2026-05-18): WebSearch + yfinance + analyst revisions + Q1 FY26/FY27 transcripts</t>
        </is>
      </c>
      <c r="G1373" s="33" t="inlineStr">
        <is>
          <t>High</t>
        </is>
      </c>
      <c r="H1373" s="33" t="inlineStr">
        <is>
          <t>Initial</t>
        </is>
      </c>
    </row>
    <row r="1374">
      <c r="A1374" s="33" t="inlineStr">
        <is>
          <t>2026-05-18</t>
        </is>
      </c>
      <c r="B1374" s="33" t="inlineStr">
        <is>
          <t>SNOW</t>
        </is>
      </c>
      <c r="C1374" s="33" t="inlineStr">
        <is>
          <t>R3</t>
        </is>
      </c>
      <c r="D1374" s="33" t="n">
        <v>4</v>
      </c>
      <c r="E1374" s="33" t="inlineStr">
        <is>
          <t>ND/EBITDA 1.0 manageable; FCFM 34% strong; GM 67%; cash-rich.</t>
        </is>
      </c>
      <c r="F1374" s="33" t="inlineStr">
        <is>
          <t>Layer 10 per-name deep research (2026-05-18): WebSearch + yfinance + analyst revisions + Q1 FY26/FY27 transcripts</t>
        </is>
      </c>
      <c r="G1374" s="33" t="inlineStr">
        <is>
          <t>High</t>
        </is>
      </c>
      <c r="H1374" s="33" t="inlineStr">
        <is>
          <t>Initial</t>
        </is>
      </c>
    </row>
    <row r="1375">
      <c r="A1375" s="33" t="inlineStr">
        <is>
          <t>2026-05-18</t>
        </is>
      </c>
      <c r="B1375" s="33" t="inlineStr">
        <is>
          <t>SNOW</t>
        </is>
      </c>
      <c r="C1375" s="33" t="inlineStr">
        <is>
          <t>R4</t>
        </is>
      </c>
      <c r="D1375" s="33" t="n">
        <v>4</v>
      </c>
      <c r="E1375" s="33" t="inlineStr">
        <is>
          <t>Clean.</t>
        </is>
      </c>
      <c r="F1375" s="33" t="inlineStr">
        <is>
          <t>Layer 10 per-name deep research (2026-05-18): WebSearch + yfinance + analyst revisions + Q1 FY26/FY27 transcripts</t>
        </is>
      </c>
      <c r="G1375" s="33" t="inlineStr">
        <is>
          <t>High</t>
        </is>
      </c>
      <c r="H1375" s="33" t="inlineStr">
        <is>
          <t>Initial</t>
        </is>
      </c>
    </row>
    <row r="1376">
      <c r="A1376" s="33" t="inlineStr">
        <is>
          <t>2026-05-18</t>
        </is>
      </c>
      <c r="B1376" s="33" t="inlineStr">
        <is>
          <t>NOW</t>
        </is>
      </c>
      <c r="C1376" s="33" t="inlineStr">
        <is>
          <t>D1</t>
        </is>
      </c>
      <c r="D1376" s="33" t="n">
        <v>4</v>
      </c>
      <c r="E1376" s="33" t="inlineStr">
        <is>
          <t>Now Assist AI revenue target raised to $1.5B (from $1B); Now Assist customers &gt;$1M ACV grew 130% YoY; FY26 sub guide raised; AI Control Tower deal sizes doubled QoQ. AI is dominant new growth.</t>
        </is>
      </c>
      <c r="F1376" s="33" t="inlineStr">
        <is>
          <t>Layer 10 per-name deep research (2026-05-18): WebSearch + yfinance + analyst revisions + Q1 FY26/FY27 transcripts</t>
        </is>
      </c>
      <c r="G1376" s="33" t="inlineStr">
        <is>
          <t>High</t>
        </is>
      </c>
      <c r="H1376" s="33" t="inlineStr">
        <is>
          <t>Initial</t>
        </is>
      </c>
    </row>
    <row r="1377">
      <c r="A1377" s="33" t="inlineStr">
        <is>
          <t>2026-05-18</t>
        </is>
      </c>
      <c r="B1377" s="33" t="inlineStr">
        <is>
          <t>NOW</t>
        </is>
      </c>
      <c r="C1377" s="33" t="inlineStr">
        <is>
          <t>D2</t>
        </is>
      </c>
      <c r="D1377" s="33" t="n">
        <v>3</v>
      </c>
      <c r="E1377" s="33" t="inlineStr">
        <is>
          <t>Workflow apps layer — orchestrates AI but doesn't create AI. Apps tier of stack.</t>
        </is>
      </c>
      <c r="F1377" s="33" t="inlineStr">
        <is>
          <t>Layer 10 per-name deep research (2026-05-18): WebSearch + yfinance + analyst revisions + Q1 FY26/FY27 transcripts</t>
        </is>
      </c>
      <c r="G1377" s="33" t="inlineStr">
        <is>
          <t>High</t>
        </is>
      </c>
      <c r="H1377" s="33" t="inlineStr">
        <is>
          <t>Initial</t>
        </is>
      </c>
    </row>
    <row r="1378">
      <c r="A1378" s="33" t="inlineStr">
        <is>
          <t>2026-05-18</t>
        </is>
      </c>
      <c r="B1378" s="33" t="inlineStr">
        <is>
          <t>NOW</t>
        </is>
      </c>
      <c r="C1378" s="33" t="inlineStr">
        <is>
          <t>D3</t>
        </is>
      </c>
      <c r="D1378" s="33" t="n">
        <v>5</v>
      </c>
      <c r="E1378" s="33" t="inlineStr">
        <is>
          <t>97% renewal rate; 16 deals &gt;$5M ACV, 5 &gt;$10M in Q1; deep enterprise workflow embedding; RPO $27.7B. Among the strongest enterprise SaaS moats in software.</t>
        </is>
      </c>
      <c r="F1378" s="33" t="inlineStr">
        <is>
          <t>Layer 10 per-name deep research (2026-05-18): WebSearch + yfinance + analyst revisions + Q1 FY26/FY27 transcripts</t>
        </is>
      </c>
      <c r="G1378" s="33" t="inlineStr">
        <is>
          <t>High</t>
        </is>
      </c>
      <c r="H1378" s="33" t="inlineStr">
        <is>
          <t>Initial</t>
        </is>
      </c>
    </row>
    <row r="1379">
      <c r="A1379" s="33" t="inlineStr">
        <is>
          <t>2026-05-18</t>
        </is>
      </c>
      <c r="B1379" s="33" t="inlineStr">
        <is>
          <t>NOW</t>
        </is>
      </c>
      <c r="C1379" s="33" t="inlineStr">
        <is>
          <t>D4</t>
        </is>
      </c>
      <c r="D1379" s="33" t="n">
        <v>4</v>
      </c>
      <c r="E1379" s="33" t="inlineStr">
        <is>
          <t>Scaling AI products aggressively; AI Control Tower orchestrates agent rollouts; raised AI target signals confidence.</t>
        </is>
      </c>
      <c r="F1379" s="33" t="inlineStr">
        <is>
          <t>Layer 10 per-name deep research (2026-05-18): WebSearch + yfinance + analyst revisions + Q1 FY26/FY27 transcripts</t>
        </is>
      </c>
      <c r="G1379" s="33" t="inlineStr">
        <is>
          <t>High</t>
        </is>
      </c>
      <c r="H1379" s="33" t="inlineStr">
        <is>
          <t>Initial</t>
        </is>
      </c>
    </row>
    <row r="1380">
      <c r="A1380" s="33" t="inlineStr">
        <is>
          <t>2026-05-18</t>
        </is>
      </c>
      <c r="B1380" s="33" t="inlineStr">
        <is>
          <t>NOW</t>
        </is>
      </c>
      <c r="C1380" s="33" t="inlineStr">
        <is>
          <t>D5</t>
        </is>
      </c>
      <c r="D1380" s="33" t="n">
        <v>3</v>
      </c>
      <c r="E1380" s="33" t="inlineStr">
        <is>
          <t>Partners with hyperscalers and model providers but customers are enterprises directly; intermediated chain.</t>
        </is>
      </c>
      <c r="F1380" s="33" t="inlineStr">
        <is>
          <t>Layer 10 per-name deep research (2026-05-18): WebSearch + yfinance + analyst revisions + Q1 FY26/FY27 transcripts</t>
        </is>
      </c>
      <c r="G1380" s="33" t="inlineStr">
        <is>
          <t>Medium</t>
        </is>
      </c>
      <c r="H1380" s="33" t="inlineStr">
        <is>
          <t>Initial</t>
        </is>
      </c>
    </row>
    <row r="1381">
      <c r="A1381" s="33" t="inlineStr">
        <is>
          <t>2026-05-18</t>
        </is>
      </c>
      <c r="B1381" s="33" t="inlineStr">
        <is>
          <t>NOW</t>
        </is>
      </c>
      <c r="C1381" s="33" t="inlineStr">
        <is>
          <t>M1</t>
        </is>
      </c>
      <c r="D1381" s="33" t="n">
        <v>2</v>
      </c>
      <c r="E1381" s="33" t="inlineStr">
        <is>
          <t>0 up / 34 down (30d on 0q) — extreme negative despite raised sub guide. +1q shows 13 up / 17 down (mixed). Market pricing in seat-cannibalization-by-AI faster than growth additions. Stays at 2 per current-Q signal weight, per Dom 2026-05-18.</t>
        </is>
      </c>
      <c r="F1381" s="33" t="inlineStr">
        <is>
          <t>Layer 10 per-name deep research (2026-05-18): WebSearch + yfinance + analyst revisions + Q1 FY26/FY27 transcripts</t>
        </is>
      </c>
      <c r="G1381" s="33" t="inlineStr">
        <is>
          <t>High</t>
        </is>
      </c>
      <c r="H1381" s="33" t="inlineStr">
        <is>
          <t>Initial</t>
        </is>
      </c>
    </row>
    <row r="1382">
      <c r="A1382" s="33" t="inlineStr">
        <is>
          <t>2026-05-18</t>
        </is>
      </c>
      <c r="B1382" s="33" t="inlineStr">
        <is>
          <t>NOW</t>
        </is>
      </c>
      <c r="C1382" s="33" t="inlineStr">
        <is>
          <t>M2</t>
        </is>
      </c>
      <c r="D1382" s="33" t="n">
        <v>1</v>
      </c>
      <c r="E1382" s="33" t="inlineStr">
        <is>
          <t>-50% absolute 1y; -38pp vs IGV. Catastrophic underperformance.</t>
        </is>
      </c>
      <c r="F1382" s="33" t="inlineStr">
        <is>
          <t>Layer 10 per-name deep research (2026-05-18): WebSearch + yfinance + analyst revisions + Q1 FY26/FY27 transcripts</t>
        </is>
      </c>
      <c r="G1382" s="33" t="inlineStr">
        <is>
          <t>High</t>
        </is>
      </c>
      <c r="H1382" s="33" t="inlineStr">
        <is>
          <t>Initial</t>
        </is>
      </c>
    </row>
    <row r="1383">
      <c r="A1383" s="33" t="inlineStr">
        <is>
          <t>2026-05-18</t>
        </is>
      </c>
      <c r="B1383" s="33" t="inlineStr">
        <is>
          <t>NOW</t>
        </is>
      </c>
      <c r="C1383" s="33" t="inlineStr">
        <is>
          <t>M3</t>
        </is>
      </c>
      <c r="D1383" s="33" t="n">
        <v>3</v>
      </c>
      <c r="E1383" s="33" t="inlineStr">
        <is>
          <t>Default neutral.</t>
        </is>
      </c>
      <c r="F1383" s="33" t="inlineStr">
        <is>
          <t>Layer 10 per-name deep research (2026-05-18): WebSearch + yfinance + analyst revisions + Q1 FY26/FY27 transcripts</t>
        </is>
      </c>
      <c r="G1383" s="33" t="inlineStr">
        <is>
          <t>Low</t>
        </is>
      </c>
      <c r="H1383" s="33" t="inlineStr">
        <is>
          <t>Initial</t>
        </is>
      </c>
    </row>
    <row r="1384">
      <c r="A1384" s="33" t="inlineStr">
        <is>
          <t>2026-05-18</t>
        </is>
      </c>
      <c r="B1384" s="33" t="inlineStr">
        <is>
          <t>NOW</t>
        </is>
      </c>
      <c r="C1384" s="33" t="inlineStr">
        <is>
          <t>R1</t>
        </is>
      </c>
      <c r="D1384" s="33" t="n">
        <v>4</v>
      </c>
      <c r="E1384" s="33" t="inlineStr">
        <is>
          <t>Highly diversified enterprise base; no concentration risk.</t>
        </is>
      </c>
      <c r="F1384" s="33" t="inlineStr">
        <is>
          <t>Layer 10 per-name deep research (2026-05-18): WebSearch + yfinance + analyst revisions + Q1 FY26/FY27 transcripts</t>
        </is>
      </c>
      <c r="G1384" s="33" t="inlineStr">
        <is>
          <t>High</t>
        </is>
      </c>
      <c r="H1384" s="33" t="inlineStr">
        <is>
          <t>Initial</t>
        </is>
      </c>
    </row>
    <row r="1385">
      <c r="A1385" s="33" t="inlineStr">
        <is>
          <t>2026-05-18</t>
        </is>
      </c>
      <c r="B1385" s="33" t="inlineStr">
        <is>
          <t>NOW</t>
        </is>
      </c>
      <c r="C1385" s="33" t="inlineStr">
        <is>
          <t>R2</t>
        </is>
      </c>
      <c r="D1385" s="33" t="n">
        <v>4</v>
      </c>
      <c r="E1385" s="33" t="inlineStr">
        <is>
          <t>US-based, global delivery. Clean geo.</t>
        </is>
      </c>
      <c r="F1385" s="33" t="inlineStr">
        <is>
          <t>Layer 10 per-name deep research (2026-05-18): WebSearch + yfinance + analyst revisions + Q1 FY26/FY27 transcripts</t>
        </is>
      </c>
      <c r="G1385" s="33" t="inlineStr">
        <is>
          <t>High</t>
        </is>
      </c>
      <c r="H1385" s="33" t="inlineStr">
        <is>
          <t>Initial</t>
        </is>
      </c>
    </row>
    <row r="1386">
      <c r="A1386" s="33" t="inlineStr">
        <is>
          <t>2026-05-18</t>
        </is>
      </c>
      <c r="B1386" s="33" t="inlineStr">
        <is>
          <t>NOW</t>
        </is>
      </c>
      <c r="C1386" s="33" t="inlineStr">
        <is>
          <t>R3</t>
        </is>
      </c>
      <c r="D1386" s="33" t="n">
        <v>5</v>
      </c>
      <c r="E1386" s="33" t="inlineStr">
        <is>
          <t>Net cash (ND/EBITDA -0.95); FCFM 36.6%; GM 77%. Fortress balance sheet.</t>
        </is>
      </c>
      <c r="F1386" s="33" t="inlineStr">
        <is>
          <t>Layer 10 per-name deep research (2026-05-18): WebSearch + yfinance + analyst revisions + Q1 FY26/FY27 transcripts</t>
        </is>
      </c>
      <c r="G1386" s="33" t="inlineStr">
        <is>
          <t>High</t>
        </is>
      </c>
      <c r="H1386" s="33" t="inlineStr">
        <is>
          <t>Initial</t>
        </is>
      </c>
    </row>
    <row r="1387">
      <c r="A1387" s="33" t="inlineStr">
        <is>
          <t>2026-05-18</t>
        </is>
      </c>
      <c r="B1387" s="33" t="inlineStr">
        <is>
          <t>NOW</t>
        </is>
      </c>
      <c r="C1387" s="33" t="inlineStr">
        <is>
          <t>R4</t>
        </is>
      </c>
      <c r="D1387" s="33" t="n">
        <v>4</v>
      </c>
      <c r="E1387" s="33" t="inlineStr">
        <is>
          <t>Clean.</t>
        </is>
      </c>
      <c r="F1387" s="33" t="inlineStr">
        <is>
          <t>Layer 10 per-name deep research (2026-05-18): WebSearch + yfinance + analyst revisions + Q1 FY26/FY27 transcripts</t>
        </is>
      </c>
      <c r="G1387" s="33" t="inlineStr">
        <is>
          <t>High</t>
        </is>
      </c>
      <c r="H1387" s="33" t="inlineStr">
        <is>
          <t>Initial</t>
        </is>
      </c>
    </row>
    <row r="1388">
      <c r="A1388" s="33" t="inlineStr">
        <is>
          <t>2026-05-18</t>
        </is>
      </c>
      <c r="B1388" s="33" t="inlineStr">
        <is>
          <t>CRM</t>
        </is>
      </c>
      <c r="C1388" s="33" t="inlineStr">
        <is>
          <t>D1</t>
        </is>
      </c>
      <c r="D1388" s="33" t="n">
        <v>3</v>
      </c>
      <c r="E1388" s="33" t="inlineStr">
        <is>
          <t>Agentforce ARR $800M (+169% YoY); 29k deals since launch, 18.5k customers (9.5k paid); Agentforce + Data 360 combined ARR $2.9B = ~7% of $41.5B total. AI material but not yet dominant of total revenue mix.</t>
        </is>
      </c>
      <c r="F1388" s="33" t="inlineStr">
        <is>
          <t>Layer 10 per-name deep research (2026-05-18): WebSearch + yfinance + analyst revisions + Q1 FY26/FY27 transcripts</t>
        </is>
      </c>
      <c r="G1388" s="33" t="inlineStr">
        <is>
          <t>High</t>
        </is>
      </c>
      <c r="H1388" s="33" t="inlineStr">
        <is>
          <t>Initial</t>
        </is>
      </c>
    </row>
    <row r="1389">
      <c r="A1389" s="33" t="inlineStr">
        <is>
          <t>2026-05-18</t>
        </is>
      </c>
      <c r="B1389" s="33" t="inlineStr">
        <is>
          <t>CRM</t>
        </is>
      </c>
      <c r="C1389" s="33" t="inlineStr">
        <is>
          <t>D2</t>
        </is>
      </c>
      <c r="D1389" s="33" t="n">
        <v>3</v>
      </c>
      <c r="E1389" s="33" t="inlineStr">
        <is>
          <t>Apps layer — downstream of model providers; orchestrates AI for sales/service/marketing workflows.</t>
        </is>
      </c>
      <c r="F1389" s="33" t="inlineStr">
        <is>
          <t>Layer 10 per-name deep research (2026-05-18): WebSearch + yfinance + analyst revisions + Q1 FY26/FY27 transcripts</t>
        </is>
      </c>
      <c r="G1389" s="33" t="inlineStr">
        <is>
          <t>High</t>
        </is>
      </c>
      <c r="H1389" s="33" t="inlineStr">
        <is>
          <t>Initial</t>
        </is>
      </c>
    </row>
    <row r="1390">
      <c r="A1390" s="33" t="inlineStr">
        <is>
          <t>2026-05-18</t>
        </is>
      </c>
      <c r="B1390" s="33" t="inlineStr">
        <is>
          <t>CRM</t>
        </is>
      </c>
      <c r="C1390" s="33" t="inlineStr">
        <is>
          <t>D3</t>
        </is>
      </c>
      <c r="D1390" s="33" t="n">
        <v>4</v>
      </c>
      <c r="E1390" s="33" t="inlineStr">
        <is>
          <t>Largest enterprise CRM installed base = built-in distribution for Agentforce; switching costs real; Informatica acquisition adds data layer. But MSFT Copilot competition real.</t>
        </is>
      </c>
      <c r="F1390" s="33" t="inlineStr">
        <is>
          <t>Layer 10 per-name deep research (2026-05-18): WebSearch + yfinance + analyst revisions + Q1 FY26/FY27 transcripts</t>
        </is>
      </c>
      <c r="G1390" s="33" t="inlineStr">
        <is>
          <t>Medium</t>
        </is>
      </c>
      <c r="H1390" s="33" t="inlineStr">
        <is>
          <t>Initial</t>
        </is>
      </c>
    </row>
    <row r="1391">
      <c r="A1391" s="33" t="inlineStr">
        <is>
          <t>2026-05-18</t>
        </is>
      </c>
      <c r="B1391" s="33" t="inlineStr">
        <is>
          <t>CRM</t>
        </is>
      </c>
      <c r="C1391" s="33" t="inlineStr">
        <is>
          <t>D4</t>
        </is>
      </c>
      <c r="D1391" s="33" t="n">
        <v>4</v>
      </c>
      <c r="E1391" s="33" t="inlineStr">
        <is>
          <t>Agentforce scaling 50% QoQ in deal count; 169% YoY ARR growth.</t>
        </is>
      </c>
      <c r="F1391" s="33" t="inlineStr">
        <is>
          <t>Layer 10 per-name deep research (2026-05-18): WebSearch + yfinance + analyst revisions + Q1 FY26/FY27 transcripts</t>
        </is>
      </c>
      <c r="G1391" s="33" t="inlineStr">
        <is>
          <t>High</t>
        </is>
      </c>
      <c r="H1391" s="33" t="inlineStr">
        <is>
          <t>Initial</t>
        </is>
      </c>
    </row>
    <row r="1392">
      <c r="A1392" s="33" t="inlineStr">
        <is>
          <t>2026-05-18</t>
        </is>
      </c>
      <c r="B1392" s="33" t="inlineStr">
        <is>
          <t>CRM</t>
        </is>
      </c>
      <c r="C1392" s="33" t="inlineStr">
        <is>
          <t>D5</t>
        </is>
      </c>
      <c r="D1392" s="33" t="n">
        <v>3</v>
      </c>
      <c r="E1392" s="33" t="inlineStr">
        <is>
          <t>Enterprise customers; integration partnerships with hyperscalers and AI model providers; intermediated chain.</t>
        </is>
      </c>
      <c r="F1392" s="33" t="inlineStr">
        <is>
          <t>Layer 10 per-name deep research (2026-05-18): WebSearch + yfinance + analyst revisions + Q1 FY26/FY27 transcripts</t>
        </is>
      </c>
      <c r="G1392" s="33" t="inlineStr">
        <is>
          <t>Medium</t>
        </is>
      </c>
      <c r="H1392" s="33" t="inlineStr">
        <is>
          <t>Initial</t>
        </is>
      </c>
    </row>
    <row r="1393">
      <c r="A1393" s="33" t="inlineStr">
        <is>
          <t>2026-05-18</t>
        </is>
      </c>
      <c r="B1393" s="33" t="inlineStr">
        <is>
          <t>CRM</t>
        </is>
      </c>
      <c r="C1393" s="33" t="inlineStr">
        <is>
          <t>M1</t>
        </is>
      </c>
      <c r="D1393" s="33" t="n">
        <v>4</v>
      </c>
      <c r="E1393" s="33" t="inlineStr">
        <is>
          <t>33 up / 3 down (30d on 0q) but +1q mixed (19 up / 19 down). Net positive on near-term, ambiguous on next.</t>
        </is>
      </c>
      <c r="F1393" s="33" t="inlineStr">
        <is>
          <t>Layer 10 per-name deep research (2026-05-18): WebSearch + yfinance + analyst revisions + Q1 FY26/FY27 transcripts</t>
        </is>
      </c>
      <c r="G1393" s="33" t="inlineStr">
        <is>
          <t>High</t>
        </is>
      </c>
      <c r="H1393" s="33" t="inlineStr">
        <is>
          <t>Initial</t>
        </is>
      </c>
    </row>
    <row r="1394">
      <c r="A1394" s="33" t="inlineStr">
        <is>
          <t>2026-05-18</t>
        </is>
      </c>
      <c r="B1394" s="33" t="inlineStr">
        <is>
          <t>CRM</t>
        </is>
      </c>
      <c r="C1394" s="33" t="inlineStr">
        <is>
          <t>M2</t>
        </is>
      </c>
      <c r="D1394" s="33" t="n">
        <v>2</v>
      </c>
      <c r="E1394" s="33" t="inlineStr">
        <is>
          <t>-37% absolute 1y; -25.6pp vs IGV. Significant underperformance.</t>
        </is>
      </c>
      <c r="F1394" s="33" t="inlineStr">
        <is>
          <t>Layer 10 per-name deep research (2026-05-18): WebSearch + yfinance + analyst revisions + Q1 FY26/FY27 transcripts</t>
        </is>
      </c>
      <c r="G1394" s="33" t="inlineStr">
        <is>
          <t>High</t>
        </is>
      </c>
      <c r="H1394" s="33" t="inlineStr">
        <is>
          <t>Initial</t>
        </is>
      </c>
    </row>
    <row r="1395">
      <c r="A1395" s="33" t="inlineStr">
        <is>
          <t>2026-05-18</t>
        </is>
      </c>
      <c r="B1395" s="33" t="inlineStr">
        <is>
          <t>CRM</t>
        </is>
      </c>
      <c r="C1395" s="33" t="inlineStr">
        <is>
          <t>M3</t>
        </is>
      </c>
      <c r="D1395" s="33" t="n">
        <v>3</v>
      </c>
      <c r="E1395" s="33" t="inlineStr">
        <is>
          <t>Default neutral.</t>
        </is>
      </c>
      <c r="F1395" s="33" t="inlineStr">
        <is>
          <t>Layer 10 per-name deep research (2026-05-18): WebSearch + yfinance + analyst revisions + Q1 FY26/FY27 transcripts</t>
        </is>
      </c>
      <c r="G1395" s="33" t="inlineStr">
        <is>
          <t>Low</t>
        </is>
      </c>
      <c r="H1395" s="33" t="inlineStr">
        <is>
          <t>Initial</t>
        </is>
      </c>
    </row>
    <row r="1396">
      <c r="A1396" s="33" t="inlineStr">
        <is>
          <t>2026-05-18</t>
        </is>
      </c>
      <c r="B1396" s="33" t="inlineStr">
        <is>
          <t>CRM</t>
        </is>
      </c>
      <c r="C1396" s="33" t="inlineStr">
        <is>
          <t>R1</t>
        </is>
      </c>
      <c r="D1396" s="33" t="n">
        <v>4</v>
      </c>
      <c r="E1396" s="33" t="inlineStr">
        <is>
          <t>Highly diversified enterprise; MSFT Copilot competition real but not concentration risk.</t>
        </is>
      </c>
      <c r="F1396" s="33" t="inlineStr">
        <is>
          <t>Layer 10 per-name deep research (2026-05-18): WebSearch + yfinance + analyst revisions + Q1 FY26/FY27 transcripts</t>
        </is>
      </c>
      <c r="G1396" s="33" t="inlineStr">
        <is>
          <t>High</t>
        </is>
      </c>
      <c r="H1396" s="33" t="inlineStr">
        <is>
          <t>Initial</t>
        </is>
      </c>
    </row>
    <row r="1397">
      <c r="A1397" s="33" t="inlineStr">
        <is>
          <t>2026-05-18</t>
        </is>
      </c>
      <c r="B1397" s="33" t="inlineStr">
        <is>
          <t>CRM</t>
        </is>
      </c>
      <c r="C1397" s="33" t="inlineStr">
        <is>
          <t>R2</t>
        </is>
      </c>
      <c r="D1397" s="33" t="n">
        <v>4</v>
      </c>
      <c r="E1397" s="33" t="inlineStr">
        <is>
          <t>US-based, global delivery. Clean.</t>
        </is>
      </c>
      <c r="F1397" s="33" t="inlineStr">
        <is>
          <t>Layer 10 per-name deep research (2026-05-18): WebSearch + yfinance + analyst revisions + Q1 FY26/FY27 transcripts</t>
        </is>
      </c>
      <c r="G1397" s="33" t="inlineStr">
        <is>
          <t>High</t>
        </is>
      </c>
      <c r="H1397" s="33" t="inlineStr">
        <is>
          <t>Initial</t>
        </is>
      </c>
    </row>
    <row r="1398">
      <c r="A1398" s="33" t="inlineStr">
        <is>
          <t>2026-05-18</t>
        </is>
      </c>
      <c r="B1398" s="33" t="inlineStr">
        <is>
          <t>CRM</t>
        </is>
      </c>
      <c r="C1398" s="33" t="inlineStr">
        <is>
          <t>R3</t>
        </is>
      </c>
      <c r="D1398" s="33" t="n">
        <v>4</v>
      </c>
      <c r="E1398" s="33" t="inlineStr">
        <is>
          <t>ND/EBITDA 0.65 low; FCFM 39.4%; GM 78%. Excellent quality + value combination.</t>
        </is>
      </c>
      <c r="F1398" s="33" t="inlineStr">
        <is>
          <t>Layer 10 per-name deep research (2026-05-18): WebSearch + yfinance + analyst revisions + Q1 FY26/FY27 transcripts</t>
        </is>
      </c>
      <c r="G1398" s="33" t="inlineStr">
        <is>
          <t>High</t>
        </is>
      </c>
      <c r="H1398" s="33" t="inlineStr">
        <is>
          <t>Initial</t>
        </is>
      </c>
    </row>
    <row r="1399">
      <c r="A1399" s="33" t="inlineStr">
        <is>
          <t>2026-05-18</t>
        </is>
      </c>
      <c r="B1399" s="33" t="inlineStr">
        <is>
          <t>CRM</t>
        </is>
      </c>
      <c r="C1399" s="33" t="inlineStr">
        <is>
          <t>R4</t>
        </is>
      </c>
      <c r="D1399" s="33" t="n">
        <v>4</v>
      </c>
      <c r="E1399" s="33" t="inlineStr">
        <is>
          <t>Clean.</t>
        </is>
      </c>
      <c r="F1399" s="33" t="inlineStr">
        <is>
          <t>Layer 10 per-name deep research (2026-05-18): WebSearch + yfinance + analyst revisions + Q1 FY26/FY27 transcripts</t>
        </is>
      </c>
      <c r="G1399" s="33" t="inlineStr">
        <is>
          <t>High</t>
        </is>
      </c>
      <c r="H1399" s="33" t="inlineStr">
        <is>
          <t>Initial</t>
        </is>
      </c>
    </row>
    <row r="1400">
      <c r="A1400" s="33" t="inlineStr">
        <is>
          <t>2026-05-18</t>
        </is>
      </c>
      <c r="B1400" s="33" t="inlineStr">
        <is>
          <t>SNOW</t>
        </is>
      </c>
      <c r="C1400" s="33" t="inlineStr">
        <is>
          <t>D1</t>
        </is>
      </c>
      <c r="D1400" s="33" t="n">
        <v>3</v>
      </c>
      <c r="E1400" s="33" t="inlineStr">
        <is>
          <t>[4 → 3] D1 correction. Cortex AI revenue not separately disclosed; strict rubric reading (rev from explicit AI products / total) places Cortex at ~8% of revenue = D1=2. Loose reading (AI-driven workload growth on data cloud) = ~30% = D1=4. Compromise at D1=3 acknowledges (a) Cortex is small share of trailing revenue but (b) Snowflake product roadmap is now AI-centric (Cortex, OpenAI/Anthropic integrations, Cortex Code) and (c) AI is the strategic pivot driving the company. Dom-approved compromise 2026-05-18 (option B).</t>
        </is>
      </c>
      <c r="F1400" s="33" t="inlineStr">
        <is>
          <t>D1 calibration pass 2026-05-18: strict rubric reading (% AI revenue of total) applied to Layer 10. Methodology cleanup, not thesis change.</t>
        </is>
      </c>
      <c r="G1400" s="33" t="inlineStr">
        <is>
          <t>High</t>
        </is>
      </c>
      <c r="H1400" s="33" t="inlineStr">
        <is>
          <t>Update</t>
        </is>
      </c>
    </row>
    <row r="1401">
      <c r="A1401" s="33" t="inlineStr">
        <is>
          <t>2026-05-18</t>
        </is>
      </c>
      <c r="B1401" s="33" t="inlineStr">
        <is>
          <t>NOW</t>
        </is>
      </c>
      <c r="C1401" s="33" t="inlineStr">
        <is>
          <t>D1</t>
        </is>
      </c>
      <c r="D1401" s="33" t="n">
        <v>2</v>
      </c>
      <c r="E1401" s="33" t="inlineStr">
        <is>
          <t>[4 → 2] D1 correction. Now Assist AI ACV $1.5B / FY26 sub revenue $15.7B = 9.5% AI mix. By strict rubric (1=&lt;5%, 5=&gt;50%), 9.5% maps to D1=2 (5-15% band). Original D1=4 was set on "AI is dominant growth narrative" reasoning but rubric measures % of total revenue, not % of growth. Methodology cleanup per Dom 2026-05-18.</t>
        </is>
      </c>
      <c r="F1401" s="33" t="inlineStr">
        <is>
          <t>D1 calibration pass 2026-05-18: strict rubric reading (% AI revenue of total) applied to Layer 10. Methodology cleanup, not thesis change.</t>
        </is>
      </c>
      <c r="G1401" s="33" t="inlineStr">
        <is>
          <t>High</t>
        </is>
      </c>
      <c r="H1401" s="33" t="inlineStr">
        <is>
          <t>Update</t>
        </is>
      </c>
    </row>
    <row r="1402">
      <c r="A1402" s="33" t="inlineStr">
        <is>
          <t>2026-05-18</t>
        </is>
      </c>
      <c r="B1402" s="33" t="inlineStr">
        <is>
          <t>CRM</t>
        </is>
      </c>
      <c r="C1402" s="33" t="inlineStr">
        <is>
          <t>D1</t>
        </is>
      </c>
      <c r="D1402" s="33" t="n">
        <v>2</v>
      </c>
      <c r="E1402" s="33" t="inlineStr">
        <is>
          <t>[3 → 2] D1 correction. Agentforce ARR $800M / FY26 $41.5B = 1.9% AI mix strict. Adding Data 360 ARR = $2.9B / $41.5B = 7%. Original D1=3 mixed forward-looking narrative with current %. By strict rubric reading, 7% combined puts D1=2 (5-15% band). Methodology cleanup per Dom 2026-05-18.</t>
        </is>
      </c>
      <c r="F1402" s="33" t="inlineStr">
        <is>
          <t>D1 calibration pass 2026-05-18: strict rubric reading (% AI revenue of total) applied to Layer 10. Methodology cleanup, not thesis change.</t>
        </is>
      </c>
      <c r="G1402" s="33" t="inlineStr">
        <is>
          <t>High</t>
        </is>
      </c>
      <c r="H1402" s="33" t="inlineStr">
        <is>
          <t>Update</t>
        </is>
      </c>
    </row>
    <row r="1403">
      <c r="A1403" s="33" t="inlineStr">
        <is>
          <t>2026-05-24</t>
        </is>
      </c>
      <c r="B1403" s="33" t="inlineStr">
        <is>
          <t>SMR</t>
        </is>
      </c>
      <c r="C1403" s="33" t="inlineStr">
        <is>
          <t>D1. AI Rev %</t>
        </is>
      </c>
      <c r="D1403" s="33" t="n">
        <v>4</v>
      </c>
      <c r="E1403" s="33" t="n">
        <v>3</v>
      </c>
      <c r="F1403" s="33" t="inlineStr">
        <is>
          <t>Revenue $565K/qtr — essentially zero realized AI revenue. Downgrade from potential 25-50% to 10-25%.</t>
        </is>
      </c>
      <c r="G1403" s="33" t="inlineStr">
        <is>
          <t>Q1 2026 10-Q</t>
        </is>
      </c>
      <c r="H1403" s="33" t="inlineStr">
        <is>
          <t>High</t>
        </is>
      </c>
      <c r="I1403" s="33" t="inlineStr">
        <is>
          <t>Update</t>
        </is>
      </c>
    </row>
    <row r="1404">
      <c r="A1404" s="33" t="inlineStr">
        <is>
          <t>2026-05-24</t>
        </is>
      </c>
      <c r="B1404" s="33" t="inlineStr">
        <is>
          <t>SMR</t>
        </is>
      </c>
      <c r="C1404" s="33" t="inlineStr">
        <is>
          <t>D4. Capacity</t>
        </is>
      </c>
      <c r="D1404" s="33" t="n">
        <v>4</v>
      </c>
      <c r="E1404" s="33" t="n">
        <v>2</v>
      </c>
      <c r="F1404" s="33" t="inlineStr">
        <is>
          <t>ENTRA1 deal WAS the expansion story. ENTRA1 is 3-employee WeWork company with zero nuclear experience. TVA MOU non-binding.</t>
        </is>
      </c>
      <c r="G1404" s="33" t="inlineStr">
        <is>
          <t>Iceberg Research Nov 2025, Guggenheim</t>
        </is>
      </c>
      <c r="H1404" s="33" t="inlineStr">
        <is>
          <t>High</t>
        </is>
      </c>
      <c r="I1404" s="33" t="inlineStr">
        <is>
          <t>Update</t>
        </is>
      </c>
    </row>
    <row r="1405">
      <c r="A1405" s="33" t="inlineStr">
        <is>
          <t>2026-05-24</t>
        </is>
      </c>
      <c r="B1405" s="33" t="inlineStr">
        <is>
          <t>SMR</t>
        </is>
      </c>
      <c r="C1405" s="33" t="inlineStr">
        <is>
          <t>D5. Hyperscaler</t>
        </is>
      </c>
      <c r="D1405" s="33" t="n">
        <v>4</v>
      </c>
      <c r="E1405" s="33" t="n">
        <v>2</v>
      </c>
      <c r="F1405" s="33" t="inlineStr">
        <is>
          <t>No hyperscaler contracts. TVA/ENTRA1 path is indirect at best.</t>
        </is>
      </c>
      <c r="G1405" s="33" t="inlineStr">
        <is>
          <t>Company disclosures</t>
        </is>
      </c>
      <c r="H1405" s="33" t="inlineStr">
        <is>
          <t>High</t>
        </is>
      </c>
      <c r="I1405" s="33" t="inlineStr">
        <is>
          <t>Update</t>
        </is>
      </c>
    </row>
    <row r="1406">
      <c r="A1406" s="33" t="inlineStr">
        <is>
          <t>2026-05-24</t>
        </is>
      </c>
      <c r="B1406" s="33" t="inlineStr">
        <is>
          <t>SMR</t>
        </is>
      </c>
      <c r="C1406" s="33" t="inlineStr">
        <is>
          <t>M1. EPS Rev</t>
        </is>
      </c>
      <c r="D1406" s="33" t="n">
        <v>3</v>
      </c>
      <c r="E1406" s="33" t="n">
        <v>1</v>
      </c>
      <c r="F1406" s="33" t="inlineStr">
        <is>
          <t>Citi cut PT twice to $7 (Sell). Revenue forecast cut $76.2M→$59.9M. Multiple downgrades.</t>
        </is>
      </c>
      <c r="G1406" s="33" t="inlineStr">
        <is>
          <t>TipRanks, analyst actions</t>
        </is>
      </c>
      <c r="H1406" s="33" t="inlineStr">
        <is>
          <t>High</t>
        </is>
      </c>
      <c r="I1406" s="33" t="inlineStr">
        <is>
          <t>Update</t>
        </is>
      </c>
    </row>
    <row r="1407">
      <c r="A1407" s="33" t="inlineStr">
        <is>
          <t>2026-05-24</t>
        </is>
      </c>
      <c r="B1407" s="33" t="inlineStr">
        <is>
          <t>SMR</t>
        </is>
      </c>
      <c r="C1407" s="33" t="inlineStr">
        <is>
          <t>M3. Insider</t>
        </is>
      </c>
      <c r="D1407" s="33" t="n">
        <v>3</v>
      </c>
      <c r="E1407" s="33" t="n">
        <v>1</v>
      </c>
      <c r="F1407" s="33" t="inlineStr">
        <is>
          <t>Fluor fully exited — sold all 27M shares ($322M) in April. COO sold 49K shares. Zero buying.</t>
        </is>
      </c>
      <c r="G1407" s="33" t="inlineStr">
        <is>
          <t>SEC Form 4, April 2026</t>
        </is>
      </c>
      <c r="H1407" s="33" t="inlineStr">
        <is>
          <t>High</t>
        </is>
      </c>
      <c r="I1407" s="33" t="inlineStr">
        <is>
          <t>Update</t>
        </is>
      </c>
    </row>
    <row r="1408">
      <c r="A1408" s="33" t="inlineStr">
        <is>
          <t>2026-05-24</t>
        </is>
      </c>
      <c r="B1408" s="33" t="inlineStr">
        <is>
          <t>SMR</t>
        </is>
      </c>
      <c r="C1408" s="33" t="inlineStr">
        <is>
          <t>R3. BS Risk</t>
        </is>
      </c>
      <c r="D1408" s="33" t="n">
        <v>3</v>
      </c>
      <c r="E1408" s="33" t="n">
        <v>2</v>
      </c>
      <c r="F1408" s="33" t="inlineStr">
        <is>
          <t>~$1.0-1.2B liquidity but $346M+ still owed to ENTRA1 (total potential &gt;$3B). ATM dilution ongoing.</t>
        </is>
      </c>
      <c r="G1408" s="33" t="inlineStr">
        <is>
          <t>Q1 2026 10-Q, ENTRA1 agreement</t>
        </is>
      </c>
      <c r="H1408" s="33" t="inlineStr">
        <is>
          <t>Medium</t>
        </is>
      </c>
      <c r="I1408" s="33" t="inlineStr">
        <is>
          <t>Update</t>
        </is>
      </c>
    </row>
    <row r="1409">
      <c r="A1409" s="33" t="inlineStr">
        <is>
          <t>2026-05-24</t>
        </is>
      </c>
      <c r="B1409" s="33" t="inlineStr">
        <is>
          <t>SMR</t>
        </is>
      </c>
      <c r="C1409" s="33" t="inlineStr">
        <is>
          <t>R4. Reg Risk</t>
        </is>
      </c>
      <c r="D1409" s="33" t="n">
        <v>4</v>
      </c>
      <c r="E1409" s="33" t="n">
        <v>1</v>
      </c>
      <c r="F1409" s="33" t="inlineStr">
        <is>
          <t>Active securities class action (Truedson v. NuScale). ENTRA1 governance flags (shared office, 3 employees, $495M for non-binding MOU).</t>
        </is>
      </c>
      <c r="G1409" s="33" t="inlineStr">
        <is>
          <t>Court filings, Iceberg Research</t>
        </is>
      </c>
      <c r="H1409" s="33" t="inlineStr">
        <is>
          <t>High</t>
        </is>
      </c>
      <c r="I1409" s="33" t="inlineStr">
        <is>
          <t>Update</t>
        </is>
      </c>
    </row>
    <row r="1410">
      <c r="A1410" s="33" t="inlineStr">
        <is>
          <t>2026-05-24</t>
        </is>
      </c>
      <c r="B1410" s="33" t="inlineStr">
        <is>
          <t>POET</t>
        </is>
      </c>
      <c r="C1410" s="33" t="inlineStr">
        <is>
          <t>D4. Capacity</t>
        </is>
      </c>
      <c r="D1410" s="33" t="n">
        <v>3</v>
      </c>
      <c r="E1410" s="33" t="n">
        <v>2</v>
      </c>
      <c r="F1410" s="33" t="inlineStr">
        <is>
          <t>Lost Marvell/Celestial AI for cause (confidentiality breach). Flagship customer gone; only $5M replacement order.</t>
        </is>
      </c>
      <c r="G1410" s="33" t="inlineStr">
        <is>
          <t>Marvell cancellation notice Apr 23</t>
        </is>
      </c>
      <c r="H1410" s="33" t="inlineStr">
        <is>
          <t>High</t>
        </is>
      </c>
      <c r="I1410" s="33" t="inlineStr">
        <is>
          <t>Update</t>
        </is>
      </c>
    </row>
    <row r="1411">
      <c r="A1411" s="33" t="inlineStr">
        <is>
          <t>2026-05-24</t>
        </is>
      </c>
      <c r="B1411" s="33" t="inlineStr">
        <is>
          <t>POET</t>
        </is>
      </c>
      <c r="C1411" s="33" t="inlineStr">
        <is>
          <t>M2. Rel Str</t>
        </is>
      </c>
      <c r="D1411" s="33" t="n">
        <v>5</v>
      </c>
      <c r="E1411" s="33" t="n">
        <v>3</v>
      </c>
      <c r="F1411" s="33" t="inlineStr">
        <is>
          <t>Stock crashed 47% on Marvell cancellation, recovered somewhat. Extreme volatility. Roughly in-line with sector net of crash and recovery.</t>
        </is>
      </c>
      <c r="G1411" s="33" t="inlineStr">
        <is>
          <t>Yahoo Finance</t>
        </is>
      </c>
      <c r="H1411" s="33" t="inlineStr">
        <is>
          <t>Medium</t>
        </is>
      </c>
      <c r="I1411" s="33" t="inlineStr">
        <is>
          <t>Update</t>
        </is>
      </c>
    </row>
    <row r="1412">
      <c r="A1412" s="33" t="inlineStr">
        <is>
          <t>2026-05-24</t>
        </is>
      </c>
      <c r="B1412" s="33" t="inlineStr">
        <is>
          <t>POET</t>
        </is>
      </c>
      <c r="C1412" s="33" t="inlineStr">
        <is>
          <t>M3. Insider</t>
        </is>
      </c>
      <c r="D1412" s="33" t="n">
        <v>3</v>
      </c>
      <c r="E1412" s="33" t="n">
        <v>2</v>
      </c>
      <c r="F1412" s="33" t="inlineStr">
        <is>
          <t>Net selling ~$400K, zero buying during 133% run. CFO retiring with timing coinciding with PFIC controversy.</t>
        </is>
      </c>
      <c r="G1412" s="33" t="inlineStr">
        <is>
          <t>SEC Form 4, company PR</t>
        </is>
      </c>
      <c r="H1412" s="33" t="inlineStr">
        <is>
          <t>Medium</t>
        </is>
      </c>
      <c r="I1412" s="33" t="inlineStr">
        <is>
          <t>Update</t>
        </is>
      </c>
    </row>
    <row r="1413">
      <c r="A1413" s="33" t="inlineStr">
        <is>
          <t>2026-05-24</t>
        </is>
      </c>
      <c r="B1413" s="33" t="inlineStr">
        <is>
          <t>POET</t>
        </is>
      </c>
      <c r="C1413" s="33" t="inlineStr">
        <is>
          <t>R3. BS Risk</t>
        </is>
      </c>
      <c r="D1413" s="33" t="n">
        <v>2</v>
      </c>
      <c r="E1413" s="33" t="n">
        <v>4</v>
      </c>
      <c r="F1413" s="33" t="inlineStr">
        <is>
          <t>UPGRADE. Post-$400M offering: ~$430M+ cash, no debt, ~$9M/qtr burn = 12+ year runway.</t>
        </is>
      </c>
      <c r="G1413" s="33" t="inlineStr">
        <is>
          <t>Q1 2026 10-Q + offering terms</t>
        </is>
      </c>
      <c r="H1413" s="33" t="inlineStr">
        <is>
          <t>High</t>
        </is>
      </c>
      <c r="I1413" s="33" t="inlineStr">
        <is>
          <t>Update</t>
        </is>
      </c>
    </row>
    <row r="1414">
      <c r="A1414" s="33" t="inlineStr">
        <is>
          <t>2026-05-24</t>
        </is>
      </c>
      <c r="B1414" s="33" t="inlineStr">
        <is>
          <t>POET</t>
        </is>
      </c>
      <c r="C1414" s="33" t="inlineStr">
        <is>
          <t>R4. Reg Risk</t>
        </is>
      </c>
      <c r="D1414" s="33" t="n">
        <v>4</v>
      </c>
      <c r="E1414" s="33" t="n">
        <v>2</v>
      </c>
      <c r="F1414" s="33" t="inlineStr">
        <is>
          <t>Active class action (PFIC misrepresentation). Wolfpack short report. PFIC fixable via redomiciliation but legal overhang real.</t>
        </is>
      </c>
      <c r="G1414" s="33" t="inlineStr">
        <is>
          <t>Court filings, Wolfpack Research</t>
        </is>
      </c>
      <c r="H1414" s="33" t="inlineStr">
        <is>
          <t>Medium</t>
        </is>
      </c>
      <c r="I1414" s="33" t="inlineStr">
        <is>
          <t>Update</t>
        </is>
      </c>
    </row>
    <row r="1415">
      <c r="A1415" s="33" t="inlineStr">
        <is>
          <t>2026-05-24</t>
        </is>
      </c>
      <c r="B1415" s="33" t="inlineStr">
        <is>
          <t>D</t>
        </is>
      </c>
      <c r="C1415" s="33" t="inlineStr">
        <is>
          <t>D5. Hyperscaler</t>
        </is>
      </c>
      <c r="D1415" s="33" t="n">
        <v>4</v>
      </c>
      <c r="E1415" s="33" t="n">
        <v>5</v>
      </c>
      <c r="F1415" s="33" t="inlineStr">
        <is>
          <t>NEE paying $67B validates D as hyperscaler power provider: 450 DCs in Virginia, 24% of VA electricity to DCs, Amazon SMR MoU.</t>
        </is>
      </c>
      <c r="G1415" s="33" t="inlineStr">
        <is>
          <t>NEE press release, Dominion IR</t>
        </is>
      </c>
      <c r="H1415" s="33" t="inlineStr">
        <is>
          <t>High</t>
        </is>
      </c>
      <c r="I1415" s="33" t="inlineStr">
        <is>
          <t>Update</t>
        </is>
      </c>
    </row>
    <row r="1416">
      <c r="A1416" s="33" t="inlineStr">
        <is>
          <t>2026-05-24</t>
        </is>
      </c>
      <c r="B1416" s="33" t="inlineStr">
        <is>
          <t>D</t>
        </is>
      </c>
      <c r="C1416" s="33" t="inlineStr">
        <is>
          <t>R4. Reg Risk</t>
        </is>
      </c>
      <c r="D1416" s="33" t="n">
        <v>4</v>
      </c>
      <c r="E1416" s="33" t="n">
        <v>2</v>
      </c>
      <c r="F1416" s="33" t="inlineStr">
        <is>
          <t>Massive merger regulatory gauntlet: Virginia SCC, FERC, HSR, NRC. Democrats vowing scrutiny. 12-18 month timeline.</t>
        </is>
      </c>
      <c r="G1416" s="33" t="inlineStr">
        <is>
          <t>E&amp;E News/Politico, Virginia Mercury</t>
        </is>
      </c>
      <c r="H1416" s="33" t="inlineStr">
        <is>
          <t>High</t>
        </is>
      </c>
      <c r="I1416" s="33" t="inlineStr">
        <is>
          <t>Update</t>
        </is>
      </c>
    </row>
    <row r="1417">
      <c r="A1417" s="33" t="inlineStr">
        <is>
          <t>2026-05-24</t>
        </is>
      </c>
      <c r="B1417" s="33" t="inlineStr">
        <is>
          <t>NEE</t>
        </is>
      </c>
      <c r="C1417" s="33" t="inlineStr">
        <is>
          <t>D2. Position</t>
        </is>
      </c>
      <c r="D1417" s="33" t="n">
        <v>4</v>
      </c>
      <c r="E1417" s="33" t="n">
        <v>5</v>
      </c>
      <c r="F1417" s="33" t="inlineStr">
        <is>
          <t>Combined entity becomes dominant AI power utility: 130 GW pipeline, Virginia Data Center Alley, world-largest renewables. $67B price validates.</t>
        </is>
      </c>
      <c r="G1417" s="33" t="inlineStr">
        <is>
          <t>NEE press release, Utility Dive</t>
        </is>
      </c>
      <c r="H1417" s="33" t="inlineStr">
        <is>
          <t>Medium</t>
        </is>
      </c>
      <c r="I1417" s="33" t="inlineStr">
        <is>
          <t>Update</t>
        </is>
      </c>
    </row>
    <row r="1418">
      <c r="A1418" s="33" t="inlineStr">
        <is>
          <t>2026-05-24</t>
        </is>
      </c>
      <c r="B1418" s="33" t="inlineStr">
        <is>
          <t>NEE</t>
        </is>
      </c>
      <c r="C1418" s="33" t="inlineStr">
        <is>
          <t>D3. Moat</t>
        </is>
      </c>
      <c r="D1418" s="33" t="n">
        <v>4</v>
      </c>
      <c r="E1418" s="33" t="n">
        <v>5</v>
      </c>
      <c r="F1418" s="33" t="inlineStr">
        <is>
          <t>Multi-dimensional: regulated monopoly FL→VA→NC→SC + renewable scale + DC corridor + GS-5 rate class. Unprecedented in utility sector.</t>
        </is>
      </c>
      <c r="G1418" s="33" t="inlineStr">
        <is>
          <t>Press release, Dominion IR</t>
        </is>
      </c>
      <c r="H1418" s="33" t="inlineStr">
        <is>
          <t>Medium</t>
        </is>
      </c>
      <c r="I1418" s="33" t="inlineStr">
        <is>
          <t>Update</t>
        </is>
      </c>
    </row>
    <row r="1419">
      <c r="A1419" s="33" t="inlineStr">
        <is>
          <t>2026-05-24</t>
        </is>
      </c>
      <c r="B1419" s="33" t="inlineStr">
        <is>
          <t>NEE</t>
        </is>
      </c>
      <c r="C1419" s="33" t="inlineStr">
        <is>
          <t>M2. Rel Str</t>
        </is>
      </c>
      <c r="D1419" s="33" t="n">
        <v>4</v>
      </c>
      <c r="E1419" s="33" t="n">
        <v>3</v>
      </c>
      <c r="F1419" s="33" t="inlineStr">
        <is>
          <t>Stock fell 4.6% on deal announcement. Combined value fell $5B day one. Near-term underperforming XLU.</t>
        </is>
      </c>
      <c r="G1419" s="33" t="inlineStr">
        <is>
          <t>TheStreet, GuruFocus</t>
        </is>
      </c>
      <c r="H1419" s="33" t="inlineStr">
        <is>
          <t>High</t>
        </is>
      </c>
      <c r="I1419" s="33" t="inlineStr">
        <is>
          <t>Update</t>
        </is>
      </c>
    </row>
    <row r="1420">
      <c r="A1420" s="33" t="inlineStr">
        <is>
          <t>2026-05-24</t>
        </is>
      </c>
      <c r="B1420" s="33" t="inlineStr">
        <is>
          <t>NEE</t>
        </is>
      </c>
      <c r="C1420" s="33" t="inlineStr">
        <is>
          <t>R4. Reg Risk</t>
        </is>
      </c>
      <c r="D1420" s="33" t="n">
        <v>4</v>
      </c>
      <c r="E1420" s="33" t="n">
        <v>2</v>
      </c>
      <c r="F1420" s="33" t="inlineStr">
        <is>
          <t>Same regulatory gauntlet as D. Virginia SCC highest risk. $1.778B customer credit package designed to buy approval.</t>
        </is>
      </c>
      <c r="G1420" s="33" t="inlineStr">
        <is>
          <t>E&amp;E News, Clean Virginia</t>
        </is>
      </c>
      <c r="H1420" s="33" t="inlineStr">
        <is>
          <t>High</t>
        </is>
      </c>
      <c r="I1420" s="33" t="inlineStr">
        <is>
          <t>Update</t>
        </is>
      </c>
    </row>
    <row r="1421">
      <c r="A1421" s="33" t="inlineStr">
        <is>
          <t>2026-05-25</t>
        </is>
      </c>
      <c r="B1421" s="33" t="inlineStr">
        <is>
          <t>CRDO</t>
        </is>
      </c>
      <c r="C1421" s="33" t="inlineStr">
        <is>
          <t>D1 AI Rev %</t>
        </is>
      </c>
      <c r="D1421" s="33" t="n">
        <v>5</v>
      </c>
      <c r="E1421" s="33" t="inlineStr">
        <is>
          <t>~100% revenue from AI infrastructure connectivity (AECs for GPU clusters)</t>
        </is>
      </c>
      <c r="F1421" s="33" t="inlineStr">
        <is>
          <t>Q3 FY2026 earnings call</t>
        </is>
      </c>
      <c r="G1421" s="33" t="inlineStr">
        <is>
          <t>High</t>
        </is>
      </c>
      <c r="H1421" s="33" t="inlineStr">
        <is>
          <t>Initial</t>
        </is>
      </c>
    </row>
    <row r="1422">
      <c r="A1422" s="33" t="inlineStr">
        <is>
          <t>2026-05-25</t>
        </is>
      </c>
      <c r="B1422" s="33" t="inlineStr">
        <is>
          <t>CRDO</t>
        </is>
      </c>
      <c r="C1422" s="33" t="inlineStr">
        <is>
          <t>D2 Position</t>
        </is>
      </c>
      <c r="D1422" s="33" t="n">
        <v>4</v>
      </c>
      <c r="E1422" s="33" t="inlineStr">
        <is>
          <t>Upstream with 2-4 competitors, validated IP via patent cross-licenses</t>
        </is>
      </c>
      <c r="F1422" s="33" t="inlineStr">
        <is>
          <t>Patent settlements 2025-2026</t>
        </is>
      </c>
      <c r="G1422" s="33" t="inlineStr">
        <is>
          <t>Medium</t>
        </is>
      </c>
      <c r="H1422" s="33" t="inlineStr">
        <is>
          <t>Initial</t>
        </is>
      </c>
    </row>
    <row r="1423">
      <c r="A1423" s="33" t="inlineStr">
        <is>
          <t>2026-05-25</t>
        </is>
      </c>
      <c r="B1423" s="33" t="inlineStr">
        <is>
          <t>CRDO</t>
        </is>
      </c>
      <c r="C1423" s="33" t="inlineStr">
        <is>
          <t>D3 Moat</t>
        </is>
      </c>
      <c r="D1423" s="33" t="n">
        <v>4</v>
      </c>
      <c r="E1423" s="33" t="inlineStr">
        <is>
          <t>Proprietary SerDes IP, competitors chose to license. Share held at 5 hyperscalers</t>
        </is>
      </c>
      <c r="F1423" s="33" t="inlineStr">
        <is>
          <t>Cross-license settlements, customer wins</t>
        </is>
      </c>
      <c r="G1423" s="33" t="inlineStr">
        <is>
          <t>Medium</t>
        </is>
      </c>
      <c r="H1423" s="33" t="inlineStr">
        <is>
          <t>Initial</t>
        </is>
      </c>
    </row>
    <row r="1424">
      <c r="A1424" s="33" t="inlineStr">
        <is>
          <t>2026-05-25</t>
        </is>
      </c>
      <c r="B1424" s="33" t="inlineStr">
        <is>
          <t>CRDO</t>
        </is>
      </c>
      <c r="C1424" s="33" t="inlineStr">
        <is>
          <t>D4 Capacity</t>
        </is>
      </c>
      <c r="D1424" s="33" t="n">
        <v>4</v>
      </c>
      <c r="E1424" s="33" t="inlineStr">
        <is>
          <t>Fabless; DustPhotonics $750M+ acquisition expands into SiPho for CPO/NPO</t>
        </is>
      </c>
      <c r="F1424" s="33" t="inlineStr">
        <is>
          <t>DustPhotonics 8-K Apr 2026</t>
        </is>
      </c>
      <c r="G1424" s="33" t="inlineStr">
        <is>
          <t>High</t>
        </is>
      </c>
      <c r="H1424" s="33" t="inlineStr">
        <is>
          <t>Initial</t>
        </is>
      </c>
    </row>
    <row r="1425">
      <c r="A1425" s="33" t="inlineStr">
        <is>
          <t>2026-05-25</t>
        </is>
      </c>
      <c r="B1425" s="33" t="inlineStr">
        <is>
          <t>CRDO</t>
        </is>
      </c>
      <c r="C1425" s="33" t="inlineStr">
        <is>
          <t>D5 Hyperscaler</t>
        </is>
      </c>
      <c r="D1425" s="33" t="n">
        <v>5</v>
      </c>
      <c r="E1425" s="33" t="inlineStr">
        <is>
          <t>Five hyperscaler customers, three &gt;10% revenue. Combined &gt;60%</t>
        </is>
      </c>
      <c r="F1425" s="33" t="inlineStr">
        <is>
          <t>Q1 FY2026 earnings call</t>
        </is>
      </c>
      <c r="G1425" s="33" t="inlineStr">
        <is>
          <t>High</t>
        </is>
      </c>
      <c r="H1425" s="33" t="inlineStr">
        <is>
          <t>Initial</t>
        </is>
      </c>
    </row>
    <row r="1426">
      <c r="A1426" s="33" t="inlineStr">
        <is>
          <t>2026-05-25</t>
        </is>
      </c>
      <c r="B1426" s="33" t="inlineStr">
        <is>
          <t>CRDO</t>
        </is>
      </c>
      <c r="C1426" s="33" t="inlineStr">
        <is>
          <t>M1 EPS Rev</t>
        </is>
      </c>
      <c r="D1426" s="33" t="n">
        <v>5</v>
      </c>
      <c r="E1426" s="33" t="inlineStr">
        <is>
          <t>Consistent massive beats all year. 16 Buy, 1 Hold, 0 Sell</t>
        </is>
      </c>
      <c r="F1426" s="33" t="inlineStr">
        <is>
          <t>MarketBeat analyst consensus</t>
        </is>
      </c>
      <c r="G1426" s="33" t="inlineStr">
        <is>
          <t>High</t>
        </is>
      </c>
      <c r="H1426" s="33" t="inlineStr">
        <is>
          <t>Initial</t>
        </is>
      </c>
    </row>
    <row r="1427">
      <c r="A1427" s="33" t="inlineStr">
        <is>
          <t>2026-05-25</t>
        </is>
      </c>
      <c r="B1427" s="33" t="inlineStr">
        <is>
          <t>CRDO</t>
        </is>
      </c>
      <c r="C1427" s="33" t="inlineStr">
        <is>
          <t>M2 Rel Str</t>
        </is>
      </c>
      <c r="D1427" s="33" t="n">
        <v>5</v>
      </c>
      <c r="E1427" s="33" t="inlineStr">
        <is>
          <t>Stock tripled in past year. &gt;100% outperformance vs SOXX</t>
        </is>
      </c>
      <c r="F1427" s="33" t="inlineStr">
        <is>
          <t>Price data vs SOXX</t>
        </is>
      </c>
      <c r="G1427" s="33" t="inlineStr">
        <is>
          <t>High</t>
        </is>
      </c>
      <c r="H1427" s="33" t="inlineStr">
        <is>
          <t>Initial</t>
        </is>
      </c>
    </row>
    <row r="1428">
      <c r="A1428" s="33" t="inlineStr">
        <is>
          <t>2026-05-25</t>
        </is>
      </c>
      <c r="B1428" s="33" t="inlineStr">
        <is>
          <t>CRDO</t>
        </is>
      </c>
      <c r="C1428" s="33" t="inlineStr">
        <is>
          <t>M3 Insider</t>
        </is>
      </c>
      <c r="D1428" s="33" t="n">
        <v>3</v>
      </c>
      <c r="E1428" s="33" t="inlineStr">
        <is>
          <t>CTO sold ~$10M but retains &gt;6M shares (&lt;0.5% sold). Routine</t>
        </is>
      </c>
      <c r="F1428" s="33" t="inlineStr">
        <is>
          <t>Form 4 filings</t>
        </is>
      </c>
      <c r="G1428" s="33" t="inlineStr">
        <is>
          <t>Medium</t>
        </is>
      </c>
      <c r="H1428" s="33" t="inlineStr">
        <is>
          <t>Initial</t>
        </is>
      </c>
    </row>
    <row r="1429">
      <c r="A1429" s="33" t="inlineStr">
        <is>
          <t>2026-05-25</t>
        </is>
      </c>
      <c r="B1429" s="33" t="inlineStr">
        <is>
          <t>CRDO</t>
        </is>
      </c>
      <c r="C1429" s="33" t="inlineStr">
        <is>
          <t>R1 Cust Conc</t>
        </is>
      </c>
      <c r="D1429" s="33" t="n">
        <v>2</v>
      </c>
      <c r="E1429" s="33" t="inlineStr">
        <is>
          <t>Three customers each &gt;10% revenue. Combined likely &gt;50%</t>
        </is>
      </c>
      <c r="F1429" s="33" t="inlineStr">
        <is>
          <t>Q1 FY2026 earnings call</t>
        </is>
      </c>
      <c r="G1429" s="33" t="inlineStr">
        <is>
          <t>High</t>
        </is>
      </c>
      <c r="H1429" s="33" t="inlineStr">
        <is>
          <t>Initial</t>
        </is>
      </c>
    </row>
    <row r="1430">
      <c r="A1430" s="33" t="inlineStr">
        <is>
          <t>2026-05-25</t>
        </is>
      </c>
      <c r="B1430" s="33" t="inlineStr">
        <is>
          <t>CRDO</t>
        </is>
      </c>
      <c r="C1430" s="33" t="inlineStr">
        <is>
          <t>R2 Geo Risk</t>
        </is>
      </c>
      <c r="D1430" s="33" t="n">
        <v>4</v>
      </c>
      <c r="E1430" s="33" t="inlineStr">
        <is>
          <t>AECs not export-controlled. US hyperscaler customers. Cayman incorporation minor</t>
        </is>
      </c>
      <c r="F1430" s="33" t="inlineStr">
        <is>
          <t>Product classification</t>
        </is>
      </c>
      <c r="G1430" s="33" t="inlineStr">
        <is>
          <t>Medium</t>
        </is>
      </c>
      <c r="H1430" s="33" t="inlineStr">
        <is>
          <t>Initial</t>
        </is>
      </c>
    </row>
    <row r="1431">
      <c r="A1431" s="33" t="inlineStr">
        <is>
          <t>2026-05-25</t>
        </is>
      </c>
      <c r="B1431" s="33" t="inlineStr">
        <is>
          <t>CRDO</t>
        </is>
      </c>
      <c r="C1431" s="33" t="inlineStr">
        <is>
          <t>R3 BS Risk</t>
        </is>
      </c>
      <c r="D1431" s="33" t="n">
        <v>5</v>
      </c>
      <c r="E1431" s="33" t="inlineStr">
        <is>
          <t>Net cash. ND/EBITDA=-3.67. Fabless, low capital intensity</t>
        </is>
      </c>
      <c r="F1431" s="33" t="inlineStr">
        <is>
          <t>Q3 FY2026 balance sheet</t>
        </is>
      </c>
      <c r="G1431" s="33" t="inlineStr">
        <is>
          <t>High</t>
        </is>
      </c>
      <c r="H1431" s="33" t="inlineStr">
        <is>
          <t>Initial</t>
        </is>
      </c>
    </row>
    <row r="1432">
      <c r="A1432" s="33" t="inlineStr">
        <is>
          <t>2026-05-25</t>
        </is>
      </c>
      <c r="B1432" s="33" t="inlineStr">
        <is>
          <t>CRDO</t>
        </is>
      </c>
      <c r="C1432" s="33" t="inlineStr">
        <is>
          <t>R4 Reg Risk</t>
        </is>
      </c>
      <c r="D1432" s="33" t="n">
        <v>5</v>
      </c>
      <c r="E1432" s="33" t="inlineStr">
        <is>
          <t>All patent disputes settled. No regulatory overhangs</t>
        </is>
      </c>
      <c r="F1432" s="33" t="inlineStr">
        <is>
          <t>Settlement filings 2025-2026</t>
        </is>
      </c>
      <c r="G1432" s="33" t="inlineStr">
        <is>
          <t>High</t>
        </is>
      </c>
      <c r="H1432" s="33" t="inlineStr">
        <is>
          <t>Initial</t>
        </is>
      </c>
    </row>
    <row r="1433">
      <c r="A1433" s="33" t="inlineStr">
        <is>
          <t>2026-05-25</t>
        </is>
      </c>
      <c r="B1433" s="33" t="inlineStr">
        <is>
          <t>MPWR</t>
        </is>
      </c>
      <c r="C1433" s="33" t="inlineStr">
        <is>
          <t>D1 AI Rev %</t>
        </is>
      </c>
      <c r="D1433" s="33" t="n">
        <v>4</v>
      </c>
      <c r="E1433" s="33" t="inlineStr">
        <is>
          <t>Enterprise Data segment ~33% of revenue (+98% YoY), rapidly becoming largest segment</t>
        </is>
      </c>
      <c r="F1433" s="33" t="inlineStr">
        <is>
          <t>Q1 2026 segment data</t>
        </is>
      </c>
      <c r="G1433" s="33" t="inlineStr">
        <is>
          <t>High</t>
        </is>
      </c>
      <c r="H1433" s="33" t="inlineStr">
        <is>
          <t>Initial</t>
        </is>
      </c>
    </row>
    <row r="1434">
      <c r="A1434" s="33" t="inlineStr">
        <is>
          <t>2026-05-25</t>
        </is>
      </c>
      <c r="B1434" s="33" t="inlineStr">
        <is>
          <t>MPWR</t>
        </is>
      </c>
      <c r="C1434" s="33" t="inlineStr">
        <is>
          <t>D2 Position</t>
        </is>
      </c>
      <c r="D1434" s="33" t="n">
        <v>4</v>
      </c>
      <c r="E1434" s="33" t="inlineStr">
        <is>
          <t>Upstream power IC with 2-4 competitors (Infineon, Renesas). Tight capacity</t>
        </is>
      </c>
      <c r="F1434" s="33" t="inlineStr">
        <is>
          <t>Blackwell platform analysis</t>
        </is>
      </c>
      <c r="G1434" s="33" t="inlineStr">
        <is>
          <t>Medium</t>
        </is>
      </c>
      <c r="H1434" s="33" t="inlineStr">
        <is>
          <t>Initial</t>
        </is>
      </c>
    </row>
    <row r="1435">
      <c r="A1435" s="33" t="inlineStr">
        <is>
          <t>2026-05-25</t>
        </is>
      </c>
      <c r="B1435" s="33" t="inlineStr">
        <is>
          <t>MPWR</t>
        </is>
      </c>
      <c r="C1435" s="33" t="inlineStr">
        <is>
          <t>D3 Moat</t>
        </is>
      </c>
      <c r="D1435" s="33" t="n">
        <v>3</v>
      </c>
      <c r="E1435" s="33" t="inlineStr">
        <is>
          <t>Blackwell share loss to Infineon shows moat is platform-specific. 800V VDC for Vera Rubin unproven</t>
        </is>
      </c>
      <c r="F1435" s="33" t="inlineStr">
        <is>
          <t>Vera Rubin design-win analysis</t>
        </is>
      </c>
      <c r="G1435" s="33" t="inlineStr">
        <is>
          <t>Medium</t>
        </is>
      </c>
      <c r="H1435" s="33" t="inlineStr">
        <is>
          <t>Initial</t>
        </is>
      </c>
    </row>
    <row r="1436">
      <c r="A1436" s="33" t="inlineStr">
        <is>
          <t>2026-05-25</t>
        </is>
      </c>
      <c r="B1436" s="33" t="inlineStr">
        <is>
          <t>MPWR</t>
        </is>
      </c>
      <c r="C1436" s="33" t="inlineStr">
        <is>
          <t>D4 Capacity</t>
        </is>
      </c>
      <c r="D1436" s="33" t="n">
        <v>4</v>
      </c>
      <c r="E1436" s="33" t="inlineStr">
        <is>
          <t>Active 800V VDC development for Vera Rubin. Fabless. Design-win pipeline growing</t>
        </is>
      </c>
      <c r="F1436" s="33" t="inlineStr">
        <is>
          <t>Product roadmap, Q2 guidance</t>
        </is>
      </c>
      <c r="G1436" s="33" t="inlineStr">
        <is>
          <t>Medium</t>
        </is>
      </c>
      <c r="H1436" s="33" t="inlineStr">
        <is>
          <t>Initial</t>
        </is>
      </c>
    </row>
    <row r="1437">
      <c r="A1437" s="33" t="inlineStr">
        <is>
          <t>2026-05-25</t>
        </is>
      </c>
      <c r="B1437" s="33" t="inlineStr">
        <is>
          <t>MPWR</t>
        </is>
      </c>
      <c r="C1437" s="33" t="inlineStr">
        <is>
          <t>D5 Hyperscaler</t>
        </is>
      </c>
      <c r="D1437" s="33" t="n">
        <v>4</v>
      </c>
      <c r="E1437" s="33" t="inlineStr">
        <is>
          <t>NVIDIA is platform partner (indirect). One platform switch caused major disruption</t>
        </is>
      </c>
      <c r="F1437" s="33" t="inlineStr">
        <is>
          <t>Revenue mix analysis</t>
        </is>
      </c>
      <c r="G1437" s="33" t="inlineStr">
        <is>
          <t>Medium</t>
        </is>
      </c>
      <c r="H1437" s="33" t="inlineStr">
        <is>
          <t>Initial</t>
        </is>
      </c>
    </row>
    <row r="1438">
      <c r="A1438" s="33" t="inlineStr">
        <is>
          <t>2026-05-25</t>
        </is>
      </c>
      <c r="B1438" s="33" t="inlineStr">
        <is>
          <t>MPWR</t>
        </is>
      </c>
      <c r="C1438" s="33" t="inlineStr">
        <is>
          <t>M1 EPS Rev</t>
        </is>
      </c>
      <c r="D1438" s="33" t="n">
        <v>5</v>
      </c>
      <c r="E1438" s="33" t="inlineStr">
        <is>
          <t>Q1 beat both lines. Q2 guidance above consensus. Growth floor raised 3x</t>
        </is>
      </c>
      <c r="F1438" s="33" t="inlineStr">
        <is>
          <t>Q1 2026 earnings</t>
        </is>
      </c>
      <c r="G1438" s="33" t="inlineStr">
        <is>
          <t>High</t>
        </is>
      </c>
      <c r="H1438" s="33" t="inlineStr">
        <is>
          <t>Initial</t>
        </is>
      </c>
    </row>
    <row r="1439">
      <c r="A1439" s="33" t="inlineStr">
        <is>
          <t>2026-05-25</t>
        </is>
      </c>
      <c r="B1439" s="33" t="inlineStr">
        <is>
          <t>MPWR</t>
        </is>
      </c>
      <c r="C1439" s="33" t="inlineStr">
        <is>
          <t>M2 Rel Str</t>
        </is>
      </c>
      <c r="D1439" s="33" t="n">
        <v>5</v>
      </c>
      <c r="E1439" s="33" t="inlineStr">
        <is>
          <t>Stock +149% YoY, near ATH (~$1,589). &gt;100% outperformance vs SOXX</t>
        </is>
      </c>
      <c r="F1439" s="33" t="inlineStr">
        <is>
          <t>Price data</t>
        </is>
      </c>
      <c r="G1439" s="33" t="inlineStr">
        <is>
          <t>High</t>
        </is>
      </c>
      <c r="H1439" s="33" t="inlineStr">
        <is>
          <t>Initial</t>
        </is>
      </c>
    </row>
    <row r="1440">
      <c r="A1440" s="33" t="inlineStr">
        <is>
          <t>2026-05-25</t>
        </is>
      </c>
      <c r="B1440" s="33" t="inlineStr">
        <is>
          <t>MPWR</t>
        </is>
      </c>
      <c r="C1440" s="33" t="inlineStr">
        <is>
          <t>M3 Insider</t>
        </is>
      </c>
      <c r="D1440" s="33" t="n">
        <v>3</v>
      </c>
      <c r="E1440" s="33" t="inlineStr">
        <is>
          <t>219 sales, 0 purchases. Large $ amounts but unclear % of holdings. Default routine</t>
        </is>
      </c>
      <c r="F1440" s="33" t="inlineStr">
        <is>
          <t>MarketBeat insider data</t>
        </is>
      </c>
      <c r="G1440" s="33" t="inlineStr">
        <is>
          <t>Medium</t>
        </is>
      </c>
      <c r="H1440" s="33" t="inlineStr">
        <is>
          <t>Initial</t>
        </is>
      </c>
    </row>
    <row r="1441">
      <c r="A1441" s="33" t="inlineStr">
        <is>
          <t>2026-05-25</t>
        </is>
      </c>
      <c r="B1441" s="33" t="inlineStr">
        <is>
          <t>MPWR</t>
        </is>
      </c>
      <c r="C1441" s="33" t="inlineStr">
        <is>
          <t>R1 Cust Conc</t>
        </is>
      </c>
      <c r="D1441" s="33" t="n">
        <v>3</v>
      </c>
      <c r="E1441" s="33" t="inlineStr">
        <is>
          <t>NVIDIA platform dependency but sells through multiple OEMs. Auto/industrial diversify</t>
        </is>
      </c>
      <c r="F1441" s="33" t="inlineStr">
        <is>
          <t>Segment data</t>
        </is>
      </c>
      <c r="G1441" s="33" t="inlineStr">
        <is>
          <t>Medium</t>
        </is>
      </c>
      <c r="H1441" s="33" t="inlineStr">
        <is>
          <t>Initial</t>
        </is>
      </c>
    </row>
    <row r="1442">
      <c r="A1442" s="33" t="inlineStr">
        <is>
          <t>2026-05-25</t>
        </is>
      </c>
      <c r="B1442" s="33" t="inlineStr">
        <is>
          <t>MPWR</t>
        </is>
      </c>
      <c r="C1442" s="33" t="inlineStr">
        <is>
          <t>R2 Geo Risk</t>
        </is>
      </c>
      <c r="D1442" s="33" t="n">
        <v>3</v>
      </c>
      <c r="E1442" s="33" t="inlineStr">
        <is>
          <t>Global sales including Asia. Power ICs not export-controlled. Some tariff exposure</t>
        </is>
      </c>
      <c r="F1442" s="33" t="inlineStr">
        <is>
          <t>Industry context</t>
        </is>
      </c>
      <c r="G1442" s="33" t="inlineStr">
        <is>
          <t>Low</t>
        </is>
      </c>
      <c r="H1442" s="33" t="inlineStr">
        <is>
          <t>Initial</t>
        </is>
      </c>
    </row>
    <row r="1443">
      <c r="A1443" s="33" t="inlineStr">
        <is>
          <t>2026-05-25</t>
        </is>
      </c>
      <c r="B1443" s="33" t="inlineStr">
        <is>
          <t>MPWR</t>
        </is>
      </c>
      <c r="C1443" s="33" t="inlineStr">
        <is>
          <t>R3 BS Risk</t>
        </is>
      </c>
      <c r="D1443" s="33" t="n">
        <v>5</v>
      </c>
      <c r="E1443" s="33" t="inlineStr">
        <is>
          <t>Net cash. $1.37B cash. Fabless. Strong FCF</t>
        </is>
      </c>
      <c r="F1443" s="33" t="inlineStr">
        <is>
          <t>Q1 2026 balance sheet</t>
        </is>
      </c>
      <c r="G1443" s="33" t="inlineStr">
        <is>
          <t>High</t>
        </is>
      </c>
      <c r="H1443" s="33" t="inlineStr">
        <is>
          <t>Initial</t>
        </is>
      </c>
    </row>
    <row r="1444">
      <c r="A1444" s="33" t="inlineStr">
        <is>
          <t>2026-05-25</t>
        </is>
      </c>
      <c r="B1444" s="33" t="inlineStr">
        <is>
          <t>MPWR</t>
        </is>
      </c>
      <c r="C1444" s="33" t="inlineStr">
        <is>
          <t>R4 Reg Risk</t>
        </is>
      </c>
      <c r="D1444" s="33" t="n">
        <v>4</v>
      </c>
      <c r="E1444" s="33" t="inlineStr">
        <is>
          <t>No major litigation disclosed. Needs 10-K verification</t>
        </is>
      </c>
      <c r="F1444" s="33" t="inlineStr">
        <is>
          <t>General assessment</t>
        </is>
      </c>
      <c r="G1444" s="33" t="inlineStr">
        <is>
          <t>Medium</t>
        </is>
      </c>
      <c r="H1444" s="33" t="inlineStr">
        <is>
          <t>Initial</t>
        </is>
      </c>
    </row>
    <row r="1445">
      <c r="A1445" s="33" t="inlineStr">
        <is>
          <t>2026-05-25</t>
        </is>
      </c>
      <c r="B1445" s="33" t="inlineStr">
        <is>
          <t>KEYS</t>
        </is>
      </c>
      <c r="C1445" s="33" t="inlineStr">
        <is>
          <t>D1 AI Rev %</t>
        </is>
      </c>
      <c r="D1445" s="33" t="n">
        <v>3</v>
      </c>
      <c r="E1445" s="33" t="inlineStr">
        <is>
          <t>AI ~17% of revenue. Growing rapidly (H1 &gt; full FY2025) but 83% non-AI</t>
        </is>
      </c>
      <c r="F1445" s="33" t="inlineStr">
        <is>
          <t>Q2 FY2026 earnings, mgmt disclosure</t>
        </is>
      </c>
      <c r="G1445" s="33" t="inlineStr">
        <is>
          <t>High</t>
        </is>
      </c>
      <c r="H1445" s="33" t="inlineStr">
        <is>
          <t>Initial</t>
        </is>
      </c>
    </row>
    <row r="1446">
      <c r="A1446" s="33" t="inlineStr">
        <is>
          <t>2026-05-25</t>
        </is>
      </c>
      <c r="B1446" s="33" t="inlineStr">
        <is>
          <t>KEYS</t>
        </is>
      </c>
      <c r="C1446" s="33" t="inlineStr">
        <is>
          <t>D2 Position</t>
        </is>
      </c>
      <c r="D1446" s="33" t="n">
        <v>4</v>
      </c>
      <c r="E1446" s="33" t="inlineStr">
        <is>
          <t>Upstream validation bottleneck. Already shipping PCIe 7.0 while competitors on 6.0</t>
        </is>
      </c>
      <c r="F1446" s="33" t="inlineStr">
        <is>
          <t>Keysight newsroom May 2026</t>
        </is>
      </c>
      <c r="G1446" s="33" t="inlineStr">
        <is>
          <t>High</t>
        </is>
      </c>
      <c r="H1446" s="33" t="inlineStr">
        <is>
          <t>Initial</t>
        </is>
      </c>
    </row>
    <row r="1447">
      <c r="A1447" s="33" t="inlineStr">
        <is>
          <t>2026-05-25</t>
        </is>
      </c>
      <c r="B1447" s="33" t="inlineStr">
        <is>
          <t>KEYS</t>
        </is>
      </c>
      <c r="C1447" s="33" t="inlineStr">
        <is>
          <t>D3 Moat</t>
        </is>
      </c>
      <c r="D1447" s="33" t="n">
        <v>4</v>
      </c>
      <c r="E1447" s="33" t="inlineStr">
        <is>
          <t>HP/Agilent heritage IP. 72% gross margin = pricing power. 27% ARR stickiness</t>
        </is>
      </c>
      <c r="F1447" s="33" t="inlineStr">
        <is>
          <t>Revenue mix, gross margin</t>
        </is>
      </c>
      <c r="G1447" s="33" t="inlineStr">
        <is>
          <t>High</t>
        </is>
      </c>
      <c r="H1447" s="33" t="inlineStr">
        <is>
          <t>Initial</t>
        </is>
      </c>
    </row>
    <row r="1448">
      <c r="A1448" s="33" t="inlineStr">
        <is>
          <t>2026-05-25</t>
        </is>
      </c>
      <c r="B1448" s="33" t="inlineStr">
        <is>
          <t>KEYS</t>
        </is>
      </c>
      <c r="C1448" s="33" t="inlineStr">
        <is>
          <t>D4 Capacity</t>
        </is>
      </c>
      <c r="D1448" s="33" t="n">
        <v>3</v>
      </c>
      <c r="E1448" s="33" t="inlineStr">
        <is>
          <t>Asset-light T&amp;M business. $1.5B buyback = capital return, not expansion</t>
        </is>
      </c>
      <c r="F1448" s="33" t="inlineStr">
        <is>
          <t>Capital allocation</t>
        </is>
      </c>
      <c r="G1448" s="33" t="inlineStr">
        <is>
          <t>High</t>
        </is>
      </c>
      <c r="H1448" s="33" t="inlineStr">
        <is>
          <t>Initial</t>
        </is>
      </c>
    </row>
    <row r="1449">
      <c r="A1449" s="33" t="inlineStr">
        <is>
          <t>2026-05-25</t>
        </is>
      </c>
      <c r="B1449" s="33" t="inlineStr">
        <is>
          <t>KEYS</t>
        </is>
      </c>
      <c r="C1449" s="33" t="inlineStr">
        <is>
          <t>D5 Hyperscaler</t>
        </is>
      </c>
      <c r="D1449" s="33" t="n">
        <v>3</v>
      </c>
      <c r="E1449" s="33" t="inlineStr">
        <is>
          <t>Sells test equipment to broad customer base including hyperscalers. Not concentrated</t>
        </is>
      </c>
      <c r="F1449" s="33" t="inlineStr">
        <is>
          <t>Industry structure</t>
        </is>
      </c>
      <c r="G1449" s="33" t="inlineStr">
        <is>
          <t>Medium</t>
        </is>
      </c>
      <c r="H1449" s="33" t="inlineStr">
        <is>
          <t>Initial</t>
        </is>
      </c>
    </row>
    <row r="1450">
      <c r="A1450" s="33" t="inlineStr">
        <is>
          <t>2026-05-25</t>
        </is>
      </c>
      <c r="B1450" s="33" t="inlineStr">
        <is>
          <t>KEYS</t>
        </is>
      </c>
      <c r="C1450" s="33" t="inlineStr">
        <is>
          <t>M1 EPS Rev</t>
        </is>
      </c>
      <c r="D1450" s="33" t="n">
        <v>5</v>
      </c>
      <c r="E1450" s="33" t="inlineStr">
        <is>
          <t>Two consecutive massive beats. EPS +21% vs consensus. Guidance raised 2x</t>
        </is>
      </c>
      <c r="F1450" s="33" t="inlineStr">
        <is>
          <t>Q2 FY2026 earnings</t>
        </is>
      </c>
      <c r="G1450" s="33" t="inlineStr">
        <is>
          <t>High</t>
        </is>
      </c>
      <c r="H1450" s="33" t="inlineStr">
        <is>
          <t>Initial</t>
        </is>
      </c>
    </row>
    <row r="1451">
      <c r="A1451" s="33" t="inlineStr">
        <is>
          <t>2026-05-25</t>
        </is>
      </c>
      <c r="B1451" s="33" t="inlineStr">
        <is>
          <t>KEYS</t>
        </is>
      </c>
      <c r="C1451" s="33" t="inlineStr">
        <is>
          <t>M2 Rel Str</t>
        </is>
      </c>
      <c r="D1451" s="33" t="n">
        <v>5</v>
      </c>
      <c r="E1451" s="33" t="inlineStr">
        <is>
          <t>Stock doubled from $153 to $345. &gt;60% outperformance vs SOXX</t>
        </is>
      </c>
      <c r="F1451" s="33" t="inlineStr">
        <is>
          <t>Price data</t>
        </is>
      </c>
      <c r="G1451" s="33" t="inlineStr">
        <is>
          <t>High</t>
        </is>
      </c>
      <c r="H1451" s="33" t="inlineStr">
        <is>
          <t>Initial</t>
        </is>
      </c>
    </row>
    <row r="1452">
      <c r="A1452" s="33" t="inlineStr">
        <is>
          <t>2026-05-25</t>
        </is>
      </c>
      <c r="B1452" s="33" t="inlineStr">
        <is>
          <t>KEYS</t>
        </is>
      </c>
      <c r="C1452" s="33" t="inlineStr">
        <is>
          <t>M3 Insider</t>
        </is>
      </c>
      <c r="D1452" s="33" t="n">
        <v>3</v>
      </c>
      <c r="E1452" s="33" t="inlineStr">
        <is>
          <t>No insider data pulled. Default routine</t>
        </is>
      </c>
      <c r="F1452" s="33" t="inlineStr">
        <is>
          <t>Needs Form 4 verification</t>
        </is>
      </c>
      <c r="G1452" s="33" t="inlineStr">
        <is>
          <t>Low</t>
        </is>
      </c>
      <c r="H1452" s="33" t="inlineStr">
        <is>
          <t>Initial</t>
        </is>
      </c>
    </row>
    <row r="1453">
      <c r="A1453" s="33" t="inlineStr">
        <is>
          <t>2026-05-25</t>
        </is>
      </c>
      <c r="B1453" s="33" t="inlineStr">
        <is>
          <t>KEYS</t>
        </is>
      </c>
      <c r="C1453" s="33" t="inlineStr">
        <is>
          <t>R1 Cust Conc</t>
        </is>
      </c>
      <c r="D1453" s="33" t="n">
        <v>4</v>
      </c>
      <c r="E1453" s="33" t="inlineStr">
        <is>
          <t>T&amp;M companies have broad customer bases. No customer likely &gt;15%</t>
        </is>
      </c>
      <c r="F1453" s="33" t="inlineStr">
        <is>
          <t>Industry structure</t>
        </is>
      </c>
      <c r="G1453" s="33" t="inlineStr">
        <is>
          <t>Medium</t>
        </is>
      </c>
      <c r="H1453" s="33" t="inlineStr">
        <is>
          <t>Initial</t>
        </is>
      </c>
    </row>
    <row r="1454">
      <c r="A1454" s="33" t="inlineStr">
        <is>
          <t>2026-05-25</t>
        </is>
      </c>
      <c r="B1454" s="33" t="inlineStr">
        <is>
          <t>KEYS</t>
        </is>
      </c>
      <c r="C1454" s="33" t="inlineStr">
        <is>
          <t>R2 Geo Risk</t>
        </is>
      </c>
      <c r="D1454" s="33" t="n">
        <v>3</v>
      </c>
      <c r="E1454" s="33" t="inlineStr">
        <is>
          <t>Global sales. $75M tariff exposure. Advanced test equipment could face export tightening</t>
        </is>
      </c>
      <c r="F1454" s="33" t="inlineStr">
        <is>
          <t>Tariff disclosure Q2 FY2026</t>
        </is>
      </c>
      <c r="G1454" s="33" t="inlineStr">
        <is>
          <t>Medium</t>
        </is>
      </c>
      <c r="H1454" s="33" t="inlineStr">
        <is>
          <t>Initial</t>
        </is>
      </c>
    </row>
    <row r="1455">
      <c r="A1455" s="33" t="inlineStr">
        <is>
          <t>2026-05-25</t>
        </is>
      </c>
      <c r="B1455" s="33" t="inlineStr">
        <is>
          <t>KEYS</t>
        </is>
      </c>
      <c r="C1455" s="33" t="inlineStr">
        <is>
          <t>R3 BS Risk</t>
        </is>
      </c>
      <c r="D1455" s="33" t="n">
        <v>4</v>
      </c>
      <c r="E1455" s="33" t="inlineStr">
        <is>
          <t>ND/EBITDA=0.23. $472M FCF in Q2. Modest leverage</t>
        </is>
      </c>
      <c r="F1455" s="33" t="inlineStr">
        <is>
          <t>Q2 FY2026 financials</t>
        </is>
      </c>
      <c r="G1455" s="33" t="inlineStr">
        <is>
          <t>High</t>
        </is>
      </c>
      <c r="H1455" s="33" t="inlineStr">
        <is>
          <t>Initial</t>
        </is>
      </c>
    </row>
    <row r="1456">
      <c r="A1456" s="33" t="inlineStr">
        <is>
          <t>2026-05-25</t>
        </is>
      </c>
      <c r="B1456" s="33" t="inlineStr">
        <is>
          <t>KEYS</t>
        </is>
      </c>
      <c r="C1456" s="33" t="inlineStr">
        <is>
          <t>R4 Reg Risk</t>
        </is>
      </c>
      <c r="D1456" s="33" t="n">
        <v>4</v>
      </c>
      <c r="E1456" s="33" t="inlineStr">
        <is>
          <t>$40M IEEPA ruling one-time hit. Tariff mitigation in place. Routine</t>
        </is>
      </c>
      <c r="F1456" s="33" t="inlineStr">
        <is>
          <t>IEEPA ruling, tariff commentary</t>
        </is>
      </c>
      <c r="G1456" s="33" t="inlineStr">
        <is>
          <t>Medium</t>
        </is>
      </c>
      <c r="H1456" s="33" t="inlineStr">
        <is>
          <t>Initial</t>
        </is>
      </c>
    </row>
    <row r="1457">
      <c r="A1457" s="33" t="inlineStr">
        <is>
          <t>2026-05-25</t>
        </is>
      </c>
      <c r="B1457" s="33" t="inlineStr">
        <is>
          <t>TTMI</t>
        </is>
      </c>
      <c r="C1457" s="33" t="inlineStr">
        <is>
          <t>D1 AI Rev %</t>
        </is>
      </c>
      <c r="D1457" s="33" t="n">
        <v>4</v>
      </c>
      <c r="E1457" s="33" t="inlineStr">
        <is>
          <t>Data Center &amp; Networking = 36% of revenue, growing 61% YoY</t>
        </is>
      </c>
      <c r="F1457" s="33" t="inlineStr">
        <is>
          <t>Q1 2026 segment data</t>
        </is>
      </c>
      <c r="G1457" s="33" t="inlineStr">
        <is>
          <t>High</t>
        </is>
      </c>
      <c r="H1457" s="33" t="inlineStr">
        <is>
          <t>Initial</t>
        </is>
      </c>
    </row>
    <row r="1458">
      <c r="A1458" s="33" t="inlineStr">
        <is>
          <t>2026-05-25</t>
        </is>
      </c>
      <c r="B1458" s="33" t="inlineStr">
        <is>
          <t>TTMI</t>
        </is>
      </c>
      <c r="C1458" s="33" t="inlineStr">
        <is>
          <t>D2 Position</t>
        </is>
      </c>
      <c r="D1458" s="33" t="n">
        <v>3</v>
      </c>
      <c r="E1458" s="33" t="inlineStr">
        <is>
          <t>Mid-chain; ultra-HDI differentiation but Asian competitors compete. Qualification cycles add cost</t>
        </is>
      </c>
      <c r="F1458" s="33" t="inlineStr">
        <is>
          <t>Industry context, Syracuse facility</t>
        </is>
      </c>
      <c r="G1458" s="33" t="inlineStr">
        <is>
          <t>Medium</t>
        </is>
      </c>
      <c r="H1458" s="33" t="inlineStr">
        <is>
          <t>Initial</t>
        </is>
      </c>
    </row>
    <row r="1459">
      <c r="A1459" s="33" t="inlineStr">
        <is>
          <t>2026-05-25</t>
        </is>
      </c>
      <c r="B1459" s="33" t="inlineStr">
        <is>
          <t>TTMI</t>
        </is>
      </c>
      <c r="C1459" s="33" t="inlineStr">
        <is>
          <t>D3 Moat</t>
        </is>
      </c>
      <c r="D1459" s="33" t="n">
        <v>2</v>
      </c>
      <c r="E1459" s="33" t="inlineStr">
        <is>
          <t>PCBs commodity-adjacent. 21% gross margin confirms limited pricing power. Asian cost advantages</t>
        </is>
      </c>
      <c r="F1459" s="33" t="inlineStr">
        <is>
          <t>Gross margin, competitive landscape</t>
        </is>
      </c>
      <c r="G1459" s="33" t="inlineStr">
        <is>
          <t>High</t>
        </is>
      </c>
      <c r="H1459" s="33" t="inlineStr">
        <is>
          <t>Initial</t>
        </is>
      </c>
    </row>
    <row r="1460">
      <c r="A1460" s="33" t="inlineStr">
        <is>
          <t>2026-05-25</t>
        </is>
      </c>
      <c r="B1460" s="33" t="inlineStr">
        <is>
          <t>TTMI</t>
        </is>
      </c>
      <c r="C1460" s="33" t="inlineStr">
        <is>
          <t>D4 Capacity</t>
        </is>
      </c>
      <c r="D1460" s="33" t="n">
        <v>5</v>
      </c>
      <c r="E1460" s="33" t="inlineStr">
        <is>
          <t>Syracuse $212M, China $200-300M, capex $240-260M. Raytheon $200M contract backing it</t>
        </is>
      </c>
      <c r="F1460" s="33" t="inlineStr">
        <is>
          <t>Capex guidance, SEC 10-Q</t>
        </is>
      </c>
      <c r="G1460" s="33" t="inlineStr">
        <is>
          <t>High</t>
        </is>
      </c>
      <c r="H1460" s="33" t="inlineStr">
        <is>
          <t>Initial</t>
        </is>
      </c>
    </row>
    <row r="1461">
      <c r="A1461" s="33" t="inlineStr">
        <is>
          <t>2026-05-25</t>
        </is>
      </c>
      <c r="B1461" s="33" t="inlineStr">
        <is>
          <t>TTMI</t>
        </is>
      </c>
      <c r="C1461" s="33" t="inlineStr">
        <is>
          <t>D5 Hyperscaler</t>
        </is>
      </c>
      <c r="D1461" s="33" t="n">
        <v>3</v>
      </c>
      <c r="E1461" s="33" t="inlineStr">
        <is>
          <t>Sells to hyperscalers through OEMs. PCBs go through intermediaries. Not concentrated</t>
        </is>
      </c>
      <c r="F1461" s="33" t="inlineStr">
        <is>
          <t>Segment data</t>
        </is>
      </c>
      <c r="G1461" s="33" t="inlineStr">
        <is>
          <t>Medium</t>
        </is>
      </c>
      <c r="H1461" s="33" t="inlineStr">
        <is>
          <t>Initial</t>
        </is>
      </c>
    </row>
    <row r="1462">
      <c r="A1462" s="33" t="inlineStr">
        <is>
          <t>2026-05-25</t>
        </is>
      </c>
      <c r="B1462" s="33" t="inlineStr">
        <is>
          <t>TTMI</t>
        </is>
      </c>
      <c r="C1462" s="33" t="inlineStr">
        <is>
          <t>M1 EPS Rev</t>
        </is>
      </c>
      <c r="D1462" s="33" t="n">
        <v>5</v>
      </c>
      <c r="E1462" s="33" t="inlineStr">
        <is>
          <t>Blowout Q1. CEO projects $4B for FY2026 (was 15-20% guide). Massive raise</t>
        </is>
      </c>
      <c r="F1462" s="33" t="inlineStr">
        <is>
          <t>Q1 2026 earnings, CEO projection</t>
        </is>
      </c>
      <c r="G1462" s="33" t="inlineStr">
        <is>
          <t>High</t>
        </is>
      </c>
      <c r="H1462" s="33" t="inlineStr">
        <is>
          <t>Initial</t>
        </is>
      </c>
    </row>
    <row r="1463">
      <c r="A1463" s="33" t="inlineStr">
        <is>
          <t>2026-05-25</t>
        </is>
      </c>
      <c r="B1463" s="33" t="inlineStr">
        <is>
          <t>TTMI</t>
        </is>
      </c>
      <c r="C1463" s="33" t="inlineStr">
        <is>
          <t>M2 Rel Str</t>
        </is>
      </c>
      <c r="D1463" s="33" t="n">
        <v>5</v>
      </c>
      <c r="E1463" s="33" t="inlineStr">
        <is>
          <t>Stock up ~600%. Demolished any sector benchmark</t>
        </is>
      </c>
      <c r="F1463" s="33" t="inlineStr">
        <is>
          <t>Price data</t>
        </is>
      </c>
      <c r="G1463" s="33" t="inlineStr">
        <is>
          <t>High</t>
        </is>
      </c>
      <c r="H1463" s="33" t="inlineStr">
        <is>
          <t>Initial</t>
        </is>
      </c>
    </row>
    <row r="1464">
      <c r="A1464" s="33" t="inlineStr">
        <is>
          <t>2026-05-25</t>
        </is>
      </c>
      <c r="B1464" s="33" t="inlineStr">
        <is>
          <t>TTMI</t>
        </is>
      </c>
      <c r="C1464" s="33" t="inlineStr">
        <is>
          <t>M3 Insider</t>
        </is>
      </c>
      <c r="D1464" s="33" t="n">
        <v>2</v>
      </c>
      <c r="E1464" s="33" t="inlineStr">
        <is>
          <t>7 sales, 0 purchases in Q1. $10.4M net selling. Zero buying after 600% run</t>
        </is>
      </c>
      <c r="F1464" s="33" t="inlineStr">
        <is>
          <t>Yahoo Finance insider data</t>
        </is>
      </c>
      <c r="G1464" s="33" t="inlineStr">
        <is>
          <t>Medium</t>
        </is>
      </c>
      <c r="H1464" s="33" t="inlineStr">
        <is>
          <t>Initial</t>
        </is>
      </c>
    </row>
    <row r="1465">
      <c r="A1465" s="33" t="inlineStr">
        <is>
          <t>2026-05-25</t>
        </is>
      </c>
      <c r="B1465" s="33" t="inlineStr">
        <is>
          <t>TTMI</t>
        </is>
      </c>
      <c r="C1465" s="33" t="inlineStr">
        <is>
          <t>R1 Cust Conc</t>
        </is>
      </c>
      <c r="D1465" s="33" t="n">
        <v>3</v>
      </c>
      <c r="E1465" s="33" t="inlineStr">
        <is>
          <t>A&amp;D 40% + Data Center 36% diversified across primes and OEMs</t>
        </is>
      </c>
      <c r="F1465" s="33" t="inlineStr">
        <is>
          <t>Segment data</t>
        </is>
      </c>
      <c r="G1465" s="33" t="inlineStr">
        <is>
          <t>Medium</t>
        </is>
      </c>
      <c r="H1465" s="33" t="inlineStr">
        <is>
          <t>Initial</t>
        </is>
      </c>
    </row>
    <row r="1466">
      <c r="A1466" s="33" t="inlineStr">
        <is>
          <t>2026-05-25</t>
        </is>
      </c>
      <c r="B1466" s="33" t="inlineStr">
        <is>
          <t>TTMI</t>
        </is>
      </c>
      <c r="C1466" s="33" t="inlineStr">
        <is>
          <t>R2 Geo Risk</t>
        </is>
      </c>
      <c r="D1466" s="33" t="n">
        <v>2</v>
      </c>
      <c r="E1466" s="33" t="inlineStr">
        <is>
          <t>China expansion capex $200-300M. Dual US-China manufacturing exposure</t>
        </is>
      </c>
      <c r="F1466" s="33" t="inlineStr">
        <is>
          <t>China capex plans</t>
        </is>
      </c>
      <c r="G1466" s="33" t="inlineStr">
        <is>
          <t>High</t>
        </is>
      </c>
      <c r="H1466" s="33" t="inlineStr">
        <is>
          <t>Initial</t>
        </is>
      </c>
    </row>
    <row r="1467">
      <c r="A1467" s="33" t="inlineStr">
        <is>
          <t>2026-05-25</t>
        </is>
      </c>
      <c r="B1467" s="33" t="inlineStr">
        <is>
          <t>TTMI</t>
        </is>
      </c>
      <c r="C1467" s="33" t="inlineStr">
        <is>
          <t>R3 BS Risk</t>
        </is>
      </c>
      <c r="D1467" s="33" t="n">
        <v>3</v>
      </c>
      <c r="E1467" s="33" t="inlineStr">
        <is>
          <t>$912M debt, $414M cash. FCF negative (-$85M Q1). Heavy capex cycle</t>
        </is>
      </c>
      <c r="F1467" s="33" t="inlineStr">
        <is>
          <t>Q1 2026 balance sheet</t>
        </is>
      </c>
      <c r="G1467" s="33" t="inlineStr">
        <is>
          <t>High</t>
        </is>
      </c>
      <c r="H1467" s="33" t="inlineStr">
        <is>
          <t>Initial</t>
        </is>
      </c>
    </row>
    <row r="1468">
      <c r="A1468" s="33" t="inlineStr">
        <is>
          <t>2026-05-25</t>
        </is>
      </c>
      <c r="B1468" s="33" t="inlineStr">
        <is>
          <t>TTMI</t>
        </is>
      </c>
      <c r="C1468" s="33" t="inlineStr">
        <is>
          <t>R4 Reg Risk</t>
        </is>
      </c>
      <c r="D1468" s="33" t="n">
        <v>4</v>
      </c>
      <c r="E1468" s="33" t="inlineStr">
        <is>
          <t>No major litigation. Defense contracts require routine compliance</t>
        </is>
      </c>
      <c r="F1468" s="33" t="inlineStr">
        <is>
          <t>General assessment</t>
        </is>
      </c>
      <c r="G1468" s="33" t="inlineStr">
        <is>
          <t>Medium</t>
        </is>
      </c>
      <c r="H1468" s="33" t="inlineStr">
        <is>
          <t>Initial</t>
        </is>
      </c>
    </row>
    <row r="1469">
      <c r="A1469" s="33" t="inlineStr">
        <is>
          <t>2026-05-25</t>
        </is>
      </c>
      <c r="B1469" s="33" t="inlineStr">
        <is>
          <t>FLEX</t>
        </is>
      </c>
      <c r="C1469" s="33" t="inlineStr">
        <is>
          <t>D1 AI Rev %</t>
        </is>
      </c>
      <c r="D1469" s="33" t="n">
        <v>4</v>
      </c>
      <c r="E1469" s="33" t="inlineStr">
        <is>
          <t>CPI segment ~$6.5B, ~25% of total revenue, growing 38%</t>
        </is>
      </c>
      <c r="F1469" s="33" t="inlineStr">
        <is>
          <t>FY2026 segment data</t>
        </is>
      </c>
      <c r="G1469" s="33" t="inlineStr">
        <is>
          <t>High</t>
        </is>
      </c>
      <c r="H1469" s="33" t="inlineStr">
        <is>
          <t>Initial</t>
        </is>
      </c>
    </row>
    <row r="1470">
      <c r="A1470" s="33" t="inlineStr">
        <is>
          <t>2026-05-25</t>
        </is>
      </c>
      <c r="B1470" s="33" t="inlineStr">
        <is>
          <t>FLEX</t>
        </is>
      </c>
      <c r="C1470" s="33" t="inlineStr">
        <is>
          <t>D2 Position</t>
        </is>
      </c>
      <c r="D1470" s="33" t="n">
        <v>2</v>
      </c>
      <c r="E1470" s="33" t="inlineStr">
        <is>
          <t>EMS/ODM commoditized. Multiple competitors (Jabil, Celestica, Foxconn)</t>
        </is>
      </c>
      <c r="F1470" s="33" t="inlineStr">
        <is>
          <t>Competitive landscape</t>
        </is>
      </c>
      <c r="G1470" s="33" t="inlineStr">
        <is>
          <t>High</t>
        </is>
      </c>
      <c r="H1470" s="33" t="inlineStr">
        <is>
          <t>Initial</t>
        </is>
      </c>
    </row>
    <row r="1471">
      <c r="A1471" s="33" t="inlineStr">
        <is>
          <t>2026-05-25</t>
        </is>
      </c>
      <c r="B1471" s="33" t="inlineStr">
        <is>
          <t>FLEX</t>
        </is>
      </c>
      <c r="C1471" s="33" t="inlineStr">
        <is>
          <t>D3 Moat</t>
        </is>
      </c>
      <c r="D1471" s="33" t="n">
        <v>2</v>
      </c>
      <c r="E1471" s="33" t="inlineStr">
        <is>
          <t>9.9% gross margin confirms limited pricing power. Execution/scale not product IP</t>
        </is>
      </c>
      <c r="F1471" s="33" t="inlineStr">
        <is>
          <t>Gross margin, competitive dynamics</t>
        </is>
      </c>
      <c r="G1471" s="33" t="inlineStr">
        <is>
          <t>High</t>
        </is>
      </c>
      <c r="H1471" s="33" t="inlineStr">
        <is>
          <t>Initial</t>
        </is>
      </c>
    </row>
    <row r="1472">
      <c r="A1472" s="33" t="inlineStr">
        <is>
          <t>2026-05-25</t>
        </is>
      </c>
      <c r="B1472" s="33" t="inlineStr">
        <is>
          <t>FLEX</t>
        </is>
      </c>
      <c r="C1472" s="33" t="inlineStr">
        <is>
          <t>D4 Capacity</t>
        </is>
      </c>
      <c r="D1472" s="33" t="n">
        <v>5</v>
      </c>
      <c r="E1472" s="33" t="inlineStr">
        <is>
          <t>Capex $1.4-1.6B FY2027. Google multiyear, AMD MI355X, NVIDIA collab. CEO going with SpinCo</t>
        </is>
      </c>
      <c r="F1472" s="33" t="inlineStr">
        <is>
          <t>Spin-off announcement, capex guidance</t>
        </is>
      </c>
      <c r="G1472" s="33" t="inlineStr">
        <is>
          <t>High</t>
        </is>
      </c>
      <c r="H1472" s="33" t="inlineStr">
        <is>
          <t>Initial</t>
        </is>
      </c>
    </row>
    <row r="1473">
      <c r="A1473" s="33" t="inlineStr">
        <is>
          <t>2026-05-25</t>
        </is>
      </c>
      <c r="B1473" s="33" t="inlineStr">
        <is>
          <t>FLEX</t>
        </is>
      </c>
      <c r="C1473" s="33" t="inlineStr">
        <is>
          <t>D5 Hyperscaler</t>
        </is>
      </c>
      <c r="D1473" s="33" t="n">
        <v>5</v>
      </c>
      <c r="E1473" s="33" t="inlineStr">
        <is>
          <t>Named Google multiyear, AMD MI355X manufacturing, NVIDIA collaboration. &gt;30% combined</t>
        </is>
      </c>
      <c r="F1473" s="33" t="inlineStr">
        <is>
          <t>Named partnerships, press releases</t>
        </is>
      </c>
      <c r="G1473" s="33" t="inlineStr">
        <is>
          <t>High</t>
        </is>
      </c>
      <c r="H1473" s="33" t="inlineStr">
        <is>
          <t>Initial</t>
        </is>
      </c>
    </row>
    <row r="1474">
      <c r="A1474" s="33" t="inlineStr">
        <is>
          <t>2026-05-25</t>
        </is>
      </c>
      <c r="B1474" s="33" t="inlineStr">
        <is>
          <t>FLEX</t>
        </is>
      </c>
      <c r="C1474" s="33" t="inlineStr">
        <is>
          <t>M1 EPS Rev</t>
        </is>
      </c>
      <c r="D1474" s="33" t="n">
        <v>5</v>
      </c>
      <c r="E1474" s="33" t="inlineStr">
        <is>
          <t>Q4 beat 8% on revenue. FY2027 guide +18%, EPS +32%. Multiple raises</t>
        </is>
      </c>
      <c r="F1474" s="33" t="inlineStr">
        <is>
          <t>FY2026 results, FY2027 guidance</t>
        </is>
      </c>
      <c r="G1474" s="33" t="inlineStr">
        <is>
          <t>High</t>
        </is>
      </c>
      <c r="H1474" s="33" t="inlineStr">
        <is>
          <t>Initial</t>
        </is>
      </c>
    </row>
    <row r="1475">
      <c r="A1475" s="33" t="inlineStr">
        <is>
          <t>2026-05-25</t>
        </is>
      </c>
      <c r="B1475" s="33" t="inlineStr">
        <is>
          <t>FLEX</t>
        </is>
      </c>
      <c r="C1475" s="33" t="inlineStr">
        <is>
          <t>M2 Rel Str</t>
        </is>
      </c>
      <c r="D1475" s="33" t="n">
        <v>5</v>
      </c>
      <c r="E1475" s="33" t="inlineStr">
        <is>
          <t>Stock tripled ($41 to $132). &gt;100% outperformance vs XLI</t>
        </is>
      </c>
      <c r="F1475" s="33" t="inlineStr">
        <is>
          <t>Price data</t>
        </is>
      </c>
      <c r="G1475" s="33" t="inlineStr">
        <is>
          <t>High</t>
        </is>
      </c>
      <c r="H1475" s="33" t="inlineStr">
        <is>
          <t>Initial</t>
        </is>
      </c>
    </row>
    <row r="1476">
      <c r="A1476" s="33" t="inlineStr">
        <is>
          <t>2026-05-25</t>
        </is>
      </c>
      <c r="B1476" s="33" t="inlineStr">
        <is>
          <t>FLEX</t>
        </is>
      </c>
      <c r="C1476" s="33" t="inlineStr">
        <is>
          <t>M3 Insider</t>
        </is>
      </c>
      <c r="D1476" s="33" t="n">
        <v>3</v>
      </c>
      <c r="E1476" s="33" t="inlineStr">
        <is>
          <t>No insider data pulled. CEO going with SpinCo = career conviction. Default routine</t>
        </is>
      </c>
      <c r="F1476" s="33" t="inlineStr">
        <is>
          <t>Needs Form 4 verification</t>
        </is>
      </c>
      <c r="G1476" s="33" t="inlineStr">
        <is>
          <t>Low</t>
        </is>
      </c>
      <c r="H1476" s="33" t="inlineStr">
        <is>
          <t>Initial</t>
        </is>
      </c>
    </row>
    <row r="1477">
      <c r="A1477" s="33" t="inlineStr">
        <is>
          <t>2026-05-25</t>
        </is>
      </c>
      <c r="B1477" s="33" t="inlineStr">
        <is>
          <t>FLEX</t>
        </is>
      </c>
      <c r="C1477" s="33" t="inlineStr">
        <is>
          <t>R1 Cust Conc</t>
        </is>
      </c>
      <c r="D1477" s="33" t="n">
        <v>3</v>
      </c>
      <c r="E1477" s="33" t="inlineStr">
        <is>
          <t>Google multiyear is major driver. CPI segment likely concentrated in 2-3 hyperscalers</t>
        </is>
      </c>
      <c r="F1477" s="33" t="inlineStr">
        <is>
          <t>Named customer relationships</t>
        </is>
      </c>
      <c r="G1477" s="33" t="inlineStr">
        <is>
          <t>Medium</t>
        </is>
      </c>
      <c r="H1477" s="33" t="inlineStr">
        <is>
          <t>Initial</t>
        </is>
      </c>
    </row>
    <row r="1478">
      <c r="A1478" s="33" t="inlineStr">
        <is>
          <t>2026-05-25</t>
        </is>
      </c>
      <c r="B1478" s="33" t="inlineStr">
        <is>
          <t>FLEX</t>
        </is>
      </c>
      <c r="C1478" s="33" t="inlineStr">
        <is>
          <t>R2 Geo Risk</t>
        </is>
      </c>
      <c r="D1478" s="33" t="n">
        <v>4</v>
      </c>
      <c r="E1478" s="33" t="inlineStr">
        <is>
          <t>US manufacturing expanding (Austin). Global footprint. No export-control issues</t>
        </is>
      </c>
      <c r="F1478" s="33" t="inlineStr">
        <is>
          <t>Manufacturing footprint</t>
        </is>
      </c>
      <c r="G1478" s="33" t="inlineStr">
        <is>
          <t>Medium</t>
        </is>
      </c>
      <c r="H1478" s="33" t="inlineStr">
        <is>
          <t>Initial</t>
        </is>
      </c>
    </row>
    <row r="1479">
      <c r="A1479" s="33" t="inlineStr">
        <is>
          <t>2026-05-25</t>
        </is>
      </c>
      <c r="B1479" s="33" t="inlineStr">
        <is>
          <t>FLEX</t>
        </is>
      </c>
      <c r="C1479" s="33" t="inlineStr">
        <is>
          <t>R3 BS Risk</t>
        </is>
      </c>
      <c r="D1479" s="33" t="n">
        <v>4</v>
      </c>
      <c r="E1479" s="33" t="inlineStr">
        <is>
          <t>ND/EBITDA=1.01. $1.06B FCF. Capex peak FY2027 but funded by ops</t>
        </is>
      </c>
      <c r="F1479" s="33" t="inlineStr">
        <is>
          <t>FY2026 financials</t>
        </is>
      </c>
      <c r="G1479" s="33" t="inlineStr">
        <is>
          <t>High</t>
        </is>
      </c>
      <c r="H1479" s="33" t="inlineStr">
        <is>
          <t>Initial</t>
        </is>
      </c>
    </row>
    <row r="1480">
      <c r="A1480" s="33" t="inlineStr">
        <is>
          <t>2026-05-25</t>
        </is>
      </c>
      <c r="B1480" s="33" t="inlineStr">
        <is>
          <t>FLEX</t>
        </is>
      </c>
      <c r="C1480" s="33" t="inlineStr">
        <is>
          <t>R4 Reg Risk</t>
        </is>
      </c>
      <c r="D1480" s="33" t="n">
        <v>4</v>
      </c>
      <c r="E1480" s="33" t="inlineStr">
        <is>
          <t>No major litigation. Spin-off requires routine SEC approval</t>
        </is>
      </c>
      <c r="F1480" s="33" t="inlineStr">
        <is>
          <t>General assessment</t>
        </is>
      </c>
      <c r="G1480" s="33" t="inlineStr">
        <is>
          <t>Medium</t>
        </is>
      </c>
      <c r="H1480" s="33" t="inlineStr">
        <is>
          <t>Initial</t>
        </is>
      </c>
    </row>
    <row r="1481">
      <c r="A1481" s="33" t="inlineStr">
        <is>
          <t>2026-05-25</t>
        </is>
      </c>
      <c r="B1481" s="33" t="inlineStr">
        <is>
          <t>PSTG</t>
        </is>
      </c>
      <c r="C1481" s="33" t="inlineStr">
        <is>
          <t>D1 AI Rev %</t>
        </is>
      </c>
      <c r="D1481" s="33" t="n">
        <v>3</v>
      </c>
      <c r="E1481" s="33" t="inlineStr">
        <is>
          <t>AI revenue not disclosed. FlashBlade//EXA + Meta DirectFlash royalties are AI-tied. Estimate 15-25%</t>
        </is>
      </c>
      <c r="F1481" s="33" t="inlineStr">
        <is>
          <t>No explicit disclosure; estimate from hyperscaler commentary</t>
        </is>
      </c>
      <c r="G1481" s="33" t="inlineStr">
        <is>
          <t>Low</t>
        </is>
      </c>
      <c r="H1481" s="33" t="inlineStr">
        <is>
          <t>Initial</t>
        </is>
      </c>
    </row>
    <row r="1482">
      <c r="A1482" s="33" t="inlineStr">
        <is>
          <t>2026-05-25</t>
        </is>
      </c>
      <c r="B1482" s="33" t="inlineStr">
        <is>
          <t>PSTG</t>
        </is>
      </c>
      <c r="C1482" s="33" t="inlineStr">
        <is>
          <t>D2 Position</t>
        </is>
      </c>
      <c r="D1482" s="33" t="n">
        <v>3</v>
      </c>
      <c r="E1482" s="33" t="inlineStr">
        <is>
          <t>Mid-chain storage with DirectFlash differentiation. NetApp, Dell EMC, hyperscaler internal storage compete</t>
        </is>
      </c>
      <c r="F1482" s="33" t="inlineStr">
        <is>
          <t>Competitive landscape</t>
        </is>
      </c>
      <c r="G1482" s="33" t="inlineStr">
        <is>
          <t>Medium</t>
        </is>
      </c>
      <c r="H1482" s="33" t="inlineStr">
        <is>
          <t>Initial</t>
        </is>
      </c>
    </row>
    <row r="1483">
      <c r="A1483" s="33" t="inlineStr">
        <is>
          <t>2026-05-25</t>
        </is>
      </c>
      <c r="B1483" s="33" t="inlineStr">
        <is>
          <t>PSTG</t>
        </is>
      </c>
      <c r="C1483" s="33" t="inlineStr">
        <is>
          <t>D3 Moat</t>
        </is>
      </c>
      <c r="D1483" s="33" t="n">
        <v>3</v>
      </c>
      <c r="E1483" s="33" t="inlineStr">
        <is>
          <t>DirectFlash IP validated by Meta near-100% margin royalty. NVIDIA HPS certified. But hyperscaler in-housing risk</t>
        </is>
      </c>
      <c r="F1483" s="33" t="inlineStr">
        <is>
          <t>Meta royalty model, in-housing risk</t>
        </is>
      </c>
      <c r="G1483" s="33" t="inlineStr">
        <is>
          <t>Medium</t>
        </is>
      </c>
      <c r="H1483" s="33" t="inlineStr">
        <is>
          <t>Initial</t>
        </is>
      </c>
    </row>
    <row r="1484">
      <c r="A1484" s="33" t="inlineStr">
        <is>
          <t>2026-05-25</t>
        </is>
      </c>
      <c r="B1484" s="33" t="inlineStr">
        <is>
          <t>PSTG</t>
        </is>
      </c>
      <c r="C1484" s="33" t="inlineStr">
        <is>
          <t>D4 Capacity</t>
        </is>
      </c>
      <c r="D1484" s="33" t="n">
        <v>3</v>
      </c>
      <c r="E1484" s="33" t="inlineStr">
        <is>
          <t>Steady-state; designs/sells arrays, not building fabs. R&amp;D investment in FlashBlade//EXA, Fusion 2.0</t>
        </is>
      </c>
      <c r="F1484" s="33" t="inlineStr">
        <is>
          <t>Capital allocation</t>
        </is>
      </c>
      <c r="G1484" s="33" t="inlineStr">
        <is>
          <t>High</t>
        </is>
      </c>
      <c r="H1484" s="33" t="inlineStr">
        <is>
          <t>Initial</t>
        </is>
      </c>
    </row>
    <row r="1485">
      <c r="A1485" s="33" t="inlineStr">
        <is>
          <t>2026-05-25</t>
        </is>
      </c>
      <c r="B1485" s="33" t="inlineStr">
        <is>
          <t>PSTG</t>
        </is>
      </c>
      <c r="C1485" s="33" t="inlineStr">
        <is>
          <t>D5 Hyperscaler</t>
        </is>
      </c>
      <c r="D1485" s="33" t="n">
        <v>4</v>
      </c>
      <c r="E1485" s="33" t="inlineStr">
        <is>
          <t>Meta anchor customer (DirectFlash royalty, &gt;1 EB deployed). Additional hyperscalers in POC</t>
        </is>
      </c>
      <c r="F1485" s="33" t="inlineStr">
        <is>
          <t>Meta deal, SEC 8-K</t>
        </is>
      </c>
      <c r="G1485" s="33" t="inlineStr">
        <is>
          <t>Medium</t>
        </is>
      </c>
      <c r="H1485" s="33" t="inlineStr">
        <is>
          <t>Initial</t>
        </is>
      </c>
    </row>
    <row r="1486">
      <c r="A1486" s="33" t="inlineStr">
        <is>
          <t>2026-05-25</t>
        </is>
      </c>
      <c r="B1486" s="33" t="inlineStr">
        <is>
          <t>PSTG</t>
        </is>
      </c>
      <c r="C1486" s="33" t="inlineStr">
        <is>
          <t>M1 EPS Rev</t>
        </is>
      </c>
      <c r="D1486" s="33" t="n">
        <v>4</v>
      </c>
      <c r="E1486" s="33" t="inlineStr">
        <is>
          <t>Q4 beat. FY2027 guide above consensus. RPO +40%. But stock pulled back 25%</t>
        </is>
      </c>
      <c r="F1486" s="33" t="inlineStr">
        <is>
          <t>FY2026 results, FY2027 guidance</t>
        </is>
      </c>
      <c r="G1486" s="33" t="inlineStr">
        <is>
          <t>Medium</t>
        </is>
      </c>
      <c r="H1486" s="33" t="inlineStr">
        <is>
          <t>Initial</t>
        </is>
      </c>
    </row>
    <row r="1487">
      <c r="A1487" s="33" t="inlineStr">
        <is>
          <t>2026-05-25</t>
        </is>
      </c>
      <c r="B1487" s="33" t="inlineStr">
        <is>
          <t>PSTG</t>
        </is>
      </c>
      <c r="C1487" s="33" t="inlineStr">
        <is>
          <t>M2 Rel Str</t>
        </is>
      </c>
      <c r="D1487" s="33" t="n">
        <v>3</v>
      </c>
      <c r="E1487" s="33" t="inlineStr">
        <is>
          <t>Stock volatile $67-78 in May. Down ~25% from highs. Roughly in line with sector</t>
        </is>
      </c>
      <c r="F1487" s="33" t="inlineStr">
        <is>
          <t>Price data</t>
        </is>
      </c>
      <c r="G1487" s="33" t="inlineStr">
        <is>
          <t>Medium</t>
        </is>
      </c>
      <c r="H1487" s="33" t="inlineStr">
        <is>
          <t>Initial</t>
        </is>
      </c>
    </row>
    <row r="1488">
      <c r="A1488" s="33" t="inlineStr">
        <is>
          <t>2026-05-25</t>
        </is>
      </c>
      <c r="B1488" s="33" t="inlineStr">
        <is>
          <t>PSTG</t>
        </is>
      </c>
      <c r="C1488" s="33" t="inlineStr">
        <is>
          <t>M3 Insider</t>
        </is>
      </c>
      <c r="D1488" s="33" t="n">
        <v>3</v>
      </c>
      <c r="E1488" s="33" t="inlineStr">
        <is>
          <t>No insider data surfaced. Default routine</t>
        </is>
      </c>
      <c r="F1488" s="33" t="inlineStr">
        <is>
          <t>Needs Form 4 verification</t>
        </is>
      </c>
      <c r="G1488" s="33" t="inlineStr">
        <is>
          <t>Low</t>
        </is>
      </c>
      <c r="H1488" s="33" t="inlineStr">
        <is>
          <t>Initial</t>
        </is>
      </c>
    </row>
    <row r="1489">
      <c r="A1489" s="33" t="inlineStr">
        <is>
          <t>2026-05-25</t>
        </is>
      </c>
      <c r="B1489" s="33" t="inlineStr">
        <is>
          <t>PSTG</t>
        </is>
      </c>
      <c r="C1489" s="33" t="inlineStr">
        <is>
          <t>R1 Cust Conc</t>
        </is>
      </c>
      <c r="D1489" s="33" t="n">
        <v>3</v>
      </c>
      <c r="E1489" s="33" t="inlineStr">
        <is>
          <t>Meta likely &gt;15% of revenue via DirectFlash royalties. Enterprise base diversified</t>
        </is>
      </c>
      <c r="F1489" s="33" t="inlineStr">
        <is>
          <t>Meta deal sizing</t>
        </is>
      </c>
      <c r="G1489" s="33" t="inlineStr">
        <is>
          <t>Medium</t>
        </is>
      </c>
      <c r="H1489" s="33" t="inlineStr">
        <is>
          <t>Initial</t>
        </is>
      </c>
    </row>
    <row r="1490">
      <c r="A1490" s="33" t="inlineStr">
        <is>
          <t>2026-05-25</t>
        </is>
      </c>
      <c r="B1490" s="33" t="inlineStr">
        <is>
          <t>PSTG</t>
        </is>
      </c>
      <c r="C1490" s="33" t="inlineStr">
        <is>
          <t>R2 Geo Risk</t>
        </is>
      </c>
      <c r="D1490" s="33" t="n">
        <v>4</v>
      </c>
      <c r="E1490" s="33" t="inlineStr">
        <is>
          <t>US-based. Storage not export-controlled. No China dependency</t>
        </is>
      </c>
      <c r="F1490" s="33" t="inlineStr">
        <is>
          <t>Business model</t>
        </is>
      </c>
      <c r="G1490" s="33" t="inlineStr">
        <is>
          <t>High</t>
        </is>
      </c>
      <c r="H1490" s="33" t="inlineStr">
        <is>
          <t>Initial</t>
        </is>
      </c>
    </row>
    <row r="1491">
      <c r="A1491" s="33" t="inlineStr">
        <is>
          <t>2026-05-25</t>
        </is>
      </c>
      <c r="B1491" s="33" t="inlineStr">
        <is>
          <t>PSTG</t>
        </is>
      </c>
      <c r="C1491" s="33" t="inlineStr">
        <is>
          <t>R3 BS Risk</t>
        </is>
      </c>
      <c r="D1491" s="33" t="n">
        <v>5</v>
      </c>
      <c r="E1491" s="33" t="inlineStr">
        <is>
          <t>Net cash. ND/EBITDA=-1.23. $616M FCF. Strong cash generation</t>
        </is>
      </c>
      <c r="F1491" s="33" t="inlineStr">
        <is>
          <t>FY2026 financials</t>
        </is>
      </c>
      <c r="G1491" s="33" t="inlineStr">
        <is>
          <t>High</t>
        </is>
      </c>
      <c r="H1491" s="33" t="inlineStr">
        <is>
          <t>Initial</t>
        </is>
      </c>
    </row>
    <row r="1492">
      <c r="A1492" s="33" t="inlineStr">
        <is>
          <t>2026-05-25</t>
        </is>
      </c>
      <c r="B1492" s="33" t="inlineStr">
        <is>
          <t>PSTG</t>
        </is>
      </c>
      <c r="C1492" s="33" t="inlineStr">
        <is>
          <t>R4 Reg Risk</t>
        </is>
      </c>
      <c r="D1492" s="33" t="n">
        <v>4</v>
      </c>
      <c r="E1492" s="33" t="inlineStr">
        <is>
          <t>No major litigation. Rebrand is cosmetic</t>
        </is>
      </c>
      <c r="F1492" s="33" t="inlineStr">
        <is>
          <t>General assessment</t>
        </is>
      </c>
      <c r="G1492" s="33" t="inlineStr">
        <is>
          <t>Medium</t>
        </is>
      </c>
      <c r="H1492" s="33" t="inlineStr">
        <is>
          <t>Initial</t>
        </is>
      </c>
    </row>
    <row r="1493">
      <c r="A1493" s="33" t="inlineStr">
        <is>
          <t>2026-05-25</t>
        </is>
      </c>
      <c r="B1493" s="33" t="inlineStr">
        <is>
          <t>DDOG</t>
        </is>
      </c>
      <c r="C1493" s="33" t="inlineStr">
        <is>
          <t>D1 AI Rev %</t>
        </is>
      </c>
      <c r="D1493" s="33" t="n">
        <v>3</v>
      </c>
      <c r="E1493" s="33" t="inlineStr">
        <is>
          <t>AI ~10-20% est. GPU Monitoring, LLM Obs, Agent Monitoring all GA. H1 AI &gt; full FY2025. Not disclosed</t>
        </is>
      </c>
      <c r="F1493" s="33" t="inlineStr">
        <is>
          <t>Q1 FY2026 earnings, product launches</t>
        </is>
      </c>
      <c r="G1493" s="33" t="inlineStr">
        <is>
          <t>Low</t>
        </is>
      </c>
      <c r="H1493" s="33" t="inlineStr">
        <is>
          <t>Initial</t>
        </is>
      </c>
    </row>
    <row r="1494">
      <c r="A1494" s="33" t="inlineStr">
        <is>
          <t>2026-05-25</t>
        </is>
      </c>
      <c r="B1494" s="33" t="inlineStr">
        <is>
          <t>DDOG</t>
        </is>
      </c>
      <c r="C1494" s="33" t="inlineStr">
        <is>
          <t>D2 Position</t>
        </is>
      </c>
      <c r="D1494" s="33" t="n">
        <v>3</v>
      </c>
      <c r="E1494" s="33" t="inlineStr">
        <is>
          <t>Observability software. Multiple substitutes (Grafana free, CloudWatch bundled). Switching has cost</t>
        </is>
      </c>
      <c r="F1494" s="33" t="inlineStr">
        <is>
          <t>Competitive landscape</t>
        </is>
      </c>
      <c r="G1494" s="33" t="inlineStr">
        <is>
          <t>High</t>
        </is>
      </c>
      <c r="H1494" s="33" t="inlineStr">
        <is>
          <t>Initial</t>
        </is>
      </c>
    </row>
    <row r="1495">
      <c r="A1495" s="33" t="inlineStr">
        <is>
          <t>2026-05-25</t>
        </is>
      </c>
      <c r="B1495" s="33" t="inlineStr">
        <is>
          <t>DDOG</t>
        </is>
      </c>
      <c r="C1495" s="33" t="inlineStr">
        <is>
          <t>D3 Moat</t>
        </is>
      </c>
      <c r="D1495" s="33" t="n">
        <v>4</v>
      </c>
      <c r="E1495" s="33" t="inlineStr">
        <is>
          <t>Deep instrumentation switching costs. 51% big data market share. 120% NRR. 80% gross margin</t>
        </is>
      </c>
      <c r="F1495" s="33" t="inlineStr">
        <is>
          <t>NRR, market share, gross margin</t>
        </is>
      </c>
      <c r="G1495" s="33" t="inlineStr">
        <is>
          <t>High</t>
        </is>
      </c>
      <c r="H1495" s="33" t="inlineStr">
        <is>
          <t>Initial</t>
        </is>
      </c>
    </row>
    <row r="1496">
      <c r="A1496" s="33" t="inlineStr">
        <is>
          <t>2026-05-25</t>
        </is>
      </c>
      <c r="B1496" s="33" t="inlineStr">
        <is>
          <t>DDOG</t>
        </is>
      </c>
      <c r="C1496" s="33" t="inlineStr">
        <is>
          <t>D4 Capacity</t>
        </is>
      </c>
      <c r="D1496" s="33" t="n">
        <v>3</v>
      </c>
      <c r="E1496" s="33" t="inlineStr">
        <is>
          <t>Asset-light SaaS. R&amp;D expansion in AI product suite. Not physical buildout</t>
        </is>
      </c>
      <c r="F1496" s="33" t="inlineStr">
        <is>
          <t>Business model</t>
        </is>
      </c>
      <c r="G1496" s="33" t="inlineStr">
        <is>
          <t>High</t>
        </is>
      </c>
      <c r="H1496" s="33" t="inlineStr">
        <is>
          <t>Initial</t>
        </is>
      </c>
    </row>
    <row r="1497">
      <c r="A1497" s="33" t="inlineStr">
        <is>
          <t>2026-05-25</t>
        </is>
      </c>
      <c r="B1497" s="33" t="inlineStr">
        <is>
          <t>DDOG</t>
        </is>
      </c>
      <c r="C1497" s="33" t="inlineStr">
        <is>
          <t>D5 Hyperscaler</t>
        </is>
      </c>
      <c r="D1497" s="33" t="n">
        <v>3</v>
      </c>
      <c r="E1497" s="33" t="inlineStr">
        <is>
          <t>Sells to hyperscalers as monitoring tool but also competes with their native tools</t>
        </is>
      </c>
      <c r="F1497" s="33" t="inlineStr">
        <is>
          <t>Customer dynamics</t>
        </is>
      </c>
      <c r="G1497" s="33" t="inlineStr">
        <is>
          <t>Medium</t>
        </is>
      </c>
      <c r="H1497" s="33" t="inlineStr">
        <is>
          <t>Initial</t>
        </is>
      </c>
    </row>
    <row r="1498">
      <c r="A1498" s="33" t="inlineStr">
        <is>
          <t>2026-05-25</t>
        </is>
      </c>
      <c r="B1498" s="33" t="inlineStr">
        <is>
          <t>DDOG</t>
        </is>
      </c>
      <c r="C1498" s="33" t="inlineStr">
        <is>
          <t>M1 EPS Rev</t>
        </is>
      </c>
      <c r="D1498" s="33" t="n">
        <v>5</v>
      </c>
      <c r="E1498" s="33" t="inlineStr">
        <is>
          <t>Q1 beat 4% rev, 17% EPS. Guide raised from ~19% to ~26% growth. 44/45 Buy</t>
        </is>
      </c>
      <c r="F1498" s="33" t="inlineStr">
        <is>
          <t>Q1 FY2026 earnings</t>
        </is>
      </c>
      <c r="G1498" s="33" t="inlineStr">
        <is>
          <t>High</t>
        </is>
      </c>
      <c r="H1498" s="33" t="inlineStr">
        <is>
          <t>Initial</t>
        </is>
      </c>
    </row>
    <row r="1499">
      <c r="A1499" s="33" t="inlineStr">
        <is>
          <t>2026-05-25</t>
        </is>
      </c>
      <c r="B1499" s="33" t="inlineStr">
        <is>
          <t>DDOG</t>
        </is>
      </c>
      <c r="C1499" s="33" t="inlineStr">
        <is>
          <t>M2 Rel Str</t>
        </is>
      </c>
      <c r="D1499" s="33" t="n">
        <v>5</v>
      </c>
      <c r="E1499" s="33" t="inlineStr">
        <is>
          <t>Stock +78% since Jan. &gt;50% outperformance vs IGV</t>
        </is>
      </c>
      <c r="F1499" s="33" t="inlineStr">
        <is>
          <t>Price data vs IGV</t>
        </is>
      </c>
      <c r="G1499" s="33" t="inlineStr">
        <is>
          <t>High</t>
        </is>
      </c>
      <c r="H1499" s="33" t="inlineStr">
        <is>
          <t>Initial</t>
        </is>
      </c>
    </row>
    <row r="1500">
      <c r="A1500" s="33" t="inlineStr">
        <is>
          <t>2026-05-25</t>
        </is>
      </c>
      <c r="B1500" s="33" t="inlineStr">
        <is>
          <t>DDOG</t>
        </is>
      </c>
      <c r="C1500" s="33" t="inlineStr">
        <is>
          <t>M3 Insider</t>
        </is>
      </c>
      <c r="D1500" s="33" t="n">
        <v>3</v>
      </c>
      <c r="E1500" s="33" t="inlineStr">
        <is>
          <t>No insider data surfaced. Default routine</t>
        </is>
      </c>
      <c r="F1500" s="33" t="inlineStr">
        <is>
          <t>Needs Form 4 verification</t>
        </is>
      </c>
      <c r="G1500" s="33" t="inlineStr">
        <is>
          <t>Low</t>
        </is>
      </c>
      <c r="H1500" s="33" t="inlineStr">
        <is>
          <t>Initial</t>
        </is>
      </c>
    </row>
    <row r="1501">
      <c r="A1501" s="33" t="inlineStr">
        <is>
          <t>2026-05-25</t>
        </is>
      </c>
      <c r="B1501" s="33" t="inlineStr">
        <is>
          <t>DDOG</t>
        </is>
      </c>
      <c r="C1501" s="33" t="inlineStr">
        <is>
          <t>R1 Cust Conc</t>
        </is>
      </c>
      <c r="D1501" s="33" t="n">
        <v>5</v>
      </c>
      <c r="E1501" s="33" t="inlineStr">
        <is>
          <t>33,200 customers. No customer &gt;10%. Highly diversified</t>
        </is>
      </c>
      <c r="F1501" s="33" t="inlineStr">
        <is>
          <t>Q1 FY2026 customer metrics</t>
        </is>
      </c>
      <c r="G1501" s="33" t="inlineStr">
        <is>
          <t>High</t>
        </is>
      </c>
      <c r="H1501" s="33" t="inlineStr">
        <is>
          <t>Initial</t>
        </is>
      </c>
    </row>
    <row r="1502">
      <c r="A1502" s="33" t="inlineStr">
        <is>
          <t>2026-05-25</t>
        </is>
      </c>
      <c r="B1502" s="33" t="inlineStr">
        <is>
          <t>DDOG</t>
        </is>
      </c>
      <c r="C1502" s="33" t="inlineStr">
        <is>
          <t>R2 Geo Risk</t>
        </is>
      </c>
      <c r="D1502" s="33" t="n">
        <v>4</v>
      </c>
      <c r="E1502" s="33" t="inlineStr">
        <is>
          <t>US-based SaaS. Not export-controlled. No China dependency</t>
        </is>
      </c>
      <c r="F1502" s="33" t="inlineStr">
        <is>
          <t>Business model</t>
        </is>
      </c>
      <c r="G1502" s="33" t="inlineStr">
        <is>
          <t>High</t>
        </is>
      </c>
      <c r="H1502" s="33" t="inlineStr">
        <is>
          <t>Initial</t>
        </is>
      </c>
    </row>
    <row r="1503">
      <c r="A1503" s="33" t="inlineStr">
        <is>
          <t>2026-05-25</t>
        </is>
      </c>
      <c r="B1503" s="33" t="inlineStr">
        <is>
          <t>DDOG</t>
        </is>
      </c>
      <c r="C1503" s="33" t="inlineStr">
        <is>
          <t>R3 BS Risk</t>
        </is>
      </c>
      <c r="D1503" s="33" t="n">
        <v>5</v>
      </c>
      <c r="E1503" s="33" t="inlineStr">
        <is>
          <t>$4.8B cash. Net cash. FCF $289M Q1 (28% margin)</t>
        </is>
      </c>
      <c r="F1503" s="33" t="inlineStr">
        <is>
          <t>Q1 FY2026 balance sheet</t>
        </is>
      </c>
      <c r="G1503" s="33" t="inlineStr">
        <is>
          <t>High</t>
        </is>
      </c>
      <c r="H1503" s="33" t="inlineStr">
        <is>
          <t>Initial</t>
        </is>
      </c>
    </row>
    <row r="1504">
      <c r="A1504" s="33" t="inlineStr">
        <is>
          <t>2026-05-25</t>
        </is>
      </c>
      <c r="B1504" s="33" t="inlineStr">
        <is>
          <t>DDOG</t>
        </is>
      </c>
      <c r="C1504" s="33" t="inlineStr">
        <is>
          <t>R4 Reg Risk</t>
        </is>
      </c>
      <c r="D1504" s="33" t="n">
        <v>5</v>
      </c>
      <c r="E1504" s="33" t="inlineStr">
        <is>
          <t>No litigation or regulatory overhangs. Clean</t>
        </is>
      </c>
      <c r="F1504" s="33" t="inlineStr">
        <is>
          <t>General assessment</t>
        </is>
      </c>
      <c r="G1504" s="33" t="inlineStr">
        <is>
          <t>Medium</t>
        </is>
      </c>
      <c r="H1504" s="33" t="inlineStr">
        <is>
          <t>Initial</t>
        </is>
      </c>
    </row>
    <row r="1505">
      <c r="A1505" s="33" t="inlineStr">
        <is>
          <t>2026-05-25</t>
        </is>
      </c>
      <c r="B1505" s="33" t="inlineStr">
        <is>
          <t>CRWD</t>
        </is>
      </c>
      <c r="C1505" s="33" t="inlineStr">
        <is>
          <t>D1 AI Rev %</t>
        </is>
      </c>
      <c r="D1505" s="33" t="n">
        <v>2</v>
      </c>
      <c r="E1505" s="33" t="inlineStr">
        <is>
          <t>Cybersecurity company using AI, not AI infrastructure. Charlotte AI drives upsells. Est 5-10%</t>
        </is>
      </c>
      <c r="F1505" s="33" t="inlineStr">
        <is>
          <t>Revenue composition — security ARR</t>
        </is>
      </c>
      <c r="G1505" s="33" t="inlineStr">
        <is>
          <t>Medium</t>
        </is>
      </c>
      <c r="H1505" s="33" t="inlineStr">
        <is>
          <t>Initial</t>
        </is>
      </c>
    </row>
    <row r="1506">
      <c r="A1506" s="33" t="inlineStr">
        <is>
          <t>2026-05-25</t>
        </is>
      </c>
      <c r="B1506" s="33" t="inlineStr">
        <is>
          <t>CRWD</t>
        </is>
      </c>
      <c r="C1506" s="33" t="inlineStr">
        <is>
          <t>D2 Position</t>
        </is>
      </c>
      <c r="D1506" s="33" t="n">
        <v>3</v>
      </c>
      <c r="E1506" s="33" t="inlineStr">
        <is>
          <t>Security software. PANW, SentinelOne, MSFT Defender compete. Switching has cost but doable</t>
        </is>
      </c>
      <c r="F1506" s="33" t="inlineStr">
        <is>
          <t>Competitive landscape</t>
        </is>
      </c>
      <c r="G1506" s="33" t="inlineStr">
        <is>
          <t>High</t>
        </is>
      </c>
      <c r="H1506" s="33" t="inlineStr">
        <is>
          <t>Initial</t>
        </is>
      </c>
    </row>
    <row r="1507">
      <c r="A1507" s="33" t="inlineStr">
        <is>
          <t>2026-05-25</t>
        </is>
      </c>
      <c r="B1507" s="33" t="inlineStr">
        <is>
          <t>CRWD</t>
        </is>
      </c>
      <c r="C1507" s="33" t="inlineStr">
        <is>
          <t>D3 Moat</t>
        </is>
      </c>
      <c r="D1507" s="33" t="n">
        <v>4</v>
      </c>
      <c r="E1507" s="33" t="inlineStr">
        <is>
          <t>Deep endpoint agent switching costs. 98% gross retention post-outage. 81% gross margin. AgentWorks ecosystem</t>
        </is>
      </c>
      <c r="F1507" s="33" t="inlineStr">
        <is>
          <t>Gross retention, gross margin</t>
        </is>
      </c>
      <c r="G1507" s="33" t="inlineStr">
        <is>
          <t>High</t>
        </is>
      </c>
      <c r="H1507" s="33" t="inlineStr">
        <is>
          <t>Initial</t>
        </is>
      </c>
    </row>
    <row r="1508">
      <c r="A1508" s="33" t="inlineStr">
        <is>
          <t>2026-05-25</t>
        </is>
      </c>
      <c r="B1508" s="33" t="inlineStr">
        <is>
          <t>CRWD</t>
        </is>
      </c>
      <c r="C1508" s="33" t="inlineStr">
        <is>
          <t>D4 Capacity</t>
        </is>
      </c>
      <c r="D1508" s="33" t="n">
        <v>3</v>
      </c>
      <c r="E1508" s="33" t="inlineStr">
        <is>
          <t>SaaS model. Charlotte AI / AgentWorks is R&amp;D, not physical buildout</t>
        </is>
      </c>
      <c r="F1508" s="33" t="inlineStr">
        <is>
          <t>Business model</t>
        </is>
      </c>
      <c r="G1508" s="33" t="inlineStr">
        <is>
          <t>High</t>
        </is>
      </c>
      <c r="H1508" s="33" t="inlineStr">
        <is>
          <t>Initial</t>
        </is>
      </c>
    </row>
    <row r="1509">
      <c r="A1509" s="33" t="inlineStr">
        <is>
          <t>2026-05-25</t>
        </is>
      </c>
      <c r="B1509" s="33" t="inlineStr">
        <is>
          <t>CRWD</t>
        </is>
      </c>
      <c r="C1509" s="33" t="inlineStr">
        <is>
          <t>D5 Hyperscaler</t>
        </is>
      </c>
      <c r="D1509" s="33" t="n">
        <v>2</v>
      </c>
      <c r="E1509" s="33" t="inlineStr">
        <is>
          <t>Partners with AWS/NVIDIA for Charlotte AI. But hyperscalers are partners/channels, not revenue customers</t>
        </is>
      </c>
      <c r="F1509" s="33" t="inlineStr">
        <is>
          <t>Partnership announcements</t>
        </is>
      </c>
      <c r="G1509" s="33" t="inlineStr">
        <is>
          <t>Medium</t>
        </is>
      </c>
      <c r="H1509" s="33" t="inlineStr">
        <is>
          <t>Initial</t>
        </is>
      </c>
    </row>
    <row r="1510">
      <c r="A1510" s="33" t="inlineStr">
        <is>
          <t>2026-05-25</t>
        </is>
      </c>
      <c r="B1510" s="33" t="inlineStr">
        <is>
          <t>CRWD</t>
        </is>
      </c>
      <c r="C1510" s="33" t="inlineStr">
        <is>
          <t>M1 EPS Rev</t>
        </is>
      </c>
      <c r="D1510" s="33" t="n">
        <v>4</v>
      </c>
      <c r="E1510" s="33" t="inlineStr">
        <is>
          <t>Q4 net new ARR +47% YoY blowout. But growth decelerating to 22-23%. Net positive</t>
        </is>
      </c>
      <c r="F1510" s="33" t="inlineStr">
        <is>
          <t>Q4 FY2026 results, FY2027 guide</t>
        </is>
      </c>
      <c r="G1510" s="33" t="inlineStr">
        <is>
          <t>High</t>
        </is>
      </c>
      <c r="H1510" s="33" t="inlineStr">
        <is>
          <t>Initial</t>
        </is>
      </c>
    </row>
    <row r="1511">
      <c r="A1511" s="33" t="inlineStr">
        <is>
          <t>2026-05-25</t>
        </is>
      </c>
      <c r="B1511" s="33" t="inlineStr">
        <is>
          <t>CRWD</t>
        </is>
      </c>
      <c r="C1511" s="33" t="inlineStr">
        <is>
          <t>M2 Rel Str</t>
        </is>
      </c>
      <c r="D1511" s="33" t="n">
        <v>5</v>
      </c>
      <c r="E1511" s="33" t="inlineStr">
        <is>
          <t>ATH $674.84. Doubled from 52-week low. &gt;40% outperformance vs IGV</t>
        </is>
      </c>
      <c r="F1511" s="33" t="inlineStr">
        <is>
          <t>Price data vs IGV</t>
        </is>
      </c>
      <c r="G1511" s="33" t="inlineStr">
        <is>
          <t>High</t>
        </is>
      </c>
      <c r="H1511" s="33" t="inlineStr">
        <is>
          <t>Initial</t>
        </is>
      </c>
    </row>
    <row r="1512">
      <c r="A1512" s="33" t="inlineStr">
        <is>
          <t>2026-05-25</t>
        </is>
      </c>
      <c r="B1512" s="33" t="inlineStr">
        <is>
          <t>CRWD</t>
        </is>
      </c>
      <c r="C1512" s="33" t="inlineStr">
        <is>
          <t>M3 Insider</t>
        </is>
      </c>
      <c r="D1512" s="33" t="n">
        <v>3</v>
      </c>
      <c r="E1512" s="33" t="inlineStr">
        <is>
          <t>President sold via 10b5-1 (routine). $1.5B buyback authorized</t>
        </is>
      </c>
      <c r="F1512" s="33" t="inlineStr">
        <is>
          <t>Form 4, buyback disclosure</t>
        </is>
      </c>
      <c r="G1512" s="33" t="inlineStr">
        <is>
          <t>High</t>
        </is>
      </c>
      <c r="H1512" s="33" t="inlineStr">
        <is>
          <t>Initial</t>
        </is>
      </c>
    </row>
    <row r="1513">
      <c r="A1513" s="33" t="inlineStr">
        <is>
          <t>2026-05-25</t>
        </is>
      </c>
      <c r="B1513" s="33" t="inlineStr">
        <is>
          <t>CRWD</t>
        </is>
      </c>
      <c r="C1513" s="33" t="inlineStr">
        <is>
          <t>R1 Cust Conc</t>
        </is>
      </c>
      <c r="D1513" s="33" t="n">
        <v>5</v>
      </c>
      <c r="E1513" s="33" t="inlineStr">
        <is>
          <t>$5.25B ARR across enterprise/government. No customer &gt;10%. Diversified</t>
        </is>
      </c>
      <c r="F1513" s="33" t="inlineStr">
        <is>
          <t>ARR scale, customer breadth</t>
        </is>
      </c>
      <c r="G1513" s="33" t="inlineStr">
        <is>
          <t>Medium</t>
        </is>
      </c>
      <c r="H1513" s="33" t="inlineStr">
        <is>
          <t>Initial</t>
        </is>
      </c>
    </row>
    <row r="1514">
      <c r="A1514" s="33" t="inlineStr">
        <is>
          <t>2026-05-25</t>
        </is>
      </c>
      <c r="B1514" s="33" t="inlineStr">
        <is>
          <t>CRWD</t>
        </is>
      </c>
      <c r="C1514" s="33" t="inlineStr">
        <is>
          <t>R2 Geo Risk</t>
        </is>
      </c>
      <c r="D1514" s="33" t="n">
        <v>4</v>
      </c>
      <c r="E1514" s="33" t="inlineStr">
        <is>
          <t>US-based SaaS. Not export-controlled. No China dependency</t>
        </is>
      </c>
      <c r="F1514" s="33" t="inlineStr">
        <is>
          <t>Business model</t>
        </is>
      </c>
      <c r="G1514" s="33" t="inlineStr">
        <is>
          <t>High</t>
        </is>
      </c>
      <c r="H1514" s="33" t="inlineStr">
        <is>
          <t>Initial</t>
        </is>
      </c>
    </row>
    <row r="1515">
      <c r="A1515" s="33" t="inlineStr">
        <is>
          <t>2026-05-25</t>
        </is>
      </c>
      <c r="B1515" s="33" t="inlineStr">
        <is>
          <t>CRWD</t>
        </is>
      </c>
      <c r="C1515" s="33" t="inlineStr">
        <is>
          <t>R3 BS Risk</t>
        </is>
      </c>
      <c r="D1515" s="33" t="n">
        <v>5</v>
      </c>
      <c r="E1515" s="33" t="inlineStr">
        <is>
          <t>FCF $1.24B. GAAP profitable Q4. $1.5B buyback. Net cash</t>
        </is>
      </c>
      <c r="F1515" s="33" t="inlineStr">
        <is>
          <t>FY2026 financials</t>
        </is>
      </c>
      <c r="G1515" s="33" t="inlineStr">
        <is>
          <t>High</t>
        </is>
      </c>
      <c r="H1515" s="33" t="inlineStr">
        <is>
          <t>Initial</t>
        </is>
      </c>
    </row>
    <row r="1516">
      <c r="A1516" s="33" t="inlineStr">
        <is>
          <t>2026-05-25</t>
        </is>
      </c>
      <c r="B1516" s="33" t="inlineStr">
        <is>
          <t>CRWD</t>
        </is>
      </c>
      <c r="C1516" s="33" t="inlineStr">
        <is>
          <t>R4 Reg Risk</t>
        </is>
      </c>
      <c r="D1516" s="33" t="n">
        <v>4</v>
      </c>
      <c r="E1516" s="33" t="inlineStr">
        <is>
          <t>Outage lawsuit dismissed Jan 2026. Residual smaller claims possible. Routine now</t>
        </is>
      </c>
      <c r="F1516" s="33" t="inlineStr">
        <is>
          <t>CNBC lawsuit dismissal</t>
        </is>
      </c>
      <c r="G1516" s="33" t="inlineStr">
        <is>
          <t>Medium</t>
        </is>
      </c>
      <c r="H1516" s="33" t="inlineStr">
        <is>
          <t>Initial</t>
        </is>
      </c>
    </row>
    <row r="1517">
      <c r="A1517" s="33" t="inlineStr">
        <is>
          <t>2026-05-25</t>
        </is>
      </c>
      <c r="B1517" s="33" t="inlineStr">
        <is>
          <t>MDB</t>
        </is>
      </c>
      <c r="C1517" s="33" t="inlineStr">
        <is>
          <t>D1 AI Rev %</t>
        </is>
      </c>
      <c r="D1517" s="33" t="n">
        <v>2</v>
      </c>
      <c r="E1517" s="33" t="inlineStr">
        <is>
          <t>AI revenue not disclosed. Voyage AI + Vector Search real but most Atlas is traditional DB. Est 5-10%</t>
        </is>
      </c>
      <c r="F1517" s="33" t="inlineStr">
        <is>
          <t>Qualitative commentary, no disclosure</t>
        </is>
      </c>
      <c r="G1517" s="33" t="inlineStr">
        <is>
          <t>Low</t>
        </is>
      </c>
      <c r="H1517" s="33" t="inlineStr">
        <is>
          <t>Initial</t>
        </is>
      </c>
    </row>
    <row r="1518">
      <c r="A1518" s="33" t="inlineStr">
        <is>
          <t>2026-05-25</t>
        </is>
      </c>
      <c r="B1518" s="33" t="inlineStr">
        <is>
          <t>MDB</t>
        </is>
      </c>
      <c r="C1518" s="33" t="inlineStr">
        <is>
          <t>D2 Position</t>
        </is>
      </c>
      <c r="D1518" s="33" t="n">
        <v>3</v>
      </c>
      <c r="E1518" s="33" t="inlineStr">
        <is>
          <t>Mid-chain database. PostgreSQL free, DynamoDB, Firestore compete. Switching has cost</t>
        </is>
      </c>
      <c r="F1518" s="33" t="inlineStr">
        <is>
          <t>Competitive landscape</t>
        </is>
      </c>
      <c r="G1518" s="33" t="inlineStr">
        <is>
          <t>High</t>
        </is>
      </c>
      <c r="H1518" s="33" t="inlineStr">
        <is>
          <t>Initial</t>
        </is>
      </c>
    </row>
    <row r="1519">
      <c r="A1519" s="33" t="inlineStr">
        <is>
          <t>2026-05-25</t>
        </is>
      </c>
      <c r="B1519" s="33" t="inlineStr">
        <is>
          <t>MDB</t>
        </is>
      </c>
      <c r="C1519" s="33" t="inlineStr">
        <is>
          <t>D3 Moat</t>
        </is>
      </c>
      <c r="D1519" s="33" t="n">
        <v>3</v>
      </c>
      <c r="E1519" s="33" t="inlineStr">
        <is>
          <t>Document model switching costs. Voyage AI integration differentiated. But PG+pgvector free. NRR 121% declining</t>
        </is>
      </c>
      <c r="F1519" s="33" t="inlineStr">
        <is>
          <t>Gross margin 75%, NRR, PG competition</t>
        </is>
      </c>
      <c r="G1519" s="33" t="inlineStr">
        <is>
          <t>High</t>
        </is>
      </c>
      <c r="H1519" s="33" t="inlineStr">
        <is>
          <t>Initial</t>
        </is>
      </c>
    </row>
    <row r="1520">
      <c r="A1520" s="33" t="inlineStr">
        <is>
          <t>2026-05-25</t>
        </is>
      </c>
      <c r="B1520" s="33" t="inlineStr">
        <is>
          <t>MDB</t>
        </is>
      </c>
      <c r="C1520" s="33" t="inlineStr">
        <is>
          <t>D4 Capacity</t>
        </is>
      </c>
      <c r="D1520" s="33" t="n">
        <v>3</v>
      </c>
      <c r="E1520" s="33" t="inlineStr">
        <is>
          <t>Asset-light SaaS. Atlas on AWS/GCP/Azure. $800M buyback = capital return not expansion</t>
        </is>
      </c>
      <c r="F1520" s="33" t="inlineStr">
        <is>
          <t>Capital allocation</t>
        </is>
      </c>
      <c r="G1520" s="33" t="inlineStr">
        <is>
          <t>High</t>
        </is>
      </c>
      <c r="H1520" s="33" t="inlineStr">
        <is>
          <t>Initial</t>
        </is>
      </c>
    </row>
    <row r="1521">
      <c r="A1521" s="33" t="inlineStr">
        <is>
          <t>2026-05-25</t>
        </is>
      </c>
      <c r="B1521" s="33" t="inlineStr">
        <is>
          <t>MDB</t>
        </is>
      </c>
      <c r="C1521" s="33" t="inlineStr">
        <is>
          <t>D5 Hyperscaler</t>
        </is>
      </c>
      <c r="D1521" s="33" t="n">
        <v>2</v>
      </c>
      <c r="E1521" s="33" t="inlineStr">
        <is>
          <t>Atlas runs ON clouds but doesn't sell TO hyperscalers as infrastructure. Indirect</t>
        </is>
      </c>
      <c r="F1521" s="33" t="inlineStr">
        <is>
          <t>Revenue model</t>
        </is>
      </c>
      <c r="G1521" s="33" t="inlineStr">
        <is>
          <t>Medium</t>
        </is>
      </c>
      <c r="H1521" s="33" t="inlineStr">
        <is>
          <t>Initial</t>
        </is>
      </c>
    </row>
    <row r="1522">
      <c r="A1522" s="33" t="inlineStr">
        <is>
          <t>2026-05-25</t>
        </is>
      </c>
      <c r="B1522" s="33" t="inlineStr">
        <is>
          <t>MDB</t>
        </is>
      </c>
      <c r="C1522" s="33" t="inlineStr">
        <is>
          <t>M1 EPS Rev</t>
        </is>
      </c>
      <c r="D1522" s="33" t="n">
        <v>4</v>
      </c>
      <c r="E1522" s="33" t="inlineStr">
        <is>
          <t>Q4 beat +3.5% rev, +12% EPS. BMO raised PT. 30 Buy, 0 Sell. But FY2027 decel to 16-18%</t>
        </is>
      </c>
      <c r="F1522" s="33" t="inlineStr">
        <is>
          <t>Q4 FY2026 earnings, analyst consensus</t>
        </is>
      </c>
      <c r="G1522" s="33" t="inlineStr">
        <is>
          <t>High</t>
        </is>
      </c>
      <c r="H1522" s="33" t="inlineStr">
        <is>
          <t>Initial</t>
        </is>
      </c>
    </row>
    <row r="1523">
      <c r="A1523" s="33" t="inlineStr">
        <is>
          <t>2026-05-25</t>
        </is>
      </c>
      <c r="B1523" s="33" t="inlineStr">
        <is>
          <t>MDB</t>
        </is>
      </c>
      <c r="C1523" s="33" t="inlineStr">
        <is>
          <t>M2 Rel Str</t>
        </is>
      </c>
      <c r="D1523" s="33" t="n">
        <v>3</v>
      </c>
      <c r="E1523" s="33" t="inlineStr">
        <is>
          <t>Stock ~$325, range-bound post-Q3 rally. Roughly in line with IGV over 6 months</t>
        </is>
      </c>
      <c r="F1523" s="33" t="inlineStr">
        <is>
          <t>Price data vs IGV</t>
        </is>
      </c>
      <c r="G1523" s="33" t="inlineStr">
        <is>
          <t>Medium</t>
        </is>
      </c>
      <c r="H1523" s="33" t="inlineStr">
        <is>
          <t>Initial</t>
        </is>
      </c>
    </row>
    <row r="1524">
      <c r="A1524" s="33" t="inlineStr">
        <is>
          <t>2026-05-25</t>
        </is>
      </c>
      <c r="B1524" s="33" t="inlineStr">
        <is>
          <t>MDB</t>
        </is>
      </c>
      <c r="C1524" s="33" t="inlineStr">
        <is>
          <t>M3 Insider</t>
        </is>
      </c>
      <c r="D1524" s="33" t="n">
        <v>3</v>
      </c>
      <c r="E1524" s="33" t="inlineStr">
        <is>
          <t>Director sold ~$2.9M, holds ~$507M (&lt;1% of holdings). Routine</t>
        </is>
      </c>
      <c r="F1524" s="33" t="inlineStr">
        <is>
          <t>Form 144 filings</t>
        </is>
      </c>
      <c r="G1524" s="33" t="inlineStr">
        <is>
          <t>High</t>
        </is>
      </c>
      <c r="H1524" s="33" t="inlineStr">
        <is>
          <t>Initial</t>
        </is>
      </c>
    </row>
    <row r="1525">
      <c r="A1525" s="33" t="inlineStr">
        <is>
          <t>2026-05-25</t>
        </is>
      </c>
      <c r="B1525" s="33" t="inlineStr">
        <is>
          <t>MDB</t>
        </is>
      </c>
      <c r="C1525" s="33" t="inlineStr">
        <is>
          <t>R1 Cust Conc</t>
        </is>
      </c>
      <c r="D1525" s="33" t="n">
        <v>5</v>
      </c>
      <c r="E1525" s="33" t="inlineStr">
        <is>
          <t>65,200 customers, 2,799 at $100K+. No customer &gt;10%. Highly diversified</t>
        </is>
      </c>
      <c r="F1525" s="33" t="inlineStr">
        <is>
          <t>Q4 FY2026 customer metrics</t>
        </is>
      </c>
      <c r="G1525" s="33" t="inlineStr">
        <is>
          <t>High</t>
        </is>
      </c>
      <c r="H1525" s="33" t="inlineStr">
        <is>
          <t>Initial</t>
        </is>
      </c>
    </row>
    <row r="1526">
      <c r="A1526" s="33" t="inlineStr">
        <is>
          <t>2026-05-25</t>
        </is>
      </c>
      <c r="B1526" s="33" t="inlineStr">
        <is>
          <t>MDB</t>
        </is>
      </c>
      <c r="C1526" s="33" t="inlineStr">
        <is>
          <t>R2 Geo Risk</t>
        </is>
      </c>
      <c r="D1526" s="33" t="n">
        <v>4</v>
      </c>
      <c r="E1526" s="33" t="inlineStr">
        <is>
          <t>US-based SaaS. Database not export-controlled. Global deployment</t>
        </is>
      </c>
      <c r="F1526" s="33" t="inlineStr">
        <is>
          <t>Business model</t>
        </is>
      </c>
      <c r="G1526" s="33" t="inlineStr">
        <is>
          <t>High</t>
        </is>
      </c>
      <c r="H1526" s="33" t="inlineStr">
        <is>
          <t>Initial</t>
        </is>
      </c>
    </row>
    <row r="1527">
      <c r="A1527" s="33" t="inlineStr">
        <is>
          <t>2026-05-25</t>
        </is>
      </c>
      <c r="B1527" s="33" t="inlineStr">
        <is>
          <t>MDB</t>
        </is>
      </c>
      <c r="C1527" s="33" t="inlineStr">
        <is>
          <t>R3 BS Risk</t>
        </is>
      </c>
      <c r="D1527" s="33" t="n">
        <v>5</v>
      </c>
      <c r="E1527" s="33" t="inlineStr">
        <is>
          <t>Net cash. $500M FCF FY2026. Strong cash generation</t>
        </is>
      </c>
      <c r="F1527" s="33" t="inlineStr">
        <is>
          <t>FY2026 financials</t>
        </is>
      </c>
      <c r="G1527" s="33" t="inlineStr">
        <is>
          <t>High</t>
        </is>
      </c>
      <c r="H1527" s="33" t="inlineStr">
        <is>
          <t>Initial</t>
        </is>
      </c>
    </row>
    <row r="1528">
      <c r="A1528" s="33" t="inlineStr">
        <is>
          <t>2026-05-25</t>
        </is>
      </c>
      <c r="B1528" s="33" t="inlineStr">
        <is>
          <t>MDB</t>
        </is>
      </c>
      <c r="C1528" s="33" t="inlineStr">
        <is>
          <t>R4 Reg Risk</t>
        </is>
      </c>
      <c r="D1528" s="33" t="n">
        <v>3</v>
      </c>
      <c r="E1528" s="33" t="inlineStr">
        <is>
          <t>Securities class action survived MTD but likely immaterial financially. Fiduciary investigation</t>
        </is>
      </c>
      <c r="F1528" s="33" t="inlineStr">
        <is>
          <t>StocksToTrade, Morningstar</t>
        </is>
      </c>
      <c r="G1528" s="33" t="inlineStr">
        <is>
          <t>High</t>
        </is>
      </c>
      <c r="H1528" s="33" t="inlineStr">
        <is>
          <t>Initial</t>
        </is>
      </c>
    </row>
    <row r="1529">
      <c r="A1529" s="33" t="inlineStr">
        <is>
          <t>2026-05-25</t>
        </is>
      </c>
      <c r="B1529" s="33" t="inlineStr">
        <is>
          <t>PATH</t>
        </is>
      </c>
      <c r="C1529" s="33" t="inlineStr">
        <is>
          <t>D1 AI Rev %</t>
        </is>
      </c>
      <c r="D1529" s="33" t="n">
        <v>1</v>
      </c>
      <c r="E1529" s="33" t="inlineStr">
        <is>
          <t>Agentic AI platform real but mgmt says revenue impact is FY2027+. Current rev is traditional RPA. &lt;5%</t>
        </is>
      </c>
      <c r="F1529" s="33" t="inlineStr">
        <is>
          <t>Management commentary, FY2027 guidance</t>
        </is>
      </c>
      <c r="G1529" s="33" t="inlineStr">
        <is>
          <t>High</t>
        </is>
      </c>
      <c r="H1529" s="33" t="inlineStr">
        <is>
          <t>Initial</t>
        </is>
      </c>
    </row>
    <row r="1530">
      <c r="A1530" s="33" t="inlineStr">
        <is>
          <t>2026-05-25</t>
        </is>
      </c>
      <c r="B1530" s="33" t="inlineStr">
        <is>
          <t>PATH</t>
        </is>
      </c>
      <c r="C1530" s="33" t="inlineStr">
        <is>
          <t>D2 Position</t>
        </is>
      </c>
      <c r="D1530" s="33" t="n">
        <v>2</v>
      </c>
      <c r="E1530" s="33" t="inlineStr">
        <is>
          <t>MSFT Power Automate 60-90% cheaper, covers 70-80% of use cases. Dual-platform market emerging</t>
        </is>
      </c>
      <c r="F1530" s="33" t="inlineStr">
        <is>
          <t>DreamIT, EPC Group comparisons</t>
        </is>
      </c>
      <c r="G1530" s="33" t="inlineStr">
        <is>
          <t>High</t>
        </is>
      </c>
      <c r="H1530" s="33" t="inlineStr">
        <is>
          <t>Initial</t>
        </is>
      </c>
    </row>
    <row r="1531">
      <c r="A1531" s="33" t="inlineStr">
        <is>
          <t>2026-05-25</t>
        </is>
      </c>
      <c r="B1531" s="33" t="inlineStr">
        <is>
          <t>PATH</t>
        </is>
      </c>
      <c r="C1531" s="33" t="inlineStr">
        <is>
          <t>D3 Moat</t>
        </is>
      </c>
      <c r="D1531" s="33" t="n">
        <v>2</v>
      </c>
      <c r="E1531" s="33" t="inlineStr">
        <is>
          <t>Organic net new ARR negative 3-1%. NRR 107% declining. Losing ground despite 85% GM</t>
        </is>
      </c>
      <c r="F1531" s="33" t="inlineStr">
        <is>
          <t>FY2027 ARR guidance, NRR trend</t>
        </is>
      </c>
      <c r="G1531" s="33" t="inlineStr">
        <is>
          <t>High</t>
        </is>
      </c>
      <c r="H1531" s="33" t="inlineStr">
        <is>
          <t>Initial</t>
        </is>
      </c>
    </row>
    <row r="1532">
      <c r="A1532" s="33" t="inlineStr">
        <is>
          <t>2026-05-25</t>
        </is>
      </c>
      <c r="B1532" s="33" t="inlineStr">
        <is>
          <t>PATH</t>
        </is>
      </c>
      <c r="C1532" s="33" t="inlineStr">
        <is>
          <t>D4 Capacity</t>
        </is>
      </c>
      <c r="D1532" s="33" t="n">
        <v>3</v>
      </c>
      <c r="E1532" s="33" t="inlineStr">
        <is>
          <t>SaaS. WorkFusion acquisition. BYOM/on-prem product R&amp;D. Not physical buildout</t>
        </is>
      </c>
      <c r="F1532" s="33" t="inlineStr">
        <is>
          <t>Product announcements</t>
        </is>
      </c>
      <c r="G1532" s="33" t="inlineStr">
        <is>
          <t>High</t>
        </is>
      </c>
      <c r="H1532" s="33" t="inlineStr">
        <is>
          <t>Initial</t>
        </is>
      </c>
    </row>
    <row r="1533">
      <c r="A1533" s="33" t="inlineStr">
        <is>
          <t>2026-05-25</t>
        </is>
      </c>
      <c r="B1533" s="33" t="inlineStr">
        <is>
          <t>PATH</t>
        </is>
      </c>
      <c r="C1533" s="33" t="inlineStr">
        <is>
          <t>D5 Hyperscaler</t>
        </is>
      </c>
      <c r="D1533" s="33" t="n">
        <v>1</v>
      </c>
      <c r="E1533" s="33" t="inlineStr">
        <is>
          <t>Google Cloud partnership is channel/marketplace. No anchor hyperscaler revenue</t>
        </is>
      </c>
      <c r="F1533" s="33" t="inlineStr">
        <is>
          <t>Partnership structure</t>
        </is>
      </c>
      <c r="G1533" s="33" t="inlineStr">
        <is>
          <t>High</t>
        </is>
      </c>
      <c r="H1533" s="33" t="inlineStr">
        <is>
          <t>Initial</t>
        </is>
      </c>
    </row>
    <row r="1534">
      <c r="A1534" s="33" t="inlineStr">
        <is>
          <t>2026-05-25</t>
        </is>
      </c>
      <c r="B1534" s="33" t="inlineStr">
        <is>
          <t>PATH</t>
        </is>
      </c>
      <c r="C1534" s="33" t="inlineStr">
        <is>
          <t>M1 EPS Rev</t>
        </is>
      </c>
      <c r="D1534" s="33" t="n">
        <v>3</v>
      </c>
      <c r="E1534" s="33" t="inlineStr">
        <is>
          <t>Q4 beat (17th consecutive). Needham upgrade. But FY2027 guide 9% with negative organic ARR. Neutral</t>
        </is>
      </c>
      <c r="F1534" s="33" t="inlineStr">
        <is>
          <t>FY2027 guidance, Needham upgrade</t>
        </is>
      </c>
      <c r="G1534" s="33" t="inlineStr">
        <is>
          <t>Medium</t>
        </is>
      </c>
      <c r="H1534" s="33" t="inlineStr">
        <is>
          <t>Initial</t>
        </is>
      </c>
    </row>
    <row r="1535">
      <c r="A1535" s="33" t="inlineStr">
        <is>
          <t>2026-05-25</t>
        </is>
      </c>
      <c r="B1535" s="33" t="inlineStr">
        <is>
          <t>PATH</t>
        </is>
      </c>
      <c r="C1535" s="33" t="inlineStr">
        <is>
          <t>M2 Rel Str</t>
        </is>
      </c>
      <c r="D1535" s="33" t="n">
        <v>1</v>
      </c>
      <c r="E1535" s="33" t="inlineStr">
        <is>
          <t>Down 36% YTD. Near 52-week low. IGV up ~15-20%. Lagging &gt;50%</t>
        </is>
      </c>
      <c r="F1535" s="33" t="inlineStr">
        <is>
          <t>Price data vs IGV</t>
        </is>
      </c>
      <c r="G1535" s="33" t="inlineStr">
        <is>
          <t>High</t>
        </is>
      </c>
      <c r="H1535" s="33" t="inlineStr">
        <is>
          <t>Initial</t>
        </is>
      </c>
    </row>
    <row r="1536">
      <c r="A1536" s="33" t="inlineStr">
        <is>
          <t>2026-05-25</t>
        </is>
      </c>
      <c r="B1536" s="33" t="inlineStr">
        <is>
          <t>PATH</t>
        </is>
      </c>
      <c r="C1536" s="33" t="inlineStr">
        <is>
          <t>M3 Insider</t>
        </is>
      </c>
      <c r="D1536" s="33" t="n">
        <v>3</v>
      </c>
      <c r="E1536" s="33" t="inlineStr">
        <is>
          <t>CEO sold at $15-16 via 10b5-1 (routine). $500M buyback active</t>
        </is>
      </c>
      <c r="F1536" s="33" t="inlineStr">
        <is>
          <t>Investing.com insider filings</t>
        </is>
      </c>
      <c r="G1536" s="33" t="inlineStr">
        <is>
          <t>High</t>
        </is>
      </c>
      <c r="H1536" s="33" t="inlineStr">
        <is>
          <t>Initial</t>
        </is>
      </c>
    </row>
    <row r="1537">
      <c r="A1537" s="33" t="inlineStr">
        <is>
          <t>2026-05-25</t>
        </is>
      </c>
      <c r="B1537" s="33" t="inlineStr">
        <is>
          <t>PATH</t>
        </is>
      </c>
      <c r="C1537" s="33" t="inlineStr">
        <is>
          <t>R1 Cust Conc</t>
        </is>
      </c>
      <c r="D1537" s="33" t="n">
        <v>4</v>
      </c>
      <c r="E1537" s="33" t="inlineStr">
        <is>
          <t>Enterprise automation base. NRR 107% across base suggests breadth. Needs 10-K confirmation</t>
        </is>
      </c>
      <c r="F1537" s="33" t="inlineStr">
        <is>
          <t>Customer structure</t>
        </is>
      </c>
      <c r="G1537" s="33" t="inlineStr">
        <is>
          <t>Medium</t>
        </is>
      </c>
      <c r="H1537" s="33" t="inlineStr">
        <is>
          <t>Initial</t>
        </is>
      </c>
    </row>
    <row r="1538">
      <c r="A1538" s="33" t="inlineStr">
        <is>
          <t>2026-05-25</t>
        </is>
      </c>
      <c r="B1538" s="33" t="inlineStr">
        <is>
          <t>PATH</t>
        </is>
      </c>
      <c r="C1538" s="33" t="inlineStr">
        <is>
          <t>R2 Geo Risk</t>
        </is>
      </c>
      <c r="D1538" s="33" t="n">
        <v>4</v>
      </c>
      <c r="E1538" s="33" t="inlineStr">
        <is>
          <t>US-headquartered. On-prem for gov reduces geo dependency. No export issues</t>
        </is>
      </c>
      <c r="F1538" s="33" t="inlineStr">
        <is>
          <t>Business model</t>
        </is>
      </c>
      <c r="G1538" s="33" t="inlineStr">
        <is>
          <t>High</t>
        </is>
      </c>
      <c r="H1538" s="33" t="inlineStr">
        <is>
          <t>Initial</t>
        </is>
      </c>
    </row>
    <row r="1539">
      <c r="A1539" s="33" t="inlineStr">
        <is>
          <t>2026-05-25</t>
        </is>
      </c>
      <c r="B1539" s="33" t="inlineStr">
        <is>
          <t>PATH</t>
        </is>
      </c>
      <c r="C1539" s="33" t="inlineStr">
        <is>
          <t>R3 BS Risk</t>
        </is>
      </c>
      <c r="D1539" s="33" t="n">
        <v>5</v>
      </c>
      <c r="E1539" s="33" t="inlineStr">
        <is>
          <t>$1.69B cash, no debt. $372M FCF. $500M buyback. Fortress</t>
        </is>
      </c>
      <c r="F1539" s="33" t="inlineStr">
        <is>
          <t>FY2026 balance sheet</t>
        </is>
      </c>
      <c r="G1539" s="33" t="inlineStr">
        <is>
          <t>High</t>
        </is>
      </c>
      <c r="H1539" s="33" t="inlineStr">
        <is>
          <t>Initial</t>
        </is>
      </c>
    </row>
    <row r="1540">
      <c r="A1540" s="33" t="inlineStr">
        <is>
          <t>2026-05-25</t>
        </is>
      </c>
      <c r="B1540" s="33" t="inlineStr">
        <is>
          <t>PATH</t>
        </is>
      </c>
      <c r="C1540" s="33" t="inlineStr">
        <is>
          <t>R4 Reg Risk</t>
        </is>
      </c>
      <c r="D1540" s="33" t="n">
        <v>5</v>
      </c>
      <c r="E1540" s="33" t="inlineStr">
        <is>
          <t>No litigation or investigations. Clean</t>
        </is>
      </c>
      <c r="F1540" s="33" t="inlineStr">
        <is>
          <t>General assessment</t>
        </is>
      </c>
      <c r="G1540" s="33" t="inlineStr">
        <is>
          <t>Medium</t>
        </is>
      </c>
      <c r="H1540" s="33" t="inlineStr">
        <is>
          <t>Initial</t>
        </is>
      </c>
    </row>
    <row r="1541">
      <c r="A1541" s="33" t="inlineStr">
        <is>
          <t>2026-05-26</t>
        </is>
      </c>
      <c r="B1541" s="33" t="inlineStr">
        <is>
          <t>MU</t>
        </is>
      </c>
      <c r="C1541" s="33" t="inlineStr">
        <is>
          <t>D1</t>
        </is>
      </c>
      <c r="D1541" s="33" t="n">
        <v>5</v>
      </c>
      <c r="E1541" s="33" t="inlineStr">
        <is>
          <t>Cloud+DC = 56% of rev; HBM4 sold out under LTAs; loss of AI demand = existential</t>
        </is>
      </c>
      <c r="F1541" s="33" t="inlineStr">
        <is>
          <t>Q2 FY2026 8-K segment data</t>
        </is>
      </c>
      <c r="G1541" s="33" t="inlineStr">
        <is>
          <t>High</t>
        </is>
      </c>
      <c r="H1541" s="33" t="inlineStr">
        <is>
          <t>Update</t>
        </is>
      </c>
    </row>
    <row r="1542">
      <c r="A1542" s="33" t="inlineStr">
        <is>
          <t>2026-05-26</t>
        </is>
      </c>
      <c r="B1542" s="33" t="inlineStr">
        <is>
          <t>MU</t>
        </is>
      </c>
      <c r="C1542" s="33" t="inlineStr">
        <is>
          <t>D4</t>
        </is>
      </c>
      <c r="D1542" s="33" t="n">
        <v>5</v>
      </c>
      <c r="E1542" s="33" t="inlineStr">
        <is>
          <t>$25B+ FY2026 capex across 6 countries; customer-backed LTAs funding expansion</t>
        </is>
      </c>
      <c r="F1542" s="33" t="inlineStr">
        <is>
          <t>Q2 FY2026 8-K + Futurum analysis</t>
        </is>
      </c>
      <c r="G1542" s="33" t="inlineStr">
        <is>
          <t>High</t>
        </is>
      </c>
      <c r="H1542" s="33" t="inlineStr">
        <is>
          <t>Update</t>
        </is>
      </c>
    </row>
    <row r="1543">
      <c r="A1543" s="33" t="inlineStr">
        <is>
          <t>2026-05-26</t>
        </is>
      </c>
      <c r="B1543" s="33" t="inlineStr">
        <is>
          <t>MU</t>
        </is>
      </c>
      <c r="C1543" s="33" t="inlineStr">
        <is>
          <t>M2</t>
        </is>
      </c>
      <c r="D1543" s="33" t="n">
        <v>5</v>
      </c>
      <c r="E1543" s="33" t="inlineStr">
        <is>
          <t>+822% 52-week; massive outperformance vs SOXX; just crossed $1T</t>
        </is>
      </c>
      <c r="F1543" s="33" t="inlineStr">
        <is>
          <t>Yahoo Finance price data</t>
        </is>
      </c>
      <c r="G1543" s="33" t="inlineStr">
        <is>
          <t>High</t>
        </is>
      </c>
      <c r="H1543" s="33" t="inlineStr">
        <is>
          <t>Update</t>
        </is>
      </c>
    </row>
    <row r="1544">
      <c r="A1544" s="33" t="inlineStr">
        <is>
          <t>2026-05-26</t>
        </is>
      </c>
      <c r="B1544" s="33" t="inlineStr">
        <is>
          <t>MU</t>
        </is>
      </c>
      <c r="C1544" s="33" t="inlineStr">
        <is>
          <t>R3</t>
        </is>
      </c>
      <c r="D1544" s="33" t="n">
        <v>5</v>
      </c>
      <c r="E1544" s="33" t="inlineStr">
        <is>
          <t>ND/EBITDA -0.1 (net cash); FCF $5.5B/qtr; 30% dividend hike; $25B capex funded from operations</t>
        </is>
      </c>
      <c r="F1544" s="33" t="inlineStr">
        <is>
          <t>Q2 FY2026 8-K cash flow statement</t>
        </is>
      </c>
      <c r="G1544" s="33" t="inlineStr">
        <is>
          <t>High</t>
        </is>
      </c>
      <c r="H1544" s="33" t="inlineStr">
        <is>
          <t>Update</t>
        </is>
      </c>
    </row>
    <row r="1545">
      <c r="A1545" s="33" t="inlineStr">
        <is>
          <t>2026-05-26</t>
        </is>
      </c>
      <c r="B1545" s="33" t="inlineStr">
        <is>
          <t>MOD</t>
        </is>
      </c>
      <c r="C1545" s="33" t="inlineStr">
        <is>
          <t>D3</t>
        </is>
      </c>
      <c r="D1545" s="33" t="n">
        <v>4</v>
      </c>
      <c r="E1545" s="33" t="inlineStr">
        <is>
          <t>$4B LTA + $165M upfront capacity reservation = demonstrated switching costs; Schneider $1.9B Switch deal confirms structural dynamic</t>
        </is>
      </c>
      <c r="F1545" s="33" t="inlineStr">
        <is>
          <t>Q4 FY2026 LTA announcement + Schneider precedent</t>
        </is>
      </c>
      <c r="G1545" s="33" t="inlineStr">
        <is>
          <t>Medium</t>
        </is>
      </c>
      <c r="H1545" s="33" t="inlineStr">
        <is>
          <t>Update</t>
        </is>
      </c>
    </row>
    <row r="1546">
      <c r="A1546" s="33" t="inlineStr">
        <is>
          <t>2026-05-26</t>
        </is>
      </c>
      <c r="B1546" s="33" t="inlineStr">
        <is>
          <t>MOD</t>
        </is>
      </c>
      <c r="C1546" s="33" t="inlineStr">
        <is>
          <t>R1</t>
        </is>
      </c>
      <c r="D1546" s="33" t="n">
        <v>2</v>
      </c>
      <c r="E1546" s="33" t="inlineStr">
        <is>
          <t>Single unnamed hyperscaler at ~$1.33B/yr = 40-50% of post-spin revenue; rubric: top customer 40-60% = 2</t>
        </is>
      </c>
      <c r="F1546" s="33" t="inlineStr">
        <is>
          <t>LTA revenue math vs Q4 FY2026 segment data</t>
        </is>
      </c>
      <c r="G1546" s="33" t="inlineStr">
        <is>
          <t>High</t>
        </is>
      </c>
      <c r="H1546" s="33" t="inlineStr">
        <is>
          <t>Update</t>
        </is>
      </c>
    </row>
    <row r="1547">
      <c r="A1547" s="33" t="inlineStr">
        <is>
          <t>2026-05-26</t>
        </is>
      </c>
      <c r="B1547" s="33" t="inlineStr">
        <is>
          <t>MOD</t>
        </is>
      </c>
      <c r="C1547" s="33" t="inlineStr">
        <is>
          <t>R3</t>
        </is>
      </c>
      <c r="D1547" s="33" t="n">
        <v>3</v>
      </c>
      <c r="E1547" s="33" t="inlineStr">
        <is>
          <t>Negative TTM FCF (-0.13% yield), net debt +30% YoY, capex surge $143M vs $84M; temporary build-phase but real cash flow pressure</t>
        </is>
      </c>
      <c r="F1547" s="33" t="inlineStr">
        <is>
          <t>Q4 FY2026 press release cash flow data</t>
        </is>
      </c>
      <c r="G1547" s="33" t="inlineStr">
        <is>
          <t>Medium</t>
        </is>
      </c>
      <c r="H1547" s="33" t="inlineStr">
        <is>
          <t>Update</t>
        </is>
      </c>
    </row>
    <row r="1548">
      <c r="A1548" s="33" t="inlineStr">
        <is>
          <t>2026-05-26</t>
        </is>
      </c>
      <c r="B1548" s="33" t="inlineStr">
        <is>
          <t>AMD</t>
        </is>
      </c>
      <c r="C1548" s="33" t="inlineStr">
        <is>
          <t>D3</t>
        </is>
      </c>
      <c r="D1548" s="33" t="n">
        <v>5</v>
      </c>
      <c r="E1548" s="33" t="inlineStr">
        <is>
          <t>Meta $100B+ deal + OpenAI 6GW commitment = sole credible #2 GPU at hyperscale; custom MI450 co-design creates switching costs; warrant alignment deepens relationships</t>
        </is>
      </c>
      <c r="F1548" s="33" t="inlineStr">
        <is>
          <t>Q1 2026 earnings + Meta/OpenAI deal announcements</t>
        </is>
      </c>
      <c r="G1548" s="33" t="inlineStr">
        <is>
          <t>Medium</t>
        </is>
      </c>
      <c r="H1548" s="33" t="inlineStr">
        <is>
          <t>Update</t>
        </is>
      </c>
    </row>
    <row r="1549">
      <c r="A1549" s="33" t="inlineStr">
        <is>
          <t>2026-05-26</t>
        </is>
      </c>
      <c r="B1549" s="33" t="inlineStr">
        <is>
          <t>AMD</t>
        </is>
      </c>
      <c r="C1549" s="33" t="inlineStr">
        <is>
          <t>R1</t>
        </is>
      </c>
      <c r="D1549" s="33" t="n">
        <v>3</v>
      </c>
      <c r="E1549" s="33" t="inlineStr">
        <is>
          <t>Meta + OpenAI dominate GPU pipeline; 320M warrant shares (~20% dilution) at $0.01; offset by diversified EPYC CPU business</t>
        </is>
      </c>
      <c r="F1549" s="33" t="inlineStr">
        <is>
          <t>Q1 2026 earnings + deal terms</t>
        </is>
      </c>
      <c r="G1549" s="33" t="inlineStr">
        <is>
          <t>Medium-High</t>
        </is>
      </c>
      <c r="H1549" s="33" t="inlineStr">
        <is>
          <t>Update</t>
        </is>
      </c>
    </row>
    <row r="1550">
      <c r="A1550" s="33" t="inlineStr">
        <is>
          <t>2026-05-26</t>
        </is>
      </c>
      <c r="B1550" s="33" t="inlineStr">
        <is>
          <t>NVDA</t>
        </is>
      </c>
      <c r="C1550" s="33" t="inlineStr">
        <is>
          <t>R1</t>
        </is>
      </c>
      <c r="D1550" s="33" t="n">
        <v>4</v>
      </c>
      <c r="E1550" s="33" t="inlineStr">
        <is>
          <t>Customer diversification improving: 50/50 hyperscale/ACIE split, ACIE growing 2.6x faster than hyperscale</t>
        </is>
      </c>
      <c r="F1550" s="33" t="inlineStr">
        <is>
          <t>Q1 FY2027 earnings call segment data</t>
        </is>
      </c>
      <c r="G1550" s="33" t="inlineStr">
        <is>
          <t>High</t>
        </is>
      </c>
      <c r="H1550" s="33" t="inlineStr">
        <is>
          <t>Update</t>
        </is>
      </c>
    </row>
    <row r="1551">
      <c r="A1551" s="33" t="inlineStr">
        <is>
          <t>2026-05-26</t>
        </is>
      </c>
      <c r="B1551" s="33" t="inlineStr">
        <is>
          <t>ANET</t>
        </is>
      </c>
      <c r="C1551" s="33" t="inlineStr">
        <is>
          <t>D4</t>
        </is>
      </c>
      <c r="D1551" s="33" t="n">
        <v>5</v>
      </c>
      <c r="E1551" s="33" t="inlineStr">
        <is>
          <t>$8.9B purchase commitments, Building 10 fast-tracked (2M sq ft), 52-week lead times. Supply-constrained expansion</t>
        </is>
      </c>
      <c r="F1551" s="33" t="inlineStr">
        <is>
          <t>Q1 2026 earnings call + CFO commentary</t>
        </is>
      </c>
      <c r="G1551" s="33" t="inlineStr">
        <is>
          <t>High</t>
        </is>
      </c>
      <c r="H1551" s="33" t="inlineStr">
        <is>
          <t>Update</t>
        </is>
      </c>
    </row>
    <row r="1552">
      <c r="A1552" s="33" t="inlineStr">
        <is>
          <t>2026-05-26</t>
        </is>
      </c>
      <c r="B1552" s="33" t="inlineStr">
        <is>
          <t>ANET</t>
        </is>
      </c>
      <c r="C1552" s="33" t="inlineStr">
        <is>
          <t>M2</t>
        </is>
      </c>
      <c r="D1552" s="33" t="n">
        <v>2</v>
      </c>
      <c r="E1552" s="33" t="inlineStr">
        <is>
          <t>Stock fell 14% on earnings despite beat-and-raise; supply chain warnings and margin compression spooked market</t>
        </is>
      </c>
      <c r="F1552" s="33" t="inlineStr">
        <is>
          <t>Price data post-earnings May 5-6 2026</t>
        </is>
      </c>
      <c r="G1552" s="33" t="inlineStr">
        <is>
          <t>High</t>
        </is>
      </c>
      <c r="H1552" s="33" t="inlineStr">
        <is>
          <t>Update</t>
        </is>
      </c>
    </row>
    <row r="1553">
      <c r="A1553" s="33" t="inlineStr">
        <is>
          <t>2026-05-26</t>
        </is>
      </c>
      <c r="B1553" s="33" t="inlineStr">
        <is>
          <t>ALAB</t>
        </is>
      </c>
      <c r="C1553" s="33" t="inlineStr">
        <is>
          <t>D3</t>
        </is>
      </c>
      <c r="D1553" s="33" t="n">
        <v>5</v>
      </c>
      <c r="E1553" s="33" t="inlineStr">
        <is>
          <t>Scorpio fabric switch becoming largest product line; embedded in NVLink Fusion + UALink ecosystems; Hypercast IP creates proprietary standard</t>
        </is>
      </c>
      <c r="F1553" s="33" t="inlineStr">
        <is>
          <t>Q1 2026 earnings call, CEO commentary on Scorpio pivot</t>
        </is>
      </c>
      <c r="G1553" s="33" t="inlineStr">
        <is>
          <t>Medium</t>
        </is>
      </c>
      <c r="H1553" s="33" t="inlineStr">
        <is>
          <t>Update</t>
        </is>
      </c>
    </row>
    <row r="1554">
      <c r="A1554" s="33" t="inlineStr">
        <is>
          <t>2026-05-26</t>
        </is>
      </c>
      <c r="B1554" s="33" t="inlineStr">
        <is>
          <t>PLTR</t>
        </is>
      </c>
      <c r="C1554" s="33" t="inlineStr">
        <is>
          <t>D4</t>
        </is>
      </c>
      <c r="D1554" s="33" t="n">
        <v>5</v>
      </c>
      <c r="E1554" s="33" t="inlineStr">
        <is>
          <t>$925M/qtr FCF funding growth; $4.7B commercial TCV; USDA $300M contract; customer-backed scaling across gov + commercial</t>
        </is>
      </c>
      <c r="F1554" s="33" t="inlineStr">
        <is>
          <t>Q1 2026 earnings call</t>
        </is>
      </c>
      <c r="G1554" s="33" t="inlineStr">
        <is>
          <t>High</t>
        </is>
      </c>
      <c r="H1554" s="33" t="inlineStr">
        <is>
          <t>Update</t>
        </is>
      </c>
    </row>
    <row r="1555">
      <c r="A1555" s="33" t="inlineStr">
        <is>
          <t>2026-05-26</t>
        </is>
      </c>
      <c r="B1555" s="33" t="inlineStr">
        <is>
          <t>TLN</t>
        </is>
      </c>
      <c r="C1555" s="33" t="inlineStr">
        <is>
          <t>D3</t>
        </is>
      </c>
      <c r="D1555" s="33" t="n">
        <v>5</v>
      </c>
      <c r="E1555" s="33" t="inlineStr">
        <is>
          <t>Susquehanna nuclear under 17-year up-to-$18B AWS PPA; irreplaceable baseload in specific geographic location; spring outage reconfiguration completed</t>
        </is>
      </c>
      <c r="F1555" s="33" t="inlineStr">
        <is>
          <t>Q1 2026 earnings + AWS PPA terms</t>
        </is>
      </c>
      <c r="G1555" s="33" t="inlineStr">
        <is>
          <t>High</t>
        </is>
      </c>
      <c r="H1555" s="33" t="inlineStr">
        <is>
          <t>Update</t>
        </is>
      </c>
    </row>
    <row r="1556">
      <c r="A1556" s="33" t="inlineStr">
        <is>
          <t>2026-05-26</t>
        </is>
      </c>
      <c r="B1556" s="33" t="inlineStr">
        <is>
          <t>VST</t>
        </is>
      </c>
      <c r="C1556" s="33" t="inlineStr">
        <is>
          <t>D3</t>
        </is>
      </c>
      <c r="D1556" s="33" t="n">
        <v>5</v>
      </c>
      <c r="E1556" s="33" t="inlineStr">
        <is>
          <t>3,800 MW nuclear under 20-year PPAs with Meta (2,600 MW) + AWS (1,200 MW); irreplaceable baseload with geographic monopoly in PJM</t>
        </is>
      </c>
      <c r="F1556" s="33" t="inlineStr">
        <is>
          <t>Q1 2026 earnings call + PPA disclosures</t>
        </is>
      </c>
      <c r="G1556" s="33" t="inlineStr">
        <is>
          <t>High</t>
        </is>
      </c>
      <c r="H1556" s="33" t="inlineStr">
        <is>
          <t>Update</t>
        </is>
      </c>
    </row>
    <row r="1557">
      <c r="A1557" s="33" t="inlineStr">
        <is>
          <t>2026-05-26</t>
        </is>
      </c>
      <c r="B1557" s="33" t="inlineStr">
        <is>
          <t>VST</t>
        </is>
      </c>
      <c r="C1557" s="33" t="inlineStr">
        <is>
          <t>R3</t>
        </is>
      </c>
      <c r="D1557" s="33" t="n">
        <v>4</v>
      </c>
      <c r="E1557" s="33" t="inlineStr">
        <is>
          <t>Investment grade at Fitch + S&amp;P; record EBITDA $1,494M; 98% hedged 2026; Cogentrix funded</t>
        </is>
      </c>
      <c r="F1557" s="33" t="inlineStr">
        <is>
          <t>Q1 2026 earnings + credit ratings</t>
        </is>
      </c>
      <c r="G1557" s="33" t="inlineStr">
        <is>
          <t>High</t>
        </is>
      </c>
      <c r="H1557" s="33" t="inlineStr">
        <is>
          <t>Update</t>
        </is>
      </c>
    </row>
    <row r="1558">
      <c r="A1558" s="33" t="inlineStr">
        <is>
          <t>2026-05-26</t>
        </is>
      </c>
      <c r="B1558" s="33" t="inlineStr">
        <is>
          <t>AMAT</t>
        </is>
      </c>
      <c r="C1558" s="33" t="inlineStr">
        <is>
          <t>R2</t>
        </is>
      </c>
      <c r="D1558" s="33" t="n">
        <v>3</v>
      </c>
      <c r="E1558" s="33" t="inlineStr">
        <is>
          <t>BIS $252.5M penalty fully resolved and paid; China revenue declining organically to 24%; export controls already baked into guidance</t>
        </is>
      </c>
      <c r="F1558" s="33" t="inlineStr">
        <is>
          <t>Q2 FY2026 earnings + BIS settlement disclosure</t>
        </is>
      </c>
      <c r="G1558" s="33" t="inlineStr">
        <is>
          <t>High</t>
        </is>
      </c>
      <c r="H1558" s="33" t="inlineStr">
        <is>
          <t>Update</t>
        </is>
      </c>
    </row>
    <row r="1559">
      <c r="A1559" s="33" t="inlineStr">
        <is>
          <t>2026-05-26</t>
        </is>
      </c>
      <c r="B1559" s="33" t="inlineStr">
        <is>
          <t>AMAT</t>
        </is>
      </c>
      <c r="C1559" s="33" t="inlineStr">
        <is>
          <t>R4</t>
        </is>
      </c>
      <c r="D1559" s="33" t="n">
        <v>4</v>
      </c>
      <c r="E1559" s="33" t="inlineStr">
        <is>
          <t>BIS investigation settled, penalty paid, matter closed; no active regulatory proceedings remaining</t>
        </is>
      </c>
      <c r="F1559" s="33" t="inlineStr">
        <is>
          <t>Q2 FY2026 8-K BIS settlement</t>
        </is>
      </c>
      <c r="G1559" s="33" t="inlineStr">
        <is>
          <t>High</t>
        </is>
      </c>
      <c r="H1559" s="33" t="inlineStr">
        <is>
          <t>Update</t>
        </is>
      </c>
    </row>
    <row r="1560">
      <c r="A1560" s="33" t="inlineStr">
        <is>
          <t>2026-05-26</t>
        </is>
      </c>
      <c r="B1560" s="33" t="inlineStr">
        <is>
          <t>META</t>
        </is>
      </c>
      <c r="C1560" s="33" t="inlineStr">
        <is>
          <t>D5</t>
        </is>
      </c>
      <c r="D1560" s="33" t="n">
        <v>5</v>
      </c>
      <c r="E1560" s="33" t="inlineStr">
        <is>
          <t>Methodology change: D5 reinterpreted for Layer 9 as "AI Infrastructure Commitment" — META spending $40B+/yr capex, $100B+ AMD GPU deal, multi-GW nuclear PPAs with VST; prior rating of 1 penalized for not selling cloud, missing that META is the largest AI infrastructure demand driver</t>
        </is>
      </c>
      <c r="F1560" s="33" t="inlineStr">
        <is>
          <t>Q1 2026 capex data + AMD/VST deal announcements</t>
        </is>
      </c>
      <c r="G1560" s="33" t="inlineStr">
        <is>
          <t>High</t>
        </is>
      </c>
      <c r="H1560" s="33" t="inlineStr">
        <is>
          <t>Update (methodology)</t>
        </is>
      </c>
    </row>
    <row r="1561">
      <c r="A1561" s="33" t="inlineStr">
        <is>
          <t>2026-05-27</t>
        </is>
      </c>
      <c r="B1561" s="33" t="inlineStr">
        <is>
          <t>AMBA</t>
        </is>
      </c>
      <c r="C1561" s="33" t="inlineStr">
        <is>
          <t>D1-AI Rev%</t>
        </is>
      </c>
      <c r="D1561" s="33" t="n">
        <v>5</v>
      </c>
      <c r="E1561" s="33" t="inlineStr">
        <is>
          <t>Edge AI SoCs = ~80% of FY2026 revenue</t>
        </is>
      </c>
      <c r="F1561" s="33" t="inlineStr">
        <is>
          <t>Q4 FY2026 earnings release</t>
        </is>
      </c>
      <c r="G1561" s="33" t="inlineStr">
        <is>
          <t>High</t>
        </is>
      </c>
      <c r="H1561" s="33" t="inlineStr">
        <is>
          <t>Initial</t>
        </is>
      </c>
    </row>
    <row r="1562">
      <c r="A1562" s="33" t="inlineStr">
        <is>
          <t>2026-05-27</t>
        </is>
      </c>
      <c r="B1562" s="33" t="inlineStr">
        <is>
          <t>AMBA</t>
        </is>
      </c>
      <c r="C1562" s="33" t="inlineStr">
        <is>
          <t>D2-Position</t>
        </is>
      </c>
      <c r="D1562" s="33" t="n">
        <v>3</v>
      </c>
      <c r="E1562" s="33" t="inlineStr">
        <is>
          <t>Mid-chain differentiated; 5+ competitors (QCOM, NVDA, TI, NXP, Mobileye)</t>
        </is>
      </c>
      <c r="F1562" s="33" t="inlineStr">
        <is>
          <t>10-K FY2026 risk factors</t>
        </is>
      </c>
      <c r="G1562" s="33" t="inlineStr">
        <is>
          <t>Medium</t>
        </is>
      </c>
      <c r="H1562" s="33" t="inlineStr">
        <is>
          <t>Initial</t>
        </is>
      </c>
    </row>
    <row r="1563">
      <c r="A1563" s="33" t="inlineStr">
        <is>
          <t>2026-05-27</t>
        </is>
      </c>
      <c r="B1563" s="33" t="inlineStr">
        <is>
          <t>AMBA</t>
        </is>
      </c>
      <c r="C1563" s="33" t="inlineStr">
        <is>
          <t>D3-Moat</t>
        </is>
      </c>
      <c r="D1563" s="33" t="n">
        <v>3</v>
      </c>
      <c r="E1563" s="33" t="inlineStr">
        <is>
          <t>CVflow power-efficiency advantage in edge vision, but narrow moat (cameras only), no pricing power demonstrated</t>
        </is>
      </c>
      <c r="F1563" s="33" t="inlineStr">
        <is>
          <t>Competitive analysis, 10-K FY2026</t>
        </is>
      </c>
      <c r="G1563" s="33" t="inlineStr">
        <is>
          <t>Medium</t>
        </is>
      </c>
      <c r="H1563" s="33" t="inlineStr">
        <is>
          <t>Initial</t>
        </is>
      </c>
    </row>
    <row r="1564">
      <c r="A1564" s="33" t="inlineStr">
        <is>
          <t>2026-05-27</t>
        </is>
      </c>
      <c r="B1564" s="33" t="inlineStr">
        <is>
          <t>AMBA</t>
        </is>
      </c>
      <c r="C1564" s="33" t="inlineStr">
        <is>
          <t>D4-Capacity</t>
        </is>
      </c>
      <c r="D1564" s="33" t="n">
        <v>3</v>
      </c>
      <c r="E1564" s="33" t="inlineStr">
        <is>
          <t>Fabless normal product cadence: CV7 launched, 2nm taped out, CV3-AD sampling</t>
        </is>
      </c>
      <c r="F1564" s="33" t="inlineStr">
        <is>
          <t>CES 2026, Q4 FY2026 earnings</t>
        </is>
      </c>
      <c r="G1564" s="33" t="inlineStr">
        <is>
          <t>High</t>
        </is>
      </c>
      <c r="H1564" s="33" t="inlineStr">
        <is>
          <t>Initial</t>
        </is>
      </c>
    </row>
    <row r="1565">
      <c r="A1565" s="33" t="inlineStr">
        <is>
          <t>2026-05-27</t>
        </is>
      </c>
      <c r="B1565" s="33" t="inlineStr">
        <is>
          <t>AMBA</t>
        </is>
      </c>
      <c r="C1565" s="33" t="inlineStr">
        <is>
          <t>D5-Hypersc</t>
        </is>
      </c>
      <c r="D1565" s="33" t="n">
        <v>1</v>
      </c>
      <c r="E1565" s="33" t="inlineStr">
        <is>
          <t>Zero hyperscaler revenue; edge AI play (cameras, automotive, robotics)</t>
        </is>
      </c>
      <c r="F1565" s="33" t="inlineStr">
        <is>
          <t>Revenue breakdown, 10-K</t>
        </is>
      </c>
      <c r="G1565" s="33" t="inlineStr">
        <is>
          <t>High</t>
        </is>
      </c>
      <c r="H1565" s="33" t="inlineStr">
        <is>
          <t>Initial</t>
        </is>
      </c>
    </row>
    <row r="1566">
      <c r="A1566" s="33" t="inlineStr">
        <is>
          <t>2026-05-27</t>
        </is>
      </c>
      <c r="B1566" s="33" t="inlineStr">
        <is>
          <t>AMBA</t>
        </is>
      </c>
      <c r="C1566" s="33" t="inlineStr">
        <is>
          <t>M1-EPSRev</t>
        </is>
      </c>
      <c r="D1566" s="33" t="n">
        <v>3</v>
      </c>
      <c r="E1566" s="33" t="inlineStr">
        <is>
          <t>Stable pre-Q1 FY2027 earnings (reporting May 28). FY2027 guidance 10-15% = deceleration.</t>
        </is>
      </c>
      <c r="F1566" s="33" t="inlineStr">
        <is>
          <t>Consensus estimates</t>
        </is>
      </c>
      <c r="G1566" s="33" t="inlineStr">
        <is>
          <t>Medium</t>
        </is>
      </c>
      <c r="H1566" s="33" t="inlineStr">
        <is>
          <t>Initial</t>
        </is>
      </c>
    </row>
    <row r="1567">
      <c r="A1567" s="33" t="inlineStr">
        <is>
          <t>2026-05-27</t>
        </is>
      </c>
      <c r="B1567" s="33" t="inlineStr">
        <is>
          <t>AMBA</t>
        </is>
      </c>
      <c r="C1567" s="33" t="inlineStr">
        <is>
          <t>M2-RelStr</t>
        </is>
      </c>
      <c r="D1567" s="33" t="n">
        <v>4</v>
      </c>
      <c r="E1567" s="33" t="inlineStr">
        <is>
          <t>Stock ~$93.52 above consensus PT $87.92, recovered from ITC dip</t>
        </is>
      </c>
      <c r="F1567" s="33" t="inlineStr">
        <is>
          <t>Price data, analyst PTs</t>
        </is>
      </c>
      <c r="G1567" s="33" t="inlineStr">
        <is>
          <t>Low</t>
        </is>
      </c>
      <c r="H1567" s="33" t="inlineStr">
        <is>
          <t>Initial</t>
        </is>
      </c>
    </row>
    <row r="1568">
      <c r="A1568" s="33" t="inlineStr">
        <is>
          <t>2026-05-27</t>
        </is>
      </c>
      <c r="B1568" s="33" t="inlineStr">
        <is>
          <t>AMBA</t>
        </is>
      </c>
      <c r="C1568" s="33" t="inlineStr">
        <is>
          <t>M3-Insider</t>
        </is>
      </c>
      <c r="D1568" s="33" t="n">
        <v>3</v>
      </c>
      <c r="E1568" s="33" t="inlineStr">
        <is>
          <t>Routine; no notable buying or selling flagged</t>
        </is>
      </c>
      <c r="F1568" s="33" t="inlineStr">
        <is>
          <t>General (no specific Form 4 review)</t>
        </is>
      </c>
      <c r="G1568" s="33" t="inlineStr">
        <is>
          <t>Medium</t>
        </is>
      </c>
      <c r="H1568" s="33" t="inlineStr">
        <is>
          <t>Initial</t>
        </is>
      </c>
    </row>
    <row r="1569">
      <c r="A1569" s="33" t="inlineStr">
        <is>
          <t>2026-05-27</t>
        </is>
      </c>
      <c r="B1569" s="33" t="inlineStr">
        <is>
          <t>AMBA</t>
        </is>
      </c>
      <c r="C1569" s="33" t="inlineStr">
        <is>
          <t>R1-CustConc</t>
        </is>
      </c>
      <c r="D1569" s="33" t="n">
        <v>1</v>
      </c>
      <c r="E1569" s="33" t="inlineStr">
        <is>
          <t>WT Microelectronics = ~70% of revenue (channel, not end-customer, but still extreme)</t>
        </is>
      </c>
      <c r="F1569" s="33" t="inlineStr">
        <is>
          <t>10-K FY2026</t>
        </is>
      </c>
      <c r="G1569" s="33" t="inlineStr">
        <is>
          <t>High</t>
        </is>
      </c>
      <c r="H1569" s="33" t="inlineStr">
        <is>
          <t>Initial</t>
        </is>
      </c>
    </row>
    <row r="1570">
      <c r="A1570" s="33" t="inlineStr">
        <is>
          <t>2026-05-27</t>
        </is>
      </c>
      <c r="B1570" s="33" t="inlineStr">
        <is>
          <t>AMBA</t>
        </is>
      </c>
      <c r="C1570" s="33" t="inlineStr">
        <is>
          <t>R2-GeoRisk</t>
        </is>
      </c>
      <c r="D1570" s="33" t="n">
        <v>2</v>
      </c>
      <c r="E1570" s="33" t="inlineStr">
        <is>
          <t>Asia = 88% of revenue, China-adjacent. Benefits from HiSilicon restrictions but exposed to policy shifts.</t>
        </is>
      </c>
      <c r="F1570" s="33" t="inlineStr">
        <is>
          <t>10-K FY2026 geographic breakdown</t>
        </is>
      </c>
      <c r="G1570" s="33" t="inlineStr">
        <is>
          <t>Medium</t>
        </is>
      </c>
      <c r="H1570" s="33" t="inlineStr">
        <is>
          <t>Initial</t>
        </is>
      </c>
    </row>
    <row r="1571">
      <c r="A1571" s="33" t="inlineStr">
        <is>
          <t>2026-05-27</t>
        </is>
      </c>
      <c r="B1571" s="33" t="inlineStr">
        <is>
          <t>AMBA</t>
        </is>
      </c>
      <c r="C1571" s="33" t="inlineStr">
        <is>
          <t>R3-BSRisk</t>
        </is>
      </c>
      <c r="D1571" s="33" t="n">
        <v>4</v>
      </c>
      <c r="E1571" s="33" t="inlineStr">
        <is>
          <t>$312.6M cash, zero debt. But SBC $98M (25% rev) vs FCF $58M = weak GAAP profitability.</t>
        </is>
      </c>
      <c r="F1571" s="33" t="inlineStr">
        <is>
          <t>Q4 FY2026 balance sheet</t>
        </is>
      </c>
      <c r="G1571" s="33" t="inlineStr">
        <is>
          <t>High</t>
        </is>
      </c>
      <c r="H1571" s="33" t="inlineStr">
        <is>
          <t>Initial</t>
        </is>
      </c>
    </row>
    <row r="1572">
      <c r="A1572" s="33" t="inlineStr">
        <is>
          <t>2026-05-27</t>
        </is>
      </c>
      <c r="B1572" s="33" t="inlineStr">
        <is>
          <t>AMBA</t>
        </is>
      </c>
      <c r="C1572" s="33" t="inlineStr">
        <is>
          <t>R4-RegRisk</t>
        </is>
      </c>
      <c r="D1572" s="33" t="n">
        <v>3</v>
      </c>
      <c r="E1572" s="33" t="inlineStr">
        <is>
          <t>GoPro/Insta360 ITC ruling active but manageable per Oppenheimer analysis</t>
        </is>
      </c>
      <c r="F1572" s="33" t="inlineStr">
        <is>
          <t>ITC ruling, analyst commentary</t>
        </is>
      </c>
      <c r="G1572" s="33" t="inlineStr">
        <is>
          <t>Medium</t>
        </is>
      </c>
      <c r="H1572" s="33" t="inlineStr">
        <is>
          <t>Initial</t>
        </is>
      </c>
    </row>
    <row r="1573">
      <c r="A1573" s="33" t="inlineStr">
        <is>
          <t>2026-05-27</t>
        </is>
      </c>
      <c r="B1573" s="33" t="inlineStr">
        <is>
          <t>CEVA</t>
        </is>
      </c>
      <c r="C1573" s="33" t="inlineStr">
        <is>
          <t>D1-AI Rev%</t>
        </is>
      </c>
      <c r="D1573" s="33" t="n">
        <v>2</v>
      </c>
      <c r="E1573" s="33" t="inlineStr">
        <is>
          <t>AI &gt;20% of licensing (~$13M), but &lt;10% of total revenue incl royalties. Royalty payoff 2-4yr lag.</t>
        </is>
      </c>
      <c r="F1573" s="33" t="inlineStr">
        <is>
          <t>Q1 2026 earnings, FY2025 press release</t>
        </is>
      </c>
      <c r="G1573" s="33" t="inlineStr">
        <is>
          <t>Medium</t>
        </is>
      </c>
      <c r="H1573" s="33" t="inlineStr">
        <is>
          <t>Initial</t>
        </is>
      </c>
    </row>
    <row r="1574">
      <c r="A1574" s="33" t="inlineStr">
        <is>
          <t>2026-05-27</t>
        </is>
      </c>
      <c r="B1574" s="33" t="inlineStr">
        <is>
          <t>CEVA</t>
        </is>
      </c>
      <c r="C1574" s="33" t="inlineStr">
        <is>
          <t>D2-Position</t>
        </is>
      </c>
      <c r="D1574" s="33" t="n">
        <v>3</v>
      </c>
      <c r="E1574" s="33" t="inlineStr">
        <is>
          <t>Mid-chain differentiated: wireless+AI IP intersection unique, but tiny vs Arm ($3.5B rev)</t>
        </is>
      </c>
      <c r="F1574" s="33" t="inlineStr">
        <is>
          <t>CEVA website, competitive analysis</t>
        </is>
      </c>
      <c r="G1574" s="33" t="inlineStr">
        <is>
          <t>High</t>
        </is>
      </c>
      <c r="H1574" s="33" t="inlineStr">
        <is>
          <t>Initial</t>
        </is>
      </c>
    </row>
    <row r="1575">
      <c r="A1575" s="33" t="inlineStr">
        <is>
          <t>2026-05-27</t>
        </is>
      </c>
      <c r="B1575" s="33" t="inlineStr">
        <is>
          <t>CEVA</t>
        </is>
      </c>
      <c r="C1575" s="33" t="inlineStr">
        <is>
          <t>D3-Moat</t>
        </is>
      </c>
      <c r="D1575" s="33" t="n">
        <v>3</v>
      </c>
      <c r="E1575" s="33" t="inlineStr">
        <is>
          <t>35% BT IoT share, growing AI NPU portfolio, but vulnerable to Arm bundling CPU+NPU</t>
        </is>
      </c>
      <c r="F1575" s="33" t="inlineStr">
        <is>
          <t>Market share data, competitive dynamics</t>
        </is>
      </c>
      <c r="G1575" s="33" t="inlineStr">
        <is>
          <t>Medium</t>
        </is>
      </c>
      <c r="H1575" s="33" t="inlineStr">
        <is>
          <t>Initial</t>
        </is>
      </c>
    </row>
    <row r="1576">
      <c r="A1576" s="33" t="inlineStr">
        <is>
          <t>2026-05-27</t>
        </is>
      </c>
      <c r="B1576" s="33" t="inlineStr">
        <is>
          <t>CEVA</t>
        </is>
      </c>
      <c r="C1576" s="33" t="inlineStr">
        <is>
          <t>D4-Capacity</t>
        </is>
      </c>
      <c r="D1576" s="33" t="n">
        <v>3</v>
      </c>
      <c r="E1576" s="33" t="inlineStr">
        <is>
          <t>Asset-light IP model, steady-state product development. No capex buildout.</t>
        </is>
      </c>
      <c r="F1576" s="33" t="inlineStr">
        <is>
          <t>Business model</t>
        </is>
      </c>
      <c r="G1576" s="33" t="inlineStr">
        <is>
          <t>High</t>
        </is>
      </c>
      <c r="H1576" s="33" t="inlineStr">
        <is>
          <t>Initial</t>
        </is>
      </c>
    </row>
    <row r="1577">
      <c r="A1577" s="33" t="inlineStr">
        <is>
          <t>2026-05-27</t>
        </is>
      </c>
      <c r="B1577" s="33" t="inlineStr">
        <is>
          <t>CEVA</t>
        </is>
      </c>
      <c r="C1577" s="33" t="inlineStr">
        <is>
          <t>D5-Hypersc</t>
        </is>
      </c>
      <c r="D1577" s="33" t="n">
        <v>1</v>
      </c>
      <c r="E1577" s="33" t="inlineStr">
        <is>
          <t>No hyperscaler exposure; edge/IoT focused (BT earbuds, WiFi, automotive sensors)</t>
        </is>
      </c>
      <c r="F1577" s="33" t="inlineStr">
        <is>
          <t>Revenue breakdown</t>
        </is>
      </c>
      <c r="G1577" s="33" t="inlineStr">
        <is>
          <t>High</t>
        </is>
      </c>
      <c r="H1577" s="33" t="inlineStr">
        <is>
          <t>Initial</t>
        </is>
      </c>
    </row>
    <row r="1578">
      <c r="A1578" s="33" t="inlineStr">
        <is>
          <t>2026-05-27</t>
        </is>
      </c>
      <c r="B1578" s="33" t="inlineStr">
        <is>
          <t>CEVA</t>
        </is>
      </c>
      <c r="C1578" s="33" t="inlineStr">
        <is>
          <t>M1-EPSRev</t>
        </is>
      </c>
      <c r="D1578" s="33" t="n">
        <v>4</v>
      </c>
      <c r="E1578" s="33" t="inlineStr">
        <is>
          <t>Guided top end of 8-12% rev growth, non-GAAP profit growth 40-50%. Net positive.</t>
        </is>
      </c>
      <c r="F1578" s="33" t="inlineStr">
        <is>
          <t>Q1 2026 guidance</t>
        </is>
      </c>
      <c r="G1578" s="33" t="inlineStr">
        <is>
          <t>Medium</t>
        </is>
      </c>
      <c r="H1578" s="33" t="inlineStr">
        <is>
          <t>Initial</t>
        </is>
      </c>
    </row>
    <row r="1579">
      <c r="A1579" s="33" t="inlineStr">
        <is>
          <t>2026-05-27</t>
        </is>
      </c>
      <c r="B1579" s="33" t="inlineStr">
        <is>
          <t>CEVA</t>
        </is>
      </c>
      <c r="C1579" s="33" t="inlineStr">
        <is>
          <t>M2-RelStr</t>
        </is>
      </c>
      <c r="D1579" s="33" t="n">
        <v>3</v>
      </c>
      <c r="E1579" s="33" t="inlineStr">
        <is>
          <t>Stock ~$40.55, roughly in line with semi sector over 3-6 months</t>
        </is>
      </c>
      <c r="F1579" s="33" t="inlineStr">
        <is>
          <t>Price data</t>
        </is>
      </c>
      <c r="G1579" s="33" t="inlineStr">
        <is>
          <t>Low</t>
        </is>
      </c>
      <c r="H1579" s="33" t="inlineStr">
        <is>
          <t>Initial</t>
        </is>
      </c>
    </row>
    <row r="1580">
      <c r="A1580" s="33" t="inlineStr">
        <is>
          <t>2026-05-27</t>
        </is>
      </c>
      <c r="B1580" s="33" t="inlineStr">
        <is>
          <t>CEVA</t>
        </is>
      </c>
      <c r="C1580" s="33" t="inlineStr">
        <is>
          <t>M3-Insider</t>
        </is>
      </c>
      <c r="D1580" s="33" t="n">
        <v>3</v>
      </c>
      <c r="E1580" s="33" t="inlineStr">
        <is>
          <t>No notable insider activity flagged in context</t>
        </is>
      </c>
      <c r="F1580" s="33" t="inlineStr">
        <is>
          <t>General</t>
        </is>
      </c>
      <c r="G1580" s="33" t="inlineStr">
        <is>
          <t>Low</t>
        </is>
      </c>
      <c r="H1580" s="33" t="inlineStr">
        <is>
          <t>Initial</t>
        </is>
      </c>
    </row>
    <row r="1581">
      <c r="A1581" s="33" t="inlineStr">
        <is>
          <t>2026-05-27</t>
        </is>
      </c>
      <c r="B1581" s="33" t="inlineStr">
        <is>
          <t>CEVA</t>
        </is>
      </c>
      <c r="C1581" s="33" t="inlineStr">
        <is>
          <t>R1-CustConc</t>
        </is>
      </c>
      <c r="D1581" s="33" t="n">
        <v>3</v>
      </c>
      <c r="E1581" s="33" t="inlineStr">
        <is>
          <t>Top customer 24%, top 3 = 48%. Fits mid-range.</t>
        </is>
      </c>
      <c r="F1581" s="33" t="inlineStr">
        <is>
          <t>10-Q Q1 2026</t>
        </is>
      </c>
      <c r="G1581" s="33" t="inlineStr">
        <is>
          <t>High</t>
        </is>
      </c>
      <c r="H1581" s="33" t="inlineStr">
        <is>
          <t>Initial</t>
        </is>
      </c>
    </row>
    <row r="1582">
      <c r="A1582" s="33" t="inlineStr">
        <is>
          <t>2026-05-27</t>
        </is>
      </c>
      <c r="B1582" s="33" t="inlineStr">
        <is>
          <t>CEVA</t>
        </is>
      </c>
      <c r="C1582" s="33" t="inlineStr">
        <is>
          <t>R2-GeoRisk</t>
        </is>
      </c>
      <c r="D1582" s="33" t="n">
        <v>3</v>
      </c>
      <c r="E1582" s="33" t="inlineStr">
        <is>
          <t>Global customer base likely includes China (MediaTek, UNISOC). Not disclosed specifically.</t>
        </is>
      </c>
      <c r="F1582" s="33" t="inlineStr">
        <is>
          <t>10-Q, licensee list</t>
        </is>
      </c>
      <c r="G1582" s="33" t="inlineStr">
        <is>
          <t>Medium</t>
        </is>
      </c>
      <c r="H1582" s="33" t="inlineStr">
        <is>
          <t>Initial</t>
        </is>
      </c>
    </row>
    <row r="1583">
      <c r="A1583" s="33" t="inlineStr">
        <is>
          <t>2026-05-27</t>
        </is>
      </c>
      <c r="B1583" s="33" t="inlineStr">
        <is>
          <t>CEVA</t>
        </is>
      </c>
      <c r="C1583" s="33" t="inlineStr">
        <is>
          <t>R3-BSRisk</t>
        </is>
      </c>
      <c r="D1583" s="33" t="n">
        <v>4</v>
      </c>
      <c r="E1583" s="33" t="inlineStr">
        <is>
          <t>$215.7M liquid assets, zero debt. FCF weak but balance sheet is fortress.</t>
        </is>
      </c>
      <c r="F1583" s="33" t="inlineStr">
        <is>
          <t>Q1 2026 balance sheet</t>
        </is>
      </c>
      <c r="G1583" s="33" t="inlineStr">
        <is>
          <t>High</t>
        </is>
      </c>
      <c r="H1583" s="33" t="inlineStr">
        <is>
          <t>Initial</t>
        </is>
      </c>
    </row>
    <row r="1584">
      <c r="A1584" s="33" t="inlineStr">
        <is>
          <t>2026-05-27</t>
        </is>
      </c>
      <c r="B1584" s="33" t="inlineStr">
        <is>
          <t>CEVA</t>
        </is>
      </c>
      <c r="C1584" s="33" t="inlineStr">
        <is>
          <t>R4-RegRisk</t>
        </is>
      </c>
      <c r="D1584" s="33" t="n">
        <v>4</v>
      </c>
      <c r="E1584" s="33" t="inlineStr">
        <is>
          <t>No material litigation or regulatory issues identified</t>
        </is>
      </c>
      <c r="F1584" s="33" t="inlineStr">
        <is>
          <t>General</t>
        </is>
      </c>
      <c r="G1584" s="33" t="inlineStr">
        <is>
          <t>Medium</t>
        </is>
      </c>
      <c r="H1584" s="33" t="inlineStr">
        <is>
          <t>Initial</t>
        </is>
      </c>
    </row>
    <row r="1585">
      <c r="A1585" s="33" t="inlineStr">
        <is>
          <t>2026-05-27</t>
        </is>
      </c>
      <c r="B1585" s="33" t="inlineStr">
        <is>
          <t>AIP</t>
        </is>
      </c>
      <c r="C1585" s="33" t="inlineStr">
        <is>
          <t>D1-AI Rev%</t>
        </is>
      </c>
      <c r="D1585" s="33" t="n">
        <v>3</v>
      </c>
      <c r="E1585" s="33" t="inlineStr">
        <is>
          <t>Enterprise computing now largest licensing vertical; AMD FlexGen win, Whalechip data center. ~20-30% of licensing AI-tied.</t>
        </is>
      </c>
      <c r="F1585" s="33" t="inlineStr">
        <is>
          <t>Q1 2026 earnings, AMD FlexGen PR</t>
        </is>
      </c>
      <c r="G1585" s="33" t="inlineStr">
        <is>
          <t>Medium</t>
        </is>
      </c>
      <c r="H1585" s="33" t="inlineStr">
        <is>
          <t>Initial</t>
        </is>
      </c>
    </row>
    <row r="1586">
      <c r="A1586" s="33" t="inlineStr">
        <is>
          <t>2026-05-27</t>
        </is>
      </c>
      <c r="B1586" s="33" t="inlineStr">
        <is>
          <t>AIP</t>
        </is>
      </c>
      <c r="C1586" s="33" t="inlineStr">
        <is>
          <t>D2-Position</t>
        </is>
      </c>
      <c r="D1586" s="33" t="n">
        <v>3</v>
      </c>
      <c r="E1586" s="33" t="inlineStr">
        <is>
          <t>NoC IP necessary but not bottleneck; Arm AMBA/CHI competes. Neutral-party advantage.</t>
        </is>
      </c>
      <c r="F1586" s="33" t="inlineStr">
        <is>
          <t>Product positioning, competitive analysis</t>
        </is>
      </c>
      <c r="G1586" s="33" t="inlineStr">
        <is>
          <t>Medium</t>
        </is>
      </c>
      <c r="H1586" s="33" t="inlineStr">
        <is>
          <t>Initial</t>
        </is>
      </c>
    </row>
    <row r="1587">
      <c r="A1587" s="33" t="inlineStr">
        <is>
          <t>2026-05-27</t>
        </is>
      </c>
      <c r="B1587" s="33" t="inlineStr">
        <is>
          <t>AIP</t>
        </is>
      </c>
      <c r="C1587" s="33" t="inlineStr">
        <is>
          <t>D3-Moat</t>
        </is>
      </c>
      <c r="D1587" s="33" t="n">
        <v>3</v>
      </c>
      <c r="E1587" s="33" t="inlineStr">
        <is>
          <t>4B+ chips shipped, FlexGen product differentiation, but Arm bundling risk is real</t>
        </is>
      </c>
      <c r="F1587" s="33" t="inlineStr">
        <is>
          <t>Arteris website, competitive dynamics</t>
        </is>
      </c>
      <c r="G1587" s="33" t="inlineStr">
        <is>
          <t>Medium</t>
        </is>
      </c>
      <c r="H1587" s="33" t="inlineStr">
        <is>
          <t>Initial</t>
        </is>
      </c>
    </row>
    <row r="1588">
      <c r="A1588" s="33" t="inlineStr">
        <is>
          <t>2026-05-27</t>
        </is>
      </c>
      <c r="B1588" s="33" t="inlineStr">
        <is>
          <t>AIP</t>
        </is>
      </c>
      <c r="C1588" s="33" t="inlineStr">
        <is>
          <t>D4-Capacity</t>
        </is>
      </c>
      <c r="D1588" s="33" t="n">
        <v>4</v>
      </c>
      <c r="E1588" s="33" t="inlineStr">
        <is>
          <t>Active expansion: Cycuity acquisition, FlexGen launch, enterprise vertical surging, royalties inflecting (+114% YoY)</t>
        </is>
      </c>
      <c r="F1588" s="33" t="inlineStr">
        <is>
          <t>Q1 2026 earnings, Cycuity acquisition</t>
        </is>
      </c>
      <c r="G1588" s="33" t="inlineStr">
        <is>
          <t>High</t>
        </is>
      </c>
      <c r="H1588" s="33" t="inlineStr">
        <is>
          <t>Initial</t>
        </is>
      </c>
    </row>
    <row r="1589">
      <c r="A1589" s="33" t="inlineStr">
        <is>
          <t>2026-05-27</t>
        </is>
      </c>
      <c r="B1589" s="33" t="inlineStr">
        <is>
          <t>AIP</t>
        </is>
      </c>
      <c r="C1589" s="33" t="inlineStr">
        <is>
          <t>D5-Hypersc</t>
        </is>
      </c>
      <c r="D1589" s="33" t="n">
        <v>2</v>
      </c>
      <c r="E1589" s="33" t="inlineStr">
        <is>
          <t>Indirect: AMD uses FlexGen for AI chiplets; Whalechip is data center. Not direct hyperscaler revenue.</t>
        </is>
      </c>
      <c r="F1589" s="33" t="inlineStr">
        <is>
          <t>Design win disclosures</t>
        </is>
      </c>
      <c r="G1589" s="33" t="inlineStr">
        <is>
          <t>Medium</t>
        </is>
      </c>
      <c r="H1589" s="33" t="inlineStr">
        <is>
          <t>Initial</t>
        </is>
      </c>
    </row>
    <row r="1590">
      <c r="A1590" s="33" t="inlineStr">
        <is>
          <t>2026-05-27</t>
        </is>
      </c>
      <c r="B1590" s="33" t="inlineStr">
        <is>
          <t>AIP</t>
        </is>
      </c>
      <c r="C1590" s="33" t="inlineStr">
        <is>
          <t>M1-EPSRev</t>
        </is>
      </c>
      <c r="D1590" s="33" t="n">
        <v>5</v>
      </c>
      <c r="E1590" s="33" t="inlineStr">
        <is>
          <t>Beat Q1, raised FY2026 guidance ($89-93M→$91-95M), stock +13.2% on earnings day</t>
        </is>
      </c>
      <c r="F1590" s="33" t="inlineStr">
        <is>
          <t>Q1 2026 earnings, guidance revision</t>
        </is>
      </c>
      <c r="G1590" s="33" t="inlineStr">
        <is>
          <t>High</t>
        </is>
      </c>
      <c r="H1590" s="33" t="inlineStr">
        <is>
          <t>Initial</t>
        </is>
      </c>
    </row>
    <row r="1591">
      <c r="A1591" s="33" t="inlineStr">
        <is>
          <t>2026-05-27</t>
        </is>
      </c>
      <c r="B1591" s="33" t="inlineStr">
        <is>
          <t>AIP</t>
        </is>
      </c>
      <c r="C1591" s="33" t="inlineStr">
        <is>
          <t>M2-RelStr</t>
        </is>
      </c>
      <c r="D1591" s="33" t="n">
        <v>5</v>
      </c>
      <c r="E1591" s="33" t="inlineStr">
        <is>
          <t>Stock from $7.14→$38.50 (5x in 1yr). Massively outperforming SOXX.</t>
        </is>
      </c>
      <c r="F1591" s="33" t="inlineStr">
        <is>
          <t>Price data, 52-week range</t>
        </is>
      </c>
      <c r="G1591" s="33" t="inlineStr">
        <is>
          <t>High</t>
        </is>
      </c>
      <c r="H1591" s="33" t="inlineStr">
        <is>
          <t>Initial</t>
        </is>
      </c>
    </row>
    <row r="1592">
      <c r="A1592" s="33" t="inlineStr">
        <is>
          <t>2026-05-27</t>
        </is>
      </c>
      <c r="B1592" s="33" t="inlineStr">
        <is>
          <t>AIP</t>
        </is>
      </c>
      <c r="C1592" s="33" t="inlineStr">
        <is>
          <t>M3-Insider</t>
        </is>
      </c>
      <c r="D1592" s="33" t="n">
        <v>3</v>
      </c>
      <c r="E1592" s="33" t="inlineStr">
        <is>
          <t>CFO retiring Aug 2026. No insider buying signal. Default routine.</t>
        </is>
      </c>
      <c r="F1592" s="33" t="inlineStr">
        <is>
          <t>CFO departure announcement</t>
        </is>
      </c>
      <c r="G1592" s="33" t="inlineStr">
        <is>
          <t>Low</t>
        </is>
      </c>
      <c r="H1592" s="33" t="inlineStr">
        <is>
          <t>Initial</t>
        </is>
      </c>
    </row>
    <row r="1593">
      <c r="A1593" s="33" t="inlineStr">
        <is>
          <t>2026-05-27</t>
        </is>
      </c>
      <c r="B1593" s="33" t="inlineStr">
        <is>
          <t>AIP</t>
        </is>
      </c>
      <c r="C1593" s="33" t="inlineStr">
        <is>
          <t>R1-CustConc</t>
        </is>
      </c>
      <c r="D1593" s="33" t="n">
        <v>4</v>
      </c>
      <c r="E1593" s="33" t="inlineStr">
        <is>
          <t>200+ customers, no single customer disclosed &gt;15% of revenue. RPO diversified.</t>
        </is>
      </c>
      <c r="F1593" s="33" t="inlineStr">
        <is>
          <t>Company disclosures, Q1 2026 earnings</t>
        </is>
      </c>
      <c r="G1593" s="33" t="inlineStr">
        <is>
          <t>Medium</t>
        </is>
      </c>
      <c r="H1593" s="33" t="inlineStr">
        <is>
          <t>Initial</t>
        </is>
      </c>
    </row>
    <row r="1594">
      <c r="A1594" s="33" t="inlineStr">
        <is>
          <t>2026-05-27</t>
        </is>
      </c>
      <c r="B1594" s="33" t="inlineStr">
        <is>
          <t>AIP</t>
        </is>
      </c>
      <c r="C1594" s="33" t="inlineStr">
        <is>
          <t>R2-GeoRisk</t>
        </is>
      </c>
      <c r="D1594" s="33" t="n">
        <v>4</v>
      </c>
      <c r="E1594" s="33" t="inlineStr">
        <is>
          <t>US-headquartered, global IP licensing. No specific China concentration disclosed.</t>
        </is>
      </c>
      <c r="F1594" s="33" t="inlineStr">
        <is>
          <t>Company profile</t>
        </is>
      </c>
      <c r="G1594" s="33" t="inlineStr">
        <is>
          <t>Medium</t>
        </is>
      </c>
      <c r="H1594" s="33" t="inlineStr">
        <is>
          <t>Initial</t>
        </is>
      </c>
    </row>
    <row r="1595">
      <c r="A1595" s="33" t="inlineStr">
        <is>
          <t>2026-05-27</t>
        </is>
      </c>
      <c r="B1595" s="33" t="inlineStr">
        <is>
          <t>AIP</t>
        </is>
      </c>
      <c r="C1595" s="33" t="inlineStr">
        <is>
          <t>R3-BSRisk</t>
        </is>
      </c>
      <c r="D1595" s="33" t="n">
        <v>4</v>
      </c>
      <c r="E1595" s="33" t="inlineStr">
        <is>
          <t>$41.9M cash, zero financial debt. FCF guided positive $5-9M FY2026. Pre-profit but no leverage.</t>
        </is>
      </c>
      <c r="F1595" s="33" t="inlineStr">
        <is>
          <t>Q1 2026 balance sheet, guidance</t>
        </is>
      </c>
      <c r="G1595" s="33" t="inlineStr">
        <is>
          <t>High</t>
        </is>
      </c>
      <c r="H1595" s="33" t="inlineStr">
        <is>
          <t>Initial</t>
        </is>
      </c>
    </row>
    <row r="1596">
      <c r="A1596" s="33" t="inlineStr">
        <is>
          <t>2026-05-27</t>
        </is>
      </c>
      <c r="B1596" s="33" t="inlineStr">
        <is>
          <t>AIP</t>
        </is>
      </c>
      <c r="C1596" s="33" t="inlineStr">
        <is>
          <t>R4-RegRisk</t>
        </is>
      </c>
      <c r="D1596" s="33" t="n">
        <v>3</v>
      </c>
      <c r="E1596" s="33" t="inlineStr">
        <is>
          <t>CFO departure creates uncertainty. Cycuity integration risk. No litigation.</t>
        </is>
      </c>
      <c r="F1596" s="33" t="inlineStr">
        <is>
          <t>CFO retirement announcement</t>
        </is>
      </c>
      <c r="G1596" s="33" t="inlineStr">
        <is>
          <t>Medium</t>
        </is>
      </c>
      <c r="H1596" s="33" t="inlineStr">
        <is>
          <t>Initial</t>
        </is>
      </c>
    </row>
    <row r="1597">
      <c r="A1597" s="33" t="inlineStr">
        <is>
          <t>2026-05-27</t>
        </is>
      </c>
      <c r="B1597" s="33" t="inlineStr">
        <is>
          <t>KN</t>
        </is>
      </c>
      <c r="C1597" s="33" t="inlineStr">
        <is>
          <t>D1-AI Rev%</t>
        </is>
      </c>
      <c r="D1597" s="33" t="n">
        <v>1</v>
      </c>
      <c r="E1597" s="33" t="inlineStr">
        <is>
          <t>No AI revenue disclosed. Management did not mention AI on Q1 call.</t>
        </is>
      </c>
      <c r="F1597" s="33" t="inlineStr">
        <is>
          <t>Q1 2026 earnings call transcript</t>
        </is>
      </c>
      <c r="G1597" s="33" t="inlineStr">
        <is>
          <t>High</t>
        </is>
      </c>
      <c r="H1597" s="33" t="inlineStr">
        <is>
          <t>Initial</t>
        </is>
      </c>
    </row>
    <row r="1598">
      <c r="A1598" s="33" t="inlineStr">
        <is>
          <t>2026-05-27</t>
        </is>
      </c>
      <c r="B1598" s="33" t="inlineStr">
        <is>
          <t>KN</t>
        </is>
      </c>
      <c r="C1598" s="33" t="inlineStr">
        <is>
          <t>D2-Position</t>
        </is>
      </c>
      <c r="D1598" s="33" t="n">
        <v>2</v>
      </c>
      <c r="E1598" s="33" t="inlineStr">
        <is>
          <t>Capacitors mid-chain commoditized for AI; Murata/TDK/Samsung dominate AI server MLCCs</t>
        </is>
      </c>
      <c r="F1598" s="33" t="inlineStr">
        <is>
          <t>MLCC market share data</t>
        </is>
      </c>
      <c r="G1598" s="33" t="inlineStr">
        <is>
          <t>High</t>
        </is>
      </c>
      <c r="H1598" s="33" t="inlineStr">
        <is>
          <t>Initial</t>
        </is>
      </c>
    </row>
    <row r="1599">
      <c r="A1599" s="33" t="inlineStr">
        <is>
          <t>2026-05-27</t>
        </is>
      </c>
      <c r="B1599" s="33" t="inlineStr">
        <is>
          <t>KN</t>
        </is>
      </c>
      <c r="C1599" s="33" t="inlineStr">
        <is>
          <t>D3-Moat</t>
        </is>
      </c>
      <c r="D1599" s="33" t="n">
        <v>3</v>
      </c>
      <c r="E1599" s="33" t="inlineStr">
        <is>
          <t>Sole-source defense positions, hearing aid OEM lock-in, 2-4% pricing power. But domain-specific, not AI.</t>
        </is>
      </c>
      <c r="F1599" s="33" t="inlineStr">
        <is>
          <t>Q1 2026 call, segment analysis</t>
        </is>
      </c>
      <c r="G1599" s="33" t="inlineStr">
        <is>
          <t>Medium</t>
        </is>
      </c>
      <c r="H1599" s="33" t="inlineStr">
        <is>
          <t>Initial</t>
        </is>
      </c>
    </row>
    <row r="1600">
      <c r="A1600" s="33" t="inlineStr">
        <is>
          <t>2026-05-27</t>
        </is>
      </c>
      <c r="B1600" s="33" t="inlineStr">
        <is>
          <t>KN</t>
        </is>
      </c>
      <c r="C1600" s="33" t="inlineStr">
        <is>
          <t>D4-Capacity</t>
        </is>
      </c>
      <c r="D1600" s="33" t="n">
        <v>3</v>
      </c>
      <c r="E1600" s="33" t="inlineStr">
        <is>
          <t>$75M+ film order ramping within existing facilities. Steady-state.</t>
        </is>
      </c>
      <c r="F1600" s="33" t="inlineStr">
        <is>
          <t>Q1 2026 earnings</t>
        </is>
      </c>
      <c r="G1600" s="33" t="inlineStr">
        <is>
          <t>Medium</t>
        </is>
      </c>
      <c r="H1600" s="33" t="inlineStr">
        <is>
          <t>Initial</t>
        </is>
      </c>
    </row>
    <row r="1601">
      <c r="A1601" s="33" t="inlineStr">
        <is>
          <t>2026-05-27</t>
        </is>
      </c>
      <c r="B1601" s="33" t="inlineStr">
        <is>
          <t>KN</t>
        </is>
      </c>
      <c r="C1601" s="33" t="inlineStr">
        <is>
          <t>D5-Hypersc</t>
        </is>
      </c>
      <c r="D1601" s="33" t="n">
        <v>1</v>
      </c>
      <c r="E1601" s="33" t="inlineStr">
        <is>
          <t>Zero hyperscaler exposure. End markets: defense, medtech, industrial.</t>
        </is>
      </c>
      <c r="F1601" s="33" t="inlineStr">
        <is>
          <t>Revenue breakdown</t>
        </is>
      </c>
      <c r="G1601" s="33" t="inlineStr">
        <is>
          <t>High</t>
        </is>
      </c>
      <c r="H1601" s="33" t="inlineStr">
        <is>
          <t>Initial</t>
        </is>
      </c>
    </row>
    <row r="1602">
      <c r="A1602" s="33" t="inlineStr">
        <is>
          <t>2026-05-27</t>
        </is>
      </c>
      <c r="B1602" s="33" t="inlineStr">
        <is>
          <t>KN</t>
        </is>
      </c>
      <c r="C1602" s="33" t="inlineStr">
        <is>
          <t>M1-EPSRev</t>
        </is>
      </c>
      <c r="D1602" s="33" t="n">
        <v>4</v>
      </c>
      <c r="E1602" s="33" t="inlineStr">
        <is>
          <t>Strong Q1 beat (+23% EPS vs est), raised trajectory, 6th consecutive b2b &gt;1.0</t>
        </is>
      </c>
      <c r="F1602" s="33" t="inlineStr">
        <is>
          <t>Q1 2026 earnings</t>
        </is>
      </c>
      <c r="G1602" s="33" t="inlineStr">
        <is>
          <t>Medium</t>
        </is>
      </c>
      <c r="H1602" s="33" t="inlineStr">
        <is>
          <t>Initial</t>
        </is>
      </c>
    </row>
    <row r="1603">
      <c r="A1603" s="33" t="inlineStr">
        <is>
          <t>2026-05-27</t>
        </is>
      </c>
      <c r="B1603" s="33" t="inlineStr">
        <is>
          <t>KN</t>
        </is>
      </c>
      <c r="C1603" s="33" t="inlineStr">
        <is>
          <t>M2-RelStr</t>
        </is>
      </c>
      <c r="D1603" s="33" t="n">
        <v>5</v>
      </c>
      <c r="E1603" s="33" t="inlineStr">
        <is>
          <t>+130% in past year, massively outperforming XLI industrial benchmark</t>
        </is>
      </c>
      <c r="F1603" s="33" t="inlineStr">
        <is>
          <t>Price data</t>
        </is>
      </c>
      <c r="G1603" s="33" t="inlineStr">
        <is>
          <t>High</t>
        </is>
      </c>
      <c r="H1603" s="33" t="inlineStr">
        <is>
          <t>Initial</t>
        </is>
      </c>
    </row>
    <row r="1604">
      <c r="A1604" s="33" t="inlineStr">
        <is>
          <t>2026-05-27</t>
        </is>
      </c>
      <c r="B1604" s="33" t="inlineStr">
        <is>
          <t>KN</t>
        </is>
      </c>
      <c r="C1604" s="33" t="inlineStr">
        <is>
          <t>M3-Insider</t>
        </is>
      </c>
      <c r="D1604" s="33" t="n">
        <v>3</v>
      </c>
      <c r="E1604" s="33" t="inlineStr">
        <is>
          <t>No notable insider activity. Anchor Capital took new 5% position.</t>
        </is>
      </c>
      <c r="F1604" s="33" t="inlineStr">
        <is>
          <t>Anchor Capital filing</t>
        </is>
      </c>
      <c r="G1604" s="33" t="inlineStr">
        <is>
          <t>Low</t>
        </is>
      </c>
      <c r="H1604" s="33" t="inlineStr">
        <is>
          <t>Initial</t>
        </is>
      </c>
    </row>
    <row r="1605">
      <c r="A1605" s="33" t="inlineStr">
        <is>
          <t>2026-05-27</t>
        </is>
      </c>
      <c r="B1605" s="33" t="inlineStr">
        <is>
          <t>KN</t>
        </is>
      </c>
      <c r="C1605" s="33" t="inlineStr">
        <is>
          <t>R1-CustConc</t>
        </is>
      </c>
      <c r="D1605" s="33" t="n">
        <v>2</v>
      </c>
      <c r="E1605" s="33" t="inlineStr">
        <is>
          <t>MSA "very limited customer base" — hearing aid OEM duopoly likely 40-50%+ of total</t>
        </is>
      </c>
      <c r="F1605" s="33" t="inlineStr">
        <is>
          <t>Q1 2026 call, hearing aid market structure</t>
        </is>
      </c>
      <c r="G1605" s="33" t="inlineStr">
        <is>
          <t>Medium</t>
        </is>
      </c>
      <c r="H1605" s="33" t="inlineStr">
        <is>
          <t>Initial</t>
        </is>
      </c>
    </row>
    <row r="1606">
      <c r="A1606" s="33" t="inlineStr">
        <is>
          <t>2026-05-27</t>
        </is>
      </c>
      <c r="B1606" s="33" t="inlineStr">
        <is>
          <t>KN</t>
        </is>
      </c>
      <c r="C1606" s="33" t="inlineStr">
        <is>
          <t>R2-GeoRisk</t>
        </is>
      </c>
      <c r="D1606" s="33" t="n">
        <v>4</v>
      </c>
      <c r="E1606" s="33" t="inlineStr">
        <is>
          <t>US defense, US/European medtech. Minimal China exposure.</t>
        </is>
      </c>
      <c r="F1606" s="33" t="inlineStr">
        <is>
          <t>Segment analysis</t>
        </is>
      </c>
      <c r="G1606" s="33" t="inlineStr">
        <is>
          <t>Medium</t>
        </is>
      </c>
      <c r="H1606" s="33" t="inlineStr">
        <is>
          <t>Initial</t>
        </is>
      </c>
    </row>
    <row r="1607">
      <c r="A1607" s="33" t="inlineStr">
        <is>
          <t>2026-05-27</t>
        </is>
      </c>
      <c r="B1607" s="33" t="inlineStr">
        <is>
          <t>KN</t>
        </is>
      </c>
      <c r="C1607" s="33" t="inlineStr">
        <is>
          <t>R3-BSRisk</t>
        </is>
      </c>
      <c r="D1607" s="33" t="n">
        <v>4</v>
      </c>
      <c r="E1607" s="33" t="inlineStr">
        <is>
          <t>0.6x leverage, $310M+ liquidity, $114M FY2025 OCF</t>
        </is>
      </c>
      <c r="F1607" s="33" t="inlineStr">
        <is>
          <t>Q1 2026 balance sheet</t>
        </is>
      </c>
      <c r="G1607" s="33" t="inlineStr">
        <is>
          <t>High</t>
        </is>
      </c>
      <c r="H1607" s="33" t="inlineStr">
        <is>
          <t>Initial</t>
        </is>
      </c>
    </row>
    <row r="1608">
      <c r="A1608" s="33" t="inlineStr">
        <is>
          <t>2026-05-27</t>
        </is>
      </c>
      <c r="B1608" s="33" t="inlineStr">
        <is>
          <t>KN</t>
        </is>
      </c>
      <c r="C1608" s="33" t="inlineStr">
        <is>
          <t>R4-RegRisk</t>
        </is>
      </c>
      <c r="D1608" s="33" t="n">
        <v>4</v>
      </c>
      <c r="E1608" s="33" t="inlineStr">
        <is>
          <t>No material regulatory or litigation issues. ITAR/FDA routine for industry.</t>
        </is>
      </c>
      <c r="F1608" s="33" t="inlineStr">
        <is>
          <t>General regulatory environment</t>
        </is>
      </c>
      <c r="G1608" s="33" t="inlineStr">
        <is>
          <t>Medium</t>
        </is>
      </c>
      <c r="H1608" s="33" t="inlineStr">
        <is>
          <t>Initial</t>
        </is>
      </c>
    </row>
    <row r="1609">
      <c r="A1609" s="33" t="inlineStr">
        <is>
          <t>2026-05-27</t>
        </is>
      </c>
      <c r="B1609" s="33" t="inlineStr">
        <is>
          <t>CEVA</t>
        </is>
      </c>
      <c r="C1609" s="33" t="inlineStr">
        <is>
          <t>D1-AI Rev%</t>
        </is>
      </c>
      <c r="D1609" s="33" t="n">
        <v>3</v>
      </c>
      <c r="E1609" s="33" t="inlineStr">
        <is>
          <t>AI &gt;20% of licensing (~$13M), ~13-15% of total revenue. 10-25% band.</t>
        </is>
      </c>
      <c r="F1609" s="33" t="inlineStr">
        <is>
          <t>Q1 2026 earnings, licensing breakdown</t>
        </is>
      </c>
      <c r="G1609" s="33" t="inlineStr">
        <is>
          <t>Medium</t>
        </is>
      </c>
      <c r="H1609" s="33" t="inlineStr">
        <is>
          <t>Update</t>
        </is>
      </c>
    </row>
    <row r="1610">
      <c r="A1610" s="33" t="inlineStr">
        <is>
          <t>2026-05-27</t>
        </is>
      </c>
      <c r="B1610" s="33" t="inlineStr">
        <is>
          <t>CEVA</t>
        </is>
      </c>
      <c r="C1610" s="33" t="inlineStr">
        <is>
          <t>M1-EPSRev</t>
        </is>
      </c>
      <c r="D1610" s="33" t="n">
        <v>2</v>
      </c>
      <c r="E1610" s="33" t="inlineStr">
        <is>
          <t>0 upward, 3 downward EPS revisions per Yahoo Finance Analysis tab. Net negative.</t>
        </is>
      </c>
      <c r="F1610" s="33" t="inlineStr">
        <is>
          <t>Yahoo Finance Analysis tab</t>
        </is>
      </c>
      <c r="G1610" s="33" t="inlineStr">
        <is>
          <t>Medium</t>
        </is>
      </c>
      <c r="H1610" s="33" t="inlineStr">
        <is>
          <t>Update</t>
        </is>
      </c>
    </row>
    <row r="1611">
      <c r="A1611" s="33" t="inlineStr">
        <is>
          <t>2026-05-27</t>
        </is>
      </c>
      <c r="B1611" s="33" t="inlineStr">
        <is>
          <t>CEVA</t>
        </is>
      </c>
      <c r="C1611" s="33" t="inlineStr">
        <is>
          <t>M3-Insider</t>
        </is>
      </c>
      <c r="D1611" s="33" t="n">
        <v>4</v>
      </c>
      <c r="E1611" s="33" t="inlineStr">
        <is>
          <t>CEO Panush, CFO Arieli, Director Liu all bought in Feb 2026 at ~$19. $174K combined. COO/CCO sold in May at $36-37 (post-rally diversification).</t>
        </is>
      </c>
      <c r="F1611" s="33" t="inlineStr">
        <is>
          <t>SEC Form 4 filings via secform4.com</t>
        </is>
      </c>
      <c r="G1611" s="33" t="inlineStr">
        <is>
          <t>High</t>
        </is>
      </c>
      <c r="H1611" s="33" t="inlineStr">
        <is>
          <t>Update</t>
        </is>
      </c>
    </row>
    <row r="1612">
      <c r="A1612" s="33" t="inlineStr">
        <is>
          <t>2026-05-27</t>
        </is>
      </c>
      <c r="B1612" s="33" t="inlineStr">
        <is>
          <t>CEVA</t>
        </is>
      </c>
      <c r="C1612" s="33" t="inlineStr">
        <is>
          <t>R1-CustConc</t>
        </is>
      </c>
      <c r="D1612" s="33" t="n">
        <v>2</v>
      </c>
      <c r="E1612" s="33" t="inlineStr">
        <is>
          <t>Top-1 at 24%, top-3 at 48%, plus China = 62% of FY2025 revenue. Layered concentration.</t>
        </is>
      </c>
      <c r="F1612" s="33" t="inlineStr">
        <is>
          <t>10-Q Q1 2026, 10-K FY2025 geo breakdown</t>
        </is>
      </c>
      <c r="G1612" s="33" t="inlineStr">
        <is>
          <t>Medium</t>
        </is>
      </c>
      <c r="H1612" s="33" t="inlineStr">
        <is>
          <t>Update</t>
        </is>
      </c>
    </row>
    <row r="1613">
      <c r="A1613" s="33" t="inlineStr">
        <is>
          <t>2026-05-27</t>
        </is>
      </c>
      <c r="B1613" s="33" t="inlineStr">
        <is>
          <t>CEVA</t>
        </is>
      </c>
      <c r="C1613" s="33" t="inlineStr">
        <is>
          <t>R2-GeoRisk</t>
        </is>
      </c>
      <c r="D1613" s="33" t="n">
        <v>2</v>
      </c>
      <c r="E1613" s="33" t="inlineStr">
        <is>
          <t>China = 62% of FY2025 revenue. EAR applies to semi IP. BIS Dec 2024 rules expanding. Real exposure.</t>
        </is>
      </c>
      <c r="F1613" s="33" t="inlineStr">
        <is>
          <t>10-K FY2025 geographic disclosure, BIS rules</t>
        </is>
      </c>
      <c r="G1613" s="33" t="inlineStr">
        <is>
          <t>Medium</t>
        </is>
      </c>
      <c r="H1613" s="33" t="inlineStr">
        <is>
          <t>Update</t>
        </is>
      </c>
    </row>
    <row r="1614">
      <c r="A1614" s="33" t="inlineStr">
        <is>
          <t>2026-05-27</t>
        </is>
      </c>
      <c r="B1614" s="33" t="inlineStr">
        <is>
          <t>AIP</t>
        </is>
      </c>
      <c r="C1614" s="33" t="inlineStr">
        <is>
          <t>D2-Position</t>
        </is>
      </c>
      <c r="D1614" s="33" t="n">
        <v>4</v>
      </c>
      <c r="E1614" s="33" t="inlineStr">
        <is>
          <t>Upstream IP provider with 2-3 competitors (Arm, Synopsys, internal). Neutral-party advantage structural in chiplet era.</t>
        </is>
      </c>
      <c r="F1614" s="33" t="inlineStr">
        <is>
          <t>10-K FY2025 competition section, AMD FlexGen win</t>
        </is>
      </c>
      <c r="G1614" s="33" t="inlineStr">
        <is>
          <t>High</t>
        </is>
      </c>
      <c r="H1614" s="33" t="inlineStr">
        <is>
          <t>Update</t>
        </is>
      </c>
    </row>
    <row r="1615">
      <c r="A1615" s="33" t="inlineStr">
        <is>
          <t>2026-05-27</t>
        </is>
      </c>
      <c r="B1615" s="33" t="inlineStr">
        <is>
          <t>AIP</t>
        </is>
      </c>
      <c r="C1615" s="33" t="inlineStr">
        <is>
          <t>D3-Moat</t>
        </is>
      </c>
      <c r="D1615" s="33" t="n">
        <v>4</v>
      </c>
      <c r="E1615" s="33" t="inlineStr">
        <is>
          <t>Strong switching costs (full redesign to replace), ISO 26262 certification, 22yr development, 90% customer retention.</t>
        </is>
      </c>
      <c r="F1615" s="33" t="inlineStr">
        <is>
          <t>10-K FY2025, competitive analysis</t>
        </is>
      </c>
      <c r="G1615" s="33" t="inlineStr">
        <is>
          <t>High</t>
        </is>
      </c>
      <c r="H1615" s="33" t="inlineStr">
        <is>
          <t>Update</t>
        </is>
      </c>
    </row>
    <row r="1616">
      <c r="A1616" s="33" t="inlineStr">
        <is>
          <t>2026-05-27</t>
        </is>
      </c>
      <c r="B1616" s="33" t="inlineStr">
        <is>
          <t>AIP</t>
        </is>
      </c>
      <c r="C1616" s="33" t="inlineStr">
        <is>
          <t>D4-Capacity</t>
        </is>
      </c>
      <c r="D1616" s="33" t="n">
        <v>3</v>
      </c>
      <c r="E1616" s="33" t="inlineStr">
        <is>
          <t>IP company, no physical capacity. Cycuity is product expansion, not buildout. Steady-state development.</t>
        </is>
      </c>
      <c r="F1616" s="33" t="inlineStr">
        <is>
          <t>Q1 2026 10-Q, business model</t>
        </is>
      </c>
      <c r="G1616" s="33" t="inlineStr">
        <is>
          <t>Medium</t>
        </is>
      </c>
      <c r="H1616" s="33" t="inlineStr">
        <is>
          <t>Update</t>
        </is>
      </c>
    </row>
    <row r="1617">
      <c r="A1617" s="33" t="inlineStr">
        <is>
          <t>2026-05-27</t>
        </is>
      </c>
      <c r="B1617" s="33" t="inlineStr">
        <is>
          <t>AIP</t>
        </is>
      </c>
      <c r="C1617" s="33" t="inlineStr">
        <is>
          <t>M1-EPSRev</t>
        </is>
      </c>
      <c r="D1617" s="33" t="n">
        <v>4</v>
      </c>
      <c r="E1617" s="33" t="inlineStr">
        <is>
          <t>Beat-and-raise on revenue ($89-93M→$91-95M), but EPS loss widened from ($0.52) to ($0.69) due to Cycuity. Net positive but mixed.</t>
        </is>
      </c>
      <c r="F1617" s="33" t="inlineStr">
        <is>
          <t>Q1 2026 earnings, stockanalysis.com</t>
        </is>
      </c>
      <c r="G1617" s="33" t="inlineStr">
        <is>
          <t>Medium</t>
        </is>
      </c>
      <c r="H1617" s="33" t="inlineStr">
        <is>
          <t>Update</t>
        </is>
      </c>
    </row>
    <row r="1618">
      <c r="A1618" s="33" t="inlineStr">
        <is>
          <t>2026-05-27</t>
        </is>
      </c>
      <c r="B1618" s="33" t="inlineStr">
        <is>
          <t>AIP</t>
        </is>
      </c>
      <c r="C1618" s="33" t="inlineStr">
        <is>
          <t>M3-Insider</t>
        </is>
      </c>
      <c r="D1618" s="33" t="n">
        <v>2</v>
      </c>
      <c r="E1618" s="33" t="inlineStr">
        <is>
          <t>Director Raza sold 28% of holdings, Director Viana sold 48%. All 10b5-1 but exceeds 15% threshold. No buying.</t>
        </is>
      </c>
      <c r="F1618" s="33" t="inlineStr">
        <is>
          <t>SEC Form 4 filings</t>
        </is>
      </c>
      <c r="G1618" s="33" t="inlineStr">
        <is>
          <t>Medium</t>
        </is>
      </c>
      <c r="H1618" s="33" t="inlineStr">
        <is>
          <t>Update</t>
        </is>
      </c>
    </row>
    <row r="1619">
      <c r="A1619" s="33" t="inlineStr">
        <is>
          <t>2026-05-27</t>
        </is>
      </c>
      <c r="B1619" s="33" t="inlineStr">
        <is>
          <t>AIP</t>
        </is>
      </c>
      <c r="C1619" s="33" t="inlineStr">
        <is>
          <t>R2-GeoRisk</t>
        </is>
      </c>
      <c r="D1619" s="33" t="n">
        <v>3</v>
      </c>
      <c r="E1619" s="33" t="inlineStr">
        <is>
          <t>APAC = 47.6% of FY2025 revenue. China offices, 10-K flags China risk. IP licensing partially shielded from export controls but exposed.</t>
        </is>
      </c>
      <c r="F1619" s="33" t="inlineStr">
        <is>
          <t>10-K FY2025 geographic breakdown</t>
        </is>
      </c>
      <c r="G1619" s="33" t="inlineStr">
        <is>
          <t>Medium</t>
        </is>
      </c>
      <c r="H1619" s="33" t="inlineStr">
        <is>
          <t>Update</t>
        </is>
      </c>
    </row>
    <row r="1620">
      <c r="A1620" s="33" t="inlineStr">
        <is>
          <t>2026-05-28</t>
        </is>
      </c>
      <c r="B1620" s="33" t="inlineStr">
        <is>
          <t>CEVA</t>
        </is>
      </c>
      <c r="C1620" s="33" t="inlineStr">
        <is>
          <t>M3-Insider</t>
        </is>
      </c>
      <c r="D1620" s="33" t="n">
        <v>5</v>
      </c>
      <c r="E1620" s="33" t="inlineStr">
        <is>
          <t>Rubric correction: CEO+CFO+Director all bought open-market Feb 2026 = "multiple insiders buying" = 5. Prior 4 wrongly discounted on dollar size (a flagged failure mode).</t>
        </is>
      </c>
      <c r="F1620" s="33" t="inlineStr">
        <is>
          <t>SEC Form 4, rubric M3</t>
        </is>
      </c>
      <c r="G1620" s="33" t="inlineStr">
        <is>
          <t>High</t>
        </is>
      </c>
      <c r="H1620" s="33" t="inlineStr">
        <is>
          <t>Override</t>
        </is>
      </c>
    </row>
    <row r="1621">
      <c r="A1621" s="33" t="inlineStr">
        <is>
          <t>2026-05-28</t>
        </is>
      </c>
      <c r="B1621" s="33" t="inlineStr">
        <is>
          <t>AIP</t>
        </is>
      </c>
      <c r="C1621" s="33" t="inlineStr">
        <is>
          <t>M3-Insider</t>
        </is>
      </c>
      <c r="D1621" s="33" t="n">
        <v>3</v>
      </c>
      <c r="E1621" s="33" t="inlineStr">
        <is>
          <t>Rubric correction: director sales were 10b5-1 (rubric: treat as routine, post-rally default = 3). Prior 2 penalized by magnitude despite 10b5-1 nature (flagged failure mode). No buying.</t>
        </is>
      </c>
      <c r="F1621" s="33" t="inlineStr">
        <is>
          <t>SEC Form 4, rubric M3</t>
        </is>
      </c>
      <c r="G1621" s="33" t="inlineStr">
        <is>
          <t>Medium</t>
        </is>
      </c>
      <c r="H1621" s="33" t="inlineStr">
        <is>
          <t>Override</t>
        </is>
      </c>
    </row>
    <row r="1622">
      <c r="A1622" s="33" t="inlineStr">
        <is>
          <t>2026-06-05</t>
        </is>
      </c>
      <c r="B1622" s="33" t="inlineStr">
        <is>
          <t>NXT</t>
        </is>
      </c>
      <c r="C1622" s="33" t="inlineStr">
        <is>
          <t>D1</t>
        </is>
      </c>
      <c r="D1622" s="33" t="n">
        <v>2</v>
      </c>
      <c r="E1622" s="33" t="inlineStr">
        <is>
          <t>DC/AI a demand tailwind + new Prevalon BESS vector, but no disclosed material AI-tied revenue; core utility-scale solar.</t>
        </is>
      </c>
      <c r="F1622" s="33" t="inlineStr">
        <is>
          <t>10-K FY26</t>
        </is>
      </c>
      <c r="G1622" s="33" t="inlineStr">
        <is>
          <t>Med</t>
        </is>
      </c>
      <c r="H1622" s="33" t="inlineStr">
        <is>
          <t>Initial</t>
        </is>
      </c>
    </row>
    <row r="1623">
      <c r="A1623" s="33" t="inlineStr">
        <is>
          <t>2026-06-05</t>
        </is>
      </c>
      <c r="B1623" s="33" t="inlineStr">
        <is>
          <t>NXT</t>
        </is>
      </c>
      <c r="C1623" s="33" t="inlineStr">
        <is>
          <t>D2</t>
        </is>
      </c>
      <c r="D1623" s="33" t="n">
        <v>4</v>
      </c>
      <c r="E1623" s="33" t="inlineStr">
        <is>
          <t>#1 global tracker share, EBOS scale, record &gt;$5.25B backlog, firm pricing; 2-3 competitors (Array/GameChange).</t>
        </is>
      </c>
      <c r="F1623" s="33" t="inlineStr">
        <is>
          <t>context-2026-06-05.md</t>
        </is>
      </c>
      <c r="G1623" s="33" t="inlineStr">
        <is>
          <t>High</t>
        </is>
      </c>
      <c r="H1623" s="33" t="inlineStr">
        <is>
          <t>Initial</t>
        </is>
      </c>
    </row>
    <row r="1624">
      <c r="A1624" s="33" t="inlineStr">
        <is>
          <t>2026-06-05</t>
        </is>
      </c>
      <c r="B1624" s="33" t="inlineStr">
        <is>
          <t>NXT</t>
        </is>
      </c>
      <c r="C1624" s="33" t="inlineStr">
        <is>
          <t>D3</t>
        </is>
      </c>
      <c r="D1624" s="33" t="n">
        <v>3</v>
      </c>
      <c r="E1624" s="33" t="inlineStr">
        <is>
          <t>Tracking/software IP + scale + design-in switching cost, but trackers face credible competition.</t>
        </is>
      </c>
      <c r="F1624" s="33" t="inlineStr">
        <is>
          <t>context-2026-06-05.md</t>
        </is>
      </c>
      <c r="G1624" s="33" t="inlineStr">
        <is>
          <t>Med</t>
        </is>
      </c>
      <c r="H1624" s="33" t="inlineStr">
        <is>
          <t>Initial</t>
        </is>
      </c>
    </row>
    <row r="1625">
      <c r="A1625" s="33" t="inlineStr">
        <is>
          <t>2026-06-05</t>
        </is>
      </c>
      <c r="B1625" s="33" t="inlineStr">
        <is>
          <t>NXT</t>
        </is>
      </c>
      <c r="C1625" s="33" t="inlineStr">
        <is>
          <t>D4</t>
        </is>
      </c>
      <c r="D1625" s="33" t="n">
        <v>4</v>
      </c>
      <c r="E1625" s="33" t="inlineStr">
        <is>
          <t>Active M&amp;A-led expansion (Zigor + Prevalon $365M), domestic supply build, power-conversion entry.</t>
        </is>
      </c>
      <c r="F1625" s="33" t="inlineStr">
        <is>
          <t>8-K 2026-05-28</t>
        </is>
      </c>
      <c r="G1625" s="33" t="inlineStr">
        <is>
          <t>High</t>
        </is>
      </c>
      <c r="H1625" s="33" t="inlineStr">
        <is>
          <t>Initial</t>
        </is>
      </c>
    </row>
    <row r="1626">
      <c r="A1626" s="33" t="inlineStr">
        <is>
          <t>2026-06-05</t>
        </is>
      </c>
      <c r="B1626" s="33" t="inlineStr">
        <is>
          <t>NXT</t>
        </is>
      </c>
      <c r="C1626" s="33" t="inlineStr">
        <is>
          <t>D5</t>
        </is>
      </c>
      <c r="D1626" s="33" t="n">
        <v>2</v>
      </c>
      <c r="E1626" s="33" t="inlineStr">
        <is>
          <t>Indirect — sells to utilities/IPPs/developers; Prevalon adds only indirect DC linkage.</t>
        </is>
      </c>
      <c r="F1626" s="33" t="inlineStr">
        <is>
          <t>context-2026-06-05.md</t>
        </is>
      </c>
      <c r="G1626" s="33" t="inlineStr">
        <is>
          <t>Med</t>
        </is>
      </c>
      <c r="H1626" s="33" t="inlineStr">
        <is>
          <t>Initial</t>
        </is>
      </c>
    </row>
    <row r="1627">
      <c r="A1627" s="33" t="inlineStr">
        <is>
          <t>2026-06-05</t>
        </is>
      </c>
      <c r="B1627" s="33" t="inlineStr">
        <is>
          <t>NXT</t>
        </is>
      </c>
      <c r="C1627" s="33" t="inlineStr">
        <is>
          <t>M1</t>
        </is>
      </c>
      <c r="D1627" s="33" t="n">
        <v>5</v>
      </c>
      <c r="E1627" s="33" t="inlineStr">
        <is>
          <t>Beat-and-raise + PT hikes (Susquehanna $180, UBS $170, Northland, Wolfe, Jefferies) in 90d.</t>
        </is>
      </c>
      <c r="F1627" s="33" t="inlineStr">
        <is>
          <t>context-2026-06-05.md</t>
        </is>
      </c>
      <c r="G1627" s="33" t="inlineStr">
        <is>
          <t>High</t>
        </is>
      </c>
      <c r="H1627" s="33" t="inlineStr">
        <is>
          <t>Initial</t>
        </is>
      </c>
    </row>
    <row r="1628">
      <c r="A1628" s="33" t="inlineStr">
        <is>
          <t>2026-06-05</t>
        </is>
      </c>
      <c r="B1628" s="33" t="inlineStr">
        <is>
          <t>NXT</t>
        </is>
      </c>
      <c r="C1628" s="33" t="inlineStr">
        <is>
          <t>M2</t>
        </is>
      </c>
      <c r="D1628" s="33" t="n">
        <v>4</v>
      </c>
      <c r="E1628" s="33" t="inlineStr">
        <is>
          <t>~$150 near 52-wk highs after a strong run; provisional pending exact vs benchmark.</t>
        </is>
      </c>
      <c r="F1628" s="33" t="inlineStr">
        <is>
          <t>context-2026-06-05.md</t>
        </is>
      </c>
      <c r="G1628" s="33" t="inlineStr">
        <is>
          <t>Low-Med</t>
        </is>
      </c>
      <c r="H1628" s="33" t="inlineStr">
        <is>
          <t>Initial</t>
        </is>
      </c>
    </row>
    <row r="1629">
      <c r="A1629" s="33" t="inlineStr">
        <is>
          <t>2026-06-05</t>
        </is>
      </c>
      <c r="B1629" s="33" t="inlineStr">
        <is>
          <t>NXT</t>
        </is>
      </c>
      <c r="C1629" s="33" t="inlineStr">
        <is>
          <t>M3</t>
        </is>
      </c>
      <c r="D1629" s="33" t="n">
        <v>3</v>
      </c>
      <c r="E1629" s="33" t="inlineStr">
        <is>
          <t>Only 10b5-1 + sell-to-cover; CEO net economic holder; no discretionary buys → default.</t>
        </is>
      </c>
      <c r="F1629" s="33" t="inlineStr">
        <is>
          <t>Form 4s</t>
        </is>
      </c>
      <c r="G1629" s="33" t="inlineStr">
        <is>
          <t>High</t>
        </is>
      </c>
      <c r="H1629" s="33" t="inlineStr">
        <is>
          <t>Initial</t>
        </is>
      </c>
    </row>
    <row r="1630">
      <c r="A1630" s="33" t="inlineStr">
        <is>
          <t>2026-06-05</t>
        </is>
      </c>
      <c r="B1630" s="33" t="inlineStr">
        <is>
          <t>NXT</t>
        </is>
      </c>
      <c r="C1630" s="33" t="inlineStr">
        <is>
          <t>R1</t>
        </is>
      </c>
      <c r="D1630" s="33" t="n">
        <v>4</v>
      </c>
      <c r="E1630" s="33" t="inlineStr">
        <is>
          <t>Top customer (G) 17%, top-5 34%, largest AR &lt;10%; 15-25% band.</t>
        </is>
      </c>
      <c r="F1630" s="33" t="inlineStr">
        <is>
          <t>10-K FY26</t>
        </is>
      </c>
      <c r="G1630" s="33" t="inlineStr">
        <is>
          <t>High</t>
        </is>
      </c>
      <c r="H1630" s="33" t="inlineStr">
        <is>
          <t>Initial</t>
        </is>
      </c>
    </row>
    <row r="1631">
      <c r="A1631" s="33" t="inlineStr">
        <is>
          <t>2026-06-05</t>
        </is>
      </c>
      <c r="B1631" s="33" t="inlineStr">
        <is>
          <t>NXT</t>
        </is>
      </c>
      <c r="C1631" s="33" t="inlineStr">
        <is>
          <t>R2</t>
        </is>
      </c>
      <c r="D1631" s="33" t="n">
        <v>4</v>
      </c>
      <c r="E1631" s="33" t="inlineStr">
        <is>
          <t>77% US, no China export overhang; offset by Section 232 tariff + IRA 45X policy sensitivity.</t>
        </is>
      </c>
      <c r="F1631" s="33" t="inlineStr">
        <is>
          <t>10-K FY26</t>
        </is>
      </c>
      <c r="G1631" s="33" t="inlineStr">
        <is>
          <t>High</t>
        </is>
      </c>
      <c r="H1631" s="33" t="inlineStr">
        <is>
          <t>Initial</t>
        </is>
      </c>
    </row>
    <row r="1632">
      <c r="A1632" s="33" t="inlineStr">
        <is>
          <t>2026-06-05</t>
        </is>
      </c>
      <c r="B1632" s="33" t="inlineStr">
        <is>
          <t>NXT</t>
        </is>
      </c>
      <c r="C1632" s="33" t="inlineStr">
        <is>
          <t>R3</t>
        </is>
      </c>
      <c r="D1632" s="33" t="n">
        <v>5</v>
      </c>
      <c r="E1632" s="33" t="inlineStr">
        <is>
          <t>Net cash, undrawn revolver, ~$2B liquidity (two acquisitions consume some cash).</t>
        </is>
      </c>
      <c r="F1632" s="33" t="inlineStr">
        <is>
          <t>10-K FY26</t>
        </is>
      </c>
      <c r="G1632" s="33" t="inlineStr">
        <is>
          <t>High</t>
        </is>
      </c>
      <c r="H1632" s="33" t="inlineStr">
        <is>
          <t>Initial</t>
        </is>
      </c>
    </row>
    <row r="1633">
      <c r="A1633" s="33" t="inlineStr">
        <is>
          <t>2026-06-05</t>
        </is>
      </c>
      <c r="B1633" s="33" t="inlineStr">
        <is>
          <t>NXT</t>
        </is>
      </c>
      <c r="C1633" s="33" t="inlineStr">
        <is>
          <t>R4</t>
        </is>
      </c>
      <c r="D1633" s="33" t="n">
        <v>4</v>
      </c>
      <c r="E1633" s="33" t="inlineStr">
        <is>
          <t>No company-specific litigation; main risk is IRA 45X step-down + tariffs (policy/macro).</t>
        </is>
      </c>
      <c r="F1633" s="33" t="inlineStr">
        <is>
          <t>context-2026-06-05.md</t>
        </is>
      </c>
      <c r="G1633" s="33" t="inlineStr">
        <is>
          <t>Med</t>
        </is>
      </c>
      <c r="H1633" s="33" t="inlineStr">
        <is>
          <t>Initial</t>
        </is>
      </c>
    </row>
    <row r="1634">
      <c r="A1634" s="33" t="inlineStr">
        <is>
          <t>2026-06-05</t>
        </is>
      </c>
      <c r="B1634" s="33" t="inlineStr">
        <is>
          <t>AAON</t>
        </is>
      </c>
      <c r="C1634" s="33" t="inlineStr">
        <is>
          <t>D1</t>
        </is>
      </c>
      <c r="D1634" s="33" t="n">
        <v>4</v>
      </c>
      <c r="E1634" s="33" t="inlineStr">
        <is>
          <t>BASX ≈46% of Q1 rev, 76% of $2.13B backlog, hyperscale-AI-DC driven; trending &gt;50% fast.</t>
        </is>
      </c>
      <c r="F1634" s="33" t="inlineStr">
        <is>
          <t>Q1 2026 10-Q backlog</t>
        </is>
      </c>
      <c r="G1634" s="33" t="inlineStr">
        <is>
          <t>Med</t>
        </is>
      </c>
      <c r="H1634" s="33" t="inlineStr">
        <is>
          <t>Initial</t>
        </is>
      </c>
    </row>
    <row r="1635">
      <c r="A1635" s="33" t="inlineStr">
        <is>
          <t>2026-06-05</t>
        </is>
      </c>
      <c r="B1635" s="33" t="inlineStr">
        <is>
          <t>AAON</t>
        </is>
      </c>
      <c r="C1635" s="33" t="inlineStr">
        <is>
          <t>D2</t>
        </is>
      </c>
      <c r="D1635" s="33" t="n">
        <v>4</v>
      </c>
      <c r="E1635" s="33" t="inlineStr">
        <is>
          <t>Semi-custom engineered cooling, lead-time pricing power, 107% backlog growth; 2-4 viable competitors.</t>
        </is>
      </c>
      <c r="F1635" s="33" t="inlineStr">
        <is>
          <t>context-2026-06-05.md</t>
        </is>
      </c>
      <c r="G1635" s="33" t="inlineStr">
        <is>
          <t>Med</t>
        </is>
      </c>
      <c r="H1635" s="33" t="inlineStr">
        <is>
          <t>Initial</t>
        </is>
      </c>
    </row>
    <row r="1636">
      <c r="A1636" s="33" t="inlineStr">
        <is>
          <t>2026-06-05</t>
        </is>
      </c>
      <c r="B1636" s="33" t="inlineStr">
        <is>
          <t>AAON</t>
        </is>
      </c>
      <c r="C1636" s="33" t="inlineStr">
        <is>
          <t>D3</t>
        </is>
      </c>
      <c r="D1636" s="33" t="n">
        <v>3</v>
      </c>
      <c r="E1636" s="33" t="inlineStr">
        <is>
          <t>Engineering know-how + custom-job switching costs, but liquid cooling contested (Vertiv/Munters/Boyd) + outsources part of BASX.</t>
        </is>
      </c>
      <c r="F1636" s="33" t="inlineStr">
        <is>
          <t>context-2026-06-05.md</t>
        </is>
      </c>
      <c r="G1636" s="33" t="inlineStr">
        <is>
          <t>Med</t>
        </is>
      </c>
      <c r="H1636" s="33" t="inlineStr">
        <is>
          <t>Initial</t>
        </is>
      </c>
    </row>
    <row r="1637">
      <c r="A1637" s="33" t="inlineStr">
        <is>
          <t>2026-06-05</t>
        </is>
      </c>
      <c r="B1637" s="33" t="inlineStr">
        <is>
          <t>AAON</t>
        </is>
      </c>
      <c r="C1637" s="33" t="inlineStr">
        <is>
          <t>D4</t>
        </is>
      </c>
      <c r="D1637" s="33" t="n">
        <v>5</v>
      </c>
      <c r="E1637" s="33" t="inlineStr">
        <is>
          <t>Funded multi-yr buildout (Memphis/Longview/Tulsa), $52.9M Q1 capex, $2.1B backlog-backed.</t>
        </is>
      </c>
      <c r="F1637" s="33" t="inlineStr">
        <is>
          <t>Q1 2026 10-Q</t>
        </is>
      </c>
      <c r="G1637" s="33" t="inlineStr">
        <is>
          <t>High</t>
        </is>
      </c>
      <c r="H1637" s="33" t="inlineStr">
        <is>
          <t>Initial</t>
        </is>
      </c>
    </row>
    <row r="1638">
      <c r="A1638" s="33" t="inlineStr">
        <is>
          <t>2026-06-05</t>
        </is>
      </c>
      <c r="B1638" s="33" t="inlineStr">
        <is>
          <t>AAON</t>
        </is>
      </c>
      <c r="C1638" s="33" t="inlineStr">
        <is>
          <t>D5</t>
        </is>
      </c>
      <c r="D1638" s="33" t="n">
        <v>4</v>
      </c>
      <c r="E1638" s="33" t="inlineStr">
        <is>
          <t>Backlog overwhelmingly DC/hyperscale; concentration % undisclosed so not a confirmed 5.</t>
        </is>
      </c>
      <c r="F1638" s="33" t="inlineStr">
        <is>
          <t>Q1 2026 10-Q</t>
        </is>
      </c>
      <c r="G1638" s="33" t="inlineStr">
        <is>
          <t>Low</t>
        </is>
      </c>
      <c r="H1638" s="33" t="inlineStr">
        <is>
          <t>Initial</t>
        </is>
      </c>
    </row>
    <row r="1639">
      <c r="A1639" s="33" t="inlineStr">
        <is>
          <t>2026-06-05</t>
        </is>
      </c>
      <c r="B1639" s="33" t="inlineStr">
        <is>
          <t>AAON</t>
        </is>
      </c>
      <c r="C1639" s="33" t="inlineStr">
        <is>
          <t>M1</t>
        </is>
      </c>
      <c r="D1639" s="33" t="n">
        <v>5</v>
      </c>
      <c r="E1639" s="33" t="inlineStr">
        <is>
          <t>Beat-and-raise; 3 up/0 down 90d; FY guide raised to +40-45% rev.</t>
        </is>
      </c>
      <c r="F1639" s="33" t="inlineStr">
        <is>
          <t>context-2026-06-05.md</t>
        </is>
      </c>
      <c r="G1639" s="33" t="inlineStr">
        <is>
          <t>High</t>
        </is>
      </c>
      <c r="H1639" s="33" t="inlineStr">
        <is>
          <t>Initial</t>
        </is>
      </c>
    </row>
    <row r="1640">
      <c r="A1640" s="33" t="inlineStr">
        <is>
          <t>2026-06-05</t>
        </is>
      </c>
      <c r="B1640" s="33" t="inlineStr">
        <is>
          <t>AAON</t>
        </is>
      </c>
      <c r="C1640" s="33" t="inlineStr">
        <is>
          <t>M2</t>
        </is>
      </c>
      <c r="D1640" s="33" t="n">
        <v>5</v>
      </c>
      <c r="E1640" s="33" t="inlineStr">
        <is>
          <t>At all-time highs, large outperformance vs XLI.</t>
        </is>
      </c>
      <c r="F1640" s="33" t="inlineStr">
        <is>
          <t>context-2026-06-05.md</t>
        </is>
      </c>
      <c r="G1640" s="33" t="inlineStr">
        <is>
          <t>High</t>
        </is>
      </c>
      <c r="H1640" s="33" t="inlineStr">
        <is>
          <t>Initial</t>
        </is>
      </c>
    </row>
    <row r="1641">
      <c r="A1641" s="33" t="inlineStr">
        <is>
          <t>2026-06-05</t>
        </is>
      </c>
      <c r="B1641" s="33" t="inlineStr">
        <is>
          <t>AAON</t>
        </is>
      </c>
      <c r="C1641" s="33" t="inlineStr">
        <is>
          <t>M3</t>
        </is>
      </c>
      <c r="D1641" s="33" t="n">
        <v>3</v>
      </c>
      <c r="E1641" s="33" t="inlineStr">
        <is>
          <t>Heavy director selling (Fields) post-CEO transition but NO open-market buys → diversification default; verify 10b5-1 vs discretionary.</t>
        </is>
      </c>
      <c r="F1641" s="33" t="inlineStr">
        <is>
          <t>Form 4s</t>
        </is>
      </c>
      <c r="G1641" s="33" t="inlineStr">
        <is>
          <t>Med</t>
        </is>
      </c>
      <c r="H1641" s="33" t="inlineStr">
        <is>
          <t>Initial</t>
        </is>
      </c>
    </row>
    <row r="1642">
      <c r="A1642" s="33" t="inlineStr">
        <is>
          <t>2026-06-05</t>
        </is>
      </c>
      <c r="B1642" s="33" t="inlineStr">
        <is>
          <t>AAON</t>
        </is>
      </c>
      <c r="C1642" s="33" t="inlineStr">
        <is>
          <t>R1</t>
        </is>
      </c>
      <c r="D1642" s="33" t="n">
        <v>3</v>
      </c>
      <c r="E1642" s="33" t="inlineStr">
        <is>
          <t>Mgmt flags 'increased near-term concentration' from large DC orders; historically none &gt;10%; unquantified.</t>
        </is>
      </c>
      <c r="F1642" s="33" t="inlineStr">
        <is>
          <t>Q1 2026 10-Q MD&amp;A</t>
        </is>
      </c>
      <c r="G1642" s="33" t="inlineStr">
        <is>
          <t>Low</t>
        </is>
      </c>
      <c r="H1642" s="33" t="inlineStr">
        <is>
          <t>Initial</t>
        </is>
      </c>
    </row>
    <row r="1643">
      <c r="A1643" s="33" t="inlineStr">
        <is>
          <t>2026-06-05</t>
        </is>
      </c>
      <c r="B1643" s="33" t="inlineStr">
        <is>
          <t>AAON</t>
        </is>
      </c>
      <c r="C1643" s="33" t="inlineStr">
        <is>
          <t>R2</t>
        </is>
      </c>
      <c r="D1643" s="33" t="n">
        <v>5</v>
      </c>
      <c r="E1643" s="33" t="inlineStr">
        <is>
          <t>US-domestic manufacturer; no China revenue, no export-controlled tech.</t>
        </is>
      </c>
      <c r="F1643" s="33" t="inlineStr">
        <is>
          <t>context-2026-06-05.md</t>
        </is>
      </c>
      <c r="G1643" s="33" t="inlineStr">
        <is>
          <t>High</t>
        </is>
      </c>
      <c r="H1643" s="33" t="inlineStr">
        <is>
          <t>Initial</t>
        </is>
      </c>
    </row>
    <row r="1644">
      <c r="A1644" s="33" t="inlineStr">
        <is>
          <t>2026-06-05</t>
        </is>
      </c>
      <c r="B1644" s="33" t="inlineStr">
        <is>
          <t>AAON</t>
        </is>
      </c>
      <c r="C1644" s="33" t="inlineStr">
        <is>
          <t>R3</t>
        </is>
      </c>
      <c r="D1644" s="33" t="n">
        <v>4</v>
      </c>
      <c r="E1644" s="33" t="inlineStr">
        <is>
          <t>Flipped to ~$425M revolver drawn/~$0 cash, but ND/EBITDA &lt;2x vs ~$300M EBITDA + strong FCF.</t>
        </is>
      </c>
      <c r="F1644" s="33" t="inlineStr">
        <is>
          <t>Q1 2026 10-Q</t>
        </is>
      </c>
      <c r="G1644" s="33" t="inlineStr">
        <is>
          <t>Med</t>
        </is>
      </c>
      <c r="H1644" s="33" t="inlineStr">
        <is>
          <t>Initial</t>
        </is>
      </c>
    </row>
    <row r="1645">
      <c r="A1645" s="33" t="inlineStr">
        <is>
          <t>2026-06-05</t>
        </is>
      </c>
      <c r="B1645" s="33" t="inlineStr">
        <is>
          <t>AAON</t>
        </is>
      </c>
      <c r="C1645" s="33" t="inlineStr">
        <is>
          <t>R4</t>
        </is>
      </c>
      <c r="D1645" s="33" t="n">
        <v>5</v>
      </c>
      <c r="E1645" s="33" t="inlineStr">
        <is>
          <t>No material legal proceedings disclosed.</t>
        </is>
      </c>
      <c r="F1645" s="33" t="inlineStr">
        <is>
          <t>context-2026-06-05.md</t>
        </is>
      </c>
      <c r="G1645" s="33" t="inlineStr">
        <is>
          <t>High</t>
        </is>
      </c>
      <c r="H1645" s="33" t="inlineStr">
        <is>
          <t>Initial</t>
        </is>
      </c>
    </row>
    <row r="1646">
      <c r="A1646" s="33" t="inlineStr">
        <is>
          <t>2026-06-05</t>
        </is>
      </c>
      <c r="B1646" s="33" t="inlineStr">
        <is>
          <t>BESIY</t>
        </is>
      </c>
      <c r="C1646" s="33" t="inlineStr">
        <is>
          <t>D1</t>
        </is>
      </c>
      <c r="D1646" s="33" t="n">
        <v>4</v>
      </c>
      <c r="E1646" s="33" t="inlineStr">
        <is>
          <t>Hybrid bonding ~1/3 of rev (~€476M 2026E); 2.5D AI computing the growth driver; mobile/auto keep AI &lt;50%.</t>
        </is>
      </c>
      <c r="F1646" s="33" t="inlineStr">
        <is>
          <t>context-2026-06-05.md; Q1-26 release (GlobeNewswire 2026-04-23)</t>
        </is>
      </c>
      <c r="G1646" s="33" t="inlineStr">
        <is>
          <t>Med</t>
        </is>
      </c>
      <c r="H1646" s="33" t="inlineStr">
        <is>
          <t>Initial</t>
        </is>
      </c>
    </row>
    <row r="1647">
      <c r="A1647" s="33" t="inlineStr">
        <is>
          <t>2026-06-05</t>
        </is>
      </c>
      <c r="B1647" s="33" t="inlineStr">
        <is>
          <t>BESIY</t>
        </is>
      </c>
      <c r="C1647" s="33" t="inlineStr">
        <is>
          <t>D2</t>
        </is>
      </c>
      <c r="D1647" s="33" t="n">
        <v>4</v>
      </c>
      <c r="E1647" s="33" t="inlineStr">
        <is>
          <t>Upstream advanced-packaging bottleneck, qualified at TSMC/ASE; duopoly w/ ASMPT, not a monopoly.</t>
        </is>
      </c>
      <c r="F1647" s="33" t="inlineStr">
        <is>
          <t>context-2026-06-05.md</t>
        </is>
      </c>
      <c r="G1647" s="33" t="inlineStr">
        <is>
          <t>Med-High</t>
        </is>
      </c>
      <c r="H1647" s="33" t="inlineStr">
        <is>
          <t>Initial</t>
        </is>
      </c>
    </row>
    <row r="1648">
      <c r="A1648" s="33" t="inlineStr">
        <is>
          <t>2026-06-05</t>
        </is>
      </c>
      <c r="B1648" s="33" t="inlineStr">
        <is>
          <t>BESIY</t>
        </is>
      </c>
      <c r="C1648" s="33" t="inlineStr">
        <is>
          <t>D3</t>
        </is>
      </c>
      <c r="D1648" s="33" t="n">
        <v>4</v>
      </c>
      <c r="E1648" s="33" t="inlineStr">
        <is>
          <t>Deep hybrid-bonding process IP + customer qual + AMAT D2W partnership; one credible competitor caps below 5.</t>
        </is>
      </c>
      <c r="F1648" s="33" t="inlineStr">
        <is>
          <t>context-2026-06-05.md</t>
        </is>
      </c>
      <c r="G1648" s="33" t="inlineStr">
        <is>
          <t>Med</t>
        </is>
      </c>
      <c r="H1648" s="33" t="inlineStr">
        <is>
          <t>Initial</t>
        </is>
      </c>
    </row>
    <row r="1649">
      <c r="A1649" s="33" t="inlineStr">
        <is>
          <t>2026-06-05</t>
        </is>
      </c>
      <c r="B1649" s="33" t="inlineStr">
        <is>
          <t>BESIY</t>
        </is>
      </c>
      <c r="C1649" s="33" t="inlineStr">
        <is>
          <t>D4</t>
        </is>
      </c>
      <c r="D1649" s="33" t="n">
        <v>4</v>
      </c>
      <c r="E1649" s="33" t="inlineStr">
        <is>
          <t>Asset-light scaling into up-cycle funded by net cash; expansion, not a multi-decade capex megaproject.</t>
        </is>
      </c>
      <c r="F1649" s="33" t="inlineStr">
        <is>
          <t>context-2026-06-05.md</t>
        </is>
      </c>
      <c r="G1649" s="33" t="inlineStr">
        <is>
          <t>Med</t>
        </is>
      </c>
      <c r="H1649" s="33" t="inlineStr">
        <is>
          <t>Initial</t>
        </is>
      </c>
    </row>
    <row r="1650">
      <c r="A1650" s="33" t="inlineStr">
        <is>
          <t>2026-06-05</t>
        </is>
      </c>
      <c r="B1650" s="33" t="inlineStr">
        <is>
          <t>BESIY</t>
        </is>
      </c>
      <c r="C1650" s="33" t="inlineStr">
        <is>
          <t>D5</t>
        </is>
      </c>
      <c r="D1650" s="33" t="n">
        <v>3</v>
      </c>
      <c r="E1650" s="33" t="inlineStr">
        <is>
          <t>Indirect — sells to foundries/OSAT/memory serving hyperscalers; no direct hyperscaler revenue.</t>
        </is>
      </c>
      <c r="F1650" s="33" t="inlineStr">
        <is>
          <t>context-2026-06-05.md</t>
        </is>
      </c>
      <c r="G1650" s="33" t="inlineStr">
        <is>
          <t>Med</t>
        </is>
      </c>
      <c r="H1650" s="33" t="inlineStr">
        <is>
          <t>Initial</t>
        </is>
      </c>
    </row>
    <row r="1651">
      <c r="A1651" s="33" t="inlineStr">
        <is>
          <t>2026-06-05</t>
        </is>
      </c>
      <c r="B1651" s="33" t="inlineStr">
        <is>
          <t>BESIY</t>
        </is>
      </c>
      <c r="C1651" s="33" t="inlineStr">
        <is>
          <t>M1</t>
        </is>
      </c>
      <c r="D1651" s="33" t="n">
        <v>5</v>
      </c>
      <c r="E1651" s="33" t="inlineStr">
        <is>
          <t>Q1-26 beat-and-raise; consensus +12.9%/3mo; multiple PT hikes (JPM €266 OW).</t>
        </is>
      </c>
      <c r="F1651" s="33" t="inlineStr">
        <is>
          <t>Q1-26 release; macrotrends/gurufocus</t>
        </is>
      </c>
      <c r="G1651" s="33" t="inlineStr">
        <is>
          <t>High</t>
        </is>
      </c>
      <c r="H1651" s="33" t="inlineStr">
        <is>
          <t>Initial</t>
        </is>
      </c>
    </row>
    <row r="1652">
      <c r="A1652" s="33" t="inlineStr">
        <is>
          <t>2026-06-05</t>
        </is>
      </c>
      <c r="B1652" s="33" t="inlineStr">
        <is>
          <t>BESIY</t>
        </is>
      </c>
      <c r="C1652" s="33" t="inlineStr">
        <is>
          <t>M2</t>
        </is>
      </c>
      <c r="D1652" s="33" t="n">
        <v>5</v>
      </c>
      <c r="E1652" s="33" t="inlineStr">
        <is>
          <t>Near 52-wk high, ~2.8x 1-yr range, leading the AI-packaging theme.</t>
        </is>
      </c>
      <c r="F1652" s="33" t="inlineStr">
        <is>
          <t>context-2026-06-05.md</t>
        </is>
      </c>
      <c r="G1652" s="33" t="inlineStr">
        <is>
          <t>Med</t>
        </is>
      </c>
      <c r="H1652" s="33" t="inlineStr">
        <is>
          <t>Initial</t>
        </is>
      </c>
    </row>
    <row r="1653">
      <c r="A1653" s="33" t="inlineStr">
        <is>
          <t>2026-06-05</t>
        </is>
      </c>
      <c r="B1653" s="33" t="inlineStr">
        <is>
          <t>BESIY</t>
        </is>
      </c>
      <c r="C1653" s="33" t="inlineStr">
        <is>
          <t>M3</t>
        </is>
      </c>
      <c r="D1653" s="33" t="n">
        <v>5</v>
      </c>
      <c r="E1653" s="33" t="inlineStr">
        <is>
          <t>Chairman Blickman open-market buy ~€9.7M @€96.81; insiders net buyers 12mo (rubric: buying→5).</t>
        </is>
      </c>
      <c r="F1653" s="33" t="inlineStr">
        <is>
          <t>Yahoo Finance insider 2026</t>
        </is>
      </c>
      <c r="G1653" s="33" t="inlineStr">
        <is>
          <t>High</t>
        </is>
      </c>
      <c r="H1653" s="33" t="inlineStr">
        <is>
          <t>Initial</t>
        </is>
      </c>
    </row>
    <row r="1654">
      <c r="A1654" s="33" t="inlineStr">
        <is>
          <t>2026-06-05</t>
        </is>
      </c>
      <c r="B1654" s="33" t="inlineStr">
        <is>
          <t>BESIY</t>
        </is>
      </c>
      <c r="C1654" s="33" t="inlineStr">
        <is>
          <t>R1</t>
        </is>
      </c>
      <c r="D1654" s="33" t="n">
        <v>3</v>
      </c>
      <c r="E1654" s="33" t="inlineStr">
        <is>
          <t>Structurally concentrated (TSMC/Samsung/SK hynix/ASE) niche tool mkt; no clean &gt;10% disclosure.</t>
        </is>
      </c>
      <c r="F1654" s="33" t="inlineStr">
        <is>
          <t>context-2026-06-05.md</t>
        </is>
      </c>
      <c r="G1654" s="33" t="inlineStr">
        <is>
          <t>Low-Med</t>
        </is>
      </c>
      <c r="H1654" s="33" t="inlineStr">
        <is>
          <t>Initial</t>
        </is>
      </c>
    </row>
    <row r="1655">
      <c r="A1655" s="33" t="inlineStr">
        <is>
          <t>2026-06-05</t>
        </is>
      </c>
      <c r="B1655" s="33" t="inlineStr">
        <is>
          <t>BESIY</t>
        </is>
      </c>
      <c r="C1655" s="33" t="inlineStr">
        <is>
          <t>R2</t>
        </is>
      </c>
      <c r="D1655" s="33" t="n">
        <v>2</v>
      </c>
      <c r="E1655" s="33" t="inlineStr">
        <is>
          <t>46% China revenue, 87% Asia; advanced-packaging tools are export-control-sensitive.</t>
        </is>
      </c>
      <c r="F1655" s="33" t="inlineStr">
        <is>
          <t>Q1-26 release geo split</t>
        </is>
      </c>
      <c r="G1655" s="33" t="inlineStr">
        <is>
          <t>Med</t>
        </is>
      </c>
      <c r="H1655" s="33" t="inlineStr">
        <is>
          <t>Initial</t>
        </is>
      </c>
    </row>
    <row r="1656">
      <c r="A1656" s="33" t="inlineStr">
        <is>
          <t>2026-06-05</t>
        </is>
      </c>
      <c r="B1656" s="33" t="inlineStr">
        <is>
          <t>BESIY</t>
        </is>
      </c>
      <c r="C1656" s="33" t="inlineStr">
        <is>
          <t>R3</t>
        </is>
      </c>
      <c r="D1656" s="33" t="n">
        <v>5</v>
      </c>
      <c r="E1656" s="33" t="inlineStr">
        <is>
          <t>Net cash €103M, gross cash €611M, strong FCF, no debt.</t>
        </is>
      </c>
      <c r="F1656" s="33" t="inlineStr">
        <is>
          <t>Q1-26 release</t>
        </is>
      </c>
      <c r="G1656" s="33" t="inlineStr">
        <is>
          <t>High</t>
        </is>
      </c>
      <c r="H1656" s="33" t="inlineStr">
        <is>
          <t>Initial</t>
        </is>
      </c>
    </row>
    <row r="1657">
      <c r="A1657" s="33" t="inlineStr">
        <is>
          <t>2026-06-05</t>
        </is>
      </c>
      <c r="B1657" s="33" t="inlineStr">
        <is>
          <t>BESIY</t>
        </is>
      </c>
      <c r="C1657" s="33" t="inlineStr">
        <is>
          <t>R4</t>
        </is>
      </c>
      <c r="D1657" s="33" t="n">
        <v>4</v>
      </c>
      <c r="E1657" s="33" t="inlineStr">
        <is>
          <t>No material litigation; primary regulatory vector is export controls (captured in R2).</t>
        </is>
      </c>
      <c r="F1657" s="33" t="inlineStr">
        <is>
          <t>context-2026-06-05.md</t>
        </is>
      </c>
      <c r="G1657" s="33" t="inlineStr">
        <is>
          <t>Med</t>
        </is>
      </c>
      <c r="H1657" s="33" t="inlineStr">
        <is>
          <t>Initial</t>
        </is>
      </c>
    </row>
    <row r="1658">
      <c r="A1658" s="33" t="inlineStr">
        <is>
          <t>2026-06-05</t>
        </is>
      </c>
      <c r="B1658" s="33" t="inlineStr">
        <is>
          <t>FORM</t>
        </is>
      </c>
      <c r="C1658" s="33" t="inlineStr">
        <is>
          <t>D1</t>
        </is>
      </c>
      <c r="D1658" s="33" t="n">
        <v>4</v>
      </c>
      <c r="E1658" s="33" t="inlineStr">
        <is>
          <t>DRAM 36.7% (HBM-led) + large AI-networking/HPC slice of F&amp;L 49.2%; AI the growth engine.</t>
        </is>
      </c>
      <c r="F1658" s="33" t="inlineStr">
        <is>
          <t>Q1 FY26 10-Q segments</t>
        </is>
      </c>
      <c r="G1658" s="33" t="inlineStr">
        <is>
          <t>Med</t>
        </is>
      </c>
      <c r="H1658" s="33" t="inlineStr">
        <is>
          <t>Initial</t>
        </is>
      </c>
    </row>
    <row r="1659">
      <c r="A1659" s="33" t="inlineStr">
        <is>
          <t>2026-06-05</t>
        </is>
      </c>
      <c r="B1659" s="33" t="inlineStr">
        <is>
          <t>FORM</t>
        </is>
      </c>
      <c r="C1659" s="33" t="inlineStr">
        <is>
          <t>D2</t>
        </is>
      </c>
      <c r="D1659" s="33" t="n">
        <v>4</v>
      </c>
      <c r="E1659" s="33" t="inlineStr">
        <is>
          <t>Upstream consumable, #1 share (~28.5%) in ~60% top-3 oligopoly; not 5 — Technoprobe gaining.</t>
        </is>
      </c>
      <c r="F1659" s="33" t="inlineStr">
        <is>
          <t>context-2026-06-05.md</t>
        </is>
      </c>
      <c r="G1659" s="33" t="inlineStr">
        <is>
          <t>High</t>
        </is>
      </c>
      <c r="H1659" s="33" t="inlineStr">
        <is>
          <t>Initial</t>
        </is>
      </c>
    </row>
    <row r="1660">
      <c r="A1660" s="33" t="inlineStr">
        <is>
          <t>2026-06-05</t>
        </is>
      </c>
      <c r="B1660" s="33" t="inlineStr">
        <is>
          <t>FORM</t>
        </is>
      </c>
      <c r="C1660" s="33" t="inlineStr">
        <is>
          <t>D3</t>
        </is>
      </c>
      <c r="D1660" s="33" t="n">
        <v>4</v>
      </c>
      <c r="E1660" s="33" t="inlineStr">
        <is>
          <t>MEMS/process IP + qual entanglement + scale; tempered by Technoprobe ~30% of TSMC 2nm quals.</t>
        </is>
      </c>
      <c r="F1660" s="33" t="inlineStr">
        <is>
          <t>context-2026-06-05.md</t>
        </is>
      </c>
      <c r="G1660" s="33" t="inlineStr">
        <is>
          <t>Med</t>
        </is>
      </c>
      <c r="H1660" s="33" t="inlineStr">
        <is>
          <t>Initial</t>
        </is>
      </c>
    </row>
    <row r="1661">
      <c r="A1661" s="33" t="inlineStr">
        <is>
          <t>2026-06-05</t>
        </is>
      </c>
      <c r="B1661" s="33" t="inlineStr">
        <is>
          <t>FORM</t>
        </is>
      </c>
      <c r="C1661" s="33" t="inlineStr">
        <is>
          <t>D4</t>
        </is>
      </c>
      <c r="D1661" s="33" t="n">
        <v>4</v>
      </c>
      <c r="E1661" s="33" t="inlineStr">
        <is>
          <t>Farmers Branch $140-170M 2026 build, funded, initial capacity late-2026.</t>
        </is>
      </c>
      <c r="F1661" s="33" t="inlineStr">
        <is>
          <t>Q1 FY26 10-Q</t>
        </is>
      </c>
      <c r="G1661" s="33" t="inlineStr">
        <is>
          <t>Med</t>
        </is>
      </c>
      <c r="H1661" s="33" t="inlineStr">
        <is>
          <t>Initial</t>
        </is>
      </c>
    </row>
    <row r="1662">
      <c r="A1662" s="33" t="inlineStr">
        <is>
          <t>2026-06-05</t>
        </is>
      </c>
      <c r="B1662" s="33" t="inlineStr">
        <is>
          <t>FORM</t>
        </is>
      </c>
      <c r="C1662" s="33" t="inlineStr">
        <is>
          <t>D5</t>
        </is>
      </c>
      <c r="D1662" s="33" t="n">
        <v>3</v>
      </c>
      <c r="E1662" s="33" t="inlineStr">
        <is>
          <t>Sells to memory/foundry + NVIDIA (10.2%), not hyperscalers directly.</t>
        </is>
      </c>
      <c r="F1662" s="33" t="inlineStr">
        <is>
          <t>Q1 FY26 10-Q</t>
        </is>
      </c>
      <c r="G1662" s="33" t="inlineStr">
        <is>
          <t>Med</t>
        </is>
      </c>
      <c r="H1662" s="33" t="inlineStr">
        <is>
          <t>Initial</t>
        </is>
      </c>
    </row>
    <row r="1663">
      <c r="A1663" s="33" t="inlineStr">
        <is>
          <t>2026-06-05</t>
        </is>
      </c>
      <c r="B1663" s="33" t="inlineStr">
        <is>
          <t>FORM</t>
        </is>
      </c>
      <c r="C1663" s="33" t="inlineStr">
        <is>
          <t>M1</t>
        </is>
      </c>
      <c r="D1663" s="33" t="n">
        <v>5</v>
      </c>
      <c r="E1663" s="33" t="inlineStr">
        <is>
          <t>Beat-and-raise; Zacks Rank #1, Q2/Q3/FY26 raised.</t>
        </is>
      </c>
      <c r="F1663" s="33" t="inlineStr">
        <is>
          <t>context-2026-06-05.md</t>
        </is>
      </c>
      <c r="G1663" s="33" t="inlineStr">
        <is>
          <t>High</t>
        </is>
      </c>
      <c r="H1663" s="33" t="inlineStr">
        <is>
          <t>Initial</t>
        </is>
      </c>
    </row>
    <row r="1664">
      <c r="A1664" s="33" t="inlineStr">
        <is>
          <t>2026-06-05</t>
        </is>
      </c>
      <c r="B1664" s="33" t="inlineStr">
        <is>
          <t>FORM</t>
        </is>
      </c>
      <c r="C1664" s="33" t="inlineStr">
        <is>
          <t>M2</t>
        </is>
      </c>
      <c r="D1664" s="33" t="n">
        <v>5</v>
      </c>
      <c r="E1664" s="33" t="inlineStr">
        <is>
          <t>+371% TTM, far ahead of SOXX/SMH.</t>
        </is>
      </c>
      <c r="F1664" s="33" t="inlineStr">
        <is>
          <t>context-2026-06-05.md</t>
        </is>
      </c>
      <c r="G1664" s="33" t="inlineStr">
        <is>
          <t>High</t>
        </is>
      </c>
      <c r="H1664" s="33" t="inlineStr">
        <is>
          <t>Initial</t>
        </is>
      </c>
    </row>
    <row r="1665">
      <c r="A1665" s="33" t="inlineStr">
        <is>
          <t>2026-06-05</t>
        </is>
      </c>
      <c r="B1665" s="33" t="inlineStr">
        <is>
          <t>FORM</t>
        </is>
      </c>
      <c r="C1665" s="33" t="inlineStr">
        <is>
          <t>M3</t>
        </is>
      </c>
      <c r="D1665" s="33" t="n">
        <v>3</v>
      </c>
      <c r="E1665" s="33" t="inlineStr">
        <is>
          <t>No open-market buys; CEO 9,438 sh via 10b5-1, routine director sells → default 3.</t>
        </is>
      </c>
      <c r="F1665" s="33" t="inlineStr">
        <is>
          <t>Form 4s</t>
        </is>
      </c>
      <c r="G1665" s="33" t="inlineStr">
        <is>
          <t>High</t>
        </is>
      </c>
      <c r="H1665" s="33" t="inlineStr">
        <is>
          <t>Initial</t>
        </is>
      </c>
    </row>
    <row r="1666">
      <c r="A1666" s="33" t="inlineStr">
        <is>
          <t>2026-06-05</t>
        </is>
      </c>
      <c r="B1666" s="33" t="inlineStr">
        <is>
          <t>FORM</t>
        </is>
      </c>
      <c r="C1666" s="33" t="inlineStr">
        <is>
          <t>R1</t>
        </is>
      </c>
      <c r="D1666" s="33" t="n">
        <v>3</v>
      </c>
      <c r="E1666" s="33" t="inlineStr">
        <is>
          <t>SK hynix 29.5%, NVIDIA 10.2%; real dependence, not existential.</t>
        </is>
      </c>
      <c r="F1666" s="33" t="inlineStr">
        <is>
          <t>Q1 FY26 10-Q Note 2</t>
        </is>
      </c>
      <c r="G1666" s="33" t="inlineStr">
        <is>
          <t>High</t>
        </is>
      </c>
      <c r="H1666" s="33" t="inlineStr">
        <is>
          <t>Initial</t>
        </is>
      </c>
    </row>
    <row r="1667">
      <c r="A1667" s="33" t="inlineStr">
        <is>
          <t>2026-06-05</t>
        </is>
      </c>
      <c r="B1667" s="33" t="inlineStr">
        <is>
          <t>FORM</t>
        </is>
      </c>
      <c r="C1667" s="33" t="inlineStr">
        <is>
          <t>R2</t>
        </is>
      </c>
      <c r="D1667" s="33" t="n">
        <v>4</v>
      </c>
      <c r="E1667" s="33" t="inlineStr">
        <is>
          <t>China only 5% and declining; Korea/Taiwan heavy but no probe-card export overhang.</t>
        </is>
      </c>
      <c r="F1667" s="33" t="inlineStr">
        <is>
          <t>Q1 FY26 10-Q geo</t>
        </is>
      </c>
      <c r="G1667" s="33" t="inlineStr">
        <is>
          <t>Med</t>
        </is>
      </c>
      <c r="H1667" s="33" t="inlineStr">
        <is>
          <t>Initial</t>
        </is>
      </c>
    </row>
    <row r="1668">
      <c r="A1668" s="33" t="inlineStr">
        <is>
          <t>2026-06-05</t>
        </is>
      </c>
      <c r="B1668" s="33" t="inlineStr">
        <is>
          <t>FORM</t>
        </is>
      </c>
      <c r="C1668" s="33" t="inlineStr">
        <is>
          <t>R3</t>
        </is>
      </c>
      <c r="D1668" s="33" t="n">
        <v>5</v>
      </c>
      <c r="E1668" s="33" t="inlineStr">
        <is>
          <t>Net cash $303M, negligible debt, undrawn revolver.</t>
        </is>
      </c>
      <c r="F1668" s="33" t="inlineStr">
        <is>
          <t>Q1 FY26 10-Q</t>
        </is>
      </c>
      <c r="G1668" s="33" t="inlineStr">
        <is>
          <t>High</t>
        </is>
      </c>
      <c r="H1668" s="33" t="inlineStr">
        <is>
          <t>Initial</t>
        </is>
      </c>
    </row>
    <row r="1669">
      <c r="A1669" s="33" t="inlineStr">
        <is>
          <t>2026-06-05</t>
        </is>
      </c>
      <c r="B1669" s="33" t="inlineStr">
        <is>
          <t>FORM</t>
        </is>
      </c>
      <c r="C1669" s="33" t="inlineStr">
        <is>
          <t>R4</t>
        </is>
      </c>
      <c r="D1669" s="33" t="n">
        <v>4</v>
      </c>
      <c r="E1669" s="33" t="inlineStr">
        <is>
          <t>No material litigation/regulatory overhang; routine only.</t>
        </is>
      </c>
      <c r="F1669" s="33" t="inlineStr">
        <is>
          <t>context-2026-06-05.md</t>
        </is>
      </c>
      <c r="G1669" s="33" t="inlineStr">
        <is>
          <t>Med</t>
        </is>
      </c>
      <c r="H1669" s="33" t="inlineStr">
        <is>
          <t>Initial</t>
        </is>
      </c>
    </row>
    <row r="1670">
      <c r="A1670" s="33" t="inlineStr">
        <is>
          <t>2026-06-05</t>
        </is>
      </c>
      <c r="B1670" s="33" t="inlineStr">
        <is>
          <t>AEIS</t>
        </is>
      </c>
      <c r="C1670" s="33" t="inlineStr">
        <is>
          <t>D1</t>
        </is>
      </c>
      <c r="D1670" s="33" t="n">
        <v>4</v>
      </c>
      <c r="E1670" s="33" t="inlineStr">
        <is>
          <t>DC Computing 38% (≈all AI) + AI slice of leading-edge semi; 25-50% band, top end.</t>
        </is>
      </c>
      <c r="F1670" s="33" t="inlineStr">
        <is>
          <t>Q1 2026 10-Q segments</t>
        </is>
      </c>
      <c r="G1670" s="33" t="inlineStr">
        <is>
          <t>Med</t>
        </is>
      </c>
      <c r="H1670" s="33" t="inlineStr">
        <is>
          <t>Initial</t>
        </is>
      </c>
    </row>
    <row r="1671">
      <c r="A1671" s="33" t="inlineStr">
        <is>
          <t>2026-06-05</t>
        </is>
      </c>
      <c r="B1671" s="33" t="inlineStr">
        <is>
          <t>AEIS</t>
        </is>
      </c>
      <c r="C1671" s="33" t="inlineStr">
        <is>
          <t>D2</t>
        </is>
      </c>
      <c r="D1671" s="33" t="n">
        <v>4</v>
      </c>
      <c r="E1671" s="33" t="inlineStr">
        <is>
          <t>Plasma power for etch/dep differentiated; few alternatives (MKS rival); margins firming.</t>
        </is>
      </c>
      <c r="F1671" s="33" t="inlineStr">
        <is>
          <t>context-2026-06-05.md</t>
        </is>
      </c>
      <c r="G1671" s="33" t="inlineStr">
        <is>
          <t>Med-High</t>
        </is>
      </c>
      <c r="H1671" s="33" t="inlineStr">
        <is>
          <t>Initial</t>
        </is>
      </c>
    </row>
    <row r="1672">
      <c r="A1672" s="33" t="inlineStr">
        <is>
          <t>2026-06-05</t>
        </is>
      </c>
      <c r="B1672" s="33" t="inlineStr">
        <is>
          <t>AEIS</t>
        </is>
      </c>
      <c r="C1672" s="33" t="inlineStr">
        <is>
          <t>D3</t>
        </is>
      </c>
      <c r="D1672" s="33" t="n">
        <v>3</v>
      </c>
      <c r="E1672" s="33" t="inlineStr">
        <is>
          <t>Plasma-power IP + OEM design-in switching costs real, but DC power contested (Vicor/Delta/Flex).</t>
        </is>
      </c>
      <c r="F1672" s="33" t="inlineStr">
        <is>
          <t>context-2026-06-05.md</t>
        </is>
      </c>
      <c r="G1672" s="33" t="inlineStr">
        <is>
          <t>Med</t>
        </is>
      </c>
      <c r="H1672" s="33" t="inlineStr">
        <is>
          <t>Initial</t>
        </is>
      </c>
    </row>
    <row r="1673">
      <c r="A1673" s="33" t="inlineStr">
        <is>
          <t>2026-06-05</t>
        </is>
      </c>
      <c r="B1673" s="33" t="inlineStr">
        <is>
          <t>AEIS</t>
        </is>
      </c>
      <c r="C1673" s="33" t="inlineStr">
        <is>
          <t>D4</t>
        </is>
      </c>
      <c r="D1673" s="33" t="n">
        <v>5</v>
      </c>
      <c r="E1673" s="33" t="inlineStr">
        <is>
          <t>Funded multi-geo buildout to $3.5B capacity; capex raised to $170-180M; demand-backed.</t>
        </is>
      </c>
      <c r="F1673" s="33" t="inlineStr">
        <is>
          <t>Q1 2026 call</t>
        </is>
      </c>
      <c r="G1673" s="33" t="inlineStr">
        <is>
          <t>High</t>
        </is>
      </c>
      <c r="H1673" s="33" t="inlineStr">
        <is>
          <t>Initial</t>
        </is>
      </c>
    </row>
    <row r="1674">
      <c r="A1674" s="33" t="inlineStr">
        <is>
          <t>2026-06-05</t>
        </is>
      </c>
      <c r="B1674" s="33" t="inlineStr">
        <is>
          <t>AEIS</t>
        </is>
      </c>
      <c r="C1674" s="33" t="inlineStr">
        <is>
          <t>D5</t>
        </is>
      </c>
      <c r="D1674" s="33" t="n">
        <v>4</v>
      </c>
      <c r="E1674" s="33" t="inlineStr">
        <is>
          <t>Explicit hyperscale AI-rack demand + second-wave wins; indirect (subsystem), not disclosed &gt;30%.</t>
        </is>
      </c>
      <c r="F1674" s="33" t="inlineStr">
        <is>
          <t>context-2026-06-05.md</t>
        </is>
      </c>
      <c r="G1674" s="33" t="inlineStr">
        <is>
          <t>Med</t>
        </is>
      </c>
      <c r="H1674" s="33" t="inlineStr">
        <is>
          <t>Initial</t>
        </is>
      </c>
    </row>
    <row r="1675">
      <c r="A1675" s="33" t="inlineStr">
        <is>
          <t>2026-06-05</t>
        </is>
      </c>
      <c r="B1675" s="33" t="inlineStr">
        <is>
          <t>AEIS</t>
        </is>
      </c>
      <c r="C1675" s="33" t="inlineStr">
        <is>
          <t>M1</t>
        </is>
      </c>
      <c r="D1675" s="33" t="n">
        <v>5</v>
      </c>
      <c r="E1675" s="33" t="inlineStr">
        <is>
          <t>Beat-and-raise; Q2+FY guide above consensus; PT hikes (Citi $410).</t>
        </is>
      </c>
      <c r="F1675" s="33" t="inlineStr">
        <is>
          <t>context-2026-06-05.md</t>
        </is>
      </c>
      <c r="G1675" s="33" t="inlineStr">
        <is>
          <t>High</t>
        </is>
      </c>
      <c r="H1675" s="33" t="inlineStr">
        <is>
          <t>Initial</t>
        </is>
      </c>
    </row>
    <row r="1676">
      <c r="A1676" s="33" t="inlineStr">
        <is>
          <t>2026-06-05</t>
        </is>
      </c>
      <c r="B1676" s="33" t="inlineStr">
        <is>
          <t>AEIS</t>
        </is>
      </c>
      <c r="C1676" s="33" t="inlineStr">
        <is>
          <t>M2</t>
        </is>
      </c>
      <c r="D1676" s="33" t="n">
        <v>5</v>
      </c>
      <c r="E1676" s="33" t="inlineStr">
        <is>
          <t>Major re-rating to ~$320, outperforming SOXX &gt;20%/6mo.</t>
        </is>
      </c>
      <c r="F1676" s="33" t="inlineStr">
        <is>
          <t>context-2026-06-05.md</t>
        </is>
      </c>
      <c r="G1676" s="33" t="inlineStr">
        <is>
          <t>Med-High</t>
        </is>
      </c>
      <c r="H1676" s="33" t="inlineStr">
        <is>
          <t>Initial</t>
        </is>
      </c>
    </row>
    <row r="1677">
      <c r="A1677" s="33" t="inlineStr">
        <is>
          <t>2026-06-05</t>
        </is>
      </c>
      <c r="B1677" s="33" t="inlineStr">
        <is>
          <t>AEIS</t>
        </is>
      </c>
      <c r="C1677" s="33" t="inlineStr">
        <is>
          <t>M3</t>
        </is>
      </c>
      <c r="D1677" s="33" t="n">
        <v>3</v>
      </c>
      <c r="E1677" s="33" t="inlineStr">
        <is>
          <t>Form 4 not pulled; default post-rally baseline.</t>
        </is>
      </c>
      <c r="F1677" s="33" t="inlineStr">
        <is>
          <t>pending Form 4 review</t>
        </is>
      </c>
      <c r="G1677" s="33" t="inlineStr">
        <is>
          <t>Low</t>
        </is>
      </c>
      <c r="H1677" s="33" t="inlineStr">
        <is>
          <t>Initial</t>
        </is>
      </c>
    </row>
    <row r="1678">
      <c r="A1678" s="33" t="inlineStr">
        <is>
          <t>2026-06-05</t>
        </is>
      </c>
      <c r="B1678" s="33" t="inlineStr">
        <is>
          <t>AEIS</t>
        </is>
      </c>
      <c r="C1678" s="33" t="inlineStr">
        <is>
          <t>R1</t>
        </is>
      </c>
      <c r="D1678" s="33" t="n">
        <v>3</v>
      </c>
      <c r="E1678" s="33" t="inlineStr">
        <is>
          <t>Historic AMAT/Lam top-2 semi concentration; 10-Q discloses no &gt;10% name this qtr — conservative midpoint.</t>
        </is>
      </c>
      <c r="F1678" s="33" t="inlineStr">
        <is>
          <t>Q1 2026 10-Q</t>
        </is>
      </c>
      <c r="G1678" s="33" t="inlineStr">
        <is>
          <t>Low-Med</t>
        </is>
      </c>
      <c r="H1678" s="33" t="inlineStr">
        <is>
          <t>Initial</t>
        </is>
      </c>
    </row>
    <row r="1679">
      <c r="A1679" s="33" t="inlineStr">
        <is>
          <t>2026-06-05</t>
        </is>
      </c>
      <c r="B1679" s="33" t="inlineStr">
        <is>
          <t>AEIS</t>
        </is>
      </c>
      <c r="C1679" s="33" t="inlineStr">
        <is>
          <t>R2</t>
        </is>
      </c>
      <c r="D1679" s="33" t="n">
        <v>3</v>
      </c>
      <c r="E1679" s="33" t="inlineStr">
        <is>
          <t>China within 'All others' 46%; Mexico 26% adds tariff (not export) exposure.</t>
        </is>
      </c>
      <c r="F1679" s="33" t="inlineStr">
        <is>
          <t>Q1 2026 10-Q geo</t>
        </is>
      </c>
      <c r="G1679" s="33" t="inlineStr">
        <is>
          <t>Med</t>
        </is>
      </c>
      <c r="H1679" s="33" t="inlineStr">
        <is>
          <t>Initial</t>
        </is>
      </c>
    </row>
    <row r="1680">
      <c r="A1680" s="33" t="inlineStr">
        <is>
          <t>2026-06-05</t>
        </is>
      </c>
      <c r="B1680" s="33" t="inlineStr">
        <is>
          <t>AEIS</t>
        </is>
      </c>
      <c r="C1680" s="33" t="inlineStr">
        <is>
          <t>R3</t>
        </is>
      </c>
      <c r="D1680" s="33" t="n">
        <v>5</v>
      </c>
      <c r="E1680" s="33" t="inlineStr">
        <is>
          <t>Net cash ~$700M, convert due 2028, strong FCF.</t>
        </is>
      </c>
      <c r="F1680" s="33" t="inlineStr">
        <is>
          <t>Q1 2026 10-Q</t>
        </is>
      </c>
      <c r="G1680" s="33" t="inlineStr">
        <is>
          <t>High</t>
        </is>
      </c>
      <c r="H1680" s="33" t="inlineStr">
        <is>
          <t>Initial</t>
        </is>
      </c>
    </row>
    <row r="1681">
      <c r="A1681" s="33" t="inlineStr">
        <is>
          <t>2026-06-05</t>
        </is>
      </c>
      <c r="B1681" s="33" t="inlineStr">
        <is>
          <t>AEIS</t>
        </is>
      </c>
      <c r="C1681" s="33" t="inlineStr">
        <is>
          <t>R4</t>
        </is>
      </c>
      <c r="D1681" s="33" t="n">
        <v>4</v>
      </c>
      <c r="E1681" s="33" t="inlineStr">
        <is>
          <t>Routine only; tariffs are a margin not legal risk.</t>
        </is>
      </c>
      <c r="F1681" s="33" t="inlineStr">
        <is>
          <t>context-2026-06-05.md</t>
        </is>
      </c>
      <c r="G1681" s="33" t="inlineStr">
        <is>
          <t>Med-High</t>
        </is>
      </c>
      <c r="H1681" s="33" t="inlineStr">
        <is>
          <t>Initial</t>
        </is>
      </c>
    </row>
    <row r="1682">
      <c r="A1682" s="33" t="inlineStr">
        <is>
          <t>2026-06-05</t>
        </is>
      </c>
      <c r="B1682" s="33" t="inlineStr">
        <is>
          <t>NVTS</t>
        </is>
      </c>
      <c r="C1682" s="33" t="inlineStr">
        <is>
          <t>D1</t>
        </is>
      </c>
      <c r="D1682" s="33" t="n">
        <v>2</v>
      </c>
      <c r="E1682" s="33" t="inlineStr">
        <is>
          <t>'High-power' is majority of a tiny base, but AI-specific revenue is small in absolute $ and forward-looking.</t>
        </is>
      </c>
      <c r="F1682" s="33" t="inlineStr">
        <is>
          <t>Q1'26 10-Q + call</t>
        </is>
      </c>
      <c r="G1682" s="33" t="inlineStr">
        <is>
          <t>Med</t>
        </is>
      </c>
      <c r="H1682" s="33" t="inlineStr">
        <is>
          <t>Initial</t>
        </is>
      </c>
    </row>
    <row r="1683">
      <c r="A1683" s="33" t="inlineStr">
        <is>
          <t>2026-06-05</t>
        </is>
      </c>
      <c r="B1683" s="33" t="inlineStr">
        <is>
          <t>NVTS</t>
        </is>
      </c>
      <c r="C1683" s="33" t="inlineStr">
        <is>
          <t>D2</t>
        </is>
      </c>
      <c r="D1683" s="33" t="n">
        <v>2</v>
      </c>
      <c r="E1683" s="33" t="inlineStr">
        <is>
          <t>Mid-chain GaN/SiC w/ many competitors; NVIDIA multi-sourced the 800V design — no demonstrated pricing power.</t>
        </is>
      </c>
      <c r="F1683" s="33" t="inlineStr">
        <is>
          <t>context-2026-06-05.md</t>
        </is>
      </c>
      <c r="G1683" s="33" t="inlineStr">
        <is>
          <t>Med</t>
        </is>
      </c>
      <c r="H1683" s="33" t="inlineStr">
        <is>
          <t>Initial</t>
        </is>
      </c>
    </row>
    <row r="1684">
      <c r="A1684" s="33" t="inlineStr">
        <is>
          <t>2026-06-05</t>
        </is>
      </c>
      <c r="B1684" s="33" t="inlineStr">
        <is>
          <t>NVTS</t>
        </is>
      </c>
      <c r="C1684" s="33" t="inlineStr">
        <is>
          <t>D3</t>
        </is>
      </c>
      <c r="D1684" s="33" t="n">
        <v>2</v>
      </c>
      <c r="E1684" s="33" t="inlineStr">
        <is>
          <t>GaN/SiC IP real but not unique; TI/Infineon/Renesas/PI/EPC compete; customers can swap.</t>
        </is>
      </c>
      <c r="F1684" s="33" t="inlineStr">
        <is>
          <t>context-2026-06-05.md</t>
        </is>
      </c>
      <c r="G1684" s="33" t="inlineStr">
        <is>
          <t>Med</t>
        </is>
      </c>
      <c r="H1684" s="33" t="inlineStr">
        <is>
          <t>Initial</t>
        </is>
      </c>
    </row>
    <row r="1685">
      <c r="A1685" s="33" t="inlineStr">
        <is>
          <t>2026-06-05</t>
        </is>
      </c>
      <c r="B1685" s="33" t="inlineStr">
        <is>
          <t>NVTS</t>
        </is>
      </c>
      <c r="C1685" s="33" t="inlineStr">
        <is>
          <t>D4</t>
        </is>
      </c>
      <c r="D1685" s="33" t="n">
        <v>3</v>
      </c>
      <c r="E1685" s="33" t="inlineStr">
        <is>
          <t>Fabless/asset-light (TSMC GaN); not a capex story — neutral steady-state.</t>
        </is>
      </c>
      <c r="F1685" s="33" t="inlineStr">
        <is>
          <t>context-2026-06-05.md</t>
        </is>
      </c>
      <c r="G1685" s="33" t="inlineStr">
        <is>
          <t>Med</t>
        </is>
      </c>
      <c r="H1685" s="33" t="inlineStr">
        <is>
          <t>Initial</t>
        </is>
      </c>
    </row>
    <row r="1686">
      <c r="A1686" s="33" t="inlineStr">
        <is>
          <t>2026-06-05</t>
        </is>
      </c>
      <c r="B1686" s="33" t="inlineStr">
        <is>
          <t>NVTS</t>
        </is>
      </c>
      <c r="C1686" s="33" t="inlineStr">
        <is>
          <t>D5</t>
        </is>
      </c>
      <c r="D1686" s="33" t="n">
        <v>2</v>
      </c>
      <c r="E1686" s="33" t="inlineStr">
        <is>
          <t>Indirect — sells into NVIDIA reference design, not hyperscalers, and not yet at revenue.</t>
        </is>
      </c>
      <c r="F1686" s="33" t="inlineStr">
        <is>
          <t>context-2026-06-05.md</t>
        </is>
      </c>
      <c r="G1686" s="33" t="inlineStr">
        <is>
          <t>Med</t>
        </is>
      </c>
      <c r="H1686" s="33" t="inlineStr">
        <is>
          <t>Initial</t>
        </is>
      </c>
    </row>
    <row r="1687">
      <c r="A1687" s="33" t="inlineStr">
        <is>
          <t>2026-06-05</t>
        </is>
      </c>
      <c r="B1687" s="33" t="inlineStr">
        <is>
          <t>NVTS</t>
        </is>
      </c>
      <c r="C1687" s="33" t="inlineStr">
        <is>
          <t>M1</t>
        </is>
      </c>
      <c r="D1687" s="33" t="n">
        <v>4</v>
      </c>
      <c r="E1687" s="33" t="inlineStr">
        <is>
          <t>Consensus revenue revised up on the NVIDIA narrative; still loss-making so not a clean 5.</t>
        </is>
      </c>
      <c r="F1687" s="33" t="inlineStr">
        <is>
          <t>context-2026-06-05.md</t>
        </is>
      </c>
      <c r="G1687" s="33" t="inlineStr">
        <is>
          <t>Med</t>
        </is>
      </c>
      <c r="H1687" s="33" t="inlineStr">
        <is>
          <t>Initial</t>
        </is>
      </c>
    </row>
    <row r="1688">
      <c r="A1688" s="33" t="inlineStr">
        <is>
          <t>2026-06-05</t>
        </is>
      </c>
      <c r="B1688" s="33" t="inlineStr">
        <is>
          <t>NVTS</t>
        </is>
      </c>
      <c r="C1688" s="33" t="inlineStr">
        <is>
          <t>M2</t>
        </is>
      </c>
      <c r="D1688" s="33" t="n">
        <v>5</v>
      </c>
      <c r="E1688" s="33" t="inlineStr">
        <is>
          <t>+262% YTD vs SOXX — extreme outperformance.</t>
        </is>
      </c>
      <c r="F1688" s="33" t="inlineStr">
        <is>
          <t>context-2026-06-05.md</t>
        </is>
      </c>
      <c r="G1688" s="33" t="inlineStr">
        <is>
          <t>High</t>
        </is>
      </c>
      <c r="H1688" s="33" t="inlineStr">
        <is>
          <t>Initial</t>
        </is>
      </c>
    </row>
    <row r="1689">
      <c r="A1689" s="33" t="inlineStr">
        <is>
          <t>2026-06-05</t>
        </is>
      </c>
      <c r="B1689" s="33" t="inlineStr">
        <is>
          <t>NVTS</t>
        </is>
      </c>
      <c r="C1689" s="33" t="inlineStr">
        <is>
          <t>M3</t>
        </is>
      </c>
      <c r="D1689" s="33" t="n">
        <v>3</v>
      </c>
      <c r="E1689" s="33" t="inlineStr">
        <is>
          <t>Only sells (CEO 13.3k @$31.81) + a gift; no open-market buys → baseline 3.</t>
        </is>
      </c>
      <c r="F1689" s="33" t="inlineStr">
        <is>
          <t>Form 4s</t>
        </is>
      </c>
      <c r="G1689" s="33" t="inlineStr">
        <is>
          <t>High</t>
        </is>
      </c>
      <c r="H1689" s="33" t="inlineStr">
        <is>
          <t>Initial</t>
        </is>
      </c>
    </row>
    <row r="1690">
      <c r="A1690" s="33" t="inlineStr">
        <is>
          <t>2026-06-05</t>
        </is>
      </c>
      <c r="B1690" s="33" t="inlineStr">
        <is>
          <t>NVTS</t>
        </is>
      </c>
      <c r="C1690" s="33" t="inlineStr">
        <is>
          <t>R1</t>
        </is>
      </c>
      <c r="D1690" s="33" t="n">
        <v>3</v>
      </c>
      <c r="E1690" s="33" t="inlineStr">
        <is>
          <t>Legacy diffuse, but future AI revenue concentrates on the NVIDIA ecosystem (disclosed risk).</t>
        </is>
      </c>
      <c r="F1690" s="33" t="inlineStr">
        <is>
          <t>context-2026-06-05.md</t>
        </is>
      </c>
      <c r="G1690" s="33" t="inlineStr">
        <is>
          <t>Low</t>
        </is>
      </c>
      <c r="H1690" s="33" t="inlineStr">
        <is>
          <t>Initial</t>
        </is>
      </c>
    </row>
    <row r="1691">
      <c r="A1691" s="33" t="inlineStr">
        <is>
          <t>2026-06-05</t>
        </is>
      </c>
      <c r="B1691" s="33" t="inlineStr">
        <is>
          <t>NVTS</t>
        </is>
      </c>
      <c r="C1691" s="33" t="inlineStr">
        <is>
          <t>R2</t>
        </is>
      </c>
      <c r="D1691" s="33" t="n">
        <v>3</v>
      </c>
      <c r="E1691" s="33" t="inlineStr">
        <is>
          <t>Meaningful Asia/China consumer revenue (declining); fabless via TSMC; no direct export hit.</t>
        </is>
      </c>
      <c r="F1691" s="33" t="inlineStr">
        <is>
          <t>context-2026-06-05.md</t>
        </is>
      </c>
      <c r="G1691" s="33" t="inlineStr">
        <is>
          <t>Med</t>
        </is>
      </c>
      <c r="H1691" s="33" t="inlineStr">
        <is>
          <t>Initial</t>
        </is>
      </c>
    </row>
    <row r="1692">
      <c r="A1692" s="33" t="inlineStr">
        <is>
          <t>2026-06-05</t>
        </is>
      </c>
      <c r="B1692" s="33" t="inlineStr">
        <is>
          <t>NVTS</t>
        </is>
      </c>
      <c r="C1692" s="33" t="inlineStr">
        <is>
          <t>R3</t>
        </is>
      </c>
      <c r="D1692" s="33" t="n">
        <v>3</v>
      </c>
      <c r="E1692" s="33" t="inlineStr">
        <is>
          <t>Net cash ~$221M, no major debt, BUT ~$16M/qtr burn funded by serial dilution pulls it to 3.</t>
        </is>
      </c>
      <c r="F1692" s="33" t="inlineStr">
        <is>
          <t>Q1'26 10-Q cash flow</t>
        </is>
      </c>
      <c r="G1692" s="33" t="inlineStr">
        <is>
          <t>Med</t>
        </is>
      </c>
      <c r="H1692" s="33" t="inlineStr">
        <is>
          <t>Initial</t>
        </is>
      </c>
    </row>
    <row r="1693">
      <c r="A1693" s="33" t="inlineStr">
        <is>
          <t>2026-06-05</t>
        </is>
      </c>
      <c r="B1693" s="33" t="inlineStr">
        <is>
          <t>NVTS</t>
        </is>
      </c>
      <c r="C1693" s="33" t="inlineStr">
        <is>
          <t>R4</t>
        </is>
      </c>
      <c r="D1693" s="33" t="n">
        <v>4</v>
      </c>
      <c r="E1693" s="33" t="inlineStr">
        <is>
          <t>Live Oak/SPAC settlement + earn-out shares are housekeeping, not existential.</t>
        </is>
      </c>
      <c r="F1693" s="33" t="inlineStr">
        <is>
          <t>context-2026-06-05.md</t>
        </is>
      </c>
      <c r="G1693" s="33" t="inlineStr">
        <is>
          <t>Med</t>
        </is>
      </c>
      <c r="H1693" s="33" t="inlineStr">
        <is>
          <t>Initial</t>
        </is>
      </c>
    </row>
    <row r="1694">
      <c r="A1694" s="33" t="inlineStr">
        <is>
          <t>2026-06-05</t>
        </is>
      </c>
      <c r="B1694" s="33" t="inlineStr">
        <is>
          <t>LSCC</t>
        </is>
      </c>
      <c r="C1694" s="33" t="inlineStr">
        <is>
          <t>D1</t>
        </is>
      </c>
      <c r="D1694" s="33" t="n">
        <v>4</v>
      </c>
      <c r="E1694" s="33" t="inlineStr">
        <is>
          <t>Company-stated AI = 25% of 2026 rev (band 25-50%); trajectory mid-teens→high-teens→25%.</t>
        </is>
      </c>
      <c r="F1694" s="33" t="inlineStr">
        <is>
          <t>Q1 2026 call</t>
        </is>
      </c>
      <c r="G1694" s="33" t="inlineStr">
        <is>
          <t>High</t>
        </is>
      </c>
      <c r="H1694" s="33" t="inlineStr">
        <is>
          <t>Initial</t>
        </is>
      </c>
    </row>
    <row r="1695">
      <c r="A1695" s="33" t="inlineStr">
        <is>
          <t>2026-06-05</t>
        </is>
      </c>
      <c r="B1695" s="33" t="inlineStr">
        <is>
          <t>LSCC</t>
        </is>
      </c>
      <c r="C1695" s="33" t="inlineStr">
        <is>
          <t>D2</t>
        </is>
      </c>
      <c r="D1695" s="33" t="n">
        <v>4</v>
      </c>
      <c r="E1695" s="33" t="inlineStr">
        <is>
          <t>Low-power FPGA leadership, few substitutes (Altera/Microchip); 68-70% GM = pricing power.</t>
        </is>
      </c>
      <c r="F1695" s="33" t="inlineStr">
        <is>
          <t>context-2026-06-05.md</t>
        </is>
      </c>
      <c r="G1695" s="33" t="inlineStr">
        <is>
          <t>Med</t>
        </is>
      </c>
      <c r="H1695" s="33" t="inlineStr">
        <is>
          <t>Initial</t>
        </is>
      </c>
    </row>
    <row r="1696">
      <c r="A1696" s="33" t="inlineStr">
        <is>
          <t>2026-06-05</t>
        </is>
      </c>
      <c r="B1696" s="33" t="inlineStr">
        <is>
          <t>LSCC</t>
        </is>
      </c>
      <c r="C1696" s="33" t="inlineStr">
        <is>
          <t>D3</t>
        </is>
      </c>
      <c r="D1696" s="33" t="n">
        <v>4</v>
      </c>
      <c r="E1696" s="33" t="inlineStr">
        <is>
          <t>IP + design-in switching costs; AMI adds firmware/manageability stickiness; held below 5 (small-die).</t>
        </is>
      </c>
      <c r="F1696" s="33" t="inlineStr">
        <is>
          <t>context-2026-06-05.md</t>
        </is>
      </c>
      <c r="G1696" s="33" t="inlineStr">
        <is>
          <t>Med</t>
        </is>
      </c>
      <c r="H1696" s="33" t="inlineStr">
        <is>
          <t>Initial</t>
        </is>
      </c>
    </row>
    <row r="1697">
      <c r="A1697" s="33" t="inlineStr">
        <is>
          <t>2026-06-05</t>
        </is>
      </c>
      <c r="B1697" s="33" t="inlineStr">
        <is>
          <t>LSCC</t>
        </is>
      </c>
      <c r="C1697" s="33" t="inlineStr">
        <is>
          <t>D4</t>
        </is>
      </c>
      <c r="D1697" s="33" t="n">
        <v>3</v>
      </c>
      <c r="E1697" s="33" t="inlineStr">
        <is>
          <t>Fabless, no fab capex; 'expansion' is roadmap + AMI M&amp;A, not a funded buildout.</t>
        </is>
      </c>
      <c r="F1697" s="33" t="inlineStr">
        <is>
          <t>context-2026-06-05.md</t>
        </is>
      </c>
      <c r="G1697" s="33" t="inlineStr">
        <is>
          <t>Med</t>
        </is>
      </c>
      <c r="H1697" s="33" t="inlineStr">
        <is>
          <t>Initial</t>
        </is>
      </c>
    </row>
    <row r="1698">
      <c r="A1698" s="33" t="inlineStr">
        <is>
          <t>2026-06-05</t>
        </is>
      </c>
      <c r="B1698" s="33" t="inlineStr">
        <is>
          <t>LSCC</t>
        </is>
      </c>
      <c r="C1698" s="33" t="inlineStr">
        <is>
          <t>D5</t>
        </is>
      </c>
      <c r="D1698" s="33" t="n">
        <v>4</v>
      </c>
      <c r="E1698" s="33" t="inlineStr">
        <is>
          <t>Asia +71% 'due to hyperscaler demand', design wins at top cloud providers, servers 38%; indirect via distributors.</t>
        </is>
      </c>
      <c r="F1698" s="33" t="inlineStr">
        <is>
          <t>Q1 2026 10-Q</t>
        </is>
      </c>
      <c r="G1698" s="33" t="inlineStr">
        <is>
          <t>Med</t>
        </is>
      </c>
      <c r="H1698" s="33" t="inlineStr">
        <is>
          <t>Initial</t>
        </is>
      </c>
    </row>
    <row r="1699">
      <c r="A1699" s="33" t="inlineStr">
        <is>
          <t>2026-06-05</t>
        </is>
      </c>
      <c r="B1699" s="33" t="inlineStr">
        <is>
          <t>LSCC</t>
        </is>
      </c>
      <c r="C1699" s="33" t="inlineStr">
        <is>
          <t>M1</t>
        </is>
      </c>
      <c r="D1699" s="33" t="n">
        <v>5</v>
      </c>
      <c r="E1699" s="33" t="inlineStr">
        <is>
          <t>Beat-and-raise; mean PT $91→$145, multiple upward revisions post-Q1.</t>
        </is>
      </c>
      <c r="F1699" s="33" t="inlineStr">
        <is>
          <t>context-2026-06-05.md</t>
        </is>
      </c>
      <c r="G1699" s="33" t="inlineStr">
        <is>
          <t>High</t>
        </is>
      </c>
      <c r="H1699" s="33" t="inlineStr">
        <is>
          <t>Initial</t>
        </is>
      </c>
    </row>
    <row r="1700">
      <c r="A1700" s="33" t="inlineStr">
        <is>
          <t>2026-06-05</t>
        </is>
      </c>
      <c r="B1700" s="33" t="inlineStr">
        <is>
          <t>LSCC</t>
        </is>
      </c>
      <c r="C1700" s="33" t="inlineStr">
        <is>
          <t>M2</t>
        </is>
      </c>
      <c r="D1700" s="33" t="n">
        <v>5</v>
      </c>
      <c r="E1700" s="33" t="inlineStr">
        <is>
          <t>~+50% YTD, outperforming SOXX &gt;20%/6mo.</t>
        </is>
      </c>
      <c r="F1700" s="33" t="inlineStr">
        <is>
          <t>context-2026-06-05.md</t>
        </is>
      </c>
      <c r="G1700" s="33" t="inlineStr">
        <is>
          <t>Med</t>
        </is>
      </c>
      <c r="H1700" s="33" t="inlineStr">
        <is>
          <t>Initial</t>
        </is>
      </c>
    </row>
    <row r="1701">
      <c r="A1701" s="33" t="inlineStr">
        <is>
          <t>2026-06-05</t>
        </is>
      </c>
      <c r="B1701" s="33" t="inlineStr">
        <is>
          <t>LSCC</t>
        </is>
      </c>
      <c r="C1701" s="33" t="inlineStr">
        <is>
          <t>M3</t>
        </is>
      </c>
      <c r="D1701" s="33" t="n">
        <v>4</v>
      </c>
      <c r="E1701" s="33" t="inlineStr">
        <is>
          <t>CEO Tamer open-market buy $1.89M/30k sh Nov 2025 (&gt;$1M single buyer → 4).</t>
        </is>
      </c>
      <c r="F1701" s="33" t="inlineStr">
        <is>
          <t>Form 4 Nov 2025</t>
        </is>
      </c>
      <c r="G1701" s="33" t="inlineStr">
        <is>
          <t>Med</t>
        </is>
      </c>
      <c r="H1701" s="33" t="inlineStr">
        <is>
          <t>Initial</t>
        </is>
      </c>
    </row>
    <row r="1702">
      <c r="A1702" s="33" t="inlineStr">
        <is>
          <t>2026-06-05</t>
        </is>
      </c>
      <c r="B1702" s="33" t="inlineStr">
        <is>
          <t>LSCC</t>
        </is>
      </c>
      <c r="C1702" s="33" t="inlineStr">
        <is>
          <t>R1</t>
        </is>
      </c>
      <c r="D1702" s="33" t="n">
        <v>4</v>
      </c>
      <c r="E1702" s="33" t="inlineStr">
        <is>
          <t>No &gt;10% end-customer in 10-Q; 94% distributor sell-through diffuses direct dependence.</t>
        </is>
      </c>
      <c r="F1702" s="33" t="inlineStr">
        <is>
          <t>Q1 2026 10-Q</t>
        </is>
      </c>
      <c r="G1702" s="33" t="inlineStr">
        <is>
          <t>Low</t>
        </is>
      </c>
      <c r="H1702" s="33" t="inlineStr">
        <is>
          <t>Initial</t>
        </is>
      </c>
    </row>
    <row r="1703">
      <c r="A1703" s="33" t="inlineStr">
        <is>
          <t>2026-06-05</t>
        </is>
      </c>
      <c r="B1703" s="33" t="inlineStr">
        <is>
          <t>LSCC</t>
        </is>
      </c>
      <c r="C1703" s="33" t="inlineStr">
        <is>
          <t>R2</t>
        </is>
      </c>
      <c r="D1703" s="33" t="n">
        <v>3</v>
      </c>
      <c r="E1703" s="33" t="inlineStr">
        <is>
          <t>77.6% ships to Asia (hyperscaler-routed); FPGAs not export-controlled but heavy China-region routing.</t>
        </is>
      </c>
      <c r="F1703" s="33" t="inlineStr">
        <is>
          <t>Q1 2026 10-Q geo</t>
        </is>
      </c>
      <c r="G1703" s="33" t="inlineStr">
        <is>
          <t>Med</t>
        </is>
      </c>
      <c r="H1703" s="33" t="inlineStr">
        <is>
          <t>Initial</t>
        </is>
      </c>
    </row>
    <row r="1704">
      <c r="A1704" s="33" t="inlineStr">
        <is>
          <t>2026-06-05</t>
        </is>
      </c>
      <c r="B1704" s="33" t="inlineStr">
        <is>
          <t>LSCC</t>
        </is>
      </c>
      <c r="C1704" s="33" t="inlineStr">
        <is>
          <t>R3</t>
        </is>
      </c>
      <c r="D1704" s="33" t="n">
        <v>3</v>
      </c>
      <c r="E1704" s="33" t="inlineStr">
        <is>
          <t>Pre-deal net cash, BUT post-AMI ~$950M term loan + $200M revolver, pro forma ND/EBITDA ~2-3x.</t>
        </is>
      </c>
      <c r="F1704" s="33" t="inlineStr">
        <is>
          <t>AMI deal 2026-05-04</t>
        </is>
      </c>
      <c r="G1704" s="33" t="inlineStr">
        <is>
          <t>Med</t>
        </is>
      </c>
      <c r="H1704" s="33" t="inlineStr">
        <is>
          <t>Initial</t>
        </is>
      </c>
    </row>
    <row r="1705">
      <c r="A1705" s="33" t="inlineStr">
        <is>
          <t>2026-06-05</t>
        </is>
      </c>
      <c r="B1705" s="33" t="inlineStr">
        <is>
          <t>LSCC</t>
        </is>
      </c>
      <c r="C1705" s="33" t="inlineStr">
        <is>
          <t>R4</t>
        </is>
      </c>
      <c r="D1705" s="33" t="n">
        <v>4</v>
      </c>
      <c r="E1705" s="33" t="inlineStr">
        <is>
          <t>Clean docket; only overhang is routine HSR review of the AMI deal.</t>
        </is>
      </c>
      <c r="F1705" s="33" t="inlineStr">
        <is>
          <t>context-2026-06-05.md</t>
        </is>
      </c>
      <c r="G1705" s="33" t="inlineStr">
        <is>
          <t>High</t>
        </is>
      </c>
      <c r="H1705" s="33" t="inlineStr">
        <is>
          <t>Initial</t>
        </is>
      </c>
    </row>
    <row r="1706">
      <c r="A1706" s="33" t="inlineStr">
        <is>
          <t>2026-06-05</t>
        </is>
      </c>
      <c r="B1706" s="33" t="inlineStr">
        <is>
          <t>RMBS</t>
        </is>
      </c>
      <c r="C1706" s="33" t="inlineStr">
        <is>
          <t>D1</t>
        </is>
      </c>
      <c r="D1706" s="33" t="n">
        <v>3</v>
      </c>
      <c r="E1706" s="33" t="inlineStr">
        <is>
          <t>Product (RCD/companion) server-DRAM-tied (AI+general), royalties broad DRAM; meaningful but not cleanly &gt;50% AI.</t>
        </is>
      </c>
      <c r="F1706" s="33" t="inlineStr">
        <is>
          <t>context-2026-06-05.md; Q1 FY26 10-Q</t>
        </is>
      </c>
      <c r="G1706" s="33" t="inlineStr">
        <is>
          <t>Med</t>
        </is>
      </c>
      <c r="H1706" s="33" t="inlineStr">
        <is>
          <t>Initial</t>
        </is>
      </c>
    </row>
    <row r="1707">
      <c r="A1707" s="33" t="inlineStr">
        <is>
          <t>2026-06-05</t>
        </is>
      </c>
      <c r="B1707" s="33" t="inlineStr">
        <is>
          <t>RMBS</t>
        </is>
      </c>
      <c r="C1707" s="33" t="inlineStr">
        <is>
          <t>D2</t>
        </is>
      </c>
      <c r="D1707" s="33" t="n">
        <v>4</v>
      </c>
      <c r="E1707" s="33" t="inlineStr">
        <is>
          <t>Mid-40% DDR5 RCD share in a 3-supplier oligopoly; high qual/switching cost; not sole-source.</t>
        </is>
      </c>
      <c r="F1707" s="33" t="inlineStr">
        <is>
          <t>Q1 FY26 call</t>
        </is>
      </c>
      <c r="G1707" s="33" t="inlineStr">
        <is>
          <t>High</t>
        </is>
      </c>
      <c r="H1707" s="33" t="inlineStr">
        <is>
          <t>Initial</t>
        </is>
      </c>
    </row>
    <row r="1708">
      <c r="A1708" s="33" t="inlineStr">
        <is>
          <t>2026-06-05</t>
        </is>
      </c>
      <c r="B1708" s="33" t="inlineStr">
        <is>
          <t>RMBS</t>
        </is>
      </c>
      <c r="C1708" s="33" t="inlineStr">
        <is>
          <t>D3</t>
        </is>
      </c>
      <c r="D1708" s="33" t="n">
        <v>4</v>
      </c>
      <c r="E1708" s="33" t="inlineStr">
        <is>
          <t>Deep memory-interface IP + DDR5 chipset lock-in + HBM4E controller IP leadership.</t>
        </is>
      </c>
      <c r="F1708" s="33" t="inlineStr">
        <is>
          <t>context-2026-06-05.md</t>
        </is>
      </c>
      <c r="G1708" s="33" t="inlineStr">
        <is>
          <t>Med-High</t>
        </is>
      </c>
      <c r="H1708" s="33" t="inlineStr">
        <is>
          <t>Initial</t>
        </is>
      </c>
    </row>
    <row r="1709">
      <c r="A1709" s="33" t="inlineStr">
        <is>
          <t>2026-06-05</t>
        </is>
      </c>
      <c r="B1709" s="33" t="inlineStr">
        <is>
          <t>RMBS</t>
        </is>
      </c>
      <c r="C1709" s="33" t="inlineStr">
        <is>
          <t>D4</t>
        </is>
      </c>
      <c r="D1709" s="33" t="n">
        <v>3</v>
      </c>
      <c r="E1709" s="33" t="inlineStr">
        <is>
          <t>Fabless; capacity = back-end supply allocation (tight), no multi-yr capex program.</t>
        </is>
      </c>
      <c r="F1709" s="33" t="inlineStr">
        <is>
          <t>context-2026-06-05.md</t>
        </is>
      </c>
      <c r="G1709" s="33" t="inlineStr">
        <is>
          <t>Med</t>
        </is>
      </c>
      <c r="H1709" s="33" t="inlineStr">
        <is>
          <t>Initial</t>
        </is>
      </c>
    </row>
    <row r="1710">
      <c r="A1710" s="33" t="inlineStr">
        <is>
          <t>2026-06-05</t>
        </is>
      </c>
      <c r="B1710" s="33" t="inlineStr">
        <is>
          <t>RMBS</t>
        </is>
      </c>
      <c r="C1710" s="33" t="inlineStr">
        <is>
          <t>D5</t>
        </is>
      </c>
      <c r="D1710" s="33" t="n">
        <v>3</v>
      </c>
      <c r="E1710" s="33" t="inlineStr">
        <is>
          <t>Indirect via memory makers/module OEMs; some Tier-1 custom-silicon IP wins, not concentrated direct.</t>
        </is>
      </c>
      <c r="F1710" s="33" t="inlineStr">
        <is>
          <t>context-2026-06-05.md</t>
        </is>
      </c>
      <c r="G1710" s="33" t="inlineStr">
        <is>
          <t>Med</t>
        </is>
      </c>
      <c r="H1710" s="33" t="inlineStr">
        <is>
          <t>Initial</t>
        </is>
      </c>
    </row>
    <row r="1711">
      <c r="A1711" s="33" t="inlineStr">
        <is>
          <t>2026-06-05</t>
        </is>
      </c>
      <c r="B1711" s="33" t="inlineStr">
        <is>
          <t>RMBS</t>
        </is>
      </c>
      <c r="C1711" s="33" t="inlineStr">
        <is>
          <t>M1</t>
        </is>
      </c>
      <c r="D1711" s="33" t="n">
        <v>4</v>
      </c>
      <c r="E1711" s="33" t="inlineStr">
        <is>
          <t>Q1 product beat-and-raise; PT hikes (Evercore $172, Rosenblatt $150).</t>
        </is>
      </c>
      <c r="F1711" s="33" t="inlineStr">
        <is>
          <t>context-2026-06-05.md</t>
        </is>
      </c>
      <c r="G1711" s="33" t="inlineStr">
        <is>
          <t>Med</t>
        </is>
      </c>
      <c r="H1711" s="33" t="inlineStr">
        <is>
          <t>Initial</t>
        </is>
      </c>
    </row>
    <row r="1712">
      <c r="A1712" s="33" t="inlineStr">
        <is>
          <t>2026-06-05</t>
        </is>
      </c>
      <c r="B1712" s="33" t="inlineStr">
        <is>
          <t>RMBS</t>
        </is>
      </c>
      <c r="C1712" s="33" t="inlineStr">
        <is>
          <t>M2</t>
        </is>
      </c>
      <c r="D1712" s="33" t="n">
        <v>4</v>
      </c>
      <c r="E1712" s="33" t="inlineStr">
        <is>
          <t>+~20% YTD, outperforming SOXX.</t>
        </is>
      </c>
      <c r="F1712" s="33" t="inlineStr">
        <is>
          <t>context-2026-06-05.md</t>
        </is>
      </c>
      <c r="G1712" s="33" t="inlineStr">
        <is>
          <t>Med</t>
        </is>
      </c>
      <c r="H1712" s="33" t="inlineStr">
        <is>
          <t>Initial</t>
        </is>
      </c>
    </row>
    <row r="1713">
      <c r="A1713" s="33" t="inlineStr">
        <is>
          <t>2026-06-05</t>
        </is>
      </c>
      <c r="B1713" s="33" t="inlineStr">
        <is>
          <t>RMBS</t>
        </is>
      </c>
      <c r="C1713" s="33" t="inlineStr">
        <is>
          <t>M3</t>
        </is>
      </c>
      <c r="D1713" s="33" t="n">
        <v>3</v>
      </c>
      <c r="E1713" s="33" t="inlineStr">
        <is>
          <t>Form 4s not pulled; no open-market buys/heavy selling surfaced — default baseline.</t>
        </is>
      </c>
      <c r="F1713" s="33" t="inlineStr">
        <is>
          <t>pending Form 4 review</t>
        </is>
      </c>
      <c r="G1713" s="33" t="inlineStr">
        <is>
          <t>Low</t>
        </is>
      </c>
      <c r="H1713" s="33" t="inlineStr">
        <is>
          <t>Initial</t>
        </is>
      </c>
    </row>
    <row r="1714">
      <c r="A1714" s="33" t="inlineStr">
        <is>
          <t>2026-06-05</t>
        </is>
      </c>
      <c r="B1714" s="33" t="inlineStr">
        <is>
          <t>RMBS</t>
        </is>
      </c>
      <c r="C1714" s="33" t="inlineStr">
        <is>
          <t>R1</t>
        </is>
      </c>
      <c r="D1714" s="33" t="n">
        <v>4</v>
      </c>
      <c r="E1714" s="33" t="inlineStr">
        <is>
          <t>Top customer 15% (down from 20% YoY), none &gt;15%; distributor reliance the nuance.</t>
        </is>
      </c>
      <c r="F1714" s="33" t="inlineStr">
        <is>
          <t>Q1 FY26 10-Q Note 2</t>
        </is>
      </c>
      <c r="G1714" s="33" t="inlineStr">
        <is>
          <t>High</t>
        </is>
      </c>
      <c r="H1714" s="33" t="inlineStr">
        <is>
          <t>Initial</t>
        </is>
      </c>
    </row>
    <row r="1715">
      <c r="A1715" s="33" t="inlineStr">
        <is>
          <t>2026-06-05</t>
        </is>
      </c>
      <c r="B1715" s="33" t="inlineStr">
        <is>
          <t>RMBS</t>
        </is>
      </c>
      <c r="C1715" s="33" t="inlineStr">
        <is>
          <t>R2</t>
        </is>
      </c>
      <c r="D1715" s="33" t="n">
        <v>4</v>
      </c>
      <c r="E1715" s="33" t="inlineStr">
        <is>
          <t>Korea/Singapore heavy (memory makers); China only a risk factor, no export overhang.</t>
        </is>
      </c>
      <c r="F1715" s="33" t="inlineStr">
        <is>
          <t>Q1 FY26 10-Q geo</t>
        </is>
      </c>
      <c r="G1715" s="33" t="inlineStr">
        <is>
          <t>Med-High</t>
        </is>
      </c>
      <c r="H1715" s="33" t="inlineStr">
        <is>
          <t>Initial</t>
        </is>
      </c>
    </row>
    <row r="1716">
      <c r="A1716" s="33" t="inlineStr">
        <is>
          <t>2026-06-05</t>
        </is>
      </c>
      <c r="B1716" s="33" t="inlineStr">
        <is>
          <t>RMBS</t>
        </is>
      </c>
      <c r="C1716" s="33" t="inlineStr">
        <is>
          <t>R3</t>
        </is>
      </c>
      <c r="D1716" s="33" t="n">
        <v>5</v>
      </c>
      <c r="E1716" s="33" t="inlineStr">
        <is>
          <t>~$786M cash+securities, net cash, no debt, strong FCF.</t>
        </is>
      </c>
      <c r="F1716" s="33" t="inlineStr">
        <is>
          <t>Q1 FY26 10-Q</t>
        </is>
      </c>
      <c r="G1716" s="33" t="inlineStr">
        <is>
          <t>High</t>
        </is>
      </c>
      <c r="H1716" s="33" t="inlineStr">
        <is>
          <t>Initial</t>
        </is>
      </c>
    </row>
    <row r="1717">
      <c r="A1717" s="33" t="inlineStr">
        <is>
          <t>2026-06-05</t>
        </is>
      </c>
      <c r="B1717" s="33" t="inlineStr">
        <is>
          <t>RMBS</t>
        </is>
      </c>
      <c r="C1717" s="33" t="inlineStr">
        <is>
          <t>R4</t>
        </is>
      </c>
      <c r="D1717" s="33" t="n">
        <v>4</v>
      </c>
      <c r="E1717" s="33" t="inlineStr">
        <is>
          <t>No material disclosed overhang; historical patent-litigation profile keeps off a clean 5.</t>
        </is>
      </c>
      <c r="F1717" s="33" t="inlineStr">
        <is>
          <t>context-2026-06-05.md</t>
        </is>
      </c>
      <c r="G1717" s="33" t="inlineStr">
        <is>
          <t>Med</t>
        </is>
      </c>
      <c r="H1717" s="33" t="inlineStr">
        <is>
          <t>Initial</t>
        </is>
      </c>
    </row>
    <row r="1718">
      <c r="A1718" s="33" t="inlineStr">
        <is>
          <t>2026-06-05</t>
        </is>
      </c>
      <c r="B1718" s="33" t="inlineStr">
        <is>
          <t>STX</t>
        </is>
      </c>
      <c r="C1718" s="33" t="inlineStr">
        <is>
          <t>D1</t>
        </is>
      </c>
      <c r="D1718" s="33" t="n">
        <v>4</v>
      </c>
      <c r="E1718" s="33" t="inlineStr">
        <is>
          <t>Nearline almost entirely cloud/AI exabyte demand; legacy edge/consumer keeps just under all-AI.</t>
        </is>
      </c>
      <c r="F1718" s="33" t="inlineStr">
        <is>
          <t>context-2026-06-05.md</t>
        </is>
      </c>
      <c r="G1718" s="33" t="inlineStr">
        <is>
          <t>Med</t>
        </is>
      </c>
      <c r="H1718" s="33" t="inlineStr">
        <is>
          <t>Initial</t>
        </is>
      </c>
    </row>
    <row r="1719">
      <c r="A1719" s="33" t="inlineStr">
        <is>
          <t>2026-06-05</t>
        </is>
      </c>
      <c r="B1719" s="33" t="inlineStr">
        <is>
          <t>STX</t>
        </is>
      </c>
      <c r="C1719" s="33" t="inlineStr">
        <is>
          <t>D2</t>
        </is>
      </c>
      <c r="D1719" s="33" t="n">
        <v>5</v>
      </c>
      <c r="E1719" s="33" t="inlineStr">
        <is>
          <t>HDD duopoly (STX/WDC); HAMR leadership; sold out through late-2027 = structural pricing power.</t>
        </is>
      </c>
      <c r="F1719" s="33" t="inlineStr">
        <is>
          <t>Q3 FY26 transcript</t>
        </is>
      </c>
      <c r="G1719" s="33" t="inlineStr">
        <is>
          <t>High</t>
        </is>
      </c>
      <c r="H1719" s="33" t="inlineStr">
        <is>
          <t>Initial</t>
        </is>
      </c>
    </row>
    <row r="1720">
      <c r="A1720" s="33" t="inlineStr">
        <is>
          <t>2026-06-05</t>
        </is>
      </c>
      <c r="B1720" s="33" t="inlineStr">
        <is>
          <t>STX</t>
        </is>
      </c>
      <c r="C1720" s="33" t="inlineStr">
        <is>
          <t>D3</t>
        </is>
      </c>
      <c r="D1720" s="33" t="n">
        <v>4</v>
      </c>
      <c r="E1720" s="33" t="inlineStr">
        <is>
          <t>HAMR process lead + duopoly scale + multi-yr prepaid contracts; areal-density race caps at 4.</t>
        </is>
      </c>
      <c r="F1720" s="33" t="inlineStr">
        <is>
          <t>context-2026-06-05.md</t>
        </is>
      </c>
      <c r="G1720" s="33" t="inlineStr">
        <is>
          <t>Med</t>
        </is>
      </c>
      <c r="H1720" s="33" t="inlineStr">
        <is>
          <t>Initial</t>
        </is>
      </c>
    </row>
    <row r="1721">
      <c r="A1721" s="33" t="inlineStr">
        <is>
          <t>2026-06-05</t>
        </is>
      </c>
      <c r="B1721" s="33" t="inlineStr">
        <is>
          <t>STX</t>
        </is>
      </c>
      <c r="C1721" s="33" t="inlineStr">
        <is>
          <t>D4</t>
        </is>
      </c>
      <c r="D1721" s="33" t="n">
        <v>4</v>
      </c>
      <c r="E1721" s="33" t="inlineStr">
        <is>
          <t>HAMR Mozaic 4 ramp + capacity sold out; disciplined, not a greenfield megabuild.</t>
        </is>
      </c>
      <c r="F1721" s="33" t="inlineStr">
        <is>
          <t>Q3 FY26 transcript</t>
        </is>
      </c>
      <c r="G1721" s="33" t="inlineStr">
        <is>
          <t>Med</t>
        </is>
      </c>
      <c r="H1721" s="33" t="inlineStr">
        <is>
          <t>Initial</t>
        </is>
      </c>
    </row>
    <row r="1722">
      <c r="A1722" s="33" t="inlineStr">
        <is>
          <t>2026-06-05</t>
        </is>
      </c>
      <c r="B1722" s="33" t="inlineStr">
        <is>
          <t>STX</t>
        </is>
      </c>
      <c r="C1722" s="33" t="inlineStr">
        <is>
          <t>D5</t>
        </is>
      </c>
      <c r="D1722" s="33" t="n">
        <v>5</v>
      </c>
      <c r="E1722" s="33" t="inlineStr">
        <is>
          <t>Revenue overwhelmingly hyperscaler cloud nearline under multi-yr build-to-order contracts.</t>
        </is>
      </c>
      <c r="F1722" s="33" t="inlineStr">
        <is>
          <t>context-2026-06-05.md</t>
        </is>
      </c>
      <c r="G1722" s="33" t="inlineStr">
        <is>
          <t>Med-High</t>
        </is>
      </c>
      <c r="H1722" s="33" t="inlineStr">
        <is>
          <t>Initial</t>
        </is>
      </c>
    </row>
    <row r="1723">
      <c r="A1723" s="33" t="inlineStr">
        <is>
          <t>2026-06-05</t>
        </is>
      </c>
      <c r="B1723" s="33" t="inlineStr">
        <is>
          <t>STX</t>
        </is>
      </c>
      <c r="C1723" s="33" t="inlineStr">
        <is>
          <t>M1</t>
        </is>
      </c>
      <c r="D1723" s="33" t="n">
        <v>5</v>
      </c>
      <c r="E1723" s="33" t="inlineStr">
        <is>
          <t>Beat-and-raise ($3.45B/$5.00); LT growth target raised to ≥20%/yr.</t>
        </is>
      </c>
      <c r="F1723" s="33" t="inlineStr">
        <is>
          <t>Q3 FY26 8-K</t>
        </is>
      </c>
      <c r="G1723" s="33" t="inlineStr">
        <is>
          <t>High</t>
        </is>
      </c>
      <c r="H1723" s="33" t="inlineStr">
        <is>
          <t>Initial</t>
        </is>
      </c>
    </row>
    <row r="1724">
      <c r="A1724" s="33" t="inlineStr">
        <is>
          <t>2026-06-05</t>
        </is>
      </c>
      <c r="B1724" s="33" t="inlineStr">
        <is>
          <t>STX</t>
        </is>
      </c>
      <c r="C1724" s="33" t="inlineStr">
        <is>
          <t>M2</t>
        </is>
      </c>
      <c r="D1724" s="33" t="n">
        <v>5</v>
      </c>
      <c r="E1724" s="33" t="inlineStr">
        <is>
          <t>~10x off end-2024; leading the AI-storage theme.</t>
        </is>
      </c>
      <c r="F1724" s="33" t="inlineStr">
        <is>
          <t>context-2026-06-05.md</t>
        </is>
      </c>
      <c r="G1724" s="33" t="inlineStr">
        <is>
          <t>High</t>
        </is>
      </c>
      <c r="H1724" s="33" t="inlineStr">
        <is>
          <t>Initial</t>
        </is>
      </c>
    </row>
    <row r="1725">
      <c r="A1725" s="33" t="inlineStr">
        <is>
          <t>2026-06-05</t>
        </is>
      </c>
      <c r="B1725" s="33" t="inlineStr">
        <is>
          <t>STX</t>
        </is>
      </c>
      <c r="C1725" s="33" t="inlineStr">
        <is>
          <t>M3</t>
        </is>
      </c>
      <c r="D1725" s="33" t="n">
        <v>3</v>
      </c>
      <c r="E1725" s="33" t="inlineStr">
        <is>
          <t>Form 4s not pulled — default baseline pending verification.</t>
        </is>
      </c>
      <c r="F1725" s="33" t="inlineStr">
        <is>
          <t>pending Form 4 review</t>
        </is>
      </c>
      <c r="G1725" s="33" t="inlineStr">
        <is>
          <t>Low</t>
        </is>
      </c>
      <c r="H1725" s="33" t="inlineStr">
        <is>
          <t>Initial</t>
        </is>
      </c>
    </row>
    <row r="1726">
      <c r="A1726" s="33" t="inlineStr">
        <is>
          <t>2026-06-05</t>
        </is>
      </c>
      <c r="B1726" s="33" t="inlineStr">
        <is>
          <t>STX</t>
        </is>
      </c>
      <c r="C1726" s="33" t="inlineStr">
        <is>
          <t>R1</t>
        </is>
      </c>
      <c r="D1726" s="33" t="n">
        <v>2</v>
      </c>
      <c r="E1726" s="33" t="inlineStr">
        <is>
          <t>Handful of hyperscalers under multi-yr prepaid contracts = high concentration.</t>
        </is>
      </c>
      <c r="F1726" s="33" t="inlineStr">
        <is>
          <t>context-2026-06-05.md</t>
        </is>
      </c>
      <c r="G1726" s="33" t="inlineStr">
        <is>
          <t>Med</t>
        </is>
      </c>
      <c r="H1726" s="33" t="inlineStr">
        <is>
          <t>Initial</t>
        </is>
      </c>
    </row>
    <row r="1727">
      <c r="A1727" s="33" t="inlineStr">
        <is>
          <t>2026-06-05</t>
        </is>
      </c>
      <c r="B1727" s="33" t="inlineStr">
        <is>
          <t>STX</t>
        </is>
      </c>
      <c r="C1727" s="33" t="inlineStr">
        <is>
          <t>R2</t>
        </is>
      </c>
      <c r="D1727" s="33" t="n">
        <v>4</v>
      </c>
      <c r="E1727" s="33" t="inlineStr">
        <is>
          <t>Global ops; HDD not export-controlled; some China demand exposure.</t>
        </is>
      </c>
      <c r="F1727" s="33" t="inlineStr">
        <is>
          <t>context-2026-06-05.md</t>
        </is>
      </c>
      <c r="G1727" s="33" t="inlineStr">
        <is>
          <t>Med</t>
        </is>
      </c>
      <c r="H1727" s="33" t="inlineStr">
        <is>
          <t>Initial</t>
        </is>
      </c>
    </row>
    <row r="1728">
      <c r="A1728" s="33" t="inlineStr">
        <is>
          <t>2026-06-05</t>
        </is>
      </c>
      <c r="B1728" s="33" t="inlineStr">
        <is>
          <t>STX</t>
        </is>
      </c>
      <c r="C1728" s="33" t="inlineStr">
        <is>
          <t>R3</t>
        </is>
      </c>
      <c r="D1728" s="33" t="n">
        <v>4</v>
      </c>
      <c r="E1728" s="33" t="inlineStr">
        <is>
          <t>ND/EBITDA falling (~0.9x), strong FCF $953M/qtr; leverage modest and declining.</t>
        </is>
      </c>
      <c r="F1728" s="33" t="inlineStr">
        <is>
          <t>Q3 FY26 8-K</t>
        </is>
      </c>
      <c r="G1728" s="33" t="inlineStr">
        <is>
          <t>Med</t>
        </is>
      </c>
      <c r="H1728" s="33" t="inlineStr">
        <is>
          <t>Initial</t>
        </is>
      </c>
    </row>
    <row r="1729">
      <c r="A1729" s="33" t="inlineStr">
        <is>
          <t>2026-06-05</t>
        </is>
      </c>
      <c r="B1729" s="33" t="inlineStr">
        <is>
          <t>STX</t>
        </is>
      </c>
      <c r="C1729" s="33" t="inlineStr">
        <is>
          <t>R4</t>
        </is>
      </c>
      <c r="D1729" s="33" t="n">
        <v>4</v>
      </c>
      <c r="E1729" s="33" t="inlineStr">
        <is>
          <t>No material litigation; routine.</t>
        </is>
      </c>
      <c r="F1729" s="33" t="inlineStr">
        <is>
          <t>context-2026-06-05.md</t>
        </is>
      </c>
      <c r="G1729" s="33" t="inlineStr">
        <is>
          <t>Med</t>
        </is>
      </c>
      <c r="H1729" s="33" t="inlineStr">
        <is>
          <t>Initial</t>
        </is>
      </c>
    </row>
    <row r="1730">
      <c r="A1730" s="33" t="inlineStr">
        <is>
          <t>2026-06-05</t>
        </is>
      </c>
      <c r="B1730" s="33" t="inlineStr">
        <is>
          <t>TEM</t>
        </is>
      </c>
      <c r="C1730" s="33" t="inlineStr">
        <is>
          <t>D1</t>
        </is>
      </c>
      <c r="D1730" s="33" t="n">
        <v>5</v>
      </c>
      <c r="E1730" s="33" t="inlineStr">
        <is>
          <t>AI-native precision medicine; Data &amp; Applications (~25%) is explicit AI/foundation-model revenue, Diagnostics algorithm-augmented.</t>
        </is>
      </c>
      <c r="F1730" s="33" t="inlineStr">
        <is>
          <t>Q1 2026 10-Q</t>
        </is>
      </c>
      <c r="G1730" s="33" t="inlineStr">
        <is>
          <t>High</t>
        </is>
      </c>
      <c r="H1730" s="33" t="inlineStr">
        <is>
          <t>Initial</t>
        </is>
      </c>
    </row>
    <row r="1731">
      <c r="A1731" s="33" t="inlineStr">
        <is>
          <t>2026-06-05</t>
        </is>
      </c>
      <c r="B1731" s="33" t="inlineStr">
        <is>
          <t>TEM</t>
        </is>
      </c>
      <c r="C1731" s="33" t="inlineStr">
        <is>
          <t>D2</t>
        </is>
      </c>
      <c r="D1731" s="33" t="n">
        <v>3</v>
      </c>
      <c r="E1731" s="33" t="inlineStr">
        <is>
          <t>Proprietary 500PB linked dataset gives leverage, but diagnostics is mid-chain competitive (Guardant/Roche/Natera).</t>
        </is>
      </c>
      <c r="F1731" s="33" t="inlineStr">
        <is>
          <t>context-2026-06-05.md</t>
        </is>
      </c>
      <c r="G1731" s="33" t="inlineStr">
        <is>
          <t>Med</t>
        </is>
      </c>
      <c r="H1731" s="33" t="inlineStr">
        <is>
          <t>Initial</t>
        </is>
      </c>
    </row>
    <row r="1732">
      <c r="A1732" s="33" t="inlineStr">
        <is>
          <t>2026-06-05</t>
        </is>
      </c>
      <c r="B1732" s="33" t="inlineStr">
        <is>
          <t>TEM</t>
        </is>
      </c>
      <c r="C1732" s="33" t="inlineStr">
        <is>
          <t>D3</t>
        </is>
      </c>
      <c r="D1732" s="33" t="n">
        <v>3</v>
      </c>
      <c r="E1732" s="33" t="inlineStr">
        <is>
          <t>Data-scale + FDA-cleared assays + pharma switching costs real, but durability disputed; diagnostics commoditizing.</t>
        </is>
      </c>
      <c r="F1732" s="33" t="inlineStr">
        <is>
          <t>context-2026-06-05.md</t>
        </is>
      </c>
      <c r="G1732" s="33" t="inlineStr">
        <is>
          <t>Med</t>
        </is>
      </c>
      <c r="H1732" s="33" t="inlineStr">
        <is>
          <t>Initial</t>
        </is>
      </c>
    </row>
    <row r="1733">
      <c r="A1733" s="33" t="inlineStr">
        <is>
          <t>2026-06-05</t>
        </is>
      </c>
      <c r="B1733" s="33" t="inlineStr">
        <is>
          <t>TEM</t>
        </is>
      </c>
      <c r="C1733" s="33" t="inlineStr">
        <is>
          <t>D4</t>
        </is>
      </c>
      <c r="D1733" s="33" t="n">
        <v>4</v>
      </c>
      <c r="E1733" s="33" t="inlineStr">
        <is>
          <t>Active expansion (Alzheimer's, MRD +500%, FDA approvals, Ambry/Deep6 integration); capex-light so not 5.</t>
        </is>
      </c>
      <c r="F1733" s="33" t="inlineStr">
        <is>
          <t>context-2026-06-05.md</t>
        </is>
      </c>
      <c r="G1733" s="33" t="inlineStr">
        <is>
          <t>Med</t>
        </is>
      </c>
      <c r="H1733" s="33" t="inlineStr">
        <is>
          <t>Initial</t>
        </is>
      </c>
    </row>
    <row r="1734">
      <c r="A1734" s="33" t="inlineStr">
        <is>
          <t>2026-06-05</t>
        </is>
      </c>
      <c r="B1734" s="33" t="inlineStr">
        <is>
          <t>TEM</t>
        </is>
      </c>
      <c r="C1734" s="33" t="inlineStr">
        <is>
          <t>D5</t>
        </is>
      </c>
      <c r="D1734" s="33" t="n">
        <v>1</v>
      </c>
      <c r="E1734" s="33" t="inlineStr">
        <is>
          <t>Customers are pharma/biotech/payors, not hyperscalers; no meaningful hyperscaler revenue.</t>
        </is>
      </c>
      <c r="F1734" s="33" t="inlineStr">
        <is>
          <t>context-2026-06-05.md</t>
        </is>
      </c>
      <c r="G1734" s="33" t="inlineStr">
        <is>
          <t>High</t>
        </is>
      </c>
      <c r="H1734" s="33" t="inlineStr">
        <is>
          <t>Initial</t>
        </is>
      </c>
    </row>
    <row r="1735">
      <c r="A1735" s="33" t="inlineStr">
        <is>
          <t>2026-06-05</t>
        </is>
      </c>
      <c r="B1735" s="33" t="inlineStr">
        <is>
          <t>TEM</t>
        </is>
      </c>
      <c r="C1735" s="33" t="inlineStr">
        <is>
          <t>M1</t>
        </is>
      </c>
      <c r="D1735" s="33" t="n">
        <v>3</v>
      </c>
      <c r="E1735" s="33" t="inlineStr">
        <is>
          <t>Revenue guide raised but GAAP EPS missed sharply (mark-to-market/SBC); net mixed; pending Zacks.</t>
        </is>
      </c>
      <c r="F1735" s="33" t="inlineStr">
        <is>
          <t>context-2026-06-05.md</t>
        </is>
      </c>
      <c r="G1735" s="33" t="inlineStr">
        <is>
          <t>Low</t>
        </is>
      </c>
      <c r="H1735" s="33" t="inlineStr">
        <is>
          <t>Initial</t>
        </is>
      </c>
    </row>
    <row r="1736">
      <c r="A1736" s="33" t="inlineStr">
        <is>
          <t>2026-06-05</t>
        </is>
      </c>
      <c r="B1736" s="33" t="inlineStr">
        <is>
          <t>TEM</t>
        </is>
      </c>
      <c r="C1736" s="33" t="inlineStr">
        <is>
          <t>M2</t>
        </is>
      </c>
      <c r="D1736" s="33" t="n">
        <v>3</v>
      </c>
      <c r="E1736" s="33" t="inlineStr">
        <is>
          <t>Recovered to ~$53 post-FDA from mid-$40s; pending exact 3-6mo vs IGV/XBI.</t>
        </is>
      </c>
      <c r="F1736" s="33" t="inlineStr">
        <is>
          <t>context-2026-06-05.md</t>
        </is>
      </c>
      <c r="G1736" s="33" t="inlineStr">
        <is>
          <t>Low</t>
        </is>
      </c>
      <c r="H1736" s="33" t="inlineStr">
        <is>
          <t>Initial</t>
        </is>
      </c>
    </row>
    <row r="1737">
      <c r="A1737" s="33" t="inlineStr">
        <is>
          <t>2026-06-05</t>
        </is>
      </c>
      <c r="B1737" s="33" t="inlineStr">
        <is>
          <t>TEM</t>
        </is>
      </c>
      <c r="C1737" s="33" t="inlineStr">
        <is>
          <t>M3</t>
        </is>
      </c>
      <c r="D1737" s="33" t="n">
        <v>3</v>
      </c>
      <c r="E1737" s="33" t="inlineStr">
        <is>
          <t>Continuous Lefkofsky selling but all 10b5-1; no open-market buying → routine default.</t>
        </is>
      </c>
      <c r="F1737" s="33" t="inlineStr">
        <is>
          <t>Form 4s</t>
        </is>
      </c>
      <c r="G1737" s="33" t="inlineStr">
        <is>
          <t>Med</t>
        </is>
      </c>
      <c r="H1737" s="33" t="inlineStr">
        <is>
          <t>Initial</t>
        </is>
      </c>
    </row>
    <row r="1738">
      <c r="A1738" s="33" t="inlineStr">
        <is>
          <t>2026-06-05</t>
        </is>
      </c>
      <c r="B1738" s="33" t="inlineStr">
        <is>
          <t>TEM</t>
        </is>
      </c>
      <c r="C1738" s="33" t="inlineStr">
        <is>
          <t>R1</t>
        </is>
      </c>
      <c r="D1738" s="33" t="n">
        <v>3</v>
      </c>
      <c r="E1738" s="33" t="inlineStr">
        <is>
          <t>Data segment lumpy (~6 pharma at $100M+ TCV) but diagnostics broadly diversified.</t>
        </is>
      </c>
      <c r="F1738" s="33" t="inlineStr">
        <is>
          <t>Q1 2026 call</t>
        </is>
      </c>
      <c r="G1738" s="33" t="inlineStr">
        <is>
          <t>Med</t>
        </is>
      </c>
      <c r="H1738" s="33" t="inlineStr">
        <is>
          <t>Initial</t>
        </is>
      </c>
    </row>
    <row r="1739">
      <c r="A1739" s="33" t="inlineStr">
        <is>
          <t>2026-06-05</t>
        </is>
      </c>
      <c r="B1739" s="33" t="inlineStr">
        <is>
          <t>TEM</t>
        </is>
      </c>
      <c r="C1739" s="33" t="inlineStr">
        <is>
          <t>R2</t>
        </is>
      </c>
      <c r="D1739" s="33" t="n">
        <v>5</v>
      </c>
      <c r="E1739" s="33" t="inlineStr">
        <is>
          <t>US-centric; no China revenue, no export-controlled tech.</t>
        </is>
      </c>
      <c r="F1739" s="33" t="inlineStr">
        <is>
          <t>context-2026-06-05.md</t>
        </is>
      </c>
      <c r="G1739" s="33" t="inlineStr">
        <is>
          <t>High</t>
        </is>
      </c>
      <c r="H1739" s="33" t="inlineStr">
        <is>
          <t>Initial</t>
        </is>
      </c>
    </row>
    <row r="1740">
      <c r="A1740" s="33" t="inlineStr">
        <is>
          <t>2026-06-05</t>
        </is>
      </c>
      <c r="B1740" s="33" t="inlineStr">
        <is>
          <t>TEM</t>
        </is>
      </c>
      <c r="C1740" s="33" t="inlineStr">
        <is>
          <t>R3</t>
        </is>
      </c>
      <c r="D1740" s="33" t="n">
        <v>3</v>
      </c>
      <c r="E1740" s="33" t="inlineStr">
        <is>
          <t>~$640M cash, no acute leverage, but FCF-negative (~-$83M/qtr) + covenants.</t>
        </is>
      </c>
      <c r="F1740" s="33" t="inlineStr">
        <is>
          <t>Q1 2026 10-Q</t>
        </is>
      </c>
      <c r="G1740" s="33" t="inlineStr">
        <is>
          <t>Med</t>
        </is>
      </c>
      <c r="H1740" s="33" t="inlineStr">
        <is>
          <t>Initial</t>
        </is>
      </c>
    </row>
    <row r="1741">
      <c r="A1741" s="33" t="inlineStr">
        <is>
          <t>2026-06-05</t>
        </is>
      </c>
      <c r="B1741" s="33" t="inlineStr">
        <is>
          <t>TEM</t>
        </is>
      </c>
      <c r="C1741" s="33" t="inlineStr">
        <is>
          <t>R4</t>
        </is>
      </c>
      <c r="D1741" s="33" t="n">
        <v>2</v>
      </c>
      <c r="E1741" s="33" t="inlineStr">
        <is>
          <t>Spruce Point short report (accounting allegations) + dual-class governance + Lefkofsky promoter history + health-data privacy = material overhang.</t>
        </is>
      </c>
      <c r="F1741" s="33" t="inlineStr">
        <is>
          <t>Spruce Point May 2025; context briefing</t>
        </is>
      </c>
      <c r="G1741" s="33" t="inlineStr">
        <is>
          <t>Med</t>
        </is>
      </c>
      <c r="H1741" s="33" t="inlineStr">
        <is>
          <t>Initial</t>
        </is>
      </c>
    </row>
    <row r="1742">
      <c r="A1742" s="33" t="inlineStr">
        <is>
          <t>2026-06-09</t>
        </is>
      </c>
      <c r="B1742" s="33" t="inlineStr">
        <is>
          <t>ALL</t>
        </is>
      </c>
      <c r="C1742" s="33" t="inlineStr">
        <is>
          <t>Methodology</t>
        </is>
      </c>
      <c r="D1742" s="33" t="inlineStr">
        <is>
          <t>—</t>
        </is>
      </c>
      <c r="E1742" s="33" t="inlineStr">
        <is>
          <t>Added 4th Momentum metric: % of last 120 trading days with close &gt; 50-day SMA (objective, from yfinance price history). Bands: ≥85→100, ≥70→90, ≥55→75, ≥40→60, ≥25→40, &lt;25→20. Momentum Score now averages the 3 subjective ratings (×20) with the banded 50DMA score. Rationale: objectifies trend consistency; separates durable uptrends from one-gap bounces. Origin: external feedback reviewed 2026-06-09; 5 sibling suggestions declined (P/B, op margin, volume, inst. ownership, analyst PTs) — see session notes. Approved by Dom.</t>
        </is>
      </c>
      <c r="F1742" s="33" t="inlineStr">
        <is>
          <t>scripts/momentum_50dma.py; Methodology tab row 36</t>
        </is>
      </c>
      <c r="G1742" s="33" t="inlineStr">
        <is>
          <t>High</t>
        </is>
      </c>
      <c r="H1742" s="33" t="inlineStr">
        <is>
          <t>Methodology change</t>
        </is>
      </c>
    </row>
    <row r="1743">
      <c r="A1743" s="33" t="inlineStr">
        <is>
          <t>2026-06-10</t>
        </is>
      </c>
      <c r="B1743" s="33" t="inlineStr">
        <is>
          <t>EQT</t>
        </is>
      </c>
      <c r="C1743" s="33" t="inlineStr">
        <is>
          <t>D1</t>
        </is>
      </c>
      <c r="D1743" s="33" t="n">
        <v>1</v>
      </c>
      <c r="E1743" s="33" t="inlineStr">
        <is>
          <t>(was 5) Q1 2026 revenue 100% commodity (no 'data center' in 10-Q); two datacenter-linked supply deals are index-plus priced to power developers and don't flow until Shippingport fall-2026/Homer City 2028. ~0% current AI revenue.</t>
        </is>
      </c>
      <c r="F1743" s="33" t="inlineStr">
        <is>
          <t>EQT 10-Q Q1 2026 (2026-04-22); S&amp;P Global 2025-07-21</t>
        </is>
      </c>
      <c r="G1743" s="33" t="inlineStr">
        <is>
          <t>High</t>
        </is>
      </c>
      <c r="H1743" s="33" t="inlineStr">
        <is>
          <t>Update</t>
        </is>
      </c>
    </row>
    <row r="1744">
      <c r="A1744" s="33" t="inlineStr">
        <is>
          <t>2026-06-10</t>
        </is>
      </c>
      <c r="B1744" s="33" t="inlineStr">
        <is>
          <t>EQT</t>
        </is>
      </c>
      <c r="C1744" s="33" t="inlineStr">
        <is>
          <t>D2</t>
        </is>
      </c>
      <c r="D1744" s="33" t="n">
        <v>2</v>
      </c>
      <c r="E1744" s="33" t="inlineStr">
        <is>
          <t>(was 5) Price-taker: index-plus/TETCO M-2 pricing, Q2 2026 strategic curtailments into weak prices; AI mechanism is in-basin basis (2nd-derivative). Scale+midstream are cost advantages, not pricing power.</t>
        </is>
      </c>
      <c r="F1744" s="33" t="inlineStr">
        <is>
          <t>EQT 10-Q Q1 2026; S&amp;P Global 2025-07-21</t>
        </is>
      </c>
      <c r="G1744" s="33" t="inlineStr">
        <is>
          <t>High</t>
        </is>
      </c>
      <c r="H1744" s="33" t="inlineStr">
        <is>
          <t>Update</t>
        </is>
      </c>
    </row>
    <row r="1745">
      <c r="A1745" s="33" t="inlineStr">
        <is>
          <t>2026-06-10</t>
        </is>
      </c>
      <c r="B1745" s="33" t="inlineStr">
        <is>
          <t>EQT</t>
        </is>
      </c>
      <c r="C1745" s="33" t="inlineStr">
        <is>
          <t>D5</t>
        </is>
      </c>
      <c r="D1745" s="33" t="n">
        <v>2</v>
      </c>
      <c r="E1745" s="33" t="inlineStr">
        <is>
          <t>(was 5) No hyperscaler counterparty; deals are with power developers (Homer City Redevelopment, Frontier Group). Chain hyperscaler-&gt;unnamed tenant-&gt;developer-&gt;EQT gas = indirect.</t>
        </is>
      </c>
      <c r="F1745" s="33" t="inlineStr">
        <is>
          <t>Businesswire 2025-07-15; NGI</t>
        </is>
      </c>
      <c r="G1745" s="33" t="inlineStr">
        <is>
          <t>High</t>
        </is>
      </c>
      <c r="H1745" s="33" t="inlineStr">
        <is>
          <t>Update</t>
        </is>
      </c>
    </row>
    <row r="1746">
      <c r="A1746" s="33" t="inlineStr">
        <is>
          <t>2026-06-10</t>
        </is>
      </c>
      <c r="B1746" s="33" t="inlineStr">
        <is>
          <t>RRC</t>
        </is>
      </c>
      <c r="C1746" s="33" t="inlineStr">
        <is>
          <t>D1</t>
        </is>
      </c>
      <c r="D1746" s="33" t="n">
        <v>1</v>
      </c>
      <c r="E1746" s="33" t="inlineStr">
        <is>
          <t>(was 4) ~0% current AI revenue; only signed power-linked deal is 75 MMcf/d to an unnamed Midwest power plant starting late 2027 (~5% of volumes when live), datacenter linkage unconfirmed. Q1 release: zero 'data center' mentions.</t>
        </is>
      </c>
      <c r="F1746" s="33" t="inlineStr">
        <is>
          <t>RRC 8-K 2026-04-21 &amp; 2026-02-24</t>
        </is>
      </c>
      <c r="G1746" s="33" t="inlineStr">
        <is>
          <t>High</t>
        </is>
      </c>
      <c r="H1746" s="33" t="inlineStr">
        <is>
          <t>Update</t>
        </is>
      </c>
    </row>
    <row r="1747">
      <c r="A1747" s="33" t="inlineStr">
        <is>
          <t>2026-06-10</t>
        </is>
      </c>
      <c r="B1747" s="33" t="inlineStr">
        <is>
          <t>RRC</t>
        </is>
      </c>
      <c r="C1747" s="33" t="inlineStr">
        <is>
          <t>D2</t>
        </is>
      </c>
      <c r="D1747" s="33" t="n">
        <v>2</v>
      </c>
      <c r="E1747" s="33" t="inlineStr">
        <is>
          <t>(was 4) Structural price-taker, sells below Henry Hub (FY26 guide NYMEX -$0.35/-0.45); Q1 +$0.18 premium was seasonal. One unstarted premium contract on ~5% of volumes.</t>
        </is>
      </c>
      <c r="F1747" s="33" t="inlineStr">
        <is>
          <t>RRC 8-K 2026-04-21</t>
        </is>
      </c>
      <c r="G1747" s="33" t="inlineStr">
        <is>
          <t>High</t>
        </is>
      </c>
      <c r="H1747" s="33" t="inlineStr">
        <is>
          <t>Update</t>
        </is>
      </c>
    </row>
    <row r="1748">
      <c r="A1748" s="33" t="inlineStr">
        <is>
          <t>2026-06-10</t>
        </is>
      </c>
      <c r="B1748" s="33" t="inlineStr">
        <is>
          <t>RRC</t>
        </is>
      </c>
      <c r="C1748" s="33" t="inlineStr">
        <is>
          <t>D5</t>
        </is>
      </c>
      <c r="D1748" s="33" t="n">
        <v>1</v>
      </c>
      <c r="E1748" s="33" t="inlineStr">
        <is>
          <t>(was 4) Zero signed hyperscaler/developer deals; Fort Cherry alliance partners are frac-services + real-estate (no tenant named); NextEra South Mon 'potential participation' only.</t>
        </is>
      </c>
      <c r="F1748" s="33" t="inlineStr">
        <is>
          <t>Liberty Energy Apr 2025; RRC Q1 2026 call</t>
        </is>
      </c>
      <c r="G1748" s="33" t="inlineStr">
        <is>
          <t>High</t>
        </is>
      </c>
      <c r="H1748" s="33" t="inlineStr">
        <is>
          <t>Update</t>
        </is>
      </c>
    </row>
    <row r="1749">
      <c r="A1749" s="33" t="inlineStr">
        <is>
          <t>2026-06-10</t>
        </is>
      </c>
      <c r="B1749" s="33" t="inlineStr">
        <is>
          <t>AR</t>
        </is>
      </c>
      <c r="C1749" s="33" t="inlineStr">
        <is>
          <t>D1</t>
        </is>
      </c>
      <c r="D1749" s="33" t="n">
        <v>1</v>
      </c>
      <c r="E1749" s="33" t="inlineStr">
        <is>
          <t>(was 4) ~0% current AI; Q1 2026 revenue 67% gas (LNG-corridor)/26% NGL (export)/2% oil, no datacenter mention in 10-Q. Only AI engagement is &gt;5 Bcf/d of RFP participation, no wins.</t>
        </is>
      </c>
      <c r="F1749" s="33" t="inlineStr">
        <is>
          <t>AR 10-Q Q1 2026 (2026-04-29); Q1 call</t>
        </is>
      </c>
      <c r="G1749" s="33" t="inlineStr">
        <is>
          <t>High</t>
        </is>
      </c>
      <c r="H1749" s="33" t="inlineStr">
        <is>
          <t>Update</t>
        </is>
      </c>
    </row>
    <row r="1750">
      <c r="A1750" s="33" t="inlineStr">
        <is>
          <t>2026-06-10</t>
        </is>
      </c>
      <c r="B1750" s="33" t="inlineStr">
        <is>
          <t>AR</t>
        </is>
      </c>
      <c r="C1750" s="33" t="inlineStr">
        <is>
          <t>D2</t>
        </is>
      </c>
      <c r="D1750" s="33" t="n">
        <v>2</v>
      </c>
      <c r="E1750" s="33" t="inlineStr">
        <is>
          <t>(was 4) Price-taker with superior logistics; premiums (90% Tier-1 points) derive from firm-transport + LNG/LPG export benchmarks, not negotiated with AI buyers.</t>
        </is>
      </c>
      <c r="F1750" s="33" t="inlineStr">
        <is>
          <t>AR 10-Q Q1 2026; investor materials</t>
        </is>
      </c>
      <c r="G1750" s="33" t="inlineStr">
        <is>
          <t>High</t>
        </is>
      </c>
      <c r="H1750" s="33" t="inlineStr">
        <is>
          <t>Update</t>
        </is>
      </c>
    </row>
    <row r="1751">
      <c r="A1751" s="33" t="inlineStr">
        <is>
          <t>2026-06-10</t>
        </is>
      </c>
      <c r="B1751" s="33" t="inlineStr">
        <is>
          <t>AR</t>
        </is>
      </c>
      <c r="C1751" s="33" t="inlineStr">
        <is>
          <t>D5</t>
        </is>
      </c>
      <c r="D1751" s="33" t="n">
        <v>1</v>
      </c>
      <c r="E1751" s="33" t="inlineStr">
        <is>
          <t>(was 4) Zero signed hyperscaler/developer deals; closest is unnamed-counterparty RFPs + HG dry-gas 'optionality' + geographic-proximity narrative.</t>
        </is>
      </c>
      <c r="F1751" s="33" t="inlineStr">
        <is>
          <t>AR Q1 2026 call; 10-Q</t>
        </is>
      </c>
      <c r="G1751" s="33" t="inlineStr">
        <is>
          <t>High</t>
        </is>
      </c>
      <c r="H1751" s="33" t="inlineStr">
        <is>
          <t>Update</t>
        </is>
      </c>
    </row>
    <row r="1752">
      <c r="A1752" s="33" t="inlineStr">
        <is>
          <t>2026-06-10</t>
        </is>
      </c>
      <c r="B1752" s="33" t="inlineStr">
        <is>
          <t>EXE</t>
        </is>
      </c>
      <c r="C1752" s="33" t="inlineStr">
        <is>
          <t>D1</t>
        </is>
      </c>
      <c r="D1752" s="33" t="n">
        <v>1</v>
      </c>
      <c r="E1752" s="33" t="inlineStr">
        <is>
          <t>(was 4) 0% direct AI; generous indirect ~1-3% via gas-demand share runs through Henry Hub (excluded by directness lens). 10-Q mentions 'data center' once, as a price driver not a customer.</t>
        </is>
      </c>
      <c r="F1752" s="33" t="inlineStr">
        <is>
          <t>EXE 10-Q Q1 2026 (2026-04-28)</t>
        </is>
      </c>
      <c r="G1752" s="33" t="inlineStr">
        <is>
          <t>High</t>
        </is>
      </c>
      <c r="H1752" s="33" t="inlineStr">
        <is>
          <t>Update</t>
        </is>
      </c>
    </row>
    <row r="1753">
      <c r="A1753" s="33" t="inlineStr">
        <is>
          <t>2026-06-10</t>
        </is>
      </c>
      <c r="B1753" s="33" t="inlineStr">
        <is>
          <t>EXE</t>
        </is>
      </c>
      <c r="C1753" s="33" t="inlineStr">
        <is>
          <t>D2</t>
        </is>
      </c>
      <c r="D1753" s="33" t="n">
        <v>2</v>
      </c>
      <c r="E1753" s="33" t="inlineStr">
        <is>
          <t>(was 4) Price-taker, demonstrated: Q1 avg sales $4.92/Mcf vs NYMEX $5.04 (discount), hedges &gt;65% of volumes, Delfin LNG SPA priced at Henry Hub. Scale = cost advantage not pricing power.</t>
        </is>
      </c>
      <c r="F1753" s="33" t="inlineStr">
        <is>
          <t>EXE 10-Q Q1 2026</t>
        </is>
      </c>
      <c r="G1753" s="33" t="inlineStr">
        <is>
          <t>High</t>
        </is>
      </c>
      <c r="H1753" s="33" t="inlineStr">
        <is>
          <t>Update</t>
        </is>
      </c>
    </row>
    <row r="1754">
      <c r="A1754" s="33" t="inlineStr">
        <is>
          <t>2026-06-10</t>
        </is>
      </c>
      <c r="B1754" s="33" t="inlineStr">
        <is>
          <t>EXE</t>
        </is>
      </c>
      <c r="C1754" s="33" t="inlineStr">
        <is>
          <t>D5</t>
        </is>
      </c>
      <c r="D1754" s="33" t="n">
        <v>1</v>
      </c>
      <c r="E1754" s="33" t="inlineStr">
        <is>
          <t>(was 4) Narrative-stage; no signed deal with a named hyperscaler/developer; negotiating with PJM power-provider intermediaries, unsigned. Peers (DTE, Energy Transfer) have signed deals EXE lacks.</t>
        </is>
      </c>
      <c r="F1754" s="33" t="inlineStr">
        <is>
          <t>EXE Q1 2026 call (2026-04-29)</t>
        </is>
      </c>
      <c r="G1754" s="33" t="inlineStr">
        <is>
          <t>High</t>
        </is>
      </c>
      <c r="H1754" s="33" t="inlineStr">
        <is>
          <t>Update</t>
        </is>
      </c>
    </row>
    <row r="1755">
      <c r="A1755" s="33" t="inlineStr">
        <is>
          <t>2026-06-10</t>
        </is>
      </c>
      <c r="B1755" s="33" t="inlineStr">
        <is>
          <t>CEG</t>
        </is>
      </c>
      <c r="C1755" s="33" t="inlineStr">
        <is>
          <t>D5</t>
        </is>
      </c>
      <c r="D1755" s="33" t="n">
        <v>5</v>
      </c>
      <c r="E1755" s="33" t="inlineStr">
        <is>
          <t>(was 4) Best-in-layer: two named hyperscalers signed 20-yr -- MSFT 835 MW + Meta 1,121 MW (~2 GW) + CyrusOne &gt;1,100 MW (deliveries from Q4 2026). Multiple anchor hyperscalers.</t>
        </is>
      </c>
      <c r="F1755" s="33" t="inlineStr">
        <is>
          <t>CEG 10-Q 2026-05-11; company PR 2025-06-03</t>
        </is>
      </c>
      <c r="G1755" s="33" t="inlineStr">
        <is>
          <t>High</t>
        </is>
      </c>
      <c r="H1755" s="33" t="inlineStr">
        <is>
          <t>Update</t>
        </is>
      </c>
    </row>
    <row r="1756">
      <c r="A1756" s="33" t="inlineStr">
        <is>
          <t>2026-06-10</t>
        </is>
      </c>
      <c r="B1756" s="33" t="inlineStr">
        <is>
          <t>VST</t>
        </is>
      </c>
      <c r="C1756" s="33" t="inlineStr">
        <is>
          <t>D1</t>
        </is>
      </c>
      <c r="D1756" s="33" t="n">
        <v>2</v>
      </c>
      <c r="E1756" s="33" t="inlineStr">
        <is>
          <t>(was 5) Signed hyperscaler PPAs pre-revenue (Meta 2,609 MW starts late 2026; AWS 1,200 MW Q4 2027); current AI-tied revenue ~= PJM capacity ~$1.24B (~6% of rev) driven by datacenter demand. Was 5 (&gt;50%) -- corrected to current reality.</t>
        </is>
      </c>
      <c r="F1756" s="33" t="inlineStr">
        <is>
          <t>Vistra IR 2026-01-09; Q1 2026 call</t>
        </is>
      </c>
      <c r="G1756" s="33" t="inlineStr">
        <is>
          <t>High</t>
        </is>
      </c>
      <c r="H1756" s="33" t="inlineStr">
        <is>
          <t>Update</t>
        </is>
      </c>
    </row>
    <row r="1757">
      <c r="A1757" s="33" t="inlineStr">
        <is>
          <t>2026-06-10</t>
        </is>
      </c>
      <c r="B1757" s="33" t="inlineStr">
        <is>
          <t>TLN</t>
        </is>
      </c>
      <c r="C1757" s="33" t="inlineStr">
        <is>
          <t>D1</t>
        </is>
      </c>
      <c r="D1757" s="33" t="n">
        <v>2</v>
      </c>
      <c r="E1757" s="33" t="inlineStr">
        <is>
          <t>(was 5) ~5% of current revenue is AWS-contracted (front-of-meter transition completed Apr 2026, ~300 MW flowing); scales to 20-30% at full ramp. Band 2 reflects revenue actually flowing now.</t>
        </is>
      </c>
      <c r="F1757" s="33" t="inlineStr">
        <is>
          <t>TLN 10-Q Q1 2026 (2026-05-05); PR 2025-06-11</t>
        </is>
      </c>
      <c r="G1757" s="33" t="inlineStr">
        <is>
          <t>High</t>
        </is>
      </c>
      <c r="H1757" s="33" t="inlineStr">
        <is>
          <t>Update</t>
        </is>
      </c>
    </row>
    <row r="1758">
      <c r="A1758" s="33" t="inlineStr">
        <is>
          <t>2026-06-10</t>
        </is>
      </c>
      <c r="B1758" s="33" t="inlineStr">
        <is>
          <t>TLN</t>
        </is>
      </c>
      <c r="C1758" s="33" t="inlineStr">
        <is>
          <t>D5</t>
        </is>
      </c>
      <c r="D1758" s="33" t="n">
        <v>4</v>
      </c>
      <c r="E1758" s="33" t="inlineStr">
        <is>
          <t>(was 5) Single named hyperscaler anchor (AWS 1,920 MW/17yr/$18B, ~77% of Susquehanna at ramp). Rubric band 5 requires MULTIPLE hyperscalers; TLN has one (large) -&gt; band 4. Single-customer concentration also sits in R1. FLAG: magnitude argues for 5.</t>
        </is>
      </c>
      <c r="F1758" s="33" t="inlineStr">
        <is>
          <t>TLN PR 2025-06-11; Power Magazine 2025-06</t>
        </is>
      </c>
      <c r="G1758" s="33" t="inlineStr">
        <is>
          <t>Medium</t>
        </is>
      </c>
      <c r="H1758" s="33" t="inlineStr">
        <is>
          <t>Update</t>
        </is>
      </c>
    </row>
    <row r="1759">
      <c r="A1759" s="33" t="inlineStr">
        <is>
          <t>2026-06-10</t>
        </is>
      </c>
      <c r="B1759" s="33" t="inlineStr">
        <is>
          <t>NRG</t>
        </is>
      </c>
      <c r="C1759" s="33" t="inlineStr">
        <is>
          <t>D1</t>
        </is>
      </c>
      <c r="D1759" s="33" t="n">
        <v>1</v>
      </c>
      <c r="E1759" s="33" t="inlineStr">
        <is>
          <t>(was 3) Current datacenter revenue ~=0.01% (5 MW contracted 2026); even full 445 MW (2032) &lt;1% of &gt;$30B revenue. 10-Q: zero 'hyperscaler' mentions.</t>
        </is>
      </c>
      <c r="F1759" s="33" t="inlineStr">
        <is>
          <t>NRG 10-Q Q1 2026 (2026-05-06); Q1 slides</t>
        </is>
      </c>
      <c r="G1759" s="33" t="inlineStr">
        <is>
          <t>High</t>
        </is>
      </c>
      <c r="H1759" s="33" t="inlineStr">
        <is>
          <t>Update</t>
        </is>
      </c>
    </row>
    <row r="1760">
      <c r="A1760" s="33" t="inlineStr">
        <is>
          <t>2026-06-10</t>
        </is>
      </c>
      <c r="B1760" s="33" t="inlineStr">
        <is>
          <t>NRG</t>
        </is>
      </c>
      <c r="C1760" s="33" t="inlineStr">
        <is>
          <t>D2</t>
        </is>
      </c>
      <c r="D1760" s="33" t="n">
        <v>3</v>
      </c>
      <c r="E1760" s="33" t="inlineStr">
        <is>
          <t>(was 4) Small premium-priced datacenter slice (445 MW &gt;$80/MWh) + real 5.4 GW GE Vernova turbine-slot lockup (monetizes 2029+), but bulk is ~25 GW merchant fleet price-taking (Q1 -46% EPS miss on mild weather alone).</t>
        </is>
      </c>
      <c r="F1760" s="33" t="inlineStr">
        <is>
          <t>NRG 10-Q Q1 2026; Utility Dive</t>
        </is>
      </c>
      <c r="G1760" s="33" t="inlineStr">
        <is>
          <t>Medium</t>
        </is>
      </c>
      <c r="H1760" s="33" t="inlineStr">
        <is>
          <t>Update</t>
        </is>
      </c>
    </row>
    <row r="1761">
      <c r="A1761" s="33" t="inlineStr">
        <is>
          <t>2026-06-10</t>
        </is>
      </c>
      <c r="B1761" s="33" t="inlineStr">
        <is>
          <t>NRG</t>
        </is>
      </c>
      <c r="C1761" s="33" t="inlineStr">
        <is>
          <t>D5</t>
        </is>
      </c>
      <c r="D1761" s="33" t="n">
        <v>2</v>
      </c>
      <c r="E1761" s="33" t="inlineStr">
        <is>
          <t>(was 3) No signed deal with a named hyperscaler; 445 MW counterparties undisclosed, 6.5 GW Menlo/PowLan still LOIs, GE Vernova JV anchor unsigned. Below TLN/CEG.</t>
        </is>
      </c>
      <c r="F1761" s="33" t="inlineStr">
        <is>
          <t>NRG Q1 2026 slides; Utility Dive</t>
        </is>
      </c>
      <c r="G1761" s="33" t="inlineStr">
        <is>
          <t>High</t>
        </is>
      </c>
      <c r="H1761" s="33" t="inlineStr">
        <is>
          <t>Update</t>
        </is>
      </c>
    </row>
    <row r="1762">
      <c r="A1762" s="33" t="inlineStr">
        <is>
          <t>2026-06-10</t>
        </is>
      </c>
      <c r="B1762" s="33" t="inlineStr">
        <is>
          <t>DUK</t>
        </is>
      </c>
      <c r="C1762" s="33" t="inlineStr">
        <is>
          <t>D1</t>
        </is>
      </c>
      <c r="D1762" s="33" t="n">
        <v>1</v>
      </c>
      <c r="E1762" s="33" t="inlineStr">
        <is>
          <t>(was 4) Regulated utility; 7.6 GW of signed datacenter ESAs begin delivering H2 2027 -- contracted AI revenue today ~=0%, legacy datacenter load not broken out.</t>
        </is>
      </c>
      <c r="F1762" s="33" t="inlineStr">
        <is>
          <t>DUK Q1 2026 call (2026-05-05); Utility Dive</t>
        </is>
      </c>
      <c r="G1762" s="33" t="inlineStr">
        <is>
          <t>High</t>
        </is>
      </c>
      <c r="H1762" s="33" t="inlineStr">
        <is>
          <t>Update</t>
        </is>
      </c>
    </row>
    <row r="1763">
      <c r="A1763" s="33" t="inlineStr">
        <is>
          <t>2026-06-10</t>
        </is>
      </c>
      <c r="B1763" s="33" t="inlineStr">
        <is>
          <t>DUK</t>
        </is>
      </c>
      <c r="C1763" s="33" t="inlineStr">
        <is>
          <t>D2</t>
        </is>
      </c>
      <c r="D1763" s="33" t="n">
        <v>3</v>
      </c>
      <c r="E1763" s="33" t="inlineStr">
        <is>
          <t>(was 4) Fully regulated capture: $103B capex -&gt; ~9.6% rate-base growth -&gt; 5-7% EPS CAGR at allowed ROE (~10%). ESA safeguards de-risk capex but don't capture scarcity upside; no pricing power.</t>
        </is>
      </c>
      <c r="F1763" s="33" t="inlineStr">
        <is>
          <t>DUK Q1 2026 call; Fortune 2026-04-25</t>
        </is>
      </c>
      <c r="G1763" s="33" t="inlineStr">
        <is>
          <t>High</t>
        </is>
      </c>
      <c r="H1763" s="33" t="inlineStr">
        <is>
          <t>Update</t>
        </is>
      </c>
    </row>
    <row r="1764">
      <c r="A1764" s="33" t="inlineStr">
        <is>
          <t>2026-06-10</t>
        </is>
      </c>
      <c r="B1764" s="33" t="inlineStr">
        <is>
          <t>DUK</t>
        </is>
      </c>
      <c r="C1764" s="33" t="inlineStr">
        <is>
          <t>D5</t>
        </is>
      </c>
      <c r="D1764" s="33" t="n">
        <v>3</v>
      </c>
      <c r="E1764" s="33" t="inlineStr">
        <is>
          <t>(was 4) Large datacenter exposure (7.6 GW signed ESAs, 15.4 GW pipeline) but zero hyperscalers named by the issuer, regulated economics, no per-customer terms disclosed.</t>
        </is>
      </c>
      <c r="F1764" s="33" t="inlineStr">
        <is>
          <t>DUK Q1 2026 call; Business North Carolina</t>
        </is>
      </c>
      <c r="G1764" s="33" t="inlineStr">
        <is>
          <t>Medium</t>
        </is>
      </c>
      <c r="H1764" s="33" t="inlineStr">
        <is>
          <t>Update</t>
        </is>
      </c>
    </row>
    <row r="1765">
      <c r="A1765" s="33" t="inlineStr">
        <is>
          <t>2026-06-10</t>
        </is>
      </c>
      <c r="B1765" s="33" t="inlineStr">
        <is>
          <t>EQT</t>
        </is>
      </c>
      <c r="C1765" s="33" t="inlineStr">
        <is>
          <t>D3</t>
        </is>
      </c>
      <c r="D1765" s="33" t="n">
        <v>3</v>
      </c>
      <c r="E1765" s="33" t="inlineStr">
        <is>
          <t>(was 4) Commodity gas producer has no durable moat; D2=2 (commoditized) is incompatible with D3=4. Keeps a notch above peers for integrated midstream (Equitrans+Olympus) + largest in-basin scale = modest cost advantage, not a barrier.</t>
        </is>
      </c>
      <c r="F1765" s="33" t="inlineStr">
        <is>
          <t>EQT 10-Q Q1 2026; directness re-rate 2026-06-10</t>
        </is>
      </c>
      <c r="G1765" s="33" t="inlineStr">
        <is>
          <t>High</t>
        </is>
      </c>
      <c r="H1765" s="33" t="inlineStr">
        <is>
          <t>Update</t>
        </is>
      </c>
    </row>
    <row r="1766">
      <c r="A1766" s="33" t="inlineStr">
        <is>
          <t>2026-06-10</t>
        </is>
      </c>
      <c r="B1766" s="33" t="inlineStr">
        <is>
          <t>RRC</t>
        </is>
      </c>
      <c r="C1766" s="33" t="inlineStr">
        <is>
          <t>D3</t>
        </is>
      </c>
      <c r="D1766" s="33" t="n">
        <v>2</v>
      </c>
      <c r="E1766" s="33" t="inlineStr">
        <is>
          <t>(was 4) Commodity gas producer, weak moat; low-cost Appalachian acreage is a modest cost advantage, not durable defensibility. Aligns D3 with D2=2 (price-taker, sells below Henry Hub).</t>
        </is>
      </c>
      <c r="F1766" s="33" t="inlineStr">
        <is>
          <t>RRC 8-K 2026-04-21; directness re-rate 2026-06-10</t>
        </is>
      </c>
      <c r="G1766" s="33" t="inlineStr">
        <is>
          <t>High</t>
        </is>
      </c>
      <c r="H1766" s="33" t="inlineStr">
        <is>
          <t>Update</t>
        </is>
      </c>
    </row>
    <row r="1767">
      <c r="A1767" s="33" t="inlineStr">
        <is>
          <t>2026-06-10</t>
        </is>
      </c>
      <c r="B1767" s="33" t="inlineStr">
        <is>
          <t>AR</t>
        </is>
      </c>
      <c r="C1767" s="33" t="inlineStr">
        <is>
          <t>D3</t>
        </is>
      </c>
      <c r="D1767" s="33" t="n">
        <v>2</v>
      </c>
      <c r="E1767" s="33" t="inlineStr">
        <is>
          <t>(was 4) Commodity gas producer, weak moat; superior firm-transport/LNG logistics is market access, not a defensible barrier. Aligns D3 with D2=2.</t>
        </is>
      </c>
      <c r="F1767" s="33" t="inlineStr">
        <is>
          <t>AR 10-Q Q1 2026; directness re-rate 2026-06-10</t>
        </is>
      </c>
      <c r="G1767" s="33" t="inlineStr">
        <is>
          <t>High</t>
        </is>
      </c>
      <c r="H1767" s="33" t="inlineStr">
        <is>
          <t>Update</t>
        </is>
      </c>
    </row>
    <row r="1768">
      <c r="A1768" s="33" t="inlineStr">
        <is>
          <t>2026-06-10</t>
        </is>
      </c>
      <c r="B1768" s="33" t="inlineStr">
        <is>
          <t>EXE</t>
        </is>
      </c>
      <c r="C1768" s="33" t="inlineStr">
        <is>
          <t>D3</t>
        </is>
      </c>
      <c r="D1768" s="33" t="n">
        <v>2</v>
      </c>
      <c r="E1768" s="33" t="inlineStr">
        <is>
          <t>(was 4) Commodity gas producer, weak moat; #1-scale is a cost advantage within a commodity game, not pricing-power defensibility. Aligns D3 with D2=2 (sells below NYMEX).</t>
        </is>
      </c>
      <c r="F1768" s="33" t="inlineStr">
        <is>
          <t>EXE 10-Q Q1 2026; directness re-rate 2026-06-10</t>
        </is>
      </c>
      <c r="G1768" s="33" t="inlineStr">
        <is>
          <t>High</t>
        </is>
      </c>
      <c r="H1768" s="33" t="inlineStr">
        <is>
          <t>Update</t>
        </is>
      </c>
    </row>
    <row r="1769">
      <c r="A1769" s="33" t="inlineStr">
        <is>
          <t>2026-06-10</t>
        </is>
      </c>
      <c r="B1769" s="33" t="inlineStr">
        <is>
          <t>D</t>
        </is>
      </c>
      <c r="C1769" s="33" t="inlineStr">
        <is>
          <t>D1</t>
        </is>
      </c>
      <c r="D1769" s="33" t="n">
        <v>2</v>
      </c>
      <c r="E1769" s="33" t="inlineStr">
        <is>
          <t>(was 4) DC = 28% of DEV electricity SALES VOLUME FY2025 (not revenue, mostly NoVA cloud/enterprise); AI-specific share of consolidated D ~5-10%. Highest current-DC of the regulated cohort.</t>
        </is>
      </c>
      <c r="F1769" s="33" t="inlineStr">
        <is>
          <t>D 10-K FY2025 2026-02-23</t>
        </is>
      </c>
      <c r="G1769" s="33" t="inlineStr">
        <is>
          <t>Med</t>
        </is>
      </c>
      <c r="H1769" s="33" t="inlineStr">
        <is>
          <t>Update</t>
        </is>
      </c>
    </row>
    <row r="1770">
      <c r="A1770" s="33" t="inlineStr">
        <is>
          <t>2026-06-10</t>
        </is>
      </c>
      <c r="B1770" s="33" t="inlineStr">
        <is>
          <t>D</t>
        </is>
      </c>
      <c r="C1770" s="33" t="inlineStr">
        <is>
          <t>D2</t>
        </is>
      </c>
      <c r="D1770" s="33" t="n">
        <v>3</v>
      </c>
      <c r="E1770" s="33" t="inlineStr">
        <is>
          <t>(was 4) Regulated, allowed ROE 9.8%; GS-5 minimum-demand terms capture volume/rate-base, not scarcity pricing.</t>
        </is>
      </c>
      <c r="F1770" s="33" t="inlineStr">
        <is>
          <t>Virginia SCC order 2025-11-25</t>
        </is>
      </c>
      <c r="G1770" s="33" t="inlineStr">
        <is>
          <t>High</t>
        </is>
      </c>
      <c r="H1770" s="33" t="inlineStr">
        <is>
          <t>Update</t>
        </is>
      </c>
    </row>
    <row r="1771">
      <c r="A1771" s="33" t="inlineStr">
        <is>
          <t>2026-06-10</t>
        </is>
      </c>
      <c r="B1771" s="33" t="inlineStr">
        <is>
          <t>D</t>
        </is>
      </c>
      <c r="C1771" s="33" t="inlineStr">
        <is>
          <t>D5</t>
        </is>
      </c>
      <c r="D1771" s="33" t="n">
        <v>3</v>
      </c>
      <c r="E1771" s="33" t="inlineStr">
        <is>
          <t>(was 5) 51 GW pipeline (10.4 GW ESA-stage) but ZERO named hyperscaler counterparties, tariff-priced; only an exploratory Amazon SMR MOU. Large but not concentrated/premium.</t>
        </is>
      </c>
      <c r="F1771" s="33" t="inlineStr">
        <is>
          <t>D Q1 2026 slides 2026-05-01</t>
        </is>
      </c>
      <c r="G1771" s="33" t="inlineStr">
        <is>
          <t>High</t>
        </is>
      </c>
      <c r="H1771" s="33" t="inlineStr">
        <is>
          <t>Update</t>
        </is>
      </c>
    </row>
    <row r="1772">
      <c r="A1772" s="33" t="inlineStr">
        <is>
          <t>2026-06-10</t>
        </is>
      </c>
      <c r="B1772" s="33" t="inlineStr">
        <is>
          <t>AEP</t>
        </is>
      </c>
      <c r="C1772" s="33" t="inlineStr">
        <is>
          <t>D1</t>
        </is>
      </c>
      <c r="D1772" s="33" t="n">
        <v>1</v>
      </c>
      <c r="E1772" s="33" t="inlineStr">
        <is>
          <t>(was 4) No disclosed current DC revenue/%; the 63 GW is FUTURE load by 2030. Current AI revenue unclear/&lt;5%.</t>
        </is>
      </c>
      <c r="F1772" s="33" t="inlineStr">
        <is>
          <t>AEP Q1 2026 8-K 2026-05-05</t>
        </is>
      </c>
      <c r="G1772" s="33" t="inlineStr">
        <is>
          <t>High</t>
        </is>
      </c>
      <c r="H1772" s="33" t="inlineStr">
        <is>
          <t>Update</t>
        </is>
      </c>
    </row>
    <row r="1773">
      <c r="A1773" s="33" t="inlineStr">
        <is>
          <t>2026-06-10</t>
        </is>
      </c>
      <c r="B1773" s="33" t="inlineStr">
        <is>
          <t>AEP</t>
        </is>
      </c>
      <c r="C1773" s="33" t="inlineStr">
        <is>
          <t>D2</t>
        </is>
      </c>
      <c r="D1773" s="33" t="n">
        <v>3</v>
      </c>
      <c r="E1773" s="33" t="inlineStr">
        <is>
          <t>(was 5) Earned ROE 9.1% 2025 (below allowed); Ohio take-or-pay de-risks recovery but $16B earmarked as cost offsets for existing customers. Volume x capped ROE.</t>
        </is>
      </c>
      <c r="F1773" s="33" t="inlineStr">
        <is>
          <t>AEP Q1 2026 call 2026-05-05</t>
        </is>
      </c>
      <c r="G1773" s="33" t="inlineStr">
        <is>
          <t>High</t>
        </is>
      </c>
      <c r="H1773" s="33" t="inlineStr">
        <is>
          <t>Update</t>
        </is>
      </c>
    </row>
    <row r="1774">
      <c r="A1774" s="33" t="inlineStr">
        <is>
          <t>2026-06-10</t>
        </is>
      </c>
      <c r="B1774" s="33" t="inlineStr">
        <is>
          <t>AEP</t>
        </is>
      </c>
      <c r="C1774" s="33" t="inlineStr">
        <is>
          <t>D5</t>
        </is>
      </c>
      <c r="D1774" s="33" t="n">
        <v>3</v>
      </c>
      <c r="E1774" s="33" t="inlineStr">
        <is>
          <t>(was 5) 63 GW contracted incremental (~90% DC) is the largest pipeline and names some campuses (SB Energy/Google/Amazon), but no signed hyperscaler ESAs with disclosed terms; 41 GW are softer TX letters of agreement. FLAG: most debatable, 4 defensible on named counterparties.</t>
        </is>
      </c>
      <c r="F1774" s="33" t="inlineStr">
        <is>
          <t>AEP 8-K+call 2026-05-05</t>
        </is>
      </c>
      <c r="G1774" s="33" t="inlineStr">
        <is>
          <t>Med</t>
        </is>
      </c>
      <c r="H1774" s="33" t="inlineStr">
        <is>
          <t>Update</t>
        </is>
      </c>
    </row>
    <row r="1775">
      <c r="A1775" s="33" t="inlineStr">
        <is>
          <t>2026-06-10</t>
        </is>
      </c>
      <c r="B1775" s="33" t="inlineStr">
        <is>
          <t>SO</t>
        </is>
      </c>
      <c r="C1775" s="33" t="inlineStr">
        <is>
          <t>D1</t>
        </is>
      </c>
      <c r="D1775" s="33" t="n">
        <v>1</v>
      </c>
      <c r="E1775" s="33" t="inlineStr">
        <is>
          <t>(was 4) No hard DC %; est ~3-5% of retail kWh / low-single-digit % revenue today; $556M guaranteed large-load rev at 2028 ~= 1.9% of FY25. Unclear/&lt;5%.</t>
        </is>
      </c>
      <c r="F1775" s="33" t="inlineStr">
        <is>
          <t>SO 10-K FY2025; Q1 call 2026-04-30</t>
        </is>
      </c>
      <c r="G1775" s="33" t="inlineStr">
        <is>
          <t>High</t>
        </is>
      </c>
      <c r="H1775" s="33" t="inlineStr">
        <is>
          <t>Update</t>
        </is>
      </c>
    </row>
    <row r="1776">
      <c r="A1776" s="33" t="inlineStr">
        <is>
          <t>2026-06-10</t>
        </is>
      </c>
      <c r="B1776" s="33" t="inlineStr">
        <is>
          <t>SO</t>
        </is>
      </c>
      <c r="C1776" s="33" t="inlineStr">
        <is>
          <t>D2</t>
        </is>
      </c>
      <c r="D1776" s="33" t="n">
        <v>3</v>
      </c>
      <c r="E1776" s="33" t="inlineStr">
        <is>
          <t>(was 5) GA Power ROE set 10.5%, base rates frozen through 2028; Dec 2025 stipulation routes large-load revenue to CUT residential bills -- DC economics shared with ratepayers by design.</t>
        </is>
      </c>
      <c r="F1776" s="33" t="inlineStr">
        <is>
          <t>SO 10-K FY2025; GA PSC 2026-03</t>
        </is>
      </c>
      <c r="G1776" s="33" t="inlineStr">
        <is>
          <t>High</t>
        </is>
      </c>
      <c r="H1776" s="33" t="inlineStr">
        <is>
          <t>Update</t>
        </is>
      </c>
    </row>
    <row r="1777">
      <c r="A1777" s="33" t="inlineStr">
        <is>
          <t>2026-06-10</t>
        </is>
      </c>
      <c r="B1777" s="33" t="inlineStr">
        <is>
          <t>SO</t>
        </is>
      </c>
      <c r="C1777" s="33" t="inlineStr">
        <is>
          <t>D5</t>
        </is>
      </c>
      <c r="D1777" s="33" t="n">
        <v>3</v>
      </c>
      <c r="E1777" s="33" t="inlineStr">
        <is>
          <t>(was 5) 11+ GW contracted across 28 projects but ZERO named hyperscaler counterparties (confidential GA PSC filings), tariff-priced; only ~1.9 GW executed; pipeline shrank 6 GW Q2-&gt;Q3 2025.</t>
        </is>
      </c>
      <c r="F1777" s="33" t="inlineStr">
        <is>
          <t>SO Q1 2026 slides 2026-04-30</t>
        </is>
      </c>
      <c r="G1777" s="33" t="inlineStr">
        <is>
          <t>High</t>
        </is>
      </c>
      <c r="H1777" s="33" t="inlineStr">
        <is>
          <t>Update</t>
        </is>
      </c>
    </row>
    <row r="1778">
      <c r="A1778" s="33" t="inlineStr">
        <is>
          <t>2026-06-10</t>
        </is>
      </c>
      <c r="B1778" s="33" t="inlineStr">
        <is>
          <t>NEE</t>
        </is>
      </c>
      <c r="C1778" s="33" t="inlineStr">
        <is>
          <t>D1</t>
        </is>
      </c>
      <c r="D1778" s="33" t="n">
        <v>2</v>
      </c>
      <c r="E1778" s="33" t="inlineStr">
        <is>
          <t>(was 4) Hybrid; Energy Resources holds signed hyperscaler PPAs (Google ~3.5 GW, Meta ~2.5 GW) but &lt;2 GW DELIVERING today = low-single-digit % of consolidated revenue. Highest of regulated cohort but current share is minority. [Override: agent proposed 3; set 2 for consistency with VST/TLN at similar current %.]</t>
        </is>
      </c>
      <c r="F1778" s="33" t="inlineStr">
        <is>
          <t>8-K Ex99 2026-04-23; Latitude Media 2025-12-08</t>
        </is>
      </c>
      <c r="G1778" s="33" t="inlineStr">
        <is>
          <t>Med</t>
        </is>
      </c>
      <c r="H1778" s="33" t="inlineStr">
        <is>
          <t>Update</t>
        </is>
      </c>
    </row>
    <row r="1779">
      <c r="A1779" s="33" t="inlineStr">
        <is>
          <t>2026-06-10</t>
        </is>
      </c>
      <c r="B1779" s="33" t="inlineStr">
        <is>
          <t>NEE</t>
        </is>
      </c>
      <c r="C1779" s="33" t="inlineStr">
        <is>
          <t>D2</t>
        </is>
      </c>
      <c r="D1779" s="33" t="n">
        <v>4</v>
      </c>
      <c r="E1779" s="33" t="inlineStr">
        <is>
          <t>(was 5) Competitive renewables with firming pricing (+$20/MWh recontracting, bilateral hubs, 4 GW turbine slots) -- strong but not a dispatchable-scarcity bottleneck like the nuclear IPPs (D2=5). [Override: agent held 5; set 4 to rank below VST/TLN/CEG.]</t>
        </is>
      </c>
      <c r="F1779" s="33" t="inlineStr">
        <is>
          <t>NEE Q1 2026 call 2026-04-23</t>
        </is>
      </c>
      <c r="G1779" s="33" t="inlineStr">
        <is>
          <t>Med</t>
        </is>
      </c>
      <c r="H1779" s="33" t="inlineStr">
        <is>
          <t>Update</t>
        </is>
      </c>
    </row>
    <row r="1780">
      <c r="A1780" s="33" t="inlineStr">
        <is>
          <t>2026-06-10</t>
        </is>
      </c>
      <c r="B1780" s="33" t="inlineStr">
        <is>
          <t>ETR</t>
        </is>
      </c>
      <c r="C1780" s="33" t="inlineStr">
        <is>
          <t>D1</t>
        </is>
      </c>
      <c r="D1780" s="33" t="n">
        <v>1</v>
      </c>
      <c r="E1780" s="33" t="inlineStr">
        <is>
          <t>(was 5) The flagged mis-rating. Fully regulated; DC load grows rate base at allowed ROE, not revenue share; upper-bound ~3-4% of Q1 rev. Was 5 (&gt;50%) -- unsupportable.</t>
        </is>
      </c>
      <c r="F1780" s="33" t="inlineStr">
        <is>
          <t>ETR 8-K Ex99.1 2026-04-29</t>
        </is>
      </c>
      <c r="G1780" s="33" t="inlineStr">
        <is>
          <t>High</t>
        </is>
      </c>
      <c r="H1780" s="33" t="inlineStr">
        <is>
          <t>Update</t>
        </is>
      </c>
    </row>
    <row r="1781">
      <c r="A1781" s="33" t="inlineStr">
        <is>
          <t>2026-06-10</t>
        </is>
      </c>
      <c r="B1781" s="33" t="inlineStr">
        <is>
          <t>ETR</t>
        </is>
      </c>
      <c r="C1781" s="33" t="inlineStr">
        <is>
          <t>D2</t>
        </is>
      </c>
      <c r="D1781" s="33" t="n">
        <v>3</v>
      </c>
      <c r="E1781" s="33" t="inlineStr">
        <is>
          <t>(was 4) 'Fair Share Plus' pledges surplus to EXISTING customers ($2.65B Meta LA, &gt;$2B AWS MS); ELL earned ROE in authorized range; zero per-MWh upside.</t>
        </is>
      </c>
      <c r="F1781" s="33" t="inlineStr">
        <is>
          <t>ETR 8-K 2026-04-29; The Lens 2026-04-14</t>
        </is>
      </c>
      <c r="G1781" s="33" t="inlineStr">
        <is>
          <t>Med</t>
        </is>
      </c>
      <c r="H1781" s="33" t="inlineStr">
        <is>
          <t>Update</t>
        </is>
      </c>
    </row>
    <row r="1782">
      <c r="A1782" s="33" t="inlineStr">
        <is>
          <t>2026-06-10</t>
        </is>
      </c>
      <c r="B1782" s="33" t="inlineStr">
        <is>
          <t>ETR</t>
        </is>
      </c>
      <c r="C1782" s="33" t="inlineStr">
        <is>
          <t>D5</t>
        </is>
      </c>
      <c r="D1782" s="33" t="n">
        <v>3</v>
      </c>
      <c r="E1782" s="33" t="inlineStr">
        <is>
          <t>(was 5) Meta Hyperion IS signed/named (15-yr ESA, LPSC-approved Aug 2025, ~2.3 GW) + Google/AWS named -- but terms confidential and ETR keeps only REGULATED return, no scarcity upside. Named deal != shareholder captures it.</t>
        </is>
      </c>
      <c r="F1782" s="33" t="inlineStr">
        <is>
          <t>ETR 8-K 2026-04-29</t>
        </is>
      </c>
      <c r="G1782" s="33" t="inlineStr">
        <is>
          <t>Med</t>
        </is>
      </c>
      <c r="H1782" s="33" t="inlineStr">
        <is>
          <t>Update</t>
        </is>
      </c>
    </row>
    <row r="1783">
      <c r="A1783" s="33" t="inlineStr">
        <is>
          <t>2026-06-10</t>
        </is>
      </c>
      <c r="B1783" s="33" t="inlineStr">
        <is>
          <t>PPL</t>
        </is>
      </c>
      <c r="C1783" s="33" t="inlineStr">
        <is>
          <t>D1</t>
        </is>
      </c>
      <c r="D1783" s="33" t="n">
        <v>1</v>
      </c>
      <c r="E1783" s="33" t="inlineStr">
        <is>
          <t>(was 4) Regulated holdco; only ~0.6 GW DC online in PA 2026, large-load tariff effective 2026-07-01; the 28.3 GW PA pipeline is forward. DC-tied rev low-single-digit.</t>
        </is>
      </c>
      <c r="F1783" s="33" t="inlineStr">
        <is>
          <t>PPL Q1 8-K 2026-05-08</t>
        </is>
      </c>
      <c r="G1783" s="33" t="inlineStr">
        <is>
          <t>Med</t>
        </is>
      </c>
      <c r="H1783" s="33" t="inlineStr">
        <is>
          <t>Update</t>
        </is>
      </c>
    </row>
    <row r="1784">
      <c r="A1784" s="33" t="inlineStr">
        <is>
          <t>2026-06-10</t>
        </is>
      </c>
      <c r="B1784" s="33" t="inlineStr">
        <is>
          <t>PPL</t>
        </is>
      </c>
      <c r="C1784" s="33" t="inlineStr">
        <is>
          <t>D2</t>
        </is>
      </c>
      <c r="D1784" s="33" t="n">
        <v>3</v>
      </c>
      <c r="E1784" s="33" t="inlineStr">
        <is>
          <t>(was 4) Regulated capped ROE both legs (KY 9.775%); PA T&amp;D earns wires return only -- PA energy/capacity scarcity upside accrues to merchant gens (TLN/VST/CEG), not PPL.</t>
        </is>
      </c>
      <c r="F1784" s="33" t="inlineStr">
        <is>
          <t>KPSC Feb 2026; FERC Op.594 2026-03-19</t>
        </is>
      </c>
      <c r="G1784" s="33" t="inlineStr">
        <is>
          <t>Med</t>
        </is>
      </c>
      <c r="H1784" s="33" t="inlineStr">
        <is>
          <t>Update</t>
        </is>
      </c>
    </row>
    <row r="1785">
      <c r="A1785" s="33" t="inlineStr">
        <is>
          <t>2026-06-10</t>
        </is>
      </c>
      <c r="B1785" s="33" t="inlineStr">
        <is>
          <t>PPL</t>
        </is>
      </c>
      <c r="C1785" s="33" t="inlineStr">
        <is>
          <t>D5</t>
        </is>
      </c>
      <c r="D1785" s="33" t="n">
        <v>3</v>
      </c>
      <c r="E1785" s="33" t="inlineStr">
        <is>
          <t>(was 4) The 28.3 GW 'signed' are INTERCONNECTION/wires developer agreements, not power-supply contracts; AWS is one named hyperscaler; the Blackstone JV (only merchant leg) has ZERO signed ESAs 10 months on.</t>
        </is>
      </c>
      <c r="F1785" s="33" t="inlineStr">
        <is>
          <t>PPL Q1 8-K 2026-05-08; Utility Dive 2026-05-11</t>
        </is>
      </c>
      <c r="G1785" s="33" t="inlineStr">
        <is>
          <t>Med</t>
        </is>
      </c>
      <c r="H1785" s="33" t="inlineStr">
        <is>
          <t>Update</t>
        </is>
      </c>
    </row>
    <row r="1786">
      <c r="A1786" s="33" t="inlineStr">
        <is>
          <t>2026-06-10</t>
        </is>
      </c>
      <c r="B1786" s="33" t="inlineStr">
        <is>
          <t>XEL</t>
        </is>
      </c>
      <c r="C1786" s="33" t="inlineStr">
        <is>
          <t>D1</t>
        </is>
      </c>
      <c r="D1786" s="33" t="n">
        <v>1</v>
      </c>
      <c r="E1786" s="33" t="inlineStr">
        <is>
          <t>(was 3) Fully regulated; only ONE DC operating in territory; Q1 C&amp;I growth driven by Permian oil&amp;gas electrification, not DC; Google Pine Island pre-approval; sales ramp 2029-30+. [Override: agent held 3; set 1 for cohort consistency.]</t>
        </is>
      </c>
      <c r="F1786" s="33" t="inlineStr">
        <is>
          <t>XEL Q1 2026 8-K; POWER 2026-02</t>
        </is>
      </c>
      <c r="G1786" s="33" t="inlineStr">
        <is>
          <t>Med</t>
        </is>
      </c>
      <c r="H1786" s="33" t="inlineStr">
        <is>
          <t>Update</t>
        </is>
      </c>
    </row>
    <row r="1787">
      <c r="A1787" s="33" t="inlineStr">
        <is>
          <t>2026-06-10</t>
        </is>
      </c>
      <c r="B1787" s="33" t="inlineStr">
        <is>
          <t>XEL</t>
        </is>
      </c>
      <c r="C1787" s="33" t="inlineStr">
        <is>
          <t>D5</t>
        </is>
      </c>
      <c r="D1787" s="33" t="n">
        <v>3</v>
      </c>
      <c r="E1787" s="33" t="inlineStr">
        <is>
          <t>(was 4) Google ESA named+signed (NSP-MN, 15-yr) but regulated economics (Google funds all costs, benefits flow to other ratepayers). [Override: agent held 4; set 3 to match ETR's identical signed-named-but-regulated profile.]</t>
        </is>
      </c>
      <c r="F1787" s="33" t="inlineStr">
        <is>
          <t>XEL Q1 2026 8-K; newsroom 2026-02-24</t>
        </is>
      </c>
      <c r="G1787" s="33" t="inlineStr">
        <is>
          <t>Med</t>
        </is>
      </c>
      <c r="H1787" s="33" t="inlineStr">
        <is>
          <t>Update</t>
        </is>
      </c>
    </row>
    <row r="1788">
      <c r="A1788" s="33" t="inlineStr">
        <is>
          <t>2026-06-10</t>
        </is>
      </c>
      <c r="B1788" s="33" t="inlineStr">
        <is>
          <t>BE</t>
        </is>
      </c>
      <c r="C1788" s="33" t="inlineStr">
        <is>
          <t>D1</t>
        </is>
      </c>
      <c r="D1788" s="33" t="n">
        <v>5</v>
      </c>
      <c r="E1788" s="33" t="inlineStr">
        <is>
          <t>(was 4) Related-party (Brookfield JV incl. major hyperscaler project) = $373.3M of $751.1M Q1 2026 rev = 49.7% floor; US mix 56%-&gt;91% YoY, product rev +208% 'driven by the AI data center industry.' DC is the MAJORITY of the business. FLAG: inference (no disclosed DC line); 4 if strict.</t>
        </is>
      </c>
      <c r="F1788" s="33" t="inlineStr">
        <is>
          <t>BE 10-Q Q1 2026; Q4 PR 2026-02-05</t>
        </is>
      </c>
      <c r="G1788" s="33" t="inlineStr">
        <is>
          <t>Med</t>
        </is>
      </c>
      <c r="H1788" s="33" t="inlineStr">
        <is>
          <t>Update</t>
        </is>
      </c>
    </row>
    <row r="1789">
      <c r="A1789" s="33" t="inlineStr">
        <is>
          <t>2026-06-10</t>
        </is>
      </c>
      <c r="B1789" s="33" t="inlineStr">
        <is>
          <t>CMI</t>
        </is>
      </c>
      <c r="C1789" s="33" t="inlineStr">
        <is>
          <t>D1</t>
        </is>
      </c>
      <c r="D1789" s="33" t="n">
        <v>2</v>
      </c>
      <c r="E1789" s="33" t="inlineStr">
        <is>
          <t>(was 4) Datacenter ~$5B 2026E / ~$36.9B FY26E ~= 13-14% IF the Analyst-Day figure (2nd-hand) is accepted; 2 on verified disclosure. ~86% non-DC truck/components co; old D1=4 too high. FLAG: verify $5B vs primary IR deck (2 vs 3).</t>
        </is>
      </c>
      <c r="F1789" s="33" t="inlineStr">
        <is>
          <t>Cummins Analyst Day 2026-05-21; Q1 8-K 2026-05-05</t>
        </is>
      </c>
      <c r="G1789" s="33" t="inlineStr">
        <is>
          <t>Med</t>
        </is>
      </c>
      <c r="H1789" s="33" t="inlineStr">
        <is>
          <t>Update</t>
        </is>
      </c>
    </row>
    <row r="1790">
      <c r="A1790" s="33" t="inlineStr">
        <is>
          <t>2026-06-10</t>
        </is>
      </c>
      <c r="B1790" s="33" t="inlineStr">
        <is>
          <t>CMI</t>
        </is>
      </c>
      <c r="C1790" s="33" t="inlineStr">
        <is>
          <t>D5</t>
        </is>
      </c>
      <c r="D1790" s="33" t="n">
        <v>2</v>
      </c>
      <c r="E1790" s="33" t="inlineStr">
        <is>
          <t>(was 4) No named hyperscaler customers and no disclosed $ backlog in 8-K/call/Analyst Day; materiality disclosed, identity/backlog not.</t>
        </is>
      </c>
      <c r="F1790" s="33" t="inlineStr">
        <is>
          <t>CMI Q1 8-K; Analyst Day 2026-05-21</t>
        </is>
      </c>
      <c r="G1790" s="33" t="inlineStr">
        <is>
          <t>High</t>
        </is>
      </c>
      <c r="H1790" s="33" t="inlineStr">
        <is>
          <t>Update</t>
        </is>
      </c>
    </row>
    <row r="1791">
      <c r="A1791" s="33" t="inlineStr">
        <is>
          <t>2026-06-10</t>
        </is>
      </c>
      <c r="B1791" s="33" t="inlineStr">
        <is>
          <t>GNRC</t>
        </is>
      </c>
      <c r="C1791" s="33" t="inlineStr">
        <is>
          <t>D1</t>
        </is>
      </c>
      <c r="D1791" s="33" t="n">
        <v>2</v>
      </c>
      <c r="E1791" s="33" t="inlineStr">
        <is>
          <t>(was 4) Datacenter ~$75-150M of $1.06B Q1 ~= 7-14%; FY26 ~8-12%; still 52% residential. Old D1=4 (25-50%) too high.</t>
        </is>
      </c>
      <c r="F1791" s="33" t="inlineStr">
        <is>
          <t>GNRC Q1 8-K Ex99.1 2026-04-29</t>
        </is>
      </c>
      <c r="G1791" s="33" t="inlineStr">
        <is>
          <t>Med</t>
        </is>
      </c>
      <c r="H1791" s="33" t="inlineStr">
        <is>
          <t>Update</t>
        </is>
      </c>
    </row>
    <row r="1792">
      <c r="A1792" s="33" t="inlineStr">
        <is>
          <t>2026-06-10</t>
        </is>
      </c>
      <c r="B1792" s="33" t="inlineStr">
        <is>
          <t>GNRC</t>
        </is>
      </c>
      <c r="C1792" s="33" t="inlineStr">
        <is>
          <t>D2</t>
        </is>
      </c>
      <c r="D1792" s="33" t="n">
        <v>3</v>
      </c>
      <c r="E1792" s="33" t="inlineStr">
        <is>
          <t>(was 4) Wins on AVAILABILITY not price (~30-wk lead times vs CAT/CMI 100+ wks); ASP in-line, no premium; new entrant vs CAT/CMI; China-owned engine = tariff risk peers lack.</t>
        </is>
      </c>
      <c r="F1792" s="33" t="inlineStr">
        <is>
          <t>Hunterbrook 2026-02-23</t>
        </is>
      </c>
      <c r="G1792" s="33" t="inlineStr">
        <is>
          <t>Med</t>
        </is>
      </c>
      <c r="H1792" s="33" t="inlineStr">
        <is>
          <t>Update</t>
        </is>
      </c>
    </row>
    <row r="1793">
      <c r="A1793" s="33" t="inlineStr">
        <is>
          <t>2026-06-10</t>
        </is>
      </c>
      <c r="B1793" s="33" t="inlineStr">
        <is>
          <t>GNRC</t>
        </is>
      </c>
      <c r="C1793" s="33" t="inlineStr">
        <is>
          <t>D5</t>
        </is>
      </c>
      <c r="D1793" s="33" t="n">
        <v>3</v>
      </c>
      <c r="E1793" s="33" t="inlineStr">
        <is>
          <t>(was 4) &gt;$700M disclosed DC backlog + a signed global hyperscale supply agreement (2026-06-02) but customer UNNAMED, no $/volume; best quantified backlog short of named customers.</t>
        </is>
      </c>
      <c r="F1793" s="33" t="inlineStr">
        <is>
          <t>GNRC Q1 call 2026-04-29; PR 2026-06-02</t>
        </is>
      </c>
      <c r="G1793" s="33" t="inlineStr">
        <is>
          <t>Med</t>
        </is>
      </c>
      <c r="H1793" s="33" t="inlineStr">
        <is>
          <t>Update</t>
        </is>
      </c>
    </row>
    <row r="1794">
      <c r="A1794" s="33" t="inlineStr">
        <is>
          <t>2026-06-10</t>
        </is>
      </c>
      <c r="B1794" s="33" t="inlineStr">
        <is>
          <t>PLUG</t>
        </is>
      </c>
      <c r="C1794" s="33" t="inlineStr">
        <is>
          <t>D1</t>
        </is>
      </c>
      <c r="D1794" s="33" t="n">
        <v>1</v>
      </c>
      <c r="E1794" s="33" t="inlineStr">
        <is>
          <t>(was 2) Q1 2026 10-Q revenue disaggregation has NO datacenter category; DC-attributable rev ~0%. The 'DC deal' (Stream) is a one-time land/substation ASSET sale, not power solutions -- the relationship is inverted.</t>
        </is>
      </c>
      <c r="F1794" s="33" t="inlineStr">
        <is>
          <t>PLUG 10-Q Q1 2026; 8-K 2026-02-26</t>
        </is>
      </c>
      <c r="G1794" s="33" t="inlineStr">
        <is>
          <t>High</t>
        </is>
      </c>
      <c r="H1794" s="33" t="inlineStr">
        <is>
          <t>Update</t>
        </is>
      </c>
    </row>
    <row r="1795">
      <c r="A1795" s="33" t="inlineStr">
        <is>
          <t>2026-06-10</t>
        </is>
      </c>
      <c r="B1795" s="33" t="inlineStr">
        <is>
          <t>CCJ</t>
        </is>
      </c>
      <c r="C1795" s="33" t="inlineStr">
        <is>
          <t>D1</t>
        </is>
      </c>
      <c r="D1795" s="33" t="n">
        <v>1</v>
      </c>
      <c r="E1795" s="33" t="inlineStr">
        <is>
          <t>(was 4) FY2025 rev 82.5% uranium + 16% fuel services to nuclear utilities; ZERO 'AI/data center/hyperscaler' in filings; AI link is 3rd-order commodity. Westinghouse $80B is equity-accounted, government counterparty, $0 current rev.</t>
        </is>
      </c>
      <c r="F1795" s="33" t="inlineStr">
        <is>
          <t>CCJ FY2025 6-K 2026-02-13; Q1 6-K 2026-05-05</t>
        </is>
      </c>
      <c r="G1795" s="33" t="inlineStr">
        <is>
          <t>High</t>
        </is>
      </c>
      <c r="H1795" s="33" t="inlineStr">
        <is>
          <t>Update</t>
        </is>
      </c>
    </row>
    <row r="1796">
      <c r="A1796" s="33" t="inlineStr">
        <is>
          <t>2026-06-10</t>
        </is>
      </c>
      <c r="B1796" s="33" t="inlineStr">
        <is>
          <t>CCJ</t>
        </is>
      </c>
      <c r="C1796" s="33" t="inlineStr">
        <is>
          <t>D2</t>
        </is>
      </c>
      <c r="D1796" s="33" t="n">
        <v>4</v>
      </c>
      <c r="E1796" s="33" t="inlineStr">
        <is>
          <t>(was 5) Tier-1 term-book uranium oligopolist with supply discipline (~230M lb committed) = real firming pricing; but realized $66/lb lags term $94 by ~30%, and it is not an enrichment-style monopoly.</t>
        </is>
      </c>
      <c r="F1796" s="33" t="inlineStr">
        <is>
          <t>CCJ FY2025 6-K; UxC 2026-05-31</t>
        </is>
      </c>
      <c r="G1796" s="33" t="inlineStr">
        <is>
          <t>Med</t>
        </is>
      </c>
      <c r="H1796" s="33" t="inlineStr">
        <is>
          <t>Update</t>
        </is>
      </c>
    </row>
    <row r="1797">
      <c r="A1797" s="33" t="inlineStr">
        <is>
          <t>2026-06-10</t>
        </is>
      </c>
      <c r="B1797" s="33" t="inlineStr">
        <is>
          <t>CCJ</t>
        </is>
      </c>
      <c r="C1797" s="33" t="inlineStr">
        <is>
          <t>D5</t>
        </is>
      </c>
      <c r="D1797" s="33" t="n">
        <v>2</v>
      </c>
      <c r="E1797" s="33" t="inlineStr">
        <is>
          <t>(was 3) No hyperscaler buys uranium/reactors under any disclosed deal; the Google-Westinghouse partnership is REVERSED (Westinghouse is Google Cloud's AI customer). Above a pure miner only via Westinghouse reactor proximity.</t>
        </is>
      </c>
      <c r="F1797" s="33" t="inlineStr">
        <is>
          <t>Data Center Knowledge 2025-11-20</t>
        </is>
      </c>
      <c r="G1797" s="33" t="inlineStr">
        <is>
          <t>High</t>
        </is>
      </c>
      <c r="H1797" s="33" t="inlineStr">
        <is>
          <t>Update</t>
        </is>
      </c>
    </row>
    <row r="1798">
      <c r="A1798" s="33" t="inlineStr">
        <is>
          <t>2026-06-10</t>
        </is>
      </c>
      <c r="B1798" s="33" t="inlineStr">
        <is>
          <t>UEC</t>
        </is>
      </c>
      <c r="C1798" s="33" t="inlineStr">
        <is>
          <t>D1</t>
        </is>
      </c>
      <c r="D1798" s="33" t="n">
        <v>1</v>
      </c>
      <c r="E1798" s="33" t="inlineStr">
        <is>
          <t>(was 3) 9M FY26 rev $20.2M from ONE spot inventory sale; Q3 FY26 rev $0. Zero AI/DC contract; AI appears only as macro-tailwind framing. Most indirect of the nuclear-fuel names.</t>
        </is>
      </c>
      <c r="F1798" s="33" t="inlineStr">
        <is>
          <t>UEC 10-Q 2026-04-30; Q3 PR 2026-06-09</t>
        </is>
      </c>
      <c r="G1798" s="33" t="inlineStr">
        <is>
          <t>High</t>
        </is>
      </c>
      <c r="H1798" s="33" t="inlineStr">
        <is>
          <t>Update</t>
        </is>
      </c>
    </row>
    <row r="1799">
      <c r="A1799" s="33" t="inlineStr">
        <is>
          <t>2026-06-10</t>
        </is>
      </c>
      <c r="B1799" s="33" t="inlineStr">
        <is>
          <t>UEC</t>
        </is>
      </c>
      <c r="C1799" s="33" t="inlineStr">
        <is>
          <t>D2</t>
        </is>
      </c>
      <c r="D1799" s="33" t="n">
        <v>2</v>
      </c>
      <c r="E1799" s="33" t="inlineStr">
        <is>
          <t>(was 4) 100% unhedged, no term contracts/floors/escalators -- maximum commodity beta by design; opportunistic timing != pricing power. Weakest pricing profile of the three.</t>
        </is>
      </c>
      <c r="F1799" s="33" t="inlineStr">
        <is>
          <t>UEC Q3 PR 2026-06-09</t>
        </is>
      </c>
      <c r="G1799" s="33" t="inlineStr">
        <is>
          <t>High</t>
        </is>
      </c>
      <c r="H1799" s="33" t="inlineStr">
        <is>
          <t>Update</t>
        </is>
      </c>
    </row>
    <row r="1800">
      <c r="A1800" s="33" t="inlineStr">
        <is>
          <t>2026-06-10</t>
        </is>
      </c>
      <c r="B1800" s="33" t="inlineStr">
        <is>
          <t>UEC</t>
        </is>
      </c>
      <c r="C1800" s="33" t="inlineStr">
        <is>
          <t>D5</t>
        </is>
      </c>
      <c r="D1800" s="33" t="n">
        <v>1</v>
      </c>
      <c r="E1800" s="33" t="inlineStr">
        <is>
          <t>(was 3) Zero 'hyperscale' in 10-Q; no supply agreements/MOUs/partnerships with any hyperscaler/DC operator; conversion facility pre-license-application.</t>
        </is>
      </c>
      <c r="F1800" s="33" t="inlineStr">
        <is>
          <t>UEC 10-Q 2026-04-30</t>
        </is>
      </c>
      <c r="G1800" s="33" t="inlineStr">
        <is>
          <t>High</t>
        </is>
      </c>
      <c r="H1800" s="33" t="inlineStr">
        <is>
          <t>Update</t>
        </is>
      </c>
    </row>
    <row r="1801">
      <c r="A1801" s="33" t="inlineStr">
        <is>
          <t>2026-06-10</t>
        </is>
      </c>
      <c r="B1801" s="33" t="inlineStr">
        <is>
          <t>LEU</t>
        </is>
      </c>
      <c r="C1801" s="33" t="inlineStr">
        <is>
          <t>D1</t>
        </is>
      </c>
      <c r="D1801" s="33" t="n">
        <v>1</v>
      </c>
      <c r="E1801" s="33" t="inlineStr">
        <is>
          <t>(was 4) Q1 2026 rev $76.7M = LEU segment (commodity SWU to existing fleet) + Technical Solutions (overwhelmingly the DOE HALEU contract). Government != AI; commercial HALEU is post-2029 and intermediated by SMR developers.</t>
        </is>
      </c>
      <c r="F1801" s="33" t="inlineStr">
        <is>
          <t>LEU Q1 2026 release 2026-05-05</t>
        </is>
      </c>
      <c r="G1801" s="33" t="inlineStr">
        <is>
          <t>High</t>
        </is>
      </c>
      <c r="H1801" s="33" t="inlineStr">
        <is>
          <t>Update</t>
        </is>
      </c>
    </row>
    <row r="1802">
      <c r="A1802" s="33" t="inlineStr">
        <is>
          <t>2026-06-10</t>
        </is>
      </c>
      <c r="B1802" s="33" t="inlineStr">
        <is>
          <t>LEU</t>
        </is>
      </c>
      <c r="C1802" s="33" t="inlineStr">
        <is>
          <t>D2</t>
        </is>
      </c>
      <c r="D1802" s="33" t="n">
        <v>4</v>
      </c>
      <c r="E1802" s="33" t="inlineStr">
        <is>
          <t>(was 5) HALEU bottleneck is real (only NRC-licensed/operating US producer) but pricing NOT yet monetized at market (DOE fixed-price task orders), and DOE funded a 2nd enricher (General Matter). Bottleneck without demonstrated pricing power = 4.</t>
        </is>
      </c>
      <c r="F1802" s="33" t="inlineStr">
        <is>
          <t>ANS 2026-01; Q1 call 2026-05-07</t>
        </is>
      </c>
      <c r="G1802" s="33" t="inlineStr">
        <is>
          <t>Med</t>
        </is>
      </c>
      <c r="H1802" s="33" t="inlineStr">
        <is>
          <t>Update</t>
        </is>
      </c>
    </row>
    <row r="1803">
      <c r="A1803" s="33" t="inlineStr">
        <is>
          <t>2026-06-10</t>
        </is>
      </c>
      <c r="B1803" s="33" t="inlineStr">
        <is>
          <t>LEU</t>
        </is>
      </c>
      <c r="C1803" s="33" t="inlineStr">
        <is>
          <t>D5</t>
        </is>
      </c>
      <c r="D1803" s="33" t="n">
        <v>3</v>
      </c>
      <c r="E1803" s="33" t="inlineStr">
        <is>
          <t>(was 4) Oklo JV deconversion discussions (pre-definitive) at Piketon adjacent to Oklo's DC-oriented campus = most concrete AI vector of the three; X-energy/TerraPower prospective, nothing contracted.</t>
        </is>
      </c>
      <c r="F1803" s="33" t="inlineStr">
        <is>
          <t>Oklo/Centrus PR 2026-03-09</t>
        </is>
      </c>
      <c r="G1803" s="33" t="inlineStr">
        <is>
          <t>High</t>
        </is>
      </c>
      <c r="H1803" s="33" t="inlineStr">
        <is>
          <t>Update</t>
        </is>
      </c>
    </row>
    <row r="1804">
      <c r="A1804" s="33" t="inlineStr">
        <is>
          <t>2026-06-10</t>
        </is>
      </c>
      <c r="B1804" s="33" t="inlineStr">
        <is>
          <t>BWXT</t>
        </is>
      </c>
      <c r="C1804" s="33" t="inlineStr">
        <is>
          <t>D1</t>
        </is>
      </c>
      <c r="D1804" s="33" t="n">
        <v>2</v>
      </c>
      <c r="E1804" s="33" t="inlineStr">
        <is>
          <t>(was 3) Naval/DOE/special-materials = 67% of Q1 rev (zero AI); the 33% commercial segment is mostly Kinectrics/medical/CANDU; only the BWRX-300 SMR-component slice is indirectly AI-adjacent, single-digit % and undisclosed.</t>
        </is>
      </c>
      <c r="F1804" s="33" t="inlineStr">
        <is>
          <t>BWXT Q1 8-K 2026-05-04</t>
        </is>
      </c>
      <c r="G1804" s="33" t="inlineStr">
        <is>
          <t>High</t>
        </is>
      </c>
      <c r="H1804" s="33" t="inlineStr">
        <is>
          <t>Update</t>
        </is>
      </c>
    </row>
    <row r="1805">
      <c r="A1805" s="33" t="inlineStr">
        <is>
          <t>2026-06-10</t>
        </is>
      </c>
      <c r="B1805" s="33" t="inlineStr">
        <is>
          <t>BWXT</t>
        </is>
      </c>
      <c r="C1805" s="33" t="inlineStr">
        <is>
          <t>D2</t>
        </is>
      </c>
      <c r="D1805" s="33" t="n">
        <v>3</v>
      </c>
      <c r="E1805" s="33" t="inlineStr">
        <is>
          <t>(was 5) Naval sole-source is genuine but OFF-THESIS; the AI-relevant position is narrower -- sole RPV supplier for the first BWRX-300, but the SMRs hyperscalers actually picked (Oklo/Kairos/X-energy) don't anchor on BWXT. Lens reframe, not a fundamentals call.</t>
        </is>
      </c>
      <c r="F1805" s="33" t="inlineStr">
        <is>
          <t>BWXT GE Vernova supplier group; Darlington RPV</t>
        </is>
      </c>
      <c r="G1805" s="33" t="inlineStr">
        <is>
          <t>Med</t>
        </is>
      </c>
      <c r="H1805" s="33" t="inlineStr">
        <is>
          <t>Update</t>
        </is>
      </c>
    </row>
    <row r="1806">
      <c r="A1806" s="33" t="inlineStr">
        <is>
          <t>2026-06-10</t>
        </is>
      </c>
      <c r="B1806" s="33" t="inlineStr">
        <is>
          <t>BWXT</t>
        </is>
      </c>
      <c r="C1806" s="33" t="inlineStr">
        <is>
          <t>D5</t>
        </is>
      </c>
      <c r="D1806" s="33" t="n">
        <v>2</v>
      </c>
      <c r="E1806" s="33" t="inlineStr">
        <is>
          <t>(was 4) BWXT appears in NONE of the ~13 announced hyperscaler nuclear deals; CEO on Q1 call: 'I don't know... I suspect that we do.' No named/signed/disclosed-term hyperscaler deal.</t>
        </is>
      </c>
      <c r="F1806" s="33" t="inlineStr">
        <is>
          <t>Benzinga Q1 call 2026-05-04</t>
        </is>
      </c>
      <c r="G1806" s="33" t="inlineStr">
        <is>
          <t>High</t>
        </is>
      </c>
      <c r="H1806" s="33" t="inlineStr">
        <is>
          <t>Update</t>
        </is>
      </c>
    </row>
    <row r="1807">
      <c r="A1807" s="33" t="inlineStr">
        <is>
          <t>2026-06-10</t>
        </is>
      </c>
      <c r="B1807" s="33" t="inlineStr">
        <is>
          <t>SMR</t>
        </is>
      </c>
      <c r="C1807" s="33" t="inlineStr">
        <is>
          <t>D1</t>
        </is>
      </c>
      <c r="D1807" s="33" t="n">
        <v>1</v>
      </c>
      <c r="E1807" s="33" t="inlineStr">
        <is>
          <t>(was 3) Q1 2026 revenue $565K total (effectively pre-revenue, down from $13.4M as RoPower FEED rolled off); all historical revenue was the RoPower Romania government project, zero DC/AI.</t>
        </is>
      </c>
      <c r="F1807" s="33" t="inlineStr">
        <is>
          <t>NuScale 10-Q Q1 2026 2026-05-07</t>
        </is>
      </c>
      <c r="G1807" s="33" t="inlineStr">
        <is>
          <t>High</t>
        </is>
      </c>
      <c r="H1807" s="33" t="inlineStr">
        <is>
          <t>Update</t>
        </is>
      </c>
    </row>
    <row r="1808">
      <c r="A1808" s="33" t="inlineStr">
        <is>
          <t>2026-06-10</t>
        </is>
      </c>
      <c r="B1808" s="33" t="inlineStr">
        <is>
          <t>OKLO</t>
        </is>
      </c>
      <c r="C1808" s="33" t="inlineStr">
        <is>
          <t>D1</t>
        </is>
      </c>
      <c r="D1808" s="33" t="n">
        <v>1</v>
      </c>
      <c r="E1808" s="33" t="inlineStr">
        <is>
          <t>(was 5) ZERO revenue (Q1 2026 10-Q has no revenue line; net loss $33.1M). Cannot have AI revenue % of ~zero. Old D1=5 credited pipeline as revenue -- the clearest single error in the layer. First power-sale target 2028+.</t>
        </is>
      </c>
      <c r="F1808" s="33" t="inlineStr">
        <is>
          <t>OKLO 10-Q Q1 2026 2026-05-12</t>
        </is>
      </c>
      <c r="G1808" s="33" t="inlineStr">
        <is>
          <t>High</t>
        </is>
      </c>
      <c r="H1808" s="33" t="inlineStr">
        <is>
          <t>Update</t>
        </is>
      </c>
    </row>
    <row r="1809">
      <c r="A1809" s="33" t="inlineStr">
        <is>
          <t>2026-06-10</t>
        </is>
      </c>
      <c r="B1809" s="33" t="inlineStr">
        <is>
          <t>OKLO</t>
        </is>
      </c>
      <c r="C1809" s="33" t="inlineStr">
        <is>
          <t>D5</t>
        </is>
      </c>
      <c r="D1809" s="33" t="n">
        <v>3</v>
      </c>
      <c r="E1809" s="33" t="inlineStr">
        <is>
          <t>(was 5) Switch '12 GW' and Equinix 500 MW are NON-BINDING LOIs; Meta 1.2 GW is a signed/funded Prepayment Agreement with a specific site (keeps D5 above the pure-LOI floor) but NOT a disclosed-term PPA, timeline 2030-34. Was 5 (rated pipeline as signed). FLAG: 2 if bar is a binding PPA.</t>
        </is>
      </c>
      <c r="F1809" s="33" t="inlineStr">
        <is>
          <t>OKLO 10-Q 2026-05-12; Meta PR 2026-01-09</t>
        </is>
      </c>
      <c r="G1809" s="33" t="inlineStr">
        <is>
          <t>Med</t>
        </is>
      </c>
      <c r="H1809" s="33" t="inlineStr">
        <is>
          <t>Update</t>
        </is>
      </c>
    </row>
    <row r="1810">
      <c r="A1810" s="33" t="inlineStr">
        <is>
          <t>2026-06-10</t>
        </is>
      </c>
      <c r="B1810" s="33" t="inlineStr">
        <is>
          <t>NNE</t>
        </is>
      </c>
      <c r="C1810" s="33" t="inlineStr">
        <is>
          <t>D1</t>
        </is>
      </c>
      <c r="D1810" s="33" t="n">
        <v>1</v>
      </c>
      <c r="E1810" s="33" t="inlineStr">
        <is>
          <t>(was 4) 10-Q: 'have not generated any material revenue... through March 31, 2026.' STS acquisition adds logistics revenue (not AI). Old D1=4 unsupportable for a zero-revenue company.</t>
        </is>
      </c>
      <c r="F1810" s="33" t="inlineStr">
        <is>
          <t>NNE 10-Q Q2 FY26 2026-05-14</t>
        </is>
      </c>
      <c r="G1810" s="33" t="inlineStr">
        <is>
          <t>High</t>
        </is>
      </c>
      <c r="H1810" s="33" t="inlineStr">
        <is>
          <t>Update</t>
        </is>
      </c>
    </row>
    <row r="1811">
      <c r="A1811" s="33" t="inlineStr">
        <is>
          <t>2026-06-10</t>
        </is>
      </c>
      <c r="B1811" s="33" t="inlineStr">
        <is>
          <t>NNE</t>
        </is>
      </c>
      <c r="C1811" s="33" t="inlineStr">
        <is>
          <t>D5</t>
        </is>
      </c>
      <c r="D1811" s="33" t="n">
        <v>2</v>
      </c>
      <c r="E1811" s="33" t="inlineStr">
        <is>
          <t>(was 4) AI-datacenter exposure is 100% narrative/MOU (Supermicro/EHC/DS Dansuk, all non-binding); a binding deal would file 8-K Item 1.01 -- none has. Named MOUs keep it above pure vapor.</t>
        </is>
      </c>
      <c r="F1811" s="33" t="inlineStr">
        <is>
          <t>NNE Q2 PR 2026-05-14; Supermicro MOU 2026-05-06</t>
        </is>
      </c>
      <c r="G1811" s="33" t="inlineStr">
        <is>
          <t>High</t>
        </is>
      </c>
      <c r="H1811" s="33" t="inlineStr">
        <is>
          <t>Update</t>
        </is>
      </c>
    </row>
    <row r="1812">
      <c r="A1812" s="33" t="inlineStr">
        <is>
          <t>2026-06-10</t>
        </is>
      </c>
      <c r="B1812" s="33" t="inlineStr">
        <is>
          <t>CTRA</t>
        </is>
      </c>
      <c r="C1812" s="33" t="inlineStr">
        <is>
          <t>—</t>
        </is>
      </c>
      <c r="D1812" s="33" t="inlineStr">
        <is>
          <t>—</t>
        </is>
      </c>
      <c r="E1812" s="33" t="inlineStr">
        <is>
          <t>Removed from Watchlist: Coterra merged into Devon Energy (DVN) at 0.70 DVN/sh, consummated 2026-05-07, delisted NYSE same day. Pre-merger ratings retired (not re-scored — entity gone). Successor DVN is a separate new-name decision.</t>
        </is>
      </c>
      <c r="F1812" s="33" t="inlineStr">
        <is>
          <t>Globe and Mail / StockTitan 8-K 2026-05-07</t>
        </is>
      </c>
      <c r="G1812" s="33" t="inlineStr">
        <is>
          <t>High</t>
        </is>
      </c>
      <c r="H1812" s="33" t="inlineStr">
        <is>
          <t>Removed</t>
        </is>
      </c>
    </row>
    <row r="1813">
      <c r="A1813" s="33" t="inlineStr">
        <is>
          <t>2026-06-10</t>
        </is>
      </c>
      <c r="B1813" s="33" t="inlineStr">
        <is>
          <t>GEV</t>
        </is>
      </c>
      <c r="C1813" s="33" t="inlineStr">
        <is>
          <t>D1</t>
        </is>
      </c>
      <c r="D1813" s="33" t="n">
        <v>2</v>
      </c>
      <c r="E1813" s="33" t="inlineStr">
        <is>
          <t>(was 3) AI exposure is ORDERS/backlog not current revenue: $2.4B DC equipment orders ~=13% of Q1 orders, but disclosed current DC revenue is &lt;10% of a broad grid+gas+wind co. Distinguish backlog from revenue.</t>
        </is>
      </c>
      <c r="F1813" s="33" t="inlineStr">
        <is>
          <t>GEV Q1 2026 8-K 2026-04-22</t>
        </is>
      </c>
      <c r="G1813" s="33" t="inlineStr">
        <is>
          <t>Med</t>
        </is>
      </c>
      <c r="H1813" s="33" t="inlineStr">
        <is>
          <t>Update</t>
        </is>
      </c>
    </row>
    <row r="1814">
      <c r="A1814" s="33" t="inlineStr">
        <is>
          <t>2026-06-10</t>
        </is>
      </c>
      <c r="B1814" s="33" t="inlineStr">
        <is>
          <t>TER</t>
        </is>
      </c>
      <c r="C1814" s="33" t="inlineStr">
        <is>
          <t>D1</t>
        </is>
      </c>
      <c r="D1814" s="33" t="n">
        <v>4</v>
      </c>
      <c r="E1814" s="33" t="inlineStr">
        <is>
          <t>(was 5) Genuine AI majority but trimmed for precision: ~70% of rev AI-related, SemiTest 87%, compute ~75% of SoC test -- but 'AI-related' is mgmt framing incl. non-AI HPC, and Robotics is non-AI. 25-50% band.</t>
        </is>
      </c>
      <c r="F1814" s="33" t="inlineStr">
        <is>
          <t>TER Q1 2026 8-K/call 2026-04-29</t>
        </is>
      </c>
      <c r="G1814" s="33" t="inlineStr">
        <is>
          <t>High</t>
        </is>
      </c>
      <c r="H1814" s="33" t="inlineStr">
        <is>
          <t>Update</t>
        </is>
      </c>
    </row>
    <row r="1815">
      <c r="A1815" s="33" t="inlineStr">
        <is>
          <t>2026-06-10</t>
        </is>
      </c>
      <c r="B1815" s="33" t="inlineStr">
        <is>
          <t>TER</t>
        </is>
      </c>
      <c r="C1815" s="33" t="inlineStr">
        <is>
          <t>D5</t>
        </is>
      </c>
      <c r="D1815" s="33" t="n">
        <v>3</v>
      </c>
      <c r="E1815" s="33" t="inlineStr">
        <is>
          <t>(was 4) Sells test to OSATs/IDMs/fabless, NOT hyperscalers; indirect pull from hyperscaler custom-silicon ASICs being tested keeps it at 3 (was 4, overstated a direct relationship).</t>
        </is>
      </c>
      <c r="F1815" s="33" t="inlineStr">
        <is>
          <t>TER Q1 2026 call</t>
        </is>
      </c>
      <c r="G1815" s="33" t="inlineStr">
        <is>
          <t>High</t>
        </is>
      </c>
      <c r="H1815" s="33" t="inlineStr">
        <is>
          <t>Update</t>
        </is>
      </c>
    </row>
    <row r="1816">
      <c r="A1816" s="33" t="inlineStr">
        <is>
          <t>2026-06-10</t>
        </is>
      </c>
      <c r="B1816" s="33" t="inlineStr">
        <is>
          <t>LRCX</t>
        </is>
      </c>
      <c r="C1816" s="33" t="inlineStr">
        <is>
          <t>D1</t>
        </is>
      </c>
      <c r="D1816" s="33" t="n">
        <v>3</v>
      </c>
      <c r="E1816" s="33" t="inlineStr">
        <is>
          <t>(was 4) AI is a demand tailwind, not a disclosed revenue majority -- sells etch/dep into all WFE; AI-specific (adv packaging/HBM) is a modest slice of a broad cyclical base incl. NAND recovery.</t>
        </is>
      </c>
      <c r="F1816" s="33" t="inlineStr">
        <is>
          <t>LRCX Q3 FY2026 2026-04-22</t>
        </is>
      </c>
      <c r="G1816" s="33" t="inlineStr">
        <is>
          <t>High</t>
        </is>
      </c>
      <c r="H1816" s="33" t="inlineStr">
        <is>
          <t>Update</t>
        </is>
      </c>
    </row>
    <row r="1817">
      <c r="A1817" s="33" t="inlineStr">
        <is>
          <t>2026-06-10</t>
        </is>
      </c>
      <c r="B1817" s="33" t="inlineStr">
        <is>
          <t>LRCX</t>
        </is>
      </c>
      <c r="C1817" s="33" t="inlineStr">
        <is>
          <t>D5</t>
        </is>
      </c>
      <c r="D1817" s="33" t="n">
        <v>2</v>
      </c>
      <c r="E1817" s="33" t="inlineStr">
        <is>
          <t>(was 4) Sells to FABS (TSMC/Samsung/SK Hynix/Micron/Intel), zero direct hyperscaler relationship; 4 was narrative inflation.</t>
        </is>
      </c>
      <c r="F1817" s="33" t="inlineStr">
        <is>
          <t>LRCX Q3 FY2026</t>
        </is>
      </c>
      <c r="G1817" s="33" t="inlineStr">
        <is>
          <t>High</t>
        </is>
      </c>
      <c r="H1817" s="33" t="inlineStr">
        <is>
          <t>Update</t>
        </is>
      </c>
    </row>
    <row r="1818">
      <c r="A1818" s="33" t="inlineStr">
        <is>
          <t>2026-06-10</t>
        </is>
      </c>
      <c r="B1818" s="33" t="inlineStr">
        <is>
          <t>ARM</t>
        </is>
      </c>
      <c r="C1818" s="33" t="inlineStr">
        <is>
          <t>D1</t>
        </is>
      </c>
      <c r="D1818" s="33" t="n">
        <v>4</v>
      </c>
      <c r="E1818" s="33" t="inlineStr">
        <is>
          <t>(was 5) IP not equipment, but AI-infrastructure is still a minority: data-center royalty doubled YoY yet smartphone/IoT/auto remain the largest base; CSS to ~50% of royalties is FUTURE.</t>
        </is>
      </c>
      <c r="F1818" s="33" t="inlineStr">
        <is>
          <t>ARM FY2026 6-K 2026-05</t>
        </is>
      </c>
      <c r="G1818" s="33" t="inlineStr">
        <is>
          <t>Med</t>
        </is>
      </c>
      <c r="H1818" s="33" t="inlineStr">
        <is>
          <t>Update</t>
        </is>
      </c>
    </row>
    <row r="1819">
      <c r="A1819" s="33" t="inlineStr">
        <is>
          <t>2026-06-10</t>
        </is>
      </c>
      <c r="B1819" s="33" t="inlineStr">
        <is>
          <t>ARM</t>
        </is>
      </c>
      <c r="C1819" s="33" t="inlineStr">
        <is>
          <t>D5</t>
        </is>
      </c>
      <c r="D1819" s="33" t="n">
        <v>4</v>
      </c>
      <c r="E1819" s="33" t="inlineStr">
        <is>
          <t>(was 5) Most direct hyperscaler link in semicap (AWS Graviton/Google Axion/MSFT Cobalt pay per-chip royalties) but it's licensing not co-design, and hyperscalers are part of a minority data-center segment; 4 not 5.</t>
        </is>
      </c>
      <c r="F1819" s="33" t="inlineStr">
        <is>
          <t>ARM FY2026 6-K</t>
        </is>
      </c>
      <c r="G1819" s="33" t="inlineStr">
        <is>
          <t>High</t>
        </is>
      </c>
      <c r="H1819" s="33" t="inlineStr">
        <is>
          <t>Update</t>
        </is>
      </c>
    </row>
    <row r="1820">
      <c r="A1820" s="33" t="inlineStr">
        <is>
          <t>2026-06-10</t>
        </is>
      </c>
      <c r="B1820" s="33" t="inlineStr">
        <is>
          <t>ASML</t>
        </is>
      </c>
      <c r="C1820" s="33" t="inlineStr">
        <is>
          <t>D1</t>
        </is>
      </c>
      <c r="D1820" s="33" t="n">
        <v>3</v>
      </c>
      <c r="E1820" s="33" t="inlineStr">
        <is>
          <t>(was 4) AI drives the demand/guidance but ASML sells litho into all advanced logic+DRAM; no disclosed AI line; EUV ~65% of sales is leading-edge broadly, only partly AI-specific.</t>
        </is>
      </c>
      <c r="F1820" s="33" t="inlineStr">
        <is>
          <t>ASML Q1 2026 2026-04-15</t>
        </is>
      </c>
      <c r="G1820" s="33" t="inlineStr">
        <is>
          <t>High</t>
        </is>
      </c>
      <c r="H1820" s="33" t="inlineStr">
        <is>
          <t>Update</t>
        </is>
      </c>
    </row>
    <row r="1821">
      <c r="A1821" s="33" t="inlineStr">
        <is>
          <t>2026-06-10</t>
        </is>
      </c>
      <c r="B1821" s="33" t="inlineStr">
        <is>
          <t>ASML</t>
        </is>
      </c>
      <c r="C1821" s="33" t="inlineStr">
        <is>
          <t>D5</t>
        </is>
      </c>
      <c r="D1821" s="33" t="n">
        <v>2</v>
      </c>
      <c r="E1821" s="33" t="inlineStr">
        <is>
          <t>(was 4) Sells exclusively to FABS (TSMC/Samsung/Intel/SK Hynix); no hyperscaler relationship; 4 was pure narrative inflation. D2=5 EUV monopoly intact.</t>
        </is>
      </c>
      <c r="F1821" s="33" t="inlineStr">
        <is>
          <t>ASML Q1 2026</t>
        </is>
      </c>
      <c r="G1821" s="33" t="inlineStr">
        <is>
          <t>High</t>
        </is>
      </c>
      <c r="H1821" s="33" t="inlineStr">
        <is>
          <t>Update</t>
        </is>
      </c>
    </row>
    <row r="1822">
      <c r="A1822" s="33" t="inlineStr">
        <is>
          <t>2026-06-10</t>
        </is>
      </c>
      <c r="B1822" s="33" t="inlineStr">
        <is>
          <t>AMAT</t>
        </is>
      </c>
      <c r="C1822" s="33" t="inlineStr">
        <is>
          <t>D1</t>
        </is>
      </c>
      <c r="D1822" s="33" t="n">
        <v>3</v>
      </c>
      <c r="E1822" s="33" t="inlineStr">
        <is>
          <t>(was 4) Same as LRCX: leading-edge/HBM/adv-packaging are the fastest-growing WFE but not a disclosed majority of a base that still includes large ICAPS/trailing-edge + China (non-AI).</t>
        </is>
      </c>
      <c r="F1822" s="33" t="inlineStr">
        <is>
          <t>AMAT Q2 FY2026 8-K 2026-05-14</t>
        </is>
      </c>
      <c r="G1822" s="33" t="inlineStr">
        <is>
          <t>High</t>
        </is>
      </c>
      <c r="H1822" s="33" t="inlineStr">
        <is>
          <t>Update</t>
        </is>
      </c>
    </row>
    <row r="1823">
      <c r="A1823" s="33" t="inlineStr">
        <is>
          <t>2026-06-10</t>
        </is>
      </c>
      <c r="B1823" s="33" t="inlineStr">
        <is>
          <t>AMAT</t>
        </is>
      </c>
      <c r="C1823" s="33" t="inlineStr">
        <is>
          <t>D5</t>
        </is>
      </c>
      <c r="D1823" s="33" t="n">
        <v>2</v>
      </c>
      <c r="E1823" s="33" t="inlineStr">
        <is>
          <t>(was 4) Sells to FABS not hyperscalers; no direct hyperscaler relationship; 4 inflated.</t>
        </is>
      </c>
      <c r="F1823" s="33" t="inlineStr">
        <is>
          <t>AMAT Q2 FY2026 8-K</t>
        </is>
      </c>
      <c r="G1823" s="33" t="inlineStr">
        <is>
          <t>High</t>
        </is>
      </c>
      <c r="H1823" s="33" t="inlineStr">
        <is>
          <t>Update</t>
        </is>
      </c>
    </row>
    <row r="1824">
      <c r="A1824" s="33" t="inlineStr">
        <is>
          <t>2026-06-10</t>
        </is>
      </c>
      <c r="B1824" s="33" t="inlineStr">
        <is>
          <t>TSM</t>
        </is>
      </c>
      <c r="C1824" s="33" t="inlineStr">
        <is>
          <t>D1</t>
        </is>
      </c>
      <c r="D1824" s="33" t="n">
        <v>5</v>
      </c>
      <c r="E1824" s="33" t="inlineStr">
        <is>
          <t>(was 4) UPGRADE. HPC platform = 61% of Q1 2026 revenue (up from 55% prior qtr), overwhelmingly AI accelerator/datacenter wafers (NVDA/AMD/AVGO/custom-ASIC). Cleared &gt;50%; old 4 was a stale sub-majority model.</t>
        </is>
      </c>
      <c r="F1824" s="33" t="inlineStr">
        <is>
          <t>TSMC Q1 2026 slides 2026-04-16</t>
        </is>
      </c>
      <c r="G1824" s="33" t="inlineStr">
        <is>
          <t>High</t>
        </is>
      </c>
      <c r="H1824" s="33" t="inlineStr">
        <is>
          <t>Update</t>
        </is>
      </c>
    </row>
    <row r="1825">
      <c r="A1825" s="33" t="inlineStr">
        <is>
          <t>2026-06-10</t>
        </is>
      </c>
      <c r="B1825" s="33" t="inlineStr">
        <is>
          <t>AMD</t>
        </is>
      </c>
      <c r="C1825" s="33" t="inlineStr">
        <is>
          <t>D1</t>
        </is>
      </c>
      <c r="D1825" s="33" t="n">
        <v>4</v>
      </c>
      <c r="E1825" s="33" t="inlineStr">
        <is>
          <t>(was 5) CUT: Data Center is 56% of rev but blends EPYC server CPUs w/ Instinct GPUs; Instinct alone ~17-19% of total. 43% of co (Client/Gaming/Embedded) is non-AI. AI-infra is 25-50% band, not a majority. (May re-cross to 5 in 2-3 qtrs.)</t>
        </is>
      </c>
      <c r="F1825" s="33" t="inlineStr">
        <is>
          <t>AMD Q1 2026 8-K</t>
        </is>
      </c>
      <c r="G1825" s="33" t="inlineStr">
        <is>
          <t>Med</t>
        </is>
      </c>
      <c r="H1825" s="33" t="inlineStr">
        <is>
          <t>Update</t>
        </is>
      </c>
    </row>
    <row r="1826">
      <c r="A1826" s="33" t="inlineStr">
        <is>
          <t>2026-06-10</t>
        </is>
      </c>
      <c r="B1826" s="33" t="inlineStr">
        <is>
          <t>MRVL</t>
        </is>
      </c>
      <c r="C1826" s="33" t="inlineStr">
        <is>
          <t>D1</t>
        </is>
      </c>
      <c r="D1826" s="33" t="n">
        <v>4</v>
      </c>
      <c r="E1826" s="33" t="inlineStr">
        <is>
          <t>(was 5) Data center 76% of rev but AI-specific run-rate ~47% of total -- below the &gt;50% majority bar applied to AMD/AVGO. [Override: agent held 5 on 76% DC mix; cut to 4 for consistency.] Borderline; could be 5 if all AI-cluster DC silicon counts.</t>
        </is>
      </c>
      <c r="F1826" s="33" t="inlineStr">
        <is>
          <t>MRVL Q1 FY26</t>
        </is>
      </c>
      <c r="G1826" s="33" t="inlineStr">
        <is>
          <t>Med</t>
        </is>
      </c>
      <c r="H1826" s="33" t="inlineStr">
        <is>
          <t>Update</t>
        </is>
      </c>
    </row>
    <row r="1827">
      <c r="A1827" s="33" t="inlineStr">
        <is>
          <t>2026-06-10</t>
        </is>
      </c>
      <c r="B1827" s="33" t="inlineStr">
        <is>
          <t>ALAB</t>
        </is>
      </c>
      <c r="C1827" s="33" t="inlineStr">
        <is>
          <t>D2</t>
        </is>
      </c>
      <c r="D1827" s="33" t="n">
        <v>4</v>
      </c>
      <c r="E1827" s="33" t="inlineStr">
        <is>
          <t>(was 5) Best product today (Scorpio/PCIe Gen6 leadership) but smallest/newest in a contestable connectivity tier (AVGO/MRVL/NVLink can encroach) -- 'early leader, competition coming' = 4 not 5. D1=5 pure-play holds.</t>
        </is>
      </c>
      <c r="F1827" s="33" t="inlineStr">
        <is>
          <t>Astera Q1 FY26 2026-05-05</t>
        </is>
      </c>
      <c r="G1827" s="33" t="inlineStr">
        <is>
          <t>Med</t>
        </is>
      </c>
      <c r="H1827" s="33" t="inlineStr">
        <is>
          <t>Update</t>
        </is>
      </c>
    </row>
    <row r="1828">
      <c r="A1828" s="33" t="inlineStr">
        <is>
          <t>2026-06-10</t>
        </is>
      </c>
      <c r="B1828" s="33" t="inlineStr">
        <is>
          <t>MU</t>
        </is>
      </c>
      <c r="C1828" s="33" t="inlineStr">
        <is>
          <t>D2</t>
        </is>
      </c>
      <c r="D1828" s="33" t="n">
        <v>4</v>
      </c>
      <c r="E1828" s="33" t="inlineStr">
        <is>
          <t>(was 5) CUT: memory is a cyclical commodity, MU a 3-player price-taker on the broad DRAM/NAND cycle (~44% of rev is commodity Mobile/Client/Auto). HBM4 sold-out fixed-price LTAs are real but ring-fenced pricing power, not a whole-business bottleneck. D1=5 (DC 56%) holds.</t>
        </is>
      </c>
      <c r="F1828" s="33" t="inlineStr">
        <is>
          <t>MU Q2 FY26 8-K</t>
        </is>
      </c>
      <c r="G1828" s="33" t="inlineStr">
        <is>
          <t>Med</t>
        </is>
      </c>
      <c r="H1828" s="33" t="inlineStr">
        <is>
          <t>Update</t>
        </is>
      </c>
    </row>
    <row r="1829">
      <c r="A1829" s="33" t="inlineStr">
        <is>
          <t>2026-06-10</t>
        </is>
      </c>
      <c r="B1829" s="33" t="inlineStr">
        <is>
          <t>SNDK</t>
        </is>
      </c>
      <c r="C1829" s="33" t="inlineStr">
        <is>
          <t>D1</t>
        </is>
      </c>
      <c r="D1829" s="33" t="n">
        <v>3</v>
      </c>
      <c r="E1829" s="33" t="inlineStr">
        <is>
          <t>(was 4) CUT: disclosed datacenter ~14.5% of total revenue (10-25% band); ~85% is still commodity/consumer NAND; HBF in qualification = zero revenue. Prior 4 over-credited 'majority of GROWTH' as majority of revenue.</t>
        </is>
      </c>
      <c r="F1829" s="33" t="inlineStr">
        <is>
          <t>Sandisk Q1 FY26 / Q3 FY26 10-Q</t>
        </is>
      </c>
      <c r="G1829" s="33" t="inlineStr">
        <is>
          <t>Med</t>
        </is>
      </c>
      <c r="H1829" s="33" t="inlineStr">
        <is>
          <t>Update</t>
        </is>
      </c>
    </row>
    <row r="1830">
      <c r="A1830" s="33" t="inlineStr">
        <is>
          <t>2026-06-10</t>
        </is>
      </c>
      <c r="B1830" s="33" t="inlineStr">
        <is>
          <t>SNDK</t>
        </is>
      </c>
      <c r="C1830" s="33" t="inlineStr">
        <is>
          <t>D2</t>
        </is>
      </c>
      <c r="D1830" s="33" t="n">
        <v>3</v>
      </c>
      <c r="E1830" s="33" t="inlineStr">
        <is>
          <t>(was 4) CUT: pure NAND is the most commoditized memory (5-6 suppliers, price-taker on the cycle); the +33-38% QoQ ESSD pricing is cycle-upswing, not structural power.</t>
        </is>
      </c>
      <c r="F1830" s="33" t="inlineStr">
        <is>
          <t>Sandisk Q3 FY26</t>
        </is>
      </c>
      <c r="G1830" s="33" t="inlineStr">
        <is>
          <t>Med</t>
        </is>
      </c>
      <c r="H1830" s="33" t="inlineStr">
        <is>
          <t>Update</t>
        </is>
      </c>
    </row>
    <row r="1831">
      <c r="A1831" s="33" t="inlineStr">
        <is>
          <t>2026-06-10</t>
        </is>
      </c>
      <c r="B1831" s="33" t="inlineStr">
        <is>
          <t>SNDK</t>
        </is>
      </c>
      <c r="C1831" s="33" t="inlineStr">
        <is>
          <t>D5</t>
        </is>
      </c>
      <c r="D1831" s="33" t="n">
        <v>3</v>
      </c>
      <c r="E1831" s="33" t="inlineStr">
        <is>
          <t>(was 4) CUT: HBF qualification = pipeline not revenue; datacenter ~14.5% routed via OEMs/channel, no disclosed hyperscaler &gt;10% concentration.</t>
        </is>
      </c>
      <c r="F1831" s="33" t="inlineStr">
        <is>
          <t>Sandisk Q1 FY26</t>
        </is>
      </c>
      <c r="G1831" s="33" t="inlineStr">
        <is>
          <t>Med</t>
        </is>
      </c>
      <c r="H1831" s="33" t="inlineStr">
        <is>
          <t>Update</t>
        </is>
      </c>
    </row>
    <row r="1832">
      <c r="A1832" s="33" t="inlineStr">
        <is>
          <t>2026-06-10</t>
        </is>
      </c>
      <c r="B1832" s="33" t="inlineStr">
        <is>
          <t>FN</t>
        </is>
      </c>
      <c r="C1832" s="33" t="inlineStr">
        <is>
          <t>D1</t>
        </is>
      </c>
      <c r="D1832" s="33" t="n">
        <v>4</v>
      </c>
      <c r="E1832" s="33" t="inlineStr">
        <is>
          <t>(was 5) CUT: contract optical mfr where AI is a large slice not ~100%: datacom transceivers ~$260M (21%, down 6% QoQ) + AI-driven DCI ~$197M ~= $457M ~38% of rev; rest is non-AI telecom/industrial/auto. NVIDIA &gt;30% is the AI lever (and risk).</t>
        </is>
      </c>
      <c r="F1832" s="33" t="inlineStr">
        <is>
          <t>FN Q3 FY26</t>
        </is>
      </c>
      <c r="G1832" s="33" t="inlineStr">
        <is>
          <t>Med</t>
        </is>
      </c>
      <c r="H1832" s="33" t="inlineStr">
        <is>
          <t>Update</t>
        </is>
      </c>
    </row>
    <row r="1833">
      <c r="A1833" s="33" t="inlineStr">
        <is>
          <t>2026-06-10</t>
        </is>
      </c>
      <c r="B1833" s="33" t="inlineStr">
        <is>
          <t>DELL</t>
        </is>
      </c>
      <c r="C1833" s="33" t="inlineStr">
        <is>
          <t>D1</t>
        </is>
      </c>
      <c r="D1833" s="33" t="n">
        <v>3</v>
      </c>
      <c r="E1833" s="33" t="inlineStr">
        <is>
          <t>(was 4) CUT: AI-optimized servers ~$16.1B of $43.8B Q1 FY27 ~= 37% (FY27 outlook ~36%); fast-growing but a MINORITY of total, rest is commodity CSG/PCs + traditional storage, and at LOW margin.</t>
        </is>
      </c>
      <c r="F1833" s="33" t="inlineStr">
        <is>
          <t>Dell Q1 FY27 8-K 2026-05-28</t>
        </is>
      </c>
      <c r="G1833" s="33" t="inlineStr">
        <is>
          <t>High</t>
        </is>
      </c>
      <c r="H1833" s="33" t="inlineStr">
        <is>
          <t>Update</t>
        </is>
      </c>
    </row>
    <row r="1834">
      <c r="A1834" s="33" t="inlineStr">
        <is>
          <t>2026-06-10</t>
        </is>
      </c>
      <c r="B1834" s="33" t="inlineStr">
        <is>
          <t>STX</t>
        </is>
      </c>
      <c r="C1834" s="33" t="inlineStr">
        <is>
          <t>D2</t>
        </is>
      </c>
      <c r="D1834" s="33" t="n">
        <v>4</v>
      </c>
      <c r="E1834" s="33" t="inlineStr">
        <is>
          <t>(was 5) CUT: STX/WDC duopoly has real current pricing power ($/TB rising, sold out to late-2027) but HDD is a CYCLICAL near-commodity, not a structural non-cyclical chokepoint (reserve 5 for EUV/leading-edge). Pricing mean-reverts. D1=4/D5=5 hold.</t>
        </is>
      </c>
      <c r="F1834" s="33" t="inlineStr">
        <is>
          <t>STX context 2026-06-05; Q3 FY26 8-K</t>
        </is>
      </c>
      <c r="G1834" s="33" t="inlineStr">
        <is>
          <t>Med</t>
        </is>
      </c>
      <c r="H1834" s="33" t="inlineStr">
        <is>
          <t>Update</t>
        </is>
      </c>
    </row>
    <row r="1835">
      <c r="A1835" s="33" t="inlineStr">
        <is>
          <t>2026-06-12</t>
        </is>
      </c>
      <c r="B1835" s="33" t="inlineStr">
        <is>
          <t>AVGO</t>
        </is>
      </c>
      <c r="C1835" s="33" t="inlineStr">
        <is>
          <t>D2</t>
        </is>
      </c>
      <c r="D1835" s="33" t="n">
        <v>5</v>
      </c>
      <c r="E1835" s="33" t="inlineStr">
        <is>
          <t>(was 4) RAISE: genuine upstream bottleneck now — Q2 AI bookings &gt;$30B vs $10.8B shipped, customers ordering 2 yrs out, supply secured thru 2027, six customers locked in GW-denominated multi-yr contracts; pricing power via content/GW rising gen-over-gen.</t>
        </is>
      </c>
      <c r="F1835" s="33" t="inlineStr">
        <is>
          <t>AVGO Q2 FY26 call 2026-06-03; context-2026-06-12</t>
        </is>
      </c>
      <c r="G1835" s="33" t="inlineStr">
        <is>
          <t>High</t>
        </is>
      </c>
      <c r="H1835" s="33" t="inlineStr">
        <is>
          <t>Update</t>
        </is>
      </c>
    </row>
    <row r="1836">
      <c r="A1836" s="33" t="inlineStr">
        <is>
          <t>2026-06-12</t>
        </is>
      </c>
      <c r="B1836" s="33" t="inlineStr">
        <is>
          <t>AVGO</t>
        </is>
      </c>
      <c r="C1836" s="33" t="inlineStr">
        <is>
          <t>M2</t>
        </is>
      </c>
      <c r="D1836" s="33" t="n">
        <v>1</v>
      </c>
      <c r="E1836" s="33" t="inlineStr">
        <is>
          <t>(was 2) CUT: 6-mo relative to SMH -73.8pts (AVGO -6.1% vs SMH +67.6%); 3-mo rel -40.2. Lagging sector &gt;20% = band 1. Price action, not quality — fundamentals diverging from tape.</t>
        </is>
      </c>
      <c r="F1836" s="33" t="inlineStr">
        <is>
          <t>yfinance 6-mo perf 2026-06-12</t>
        </is>
      </c>
      <c r="G1836" s="33" t="inlineStr">
        <is>
          <t>High</t>
        </is>
      </c>
      <c r="H1836" s="33" t="inlineStr">
        <is>
          <t>Update</t>
        </is>
      </c>
    </row>
    <row r="1837">
      <c r="A1837" s="33" t="inlineStr">
        <is>
          <t>2026-06-12</t>
        </is>
      </c>
      <c r="B1837" s="33" t="inlineStr">
        <is>
          <t>TSM</t>
        </is>
      </c>
      <c r="C1837" s="33" t="inlineStr">
        <is>
          <t>M1</t>
        </is>
      </c>
      <c r="D1837" s="33" t="n">
        <v>5</v>
      </c>
      <c r="E1837" s="33" t="inlineStr">
        <is>
          <t>(was 4) RAISE: beat-and-raise pattern — Q1 beat, FY26 guide raised to &gt;30% USD growth, FY EPS consensus +9.7% over 90d, zero down revisions.</t>
        </is>
      </c>
      <c r="F1837" s="33" t="inlineStr">
        <is>
          <t>yfinance eps_trend 2026-06-12; Q1 call 2026-04-16</t>
        </is>
      </c>
      <c r="G1837" s="33" t="inlineStr">
        <is>
          <t>High</t>
        </is>
      </c>
      <c r="H1837" s="33" t="inlineStr">
        <is>
          <t>Update</t>
        </is>
      </c>
    </row>
    <row r="1838">
      <c r="A1838" s="33" t="inlineStr">
        <is>
          <t>2026-06-12</t>
        </is>
      </c>
      <c r="B1838" s="33" t="inlineStr">
        <is>
          <t>TSM</t>
        </is>
      </c>
      <c r="C1838" s="33" t="inlineStr">
        <is>
          <t>M3</t>
        </is>
      </c>
      <c r="D1838" s="33" t="n">
        <v>5</v>
      </c>
      <c r="E1838" s="33" t="inlineStr">
        <is>
          <t>(was 3) RAISE: two insiders open-market buying — Tien Bor-Zen ×2 (Apr 28 @ $386-390, May 20 @ $392-400), Ursula Burns (Mar 31 @ $322). Procedure step 1: &gt;=2 insiders buying = 5 regardless of size. CAVEAT: yfinance-sourced (FPI, no Form 4s) — verify against TWSE filings.</t>
        </is>
      </c>
      <c r="F1838" s="33" t="inlineStr">
        <is>
          <t>yfinance insider_transactions 2026-06-12</t>
        </is>
      </c>
      <c r="G1838" s="33" t="inlineStr">
        <is>
          <t>Medium</t>
        </is>
      </c>
      <c r="H1838" s="33" t="inlineStr">
        <is>
          <t>Update</t>
        </is>
      </c>
    </row>
    <row r="1839">
      <c r="A1839" s="33" t="inlineStr">
        <is>
          <t>2026-06-12</t>
        </is>
      </c>
      <c r="B1839" s="33" t="inlineStr">
        <is>
          <t>META</t>
        </is>
      </c>
      <c r="C1839" s="33" t="inlineStr">
        <is>
          <t>D1</t>
        </is>
      </c>
      <c r="D1839" s="33" t="n">
        <v>3</v>
      </c>
      <c r="E1839" s="33" t="inlineStr">
        <is>
          <t>(was 2) RAISE: AI-attributable revenue now quantified — +6% LPV / +1.6% off-site conversion lifts on AI ranking, Meta AI sessions +double-digit, business AIs 1M-&gt;10M weekly convos; &gt;10% of revenue economics now AI-driven.</t>
        </is>
      </c>
      <c r="F1839" s="33" t="inlineStr">
        <is>
          <t>META Q1 2026 call + context-2026-06-12</t>
        </is>
      </c>
      <c r="G1839" s="33" t="inlineStr">
        <is>
          <t>Medium</t>
        </is>
      </c>
      <c r="H1839" s="33" t="inlineStr">
        <is>
          <t>Update</t>
        </is>
      </c>
    </row>
    <row r="1840">
      <c r="A1840" s="33" t="inlineStr">
        <is>
          <t>2026-06-12</t>
        </is>
      </c>
      <c r="B1840" s="33" t="inlineStr">
        <is>
          <t>META</t>
        </is>
      </c>
      <c r="C1840" s="33" t="inlineStr">
        <is>
          <t>M1</t>
        </is>
      </c>
      <c r="D1840" s="33" t="n">
        <v>5</v>
      </c>
      <c r="E1840" s="33" t="inlineStr">
        <is>
          <t>(was 4) RAISE: 9 up / 0 down revisions 30d, FY EPS consensus +11.2% over 90d. Caveat: partly inflated by Q1 one-time $8.03B CAMT benefit flowing into FY estimates.</t>
        </is>
      </c>
      <c r="F1840" s="33" t="inlineStr">
        <is>
          <t>yfinance eps_revisions/eps_trend 2026-06-12</t>
        </is>
      </c>
      <c r="G1840" s="33" t="inlineStr">
        <is>
          <t>Medium</t>
        </is>
      </c>
      <c r="H1840" s="33" t="inlineStr">
        <is>
          <t>Update</t>
        </is>
      </c>
    </row>
    <row r="1841">
      <c r="A1841" s="33" t="inlineStr">
        <is>
          <t>2026-06-12</t>
        </is>
      </c>
      <c r="B1841" s="33" t="inlineStr">
        <is>
          <t>META</t>
        </is>
      </c>
      <c r="C1841" s="33" t="inlineStr">
        <is>
          <t>M2</t>
        </is>
      </c>
      <c r="D1841" s="33" t="n">
        <v>1</v>
      </c>
      <c r="E1841" s="33" t="inlineStr">
        <is>
          <t>(was 3) CUT: 6-mo relative to QQQ -27.8pts (META -12.4% vs QQQ +15.4%) — sell-on-capex regime. Lagging &gt;20% = band 1.</t>
        </is>
      </c>
      <c r="F1841" s="33" t="inlineStr">
        <is>
          <t>yfinance 6-mo perf 2026-06-12</t>
        </is>
      </c>
      <c r="G1841" s="33" t="inlineStr">
        <is>
          <t>High</t>
        </is>
      </c>
      <c r="H1841" s="33" t="inlineStr">
        <is>
          <t>Update</t>
        </is>
      </c>
    </row>
    <row r="1842">
      <c r="A1842" s="33" t="inlineStr">
        <is>
          <t>2026-06-12</t>
        </is>
      </c>
      <c r="B1842" s="33" t="inlineStr">
        <is>
          <t>META</t>
        </is>
      </c>
      <c r="C1842" s="33" t="inlineStr">
        <is>
          <t>R3</t>
        </is>
      </c>
      <c r="D1842" s="33" t="n">
        <v>4</v>
      </c>
      <c r="E1842" s="33" t="inlineStr">
        <is>
          <t>(was 5) CUT: no longer net cash — ~$84B notes ($59B + $25B May raise to 2066 maturities at up to 6.45%), $5B newly restricted cash, TTM FCF conversion 36% and falling on $125-145B capex guide. Still sub-0.5x ND/EBITDA = band 4 not lower.</t>
        </is>
      </c>
      <c r="F1842" s="33" t="inlineStr">
        <is>
          <t>META 10-Q Q1 2026 + 8-K 2026-05-04; context-2026-06-12</t>
        </is>
      </c>
      <c r="G1842" s="33" t="inlineStr">
        <is>
          <t>High</t>
        </is>
      </c>
      <c r="H1842" s="33" t="inlineStr">
        <is>
          <t>Update</t>
        </is>
      </c>
    </row>
    <row r="1843">
      <c r="A1843" s="33" t="inlineStr">
        <is>
          <t>2026-06-12</t>
        </is>
      </c>
      <c r="B1843" s="33" t="inlineStr">
        <is>
          <t>MSFT</t>
        </is>
      </c>
      <c r="C1843" s="33" t="inlineStr">
        <is>
          <t>M3</t>
        </is>
      </c>
      <c r="D1843" s="33" t="n">
        <v>4</v>
      </c>
      <c r="E1843" s="33" t="inlineStr">
        <is>
          <t>(was 3) RAISE: one insider open-market buy — director John Stanton @ $397.35 (2026-02-18). Procedure: exactly 1 insider buying = 4. Verify Form 4 dollar size; &gt;$1M single buy would not change band (single-buyer path to 5 requires it, not met unless verified).</t>
        </is>
      </c>
      <c r="F1843" s="33" t="inlineStr">
        <is>
          <t>yfinance insider_transactions 2026-06-12</t>
        </is>
      </c>
      <c r="G1843" s="33" t="inlineStr">
        <is>
          <t>Medium</t>
        </is>
      </c>
      <c r="H1843" s="33" t="inlineStr">
        <is>
          <t>Update</t>
        </is>
      </c>
    </row>
    <row r="1844">
      <c r="A1844" s="33" t="inlineStr">
        <is>
          <t>2026-06-12</t>
        </is>
      </c>
      <c r="B1844" s="33" t="inlineStr">
        <is>
          <t>GOOGL</t>
        </is>
      </c>
      <c r="C1844" s="33" t="inlineStr">
        <is>
          <t>M1</t>
        </is>
      </c>
      <c r="D1844" s="33" t="n">
        <v>4</v>
      </c>
      <c r="E1844" s="33" t="inlineStr">
        <is>
          <t>(was 5) CUT: revisions now mixed — 5 up / 4 down last 30d, FY EPS flat last 30d after +24.1%/90d surge (surge partly one-time unrealized equity gains in Q1 print). Net positive = 4, not 5.</t>
        </is>
      </c>
      <c r="F1844" s="33" t="inlineStr">
        <is>
          <t>yfinance eps_revisions/eps_trend 2026-06-12</t>
        </is>
      </c>
      <c r="G1844" s="33" t="inlineStr">
        <is>
          <t>Medium</t>
        </is>
      </c>
      <c r="H1844" s="33" t="inlineStr">
        <is>
          <t>Update</t>
        </is>
      </c>
    </row>
    <row r="1845">
      <c r="A1845" s="33" t="inlineStr">
        <is>
          <t>2026-06-12</t>
        </is>
      </c>
      <c r="B1845" s="33" t="inlineStr">
        <is>
          <t>GOOGL</t>
        </is>
      </c>
      <c r="C1845" s="33" t="inlineStr">
        <is>
          <t>M2</t>
        </is>
      </c>
      <c r="D1845" s="33" t="n">
        <v>3</v>
      </c>
      <c r="E1845" s="33" t="inlineStr">
        <is>
          <t>(was 5) CUT: 6-mo relative to QQQ +0.4pts = in line with sector (band 3). Prior 5 reflected pre-April leadership that has mean-reverted.</t>
        </is>
      </c>
      <c r="F1845" s="33" t="inlineStr">
        <is>
          <t>yfinance 6-mo perf 2026-06-12</t>
        </is>
      </c>
      <c r="G1845" s="33" t="inlineStr">
        <is>
          <t>High</t>
        </is>
      </c>
      <c r="H1845" s="33" t="inlineStr">
        <is>
          <t>Update</t>
        </is>
      </c>
    </row>
    <row r="1846">
      <c r="A1846" s="33" t="inlineStr">
        <is>
          <t>2026-06-12</t>
        </is>
      </c>
      <c r="B1846" s="33" t="inlineStr">
        <is>
          <t>GOOGL</t>
        </is>
      </c>
      <c r="C1846" s="33" t="inlineStr">
        <is>
          <t>R3</t>
        </is>
      </c>
      <c r="D1846" s="33" t="n">
        <v>4</v>
      </c>
      <c r="E1846" s="33" t="inlineStr">
        <is>
          <t>(was 5) CUT on the R3 dilution-risk clause: still net cash with $64B TTM FCF, but capital regime flipped — $84.75B June equity package ($19.25B 6.25% preferred = ~$1.2B/yr obligation, $40B ATM, $18B common), buybacks halted (zero Q1 vs $15.1B yr-ago), $31.4B Q1 debt + yen notes. Dilution risk is explicitly in R3 holistic definition.</t>
        </is>
      </c>
      <c r="F1846" s="33" t="inlineStr">
        <is>
          <t>GOOGL 8-Ks 2026-06-04/05, 10-Q Q1 2026; context-2026-06-12</t>
        </is>
      </c>
      <c r="G1846" s="33" t="inlineStr">
        <is>
          <t>Medium</t>
        </is>
      </c>
      <c r="H1846" s="33" t="inlineStr">
        <is>
          <t>Update</t>
        </is>
      </c>
    </row>
    <row r="1847">
      <c r="A1847" s="33" t="inlineStr">
        <is>
          <t>2026-06-12</t>
        </is>
      </c>
      <c r="B1847" s="33" t="inlineStr">
        <is>
          <t>EME</t>
        </is>
      </c>
      <c r="C1847" s="33" t="inlineStr">
        <is>
          <t>D3</t>
        </is>
      </c>
      <c r="D1847" s="33" t="n">
        <v>3</v>
      </c>
      <c r="E1847" s="33" t="inlineStr">
        <is>
          <t>(was 4) CUT (halo check): modest moat — 78% of RPO converts &lt;12mo so work is re-bid continuously; Mechanical margin -100bps on CM/GMP mix in new geographies = price-taker behavior at the margin; scale+reputation real but switching costs low.</t>
        </is>
      </c>
      <c r="F1847" s="33" t="inlineStr">
        <is>
          <t>EME 10-Q 2026-04-29 Note 3/MD&amp;A; context-2026-06-12</t>
        </is>
      </c>
      <c r="G1847" s="33" t="inlineStr">
        <is>
          <t>Medium</t>
        </is>
      </c>
      <c r="H1847" s="33" t="inlineStr">
        <is>
          <t>Update</t>
        </is>
      </c>
    </row>
    <row r="1848">
      <c r="A1848" s="33" t="inlineStr">
        <is>
          <t>2026-06-12</t>
        </is>
      </c>
      <c r="B1848" s="33" t="inlineStr">
        <is>
          <t>EME</t>
        </is>
      </c>
      <c r="C1848" s="33" t="inlineStr">
        <is>
          <t>D4</t>
        </is>
      </c>
      <c r="D1848" s="33" t="n">
        <v>4</v>
      </c>
      <c r="E1848" s="33" t="inlineStr">
        <is>
          <t>(was 5) CUT: expansion is hiring-led, not a funded capex buildout — capex ~1% of revenue, no disclosed multi-year capacity program; band 5 reserved for committed capital programs w/ customer backing (cf. FIX modular). Record RPO is demand, not capacity.</t>
        </is>
      </c>
      <c r="F1848" s="33" t="inlineStr">
        <is>
          <t>EME 10-Q 2026-04-29; rubric anchor check</t>
        </is>
      </c>
      <c r="G1848" s="33" t="inlineStr">
        <is>
          <t>Medium</t>
        </is>
      </c>
      <c r="H1848" s="33" t="inlineStr">
        <is>
          <t>Update</t>
        </is>
      </c>
    </row>
    <row r="1849">
      <c r="A1849" s="33" t="inlineStr">
        <is>
          <t>2026-06-12</t>
        </is>
      </c>
      <c r="B1849" s="33" t="inlineStr">
        <is>
          <t>EME</t>
        </is>
      </c>
      <c r="C1849" s="33" t="inlineStr">
        <is>
          <t>M2</t>
        </is>
      </c>
      <c r="D1849" s="33" t="n">
        <v>4</v>
      </c>
      <c r="E1849" s="33" t="inlineStr">
        <is>
          <t>(was 5) CUT: 6-mo relative to XLI +16.7pts = band 4 (5-20% outperformance), not band 5 (&gt;20%). Mechanical.</t>
        </is>
      </c>
      <c r="F1849" s="33" t="inlineStr">
        <is>
          <t>yfinance 6-mo perf 2026-06-12</t>
        </is>
      </c>
      <c r="G1849" s="33" t="inlineStr">
        <is>
          <t>High</t>
        </is>
      </c>
      <c r="H1849" s="33" t="inlineStr">
        <is>
          <t>Update</t>
        </is>
      </c>
    </row>
    <row r="1850">
      <c r="A1850" s="33" t="inlineStr">
        <is>
          <t>2026-06-12</t>
        </is>
      </c>
      <c r="B1850" s="33" t="inlineStr">
        <is>
          <t>FIX</t>
        </is>
      </c>
      <c r="C1850" s="33" t="inlineStr">
        <is>
          <t>R1</t>
        </is>
      </c>
      <c r="D1850" s="33" t="n">
        <v>4</v>
      </c>
      <c r="E1850" s="33" t="inlineStr">
        <is>
          <t>(was 5) CUT: concentration rising — tech customers 37%-&gt;56.4% of revenue in 4 qtrs, Texas modular +$1.5B same-store bookings implies a small number of mega-programs, backlog-by-customer NOT disclosed, 74.5% new-construction mix. No &gt;10% customer disclosed (caps the cut at 4), but absence of disclosure is not absence of concentration.</t>
        </is>
      </c>
      <c r="F1850" s="33" t="inlineStr">
        <is>
          <t>FIX 10-Q 2026-04-23 rev-by-customer-type; context-2026-06-12</t>
        </is>
      </c>
      <c r="G1850" s="33" t="inlineStr">
        <is>
          <t>Medium</t>
        </is>
      </c>
      <c r="H1850" s="33" t="inlineStr">
        <is>
          <t>Update</t>
        </is>
      </c>
    </row>
    <row r="1851">
      <c r="A1851" s="33" t="inlineStr">
        <is>
          <t>2026-06-12</t>
        </is>
      </c>
      <c r="B1851" s="33" t="inlineStr">
        <is>
          <t>FIX</t>
        </is>
      </c>
      <c r="C1851" s="33" t="inlineStr">
        <is>
          <t>R3</t>
        </is>
      </c>
      <c r="D1851" s="33" t="n">
        <v>5</v>
      </c>
      <c r="E1851" s="33" t="inlineStr">
        <is>
          <t>(was 4) RAISE: net cash position, TTM FCF conversion 113% (FY25 101%, FY24 141%), contract liabilities $2.345B = customers funding working capital. Band 5 criteria met.</t>
        </is>
      </c>
      <c r="F1851" s="33" t="inlineStr">
        <is>
          <t>FIX 10-Q 2026-04-23; yfinance 2026-06-12</t>
        </is>
      </c>
      <c r="G1851" s="33" t="inlineStr">
        <is>
          <t>High</t>
        </is>
      </c>
      <c r="H1851" s="33" t="inlineStr">
        <is>
          <t>Update</t>
        </is>
      </c>
    </row>
    <row r="1852">
      <c r="A1852" s="33" t="inlineStr">
        <is>
          <t>2026-06-12</t>
        </is>
      </c>
      <c r="B1852" s="33" t="inlineStr">
        <is>
          <t>TER</t>
        </is>
      </c>
      <c r="C1852" s="33" t="inlineStr">
        <is>
          <t>D1</t>
        </is>
      </c>
      <c r="D1852" s="33" t="n">
        <v>5</v>
      </c>
      <c r="E1852" s="33" t="inlineStr">
        <is>
          <t>(was 4) RAISE: AI now ~70% of revenue (CEO, Q1 2026 call), compute ~75% of SoC test, Semi Test $1.11B of $1.28B total; loss of AI demand would be existential. Band 5 criteria met.</t>
        </is>
      </c>
      <c r="F1852" s="33" t="inlineStr">
        <is>
          <t>TER Q1 2026 call (fool.com 2026-04-29); 10-Q Note T</t>
        </is>
      </c>
      <c r="G1852" s="33" t="inlineStr">
        <is>
          <t>High</t>
        </is>
      </c>
      <c r="H1852" s="33" t="inlineStr">
        <is>
          <t>Update</t>
        </is>
      </c>
    </row>
    <row r="1853">
      <c r="A1853" s="33" t="inlineStr">
        <is>
          <t>2026-06-12</t>
        </is>
      </c>
      <c r="B1853" s="33" t="inlineStr">
        <is>
          <t>TER</t>
        </is>
      </c>
      <c r="C1853" s="33" t="inlineStr">
        <is>
          <t>D4</t>
        </is>
      </c>
      <c r="D1853" s="33" t="n">
        <v>4</v>
      </c>
      <c r="E1853" s="33" t="inlineStr">
        <is>
          <t>(was 5) CUT: no funded multi-year capex buildout disclosed — shipment capacity scaling through suppliers; band 5 requires committed capital program with customer commitments. Active expansion = 4.</t>
        </is>
      </c>
      <c r="F1853" s="33" t="inlineStr">
        <is>
          <t>TER 10-Q 2026-05-01; rubric anchor check</t>
        </is>
      </c>
      <c r="G1853" s="33" t="inlineStr">
        <is>
          <t>Medium</t>
        </is>
      </c>
      <c r="H1853" s="33" t="inlineStr">
        <is>
          <t>Update</t>
        </is>
      </c>
    </row>
    <row r="1854">
      <c r="A1854" s="33" t="inlineStr">
        <is>
          <t>2026-06-12</t>
        </is>
      </c>
      <c r="B1854" s="33" t="inlineStr">
        <is>
          <t>TER</t>
        </is>
      </c>
      <c r="C1854" s="33" t="inlineStr">
        <is>
          <t>R2</t>
        </is>
      </c>
      <c r="D1854" s="33" t="n">
        <v>3</v>
      </c>
      <c r="E1854" s="33" t="inlineStr">
        <is>
          <t>(was 4) CUT: geographic revenue concentration up — Taiwan 41% + Korea 19% of revenue (10-Q); a strait disruption impairs ~half of revenue. Not China-export exposure per band text, but "diversified / no problematic exposure" (band 4) is no longer accurate. FLAG: tips TER below exit threshold — discuss.</t>
        </is>
      </c>
      <c r="F1854" s="33" t="inlineStr">
        <is>
          <t>TER 10-Q 2026-05-01 geographic disclosure; context-2026-06-12</t>
        </is>
      </c>
      <c r="G1854" s="33" t="inlineStr">
        <is>
          <t>Medium</t>
        </is>
      </c>
      <c r="H1854" s="33" t="inlineStr">
        <is>
          <t>Update</t>
        </is>
      </c>
    </row>
    <row r="1855">
      <c r="A1855" s="33" t="inlineStr">
        <is>
          <t>2026-06-12</t>
        </is>
      </c>
      <c r="B1855" s="33" t="inlineStr">
        <is>
          <t>GOOGL</t>
        </is>
      </c>
      <c r="C1855" s="33" t="inlineStr">
        <is>
          <t>R3</t>
        </is>
      </c>
      <c r="D1855" s="33" t="n">
        <v>5</v>
      </c>
      <c r="E1855" s="33" t="inlineStr">
        <is>
          <t>(was 4, reverted same-day) OVERRIDE per Dom — rubric-strict: band 5 text is "net cash, strong FCF, no debt concerns" and GOOGL meets all three (net cash ~$35B+, $64B TTM FCF). Dilution-clause concern (preferred + ATM + halted buybacks) noted but band letter governs; revisit if net cash flips.</t>
        </is>
      </c>
      <c r="F1855" s="33" t="inlineStr">
        <is>
          <t>Rating session 2026-06-12 discussion</t>
        </is>
      </c>
      <c r="G1855" s="33" t="inlineStr">
        <is>
          <t>High</t>
        </is>
      </c>
      <c r="H1855" s="33" t="inlineStr">
        <is>
          <t>Override</t>
        </is>
      </c>
    </row>
    <row r="1856">
      <c r="A1856" s="33" t="inlineStr">
        <is>
          <t>2026-06-12</t>
        </is>
      </c>
      <c r="B1856" s="33" t="inlineStr">
        <is>
          <t>EME</t>
        </is>
      </c>
      <c r="C1856" s="33" t="inlineStr">
        <is>
          <t>D3</t>
        </is>
      </c>
      <c r="D1856" s="33" t="n">
        <v>4</v>
      </c>
      <c r="E1856" s="33" t="inlineStr">
        <is>
          <t>(was 3, reverted same-day) OVERRIDE per Dom — rubric-strict: band 4 text "strong in one or two dimensions, share held" fits — scale advantage (largest US specialty contractor) is one genuinely strong dimension, share held (RPO +33%, 1.5x book-to-bill). Mechanical margin mix noted as watch.</t>
        </is>
      </c>
      <c r="F1856" s="33" t="inlineStr">
        <is>
          <t>Rating session 2026-06-12 discussion; EME 10-Q 2026-04-29</t>
        </is>
      </c>
      <c r="G1856" s="33" t="inlineStr">
        <is>
          <t>Medium</t>
        </is>
      </c>
      <c r="H1856" s="33" t="inlineStr">
        <is>
          <t>Override</t>
        </is>
      </c>
    </row>
    <row r="1857">
      <c r="A1857" s="33" t="inlineStr">
        <is>
          <t>2026-06-12</t>
        </is>
      </c>
      <c r="B1857" s="33" t="inlineStr">
        <is>
          <t>TSM</t>
        </is>
      </c>
      <c r="C1857" s="33" t="inlineStr">
        <is>
          <t>M3</t>
        </is>
      </c>
      <c r="D1857" s="33" t="n">
        <v>5</v>
      </c>
      <c r="E1857" s="33" t="inlineStr">
        <is>
          <t>(5 confirmed, confidence upgraded Med-&gt;High) VERIFIED via SEC Form 4s (TSM files Section 16 voluntarily): Burns 1,000 ADS @ $322.05 2026-03-31 (~$322K); VP Tien Bor-Zen ~10 open-mkt buys ~$214K cumulative Apr-May 2026. Two insiders buying = 5 per procedure step 1; small ticket size does NOT discount (CEVA precedent 2026-05-28).</t>
        </is>
      </c>
      <c r="F1857" s="33" t="inlineStr">
        <is>
          <t>SEC Form 4 via stocktitan.net 2026-06-12</t>
        </is>
      </c>
      <c r="G1857" s="33" t="inlineStr">
        <is>
          <t>High</t>
        </is>
      </c>
      <c r="H1857" s="33" t="inlineStr">
        <is>
          <t>Update</t>
        </is>
      </c>
    </row>
    <row r="1858">
      <c r="A1858" s="33" t="inlineStr">
        <is>
          <t>2026-06-12</t>
        </is>
      </c>
      <c r="B1858" s="33" t="inlineStr">
        <is>
          <t>TER</t>
        </is>
      </c>
      <c r="C1858" s="33" t="inlineStr">
        <is>
          <t>R2</t>
        </is>
      </c>
      <c r="D1858" s="33" t="n">
        <v>4</v>
      </c>
      <c r="E1858" s="33" t="inlineStr">
        <is>
          <t>(was 3, reverted same-day) OVERRIDE per Dom — peer-calibration: sheet treats Asia-SHIPMENT concentration as 4 (ONTO/CAMT/KLIC/FORM/ENTG/MKSI/UCTT all 4) and reserves 3 for shipment + China/export overhang (AMAT/LRCX/KLAC/ASML); TER has one leg, not both. "For now" — R2 category rubric re-evaluation queued; Taiwan 41%+Korea 19% concentration remains a real risk the current band text does not address.</t>
        </is>
      </c>
      <c r="F1858" s="33" t="inlineStr">
        <is>
          <t>Rating session 2026-06-12 discussion; TER 10-Q 2026-05-01</t>
        </is>
      </c>
      <c r="G1858" s="33" t="inlineStr">
        <is>
          <t>Medium</t>
        </is>
      </c>
      <c r="H1858" s="33" t="inlineStr">
        <is>
          <t>Override</t>
        </is>
      </c>
    </row>
    <row r="1859">
      <c r="A1859" s="33" t="inlineStr">
        <is>
          <t>2026-06-12</t>
        </is>
      </c>
      <c r="B1859" s="33" t="inlineStr">
        <is>
          <t>SEI</t>
        </is>
      </c>
      <c r="C1859" s="33" t="inlineStr">
        <is>
          <t>D1</t>
        </is>
      </c>
      <c r="D1859" s="33" t="n">
        <v>3</v>
      </c>
      <c r="E1859" s="33" t="inlineStr">
        <is>
          <t>(SALP-13F batch add, Opus subagent research + orchestrator review) Power Solutions 65% of Q1-26 rev, marginal MW AI/DC-contracted; ~46% still legacy oilfield. DEBATABLE vs 4.</t>
        </is>
      </c>
      <c r="F1859" s="33" t="inlineStr">
        <is>
          <t>10-Q Q1 2026 MD&amp;A</t>
        </is>
      </c>
      <c r="G1859" s="33" t="inlineStr">
        <is>
          <t>Med</t>
        </is>
      </c>
      <c r="H1859" s="33" t="inlineStr">
        <is>
          <t>Proposal</t>
        </is>
      </c>
    </row>
    <row r="1860">
      <c r="A1860" s="33" t="inlineStr">
        <is>
          <t>2026-06-12</t>
        </is>
      </c>
      <c r="B1860" s="33" t="inlineStr">
        <is>
          <t>SEI</t>
        </is>
      </c>
      <c r="C1860" s="33" t="inlineStr">
        <is>
          <t>D2</t>
        </is>
      </c>
      <c r="D1860" s="33" t="n">
        <v>3</v>
      </c>
      <c r="E1860" s="33" t="inlineStr">
        <is>
          <t>(SALP-13F batch add, Opus subagent research + orchestrator review) Mobile gas turbines vs real competitors (GEV/CAT/ProEnergy/VoltaGrid); edge is turbine access + lead times, not structural bottleneck.</t>
        </is>
      </c>
      <c r="F1860" s="33" t="inlineStr">
        <is>
          <t>10-K (MER supplier relationship)</t>
        </is>
      </c>
      <c r="G1860" s="33" t="inlineStr">
        <is>
          <t>Med</t>
        </is>
      </c>
      <c r="H1860" s="33" t="inlineStr">
        <is>
          <t>Proposal</t>
        </is>
      </c>
    </row>
    <row r="1861">
      <c r="A1861" s="33" t="inlineStr">
        <is>
          <t>2026-06-12</t>
        </is>
      </c>
      <c r="B1861" s="33" t="inlineStr">
        <is>
          <t>SEI</t>
        </is>
      </c>
      <c r="C1861" s="33" t="inlineStr">
        <is>
          <t>D3</t>
        </is>
      </c>
      <c r="D1861" s="33" t="n">
        <v>3</v>
      </c>
      <c r="E1861" s="33" t="inlineStr">
        <is>
          <t>(SALP-13F batch add, Opus subagent research + orchestrator review) Take-or-pay contracts (cancel = 50% remaining rev) + scarce turbine access — contractual/temporal, not proprietary.</t>
        </is>
      </c>
      <c r="F1861" s="33" t="inlineStr">
        <is>
          <t>10-K; Q1 2026 call</t>
        </is>
      </c>
      <c r="G1861" s="33" t="inlineStr">
        <is>
          <t>Med</t>
        </is>
      </c>
      <c r="H1861" s="33" t="inlineStr">
        <is>
          <t>Proposal</t>
        </is>
      </c>
    </row>
    <row r="1862">
      <c r="A1862" s="33" t="inlineStr">
        <is>
          <t>2026-06-12</t>
        </is>
      </c>
      <c r="B1862" s="33" t="inlineStr">
        <is>
          <t>SEI</t>
        </is>
      </c>
      <c r="C1862" s="33" t="inlineStr">
        <is>
          <t>D4</t>
        </is>
      </c>
      <c r="D1862" s="33" t="n">
        <v>5</v>
      </c>
      <c r="E1862" s="33" t="inlineStr">
        <is>
          <t>(SALP-13F batch add, Opus subagent research + orchestrator review) ~630 MW YE25 -&gt; &gt;900 MW Q1-26 -&gt; ~2,200 MW by early 2028, majority contracted; ~1.7 GW on order, funded.</t>
        </is>
      </c>
      <c r="F1862" s="33" t="inlineStr">
        <is>
          <t>10-K MD&amp;A; 8-K 2026-04-27</t>
        </is>
      </c>
      <c r="G1862" s="33" t="inlineStr">
        <is>
          <t>High</t>
        </is>
      </c>
      <c r="H1862" s="33" t="inlineStr">
        <is>
          <t>Proposal</t>
        </is>
      </c>
    </row>
    <row r="1863">
      <c r="A1863" s="33" t="inlineStr">
        <is>
          <t>2026-06-12</t>
        </is>
      </c>
      <c r="B1863" s="33" t="inlineStr">
        <is>
          <t>SEI</t>
        </is>
      </c>
      <c r="C1863" s="33" t="inlineStr">
        <is>
          <t>D5</t>
        </is>
      </c>
      <c r="D1863" s="33" t="n">
        <v>4</v>
      </c>
      <c r="E1863" s="33" t="inlineStr">
        <is>
          <t>(SALP-13F batch add, Opus subagent research + orchestrator review) &gt;2 GW contracts w/ 3 "leading technology company" counterparties, &gt;30% rev DC-tied; un-named, cannot confirm hyperscaler anchors. DEBATABLE vs 5.</t>
        </is>
      </c>
      <c r="F1863" s="33" t="inlineStr">
        <is>
          <t>Q1 2026 8-K</t>
        </is>
      </c>
      <c r="G1863" s="33" t="inlineStr">
        <is>
          <t>Med</t>
        </is>
      </c>
      <c r="H1863" s="33" t="inlineStr">
        <is>
          <t>Proposal</t>
        </is>
      </c>
    </row>
    <row r="1864">
      <c r="A1864" s="33" t="inlineStr">
        <is>
          <t>2026-06-12</t>
        </is>
      </c>
      <c r="B1864" s="33" t="inlineStr">
        <is>
          <t>SEI</t>
        </is>
      </c>
      <c r="C1864" s="33" t="inlineStr">
        <is>
          <t>M1</t>
        </is>
      </c>
      <c r="D1864" s="33" t="n">
        <v>5</v>
      </c>
      <c r="E1864" s="33" t="inlineStr">
        <is>
          <t>(SALP-13F batch add, Opus subagent research + orchestrator review) Beat-and-raise: Q1 EPS ~68% above consensus; Q2/Q3 EBITDA guides raised.</t>
        </is>
      </c>
      <c r="F1864" s="33" t="inlineStr">
        <is>
          <t>Businesswire 2026-04-27</t>
        </is>
      </c>
      <c r="G1864" s="33" t="inlineStr">
        <is>
          <t>High</t>
        </is>
      </c>
      <c r="H1864" s="33" t="inlineStr">
        <is>
          <t>Proposal</t>
        </is>
      </c>
    </row>
    <row r="1865">
      <c r="A1865" s="33" t="inlineStr">
        <is>
          <t>2026-06-12</t>
        </is>
      </c>
      <c r="B1865" s="33" t="inlineStr">
        <is>
          <t>SEI</t>
        </is>
      </c>
      <c r="C1865" s="33" t="inlineStr">
        <is>
          <t>M2</t>
        </is>
      </c>
      <c r="D1865" s="33" t="n">
        <v>4</v>
      </c>
      <c r="E1865" s="33" t="inlineStr">
        <is>
          <t>(SALP-13F batch add, Opus subagent research + orchestrator review) Near ATH, strong outperformance; held below 5 on 98th-pctile valuation (expectations flag fired).</t>
        </is>
      </c>
      <c r="F1865" s="33" t="inlineStr">
        <is>
          <t>expectations_flag 2026-06-12</t>
        </is>
      </c>
      <c r="G1865" s="33" t="inlineStr">
        <is>
          <t>Med</t>
        </is>
      </c>
      <c r="H1865" s="33" t="inlineStr">
        <is>
          <t>Proposal</t>
        </is>
      </c>
    </row>
    <row r="1866">
      <c r="A1866" s="33" t="inlineStr">
        <is>
          <t>2026-06-12</t>
        </is>
      </c>
      <c r="B1866" s="33" t="inlineStr">
        <is>
          <t>SEI</t>
        </is>
      </c>
      <c r="C1866" s="33" t="inlineStr">
        <is>
          <t>M3</t>
        </is>
      </c>
      <c r="D1866" s="33" t="n">
        <v>4</v>
      </c>
      <c r="E1866" s="33" t="inlineStr">
        <is>
          <t>(SALP-13F batch add, Opus subagent research + orchestrator review) CEO and CFO open-market buys 2025 (&gt;=2 buyers -&gt; 5 per rubric); held 4 pending Form-4 verification. DEBATABLE vs 5 — VERIFY FORM 4s.</t>
        </is>
      </c>
      <c r="F1866" s="33" t="inlineStr">
        <is>
          <t>Yahoo Form-4 coverage</t>
        </is>
      </c>
      <c r="G1866" s="33" t="inlineStr">
        <is>
          <t>Low</t>
        </is>
      </c>
      <c r="H1866" s="33" t="inlineStr">
        <is>
          <t>Proposal</t>
        </is>
      </c>
    </row>
    <row r="1867">
      <c r="A1867" s="33" t="inlineStr">
        <is>
          <t>2026-06-12</t>
        </is>
      </c>
      <c r="B1867" s="33" t="inlineStr">
        <is>
          <t>SEI</t>
        </is>
      </c>
      <c r="C1867" s="33" t="inlineStr">
        <is>
          <t>R1</t>
        </is>
      </c>
      <c r="D1867" s="33" t="n">
        <v>1</v>
      </c>
      <c r="E1867" s="33" t="inlineStr">
        <is>
          <t>(SALP-13F batch add, Opus subagent research + orchestrator review) One customer 52% of Q1-26 rev (top-2 63%), rising; Stateline ~900 MW single-customer.</t>
        </is>
      </c>
      <c r="F1867" s="33" t="inlineStr">
        <is>
          <t>10-Q Note 16</t>
        </is>
      </c>
      <c r="G1867" s="33" t="inlineStr">
        <is>
          <t>High</t>
        </is>
      </c>
      <c r="H1867" s="33" t="inlineStr">
        <is>
          <t>Proposal</t>
        </is>
      </c>
    </row>
    <row r="1868">
      <c r="A1868" s="33" t="inlineStr">
        <is>
          <t>2026-06-12</t>
        </is>
      </c>
      <c r="B1868" s="33" t="inlineStr">
        <is>
          <t>SEI</t>
        </is>
      </c>
      <c r="C1868" s="33" t="inlineStr">
        <is>
          <t>R2</t>
        </is>
      </c>
      <c r="D1868" s="33" t="n">
        <v>5</v>
      </c>
      <c r="E1868" s="33" t="inlineStr">
        <is>
          <t>(SALP-13F batch add, Opus subagent research + orchestrator review) US-domestic revenue+assets; no demand/policy/asset legs.</t>
        </is>
      </c>
      <c r="F1868" s="33" t="inlineStr">
        <is>
          <t>10-K</t>
        </is>
      </c>
      <c r="G1868" s="33" t="inlineStr">
        <is>
          <t>High</t>
        </is>
      </c>
      <c r="H1868" s="33" t="inlineStr">
        <is>
          <t>Proposal</t>
        </is>
      </c>
    </row>
    <row r="1869">
      <c r="A1869" s="33" t="inlineStr">
        <is>
          <t>2026-06-12</t>
        </is>
      </c>
      <c r="B1869" s="33" t="inlineStr">
        <is>
          <t>SEI</t>
        </is>
      </c>
      <c r="C1869" s="33" t="inlineStr">
        <is>
          <t>R3</t>
        </is>
      </c>
      <c r="D1869" s="33" t="n">
        <v>2</v>
      </c>
      <c r="E1869" s="33" t="inlineStr">
        <is>
          <t>(SALP-13F batch add, Opus subagent research + orchestrator review) ND/EBITDA ~5x rising post $1.95B May-26 issuance; FCF -$583M; funding-dependent buildout. Contracted cash flows; no going-concern.</t>
        </is>
      </c>
      <c r="F1869" s="33" t="inlineStr">
        <is>
          <t>10-Q; May 2026 8-Ks</t>
        </is>
      </c>
      <c r="G1869" s="33" t="inlineStr">
        <is>
          <t>High</t>
        </is>
      </c>
      <c r="H1869" s="33" t="inlineStr">
        <is>
          <t>Proposal</t>
        </is>
      </c>
    </row>
    <row r="1870">
      <c r="A1870" s="33" t="inlineStr">
        <is>
          <t>2026-06-12</t>
        </is>
      </c>
      <c r="B1870" s="33" t="inlineStr">
        <is>
          <t>SEI</t>
        </is>
      </c>
      <c r="C1870" s="33" t="inlineStr">
        <is>
          <t>R4</t>
        </is>
      </c>
      <c r="D1870" s="33" t="n">
        <v>2</v>
      </c>
      <c r="E1870" s="33" t="inlineStr">
        <is>
          <t>(SALP-13F batch add, Opus subagent research + orchestrator review) Securities class action over MER disclosures + Morpheus short report, in 10-K risk factors.</t>
        </is>
      </c>
      <c r="F1870" s="33" t="inlineStr">
        <is>
          <t>10-K risk factors</t>
        </is>
      </c>
      <c r="G1870" s="33" t="inlineStr">
        <is>
          <t>Med</t>
        </is>
      </c>
      <c r="H1870" s="33" t="inlineStr">
        <is>
          <t>Proposal</t>
        </is>
      </c>
    </row>
    <row r="1871">
      <c r="A1871" s="33" t="inlineStr">
        <is>
          <t>2026-06-12</t>
        </is>
      </c>
      <c r="B1871" s="33" t="inlineStr">
        <is>
          <t>TE</t>
        </is>
      </c>
      <c r="C1871" s="33" t="inlineStr">
        <is>
          <t>D1</t>
        </is>
      </c>
      <c r="D1871" s="33" t="n">
        <v>1</v>
      </c>
      <c r="E1871" s="33" t="inlineStr">
        <is>
          <t>(SALP-13F batch add, Opus subagent research + orchestrator review) ~0% AI-tied revenue; 100% solar modules to related-party Trina. KORE BESS/DC entry unclosed ($32M). Thesis-adjacent.</t>
        </is>
      </c>
      <c r="F1871" s="33" t="inlineStr">
        <is>
          <t>10-Q Note 6; KORE PR 2026-06-03</t>
        </is>
      </c>
      <c r="G1871" s="33" t="inlineStr">
        <is>
          <t>High</t>
        </is>
      </c>
      <c r="H1871" s="33" t="inlineStr">
        <is>
          <t>Proposal</t>
        </is>
      </c>
    </row>
    <row r="1872">
      <c r="A1872" s="33" t="inlineStr">
        <is>
          <t>2026-06-12</t>
        </is>
      </c>
      <c r="B1872" s="33" t="inlineStr">
        <is>
          <t>TE</t>
        </is>
      </c>
      <c r="C1872" s="33" t="inlineStr">
        <is>
          <t>D2</t>
        </is>
      </c>
      <c r="D1872" s="33" t="n">
        <v>2</v>
      </c>
      <c r="E1872" s="33" t="inlineStr">
        <is>
          <t>(SALP-13F batch add, Opus subagent research + orchestrator review) Module assembly commoditized/downstream; 45X/domestic-content is the differentiator, not scarcity. DEBATABLE vs 3.</t>
        </is>
      </c>
      <c r="F1872" s="33" t="inlineStr">
        <is>
          <t>10-Q; pv-tech</t>
        </is>
      </c>
      <c r="G1872" s="33" t="inlineStr">
        <is>
          <t>Med</t>
        </is>
      </c>
      <c r="H1872" s="33" t="inlineStr">
        <is>
          <t>Proposal</t>
        </is>
      </c>
    </row>
    <row r="1873">
      <c r="A1873" s="33" t="inlineStr">
        <is>
          <t>2026-06-12</t>
        </is>
      </c>
      <c r="B1873" s="33" t="inlineStr">
        <is>
          <t>TE</t>
        </is>
      </c>
      <c r="C1873" s="33" t="inlineStr">
        <is>
          <t>D3</t>
        </is>
      </c>
      <c r="D1873" s="33" t="n">
        <v>2</v>
      </c>
      <c r="E1873" s="33" t="inlineStr">
        <is>
          <t>(SALP-13F batch add, Opus subagent research + orchestrator review) Moat is policy-derived (45X/FEOC/domestic content), not durable IP. DEBATABLE.</t>
        </is>
      </c>
      <c r="F1873" s="33" t="inlineStr">
        <is>
          <t>OBBBA/45X coverage</t>
        </is>
      </c>
      <c r="G1873" s="33" t="inlineStr">
        <is>
          <t>Med</t>
        </is>
      </c>
      <c r="H1873" s="33" t="inlineStr">
        <is>
          <t>Proposal</t>
        </is>
      </c>
    </row>
    <row r="1874">
      <c r="A1874" s="33" t="inlineStr">
        <is>
          <t>2026-06-12</t>
        </is>
      </c>
      <c r="B1874" s="33" t="inlineStr">
        <is>
          <t>TE</t>
        </is>
      </c>
      <c r="C1874" s="33" t="inlineStr">
        <is>
          <t>D4</t>
        </is>
      </c>
      <c r="D1874" s="33" t="n">
        <v>5</v>
      </c>
      <c r="E1874" s="33" t="inlineStr">
        <is>
          <t>(SALP-13F batch add, Opus subagent research + orchestrator review) G1 5 GW running + G2 Austin 2.1 GW cell fab ($425M, first cell Q4-26); funded multi-year buildout.</t>
        </is>
      </c>
      <c r="F1874" s="33" t="inlineStr">
        <is>
          <t>10-Q capex; transcript</t>
        </is>
      </c>
      <c r="G1874" s="33" t="inlineStr">
        <is>
          <t>High</t>
        </is>
      </c>
      <c r="H1874" s="33" t="inlineStr">
        <is>
          <t>Proposal</t>
        </is>
      </c>
    </row>
    <row r="1875">
      <c r="A1875" s="33" t="inlineStr">
        <is>
          <t>2026-06-12</t>
        </is>
      </c>
      <c r="B1875" s="33" t="inlineStr">
        <is>
          <t>TE</t>
        </is>
      </c>
      <c r="C1875" s="33" t="inlineStr">
        <is>
          <t>D5</t>
        </is>
      </c>
      <c r="D1875" s="33" t="n">
        <v>1</v>
      </c>
      <c r="E1875" s="33" t="inlineStr">
        <is>
          <t>(SALP-13F batch add, Opus subagent research + orchestrator review) No hyperscaler revenue (100% Trina); KORE is unclosed option, "indicative" 2027-28 interest. DEBATABLE vs 2.</t>
        </is>
      </c>
      <c r="F1875" s="33" t="inlineStr">
        <is>
          <t>10-Q Note 6</t>
        </is>
      </c>
      <c r="G1875" s="33" t="inlineStr">
        <is>
          <t>High</t>
        </is>
      </c>
      <c r="H1875" s="33" t="inlineStr">
        <is>
          <t>Proposal</t>
        </is>
      </c>
    </row>
    <row r="1876">
      <c r="A1876" s="33" t="inlineStr">
        <is>
          <t>2026-06-12</t>
        </is>
      </c>
      <c r="B1876" s="33" t="inlineStr">
        <is>
          <t>TE</t>
        </is>
      </c>
      <c r="C1876" s="33" t="inlineStr">
        <is>
          <t>M1</t>
        </is>
      </c>
      <c r="D1876" s="33" t="n">
        <v>3</v>
      </c>
      <c r="E1876" s="33" t="inlineStr">
        <is>
          <t>(SALP-13F batch add, Opus subagent research + orchestrator review) Mixed: Q1 rev beat +61% but FY26 consensus EPS cut deeper (-0.19 -&gt; -0.30); 2026 rev est trimmed.</t>
        </is>
      </c>
      <c r="F1876" s="33" t="inlineStr">
        <is>
          <t>Simply Wall St; stockanalysis</t>
        </is>
      </c>
      <c r="G1876" s="33" t="inlineStr">
        <is>
          <t>Med</t>
        </is>
      </c>
      <c r="H1876" s="33" t="inlineStr">
        <is>
          <t>Proposal</t>
        </is>
      </c>
    </row>
    <row r="1877">
      <c r="A1877" s="33" t="inlineStr">
        <is>
          <t>2026-06-12</t>
        </is>
      </c>
      <c r="B1877" s="33" t="inlineStr">
        <is>
          <t>TE</t>
        </is>
      </c>
      <c r="C1877" s="33" t="inlineStr">
        <is>
          <t>M2</t>
        </is>
      </c>
      <c r="D1877" s="33" t="n">
        <v>3</v>
      </c>
      <c r="E1877" s="33" t="inlineStr">
        <is>
          <t>(SALP-13F batch add, Opus subagent research + orchestrator review) ~Flat vs PTs; high vol (+23%/-19% swings); no sustained sector outperformance.</t>
        </is>
      </c>
      <c r="F1877" s="33" t="inlineStr">
        <is>
          <t>Yahoo; stockanalysis</t>
        </is>
      </c>
      <c r="G1877" s="33" t="inlineStr">
        <is>
          <t>Low</t>
        </is>
      </c>
      <c r="H1877" s="33" t="inlineStr">
        <is>
          <t>Proposal</t>
        </is>
      </c>
    </row>
    <row r="1878">
      <c r="A1878" s="33" t="inlineStr">
        <is>
          <t>2026-06-12</t>
        </is>
      </c>
      <c r="B1878" s="33" t="inlineStr">
        <is>
          <t>TE</t>
        </is>
      </c>
      <c r="C1878" s="33" t="inlineStr">
        <is>
          <t>M3</t>
        </is>
      </c>
      <c r="D1878" s="33" t="n">
        <v>3</v>
      </c>
      <c r="E1878" s="33" t="inlineStr">
        <is>
          <t>(SALP-13F batch add, Opus subagent research + orchestrator review) No officer open-market buys; grants only; Trina (10% related-party) large net seller (22.5M sh May-26) = stake unwind, not officer signal.</t>
        </is>
      </c>
      <c r="F1878" s="33" t="inlineStr">
        <is>
          <t>EDGAR Form 4</t>
        </is>
      </c>
      <c r="G1878" s="33" t="inlineStr">
        <is>
          <t>High</t>
        </is>
      </c>
      <c r="H1878" s="33" t="inlineStr">
        <is>
          <t>Proposal</t>
        </is>
      </c>
    </row>
    <row r="1879">
      <c r="A1879" s="33" t="inlineStr">
        <is>
          <t>2026-06-12</t>
        </is>
      </c>
      <c r="B1879" s="33" t="inlineStr">
        <is>
          <t>TE</t>
        </is>
      </c>
      <c r="C1879" s="33" t="inlineStr">
        <is>
          <t>R1</t>
        </is>
      </c>
      <c r="D1879" s="33" t="n">
        <v>1</v>
      </c>
      <c r="E1879" s="33" t="inlineStr">
        <is>
          <t>(SALP-13F batch add, Opus subagent research + orchestrator review) ~100% of sales AND AR from single related-party (Trina); explicit dependence disclosure.</t>
        </is>
      </c>
      <c r="F1879" s="33" t="inlineStr">
        <is>
          <t>10-Q Notes 6/13</t>
        </is>
      </c>
      <c r="G1879" s="33" t="inlineStr">
        <is>
          <t>High</t>
        </is>
      </c>
      <c r="H1879" s="33" t="inlineStr">
        <is>
          <t>Proposal</t>
        </is>
      </c>
    </row>
    <row r="1880">
      <c r="A1880" s="33" t="inlineStr">
        <is>
          <t>2026-06-12</t>
        </is>
      </c>
      <c r="B1880" s="33" t="inlineStr">
        <is>
          <t>TE</t>
        </is>
      </c>
      <c r="C1880" s="33" t="inlineStr">
        <is>
          <t>R2</t>
        </is>
      </c>
      <c r="D1880" s="33" t="n">
        <v>3</v>
      </c>
      <c r="E1880" s="33" t="inlineStr">
        <is>
          <t>(SALP-13F batch add, Opus subagent research + orchestrator review) Policy leg: 45X/FEOC eligibility + pending Sec-232 polysilicon ruling exposes ~100% of margin model; demand/asset legs low (US). DEBATABLE vs 2.</t>
        </is>
      </c>
      <c r="F1880" s="33" t="inlineStr">
        <is>
          <t>10-Q risk factors; transcript</t>
        </is>
      </c>
      <c r="G1880" s="33" t="inlineStr">
        <is>
          <t>Med</t>
        </is>
      </c>
      <c r="H1880" s="33" t="inlineStr">
        <is>
          <t>Proposal</t>
        </is>
      </c>
    </row>
    <row r="1881">
      <c r="A1881" s="33" t="inlineStr">
        <is>
          <t>2026-06-12</t>
        </is>
      </c>
      <c r="B1881" s="33" t="inlineStr">
        <is>
          <t>TE</t>
        </is>
      </c>
      <c r="C1881" s="33" t="inlineStr">
        <is>
          <t>R3</t>
        </is>
      </c>
      <c r="D1881" s="33" t="n">
        <v>2</v>
      </c>
      <c r="E1881" s="33" t="inlineStr">
        <is>
          <t>(SALP-13F batch add, Opus subagent research + orchestrator review) Negative TTM EBITDA; net debt ~$503M; cash $182M-&gt;$46M in one quarter; convert + serial raises.</t>
        </is>
      </c>
      <c r="F1881" s="33" t="inlineStr">
        <is>
          <t>10-Q balance sheet</t>
        </is>
      </c>
      <c r="G1881" s="33" t="inlineStr">
        <is>
          <t>High</t>
        </is>
      </c>
      <c r="H1881" s="33" t="inlineStr">
        <is>
          <t>Proposal</t>
        </is>
      </c>
    </row>
    <row r="1882">
      <c r="A1882" s="33" t="inlineStr">
        <is>
          <t>2026-06-12</t>
        </is>
      </c>
      <c r="B1882" s="33" t="inlineStr">
        <is>
          <t>TE</t>
        </is>
      </c>
      <c r="C1882" s="33" t="inlineStr">
        <is>
          <t>R4</t>
        </is>
      </c>
      <c r="D1882" s="33" t="n">
        <v>2</v>
      </c>
      <c r="E1882" s="33" t="inlineStr">
        <is>
          <t>(SALP-13F batch add, Opus subagent research + orchestrator review) Entire economics hinge on IRA/OBBBA/45X/FEOC stability + Sec-232 ruling; no major litigation. DEBATABLE vs 3 (policy scoping).</t>
        </is>
      </c>
      <c r="F1882" s="33" t="inlineStr">
        <is>
          <t>10-K/10-Q 45X disclosures</t>
        </is>
      </c>
      <c r="G1882" s="33" t="inlineStr">
        <is>
          <t>Med</t>
        </is>
      </c>
      <c r="H1882" s="33" t="inlineStr">
        <is>
          <t>Proposal</t>
        </is>
      </c>
    </row>
    <row r="1883">
      <c r="A1883" s="33" t="inlineStr">
        <is>
          <t>2026-06-12</t>
        </is>
      </c>
      <c r="B1883" s="33" t="inlineStr">
        <is>
          <t>PSIX</t>
        </is>
      </c>
      <c r="C1883" s="33" t="inlineStr">
        <is>
          <t>D1</t>
        </is>
      </c>
      <c r="D1883" s="33" t="n">
        <v>2</v>
      </c>
      <c r="E1883" s="33" t="inlineStr">
        <is>
          <t>(SALP-13F batch add, Opus subagent research + orchestrator review) DC is growth driver but bundled in Power Systems (81% of rev, incl oil&amp;gas); company will not quantify DC revenue. DEBATABLE vs 3.</t>
        </is>
      </c>
      <c r="F1883" s="33" t="inlineStr">
        <is>
          <t>10-K end-market table</t>
        </is>
      </c>
      <c r="G1883" s="33" t="inlineStr">
        <is>
          <t>Med</t>
        </is>
      </c>
      <c r="H1883" s="33" t="inlineStr">
        <is>
          <t>Proposal</t>
        </is>
      </c>
    </row>
    <row r="1884">
      <c r="A1884" s="33" t="inlineStr">
        <is>
          <t>2026-06-12</t>
        </is>
      </c>
      <c r="B1884" s="33" t="inlineStr">
        <is>
          <t>PSIX</t>
        </is>
      </c>
      <c r="C1884" s="33" t="inlineStr">
        <is>
          <t>D2</t>
        </is>
      </c>
      <c r="D1884" s="33" t="n">
        <v>2</v>
      </c>
      <c r="E1884" s="33" t="inlineStr">
        <is>
          <t>(SALP-13F batch add, Opus subagent research + orchestrator review) Price-competitive genset integrator; CAT ~18%/Cummins ~16% lead; absent from vendor leader lists.</t>
        </is>
      </c>
      <c r="F1884" s="33" t="inlineStr">
        <is>
          <t>MarketsandMarkets/Mordor; 10-K</t>
        </is>
      </c>
      <c r="G1884" s="33" t="inlineStr">
        <is>
          <t>High</t>
        </is>
      </c>
      <c r="H1884" s="33" t="inlineStr">
        <is>
          <t>Proposal</t>
        </is>
      </c>
    </row>
    <row r="1885">
      <c r="A1885" s="33" t="inlineStr">
        <is>
          <t>2026-06-12</t>
        </is>
      </c>
      <c r="B1885" s="33" t="inlineStr">
        <is>
          <t>PSIX</t>
        </is>
      </c>
      <c r="C1885" s="33" t="inlineStr">
        <is>
          <t>D3</t>
        </is>
      </c>
      <c r="D1885" s="33" t="n">
        <v>2</v>
      </c>
      <c r="E1885" s="33" t="inlineStr">
        <is>
          <t>(SALP-13F batch add, Opus subagent research + orchestrator review) No pricing power (GM -390bps FY25, -680bps Q1-26); "largest customer changes from time to time".</t>
        </is>
      </c>
      <c r="F1885" s="33" t="inlineStr">
        <is>
          <t>10-K customer note</t>
        </is>
      </c>
      <c r="G1885" s="33" t="inlineStr">
        <is>
          <t>High</t>
        </is>
      </c>
      <c r="H1885" s="33" t="inlineStr">
        <is>
          <t>Proposal</t>
        </is>
      </c>
    </row>
    <row r="1886">
      <c r="A1886" s="33" t="inlineStr">
        <is>
          <t>2026-06-12</t>
        </is>
      </c>
      <c r="B1886" s="33" t="inlineStr">
        <is>
          <t>PSIX</t>
        </is>
      </c>
      <c r="C1886" s="33" t="inlineStr">
        <is>
          <t>D4</t>
        </is>
      </c>
      <c r="D1886" s="33" t="n">
        <v>4</v>
      </c>
      <c r="E1886" s="33" t="inlineStr">
        <is>
          <t>(SALP-13F batch add, Opus subagent research + orchestrator review) Wisconsin ramp explicitly for DC + MTL acquisition (UL certs, vertical integration); funded.</t>
        </is>
      </c>
      <c r="F1886" s="33" t="inlineStr">
        <is>
          <t>10-K; 8-K 2026-03-02</t>
        </is>
      </c>
      <c r="G1886" s="33" t="inlineStr">
        <is>
          <t>High</t>
        </is>
      </c>
      <c r="H1886" s="33" t="inlineStr">
        <is>
          <t>Proposal</t>
        </is>
      </c>
    </row>
    <row r="1887">
      <c r="A1887" s="33" t="inlineStr">
        <is>
          <t>2026-06-12</t>
        </is>
      </c>
      <c r="B1887" s="33" t="inlineStr">
        <is>
          <t>PSIX</t>
        </is>
      </c>
      <c r="C1887" s="33" t="inlineStr">
        <is>
          <t>D5</t>
        </is>
      </c>
      <c r="D1887" s="33" t="n">
        <v>2</v>
      </c>
      <c r="E1887" s="33" t="inlineStr">
        <is>
          <t>(SALP-13F batch add, Opus subagent research + orchestrator review) Sells into DC channel; no disclosed hyperscaler anchor. DEBATABLE vs 3 (unnamed &gt;10% customer could be one).</t>
        </is>
      </c>
      <c r="F1887" s="33" t="inlineStr">
        <is>
          <t>10-Q</t>
        </is>
      </c>
      <c r="G1887" s="33" t="inlineStr">
        <is>
          <t>Med</t>
        </is>
      </c>
      <c r="H1887" s="33" t="inlineStr">
        <is>
          <t>Proposal</t>
        </is>
      </c>
    </row>
    <row r="1888">
      <c r="A1888" s="33" t="inlineStr">
        <is>
          <t>2026-06-12</t>
        </is>
      </c>
      <c r="B1888" s="33" t="inlineStr">
        <is>
          <t>PSIX</t>
        </is>
      </c>
      <c r="C1888" s="33" t="inlineStr">
        <is>
          <t>M1</t>
        </is>
      </c>
      <c r="D1888" s="33" t="n">
        <v>2</v>
      </c>
      <c r="E1888" s="33" t="inlineStr">
        <is>
          <t>(SALP-13F batch add, Opus subagent research + orchestrator review) Q1 miss, no FY guidance, PTs cut -6.5%/3mo.</t>
        </is>
      </c>
      <c r="F1888" s="33" t="inlineStr">
        <is>
          <t>marketbeat; 10-Q</t>
        </is>
      </c>
      <c r="G1888" s="33" t="inlineStr">
        <is>
          <t>Med</t>
        </is>
      </c>
      <c r="H1888" s="33" t="inlineStr">
        <is>
          <t>Proposal</t>
        </is>
      </c>
    </row>
    <row r="1889">
      <c r="A1889" s="33" t="inlineStr">
        <is>
          <t>2026-06-12</t>
        </is>
      </c>
      <c r="B1889" s="33" t="inlineStr">
        <is>
          <t>PSIX</t>
        </is>
      </c>
      <c r="C1889" s="33" t="inlineStr">
        <is>
          <t>M2</t>
        </is>
      </c>
      <c r="D1889" s="33" t="n">
        <v>1</v>
      </c>
      <c r="E1889" s="33" t="inlineStr">
        <is>
          <t>(SALP-13F batch add, Opus subagent research + orchestrator review) -38%/6mo, two &gt;25% earnings-day crashes; lagging XLI by &gt;20%.</t>
        </is>
      </c>
      <c r="F1889" s="33" t="inlineStr">
        <is>
          <t>price history</t>
        </is>
      </c>
      <c r="G1889" s="33" t="inlineStr">
        <is>
          <t>High</t>
        </is>
      </c>
      <c r="H1889" s="33" t="inlineStr">
        <is>
          <t>Proposal</t>
        </is>
      </c>
    </row>
    <row r="1890">
      <c r="A1890" s="33" t="inlineStr">
        <is>
          <t>2026-06-12</t>
        </is>
      </c>
      <c r="B1890" s="33" t="inlineStr">
        <is>
          <t>PSIX</t>
        </is>
      </c>
      <c r="C1890" s="33" t="inlineStr">
        <is>
          <t>M3</t>
        </is>
      </c>
      <c r="D1890" s="33" t="n">
        <v>3</v>
      </c>
      <c r="E1890" s="33" t="inlineStr">
        <is>
          <t>(SALP-13F batch add, Opus subagent research + orchestrator review) Form 4s grants/withholding only; Weichai trimmed 232,683 sh (13D/A) — institutional, not officer.</t>
        </is>
      </c>
      <c r="F1890" s="33" t="inlineStr">
        <is>
          <t>EDGAR Form 4; 13D/A</t>
        </is>
      </c>
      <c r="G1890" s="33" t="inlineStr">
        <is>
          <t>High</t>
        </is>
      </c>
      <c r="H1890" s="33" t="inlineStr">
        <is>
          <t>Proposal</t>
        </is>
      </c>
    </row>
    <row r="1891">
      <c r="A1891" s="33" t="inlineStr">
        <is>
          <t>2026-06-12</t>
        </is>
      </c>
      <c r="B1891" s="33" t="inlineStr">
        <is>
          <t>PSIX</t>
        </is>
      </c>
      <c r="C1891" s="33" t="inlineStr">
        <is>
          <t>R1</t>
        </is>
      </c>
      <c r="D1891" s="33" t="n">
        <v>4</v>
      </c>
      <c r="E1891" s="33" t="inlineStr">
        <is>
          <t>(SALP-13F batch add, Opus subagent research + orchestrator review) Top customer 20% (15-25% band); cluster of &gt;10% names (20/13/10/10). DEBATABLE vs 3 on cluster.</t>
        </is>
      </c>
      <c r="F1891" s="33" t="inlineStr">
        <is>
          <t>10-K concentration note</t>
        </is>
      </c>
      <c r="G1891" s="33" t="inlineStr">
        <is>
          <t>High</t>
        </is>
      </c>
      <c r="H1891" s="33" t="inlineStr">
        <is>
          <t>Proposal</t>
        </is>
      </c>
    </row>
    <row r="1892">
      <c r="A1892" s="33" t="inlineStr">
        <is>
          <t>2026-06-12</t>
        </is>
      </c>
      <c r="B1892" s="33" t="inlineStr">
        <is>
          <t>PSIX</t>
        </is>
      </c>
      <c r="C1892" s="33" t="inlineStr">
        <is>
          <t>R2</t>
        </is>
      </c>
      <c r="D1892" s="33" t="n">
        <v>5</v>
      </c>
      <c r="E1892" s="33" t="inlineStr">
        <is>
          <t>(SALP-13F batch add, Opus subagent research + orchestrator review) 91% US revenue, US assets, no China revenue; Chinese PARENT is governance -&gt; R4 not R2.</t>
        </is>
      </c>
      <c r="F1892" s="33" t="inlineStr">
        <is>
          <t>10-Q geography table</t>
        </is>
      </c>
      <c r="G1892" s="33" t="inlineStr">
        <is>
          <t>High</t>
        </is>
      </c>
      <c r="H1892" s="33" t="inlineStr">
        <is>
          <t>Proposal</t>
        </is>
      </c>
    </row>
    <row r="1893">
      <c r="A1893" s="33" t="inlineStr">
        <is>
          <t>2026-06-12</t>
        </is>
      </c>
      <c r="B1893" s="33" t="inlineStr">
        <is>
          <t>PSIX</t>
        </is>
      </c>
      <c r="C1893" s="33" t="inlineStr">
        <is>
          <t>R3</t>
        </is>
      </c>
      <c r="D1893" s="33" t="n">
        <v>4</v>
      </c>
      <c r="E1893" s="33" t="inlineStr">
        <is>
          <t>(SALP-13F batch add, Opus subagent research + orchestrator review) ND/EBITDA 1.21x; OCF -61% YoY (WC build) caps below 5.</t>
        </is>
      </c>
      <c r="F1893" s="33" t="inlineStr">
        <is>
          <t>10-K cash flow</t>
        </is>
      </c>
      <c r="G1893" s="33" t="inlineStr">
        <is>
          <t>High</t>
        </is>
      </c>
      <c r="H1893" s="33" t="inlineStr">
        <is>
          <t>Proposal</t>
        </is>
      </c>
    </row>
    <row r="1894">
      <c r="A1894" s="33" t="inlineStr">
        <is>
          <t>2026-06-12</t>
        </is>
      </c>
      <c r="B1894" s="33" t="inlineStr">
        <is>
          <t>PSIX</t>
        </is>
      </c>
      <c r="C1894" s="33" t="inlineStr">
        <is>
          <t>R4</t>
        </is>
      </c>
      <c r="D1894" s="33" t="n">
        <v>2</v>
      </c>
      <c r="E1894" s="33" t="inlineStr">
        <is>
          <t>(SALP-13F batch add, Opus subagent research + orchestrator review) Active securities class action (5/25-3/26 class period, DC demand statements) + controlled-company governance + Weichai related-party agreements.</t>
        </is>
      </c>
      <c r="F1894" s="33" t="inlineStr">
        <is>
          <t>10-Q contingencies</t>
        </is>
      </c>
      <c r="G1894" s="33" t="inlineStr">
        <is>
          <t>High</t>
        </is>
      </c>
      <c r="H1894" s="33" t="inlineStr">
        <is>
          <t>Proposal</t>
        </is>
      </c>
    </row>
    <row r="1895">
      <c r="A1895" s="33" t="inlineStr">
        <is>
          <t>2026-06-12</t>
        </is>
      </c>
      <c r="B1895" s="33" t="inlineStr">
        <is>
          <t>PUMP</t>
        </is>
      </c>
      <c r="C1895" s="33" t="inlineStr">
        <is>
          <t>D1</t>
        </is>
      </c>
      <c r="D1895" s="33" t="n">
        <v>1</v>
      </c>
      <c r="E1895" s="33" t="inlineStr">
        <is>
          <t>(SALP-13F batch add, Opus subagent research + orchestrator review) PROPWR &lt;1% of revenue ($2.2M/$270.7M Q1); 240 MW contracted is future, not booked.</t>
        </is>
      </c>
      <c r="F1895" s="33" t="inlineStr">
        <is>
          <t>Q1 2026 10-Q/8-K</t>
        </is>
      </c>
      <c r="G1895" s="33" t="inlineStr">
        <is>
          <t>High</t>
        </is>
      </c>
      <c r="H1895" s="33" t="inlineStr">
        <is>
          <t>Proposal</t>
        </is>
      </c>
    </row>
    <row r="1896">
      <c r="A1896" s="33" t="inlineStr">
        <is>
          <t>2026-06-12</t>
        </is>
      </c>
      <c r="B1896" s="33" t="inlineStr">
        <is>
          <t>PUMP</t>
        </is>
      </c>
      <c r="C1896" s="33" t="inlineStr">
        <is>
          <t>D2</t>
        </is>
      </c>
      <c r="D1896" s="33" t="n">
        <v>2</v>
      </c>
      <c r="E1896" s="33" t="inlineStr">
        <is>
          <t>(SALP-13F batch add, Opus subagent research + orchestrator review) Frac commoditized price-taker; PROPWR gensets not a bottleneck (CAT supplies broadly).</t>
        </is>
      </c>
      <c r="F1896" s="33" t="inlineStr">
        <is>
          <t>10-K; transcript</t>
        </is>
      </c>
      <c r="G1896" s="33" t="inlineStr">
        <is>
          <t>Med</t>
        </is>
      </c>
      <c r="H1896" s="33" t="inlineStr">
        <is>
          <t>Proposal</t>
        </is>
      </c>
    </row>
    <row r="1897">
      <c r="A1897" s="33" t="inlineStr">
        <is>
          <t>2026-06-12</t>
        </is>
      </c>
      <c r="B1897" s="33" t="inlineStr">
        <is>
          <t>PUMP</t>
        </is>
      </c>
      <c r="C1897" s="33" t="inlineStr">
        <is>
          <t>D3</t>
        </is>
      </c>
      <c r="D1897" s="33" t="n">
        <v>2</v>
      </c>
      <c r="E1897" s="33" t="inlineStr">
        <is>
          <t>(SALP-13F batch add, Opus subagent research + orchestrator review) Frac no moat; PROPWR unproven (first contract installing); CAT-dependent supply.</t>
        </is>
      </c>
      <c r="F1897" s="33" t="inlineStr">
        <is>
          <t>Q1 2026 transcript</t>
        </is>
      </c>
      <c r="G1897" s="33" t="inlineStr">
        <is>
          <t>High</t>
        </is>
      </c>
      <c r="H1897" s="33" t="inlineStr">
        <is>
          <t>Proposal</t>
        </is>
      </c>
    </row>
    <row r="1898">
      <c r="A1898" s="33" t="inlineStr">
        <is>
          <t>2026-06-12</t>
        </is>
      </c>
      <c r="B1898" s="33" t="inlineStr">
        <is>
          <t>PUMP</t>
        </is>
      </c>
      <c r="C1898" s="33" t="inlineStr">
        <is>
          <t>D4</t>
        </is>
      </c>
      <c r="D1898" s="33" t="n">
        <v>4</v>
      </c>
      <c r="E1898" s="33" t="inlineStr">
        <is>
          <t>(SALP-13F batch add, Opus subagent research + orchestrator review) FY26 PROPWR capex $400-450M; CAT ~2.1 GW framework + 550 MW ordered (~2.6 GW by YE31). Held at 4: one 60 MW customer deal — announced != committed. DEBATABLE vs 5.</t>
        </is>
      </c>
      <c r="F1898" s="33" t="inlineStr">
        <is>
          <t>Q1 2026 8-K</t>
        </is>
      </c>
      <c r="G1898" s="33" t="inlineStr">
        <is>
          <t>Med</t>
        </is>
      </c>
      <c r="H1898" s="33" t="inlineStr">
        <is>
          <t>Proposal</t>
        </is>
      </c>
    </row>
    <row r="1899">
      <c r="A1899" s="33" t="inlineStr">
        <is>
          <t>2026-06-12</t>
        </is>
      </c>
      <c r="B1899" s="33" t="inlineStr">
        <is>
          <t>PUMP</t>
        </is>
      </c>
      <c r="C1899" s="33" t="inlineStr">
        <is>
          <t>D5</t>
        </is>
      </c>
      <c r="D1899" s="33" t="n">
        <v>3</v>
      </c>
      <c r="E1899" s="33" t="inlineStr">
        <is>
          <t>(SALP-13F batch add, Opus subagent research + orchestrator review) One signed 60 MW hyperscaler DC contract installing (ops Q2-26); real but ~$0 booked, single customer. DEBATABLE vs 2.</t>
        </is>
      </c>
      <c r="F1899" s="33" t="inlineStr">
        <is>
          <t>DataCenterDynamics; IR PR 136</t>
        </is>
      </c>
      <c r="G1899" s="33" t="inlineStr">
        <is>
          <t>Med</t>
        </is>
      </c>
      <c r="H1899" s="33" t="inlineStr">
        <is>
          <t>Proposal</t>
        </is>
      </c>
    </row>
    <row r="1900">
      <c r="A1900" s="33" t="inlineStr">
        <is>
          <t>2026-06-12</t>
        </is>
      </c>
      <c r="B1900" s="33" t="inlineStr">
        <is>
          <t>PUMP</t>
        </is>
      </c>
      <c r="C1900" s="33" t="inlineStr">
        <is>
          <t>M1</t>
        </is>
      </c>
      <c r="D1900" s="33" t="n">
        <v>4</v>
      </c>
      <c r="E1900" s="33" t="inlineStr">
        <is>
          <t>(SALP-13F batch add, Opus subagent research + orchestrator review) Citi upgrade Buy PT 12-&gt;16, Barclays 12-&gt;14, avg PT +17.9%/3mo; Q1 was a miss so not 5.</t>
        </is>
      </c>
      <c r="F1900" s="33" t="inlineStr">
        <is>
          <t>TipRanks Apr-26</t>
        </is>
      </c>
      <c r="G1900" s="33" t="inlineStr">
        <is>
          <t>High</t>
        </is>
      </c>
      <c r="H1900" s="33" t="inlineStr">
        <is>
          <t>Proposal</t>
        </is>
      </c>
    </row>
    <row r="1901">
      <c r="A1901" s="33" t="inlineStr">
        <is>
          <t>2026-06-12</t>
        </is>
      </c>
      <c r="B1901" s="33" t="inlineStr">
        <is>
          <t>PUMP</t>
        </is>
      </c>
      <c r="C1901" s="33" t="inlineStr">
        <is>
          <t>M2</t>
        </is>
      </c>
      <c r="D1901" s="33" t="n">
        <v>4</v>
      </c>
      <c r="E1901" s="33" t="inlineStr">
        <is>
          <t>(SALP-13F batch add, Opus subagent research + orchestrator review) 6mo +52.2% vs OIH +46.8%, vs XLE +29.3%; 3mo fade vs OIH (-7.3pp) caps below 5.</t>
        </is>
      </c>
      <c r="F1901" s="33" t="inlineStr">
        <is>
          <t>yfinance 6mo/3mo</t>
        </is>
      </c>
      <c r="G1901" s="33" t="inlineStr">
        <is>
          <t>High</t>
        </is>
      </c>
      <c r="H1901" s="33" t="inlineStr">
        <is>
          <t>Proposal</t>
        </is>
      </c>
    </row>
    <row r="1902">
      <c r="A1902" s="33" t="inlineStr">
        <is>
          <t>2026-06-12</t>
        </is>
      </c>
      <c r="B1902" s="33" t="inlineStr">
        <is>
          <t>PUMP</t>
        </is>
      </c>
      <c r="C1902" s="33" t="inlineStr">
        <is>
          <t>M3</t>
        </is>
      </c>
      <c r="D1902" s="33" t="n">
        <v>3</v>
      </c>
      <c r="E1902" s="33" t="inlineStr">
        <is>
          <t>(SALP-13F batch add, Opus subagent research + orchestrator review) No open-market buys; Exxon 16.6M-sh exit @ 16.66 is 10%-holder block, not officer Form 4.</t>
        </is>
      </c>
      <c r="F1902" s="33" t="inlineStr">
        <is>
          <t>13D/A; Form 4s</t>
        </is>
      </c>
      <c r="G1902" s="33" t="inlineStr">
        <is>
          <t>Med</t>
        </is>
      </c>
      <c r="H1902" s="33" t="inlineStr">
        <is>
          <t>Proposal</t>
        </is>
      </c>
    </row>
    <row r="1903">
      <c r="A1903" s="33" t="inlineStr">
        <is>
          <t>2026-06-12</t>
        </is>
      </c>
      <c r="B1903" s="33" t="inlineStr">
        <is>
          <t>PUMP</t>
        </is>
      </c>
      <c r="C1903" s="33" t="inlineStr">
        <is>
          <t>R1</t>
        </is>
      </c>
      <c r="D1903" s="33" t="n">
        <v>3</v>
      </c>
      <c r="E1903" s="33" t="inlineStr">
        <is>
          <t>(SALP-13F batch add, Opus subagent research + orchestrator review) Exxon 24.9% FY25 (top-5 68.2%) straddles 4/3; rated 3 because Exxon equity exit raises continuity risk. DEBATABLE vs 4.</t>
        </is>
      </c>
      <c r="F1903" s="33" t="inlineStr">
        <is>
          <t>FY25 10-K; 13D/A</t>
        </is>
      </c>
      <c r="G1903" s="33" t="inlineStr">
        <is>
          <t>Med</t>
        </is>
      </c>
      <c r="H1903" s="33" t="inlineStr">
        <is>
          <t>Proposal</t>
        </is>
      </c>
    </row>
    <row r="1904">
      <c r="A1904" s="33" t="inlineStr">
        <is>
          <t>2026-06-12</t>
        </is>
      </c>
      <c r="B1904" s="33" t="inlineStr">
        <is>
          <t>PUMP</t>
        </is>
      </c>
      <c r="C1904" s="33" t="inlineStr">
        <is>
          <t>R2</t>
        </is>
      </c>
      <c r="D1904" s="33" t="n">
        <v>5</v>
      </c>
      <c r="E1904" s="33" t="inlineStr">
        <is>
          <t>(SALP-13F batch add, Opus subagent research + orchestrator review) 100% domestic US; oil-price collapse is commodity-cycle, not an R2 leg.</t>
        </is>
      </c>
      <c r="F1904" s="33" t="inlineStr">
        <is>
          <t>FY25 10-K</t>
        </is>
      </c>
      <c r="G1904" s="33" t="inlineStr">
        <is>
          <t>High</t>
        </is>
      </c>
      <c r="H1904" s="33" t="inlineStr">
        <is>
          <t>Proposal</t>
        </is>
      </c>
    </row>
    <row r="1905">
      <c r="A1905" s="33" t="inlineStr">
        <is>
          <t>2026-06-12</t>
        </is>
      </c>
      <c r="B1905" s="33" t="inlineStr">
        <is>
          <t>PUMP</t>
        </is>
      </c>
      <c r="C1905" s="33" t="inlineStr">
        <is>
          <t>R3</t>
        </is>
      </c>
      <c r="D1905" s="33" t="n">
        <v>4</v>
      </c>
      <c r="E1905" s="33" t="inlineStr">
        <is>
          <t>(SALP-13F batch add, Opus subagent research + orchestrator review) ND/EBITDA 0.19x, $289M liquidity, ABL undrawn; negative TTM FCF + $540-610M capex year caps below 5.</t>
        </is>
      </c>
      <c r="F1905" s="33" t="inlineStr">
        <is>
          <t>Q1 2026 10-Q/8-K</t>
        </is>
      </c>
      <c r="G1905" s="33" t="inlineStr">
        <is>
          <t>High</t>
        </is>
      </c>
      <c r="H1905" s="33" t="inlineStr">
        <is>
          <t>Proposal</t>
        </is>
      </c>
    </row>
    <row r="1906">
      <c r="A1906" s="33" t="inlineStr">
        <is>
          <t>2026-06-12</t>
        </is>
      </c>
      <c r="B1906" s="33" t="inlineStr">
        <is>
          <t>PUMP</t>
        </is>
      </c>
      <c r="C1906" s="33" t="inlineStr">
        <is>
          <t>R4</t>
        </is>
      </c>
      <c r="D1906" s="33" t="n">
        <v>4</v>
      </c>
      <c r="E1906" s="33" t="inlineStr">
        <is>
          <t>(SALP-13F batch add, Opus subagent research + orchestrator review) Routine oilfield matters only.</t>
        </is>
      </c>
      <c r="F1906" s="33" t="inlineStr">
        <is>
          <t>FY25 10-K Legal Proceedings</t>
        </is>
      </c>
      <c r="G1906" s="33" t="inlineStr">
        <is>
          <t>Med</t>
        </is>
      </c>
      <c r="H1906" s="33" t="inlineStr">
        <is>
          <t>Proposal</t>
        </is>
      </c>
    </row>
    <row r="1907">
      <c r="A1907" s="33" t="inlineStr">
        <is>
          <t>2026-06-12</t>
        </is>
      </c>
      <c r="B1907" s="33" t="inlineStr">
        <is>
          <t>BW</t>
        </is>
      </c>
      <c r="C1907" s="33" t="inlineStr">
        <is>
          <t>D1</t>
        </is>
      </c>
      <c r="D1907" s="33" t="n">
        <v>3</v>
      </c>
      <c r="E1907" s="33" t="inlineStr">
        <is>
          <t>(SALP-13F batch add, Opus subagent research + orchestrator review) Trailing AI-DC rev ~14% ($31M Base Electron of $214.4M Q1); backlog ~89% AI-DC ($2.7B). DEBATABLE: trailing 3 vs forward 5.</t>
        </is>
      </c>
      <c r="F1907" s="33" t="inlineStr">
        <is>
          <t>Q1 FY26 release; transcript</t>
        </is>
      </c>
      <c r="G1907" s="33" t="inlineStr">
        <is>
          <t>Med</t>
        </is>
      </c>
      <c r="H1907" s="33" t="inlineStr">
        <is>
          <t>Proposal</t>
        </is>
      </c>
    </row>
    <row r="1908">
      <c r="A1908" s="33" t="inlineStr">
        <is>
          <t>2026-06-12</t>
        </is>
      </c>
      <c r="B1908" s="33" t="inlineStr">
        <is>
          <t>BW</t>
        </is>
      </c>
      <c r="C1908" s="33" t="inlineStr">
        <is>
          <t>D2</t>
        </is>
      </c>
      <c r="D1908" s="33" t="n">
        <v>3</v>
      </c>
      <c r="E1908" s="33" t="inlineStr">
        <is>
          <t>(SALP-13F batch add, Opus subagent research + orchestrator review) GW-scale boiler/steam-turbine islands have few US suppliers, but EPC-style project work, not upstream bottleneck.</t>
        </is>
      </c>
      <c r="F1908" s="33" t="inlineStr">
        <is>
          <t>transcript</t>
        </is>
      </c>
      <c r="G1908" s="33" t="inlineStr">
        <is>
          <t>Med</t>
        </is>
      </c>
      <c r="H1908" s="33" t="inlineStr">
        <is>
          <t>Proposal</t>
        </is>
      </c>
    </row>
    <row r="1909">
      <c r="A1909" s="33" t="inlineStr">
        <is>
          <t>2026-06-12</t>
        </is>
      </c>
      <c r="B1909" s="33" t="inlineStr">
        <is>
          <t>BW</t>
        </is>
      </c>
      <c r="C1909" s="33" t="inlineStr">
        <is>
          <t>D3</t>
        </is>
      </c>
      <c r="D1909" s="33" t="n">
        <v>2</v>
      </c>
      <c r="E1909" s="33" t="inlineStr">
        <is>
          <t>(SALP-13F batch add, Opus subagent research + orchestrator review) EPC execution capability, low recurring switching cost; customer-warrant ties anchor via equity not product lock-in. DEBATABLE vs 3.</t>
        </is>
      </c>
      <c r="F1909" s="33" t="inlineStr">
        <is>
          <t>briefing bias-check</t>
        </is>
      </c>
      <c r="G1909" s="33" t="inlineStr">
        <is>
          <t>Med</t>
        </is>
      </c>
      <c r="H1909" s="33" t="inlineStr">
        <is>
          <t>Proposal</t>
        </is>
      </c>
    </row>
    <row r="1910">
      <c r="A1910" s="33" t="inlineStr">
        <is>
          <t>2026-06-12</t>
        </is>
      </c>
      <c r="B1910" s="33" t="inlineStr">
        <is>
          <t>BW</t>
        </is>
      </c>
      <c r="C1910" s="33" t="inlineStr">
        <is>
          <t>D4</t>
        </is>
      </c>
      <c r="D1910" s="33" t="n">
        <v>5</v>
      </c>
      <c r="E1910" s="33" t="inlineStr">
        <is>
          <t>(SALP-13F batch add, Opus subagent research + orchestrator review) $2.4B/1.2 GW Base Electron full NTP + ~$1.5B/1 GW LNTP; backlog +483% to $2.7B; bookings +1,971%.</t>
        </is>
      </c>
      <c r="F1910" s="33" t="inlineStr">
        <is>
          <t>babcock.com; Q1 release</t>
        </is>
      </c>
      <c r="G1910" s="33" t="inlineStr">
        <is>
          <t>High</t>
        </is>
      </c>
      <c r="H1910" s="33" t="inlineStr">
        <is>
          <t>Proposal</t>
        </is>
      </c>
    </row>
    <row r="1911">
      <c r="A1911" s="33" t="inlineStr">
        <is>
          <t>2026-06-12</t>
        </is>
      </c>
      <c r="B1911" s="33" t="inlineStr">
        <is>
          <t>BW</t>
        </is>
      </c>
      <c r="C1911" s="33" t="inlineStr">
        <is>
          <t>D5</t>
        </is>
      </c>
      <c r="D1911" s="33" t="n">
        <v>3</v>
      </c>
      <c r="E1911" s="33" t="inlineStr">
        <is>
          <t>(SALP-13F batch add, Opus subagent research + orchestrator review) Demand is AI-DC power but direct customer is Applied Digital (neocloud developer), not a hyperscaler; nothing signed with hyperscalers. DEBATABLE.</t>
        </is>
      </c>
      <c r="F1911" s="33" t="inlineStr">
        <is>
          <t>transcript</t>
        </is>
      </c>
      <c r="G1911" s="33" t="inlineStr">
        <is>
          <t>Med</t>
        </is>
      </c>
      <c r="H1911" s="33" t="inlineStr">
        <is>
          <t>Proposal</t>
        </is>
      </c>
    </row>
    <row r="1912">
      <c r="A1912" s="33" t="inlineStr">
        <is>
          <t>2026-06-12</t>
        </is>
      </c>
      <c r="B1912" s="33" t="inlineStr">
        <is>
          <t>BW</t>
        </is>
      </c>
      <c r="C1912" s="33" t="inlineStr">
        <is>
          <t>M1</t>
        </is>
      </c>
      <c r="D1912" s="33" t="n">
        <v>3</v>
      </c>
      <c r="E1912" s="33" t="inlineStr">
        <is>
          <t>(SALP-13F batch add, Opus subagent research + orchestrator review) Mixed: current-yr EPS est up vs 90d (0.113-&gt;0.150) but cut from 30d (0.19-&gt;0.15); +1y cut sharply (0.70-&gt;0.475). DEBATABLE.</t>
        </is>
      </c>
      <c r="F1912" s="33" t="inlineStr">
        <is>
          <t>yfinance eps_trend</t>
        </is>
      </c>
      <c r="G1912" s="33" t="inlineStr">
        <is>
          <t>Low</t>
        </is>
      </c>
      <c r="H1912" s="33" t="inlineStr">
        <is>
          <t>Proposal</t>
        </is>
      </c>
    </row>
    <row r="1913">
      <c r="A1913" s="33" t="inlineStr">
        <is>
          <t>2026-06-12</t>
        </is>
      </c>
      <c r="B1913" s="33" t="inlineStr">
        <is>
          <t>BW</t>
        </is>
      </c>
      <c r="C1913" s="33" t="inlineStr">
        <is>
          <t>M2</t>
        </is>
      </c>
      <c r="D1913" s="33" t="n">
        <v>5</v>
      </c>
      <c r="E1913" s="33" t="inlineStr">
        <is>
          <t>(SALP-13F batch add, Opus subagent research + orchestrator review) +190.8% vs XLI +12.9% over 6mo.</t>
        </is>
      </c>
      <c r="F1913" s="33" t="inlineStr">
        <is>
          <t>yfinance price history</t>
        </is>
      </c>
      <c r="G1913" s="33" t="inlineStr">
        <is>
          <t>High</t>
        </is>
      </c>
      <c r="H1913" s="33" t="inlineStr">
        <is>
          <t>Proposal</t>
        </is>
      </c>
    </row>
    <row r="1914">
      <c r="A1914" s="33" t="inlineStr">
        <is>
          <t>2026-06-12</t>
        </is>
      </c>
      <c r="B1914" s="33" t="inlineStr">
        <is>
          <t>BW</t>
        </is>
      </c>
      <c r="C1914" s="33" t="inlineStr">
        <is>
          <t>M3</t>
        </is>
      </c>
      <c r="D1914" s="33" t="n">
        <v>3</v>
      </c>
      <c r="E1914" s="33" t="inlineStr">
        <is>
          <t>(SALP-13F batch add, Opus subagent research + orchestrator review) Two token open-market buys (&lt;$20K each), one large 1.16M-sh sale @ $9.00 pre-run; no substantive buys. VERIFY FORM 4s. DEBATABLE.</t>
        </is>
      </c>
      <c r="F1914" s="33" t="inlineStr">
        <is>
          <t>SEC Form 4 via yfinance</t>
        </is>
      </c>
      <c r="G1914" s="33" t="inlineStr">
        <is>
          <t>Low</t>
        </is>
      </c>
      <c r="H1914" s="33" t="inlineStr">
        <is>
          <t>Proposal</t>
        </is>
      </c>
    </row>
    <row r="1915">
      <c r="A1915" s="33" t="inlineStr">
        <is>
          <t>2026-06-12</t>
        </is>
      </c>
      <c r="B1915" s="33" t="inlineStr">
        <is>
          <t>BW</t>
        </is>
      </c>
      <c r="C1915" s="33" t="inlineStr">
        <is>
          <t>R1</t>
        </is>
      </c>
      <c r="D1915" s="33" t="n">
        <v>1</v>
      </c>
      <c r="E1915" s="33" t="inlineStr">
        <is>
          <t>(SALP-13F batch add, Opus subagent research + orchestrator review) Base Electron / Applied Digital ~89% of $2.7B backlog; single-counterparty.</t>
        </is>
      </c>
      <c r="F1915" s="33" t="inlineStr">
        <is>
          <t>Q1 release</t>
        </is>
      </c>
      <c r="G1915" s="33" t="inlineStr">
        <is>
          <t>High</t>
        </is>
      </c>
      <c r="H1915" s="33" t="inlineStr">
        <is>
          <t>Proposal</t>
        </is>
      </c>
    </row>
    <row r="1916">
      <c r="A1916" s="33" t="inlineStr">
        <is>
          <t>2026-06-12</t>
        </is>
      </c>
      <c r="B1916" s="33" t="inlineStr">
        <is>
          <t>BW</t>
        </is>
      </c>
      <c r="C1916" s="33" t="inlineStr">
        <is>
          <t>R2</t>
        </is>
      </c>
      <c r="D1916" s="33" t="n">
        <v>5</v>
      </c>
      <c r="E1916" s="33" t="inlineStr">
        <is>
          <t>(SALP-13F batch add, Opus subagent research + orchestrator review) US-centric (ND, OH); no demand/policy/asset legs.</t>
        </is>
      </c>
      <c r="F1916" s="33" t="inlineStr">
        <is>
          <t>10-K; transcript</t>
        </is>
      </c>
      <c r="G1916" s="33" t="inlineStr">
        <is>
          <t>High</t>
        </is>
      </c>
      <c r="H1916" s="33" t="inlineStr">
        <is>
          <t>Proposal</t>
        </is>
      </c>
    </row>
    <row r="1917">
      <c r="A1917" s="33" t="inlineStr">
        <is>
          <t>2026-06-12</t>
        </is>
      </c>
      <c r="B1917" s="33" t="inlineStr">
        <is>
          <t>BW</t>
        </is>
      </c>
      <c r="C1917" s="33" t="inlineStr">
        <is>
          <t>R3</t>
        </is>
      </c>
      <c r="D1917" s="33" t="n">
        <v>2</v>
      </c>
      <c r="E1917" s="33" t="inlineStr">
        <is>
          <t>(SALP-13F batch add, Opus subagent research + orchestrator review) Going-concern alive 12mo ago (cured 2025); ~$69M 6.50% notes due Dec-31-2026 maturity wall; $191.7M preferred + ~7% warrant overhang; negative TTM FCF. DEBATABLE vs 1 on recency.</t>
        </is>
      </c>
      <c r="F1917" s="33" t="inlineStr">
        <is>
          <t>10-Q liquidity note</t>
        </is>
      </c>
      <c r="G1917" s="33" t="inlineStr">
        <is>
          <t>Med</t>
        </is>
      </c>
      <c r="H1917" s="33" t="inlineStr">
        <is>
          <t>Proposal</t>
        </is>
      </c>
    </row>
    <row r="1918">
      <c r="A1918" s="33" t="inlineStr">
        <is>
          <t>2026-06-12</t>
        </is>
      </c>
      <c r="B1918" s="33" t="inlineStr">
        <is>
          <t>BW</t>
        </is>
      </c>
      <c r="C1918" s="33" t="inlineStr">
        <is>
          <t>R4</t>
        </is>
      </c>
      <c r="D1918" s="33" t="n">
        <v>4</v>
      </c>
      <c r="E1918" s="33" t="inlineStr">
        <is>
          <t>(SALP-13F batch add, Opus subagent research + orchestrator review) No major regulatory threat; routine matters.</t>
        </is>
      </c>
      <c r="F1918" s="33" t="inlineStr">
        <is>
          <t>10-K legal proceedings</t>
        </is>
      </c>
      <c r="G1918" s="33" t="inlineStr">
        <is>
          <t>Med</t>
        </is>
      </c>
      <c r="H1918" s="33" t="inlineStr">
        <is>
          <t>Proposal</t>
        </is>
      </c>
    </row>
    <row r="1919">
      <c r="A1919" s="33" t="inlineStr">
        <is>
          <t>2026-06-12</t>
        </is>
      </c>
      <c r="B1919" s="33" t="inlineStr">
        <is>
          <t>WYFI</t>
        </is>
      </c>
      <c r="C1919" s="33" t="inlineStr">
        <is>
          <t>D1</t>
        </is>
      </c>
      <c r="D1919" s="33" t="n">
        <v>5</v>
      </c>
      <c r="E1919" s="33" t="inlineStr">
        <is>
          <t>(SALP-13F batch add, Opus subagent research + orchestrator review) ~100% of revenue AI/HPC GPU cloud + AI-DC colocation; no legacy business.</t>
        </is>
      </c>
      <c r="F1919" s="33" t="inlineStr">
        <is>
          <t>10-K FY25/10-Q Q1-26 segments</t>
        </is>
      </c>
      <c r="G1919" s="33" t="inlineStr">
        <is>
          <t>High</t>
        </is>
      </c>
      <c r="H1919" s="33" t="inlineStr">
        <is>
          <t>Proposal</t>
        </is>
      </c>
    </row>
    <row r="1920">
      <c r="A1920" s="33" t="inlineStr">
        <is>
          <t>2026-06-12</t>
        </is>
      </c>
      <c r="B1920" s="33" t="inlineStr">
        <is>
          <t>WYFI</t>
        </is>
      </c>
      <c r="C1920" s="33" t="inlineStr">
        <is>
          <t>D2</t>
        </is>
      </c>
      <c r="D1920" s="33" t="n">
        <v>2</v>
      </c>
      <c r="E1920" s="33" t="inlineStr">
        <is>
          <t>(SALP-13F batch add, Opus subagent research + orchestrator review) Commoditizing GPU cloud vs CRWV/NBIS/hyperscalers; powered-land lever (NC-1) nascent. DEBATABLE vs 3.</t>
        </is>
      </c>
      <c r="F1920" s="33" t="inlineStr">
        <is>
          <t>briefing</t>
        </is>
      </c>
      <c r="G1920" s="33" t="inlineStr">
        <is>
          <t>Med</t>
        </is>
      </c>
      <c r="H1920" s="33" t="inlineStr">
        <is>
          <t>Proposal</t>
        </is>
      </c>
    </row>
    <row r="1921">
      <c r="A1921" s="33" t="inlineStr">
        <is>
          <t>2026-06-12</t>
        </is>
      </c>
      <c r="B1921" s="33" t="inlineStr">
        <is>
          <t>WYFI</t>
        </is>
      </c>
      <c r="C1921" s="33" t="inlineStr">
        <is>
          <t>D3</t>
        </is>
      </c>
      <c r="D1921" s="33" t="n">
        <v>2</v>
      </c>
      <c r="E1921" s="33" t="inlineStr">
        <is>
          <t>(SALP-13F batch add, Opus subagent research + orchestrator review) Low switching costs; 70.7% anchor PAUSING demonstrates fragility.</t>
        </is>
      </c>
      <c r="F1921" s="33" t="inlineStr">
        <is>
          <t>briefing (anchor pause)</t>
        </is>
      </c>
      <c r="G1921" s="33" t="inlineStr">
        <is>
          <t>Med</t>
        </is>
      </c>
      <c r="H1921" s="33" t="inlineStr">
        <is>
          <t>Proposal</t>
        </is>
      </c>
    </row>
    <row r="1922">
      <c r="A1922" s="33" t="inlineStr">
        <is>
          <t>2026-06-12</t>
        </is>
      </c>
      <c r="B1922" s="33" t="inlineStr">
        <is>
          <t>WYFI</t>
        </is>
      </c>
      <c r="C1922" s="33" t="inlineStr">
        <is>
          <t>D4</t>
        </is>
      </c>
      <c r="D1922" s="33" t="n">
        <v>5</v>
      </c>
      <c r="E1922" s="33" t="inlineStr">
        <is>
          <t>(SALP-13F batch add, Opus subagent research + orchestrator review) NC-1 funded buildout ($865M/40 MW Nscale anchor) + $230M converts + Paris $160M + MTL-3.</t>
        </is>
      </c>
      <c r="F1922" s="33" t="inlineStr">
        <is>
          <t>briefing; 8-K</t>
        </is>
      </c>
      <c r="G1922" s="33" t="inlineStr">
        <is>
          <t>High</t>
        </is>
      </c>
      <c r="H1922" s="33" t="inlineStr">
        <is>
          <t>Proposal</t>
        </is>
      </c>
    </row>
    <row r="1923">
      <c r="A1923" s="33" t="inlineStr">
        <is>
          <t>2026-06-12</t>
        </is>
      </c>
      <c r="B1923" s="33" t="inlineStr">
        <is>
          <t>WYFI</t>
        </is>
      </c>
      <c r="C1923" s="33" t="inlineStr">
        <is>
          <t>D5</t>
        </is>
      </c>
      <c r="D1923" s="33" t="n">
        <v>2</v>
      </c>
      <c r="E1923" s="33" t="inlineStr">
        <is>
          <t>(SALP-13F batch add, Opus subagent research + orchestrator review) TTM capex ~$387M material for size but sub-scale vs L9 bands. DEBATABLE vs 1.</t>
        </is>
      </c>
      <c r="F1923" s="33" t="inlineStr">
        <is>
          <t>companyfacts capex</t>
        </is>
      </c>
      <c r="G1923" s="33" t="inlineStr">
        <is>
          <t>Med</t>
        </is>
      </c>
      <c r="H1923" s="33" t="inlineStr">
        <is>
          <t>Proposal</t>
        </is>
      </c>
    </row>
    <row r="1924">
      <c r="A1924" s="33" t="inlineStr">
        <is>
          <t>2026-06-12</t>
        </is>
      </c>
      <c r="B1924" s="33" t="inlineStr">
        <is>
          <t>WYFI</t>
        </is>
      </c>
      <c r="C1924" s="33" t="inlineStr">
        <is>
          <t>M1</t>
        </is>
      </c>
      <c r="D1924" s="33" t="n">
        <v>3</v>
      </c>
      <c r="E1924" s="33" t="inlineStr">
        <is>
          <t>(SALP-13F batch add, Opus subagent research + orchestrator review) Thin/no sell-side coverage post-IPO; neutral default.</t>
        </is>
      </c>
      <c r="F1924" s="33" t="inlineStr">
        <is>
          <t>briefing</t>
        </is>
      </c>
      <c r="G1924" s="33" t="inlineStr">
        <is>
          <t>Low</t>
        </is>
      </c>
      <c r="H1924" s="33" t="inlineStr">
        <is>
          <t>Proposal</t>
        </is>
      </c>
    </row>
    <row r="1925">
      <c r="A1925" s="33" t="inlineStr">
        <is>
          <t>2026-06-12</t>
        </is>
      </c>
      <c r="B1925" s="33" t="inlineStr">
        <is>
          <t>WYFI</t>
        </is>
      </c>
      <c r="C1925" s="33" t="inlineStr">
        <is>
          <t>M2</t>
        </is>
      </c>
      <c r="D1925" s="33" t="n">
        <v>3</v>
      </c>
      <c r="E1925" s="33" t="inlineStr">
        <is>
          <t>(SALP-13F batch add, Opus subagent research + orchestrator review) Placeholder — recent IPO, volatile; objective 50DMA% (51.7) carries the signal. VERIFY at next pass.</t>
        </is>
      </c>
      <c r="F1925" s="33" t="inlineStr">
        <is>
          <t>momentum_50dma 2026-06-12</t>
        </is>
      </c>
      <c r="G1925" s="33" t="inlineStr">
        <is>
          <t>Low</t>
        </is>
      </c>
      <c r="H1925" s="33" t="inlineStr">
        <is>
          <t>Proposal</t>
        </is>
      </c>
    </row>
    <row r="1926">
      <c r="A1926" s="33" t="inlineStr">
        <is>
          <t>2026-06-12</t>
        </is>
      </c>
      <c r="B1926" s="33" t="inlineStr">
        <is>
          <t>WYFI</t>
        </is>
      </c>
      <c r="C1926" s="33" t="inlineStr">
        <is>
          <t>M3</t>
        </is>
      </c>
      <c r="D1926" s="33" t="n">
        <v>3</v>
      </c>
      <c r="E1926" s="33" t="inlineStr">
        <is>
          <t>(SALP-13F batch add, Opus subagent research + orchestrator review) Routine RSU withholding sells only; Bit Digital retains 71.5% (control, not signal).</t>
        </is>
      </c>
      <c r="F1926" s="33" t="inlineStr">
        <is>
          <t>briefing</t>
        </is>
      </c>
      <c r="G1926" s="33" t="inlineStr">
        <is>
          <t>Med</t>
        </is>
      </c>
      <c r="H1926" s="33" t="inlineStr">
        <is>
          <t>Proposal</t>
        </is>
      </c>
    </row>
    <row r="1927">
      <c r="A1927" s="33" t="inlineStr">
        <is>
          <t>2026-06-12</t>
        </is>
      </c>
      <c r="B1927" s="33" t="inlineStr">
        <is>
          <t>WYFI</t>
        </is>
      </c>
      <c r="C1927" s="33" t="inlineStr">
        <is>
          <t>R1</t>
        </is>
      </c>
      <c r="D1927" s="33" t="n">
        <v>1</v>
      </c>
      <c r="E1927" s="33" t="inlineStr">
        <is>
          <t>(SALP-13F batch add, Opus subagent research + orchestrator review) "Initial Customer" 70.7% of FY25 revenue PAUSED Nov-2025 pending renegotiation; DNA Fund terminated w/ $7.3M AR.</t>
        </is>
      </c>
      <c r="F1927" s="33" t="inlineStr">
        <is>
          <t>10-K FY25; Q1-26 8-K</t>
        </is>
      </c>
      <c r="G1927" s="33" t="inlineStr">
        <is>
          <t>High</t>
        </is>
      </c>
      <c r="H1927" s="33" t="inlineStr">
        <is>
          <t>Proposal</t>
        </is>
      </c>
    </row>
    <row r="1928">
      <c r="A1928" s="33" t="inlineStr">
        <is>
          <t>2026-06-12</t>
        </is>
      </c>
      <c r="B1928" s="33" t="inlineStr">
        <is>
          <t>WYFI</t>
        </is>
      </c>
      <c r="C1928" s="33" t="inlineStr">
        <is>
          <t>R2</t>
        </is>
      </c>
      <c r="D1928" s="33" t="n">
        <v>5</v>
      </c>
      <c r="E1928" s="33" t="inlineStr">
        <is>
          <t>(SALP-13F batch add, Opus subagent research + orchestrator review) US (NC) + Canada + Iceland; no China/export overhang; Iceland &lt;10% of assets.</t>
        </is>
      </c>
      <c r="F1928" s="33" t="inlineStr">
        <is>
          <t>10-K Item 2</t>
        </is>
      </c>
      <c r="G1928" s="33" t="inlineStr">
        <is>
          <t>High</t>
        </is>
      </c>
      <c r="H1928" s="33" t="inlineStr">
        <is>
          <t>Proposal</t>
        </is>
      </c>
    </row>
    <row r="1929">
      <c r="A1929" s="33" t="inlineStr">
        <is>
          <t>2026-06-12</t>
        </is>
      </c>
      <c r="B1929" s="33" t="inlineStr">
        <is>
          <t>WYFI</t>
        </is>
      </c>
      <c r="C1929" s="33" t="inlineStr">
        <is>
          <t>R3</t>
        </is>
      </c>
      <c r="D1929" s="33" t="n">
        <v>2</v>
      </c>
      <c r="E1929" s="33" t="inlineStr">
        <is>
          <t>(SALP-13F batch add, Opus subagent research + orchestrator review) $230M converts + $251.6M debt on &lt;$85M revenue; EBITDA ~0/negative; FCF -$336M; cash $75.8M &lt;1yr of buildout. DEBATABLE vs 1.</t>
        </is>
      </c>
      <c r="F1929" s="33" t="inlineStr">
        <is>
          <t>10-Q Q1-26</t>
        </is>
      </c>
      <c r="G1929" s="33" t="inlineStr">
        <is>
          <t>High</t>
        </is>
      </c>
      <c r="H1929" s="33" t="inlineStr">
        <is>
          <t>Proposal</t>
        </is>
      </c>
    </row>
    <row r="1930">
      <c r="A1930" s="33" t="inlineStr">
        <is>
          <t>2026-06-12</t>
        </is>
      </c>
      <c r="B1930" s="33" t="inlineStr">
        <is>
          <t>WYFI</t>
        </is>
      </c>
      <c r="C1930" s="33" t="inlineStr">
        <is>
          <t>R4</t>
        </is>
      </c>
      <c r="D1930" s="33" t="n">
        <v>4</v>
      </c>
      <c r="E1930" s="33" t="inlineStr">
        <is>
          <t>(SALP-13F batch add, Opus subagent research + orchestrator review) No material litigation; Bit Digital 71.5% control is governance flag not litigation.</t>
        </is>
      </c>
      <c r="F1930" s="33" t="inlineStr">
        <is>
          <t>10-K legal proceedings</t>
        </is>
      </c>
      <c r="G1930" s="33" t="inlineStr">
        <is>
          <t>Med</t>
        </is>
      </c>
      <c r="H1930" s="33" t="inlineStr">
        <is>
          <t>Proposal</t>
        </is>
      </c>
    </row>
    <row r="1931">
      <c r="A1931" s="33" t="inlineStr">
        <is>
          <t>2026-06-12</t>
        </is>
      </c>
      <c r="B1931" s="33" t="inlineStr">
        <is>
          <t>SHAZ</t>
        </is>
      </c>
      <c r="C1931" s="33" t="inlineStr">
        <is>
          <t>D1</t>
        </is>
      </c>
      <c r="D1931" s="33" t="n">
        <v>5</v>
      </c>
      <c r="E1931" s="33" t="inlineStr">
        <is>
          <t>(SALP-13F batch add, Opus subagent research + orchestrator review) Pure-play AI/HPC GPU cloud — maximally direct. But ~2 MW live vs GW ambitions.</t>
        </is>
      </c>
      <c r="F1931" s="33" t="inlineStr">
        <is>
          <t>SHAZ context briefing 6</t>
        </is>
      </c>
      <c r="G1931" s="33" t="inlineStr">
        <is>
          <t>Med</t>
        </is>
      </c>
      <c r="H1931" s="33" t="inlineStr">
        <is>
          <t>Proposal</t>
        </is>
      </c>
    </row>
    <row r="1932">
      <c r="A1932" s="33" t="inlineStr">
        <is>
          <t>2026-06-12</t>
        </is>
      </c>
      <c r="B1932" s="33" t="inlineStr">
        <is>
          <t>SHAZ</t>
        </is>
      </c>
      <c r="C1932" s="33" t="inlineStr">
        <is>
          <t>D2</t>
        </is>
      </c>
      <c r="D1932" s="33" t="n">
        <v>2</v>
      </c>
      <c r="E1932" s="33" t="inlineStr">
        <is>
          <t>(SALP-13F batch add, Opus subagent research + orchestrator review) Durability deeply unproven; ~2 MW live.</t>
        </is>
      </c>
      <c r="F1932" s="33" t="inlineStr">
        <is>
          <t>SHAZ context briefing 6</t>
        </is>
      </c>
      <c r="G1932" s="33" t="inlineStr">
        <is>
          <t>Low</t>
        </is>
      </c>
      <c r="H1932" s="33" t="inlineStr">
        <is>
          <t>Proposal</t>
        </is>
      </c>
    </row>
    <row r="1933">
      <c r="A1933" s="33" t="inlineStr">
        <is>
          <t>2026-06-12</t>
        </is>
      </c>
      <c r="B1933" s="33" t="inlineStr">
        <is>
          <t>SHAZ</t>
        </is>
      </c>
      <c r="C1933" s="33" t="inlineStr">
        <is>
          <t>D3</t>
        </is>
      </c>
      <c r="D1933" s="33" t="n">
        <v>2</v>
      </c>
      <c r="E1933" s="33" t="inlineStr">
        <is>
          <t>(SALP-13F batch add, Opus subagent research + orchestrator review) Moat unproven; backlog-only story.</t>
        </is>
      </c>
      <c r="F1933" s="33" t="inlineStr">
        <is>
          <t>SHAZ context briefing 6</t>
        </is>
      </c>
      <c r="G1933" s="33" t="inlineStr">
        <is>
          <t>Low</t>
        </is>
      </c>
      <c r="H1933" s="33" t="inlineStr">
        <is>
          <t>Proposal</t>
        </is>
      </c>
    </row>
    <row r="1934">
      <c r="A1934" s="33" t="inlineStr">
        <is>
          <t>2026-06-12</t>
        </is>
      </c>
      <c r="B1934" s="33" t="inlineStr">
        <is>
          <t>SHAZ</t>
        </is>
      </c>
      <c r="C1934" s="33" t="inlineStr">
        <is>
          <t>D4</t>
        </is>
      </c>
      <c r="D1934" s="33" t="n">
        <v>2</v>
      </c>
      <c r="E1934" s="33" t="inlineStr">
        <is>
          <t>(SALP-13F batch add, Opus subagent research + orchestrator review) 132 MW secured but ~98% un-energized; funding contested (convert dilution in flight).</t>
        </is>
      </c>
      <c r="F1934" s="33" t="inlineStr">
        <is>
          <t>SHAZ context briefing</t>
        </is>
      </c>
      <c r="G1934" s="33" t="inlineStr">
        <is>
          <t>Low</t>
        </is>
      </c>
      <c r="H1934" s="33" t="inlineStr">
        <is>
          <t>Proposal</t>
        </is>
      </c>
    </row>
    <row r="1935">
      <c r="A1935" s="33" t="inlineStr">
        <is>
          <t>2026-06-12</t>
        </is>
      </c>
      <c r="B1935" s="33" t="inlineStr">
        <is>
          <t>SHAZ</t>
        </is>
      </c>
      <c r="C1935" s="33" t="inlineStr">
        <is>
          <t>D5</t>
        </is>
      </c>
      <c r="D1935" s="33" t="n">
        <v>2</v>
      </c>
      <c r="E1935" s="33" t="inlineStr">
        <is>
          <t>(SALP-13F batch add, Opus subagent research + orchestrator review) ESDS anchor is not a hyperscaler; counterparty solvency contested by short report.</t>
        </is>
      </c>
      <c r="F1935" s="33" t="inlineStr">
        <is>
          <t>SHAZ context briefing</t>
        </is>
      </c>
      <c r="G1935" s="33" t="inlineStr">
        <is>
          <t>Low</t>
        </is>
      </c>
      <c r="H1935" s="33" t="inlineStr">
        <is>
          <t>Proposal</t>
        </is>
      </c>
    </row>
    <row r="1936">
      <c r="A1936" s="33" t="inlineStr">
        <is>
          <t>2026-06-12</t>
        </is>
      </c>
      <c r="B1936" s="33" t="inlineStr">
        <is>
          <t>SHAZ</t>
        </is>
      </c>
      <c r="C1936" s="33" t="inlineStr">
        <is>
          <t>R1</t>
        </is>
      </c>
      <c r="D1936" s="33" t="n">
        <v>1</v>
      </c>
      <c r="E1936" s="33" t="inlineStr">
        <is>
          <t>(SALP-13F batch add, Opus subagent research + orchestrator review) ESDS = bulk of backlog; counterparty solvency contested (Bleecker St).</t>
        </is>
      </c>
      <c r="F1936" s="33" t="inlineStr">
        <is>
          <t>SHAZ context briefing 6</t>
        </is>
      </c>
      <c r="G1936" s="33" t="inlineStr">
        <is>
          <t>Med</t>
        </is>
      </c>
      <c r="H1936" s="33" t="inlineStr">
        <is>
          <t>Proposal</t>
        </is>
      </c>
    </row>
    <row r="1937">
      <c r="A1937" s="33" t="inlineStr">
        <is>
          <t>2026-06-12</t>
        </is>
      </c>
      <c r="B1937" s="33" t="inlineStr">
        <is>
          <t>SHAZ</t>
        </is>
      </c>
      <c r="C1937" s="33" t="inlineStr">
        <is>
          <t>R2</t>
        </is>
      </c>
      <c r="D1937" s="33" t="n">
        <v>2</v>
      </c>
      <c r="E1937" s="33" t="inlineStr">
        <is>
          <t>(SALP-13F batch add, Opus subagent research + orchestrator review) Demand leg: anchor counterparty foreign (ESDS, India) and contested. LOW CONFIDENCE — review.</t>
        </is>
      </c>
      <c r="F1937" s="33" t="inlineStr">
        <is>
          <t>SHAZ context briefing 6</t>
        </is>
      </c>
      <c r="G1937" s="33" t="inlineStr">
        <is>
          <t>Low</t>
        </is>
      </c>
      <c r="H1937" s="33" t="inlineStr">
        <is>
          <t>Proposal</t>
        </is>
      </c>
    </row>
    <row r="1938">
      <c r="A1938" s="33" t="inlineStr">
        <is>
          <t>2026-06-12</t>
        </is>
      </c>
      <c r="B1938" s="33" t="inlineStr">
        <is>
          <t>SHAZ</t>
        </is>
      </c>
      <c r="C1938" s="33" t="inlineStr">
        <is>
          <t>R3</t>
        </is>
      </c>
      <c r="D1938" s="33" t="n">
        <v>2</v>
      </c>
      <c r="E1938" s="33" t="inlineStr">
        <is>
          <t>(SALP-13F batch add, Opus subagent research + orchestrator review) D/E 230, $199M convert FV, FV-driven losses, 7.65M sh converted Apr-26, active S-1. DEBATABLE vs 1.</t>
        </is>
      </c>
      <c r="F1938" s="33" t="inlineStr">
        <is>
          <t>SHAZ context briefing</t>
        </is>
      </c>
      <c r="G1938" s="33" t="inlineStr">
        <is>
          <t>Med</t>
        </is>
      </c>
      <c r="H1938" s="33" t="inlineStr">
        <is>
          <t>Proposal</t>
        </is>
      </c>
    </row>
    <row r="1939">
      <c r="A1939" s="33" t="inlineStr">
        <is>
          <t>2026-06-12</t>
        </is>
      </c>
      <c r="B1939" s="33" t="inlineStr">
        <is>
          <t>SHAZ</t>
        </is>
      </c>
      <c r="C1939" s="33" t="inlineStr">
        <is>
          <t>R4</t>
        </is>
      </c>
      <c r="D1939" s="33" t="n">
        <v>2</v>
      </c>
      <c r="E1939" s="33" t="inlineStr">
        <is>
          <t>(SALP-13F batch add, Opus subagent research + orchestrator review) Bleecker Street short report (retracted NVIDIA-shareholder claim), CEO litigation history, de-SPAC supervoting (~65% votes/~1% economics).</t>
        </is>
      </c>
      <c r="F1939" s="33" t="inlineStr">
        <is>
          <t>SHAZ context briefing</t>
        </is>
      </c>
      <c r="G1939" s="33" t="inlineStr">
        <is>
          <t>Med</t>
        </is>
      </c>
      <c r="H1939" s="33" t="inlineStr">
        <is>
          <t>Proposal</t>
        </is>
      </c>
    </row>
    <row r="1940">
      <c r="A1940" s="33" t="inlineStr">
        <is>
          <t>2026-06-12</t>
        </is>
      </c>
      <c r="B1940" s="33" t="inlineStr">
        <is>
          <t>SHAZ</t>
        </is>
      </c>
      <c r="C1940" s="33" t="inlineStr">
        <is>
          <t>M1/M2/M3</t>
        </is>
      </c>
      <c r="E1940" s="33" t="inlineStr">
        <is>
          <t>LEFT UNRATED — no sell-side coverage, 32 days of price history, squeeze-driven +~4,000% YTD; any momentum rating would be noise. Revisit after 2 full quarters.</t>
        </is>
      </c>
      <c r="F1940" s="33" t="inlineStr">
        <is>
          <t>SHAZ context briefing</t>
        </is>
      </c>
      <c r="G1940" s="33" t="inlineStr">
        <is>
          <t>High</t>
        </is>
      </c>
      <c r="H1940" s="33" t="inlineStr">
        <is>
          <t>Proposal</t>
        </is>
      </c>
    </row>
    <row r="1941">
      <c r="A1941" s="33" t="inlineStr">
        <is>
          <t>2026-06-12</t>
        </is>
      </c>
      <c r="B1941" s="33" t="inlineStr">
        <is>
          <t>HIVE</t>
        </is>
      </c>
      <c r="C1941" s="33" t="inlineStr">
        <is>
          <t>D1</t>
        </is>
      </c>
      <c r="D1941" s="33" t="n">
        <v>2</v>
      </c>
      <c r="E1941" s="33" t="inlineStr">
        <is>
          <t>(SALP-13F batch add; subagent briefing + orchestrator completion — subagent stalled post-briefing) HPC $19.5M of $297.8M FY2026 revenue = 6.5% (5-10% band); mining ~93%.</t>
        </is>
      </c>
      <c r="F1941" s="33" t="inlineStr">
        <is>
          <t>HIVE FY2026 results PR 2026-06-02</t>
        </is>
      </c>
      <c r="G1941" s="33" t="inlineStr">
        <is>
          <t>High</t>
        </is>
      </c>
      <c r="H1941" s="33" t="inlineStr">
        <is>
          <t>Proposal</t>
        </is>
      </c>
    </row>
    <row r="1942">
      <c r="A1942" s="33" t="inlineStr">
        <is>
          <t>2026-06-12</t>
        </is>
      </c>
      <c r="B1942" s="33" t="inlineStr">
        <is>
          <t>HIVE</t>
        </is>
      </c>
      <c r="C1942" s="33" t="inlineStr">
        <is>
          <t>D2</t>
        </is>
      </c>
      <c r="D1942" s="33" t="n">
        <v>2</v>
      </c>
      <c r="E1942" s="33" t="inlineStr">
        <is>
          <t>(SALP-13F batch add; subagent briefing + orchestrator completion — subagent stalled post-briefing) BTC-mining-derived capacity is commodity; B200 GPU rental undifferentiated; edge is cheap Itaipu hydro + speed.</t>
        </is>
      </c>
      <c r="F1942" s="33" t="inlineStr">
        <is>
          <t>briefing s3/s6</t>
        </is>
      </c>
      <c r="G1942" s="33" t="inlineStr">
        <is>
          <t>Med</t>
        </is>
      </c>
      <c r="H1942" s="33" t="inlineStr">
        <is>
          <t>Proposal</t>
        </is>
      </c>
    </row>
    <row r="1943">
      <c r="A1943" s="33" t="inlineStr">
        <is>
          <t>2026-06-12</t>
        </is>
      </c>
      <c r="B1943" s="33" t="inlineStr">
        <is>
          <t>HIVE</t>
        </is>
      </c>
      <c r="C1943" s="33" t="inlineStr">
        <is>
          <t>D3</t>
        </is>
      </c>
      <c r="D1943" s="33" t="n">
        <v>2</v>
      </c>
      <c r="E1943" s="33" t="inlineStr">
        <is>
          <t>(SALP-13F batch add; subagent briefing + orchestrator completion — subagent stalled post-briefing) Moat = stranded-hydro cost position only; no defensible IP or switching costs.</t>
        </is>
      </c>
      <c r="F1943" s="33" t="inlineStr">
        <is>
          <t>briefing s6</t>
        </is>
      </c>
      <c r="G1943" s="33" t="inlineStr">
        <is>
          <t>Med</t>
        </is>
      </c>
      <c r="H1943" s="33" t="inlineStr">
        <is>
          <t>Proposal</t>
        </is>
      </c>
    </row>
    <row r="1944">
      <c r="A1944" s="33" t="inlineStr">
        <is>
          <t>2026-06-12</t>
        </is>
      </c>
      <c r="B1944" s="33" t="inlineStr">
        <is>
          <t>HIVE</t>
        </is>
      </c>
      <c r="C1944" s="33" t="inlineStr">
        <is>
          <t>D4</t>
        </is>
      </c>
      <c r="D1944" s="33" t="n">
        <v>4</v>
      </c>
      <c r="E1944" s="33" t="inlineStr">
        <is>
          <t>(SALP-13F batch add; subagent briefing + orchestrator completion — subagent stalled post-briefing) 400 MW Paraguay buildout + $115M 0% converts funded; held below 5 because the $3.5B GTA Gigafactory (the 2028 ARR bet) financing is NOT in place. DEBATABLE vs 5.</t>
        </is>
      </c>
      <c r="F1944" s="33" t="inlineStr">
        <is>
          <t>FY2026 PR; DCD Yguazu</t>
        </is>
      </c>
      <c r="G1944" s="33" t="inlineStr">
        <is>
          <t>Med</t>
        </is>
      </c>
      <c r="H1944" s="33" t="inlineStr">
        <is>
          <t>Proposal</t>
        </is>
      </c>
    </row>
    <row r="1945">
      <c r="A1945" s="33" t="inlineStr">
        <is>
          <t>2026-06-12</t>
        </is>
      </c>
      <c r="B1945" s="33" t="inlineStr">
        <is>
          <t>HIVE</t>
        </is>
      </c>
      <c r="C1945" s="33" t="inlineStr">
        <is>
          <t>D5</t>
        </is>
      </c>
      <c r="D1945" s="33" t="n">
        <v>2</v>
      </c>
      <c r="E1945" s="33" t="inlineStr">
        <is>
          <t>(SALP-13F batch add; subagent briefing + orchestrator completion — subagent stalled post-briefing) Real but sub-scale AI-infra commitment (&lt;$1B/yr capex tier); 5,500 GPUs, $35M contracted ARR.</t>
        </is>
      </c>
      <c r="F1945" s="33" t="inlineStr">
        <is>
          <t>FY2026 PR</t>
        </is>
      </c>
      <c r="G1945" s="33" t="inlineStr">
        <is>
          <t>Med</t>
        </is>
      </c>
      <c r="H1945" s="33" t="inlineStr">
        <is>
          <t>Proposal</t>
        </is>
      </c>
    </row>
    <row r="1946">
      <c r="A1946" s="33" t="inlineStr">
        <is>
          <t>2026-06-12</t>
        </is>
      </c>
      <c r="B1946" s="33" t="inlineStr">
        <is>
          <t>HIVE</t>
        </is>
      </c>
      <c r="C1946" s="33" t="inlineStr">
        <is>
          <t>M1</t>
        </is>
      </c>
      <c r="D1946" s="33" t="n">
        <v>3</v>
      </c>
      <c r="E1946" s="33" t="inlineStr">
        <is>
          <t>(SALP-13F batch add; subagent briefing + orchestrator completion — subagent stalled post-briefing) PT raises post-print (B.Riley $8, Cantor $7 2x, KBW $5, Rosenblatt $5.50) but Q4 adj-EBITDA MISS (-$9.0M) and EPS deep loss; revisions are ARR-narrative, not EPS. DEBATABLE vs 4.</t>
        </is>
      </c>
      <c r="F1946" s="33" t="inlineStr">
        <is>
          <t>investing.com 2026-06</t>
        </is>
      </c>
      <c r="G1946" s="33" t="inlineStr">
        <is>
          <t>Med</t>
        </is>
      </c>
      <c r="H1946" s="33" t="inlineStr">
        <is>
          <t>Proposal</t>
        </is>
      </c>
    </row>
    <row r="1947">
      <c r="A1947" s="33" t="inlineStr">
        <is>
          <t>2026-06-12</t>
        </is>
      </c>
      <c r="B1947" s="33" t="inlineStr">
        <is>
          <t>HIVE</t>
        </is>
      </c>
      <c r="C1947" s="33" t="inlineStr">
        <is>
          <t>M2</t>
        </is>
      </c>
      <c r="D1947" s="33" t="n">
        <v>3</v>
      </c>
      <c r="E1947" s="33" t="inlineStr">
        <is>
          <t>(SALP-13F batch add; subagent briefing + orchestrator completion — subagent stalled post-briefing) +69.5% 3mo but +14.4% 6mo; 50DMA% 41.7 objective carries trend. Timeframe-sensitive. DEBATABLE vs 4.</t>
        </is>
      </c>
      <c r="F1947" s="33" t="inlineStr">
        <is>
          <t>yfinance; momentum_50dma</t>
        </is>
      </c>
      <c r="G1947" s="33" t="inlineStr">
        <is>
          <t>Med</t>
        </is>
      </c>
      <c r="H1947" s="33" t="inlineStr">
        <is>
          <t>Proposal</t>
        </is>
      </c>
    </row>
    <row r="1948">
      <c r="A1948" s="33" t="inlineStr">
        <is>
          <t>2026-06-12</t>
        </is>
      </c>
      <c r="B1948" s="33" t="inlineStr">
        <is>
          <t>HIVE</t>
        </is>
      </c>
      <c r="C1948" s="33" t="inlineStr">
        <is>
          <t>M3</t>
        </is>
      </c>
      <c r="D1948" s="33" t="n">
        <v>2</v>
      </c>
      <c r="E1948" s="33" t="inlineStr">
        <is>
          <t>(SALP-13F batch add; subagent briefing + orchestrator completion — subagent stalled post-briefing) Pure selling, zero buys: Exec Chair Holmes sold 575K sh to ZERO (Mar-30), COO Rossy 215K to ZERO (Jun-8), Dir McGee 16.7K (Jun-3). Chairman+COO-to-zero exceeds routine diversification even under asymmetric weighting (BE 2026-05-17 principle).</t>
        </is>
      </c>
      <c r="F1948" s="33" t="inlineStr">
        <is>
          <t>gurufocus Form-4 coverage</t>
        </is>
      </c>
      <c r="G1948" s="33" t="inlineStr">
        <is>
          <t>High</t>
        </is>
      </c>
      <c r="H1948" s="33" t="inlineStr">
        <is>
          <t>Proposal</t>
        </is>
      </c>
    </row>
    <row r="1949">
      <c r="A1949" s="33" t="inlineStr">
        <is>
          <t>2026-06-12</t>
        </is>
      </c>
      <c r="B1949" s="33" t="inlineStr">
        <is>
          <t>HIVE</t>
        </is>
      </c>
      <c r="C1949" s="33" t="inlineStr">
        <is>
          <t>R1</t>
        </is>
      </c>
      <c r="D1949" s="33" t="n">
        <v>3</v>
      </c>
      <c r="E1949" s="33" t="inlineStr">
        <is>
          <t>(SALP-13F batch add; subagent briefing + orchestrator completion — subagent stalled post-briefing) HPC ARR concentrated in few contracts (Bell Canada marquee); mining customer = BTC network (diffuse). Mixed.</t>
        </is>
      </c>
      <c r="F1949" s="33" t="inlineStr">
        <is>
          <t>briefing s6</t>
        </is>
      </c>
      <c r="G1949" s="33" t="inlineStr">
        <is>
          <t>Med</t>
        </is>
      </c>
      <c r="H1949" s="33" t="inlineStr">
        <is>
          <t>Proposal</t>
        </is>
      </c>
    </row>
    <row r="1950">
      <c r="A1950" s="33" t="inlineStr">
        <is>
          <t>2026-06-12</t>
        </is>
      </c>
      <c r="B1950" s="33" t="inlineStr">
        <is>
          <t>HIVE</t>
        </is>
      </c>
      <c r="C1950" s="33" t="inlineStr">
        <is>
          <t>R2</t>
        </is>
      </c>
      <c r="D1950" s="33" t="n">
        <v>3</v>
      </c>
      <c r="E1950" s="33" t="inlineStr">
        <is>
          <t>(SALP-13F batch add; subagent briefing + orchestrator completion — subagent stalled post-briefing) Asset leg: Paraguay = material EM sovereign/grid/currency exposure (300-400 MW campus); demand/policy legs clean. One-leg = 3 per R2 risk-leg tiering.</t>
        </is>
      </c>
      <c r="F1950" s="33" t="inlineStr">
        <is>
          <t>briefing s6; R2 rubric 2026-06-12</t>
        </is>
      </c>
      <c r="G1950" s="33" t="inlineStr">
        <is>
          <t>Med</t>
        </is>
      </c>
      <c r="H1950" s="33" t="inlineStr">
        <is>
          <t>Proposal</t>
        </is>
      </c>
    </row>
    <row r="1951">
      <c r="A1951" s="33" t="inlineStr">
        <is>
          <t>2026-06-12</t>
        </is>
      </c>
      <c r="B1951" s="33" t="inlineStr">
        <is>
          <t>HIVE</t>
        </is>
      </c>
      <c r="C1951" s="33" t="inlineStr">
        <is>
          <t>R3</t>
        </is>
      </c>
      <c r="D1951" s="33" t="n">
        <v>2</v>
      </c>
      <c r="E1951" s="33" t="inlineStr">
        <is>
          <t>(SALP-13F batch add; subagent briefing + orchestrator completion — subagent stalled post-briefing) GAAP net loss -$148M FY26, statement FCF -$116M, BTC-price-dependent cash engine (Q4 adj-EBITDA negative at $76K BTC); funds via dilution + 0% converts (Apr-26 $115M, exchange $2.57). ND/EBITDA -0.21 at FYE is PRE-notes — pro-forma debt ~$130-185M.</t>
        </is>
      </c>
      <c r="F1951" s="33" t="inlineStr">
        <is>
          <t>FY2026 PR balance sheet + notes</t>
        </is>
      </c>
      <c r="G1951" s="33" t="inlineStr">
        <is>
          <t>High</t>
        </is>
      </c>
      <c r="H1951" s="33" t="inlineStr">
        <is>
          <t>Proposal</t>
        </is>
      </c>
    </row>
    <row r="1952">
      <c r="A1952" s="33" t="inlineStr">
        <is>
          <t>2026-06-12</t>
        </is>
      </c>
      <c r="B1952" s="33" t="inlineStr">
        <is>
          <t>HIVE</t>
        </is>
      </c>
      <c r="C1952" s="33" t="inlineStr">
        <is>
          <t>R4</t>
        </is>
      </c>
      <c r="D1952" s="33" t="n">
        <v>4</v>
      </c>
      <c r="E1952" s="33" t="inlineStr">
        <is>
          <t>(SALP-13F batch add; subagent briefing + orchestrator completion — subagent stalled post-briefing) No major disclosed overhang; crypto-regulatory backdrop sector-systemic.</t>
        </is>
      </c>
      <c r="F1952" s="33" t="inlineStr">
        <is>
          <t>briefing s6</t>
        </is>
      </c>
      <c r="G1952" s="33" t="inlineStr">
        <is>
          <t>Med</t>
        </is>
      </c>
      <c r="H1952" s="33" t="inlineStr">
        <is>
          <t>Proposal</t>
        </is>
      </c>
    </row>
    <row r="1953">
      <c r="A1953" s="33" t="inlineStr">
        <is>
          <t>2026-06-12</t>
        </is>
      </c>
      <c r="B1953" s="33" t="inlineStr">
        <is>
          <t>SEI/TE/PSIX/PUMP/BW/WYFI/SHAZ/HIVE</t>
        </is>
      </c>
      <c r="C1953" s="33" t="inlineStr">
        <is>
          <t>ALL</t>
        </is>
      </c>
      <c r="E1953" s="33" t="inlineStr">
        <is>
          <t>Dom ACCEPTED all 94 batch proposals as rated, including flagged debatable calls (SEI D1/D5/M3, BW D1/R3, PUMP D4/D5/R1, PSIX D1/D5/R1, HIVE D4/M1/M2, WYFI EV/MW 70-MW basis, SHAZ all + momentum-unrated). Open verification items carried forward, not blockers: SEI M3 and BW M3 Form-4 confirmations.</t>
        </is>
      </c>
      <c r="F1953" s="33" t="inlineStr">
        <is>
          <t>Session 2026-06-12</t>
        </is>
      </c>
      <c r="G1953" s="33" t="inlineStr">
        <is>
          <t>High</t>
        </is>
      </c>
      <c r="H1953" s="33" t="inlineStr">
        <is>
          <t>Accept</t>
        </is>
      </c>
    </row>
    <row r="1954">
      <c r="A1954" s="33" t="inlineStr">
        <is>
          <t>2026-06-12</t>
        </is>
      </c>
      <c r="B1954" s="33" t="inlineStr">
        <is>
          <t>GEV</t>
        </is>
      </c>
      <c r="C1954" s="33" t="inlineStr">
        <is>
          <t>D5</t>
        </is>
      </c>
      <c r="D1954" s="33" t="n">
        <v>5</v>
      </c>
      <c r="E1954" s="33" t="inlineStr">
        <is>
          <t>(was 4; Dom accepted 2026-06-12 refresh proposal) Quantified multi-hyperscaler DC demand: $2.4B Q1 DC equipment orders (&gt; all FY2025), ~20 GW of 100 GW gas backlog DC-tied, 56 GW slot reservations carrying $5.3B down payments.</t>
        </is>
      </c>
      <c r="F1954" s="33" t="inlineStr">
        <is>
          <t>per-stock/GEV/context-2026-06-12.md; 8-K 2026-05-22</t>
        </is>
      </c>
      <c r="G1954" s="33" t="inlineStr">
        <is>
          <t>High</t>
        </is>
      </c>
      <c r="H1954" s="33" t="inlineStr">
        <is>
          <t>Update</t>
        </is>
      </c>
    </row>
    <row r="1955">
      <c r="A1955" s="33" t="inlineStr">
        <is>
          <t>2026-06-12</t>
        </is>
      </c>
      <c r="B1955" s="33" t="inlineStr">
        <is>
          <t>GEV</t>
        </is>
      </c>
      <c r="C1955" s="33" t="inlineStr">
        <is>
          <t>eps_yoy</t>
        </is>
      </c>
      <c r="E1955" s="33" t="inlineStr">
        <is>
          <t>INPUT BLANKED (was +1,768%) per new one-time-item rule (rule 15): dominated by ~$4.5B non-operating Prolec divestiture gain — scoring 100 on a divestiture is a garbage input. Growth now averages rev metrics only. NOTE: drops GEV 70.3 ✓✓ -&gt; ~67.6 ✓ — data-honesty correction, not a rating change.</t>
        </is>
      </c>
      <c r="F1955" s="33" t="inlineStr">
        <is>
          <t>per-stock/GEV/context-2026-06-12.md; 10-Q</t>
        </is>
      </c>
      <c r="G1955" s="33" t="inlineStr">
        <is>
          <t>High</t>
        </is>
      </c>
      <c r="H1955" s="33" t="inlineStr">
        <is>
          <t>Update</t>
        </is>
      </c>
    </row>
    <row r="1956">
      <c r="A1956" s="33" t="inlineStr">
        <is>
          <t>2026-06-12</t>
        </is>
      </c>
      <c r="B1956" s="33" t="inlineStr">
        <is>
          <t>MPWR</t>
        </is>
      </c>
      <c r="C1956" s="33" t="inlineStr">
        <is>
          <t>D2</t>
        </is>
      </c>
      <c r="D1956" s="33" t="n">
        <v>3</v>
      </c>
      <c r="E1956" s="33" t="inlineStr">
        <is>
          <t>(was 4; Dom accepted) 800V HVDC is a ~15-vendor contested field with Infineon leading and TI shipping complete architectures with NVIDIA; MPWR lost GB200 to Infineon — position is contested, not privileged.</t>
        </is>
      </c>
      <c r="F1956" s="33" t="inlineStr">
        <is>
          <t>per-stock/MPWR/context-2026-06-12.md; CNESA; TI PR 2026-03-16</t>
        </is>
      </c>
      <c r="G1956" s="33" t="inlineStr">
        <is>
          <t>High</t>
        </is>
      </c>
      <c r="H1956" s="33" t="inlineStr">
        <is>
          <t>Update</t>
        </is>
      </c>
    </row>
    <row r="1957">
      <c r="A1957" s="33" t="inlineStr">
        <is>
          <t>2026-06-12</t>
        </is>
      </c>
      <c r="B1957" s="33" t="inlineStr">
        <is>
          <t>MPWR</t>
        </is>
      </c>
      <c r="C1957" s="33" t="inlineStr">
        <is>
          <t>M1</t>
        </is>
      </c>
      <c r="D1957" s="33" t="n">
        <v>4</v>
      </c>
      <c r="E1957" s="33" t="inlineStr">
        <is>
          <t>(was 5; Dom accepted) Rosenblatt downgrade to Neutral on valuation/product-momentum reset; sentiment split. Guide still re-accelerating, hence 4 not 3.</t>
        </is>
      </c>
      <c r="F1957" s="33" t="inlineStr">
        <is>
          <t>TipRanks; Q1 2026 transcript</t>
        </is>
      </c>
      <c r="G1957" s="33" t="inlineStr">
        <is>
          <t>Med</t>
        </is>
      </c>
      <c r="H1957" s="33" t="inlineStr">
        <is>
          <t>Update</t>
        </is>
      </c>
    </row>
    <row r="1958">
      <c r="A1958" s="33" t="inlineStr">
        <is>
          <t>2026-06-12</t>
        </is>
      </c>
      <c r="B1958" s="33" t="inlineStr">
        <is>
          <t>MPWR</t>
        </is>
      </c>
      <c r="C1958" s="33" t="inlineStr">
        <is>
          <t>M3</t>
        </is>
      </c>
      <c r="D1958" s="33" t="n">
        <v>2</v>
      </c>
      <c r="E1958" s="33" t="inlineStr">
        <is>
          <t>(was 3; Dom accepted) One-directional insider selling CONCURRENT with a restatement/material-weakness window mgmt did not address on the Q1 call — the case where selling carries signal (asymmetric-weighting principle still applied; this is not routine diversification).</t>
        </is>
      </c>
      <c r="F1958" s="33" t="inlineStr">
        <is>
          <t>per-stock/MPWR/context-2026-06-12.md; Form 4s</t>
        </is>
      </c>
      <c r="G1958" s="33" t="inlineStr">
        <is>
          <t>Med</t>
        </is>
      </c>
      <c r="H1958" s="33" t="inlineStr">
        <is>
          <t>Update</t>
        </is>
      </c>
    </row>
    <row r="1959">
      <c r="A1959" s="33" t="inlineStr">
        <is>
          <t>2026-06-12</t>
        </is>
      </c>
      <c r="B1959" s="33" t="inlineStr">
        <is>
          <t>MPWR</t>
        </is>
      </c>
      <c r="C1959" s="33" t="inlineStr">
        <is>
          <t>R4</t>
        </is>
      </c>
      <c r="D1959" s="33" t="n">
        <v>3</v>
      </c>
      <c r="E1959" s="33" t="inlineStr">
        <is>
          <t>(was 4; Dom accepted) FY2024 + 4xFY2025 restatement and OPEN material weakness in deferred-tax controls (8-K 2026-02-26). Non-cash/tax-only but unresolved — not clean.</t>
        </is>
      </c>
      <c r="F1959" s="33" t="inlineStr">
        <is>
          <t>8-K 2026-02-26; GuruFocus</t>
        </is>
      </c>
      <c r="G1959" s="33" t="inlineStr">
        <is>
          <t>High</t>
        </is>
      </c>
      <c r="H1959" s="33" t="inlineStr">
        <is>
          <t>Update</t>
        </is>
      </c>
    </row>
    <row r="1960">
      <c r="A1960" s="33" t="inlineStr">
        <is>
          <t>2026-06-15</t>
        </is>
      </c>
      <c r="B1960" s="33" t="inlineStr">
        <is>
          <t>QCOM</t>
        </is>
      </c>
      <c r="C1960" s="33" t="inlineStr">
        <is>
          <t>EPS YoY</t>
        </is>
      </c>
      <c r="D1960" s="33" t="inlineStr">
        <is>
          <t>BLANK</t>
        </is>
      </c>
      <c r="E1960" s="33" t="inlineStr">
        <is>
          <t>Rule 15: Q2 FY2026 GAAP EPS +173% dominated by ~$5.7B one-time deferred-tax valuation-allowance release (~$5.33/sh); non-GAAP EPS ~-7%. Mirror item: FY25 GAAP collapse on $7.1B allowance establishment. Non-operating-dominated → blanked; Growth averages revenue metrics.</t>
        </is>
      </c>
      <c r="F1960" s="33" t="inlineStr">
        <is>
          <t>per-stock/QCOM/context-2026-06-15.md; Q2 FY26 8-K</t>
        </is>
      </c>
      <c r="G1960" s="33" t="inlineStr">
        <is>
          <t>High</t>
        </is>
      </c>
      <c r="H1960" s="33" t="inlineStr">
        <is>
          <t>Initial</t>
        </is>
      </c>
    </row>
    <row r="1961">
      <c r="A1961" s="33" t="inlineStr">
        <is>
          <t>2026-06-15</t>
        </is>
      </c>
      <c r="B1961" s="33" t="inlineStr">
        <is>
          <t>NXPI</t>
        </is>
      </c>
      <c r="C1961" s="33" t="inlineStr">
        <is>
          <t>EPS YoY</t>
        </is>
      </c>
      <c r="D1961" s="33" t="inlineStr">
        <is>
          <t>BLANK</t>
        </is>
      </c>
      <c r="E1961" s="33" t="inlineStr">
        <is>
          <t>Rule 15: Q1 2026 GAAP EPS +130.7% dominated by $627M MEMS Sensors divestiture gain (sold for $878M cash); non-GAAP EPS +16% is operating reality. Non-operating-dominated → blanked.</t>
        </is>
      </c>
      <c r="F1961" s="33" t="inlineStr">
        <is>
          <t>per-stock/NXPI/context-2026-06-15.md; 10-Q + 8-K 2026-04-28</t>
        </is>
      </c>
      <c r="G1961" s="33" t="inlineStr">
        <is>
          <t>High</t>
        </is>
      </c>
      <c r="H1961" s="33" t="inlineStr">
        <is>
          <t>Initial</t>
        </is>
      </c>
    </row>
    <row r="1962">
      <c r="A1962" s="33" t="inlineStr">
        <is>
          <t>2026-06-15</t>
        </is>
      </c>
      <c r="B1962" s="33" t="inlineStr">
        <is>
          <t>MCHP</t>
        </is>
      </c>
      <c r="C1962" s="33" t="inlineStr">
        <is>
          <t>EPS YoY</t>
        </is>
      </c>
      <c r="D1962" s="33" t="inlineStr">
        <is>
          <t>BLANK</t>
        </is>
      </c>
      <c r="E1962" s="33" t="inlineStr">
        <is>
          <t>Rule 15: Q4 FY2026 GAAP EPS $0.21 vs $(0.29) prior — sign-flip dominated by purchase accounting, restructuring, preferred dividends. Non-operating-dominated → blanked; Growth averages revenue metrics.</t>
        </is>
      </c>
      <c r="F1962" s="33" t="inlineStr">
        <is>
          <t>per-stock/MCHP/context-2026-06-15.md; 8-K EX-99.1</t>
        </is>
      </c>
      <c r="G1962" s="33" t="inlineStr">
        <is>
          <t>High</t>
        </is>
      </c>
      <c r="H1962" s="33" t="inlineStr">
        <is>
          <t>Initial</t>
        </is>
      </c>
    </row>
    <row r="1963">
      <c r="A1963" s="33" t="inlineStr">
        <is>
          <t>2026-06-15</t>
        </is>
      </c>
      <c r="B1963" s="33" t="inlineStr">
        <is>
          <t>ON</t>
        </is>
      </c>
      <c r="C1963" s="33" t="inlineStr">
        <is>
          <t>EPS YoY</t>
        </is>
      </c>
      <c r="D1963" s="33" t="inlineStr">
        <is>
          <t>BLANK</t>
        </is>
      </c>
      <c r="E1963" s="33" t="inlineStr">
        <is>
          <t>Rule 15: Q1 2026 GAAP EPS -$0.08 vs -$1.15 — both periods GAAP losses dominated by restructuring/impairment ($539.3M opex Q1’25; $329.3M opex Q1’26). Non-GAAP +16% ($0.64 vs $0.55) is clean read. Non-operating-dominated → blanked.</t>
        </is>
      </c>
      <c r="F1963" s="33" t="inlineStr">
        <is>
          <t>per-stock/ON/context-2026-06-15.md; 10-Q ended 2026-04-03</t>
        </is>
      </c>
      <c r="G1963" s="33" t="inlineStr">
        <is>
          <t>High</t>
        </is>
      </c>
      <c r="H1963" s="33" t="inlineStr">
        <is>
          <t>Initial</t>
        </is>
      </c>
    </row>
    <row r="1964">
      <c r="A1964" s="33" t="inlineStr">
        <is>
          <t>2026-06-15</t>
        </is>
      </c>
      <c r="B1964" s="33" t="inlineStr">
        <is>
          <t>TXN</t>
        </is>
      </c>
      <c r="C1964" s="33" t="inlineStr">
        <is>
          <t>EPS YoY</t>
        </is>
      </c>
      <c r="D1964" s="33" t="inlineStr">
        <is>
          <t>KEEP 31.3%</t>
        </is>
      </c>
      <c r="E1964" s="33" t="inlineStr">
        <is>
          <t>Rule 15 check: +31.3% ($1.68 vs $1.28) is operating-driven; ~$0.05 discrete tax benefit immaterial (~3%). Populated, not blanked.</t>
        </is>
      </c>
      <c r="F1964" s="33" t="inlineStr">
        <is>
          <t>per-stock/TXN/context-2026-06-15.md; Q1’26 call 2026-04-22</t>
        </is>
      </c>
      <c r="G1964" s="33" t="inlineStr">
        <is>
          <t>High</t>
        </is>
      </c>
      <c r="H1964" s="33" t="inlineStr">
        <is>
          <t>Initial</t>
        </is>
      </c>
    </row>
    <row r="1965">
      <c r="A1965" s="33" t="inlineStr">
        <is>
          <t>2026-06-15</t>
        </is>
      </c>
      <c r="B1965" s="33" t="inlineStr">
        <is>
          <t>ADI</t>
        </is>
      </c>
      <c r="C1965" s="33" t="inlineStr">
        <is>
          <t>EPS YoY</t>
        </is>
      </c>
      <c r="D1965" s="33" t="inlineStr">
        <is>
          <t>KEEP 110.5%</t>
        </is>
      </c>
      <c r="E1965" s="33" t="inlineStr">
        <is>
          <t>Rule 15 check: +110.5% GAAP ($2.40 vs $1.14) operational; no divestiture/FV/tax one-off in last 4 qtrs (Empower is a cash use, not a gain). Populated, not blanked.</t>
        </is>
      </c>
      <c r="F1965" s="33" t="inlineStr">
        <is>
          <t>per-stock/ADI/context-2026-06-15.md; XBRL companyconcept</t>
        </is>
      </c>
      <c r="G1965" s="33" t="inlineStr">
        <is>
          <t>High</t>
        </is>
      </c>
      <c r="H1965" s="33" t="inlineStr">
        <is>
          <t>Initial</t>
        </is>
      </c>
    </row>
    <row r="1966">
      <c r="A1966" s="33" t="inlineStr">
        <is>
          <t>2026-06-15</t>
        </is>
      </c>
      <c r="B1966" s="33" t="inlineStr">
        <is>
          <t>STM</t>
        </is>
      </c>
      <c r="C1966" s="33" t="inlineStr">
        <is>
          <t>EPS YoY</t>
        </is>
      </c>
      <c r="D1966" s="33" t="inlineStr">
        <is>
          <t>KEEP -33.3%</t>
        </is>
      </c>
      <c r="E1966" s="33" t="inlineStr">
        <is>
          <t>Rule 15 check: -33.3% ($0.04 vs $0.06) operationally real (margin/restructuring/PPA) off a small base; not one-time-dominated. Populated, not blanked.</t>
        </is>
      </c>
      <c r="F1966" s="33" t="inlineStr">
        <is>
          <t>per-stock/STM/context-2026-06-15.md; ST Q1’26 6-K</t>
        </is>
      </c>
      <c r="G1966" s="33" t="inlineStr">
        <is>
          <t>Medium</t>
        </is>
      </c>
      <c r="H1966" s="33" t="inlineStr">
        <is>
          <t>Initial</t>
        </is>
      </c>
    </row>
    <row r="1967">
      <c r="A1967" s="33" t="inlineStr">
        <is>
          <t>2026-06-15</t>
        </is>
      </c>
      <c r="B1967" s="33" t="inlineStr">
        <is>
          <t>SWKS</t>
        </is>
      </c>
      <c r="C1967" s="33" t="inlineStr">
        <is>
          <t>EPS YoY</t>
        </is>
      </c>
      <c r="D1967" s="33" t="inlineStr">
        <is>
          <t>KEEP -44.2%</t>
        </is>
      </c>
      <c r="E1967" s="33" t="inlineStr">
        <is>
          <t>Rule 15 check: -44.2% GAAP ($0.24 vs $0.43) is operational (lower revenue + recurring amortization/restructuring), not one-time-dominated. Populated, not blanked.</t>
        </is>
      </c>
      <c r="F1967" s="33" t="inlineStr">
        <is>
          <t>per-stock/SWKS/context-2026-06-15.md; Q2 FY26 8-K</t>
        </is>
      </c>
      <c r="G1967" s="33" t="inlineStr">
        <is>
          <t>High</t>
        </is>
      </c>
      <c r="H1967" s="33" t="inlineStr">
        <is>
          <t>Initial</t>
        </is>
      </c>
    </row>
    <row r="1968">
      <c r="A1968" s="33" t="inlineStr">
        <is>
          <t>2026-06-15</t>
        </is>
      </c>
      <c r="B1968" s="33" t="inlineStr">
        <is>
          <t>TXN</t>
        </is>
      </c>
      <c r="C1968" s="33" t="inlineStr">
        <is>
          <t>D1</t>
        </is>
      </c>
      <c r="D1968" s="33" t="n">
        <v>2</v>
      </c>
      <c r="E1968" s="33" t="inlineStr">
        <is>
          <t>~6-7% datacenter (power/signal chain) +~90% YoY; core industrial/auto/PE</t>
        </is>
      </c>
      <c r="F1968" s="33" t="inlineStr">
        <is>
          <t>per-stock/TXN/context-2026-06-15.md</t>
        </is>
      </c>
      <c r="G1968" s="33" t="inlineStr">
        <is>
          <t>Med</t>
        </is>
      </c>
      <c r="H1968" s="33" t="inlineStr">
        <is>
          <t>Initial</t>
        </is>
      </c>
    </row>
    <row r="1969">
      <c r="A1969" s="33" t="inlineStr">
        <is>
          <t>2026-06-15</t>
        </is>
      </c>
      <c r="B1969" s="33" t="inlineStr">
        <is>
          <t>TXN</t>
        </is>
      </c>
      <c r="C1969" s="33" t="inlineStr">
        <is>
          <t>D2</t>
        </is>
      </c>
      <c r="D1969" s="33" t="n">
        <v>4</v>
      </c>
      <c r="E1969" s="33" t="inlineStr">
        <is>
          <t>Analog scale/cost leader (300mm), broad sticky catalog, pricing firming</t>
        </is>
      </c>
      <c r="F1969" s="33" t="inlineStr">
        <is>
          <t>per-stock/TXN/context-2026-06-15.md</t>
        </is>
      </c>
      <c r="G1969" s="33" t="inlineStr">
        <is>
          <t>High</t>
        </is>
      </c>
      <c r="H1969" s="33" t="inlineStr">
        <is>
          <t>Initial</t>
        </is>
      </c>
    </row>
    <row r="1970">
      <c r="A1970" s="33" t="inlineStr">
        <is>
          <t>2026-06-15</t>
        </is>
      </c>
      <c r="B1970" s="33" t="inlineStr">
        <is>
          <t>TXN</t>
        </is>
      </c>
      <c r="C1970" s="33" t="inlineStr">
        <is>
          <t>D3</t>
        </is>
      </c>
      <c r="D1970" s="33" t="n">
        <v>4</v>
      </c>
      <c r="E1970" s="33" t="inlineStr">
        <is>
          <t>Durable scale+breadth moat, design-in switching costs</t>
        </is>
      </c>
      <c r="F1970" s="33" t="inlineStr">
        <is>
          <t>per-stock/TXN/context-2026-06-15.md</t>
        </is>
      </c>
      <c r="G1970" s="33" t="inlineStr">
        <is>
          <t>High</t>
        </is>
      </c>
      <c r="H1970" s="33" t="inlineStr">
        <is>
          <t>Initial</t>
        </is>
      </c>
    </row>
    <row r="1971">
      <c r="A1971" s="33" t="inlineStr">
        <is>
          <t>2026-06-15</t>
        </is>
      </c>
      <c r="B1971" s="33" t="inlineStr">
        <is>
          <t>TXN</t>
        </is>
      </c>
      <c r="C1971" s="33" t="inlineStr">
        <is>
          <t>D4</t>
        </is>
      </c>
      <c r="D1971" s="33" t="n">
        <v>5</v>
      </c>
      <c r="E1971" s="33" t="inlineStr">
        <is>
          <t>Funded multi-year megafab buildout (~26% capex/rev), customer-backed</t>
        </is>
      </c>
      <c r="F1971" s="33" t="inlineStr">
        <is>
          <t>per-stock/TXN/context-2026-06-15.md</t>
        </is>
      </c>
      <c r="G1971" s="33" t="inlineStr">
        <is>
          <t>High</t>
        </is>
      </c>
      <c r="H1971" s="33" t="inlineStr">
        <is>
          <t>Initial</t>
        </is>
      </c>
    </row>
    <row r="1972">
      <c r="A1972" s="33" t="inlineStr">
        <is>
          <t>2026-06-15</t>
        </is>
      </c>
      <c r="B1972" s="33" t="inlineStr">
        <is>
          <t>TXN</t>
        </is>
      </c>
      <c r="C1972" s="33" t="inlineStr">
        <is>
          <t>D5</t>
        </is>
      </c>
      <c r="D1972" s="33" t="n">
        <v>2</v>
      </c>
      <c r="E1972" s="33" t="inlineStr">
        <is>
          <t>Indirect/small direct hyperscaler rev via OEM boards; DC sleeve early</t>
        </is>
      </c>
      <c r="F1972" s="33" t="inlineStr">
        <is>
          <t>per-stock/TXN/context-2026-06-15.md</t>
        </is>
      </c>
      <c r="G1972" s="33" t="inlineStr">
        <is>
          <t>Med</t>
        </is>
      </c>
      <c r="H1972" s="33" t="inlineStr">
        <is>
          <t>Initial</t>
        </is>
      </c>
    </row>
    <row r="1973">
      <c r="A1973" s="33" t="inlineStr">
        <is>
          <t>2026-06-15</t>
        </is>
      </c>
      <c r="B1973" s="33" t="inlineStr">
        <is>
          <t>TXN</t>
        </is>
      </c>
      <c r="C1973" s="33" t="inlineStr">
        <is>
          <t>M1</t>
        </is>
      </c>
      <c r="D1973" s="33" t="n">
        <v>5</v>
      </c>
      <c r="E1973" s="33" t="inlineStr">
        <is>
          <t>Beat-and-raise; Zacks +25% 30d, 0 down</t>
        </is>
      </c>
      <c r="F1973" s="33" t="inlineStr">
        <is>
          <t>Form4(EDGAR)+Yahoo/yfinance momentum pull 2026-06-15</t>
        </is>
      </c>
      <c r="G1973" s="33" t="inlineStr">
        <is>
          <t>High</t>
        </is>
      </c>
      <c r="H1973" s="33" t="inlineStr">
        <is>
          <t>Initial</t>
        </is>
      </c>
    </row>
    <row r="1974">
      <c r="A1974" s="33" t="inlineStr">
        <is>
          <t>2026-06-15</t>
        </is>
      </c>
      <c r="B1974" s="33" t="inlineStr">
        <is>
          <t>TXN</t>
        </is>
      </c>
      <c r="C1974" s="33" t="inlineStr">
        <is>
          <t>M2</t>
        </is>
      </c>
      <c r="D1974" s="33" t="n">
        <v>3</v>
      </c>
      <c r="E1974" s="33" t="inlineStr">
        <is>
          <t>+68.4% vs SMH +68.7% (-0.3pp), in line</t>
        </is>
      </c>
      <c r="F1974" s="33" t="inlineStr">
        <is>
          <t>Form4(EDGAR)+Yahoo/yfinance momentum pull 2026-06-15</t>
        </is>
      </c>
      <c r="G1974" s="33" t="inlineStr">
        <is>
          <t>High</t>
        </is>
      </c>
      <c r="H1974" s="33" t="inlineStr">
        <is>
          <t>Initial</t>
        </is>
      </c>
    </row>
    <row r="1975">
      <c r="A1975" s="33" t="inlineStr">
        <is>
          <t>2026-06-15</t>
        </is>
      </c>
      <c r="B1975" s="33" t="inlineStr">
        <is>
          <t>TXN</t>
        </is>
      </c>
      <c r="C1975" s="33" t="inlineStr">
        <is>
          <t>M3</t>
        </is>
      </c>
      <c r="D1975" s="33" t="n">
        <v>3</v>
      </c>
      <c r="E1975" s="33" t="inlineStr">
        <is>
          <t>Zero open-market buys; sells mostly exercise-and-sell + planned CFO retirement</t>
        </is>
      </c>
      <c r="F1975" s="33" t="inlineStr">
        <is>
          <t>Form4(EDGAR)+Yahoo/yfinance momentum pull 2026-06-15</t>
        </is>
      </c>
      <c r="G1975" s="33" t="inlineStr">
        <is>
          <t>Med</t>
        </is>
      </c>
      <c r="H1975" s="33" t="inlineStr">
        <is>
          <t>Initial</t>
        </is>
      </c>
    </row>
    <row r="1976">
      <c r="A1976" s="33" t="inlineStr">
        <is>
          <t>2026-06-15</t>
        </is>
      </c>
      <c r="B1976" s="33" t="inlineStr">
        <is>
          <t>TXN</t>
        </is>
      </c>
      <c r="C1976" s="33" t="inlineStr">
        <is>
          <t>R1</t>
        </is>
      </c>
      <c r="D1976" s="33" t="n">
        <v>5</v>
      </c>
      <c r="E1976" s="33" t="inlineStr">
        <is>
          <t>~100k customers, none &gt;10%</t>
        </is>
      </c>
      <c r="F1976" s="33" t="inlineStr">
        <is>
          <t>per-stock/TXN/context-2026-06-15.md</t>
        </is>
      </c>
      <c r="G1976" s="33" t="inlineStr">
        <is>
          <t>High</t>
        </is>
      </c>
      <c r="H1976" s="33" t="inlineStr">
        <is>
          <t>Initial</t>
        </is>
      </c>
    </row>
    <row r="1977">
      <c r="A1977" s="33" t="inlineStr">
        <is>
          <t>2026-06-15</t>
        </is>
      </c>
      <c r="B1977" s="33" t="inlineStr">
        <is>
          <t>TXN</t>
        </is>
      </c>
      <c r="C1977" s="33" t="inlineStr">
        <is>
          <t>R2</t>
        </is>
      </c>
      <c r="D1977" s="33" t="n">
        <v>3</v>
      </c>
      <c r="E1977" s="33" t="inlineStr">
        <is>
          <t>China ~20% policy+shipment; worst shock China trade restriction ~20% rev</t>
        </is>
      </c>
      <c r="F1977" s="33" t="inlineStr">
        <is>
          <t>per-stock/TXN/context-2026-06-15.md</t>
        </is>
      </c>
      <c r="G1977" s="33" t="inlineStr">
        <is>
          <t>Med</t>
        </is>
      </c>
      <c r="H1977" s="33" t="inlineStr">
        <is>
          <t>Initial</t>
        </is>
      </c>
    </row>
    <row r="1978">
      <c r="A1978" s="33" t="inlineStr">
        <is>
          <t>2026-06-15</t>
        </is>
      </c>
      <c r="B1978" s="33" t="inlineStr">
        <is>
          <t>TXN</t>
        </is>
      </c>
      <c r="C1978" s="33" t="inlineStr">
        <is>
          <t>R3</t>
        </is>
      </c>
      <c r="D1978" s="33" t="n">
        <v>4</v>
      </c>
      <c r="E1978" s="33" t="inlineStr">
        <is>
          <t>ND/EBITDA ~1.1x, strong FCF; ~$7.5B SiLabs debt H1 2027 ahead</t>
        </is>
      </c>
      <c r="F1978" s="33" t="inlineStr">
        <is>
          <t>per-stock/TXN/context-2026-06-15.md</t>
        </is>
      </c>
      <c r="G1978" s="33" t="inlineStr">
        <is>
          <t>Med</t>
        </is>
      </c>
      <c r="H1978" s="33" t="inlineStr">
        <is>
          <t>Initial</t>
        </is>
      </c>
    </row>
    <row r="1979">
      <c r="A1979" s="33" t="inlineStr">
        <is>
          <t>2026-06-15</t>
        </is>
      </c>
      <c r="B1979" s="33" t="inlineStr">
        <is>
          <t>TXN</t>
        </is>
      </c>
      <c r="C1979" s="33" t="inlineStr">
        <is>
          <t>R4</t>
        </is>
      </c>
      <c r="D1979" s="33" t="n">
        <v>4</v>
      </c>
      <c r="E1979" s="33" t="inlineStr">
        <is>
          <t>Routine; no material litigation</t>
        </is>
      </c>
      <c r="F1979" s="33" t="inlineStr">
        <is>
          <t>per-stock/TXN/context-2026-06-15.md</t>
        </is>
      </c>
      <c r="G1979" s="33" t="inlineStr">
        <is>
          <t>Med</t>
        </is>
      </c>
      <c r="H1979" s="33" t="inlineStr">
        <is>
          <t>Initial</t>
        </is>
      </c>
    </row>
    <row r="1980">
      <c r="A1980" s="33" t="inlineStr">
        <is>
          <t>2026-06-15</t>
        </is>
      </c>
      <c r="B1980" s="33" t="inlineStr">
        <is>
          <t>QCOM</t>
        </is>
      </c>
      <c r="C1980" s="33" t="inlineStr">
        <is>
          <t>D1</t>
        </is>
      </c>
      <c r="D1980" s="33" t="n">
        <v>1</v>
      </c>
      <c r="E1980" s="33" t="inlineStr">
        <is>
          <t>~0% datacenter AI today; edge AI embedded; AI200/AI250 unproven option</t>
        </is>
      </c>
      <c r="F1980" s="33" t="inlineStr">
        <is>
          <t>per-stock/QCOM/context-2026-06-15.md</t>
        </is>
      </c>
      <c r="G1980" s="33" t="inlineStr">
        <is>
          <t>High</t>
        </is>
      </c>
      <c r="H1980" s="33" t="inlineStr">
        <is>
          <t>Initial</t>
        </is>
      </c>
    </row>
    <row r="1981">
      <c r="A1981" s="33" t="inlineStr">
        <is>
          <t>2026-06-15</t>
        </is>
      </c>
      <c r="B1981" s="33" t="inlineStr">
        <is>
          <t>QCOM</t>
        </is>
      </c>
      <c r="C1981" s="33" t="inlineStr">
        <is>
          <t>D2</t>
        </is>
      </c>
      <c r="D1981" s="33" t="n">
        <v>3</v>
      </c>
      <c r="E1981" s="33" t="inlineStr">
        <is>
          <t>Modem/SoC IP+licensing quasi-bottleneck but Apple in-sourcing = substitutable</t>
        </is>
      </c>
      <c r="F1981" s="33" t="inlineStr">
        <is>
          <t>per-stock/QCOM/context-2026-06-15.md</t>
        </is>
      </c>
      <c r="G1981" s="33" t="inlineStr">
        <is>
          <t>Med</t>
        </is>
      </c>
      <c r="H1981" s="33" t="inlineStr">
        <is>
          <t>Initial</t>
        </is>
      </c>
    </row>
    <row r="1982">
      <c r="A1982" s="33" t="inlineStr">
        <is>
          <t>2026-06-15</t>
        </is>
      </c>
      <c r="B1982" s="33" t="inlineStr">
        <is>
          <t>QCOM</t>
        </is>
      </c>
      <c r="C1982" s="33" t="inlineStr">
        <is>
          <t>D3</t>
        </is>
      </c>
      <c r="D1982" s="33" t="n">
        <v>3</v>
      </c>
      <c r="E1982" s="33" t="inlineStr">
        <is>
          <t>5G patent-licensing moat eroding; no DC software moat</t>
        </is>
      </c>
      <c r="F1982" s="33" t="inlineStr">
        <is>
          <t>per-stock/QCOM/context-2026-06-15.md</t>
        </is>
      </c>
      <c r="G1982" s="33" t="inlineStr">
        <is>
          <t>Med</t>
        </is>
      </c>
      <c r="H1982" s="33" t="inlineStr">
        <is>
          <t>Initial</t>
        </is>
      </c>
    </row>
    <row r="1983">
      <c r="A1983" s="33" t="inlineStr">
        <is>
          <t>2026-06-15</t>
        </is>
      </c>
      <c r="B1983" s="33" t="inlineStr">
        <is>
          <t>QCOM</t>
        </is>
      </c>
      <c r="C1983" s="33" t="inlineStr">
        <is>
          <t>D4</t>
        </is>
      </c>
      <c r="D1983" s="33" t="n">
        <v>3</v>
      </c>
      <c r="E1983" s="33" t="inlineStr">
        <is>
          <t>Fabless, steady-state</t>
        </is>
      </c>
      <c r="F1983" s="33" t="inlineStr">
        <is>
          <t>per-stock/QCOM/context-2026-06-15.md</t>
        </is>
      </c>
      <c r="G1983" s="33" t="inlineStr">
        <is>
          <t>Med</t>
        </is>
      </c>
      <c r="H1983" s="33" t="inlineStr">
        <is>
          <t>Initial</t>
        </is>
      </c>
    </row>
    <row r="1984">
      <c r="A1984" s="33" t="inlineStr">
        <is>
          <t>2026-06-15</t>
        </is>
      </c>
      <c r="B1984" s="33" t="inlineStr">
        <is>
          <t>QCOM</t>
        </is>
      </c>
      <c r="C1984" s="33" t="inlineStr">
        <is>
          <t>D5</t>
        </is>
      </c>
      <c r="D1984" s="33" t="n">
        <v>1</v>
      </c>
      <c r="E1984" s="33" t="inlineStr">
        <is>
          <t>No meaningful hyperscaler revenue</t>
        </is>
      </c>
      <c r="F1984" s="33" t="inlineStr">
        <is>
          <t>per-stock/QCOM/context-2026-06-15.md</t>
        </is>
      </c>
      <c r="G1984" s="33" t="inlineStr">
        <is>
          <t>High</t>
        </is>
      </c>
      <c r="H1984" s="33" t="inlineStr">
        <is>
          <t>Initial</t>
        </is>
      </c>
    </row>
    <row r="1985">
      <c r="A1985" s="33" t="inlineStr">
        <is>
          <t>2026-06-15</t>
        </is>
      </c>
      <c r="B1985" s="33" t="inlineStr">
        <is>
          <t>QCOM</t>
        </is>
      </c>
      <c r="C1985" s="33" t="inlineStr">
        <is>
          <t>M1</t>
        </is>
      </c>
      <c r="D1985" s="33" t="n">
        <v>2</v>
      </c>
      <c r="E1985" s="33" t="inlineStr">
        <is>
          <t>Bifurcated: FY26 EPS cut ~10% on Apple cliff; beat-but-soft-guide; consensus Hold</t>
        </is>
      </c>
      <c r="F1985" s="33" t="inlineStr">
        <is>
          <t>Form4(EDGAR)+Yahoo/yfinance momentum pull 2026-06-15</t>
        </is>
      </c>
      <c r="G1985" s="33" t="inlineStr">
        <is>
          <t>Med</t>
        </is>
      </c>
      <c r="H1985" s="33" t="inlineStr">
        <is>
          <t>Initial</t>
        </is>
      </c>
    </row>
    <row r="1986">
      <c r="A1986" s="33" t="inlineStr">
        <is>
          <t>2026-06-15</t>
        </is>
      </c>
      <c r="B1986" s="33" t="inlineStr">
        <is>
          <t>QCOM</t>
        </is>
      </c>
      <c r="C1986" s="33" t="inlineStr">
        <is>
          <t>M2</t>
        </is>
      </c>
      <c r="D1986" s="33" t="n">
        <v>1</v>
      </c>
      <c r="E1986" s="33" t="inlineStr">
        <is>
          <t>+19.3% vs SMH +76.2% = -56.9pp, massive lag</t>
        </is>
      </c>
      <c r="F1986" s="33" t="inlineStr">
        <is>
          <t>Form4(EDGAR)+Yahoo/yfinance momentum pull 2026-06-15</t>
        </is>
      </c>
      <c r="G1986" s="33" t="inlineStr">
        <is>
          <t>High</t>
        </is>
      </c>
      <c r="H1986" s="33" t="inlineStr">
        <is>
          <t>Initial</t>
        </is>
      </c>
    </row>
    <row r="1987">
      <c r="A1987" s="33" t="inlineStr">
        <is>
          <t>2026-06-15</t>
        </is>
      </c>
      <c r="B1987" s="33" t="inlineStr">
        <is>
          <t>QCOM</t>
        </is>
      </c>
      <c r="C1987" s="33" t="inlineStr">
        <is>
          <t>M3</t>
        </is>
      </c>
      <c r="D1987" s="33" t="n">
        <v>3</v>
      </c>
      <c r="E1987" s="33" t="inlineStr">
        <is>
          <t>Zero buys; 100% routine 10b5-1 selling; no resignations</t>
        </is>
      </c>
      <c r="F1987" s="33" t="inlineStr">
        <is>
          <t>Form4(EDGAR)+Yahoo/yfinance momentum pull 2026-06-15</t>
        </is>
      </c>
      <c r="G1987" s="33" t="inlineStr">
        <is>
          <t>High</t>
        </is>
      </c>
      <c r="H1987" s="33" t="inlineStr">
        <is>
          <t>Initial</t>
        </is>
      </c>
    </row>
    <row r="1988">
      <c r="A1988" s="33" t="inlineStr">
        <is>
          <t>2026-06-15</t>
        </is>
      </c>
      <c r="B1988" s="33" t="inlineStr">
        <is>
          <t>QCOM</t>
        </is>
      </c>
      <c r="C1988" s="33" t="inlineStr">
        <is>
          <t>R1</t>
        </is>
      </c>
      <c r="D1988" s="33" t="n">
        <v>3</v>
      </c>
      <c r="E1988" s="33" t="inlineStr">
        <is>
          <t>Apple+Samsung concentration; Apple ~20% &amp; declining</t>
        </is>
      </c>
      <c r="F1988" s="33" t="inlineStr">
        <is>
          <t>per-stock/QCOM/context-2026-06-15.md</t>
        </is>
      </c>
      <c r="G1988" s="33" t="inlineStr">
        <is>
          <t>Med</t>
        </is>
      </c>
      <c r="H1988" s="33" t="inlineStr">
        <is>
          <t>Initial</t>
        </is>
      </c>
    </row>
    <row r="1989">
      <c r="A1989" s="33" t="inlineStr">
        <is>
          <t>2026-06-15</t>
        </is>
      </c>
      <c r="B1989" s="33" t="inlineStr">
        <is>
          <t>QCOM</t>
        </is>
      </c>
      <c r="C1989" s="33" t="inlineStr">
        <is>
          <t>R2</t>
        </is>
      </c>
      <c r="D1989" s="33" t="n">
        <v>2</v>
      </c>
      <c r="E1989" s="33" t="inlineStr">
        <is>
          <t>China ~46%+ of revenue; worst shock China handset/trade restriction</t>
        </is>
      </c>
      <c r="F1989" s="33" t="inlineStr">
        <is>
          <t>per-stock/QCOM/context-2026-06-15.md</t>
        </is>
      </c>
      <c r="G1989" s="33" t="inlineStr">
        <is>
          <t>Med</t>
        </is>
      </c>
      <c r="H1989" s="33" t="inlineStr">
        <is>
          <t>Initial</t>
        </is>
      </c>
    </row>
    <row r="1990">
      <c r="A1990" s="33" t="inlineStr">
        <is>
          <t>2026-06-15</t>
        </is>
      </c>
      <c r="B1990" s="33" t="inlineStr">
        <is>
          <t>QCOM</t>
        </is>
      </c>
      <c r="C1990" s="33" t="inlineStr">
        <is>
          <t>R3</t>
        </is>
      </c>
      <c r="D1990" s="33" t="n">
        <v>5</v>
      </c>
      <c r="E1990" s="33" t="inlineStr">
        <is>
          <t>ND/EBITDA ~0.4x near net cash; 28% FCF margin</t>
        </is>
      </c>
      <c r="F1990" s="33" t="inlineStr">
        <is>
          <t>per-stock/QCOM/context-2026-06-15.md</t>
        </is>
      </c>
      <c r="G1990" s="33" t="inlineStr">
        <is>
          <t>High</t>
        </is>
      </c>
      <c r="H1990" s="33" t="inlineStr">
        <is>
          <t>Initial</t>
        </is>
      </c>
    </row>
    <row r="1991">
      <c r="A1991" s="33" t="inlineStr">
        <is>
          <t>2026-06-15</t>
        </is>
      </c>
      <c r="B1991" s="33" t="inlineStr">
        <is>
          <t>QCOM</t>
        </is>
      </c>
      <c r="C1991" s="33" t="inlineStr">
        <is>
          <t>R4</t>
        </is>
      </c>
      <c r="D1991" s="33" t="n">
        <v>2</v>
      </c>
      <c r="E1991" s="33" t="inlineStr">
        <is>
          <t>Material litigation (Arm/Nuvia dispute, perennial licensing/antitrust)</t>
        </is>
      </c>
      <c r="F1991" s="33" t="inlineStr">
        <is>
          <t>per-stock/QCOM/context-2026-06-15.md</t>
        </is>
      </c>
      <c r="G1991" s="33" t="inlineStr">
        <is>
          <t>Med</t>
        </is>
      </c>
      <c r="H1991" s="33" t="inlineStr">
        <is>
          <t>Initial</t>
        </is>
      </c>
    </row>
    <row r="1992">
      <c r="A1992" s="33" t="inlineStr">
        <is>
          <t>2026-06-15</t>
        </is>
      </c>
      <c r="B1992" s="33" t="inlineStr">
        <is>
          <t>ADI</t>
        </is>
      </c>
      <c r="C1992" s="33" t="inlineStr">
        <is>
          <t>D1</t>
        </is>
      </c>
      <c r="D1992" s="33" t="n">
        <v>3</v>
      </c>
      <c r="E1992" s="33" t="inlineStr">
        <is>
          <t>~11-12% datacenter (Empower power + optical) +90% YoY; most AI-levered of group</t>
        </is>
      </c>
      <c r="F1992" s="33" t="inlineStr">
        <is>
          <t>per-stock/ADI/context-2026-06-15.md</t>
        </is>
      </c>
      <c r="G1992" s="33" t="inlineStr">
        <is>
          <t>Med</t>
        </is>
      </c>
      <c r="H1992" s="33" t="inlineStr">
        <is>
          <t>Initial</t>
        </is>
      </c>
    </row>
    <row r="1993">
      <c r="A1993" s="33" t="inlineStr">
        <is>
          <t>2026-06-15</t>
        </is>
      </c>
      <c r="B1993" s="33" t="inlineStr">
        <is>
          <t>ADI</t>
        </is>
      </c>
      <c r="C1993" s="33" t="inlineStr">
        <is>
          <t>D2</t>
        </is>
      </c>
      <c r="D1993" s="33" t="n">
        <v>4</v>
      </c>
      <c r="E1993" s="33" t="inlineStr">
        <is>
          <t>High-performance analog/signal-chain leader; strong pricing power</t>
        </is>
      </c>
      <c r="F1993" s="33" t="inlineStr">
        <is>
          <t>per-stock/ADI/context-2026-06-15.md</t>
        </is>
      </c>
      <c r="G1993" s="33" t="inlineStr">
        <is>
          <t>High</t>
        </is>
      </c>
      <c r="H1993" s="33" t="inlineStr">
        <is>
          <t>Initial</t>
        </is>
      </c>
    </row>
    <row r="1994">
      <c r="A1994" s="33" t="inlineStr">
        <is>
          <t>2026-06-15</t>
        </is>
      </c>
      <c r="B1994" s="33" t="inlineStr">
        <is>
          <t>ADI</t>
        </is>
      </c>
      <c r="C1994" s="33" t="inlineStr">
        <is>
          <t>D3</t>
        </is>
      </c>
      <c r="D1994" s="33" t="n">
        <v>4</v>
      </c>
      <c r="E1994" s="33" t="inlineStr">
        <is>
          <t>Durable analog IP + switching costs; demonstrated pricing power</t>
        </is>
      </c>
      <c r="F1994" s="33" t="inlineStr">
        <is>
          <t>per-stock/ADI/context-2026-06-15.md</t>
        </is>
      </c>
      <c r="G1994" s="33" t="inlineStr">
        <is>
          <t>High</t>
        </is>
      </c>
      <c r="H1994" s="33" t="inlineStr">
        <is>
          <t>Initial</t>
        </is>
      </c>
    </row>
    <row r="1995">
      <c r="A1995" s="33" t="inlineStr">
        <is>
          <t>2026-06-15</t>
        </is>
      </c>
      <c r="B1995" s="33" t="inlineStr">
        <is>
          <t>ADI</t>
        </is>
      </c>
      <c r="C1995" s="33" t="inlineStr">
        <is>
          <t>D4</t>
        </is>
      </c>
      <c r="D1995" s="33" t="n">
        <v>3</v>
      </c>
      <c r="E1995" s="33" t="inlineStr">
        <is>
          <t>Fab-lite steady capex; expanding via Empower acquisition</t>
        </is>
      </c>
      <c r="F1995" s="33" t="inlineStr">
        <is>
          <t>per-stock/ADI/context-2026-06-15.md</t>
        </is>
      </c>
      <c r="G1995" s="33" t="inlineStr">
        <is>
          <t>Med</t>
        </is>
      </c>
      <c r="H1995" s="33" t="inlineStr">
        <is>
          <t>Initial</t>
        </is>
      </c>
    </row>
    <row r="1996">
      <c r="A1996" s="33" t="inlineStr">
        <is>
          <t>2026-06-15</t>
        </is>
      </c>
      <c r="B1996" s="33" t="inlineStr">
        <is>
          <t>ADI</t>
        </is>
      </c>
      <c r="C1996" s="33" t="inlineStr">
        <is>
          <t>D5</t>
        </is>
      </c>
      <c r="D1996" s="33" t="n">
        <v>2</v>
      </c>
      <c r="E1996" s="33" t="inlineStr">
        <is>
          <t>DC content reaches hyperscaler infra mostly indirect via integrators</t>
        </is>
      </c>
      <c r="F1996" s="33" t="inlineStr">
        <is>
          <t>per-stock/ADI/context-2026-06-15.md</t>
        </is>
      </c>
      <c r="G1996" s="33" t="inlineStr">
        <is>
          <t>Med</t>
        </is>
      </c>
      <c r="H1996" s="33" t="inlineStr">
        <is>
          <t>Initial</t>
        </is>
      </c>
    </row>
    <row r="1997">
      <c r="A1997" s="33" t="inlineStr">
        <is>
          <t>2026-06-15</t>
        </is>
      </c>
      <c r="B1997" s="33" t="inlineStr">
        <is>
          <t>ADI</t>
        </is>
      </c>
      <c r="C1997" s="33" t="inlineStr">
        <is>
          <t>M1</t>
        </is>
      </c>
      <c r="D1997" s="33" t="n">
        <v>5</v>
      </c>
      <c r="E1997" s="33" t="inlineStr">
        <is>
          <t>Beat-and-raise; FY26 consensus +18.4%; multiple PT raises</t>
        </is>
      </c>
      <c r="F1997" s="33" t="inlineStr">
        <is>
          <t>Form4(EDGAR)+Yahoo/yfinance momentum pull 2026-06-15</t>
        </is>
      </c>
      <c r="G1997" s="33" t="inlineStr">
        <is>
          <t>High</t>
        </is>
      </c>
      <c r="H1997" s="33" t="inlineStr">
        <is>
          <t>Initial</t>
        </is>
      </c>
    </row>
    <row r="1998">
      <c r="A1998" s="33" t="inlineStr">
        <is>
          <t>2026-06-15</t>
        </is>
      </c>
      <c r="B1998" s="33" t="inlineStr">
        <is>
          <t>ADI</t>
        </is>
      </c>
      <c r="C1998" s="33" t="inlineStr">
        <is>
          <t>M2</t>
        </is>
      </c>
      <c r="D1998" s="33" t="n">
        <v>1</v>
      </c>
      <c r="E1998" s="33" t="inlineStr">
        <is>
          <t>+49.9% vs SMH +76.2% = -26.3pp lag</t>
        </is>
      </c>
      <c r="F1998" s="33" t="inlineStr">
        <is>
          <t>Form4(EDGAR)+Yahoo/yfinance momentum pull 2026-06-15</t>
        </is>
      </c>
      <c r="G1998" s="33" t="inlineStr">
        <is>
          <t>High</t>
        </is>
      </c>
      <c r="H1998" s="33" t="inlineStr">
        <is>
          <t>Initial</t>
        </is>
      </c>
    </row>
    <row r="1999">
      <c r="A1999" s="33" t="inlineStr">
        <is>
          <t>2026-06-15</t>
        </is>
      </c>
      <c r="B1999" s="33" t="inlineStr">
        <is>
          <t>ADI</t>
        </is>
      </c>
      <c r="C1999" s="33" t="inlineStr">
        <is>
          <t>M3</t>
        </is>
      </c>
      <c r="D1999" s="33" t="n">
        <v>3</v>
      </c>
      <c r="E1999" s="33" t="inlineStr">
        <is>
          <t>Zero buys; CEO/dir sells all 10b5-1/exercise-and-sell, replenished</t>
        </is>
      </c>
      <c r="F1999" s="33" t="inlineStr">
        <is>
          <t>Form4(EDGAR)+Yahoo/yfinance momentum pull 2026-06-15</t>
        </is>
      </c>
      <c r="G1999" s="33" t="inlineStr">
        <is>
          <t>Med</t>
        </is>
      </c>
      <c r="H1999" s="33" t="inlineStr">
        <is>
          <t>Initial</t>
        </is>
      </c>
    </row>
    <row r="2000">
      <c r="A2000" s="33" t="inlineStr">
        <is>
          <t>2026-06-15</t>
        </is>
      </c>
      <c r="B2000" s="33" t="inlineStr">
        <is>
          <t>ADI</t>
        </is>
      </c>
      <c r="C2000" s="33" t="inlineStr">
        <is>
          <t>R1</t>
        </is>
      </c>
      <c r="D2000" s="33" t="n">
        <v>5</v>
      </c>
      <c r="E2000" s="33" t="inlineStr">
        <is>
          <t>Diversified analog, no customer &gt;15%</t>
        </is>
      </c>
      <c r="F2000" s="33" t="inlineStr">
        <is>
          <t>per-stock/ADI/context-2026-06-15.md</t>
        </is>
      </c>
      <c r="G2000" s="33" t="inlineStr">
        <is>
          <t>High</t>
        </is>
      </c>
      <c r="H2000" s="33" t="inlineStr">
        <is>
          <t>Initial</t>
        </is>
      </c>
    </row>
    <row r="2001">
      <c r="A2001" s="33" t="inlineStr">
        <is>
          <t>2026-06-15</t>
        </is>
      </c>
      <c r="B2001" s="33" t="inlineStr">
        <is>
          <t>ADI</t>
        </is>
      </c>
      <c r="C2001" s="33" t="inlineStr">
        <is>
          <t>R2</t>
        </is>
      </c>
      <c r="D2001" s="33" t="n">
        <v>3</v>
      </c>
      <c r="E2001" s="33" t="inlineStr">
        <is>
          <t>China ~20% policy+shipment; worst shock China restriction ~20% rev</t>
        </is>
      </c>
      <c r="F2001" s="33" t="inlineStr">
        <is>
          <t>per-stock/ADI/context-2026-06-15.md</t>
        </is>
      </c>
      <c r="G2001" s="33" t="inlineStr">
        <is>
          <t>Med</t>
        </is>
      </c>
      <c r="H2001" s="33" t="inlineStr">
        <is>
          <t>Initial</t>
        </is>
      </c>
    </row>
    <row r="2002">
      <c r="A2002" s="33" t="inlineStr">
        <is>
          <t>2026-06-15</t>
        </is>
      </c>
      <c r="B2002" s="33" t="inlineStr">
        <is>
          <t>ADI</t>
        </is>
      </c>
      <c r="C2002" s="33" t="inlineStr">
        <is>
          <t>R3</t>
        </is>
      </c>
      <c r="D2002" s="33" t="n">
        <v>4</v>
      </c>
      <c r="E2002" s="33" t="inlineStr">
        <is>
          <t>ND/EBITDA 0.86x, strong FCF</t>
        </is>
      </c>
      <c r="F2002" s="33" t="inlineStr">
        <is>
          <t>per-stock/ADI/context-2026-06-15.md</t>
        </is>
      </c>
      <c r="G2002" s="33" t="inlineStr">
        <is>
          <t>High</t>
        </is>
      </c>
      <c r="H2002" s="33" t="inlineStr">
        <is>
          <t>Initial</t>
        </is>
      </c>
    </row>
    <row r="2003">
      <c r="A2003" s="33" t="inlineStr">
        <is>
          <t>2026-06-15</t>
        </is>
      </c>
      <c r="B2003" s="33" t="inlineStr">
        <is>
          <t>ADI</t>
        </is>
      </c>
      <c r="C2003" s="33" t="inlineStr">
        <is>
          <t>R4</t>
        </is>
      </c>
      <c r="D2003" s="33" t="n">
        <v>4</v>
      </c>
      <c r="E2003" s="33" t="inlineStr">
        <is>
          <t>Routine; no material litigation</t>
        </is>
      </c>
      <c r="F2003" s="33" t="inlineStr">
        <is>
          <t>per-stock/ADI/context-2026-06-15.md</t>
        </is>
      </c>
      <c r="G2003" s="33" t="inlineStr">
        <is>
          <t>Med</t>
        </is>
      </c>
      <c r="H2003" s="33" t="inlineStr">
        <is>
          <t>Initial</t>
        </is>
      </c>
    </row>
    <row r="2004">
      <c r="A2004" s="33" t="inlineStr">
        <is>
          <t>2026-06-15</t>
        </is>
      </c>
      <c r="B2004" s="33" t="inlineStr">
        <is>
          <t>STM</t>
        </is>
      </c>
      <c r="C2004" s="33" t="inlineStr">
        <is>
          <t>D1</t>
        </is>
      </c>
      <c r="D2004" s="33" t="n">
        <v>2</v>
      </c>
      <c r="E2004" s="33" t="inlineStr">
        <is>
          <t>Datacenter &gt;$500M 2026 (~4% rev)-&gt;$1B 2027; borderline 1/2, growing fast</t>
        </is>
      </c>
      <c r="F2004" s="33" t="inlineStr">
        <is>
          <t>per-stock/STM/context-2026-06-15.md</t>
        </is>
      </c>
      <c r="G2004" s="33" t="inlineStr">
        <is>
          <t>Med</t>
        </is>
      </c>
      <c r="H2004" s="33" t="inlineStr">
        <is>
          <t>Initial</t>
        </is>
      </c>
    </row>
    <row r="2005">
      <c r="A2005" s="33" t="inlineStr">
        <is>
          <t>2026-06-15</t>
        </is>
      </c>
      <c r="B2005" s="33" t="inlineStr">
        <is>
          <t>STM</t>
        </is>
      </c>
      <c r="C2005" s="33" t="inlineStr">
        <is>
          <t>D2</t>
        </is>
      </c>
      <c r="D2005" s="33" t="n">
        <v>3</v>
      </c>
      <c r="E2005" s="33" t="inlineStr">
        <is>
          <t>Broad analog/power mid-chain; SiC competitive; FD-SOI niche</t>
        </is>
      </c>
      <c r="F2005" s="33" t="inlineStr">
        <is>
          <t>per-stock/STM/context-2026-06-15.md</t>
        </is>
      </c>
      <c r="G2005" s="33" t="inlineStr">
        <is>
          <t>Med</t>
        </is>
      </c>
      <c r="H2005" s="33" t="inlineStr">
        <is>
          <t>Initial</t>
        </is>
      </c>
    </row>
    <row r="2006">
      <c r="A2006" s="33" t="inlineStr">
        <is>
          <t>2026-06-15</t>
        </is>
      </c>
      <c r="B2006" s="33" t="inlineStr">
        <is>
          <t>STM</t>
        </is>
      </c>
      <c r="C2006" s="33" t="inlineStr">
        <is>
          <t>D3</t>
        </is>
      </c>
      <c r="D2006" s="33" t="n">
        <v>2</v>
      </c>
      <c r="E2006" s="33" t="inlineStr">
        <is>
          <t>Broad-line cyclical; SiC oversupply/pricing pressure; weak differentiation in trough</t>
        </is>
      </c>
      <c r="F2006" s="33" t="inlineStr">
        <is>
          <t>per-stock/STM/context-2026-06-15.md</t>
        </is>
      </c>
      <c r="G2006" s="33" t="inlineStr">
        <is>
          <t>Med</t>
        </is>
      </c>
      <c r="H2006" s="33" t="inlineStr">
        <is>
          <t>Initial</t>
        </is>
      </c>
    </row>
    <row r="2007">
      <c r="A2007" s="33" t="inlineStr">
        <is>
          <t>2026-06-15</t>
        </is>
      </c>
      <c r="B2007" s="33" t="inlineStr">
        <is>
          <t>STM</t>
        </is>
      </c>
      <c r="C2007" s="33" t="inlineStr">
        <is>
          <t>D4</t>
        </is>
      </c>
      <c r="D2007" s="33" t="n">
        <v>3</v>
      </c>
      <c r="E2007" s="33" t="inlineStr">
        <is>
          <t>SiC capacity expansion moderated by trough capex restraint</t>
        </is>
      </c>
      <c r="F2007" s="33" t="inlineStr">
        <is>
          <t>per-stock/STM/context-2026-06-15.md</t>
        </is>
      </c>
      <c r="G2007" s="33" t="inlineStr">
        <is>
          <t>Med</t>
        </is>
      </c>
      <c r="H2007" s="33" t="inlineStr">
        <is>
          <t>Initial</t>
        </is>
      </c>
    </row>
    <row r="2008">
      <c r="A2008" s="33" t="inlineStr">
        <is>
          <t>2026-06-15</t>
        </is>
      </c>
      <c r="B2008" s="33" t="inlineStr">
        <is>
          <t>STM</t>
        </is>
      </c>
      <c r="C2008" s="33" t="inlineStr">
        <is>
          <t>D5</t>
        </is>
      </c>
      <c r="D2008" s="33" t="n">
        <v>2</v>
      </c>
      <c r="E2008" s="33" t="inlineStr">
        <is>
          <t>NVIDIA 800VDC collaboration (with NVDA not hyperscaler); indirect</t>
        </is>
      </c>
      <c r="F2008" s="33" t="inlineStr">
        <is>
          <t>per-stock/STM/context-2026-06-15.md</t>
        </is>
      </c>
      <c r="G2008" s="33" t="inlineStr">
        <is>
          <t>Med</t>
        </is>
      </c>
      <c r="H2008" s="33" t="inlineStr">
        <is>
          <t>Initial</t>
        </is>
      </c>
    </row>
    <row r="2009">
      <c r="A2009" s="33" t="inlineStr">
        <is>
          <t>2026-06-15</t>
        </is>
      </c>
      <c r="B2009" s="33" t="inlineStr">
        <is>
          <t>STM</t>
        </is>
      </c>
      <c r="C2009" s="33" t="inlineStr">
        <is>
          <t>M1</t>
        </is>
      </c>
      <c r="D2009" s="33" t="n">
        <v>4</v>
      </c>
      <c r="E2009" s="33" t="inlineStr">
        <is>
          <t>Upgrades + PT raises (DB EUR75); one FY26 EPS trim on margins; improving</t>
        </is>
      </c>
      <c r="F2009" s="33" t="inlineStr">
        <is>
          <t>Form4(EDGAR)+Yahoo/yfinance momentum pull 2026-06-15</t>
        </is>
      </c>
      <c r="G2009" s="33" t="inlineStr">
        <is>
          <t>Med</t>
        </is>
      </c>
      <c r="H2009" s="33" t="inlineStr">
        <is>
          <t>Initial</t>
        </is>
      </c>
    </row>
    <row r="2010">
      <c r="A2010" s="33" t="inlineStr">
        <is>
          <t>2026-06-15</t>
        </is>
      </c>
      <c r="B2010" s="33" t="inlineStr">
        <is>
          <t>STM</t>
        </is>
      </c>
      <c r="C2010" s="33" t="inlineStr">
        <is>
          <t>M2</t>
        </is>
      </c>
      <c r="D2010" s="33" t="n">
        <v>5</v>
      </c>
      <c r="E2010" s="33" t="inlineStr">
        <is>
          <t>+194% vs SMH +76% = +118pp; ~3.4x off 52wk lows (trough bounce)</t>
        </is>
      </c>
      <c r="F2010" s="33" t="inlineStr">
        <is>
          <t>Form4(EDGAR)+Yahoo/yfinance momentum pull 2026-06-15</t>
        </is>
      </c>
      <c r="G2010" s="33" t="inlineStr">
        <is>
          <t>High</t>
        </is>
      </c>
      <c r="H2010" s="33" t="inlineStr">
        <is>
          <t>Initial</t>
        </is>
      </c>
    </row>
    <row r="2011">
      <c r="A2011" s="33" t="inlineStr">
        <is>
          <t>2026-06-15</t>
        </is>
      </c>
      <c r="B2011" s="33" t="inlineStr">
        <is>
          <t>STM</t>
        </is>
      </c>
      <c r="C2011" s="33" t="inlineStr">
        <is>
          <t>M3</t>
        </is>
      </c>
      <c r="D2011" s="33" t="n">
        <v>3</v>
      </c>
      <c r="E2011" s="33" t="inlineStr">
        <is>
          <t>Foreign filer (no Form4); EU MAR net selling, post-rally diversification; no buys</t>
        </is>
      </c>
      <c r="F2011" s="33" t="inlineStr">
        <is>
          <t>Form4(EDGAR)+Yahoo/yfinance momentum pull 2026-06-15</t>
        </is>
      </c>
      <c r="G2011" s="33" t="inlineStr">
        <is>
          <t>Low</t>
        </is>
      </c>
      <c r="H2011" s="33" t="inlineStr">
        <is>
          <t>Initial</t>
        </is>
      </c>
    </row>
    <row r="2012">
      <c r="A2012" s="33" t="inlineStr">
        <is>
          <t>2026-06-15</t>
        </is>
      </c>
      <c r="B2012" s="33" t="inlineStr">
        <is>
          <t>STM</t>
        </is>
      </c>
      <c r="C2012" s="33" t="inlineStr">
        <is>
          <t>R1</t>
        </is>
      </c>
      <c r="D2012" s="33" t="n">
        <v>4</v>
      </c>
      <c r="E2012" s="33" t="inlineStr">
        <is>
          <t>Apple (personal electronics) ~15-20% top exposure; otherwise diversified</t>
        </is>
      </c>
      <c r="F2012" s="33" t="inlineStr">
        <is>
          <t>per-stock/STM/context-2026-06-15.md</t>
        </is>
      </c>
      <c r="G2012" s="33" t="inlineStr">
        <is>
          <t>Med</t>
        </is>
      </c>
      <c r="H2012" s="33" t="inlineStr">
        <is>
          <t>Initial</t>
        </is>
      </c>
    </row>
    <row r="2013">
      <c r="A2013" s="33" t="inlineStr">
        <is>
          <t>2026-06-15</t>
        </is>
      </c>
      <c r="B2013" s="33" t="inlineStr">
        <is>
          <t>STM</t>
        </is>
      </c>
      <c r="C2013" s="33" t="inlineStr">
        <is>
          <t>R2</t>
        </is>
      </c>
      <c r="D2013" s="33" t="n">
        <v>3</v>
      </c>
      <c r="E2013" s="33" t="inlineStr">
        <is>
          <t>Greater China ~30% + EU fabs (asset, non-conflict); worst shock China ~30%</t>
        </is>
      </c>
      <c r="F2013" s="33" t="inlineStr">
        <is>
          <t>per-stock/STM/context-2026-06-15.md</t>
        </is>
      </c>
      <c r="G2013" s="33" t="inlineStr">
        <is>
          <t>Med</t>
        </is>
      </c>
      <c r="H2013" s="33" t="inlineStr">
        <is>
          <t>Initial</t>
        </is>
      </c>
    </row>
    <row r="2014">
      <c r="A2014" s="33" t="inlineStr">
        <is>
          <t>2026-06-15</t>
        </is>
      </c>
      <c r="B2014" s="33" t="inlineStr">
        <is>
          <t>STM</t>
        </is>
      </c>
      <c r="C2014" s="33" t="inlineStr">
        <is>
          <t>R3</t>
        </is>
      </c>
      <c r="D2014" s="33" t="n">
        <v>4</v>
      </c>
      <c r="E2014" s="33" t="inlineStr">
        <is>
          <t>Net cash (ND/EBITDA -0.7x) but FCF ~breakeven in trough</t>
        </is>
      </c>
      <c r="F2014" s="33" t="inlineStr">
        <is>
          <t>per-stock/STM/context-2026-06-15.md</t>
        </is>
      </c>
      <c r="G2014" s="33" t="inlineStr">
        <is>
          <t>Med</t>
        </is>
      </c>
      <c r="H2014" s="33" t="inlineStr">
        <is>
          <t>Initial</t>
        </is>
      </c>
    </row>
    <row r="2015">
      <c r="A2015" s="33" t="inlineStr">
        <is>
          <t>2026-06-15</t>
        </is>
      </c>
      <c r="B2015" s="33" t="inlineStr">
        <is>
          <t>STM</t>
        </is>
      </c>
      <c r="C2015" s="33" t="inlineStr">
        <is>
          <t>R4</t>
        </is>
      </c>
      <c r="D2015" s="33" t="n">
        <v>4</v>
      </c>
      <c r="E2015" s="33" t="inlineStr">
        <is>
          <t>Routine; no material litigation</t>
        </is>
      </c>
      <c r="F2015" s="33" t="inlineStr">
        <is>
          <t>per-stock/STM/context-2026-06-15.md</t>
        </is>
      </c>
      <c r="G2015" s="33" t="inlineStr">
        <is>
          <t>Low</t>
        </is>
      </c>
      <c r="H2015" s="33" t="inlineStr">
        <is>
          <t>Initial</t>
        </is>
      </c>
    </row>
    <row r="2016">
      <c r="A2016" s="33" t="inlineStr">
        <is>
          <t>2026-06-15</t>
        </is>
      </c>
      <c r="B2016" s="33" t="inlineStr">
        <is>
          <t>NXPI</t>
        </is>
      </c>
      <c r="C2016" s="33" t="inlineStr">
        <is>
          <t>D1</t>
        </is>
      </c>
      <c r="D2016" s="33" t="n">
        <v>1</v>
      </c>
      <c r="E2016" s="33" t="inlineStr">
        <is>
          <t>Auto/industrial/IoT; edge-AI (Kinara) not hyperscale; ~0-5% genuine AI-DC</t>
        </is>
      </c>
      <c r="F2016" s="33" t="inlineStr">
        <is>
          <t>per-stock/NXPI/context-2026-06-15.md</t>
        </is>
      </c>
      <c r="G2016" s="33" t="inlineStr">
        <is>
          <t>High</t>
        </is>
      </c>
      <c r="H2016" s="33" t="inlineStr">
        <is>
          <t>Initial</t>
        </is>
      </c>
    </row>
    <row r="2017">
      <c r="A2017" s="33" t="inlineStr">
        <is>
          <t>2026-06-15</t>
        </is>
      </c>
      <c r="B2017" s="33" t="inlineStr">
        <is>
          <t>NXPI</t>
        </is>
      </c>
      <c r="C2017" s="33" t="inlineStr">
        <is>
          <t>D2</t>
        </is>
      </c>
      <c r="D2017" s="33" t="n">
        <v>3</v>
      </c>
      <c r="E2017" s="33" t="inlineStr">
        <is>
          <t>Auto/embedded sticky design-ins but competitive; no AI bottleneck</t>
        </is>
      </c>
      <c r="F2017" s="33" t="inlineStr">
        <is>
          <t>per-stock/NXPI/context-2026-06-15.md</t>
        </is>
      </c>
      <c r="G2017" s="33" t="inlineStr">
        <is>
          <t>Med</t>
        </is>
      </c>
      <c r="H2017" s="33" t="inlineStr">
        <is>
          <t>Initial</t>
        </is>
      </c>
    </row>
    <row r="2018">
      <c r="A2018" s="33" t="inlineStr">
        <is>
          <t>2026-06-15</t>
        </is>
      </c>
      <c r="B2018" s="33" t="inlineStr">
        <is>
          <t>NXPI</t>
        </is>
      </c>
      <c r="C2018" s="33" t="inlineStr">
        <is>
          <t>D3</t>
        </is>
      </c>
      <c r="D2018" s="33" t="n">
        <v>3</v>
      </c>
      <c r="E2018" s="33" t="inlineStr">
        <is>
          <t>Auto design-in switching costs; no AI moat</t>
        </is>
      </c>
      <c r="F2018" s="33" t="inlineStr">
        <is>
          <t>per-stock/NXPI/context-2026-06-15.md</t>
        </is>
      </c>
      <c r="G2018" s="33" t="inlineStr">
        <is>
          <t>Med</t>
        </is>
      </c>
      <c r="H2018" s="33" t="inlineStr">
        <is>
          <t>Initial</t>
        </is>
      </c>
    </row>
    <row r="2019">
      <c r="A2019" s="33" t="inlineStr">
        <is>
          <t>2026-06-15</t>
        </is>
      </c>
      <c r="B2019" s="33" t="inlineStr">
        <is>
          <t>NXPI</t>
        </is>
      </c>
      <c r="C2019" s="33" t="inlineStr">
        <is>
          <t>D4</t>
        </is>
      </c>
      <c r="D2019" s="33" t="n">
        <v>3</v>
      </c>
      <c r="E2019" s="33" t="inlineStr">
        <is>
          <t>Fab-lite hybrid manufacturing, steady</t>
        </is>
      </c>
      <c r="F2019" s="33" t="inlineStr">
        <is>
          <t>per-stock/NXPI/context-2026-06-15.md</t>
        </is>
      </c>
      <c r="G2019" s="33" t="inlineStr">
        <is>
          <t>Med</t>
        </is>
      </c>
      <c r="H2019" s="33" t="inlineStr">
        <is>
          <t>Initial</t>
        </is>
      </c>
    </row>
    <row r="2020">
      <c r="A2020" s="33" t="inlineStr">
        <is>
          <t>2026-06-15</t>
        </is>
      </c>
      <c r="B2020" s="33" t="inlineStr">
        <is>
          <t>NXPI</t>
        </is>
      </c>
      <c r="C2020" s="33" t="inlineStr">
        <is>
          <t>D5</t>
        </is>
      </c>
      <c r="D2020" s="33" t="n">
        <v>1</v>
      </c>
      <c r="E2020" s="33" t="inlineStr">
        <is>
          <t>No hyperscaler revenue</t>
        </is>
      </c>
      <c r="F2020" s="33" t="inlineStr">
        <is>
          <t>per-stock/NXPI/context-2026-06-15.md</t>
        </is>
      </c>
      <c r="G2020" s="33" t="inlineStr">
        <is>
          <t>High</t>
        </is>
      </c>
      <c r="H2020" s="33" t="inlineStr">
        <is>
          <t>Initial</t>
        </is>
      </c>
    </row>
    <row r="2021">
      <c r="A2021" s="33" t="inlineStr">
        <is>
          <t>2026-06-15</t>
        </is>
      </c>
      <c r="B2021" s="33" t="inlineStr">
        <is>
          <t>NXPI</t>
        </is>
      </c>
      <c r="C2021" s="33" t="inlineStr">
        <is>
          <t>M1</t>
        </is>
      </c>
      <c r="D2021" s="33" t="n">
        <v>5</v>
      </c>
      <c r="E2021" s="33" t="inlineStr">
        <is>
          <t>Beat-and-raise; 0y 26 up/0 down, consensus +10% 90d</t>
        </is>
      </c>
      <c r="F2021" s="33" t="inlineStr">
        <is>
          <t>Form4(EDGAR)+Yahoo/yfinance momentum pull 2026-06-15</t>
        </is>
      </c>
      <c r="G2021" s="33" t="inlineStr">
        <is>
          <t>High</t>
        </is>
      </c>
      <c r="H2021" s="33" t="inlineStr">
        <is>
          <t>Initial</t>
        </is>
      </c>
    </row>
    <row r="2022">
      <c r="A2022" s="33" t="inlineStr">
        <is>
          <t>2026-06-15</t>
        </is>
      </c>
      <c r="B2022" s="33" t="inlineStr">
        <is>
          <t>NXPI</t>
        </is>
      </c>
      <c r="C2022" s="33" t="inlineStr">
        <is>
          <t>M2</t>
        </is>
      </c>
      <c r="D2022" s="33" t="n">
        <v>1</v>
      </c>
      <c r="E2022" s="33" t="inlineStr">
        <is>
          <t>+37% vs SMH +84% = -47pp lag</t>
        </is>
      </c>
      <c r="F2022" s="33" t="inlineStr">
        <is>
          <t>Form4(EDGAR)+Yahoo/yfinance momentum pull 2026-06-15</t>
        </is>
      </c>
      <c r="G2022" s="33" t="inlineStr">
        <is>
          <t>High</t>
        </is>
      </c>
      <c r="H2022" s="33" t="inlineStr">
        <is>
          <t>Initial</t>
        </is>
      </c>
    </row>
    <row r="2023">
      <c r="A2023" s="33" t="inlineStr">
        <is>
          <t>2026-06-15</t>
        </is>
      </c>
      <c r="B2023" s="33" t="inlineStr">
        <is>
          <t>NXPI</t>
        </is>
      </c>
      <c r="C2023" s="33" t="inlineStr">
        <is>
          <t>M3</t>
        </is>
      </c>
      <c r="D2023" s="33" t="n">
        <v>2</v>
      </c>
      <c r="E2023" s="33" t="inlineStr">
        <is>
          <t>Zero meaningful buys; broad C-suite selling incl CFO ~83% near-liquidation, CSO ~72% discretionary</t>
        </is>
      </c>
      <c r="F2023" s="33" t="inlineStr">
        <is>
          <t>Form4(EDGAR)+Yahoo/yfinance momentum pull 2026-06-15</t>
        </is>
      </c>
      <c r="G2023" s="33" t="inlineStr">
        <is>
          <t>Med</t>
        </is>
      </c>
      <c r="H2023" s="33" t="inlineStr">
        <is>
          <t>Initial</t>
        </is>
      </c>
    </row>
    <row r="2024">
      <c r="A2024" s="33" t="inlineStr">
        <is>
          <t>2026-06-15</t>
        </is>
      </c>
      <c r="B2024" s="33" t="inlineStr">
        <is>
          <t>NXPI</t>
        </is>
      </c>
      <c r="C2024" s="33" t="inlineStr">
        <is>
          <t>R1</t>
        </is>
      </c>
      <c r="D2024" s="33" t="n">
        <v>5</v>
      </c>
      <c r="E2024" s="33" t="inlineStr">
        <is>
          <t>Auto/industrial very diversified, no customer &gt;10%</t>
        </is>
      </c>
      <c r="F2024" s="33" t="inlineStr">
        <is>
          <t>per-stock/NXPI/context-2026-06-15.md</t>
        </is>
      </c>
      <c r="G2024" s="33" t="inlineStr">
        <is>
          <t>High</t>
        </is>
      </c>
      <c r="H2024" s="33" t="inlineStr">
        <is>
          <t>Initial</t>
        </is>
      </c>
    </row>
    <row r="2025">
      <c r="A2025" s="33" t="inlineStr">
        <is>
          <t>2026-06-15</t>
        </is>
      </c>
      <c r="B2025" s="33" t="inlineStr">
        <is>
          <t>NXPI</t>
        </is>
      </c>
      <c r="C2025" s="33" t="inlineStr">
        <is>
          <t>R2</t>
        </is>
      </c>
      <c r="D2025" s="33" t="n">
        <v>3</v>
      </c>
      <c r="E2025" s="33" t="inlineStr">
        <is>
          <t>China ~30-35%; worst shock China auto/trade restriction; policy+shipment</t>
        </is>
      </c>
      <c r="F2025" s="33" t="inlineStr">
        <is>
          <t>per-stock/NXPI/context-2026-06-15.md</t>
        </is>
      </c>
      <c r="G2025" s="33" t="inlineStr">
        <is>
          <t>Med</t>
        </is>
      </c>
      <c r="H2025" s="33" t="inlineStr">
        <is>
          <t>Initial</t>
        </is>
      </c>
    </row>
    <row r="2026">
      <c r="A2026" s="33" t="inlineStr">
        <is>
          <t>2026-06-15</t>
        </is>
      </c>
      <c r="B2026" s="33" t="inlineStr">
        <is>
          <t>NXPI</t>
        </is>
      </c>
      <c r="C2026" s="33" t="inlineStr">
        <is>
          <t>R3</t>
        </is>
      </c>
      <c r="D2026" s="33" t="n">
        <v>4</v>
      </c>
      <c r="E2026" s="33" t="inlineStr">
        <is>
          <t>ND/EBITDA ~1.9x clean, manageable</t>
        </is>
      </c>
      <c r="F2026" s="33" t="inlineStr">
        <is>
          <t>per-stock/NXPI/context-2026-06-15.md</t>
        </is>
      </c>
      <c r="G2026" s="33" t="inlineStr">
        <is>
          <t>Med</t>
        </is>
      </c>
      <c r="H2026" s="33" t="inlineStr">
        <is>
          <t>Initial</t>
        </is>
      </c>
    </row>
    <row r="2027">
      <c r="A2027" s="33" t="inlineStr">
        <is>
          <t>2026-06-15</t>
        </is>
      </c>
      <c r="B2027" s="33" t="inlineStr">
        <is>
          <t>NXPI</t>
        </is>
      </c>
      <c r="C2027" s="33" t="inlineStr">
        <is>
          <t>R4</t>
        </is>
      </c>
      <c r="D2027" s="33" t="n">
        <v>4</v>
      </c>
      <c r="E2027" s="33" t="inlineStr">
        <is>
          <t>Routine; CEO transition orderly</t>
        </is>
      </c>
      <c r="F2027" s="33" t="inlineStr">
        <is>
          <t>per-stock/NXPI/context-2026-06-15.md</t>
        </is>
      </c>
      <c r="G2027" s="33" t="inlineStr">
        <is>
          <t>Med</t>
        </is>
      </c>
      <c r="H2027" s="33" t="inlineStr">
        <is>
          <t>Initial</t>
        </is>
      </c>
    </row>
    <row r="2028">
      <c r="A2028" s="33" t="inlineStr">
        <is>
          <t>2026-06-15</t>
        </is>
      </c>
      <c r="B2028" s="33" t="inlineStr">
        <is>
          <t>MCHP</t>
        </is>
      </c>
      <c r="C2028" s="33" t="inlineStr">
        <is>
          <t>D1</t>
        </is>
      </c>
      <c r="D2028" s="33" t="n">
        <v>2</v>
      </c>
      <c r="E2028" s="33" t="inlineStr">
        <is>
          <t>Data Center Solutions ~$303M CY25-&gt;~$500M CY26 (~8% rev), PCIe switches/retimers</t>
        </is>
      </c>
      <c r="F2028" s="33" t="inlineStr">
        <is>
          <t>per-stock/MCHP/context-2026-06-15.md</t>
        </is>
      </c>
      <c r="G2028" s="33" t="inlineStr">
        <is>
          <t>Med</t>
        </is>
      </c>
      <c r="H2028" s="33" t="inlineStr">
        <is>
          <t>Initial</t>
        </is>
      </c>
    </row>
    <row r="2029">
      <c r="A2029" s="33" t="inlineStr">
        <is>
          <t>2026-06-15</t>
        </is>
      </c>
      <c r="B2029" s="33" t="inlineStr">
        <is>
          <t>MCHP</t>
        </is>
      </c>
      <c r="C2029" s="33" t="inlineStr">
        <is>
          <t>D2</t>
        </is>
      </c>
      <c r="D2029" s="33" t="n">
        <v>3</v>
      </c>
      <c r="E2029" s="33" t="inlineStr">
        <is>
          <t>MCU ecosystem stickiness but many competitors; commoditizing</t>
        </is>
      </c>
      <c r="F2029" s="33" t="inlineStr">
        <is>
          <t>per-stock/MCHP/context-2026-06-15.md</t>
        </is>
      </c>
      <c r="G2029" s="33" t="inlineStr">
        <is>
          <t>Med</t>
        </is>
      </c>
      <c r="H2029" s="33" t="inlineStr">
        <is>
          <t>Initial</t>
        </is>
      </c>
    </row>
    <row r="2030">
      <c r="A2030" s="33" t="inlineStr">
        <is>
          <t>2026-06-15</t>
        </is>
      </c>
      <c r="B2030" s="33" t="inlineStr">
        <is>
          <t>MCHP</t>
        </is>
      </c>
      <c r="C2030" s="33" t="inlineStr">
        <is>
          <t>D3</t>
        </is>
      </c>
      <c r="D2030" s="33" t="n">
        <v>3</v>
      </c>
      <c r="E2030" s="33" t="inlineStr">
        <is>
          <t>MCU design-in stickiness eroding; heavy debt limits flexibility</t>
        </is>
      </c>
      <c r="F2030" s="33" t="inlineStr">
        <is>
          <t>per-stock/MCHP/context-2026-06-15.md</t>
        </is>
      </c>
      <c r="G2030" s="33" t="inlineStr">
        <is>
          <t>Med</t>
        </is>
      </c>
      <c r="H2030" s="33" t="inlineStr">
        <is>
          <t>Initial</t>
        </is>
      </c>
    </row>
    <row r="2031">
      <c r="A2031" s="33" t="inlineStr">
        <is>
          <t>2026-06-15</t>
        </is>
      </c>
      <c r="B2031" s="33" t="inlineStr">
        <is>
          <t>MCHP</t>
        </is>
      </c>
      <c r="C2031" s="33" t="inlineStr">
        <is>
          <t>D4</t>
        </is>
      </c>
      <c r="D2031" s="33" t="n">
        <v>2</v>
      </c>
      <c r="E2031" s="33" t="inlineStr">
        <is>
          <t>Restructuring: Fab 2 sale, capex constrained/cutting</t>
        </is>
      </c>
      <c r="F2031" s="33" t="inlineStr">
        <is>
          <t>per-stock/MCHP/context-2026-06-15.md</t>
        </is>
      </c>
      <c r="G2031" s="33" t="inlineStr">
        <is>
          <t>High</t>
        </is>
      </c>
      <c r="H2031" s="33" t="inlineStr">
        <is>
          <t>Initial</t>
        </is>
      </c>
    </row>
    <row r="2032">
      <c r="A2032" s="33" t="inlineStr">
        <is>
          <t>2026-06-15</t>
        </is>
      </c>
      <c r="B2032" s="33" t="inlineStr">
        <is>
          <t>MCHP</t>
        </is>
      </c>
      <c r="C2032" s="33" t="inlineStr">
        <is>
          <t>D5</t>
        </is>
      </c>
      <c r="D2032" s="33" t="n">
        <v>2</v>
      </c>
      <c r="E2032" s="33" t="inlineStr">
        <is>
          <t>DCS sells PCIe into servers w/ some hyperscaler pull; small, indirect</t>
        </is>
      </c>
      <c r="F2032" s="33" t="inlineStr">
        <is>
          <t>per-stock/MCHP/context-2026-06-15.md</t>
        </is>
      </c>
      <c r="G2032" s="33" t="inlineStr">
        <is>
          <t>Med</t>
        </is>
      </c>
      <c r="H2032" s="33" t="inlineStr">
        <is>
          <t>Initial</t>
        </is>
      </c>
    </row>
    <row r="2033">
      <c r="A2033" s="33" t="inlineStr">
        <is>
          <t>2026-06-15</t>
        </is>
      </c>
      <c r="B2033" s="33" t="inlineStr">
        <is>
          <t>MCHP</t>
        </is>
      </c>
      <c r="C2033" s="33" t="inlineStr">
        <is>
          <t>M1</t>
        </is>
      </c>
      <c r="D2033" s="33" t="n">
        <v>5</v>
      </c>
      <c r="E2033" s="33" t="inlineStr">
        <is>
          <t>Clean beat-and-raise; Zacks FY27 +21.6% 30d, 0 down</t>
        </is>
      </c>
      <c r="F2033" s="33" t="inlineStr">
        <is>
          <t>Form4(EDGAR)+Yahoo/yfinance momentum pull 2026-06-15</t>
        </is>
      </c>
      <c r="G2033" s="33" t="inlineStr">
        <is>
          <t>High</t>
        </is>
      </c>
      <c r="H2033" s="33" t="inlineStr">
        <is>
          <t>Initial</t>
        </is>
      </c>
    </row>
    <row r="2034">
      <c r="A2034" s="33" t="inlineStr">
        <is>
          <t>2026-06-15</t>
        </is>
      </c>
      <c r="B2034" s="33" t="inlineStr">
        <is>
          <t>MCHP</t>
        </is>
      </c>
      <c r="C2034" s="33" t="inlineStr">
        <is>
          <t>M2</t>
        </is>
      </c>
      <c r="D2034" s="33" t="n">
        <v>1</v>
      </c>
      <c r="E2034" s="33" t="inlineStr">
        <is>
          <t>+51% vs SMH +84% = -33pp lag</t>
        </is>
      </c>
      <c r="F2034" s="33" t="inlineStr">
        <is>
          <t>Form4(EDGAR)+Yahoo/yfinance momentum pull 2026-06-15</t>
        </is>
      </c>
      <c r="G2034" s="33" t="inlineStr">
        <is>
          <t>High</t>
        </is>
      </c>
      <c r="H2034" s="33" t="inlineStr">
        <is>
          <t>Initial</t>
        </is>
      </c>
    </row>
    <row r="2035">
      <c r="A2035" s="33" t="inlineStr">
        <is>
          <t>2026-06-15</t>
        </is>
      </c>
      <c r="B2035" s="33" t="inlineStr">
        <is>
          <t>MCHP</t>
        </is>
      </c>
      <c r="C2035" s="33" t="inlineStr">
        <is>
          <t>M3</t>
        </is>
      </c>
      <c r="D2035" s="33" t="n">
        <v>3</v>
      </c>
      <c r="E2035" s="33" t="inlineStr">
        <is>
          <t>Zero open-market buys (downturn-buy narrative unsupported in 12mo); Sanghi 10b5-1 routine</t>
        </is>
      </c>
      <c r="F2035" s="33" t="inlineStr">
        <is>
          <t>Form4(EDGAR)+Yahoo/yfinance momentum pull 2026-06-15</t>
        </is>
      </c>
      <c r="G2035" s="33" t="inlineStr">
        <is>
          <t>Med</t>
        </is>
      </c>
      <c r="H2035" s="33" t="inlineStr">
        <is>
          <t>Initial</t>
        </is>
      </c>
    </row>
    <row r="2036">
      <c r="A2036" s="33" t="inlineStr">
        <is>
          <t>2026-06-15</t>
        </is>
      </c>
      <c r="B2036" s="33" t="inlineStr">
        <is>
          <t>MCHP</t>
        </is>
      </c>
      <c r="C2036" s="33" t="inlineStr">
        <is>
          <t>R1</t>
        </is>
      </c>
      <c r="D2036" s="33" t="n">
        <v>5</v>
      </c>
      <c r="E2036" s="33" t="inlineStr">
        <is>
          <t>Highly diversified, ~120k customers, none &gt;10%</t>
        </is>
      </c>
      <c r="F2036" s="33" t="inlineStr">
        <is>
          <t>per-stock/MCHP/context-2026-06-15.md</t>
        </is>
      </c>
      <c r="G2036" s="33" t="inlineStr">
        <is>
          <t>High</t>
        </is>
      </c>
      <c r="H2036" s="33" t="inlineStr">
        <is>
          <t>Initial</t>
        </is>
      </c>
    </row>
    <row r="2037">
      <c r="A2037" s="33" t="inlineStr">
        <is>
          <t>2026-06-15</t>
        </is>
      </c>
      <c r="B2037" s="33" t="inlineStr">
        <is>
          <t>MCHP</t>
        </is>
      </c>
      <c r="C2037" s="33" t="inlineStr">
        <is>
          <t>R2</t>
        </is>
      </c>
      <c r="D2037" s="33" t="n">
        <v>3</v>
      </c>
      <c r="E2037" s="33" t="inlineStr">
        <is>
          <t>China ~15-20% + shipment; worst shock China restriction</t>
        </is>
      </c>
      <c r="F2037" s="33" t="inlineStr">
        <is>
          <t>per-stock/MCHP/context-2026-06-15.md</t>
        </is>
      </c>
      <c r="G2037" s="33" t="inlineStr">
        <is>
          <t>Med</t>
        </is>
      </c>
      <c r="H2037" s="33" t="inlineStr">
        <is>
          <t>Initial</t>
        </is>
      </c>
    </row>
    <row r="2038">
      <c r="A2038" s="33" t="inlineStr">
        <is>
          <t>2026-06-15</t>
        </is>
      </c>
      <c r="B2038" s="33" t="inlineStr">
        <is>
          <t>MCHP</t>
        </is>
      </c>
      <c r="C2038" s="33" t="inlineStr">
        <is>
          <t>R3</t>
        </is>
      </c>
      <c r="D2038" s="33" t="n">
        <v>2</v>
      </c>
      <c r="E2038" s="33" t="inlineStr">
        <is>
          <t>ND/EBITDA 4.3x (trough-inflated), $240M cash, dividend &gt;100% FCF, preferred overhang</t>
        </is>
      </c>
      <c r="F2038" s="33" t="inlineStr">
        <is>
          <t>per-stock/MCHP/context-2026-06-15.md</t>
        </is>
      </c>
      <c r="G2038" s="33" t="inlineStr">
        <is>
          <t>High</t>
        </is>
      </c>
      <c r="H2038" s="33" t="inlineStr">
        <is>
          <t>Initial</t>
        </is>
      </c>
    </row>
    <row r="2039">
      <c r="A2039" s="33" t="inlineStr">
        <is>
          <t>2026-06-15</t>
        </is>
      </c>
      <c r="B2039" s="33" t="inlineStr">
        <is>
          <t>MCHP</t>
        </is>
      </c>
      <c r="C2039" s="33" t="inlineStr">
        <is>
          <t>R4</t>
        </is>
      </c>
      <c r="D2039" s="33" t="n">
        <v>4</v>
      </c>
      <c r="E2039" s="33" t="inlineStr">
        <is>
          <t>Routine; restructuring not litigation</t>
        </is>
      </c>
      <c r="F2039" s="33" t="inlineStr">
        <is>
          <t>per-stock/MCHP/context-2026-06-15.md</t>
        </is>
      </c>
      <c r="G2039" s="33" t="inlineStr">
        <is>
          <t>Med</t>
        </is>
      </c>
      <c r="H2039" s="33" t="inlineStr">
        <is>
          <t>Initial</t>
        </is>
      </c>
    </row>
    <row r="2040">
      <c r="A2040" s="33" t="inlineStr">
        <is>
          <t>2026-06-15</t>
        </is>
      </c>
      <c r="B2040" s="33" t="inlineStr">
        <is>
          <t>ON</t>
        </is>
      </c>
      <c r="C2040" s="33" t="inlineStr">
        <is>
          <t>D1</t>
        </is>
      </c>
      <c r="D2040" s="33" t="n">
        <v>2</v>
      </c>
      <c r="E2040" s="33" t="inlineStr">
        <is>
          <t>AI-DC power (NVDA 800VDC) &gt;2x YoY but ~8% of cyclical auto/industrial core</t>
        </is>
      </c>
      <c r="F2040" s="33" t="inlineStr">
        <is>
          <t>per-stock/ON/context-2026-06-15.md</t>
        </is>
      </c>
      <c r="G2040" s="33" t="inlineStr">
        <is>
          <t>Med</t>
        </is>
      </c>
      <c r="H2040" s="33" t="inlineStr">
        <is>
          <t>Initial</t>
        </is>
      </c>
    </row>
    <row r="2041">
      <c r="A2041" s="33" t="inlineStr">
        <is>
          <t>2026-06-15</t>
        </is>
      </c>
      <c r="B2041" s="33" t="inlineStr">
        <is>
          <t>ON</t>
        </is>
      </c>
      <c r="C2041" s="33" t="inlineStr">
        <is>
          <t>D2</t>
        </is>
      </c>
      <c r="D2041" s="33" t="n">
        <v>3</v>
      </c>
      <c r="E2041" s="33" t="inlineStr">
        <is>
          <t>Power/SiC competitive vs Infineon/STM/Wolfspeed/MPWR</t>
        </is>
      </c>
      <c r="F2041" s="33" t="inlineStr">
        <is>
          <t>per-stock/ON/context-2026-06-15.md</t>
        </is>
      </c>
      <c r="G2041" s="33" t="inlineStr">
        <is>
          <t>Med</t>
        </is>
      </c>
      <c r="H2041" s="33" t="inlineStr">
        <is>
          <t>Initial</t>
        </is>
      </c>
    </row>
    <row r="2042">
      <c r="A2042" s="33" t="inlineStr">
        <is>
          <t>2026-06-15</t>
        </is>
      </c>
      <c r="B2042" s="33" t="inlineStr">
        <is>
          <t>ON</t>
        </is>
      </c>
      <c r="C2042" s="33" t="inlineStr">
        <is>
          <t>D3</t>
        </is>
      </c>
      <c r="D2042" s="33" t="n">
        <v>3</v>
      </c>
      <c r="E2042" s="33" t="inlineStr">
        <is>
          <t>SiC tech (EliteSiC, East Fishkill 200mm) but contested</t>
        </is>
      </c>
      <c r="F2042" s="33" t="inlineStr">
        <is>
          <t>per-stock/ON/context-2026-06-15.md</t>
        </is>
      </c>
      <c r="G2042" s="33" t="inlineStr">
        <is>
          <t>Med</t>
        </is>
      </c>
      <c r="H2042" s="33" t="inlineStr">
        <is>
          <t>Initial</t>
        </is>
      </c>
    </row>
    <row r="2043">
      <c r="A2043" s="33" t="inlineStr">
        <is>
          <t>2026-06-15</t>
        </is>
      </c>
      <c r="B2043" s="33" t="inlineStr">
        <is>
          <t>ON</t>
        </is>
      </c>
      <c r="C2043" s="33" t="inlineStr">
        <is>
          <t>D4</t>
        </is>
      </c>
      <c r="D2043" s="33" t="n">
        <v>3</v>
      </c>
      <c r="E2043" s="33" t="inlineStr">
        <is>
          <t>SiC capacity expansion rationalized in downturn</t>
        </is>
      </c>
      <c r="F2043" s="33" t="inlineStr">
        <is>
          <t>per-stock/ON/context-2026-06-15.md</t>
        </is>
      </c>
      <c r="G2043" s="33" t="inlineStr">
        <is>
          <t>Med</t>
        </is>
      </c>
      <c r="H2043" s="33" t="inlineStr">
        <is>
          <t>Initial</t>
        </is>
      </c>
    </row>
    <row r="2044">
      <c r="A2044" s="33" t="inlineStr">
        <is>
          <t>2026-06-15</t>
        </is>
      </c>
      <c r="B2044" s="33" t="inlineStr">
        <is>
          <t>ON</t>
        </is>
      </c>
      <c r="C2044" s="33" t="inlineStr">
        <is>
          <t>D5</t>
        </is>
      </c>
      <c r="D2044" s="33" t="n">
        <v>2</v>
      </c>
      <c r="E2044" s="33" t="inlineStr">
        <is>
          <t>DC power via NVDA ecosystem; indirect, small</t>
        </is>
      </c>
      <c r="F2044" s="33" t="inlineStr">
        <is>
          <t>per-stock/ON/context-2026-06-15.md</t>
        </is>
      </c>
      <c r="G2044" s="33" t="inlineStr">
        <is>
          <t>Med</t>
        </is>
      </c>
      <c r="H2044" s="33" t="inlineStr">
        <is>
          <t>Initial</t>
        </is>
      </c>
    </row>
    <row r="2045">
      <c r="A2045" s="33" t="inlineStr">
        <is>
          <t>2026-06-15</t>
        </is>
      </c>
      <c r="B2045" s="33" t="inlineStr">
        <is>
          <t>ON</t>
        </is>
      </c>
      <c r="C2045" s="33" t="inlineStr">
        <is>
          <t>M1</t>
        </is>
      </c>
      <c r="D2045" s="33" t="n">
        <v>5</v>
      </c>
      <c r="E2045" s="33" t="inlineStr">
        <is>
          <t>Strongly upward; FY26 30 up/1 down; beat-and-raise, early-cycle</t>
        </is>
      </c>
      <c r="F2045" s="33" t="inlineStr">
        <is>
          <t>Form4(EDGAR)+Yahoo/yfinance momentum pull 2026-06-15</t>
        </is>
      </c>
      <c r="G2045" s="33" t="inlineStr">
        <is>
          <t>High</t>
        </is>
      </c>
      <c r="H2045" s="33" t="inlineStr">
        <is>
          <t>Initial</t>
        </is>
      </c>
    </row>
    <row r="2046">
      <c r="A2046" s="33" t="inlineStr">
        <is>
          <t>2026-06-15</t>
        </is>
      </c>
      <c r="B2046" s="33" t="inlineStr">
        <is>
          <t>ON</t>
        </is>
      </c>
      <c r="C2046" s="33" t="inlineStr">
        <is>
          <t>M2</t>
        </is>
      </c>
      <c r="D2046" s="33" t="n">
        <v>5</v>
      </c>
      <c r="E2046" s="33" t="inlineStr">
        <is>
          <t>+131% vs SMH +84% = +46pp (deep-trough recovery)</t>
        </is>
      </c>
      <c r="F2046" s="33" t="inlineStr">
        <is>
          <t>Form4(EDGAR)+Yahoo/yfinance momentum pull 2026-06-15</t>
        </is>
      </c>
      <c r="G2046" s="33" t="inlineStr">
        <is>
          <t>High</t>
        </is>
      </c>
      <c r="H2046" s="33" t="inlineStr">
        <is>
          <t>Initial</t>
        </is>
      </c>
    </row>
    <row r="2047">
      <c r="A2047" s="33" t="inlineStr">
        <is>
          <t>2026-06-15</t>
        </is>
      </c>
      <c r="B2047" s="33" t="inlineStr">
        <is>
          <t>ON</t>
        </is>
      </c>
      <c r="C2047" s="33" t="inlineStr">
        <is>
          <t>M3</t>
        </is>
      </c>
      <c r="D2047" s="33" t="n">
        <v>3</v>
      </c>
      <c r="E2047" s="33" t="inlineStr">
        <is>
          <t>Zero buys; steady post-rally exec selling (CFO into rally); no resignations</t>
        </is>
      </c>
      <c r="F2047" s="33" t="inlineStr">
        <is>
          <t>Form4(EDGAR)+Yahoo/yfinance momentum pull 2026-06-15</t>
        </is>
      </c>
      <c r="G2047" s="33" t="inlineStr">
        <is>
          <t>Med</t>
        </is>
      </c>
      <c r="H2047" s="33" t="inlineStr">
        <is>
          <t>Initial</t>
        </is>
      </c>
    </row>
    <row r="2048">
      <c r="A2048" s="33" t="inlineStr">
        <is>
          <t>2026-06-15</t>
        </is>
      </c>
      <c r="B2048" s="33" t="inlineStr">
        <is>
          <t>ON</t>
        </is>
      </c>
      <c r="C2048" s="33" t="inlineStr">
        <is>
          <t>R1</t>
        </is>
      </c>
      <c r="D2048" s="33" t="n">
        <v>4</v>
      </c>
      <c r="E2048" s="33" t="inlineStr">
        <is>
          <t>Auto-concentrated (top customers 15-25%)</t>
        </is>
      </c>
      <c r="F2048" s="33" t="inlineStr">
        <is>
          <t>per-stock/ON/context-2026-06-15.md</t>
        </is>
      </c>
      <c r="G2048" s="33" t="inlineStr">
        <is>
          <t>Med</t>
        </is>
      </c>
      <c r="H2048" s="33" t="inlineStr">
        <is>
          <t>Initial</t>
        </is>
      </c>
    </row>
    <row r="2049">
      <c r="A2049" s="33" t="inlineStr">
        <is>
          <t>2026-06-15</t>
        </is>
      </c>
      <c r="B2049" s="33" t="inlineStr">
        <is>
          <t>ON</t>
        </is>
      </c>
      <c r="C2049" s="33" t="inlineStr">
        <is>
          <t>R2</t>
        </is>
      </c>
      <c r="D2049" s="33" t="n">
        <v>3</v>
      </c>
      <c r="E2049" s="33" t="inlineStr">
        <is>
          <t>China + Korea SiC fab (asset leg); worst shock China/Korea</t>
        </is>
      </c>
      <c r="F2049" s="33" t="inlineStr">
        <is>
          <t>per-stock/ON/context-2026-06-15.md</t>
        </is>
      </c>
      <c r="G2049" s="33" t="inlineStr">
        <is>
          <t>Med</t>
        </is>
      </c>
      <c r="H2049" s="33" t="inlineStr">
        <is>
          <t>Initial</t>
        </is>
      </c>
    </row>
    <row r="2050">
      <c r="A2050" s="33" t="inlineStr">
        <is>
          <t>2026-06-15</t>
        </is>
      </c>
      <c r="B2050" s="33" t="inlineStr">
        <is>
          <t>ON</t>
        </is>
      </c>
      <c r="C2050" s="33" t="inlineStr">
        <is>
          <t>R3</t>
        </is>
      </c>
      <c r="D2050" s="33" t="n">
        <v>4</v>
      </c>
      <c r="E2050" s="33" t="inlineStr">
        <is>
          <t>ND/EBITDA 0.40x low leverage</t>
        </is>
      </c>
      <c r="F2050" s="33" t="inlineStr">
        <is>
          <t>per-stock/ON/context-2026-06-15.md</t>
        </is>
      </c>
      <c r="G2050" s="33" t="inlineStr">
        <is>
          <t>High</t>
        </is>
      </c>
      <c r="H2050" s="33" t="inlineStr">
        <is>
          <t>Initial</t>
        </is>
      </c>
    </row>
    <row r="2051">
      <c r="A2051" s="33" t="inlineStr">
        <is>
          <t>2026-06-15</t>
        </is>
      </c>
      <c r="B2051" s="33" t="inlineStr">
        <is>
          <t>ON</t>
        </is>
      </c>
      <c r="C2051" s="33" t="inlineStr">
        <is>
          <t>R4</t>
        </is>
      </c>
      <c r="D2051" s="33" t="n">
        <v>4</v>
      </c>
      <c r="E2051" s="33" t="inlineStr">
        <is>
          <t>Routine; restructuring charges not litigation</t>
        </is>
      </c>
      <c r="F2051" s="33" t="inlineStr">
        <is>
          <t>per-stock/ON/context-2026-06-15.md</t>
        </is>
      </c>
      <c r="G2051" s="33" t="inlineStr">
        <is>
          <t>Med</t>
        </is>
      </c>
      <c r="H2051" s="33" t="inlineStr">
        <is>
          <t>Initial</t>
        </is>
      </c>
    </row>
    <row r="2052">
      <c r="A2052" s="33" t="inlineStr">
        <is>
          <t>2026-06-15</t>
        </is>
      </c>
      <c r="B2052" s="33" t="inlineStr">
        <is>
          <t>SWKS</t>
        </is>
      </c>
      <c r="C2052" s="33" t="inlineStr">
        <is>
          <t>D1</t>
        </is>
      </c>
      <c r="D2052" s="33" t="n">
        <v>1</v>
      </c>
      <c r="E2052" s="33" t="inlineStr">
        <is>
          <t>RF/handset; AI-DC content immaterial (low-single-digit off tiny base)</t>
        </is>
      </c>
      <c r="F2052" s="33" t="inlineStr">
        <is>
          <t>per-stock/SWKS/context-2026-06-15.md</t>
        </is>
      </c>
      <c r="G2052" s="33" t="inlineStr">
        <is>
          <t>High</t>
        </is>
      </c>
      <c r="H2052" s="33" t="inlineStr">
        <is>
          <t>Initial</t>
        </is>
      </c>
    </row>
    <row r="2053">
      <c r="A2053" s="33" t="inlineStr">
        <is>
          <t>2026-06-15</t>
        </is>
      </c>
      <c r="B2053" s="33" t="inlineStr">
        <is>
          <t>SWKS</t>
        </is>
      </c>
      <c r="C2053" s="33" t="inlineStr">
        <is>
          <t>D2</t>
        </is>
      </c>
      <c r="D2053" s="33" t="n">
        <v>2</v>
      </c>
      <c r="E2053" s="33" t="inlineStr">
        <is>
          <t>RF front-end commoditizing; competes QRVO/AVGO; Apple can dual-source</t>
        </is>
      </c>
      <c r="F2053" s="33" t="inlineStr">
        <is>
          <t>per-stock/SWKS/context-2026-06-15.md</t>
        </is>
      </c>
      <c r="G2053" s="33" t="inlineStr">
        <is>
          <t>Med</t>
        </is>
      </c>
      <c r="H2053" s="33" t="inlineStr">
        <is>
          <t>Initial</t>
        </is>
      </c>
    </row>
    <row r="2054">
      <c r="A2054" s="33" t="inlineStr">
        <is>
          <t>2026-06-15</t>
        </is>
      </c>
      <c r="B2054" s="33" t="inlineStr">
        <is>
          <t>SWKS</t>
        </is>
      </c>
      <c r="C2054" s="33" t="inlineStr">
        <is>
          <t>D3</t>
        </is>
      </c>
      <c r="D2054" s="33" t="n">
        <v>2</v>
      </c>
      <c r="E2054" s="33" t="inlineStr">
        <is>
          <t>Apple-dependent, content-share erosion; weak moat</t>
        </is>
      </c>
      <c r="F2054" s="33" t="inlineStr">
        <is>
          <t>per-stock/SWKS/context-2026-06-15.md</t>
        </is>
      </c>
      <c r="G2054" s="33" t="inlineStr">
        <is>
          <t>Med</t>
        </is>
      </c>
      <c r="H2054" s="33" t="inlineStr">
        <is>
          <t>Initial</t>
        </is>
      </c>
    </row>
    <row r="2055">
      <c r="A2055" s="33" t="inlineStr">
        <is>
          <t>2026-06-15</t>
        </is>
      </c>
      <c r="B2055" s="33" t="inlineStr">
        <is>
          <t>SWKS</t>
        </is>
      </c>
      <c r="C2055" s="33" t="inlineStr">
        <is>
          <t>D4</t>
        </is>
      </c>
      <c r="D2055" s="33" t="n">
        <v>2</v>
      </c>
      <c r="E2055" s="33" t="inlineStr">
        <is>
          <t>Mature, capex constrained, declining revenue</t>
        </is>
      </c>
      <c r="F2055" s="33" t="inlineStr">
        <is>
          <t>per-stock/SWKS/context-2026-06-15.md</t>
        </is>
      </c>
      <c r="G2055" s="33" t="inlineStr">
        <is>
          <t>Med</t>
        </is>
      </c>
      <c r="H2055" s="33" t="inlineStr">
        <is>
          <t>Initial</t>
        </is>
      </c>
    </row>
    <row r="2056">
      <c r="A2056" s="33" t="inlineStr">
        <is>
          <t>2026-06-15</t>
        </is>
      </c>
      <c r="B2056" s="33" t="inlineStr">
        <is>
          <t>SWKS</t>
        </is>
      </c>
      <c r="C2056" s="33" t="inlineStr">
        <is>
          <t>D5</t>
        </is>
      </c>
      <c r="D2056" s="33" t="n">
        <v>1</v>
      </c>
      <c r="E2056" s="33" t="inlineStr">
        <is>
          <t>No hyperscaler revenue</t>
        </is>
      </c>
      <c r="F2056" s="33" t="inlineStr">
        <is>
          <t>per-stock/SWKS/context-2026-06-15.md</t>
        </is>
      </c>
      <c r="G2056" s="33" t="inlineStr">
        <is>
          <t>High</t>
        </is>
      </c>
      <c r="H2056" s="33" t="inlineStr">
        <is>
          <t>Initial</t>
        </is>
      </c>
    </row>
    <row r="2057">
      <c r="A2057" s="33" t="inlineStr">
        <is>
          <t>2026-06-15</t>
        </is>
      </c>
      <c r="B2057" s="33" t="inlineStr">
        <is>
          <t>SWKS</t>
        </is>
      </c>
      <c r="C2057" s="33" t="inlineStr">
        <is>
          <t>M1</t>
        </is>
      </c>
      <c r="D2057" s="33" t="n">
        <v>4</v>
      </c>
      <c r="E2057" s="33" t="inlineStr">
        <is>
          <t>Up-revisions (0y 20 up/0 down) but on declining base (FY26 EPS -15% YoY)</t>
        </is>
      </c>
      <c r="F2057" s="33" t="inlineStr">
        <is>
          <t>Form4(EDGAR)+Yahoo/yfinance momentum pull 2026-06-15</t>
        </is>
      </c>
      <c r="G2057" s="33" t="inlineStr">
        <is>
          <t>Med</t>
        </is>
      </c>
      <c r="H2057" s="33" t="inlineStr">
        <is>
          <t>Initial</t>
        </is>
      </c>
    </row>
    <row r="2058">
      <c r="A2058" s="33" t="inlineStr">
        <is>
          <t>2026-06-15</t>
        </is>
      </c>
      <c r="B2058" s="33" t="inlineStr">
        <is>
          <t>SWKS</t>
        </is>
      </c>
      <c r="C2058" s="33" t="inlineStr">
        <is>
          <t>M2</t>
        </is>
      </c>
      <c r="D2058" s="33" t="n">
        <v>1</v>
      </c>
      <c r="E2058" s="33" t="inlineStr">
        <is>
          <t>+9.1% vs SMH +68.7% = -59.6pp, worst lag in cohort</t>
        </is>
      </c>
      <c r="F2058" s="33" t="inlineStr">
        <is>
          <t>Form4(EDGAR)+Yahoo/yfinance momentum pull 2026-06-15</t>
        </is>
      </c>
      <c r="G2058" s="33" t="inlineStr">
        <is>
          <t>High</t>
        </is>
      </c>
      <c r="H2058" s="33" t="inlineStr">
        <is>
          <t>Initial</t>
        </is>
      </c>
    </row>
    <row r="2059">
      <c r="A2059" s="33" t="inlineStr">
        <is>
          <t>2026-06-15</t>
        </is>
      </c>
      <c r="B2059" s="33" t="inlineStr">
        <is>
          <t>SWKS</t>
        </is>
      </c>
      <c r="C2059" s="33" t="inlineStr">
        <is>
          <t>M3</t>
        </is>
      </c>
      <c r="D2059" s="33" t="n">
        <v>3</v>
      </c>
      <c r="E2059" s="33" t="inlineStr">
        <is>
          <t>Zero buys; only two ~20% trims, rest routine comp mechanics</t>
        </is>
      </c>
      <c r="F2059" s="33" t="inlineStr">
        <is>
          <t>Form4(EDGAR)+Yahoo/yfinance momentum pull 2026-06-15</t>
        </is>
      </c>
      <c r="G2059" s="33" t="inlineStr">
        <is>
          <t>Med</t>
        </is>
      </c>
      <c r="H2059" s="33" t="inlineStr">
        <is>
          <t>Initial</t>
        </is>
      </c>
    </row>
    <row r="2060">
      <c r="A2060" s="33" t="inlineStr">
        <is>
          <t>2026-06-15</t>
        </is>
      </c>
      <c r="B2060" s="33" t="inlineStr">
        <is>
          <t>SWKS</t>
        </is>
      </c>
      <c r="C2060" s="33" t="inlineStr">
        <is>
          <t>R1</t>
        </is>
      </c>
      <c r="D2060" s="33" t="n">
        <v>1</v>
      </c>
      <c r="E2060" s="33" t="inlineStr">
        <is>
          <t>~60% Apple concentration</t>
        </is>
      </c>
      <c r="F2060" s="33" t="inlineStr">
        <is>
          <t>per-stock/SWKS/context-2026-06-15.md</t>
        </is>
      </c>
      <c r="G2060" s="33" t="inlineStr">
        <is>
          <t>High</t>
        </is>
      </c>
      <c r="H2060" s="33" t="inlineStr">
        <is>
          <t>Initial</t>
        </is>
      </c>
    </row>
    <row r="2061">
      <c r="A2061" s="33" t="inlineStr">
        <is>
          <t>2026-06-15</t>
        </is>
      </c>
      <c r="B2061" s="33" t="inlineStr">
        <is>
          <t>SWKS</t>
        </is>
      </c>
      <c r="C2061" s="33" t="inlineStr">
        <is>
          <t>R2</t>
        </is>
      </c>
      <c r="D2061" s="33" t="n">
        <v>3</v>
      </c>
      <c r="E2061" s="33" t="inlineStr">
        <is>
          <t>China handset exposure + assembly; worst shock China/Apple-China supply</t>
        </is>
      </c>
      <c r="F2061" s="33" t="inlineStr">
        <is>
          <t>per-stock/SWKS/context-2026-06-15.md</t>
        </is>
      </c>
      <c r="G2061" s="33" t="inlineStr">
        <is>
          <t>Med</t>
        </is>
      </c>
      <c r="H2061" s="33" t="inlineStr">
        <is>
          <t>Initial</t>
        </is>
      </c>
    </row>
    <row r="2062">
      <c r="A2062" s="33" t="inlineStr">
        <is>
          <t>2026-06-15</t>
        </is>
      </c>
      <c r="B2062" s="33" t="inlineStr">
        <is>
          <t>SWKS</t>
        </is>
      </c>
      <c r="C2062" s="33" t="inlineStr">
        <is>
          <t>R3</t>
        </is>
      </c>
      <c r="D2062" s="33" t="n">
        <v>4</v>
      </c>
      <c r="E2062" s="33" t="inlineStr">
        <is>
          <t>Net cash now but pending Qorvo merger will lever up/transform BS</t>
        </is>
      </c>
      <c r="F2062" s="33" t="inlineStr">
        <is>
          <t>per-stock/SWKS/context-2026-06-15.md</t>
        </is>
      </c>
      <c r="G2062" s="33" t="inlineStr">
        <is>
          <t>Med</t>
        </is>
      </c>
      <c r="H2062" s="33" t="inlineStr">
        <is>
          <t>Initial</t>
        </is>
      </c>
    </row>
    <row r="2063">
      <c r="A2063" s="33" t="inlineStr">
        <is>
          <t>2026-06-15</t>
        </is>
      </c>
      <c r="B2063" s="33" t="inlineStr">
        <is>
          <t>SWKS</t>
        </is>
      </c>
      <c r="C2063" s="33" t="inlineStr">
        <is>
          <t>R4</t>
        </is>
      </c>
      <c r="D2063" s="33" t="n">
        <v>2</v>
      </c>
      <c r="E2063" s="33" t="inlineStr">
        <is>
          <t>Pending Qorvo merger under FTC HSR Second Request - active antitrust review</t>
        </is>
      </c>
      <c r="F2063" s="33" t="inlineStr">
        <is>
          <t>per-stock/SWKS/context-2026-06-15.md</t>
        </is>
      </c>
      <c r="G2063" s="33" t="inlineStr">
        <is>
          <t>High</t>
        </is>
      </c>
      <c r="H2063" s="33" t="inlineStr">
        <is>
          <t>Initial</t>
        </is>
      </c>
    </row>
    <row r="2064">
      <c r="A2064" s="33" t="inlineStr">
        <is>
          <t>2026-06-17</t>
        </is>
      </c>
      <c r="B2064" s="33" t="inlineStr">
        <is>
          <t>WDC</t>
        </is>
      </c>
      <c r="C2064" s="33" t="inlineStr">
        <is>
          <t>D1</t>
        </is>
      </c>
      <c r="D2064" s="33" t="n">
        <v>5</v>
      </c>
      <c r="E2064" s="33" t="inlineStr">
        <is>
          <t>Cloud=89% of rev (+48% YoY); nearline HDD almost entirely AI/cloud-data-lake demand</t>
        </is>
      </c>
      <c r="F2064" s="33" t="inlineStr">
        <is>
          <t>per-stock/WDC/context-2026-06-17.md</t>
        </is>
      </c>
      <c r="G2064" s="33" t="inlineStr">
        <is>
          <t>High</t>
        </is>
      </c>
      <c r="H2064" s="33" t="inlineStr">
        <is>
          <t>Initial</t>
        </is>
      </c>
    </row>
    <row r="2065">
      <c r="A2065" s="33" t="inlineStr">
        <is>
          <t>2026-06-17</t>
        </is>
      </c>
      <c r="B2065" s="33" t="inlineStr">
        <is>
          <t>WDC</t>
        </is>
      </c>
      <c r="C2065" s="33" t="inlineStr">
        <is>
          <t>D2</t>
        </is>
      </c>
      <c r="D2065" s="33" t="n">
        <v>5</v>
      </c>
      <c r="E2065" s="33" t="inlineStr">
        <is>
          <t>Upstream HDD duopoly (WDC+STX); sold out through CY2026; LTAs to CY2029; $/TB +9% YoY pricing power</t>
        </is>
      </c>
      <c r="F2065" s="33" t="inlineStr">
        <is>
          <t>per-stock/WDC/context-2026-06-17.md</t>
        </is>
      </c>
      <c r="G2065" s="33" t="inlineStr">
        <is>
          <t>High</t>
        </is>
      </c>
      <c r="H2065" s="33" t="inlineStr">
        <is>
          <t>Initial</t>
        </is>
      </c>
    </row>
    <row r="2066">
      <c r="A2066" s="33" t="inlineStr">
        <is>
          <t>2026-06-17</t>
        </is>
      </c>
      <c r="B2066" s="33" t="inlineStr">
        <is>
          <t>WDC</t>
        </is>
      </c>
      <c r="C2066" s="33" t="inlineStr">
        <is>
          <t>D3</t>
        </is>
      </c>
      <c r="D2066" s="33" t="n">
        <v>4</v>
      </c>
      <c r="E2066" s="33" t="inlineStr">
        <is>
          <t>HAMR/ePMR/UltraSMR density IP + scale + qualification switching costs; not 5 (STX co-leader, NAND substitution tail)</t>
        </is>
      </c>
      <c r="F2066" s="33" t="inlineStr">
        <is>
          <t>per-stock/WDC/context-2026-06-17.md</t>
        </is>
      </c>
      <c r="G2066" s="33" t="inlineStr">
        <is>
          <t>Medium</t>
        </is>
      </c>
      <c r="H2066" s="33" t="inlineStr">
        <is>
          <t>Initial</t>
        </is>
      </c>
    </row>
    <row r="2067">
      <c r="A2067" s="33" t="inlineStr">
        <is>
          <t>2026-06-17</t>
        </is>
      </c>
      <c r="B2067" s="33" t="inlineStr">
        <is>
          <t>WDC</t>
        </is>
      </c>
      <c r="C2067" s="33" t="inlineStr">
        <is>
          <t>D4</t>
        </is>
      </c>
      <c r="D2067" s="33" t="n">
        <v>4</v>
      </c>
      <c r="E2067" s="33" t="inlineStr">
        <is>
          <t>Density ramp into sold-out demand but explicitly "no unit-capacity increase" — disciplined, not multi-fab buildout</t>
        </is>
      </c>
      <c r="F2067" s="33" t="inlineStr">
        <is>
          <t>per-stock/WDC/context-2026-06-17.md</t>
        </is>
      </c>
      <c r="G2067" s="33" t="inlineStr">
        <is>
          <t>High</t>
        </is>
      </c>
      <c r="H2067" s="33" t="inlineStr">
        <is>
          <t>Initial</t>
        </is>
      </c>
    </row>
    <row r="2068">
      <c r="A2068" s="33" t="inlineStr">
        <is>
          <t>2026-06-17</t>
        </is>
      </c>
      <c r="B2068" s="33" t="inlineStr">
        <is>
          <t>WDC</t>
        </is>
      </c>
      <c r="C2068" s="33" t="inlineStr">
        <is>
          <t>D5</t>
        </is>
      </c>
      <c r="D2068" s="33" t="n">
        <v>5</v>
      </c>
      <c r="E2068" s="33" t="inlineStr">
        <is>
          <t>89% cloud; top-3 customers 17/15/11% under multi-year LTAs to CY2029</t>
        </is>
      </c>
      <c r="F2068" s="33" t="inlineStr">
        <is>
          <t>per-stock/WDC/context-2026-06-17.md</t>
        </is>
      </c>
      <c r="G2068" s="33" t="inlineStr">
        <is>
          <t>High</t>
        </is>
      </c>
      <c r="H2068" s="33" t="inlineStr">
        <is>
          <t>Initial</t>
        </is>
      </c>
    </row>
    <row r="2069">
      <c r="A2069" s="33" t="inlineStr">
        <is>
          <t>2026-06-17</t>
        </is>
      </c>
      <c r="B2069" s="33" t="inlineStr">
        <is>
          <t>WDC</t>
        </is>
      </c>
      <c r="C2069" s="33" t="inlineStr">
        <is>
          <t>M1</t>
        </is>
      </c>
      <c r="D2069" s="33" t="n">
        <v>5</v>
      </c>
      <c r="E2069" s="33" t="inlineStr">
        <is>
          <t>Beat-and-raise; Q4 guide rev +36-44%, GM 51-52%; June PT wave (MS $650/Mizuho $685/BofA $610)</t>
        </is>
      </c>
      <c r="F2069" s="33" t="inlineStr">
        <is>
          <t>per-stock/WDC/context-2026-06-17.md</t>
        </is>
      </c>
      <c r="G2069" s="33" t="inlineStr">
        <is>
          <t>High</t>
        </is>
      </c>
      <c r="H2069" s="33" t="inlineStr">
        <is>
          <t>Initial</t>
        </is>
      </c>
    </row>
    <row r="2070">
      <c r="A2070" s="33" t="inlineStr">
        <is>
          <t>2026-06-17</t>
        </is>
      </c>
      <c r="B2070" s="33" t="inlineStr">
        <is>
          <t>WDC</t>
        </is>
      </c>
      <c r="C2070" s="33" t="inlineStr">
        <is>
          <t>M2</t>
        </is>
      </c>
      <c r="D2070" s="33" t="n">
        <v>5</v>
      </c>
      <c r="E2070" s="33" t="inlineStr">
        <is>
          <t>+1,106% trailing 1y; +307% 6mo vs SOXX +105.6% — sector leader</t>
        </is>
      </c>
      <c r="F2070" s="33" t="inlineStr">
        <is>
          <t>per-stock/WDC/context-2026-06-17.md</t>
        </is>
      </c>
      <c r="G2070" s="33" t="inlineStr">
        <is>
          <t>High</t>
        </is>
      </c>
      <c r="H2070" s="33" t="inlineStr">
        <is>
          <t>Initial</t>
        </is>
      </c>
    </row>
    <row r="2071">
      <c r="A2071" s="33" t="inlineStr">
        <is>
          <t>2026-06-17</t>
        </is>
      </c>
      <c r="B2071" s="33" t="inlineStr">
        <is>
          <t>WDC</t>
        </is>
      </c>
      <c r="C2071" s="33" t="inlineStr">
        <is>
          <t>M3</t>
        </is>
      </c>
      <c r="D2071" s="33" t="n">
        <v>3</v>
      </c>
      <c r="E2071" s="33" t="inlineStr">
        <is>
          <t>No open-market buys 12mo; recent Form 4s all 10b5-1 sells + option-exercise/tax — routine diversification</t>
        </is>
      </c>
      <c r="F2071" s="33" t="inlineStr">
        <is>
          <t>per-stock/WDC/context-2026-06-17.md</t>
        </is>
      </c>
      <c r="G2071" s="33" t="inlineStr">
        <is>
          <t>Medium</t>
        </is>
      </c>
      <c r="H2071" s="33" t="inlineStr">
        <is>
          <t>Initial</t>
        </is>
      </c>
    </row>
    <row r="2072">
      <c r="A2072" s="33" t="inlineStr">
        <is>
          <t>2026-06-17</t>
        </is>
      </c>
      <c r="B2072" s="33" t="inlineStr">
        <is>
          <t>WDC</t>
        </is>
      </c>
      <c r="C2072" s="33" t="inlineStr">
        <is>
          <t>R1</t>
        </is>
      </c>
      <c r="D2072" s="33" t="n">
        <v>3</v>
      </c>
      <c r="E2072" s="33" t="inlineStr">
        <is>
          <t>Largest customer 17%, top-3 43%, top-10 71% — real dependence (flip side of D5)</t>
        </is>
      </c>
      <c r="F2072" s="33" t="inlineStr">
        <is>
          <t>per-stock/WDC/context-2026-06-17.md</t>
        </is>
      </c>
      <c r="G2072" s="33" t="inlineStr">
        <is>
          <t>High</t>
        </is>
      </c>
      <c r="H2072" s="33" t="inlineStr">
        <is>
          <t>Initial</t>
        </is>
      </c>
    </row>
    <row r="2073">
      <c r="A2073" s="33" t="inlineStr">
        <is>
          <t>2026-06-17</t>
        </is>
      </c>
      <c r="B2073" s="33" t="inlineStr">
        <is>
          <t>WDC</t>
        </is>
      </c>
      <c r="C2073" s="33" t="inlineStr">
        <is>
          <t>R2</t>
        </is>
      </c>
      <c r="D2073" s="33" t="n">
        <v>4</v>
      </c>
      <c r="E2073" s="33" t="inlineStr">
        <is>
          <t>Asia=40% ship-to; mfg Thailand/Malaysia/China; one demand leg + mild policy leg, no active export-control on nearline HDD</t>
        </is>
      </c>
      <c r="F2073" s="33" t="inlineStr">
        <is>
          <t>per-stock/WDC/context-2026-06-17.md</t>
        </is>
      </c>
      <c r="G2073" s="33" t="inlineStr">
        <is>
          <t>Medium</t>
        </is>
      </c>
      <c r="H2073" s="33" t="inlineStr">
        <is>
          <t>Initial</t>
        </is>
      </c>
    </row>
    <row r="2074">
      <c r="A2074" s="33" t="inlineStr">
        <is>
          <t>2026-06-17</t>
        </is>
      </c>
      <c r="B2074" s="33" t="inlineStr">
        <is>
          <t>WDC</t>
        </is>
      </c>
      <c r="C2074" s="33" t="inlineStr">
        <is>
          <t>R3</t>
        </is>
      </c>
      <c r="D2074" s="33" t="n">
        <v>5</v>
      </c>
      <c r="E2074" s="33" t="inlineStr">
        <is>
          <t>Net cash ~$450M; debt cut $4.7B-&gt;$1.6B; $2.5B 9mo OCF; light capex</t>
        </is>
      </c>
      <c r="F2074" s="33" t="inlineStr">
        <is>
          <t>per-stock/WDC/context-2026-06-17.md</t>
        </is>
      </c>
      <c r="G2074" s="33" t="inlineStr">
        <is>
          <t>High</t>
        </is>
      </c>
      <c r="H2074" s="33" t="inlineStr">
        <is>
          <t>Initial</t>
        </is>
      </c>
    </row>
    <row r="2075">
      <c r="A2075" s="33" t="inlineStr">
        <is>
          <t>2026-06-17</t>
        </is>
      </c>
      <c r="B2075" s="33" t="inlineStr">
        <is>
          <t>WDC</t>
        </is>
      </c>
      <c r="C2075" s="33" t="inlineStr">
        <is>
          <t>R4</t>
        </is>
      </c>
      <c r="D2075" s="33" t="n">
        <v>4</v>
      </c>
      <c r="E2075" s="33" t="inlineStr">
        <is>
          <t>No material litigation/regulatory overhang surfaced</t>
        </is>
      </c>
      <c r="F2075" s="33" t="inlineStr">
        <is>
          <t>per-stock/WDC/context-2026-06-17.md</t>
        </is>
      </c>
      <c r="G2075" s="33" t="inlineStr">
        <is>
          <t>Medium</t>
        </is>
      </c>
      <c r="H2075" s="33" t="inlineStr">
        <is>
          <t>Initial</t>
        </is>
      </c>
    </row>
    <row r="2076">
      <c r="A2076" s="33" t="inlineStr">
        <is>
          <t>2026-06-17</t>
        </is>
      </c>
      <c r="B2076" s="33" t="inlineStr">
        <is>
          <t>PANW</t>
        </is>
      </c>
      <c r="C2076" s="33" t="inlineStr">
        <is>
          <t>D1</t>
        </is>
      </c>
      <c r="D2076" s="33" t="n">
        <v>2</v>
      </c>
      <c r="E2076" s="33" t="inlineStr">
        <is>
          <t>Explicit AI-security rev small (Prisma AI ~$100M ARR vs $11B+); broader AI demand is AI-adjacent not AI-tied</t>
        </is>
      </c>
      <c r="F2076" s="33" t="inlineStr">
        <is>
          <t>per-stock/PANW/context-2026-06-17.md</t>
        </is>
      </c>
      <c r="G2076" s="33" t="inlineStr">
        <is>
          <t>Medium</t>
        </is>
      </c>
      <c r="H2076" s="33" t="inlineStr">
        <is>
          <t>Initial</t>
        </is>
      </c>
    </row>
    <row r="2077">
      <c r="A2077" s="33" t="inlineStr">
        <is>
          <t>2026-06-17</t>
        </is>
      </c>
      <c r="B2077" s="33" t="inlineStr">
        <is>
          <t>PANW</t>
        </is>
      </c>
      <c r="C2077" s="33" t="inlineStr">
        <is>
          <t>D2</t>
        </is>
      </c>
      <c r="D2077" s="33" t="n">
        <v>4</v>
      </c>
      <c r="E2077" s="33" t="inlineStr">
        <is>
          <t>Largest pure-play security platform (3-platform + CyberArk + Chronosphere); 2-4 credible competitors</t>
        </is>
      </c>
      <c r="F2077" s="33" t="inlineStr">
        <is>
          <t>per-stock/PANW/context-2026-06-17.md</t>
        </is>
      </c>
      <c r="G2077" s="33" t="inlineStr">
        <is>
          <t>High</t>
        </is>
      </c>
      <c r="H2077" s="33" t="inlineStr">
        <is>
          <t>Initial</t>
        </is>
      </c>
    </row>
    <row r="2078">
      <c r="A2078" s="33" t="inlineStr">
        <is>
          <t>2026-06-17</t>
        </is>
      </c>
      <c r="B2078" s="33" t="inlineStr">
        <is>
          <t>PANW</t>
        </is>
      </c>
      <c r="C2078" s="33" t="inlineStr">
        <is>
          <t>D3</t>
        </is>
      </c>
      <c r="D2078" s="33" t="n">
        <v>4</v>
      </c>
      <c r="E2078" s="33" t="inlineStr">
        <is>
          <t>Platformization + 120% NRR + 2,280 platformized accounts = deep switching costs; not 5 (MSFT bundling)</t>
        </is>
      </c>
      <c r="F2078" s="33" t="inlineStr">
        <is>
          <t>per-stock/PANW/context-2026-06-17.md</t>
        </is>
      </c>
      <c r="G2078" s="33" t="inlineStr">
        <is>
          <t>Medium</t>
        </is>
      </c>
      <c r="H2078" s="33" t="inlineStr">
        <is>
          <t>Initial</t>
        </is>
      </c>
    </row>
    <row r="2079">
      <c r="A2079" s="33" t="inlineStr">
        <is>
          <t>2026-06-17</t>
        </is>
      </c>
      <c r="B2079" s="33" t="inlineStr">
        <is>
          <t>PANW</t>
        </is>
      </c>
      <c r="C2079" s="33" t="inlineStr">
        <is>
          <t>D4</t>
        </is>
      </c>
      <c r="D2079" s="33" t="n">
        <v>4</v>
      </c>
      <c r="E2079" s="33" t="inlineStr">
        <is>
          <t>$28B M&amp;A (CyberArk/Chronosphere/KOI) closed &amp; funded; Prisma AI fastest product ever</t>
        </is>
      </c>
      <c r="F2079" s="33" t="inlineStr">
        <is>
          <t>per-stock/PANW/context-2026-06-17.md</t>
        </is>
      </c>
      <c r="G2079" s="33" t="inlineStr">
        <is>
          <t>High</t>
        </is>
      </c>
      <c r="H2079" s="33" t="inlineStr">
        <is>
          <t>Initial</t>
        </is>
      </c>
    </row>
    <row r="2080">
      <c r="A2080" s="33" t="inlineStr">
        <is>
          <t>2026-06-17</t>
        </is>
      </c>
      <c r="B2080" s="33" t="inlineStr">
        <is>
          <t>PANW</t>
        </is>
      </c>
      <c r="C2080" s="33" t="inlineStr">
        <is>
          <t>D5</t>
        </is>
      </c>
      <c r="D2080" s="33" t="n">
        <v>3</v>
      </c>
      <c r="E2080" s="33" t="inlineStr">
        <is>
          <t>Sells security to enterprises/gov, not concentrated hyperscaler rev; indirect AI-infra tie (NGFW for AI DCs)</t>
        </is>
      </c>
      <c r="F2080" s="33" t="inlineStr">
        <is>
          <t>per-stock/PANW/context-2026-06-17.md</t>
        </is>
      </c>
      <c r="G2080" s="33" t="inlineStr">
        <is>
          <t>Medium</t>
        </is>
      </c>
      <c r="H2080" s="33" t="inlineStr">
        <is>
          <t>Initial</t>
        </is>
      </c>
    </row>
    <row r="2081">
      <c r="A2081" s="33" t="inlineStr">
        <is>
          <t>2026-06-17</t>
        </is>
      </c>
      <c r="B2081" s="33" t="inlineStr">
        <is>
          <t>PANW</t>
        </is>
      </c>
      <c r="C2081" s="33" t="inlineStr">
        <is>
          <t>M1</t>
        </is>
      </c>
      <c r="D2081" s="33" t="n">
        <v>4</v>
      </c>
      <c r="E2081" s="33" t="inlineStr">
        <is>
          <t>Beat-and-raise; Q3 non-GAAP EPS $0.85 beat $0.79; FY26 guide raised; FY27 consensus ~flat tempers</t>
        </is>
      </c>
      <c r="F2081" s="33" t="inlineStr">
        <is>
          <t>per-stock/PANW/context-2026-06-17.md</t>
        </is>
      </c>
      <c r="G2081" s="33" t="inlineStr">
        <is>
          <t>Medium</t>
        </is>
      </c>
      <c r="H2081" s="33" t="inlineStr">
        <is>
          <t>Initial</t>
        </is>
      </c>
    </row>
    <row r="2082">
      <c r="A2082" s="33" t="inlineStr">
        <is>
          <t>2026-06-17</t>
        </is>
      </c>
      <c r="B2082" s="33" t="inlineStr">
        <is>
          <t>PANW</t>
        </is>
      </c>
      <c r="C2082" s="33" t="inlineStr">
        <is>
          <t>M2</t>
        </is>
      </c>
      <c r="D2082" s="33" t="n">
        <v>5</v>
      </c>
      <c r="E2082" s="33" t="inlineStr">
        <is>
          <t>Near ATH (~$280; ATH $302.95) while IGV -24.6% over 6mo — clear sector leader</t>
        </is>
      </c>
      <c r="F2082" s="33" t="inlineStr">
        <is>
          <t>per-stock/PANW/context-2026-06-17.md</t>
        </is>
      </c>
      <c r="G2082" s="33" t="inlineStr">
        <is>
          <t>High</t>
        </is>
      </c>
      <c r="H2082" s="33" t="inlineStr">
        <is>
          <t>Initial</t>
        </is>
      </c>
    </row>
    <row r="2083">
      <c r="A2083" s="33" t="inlineStr">
        <is>
          <t>2026-06-17</t>
        </is>
      </c>
      <c r="B2083" s="33" t="inlineStr">
        <is>
          <t>PANW</t>
        </is>
      </c>
      <c r="C2083" s="33" t="inlineStr">
        <is>
          <t>M3</t>
        </is>
      </c>
      <c r="D2083" s="33" t="n">
        <v>5</v>
      </c>
      <c r="E2083" s="33" t="inlineStr">
        <is>
          <t>CEO Arora open-market BUY 68,085 sh ~$10.0M on 2026-03-27 (&gt;$1M discretionary) — first in years</t>
        </is>
      </c>
      <c r="F2083" s="33" t="inlineStr">
        <is>
          <t>per-stock/PANW/context-2026-06-17.md</t>
        </is>
      </c>
      <c r="G2083" s="33" t="inlineStr">
        <is>
          <t>High</t>
        </is>
      </c>
      <c r="H2083" s="33" t="inlineStr">
        <is>
          <t>Initial</t>
        </is>
      </c>
    </row>
    <row r="2084">
      <c r="A2084" s="33" t="inlineStr">
        <is>
          <t>2026-06-17</t>
        </is>
      </c>
      <c r="B2084" s="33" t="inlineStr">
        <is>
          <t>PANW</t>
        </is>
      </c>
      <c r="C2084" s="33" t="inlineStr">
        <is>
          <t>R1</t>
        </is>
      </c>
      <c r="D2084" s="33" t="n">
        <v>5</v>
      </c>
      <c r="E2084" s="33" t="inlineStr">
        <is>
          <t>No end-customer &gt;10% (FY23-25); two distributors aggregate 31% is channel, end-base diversified</t>
        </is>
      </c>
      <c r="F2084" s="33" t="inlineStr">
        <is>
          <t>per-stock/PANW/context-2026-06-17.md</t>
        </is>
      </c>
      <c r="G2084" s="33" t="inlineStr">
        <is>
          <t>High</t>
        </is>
      </c>
      <c r="H2084" s="33" t="inlineStr">
        <is>
          <t>Initial</t>
        </is>
      </c>
    </row>
    <row r="2085">
      <c r="A2085" s="33" t="inlineStr">
        <is>
          <t>2026-06-17</t>
        </is>
      </c>
      <c r="B2085" s="33" t="inlineStr">
        <is>
          <t>PANW</t>
        </is>
      </c>
      <c r="C2085" s="33" t="inlineStr">
        <is>
          <t>R2</t>
        </is>
      </c>
      <c r="D2085" s="33" t="n">
        <v>5</v>
      </c>
      <c r="E2085" s="33" t="inlineStr">
        <is>
          <t>Americas majority (~65-70%); no material China DC rev, no fabs/asset leg, no export-control overhang</t>
        </is>
      </c>
      <c r="F2085" s="33" t="inlineStr">
        <is>
          <t>per-stock/PANW/context-2026-06-17.md</t>
        </is>
      </c>
      <c r="G2085" s="33" t="inlineStr">
        <is>
          <t>Medium</t>
        </is>
      </c>
      <c r="H2085" s="33" t="inlineStr">
        <is>
          <t>Initial</t>
        </is>
      </c>
    </row>
    <row r="2086">
      <c r="A2086" s="33" t="inlineStr">
        <is>
          <t>2026-06-17</t>
        </is>
      </c>
      <c r="B2086" s="33" t="inlineStr">
        <is>
          <t>PANW</t>
        </is>
      </c>
      <c r="C2086" s="33" t="inlineStr">
        <is>
          <t>R3</t>
        </is>
      </c>
      <c r="D2086" s="33" t="n">
        <v>5</v>
      </c>
      <c r="E2086" s="33" t="inlineStr">
        <is>
          <t>Net cash ~$0.98B; 38.5% TTM adj-FCF margin; no maturity wall</t>
        </is>
      </c>
      <c r="F2086" s="33" t="inlineStr">
        <is>
          <t>per-stock/PANW/context-2026-06-17.md</t>
        </is>
      </c>
      <c r="G2086" s="33" t="inlineStr">
        <is>
          <t>High</t>
        </is>
      </c>
      <c r="H2086" s="33" t="inlineStr">
        <is>
          <t>Initial</t>
        </is>
      </c>
    </row>
    <row r="2087">
      <c r="A2087" s="33" t="inlineStr">
        <is>
          <t>2026-06-17</t>
        </is>
      </c>
      <c r="B2087" s="33" t="inlineStr">
        <is>
          <t>PANW</t>
        </is>
      </c>
      <c r="C2087" s="33" t="inlineStr">
        <is>
          <t>R4</t>
        </is>
      </c>
      <c r="D2087" s="33" t="n">
        <v>4</v>
      </c>
      <c r="E2087" s="33" t="inlineStr">
        <is>
          <t>Routine matters; main item is integration/regulatory execution on two just-closed large deals</t>
        </is>
      </c>
      <c r="F2087" s="33" t="inlineStr">
        <is>
          <t>per-stock/PANW/context-2026-06-17.md</t>
        </is>
      </c>
      <c r="G2087" s="33" t="inlineStr">
        <is>
          <t>Medium</t>
        </is>
      </c>
      <c r="H2087" s="33" t="inlineStr">
        <is>
          <t>Initial</t>
        </is>
      </c>
    </row>
    <row r="2088">
      <c r="A2088" s="33" t="inlineStr">
        <is>
          <t>2026-06-17</t>
        </is>
      </c>
      <c r="B2088" s="33" t="inlineStr">
        <is>
          <t>APP</t>
        </is>
      </c>
      <c r="C2088" s="33" t="inlineStr">
        <is>
          <t>D1</t>
        </is>
      </c>
      <c r="D2088" s="33" t="n">
        <v>5</v>
      </c>
      <c r="E2088" s="33" t="inlineStr">
        <is>
          <t>AXON AI ad engine ~100% of continuing rev; as direct as it gets outside semis</t>
        </is>
      </c>
      <c r="F2088" s="33" t="inlineStr">
        <is>
          <t>per-stock/APP/context-2026-06-17.md</t>
        </is>
      </c>
      <c r="G2088" s="33" t="inlineStr">
        <is>
          <t>High</t>
        </is>
      </c>
      <c r="H2088" s="33" t="inlineStr">
        <is>
          <t>Initial</t>
        </is>
      </c>
    </row>
    <row r="2089">
      <c r="A2089" s="33" t="inlineStr">
        <is>
          <t>2026-06-17</t>
        </is>
      </c>
      <c r="B2089" s="33" t="inlineStr">
        <is>
          <t>APP</t>
        </is>
      </c>
      <c r="C2089" s="33" t="inlineStr">
        <is>
          <t>D2</t>
        </is>
      </c>
      <c r="D2089" s="33" t="n">
        <v>4</v>
      </c>
      <c r="E2089" s="33" t="inlineStr">
        <is>
          <t>Differentiated adtech w/ pricing power but demand-side, not upstream bottleneck</t>
        </is>
      </c>
      <c r="F2089" s="33" t="inlineStr">
        <is>
          <t>per-stock/APP/context-2026-06-17.md</t>
        </is>
      </c>
      <c r="G2089" s="33" t="inlineStr">
        <is>
          <t>Medium</t>
        </is>
      </c>
      <c r="H2089" s="33" t="inlineStr">
        <is>
          <t>Initial</t>
        </is>
      </c>
    </row>
    <row r="2090">
      <c r="A2090" s="33" t="inlineStr">
        <is>
          <t>2026-06-17</t>
        </is>
      </c>
      <c r="B2090" s="33" t="inlineStr">
        <is>
          <t>APP</t>
        </is>
      </c>
      <c r="C2090" s="33" t="inlineStr">
        <is>
          <t>D3</t>
        </is>
      </c>
      <c r="D2090" s="33" t="n">
        <v>3</v>
      </c>
      <c r="E2090" s="33" t="inlineStr">
        <is>
          <t>Data/algo flywheel but Meta/Google larger; moat contested by fraud allegations</t>
        </is>
      </c>
      <c r="F2090" s="33" t="inlineStr">
        <is>
          <t>per-stock/APP/context-2026-06-17.md</t>
        </is>
      </c>
      <c r="G2090" s="33" t="inlineStr">
        <is>
          <t>Medium</t>
        </is>
      </c>
      <c r="H2090" s="33" t="inlineStr">
        <is>
          <t>Initial</t>
        </is>
      </c>
    </row>
    <row r="2091">
      <c r="A2091" s="33" t="inlineStr">
        <is>
          <t>2026-06-17</t>
        </is>
      </c>
      <c r="B2091" s="33" t="inlineStr">
        <is>
          <t>APP</t>
        </is>
      </c>
      <c r="C2091" s="33" t="inlineStr">
        <is>
          <t>D4</t>
        </is>
      </c>
      <c r="D2091" s="33" t="n">
        <v>4</v>
      </c>
      <c r="E2091" s="33" t="inlineStr">
        <is>
          <t>AXON 3.0 genAI + self-serve GA H1-26 + e-comm TAM expansion, FCF-funded</t>
        </is>
      </c>
      <c r="F2091" s="33" t="inlineStr">
        <is>
          <t>per-stock/APP/context-2026-06-17.md</t>
        </is>
      </c>
      <c r="G2091" s="33" t="inlineStr">
        <is>
          <t>Medium</t>
        </is>
      </c>
      <c r="H2091" s="33" t="inlineStr">
        <is>
          <t>Initial</t>
        </is>
      </c>
    </row>
    <row r="2092">
      <c r="A2092" s="33" t="inlineStr">
        <is>
          <t>2026-06-17</t>
        </is>
      </c>
      <c r="B2092" s="33" t="inlineStr">
        <is>
          <t>APP</t>
        </is>
      </c>
      <c r="C2092" s="33" t="inlineStr">
        <is>
          <t>D5</t>
        </is>
      </c>
      <c r="D2092" s="33" t="n">
        <v>2</v>
      </c>
      <c r="E2092" s="33" t="inlineStr">
        <is>
          <t>Cloud consumer not infra driver; AI-direct but supply-chain-tangential</t>
        </is>
      </c>
      <c r="F2092" s="33" t="inlineStr">
        <is>
          <t>per-stock/APP/context-2026-06-17.md</t>
        </is>
      </c>
      <c r="G2092" s="33" t="inlineStr">
        <is>
          <t>High</t>
        </is>
      </c>
      <c r="H2092" s="33" t="inlineStr">
        <is>
          <t>Initial</t>
        </is>
      </c>
    </row>
    <row r="2093">
      <c r="A2093" s="33" t="inlineStr">
        <is>
          <t>2026-06-17</t>
        </is>
      </c>
      <c r="B2093" s="33" t="inlineStr">
        <is>
          <t>APP</t>
        </is>
      </c>
      <c r="C2093" s="33" t="inlineStr">
        <is>
          <t>M1</t>
        </is>
      </c>
      <c r="D2093" s="33" t="n">
        <v>4</v>
      </c>
      <c r="E2093" s="33" t="inlineStr">
        <is>
          <t>Beat-and-raise; BofA PT-&gt;$860, Piper-&gt;$800; consensus Buy</t>
        </is>
      </c>
      <c r="F2093" s="33" t="inlineStr">
        <is>
          <t>per-stock/APP/context-2026-06-17.md</t>
        </is>
      </c>
      <c r="G2093" s="33" t="inlineStr">
        <is>
          <t>Medium</t>
        </is>
      </c>
      <c r="H2093" s="33" t="inlineStr">
        <is>
          <t>Initial</t>
        </is>
      </c>
    </row>
    <row r="2094">
      <c r="A2094" s="33" t="inlineStr">
        <is>
          <t>2026-06-17</t>
        </is>
      </c>
      <c r="B2094" s="33" t="inlineStr">
        <is>
          <t>APP</t>
        </is>
      </c>
      <c r="C2094" s="33" t="inlineStr">
        <is>
          <t>M2</t>
        </is>
      </c>
      <c r="D2094" s="33" t="n">
        <v>2</v>
      </c>
      <c r="E2094" s="33" t="inlineStr">
        <is>
          <t>APP -30.9% vs IGV -16.0% over 6mo (underperform ~15pp)</t>
        </is>
      </c>
      <c r="F2094" s="33" t="inlineStr">
        <is>
          <t>per-stock/APP/context-2026-06-17.md</t>
        </is>
      </c>
      <c r="G2094" s="33" t="inlineStr">
        <is>
          <t>High</t>
        </is>
      </c>
      <c r="H2094" s="33" t="inlineStr">
        <is>
          <t>Initial</t>
        </is>
      </c>
    </row>
    <row r="2095">
      <c r="A2095" s="33" t="inlineStr">
        <is>
          <t>2026-06-17</t>
        </is>
      </c>
      <c r="B2095" s="33" t="inlineStr">
        <is>
          <t>APP</t>
        </is>
      </c>
      <c r="C2095" s="33" t="inlineStr">
        <is>
          <t>M3</t>
        </is>
      </c>
      <c r="D2095" s="33" t="n">
        <v>3</v>
      </c>
      <c r="E2095" s="33" t="inlineStr">
        <is>
          <t>No buys; CEO open-market sells mid-June small % of stake -&gt; diversification baseline</t>
        </is>
      </c>
      <c r="F2095" s="33" t="inlineStr">
        <is>
          <t>per-stock/APP/context-2026-06-17.md</t>
        </is>
      </c>
      <c r="G2095" s="33" t="inlineStr">
        <is>
          <t>Medium</t>
        </is>
      </c>
      <c r="H2095" s="33" t="inlineStr">
        <is>
          <t>Initial</t>
        </is>
      </c>
    </row>
    <row r="2096">
      <c r="A2096" s="33" t="inlineStr">
        <is>
          <t>2026-06-17</t>
        </is>
      </c>
      <c r="B2096" s="33" t="inlineStr">
        <is>
          <t>APP</t>
        </is>
      </c>
      <c r="C2096" s="33" t="inlineStr">
        <is>
          <t>R1</t>
        </is>
      </c>
      <c r="D2096" s="33" t="n">
        <v>4</v>
      </c>
      <c r="E2096" s="33" t="inlineStr">
        <is>
          <t>No customer &gt;15%; caveat gaming-advertiser category + Apple/Google platform dependence</t>
        </is>
      </c>
      <c r="F2096" s="33" t="inlineStr">
        <is>
          <t>per-stock/APP/context-2026-06-17.md</t>
        </is>
      </c>
      <c r="G2096" s="33" t="inlineStr">
        <is>
          <t>Medium</t>
        </is>
      </c>
      <c r="H2096" s="33" t="inlineStr">
        <is>
          <t>Initial</t>
        </is>
      </c>
    </row>
    <row r="2097">
      <c r="A2097" s="33" t="inlineStr">
        <is>
          <t>2026-06-17</t>
        </is>
      </c>
      <c r="B2097" s="33" t="inlineStr">
        <is>
          <t>APP</t>
        </is>
      </c>
      <c r="C2097" s="33" t="inlineStr">
        <is>
          <t>R2</t>
        </is>
      </c>
      <c r="D2097" s="33" t="n">
        <v>5</v>
      </c>
      <c r="E2097" s="33" t="inlineStr">
        <is>
          <t>No geographic/asset/China leg; worst shock is platform/cyclical not geographic</t>
        </is>
      </c>
      <c r="F2097" s="33" t="inlineStr">
        <is>
          <t>per-stock/APP/context-2026-06-17.md</t>
        </is>
      </c>
      <c r="G2097" s="33" t="inlineStr">
        <is>
          <t>Medium</t>
        </is>
      </c>
      <c r="H2097" s="33" t="inlineStr">
        <is>
          <t>Initial</t>
        </is>
      </c>
    </row>
    <row r="2098">
      <c r="A2098" s="33" t="inlineStr">
        <is>
          <t>2026-06-17</t>
        </is>
      </c>
      <c r="B2098" s="33" t="inlineStr">
        <is>
          <t>APP</t>
        </is>
      </c>
      <c r="C2098" s="33" t="inlineStr">
        <is>
          <t>R3</t>
        </is>
      </c>
      <c r="D2098" s="33" t="n">
        <v>5</v>
      </c>
      <c r="E2098" s="33" t="inlineStr">
        <is>
          <t>ND/EBITDA 0.22, $2.76B cash, ~$4.4B FCF, trivial capex</t>
        </is>
      </c>
      <c r="F2098" s="33" t="inlineStr">
        <is>
          <t>per-stock/APP/context-2026-06-17.md</t>
        </is>
      </c>
      <c r="G2098" s="33" t="inlineStr">
        <is>
          <t>High</t>
        </is>
      </c>
      <c r="H2098" s="33" t="inlineStr">
        <is>
          <t>Initial</t>
        </is>
      </c>
    </row>
    <row r="2099">
      <c r="A2099" s="33" t="inlineStr">
        <is>
          <t>2026-06-17</t>
        </is>
      </c>
      <c r="B2099" s="33" t="inlineStr">
        <is>
          <t>APP</t>
        </is>
      </c>
      <c r="C2099" s="33" t="inlineStr">
        <is>
          <t>R4</t>
        </is>
      </c>
      <c r="D2099" s="33" t="n">
        <v>2</v>
      </c>
      <c r="E2099" s="33" t="inlineStr">
        <is>
          <t>Active 10b-5 class action + derivative suits (CEO/CFO named); SEC reportedly examining data practices; short-seller fraud allegations</t>
        </is>
      </c>
      <c r="F2099" s="33" t="inlineStr">
        <is>
          <t>per-stock/APP/context-2026-06-17.md</t>
        </is>
      </c>
      <c r="G2099" s="33" t="inlineStr">
        <is>
          <t>High</t>
        </is>
      </c>
      <c r="H2099" s="33" t="inlineStr">
        <is>
          <t>Initial</t>
        </is>
      </c>
    </row>
    <row r="2100">
      <c r="A2100" s="33" t="inlineStr">
        <is>
          <t>2026-06-17</t>
        </is>
      </c>
      <c r="B2100" s="33" t="inlineStr">
        <is>
          <t>ADBE</t>
        </is>
      </c>
      <c r="C2100" s="33" t="inlineStr">
        <is>
          <t>D1</t>
        </is>
      </c>
      <c r="D2100" s="33" t="n">
        <v>2</v>
      </c>
      <c r="E2100" s="33" t="inlineStr">
        <is>
          <t>AI-first ARR &gt;$500M tripled YoY but &lt;2% of $27.1B total ARR</t>
        </is>
      </c>
      <c r="F2100" s="33" t="inlineStr">
        <is>
          <t>per-stock/ADBE/context-2026-06-17.md</t>
        </is>
      </c>
      <c r="G2100" s="33" t="inlineStr">
        <is>
          <t>Medium</t>
        </is>
      </c>
      <c r="H2100" s="33" t="inlineStr">
        <is>
          <t>Initial</t>
        </is>
      </c>
    </row>
    <row r="2101">
      <c r="A2101" s="33" t="inlineStr">
        <is>
          <t>2026-06-17</t>
        </is>
      </c>
      <c r="B2101" s="33" t="inlineStr">
        <is>
          <t>ADBE</t>
        </is>
      </c>
      <c r="C2101" s="33" t="inlineStr">
        <is>
          <t>D2</t>
        </is>
      </c>
      <c r="D2101" s="33" t="n">
        <v>3</v>
      </c>
      <c r="E2101" s="33" t="inlineStr">
        <is>
          <t>Deep workflow lock-in but proliferating AI-native substitutes; Adobe deferring price increases</t>
        </is>
      </c>
      <c r="F2101" s="33" t="inlineStr">
        <is>
          <t>per-stock/ADBE/context-2026-06-17.md</t>
        </is>
      </c>
      <c r="G2101" s="33" t="inlineStr">
        <is>
          <t>Medium</t>
        </is>
      </c>
      <c r="H2101" s="33" t="inlineStr">
        <is>
          <t>Initial</t>
        </is>
      </c>
    </row>
    <row r="2102">
      <c r="A2102" s="33" t="inlineStr">
        <is>
          <t>2026-06-17</t>
        </is>
      </c>
      <c r="B2102" s="33" t="inlineStr">
        <is>
          <t>ADBE</t>
        </is>
      </c>
      <c r="C2102" s="33" t="inlineStr">
        <is>
          <t>D3</t>
        </is>
      </c>
      <c r="D2102" s="33" t="n">
        <v>3</v>
      </c>
      <c r="E2102" s="33" t="inlineStr">
        <is>
          <t>Real lock-in/IP-safe content BUT pricing power voluntarily surrendered (freemium pivot); Firefly aggregates 30+ third-party models conceding frontier quality</t>
        </is>
      </c>
      <c r="F2102" s="33" t="inlineStr">
        <is>
          <t>per-stock/ADBE/context-2026-06-17.md</t>
        </is>
      </c>
      <c r="G2102" s="33" t="inlineStr">
        <is>
          <t>Medium</t>
        </is>
      </c>
      <c r="H2102" s="33" t="inlineStr">
        <is>
          <t>Initial</t>
        </is>
      </c>
    </row>
    <row r="2103">
      <c r="A2103" s="33" t="inlineStr">
        <is>
          <t>2026-06-17</t>
        </is>
      </c>
      <c r="B2103" s="33" t="inlineStr">
        <is>
          <t>ADBE</t>
        </is>
      </c>
      <c r="C2103" s="33" t="inlineStr">
        <is>
          <t>D4</t>
        </is>
      </c>
      <c r="D2103" s="33" t="n">
        <v>4</v>
      </c>
      <c r="E2103" s="33" t="inlineStr">
        <is>
          <t>Heavy AI R&amp;D + freemium-funnel investment + Semrush M&amp;A</t>
        </is>
      </c>
      <c r="F2103" s="33" t="inlineStr">
        <is>
          <t>per-stock/ADBE/context-2026-06-17.md</t>
        </is>
      </c>
      <c r="G2103" s="33" t="inlineStr">
        <is>
          <t>Medium</t>
        </is>
      </c>
      <c r="H2103" s="33" t="inlineStr">
        <is>
          <t>Initial</t>
        </is>
      </c>
    </row>
    <row r="2104">
      <c r="A2104" s="33" t="inlineStr">
        <is>
          <t>2026-06-17</t>
        </is>
      </c>
      <c r="B2104" s="33" t="inlineStr">
        <is>
          <t>ADBE</t>
        </is>
      </c>
      <c r="C2104" s="33" t="inlineStr">
        <is>
          <t>D5</t>
        </is>
      </c>
      <c r="D2104" s="33" t="n">
        <v>1</v>
      </c>
      <c r="E2104" s="33" t="inlineStr">
        <is>
          <t>Consumes AI compute, not a hyperscaler; no hyperscaler rev, minimal AI-infra capex</t>
        </is>
      </c>
      <c r="F2104" s="33" t="inlineStr">
        <is>
          <t>per-stock/ADBE/context-2026-06-17.md</t>
        </is>
      </c>
      <c r="G2104" s="33" t="inlineStr">
        <is>
          <t>High</t>
        </is>
      </c>
      <c r="H2104" s="33" t="inlineStr">
        <is>
          <t>Initial</t>
        </is>
      </c>
    </row>
    <row r="2105">
      <c r="A2105" s="33" t="inlineStr">
        <is>
          <t>2026-06-17</t>
        </is>
      </c>
      <c r="B2105" s="33" t="inlineStr">
        <is>
          <t>ADBE</t>
        </is>
      </c>
      <c r="C2105" s="33" t="inlineStr">
        <is>
          <t>M1</t>
        </is>
      </c>
      <c r="D2105" s="33" t="n">
        <v>2</v>
      </c>
      <c r="E2105" s="33" t="inlineStr">
        <is>
          <t>PTs/ests cut post-print (Piper $280-&gt;$240, DA Davidson $300-&gt;$250)</t>
        </is>
      </c>
      <c r="F2105" s="33" t="inlineStr">
        <is>
          <t>per-stock/ADBE/context-2026-06-17.md</t>
        </is>
      </c>
      <c r="G2105" s="33" t="inlineStr">
        <is>
          <t>Medium</t>
        </is>
      </c>
      <c r="H2105" s="33" t="inlineStr">
        <is>
          <t>Initial</t>
        </is>
      </c>
    </row>
    <row r="2106">
      <c r="A2106" s="33" t="inlineStr">
        <is>
          <t>2026-06-17</t>
        </is>
      </c>
      <c r="B2106" s="33" t="inlineStr">
        <is>
          <t>ADBE</t>
        </is>
      </c>
      <c r="C2106" s="33" t="inlineStr">
        <is>
          <t>M2</t>
        </is>
      </c>
      <c r="D2106" s="33" t="n">
        <v>1</v>
      </c>
      <c r="E2106" s="33" t="inlineStr">
        <is>
          <t>~-40% YTD vs roughly flat software sector — company-specific underperformance</t>
        </is>
      </c>
      <c r="F2106" s="33" t="inlineStr">
        <is>
          <t>per-stock/ADBE/context-2026-06-17.md</t>
        </is>
      </c>
      <c r="G2106" s="33" t="inlineStr">
        <is>
          <t>High</t>
        </is>
      </c>
      <c r="H2106" s="33" t="inlineStr">
        <is>
          <t>Initial</t>
        </is>
      </c>
    </row>
    <row r="2107">
      <c r="A2107" s="33" t="inlineStr">
        <is>
          <t>2026-06-17</t>
        </is>
      </c>
      <c r="B2107" s="33" t="inlineStr">
        <is>
          <t>ADBE</t>
        </is>
      </c>
      <c r="C2107" s="33" t="inlineStr">
        <is>
          <t>M3</t>
        </is>
      </c>
      <c r="D2107" s="33" t="n">
        <v>3</v>
      </c>
      <c r="E2107" s="33" t="inlineStr">
        <is>
          <t>Zero open-market buys since Dec 2025; only routine sells (Narayen ~75K late Apr)</t>
        </is>
      </c>
      <c r="F2107" s="33" t="inlineStr">
        <is>
          <t>per-stock/ADBE/context-2026-06-17.md</t>
        </is>
      </c>
      <c r="G2107" s="33" t="inlineStr">
        <is>
          <t>High</t>
        </is>
      </c>
      <c r="H2107" s="33" t="inlineStr">
        <is>
          <t>Initial</t>
        </is>
      </c>
    </row>
    <row r="2108">
      <c r="A2108" s="33" t="inlineStr">
        <is>
          <t>2026-06-17</t>
        </is>
      </c>
      <c r="B2108" s="33" t="inlineStr">
        <is>
          <t>ADBE</t>
        </is>
      </c>
      <c r="C2108" s="33" t="inlineStr">
        <is>
          <t>R1</t>
        </is>
      </c>
      <c r="D2108" s="33" t="n">
        <v>5</v>
      </c>
      <c r="E2108" s="33" t="inlineStr">
        <is>
          <t>Millions of subs, broad enterprise; no customer &gt;10%</t>
        </is>
      </c>
      <c r="F2108" s="33" t="inlineStr">
        <is>
          <t>per-stock/ADBE/context-2026-06-17.md</t>
        </is>
      </c>
      <c r="G2108" s="33" t="inlineStr">
        <is>
          <t>High</t>
        </is>
      </c>
      <c r="H2108" s="33" t="inlineStr">
        <is>
          <t>Initial</t>
        </is>
      </c>
    </row>
    <row r="2109">
      <c r="A2109" s="33" t="inlineStr">
        <is>
          <t>2026-06-17</t>
        </is>
      </c>
      <c r="B2109" s="33" t="inlineStr">
        <is>
          <t>ADBE</t>
        </is>
      </c>
      <c r="C2109" s="33" t="inlineStr">
        <is>
          <t>R2</t>
        </is>
      </c>
      <c r="D2109" s="33" t="n">
        <v>5</v>
      </c>
      <c r="E2109" s="33" t="inlineStr">
        <is>
          <t>Diversified global SaaS; worst shock a regional macro/FX hit, no single geo/China line &gt;10%</t>
        </is>
      </c>
      <c r="F2109" s="33" t="inlineStr">
        <is>
          <t>per-stock/ADBE/context-2026-06-17.md</t>
        </is>
      </c>
      <c r="G2109" s="33" t="inlineStr">
        <is>
          <t>Medium</t>
        </is>
      </c>
      <c r="H2109" s="33" t="inlineStr">
        <is>
          <t>Initial</t>
        </is>
      </c>
    </row>
    <row r="2110">
      <c r="A2110" s="33" t="inlineStr">
        <is>
          <t>2026-06-17</t>
        </is>
      </c>
      <c r="B2110" s="33" t="inlineStr">
        <is>
          <t>ADBE</t>
        </is>
      </c>
      <c r="C2110" s="33" t="inlineStr">
        <is>
          <t>R3</t>
        </is>
      </c>
      <c r="D2110" s="33" t="n">
        <v>5</v>
      </c>
      <c r="E2110" s="33" t="inlineStr">
        <is>
          <t>Net-neutral (ND/EBITDA 0.15x); $10.3B TTM FCF; $25B buyback</t>
        </is>
      </c>
      <c r="F2110" s="33" t="inlineStr">
        <is>
          <t>per-stock/ADBE/context-2026-06-17.md</t>
        </is>
      </c>
      <c r="G2110" s="33" t="inlineStr">
        <is>
          <t>High</t>
        </is>
      </c>
      <c r="H2110" s="33" t="inlineStr">
        <is>
          <t>Initial</t>
        </is>
      </c>
    </row>
    <row r="2111">
      <c r="A2111" s="33" t="inlineStr">
        <is>
          <t>2026-06-17</t>
        </is>
      </c>
      <c r="B2111" s="33" t="inlineStr">
        <is>
          <t>ADBE</t>
        </is>
      </c>
      <c r="C2111" s="33" t="inlineStr">
        <is>
          <t>R4</t>
        </is>
      </c>
      <c r="D2111" s="33" t="n">
        <v>4</v>
      </c>
      <c r="E2111" s="33" t="inlineStr">
        <is>
          <t>FTC consumer-cancellation history + gen-AI/IP overhang, no current existential antitrust</t>
        </is>
      </c>
      <c r="F2111" s="33" t="inlineStr">
        <is>
          <t>per-stock/ADBE/context-2026-06-17.md</t>
        </is>
      </c>
      <c r="G2111" s="33" t="inlineStr">
        <is>
          <t>Medium</t>
        </is>
      </c>
      <c r="H2111" s="33" t="inlineStr">
        <is>
          <t>Initial</t>
        </is>
      </c>
    </row>
    <row r="2112">
      <c r="A2112" s="33" t="inlineStr">
        <is>
          <t>2026-06-17</t>
        </is>
      </c>
      <c r="B2112" s="33" t="inlineStr">
        <is>
          <t>FTNT</t>
        </is>
      </c>
      <c r="C2112" s="33" t="inlineStr">
        <is>
          <t>D1</t>
        </is>
      </c>
      <c r="D2112" s="33" t="n">
        <v>1</v>
      </c>
      <c r="E2112" s="33" t="inlineStr">
        <is>
          <t>FortiAI/Secure AI nascent, not separately disclosed; AI applied within platform not a rev line</t>
        </is>
      </c>
      <c r="F2112" s="33" t="inlineStr">
        <is>
          <t>per-stock/FTNT/context-2026-06-17.md</t>
        </is>
      </c>
      <c r="G2112" s="33" t="inlineStr">
        <is>
          <t>High</t>
        </is>
      </c>
      <c r="H2112" s="33" t="inlineStr">
        <is>
          <t>Initial</t>
        </is>
      </c>
    </row>
    <row r="2113">
      <c r="A2113" s="33" t="inlineStr">
        <is>
          <t>2026-06-17</t>
        </is>
      </c>
      <c r="B2113" s="33" t="inlineStr">
        <is>
          <t>FTNT</t>
        </is>
      </c>
      <c r="C2113" s="33" t="inlineStr">
        <is>
          <t>D2</t>
        </is>
      </c>
      <c r="D2113" s="33" t="n">
        <v>3</v>
      </c>
      <c r="E2113" s="33" t="inlineStr">
        <is>
          <t>Downstream security software/appliance; FortiASIC SPU + FortiOS differentiation but multiple substitutes</t>
        </is>
      </c>
      <c r="F2113" s="33" t="inlineStr">
        <is>
          <t>per-stock/FTNT/context-2026-06-17.md</t>
        </is>
      </c>
      <c r="G2113" s="33" t="inlineStr">
        <is>
          <t>High</t>
        </is>
      </c>
      <c r="H2113" s="33" t="inlineStr">
        <is>
          <t>Initial</t>
        </is>
      </c>
    </row>
    <row r="2114">
      <c r="A2114" s="33" t="inlineStr">
        <is>
          <t>2026-06-17</t>
        </is>
      </c>
      <c r="B2114" s="33" t="inlineStr">
        <is>
          <t>FTNT</t>
        </is>
      </c>
      <c r="C2114" s="33" t="inlineStr">
        <is>
          <t>D3</t>
        </is>
      </c>
      <c r="D2114" s="33" t="n">
        <v>4</v>
      </c>
      <c r="E2114" s="33" t="inlineStr">
        <is>
          <t>FortiASIC cost-advantage + FortiOS/Fabric switching costs + 30k-partner channel; not 5 (peers, recurring CVEs)</t>
        </is>
      </c>
      <c r="F2114" s="33" t="inlineStr">
        <is>
          <t>per-stock/FTNT/context-2026-06-17.md</t>
        </is>
      </c>
      <c r="G2114" s="33" t="inlineStr">
        <is>
          <t>Medium</t>
        </is>
      </c>
      <c r="H2114" s="33" t="inlineStr">
        <is>
          <t>Initial</t>
        </is>
      </c>
    </row>
    <row r="2115">
      <c r="A2115" s="33" t="inlineStr">
        <is>
          <t>2026-06-17</t>
        </is>
      </c>
      <c r="B2115" s="33" t="inlineStr">
        <is>
          <t>FTNT</t>
        </is>
      </c>
      <c r="C2115" s="33" t="inlineStr">
        <is>
          <t>D4</t>
        </is>
      </c>
      <c r="D2115" s="33" t="n">
        <v>3</v>
      </c>
      <c r="E2115" s="33" t="inlineStr">
        <is>
          <t>Steady R&amp;D + unified-SASE PoP buildout; no major funded multi-year capex (asset-light)</t>
        </is>
      </c>
      <c r="F2115" s="33" t="inlineStr">
        <is>
          <t>per-stock/FTNT/context-2026-06-17.md</t>
        </is>
      </c>
      <c r="G2115" s="33" t="inlineStr">
        <is>
          <t>Medium</t>
        </is>
      </c>
      <c r="H2115" s="33" t="inlineStr">
        <is>
          <t>Initial</t>
        </is>
      </c>
    </row>
    <row r="2116">
      <c r="A2116" s="33" t="inlineStr">
        <is>
          <t>2026-06-17</t>
        </is>
      </c>
      <c r="B2116" s="33" t="inlineStr">
        <is>
          <t>FTNT</t>
        </is>
      </c>
      <c r="C2116" s="33" t="inlineStr">
        <is>
          <t>D5</t>
        </is>
      </c>
      <c r="D2116" s="33" t="n">
        <v>1</v>
      </c>
      <c r="E2116" s="33" t="inlineStr">
        <is>
          <t>No material hyperscaler-anchor rev; not an AI-infra buyer/seller</t>
        </is>
      </c>
      <c r="F2116" s="33" t="inlineStr">
        <is>
          <t>per-stock/FTNT/context-2026-06-17.md</t>
        </is>
      </c>
      <c r="G2116" s="33" t="inlineStr">
        <is>
          <t>High</t>
        </is>
      </c>
      <c r="H2116" s="33" t="inlineStr">
        <is>
          <t>Initial</t>
        </is>
      </c>
    </row>
    <row r="2117">
      <c r="A2117" s="33" t="inlineStr">
        <is>
          <t>2026-06-17</t>
        </is>
      </c>
      <c r="B2117" s="33" t="inlineStr">
        <is>
          <t>FTNT</t>
        </is>
      </c>
      <c r="C2117" s="33" t="inlineStr">
        <is>
          <t>M1</t>
        </is>
      </c>
      <c r="D2117" s="33" t="n">
        <v>4</v>
      </c>
      <c r="E2117" s="33" t="inlineStr">
        <is>
          <t>Beat-and-raise (non-GAAP EPS $0.82 vs ~$0.62, +32% beat); multiple PT raises; consensus still Hold</t>
        </is>
      </c>
      <c r="F2117" s="33" t="inlineStr">
        <is>
          <t>per-stock/FTNT/context-2026-06-17.md</t>
        </is>
      </c>
      <c r="G2117" s="33" t="inlineStr">
        <is>
          <t>Medium</t>
        </is>
      </c>
      <c r="H2117" s="33" t="inlineStr">
        <is>
          <t>Initial</t>
        </is>
      </c>
    </row>
    <row r="2118">
      <c r="A2118" s="33" t="inlineStr">
        <is>
          <t>2026-06-17</t>
        </is>
      </c>
      <c r="B2118" s="33" t="inlineStr">
        <is>
          <t>FTNT</t>
        </is>
      </c>
      <c r="C2118" s="33" t="inlineStr">
        <is>
          <t>M2</t>
        </is>
      </c>
      <c r="D2118" s="33" t="n">
        <v>4</v>
      </c>
      <c r="E2118" s="33" t="inlineStr">
        <is>
          <t>Strong post-Q1 move, outperforming software peers near-term</t>
        </is>
      </c>
      <c r="F2118" s="33" t="inlineStr">
        <is>
          <t>per-stock/FTNT/context-2026-06-17.md</t>
        </is>
      </c>
      <c r="G2118" s="33" t="inlineStr">
        <is>
          <t>Medium</t>
        </is>
      </c>
      <c r="H2118" s="33" t="inlineStr">
        <is>
          <t>Initial</t>
        </is>
      </c>
    </row>
    <row r="2119">
      <c r="A2119" s="33" t="inlineStr">
        <is>
          <t>2026-06-17</t>
        </is>
      </c>
      <c r="B2119" s="33" t="inlineStr">
        <is>
          <t>FTNT</t>
        </is>
      </c>
      <c r="C2119" s="33" t="inlineStr">
        <is>
          <t>M3</t>
        </is>
      </c>
      <c r="D2119" s="33" t="n">
        <v>3</v>
      </c>
      <c r="E2119" s="33" t="inlineStr">
        <is>
          <t>32 sells/0 buys 6mo but all 10b5-1; Xie retains 53M+ sh -&gt; routine default</t>
        </is>
      </c>
      <c r="F2119" s="33" t="inlineStr">
        <is>
          <t>per-stock/FTNT/context-2026-06-17.md</t>
        </is>
      </c>
      <c r="G2119" s="33" t="inlineStr">
        <is>
          <t>High</t>
        </is>
      </c>
      <c r="H2119" s="33" t="inlineStr">
        <is>
          <t>Initial</t>
        </is>
      </c>
    </row>
    <row r="2120">
      <c r="A2120" s="33" t="inlineStr">
        <is>
          <t>2026-06-17</t>
        </is>
      </c>
      <c r="B2120" s="33" t="inlineStr">
        <is>
          <t>FTNT</t>
        </is>
      </c>
      <c r="C2120" s="33" t="inlineStr">
        <is>
          <t>R1</t>
        </is>
      </c>
      <c r="D2120" s="33" t="n">
        <v>3</v>
      </c>
      <c r="E2120" s="33" t="inlineStr">
        <is>
          <t>Distributor A=28% of rev (B 15%, C 12%); six distributors=67% A/R — real concentration (distributor tier)</t>
        </is>
      </c>
      <c r="F2120" s="33" t="inlineStr">
        <is>
          <t>per-stock/FTNT/context-2026-06-17.md</t>
        </is>
      </c>
      <c r="G2120" s="33" t="inlineStr">
        <is>
          <t>High</t>
        </is>
      </c>
      <c r="H2120" s="33" t="inlineStr">
        <is>
          <t>Initial</t>
        </is>
      </c>
    </row>
    <row r="2121">
      <c r="A2121" s="33" t="inlineStr">
        <is>
          <t>2026-06-17</t>
        </is>
      </c>
      <c r="B2121" s="33" t="inlineStr">
        <is>
          <t>FTNT</t>
        </is>
      </c>
      <c r="C2121" s="33" t="inlineStr">
        <is>
          <t>R2</t>
        </is>
      </c>
      <c r="D2121" s="33" t="n">
        <v>4</v>
      </c>
      <c r="E2121" s="33" t="inlineStr">
        <is>
          <t>EMEA 42% worst leg; no single country &gt;~40%, no material China/policy impairment, R&amp;D 78% N.America</t>
        </is>
      </c>
      <c r="F2121" s="33" t="inlineStr">
        <is>
          <t>per-stock/FTNT/context-2026-06-17.md</t>
        </is>
      </c>
      <c r="G2121" s="33" t="inlineStr">
        <is>
          <t>Medium</t>
        </is>
      </c>
      <c r="H2121" s="33" t="inlineStr">
        <is>
          <t>Initial</t>
        </is>
      </c>
    </row>
    <row r="2122">
      <c r="A2122" s="33" t="inlineStr">
        <is>
          <t>2026-06-17</t>
        </is>
      </c>
      <c r="B2122" s="33" t="inlineStr">
        <is>
          <t>FTNT</t>
        </is>
      </c>
      <c r="C2122" s="33" t="inlineStr">
        <is>
          <t>R3</t>
        </is>
      </c>
      <c r="D2122" s="33" t="n">
        <v>5</v>
      </c>
      <c r="E2122" s="33" t="inlineStr">
        <is>
          <t>Net cash (ND/EBITDA -1.16); $3.3B cash; record $1B+ quarterly FCF</t>
        </is>
      </c>
      <c r="F2122" s="33" t="inlineStr">
        <is>
          <t>per-stock/FTNT/context-2026-06-17.md</t>
        </is>
      </c>
      <c r="G2122" s="33" t="inlineStr">
        <is>
          <t>High</t>
        </is>
      </c>
      <c r="H2122" s="33" t="inlineStr">
        <is>
          <t>Initial</t>
        </is>
      </c>
    </row>
    <row r="2123">
      <c r="A2123" s="33" t="inlineStr">
        <is>
          <t>2026-06-17</t>
        </is>
      </c>
      <c r="B2123" s="33" t="inlineStr">
        <is>
          <t>FTNT</t>
        </is>
      </c>
      <c r="C2123" s="33" t="inlineStr">
        <is>
          <t>R4</t>
        </is>
      </c>
      <c r="D2123" s="33" t="n">
        <v>3</v>
      </c>
      <c r="E2123" s="33" t="inlineStr">
        <is>
          <t>No disclosed material litigation, but recurring exploited critical zero-days (CVE-2026-24858 CVSS 9.4) = churn/reputational overhang</t>
        </is>
      </c>
      <c r="F2123" s="33" t="inlineStr">
        <is>
          <t>per-stock/FTNT/context-2026-06-17.md</t>
        </is>
      </c>
      <c r="G2123" s="33" t="inlineStr">
        <is>
          <t>Medium</t>
        </is>
      </c>
      <c r="H2123" s="33" t="inlineStr">
        <is>
          <t>Initial</t>
        </is>
      </c>
    </row>
    <row r="2124">
      <c r="A2124" s="33" t="inlineStr">
        <is>
          <t>2026-06-17</t>
        </is>
      </c>
      <c r="B2124" s="33" t="inlineStr">
        <is>
          <t>ZS</t>
        </is>
      </c>
      <c r="C2124" s="33" t="inlineStr">
        <is>
          <t>D1</t>
        </is>
      </c>
      <c r="D2124" s="33" t="n">
        <v>2</v>
      </c>
      <c r="E2124" s="33" t="inlineStr">
        <is>
          <t>AI Protect ~$100M cumulative TCV vs $3.5B ARR — low-single-digit AI revenue</t>
        </is>
      </c>
      <c r="F2124" s="33" t="inlineStr">
        <is>
          <t>per-stock/ZS/context-2026-06-17.md</t>
        </is>
      </c>
      <c r="G2124" s="33" t="inlineStr">
        <is>
          <t>Medium</t>
        </is>
      </c>
      <c r="H2124" s="33" t="inlineStr">
        <is>
          <t>Initial</t>
        </is>
      </c>
    </row>
    <row r="2125">
      <c r="A2125" s="33" t="inlineStr">
        <is>
          <t>2026-06-17</t>
        </is>
      </c>
      <c r="B2125" s="33" t="inlineStr">
        <is>
          <t>ZS</t>
        </is>
      </c>
      <c r="C2125" s="33" t="inlineStr">
        <is>
          <t>D2</t>
        </is>
      </c>
      <c r="D2125" s="33" t="n">
        <v>4</v>
      </c>
      <c r="E2125" s="33" t="inlineStr">
        <is>
          <t>Zero Trust Exchange upstream control point; 2-4 real competitors</t>
        </is>
      </c>
      <c r="F2125" s="33" t="inlineStr">
        <is>
          <t>per-stock/ZS/context-2026-06-17.md</t>
        </is>
      </c>
      <c r="G2125" s="33" t="inlineStr">
        <is>
          <t>High</t>
        </is>
      </c>
      <c r="H2125" s="33" t="inlineStr">
        <is>
          <t>Initial</t>
        </is>
      </c>
    </row>
    <row r="2126">
      <c r="A2126" s="33" t="inlineStr">
        <is>
          <t>2026-06-17</t>
        </is>
      </c>
      <c r="B2126" s="33" t="inlineStr">
        <is>
          <t>ZS</t>
        </is>
      </c>
      <c r="C2126" s="33" t="inlineStr">
        <is>
          <t>D3</t>
        </is>
      </c>
      <c r="D2126" s="33" t="n">
        <v>4</v>
      </c>
      <c r="E2126" s="33" t="inlineStr">
        <is>
          <t>Strong switching costs + $6.46B RPO but NRR compressed ~115% and guide cut; not 5</t>
        </is>
      </c>
      <c r="F2126" s="33" t="inlineStr">
        <is>
          <t>per-stock/ZS/context-2026-06-17.md</t>
        </is>
      </c>
      <c r="G2126" s="33" t="inlineStr">
        <is>
          <t>Medium</t>
        </is>
      </c>
      <c r="H2126" s="33" t="inlineStr">
        <is>
          <t>Initial</t>
        </is>
      </c>
    </row>
    <row r="2127">
      <c r="A2127" s="33" t="inlineStr">
        <is>
          <t>2026-06-17</t>
        </is>
      </c>
      <c r="B2127" s="33" t="inlineStr">
        <is>
          <t>ZS</t>
        </is>
      </c>
      <c r="C2127" s="33" t="inlineStr">
        <is>
          <t>D4</t>
        </is>
      </c>
      <c r="D2127" s="33" t="n">
        <v>4</v>
      </c>
      <c r="E2127" s="33" t="inlineStr">
        <is>
          <t>Aggressive product/platform + M&amp;A (Red Canary, Symmetry)</t>
        </is>
      </c>
      <c r="F2127" s="33" t="inlineStr">
        <is>
          <t>per-stock/ZS/context-2026-06-17.md</t>
        </is>
      </c>
      <c r="G2127" s="33" t="inlineStr">
        <is>
          <t>Medium</t>
        </is>
      </c>
      <c r="H2127" s="33" t="inlineStr">
        <is>
          <t>Initial</t>
        </is>
      </c>
    </row>
    <row r="2128">
      <c r="A2128" s="33" t="inlineStr">
        <is>
          <t>2026-06-17</t>
        </is>
      </c>
      <c r="B2128" s="33" t="inlineStr">
        <is>
          <t>ZS</t>
        </is>
      </c>
      <c r="C2128" s="33" t="inlineStr">
        <is>
          <t>D5</t>
        </is>
      </c>
      <c r="D2128" s="33" t="n">
        <v>2</v>
      </c>
      <c r="E2128" s="33" t="inlineStr">
        <is>
          <t>Indirect — secures AI usage, not in compute supply chain</t>
        </is>
      </c>
      <c r="F2128" s="33" t="inlineStr">
        <is>
          <t>per-stock/ZS/context-2026-06-17.md</t>
        </is>
      </c>
      <c r="G2128" s="33" t="inlineStr">
        <is>
          <t>Medium</t>
        </is>
      </c>
      <c r="H2128" s="33" t="inlineStr">
        <is>
          <t>Initial</t>
        </is>
      </c>
    </row>
    <row r="2129">
      <c r="A2129" s="33" t="inlineStr">
        <is>
          <t>2026-06-17</t>
        </is>
      </c>
      <c r="B2129" s="33" t="inlineStr">
        <is>
          <t>ZS</t>
        </is>
      </c>
      <c r="C2129" s="33" t="inlineStr">
        <is>
          <t>M1</t>
        </is>
      </c>
      <c r="D2129" s="33" t="n">
        <v>1</v>
      </c>
      <c r="E2129" s="33" t="inlineStr">
        <is>
          <t>Sharp consensus cuts post FY27 guide-down to 16-17%</t>
        </is>
      </c>
      <c r="F2129" s="33" t="inlineStr">
        <is>
          <t>per-stock/ZS/context-2026-06-17.md</t>
        </is>
      </c>
      <c r="G2129" s="33" t="inlineStr">
        <is>
          <t>High</t>
        </is>
      </c>
      <c r="H2129" s="33" t="inlineStr">
        <is>
          <t>Initial</t>
        </is>
      </c>
    </row>
    <row r="2130">
      <c r="A2130" s="33" t="inlineStr">
        <is>
          <t>2026-06-17</t>
        </is>
      </c>
      <c r="B2130" s="33" t="inlineStr">
        <is>
          <t>ZS</t>
        </is>
      </c>
      <c r="C2130" s="33" t="inlineStr">
        <is>
          <t>M2</t>
        </is>
      </c>
      <c r="D2130" s="33" t="n">
        <v>1</v>
      </c>
      <c r="E2130" s="33" t="inlineStr">
        <is>
          <t>Down ~50% to near 52-wk low; 50DMA 12.5%</t>
        </is>
      </c>
      <c r="F2130" s="33" t="inlineStr">
        <is>
          <t>per-stock/ZS/context-2026-06-17.md</t>
        </is>
      </c>
      <c r="G2130" s="33" t="inlineStr">
        <is>
          <t>High</t>
        </is>
      </c>
      <c r="H2130" s="33" t="inlineStr">
        <is>
          <t>Initial</t>
        </is>
      </c>
    </row>
    <row r="2131">
      <c r="A2131" s="33" t="inlineStr">
        <is>
          <t>2026-06-17</t>
        </is>
      </c>
      <c r="B2131" s="33" t="inlineStr">
        <is>
          <t>ZS</t>
        </is>
      </c>
      <c r="C2131" s="33" t="inlineStr">
        <is>
          <t>M3</t>
        </is>
      </c>
      <c r="D2131" s="33" t="n">
        <v>3</v>
      </c>
      <c r="E2131" s="33" t="inlineStr">
        <is>
          <t>Routine RSU tax sells only, no open-market buys -&gt; default</t>
        </is>
      </c>
      <c r="F2131" s="33" t="inlineStr">
        <is>
          <t>per-stock/ZS/context-2026-06-17.md</t>
        </is>
      </c>
      <c r="G2131" s="33" t="inlineStr">
        <is>
          <t>High</t>
        </is>
      </c>
      <c r="H2131" s="33" t="inlineStr">
        <is>
          <t>Initial</t>
        </is>
      </c>
    </row>
    <row r="2132">
      <c r="A2132" s="33" t="inlineStr">
        <is>
          <t>2026-06-17</t>
        </is>
      </c>
      <c r="B2132" s="33" t="inlineStr">
        <is>
          <t>ZS</t>
        </is>
      </c>
      <c r="C2132" s="33" t="inlineStr">
        <is>
          <t>R1</t>
        </is>
      </c>
      <c r="D2132" s="33" t="n">
        <v>5</v>
      </c>
      <c r="E2132" s="33" t="inlineStr">
        <is>
          <t>No customer &gt;10% of rev</t>
        </is>
      </c>
      <c r="F2132" s="33" t="inlineStr">
        <is>
          <t>per-stock/ZS/context-2026-06-17.md</t>
        </is>
      </c>
      <c r="G2132" s="33" t="inlineStr">
        <is>
          <t>High</t>
        </is>
      </c>
      <c r="H2132" s="33" t="inlineStr">
        <is>
          <t>Initial</t>
        </is>
      </c>
    </row>
    <row r="2133">
      <c r="A2133" s="33" t="inlineStr">
        <is>
          <t>2026-06-17</t>
        </is>
      </c>
      <c r="B2133" s="33" t="inlineStr">
        <is>
          <t>ZS</t>
        </is>
      </c>
      <c r="C2133" s="33" t="inlineStr">
        <is>
          <t>R2</t>
        </is>
      </c>
      <c r="D2133" s="33" t="n">
        <v>5</v>
      </c>
      <c r="E2133" s="33" t="inlineStr">
        <is>
          <t>US SaaS, diversified, no China/asset leg</t>
        </is>
      </c>
      <c r="F2133" s="33" t="inlineStr">
        <is>
          <t>per-stock/ZS/context-2026-06-17.md</t>
        </is>
      </c>
      <c r="G2133" s="33" t="inlineStr">
        <is>
          <t>Medium</t>
        </is>
      </c>
      <c r="H2133" s="33" t="inlineStr">
        <is>
          <t>Initial</t>
        </is>
      </c>
    </row>
    <row r="2134">
      <c r="A2134" s="33" t="inlineStr">
        <is>
          <t>2026-06-17</t>
        </is>
      </c>
      <c r="B2134" s="33" t="inlineStr">
        <is>
          <t>ZS</t>
        </is>
      </c>
      <c r="C2134" s="33" t="inlineStr">
        <is>
          <t>R3</t>
        </is>
      </c>
      <c r="D2134" s="33" t="n">
        <v>5</v>
      </c>
      <c r="E2134" s="33" t="inlineStr">
        <is>
          <t>Net cash $1.67B; 28% FCF margin</t>
        </is>
      </c>
      <c r="F2134" s="33" t="inlineStr">
        <is>
          <t>per-stock/ZS/context-2026-06-17.md</t>
        </is>
      </c>
      <c r="G2134" s="33" t="inlineStr">
        <is>
          <t>High</t>
        </is>
      </c>
      <c r="H2134" s="33" t="inlineStr">
        <is>
          <t>Initial</t>
        </is>
      </c>
    </row>
    <row r="2135">
      <c r="A2135" s="33" t="inlineStr">
        <is>
          <t>2026-06-17</t>
        </is>
      </c>
      <c r="B2135" s="33" t="inlineStr">
        <is>
          <t>ZS</t>
        </is>
      </c>
      <c r="C2135" s="33" t="inlineStr">
        <is>
          <t>R4</t>
        </is>
      </c>
      <c r="D2135" s="33" t="n">
        <v>4</v>
      </c>
      <c r="E2135" s="33" t="inlineStr">
        <is>
          <t>Ordinary-course only, no material case</t>
        </is>
      </c>
      <c r="F2135" s="33" t="inlineStr">
        <is>
          <t>per-stock/ZS/context-2026-06-17.md</t>
        </is>
      </c>
      <c r="G2135" s="33" t="inlineStr">
        <is>
          <t>Medium</t>
        </is>
      </c>
      <c r="H2135" s="33" t="inlineStr">
        <is>
          <t>Initial</t>
        </is>
      </c>
    </row>
    <row r="2136">
      <c r="A2136" s="33" t="inlineStr">
        <is>
          <t>2026-06-17</t>
        </is>
      </c>
      <c r="B2136" s="33" t="inlineStr">
        <is>
          <t>INTU</t>
        </is>
      </c>
      <c r="C2136" s="33" t="inlineStr">
        <is>
          <t>D1</t>
        </is>
      </c>
      <c r="D2136" s="33" t="n">
        <v>2</v>
      </c>
      <c r="E2136" s="33" t="inlineStr">
        <is>
          <t>No discrete AI rev disclosed; platform re-architected on GenOS/Assist but little directly-monetized AI yet</t>
        </is>
      </c>
      <c r="F2136" s="33" t="inlineStr">
        <is>
          <t>per-stock/INTU/context-2026-06-17.md</t>
        </is>
      </c>
      <c r="G2136" s="33" t="inlineStr">
        <is>
          <t>Medium</t>
        </is>
      </c>
      <c r="H2136" s="33" t="inlineStr">
        <is>
          <t>Initial</t>
        </is>
      </c>
    </row>
    <row r="2137">
      <c r="A2137" s="33" t="inlineStr">
        <is>
          <t>2026-06-17</t>
        </is>
      </c>
      <c r="B2137" s="33" t="inlineStr">
        <is>
          <t>INTU</t>
        </is>
      </c>
      <c r="C2137" s="33" t="inlineStr">
        <is>
          <t>D2</t>
        </is>
      </c>
      <c r="D2137" s="33" t="n">
        <v>3</v>
      </c>
      <c r="E2137" s="33" t="inlineStr">
        <is>
          <t>Huge SMB/consumer install base + workflow lock-in, but 2026 tax miss shows DIY entry contestable</t>
        </is>
      </c>
      <c r="F2137" s="33" t="inlineStr">
        <is>
          <t>per-stock/INTU/context-2026-06-17.md</t>
        </is>
      </c>
      <c r="G2137" s="33" t="inlineStr">
        <is>
          <t>High</t>
        </is>
      </c>
      <c r="H2137" s="33" t="inlineStr">
        <is>
          <t>Initial</t>
        </is>
      </c>
    </row>
    <row r="2138">
      <c r="A2138" s="33" t="inlineStr">
        <is>
          <t>2026-06-17</t>
        </is>
      </c>
      <c r="B2138" s="33" t="inlineStr">
        <is>
          <t>INTU</t>
        </is>
      </c>
      <c r="C2138" s="33" t="inlineStr">
        <is>
          <t>D3</t>
        </is>
      </c>
      <c r="D2138" s="33" t="n">
        <v>3</v>
      </c>
      <c r="E2138" s="33" t="inlineStr">
        <is>
          <t>QuickBooks/SMB moat strong; TurboTax consumer pricing power just cracked; OpenAI deal cedes top-of-funnel</t>
        </is>
      </c>
      <c r="F2138" s="33" t="inlineStr">
        <is>
          <t>per-stock/INTU/context-2026-06-17.md</t>
        </is>
      </c>
      <c r="G2138" s="33" t="inlineStr">
        <is>
          <t>Medium</t>
        </is>
      </c>
      <c r="H2138" s="33" t="inlineStr">
        <is>
          <t>Initial</t>
        </is>
      </c>
    </row>
    <row r="2139">
      <c r="A2139" s="33" t="inlineStr">
        <is>
          <t>2026-06-17</t>
        </is>
      </c>
      <c r="B2139" s="33" t="inlineStr">
        <is>
          <t>INTU</t>
        </is>
      </c>
      <c r="C2139" s="33" t="inlineStr">
        <is>
          <t>D4</t>
        </is>
      </c>
      <c r="D2139" s="33" t="n">
        <v>3</v>
      </c>
      <c r="E2139" s="33" t="inlineStr">
        <is>
          <t>Heavy AI/product investment ($100M/yr OpenAI) but cutting 17% headcount — efficiency not expansion</t>
        </is>
      </c>
      <c r="F2139" s="33" t="inlineStr">
        <is>
          <t>per-stock/INTU/context-2026-06-17.md</t>
        </is>
      </c>
      <c r="G2139" s="33" t="inlineStr">
        <is>
          <t>Medium</t>
        </is>
      </c>
      <c r="H2139" s="33" t="inlineStr">
        <is>
          <t>Initial</t>
        </is>
      </c>
    </row>
    <row r="2140">
      <c r="A2140" s="33" t="inlineStr">
        <is>
          <t>2026-06-17</t>
        </is>
      </c>
      <c r="B2140" s="33" t="inlineStr">
        <is>
          <t>INTU</t>
        </is>
      </c>
      <c r="C2140" s="33" t="inlineStr">
        <is>
          <t>D5</t>
        </is>
      </c>
      <c r="D2140" s="33" t="n">
        <v>1</v>
      </c>
      <c r="E2140" s="33" t="inlineStr">
        <is>
          <t>Consumer of AI compute (pays OpenAI), not infra supplier</t>
        </is>
      </c>
      <c r="F2140" s="33" t="inlineStr">
        <is>
          <t>per-stock/INTU/context-2026-06-17.md</t>
        </is>
      </c>
      <c r="G2140" s="33" t="inlineStr">
        <is>
          <t>High</t>
        </is>
      </c>
      <c r="H2140" s="33" t="inlineStr">
        <is>
          <t>Initial</t>
        </is>
      </c>
    </row>
    <row r="2141">
      <c r="A2141" s="33" t="inlineStr">
        <is>
          <t>2026-06-17</t>
        </is>
      </c>
      <c r="B2141" s="33" t="inlineStr">
        <is>
          <t>INTU</t>
        </is>
      </c>
      <c r="C2141" s="33" t="inlineStr">
        <is>
          <t>M1</t>
        </is>
      </c>
      <c r="D2141" s="33" t="n">
        <v>2</v>
      </c>
      <c r="E2141" s="33" t="inlineStr">
        <is>
          <t>Wells Fargo + others downgraded/cut after tax miss despite technical guide raise</t>
        </is>
      </c>
      <c r="F2141" s="33" t="inlineStr">
        <is>
          <t>per-stock/INTU/context-2026-06-17.md</t>
        </is>
      </c>
      <c r="G2141" s="33" t="inlineStr">
        <is>
          <t>Medium</t>
        </is>
      </c>
      <c r="H2141" s="33" t="inlineStr">
        <is>
          <t>Initial</t>
        </is>
      </c>
    </row>
    <row r="2142">
      <c r="A2142" s="33" t="inlineStr">
        <is>
          <t>2026-06-17</t>
        </is>
      </c>
      <c r="B2142" s="33" t="inlineStr">
        <is>
          <t>INTU</t>
        </is>
      </c>
      <c r="C2142" s="33" t="inlineStr">
        <is>
          <t>M2</t>
        </is>
      </c>
      <c r="D2142" s="33" t="n">
        <v>1</v>
      </c>
      <c r="E2142" s="33" t="inlineStr">
        <is>
          <t>-67% off high, near 52-wk low; 50DMA% 4.2% vs ~flat IGV</t>
        </is>
      </c>
      <c r="F2142" s="33" t="inlineStr">
        <is>
          <t>per-stock/INTU/context-2026-06-17.md</t>
        </is>
      </c>
      <c r="G2142" s="33" t="inlineStr">
        <is>
          <t>High</t>
        </is>
      </c>
      <c r="H2142" s="33" t="inlineStr">
        <is>
          <t>Initial</t>
        </is>
      </c>
    </row>
    <row r="2143">
      <c r="A2143" s="33" t="inlineStr">
        <is>
          <t>2026-06-17</t>
        </is>
      </c>
      <c r="B2143" s="33" t="inlineStr">
        <is>
          <t>INTU</t>
        </is>
      </c>
      <c r="C2143" s="33" t="inlineStr">
        <is>
          <t>M3</t>
        </is>
      </c>
      <c r="D2143" s="33" t="n">
        <v>4</v>
      </c>
      <c r="E2143" s="33" t="inlineStr">
        <is>
          <t>One open-market discretionary BUY (Dir Prabhu ~$541K post-crash @ $309); routine sells otherwise</t>
        </is>
      </c>
      <c r="F2143" s="33" t="inlineStr">
        <is>
          <t>per-stock/INTU/context-2026-06-17.md</t>
        </is>
      </c>
      <c r="G2143" s="33" t="inlineStr">
        <is>
          <t>High</t>
        </is>
      </c>
      <c r="H2143" s="33" t="inlineStr">
        <is>
          <t>Initial</t>
        </is>
      </c>
    </row>
    <row r="2144">
      <c r="A2144" s="33" t="inlineStr">
        <is>
          <t>2026-06-17</t>
        </is>
      </c>
      <c r="B2144" s="33" t="inlineStr">
        <is>
          <t>INTU</t>
        </is>
      </c>
      <c r="C2144" s="33" t="inlineStr">
        <is>
          <t>R1</t>
        </is>
      </c>
      <c r="D2144" s="33" t="n">
        <v>5</v>
      </c>
      <c r="E2144" s="33" t="inlineStr">
        <is>
          <t>Tens of millions of customers; none material</t>
        </is>
      </c>
      <c r="F2144" s="33" t="inlineStr">
        <is>
          <t>per-stock/INTU/context-2026-06-17.md</t>
        </is>
      </c>
      <c r="G2144" s="33" t="inlineStr">
        <is>
          <t>High</t>
        </is>
      </c>
      <c r="H2144" s="33" t="inlineStr">
        <is>
          <t>Initial</t>
        </is>
      </c>
    </row>
    <row r="2145">
      <c r="A2145" s="33" t="inlineStr">
        <is>
          <t>2026-06-17</t>
        </is>
      </c>
      <c r="B2145" s="33" t="inlineStr">
        <is>
          <t>INTU</t>
        </is>
      </c>
      <c r="C2145" s="33" t="inlineStr">
        <is>
          <t>R2</t>
        </is>
      </c>
      <c r="D2145" s="33" t="n">
        <v>5</v>
      </c>
      <c r="E2145" s="33" t="inlineStr">
        <is>
          <t>~95%+ US rev + US assets; worst shock domestic US tax-policy, not geo/export</t>
        </is>
      </c>
      <c r="F2145" s="33" t="inlineStr">
        <is>
          <t>per-stock/INTU/context-2026-06-17.md</t>
        </is>
      </c>
      <c r="G2145" s="33" t="inlineStr">
        <is>
          <t>Medium</t>
        </is>
      </c>
      <c r="H2145" s="33" t="inlineStr">
        <is>
          <t>Initial</t>
        </is>
      </c>
    </row>
    <row r="2146">
      <c r="A2146" s="33" t="inlineStr">
        <is>
          <t>2026-06-17</t>
        </is>
      </c>
      <c r="B2146" s="33" t="inlineStr">
        <is>
          <t>INTU</t>
        </is>
      </c>
      <c r="C2146" s="33" t="inlineStr">
        <is>
          <t>R3</t>
        </is>
      </c>
      <c r="D2146" s="33" t="n">
        <v>5</v>
      </c>
      <c r="E2146" s="33" t="inlineStr">
        <is>
          <t>Net-cash-neutral (ND/EBITDA 0.02x); 37% FCF margin; ~$7.7B TTM FCF</t>
        </is>
      </c>
      <c r="F2146" s="33" t="inlineStr">
        <is>
          <t>per-stock/INTU/context-2026-06-17.md</t>
        </is>
      </c>
      <c r="G2146" s="33" t="inlineStr">
        <is>
          <t>High</t>
        </is>
      </c>
      <c r="H2146" s="33" t="inlineStr">
        <is>
          <t>Initial</t>
        </is>
      </c>
    </row>
    <row r="2147">
      <c r="A2147" s="33" t="inlineStr">
        <is>
          <t>2026-06-17</t>
        </is>
      </c>
      <c r="B2147" s="33" t="inlineStr">
        <is>
          <t>INTU</t>
        </is>
      </c>
      <c r="C2147" s="33" t="inlineStr">
        <is>
          <t>R4</t>
        </is>
      </c>
      <c r="D2147" s="33" t="n">
        <v>3</v>
      </c>
      <c r="E2147" s="33" t="inlineStr">
        <is>
          <t>Active securities-fraud INVESTIGATION (plaintiff-firm stage) on pricing disclosures + TurboTax FTC/state-AG history (debatable vs 2)</t>
        </is>
      </c>
      <c r="F2147" s="33" t="inlineStr">
        <is>
          <t>per-stock/INTU/context-2026-06-17.md</t>
        </is>
      </c>
      <c r="G2147" s="33" t="inlineStr">
        <is>
          <t>Medium</t>
        </is>
      </c>
      <c r="H2147" s="33" t="inlineStr">
        <is>
          <t>Initial</t>
        </is>
      </c>
    </row>
    <row r="2148">
      <c r="A2148" s="33" t="inlineStr">
        <is>
          <t>2026-06-17</t>
        </is>
      </c>
      <c r="B2148" s="33" t="inlineStr">
        <is>
          <t>WDAY</t>
        </is>
      </c>
      <c r="C2148" s="33" t="inlineStr">
        <is>
          <t>D1</t>
        </is>
      </c>
      <c r="D2148" s="33" t="n">
        <v>2</v>
      </c>
      <c r="E2148" s="33" t="inlineStr">
        <is>
          <t>No disclosed AI-rev line; agentic AI an attach/uplift on a seat base; ~&lt;10% of rev</t>
        </is>
      </c>
      <c r="F2148" s="33" t="inlineStr">
        <is>
          <t>per-stock/WDAY/context-2026-06-17.md</t>
        </is>
      </c>
      <c r="G2148" s="33" t="inlineStr">
        <is>
          <t>Medium</t>
        </is>
      </c>
      <c r="H2148" s="33" t="inlineStr">
        <is>
          <t>Initial</t>
        </is>
      </c>
    </row>
    <row r="2149">
      <c r="A2149" s="33" t="inlineStr">
        <is>
          <t>2026-06-17</t>
        </is>
      </c>
      <c r="B2149" s="33" t="inlineStr">
        <is>
          <t>WDAY</t>
        </is>
      </c>
      <c r="C2149" s="33" t="inlineStr">
        <is>
          <t>D2</t>
        </is>
      </c>
      <c r="D2149" s="33" t="n">
        <v>3</v>
      </c>
      <c r="E2149" s="33" t="inlineStr">
        <is>
          <t>Mid-chain enterprise app; deep install base + switching costs but seat-pricing unit under AI question</t>
        </is>
      </c>
      <c r="F2149" s="33" t="inlineStr">
        <is>
          <t>per-stock/WDAY/context-2026-06-17.md</t>
        </is>
      </c>
      <c r="G2149" s="33" t="inlineStr">
        <is>
          <t>Medium</t>
        </is>
      </c>
      <c r="H2149" s="33" t="inlineStr">
        <is>
          <t>Initial</t>
        </is>
      </c>
    </row>
    <row r="2150">
      <c r="A2150" s="33" t="inlineStr">
        <is>
          <t>2026-06-17</t>
        </is>
      </c>
      <c r="B2150" s="33" t="inlineStr">
        <is>
          <t>WDAY</t>
        </is>
      </c>
      <c r="C2150" s="33" t="inlineStr">
        <is>
          <t>D3</t>
        </is>
      </c>
      <c r="D2150" s="33" t="n">
        <v>3</v>
      </c>
      <c r="E2150" s="33" t="inlineStr">
        <is>
          <t>Real enterprise depth/switching costs/unified data model, but per-seat model is what agentic AI threatens</t>
        </is>
      </c>
      <c r="F2150" s="33" t="inlineStr">
        <is>
          <t>per-stock/WDAY/context-2026-06-17.md</t>
        </is>
      </c>
      <c r="G2150" s="33" t="inlineStr">
        <is>
          <t>Medium</t>
        </is>
      </c>
      <c r="H2150" s="33" t="inlineStr">
        <is>
          <t>Initial</t>
        </is>
      </c>
    </row>
    <row r="2151">
      <c r="A2151" s="33" t="inlineStr">
        <is>
          <t>2026-06-17</t>
        </is>
      </c>
      <c r="B2151" s="33" t="inlineStr">
        <is>
          <t>WDAY</t>
        </is>
      </c>
      <c r="C2151" s="33" t="inlineStr">
        <is>
          <t>D4</t>
        </is>
      </c>
      <c r="D2151" s="33" t="n">
        <v>4</v>
      </c>
      <c r="E2151" s="33" t="inlineStr">
        <is>
          <t>Heavy agentic-AI roadmap; Agent System of Record GA; $1.1B Sana acquisition</t>
        </is>
      </c>
      <c r="F2151" s="33" t="inlineStr">
        <is>
          <t>per-stock/WDAY/context-2026-06-17.md</t>
        </is>
      </c>
      <c r="G2151" s="33" t="inlineStr">
        <is>
          <t>High</t>
        </is>
      </c>
      <c r="H2151" s="33" t="inlineStr">
        <is>
          <t>Initial</t>
        </is>
      </c>
    </row>
    <row r="2152">
      <c r="A2152" s="33" t="inlineStr">
        <is>
          <t>2026-06-17</t>
        </is>
      </c>
      <c r="B2152" s="33" t="inlineStr">
        <is>
          <t>WDAY</t>
        </is>
      </c>
      <c r="C2152" s="33" t="inlineStr">
        <is>
          <t>D5</t>
        </is>
      </c>
      <c r="D2152" s="33" t="n">
        <v>1</v>
      </c>
      <c r="E2152" s="33" t="inlineStr">
        <is>
          <t>Consumer of cloud compute; no hyperscaler rev, minimal AI-infra capex</t>
        </is>
      </c>
      <c r="F2152" s="33" t="inlineStr">
        <is>
          <t>per-stock/WDAY/context-2026-06-17.md</t>
        </is>
      </c>
      <c r="G2152" s="33" t="inlineStr">
        <is>
          <t>High</t>
        </is>
      </c>
      <c r="H2152" s="33" t="inlineStr">
        <is>
          <t>Initial</t>
        </is>
      </c>
    </row>
    <row r="2153">
      <c r="A2153" s="33" t="inlineStr">
        <is>
          <t>2026-06-17</t>
        </is>
      </c>
      <c r="B2153" s="33" t="inlineStr">
        <is>
          <t>WDAY</t>
        </is>
      </c>
      <c r="C2153" s="33" t="inlineStr">
        <is>
          <t>M1</t>
        </is>
      </c>
      <c r="D2153" s="33" t="n">
        <v>2</v>
      </c>
      <c r="E2153" s="33" t="inlineStr">
        <is>
          <t>Estimates/PTs broadly cut (Citi pulled rating, 26+ PT cuts, Jefferies Buy-&gt;Hold) despite Q1 beat</t>
        </is>
      </c>
      <c r="F2153" s="33" t="inlineStr">
        <is>
          <t>per-stock/WDAY/context-2026-06-17.md</t>
        </is>
      </c>
      <c r="G2153" s="33" t="inlineStr">
        <is>
          <t>High</t>
        </is>
      </c>
      <c r="H2153" s="33" t="inlineStr">
        <is>
          <t>Initial</t>
        </is>
      </c>
    </row>
    <row r="2154">
      <c r="A2154" s="33" t="inlineStr">
        <is>
          <t>2026-06-17</t>
        </is>
      </c>
      <c r="B2154" s="33" t="inlineStr">
        <is>
          <t>WDAY</t>
        </is>
      </c>
      <c r="C2154" s="33" t="inlineStr">
        <is>
          <t>M2</t>
        </is>
      </c>
      <c r="D2154" s="33" t="n">
        <v>1</v>
      </c>
      <c r="E2154" s="33" t="inlineStr">
        <is>
          <t>-44% in 120d / ~50%+ off highs vs flat-to-up IGV — severe underperformance</t>
        </is>
      </c>
      <c r="F2154" s="33" t="inlineStr">
        <is>
          <t>per-stock/WDAY/context-2026-06-17.md</t>
        </is>
      </c>
      <c r="G2154" s="33" t="inlineStr">
        <is>
          <t>High</t>
        </is>
      </c>
      <c r="H2154" s="33" t="inlineStr">
        <is>
          <t>Initial</t>
        </is>
      </c>
    </row>
    <row r="2155">
      <c r="A2155" s="33" t="inlineStr">
        <is>
          <t>2026-06-17</t>
        </is>
      </c>
      <c r="B2155" s="33" t="inlineStr">
        <is>
          <t>WDAY</t>
        </is>
      </c>
      <c r="C2155" s="33" t="inlineStr">
        <is>
          <t>M3</t>
        </is>
      </c>
      <c r="D2155" s="33" t="n">
        <v>3</v>
      </c>
      <c r="E2155" s="33" t="inlineStr">
        <is>
          <t>No open-market buys; Duffield sells explicit 10b5-1; officers only tax-withholding -&gt; routine</t>
        </is>
      </c>
      <c r="F2155" s="33" t="inlineStr">
        <is>
          <t>per-stock/WDAY/context-2026-06-17.md</t>
        </is>
      </c>
      <c r="G2155" s="33" t="inlineStr">
        <is>
          <t>High</t>
        </is>
      </c>
      <c r="H2155" s="33" t="inlineStr">
        <is>
          <t>Initial</t>
        </is>
      </c>
    </row>
    <row r="2156">
      <c r="A2156" s="33" t="inlineStr">
        <is>
          <t>2026-06-17</t>
        </is>
      </c>
      <c r="B2156" s="33" t="inlineStr">
        <is>
          <t>WDAY</t>
        </is>
      </c>
      <c r="C2156" s="33" t="inlineStr">
        <is>
          <t>R1</t>
        </is>
      </c>
      <c r="D2156" s="33" t="n">
        <v>5</v>
      </c>
      <c r="E2156" s="33" t="inlineStr">
        <is>
          <t>10-K: no customer &gt;10% of rev (FY24-26)</t>
        </is>
      </c>
      <c r="F2156" s="33" t="inlineStr">
        <is>
          <t>per-stock/WDAY/context-2026-06-17.md</t>
        </is>
      </c>
      <c r="G2156" s="33" t="inlineStr">
        <is>
          <t>High</t>
        </is>
      </c>
      <c r="H2156" s="33" t="inlineStr">
        <is>
          <t>Initial</t>
        </is>
      </c>
    </row>
    <row r="2157">
      <c r="A2157" s="33" t="inlineStr">
        <is>
          <t>2026-06-17</t>
        </is>
      </c>
      <c r="B2157" s="33" t="inlineStr">
        <is>
          <t>WDAY</t>
        </is>
      </c>
      <c r="C2157" s="33" t="inlineStr">
        <is>
          <t>R2</t>
        </is>
      </c>
      <c r="D2157" s="33" t="n">
        <v>5</v>
      </c>
      <c r="E2157" s="33" t="inlineStr">
        <is>
          <t>US-HQ; no country other than US &gt;10% of rev; US data centers</t>
        </is>
      </c>
      <c r="F2157" s="33" t="inlineStr">
        <is>
          <t>per-stock/WDAY/context-2026-06-17.md</t>
        </is>
      </c>
      <c r="G2157" s="33" t="inlineStr">
        <is>
          <t>High</t>
        </is>
      </c>
      <c r="H2157" s="33" t="inlineStr">
        <is>
          <t>Initial</t>
        </is>
      </c>
    </row>
    <row r="2158">
      <c r="A2158" s="33" t="inlineStr">
        <is>
          <t>2026-06-17</t>
        </is>
      </c>
      <c r="B2158" s="33" t="inlineStr">
        <is>
          <t>WDAY</t>
        </is>
      </c>
      <c r="C2158" s="33" t="inlineStr">
        <is>
          <t>R3</t>
        </is>
      </c>
      <c r="D2158" s="33" t="n">
        <v>5</v>
      </c>
      <c r="E2158" s="33" t="inlineStr">
        <is>
          <t>Net cash (ND/EBITDA -0.36x); ~$8B liquidity; 30% FCF margin</t>
        </is>
      </c>
      <c r="F2158" s="33" t="inlineStr">
        <is>
          <t>per-stock/WDAY/context-2026-06-17.md</t>
        </is>
      </c>
      <c r="G2158" s="33" t="inlineStr">
        <is>
          <t>High</t>
        </is>
      </c>
      <c r="H2158" s="33" t="inlineStr">
        <is>
          <t>Initial</t>
        </is>
      </c>
    </row>
    <row r="2159">
      <c r="A2159" s="33" t="inlineStr">
        <is>
          <t>2026-06-17</t>
        </is>
      </c>
      <c r="B2159" s="33" t="inlineStr">
        <is>
          <t>WDAY</t>
        </is>
      </c>
      <c r="C2159" s="33" t="inlineStr">
        <is>
          <t>R4</t>
        </is>
      </c>
      <c r="D2159" s="33" t="n">
        <v>3</v>
      </c>
      <c r="E2159" s="33" t="inlineStr">
        <is>
          <t>Mobley v. Workday — certified nationwide ADEA AI-hiring-bias collective, now merits phase (material, novel)</t>
        </is>
      </c>
      <c r="F2159" s="33" t="inlineStr">
        <is>
          <t>per-stock/WDAY/context-2026-06-17.md</t>
        </is>
      </c>
      <c r="G2159" s="33" t="inlineStr">
        <is>
          <t>Medium</t>
        </is>
      </c>
      <c r="H2159" s="33" t="inlineStr">
        <is>
          <t>Initial</t>
        </is>
      </c>
    </row>
    <row r="2160">
      <c r="A2160" s="33" t="inlineStr">
        <is>
          <t>2026-06-17</t>
        </is>
      </c>
      <c r="B2160" s="33" t="inlineStr">
        <is>
          <t>ADSK</t>
        </is>
      </c>
      <c r="C2160" s="33" t="inlineStr">
        <is>
          <t>D1</t>
        </is>
      </c>
      <c r="D2160" s="33" t="n">
        <v>1</v>
      </c>
      <c r="E2160" s="33" t="inlineStr">
        <is>
          <t>AI woven through products but no AI rev disclosed; clearly &lt;5%</t>
        </is>
      </c>
      <c r="F2160" s="33" t="inlineStr">
        <is>
          <t>per-stock/ADSK/context-2026-06-17.md</t>
        </is>
      </c>
      <c r="G2160" s="33" t="inlineStr">
        <is>
          <t>High</t>
        </is>
      </c>
      <c r="H2160" s="33" t="inlineStr">
        <is>
          <t>Initial</t>
        </is>
      </c>
    </row>
    <row r="2161">
      <c r="A2161" s="33" t="inlineStr">
        <is>
          <t>2026-06-17</t>
        </is>
      </c>
      <c r="B2161" s="33" t="inlineStr">
        <is>
          <t>ADSK</t>
        </is>
      </c>
      <c r="C2161" s="33" t="inlineStr">
        <is>
          <t>D2</t>
        </is>
      </c>
      <c r="D2161" s="33" t="n">
        <v>3</v>
      </c>
      <c r="E2161" s="33" t="inlineStr">
        <is>
          <t>CAD/BIM near-monopoly w/ workflow lock-in &amp; pricing power, but a Layer-10 app not an upstream bottleneck</t>
        </is>
      </c>
      <c r="F2161" s="33" t="inlineStr">
        <is>
          <t>per-stock/ADSK/context-2026-06-17.md</t>
        </is>
      </c>
      <c r="G2161" s="33" t="inlineStr">
        <is>
          <t>High</t>
        </is>
      </c>
      <c r="H2161" s="33" t="inlineStr">
        <is>
          <t>Initial</t>
        </is>
      </c>
    </row>
    <row r="2162">
      <c r="A2162" s="33" t="inlineStr">
        <is>
          <t>2026-06-17</t>
        </is>
      </c>
      <c r="B2162" s="33" t="inlineStr">
        <is>
          <t>ADSK</t>
        </is>
      </c>
      <c r="C2162" s="33" t="inlineStr">
        <is>
          <t>D3</t>
        </is>
      </c>
      <c r="D2162" s="33" t="n">
        <v>4</v>
      </c>
      <c r="E2162" s="33" t="inlineStr">
        <is>
          <t>AutoCAD/Revit format + 40-yr workflow/install-base lock-in; among most durable software moats</t>
        </is>
      </c>
      <c r="F2162" s="33" t="inlineStr">
        <is>
          <t>per-stock/ADSK/context-2026-06-17.md</t>
        </is>
      </c>
      <c r="G2162" s="33" t="inlineStr">
        <is>
          <t>High</t>
        </is>
      </c>
      <c r="H2162" s="33" t="inlineStr">
        <is>
          <t>Initial</t>
        </is>
      </c>
    </row>
    <row r="2163">
      <c r="A2163" s="33" t="inlineStr">
        <is>
          <t>2026-06-17</t>
        </is>
      </c>
      <c r="B2163" s="33" t="inlineStr">
        <is>
          <t>ADSK</t>
        </is>
      </c>
      <c r="C2163" s="33" t="inlineStr">
        <is>
          <t>D4</t>
        </is>
      </c>
      <c r="D2163" s="33" t="n">
        <v>4</v>
      </c>
      <c r="E2163" s="33" t="inlineStr">
        <is>
          <t>Heavy AI R&amp;D + platform build + $3.6B MaintainX TAM expansion</t>
        </is>
      </c>
      <c r="F2163" s="33" t="inlineStr">
        <is>
          <t>per-stock/ADSK/context-2026-06-17.md</t>
        </is>
      </c>
      <c r="G2163" s="33" t="inlineStr">
        <is>
          <t>Medium</t>
        </is>
      </c>
      <c r="H2163" s="33" t="inlineStr">
        <is>
          <t>Initial</t>
        </is>
      </c>
    </row>
    <row r="2164">
      <c r="A2164" s="33" t="inlineStr">
        <is>
          <t>2026-06-17</t>
        </is>
      </c>
      <c r="B2164" s="33" t="inlineStr">
        <is>
          <t>ADSK</t>
        </is>
      </c>
      <c r="C2164" s="33" t="inlineStr">
        <is>
          <t>D5</t>
        </is>
      </c>
      <c r="D2164" s="33" t="n">
        <v>1</v>
      </c>
      <c r="E2164" s="33" t="inlineStr">
        <is>
          <t>Consumer of cloud compute; no hyperscaler rev/AI-infra capex</t>
        </is>
      </c>
      <c r="F2164" s="33" t="inlineStr">
        <is>
          <t>per-stock/ADSK/context-2026-06-17.md</t>
        </is>
      </c>
      <c r="G2164" s="33" t="inlineStr">
        <is>
          <t>High</t>
        </is>
      </c>
      <c r="H2164" s="33" t="inlineStr">
        <is>
          <t>Initial</t>
        </is>
      </c>
    </row>
    <row r="2165">
      <c r="A2165" s="33" t="inlineStr">
        <is>
          <t>2026-06-17</t>
        </is>
      </c>
      <c r="B2165" s="33" t="inlineStr">
        <is>
          <t>ADSK</t>
        </is>
      </c>
      <c r="C2165" s="33" t="inlineStr">
        <is>
          <t>M1</t>
        </is>
      </c>
      <c r="D2165" s="33" t="n">
        <v>4</v>
      </c>
      <c r="E2165" s="33" t="inlineStr">
        <is>
          <t>Beat + raised FY27 guide; multiple post-Q1 PT raises (MS/KeyBanc/Barclays/Rosenblatt)</t>
        </is>
      </c>
      <c r="F2165" s="33" t="inlineStr">
        <is>
          <t>per-stock/ADSK/context-2026-06-17.md</t>
        </is>
      </c>
      <c r="G2165" s="33" t="inlineStr">
        <is>
          <t>Medium</t>
        </is>
      </c>
      <c r="H2165" s="33" t="inlineStr">
        <is>
          <t>Initial</t>
        </is>
      </c>
    </row>
    <row r="2166">
      <c r="A2166" s="33" t="inlineStr">
        <is>
          <t>2026-06-17</t>
        </is>
      </c>
      <c r="B2166" s="33" t="inlineStr">
        <is>
          <t>ADSK</t>
        </is>
      </c>
      <c r="C2166" s="33" t="inlineStr">
        <is>
          <t>M2</t>
        </is>
      </c>
      <c r="D2166" s="33" t="n">
        <v>2</v>
      </c>
      <c r="E2166" s="33" t="inlineStr">
        <is>
          <t>-34% over 6mo vs roughly flat IGV — severe underperformance</t>
        </is>
      </c>
      <c r="F2166" s="33" t="inlineStr">
        <is>
          <t>per-stock/ADSK/context-2026-06-17.md</t>
        </is>
      </c>
      <c r="G2166" s="33" t="inlineStr">
        <is>
          <t>High</t>
        </is>
      </c>
      <c r="H2166" s="33" t="inlineStr">
        <is>
          <t>Initial</t>
        </is>
      </c>
    </row>
    <row r="2167">
      <c r="A2167" s="33" t="inlineStr">
        <is>
          <t>2026-06-17</t>
        </is>
      </c>
      <c r="B2167" s="33" t="inlineStr">
        <is>
          <t>ADSK</t>
        </is>
      </c>
      <c r="C2167" s="33" t="inlineStr">
        <is>
          <t>M3</t>
        </is>
      </c>
      <c r="D2167" s="33" t="n">
        <v>5</v>
      </c>
      <c r="E2167" s="33" t="inlineStr">
        <is>
          <t>CEO Anagnost ($499K 6/17), CFO Moorjani ($494K 6/15), Dir Smith ($793K 5/29) all open-market BUYS on the dip</t>
        </is>
      </c>
      <c r="F2167" s="33" t="inlineStr">
        <is>
          <t>per-stock/ADSK/context-2026-06-17.md</t>
        </is>
      </c>
      <c r="G2167" s="33" t="inlineStr">
        <is>
          <t>High</t>
        </is>
      </c>
      <c r="H2167" s="33" t="inlineStr">
        <is>
          <t>Initial</t>
        </is>
      </c>
    </row>
    <row r="2168">
      <c r="A2168" s="33" t="inlineStr">
        <is>
          <t>2026-06-17</t>
        </is>
      </c>
      <c r="B2168" s="33" t="inlineStr">
        <is>
          <t>ADSK</t>
        </is>
      </c>
      <c r="C2168" s="33" t="inlineStr">
        <is>
          <t>R1</t>
        </is>
      </c>
      <c r="D2168" s="33" t="n">
        <v>5</v>
      </c>
      <c r="E2168" s="33" t="inlineStr">
        <is>
          <t>No end-customer &gt;10%; TD Synnex (distributor) 9% is channel</t>
        </is>
      </c>
      <c r="F2168" s="33" t="inlineStr">
        <is>
          <t>per-stock/ADSK/context-2026-06-17.md</t>
        </is>
      </c>
      <c r="G2168" s="33" t="inlineStr">
        <is>
          <t>High</t>
        </is>
      </c>
      <c r="H2168" s="33" t="inlineStr">
        <is>
          <t>Initial</t>
        </is>
      </c>
    </row>
    <row r="2169">
      <c r="A2169" s="33" t="inlineStr">
        <is>
          <t>2026-06-17</t>
        </is>
      </c>
      <c r="B2169" s="33" t="inlineStr">
        <is>
          <t>ADSK</t>
        </is>
      </c>
      <c r="C2169" s="33" t="inlineStr">
        <is>
          <t>R2</t>
        </is>
      </c>
      <c r="D2169" s="33" t="n">
        <v>4</v>
      </c>
      <c r="E2169" s="33" t="inlineStr">
        <is>
          <t>International majority (EMEA 39%, APAC 17%, US 35%); worst shock broad EMEA recession, country-diversified</t>
        </is>
      </c>
      <c r="F2169" s="33" t="inlineStr">
        <is>
          <t>per-stock/ADSK/context-2026-06-17.md</t>
        </is>
      </c>
      <c r="G2169" s="33" t="inlineStr">
        <is>
          <t>High</t>
        </is>
      </c>
      <c r="H2169" s="33" t="inlineStr">
        <is>
          <t>Initial</t>
        </is>
      </c>
    </row>
    <row r="2170">
      <c r="A2170" s="33" t="inlineStr">
        <is>
          <t>2026-06-17</t>
        </is>
      </c>
      <c r="B2170" s="33" t="inlineStr">
        <is>
          <t>ADSK</t>
        </is>
      </c>
      <c r="C2170" s="33" t="inlineStr">
        <is>
          <t>R3</t>
        </is>
      </c>
      <c r="D2170" s="33" t="n">
        <v>4</v>
      </c>
      <c r="E2170" s="33" t="inlineStr">
        <is>
          <t>Net cash today + ~$2.7B FCF but $3.6B all-cash MaintainX pending flips to modest net debt</t>
        </is>
      </c>
      <c r="F2170" s="33" t="inlineStr">
        <is>
          <t>per-stock/ADSK/context-2026-06-17.md</t>
        </is>
      </c>
      <c r="G2170" s="33" t="inlineStr">
        <is>
          <t>High</t>
        </is>
      </c>
      <c r="H2170" s="33" t="inlineStr">
        <is>
          <t>Initial</t>
        </is>
      </c>
    </row>
    <row r="2171">
      <c r="A2171" s="33" t="inlineStr">
        <is>
          <t>2026-06-17</t>
        </is>
      </c>
      <c r="B2171" s="33" t="inlineStr">
        <is>
          <t>ADSK</t>
        </is>
      </c>
      <c r="C2171" s="33" t="inlineStr">
        <is>
          <t>R4</t>
        </is>
      </c>
      <c r="D2171" s="33" t="n">
        <v>2</v>
      </c>
      <c r="E2171" s="33" t="inlineStr">
        <is>
          <t>Pending Audit-Committee internal investigation into FCF/non-GAAP practices (since Mar 2024) + securities class action (Barkasi) naming CEO/former CFO</t>
        </is>
      </c>
      <c r="F2171" s="33" t="inlineStr">
        <is>
          <t>per-stock/ADSK/context-2026-06-17.md</t>
        </is>
      </c>
      <c r="G2171" s="33" t="inlineStr">
        <is>
          <t>High</t>
        </is>
      </c>
      <c r="H2171" s="33" t="inlineStr">
        <is>
          <t>Initial</t>
        </is>
      </c>
    </row>
    <row r="2172">
      <c r="A2172" s="33" t="inlineStr">
        <is>
          <t>2026-06-17</t>
        </is>
      </c>
      <c r="B2172" s="33" t="inlineStr">
        <is>
          <t>TSLA</t>
        </is>
      </c>
      <c r="C2172" s="33" t="inlineStr">
        <is>
          <t>D1</t>
        </is>
      </c>
      <c r="D2172" s="33" t="n">
        <v>1</v>
      </c>
      <c r="E2172" s="33" t="inlineStr">
        <is>
          <t>AI rev ~0% of P&amp;L; auto 72.5% of rev; robotaxi ~20 unsupervised cars; FSD rev deferred</t>
        </is>
      </c>
      <c r="F2172" s="33" t="inlineStr">
        <is>
          <t>per-stock/TSLA/context-2026-06-17.md</t>
        </is>
      </c>
      <c r="G2172" s="33" t="inlineStr">
        <is>
          <t>High</t>
        </is>
      </c>
      <c r="H2172" s="33" t="inlineStr">
        <is>
          <t>Initial</t>
        </is>
      </c>
    </row>
    <row r="2173">
      <c r="A2173" s="33" t="inlineStr">
        <is>
          <t>2026-06-17</t>
        </is>
      </c>
      <c r="B2173" s="33" t="inlineStr">
        <is>
          <t>TSLA</t>
        </is>
      </c>
      <c r="C2173" s="33" t="inlineStr">
        <is>
          <t>D2</t>
        </is>
      </c>
      <c r="D2173" s="33" t="n">
        <v>2</v>
      </c>
      <c r="E2173" s="33" t="inlineStr">
        <is>
          <t>Demand-side; foundry consumer not a bottleneck</t>
        </is>
      </c>
      <c r="F2173" s="33" t="inlineStr">
        <is>
          <t>per-stock/TSLA/context-2026-06-17.md</t>
        </is>
      </c>
      <c r="G2173" s="33" t="inlineStr">
        <is>
          <t>Medium</t>
        </is>
      </c>
      <c r="H2173" s="33" t="inlineStr">
        <is>
          <t>Initial</t>
        </is>
      </c>
    </row>
    <row r="2174">
      <c r="A2174" s="33" t="inlineStr">
        <is>
          <t>2026-06-17</t>
        </is>
      </c>
      <c r="B2174" s="33" t="inlineStr">
        <is>
          <t>TSLA</t>
        </is>
      </c>
      <c r="C2174" s="33" t="inlineStr">
        <is>
          <t>D3</t>
        </is>
      </c>
      <c r="D2174" s="33" t="n">
        <v>3</v>
      </c>
      <c r="E2174" s="33" t="inlineStr">
        <is>
          <t>Real data moat but contested camera-only AV + BYD pressure</t>
        </is>
      </c>
      <c r="F2174" s="33" t="inlineStr">
        <is>
          <t>per-stock/TSLA/context-2026-06-17.md</t>
        </is>
      </c>
      <c r="G2174" s="33" t="inlineStr">
        <is>
          <t>Medium</t>
        </is>
      </c>
      <c r="H2174" s="33" t="inlineStr">
        <is>
          <t>Initial</t>
        </is>
      </c>
    </row>
    <row r="2175">
      <c r="A2175" s="33" t="inlineStr">
        <is>
          <t>2026-06-17</t>
        </is>
      </c>
      <c r="B2175" s="33" t="inlineStr">
        <is>
          <t>TSLA</t>
        </is>
      </c>
      <c r="C2175" s="33" t="inlineStr">
        <is>
          <t>D4</t>
        </is>
      </c>
      <c r="D2175" s="33" t="n">
        <v>4</v>
      </c>
      <c r="E2175" s="33" t="inlineStr">
        <is>
          <t>Funded multi-pronged buildout (AI5/AI6 edge-inference taped out Apr-2026; Optimus) but target-heavy; Dojo CANCELLED Aug-2025</t>
        </is>
      </c>
      <c r="F2175" s="33" t="inlineStr">
        <is>
          <t>per-stock/TSLA/context-2026-06-17.md</t>
        </is>
      </c>
      <c r="G2175" s="33" t="inlineStr">
        <is>
          <t>Medium</t>
        </is>
      </c>
      <c r="H2175" s="33" t="inlineStr">
        <is>
          <t>Initial</t>
        </is>
      </c>
    </row>
    <row r="2176">
      <c r="A2176" s="33" t="inlineStr">
        <is>
          <t>2026-06-17</t>
        </is>
      </c>
      <c r="B2176" s="33" t="inlineStr">
        <is>
          <t>TSLA</t>
        </is>
      </c>
      <c r="C2176" s="33" t="inlineStr">
        <is>
          <t>D5</t>
        </is>
      </c>
      <c r="D2176" s="33" t="n">
        <v>1</v>
      </c>
      <c r="E2176" s="33" t="inlineStr">
        <is>
          <t>Not a hyperscaler/supplier</t>
        </is>
      </c>
      <c r="F2176" s="33" t="inlineStr">
        <is>
          <t>per-stock/TSLA/context-2026-06-17.md</t>
        </is>
      </c>
      <c r="G2176" s="33" t="inlineStr">
        <is>
          <t>High</t>
        </is>
      </c>
      <c r="H2176" s="33" t="inlineStr">
        <is>
          <t>Initial</t>
        </is>
      </c>
    </row>
    <row r="2177">
      <c r="A2177" s="33" t="inlineStr">
        <is>
          <t>2026-06-17</t>
        </is>
      </c>
      <c r="B2177" s="33" t="inlineStr">
        <is>
          <t>TSLA</t>
        </is>
      </c>
      <c r="C2177" s="33" t="inlineStr">
        <is>
          <t>M1</t>
        </is>
      </c>
      <c r="D2177" s="33" t="n">
        <v>2</v>
      </c>
      <c r="E2177" s="33" t="inlineStr">
        <is>
          <t>Estimate tone weak (verify revision count)</t>
        </is>
      </c>
      <c r="F2177" s="33" t="inlineStr">
        <is>
          <t>per-stock/TSLA/context-2026-06-17.md</t>
        </is>
      </c>
      <c r="G2177" s="33" t="inlineStr">
        <is>
          <t>Low</t>
        </is>
      </c>
      <c r="H2177" s="33" t="inlineStr">
        <is>
          <t>Initial</t>
        </is>
      </c>
    </row>
    <row r="2178">
      <c r="A2178" s="33" t="inlineStr">
        <is>
          <t>2026-06-17</t>
        </is>
      </c>
      <c r="B2178" s="33" t="inlineStr">
        <is>
          <t>TSLA</t>
        </is>
      </c>
      <c r="C2178" s="33" t="inlineStr">
        <is>
          <t>M2</t>
        </is>
      </c>
      <c r="D2178" s="33" t="n">
        <v>2</v>
      </c>
      <c r="E2178" s="33" t="inlineStr">
        <is>
          <t>-18% 6mo vs XLY -5.2%; lags QQQ/SOXX badly</t>
        </is>
      </c>
      <c r="F2178" s="33" t="inlineStr">
        <is>
          <t>per-stock/TSLA/context-2026-06-17.md</t>
        </is>
      </c>
      <c r="G2178" s="33" t="inlineStr">
        <is>
          <t>High</t>
        </is>
      </c>
      <c r="H2178" s="33" t="inlineStr">
        <is>
          <t>Initial</t>
        </is>
      </c>
    </row>
    <row r="2179">
      <c r="A2179" s="33" t="inlineStr">
        <is>
          <t>2026-06-17</t>
        </is>
      </c>
      <c r="B2179" s="33" t="inlineStr">
        <is>
          <t>TSLA</t>
        </is>
      </c>
      <c r="C2179" s="33" t="inlineStr">
        <is>
          <t>M3</t>
        </is>
      </c>
      <c r="D2179" s="33" t="n">
        <v>3</v>
      </c>
      <c r="E2179" s="33" t="inlineStr">
        <is>
          <t>No open-market buys; Musk activity is option-exercise + tax-withholding, routine</t>
        </is>
      </c>
      <c r="F2179" s="33" t="inlineStr">
        <is>
          <t>per-stock/TSLA/context-2026-06-17.md</t>
        </is>
      </c>
      <c r="G2179" s="33" t="inlineStr">
        <is>
          <t>Medium</t>
        </is>
      </c>
      <c r="H2179" s="33" t="inlineStr">
        <is>
          <t>Initial</t>
        </is>
      </c>
    </row>
    <row r="2180">
      <c r="A2180" s="33" t="inlineStr">
        <is>
          <t>2026-06-17</t>
        </is>
      </c>
      <c r="B2180" s="33" t="inlineStr">
        <is>
          <t>TSLA</t>
        </is>
      </c>
      <c r="C2180" s="33" t="inlineStr">
        <is>
          <t>R1</t>
        </is>
      </c>
      <c r="D2180" s="33" t="n">
        <v>5</v>
      </c>
      <c r="E2180" s="33" t="inlineStr">
        <is>
          <t>Diversified retail customer base</t>
        </is>
      </c>
      <c r="F2180" s="33" t="inlineStr">
        <is>
          <t>per-stock/TSLA/context-2026-06-17.md</t>
        </is>
      </c>
      <c r="G2180" s="33" t="inlineStr">
        <is>
          <t>High</t>
        </is>
      </c>
      <c r="H2180" s="33" t="inlineStr">
        <is>
          <t>Initial</t>
        </is>
      </c>
    </row>
    <row r="2181">
      <c r="A2181" s="33" t="inlineStr">
        <is>
          <t>2026-06-17</t>
        </is>
      </c>
      <c r="B2181" s="33" t="inlineStr">
        <is>
          <t>TSLA</t>
        </is>
      </c>
      <c r="C2181" s="33" t="inlineStr">
        <is>
          <t>R2</t>
        </is>
      </c>
      <c r="D2181" s="33" t="n">
        <v>2</v>
      </c>
      <c r="E2181" s="33" t="inlineStr">
        <is>
          <t>Shanghai asset + China demand + tariff legs (verify China rev %)</t>
        </is>
      </c>
      <c r="F2181" s="33" t="inlineStr">
        <is>
          <t>per-stock/TSLA/context-2026-06-17.md</t>
        </is>
      </c>
      <c r="G2181" s="33" t="inlineStr">
        <is>
          <t>Medium</t>
        </is>
      </c>
      <c r="H2181" s="33" t="inlineStr">
        <is>
          <t>Initial</t>
        </is>
      </c>
    </row>
    <row r="2182">
      <c r="A2182" s="33" t="inlineStr">
        <is>
          <t>2026-06-17</t>
        </is>
      </c>
      <c r="B2182" s="33" t="inlineStr">
        <is>
          <t>TSLA</t>
        </is>
      </c>
      <c r="C2182" s="33" t="inlineStr">
        <is>
          <t>R3</t>
        </is>
      </c>
      <c r="D2182" s="33" t="n">
        <v>4</v>
      </c>
      <c r="E2182" s="33" t="inlineStr">
        <is>
          <t>Net cash ~$28.9B but ~$1T pay-package dilution docks one notch</t>
        </is>
      </c>
      <c r="F2182" s="33" t="inlineStr">
        <is>
          <t>per-stock/TSLA/context-2026-06-17.md</t>
        </is>
      </c>
      <c r="G2182" s="33" t="inlineStr">
        <is>
          <t>Medium</t>
        </is>
      </c>
      <c r="H2182" s="33" t="inlineStr">
        <is>
          <t>Initial</t>
        </is>
      </c>
    </row>
    <row r="2183">
      <c r="A2183" s="33" t="inlineStr">
        <is>
          <t>2026-06-17</t>
        </is>
      </c>
      <c r="B2183" s="33" t="inlineStr">
        <is>
          <t>TSLA</t>
        </is>
      </c>
      <c r="C2183" s="33" t="inlineStr">
        <is>
          <t>R4</t>
        </is>
      </c>
      <c r="D2183" s="33" t="n">
        <v>2</v>
      </c>
      <c r="E2183" s="33" t="inlineStr">
        <is>
          <t>NHTSA EA26002 pre-recall analysis on 3.2M vehicles + FSD safety scrutiny</t>
        </is>
      </c>
      <c r="F2183" s="33" t="inlineStr">
        <is>
          <t>per-stock/TSLA/context-2026-06-17.md</t>
        </is>
      </c>
      <c r="G2183" s="33" t="inlineStr">
        <is>
          <t>Medium</t>
        </is>
      </c>
      <c r="H2183" s="33" t="inlineStr">
        <is>
          <t>Initial</t>
        </is>
      </c>
    </row>
    <row r="2184">
      <c r="A2184" s="33" t="inlineStr">
        <is>
          <t>2026-06-17</t>
        </is>
      </c>
      <c r="B2184" s="33" t="inlineStr">
        <is>
          <t>AAPL</t>
        </is>
      </c>
      <c r="C2184" s="33" t="inlineStr">
        <is>
          <t>D1</t>
        </is>
      </c>
      <c r="D2184" s="33" t="n">
        <v>1</v>
      </c>
      <c r="E2184" s="33" t="inlineStr">
        <is>
          <t>Zero AI rev disclosed; Apple Intelligence a free OS feature; Apple PAYS Google ~$1B/yr for Gemini</t>
        </is>
      </c>
      <c r="F2184" s="33" t="inlineStr">
        <is>
          <t>per-stock/AAPL/context-2026-06-17.md</t>
        </is>
      </c>
      <c r="G2184" s="33" t="inlineStr">
        <is>
          <t>High</t>
        </is>
      </c>
      <c r="H2184" s="33" t="inlineStr">
        <is>
          <t>Initial</t>
        </is>
      </c>
    </row>
    <row r="2185">
      <c r="A2185" s="33" t="inlineStr">
        <is>
          <t>2026-06-17</t>
        </is>
      </c>
      <c r="B2185" s="33" t="inlineStr">
        <is>
          <t>AAPL</t>
        </is>
      </c>
      <c r="C2185" s="33" t="inlineStr">
        <is>
          <t>D2</t>
        </is>
      </c>
      <c r="D2185" s="33" t="n">
        <v>2</v>
      </c>
      <c r="E2185" s="33" t="inlineStr">
        <is>
          <t>Downstream end-product hardware; in the AI stack Apple is a buyer not a bottleneck</t>
        </is>
      </c>
      <c r="F2185" s="33" t="inlineStr">
        <is>
          <t>per-stock/AAPL/context-2026-06-17.md</t>
        </is>
      </c>
      <c r="G2185" s="33" t="inlineStr">
        <is>
          <t>High</t>
        </is>
      </c>
      <c r="H2185" s="33" t="inlineStr">
        <is>
          <t>Initial</t>
        </is>
      </c>
    </row>
    <row r="2186">
      <c r="A2186" s="33" t="inlineStr">
        <is>
          <t>2026-06-17</t>
        </is>
      </c>
      <c r="B2186" s="33" t="inlineStr">
        <is>
          <t>AAPL</t>
        </is>
      </c>
      <c r="C2186" s="33" t="inlineStr">
        <is>
          <t>D3</t>
        </is>
      </c>
      <c r="D2186" s="33" t="n">
        <v>5</v>
      </c>
      <c r="E2186" s="33" t="inlineStr">
        <is>
          <t>iOS/hardware/services ecosystem lock-in, 1.4B-device base, brand — durable 10+yr (company-moat, not AI-moat)</t>
        </is>
      </c>
      <c r="F2186" s="33" t="inlineStr">
        <is>
          <t>per-stock/AAPL/context-2026-06-17.md</t>
        </is>
      </c>
      <c r="G2186" s="33" t="inlineStr">
        <is>
          <t>High</t>
        </is>
      </c>
      <c r="H2186" s="33" t="inlineStr">
        <is>
          <t>Initial</t>
        </is>
      </c>
    </row>
    <row r="2187">
      <c r="A2187" s="33" t="inlineStr">
        <is>
          <t>2026-06-17</t>
        </is>
      </c>
      <c r="B2187" s="33" t="inlineStr">
        <is>
          <t>AAPL</t>
        </is>
      </c>
      <c r="C2187" s="33" t="inlineStr">
        <is>
          <t>D4</t>
        </is>
      </c>
      <c r="D2187" s="33" t="n">
        <v>2</v>
      </c>
      <c r="E2187" s="33" t="inlineStr">
        <is>
          <t>AI-infra sense: asset-light ~2.4% capex/rev, rents Gemini; Baltra in-house AI server silicon is forward optionality (analyst-sourced, not filed)</t>
        </is>
      </c>
      <c r="F2187" s="33" t="inlineStr">
        <is>
          <t>per-stock/AAPL/context-2026-06-17.md</t>
        </is>
      </c>
      <c r="G2187" s="33" t="inlineStr">
        <is>
          <t>Medium</t>
        </is>
      </c>
      <c r="H2187" s="33" t="inlineStr">
        <is>
          <t>Initial</t>
        </is>
      </c>
    </row>
    <row r="2188">
      <c r="A2188" s="33" t="inlineStr">
        <is>
          <t>2026-06-17</t>
        </is>
      </c>
      <c r="B2188" s="33" t="inlineStr">
        <is>
          <t>AAPL</t>
        </is>
      </c>
      <c r="C2188" s="33" t="inlineStr">
        <is>
          <t>D5</t>
        </is>
      </c>
      <c r="D2188" s="33" t="n">
        <v>2</v>
      </c>
      <c r="E2188" s="33" t="inlineStr">
        <is>
          <t>Reframed as "is Apple an AI-infra buyer": minimal today, rents frontier intelligence; Baltra/2027 DCs could move to 3</t>
        </is>
      </c>
      <c r="F2188" s="33" t="inlineStr">
        <is>
          <t>per-stock/AAPL/context-2026-06-17.md</t>
        </is>
      </c>
      <c r="G2188" s="33" t="inlineStr">
        <is>
          <t>Medium</t>
        </is>
      </c>
      <c r="H2188" s="33" t="inlineStr">
        <is>
          <t>Initial</t>
        </is>
      </c>
    </row>
    <row r="2189">
      <c r="A2189" s="33" t="inlineStr">
        <is>
          <t>2026-06-17</t>
        </is>
      </c>
      <c r="B2189" s="33" t="inlineStr">
        <is>
          <t>AAPL</t>
        </is>
      </c>
      <c r="C2189" s="33" t="inlineStr">
        <is>
          <t>M1</t>
        </is>
      </c>
      <c r="D2189" s="33" t="n">
        <v>4</v>
      </c>
      <c r="E2189" s="33" t="inlineStr">
        <is>
          <t>Q2 FY26 beat ($2.01 vs $1.95); Greater China +28%, iPhone +22%; AI-laggard narrative caps upside</t>
        </is>
      </c>
      <c r="F2189" s="33" t="inlineStr">
        <is>
          <t>per-stock/AAPL/context-2026-06-17.md</t>
        </is>
      </c>
      <c r="G2189" s="33" t="inlineStr">
        <is>
          <t>Medium</t>
        </is>
      </c>
      <c r="H2189" s="33" t="inlineStr">
        <is>
          <t>Initial</t>
        </is>
      </c>
    </row>
    <row r="2190">
      <c r="A2190" s="33" t="inlineStr">
        <is>
          <t>2026-06-17</t>
        </is>
      </c>
      <c r="B2190" s="33" t="inlineStr">
        <is>
          <t>AAPL</t>
        </is>
      </c>
      <c r="C2190" s="33" t="inlineStr">
        <is>
          <t>M2</t>
        </is>
      </c>
      <c r="D2190" s="33" t="n">
        <v>2</v>
      </c>
      <c r="E2190" s="33" t="inlineStr">
        <is>
          <t>+17.7% 3mo vs XLK +32.9% (underperform ~15pts); lags YTD/52wk</t>
        </is>
      </c>
      <c r="F2190" s="33" t="inlineStr">
        <is>
          <t>per-stock/AAPL/context-2026-06-17.md</t>
        </is>
      </c>
      <c r="G2190" s="33" t="inlineStr">
        <is>
          <t>High</t>
        </is>
      </c>
      <c r="H2190" s="33" t="inlineStr">
        <is>
          <t>Initial</t>
        </is>
      </c>
    </row>
    <row r="2191">
      <c r="A2191" s="33" t="inlineStr">
        <is>
          <t>2026-06-17</t>
        </is>
      </c>
      <c r="B2191" s="33" t="inlineStr">
        <is>
          <t>AAPL</t>
        </is>
      </c>
      <c r="C2191" s="33" t="inlineStr">
        <is>
          <t>M3</t>
        </is>
      </c>
      <c r="D2191" s="33" t="n">
        <v>3</v>
      </c>
      <c r="E2191" s="33" t="inlineStr">
        <is>
          <t>No open-market buys 12mo; Chairman Levinson large discretionary no-plan sells (borderline 2); CEO succession Cook-&gt;Exec Chair 9/1/26</t>
        </is>
      </c>
      <c r="F2191" s="33" t="inlineStr">
        <is>
          <t>per-stock/AAPL/context-2026-06-17.md</t>
        </is>
      </c>
      <c r="G2191" s="33" t="inlineStr">
        <is>
          <t>High</t>
        </is>
      </c>
      <c r="H2191" s="33" t="inlineStr">
        <is>
          <t>Initial</t>
        </is>
      </c>
    </row>
    <row r="2192">
      <c r="A2192" s="33" t="inlineStr">
        <is>
          <t>2026-06-17</t>
        </is>
      </c>
      <c r="B2192" s="33" t="inlineStr">
        <is>
          <t>AAPL</t>
        </is>
      </c>
      <c r="C2192" s="33" t="inlineStr">
        <is>
          <t>R1</t>
        </is>
      </c>
      <c r="D2192" s="33" t="n">
        <v>5</v>
      </c>
      <c r="E2192" s="33" t="inlineStr">
        <is>
          <t>No customer &gt;15%; Apple is the demand concentrator not the concentrated party</t>
        </is>
      </c>
      <c r="F2192" s="33" t="inlineStr">
        <is>
          <t>per-stock/AAPL/context-2026-06-17.md</t>
        </is>
      </c>
      <c r="G2192" s="33" t="inlineStr">
        <is>
          <t>High</t>
        </is>
      </c>
      <c r="H2192" s="33" t="inlineStr">
        <is>
          <t>Initial</t>
        </is>
      </c>
    </row>
    <row r="2193">
      <c r="A2193" s="33" t="inlineStr">
        <is>
          <t>2026-06-17</t>
        </is>
      </c>
      <c r="B2193" s="33" t="inlineStr">
        <is>
          <t>AAPL</t>
        </is>
      </c>
      <c r="C2193" s="33" t="inlineStr">
        <is>
          <t>R2</t>
        </is>
      </c>
      <c r="D2193" s="33" t="n">
        <v>2</v>
      </c>
      <c r="E2193" s="33" t="inlineStr">
        <is>
          <t>Worst shock US-China escalation: demand (Greater China ~18.4% Q2) + asset leg (majority iPhone assembly in China); India partial</t>
        </is>
      </c>
      <c r="F2193" s="33" t="inlineStr">
        <is>
          <t>per-stock/AAPL/context-2026-06-17.md</t>
        </is>
      </c>
      <c r="G2193" s="33" t="inlineStr">
        <is>
          <t>Medium</t>
        </is>
      </c>
      <c r="H2193" s="33" t="inlineStr">
        <is>
          <t>Initial</t>
        </is>
      </c>
    </row>
    <row r="2194">
      <c r="A2194" s="33" t="inlineStr">
        <is>
          <t>2026-06-17</t>
        </is>
      </c>
      <c r="B2194" s="33" t="inlineStr">
        <is>
          <t>AAPL</t>
        </is>
      </c>
      <c r="C2194" s="33" t="inlineStr">
        <is>
          <t>R3</t>
        </is>
      </c>
      <c r="D2194" s="33" t="n">
        <v>5</v>
      </c>
      <c r="E2194" s="33" t="inlineStr">
        <is>
          <t>Near net-cash (net debt $16.2B, ND/EBITDA 0.10x); $129B TTM FCF</t>
        </is>
      </c>
      <c r="F2194" s="33" t="inlineStr">
        <is>
          <t>per-stock/AAPL/context-2026-06-17.md</t>
        </is>
      </c>
      <c r="G2194" s="33" t="inlineStr">
        <is>
          <t>High</t>
        </is>
      </c>
      <c r="H2194" s="33" t="inlineStr">
        <is>
          <t>Initial</t>
        </is>
      </c>
    </row>
    <row r="2195">
      <c r="A2195" s="33" t="inlineStr">
        <is>
          <t>2026-06-17</t>
        </is>
      </c>
      <c r="B2195" s="33" t="inlineStr">
        <is>
          <t>AAPL</t>
        </is>
      </c>
      <c r="C2195" s="33" t="inlineStr">
        <is>
          <t>R4</t>
        </is>
      </c>
      <c r="D2195" s="33" t="n">
        <v>2</v>
      </c>
      <c r="E2195" s="33" t="inlineStr">
        <is>
          <t>DOJ smartphone-monopoly suit; Epic injunction on App Store; EU DMA; Google search-remedy threatens ~$20B/yr default-search payment</t>
        </is>
      </c>
      <c r="F2195" s="33" t="inlineStr">
        <is>
          <t>per-stock/AAPL/context-2026-06-17.md</t>
        </is>
      </c>
      <c r="G2195" s="33" t="inlineStr">
        <is>
          <t>High</t>
        </is>
      </c>
      <c r="H2195" s="33" t="inlineStr">
        <is>
          <t>Initial</t>
        </is>
      </c>
    </row>
    <row r="2196">
      <c r="A2196" s="33" t="inlineStr">
        <is>
          <t>2026-06-17</t>
        </is>
      </c>
      <c r="B2196" s="33" t="inlineStr">
        <is>
          <t>SPCX</t>
        </is>
      </c>
      <c r="C2196" s="33" t="inlineStr">
        <is>
          <t>D1</t>
        </is>
      </c>
      <c r="D2196" s="33" t="n">
        <v>3</v>
      </c>
      <c r="E2196" s="33" t="inlineStr">
        <is>
          <t>xAI merged in Feb-2026; AI segment $3.2B FY25 rev (~17% of total) — already an AI conglomerate, but loss-making sleeve</t>
        </is>
      </c>
      <c r="F2196" s="33" t="inlineStr">
        <is>
          <t>per-stock/SPCX/context-2026-06-17.md</t>
        </is>
      </c>
      <c r="G2196" s="33" t="inlineStr">
        <is>
          <t>Medium</t>
        </is>
      </c>
      <c r="H2196" s="33" t="inlineStr">
        <is>
          <t>Initial</t>
        </is>
      </c>
    </row>
    <row r="2197">
      <c r="A2197" s="33" t="inlineStr">
        <is>
          <t>2026-06-17</t>
        </is>
      </c>
      <c r="B2197" s="33" t="inlineStr">
        <is>
          <t>SPCX</t>
        </is>
      </c>
      <c r="C2197" s="33" t="inlineStr">
        <is>
          <t>D2</t>
        </is>
      </c>
      <c r="D2197" s="33" t="n">
        <v>4</v>
      </c>
      <c r="E2197" s="33" t="inlineStr">
        <is>
          <t>Vertically integrated launch+satcom+AI compute; few credible substitutes in core</t>
        </is>
      </c>
      <c r="F2197" s="33" t="inlineStr">
        <is>
          <t>per-stock/SPCX/context-2026-06-17.md</t>
        </is>
      </c>
      <c r="G2197" s="33" t="inlineStr">
        <is>
          <t>Medium</t>
        </is>
      </c>
      <c r="H2197" s="33" t="inlineStr">
        <is>
          <t>Initial</t>
        </is>
      </c>
    </row>
    <row r="2198">
      <c r="A2198" s="33" t="inlineStr">
        <is>
          <t>2026-06-17</t>
        </is>
      </c>
      <c r="B2198" s="33" t="inlineStr">
        <is>
          <t>SPCX</t>
        </is>
      </c>
      <c r="C2198" s="33" t="inlineStr">
        <is>
          <t>D3</t>
        </is>
      </c>
      <c r="D2198" s="33" t="n">
        <v>4</v>
      </c>
      <c r="E2198" s="33" t="inlineStr">
        <is>
          <t>Starlink network + reusable-launch cost moat + xAI compute; deep but capital-intensive</t>
        </is>
      </c>
      <c r="F2198" s="33" t="inlineStr">
        <is>
          <t>per-stock/SPCX/context-2026-06-17.md</t>
        </is>
      </c>
      <c r="G2198" s="33" t="inlineStr">
        <is>
          <t>Medium</t>
        </is>
      </c>
      <c r="H2198" s="33" t="inlineStr">
        <is>
          <t>Initial</t>
        </is>
      </c>
    </row>
    <row r="2199">
      <c r="A2199" s="33" t="inlineStr">
        <is>
          <t>2026-06-17</t>
        </is>
      </c>
      <c r="B2199" s="33" t="inlineStr">
        <is>
          <t>SPCX</t>
        </is>
      </c>
      <c r="C2199" s="33" t="inlineStr">
        <is>
          <t>D4</t>
        </is>
      </c>
      <c r="D2199" s="33" t="n">
        <v>5</v>
      </c>
      <c r="E2199" s="33" t="inlineStr">
        <is>
          <t>Funded mega-buildout ($20.9B FY25 capex; GW-scale AI cluster; orbital AI1 DCs)</t>
        </is>
      </c>
      <c r="F2199" s="33" t="inlineStr">
        <is>
          <t>per-stock/SPCX/context-2026-06-17.md</t>
        </is>
      </c>
      <c r="G2199" s="33" t="inlineStr">
        <is>
          <t>Medium</t>
        </is>
      </c>
      <c r="H2199" s="33" t="inlineStr">
        <is>
          <t>Initial</t>
        </is>
      </c>
    </row>
    <row r="2200">
      <c r="A2200" s="33" t="inlineStr">
        <is>
          <t>2026-06-17</t>
        </is>
      </c>
      <c r="B2200" s="33" t="inlineStr">
        <is>
          <t>SPCX</t>
        </is>
      </c>
      <c r="C2200" s="33" t="inlineStr">
        <is>
          <t>D5</t>
        </is>
      </c>
      <c r="D2200" s="33" t="n">
        <v>4</v>
      </c>
      <c r="E2200" s="33" t="inlineStr">
        <is>
          <t>Buyer-side AI-infra (GW training cluster) + Grok in Starlink (Layer-9 framing; flagged)</t>
        </is>
      </c>
      <c r="F2200" s="33" t="inlineStr">
        <is>
          <t>per-stock/SPCX/context-2026-06-17.md</t>
        </is>
      </c>
      <c r="G2200" s="33" t="inlineStr">
        <is>
          <t>Low</t>
        </is>
      </c>
      <c r="H2200" s="33" t="inlineStr">
        <is>
          <t>Initial</t>
        </is>
      </c>
    </row>
    <row r="2201">
      <c r="A2201" s="33" t="inlineStr">
        <is>
          <t>2026-06-17</t>
        </is>
      </c>
      <c r="B2201" s="33" t="inlineStr">
        <is>
          <t>SPCX</t>
        </is>
      </c>
      <c r="C2201" s="33" t="inlineStr">
        <is>
          <t>R1</t>
        </is>
      </c>
      <c r="D2201" s="33" t="n">
        <v>3</v>
      </c>
      <c r="E2201" s="33" t="inlineStr">
        <is>
          <t>Govt concentration in Space segment; Starlink diversifies</t>
        </is>
      </c>
      <c r="F2201" s="33" t="inlineStr">
        <is>
          <t>per-stock/SPCX/context-2026-06-17.md</t>
        </is>
      </c>
      <c r="G2201" s="33" t="inlineStr">
        <is>
          <t>Medium</t>
        </is>
      </c>
      <c r="H2201" s="33" t="inlineStr">
        <is>
          <t>Initial</t>
        </is>
      </c>
    </row>
    <row r="2202">
      <c r="A2202" s="33" t="inlineStr">
        <is>
          <t>2026-06-17</t>
        </is>
      </c>
      <c r="B2202" s="33" t="inlineStr">
        <is>
          <t>SPCX</t>
        </is>
      </c>
      <c r="C2202" s="33" t="inlineStr">
        <is>
          <t>R2</t>
        </is>
      </c>
      <c r="D2202" s="33" t="n">
        <v>4</v>
      </c>
      <c r="E2202" s="33" t="inlineStr">
        <is>
          <t>Worst shock US regulatory/political, not geographic</t>
        </is>
      </c>
      <c r="F2202" s="33" t="inlineStr">
        <is>
          <t>per-stock/SPCX/context-2026-06-17.md</t>
        </is>
      </c>
      <c r="G2202" s="33" t="inlineStr">
        <is>
          <t>Low</t>
        </is>
      </c>
      <c r="H2202" s="33" t="inlineStr">
        <is>
          <t>Initial</t>
        </is>
      </c>
    </row>
    <row r="2203">
      <c r="A2203" s="33" t="inlineStr">
        <is>
          <t>2026-06-17</t>
        </is>
      </c>
      <c r="B2203" s="33" t="inlineStr">
        <is>
          <t>SPCX</t>
        </is>
      </c>
      <c r="C2203" s="33" t="inlineStr">
        <is>
          <t>R3</t>
        </is>
      </c>
      <c r="D2203" s="33" t="n">
        <v>4</v>
      </c>
      <c r="E2203" s="33" t="inlineStr">
        <is>
          <t>Strong post-IPO B/S but FCF-negative by design ($-14.1B FY25)</t>
        </is>
      </c>
      <c r="F2203" s="33" t="inlineStr">
        <is>
          <t>per-stock/SPCX/context-2026-06-17.md</t>
        </is>
      </c>
      <c r="G2203" s="33" t="inlineStr">
        <is>
          <t>Medium</t>
        </is>
      </c>
      <c r="H2203" s="33" t="inlineStr">
        <is>
          <t>Initial</t>
        </is>
      </c>
    </row>
    <row r="2204">
      <c r="A2204" s="33" t="inlineStr">
        <is>
          <t>2026-06-17</t>
        </is>
      </c>
      <c r="B2204" s="33" t="inlineStr">
        <is>
          <t>SPCX</t>
        </is>
      </c>
      <c r="C2204" s="33" t="inlineStr">
        <is>
          <t>R4</t>
        </is>
      </c>
      <c r="D2204" s="33" t="n">
        <v>3</v>
      </c>
      <c r="E2204" s="33" t="inlineStr">
        <is>
          <t>Structural FAA/FCC/ITAR/antitrust + controlled-company governance (Musk &gt;50% voting, dual-class)</t>
        </is>
      </c>
      <c r="F2204" s="33" t="inlineStr">
        <is>
          <t>per-stock/SPCX/context-2026-06-17.md</t>
        </is>
      </c>
      <c r="G2204" s="33" t="inlineStr">
        <is>
          <t>Medium</t>
        </is>
      </c>
      <c r="H2204" s="33" t="inlineStr">
        <is>
          <t>Initial</t>
        </is>
      </c>
    </row>
    <row r="2205">
      <c r="A2205" s="33" t="inlineStr">
        <is>
          <t>2026-06-17</t>
        </is>
      </c>
      <c r="B2205" s="33" t="inlineStr">
        <is>
          <t>WDC</t>
        </is>
      </c>
      <c r="C2205" s="33" t="inlineStr">
        <is>
          <t>EPS YoY</t>
        </is>
      </c>
      <c r="D2205" s="33" t="inlineStr">
        <is>
          <t>BLANK</t>
        </is>
      </c>
      <c r="E2205" s="33" t="inlineStr">
        <is>
          <t>Rule 15: GAAP Q3 EPS $8.20 dominated by +$2,734M Sandisk-stake gain &amp; -$545M debt-exchange cost; non-GAAP $2.72. Growth averages revenue metrics.</t>
        </is>
      </c>
      <c r="F2205" s="33" t="inlineStr">
        <is>
          <t>per-stock/WDC/context-2026-06-17.md</t>
        </is>
      </c>
      <c r="G2205" s="33" t="inlineStr">
        <is>
          <t>High</t>
        </is>
      </c>
      <c r="H2205" s="33" t="inlineStr">
        <is>
          <t>Flag</t>
        </is>
      </c>
    </row>
    <row r="2206">
      <c r="A2206" s="33" t="inlineStr">
        <is>
          <t>2026-06-17</t>
        </is>
      </c>
      <c r="B2206" s="33" t="inlineStr">
        <is>
          <t>PANW</t>
        </is>
      </c>
      <c r="C2206" s="33" t="inlineStr">
        <is>
          <t>EPS YoY</t>
        </is>
      </c>
      <c r="D2206" s="33" t="inlineStr">
        <is>
          <t>BLANK</t>
        </is>
      </c>
      <c r="E2206" s="33" t="inlineStr">
        <is>
          <t>Rule 15: GAAP $0.37-&gt;$(0.22) acquisition-dominated ($28B M&amp;A in-quarter); non-GAAP EPS +6%.</t>
        </is>
      </c>
      <c r="F2206" s="33" t="inlineStr">
        <is>
          <t>per-stock/PANW/context-2026-06-17.md</t>
        </is>
      </c>
      <c r="G2206" s="33" t="inlineStr">
        <is>
          <t>High</t>
        </is>
      </c>
      <c r="H2206" s="33" t="inlineStr">
        <is>
          <t>Flag</t>
        </is>
      </c>
    </row>
    <row r="2207">
      <c r="A2207" s="33" t="inlineStr">
        <is>
          <t>2026-06-17</t>
        </is>
      </c>
      <c r="B2207" s="33" t="inlineStr">
        <is>
          <t>ZS</t>
        </is>
      </c>
      <c r="C2207" s="33" t="inlineStr">
        <is>
          <t>EPS YoY</t>
        </is>
      </c>
      <c r="D2207" s="33" t="inlineStr">
        <is>
          <t>BLANK</t>
        </is>
      </c>
      <c r="E2207" s="33" t="inlineStr">
        <is>
          <t>Rule 15: GAAP loss both periods (high-SBC distortion); Growth averages revenue metrics.</t>
        </is>
      </c>
      <c r="F2207" s="33" t="inlineStr">
        <is>
          <t>per-stock/ZS/context-2026-06-17.md</t>
        </is>
      </c>
      <c r="G2207" s="33" t="inlineStr">
        <is>
          <t>High</t>
        </is>
      </c>
      <c r="H2207" s="33" t="inlineStr">
        <is>
          <t>Flag</t>
        </is>
      </c>
    </row>
    <row r="2208">
      <c r="A2208" s="33" t="inlineStr">
        <is>
          <t>2026-06-17</t>
        </is>
      </c>
      <c r="B2208" s="33" t="inlineStr">
        <is>
          <t>WDAY</t>
        </is>
      </c>
      <c r="C2208" s="33" t="inlineStr">
        <is>
          <t>EPS YoY</t>
        </is>
      </c>
      <c r="D2208" s="33" t="inlineStr">
        <is>
          <t>19</t>
        </is>
      </c>
      <c r="E2208" s="33" t="inlineStr">
        <is>
          <t>Used non-GAAP operating EPS growth +19% instead of GAAP +248% (off Q1 FY26 restructuring-depressed base) — GAAP figure would floor PEG ~0.04 (garbage Value credit). Rule-15-adjacent garbage-input avoidance; flagged for review.</t>
        </is>
      </c>
      <c r="F2208" s="33" t="inlineStr">
        <is>
          <t>per-stock/WDAY/context-2026-06-17.md</t>
        </is>
      </c>
      <c r="G2208" s="33" t="inlineStr">
        <is>
          <t>Medium</t>
        </is>
      </c>
      <c r="H2208" s="33" t="inlineStr">
        <is>
          <t>Flag</t>
        </is>
      </c>
    </row>
    <row r="2209">
      <c r="A2209" s="33" t="inlineStr">
        <is>
          <t>2026-06-17</t>
        </is>
      </c>
      <c r="B2209" s="33" t="inlineStr">
        <is>
          <t>ADSK</t>
        </is>
      </c>
      <c r="C2209" s="33" t="inlineStr">
        <is>
          <t>EPS YoY</t>
        </is>
      </c>
      <c r="D2209" s="33" t="inlineStr">
        <is>
          <t>31</t>
        </is>
      </c>
      <c r="E2209" s="33" t="inlineStr">
        <is>
          <t>Used non-GAAP operating EPS growth +31% instead of GAAP +223% (off restructuring-depressed base) — same PEG-distortion avoidance as WDAY; flagged for review.</t>
        </is>
      </c>
      <c r="F2209" s="33" t="inlineStr">
        <is>
          <t>per-stock/ADSK/context-2026-06-17.md</t>
        </is>
      </c>
      <c r="G2209" s="33" t="inlineStr">
        <is>
          <t>Medium</t>
        </is>
      </c>
      <c r="H2209" s="33" t="inlineStr">
        <is>
          <t>Flag</t>
        </is>
      </c>
    </row>
    <row r="2210">
      <c r="A2210" s="33" t="inlineStr">
        <is>
          <t>2026-06-17</t>
        </is>
      </c>
      <c r="B2210" s="33" t="inlineStr">
        <is>
          <t>TSLA</t>
        </is>
      </c>
      <c r="C2210" s="33" t="inlineStr">
        <is>
          <t>Value: EV metric</t>
        </is>
      </c>
      <c r="D2210" s="33" t="inlineStr">
        <is>
          <t>EV/FCF</t>
        </is>
      </c>
      <c r="E2210" s="33" t="inlineStr">
        <is>
          <t>Layer-10 mechanical EV/FCF (213) in col F; EV/EBITDA (123.6) also meaningful (rule-10 SBC rationale absent). Both floor — not score-determinative.</t>
        </is>
      </c>
      <c r="F2210" s="33" t="inlineStr">
        <is>
          <t>per-stock/TSLA/context-2026-06-17.md</t>
        </is>
      </c>
      <c r="G2210" s="33" t="inlineStr">
        <is>
          <t>Medium</t>
        </is>
      </c>
      <c r="H2210" s="33" t="inlineStr">
        <is>
          <t>Flag</t>
        </is>
      </c>
    </row>
    <row r="2211">
      <c r="A2211" s="33" t="inlineStr">
        <is>
          <t>2026-06-17</t>
        </is>
      </c>
      <c r="B2211" s="33" t="inlineStr">
        <is>
          <t>AAPL</t>
        </is>
      </c>
      <c r="C2211" s="33" t="inlineStr">
        <is>
          <t>Value: EV metric</t>
        </is>
      </c>
      <c r="D2211" s="33" t="inlineStr">
        <is>
          <t>EV/FCF</t>
        </is>
      </c>
      <c r="E2211" s="33" t="inlineStr">
        <is>
          <t>Layer-10 mechanical EV/FCF (34.2) in col F; EV/EBITDA (27.6) also valid (SBC distortion absent). Choice is for cross-cohort comparability.</t>
        </is>
      </c>
      <c r="F2211" s="33" t="inlineStr">
        <is>
          <t>per-stock/AAPL/context-2026-06-17.md</t>
        </is>
      </c>
      <c r="G2211" s="33" t="inlineStr">
        <is>
          <t>Medium</t>
        </is>
      </c>
      <c r="H2211" s="33" t="inlineStr">
        <is>
          <t>Flag</t>
        </is>
      </c>
    </row>
    <row r="2212">
      <c r="A2212" s="33" t="inlineStr">
        <is>
          <t>2026-06-17</t>
        </is>
      </c>
      <c r="B2212" s="33" t="inlineStr">
        <is>
          <t>SPCX</t>
        </is>
      </c>
      <c r="C2212" s="33" t="inlineStr">
        <is>
          <t>TOTAL</t>
        </is>
      </c>
      <c r="D2212" s="33" t="inlineStr">
        <is>
          <t>STUB</t>
        </is>
      </c>
      <c r="E2212" s="33" t="inlineStr">
        <is>
          <t>Carried as research stub — Growth + Momentum unscoreable (no TTM statements; &lt;60 trading days). Excel TOTAL blank by design. Full /score-stock after first 10-Q (~Aug 2026) + Cursor close.</t>
        </is>
      </c>
      <c r="F2212" s="33" t="inlineStr">
        <is>
          <t>per-stock/SPCX/context-2026-06-17.md</t>
        </is>
      </c>
      <c r="G2212" s="33" t="inlineStr">
        <is>
          <t>High</t>
        </is>
      </c>
      <c r="H2212" s="33" t="inlineStr">
        <is>
          <t>Flag</t>
        </is>
      </c>
    </row>
    <row r="2213">
      <c r="A2213" s="33" t="inlineStr">
        <is>
          <t>2026-06-17</t>
        </is>
      </c>
      <c r="B2213" s="33" t="inlineStr">
        <is>
          <t>AAPL</t>
        </is>
      </c>
      <c r="C2213" s="33" t="inlineStr">
        <is>
          <t>Layer</t>
        </is>
      </c>
      <c r="D2213" s="33" t="inlineStr">
        <is>
          <t>MAP GAP</t>
        </is>
      </c>
      <c r="E2213" s="33" t="inlineStr">
        <is>
          <t>Consumer hardware fits no clean supply-chain layer; placed Layer 10 as edge-AI platform/distribution. Apple is AI-infra demand anchor (TSMC #1 N2 customer; rents Gemini), not a supply-chain participant.</t>
        </is>
      </c>
      <c r="F2213" s="33" t="inlineStr">
        <is>
          <t>per-stock/AAPL/context-2026-06-17.md</t>
        </is>
      </c>
      <c r="G2213" s="33" t="inlineStr">
        <is>
          <t>High</t>
        </is>
      </c>
      <c r="H2213" s="33" t="inlineStr">
        <is>
          <t>Flag</t>
        </is>
      </c>
    </row>
    <row r="2214">
      <c r="A2214" s="33" t="inlineStr">
        <is>
          <t>2026-06-17</t>
        </is>
      </c>
      <c r="B2214" s="33" t="inlineStr">
        <is>
          <t>SPCX</t>
        </is>
      </c>
      <c r="C2214" s="33" t="inlineStr">
        <is>
          <t>Layer</t>
        </is>
      </c>
      <c r="D2214" s="33" t="inlineStr">
        <is>
          <t>MAP GAP</t>
        </is>
      </c>
      <c r="E2214" s="33" t="inlineStr">
        <is>
          <t>~83% aerospace/satcom (not in map); placed Layer 10 on AI-forward thesis (xAI/Grok/Cursor). rule-10 EV/FCF N/A (FCF negative by mega-capex).</t>
        </is>
      </c>
      <c r="F2214" s="33" t="inlineStr">
        <is>
          <t>per-stock/SPCX/context-2026-06-17.md</t>
        </is>
      </c>
      <c r="G2214" s="33" t="inlineStr">
        <is>
          <t>High</t>
        </is>
      </c>
      <c r="H2214" s="33" t="inlineStr">
        <is>
          <t>Flag</t>
        </is>
      </c>
    </row>
    <row r="2215">
      <c r="A2215" s="33" t="inlineStr">
        <is>
          <t>2026-06-17</t>
        </is>
      </c>
      <c r="B2215" s="33" t="inlineStr">
        <is>
          <t>ADBE</t>
        </is>
      </c>
      <c r="C2215" s="33" t="inlineStr">
        <is>
          <t>D2</t>
        </is>
      </c>
      <c r="D2215" s="33" t="n">
        <v>2</v>
      </c>
      <c r="E2215" s="33" t="inlineStr">
        <is>
          <t>Absolute-lens (agentic-AI disruption) re-rate from 3: AI-native tools directly produce creative output, making Adobe position more substitutable.</t>
        </is>
      </c>
      <c r="F2215" s="33" t="inlineStr">
        <is>
          <t>QQQ-coverage absolute-lens pass 2026-06-17</t>
        </is>
      </c>
      <c r="G2215" s="33" t="inlineStr">
        <is>
          <t>Medium</t>
        </is>
      </c>
      <c r="H2215" s="33" t="inlineStr">
        <is>
          <t>Re-rate</t>
        </is>
      </c>
    </row>
    <row r="2216">
      <c r="A2216" s="33" t="inlineStr">
        <is>
          <t>2026-06-17</t>
        </is>
      </c>
      <c r="B2216" s="33" t="inlineStr">
        <is>
          <t>ADBE</t>
        </is>
      </c>
      <c r="C2216" s="33" t="inlineStr">
        <is>
          <t>D3</t>
        </is>
      </c>
      <c r="D2216" s="33" t="n">
        <v>2</v>
      </c>
      <c r="E2216" s="33" t="inlineStr">
        <is>
          <t>Absolute-lens re-rate from 3: gen-AI directly produces the tool core output; Adobe deferring CC price hikes + Firefly aggregating 30+ third-party models = active moat erosion, not just threat.</t>
        </is>
      </c>
      <c r="F2216" s="33" t="inlineStr">
        <is>
          <t>QQQ-coverage absolute-lens pass 2026-06-17</t>
        </is>
      </c>
      <c r="G2216" s="33" t="inlineStr">
        <is>
          <t>Medium</t>
        </is>
      </c>
      <c r="H2216" s="33" t="inlineStr">
        <is>
          <t>Re-rate</t>
        </is>
      </c>
    </row>
    <row r="2217">
      <c r="A2217" s="33" t="inlineStr">
        <is>
          <t>2026-06-17</t>
        </is>
      </c>
      <c r="B2217" s="33" t="inlineStr">
        <is>
          <t>INTU</t>
        </is>
      </c>
      <c r="C2217" s="33" t="inlineStr">
        <is>
          <t>D3</t>
        </is>
      </c>
      <c r="D2217" s="33" t="n">
        <v>2</v>
      </c>
      <c r="E2217" s="33" t="inlineStr">
        <is>
          <t>Absolute-lens re-rate from 3: consumer DIY tax/bookkeeping automatable; 2026 tax-season pricing crack + OpenAI top-of-funnel cession = active erosion. D2 held at 3 (QuickBooks SMB/accountant/compliance moat AI-durable).</t>
        </is>
      </c>
      <c r="F2217" s="33" t="inlineStr">
        <is>
          <t>QQQ-coverage absolute-lens pass 2026-06-17</t>
        </is>
      </c>
      <c r="G2217" s="33" t="inlineStr">
        <is>
          <t>Medium</t>
        </is>
      </c>
      <c r="H2217" s="33" t="inlineStr">
        <is>
          <t>Re-rate</t>
        </is>
      </c>
    </row>
    <row r="2218">
      <c r="A2218" s="33" t="inlineStr">
        <is>
          <t>2026-06-17</t>
        </is>
      </c>
      <c r="B2218" s="33" t="inlineStr">
        <is>
          <t>WDAY</t>
        </is>
      </c>
      <c r="C2218" s="33" t="inlineStr">
        <is>
          <t>D3</t>
        </is>
      </c>
      <c r="D2218" s="33" t="n">
        <v>2</v>
      </c>
      <c r="E2218" s="33" t="inlineStr">
        <is>
          <t>Absolute-lens re-rate from 3: per-seat HCM/financials is the canonical agentic-AI target (automatable work threatens the pricing unit). D2 held at 3 (system-of-record entrenchment durable near-term).</t>
        </is>
      </c>
      <c r="F2218" s="33" t="inlineStr">
        <is>
          <t>QQQ-coverage absolute-lens pass 2026-06-17</t>
        </is>
      </c>
      <c r="G2218" s="33" t="inlineStr">
        <is>
          <t>Medium</t>
        </is>
      </c>
      <c r="H2218" s="33" t="inlineStr">
        <is>
          <t>Re-rate</t>
        </is>
      </c>
    </row>
    <row r="2219">
      <c r="A2219" s="33" t="inlineStr">
        <is>
          <t>2026-06-17</t>
        </is>
      </c>
      <c r="B2219" s="33" t="inlineStr">
        <is>
          <t>ADSK</t>
        </is>
      </c>
      <c r="C2219" s="33" t="inlineStr">
        <is>
          <t>D3</t>
        </is>
      </c>
      <c r="D2219" s="33" t="n">
        <v>3</v>
      </c>
      <c r="E2219" s="33" t="inlineStr">
        <is>
          <t>Absolute-lens re-rate from 4: DWG/RVT file-format + professional certification + regulatory workflow lock-in is AI-durable; AI pressures seat licensing, not the core moat. Lower exposure than ADBE/INTU/WDAY.</t>
        </is>
      </c>
      <c r="F2219" s="33" t="inlineStr">
        <is>
          <t>QQQ-coverage absolute-lens pass 2026-06-17</t>
        </is>
      </c>
      <c r="G2219" s="33" t="inlineStr">
        <is>
          <t>Medium</t>
        </is>
      </c>
      <c r="H2219" s="33" t="inlineStr">
        <is>
          <t>Re-rate</t>
        </is>
      </c>
    </row>
    <row r="2220">
      <c r="A2220" s="33" t="inlineStr">
        <is>
          <t>2026-06-17</t>
        </is>
      </c>
      <c r="B2220" s="33" t="inlineStr">
        <is>
          <t>ZS</t>
        </is>
      </c>
      <c r="C2220" s="33" t="inlineStr">
        <is>
          <t>Moat lens</t>
        </is>
      </c>
      <c r="D2220" s="33" t="inlineStr">
        <is>
          <t>n/c</t>
        </is>
      </c>
      <c r="E2220" s="33" t="inlineStr">
        <is>
          <t>Absolute-lens examined, UNCHANGED: agentic AI expands attack surface (net tailwind for security); ZS selloff is execution/guide-cut, not model-disruption.</t>
        </is>
      </c>
      <c r="F2220" s="33" t="inlineStr">
        <is>
          <t>QQQ-coverage absolute-lens pass 2026-06-17</t>
        </is>
      </c>
      <c r="G2220" s="33" t="inlineStr">
        <is>
          <t>Medium</t>
        </is>
      </c>
      <c r="H2220" s="33" t="inlineStr">
        <is>
          <t>Re-rate</t>
        </is>
      </c>
    </row>
    <row r="2221">
      <c r="A2221" s="33" t="inlineStr">
        <is>
          <t>2026-06-17</t>
        </is>
      </c>
      <c r="B2221" s="33" t="inlineStr">
        <is>
          <t>PANW</t>
        </is>
      </c>
      <c r="C2221" s="33" t="inlineStr">
        <is>
          <t>Moat lens</t>
        </is>
      </c>
      <c r="D2221" s="33" t="inlineStr">
        <is>
          <t>n/c</t>
        </is>
      </c>
      <c r="E2221" s="33" t="inlineStr">
        <is>
          <t>Absolute-lens examined, UNCHANGED: security is AI-tailwind not AI-disruption target.</t>
        </is>
      </c>
      <c r="F2221" s="33" t="inlineStr">
        <is>
          <t>QQQ-coverage absolute-lens pass 2026-06-17</t>
        </is>
      </c>
      <c r="G2221" s="33" t="inlineStr">
        <is>
          <t>Medium</t>
        </is>
      </c>
      <c r="H2221" s="33" t="inlineStr">
        <is>
          <t>Re-rate</t>
        </is>
      </c>
    </row>
    <row r="2222">
      <c r="A2222" s="33" t="inlineStr">
        <is>
          <t>2026-06-17</t>
        </is>
      </c>
      <c r="B2222" s="33" t="inlineStr">
        <is>
          <t>FTNT</t>
        </is>
      </c>
      <c r="C2222" s="33" t="inlineStr">
        <is>
          <t>Moat lens</t>
        </is>
      </c>
      <c r="D2222" s="33" t="inlineStr">
        <is>
          <t>n/c</t>
        </is>
      </c>
      <c r="E2222" s="33" t="inlineStr">
        <is>
          <t>Absolute-lens examined, UNCHANGED: security is AI-tailwind not AI-disruption target.</t>
        </is>
      </c>
      <c r="F2222" s="33" t="inlineStr">
        <is>
          <t>QQQ-coverage absolute-lens pass 2026-06-17</t>
        </is>
      </c>
      <c r="G2222" s="33" t="inlineStr">
        <is>
          <t>Medium</t>
        </is>
      </c>
      <c r="H2222" s="33" t="inlineStr">
        <is>
          <t>Re-rate</t>
        </is>
      </c>
    </row>
    <row r="2223">
      <c r="A2223" s="33" t="inlineStr">
        <is>
          <t>2026-06-17</t>
        </is>
      </c>
      <c r="B2223" s="33" t="inlineStr">
        <is>
          <t>APP</t>
        </is>
      </c>
      <c r="C2223" s="33" t="inlineStr">
        <is>
          <t>Moat lens</t>
        </is>
      </c>
      <c r="D2223" s="33" t="inlineStr">
        <is>
          <t>n/c</t>
        </is>
      </c>
      <c r="E2223" s="33" t="inlineStr">
        <is>
          <t>Absolute-lens examined, UNCHANGED: AXON IS the AI engine — beneficiary, not disruption target.</t>
        </is>
      </c>
      <c r="F2223" s="33" t="inlineStr">
        <is>
          <t>QQQ-coverage absolute-lens pass 2026-06-17</t>
        </is>
      </c>
      <c r="G2223" s="33" t="inlineStr">
        <is>
          <t>Medium</t>
        </is>
      </c>
      <c r="H2223" s="33" t="inlineStr">
        <is>
          <t>Re-rate</t>
        </is>
      </c>
    </row>
    <row r="2224">
      <c r="A2224" s="33" t="inlineStr">
        <is>
          <t>2026-06-17</t>
        </is>
      </c>
      <c r="B2224" s="33" t="inlineStr">
        <is>
          <t>ALL</t>
        </is>
      </c>
      <c r="C2224" s="33" t="inlineStr">
        <is>
          <t>R5 (NEW DIMENSION)</t>
        </is>
      </c>
      <c r="D2224" s="33" t="inlineStr">
        <is>
          <t>methodology</t>
        </is>
      </c>
      <c r="E2224" s="33" t="inlineStr">
        <is>
          <t>Added R5 Disruption Risk to the Risk category (now avg of 5, weight unchanged at 15%). Inverted: 5=most durable. DEFAULT=5 for all 143 non-Layer-10 names (no credible AI/structural threat to physical-infra/semis/power/cloud-compute models). Only Layer 10 carries sub-5. Col AL/38. Approved by Dom 2026-06-17.</t>
        </is>
      </c>
      <c r="F2224" s="33" t="inlineStr">
        <is>
          <t>QQQ-coverage R5 methodology pass 2026-06-17</t>
        </is>
      </c>
      <c r="G2224" s="33" t="inlineStr">
        <is>
          <t>High</t>
        </is>
      </c>
      <c r="H2224" s="33" t="inlineStr">
        <is>
          <t>Methodology</t>
        </is>
      </c>
    </row>
    <row r="2225">
      <c r="A2225" s="33" t="inlineStr">
        <is>
          <t>2026-06-17</t>
        </is>
      </c>
      <c r="B2225" s="33" t="inlineStr">
        <is>
          <t>ADBE</t>
        </is>
      </c>
      <c r="C2225" s="33" t="inlineStr">
        <is>
          <t>R5</t>
        </is>
      </c>
      <c r="D2225" s="33" t="n">
        <v>1</v>
      </c>
      <c r="E2225" s="33" t="inlineStr">
        <is>
          <t>gen-AI directly produces creative output; Adobe deferring CC price hikes + Firefly conceding to 30+ third-party models = active erosion</t>
        </is>
      </c>
      <c r="F2225" s="33" t="inlineStr">
        <is>
          <t>QQQ-coverage R5 methodology pass 2026-06-17</t>
        </is>
      </c>
      <c r="G2225" s="33" t="inlineStr">
        <is>
          <t>Medium</t>
        </is>
      </c>
      <c r="H2225" s="33" t="inlineStr">
        <is>
          <t>Initial</t>
        </is>
      </c>
    </row>
    <row r="2226">
      <c r="A2226" s="33" t="inlineStr">
        <is>
          <t>2026-06-17</t>
        </is>
      </c>
      <c r="B2226" s="33" t="inlineStr">
        <is>
          <t>INTU</t>
        </is>
      </c>
      <c r="C2226" s="33" t="inlineStr">
        <is>
          <t>R5</t>
        </is>
      </c>
      <c r="D2226" s="33" t="n">
        <v>1</v>
      </c>
      <c r="E2226" s="33" t="inlineStr">
        <is>
          <t>consumer DIY tax/bookkeeping automatable; 2026 tax-season pricing crack + OpenAI top-of-funnel cession (QuickBooks SMB offsets but consumer erosion active)</t>
        </is>
      </c>
      <c r="F2226" s="33" t="inlineStr">
        <is>
          <t>QQQ-coverage R5 methodology pass 2026-06-17</t>
        </is>
      </c>
      <c r="G2226" s="33" t="inlineStr">
        <is>
          <t>Medium</t>
        </is>
      </c>
      <c r="H2226" s="33" t="inlineStr">
        <is>
          <t>Initial</t>
        </is>
      </c>
    </row>
    <row r="2227">
      <c r="A2227" s="33" t="inlineStr">
        <is>
          <t>2026-06-17</t>
        </is>
      </c>
      <c r="B2227" s="33" t="inlineStr">
        <is>
          <t>WDAY</t>
        </is>
      </c>
      <c r="C2227" s="33" t="inlineStr">
        <is>
          <t>R5</t>
        </is>
      </c>
      <c r="D2227" s="33" t="n">
        <v>2</v>
      </c>
      <c r="E2227" s="33" t="inlineStr">
        <is>
          <t>per-seat HCM/financials a direct agentic-AI target; system-of-record entrenchment durable near-term</t>
        </is>
      </c>
      <c r="F2227" s="33" t="inlineStr">
        <is>
          <t>QQQ-coverage R5 methodology pass 2026-06-17</t>
        </is>
      </c>
      <c r="G2227" s="33" t="inlineStr">
        <is>
          <t>Medium</t>
        </is>
      </c>
      <c r="H2227" s="33" t="inlineStr">
        <is>
          <t>Initial</t>
        </is>
      </c>
    </row>
    <row r="2228">
      <c r="A2228" s="33" t="inlineStr">
        <is>
          <t>2026-06-17</t>
        </is>
      </c>
      <c r="B2228" s="33" t="inlineStr">
        <is>
          <t>ADSK</t>
        </is>
      </c>
      <c r="C2228" s="33" t="inlineStr">
        <is>
          <t>R5</t>
        </is>
      </c>
      <c r="D2228" s="33" t="n">
        <v>3</v>
      </c>
      <c r="E2228" s="33" t="inlineStr">
        <is>
          <t>DWG/RVT file-format + professional/regulatory workflow lock-in resists core disruption (band-3 archetype); AI pressures seat licensing not the core</t>
        </is>
      </c>
      <c r="F2228" s="33" t="inlineStr">
        <is>
          <t>QQQ-coverage R5 methodology pass 2026-06-17</t>
        </is>
      </c>
      <c r="G2228" s="33" t="inlineStr">
        <is>
          <t>Medium</t>
        </is>
      </c>
      <c r="H2228" s="33" t="inlineStr">
        <is>
          <t>Initial</t>
        </is>
      </c>
    </row>
    <row r="2229">
      <c r="A2229" s="33" t="inlineStr">
        <is>
          <t>2026-06-17</t>
        </is>
      </c>
      <c r="B2229" s="33" t="inlineStr">
        <is>
          <t>PATH</t>
        </is>
      </c>
      <c r="C2229" s="33" t="inlineStr">
        <is>
          <t>R5</t>
        </is>
      </c>
      <c r="D2229" s="33" t="n">
        <v>2</v>
      </c>
      <c r="E2229" s="33" t="inlineStr">
        <is>
          <t>legacy rule-based RPA directly disintermediated by native LLM agents; agentic pivot is defensive</t>
        </is>
      </c>
      <c r="F2229" s="33" t="inlineStr">
        <is>
          <t>QQQ-coverage R5 methodology pass 2026-06-17</t>
        </is>
      </c>
      <c r="G2229" s="33" t="inlineStr">
        <is>
          <t>Medium</t>
        </is>
      </c>
      <c r="H2229" s="33" t="inlineStr">
        <is>
          <t>Initial</t>
        </is>
      </c>
    </row>
    <row r="2230">
      <c r="A2230" s="33" t="inlineStr">
        <is>
          <t>2026-06-17</t>
        </is>
      </c>
      <c r="B2230" s="33" t="inlineStr">
        <is>
          <t>CRM</t>
        </is>
      </c>
      <c r="C2230" s="33" t="inlineStr">
        <is>
          <t>R5</t>
        </is>
      </c>
      <c r="D2230" s="33" t="n">
        <v>3</v>
      </c>
      <c r="E2230" s="33" t="inlineStr">
        <is>
          <t>seat CRM contested by agentic AI but deep Data Cloud + ecosystem moat + Agentforce consumption pivot</t>
        </is>
      </c>
      <c r="F2230" s="33" t="inlineStr">
        <is>
          <t>QQQ-coverage R5 methodology pass 2026-06-17</t>
        </is>
      </c>
      <c r="G2230" s="33" t="inlineStr">
        <is>
          <t>Medium</t>
        </is>
      </c>
      <c r="H2230" s="33" t="inlineStr">
        <is>
          <t>Initial</t>
        </is>
      </c>
    </row>
    <row r="2231">
      <c r="A2231" s="33" t="inlineStr">
        <is>
          <t>2026-06-17</t>
        </is>
      </c>
      <c r="B2231" s="33" t="inlineStr">
        <is>
          <t>NOW</t>
        </is>
      </c>
      <c r="C2231" s="33" t="inlineStr">
        <is>
          <t>R5</t>
        </is>
      </c>
      <c r="D2231" s="33" t="n">
        <v>3</v>
      </c>
      <c r="E2231" s="33" t="inlineStr">
        <is>
          <t>workflow platform both threatened and enabled by agentic AI; deep enterprise integration + consumption pricing</t>
        </is>
      </c>
      <c r="F2231" s="33" t="inlineStr">
        <is>
          <t>QQQ-coverage R5 methodology pass 2026-06-17</t>
        </is>
      </c>
      <c r="G2231" s="33" t="inlineStr">
        <is>
          <t>Medium</t>
        </is>
      </c>
      <c r="H2231" s="33" t="inlineStr">
        <is>
          <t>Initial</t>
        </is>
      </c>
    </row>
    <row r="2232">
      <c r="A2232" s="33" t="inlineStr">
        <is>
          <t>2026-06-17</t>
        </is>
      </c>
      <c r="B2232" s="33" t="inlineStr">
        <is>
          <t>PLTR</t>
        </is>
      </c>
      <c r="C2232" s="33" t="inlineStr">
        <is>
          <t>R5</t>
        </is>
      </c>
      <c r="D2232" s="33" t="n">
        <v>4</v>
      </c>
      <c r="E2232" s="33" t="inlineStr">
        <is>
          <t>AI-native deployment platform — enabler/beneficiary, not disrupted</t>
        </is>
      </c>
      <c r="F2232" s="33" t="inlineStr">
        <is>
          <t>QQQ-coverage R5 methodology pass 2026-06-17</t>
        </is>
      </c>
      <c r="G2232" s="33" t="inlineStr">
        <is>
          <t>Medium</t>
        </is>
      </c>
      <c r="H2232" s="33" t="inlineStr">
        <is>
          <t>Initial</t>
        </is>
      </c>
    </row>
    <row r="2233">
      <c r="A2233" s="33" t="inlineStr">
        <is>
          <t>2026-06-17</t>
        </is>
      </c>
      <c r="B2233" s="33" t="inlineStr">
        <is>
          <t>SNOW</t>
        </is>
      </c>
      <c r="C2233" s="33" t="inlineStr">
        <is>
          <t>R5</t>
        </is>
      </c>
      <c r="D2233" s="33" t="n">
        <v>4</v>
      </c>
      <c r="E2233" s="33" t="inlineStr">
        <is>
          <t>data cloud — AI increases consumption (consumption-priced beneficiary); competition is a separate risk</t>
        </is>
      </c>
      <c r="F2233" s="33" t="inlineStr">
        <is>
          <t>QQQ-coverage R5 methodology pass 2026-06-17</t>
        </is>
      </c>
      <c r="G2233" s="33" t="inlineStr">
        <is>
          <t>Medium</t>
        </is>
      </c>
      <c r="H2233" s="33" t="inlineStr">
        <is>
          <t>Initial</t>
        </is>
      </c>
    </row>
    <row r="2234">
      <c r="A2234" s="33" t="inlineStr">
        <is>
          <t>2026-06-17</t>
        </is>
      </c>
      <c r="B2234" s="33" t="inlineStr">
        <is>
          <t>DDOG</t>
        </is>
      </c>
      <c r="C2234" s="33" t="inlineStr">
        <is>
          <t>R5</t>
        </is>
      </c>
      <c r="D2234" s="33" t="n">
        <v>4</v>
      </c>
      <c r="E2234" s="33" t="inlineStr">
        <is>
          <t>observability — AI workloads increase monitoring (LLM Observability product); consumption model durable</t>
        </is>
      </c>
      <c r="F2234" s="33" t="inlineStr">
        <is>
          <t>QQQ-coverage R5 methodology pass 2026-06-17</t>
        </is>
      </c>
      <c r="G2234" s="33" t="inlineStr">
        <is>
          <t>Medium</t>
        </is>
      </c>
      <c r="H2234" s="33" t="inlineStr">
        <is>
          <t>Initial</t>
        </is>
      </c>
    </row>
    <row r="2235">
      <c r="A2235" s="33" t="inlineStr">
        <is>
          <t>2026-06-17</t>
        </is>
      </c>
      <c r="B2235" s="33" t="inlineStr">
        <is>
          <t>CRWD</t>
        </is>
      </c>
      <c r="C2235" s="33" t="inlineStr">
        <is>
          <t>R5</t>
        </is>
      </c>
      <c r="D2235" s="33" t="n">
        <v>4</v>
      </c>
      <c r="E2235" s="33" t="inlineStr">
        <is>
          <t>security — agentic AI expands attack surface (tailwind)</t>
        </is>
      </c>
      <c r="F2235" s="33" t="inlineStr">
        <is>
          <t>QQQ-coverage R5 methodology pass 2026-06-17</t>
        </is>
      </c>
      <c r="G2235" s="33" t="inlineStr">
        <is>
          <t>Medium</t>
        </is>
      </c>
      <c r="H2235" s="33" t="inlineStr">
        <is>
          <t>Initial</t>
        </is>
      </c>
    </row>
    <row r="2236">
      <c r="A2236" s="33" t="inlineStr">
        <is>
          <t>2026-06-17</t>
        </is>
      </c>
      <c r="B2236" s="33" t="inlineStr">
        <is>
          <t>MDB</t>
        </is>
      </c>
      <c r="C2236" s="33" t="inlineStr">
        <is>
          <t>R5</t>
        </is>
      </c>
      <c r="D2236" s="33" t="n">
        <v>4</v>
      </c>
      <c r="E2236" s="33" t="inlineStr">
        <is>
          <t>database for AI apps (Atlas Vector Search) — AI dev increases usage</t>
        </is>
      </c>
      <c r="F2236" s="33" t="inlineStr">
        <is>
          <t>QQQ-coverage R5 methodology pass 2026-06-17</t>
        </is>
      </c>
      <c r="G2236" s="33" t="inlineStr">
        <is>
          <t>Medium</t>
        </is>
      </c>
      <c r="H2236" s="33" t="inlineStr">
        <is>
          <t>Initial</t>
        </is>
      </c>
    </row>
    <row r="2237">
      <c r="A2237" s="33" t="inlineStr">
        <is>
          <t>2026-06-17</t>
        </is>
      </c>
      <c r="B2237" s="33" t="inlineStr">
        <is>
          <t>TEM</t>
        </is>
      </c>
      <c r="C2237" s="33" t="inlineStr">
        <is>
          <t>R5</t>
        </is>
      </c>
      <c r="D2237" s="33" t="n">
        <v>4</v>
      </c>
      <c r="E2237" s="33" t="inlineStr">
        <is>
          <t>AI-native precision-medicine data/diagnostics — beneficiary with proprietary clinical-data moat</t>
        </is>
      </c>
      <c r="F2237" s="33" t="inlineStr">
        <is>
          <t>QQQ-coverage R5 methodology pass 2026-06-17</t>
        </is>
      </c>
      <c r="G2237" s="33" t="inlineStr">
        <is>
          <t>Medium</t>
        </is>
      </c>
      <c r="H2237" s="33" t="inlineStr">
        <is>
          <t>Initial</t>
        </is>
      </c>
    </row>
    <row r="2238">
      <c r="A2238" s="33" t="inlineStr">
        <is>
          <t>2026-06-17</t>
        </is>
      </c>
      <c r="B2238" s="33" t="inlineStr">
        <is>
          <t>PANW</t>
        </is>
      </c>
      <c r="C2238" s="33" t="inlineStr">
        <is>
          <t>R5</t>
        </is>
      </c>
      <c r="D2238" s="33" t="n">
        <v>4</v>
      </c>
      <c r="E2238" s="33" t="inlineStr">
        <is>
          <t>security = AI tailwind, not AI-disruption target</t>
        </is>
      </c>
      <c r="F2238" s="33" t="inlineStr">
        <is>
          <t>QQQ-coverage R5 methodology pass 2026-06-17</t>
        </is>
      </c>
      <c r="G2238" s="33" t="inlineStr">
        <is>
          <t>Medium</t>
        </is>
      </c>
      <c r="H2238" s="33" t="inlineStr">
        <is>
          <t>Initial</t>
        </is>
      </c>
    </row>
    <row r="2239">
      <c r="A2239" s="33" t="inlineStr">
        <is>
          <t>2026-06-17</t>
        </is>
      </c>
      <c r="B2239" s="33" t="inlineStr">
        <is>
          <t>FTNT</t>
        </is>
      </c>
      <c r="C2239" s="33" t="inlineStr">
        <is>
          <t>R5</t>
        </is>
      </c>
      <c r="D2239" s="33" t="n">
        <v>4</v>
      </c>
      <c r="E2239" s="33" t="inlineStr">
        <is>
          <t>security = AI tailwind, not AI-disruption target</t>
        </is>
      </c>
      <c r="F2239" s="33" t="inlineStr">
        <is>
          <t>QQQ-coverage R5 methodology pass 2026-06-17</t>
        </is>
      </c>
      <c r="G2239" s="33" t="inlineStr">
        <is>
          <t>Medium</t>
        </is>
      </c>
      <c r="H2239" s="33" t="inlineStr">
        <is>
          <t>Initial</t>
        </is>
      </c>
    </row>
    <row r="2240">
      <c r="A2240" s="33" t="inlineStr">
        <is>
          <t>2026-06-17</t>
        </is>
      </c>
      <c r="B2240" s="33" t="inlineStr">
        <is>
          <t>ZS</t>
        </is>
      </c>
      <c r="C2240" s="33" t="inlineStr">
        <is>
          <t>R5</t>
        </is>
      </c>
      <c r="D2240" s="33" t="n">
        <v>4</v>
      </c>
      <c r="E2240" s="33" t="inlineStr">
        <is>
          <t>security = AI tailwind, not AI-disruption target</t>
        </is>
      </c>
      <c r="F2240" s="33" t="inlineStr">
        <is>
          <t>QQQ-coverage R5 methodology pass 2026-06-17</t>
        </is>
      </c>
      <c r="G2240" s="33" t="inlineStr">
        <is>
          <t>Medium</t>
        </is>
      </c>
      <c r="H2240" s="33" t="inlineStr">
        <is>
          <t>Initial</t>
        </is>
      </c>
    </row>
    <row r="2241">
      <c r="A2241" s="33" t="inlineStr">
        <is>
          <t>2026-06-17</t>
        </is>
      </c>
      <c r="B2241" s="33" t="inlineStr">
        <is>
          <t>APP</t>
        </is>
      </c>
      <c r="C2241" s="33" t="inlineStr">
        <is>
          <t>R5</t>
        </is>
      </c>
      <c r="D2241" s="33" t="n">
        <v>4</v>
      </c>
      <c r="E2241" s="33" t="inlineStr">
        <is>
          <t>AXON IS the AI ad engine — beneficiary</t>
        </is>
      </c>
      <c r="F2241" s="33" t="inlineStr">
        <is>
          <t>QQQ-coverage R5 methodology pass 2026-06-17</t>
        </is>
      </c>
      <c r="G2241" s="33" t="inlineStr">
        <is>
          <t>Medium</t>
        </is>
      </c>
      <c r="H2241" s="33" t="inlineStr">
        <is>
          <t>Initial</t>
        </is>
      </c>
    </row>
    <row r="2242">
      <c r="A2242" s="33" t="inlineStr">
        <is>
          <t>2026-06-17</t>
        </is>
      </c>
      <c r="B2242" s="33" t="inlineStr">
        <is>
          <t>TSLA</t>
        </is>
      </c>
      <c r="C2242" s="33" t="inlineStr">
        <is>
          <t>R5</t>
        </is>
      </c>
      <c r="D2242" s="33" t="n">
        <v>4</v>
      </c>
      <c r="E2242" s="33" t="inlineStr">
        <is>
          <t>AI is the thesis (autonomy/robotics); revenue model not AI-disrupted (risks are execution/valuation)</t>
        </is>
      </c>
      <c r="F2242" s="33" t="inlineStr">
        <is>
          <t>QQQ-coverage R5 methodology pass 2026-06-17</t>
        </is>
      </c>
      <c r="G2242" s="33" t="inlineStr">
        <is>
          <t>Medium</t>
        </is>
      </c>
      <c r="H2242" s="33" t="inlineStr">
        <is>
          <t>Initial</t>
        </is>
      </c>
    </row>
    <row r="2243">
      <c r="A2243" s="33" t="inlineStr">
        <is>
          <t>2026-06-17</t>
        </is>
      </c>
      <c r="B2243" s="33" t="inlineStr">
        <is>
          <t>AAPL</t>
        </is>
      </c>
      <c r="C2243" s="33" t="inlineStr">
        <is>
          <t>R5</t>
        </is>
      </c>
      <c r="D2243" s="33" t="n">
        <v>4</v>
      </c>
      <c r="E2243" s="33" t="inlineStr">
        <is>
          <t>hardware+ecosystem model durable; AI is feature-level; modest assistant-disintermediation risk</t>
        </is>
      </c>
      <c r="F2243" s="33" t="inlineStr">
        <is>
          <t>QQQ-coverage R5 methodology pass 2026-06-17</t>
        </is>
      </c>
      <c r="G2243" s="33" t="inlineStr">
        <is>
          <t>Medium</t>
        </is>
      </c>
      <c r="H2243" s="33" t="inlineStr">
        <is>
          <t>Initial</t>
        </is>
      </c>
    </row>
    <row r="2244">
      <c r="A2244" s="33" t="inlineStr">
        <is>
          <t>2026-06-17</t>
        </is>
      </c>
      <c r="B2244" s="33" t="inlineStr">
        <is>
          <t>SPCX</t>
        </is>
      </c>
      <c r="C2244" s="33" t="inlineStr">
        <is>
          <t>R5</t>
        </is>
      </c>
      <c r="D2244" s="33" t="n">
        <v>4</v>
      </c>
      <c r="E2244" s="33" t="inlineStr">
        <is>
          <t>aerospace/satcom model not AI-disrupted; AI is an overlay</t>
        </is>
      </c>
      <c r="F2244" s="33" t="inlineStr">
        <is>
          <t>QQQ-coverage R5 methodology pass 2026-06-17</t>
        </is>
      </c>
      <c r="G2244" s="33" t="inlineStr">
        <is>
          <t>Medium</t>
        </is>
      </c>
      <c r="H2244" s="33" t="inlineStr">
        <is>
          <t>Initial</t>
        </is>
      </c>
    </row>
    <row r="2245">
      <c r="A2245" s="33" t="inlineStr">
        <is>
          <t>2026-06-20</t>
        </is>
      </c>
      <c r="B2245" s="33" t="inlineStr">
        <is>
          <t>ACLS</t>
        </is>
      </c>
      <c r="C2245" s="33" t="inlineStr">
        <is>
          <t>D1</t>
        </is>
      </c>
      <c r="D2245" s="33" t="n">
        <v>2</v>
      </c>
      <c r="E2245" s="33" t="inlineStr">
        <is>
          <t>No disclosed AI-rev line; AI exposure indirect/minority via DRAM/HBM memory-capacity + nascent SiC datacenter-power; leading-edge logic ~nil; inferentially &lt;25%.</t>
        </is>
      </c>
      <c r="F2245" s="33" t="inlineStr">
        <is>
          <t>Q1 2026 call; 10-K FY2025; context-2026-06-20.md</t>
        </is>
      </c>
      <c r="G2245" s="33" t="inlineStr">
        <is>
          <t>Medium</t>
        </is>
      </c>
      <c r="H2245" s="33" t="inlineStr">
        <is>
          <t>Initial</t>
        </is>
      </c>
    </row>
    <row r="2246">
      <c r="A2246" s="33" t="inlineStr">
        <is>
          <t>2026-06-20</t>
        </is>
      </c>
      <c r="B2246" s="33" t="inlineStr">
        <is>
          <t>ACLS</t>
        </is>
      </c>
      <c r="C2246" s="33" t="inlineStr">
        <is>
          <t>D2</t>
        </is>
      </c>
      <c r="D2246" s="33" t="n">
        <v>4</v>
      </c>
      <c r="E2246" s="33" t="inlineStr">
        <is>
          <t>One of only two serious ion-implant franchises (vs AMAT) with real installed base + pricing discipline (GM ~45%); implant is a smaller/less-bottlenecked step than litho/etch/depo, so not 5.</t>
        </is>
      </c>
      <c r="F2246" s="33" t="inlineStr">
        <is>
          <t>10-K FY2025; context-2026-06-20.md</t>
        </is>
      </c>
      <c r="G2246" s="33" t="inlineStr">
        <is>
          <t>High</t>
        </is>
      </c>
      <c r="H2246" s="33" t="inlineStr">
        <is>
          <t>Initial</t>
        </is>
      </c>
    </row>
    <row r="2247">
      <c r="A2247" s="33" t="inlineStr">
        <is>
          <t>2026-06-20</t>
        </is>
      </c>
      <c r="B2247" s="33" t="inlineStr">
        <is>
          <t>ACLS</t>
        </is>
      </c>
      <c r="C2247" s="33" t="inlineStr">
        <is>
          <t>D3</t>
        </is>
      </c>
      <c r="D2247" s="33" t="n">
        <v>4</v>
      </c>
      <c r="E2247" s="33" t="inlineStr">
        <is>
          <t>Durable process know-how + installed base + switching costs in implant; not multi-dimensional / leading-edge-critical enough for 5.</t>
        </is>
      </c>
      <c r="F2247" s="33" t="inlineStr">
        <is>
          <t>10-K FY2025; context-2026-06-20.md</t>
        </is>
      </c>
      <c r="G2247" s="33" t="inlineStr">
        <is>
          <t>Medium</t>
        </is>
      </c>
      <c r="H2247" s="33" t="inlineStr">
        <is>
          <t>Initial</t>
        </is>
      </c>
    </row>
    <row r="2248">
      <c r="A2248" s="33" t="inlineStr">
        <is>
          <t>2026-06-20</t>
        </is>
      </c>
      <c r="B2248" s="33" t="inlineStr">
        <is>
          <t>ACLS</t>
        </is>
      </c>
      <c r="C2248" s="33" t="inlineStr">
        <is>
          <t>D4</t>
        </is>
      </c>
      <c r="D2248" s="33" t="n">
        <v>3</v>
      </c>
      <c r="E2248" s="33" t="inlineStr">
        <is>
          <t>Asset-light, in a demand trough (capex ~$11M, FY26 guided flat); product/market scope expanding via the Veeco merger. Net steady-state.</t>
        </is>
      </c>
      <c r="F2248" s="33" t="inlineStr">
        <is>
          <t>10-K cash flow; Q1'26 guide; context</t>
        </is>
      </c>
      <c r="G2248" s="33" t="inlineStr">
        <is>
          <t>Medium</t>
        </is>
      </c>
      <c r="H2248" s="33" t="inlineStr">
        <is>
          <t>Initial</t>
        </is>
      </c>
    </row>
    <row r="2249">
      <c r="A2249" s="33" t="inlineStr">
        <is>
          <t>2026-06-20</t>
        </is>
      </c>
      <c r="B2249" s="33" t="inlineStr">
        <is>
          <t>ACLS</t>
        </is>
      </c>
      <c r="C2249" s="33" t="inlineStr">
        <is>
          <t>D5</t>
        </is>
      </c>
      <c r="D2249" s="33" t="n">
        <v>2</v>
      </c>
      <c r="E2249" s="33" t="inlineStr">
        <is>
          <t>Sells to chipmakers, not hyperscalers; only the AI-memory slice is downstream-AI-tied; no hyperscaler customer.</t>
        </is>
      </c>
      <c r="F2249" s="33" t="inlineStr">
        <is>
          <t>10-K customer disclosure; Q1'26 call; context</t>
        </is>
      </c>
      <c r="G2249" s="33" t="inlineStr">
        <is>
          <t>Medium</t>
        </is>
      </c>
      <c r="H2249" s="33" t="inlineStr">
        <is>
          <t>Initial</t>
        </is>
      </c>
    </row>
    <row r="2250">
      <c r="A2250" s="33" t="inlineStr">
        <is>
          <t>2026-06-20</t>
        </is>
      </c>
      <c r="B2250" s="33" t="inlineStr">
        <is>
          <t>ACLS</t>
        </is>
      </c>
      <c r="C2250" s="33" t="inlineStr">
        <is>
          <t>M1</t>
        </is>
      </c>
      <c r="D2250" s="33" t="n">
        <v>3</v>
      </c>
      <c r="E2250" s="33" t="inlineStr">
        <is>
          <t>Mixed: Q2'26 guide above consensus + a B.Riley upgrade, but a standing BofA underperform and FY26 only flat — not a clean beat-and-raise.</t>
        </is>
      </c>
      <c r="F2250" s="33" t="inlineStr">
        <is>
          <t>analyst PT actions; Q1'26 guide; context</t>
        </is>
      </c>
      <c r="G2250" s="33" t="inlineStr">
        <is>
          <t>Low-Med</t>
        </is>
      </c>
      <c r="H2250" s="33" t="inlineStr">
        <is>
          <t>Initial</t>
        </is>
      </c>
    </row>
    <row r="2251">
      <c r="A2251" s="33" t="inlineStr">
        <is>
          <t>2026-06-20</t>
        </is>
      </c>
      <c r="B2251" s="33" t="inlineStr">
        <is>
          <t>ACLS</t>
        </is>
      </c>
      <c r="C2251" s="33" t="inlineStr">
        <is>
          <t>M2</t>
        </is>
      </c>
      <c r="D2251" s="33" t="n">
        <v>5</v>
      </c>
      <c r="E2251" s="33" t="inlineStr">
        <is>
          <t>+109% YTD vs SOXX +89% (&gt;20pp, 6mo). FLAG: merger/sentiment-driven on flat fundamentals (rule-14 crowding).</t>
        </is>
      </c>
      <c r="F2251" s="33" t="inlineStr">
        <is>
          <t>investing.com; public.com; context</t>
        </is>
      </c>
      <c r="G2251" s="33" t="inlineStr">
        <is>
          <t>High</t>
        </is>
      </c>
      <c r="H2251" s="33" t="inlineStr">
        <is>
          <t>Initial</t>
        </is>
      </c>
    </row>
    <row r="2252">
      <c r="A2252" s="33" t="inlineStr">
        <is>
          <t>2026-06-20</t>
        </is>
      </c>
      <c r="B2252" s="33" t="inlineStr">
        <is>
          <t>ACLS</t>
        </is>
      </c>
      <c r="C2252" s="33" t="inlineStr">
        <is>
          <t>M3</t>
        </is>
      </c>
      <c r="D2252" s="33" t="n">
        <v>3</v>
      </c>
      <c r="E2252" s="33" t="inlineStr">
        <is>
          <t>Routine small open-market sells, no open-market buys; per rubric, absence of buying caps at the diversification default of 3.</t>
        </is>
      </c>
      <c r="F2252" s="33" t="inlineStr">
        <is>
          <t>SEC Form 4s 2026; context</t>
        </is>
      </c>
      <c r="G2252" s="33" t="inlineStr">
        <is>
          <t>High</t>
        </is>
      </c>
      <c r="H2252" s="33" t="inlineStr">
        <is>
          <t>Initial</t>
        </is>
      </c>
    </row>
    <row r="2253">
      <c r="A2253" s="33" t="inlineStr">
        <is>
          <t>2026-06-20</t>
        </is>
      </c>
      <c r="B2253" s="33" t="inlineStr">
        <is>
          <t>ACLS</t>
        </is>
      </c>
      <c r="C2253" s="33" t="inlineStr">
        <is>
          <t>R1</t>
        </is>
      </c>
      <c r="D2253" s="33" t="n">
        <v>4</v>
      </c>
      <c r="E2253" s="33" t="inlineStr">
        <is>
          <t>One customer 11.0%, top-10 = 55.2% (FY2025); manageable.</t>
        </is>
      </c>
      <c r="F2253" s="33" t="inlineStr">
        <is>
          <t>10-K FY2025 Item 1A + Note</t>
        </is>
      </c>
      <c r="G2253" s="33" t="inlineStr">
        <is>
          <t>High</t>
        </is>
      </c>
      <c r="H2253" s="33" t="inlineStr">
        <is>
          <t>Initial</t>
        </is>
      </c>
    </row>
    <row r="2254">
      <c r="A2254" s="33" t="inlineStr">
        <is>
          <t>2026-06-20</t>
        </is>
      </c>
      <c r="B2254" s="33" t="inlineStr">
        <is>
          <t>ACLS</t>
        </is>
      </c>
      <c r="C2254" s="33" t="inlineStr">
        <is>
          <t>R2</t>
        </is>
      </c>
      <c r="D2254" s="33" t="n">
        <v>2</v>
      </c>
      <c r="E2254" s="33" t="inlineStr">
        <is>
          <t>~42% China-destination revenue; Dec-2024 BIS rule created an ECCN specifically for 300mm ion implanters (category named); China SAMR is also the single gating approval for the Veeco merger.</t>
        </is>
      </c>
      <c r="F2254" s="33" t="inlineStr">
        <is>
          <t>10-K FY2025 risk factors; Q1'26 call</t>
        </is>
      </c>
      <c r="G2254" s="33" t="inlineStr">
        <is>
          <t>High</t>
        </is>
      </c>
      <c r="H2254" s="33" t="inlineStr">
        <is>
          <t>Initial</t>
        </is>
      </c>
    </row>
    <row r="2255">
      <c r="A2255" s="33" t="inlineStr">
        <is>
          <t>2026-06-20</t>
        </is>
      </c>
      <c r="B2255" s="33" t="inlineStr">
        <is>
          <t>ACLS</t>
        </is>
      </c>
      <c r="C2255" s="33" t="inlineStr">
        <is>
          <t>R3</t>
        </is>
      </c>
      <c r="D2255" s="33" t="n">
        <v>5</v>
      </c>
      <c r="E2255" s="33" t="inlineStr">
        <is>
          <t>Net cash ~$570M, no funded debt, positive FCF.</t>
        </is>
      </c>
      <c r="F2255" s="33" t="inlineStr">
        <is>
          <t>10-K FY2025 balance sheet</t>
        </is>
      </c>
      <c r="G2255" s="33" t="inlineStr">
        <is>
          <t>High</t>
        </is>
      </c>
      <c r="H2255" s="33" t="inlineStr">
        <is>
          <t>Initial</t>
        </is>
      </c>
    </row>
    <row r="2256">
      <c r="A2256" s="33" t="inlineStr">
        <is>
          <t>2026-06-20</t>
        </is>
      </c>
      <c r="B2256" s="33" t="inlineStr">
        <is>
          <t>ACLS</t>
        </is>
      </c>
      <c r="C2256" s="33" t="inlineStr">
        <is>
          <t>R4</t>
        </is>
      </c>
      <c r="D2256" s="33" t="n">
        <v>3</v>
      </c>
      <c r="E2256" s="33" t="inlineStr">
        <is>
          <t>Live items: export-control (in R2) + pending cross-border merger/antitrust (SAMR) + a $5M customer settlement; not clean enough for 4-5.</t>
        </is>
      </c>
      <c r="F2256" s="33" t="inlineStr">
        <is>
          <t>10-K; Q1'26 8-K</t>
        </is>
      </c>
      <c r="G2256" s="33" t="inlineStr">
        <is>
          <t>Medium</t>
        </is>
      </c>
      <c r="H2256" s="33" t="inlineStr">
        <is>
          <t>Initial</t>
        </is>
      </c>
    </row>
    <row r="2257">
      <c r="A2257" s="33" t="inlineStr">
        <is>
          <t>2026-06-20</t>
        </is>
      </c>
      <c r="B2257" s="33" t="inlineStr">
        <is>
          <t>ACLS</t>
        </is>
      </c>
      <c r="C2257" s="33" t="inlineStr">
        <is>
          <t>R5</t>
        </is>
      </c>
      <c r="D2257" s="33" t="n">
        <v>5</v>
      </c>
      <c r="E2257" s="33" t="inlineStr">
        <is>
          <t>Non-Layer-10 physical process-equipment maker; ion implant is a durable, irreplaceable doping step; rule-16 default.</t>
        </is>
      </c>
      <c r="F2257" s="33" t="inlineStr">
        <is>
          <t>CLAUDE.md rule 16</t>
        </is>
      </c>
      <c r="G2257" s="33" t="inlineStr">
        <is>
          <t>High</t>
        </is>
      </c>
      <c r="H2257" s="33" t="inlineStr">
        <is>
          <t>Initial</t>
        </is>
      </c>
    </row>
    <row r="2258">
      <c r="A2258" s="33" t="inlineStr">
        <is>
          <t>2026-06-20</t>
        </is>
      </c>
      <c r="B2258" s="33" t="inlineStr">
        <is>
          <t>COHU</t>
        </is>
      </c>
      <c r="C2258" s="33" t="inlineStr">
        <is>
          <t>D1</t>
        </is>
      </c>
      <c r="D2258" s="33" t="n">
        <v>3</v>
      </c>
      <c r="E2258" s="33" t="inlineStr">
        <is>
          <t>HPC/AI ~$80-100M of FY26 rev (~15-19%), trending up; plus HBM inspection in the pipeline. Company gives no single "AI revenue" line.</t>
        </is>
      </c>
      <c r="F2258" s="33" t="inlineStr">
        <is>
          <t>Q1'26 call (HPC guide); 10-K; context</t>
        </is>
      </c>
      <c r="G2258" s="33" t="inlineStr">
        <is>
          <t>Medium</t>
        </is>
      </c>
      <c r="H2258" s="33" t="inlineStr">
        <is>
          <t>Initial</t>
        </is>
      </c>
    </row>
    <row r="2259">
      <c r="A2259" s="33" t="inlineStr">
        <is>
          <t>2026-06-20</t>
        </is>
      </c>
      <c r="B2259" s="33" t="inlineStr">
        <is>
          <t>COHU</t>
        </is>
      </c>
      <c r="C2259" s="33" t="inlineStr">
        <is>
          <t>D2</t>
        </is>
      </c>
      <c r="D2259" s="33" t="n">
        <v>3</v>
      </c>
      <c r="E2259" s="33" t="inlineStr">
        <is>
          <t>Differentiated back-end breadth (handler+ATE+contactor+thermal+inspection) + large consumables installed base, but a #3-ish player behind Advantest/Teradyne facing Asia price competition.</t>
        </is>
      </c>
      <c r="F2259" s="33" t="inlineStr">
        <is>
          <t>10-K Item 1/1A; context</t>
        </is>
      </c>
      <c r="G2259" s="33" t="inlineStr">
        <is>
          <t>Med-High</t>
        </is>
      </c>
      <c r="H2259" s="33" t="inlineStr">
        <is>
          <t>Initial</t>
        </is>
      </c>
    </row>
    <row r="2260">
      <c r="A2260" s="33" t="inlineStr">
        <is>
          <t>2026-06-20</t>
        </is>
      </c>
      <c r="B2260" s="33" t="inlineStr">
        <is>
          <t>COHU</t>
        </is>
      </c>
      <c r="C2260" s="33" t="inlineStr">
        <is>
          <t>D3</t>
        </is>
      </c>
      <c r="D2260" s="33" t="n">
        <v>3</v>
      </c>
      <c r="E2260" s="33" t="inlineStr">
        <is>
          <t>Recurring/consumables installed base (&gt;25,000 systems; device-specific interface products) + IP give a modest real moat; share contested, pricing competitive.</t>
        </is>
      </c>
      <c r="F2260" s="33" t="inlineStr">
        <is>
          <t>10-K Item 1; context</t>
        </is>
      </c>
      <c r="G2260" s="33" t="inlineStr">
        <is>
          <t>Medium</t>
        </is>
      </c>
      <c r="H2260" s="33" t="inlineStr">
        <is>
          <t>Initial</t>
        </is>
      </c>
    </row>
    <row r="2261">
      <c r="A2261" s="33" t="inlineStr">
        <is>
          <t>2026-06-20</t>
        </is>
      </c>
      <c r="B2261" s="33" t="inlineStr">
        <is>
          <t>COHU</t>
        </is>
      </c>
      <c r="C2261" s="33" t="inlineStr">
        <is>
          <t>D4</t>
        </is>
      </c>
      <c r="D2261" s="33" t="n">
        <v>4</v>
      </c>
      <c r="E2261" s="33" t="inlineStr">
        <is>
          <t>Actively ramping Eclipse production capacity to meet HPC demand (absorbing initial ramp costs through 2026).</t>
        </is>
      </c>
      <c r="F2261" s="33" t="inlineStr">
        <is>
          <t>Q1'26 call; context</t>
        </is>
      </c>
      <c r="G2261" s="33" t="inlineStr">
        <is>
          <t>Med-High</t>
        </is>
      </c>
      <c r="H2261" s="33" t="inlineStr">
        <is>
          <t>Initial</t>
        </is>
      </c>
    </row>
    <row r="2262">
      <c r="A2262" s="33" t="inlineStr">
        <is>
          <t>2026-06-20</t>
        </is>
      </c>
      <c r="B2262" s="33" t="inlineStr">
        <is>
          <t>COHU</t>
        </is>
      </c>
      <c r="C2262" s="33" t="inlineStr">
        <is>
          <t>D5</t>
        </is>
      </c>
      <c r="D2262" s="33" t="n">
        <v>2</v>
      </c>
      <c r="E2262" s="33" t="inlineStr">
        <is>
          <t>Indirect exposure — sells to IDMs/OSATs/foundries serving the AI buildout; no hyperscaler customer; none &gt;10%.</t>
        </is>
      </c>
      <c r="F2262" s="33" t="inlineStr">
        <is>
          <t>10-K Item 1; 10-Q; context</t>
        </is>
      </c>
      <c r="G2262" s="33" t="inlineStr">
        <is>
          <t>Med-High</t>
        </is>
      </c>
      <c r="H2262" s="33" t="inlineStr">
        <is>
          <t>Initial</t>
        </is>
      </c>
    </row>
    <row r="2263">
      <c r="A2263" s="33" t="inlineStr">
        <is>
          <t>2026-06-20</t>
        </is>
      </c>
      <c r="B2263" s="33" t="inlineStr">
        <is>
          <t>COHU</t>
        </is>
      </c>
      <c r="C2263" s="33" t="inlineStr">
        <is>
          <t>M1</t>
        </is>
      </c>
      <c r="D2263" s="33" t="n">
        <v>5</v>
      </c>
      <c r="E2263" s="33" t="inlineStr">
        <is>
          <t>Beat-and-raise; multiple PT hikes (TD Cowen $60-&gt;$80; B.Riley $35-&gt;$53) and a raised FY26 guide.</t>
        </is>
      </c>
      <c r="F2263" s="33" t="inlineStr">
        <is>
          <t>analyst notes; Q1'26 call; context</t>
        </is>
      </c>
      <c r="G2263" s="33" t="inlineStr">
        <is>
          <t>High</t>
        </is>
      </c>
      <c r="H2263" s="33" t="inlineStr">
        <is>
          <t>Initial</t>
        </is>
      </c>
    </row>
    <row r="2264">
      <c r="A2264" s="33" t="inlineStr">
        <is>
          <t>2026-06-20</t>
        </is>
      </c>
      <c r="B2264" s="33" t="inlineStr">
        <is>
          <t>COHU</t>
        </is>
      </c>
      <c r="C2264" s="33" t="inlineStr">
        <is>
          <t>M2</t>
        </is>
      </c>
      <c r="D2264" s="33" t="n">
        <v>3</v>
      </c>
      <c r="E2264" s="33" t="inlineStr">
        <is>
          <t>+280% 1yr / +85-92% YTD but ~in line with SOXX ~+99% YTD; on a relative-to-sector basis not a clear &gt;20% outperformer (could argue 4).</t>
        </is>
      </c>
      <c r="F2264" s="33" t="inlineStr">
        <is>
          <t>Investing.com; SOXX YTD; context</t>
        </is>
      </c>
      <c r="G2264" s="33" t="inlineStr">
        <is>
          <t>Medium</t>
        </is>
      </c>
      <c r="H2264" s="33" t="inlineStr">
        <is>
          <t>Initial</t>
        </is>
      </c>
    </row>
    <row r="2265">
      <c r="A2265" s="33" t="inlineStr">
        <is>
          <t>2026-06-20</t>
        </is>
      </c>
      <c r="B2265" s="33" t="inlineStr">
        <is>
          <t>COHU</t>
        </is>
      </c>
      <c r="C2265" s="33" t="inlineStr">
        <is>
          <t>M3</t>
        </is>
      </c>
      <c r="D2265" s="33" t="n">
        <v>3</v>
      </c>
      <c r="E2265" s="33" t="inlineStr">
        <is>
          <t>0 buys / 9 open-market sells in 6mo, all small (&lt;5%) into a +280% run = routine post-rally diversification; no buying caps at 3.</t>
        </is>
      </c>
      <c r="F2265" s="33" t="inlineStr">
        <is>
          <t>Quiver/StockTitan Form 4; context</t>
        </is>
      </c>
      <c r="G2265" s="33" t="inlineStr">
        <is>
          <t>Medium</t>
        </is>
      </c>
      <c r="H2265" s="33" t="inlineStr">
        <is>
          <t>Initial</t>
        </is>
      </c>
    </row>
    <row r="2266">
      <c r="A2266" s="33" t="inlineStr">
        <is>
          <t>2026-06-20</t>
        </is>
      </c>
      <c r="B2266" s="33" t="inlineStr">
        <is>
          <t>COHU</t>
        </is>
      </c>
      <c r="C2266" s="33" t="inlineStr">
        <is>
          <t>R1</t>
        </is>
      </c>
      <c r="D2266" s="33" t="n">
        <v>4</v>
      </c>
      <c r="E2266" s="33" t="inlineStr">
        <is>
          <t>Top-10 = 60%, no customer &gt;10% (FY25).</t>
        </is>
      </c>
      <c r="F2266" s="33" t="inlineStr">
        <is>
          <t>10-K Item 1A; 10-Q</t>
        </is>
      </c>
      <c r="G2266" s="33" t="inlineStr">
        <is>
          <t>High</t>
        </is>
      </c>
      <c r="H2266" s="33" t="inlineStr">
        <is>
          <t>Initial</t>
        </is>
      </c>
    </row>
    <row r="2267">
      <c r="A2267" s="33" t="inlineStr">
        <is>
          <t>2026-06-20</t>
        </is>
      </c>
      <c r="B2267" s="33" t="inlineStr">
        <is>
          <t>COHU</t>
        </is>
      </c>
      <c r="C2267" s="33" t="inlineStr">
        <is>
          <t>R2</t>
        </is>
      </c>
      <c r="D2267" s="33" t="n">
        <v>3</v>
      </c>
      <c r="E2267" s="33" t="inlineStr">
        <is>
          <t>Asia test/assembly hub concentration + China ~11% policy overhang; 90% international; impact limited/absorbed.</t>
        </is>
      </c>
      <c r="F2267" s="33" t="inlineStr">
        <is>
          <t>10-Q geographic; 10-K</t>
        </is>
      </c>
      <c r="G2267" s="33" t="inlineStr">
        <is>
          <t>Medium</t>
        </is>
      </c>
      <c r="H2267" s="33" t="inlineStr">
        <is>
          <t>Initial</t>
        </is>
      </c>
    </row>
    <row r="2268">
      <c r="A2268" s="33" t="inlineStr">
        <is>
          <t>2026-06-20</t>
        </is>
      </c>
      <c r="B2268" s="33" t="inlineStr">
        <is>
          <t>COHU</t>
        </is>
      </c>
      <c r="C2268" s="33" t="inlineStr">
        <is>
          <t>R3</t>
        </is>
      </c>
      <c r="D2268" s="33" t="n">
        <v>4</v>
      </c>
      <c r="E2268" s="33" t="inlineStr">
        <is>
          <t>Net cash ~+$184M, $489M cash+investments, positive FCF even in trough; modest offsetting $287.5M convertible due 2031 (capped-call).</t>
        </is>
      </c>
      <c r="F2268" s="33" t="inlineStr">
        <is>
          <t>10-Q; 10-K Borrowings</t>
        </is>
      </c>
      <c r="G2268" s="33" t="inlineStr">
        <is>
          <t>High</t>
        </is>
      </c>
      <c r="H2268" s="33" t="inlineStr">
        <is>
          <t>Initial</t>
        </is>
      </c>
    </row>
    <row r="2269">
      <c r="A2269" s="33" t="inlineStr">
        <is>
          <t>2026-06-20</t>
        </is>
      </c>
      <c r="B2269" s="33" t="inlineStr">
        <is>
          <t>COHU</t>
        </is>
      </c>
      <c r="C2269" s="33" t="inlineStr">
        <is>
          <t>R4</t>
        </is>
      </c>
      <c r="D2269" s="33" t="n">
        <v>4</v>
      </c>
      <c r="E2269" s="33" t="inlineStr">
        <is>
          <t>Clean; 10-K states trade-compliance costs immaterial, no material proceedings flagged.</t>
        </is>
      </c>
      <c r="F2269" s="33" t="inlineStr">
        <is>
          <t>10-K</t>
        </is>
      </c>
      <c r="G2269" s="33" t="inlineStr">
        <is>
          <t>Med-High</t>
        </is>
      </c>
      <c r="H2269" s="33" t="inlineStr">
        <is>
          <t>Initial</t>
        </is>
      </c>
    </row>
    <row r="2270">
      <c r="A2270" s="33" t="inlineStr">
        <is>
          <t>2026-06-20</t>
        </is>
      </c>
      <c r="B2270" s="33" t="inlineStr">
        <is>
          <t>COHU</t>
        </is>
      </c>
      <c r="C2270" s="33" t="inlineStr">
        <is>
          <t>R5</t>
        </is>
      </c>
      <c r="D2270" s="33" t="n">
        <v>5</v>
      </c>
      <c r="E2270" s="33" t="inlineStr">
        <is>
          <t>Back-end semi-test equipment / physical infra; not Layer 10; rule-16 default.</t>
        </is>
      </c>
      <c r="F2270" s="33" t="inlineStr">
        <is>
          <t>CLAUDE.md rule 16</t>
        </is>
      </c>
      <c r="G2270" s="33" t="inlineStr">
        <is>
          <t>High</t>
        </is>
      </c>
      <c r="H2270" s="33" t="inlineStr">
        <is>
          <t>Initial</t>
        </is>
      </c>
    </row>
    <row r="2271">
      <c r="A2271" s="33" t="inlineStr">
        <is>
          <t>2026-06-20</t>
        </is>
      </c>
      <c r="B2271" s="33" t="inlineStr">
        <is>
          <t>AMKR</t>
        </is>
      </c>
      <c r="C2271" s="33" t="inlineStr">
        <is>
          <t>D1</t>
        </is>
      </c>
      <c r="D2271" s="33" t="n">
        <v>3</v>
      </c>
      <c r="E2271" s="33" t="inlineStr">
        <is>
          <t>Advanced products 81-83% of sales, but advanced packaging != AI revenue (Comms/mobile 44-46%); genuinely AI-infra-tied ~10-25% and rising. No disclosed "AI revenue".</t>
        </is>
      </c>
      <c r="F2271" s="33" t="inlineStr">
        <is>
          <t>10-K FY2025 product/end-market; Q1'26 10-Q; context</t>
        </is>
      </c>
      <c r="G2271" s="33" t="inlineStr">
        <is>
          <t>Medium</t>
        </is>
      </c>
      <c r="H2271" s="33" t="inlineStr">
        <is>
          <t>Initial</t>
        </is>
      </c>
    </row>
    <row r="2272">
      <c r="A2272" s="33" t="inlineStr">
        <is>
          <t>2026-06-20</t>
        </is>
      </c>
      <c r="B2272" s="33" t="inlineStr">
        <is>
          <t>AMKR</t>
        </is>
      </c>
      <c r="C2272" s="33" t="inlineStr">
        <is>
          <t>D2</t>
        </is>
      </c>
      <c r="D2272" s="33" t="n">
        <v>3</v>
      </c>
      <c r="E2272" s="33" t="inlineStr">
        <is>
          <t>#2 OSAT with scale + advanced IP, but mid-chain service provider — thin ~14% GM, materials pass-through, customer leverage (Apple/Qualcomm), foundry in-housing threat.</t>
        </is>
      </c>
      <c r="F2272" s="33" t="inlineStr">
        <is>
          <t>10-K FY2025; OSAT share data; context</t>
        </is>
      </c>
      <c r="G2272" s="33" t="inlineStr">
        <is>
          <t>High</t>
        </is>
      </c>
      <c r="H2272" s="33" t="inlineStr">
        <is>
          <t>Initial</t>
        </is>
      </c>
    </row>
    <row r="2273">
      <c r="A2273" s="33" t="inlineStr">
        <is>
          <t>2026-06-20</t>
        </is>
      </c>
      <c r="B2273" s="33" t="inlineStr">
        <is>
          <t>AMKR</t>
        </is>
      </c>
      <c r="C2273" s="33" t="inlineStr">
        <is>
          <t>D3</t>
        </is>
      </c>
      <c r="D2273" s="33" t="n">
        <v>3</v>
      </c>
      <c r="E2273" s="33" t="inlineStr">
        <is>
          <t>HDFO/2.5D process know-how + customer entanglement give some defensibility, but TSMC 3DFabric + Chinese OSATs erode the high end; limited pricing power.</t>
        </is>
      </c>
      <c r="F2273" s="33" t="inlineStr">
        <is>
          <t>trade press; 10-K competition; context</t>
        </is>
      </c>
      <c r="G2273" s="33" t="inlineStr">
        <is>
          <t>Medium</t>
        </is>
      </c>
      <c r="H2273" s="33" t="inlineStr">
        <is>
          <t>Initial</t>
        </is>
      </c>
    </row>
    <row r="2274">
      <c r="A2274" s="33" t="inlineStr">
        <is>
          <t>2026-06-20</t>
        </is>
      </c>
      <c r="B2274" s="33" t="inlineStr">
        <is>
          <t>AMKR</t>
        </is>
      </c>
      <c r="C2274" s="33" t="inlineStr">
        <is>
          <t>D4</t>
        </is>
      </c>
      <c r="D2274" s="33" t="n">
        <v>5</v>
      </c>
      <c r="E2274" s="33" t="inlineStr">
        <is>
          <t>$7B Arizona buildout (broken ground, Apple-anchored, CHIPS-supported) + advanced-packaging capacity tripling in 2026; funded and underway.</t>
        </is>
      </c>
      <c r="F2274" s="33" t="inlineStr">
        <is>
          <t>10-K FY2025; ir.amkor.com 2025-10-06; context</t>
        </is>
      </c>
      <c r="G2274" s="33" t="inlineStr">
        <is>
          <t>High</t>
        </is>
      </c>
      <c r="H2274" s="33" t="inlineStr">
        <is>
          <t>Initial</t>
        </is>
      </c>
    </row>
    <row r="2275">
      <c r="A2275" s="33" t="inlineStr">
        <is>
          <t>2026-06-20</t>
        </is>
      </c>
      <c r="B2275" s="33" t="inlineStr">
        <is>
          <t>AMKR</t>
        </is>
      </c>
      <c r="C2275" s="33" t="inlineStr">
        <is>
          <t>D5</t>
        </is>
      </c>
      <c r="D2275" s="33" t="n">
        <v>2</v>
      </c>
      <c r="E2275" s="33" t="inlineStr">
        <is>
          <t>Named large customers are Apple/Qualcomm, not hyperscalers; AI exposure indirect via merchant accelerator/CPU vendors and Apple silicon.</t>
        </is>
      </c>
      <c r="F2275" s="33" t="inlineStr">
        <is>
          <t>10-K FY2025 customers; context</t>
        </is>
      </c>
      <c r="G2275" s="33" t="inlineStr">
        <is>
          <t>Medium</t>
        </is>
      </c>
      <c r="H2275" s="33" t="inlineStr">
        <is>
          <t>Initial</t>
        </is>
      </c>
    </row>
    <row r="2276">
      <c r="A2276" s="33" t="inlineStr">
        <is>
          <t>2026-06-20</t>
        </is>
      </c>
      <c r="B2276" s="33" t="inlineStr">
        <is>
          <t>AMKR</t>
        </is>
      </c>
      <c r="C2276" s="33" t="inlineStr">
        <is>
          <t>M1</t>
        </is>
      </c>
      <c r="D2276" s="33" t="n">
        <v>5</v>
      </c>
      <c r="E2276" s="33" t="inlineStr">
        <is>
          <t>Beat-and-raise; Needham $65-&gt;$90, MS $45-&gt;$69; FY26 EPS consensus $1.74-&gt;$2.11.</t>
        </is>
      </c>
      <c r="F2276" s="33" t="inlineStr">
        <is>
          <t>analyst notes Jun 2026; context</t>
        </is>
      </c>
      <c r="G2276" s="33" t="inlineStr">
        <is>
          <t>High</t>
        </is>
      </c>
      <c r="H2276" s="33" t="inlineStr">
        <is>
          <t>Initial</t>
        </is>
      </c>
    </row>
    <row r="2277">
      <c r="A2277" s="33" t="inlineStr">
        <is>
          <t>2026-06-20</t>
        </is>
      </c>
      <c r="B2277" s="33" t="inlineStr">
        <is>
          <t>AMKR</t>
        </is>
      </c>
      <c r="C2277" s="33" t="inlineStr">
        <is>
          <t>M2</t>
        </is>
      </c>
      <c r="D2277" s="33" t="n">
        <v>5</v>
      </c>
      <c r="E2277" s="33" t="inlineStr">
        <is>
          <t>All-time highs, large outperformance, +8.25% single day (Jun 12). Note: also rule-14 crowding risk.</t>
        </is>
      </c>
      <c r="F2277" s="33" t="inlineStr">
        <is>
          <t>market data; expectations_flag; context</t>
        </is>
      </c>
      <c r="G2277" s="33" t="inlineStr">
        <is>
          <t>High</t>
        </is>
      </c>
      <c r="H2277" s="33" t="inlineStr">
        <is>
          <t>Initial</t>
        </is>
      </c>
    </row>
    <row r="2278">
      <c r="A2278" s="33" t="inlineStr">
        <is>
          <t>2026-06-20</t>
        </is>
      </c>
      <c r="B2278" s="33" t="inlineStr">
        <is>
          <t>AMKR</t>
        </is>
      </c>
      <c r="C2278" s="33" t="inlineStr">
        <is>
          <t>M3</t>
        </is>
      </c>
      <c r="D2278" s="33" t="n">
        <v>3</v>
      </c>
      <c r="E2278" s="33" t="inlineStr">
        <is>
          <t>Ex-CEO routine post-retirement trim (~9% of holdings); no open-market buying; Kim-family secondary is a diversification-flavored overhang. Default post-rally baseline.</t>
        </is>
      </c>
      <c r="F2278" s="33" t="inlineStr">
        <is>
          <t>stocktitan Form 4; 13D/A; context</t>
        </is>
      </c>
      <c r="G2278" s="33" t="inlineStr">
        <is>
          <t>Medium</t>
        </is>
      </c>
      <c r="H2278" s="33" t="inlineStr">
        <is>
          <t>Initial</t>
        </is>
      </c>
    </row>
    <row r="2279">
      <c r="A2279" s="33" t="inlineStr">
        <is>
          <t>2026-06-20</t>
        </is>
      </c>
      <c r="B2279" s="33" t="inlineStr">
        <is>
          <t>AMKR</t>
        </is>
      </c>
      <c r="C2279" s="33" t="inlineStr">
        <is>
          <t>R1</t>
        </is>
      </c>
      <c r="D2279" s="33" t="n">
        <v>3</v>
      </c>
      <c r="E2279" s="33" t="inlineStr">
        <is>
          <t>Apple 29.8% (band 3: top customer 25-40%); top-10 = 72%. Real, not existential.</t>
        </is>
      </c>
      <c r="F2279" s="33" t="inlineStr">
        <is>
          <t>10-K FY2025</t>
        </is>
      </c>
      <c r="G2279" s="33" t="inlineStr">
        <is>
          <t>High</t>
        </is>
      </c>
      <c r="H2279" s="33" t="inlineStr">
        <is>
          <t>Initial</t>
        </is>
      </c>
    </row>
    <row r="2280">
      <c r="A2280" s="33" t="inlineStr">
        <is>
          <t>2026-06-20</t>
        </is>
      </c>
      <c r="B2280" s="33" t="inlineStr">
        <is>
          <t>AMKR</t>
        </is>
      </c>
      <c r="C2280" s="33" t="inlineStr">
        <is>
          <t>R2</t>
        </is>
      </c>
      <c r="D2280" s="33" t="n">
        <v>2</v>
      </c>
      <c r="E2280" s="33" t="inlineStr">
        <is>
          <t>Worst plausible shock: Taiwan-strait/China conflict impairing Asian production assets (Korea, China 1.4M sq ft, Taiwan); point-of-billing "US 65.6%" is misleading.</t>
        </is>
      </c>
      <c r="F2280" s="33" t="inlineStr">
        <is>
          <t>10-K FY2025 Item 2 + geographic note</t>
        </is>
      </c>
      <c r="G2280" s="33" t="inlineStr">
        <is>
          <t>Medium</t>
        </is>
      </c>
      <c r="H2280" s="33" t="inlineStr">
        <is>
          <t>Initial</t>
        </is>
      </c>
    </row>
    <row r="2281">
      <c r="A2281" s="33" t="inlineStr">
        <is>
          <t>2026-06-20</t>
        </is>
      </c>
      <c r="B2281" s="33" t="inlineStr">
        <is>
          <t>AMKR</t>
        </is>
      </c>
      <c r="C2281" s="33" t="inlineStr">
        <is>
          <t>R3</t>
        </is>
      </c>
      <c r="D2281" s="33" t="n">
        <v>4</v>
      </c>
      <c r="E2281" s="33" t="inlineStr">
        <is>
          <t>Net cash (cash+STI ~$1.99B vs debt ~$1.46B; ND/EBITDA ~-0.2x), but the $7B Arizona capex is a real forward call on FCF (so not 5).</t>
        </is>
      </c>
      <c r="F2281" s="33" t="inlineStr">
        <is>
          <t>10-K FY2025 balance sheet</t>
        </is>
      </c>
      <c r="G2281" s="33" t="inlineStr">
        <is>
          <t>High</t>
        </is>
      </c>
      <c r="H2281" s="33" t="inlineStr">
        <is>
          <t>Initial</t>
        </is>
      </c>
    </row>
    <row r="2282">
      <c r="A2282" s="33" t="inlineStr">
        <is>
          <t>2026-06-20</t>
        </is>
      </c>
      <c r="B2282" s="33" t="inlineStr">
        <is>
          <t>AMKR</t>
        </is>
      </c>
      <c r="C2282" s="33" t="inlineStr">
        <is>
          <t>R4</t>
        </is>
      </c>
      <c r="D2282" s="33" t="n">
        <v>4</v>
      </c>
      <c r="E2282" s="33" t="inlineStr">
        <is>
          <t>No major disclosed litigation; watch items = CHIPS-incentive clawback conditions + export-control overhang.</t>
        </is>
      </c>
      <c r="F2282" s="33" t="inlineStr">
        <is>
          <t>10-K FY2025 legal/risk</t>
        </is>
      </c>
      <c r="G2282" s="33" t="inlineStr">
        <is>
          <t>Medium</t>
        </is>
      </c>
      <c r="H2282" s="33" t="inlineStr">
        <is>
          <t>Initial</t>
        </is>
      </c>
    </row>
    <row r="2283">
      <c r="A2283" s="33" t="inlineStr">
        <is>
          <t>2026-06-20</t>
        </is>
      </c>
      <c r="B2283" s="33" t="inlineStr">
        <is>
          <t>AMKR</t>
        </is>
      </c>
      <c r="C2283" s="33" t="inlineStr">
        <is>
          <t>R5</t>
        </is>
      </c>
      <c r="D2283" s="33" t="n">
        <v>5</v>
      </c>
      <c r="E2283" s="33" t="inlineStr">
        <is>
          <t>Physical back-end manufacturing; non-Layer-10 default; AI is a tailwind (TSMC in-housing is a D2/D3 issue, not R5 obsolescence).</t>
        </is>
      </c>
      <c r="F2283" s="33" t="inlineStr">
        <is>
          <t>CLAUDE.md rule 16</t>
        </is>
      </c>
      <c r="G2283" s="33" t="inlineStr">
        <is>
          <t>High</t>
        </is>
      </c>
      <c r="H2283" s="33" t="inlineStr">
        <is>
          <t>Initial</t>
        </is>
      </c>
    </row>
    <row r="2284">
      <c r="A2284" s="33" t="inlineStr">
        <is>
          <t>2026-06-20</t>
        </is>
      </c>
      <c r="B2284" s="33" t="inlineStr">
        <is>
          <t>ASX</t>
        </is>
      </c>
      <c r="C2284" s="33" t="inlineStr">
        <is>
          <t>D1</t>
        </is>
      </c>
      <c r="D2284" s="33" t="n">
        <v>3</v>
      </c>
      <c r="E2284" s="33" t="inlineStr">
        <is>
          <t>AI is the explicit driver but not yet majority; LEAP &gt;$3.5B (2026E) on ~$20B rev ~= high-teens % directly AI-tied, plus AI-test/peripherals; EMS+wirebond dilute.</t>
        </is>
      </c>
      <c r="F2284" s="33" t="inlineStr">
        <is>
          <t>20-F AI risk factor; Q1'26 call (LEAP); context</t>
        </is>
      </c>
      <c r="G2284" s="33" t="inlineStr">
        <is>
          <t>Medium</t>
        </is>
      </c>
      <c r="H2284" s="33" t="inlineStr">
        <is>
          <t>Initial</t>
        </is>
      </c>
    </row>
    <row r="2285">
      <c r="A2285" s="33" t="inlineStr">
        <is>
          <t>2026-06-20</t>
        </is>
      </c>
      <c r="B2285" s="33" t="inlineStr">
        <is>
          <t>ASX</t>
        </is>
      </c>
      <c r="C2285" s="33" t="inlineStr">
        <is>
          <t>D2</t>
        </is>
      </c>
      <c r="D2285" s="33" t="n">
        <v>4</v>
      </c>
      <c r="E2285" s="33" t="inlineStr">
        <is>
          <t>#1 OSAT globally; upstream-of-finished-chip with limited peers (Amkor, JCET); widening lead times. Not 5 — complement to TSMC in CoWoS.</t>
        </is>
      </c>
      <c r="F2285" s="33" t="inlineStr">
        <is>
          <t>20-F; rubric anchors; context</t>
        </is>
      </c>
      <c r="G2285" s="33" t="inlineStr">
        <is>
          <t>High</t>
        </is>
      </c>
      <c r="H2285" s="33" t="inlineStr">
        <is>
          <t>Initial</t>
        </is>
      </c>
    </row>
    <row r="2286">
      <c r="A2286" s="33" t="inlineStr">
        <is>
          <t>2026-06-20</t>
        </is>
      </c>
      <c r="B2286" s="33" t="inlineStr">
        <is>
          <t>ASX</t>
        </is>
      </c>
      <c r="C2286" s="33" t="inlineStr">
        <is>
          <t>D3</t>
        </is>
      </c>
      <c r="D2286" s="33" t="n">
        <v>3</v>
      </c>
      <c r="E2286" s="33" t="inlineStr">
        <is>
          <t>Scale + capital intensity + qualification switching costs, but contestable (TSMC forward-integration, substrate dependence). Took 3 of a 3-4 range (ruthless).</t>
        </is>
      </c>
      <c r="F2286" s="33" t="inlineStr">
        <is>
          <t>20-F Customers/Qualification; context</t>
        </is>
      </c>
      <c r="G2286" s="33" t="inlineStr">
        <is>
          <t>Medium</t>
        </is>
      </c>
      <c r="H2286" s="33" t="inlineStr">
        <is>
          <t>Initial</t>
        </is>
      </c>
    </row>
    <row r="2287">
      <c r="A2287" s="33" t="inlineStr">
        <is>
          <t>2026-06-20</t>
        </is>
      </c>
      <c r="B2287" s="33" t="inlineStr">
        <is>
          <t>ASX</t>
        </is>
      </c>
      <c r="C2287" s="33" t="inlineStr">
        <is>
          <t>D4</t>
        </is>
      </c>
      <c r="D2287" s="33" t="n">
        <v>5</v>
      </c>
      <c r="E2287" s="33" t="inlineStr">
        <is>
          <t>Multi-year funded customer-backed buildout; capex raised twice to US$8.5B; new test hub.</t>
        </is>
      </c>
      <c r="F2287" s="33" t="inlineStr">
        <is>
          <t>Q1'26 PR; trade press; context</t>
        </is>
      </c>
      <c r="G2287" s="33" t="inlineStr">
        <is>
          <t>High</t>
        </is>
      </c>
      <c r="H2287" s="33" t="inlineStr">
        <is>
          <t>Initial</t>
        </is>
      </c>
    </row>
    <row r="2288">
      <c r="A2288" s="33" t="inlineStr">
        <is>
          <t>2026-06-20</t>
        </is>
      </c>
      <c r="B2288" s="33" t="inlineStr">
        <is>
          <t>ASX</t>
        </is>
      </c>
      <c r="C2288" s="33" t="inlineStr">
        <is>
          <t>D5</t>
        </is>
      </c>
      <c r="D2288" s="33" t="n">
        <v>3</v>
      </c>
      <c r="E2288" s="33" t="inlineStr">
        <is>
          <t>Packages/tests AI accelerators for the fabless/hyperscaler-silicon ecosystem, but named &gt;10% customer is Apple (consumer); much exposure one step removed.</t>
        </is>
      </c>
      <c r="F2288" s="33" t="inlineStr">
        <is>
          <t>20-F major-customer note; context</t>
        </is>
      </c>
      <c r="G2288" s="33" t="inlineStr">
        <is>
          <t>Medium</t>
        </is>
      </c>
      <c r="H2288" s="33" t="inlineStr">
        <is>
          <t>Initial</t>
        </is>
      </c>
    </row>
    <row r="2289">
      <c r="A2289" s="33" t="inlineStr">
        <is>
          <t>2026-06-20</t>
        </is>
      </c>
      <c r="B2289" s="33" t="inlineStr">
        <is>
          <t>ASX</t>
        </is>
      </c>
      <c r="C2289" s="33" t="inlineStr">
        <is>
          <t>M1</t>
        </is>
      </c>
      <c r="D2289" s="33" t="n">
        <v>3</v>
      </c>
      <c r="E2289" s="33" t="inlineStr">
        <is>
          <t>Net-positive: Q1'26 beat ~15%, targets nudged up; not a violent beat-and-raise. Took 3 of a 3-4 range.</t>
        </is>
      </c>
      <c r="F2289" s="33" t="inlineStr">
        <is>
          <t>WallStreetZen; TradingView 3711; context</t>
        </is>
      </c>
      <c r="G2289" s="33" t="inlineStr">
        <is>
          <t>Medium</t>
        </is>
      </c>
      <c r="H2289" s="33" t="inlineStr">
        <is>
          <t>Initial</t>
        </is>
      </c>
    </row>
    <row r="2290">
      <c r="A2290" s="33" t="inlineStr">
        <is>
          <t>2026-06-20</t>
        </is>
      </c>
      <c r="B2290" s="33" t="inlineStr">
        <is>
          <t>ASX</t>
        </is>
      </c>
      <c r="C2290" s="33" t="inlineStr">
        <is>
          <t>M2</t>
        </is>
      </c>
      <c r="D2290" s="33" t="n">
        <v>4</v>
      </c>
      <c r="E2290" s="33" t="inlineStr">
        <is>
          <t>Strong outperformer vs SOXX (6-12mo). LOW CONFIDENCE — circulating "+257%" is TWSE 3711, likely overstated for the ADR; verify on ADR series. Took 4 of a 4-5 range.</t>
        </is>
      </c>
      <c r="F2290" s="33" t="inlineStr">
        <is>
          <t>U.S. News SOXX YTD; context</t>
        </is>
      </c>
      <c r="G2290" s="33" t="inlineStr">
        <is>
          <t>Low</t>
        </is>
      </c>
      <c r="H2290" s="33" t="inlineStr">
        <is>
          <t>Initial</t>
        </is>
      </c>
    </row>
    <row r="2291">
      <c r="A2291" s="33" t="inlineStr">
        <is>
          <t>2026-06-20</t>
        </is>
      </c>
      <c r="B2291" s="33" t="inlineStr">
        <is>
          <t>ASX</t>
        </is>
      </c>
      <c r="C2291" s="33" t="inlineStr">
        <is>
          <t>M3</t>
        </is>
      </c>
      <c r="D2291" s="33" t="n">
        <v>3</v>
      </c>
      <c r="E2291" s="33" t="inlineStr">
        <is>
          <t>DATA GAP — no Form-4/Section-16 for a foreign filer; rubric default for no-visible-activity = 3 (here it is absence of data, not a read).</t>
        </is>
      </c>
      <c r="F2291" s="33" t="inlineStr">
        <is>
          <t>yfinance heldPctInsiders 0.0; context</t>
        </is>
      </c>
      <c r="G2291" s="33" t="inlineStr">
        <is>
          <t>Low</t>
        </is>
      </c>
      <c r="H2291" s="33" t="inlineStr">
        <is>
          <t>Initial</t>
        </is>
      </c>
    </row>
    <row r="2292">
      <c r="A2292" s="33" t="inlineStr">
        <is>
          <t>2026-06-20</t>
        </is>
      </c>
      <c r="B2292" s="33" t="inlineStr">
        <is>
          <t>ASX</t>
        </is>
      </c>
      <c r="C2292" s="33" t="inlineStr">
        <is>
          <t>R1</t>
        </is>
      </c>
      <c r="D2292" s="33" t="n">
        <v>3</v>
      </c>
      <c r="E2292" s="33" t="inlineStr">
        <is>
          <t>One customer ~25%, top-5 = 46.5% -&gt; real dependence, not existential.</t>
        </is>
      </c>
      <c r="F2292" s="33" t="inlineStr">
        <is>
          <t>20-F major-customer note</t>
        </is>
      </c>
      <c r="G2292" s="33" t="inlineStr">
        <is>
          <t>High</t>
        </is>
      </c>
      <c r="H2292" s="33" t="inlineStr">
        <is>
          <t>Initial</t>
        </is>
      </c>
    </row>
    <row r="2293">
      <c r="A2293" s="33" t="inlineStr">
        <is>
          <t>2026-06-20</t>
        </is>
      </c>
      <c r="B2293" s="33" t="inlineStr">
        <is>
          <t>ASX</t>
        </is>
      </c>
      <c r="C2293" s="33" t="inlineStr">
        <is>
          <t>R2</t>
        </is>
      </c>
      <c r="D2293" s="33" t="n">
        <v>2</v>
      </c>
      <c r="E2293" s="33" t="inlineStr">
        <is>
          <t>Asset leg dominant — ~58.9% of revenue produced in Taiwan (non-substitutable) + a standalone power-disruption risk; worst shock = Taiwan Strait/seismic/grid. Same logic as TSM=2.</t>
        </is>
      </c>
      <c r="F2293" s="33" t="inlineStr">
        <is>
          <t>20-F Taiwan risk factors</t>
        </is>
      </c>
      <c r="G2293" s="33" t="inlineStr">
        <is>
          <t>High</t>
        </is>
      </c>
      <c r="H2293" s="33" t="inlineStr">
        <is>
          <t>Initial</t>
        </is>
      </c>
    </row>
    <row r="2294">
      <c r="A2294" s="33" t="inlineStr">
        <is>
          <t>2026-06-20</t>
        </is>
      </c>
      <c r="B2294" s="33" t="inlineStr">
        <is>
          <t>ASX</t>
        </is>
      </c>
      <c r="C2294" s="33" t="inlineStr">
        <is>
          <t>R3</t>
        </is>
      </c>
      <c r="D2294" s="33" t="n">
        <v>3</v>
      </c>
      <c r="E2294" s="33" t="inlineStr">
        <is>
          <t>ND/equity 0.40, ND/EBITDA ~2x, strong OCF, large unused credit lines; FCF negative on the capex ramp. Took 3 of a 3-4 range.</t>
        </is>
      </c>
      <c r="F2294" s="33" t="inlineStr">
        <is>
          <t>Q1'26 PR balance sheet; context</t>
        </is>
      </c>
      <c r="G2294" s="33" t="inlineStr">
        <is>
          <t>Medium</t>
        </is>
      </c>
      <c r="H2294" s="33" t="inlineStr">
        <is>
          <t>Initial</t>
        </is>
      </c>
    </row>
    <row r="2295">
      <c r="A2295" s="33" t="inlineStr">
        <is>
          <t>2026-06-20</t>
        </is>
      </c>
      <c r="B2295" s="33" t="inlineStr">
        <is>
          <t>ASX</t>
        </is>
      </c>
      <c r="C2295" s="33" t="inlineStr">
        <is>
          <t>R4</t>
        </is>
      </c>
      <c r="D2295" s="33" t="n">
        <v>4</v>
      </c>
      <c r="E2295" s="33" t="inlineStr">
        <is>
          <t>No major disclosed regulatory threat surfaced; routine matters. Preliminary — full Legal Proceedings not fully extracted from the 20-F.</t>
        </is>
      </c>
      <c r="F2295" s="33" t="inlineStr">
        <is>
          <t>20-F (partial); context</t>
        </is>
      </c>
      <c r="G2295" s="33" t="inlineStr">
        <is>
          <t>Low</t>
        </is>
      </c>
      <c r="H2295" s="33" t="inlineStr">
        <is>
          <t>Initial</t>
        </is>
      </c>
    </row>
    <row r="2296">
      <c r="A2296" s="33" t="inlineStr">
        <is>
          <t>2026-06-20</t>
        </is>
      </c>
      <c r="B2296" s="33" t="inlineStr">
        <is>
          <t>ASX</t>
        </is>
      </c>
      <c r="C2296" s="33" t="inlineStr">
        <is>
          <t>R5</t>
        </is>
      </c>
      <c r="D2296" s="33" t="n">
        <v>5</v>
      </c>
      <c r="E2296" s="33" t="inlineStr">
        <is>
          <t>Physical back-end manufacturing; advanced packaging becoming more essential as value shifts to the package; non-Layer-10 default; AI tailwind.</t>
        </is>
      </c>
      <c r="F2296" s="33" t="inlineStr">
        <is>
          <t>CLAUDE.md rule 16</t>
        </is>
      </c>
      <c r="G2296" s="33" t="inlineStr">
        <is>
          <t>High</t>
        </is>
      </c>
      <c r="H2296" s="33" t="inlineStr">
        <is>
          <t>Initial</t>
        </is>
      </c>
    </row>
    <row r="2297">
      <c r="A2297" s="33" t="inlineStr">
        <is>
          <t>2026-06-22</t>
        </is>
      </c>
      <c r="B2297" s="33" t="inlineStr">
        <is>
          <t>(methodology)</t>
        </is>
      </c>
      <c r="C2297" s="33" t="inlineStr">
        <is>
          <t>Layer 11 reverted</t>
        </is>
      </c>
      <c r="D2297" s="33" t="inlineStr">
        <is>
          <t>—</t>
        </is>
      </c>
      <c r="E2297" s="33" t="inlineStr">
        <is>
          <t>Layer-11 AI-Adopters experiment + rule-17 materiality gate REVERTED same day (over-engineered for yield). RDDT re-homed to Layer 10/AI advertising under standard rubric; JPM/NU/LMND/MA/PERI/RXRX/HOOD dropped.</t>
        </is>
      </c>
      <c r="F2297" s="33" t="inlineStr">
        <is>
          <t>Dom 2026-06-22</t>
        </is>
      </c>
      <c r="G2297" s="33" t="inlineStr">
        <is>
          <t>High</t>
        </is>
      </c>
      <c r="H2297" s="33" t="inlineStr">
        <is>
          <t>Reverted</t>
        </is>
      </c>
    </row>
    <row r="2298">
      <c r="A2298" s="33" t="inlineStr">
        <is>
          <t>2026-06-22</t>
        </is>
      </c>
      <c r="B2298" s="33" t="inlineStr">
        <is>
          <t>RDDT</t>
        </is>
      </c>
      <c r="C2298" s="33" t="inlineStr">
        <is>
          <t>D1-AIrev%</t>
        </is>
      </c>
      <c r="D2298" s="33" t="n">
        <v>3</v>
      </c>
      <c r="E2298" s="33" t="inlineStr">
        <is>
          <t>Data-licensing to OpenAI/Google ~10% of rev (AI-tied) + ML-driven ad monetization; not an AI-native engine like APP</t>
        </is>
      </c>
      <c r="F2298" s="33" t="inlineStr">
        <is>
          <t>Q3 2025 letter; licensing disclosures</t>
        </is>
      </c>
      <c r="G2298" s="33" t="inlineStr">
        <is>
          <t>Med</t>
        </is>
      </c>
      <c r="H2298" s="33" t="inlineStr">
        <is>
          <t>Initial</t>
        </is>
      </c>
    </row>
    <row r="2299">
      <c r="A2299" s="33" t="inlineStr">
        <is>
          <t>2026-06-22</t>
        </is>
      </c>
      <c r="B2299" s="33" t="inlineStr">
        <is>
          <t>RDDT</t>
        </is>
      </c>
      <c r="C2299" s="33" t="inlineStr">
        <is>
          <t>D2-Position</t>
        </is>
      </c>
      <c r="D2299" s="33" t="n">
        <v>3</v>
      </c>
      <c r="E2299" s="33" t="inlineStr">
        <is>
          <t>Scarce first-party human-conversation corpus gives real position; but sub-scale ad platform vs Meta/Google</t>
        </is>
      </c>
      <c r="F2299" s="33" t="inlineStr">
        <is>
          <t>standard rubric</t>
        </is>
      </c>
      <c r="G2299" s="33" t="inlineStr">
        <is>
          <t>Med</t>
        </is>
      </c>
    </row>
    <row r="2300">
      <c r="A2300" s="33" t="inlineStr">
        <is>
          <t>2026-06-22</t>
        </is>
      </c>
      <c r="B2300" s="33" t="inlineStr">
        <is>
          <t>RDDT</t>
        </is>
      </c>
      <c r="C2300" s="33" t="inlineStr">
        <is>
          <t>D3-Moat</t>
        </is>
      </c>
      <c r="D2300" s="33" t="n">
        <v>3</v>
      </c>
      <c r="E2300" s="33" t="inlineStr">
        <is>
          <t>Irreplaceable corpus + most-cited AI source, but monetization moat fragile (Google-referral dependent)</t>
        </is>
      </c>
      <c r="F2300" s="33" t="inlineStr">
        <is>
          <t>GoodFirms citation data</t>
        </is>
      </c>
      <c r="G2300" s="33" t="inlineStr">
        <is>
          <t>Med</t>
        </is>
      </c>
    </row>
    <row r="2301">
      <c r="A2301" s="33" t="inlineStr">
        <is>
          <t>2026-06-22</t>
        </is>
      </c>
      <c r="B2301" s="33" t="inlineStr">
        <is>
          <t>RDDT</t>
        </is>
      </c>
      <c r="C2301" s="33" t="inlineStr">
        <is>
          <t>D4-Capacity</t>
        </is>
      </c>
      <c r="D2301" s="33" t="n">
        <v>3</v>
      </c>
      <c r="E2301" s="33" t="inlineStr">
        <is>
          <t>Cohort-calibrated (APP=4, DDOG=3); low confidence on app-layer meaning</t>
        </is>
      </c>
      <c r="F2301" s="33" t="inlineStr">
        <is>
          <t>Layer-10 anchors</t>
        </is>
      </c>
      <c r="G2301" s="33" t="inlineStr">
        <is>
          <t>Low</t>
        </is>
      </c>
    </row>
    <row r="2302">
      <c r="A2302" s="33" t="inlineStr">
        <is>
          <t>2026-06-22</t>
        </is>
      </c>
      <c r="B2302" s="33" t="inlineStr">
        <is>
          <t>RDDT</t>
        </is>
      </c>
      <c r="C2302" s="33" t="inlineStr">
        <is>
          <t>D5-Hyperscaler</t>
        </is>
      </c>
      <c r="D2302" s="33" t="n">
        <v>2</v>
      </c>
      <c r="E2302" s="33" t="inlineStr">
        <is>
          <t>Runs on hyperscalers as customer; licenses data TO them — limited beneficiary status (APP=2)</t>
        </is>
      </c>
      <c r="F2302" s="33" t="inlineStr">
        <is>
          <t>Layer-10 anchors</t>
        </is>
      </c>
      <c r="G2302" s="33" t="inlineStr">
        <is>
          <t>Med</t>
        </is>
      </c>
    </row>
    <row r="2303">
      <c r="A2303" s="33" t="inlineStr">
        <is>
          <t>2026-06-22</t>
        </is>
      </c>
      <c r="B2303" s="33" t="inlineStr">
        <is>
          <t>RDDT</t>
        </is>
      </c>
      <c r="C2303" s="33" t="inlineStr">
        <is>
          <t>EPSrev</t>
        </is>
      </c>
      <c r="D2303" s="33" t="n">
        <v>5</v>
      </c>
      <c r="E2303" s="33" t="inlineStr">
        <is>
          <t>Beat-and-raise; 7th straight qtr &gt;60% rev growth</t>
        </is>
      </c>
      <c r="F2303" s="33" t="inlineStr">
        <is>
          <t>Q1 2026</t>
        </is>
      </c>
      <c r="G2303" s="33" t="inlineStr">
        <is>
          <t>Med</t>
        </is>
      </c>
    </row>
    <row r="2304">
      <c r="A2304" s="33" t="inlineStr">
        <is>
          <t>2026-06-22</t>
        </is>
      </c>
      <c r="B2304" s="33" t="inlineStr">
        <is>
          <t>RDDT</t>
        </is>
      </c>
      <c r="C2304" s="33" t="inlineStr">
        <is>
          <t>RelStr</t>
        </is>
      </c>
      <c r="D2304" s="33" t="n">
        <v>3</v>
      </c>
      <c r="E2304" s="33" t="inlineStr">
        <is>
          <t>High-beta two-way; 50DMA% 50.8 sideways</t>
        </is>
      </c>
      <c r="F2304" s="33" t="inlineStr">
        <is>
          <t>momentum</t>
        </is>
      </c>
      <c r="G2304" s="33" t="inlineStr">
        <is>
          <t>Low</t>
        </is>
      </c>
    </row>
    <row r="2305">
      <c r="A2305" s="33" t="inlineStr">
        <is>
          <t>2026-06-22</t>
        </is>
      </c>
      <c r="B2305" s="33" t="inlineStr">
        <is>
          <t>RDDT</t>
        </is>
      </c>
      <c r="C2305" s="33" t="inlineStr">
        <is>
          <t>Insider</t>
        </is>
      </c>
      <c r="D2305" s="33" t="n">
        <v>3</v>
      </c>
      <c r="E2305" s="33" t="inlineStr">
        <is>
          <t>Post-IPO diversification baseline</t>
        </is>
      </c>
      <c r="F2305" s="33" t="inlineStr">
        <is>
          <t>rubric</t>
        </is>
      </c>
      <c r="G2305" s="33" t="inlineStr">
        <is>
          <t>Low</t>
        </is>
      </c>
    </row>
    <row r="2306">
      <c r="A2306" s="33" t="inlineStr">
        <is>
          <t>2026-06-22</t>
        </is>
      </c>
      <c r="B2306" s="33" t="inlineStr">
        <is>
          <t>RDDT</t>
        </is>
      </c>
      <c r="C2306" s="33" t="inlineStr">
        <is>
          <t>R1-CustConc</t>
        </is>
      </c>
      <c r="D2306" s="33" t="n">
        <v>5</v>
      </c>
      <c r="E2306" s="33" t="inlineStr">
        <is>
          <t>Ad revenue diversified, none &gt;15%</t>
        </is>
      </c>
      <c r="F2306" s="33" t="inlineStr">
        <is>
          <t>Q1 2026</t>
        </is>
      </c>
      <c r="G2306" s="33" t="inlineStr">
        <is>
          <t>Med</t>
        </is>
      </c>
    </row>
    <row r="2307">
      <c r="A2307" s="33" t="inlineStr">
        <is>
          <t>2026-06-22</t>
        </is>
      </c>
      <c r="B2307" s="33" t="inlineStr">
        <is>
          <t>RDDT</t>
        </is>
      </c>
      <c r="C2307" s="33" t="inlineStr">
        <is>
          <t>R2-Geo</t>
        </is>
      </c>
      <c r="D2307" s="33" t="n">
        <v>5</v>
      </c>
      <c r="E2307" s="33" t="inlineStr">
        <is>
          <t>Predominantly US revenue</t>
        </is>
      </c>
      <c r="F2307" s="33" t="inlineStr">
        <is>
          <t>10-Q</t>
        </is>
      </c>
      <c r="G2307" s="33" t="inlineStr">
        <is>
          <t>Med</t>
        </is>
      </c>
    </row>
    <row r="2308">
      <c r="A2308" s="33" t="inlineStr">
        <is>
          <t>2026-06-22</t>
        </is>
      </c>
      <c r="B2308" s="33" t="inlineStr">
        <is>
          <t>RDDT</t>
        </is>
      </c>
      <c r="C2308" s="33" t="inlineStr">
        <is>
          <t>R3-BS</t>
        </is>
      </c>
      <c r="D2308" s="33" t="n">
        <v>5</v>
      </c>
      <c r="E2308" s="33" t="inlineStr">
        <is>
          <t>Net cash, no debt, GAAP-profitable, 40% EBITDA mgn</t>
        </is>
      </c>
      <c r="F2308" s="33" t="inlineStr">
        <is>
          <t>Q1 2026</t>
        </is>
      </c>
      <c r="G2308" s="33" t="inlineStr">
        <is>
          <t>High</t>
        </is>
      </c>
    </row>
    <row r="2309">
      <c r="A2309" s="33" t="inlineStr">
        <is>
          <t>2026-06-22</t>
        </is>
      </c>
      <c r="B2309" s="33" t="inlineStr">
        <is>
          <t>RDDT</t>
        </is>
      </c>
      <c r="C2309" s="33" t="inlineStr">
        <is>
          <t>R4-Reg</t>
        </is>
      </c>
      <c r="D2309" s="33" t="n">
        <v>4</v>
      </c>
      <c r="E2309" s="33" t="inlineStr">
        <is>
          <t>Latent data-licensing/moderation, nothing active</t>
        </is>
      </c>
      <c r="F2309" s="33" t="inlineStr">
        <is>
          <t>—</t>
        </is>
      </c>
      <c r="G2309" s="33" t="inlineStr">
        <is>
          <t>Med</t>
        </is>
      </c>
    </row>
    <row r="2310">
      <c r="A2310" s="33" t="inlineStr">
        <is>
          <t>2026-06-22</t>
        </is>
      </c>
      <c r="B2310" s="33" t="inlineStr">
        <is>
          <t>RDDT</t>
        </is>
      </c>
      <c r="C2310" s="33" t="inlineStr">
        <is>
          <t>R5-Disrupt</t>
        </is>
      </c>
      <c r="D2310" s="33" t="n">
        <v>2</v>
      </c>
      <c r="E2310" s="33" t="inlineStr">
        <is>
          <t>Ad funnel ~40-50% Google-referral; AI-Overviews/zero-click active compression</t>
        </is>
      </c>
      <c r="F2310" s="33" t="inlineStr">
        <is>
          <t>referral/AIO</t>
        </is>
      </c>
      <c r="G2310" s="33" t="inlineStr">
        <is>
          <t>Med</t>
        </is>
      </c>
    </row>
    <row r="2311">
      <c r="A2311" s="33" t="inlineStr">
        <is>
          <t>2026-06-24</t>
        </is>
      </c>
      <c r="B2311" s="33" t="inlineStr">
        <is>
          <t>MU</t>
        </is>
      </c>
      <c r="C2311" s="33" t="inlineStr">
        <is>
          <t>Growth: EPS YoY (rule 15)</t>
        </is>
      </c>
      <c r="D2311" s="33" t="n">
        <v>770.8</v>
      </c>
      <c r="E2311" s="33" t="inlineStr">
        <is>
          <t>Memory super-cycle: rev tripled to $23.86B, gross profit $2,963M→$17,755M, op income $1,773M→$16,135M; ~15% tax (Pillar Two), no VA release/one-off</t>
        </is>
      </c>
      <c r="F2311" s="33" t="inlineStr">
        <is>
          <t>10-Q FQ2 q/e 2026-02-26, Stmts of Ops + Income Taxes note</t>
        </is>
      </c>
      <c r="G2311" s="33" t="inlineStr">
        <is>
          <t>High</t>
        </is>
      </c>
      <c r="H2311" s="33" t="inlineStr">
        <is>
          <t>objective</t>
        </is>
      </c>
    </row>
    <row r="2312">
      <c r="A2312" s="33" t="inlineStr">
        <is>
          <t>2026-06-24</t>
        </is>
      </c>
      <c r="B2312" s="33" t="inlineStr">
        <is>
          <t>RDDT</t>
        </is>
      </c>
      <c r="C2312" s="33" t="inlineStr">
        <is>
          <t>Growth: EPS YoY (rule 15)</t>
        </is>
      </c>
      <c r="D2312" s="33" t="n">
        <v>679.8</v>
      </c>
      <c r="E2312" s="33" t="inlineStr">
        <is>
          <t>Operational: rev +69% $392M→$663M, op income $3.9M→$182.9M; FULL valuation allowance still in place (~1% tax is the VA, not a release)</t>
        </is>
      </c>
      <c r="F2312" s="33" t="inlineStr">
        <is>
          <t>10-Q q/e 2026-03-31, Income Taxes note</t>
        </is>
      </c>
      <c r="G2312" s="33" t="inlineStr">
        <is>
          <t>High</t>
        </is>
      </c>
      <c r="H2312" s="33" t="inlineStr">
        <is>
          <t>objective</t>
        </is>
      </c>
    </row>
    <row r="2313">
      <c r="A2313" s="33" t="inlineStr">
        <is>
          <t>2026-06-24</t>
        </is>
      </c>
      <c r="B2313" s="33" t="inlineStr">
        <is>
          <t>CRDO</t>
        </is>
      </c>
      <c r="C2313" s="33" t="inlineStr">
        <is>
          <t>Growth: EPS YoY (rule 15)</t>
        </is>
      </c>
      <c r="D2313" s="33" t="n">
        <v>362.2</v>
      </c>
      <c r="E2313" s="33" t="inlineStr">
        <is>
          <t>Operational: FY rev 3x $436.8M→$1,335.1M, op income $37.1M→$445.0M; VA INCREASED $93.4M (no release), $3.2M tax expense. yfinance qtrly +362% is approx (fiscal-yr label); growth verified</t>
        </is>
      </c>
      <c r="F2313" s="33" t="inlineStr">
        <is>
          <t>10-K FY q/e 2026-05-02, Stmts of Ops + Note 13 Income Taxes</t>
        </is>
      </c>
      <c r="G2313" s="33" t="inlineStr">
        <is>
          <t>High</t>
        </is>
      </c>
      <c r="H2313" s="33" t="inlineStr">
        <is>
          <t>objective</t>
        </is>
      </c>
    </row>
    <row r="2314">
      <c r="A2314" s="33" t="inlineStr">
        <is>
          <t>2026-06-24</t>
        </is>
      </c>
      <c r="B2314" s="33" t="inlineStr">
        <is>
          <t>PLTR</t>
        </is>
      </c>
      <c r="C2314" s="33" t="inlineStr">
        <is>
          <t>Growth: EPS YoY (rule 15)</t>
        </is>
      </c>
      <c r="D2314" s="33" t="n">
        <v>306.7</v>
      </c>
      <c r="E2314" s="33" t="inlineStr">
        <is>
          <t>Operational: op income $176.0M→$754.0M (+328%); full VA maintained, ~1.4% rate is ongoing structural (not a one-time release)</t>
        </is>
      </c>
      <c r="F2314" s="33" t="inlineStr">
        <is>
          <t>10-Q q/e 2026-03-31, Income Taxes note</t>
        </is>
      </c>
      <c r="G2314" s="33" t="inlineStr">
        <is>
          <t>High</t>
        </is>
      </c>
      <c r="H2314" s="33" t="inlineStr">
        <is>
          <t>objective</t>
        </is>
      </c>
    </row>
    <row r="2315">
      <c r="A2315" s="33" t="inlineStr">
        <is>
          <t>2026-06-24</t>
        </is>
      </c>
      <c r="B2315" s="33" t="inlineStr">
        <is>
          <t>TER</t>
        </is>
      </c>
      <c r="C2315" s="33" t="inlineStr">
        <is>
          <t>Growth: EPS YoY (rule 15)</t>
        </is>
      </c>
      <c r="D2315" s="33" t="n">
        <v>303.4</v>
      </c>
      <c r="E2315" s="33" t="inlineStr">
        <is>
          <t>Operational: op income $120.8M→$473.0M on AI-compute test demand; tax 12.2%→13.3% (no discrete benefit)</t>
        </is>
      </c>
      <c r="F2315" s="33" t="inlineStr">
        <is>
          <t>10-Q q/e 2026-03-29, Stmts of Ops + Note S</t>
        </is>
      </c>
      <c r="G2315" s="33" t="inlineStr">
        <is>
          <t>High</t>
        </is>
      </c>
      <c r="H2315" s="33" t="inlineStr">
        <is>
          <t>objective</t>
        </is>
      </c>
    </row>
    <row r="2316">
      <c r="A2316" s="33" t="inlineStr">
        <is>
          <t>2026-06-24</t>
        </is>
      </c>
      <c r="B2316" s="33" t="inlineStr">
        <is>
          <t>SMCI</t>
        </is>
      </c>
      <c r="C2316" s="33" t="inlineStr">
        <is>
          <t>Growth: EPS YoY (rule 15)</t>
        </is>
      </c>
      <c r="D2316" s="33" t="n">
        <v>344.4</v>
      </c>
      <c r="E2316" s="33" t="inlineStr">
        <is>
          <t>Operational AI-server ramp: op income $146.8M→$625.9M; tax NORMALIZED 5.1%→20.8% (works against the jump, not for it)</t>
        </is>
      </c>
      <c r="F2316" s="33" t="inlineStr">
        <is>
          <t>10-Q FQ3 q/e 2026-03-31, Stmts of Ops + tax note</t>
        </is>
      </c>
      <c r="G2316" s="33" t="inlineStr">
        <is>
          <t>High</t>
        </is>
      </c>
      <c r="H2316" s="33" t="inlineStr">
        <is>
          <t>objective</t>
        </is>
      </c>
    </row>
    <row r="2317">
      <c r="A2317" s="33" t="inlineStr">
        <is>
          <t>2026-06-24</t>
        </is>
      </c>
      <c r="B2317" s="33" t="inlineStr">
        <is>
          <t>MTZ</t>
        </is>
      </c>
      <c r="C2317" s="33" t="inlineStr">
        <is>
          <t>Growth: EPS YoY (rule 15)</t>
        </is>
      </c>
      <c r="D2317" s="33" t="n">
        <v>514.4</v>
      </c>
      <c r="E2317" s="33" t="inlineStr">
        <is>
          <t>Operational off seasonally weak Q1: op income $36.2M→$141.8M (+292%), rev +34.5%; absorbed $7.9M impairment + lost prior-yr tax benefit (headwinds)</t>
        </is>
      </c>
      <c r="F2317" s="33" t="inlineStr">
        <is>
          <t>10-Q q/e 2026-03-31, Stmts of Ops</t>
        </is>
      </c>
      <c r="G2317" s="33" t="inlineStr">
        <is>
          <t>High</t>
        </is>
      </c>
      <c r="H2317" s="33" t="inlineStr">
        <is>
          <t>objective</t>
        </is>
      </c>
    </row>
    <row r="2318">
      <c r="A2318" s="33" t="inlineStr">
        <is>
          <t>2026-06-24</t>
        </is>
      </c>
      <c r="B2318" s="33" t="inlineStr">
        <is>
          <t>LSCC</t>
        </is>
      </c>
      <c r="C2318" s="33" t="inlineStr">
        <is>
          <t>Growth: EPS YoY (rule 15)</t>
        </is>
      </c>
      <c r="D2318" s="33" t="n">
        <v>334.4</v>
      </c>
      <c r="E2318" s="33" t="inlineStr">
        <is>
          <t>Operational FPGA recovery: rev $120.2M→$170.9M (+42%), op income $7.0M→$26.1M; tax 37.1%→20.0% ordinary</t>
        </is>
      </c>
      <c r="F2318" s="33" t="inlineStr">
        <is>
          <t>10-Q q/e 2026-04-04, Stmts of Ops + Income Taxes note</t>
        </is>
      </c>
      <c r="G2318" s="33" t="inlineStr">
        <is>
          <t>High</t>
        </is>
      </c>
      <c r="H2318" s="33" t="inlineStr">
        <is>
          <t>objective</t>
        </is>
      </c>
    </row>
    <row r="2319">
      <c r="A2319" s="33" t="inlineStr">
        <is>
          <t>2026-06-24</t>
        </is>
      </c>
      <c r="B2319" s="33" t="inlineStr">
        <is>
          <t>SEI</t>
        </is>
      </c>
      <c r="C2319" s="33" t="inlineStr">
        <is>
          <t>Growth: EPS YoY (rule 15)</t>
        </is>
      </c>
      <c r="D2319" s="33" t="n">
        <v>303</v>
      </c>
      <c r="E2319" s="33" t="inlineStr">
        <is>
          <t>Solaris Energy Infrastructure (CIK 1697500): power-gen fleet ramp, rev $126.3M→$196.2M (+55%), op income $22.1M→$50.6M; NCI structural (Up-C), no one-off</t>
        </is>
      </c>
      <c r="F2319" s="33" t="inlineStr">
        <is>
          <t>10-Q q/e 2026-03-31, Stmts of Ops + EPS note</t>
        </is>
      </c>
      <c r="G2319" s="33" t="inlineStr">
        <is>
          <t>High</t>
        </is>
      </c>
      <c r="H2319" s="33" t="inlineStr">
        <is>
          <t>objective</t>
        </is>
      </c>
    </row>
    <row r="2320">
      <c r="A2320" s="33" t="inlineStr">
        <is>
          <t>2026-06-24</t>
        </is>
      </c>
      <c r="B2320" s="33" t="inlineStr">
        <is>
          <t>EQT</t>
        </is>
      </c>
      <c r="C2320" s="33" t="inlineStr">
        <is>
          <t>Growth: EPS YoY (rule 15)</t>
        </is>
      </c>
      <c r="D2320" s="33" t="n">
        <v>514.2</v>
      </c>
      <c r="E2320" s="33" t="inlineStr">
        <is>
          <t>Operational: higher realized gas prices, op income $496.3M→$2,036.0M; the '-$666M unusual' was RECURRING MTM derivative loss (not one-time); year-ago a real price trough</t>
        </is>
      </c>
      <c r="F2320" s="33" t="inlineStr">
        <is>
          <t>10-Q q/e 2026-03-31, Stmts of Ops + MD&amp;A/derivatives</t>
        </is>
      </c>
      <c r="G2320" s="33" t="inlineStr">
        <is>
          <t>High</t>
        </is>
      </c>
      <c r="H2320" s="33" t="inlineStr">
        <is>
          <t>objective</t>
        </is>
      </c>
    </row>
    <row r="2321">
      <c r="A2321" s="33" t="inlineStr">
        <is>
          <t>2026-06-24</t>
        </is>
      </c>
      <c r="B2321" s="33" t="inlineStr">
        <is>
          <t>IRM</t>
        </is>
      </c>
      <c r="C2321" s="33" t="inlineStr">
        <is>
          <t>Growth: EPS YoY (rule 15)</t>
        </is>
      </c>
      <c r="D2321" s="33" t="n">
        <v>800.6</v>
      </c>
      <c r="E2321" s="33" t="inlineStr">
        <is>
          <t>Operational: rev +21.6%, op income $254.3M→$395.2M (+55%); year-ago 'unusual' was recurring FX + small base, no one-time charge; tax rate artifact on tiny base</t>
        </is>
      </c>
      <c r="F2321" s="33" t="inlineStr">
        <is>
          <t>10-Q q/e 2026-03-31, Stmts of Ops + Notes H/I</t>
        </is>
      </c>
      <c r="G2321" s="33" t="inlineStr">
        <is>
          <t>High</t>
        </is>
      </c>
      <c r="H2321" s="33" t="inlineStr">
        <is>
          <t>objective</t>
        </is>
      </c>
    </row>
    <row r="2322">
      <c r="A2322" s="33" t="inlineStr">
        <is>
          <t>2026-06-24</t>
        </is>
      </c>
      <c r="B2322" s="33" t="inlineStr">
        <is>
          <t>CIEN</t>
        </is>
      </c>
      <c r="C2322" s="33" t="inlineStr">
        <is>
          <t>Growth: EPS YoY (rule 15)</t>
        </is>
      </c>
      <c r="D2322" s="33" t="n">
        <v>2333</v>
      </c>
      <c r="E2322" s="33" t="inlineStr">
        <is>
          <t>Operational: rev +39.5%, gross margin 40.2%→44.0%, op income $32.8M→$237.9M; low tax is RECURRING SBC benefit (~12x even at normal tax)</t>
        </is>
      </c>
      <c r="F2322" s="33" t="inlineStr">
        <is>
          <t>10-Q FQ2 q/e 2026-05-02, Stmts of Ops + tax MD&amp;A</t>
        </is>
      </c>
      <c r="G2322" s="33" t="inlineStr">
        <is>
          <t>High</t>
        </is>
      </c>
      <c r="H2322" s="33" t="inlineStr">
        <is>
          <t>objective</t>
        </is>
      </c>
    </row>
    <row r="2323">
      <c r="A2323" s="33" t="inlineStr">
        <is>
          <t>2026-06-24</t>
        </is>
      </c>
      <c r="B2323" s="33" t="inlineStr">
        <is>
          <t>CEG</t>
        </is>
      </c>
      <c r="C2323" s="33" t="inlineStr">
        <is>
          <t>Growth: EPS YoY (rule 15)</t>
        </is>
      </c>
      <c r="D2323" s="33" t="inlineStr">
        <is>
          <t>blank</t>
        </is>
      </c>
      <c r="E2323" s="33" t="inlineStr">
        <is>
          <t>Non-operating: net pretax UNREALIZED commodity-derivative gains +$1,059M vs -$324M = $1,383M favorable swing (~70% of pretax increase); excluded from CEG adjusted earnings; Calpine acq a structural break</t>
        </is>
      </c>
      <c r="F2323" s="33" t="inlineStr">
        <is>
          <t>10-Q q/e 2026-03-31, Derivatives note + CF stmt</t>
        </is>
      </c>
      <c r="G2323" s="33" t="inlineStr">
        <is>
          <t>High</t>
        </is>
      </c>
      <c r="H2323" s="33" t="inlineStr">
        <is>
          <t>objective</t>
        </is>
      </c>
    </row>
    <row r="2324">
      <c r="A2324" s="33" t="inlineStr">
        <is>
          <t>2026-06-24</t>
        </is>
      </c>
      <c r="B2324" s="33" t="inlineStr">
        <is>
          <t>TEL</t>
        </is>
      </c>
      <c r="C2324" s="33" t="inlineStr">
        <is>
          <t>Growth: EPS YoY (rule 15)</t>
        </is>
      </c>
      <c r="D2324" s="33" t="inlineStr">
        <is>
          <t>blank</t>
        </is>
      </c>
      <c r="E2324" s="33" t="inlineStr">
        <is>
          <t>Depressed-base artifact: year-ago FQ2-2025 tax included $574M one-time charge (VA increase on Swiss-sub DTAs) crushing NI to $13M; current also carries $114M one-time tax benefit</t>
        </is>
      </c>
      <c r="F2324" s="33" t="inlineStr">
        <is>
          <t>10-Q FQ2 q/e 2026-03-27, Note 12 Income Taxes</t>
        </is>
      </c>
      <c r="G2324" s="33" t="inlineStr">
        <is>
          <t>High</t>
        </is>
      </c>
      <c r="H2324" s="33" t="inlineStr">
        <is>
          <t>objective</t>
        </is>
      </c>
    </row>
    <row r="2325">
      <c r="A2325" t="inlineStr">
        <is>
          <t>2026-07-02</t>
        </is>
      </c>
      <c r="B2325" t="inlineStr">
        <is>
          <t>NTAP</t>
        </is>
      </c>
      <c r="C2325" t="inlineStr">
        <is>
          <t>D1</t>
        </is>
      </c>
      <c r="D2325" t="n">
        <v>2</v>
      </c>
      <c r="E2325" t="inlineStr">
        <is>
          <t>No AI revenue disclosed; mgmt does not break it out; AI shows as deal-win count (1,100+ FY26), est &lt;10% of $6.9B base</t>
        </is>
      </c>
      <c r="F2325" t="inlineStr">
        <is>
          <t>Q4 FY26 call transcript; 10-K FY26</t>
        </is>
      </c>
      <c r="G2325" t="inlineStr">
        <is>
          <t>High</t>
        </is>
      </c>
      <c r="H2325" t="inlineStr">
        <is>
          <t>Initial</t>
        </is>
      </c>
    </row>
    <row r="2326">
      <c r="A2326" t="inlineStr">
        <is>
          <t>2026-07-02</t>
        </is>
      </c>
      <c r="B2326" t="inlineStr">
        <is>
          <t>NTAP</t>
        </is>
      </c>
      <c r="C2326" t="inlineStr">
        <is>
          <t>D2</t>
        </is>
      </c>
      <c r="D2326" t="n">
        <v>3</v>
      </c>
      <c r="E2326" t="inlineStr">
        <is>
          <t>Mid-chain multi-competitor storage (Dell/Pure/HPE); differentiates on ONTAP + native-cloud but not an upstream bottleneck</t>
        </is>
      </c>
      <c r="F2326" t="inlineStr">
        <is>
          <t>10-K FY26 Item 1</t>
        </is>
      </c>
      <c r="G2326" t="inlineStr">
        <is>
          <t>Medium</t>
        </is>
      </c>
      <c r="H2326" t="inlineStr">
        <is>
          <t>Initial</t>
        </is>
      </c>
    </row>
    <row r="2327">
      <c r="A2327" t="inlineStr">
        <is>
          <t>2026-07-02</t>
        </is>
      </c>
      <c r="B2327" t="inlineStr">
        <is>
          <t>NTAP</t>
        </is>
      </c>
      <c r="C2327" t="inlineStr">
        <is>
          <t>D3</t>
        </is>
      </c>
      <c r="D2327" t="n">
        <v>3</v>
      </c>
      <c r="E2327" t="inlineStr">
        <is>
          <t>Real switching costs (ONTAP + $4.8B deferred-rev annuity + first-party cloud) but Pure taking share, pricing competitive (halo-check: hold at 3, not 4)</t>
        </is>
      </c>
      <c r="F2327" t="inlineStr">
        <is>
          <t>10-K FY26 Note 14</t>
        </is>
      </c>
      <c r="G2327" t="inlineStr">
        <is>
          <t>Medium</t>
        </is>
      </c>
      <c r="H2327" t="inlineStr">
        <is>
          <t>Initial</t>
        </is>
      </c>
    </row>
    <row r="2328">
      <c r="A2328" t="inlineStr">
        <is>
          <t>2026-07-02</t>
        </is>
      </c>
      <c r="B2328" t="inlineStr">
        <is>
          <t>NTAP</t>
        </is>
      </c>
      <c r="C2328" t="inlineStr">
        <is>
          <t>D4</t>
        </is>
      </c>
      <c r="D2328" t="n">
        <v>3</v>
      </c>
      <c r="E2328" t="inlineStr">
        <is>
          <t>Funded, active AFX/AIDE product cycle but asset-light (capex 2.9% of rev) — steady-state, not fab-scale buildout</t>
        </is>
      </c>
      <c r="F2328" t="inlineStr">
        <is>
          <t>8-K Ex-99.1 cash-flow 2026-05-28</t>
        </is>
      </c>
      <c r="G2328" t="inlineStr">
        <is>
          <t>Medium</t>
        </is>
      </c>
      <c r="H2328" t="inlineStr">
        <is>
          <t>Initial</t>
        </is>
      </c>
    </row>
    <row r="2329">
      <c r="A2329" t="inlineStr">
        <is>
          <t>2026-07-02</t>
        </is>
      </c>
      <c r="B2329" t="inlineStr">
        <is>
          <t>NTAP</t>
        </is>
      </c>
      <c r="C2329" t="inlineStr">
        <is>
          <t>D5</t>
        </is>
      </c>
      <c r="D2329" t="n">
        <v>2</v>
      </c>
      <c r="E2329" t="inlineStr">
        <is>
          <t>&gt;10% customers are distributors not hyperscalers; hyperscaler tie is ISV-in-marketplace (~$0.5-0.7B first-party), no disclosed hyperscaler concentration</t>
        </is>
      </c>
      <c r="F2329" t="inlineStr">
        <is>
          <t>10-K FY26 Note 14; Q4 transcript</t>
        </is>
      </c>
      <c r="G2329" t="inlineStr">
        <is>
          <t>Medium</t>
        </is>
      </c>
      <c r="H2329" t="inlineStr">
        <is>
          <t>Initial</t>
        </is>
      </c>
    </row>
    <row r="2330">
      <c r="A2330" t="inlineStr">
        <is>
          <t>2026-07-02</t>
        </is>
      </c>
      <c r="B2330" t="inlineStr">
        <is>
          <t>NTAP</t>
        </is>
      </c>
      <c r="C2330" t="inlineStr">
        <is>
          <t>M1</t>
        </is>
      </c>
      <c r="D2330" t="n">
        <v>5</v>
      </c>
      <c r="E2330" t="inlineStr">
        <is>
          <t>Q4 beat-and-raise + wall of upward PT hikes (GS $127-&gt;$200, UBS $113-&gt;$160, Susq $110-&gt;$185)</t>
        </is>
      </c>
      <c r="F2330" t="inlineStr">
        <is>
          <t>stockanalysis / theglobeandmail 2026-05/06</t>
        </is>
      </c>
      <c r="G2330" t="inlineStr">
        <is>
          <t>High</t>
        </is>
      </c>
      <c r="H2330" t="inlineStr">
        <is>
          <t>Initial</t>
        </is>
      </c>
    </row>
    <row r="2331">
      <c r="A2331" t="inlineStr">
        <is>
          <t>2026-07-02</t>
        </is>
      </c>
      <c r="B2331" t="inlineStr">
        <is>
          <t>NTAP</t>
        </is>
      </c>
      <c r="C2331" t="inlineStr">
        <is>
          <t>M2</t>
        </is>
      </c>
      <c r="D2331" t="n">
        <v>5</v>
      </c>
      <c r="E2331" t="inlineStr">
        <is>
          <t>Benchmark IGV down ~17% 1Y; NTAP +33% to an all-time high -&gt; &gt;40pt outperformance</t>
        </is>
      </c>
      <c r="F2331" t="inlineStr">
        <is>
          <t>stockanalysis.com/stocks/ntap</t>
        </is>
      </c>
      <c r="G2331" t="inlineStr">
        <is>
          <t>High</t>
        </is>
      </c>
      <c r="H2331" t="inlineStr">
        <is>
          <t>Initial</t>
        </is>
      </c>
    </row>
    <row r="2332">
      <c r="A2332" t="inlineStr">
        <is>
          <t>2026-07-02</t>
        </is>
      </c>
      <c r="B2332" t="inlineStr">
        <is>
          <t>NTAP</t>
        </is>
      </c>
      <c r="C2332" t="inlineStr">
        <is>
          <t>M3</t>
        </is>
      </c>
      <c r="D2332" t="n">
        <v>3</v>
      </c>
      <c r="E2332" t="inlineStr">
        <is>
          <t>Zero code-P open-market buys; sells are RSU/tax/10b5-1 (Cernuda plan adopted 2026-03-24 -&gt; routine per rubric Step 2)</t>
        </is>
      </c>
      <c r="F2332" t="inlineStr">
        <is>
          <t>EDGAR Form 4 0001193125-26-282862 et al.</t>
        </is>
      </c>
      <c r="G2332" t="inlineStr">
        <is>
          <t>High</t>
        </is>
      </c>
      <c r="H2332" t="inlineStr">
        <is>
          <t>Initial</t>
        </is>
      </c>
    </row>
    <row r="2333">
      <c r="A2333" t="inlineStr">
        <is>
          <t>2026-07-02</t>
        </is>
      </c>
      <c r="B2333" t="inlineStr">
        <is>
          <t>NTAP</t>
        </is>
      </c>
      <c r="C2333" t="inlineStr">
        <is>
          <t>R1</t>
        </is>
      </c>
      <c r="D2333" t="n">
        <v>4</v>
      </c>
      <c r="E2333" t="inlineStr">
        <is>
          <t>Top customer 22%, two &gt;10% = 43% combined -&gt; literal band 4; both are distributors fronting diffuse demand (economic risk closer to 5 - flagged)</t>
        </is>
      </c>
      <c r="F2333" t="inlineStr">
        <is>
          <t>10-K FY26 Item 1 + Note 14</t>
        </is>
      </c>
      <c r="G2333" t="inlineStr">
        <is>
          <t>High</t>
        </is>
      </c>
      <c r="H2333" t="inlineStr">
        <is>
          <t>Initial</t>
        </is>
      </c>
    </row>
    <row r="2334">
      <c r="A2334" t="inlineStr">
        <is>
          <t>2026-07-02</t>
        </is>
      </c>
      <c r="B2334" t="inlineStr">
        <is>
          <t>NTAP</t>
        </is>
      </c>
      <c r="C2334" t="inlineStr">
        <is>
          <t>R2</t>
        </is>
      </c>
      <c r="D2334" t="n">
        <v>5</v>
      </c>
      <c r="E2334" t="inlineStr">
        <is>
          <t>Worst single-geo shock = US Public Sector ~10% (diffuse); no China concentration, no conflict-zone assets; 51/34/15 Amer/EMEA/APAC</t>
        </is>
      </c>
      <c r="F2334" t="inlineStr">
        <is>
          <t>10-K FY26 Note 14 + MD&amp;A</t>
        </is>
      </c>
      <c r="G2334" t="inlineStr">
        <is>
          <t>High</t>
        </is>
      </c>
      <c r="H2334" t="inlineStr">
        <is>
          <t>Initial</t>
        </is>
      </c>
    </row>
    <row r="2335">
      <c r="A2335" t="inlineStr">
        <is>
          <t>2026-07-02</t>
        </is>
      </c>
      <c r="B2335" t="inlineStr">
        <is>
          <t>NTAP</t>
        </is>
      </c>
      <c r="C2335" t="inlineStr">
        <is>
          <t>R3</t>
        </is>
      </c>
      <c r="D2335" t="n">
        <v>5</v>
      </c>
      <c r="E2335" t="inlineStr">
        <is>
          <t>Net cash +$1.1B; repaid $750M current debt; FY26 FCF $1.87B; new $1B buyback</t>
        </is>
      </c>
      <c r="F2335" t="inlineStr">
        <is>
          <t>8-K Ex-99.1 balance sheet 2026-05-28</t>
        </is>
      </c>
      <c r="G2335" t="inlineStr">
        <is>
          <t>High</t>
        </is>
      </c>
      <c r="H2335" t="inlineStr">
        <is>
          <t>Initial</t>
        </is>
      </c>
    </row>
    <row r="2336">
      <c r="A2336" t="inlineStr">
        <is>
          <t>2026-07-02</t>
        </is>
      </c>
      <c r="B2336" t="inlineStr">
        <is>
          <t>NTAP</t>
        </is>
      </c>
      <c r="C2336" t="inlineStr">
        <is>
          <t>R4</t>
        </is>
      </c>
      <c r="D2336" t="n">
        <v>4</v>
      </c>
      <c r="E2336" t="inlineStr">
        <is>
          <t>Only routine NPE patent litigation; no material investigation/antitrust (perennial NPE suits -&gt; 4 not 5)</t>
        </is>
      </c>
      <c r="F2336" t="inlineStr">
        <is>
          <t>10-K FY26 Item 3 / Note 16</t>
        </is>
      </c>
      <c r="G2336" t="inlineStr">
        <is>
          <t>High</t>
        </is>
      </c>
      <c r="H2336" t="inlineStr">
        <is>
          <t>Initial</t>
        </is>
      </c>
    </row>
    <row r="2337">
      <c r="A2337" t="inlineStr">
        <is>
          <t>2026-07-02</t>
        </is>
      </c>
      <c r="B2337" t="inlineStr">
        <is>
          <t>NTAP</t>
        </is>
      </c>
      <c r="C2337" t="inlineStr">
        <is>
          <t>R5</t>
        </is>
      </c>
      <c r="D2337" t="n">
        <v>5</v>
      </c>
      <c r="E2337" t="inlineStr">
        <is>
          <t>Non-Layer-10 default (rule 16); enterprise storage/data-infra durability, AI net-tailwind, no active erosion</t>
        </is>
      </c>
      <c r="F2337" t="inlineStr">
        <is>
          <t>CLAUDE.md rule 16</t>
        </is>
      </c>
      <c r="G2337" t="inlineStr">
        <is>
          <t>High</t>
        </is>
      </c>
      <c r="H2337" t="inlineStr">
        <is>
          <t>Initial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2026-05-17T20:53:18Z</dcterms:created>
  <dcterms:modified xsi:type="dcterms:W3CDTF">2026-07-02T15:57:14Z</dcterms:modified>
  <cp:revision>0</cp:revision>
</cp:coreProperties>
</file>