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>
        <f>IFERROR(AVERAGE(IFERROR(IF(E170="","",IF(E170&lt;0,5,IF(E170&lt;=15,90,IF(E170&lt;=20,75,IF(E170&lt;=25,60,IF(E170&lt;=30,45,IF(E170&lt;=40,30,IF(E170&lt;=60,15,5)))))))),""),IFERROR(IF(F170="","",IF(F170&lt;0,5,IF(F170&lt;=10,90,IF(F170&lt;=15,75,IF(F170&lt;=20,60,IF(F170&lt;=25,45,IF(F170&lt;=35,30,IF(F170&lt;=50,15,5)))))))),""),IFERROR(IF(G170="","",IF(G170&gt;=8,100,IF(G170&gt;=6,90,IF(G170&gt;=4,75,IF(G170&gt;=2,60,IF(G170&gt;=1,45,IF(G170&gt;=0,30,15))))))),""),IFERROR(IF(H170="","",IF(H170&lt;=2,90,IF(H170&lt;=4,75,IF(H170&lt;=7,60,IF(H170&lt;=10,45,IF(H170&lt;=15,30,IF(H170&lt;=25,15,5))))))),""),IFERROR(IF(I170="","",IF(I170&lt;=0.5,100,IF(I170&lt;=1,90,IF(I170&lt;=1.5,75,IF(I170&lt;=2,60,IF(I170&lt;=2.5,45,IF(I170&lt;=3,30,15))))))),"")),"")</f>
        <v/>
      </c>
      <c r="L170" s="33" t="n">
        <v>70.73999999999999</v>
      </c>
      <c r="M170" s="33" t="n">
        <v>26.99</v>
      </c>
      <c r="N170" s="33" t="n">
        <v>-0.45</v>
      </c>
      <c r="O170" s="33">
        <f>IFERROR(AVERAGE(IFERROR(IF(K170="","",IF(K170&gt;=25,100,IF(K170&gt;=20,90,IF(K170&gt;=15,75,IF(K170&gt;=10,60,IF(K170&gt;=5,45,IF(K170&gt;=0,30,15))))))),""),IFERROR(IF(L170="","",IF(L170&gt;=60,100,IF(L170&gt;=50,90,IF(L170&gt;=40,75,IF(L170&gt;=30,60,IF(L170&gt;=20,45,IF(L170&gt;=10,30,15))))))),""),IFERROR(IF(M170="","",IF(M170&gt;=25,100,IF(M170&gt;=20,90,IF(M170&gt;=15,75,IF(M170&gt;=10,60,IF(M170&gt;=5,45,IF(M170&gt;=0,30,15))))))),""),IFERROR(IF(N170="","",IF(N170&lt;=0,100,IF(N170&lt;=1,90,IF(N170&lt;=2,75,IF(N170&lt;=3,60,IF(N170&lt;=4,45,IF(N170&lt;=5,30,15))))))),"")),"")</f>
        <v/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IFERROR(AVERAGE(T170,U170,V170,W170,X170)*20,"")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>
        <f>IFERROR(AVERAGE(IFERROR(IF(E171="","",IF(E171&lt;0,5,IF(E171&lt;=15,90,IF(E171&lt;=20,75,IF(E171&lt;=25,60,IF(E171&lt;=30,45,IF(E171&lt;=40,30,IF(E171&lt;=60,15,5)))))))),""),IFERROR(IF(F171="","",IF(F171&lt;0,5,IF(F171&lt;=10,90,IF(F171&lt;=15,75,IF(F171&lt;=20,60,IF(F171&lt;=25,45,IF(F171&lt;=35,30,IF(F171&lt;=50,15,5)))))))),""),IFERROR(IF(G171="","",IF(G171&gt;=8,100,IF(G171&gt;=6,90,IF(G171&gt;=4,75,IF(G171&gt;=2,60,IF(G171&gt;=1,45,IF(G171&gt;=0,30,15))))))),""),IFERROR(IF(H171="","",IF(H171&lt;=2,90,IF(H171&lt;=4,75,IF(H171&lt;=7,60,IF(H171&lt;=10,45,IF(H171&lt;=15,30,IF(H171&lt;=25,15,5))))))),""),IFERROR(IF(I171="","",IF(I171&lt;=0.5,100,IF(I171&lt;=1,90,IF(I171&lt;=1.5,75,IF(I171&lt;=2,60,IF(I171&lt;=2.5,45,IF(I171&lt;=3,30,15))))))),"")),"")</f>
        <v/>
      </c>
      <c r="L171" s="33" t="n">
        <v>27.92</v>
      </c>
      <c r="M171" s="33" t="n">
        <v>-45.15</v>
      </c>
      <c r="N171" s="33" t="n">
        <v>0</v>
      </c>
      <c r="O171" s="33">
        <f>IFERROR(AVERAGE(IFERROR(IF(K171="","",IF(K171&gt;=25,100,IF(K171&gt;=20,90,IF(K171&gt;=15,75,IF(K171&gt;=10,60,IF(K171&gt;=5,45,IF(K171&gt;=0,30,15))))))),""),IFERROR(IF(L171="","",IF(L171&gt;=60,100,IF(L171&gt;=50,90,IF(L171&gt;=40,75,IF(L171&gt;=30,60,IF(L171&gt;=20,45,IF(L171&gt;=10,30,15))))))),""),IFERROR(IF(M171="","",IF(M171&gt;=25,100,IF(M171&gt;=20,90,IF(M171&gt;=15,75,IF(M171&gt;=10,60,IF(M171&gt;=5,45,IF(M171&gt;=0,30,15))))))),""),IFERROR(IF(N171="","",IF(N171&lt;=0,100,IF(N171&lt;=1,90,IF(N171&lt;=2,75,IF(N171&lt;=3,60,IF(N171&lt;=4,45,IF(N171&lt;=5,30,15))))))),"")),"")</f>
        <v/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IFERROR(AVERAGE(T171,U171,V171,W171,X171)*20,"")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>
        <f>IFERROR(AVERAGE(IFERROR(IF(E172="","",IF(E172&lt;0,5,IF(E172&lt;=15,90,IF(E172&lt;=20,75,IF(E172&lt;=25,60,IF(E172&lt;=30,45,IF(E172&lt;=40,30,IF(E172&lt;=60,15,5)))))))),""),IFERROR(IF(F172="","",IF(F172&lt;0,5,IF(F172&lt;=10,90,IF(F172&lt;=15,75,IF(F172&lt;=20,60,IF(F172&lt;=25,45,IF(F172&lt;=35,30,IF(F172&lt;=50,15,5)))))))),""),IFERROR(IF(G172="","",IF(G172&gt;=8,100,IF(G172&gt;=6,90,IF(G172&gt;=4,75,IF(G172&gt;=2,60,IF(G172&gt;=1,45,IF(G172&gt;=0,30,15))))))),""),IFERROR(IF(H172="","",IF(H172&lt;=2,90,IF(H172&lt;=4,75,IF(H172&lt;=7,60,IF(H172&lt;=10,45,IF(H172&lt;=15,30,IF(H172&lt;=25,15,5))))))),""),IFERROR(IF(I172="","",IF(I172&lt;=0.5,100,IF(I172&lt;=1,90,IF(I172&lt;=1.5,75,IF(I172&lt;=2,60,IF(I172&lt;=2.5,45,IF(I172&lt;=3,30,15))))))),"")),"")</f>
        <v/>
      </c>
      <c r="L172" s="33" t="n">
        <v>12.65</v>
      </c>
      <c r="M172" s="33" t="n">
        <v>-75.44</v>
      </c>
      <c r="N172" s="33" t="n">
        <v>-0.53</v>
      </c>
      <c r="O172" s="33">
        <f>IFERROR(AVERAGE(IFERROR(IF(K172="","",IF(K172&gt;=25,100,IF(K172&gt;=20,90,IF(K172&gt;=15,75,IF(K172&gt;=10,60,IF(K172&gt;=5,45,IF(K172&gt;=0,30,15))))))),""),IFERROR(IF(L172="","",IF(L172&gt;=60,100,IF(L172&gt;=50,90,IF(L172&gt;=40,75,IF(L172&gt;=30,60,IF(L172&gt;=20,45,IF(L172&gt;=10,30,15))))))),""),IFERROR(IF(M172="","",IF(M172&gt;=25,100,IF(M172&gt;=20,90,IF(M172&gt;=15,75,IF(M172&gt;=10,60,IF(M172&gt;=5,45,IF(M172&gt;=0,30,15))))))),""),IFERROR(IF(N172="","",IF(N172&lt;=0,100,IF(N172&lt;=1,90,IF(N172&lt;=2,75,IF(N172&lt;=3,60,IF(N172&lt;=4,45,IF(N172&lt;=5,30,15))))))),"")),"")</f>
        <v/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IFERROR(AVERAGE(T172,U172,V172,W172,X172)*20,"")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IFERROR(AVERAGE(AE172,AF172,AG172,AH172,AL172)*20,"")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t="inlineStr">
        <is>
          <t>0981.HK</t>
        </is>
      </c>
      <c r="B173" t="inlineStr">
        <is>
          <t>Semiconductor Manufacturing International Corporation</t>
        </is>
      </c>
      <c r="C173" t="inlineStr">
        <is>
          <t>05 Fabs &amp; Foundries</t>
        </is>
      </c>
      <c r="D173" t="inlineStr">
        <is>
          <t>2026-07-02</t>
        </is>
      </c>
      <c r="E173" t="n">
        <v>56.75001</v>
      </c>
      <c r="F173" t="n">
        <v>19.64</v>
      </c>
      <c r="G173" t="n">
        <v>-5.37</v>
      </c>
      <c r="H173" t="n">
        <v>9.16</v>
      </c>
      <c r="I173">
        <f>IF(OR(E173="",R173="",R173&lt;=0,E173&lt;0),"",E173/R173)</f>
        <v/>
      </c>
      <c r="J173">
        <f>IFERROR(AVERAGE(IFERROR(IF(E173="","",IF(E173&lt;0,5,IF(E173&lt;=15,90,IF(E173&lt;=20,75,IF(E173&lt;=25,60,IF(E173&lt;=30,45,IF(E173&lt;=40,30,IF(E173&lt;=60,15,5)))))))),""),IFERROR(IF(F173="","",IF(F173&lt;0,5,IF(F173&lt;=10,90,IF(F173&lt;=15,75,IF(F173&lt;=20,60,IF(F173&lt;=25,45,IF(F173&lt;=35,30,IF(F173&lt;=50,15,5)))))))),""),IFERROR(IF(G173="","",IF(G173&gt;=8,100,IF(G173&gt;=6,90,IF(G173&gt;=4,75,IF(G173&gt;=2,60,IF(G173&gt;=1,45,IF(G173&gt;=0,30,15))))))),""),IFERROR(IF(H173="","",IF(H173&lt;=2,90,IF(H173&lt;=4,75,IF(H173&lt;=7,60,IF(H173&lt;=10,45,IF(H173&lt;=15,30,IF(H173&lt;=25,15,5))))))),""),IFERROR(IF(I173="","",IF(I173&lt;=0.5,100,IF(I173&lt;=1,90,IF(I173&lt;=1.5,75,IF(I173&lt;=2,60,IF(I173&lt;=2.5,45,IF(I173&lt;=3,30,15))))))),"")),"")</f>
        <v/>
      </c>
      <c r="L173" t="n">
        <v>20.39</v>
      </c>
      <c r="M173" t="n">
        <v>-49.16</v>
      </c>
      <c r="N173" t="n">
        <v>0.49</v>
      </c>
      <c r="O173">
        <f>IFERROR(AVERAGE(IFERROR(IF(K173="","",IF(K173&gt;=25,100,IF(K173&gt;=20,90,IF(K173&gt;=15,75,IF(K173&gt;=10,60,IF(K173&gt;=5,45,IF(K173&gt;=0,30,15))))))),""),IFERROR(IF(L173="","",IF(L173&gt;=60,100,IF(L173&gt;=50,90,IF(L173&gt;=40,75,IF(L173&gt;=30,60,IF(L173&gt;=20,45,IF(L173&gt;=10,30,15))))))),""),IFERROR(IF(M173="","",IF(M173&gt;=25,100,IF(M173&gt;=20,90,IF(M173&gt;=15,75,IF(M173&gt;=10,60,IF(M173&gt;=5,45,IF(M173&gt;=0,30,15))))))),""),IFERROR(IF(N173="","",IF(N173&lt;=0,100,IF(N173&lt;=1,90,IF(N173&lt;=2,75,IF(N173&lt;=3,60,IF(N173&lt;=4,45,IF(N173&lt;=5,30,15))))))),"")),"")</f>
        <v/>
      </c>
      <c r="P173" t="n">
        <v>8.640000000000001</v>
      </c>
      <c r="Q173" t="n">
        <v>11.5</v>
      </c>
      <c r="R173" t="n">
        <v>5</v>
      </c>
      <c r="S17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>
        <f>IFERROR(AVERAGE(T173,U173,V173,W173,X173)*20,"")</f>
        <v/>
      </c>
      <c r="AI173">
        <f>IFERROR(AVERAGE(AE173,AF173,AG173,AH173,AL173)*20,"")</f>
        <v/>
      </c>
      <c r="AJ173">
        <f>IFERROR(J173*Weights!$B$4 + O173*Weights!$B$5 + S173*Weights!$B$6 + Y173*Weights!$B$7 + AD173*Weights!$B$8 + AI173*Weights!$B$9,"")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2026-07-02T16:54:23Z</dcterms:modified>
  <cp:revision>0</cp:revision>
</cp:coreProperties>
</file>